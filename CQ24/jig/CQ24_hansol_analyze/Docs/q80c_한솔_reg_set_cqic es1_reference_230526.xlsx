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216175E5-AB84-4E6A-8366-35BB9DAB2DB3}" xr6:coauthVersionLast="47" xr6:coauthVersionMax="47" xr10:uidLastSave="{00000000-0000-0000-0000-000000000000}"/>
  <bookViews>
    <workbookView xWindow="-98" yWindow="-98" windowWidth="21795" windowHeight="12975" xr2:uid="{D6F51E6A-240B-4DB6-870F-54D268654B6A}"/>
  </bookViews>
  <sheets>
    <sheet name="register_한솔55&quot;" sheetId="2" r:id="rId1"/>
    <sheet name="mclk_dual" sheetId="10" r:id="rId2"/>
    <sheet name="line delay" sheetId="11" r:id="rId3"/>
    <sheet name="SYSCLK" sheetId="12" r:id="rId4"/>
    <sheet name="MCO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2" l="1"/>
  <c r="AI23" i="2"/>
  <c r="AG25" i="2"/>
  <c r="AG23" i="2"/>
  <c r="AG3" i="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T112" i="12"/>
  <c r="T113" i="12"/>
  <c r="T114" i="12"/>
  <c r="T115" i="12"/>
  <c r="T116" i="12"/>
  <c r="T117" i="12"/>
  <c r="T118" i="12"/>
  <c r="T119" i="12"/>
  <c r="T120" i="12"/>
  <c r="T121" i="12"/>
  <c r="T122" i="12"/>
  <c r="B5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6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39" i="13"/>
  <c r="C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40" i="13"/>
  <c r="C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41" i="13"/>
  <c r="C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42" i="13"/>
  <c r="C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43" i="13"/>
  <c r="C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44" i="13"/>
  <c r="C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45" i="13"/>
  <c r="C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46" i="13"/>
  <c r="C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47" i="13"/>
  <c r="C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48" i="13"/>
  <c r="C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49" i="13"/>
  <c r="C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BB49" i="13"/>
  <c r="BC49" i="13"/>
  <c r="BD49" i="13"/>
  <c r="BE49" i="13"/>
  <c r="BF49" i="13"/>
  <c r="BG49" i="13"/>
  <c r="BH49" i="13"/>
  <c r="BI49" i="13"/>
  <c r="BJ49" i="13"/>
  <c r="BK49" i="13"/>
  <c r="BL49" i="13"/>
  <c r="BM49" i="13"/>
  <c r="B50" i="13"/>
  <c r="C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W50" i="13"/>
  <c r="X50" i="13"/>
  <c r="Y50" i="13"/>
  <c r="Z50" i="13"/>
  <c r="AA50" i="13"/>
  <c r="AB50" i="13"/>
  <c r="AC50" i="13"/>
  <c r="AD50" i="13"/>
  <c r="AE50" i="13"/>
  <c r="AF50" i="13"/>
  <c r="AG50" i="13"/>
  <c r="AM50" i="13"/>
  <c r="AN50" i="13"/>
  <c r="AO50" i="13"/>
  <c r="AP50" i="13"/>
  <c r="AQ50" i="13"/>
  <c r="AR50" i="13"/>
  <c r="AS50" i="13"/>
  <c r="AT50" i="13"/>
  <c r="AU50" i="13"/>
  <c r="AV50" i="13"/>
  <c r="AW50" i="13"/>
  <c r="BC50" i="13"/>
  <c r="BD50" i="13"/>
  <c r="BE50" i="13"/>
  <c r="BF50" i="13"/>
  <c r="BG50" i="13"/>
  <c r="BH50" i="13"/>
  <c r="BI50" i="13"/>
  <c r="BJ50" i="13"/>
  <c r="BK50" i="13"/>
  <c r="BL50" i="13"/>
  <c r="BM50" i="13"/>
  <c r="B51" i="13"/>
  <c r="C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W51" i="13"/>
  <c r="X51" i="13"/>
  <c r="Y51" i="13"/>
  <c r="Z51" i="13"/>
  <c r="AA51" i="13"/>
  <c r="AB51" i="13"/>
  <c r="AC51" i="13"/>
  <c r="AD51" i="13"/>
  <c r="AE51" i="13"/>
  <c r="AF51" i="13"/>
  <c r="AG51" i="13"/>
  <c r="AM51" i="13"/>
  <c r="AN51" i="13"/>
  <c r="AO51" i="13"/>
  <c r="AP51" i="13"/>
  <c r="AQ51" i="13"/>
  <c r="AR51" i="13"/>
  <c r="AS51" i="13"/>
  <c r="AT51" i="13"/>
  <c r="AU51" i="13"/>
  <c r="AV51" i="13"/>
  <c r="AW51" i="13"/>
  <c r="BC51" i="13"/>
  <c r="BD51" i="13"/>
  <c r="BE51" i="13"/>
  <c r="BF51" i="13"/>
  <c r="BG51" i="13"/>
  <c r="BH51" i="13"/>
  <c r="BI51" i="13"/>
  <c r="BJ51" i="13"/>
  <c r="BK51" i="13"/>
  <c r="BL51" i="13"/>
  <c r="BM51" i="13"/>
  <c r="B52" i="13"/>
  <c r="C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W52" i="13"/>
  <c r="X52" i="13"/>
  <c r="Y52" i="13"/>
  <c r="Z52" i="13"/>
  <c r="AA52" i="13"/>
  <c r="AB52" i="13"/>
  <c r="AC52" i="13"/>
  <c r="AD52" i="13"/>
  <c r="AE52" i="13"/>
  <c r="AF52" i="13"/>
  <c r="AG52" i="13"/>
  <c r="AM52" i="13"/>
  <c r="AN52" i="13"/>
  <c r="AO52" i="13"/>
  <c r="AP52" i="13"/>
  <c r="AQ52" i="13"/>
  <c r="AR52" i="13"/>
  <c r="AS52" i="13"/>
  <c r="AT52" i="13"/>
  <c r="AU52" i="13"/>
  <c r="AV52" i="13"/>
  <c r="AW52" i="13"/>
  <c r="BC52" i="13"/>
  <c r="BD52" i="13"/>
  <c r="BE52" i="13"/>
  <c r="BF52" i="13"/>
  <c r="BG52" i="13"/>
  <c r="BH52" i="13"/>
  <c r="BI52" i="13"/>
  <c r="BJ52" i="13"/>
  <c r="BK52" i="13"/>
  <c r="BL52" i="13"/>
  <c r="BM52" i="13"/>
  <c r="B53" i="13"/>
  <c r="C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W53" i="13"/>
  <c r="X53" i="13"/>
  <c r="Y53" i="13"/>
  <c r="Z53" i="13"/>
  <c r="AA53" i="13"/>
  <c r="AB53" i="13"/>
  <c r="AC53" i="13"/>
  <c r="AD53" i="13"/>
  <c r="AE53" i="13"/>
  <c r="AF53" i="13"/>
  <c r="AG53" i="13"/>
  <c r="AM53" i="13"/>
  <c r="AN53" i="13"/>
  <c r="AO53" i="13"/>
  <c r="AP53" i="13"/>
  <c r="AQ53" i="13"/>
  <c r="AR53" i="13"/>
  <c r="AS53" i="13"/>
  <c r="AT53" i="13"/>
  <c r="AU53" i="13"/>
  <c r="AV53" i="13"/>
  <c r="AW53" i="13"/>
  <c r="BC53" i="13"/>
  <c r="BD53" i="13"/>
  <c r="BE53" i="13"/>
  <c r="BF53" i="13"/>
  <c r="BG53" i="13"/>
  <c r="BH53" i="13"/>
  <c r="BI53" i="13"/>
  <c r="BJ53" i="13"/>
  <c r="BK53" i="13"/>
  <c r="BL53" i="13"/>
  <c r="BM53" i="13"/>
  <c r="B54" i="13"/>
  <c r="C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W54" i="13"/>
  <c r="X54" i="13"/>
  <c r="Y54" i="13"/>
  <c r="Z54" i="13"/>
  <c r="AA54" i="13"/>
  <c r="AB54" i="13"/>
  <c r="AC54" i="13"/>
  <c r="AD54" i="13"/>
  <c r="AE54" i="13"/>
  <c r="AF54" i="13"/>
  <c r="AG54" i="13"/>
  <c r="AM54" i="13"/>
  <c r="AN54" i="13"/>
  <c r="AO54" i="13"/>
  <c r="AP54" i="13"/>
  <c r="AQ54" i="13"/>
  <c r="AR54" i="13"/>
  <c r="AS54" i="13"/>
  <c r="AT54" i="13"/>
  <c r="AU54" i="13"/>
  <c r="AV54" i="13"/>
  <c r="AW54" i="13"/>
  <c r="BC54" i="13"/>
  <c r="BD54" i="13"/>
  <c r="BE54" i="13"/>
  <c r="BF54" i="13"/>
  <c r="BG54" i="13"/>
  <c r="BH54" i="13"/>
  <c r="BI54" i="13"/>
  <c r="BJ54" i="13"/>
  <c r="BK54" i="13"/>
  <c r="BL54" i="13"/>
  <c r="BM54" i="13"/>
  <c r="B55" i="13"/>
  <c r="C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W55" i="13"/>
  <c r="X55" i="13"/>
  <c r="Y55" i="13"/>
  <c r="Z55" i="13"/>
  <c r="AA55" i="13"/>
  <c r="AB55" i="13"/>
  <c r="AC55" i="13"/>
  <c r="AD55" i="13"/>
  <c r="AE55" i="13"/>
  <c r="AF55" i="13"/>
  <c r="AG55" i="13"/>
  <c r="AM55" i="13"/>
  <c r="AN55" i="13"/>
  <c r="AO55" i="13"/>
  <c r="AP55" i="13"/>
  <c r="AQ55" i="13"/>
  <c r="AR55" i="13"/>
  <c r="AS55" i="13"/>
  <c r="AT55" i="13"/>
  <c r="AU55" i="13"/>
  <c r="AV55" i="13"/>
  <c r="AW55" i="13"/>
  <c r="BC55" i="13"/>
  <c r="BD55" i="13"/>
  <c r="BE55" i="13"/>
  <c r="BF55" i="13"/>
  <c r="BG55" i="13"/>
  <c r="BH55" i="13"/>
  <c r="BI55" i="13"/>
  <c r="BJ55" i="13"/>
  <c r="BK55" i="13"/>
  <c r="BL55" i="13"/>
  <c r="BM55" i="13"/>
  <c r="B56" i="13"/>
  <c r="C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W56" i="13"/>
  <c r="X56" i="13"/>
  <c r="Y56" i="13"/>
  <c r="Z56" i="13"/>
  <c r="AA56" i="13"/>
  <c r="AB56" i="13"/>
  <c r="AC56" i="13"/>
  <c r="AD56" i="13"/>
  <c r="AE56" i="13"/>
  <c r="AF56" i="13"/>
  <c r="AG56" i="13"/>
  <c r="AM56" i="13"/>
  <c r="AN56" i="13"/>
  <c r="AO56" i="13"/>
  <c r="AP56" i="13"/>
  <c r="AQ56" i="13"/>
  <c r="AR56" i="13"/>
  <c r="AS56" i="13"/>
  <c r="AT56" i="13"/>
  <c r="AU56" i="13"/>
  <c r="AV56" i="13"/>
  <c r="AW56" i="13"/>
  <c r="BC56" i="13"/>
  <c r="BD56" i="13"/>
  <c r="BE56" i="13"/>
  <c r="BF56" i="13"/>
  <c r="BG56" i="13"/>
  <c r="BH56" i="13"/>
  <c r="BI56" i="13"/>
  <c r="BJ56" i="13"/>
  <c r="BK56" i="13"/>
  <c r="BL56" i="13"/>
  <c r="BM56" i="13"/>
  <c r="B57" i="13"/>
  <c r="C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W57" i="13"/>
  <c r="X57" i="13"/>
  <c r="Y57" i="13"/>
  <c r="Z57" i="13"/>
  <c r="AA57" i="13"/>
  <c r="AB57" i="13"/>
  <c r="AC57" i="13"/>
  <c r="AD57" i="13"/>
  <c r="AE57" i="13"/>
  <c r="AF57" i="13"/>
  <c r="AG57" i="13"/>
  <c r="AM57" i="13"/>
  <c r="AN57" i="13"/>
  <c r="AO57" i="13"/>
  <c r="AP57" i="13"/>
  <c r="AQ57" i="13"/>
  <c r="AR57" i="13"/>
  <c r="AS57" i="13"/>
  <c r="AT57" i="13"/>
  <c r="AU57" i="13"/>
  <c r="AV57" i="13"/>
  <c r="AW57" i="13"/>
  <c r="BC57" i="13"/>
  <c r="BD57" i="13"/>
  <c r="BE57" i="13"/>
  <c r="BF57" i="13"/>
  <c r="BG57" i="13"/>
  <c r="BH57" i="13"/>
  <c r="BI57" i="13"/>
  <c r="BJ57" i="13"/>
  <c r="BK57" i="13"/>
  <c r="BL57" i="13"/>
  <c r="BM57" i="13"/>
  <c r="B58" i="13"/>
  <c r="C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W58" i="13"/>
  <c r="X58" i="13"/>
  <c r="Y58" i="13"/>
  <c r="Z58" i="13"/>
  <c r="AA58" i="13"/>
  <c r="AB58" i="13"/>
  <c r="AC58" i="13"/>
  <c r="AD58" i="13"/>
  <c r="AE58" i="13"/>
  <c r="AF58" i="13"/>
  <c r="AG58" i="13"/>
  <c r="AM58" i="13"/>
  <c r="AN58" i="13"/>
  <c r="AO58" i="13"/>
  <c r="AP58" i="13"/>
  <c r="AQ58" i="13"/>
  <c r="AR58" i="13"/>
  <c r="AS58" i="13"/>
  <c r="AT58" i="13"/>
  <c r="AU58" i="13"/>
  <c r="AV58" i="13"/>
  <c r="AW58" i="13"/>
  <c r="BC58" i="13"/>
  <c r="BD58" i="13"/>
  <c r="BE58" i="13"/>
  <c r="BF58" i="13"/>
  <c r="BG58" i="13"/>
  <c r="BH58" i="13"/>
  <c r="BI58" i="13"/>
  <c r="BJ58" i="13"/>
  <c r="BK58" i="13"/>
  <c r="BL58" i="13"/>
  <c r="BM58" i="13"/>
  <c r="B59" i="13"/>
  <c r="C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W59" i="13"/>
  <c r="X59" i="13"/>
  <c r="Y59" i="13"/>
  <c r="Z59" i="13"/>
  <c r="AA59" i="13"/>
  <c r="AB59" i="13"/>
  <c r="AC59" i="13"/>
  <c r="AD59" i="13"/>
  <c r="AE59" i="13"/>
  <c r="AF59" i="13"/>
  <c r="AG59" i="13"/>
  <c r="AM59" i="13"/>
  <c r="AN59" i="13"/>
  <c r="AO59" i="13"/>
  <c r="AP59" i="13"/>
  <c r="AQ59" i="13"/>
  <c r="AR59" i="13"/>
  <c r="AS59" i="13"/>
  <c r="AT59" i="13"/>
  <c r="AU59" i="13"/>
  <c r="AV59" i="13"/>
  <c r="AW59" i="13"/>
  <c r="BC59" i="13"/>
  <c r="BD59" i="13"/>
  <c r="BE59" i="13"/>
  <c r="BF59" i="13"/>
  <c r="BG59" i="13"/>
  <c r="BH59" i="13"/>
  <c r="BI59" i="13"/>
  <c r="BJ59" i="13"/>
  <c r="BK59" i="13"/>
  <c r="BL59" i="13"/>
  <c r="BM59" i="13"/>
  <c r="B60" i="13"/>
  <c r="C60" i="13"/>
  <c r="D60" i="13"/>
  <c r="H60" i="13"/>
  <c r="I60" i="13"/>
  <c r="J60" i="13"/>
  <c r="K60" i="13"/>
  <c r="L60" i="13"/>
  <c r="M60" i="13"/>
  <c r="N60" i="13"/>
  <c r="O60" i="13"/>
  <c r="P60" i="13"/>
  <c r="Q60" i="13"/>
  <c r="R60" i="13"/>
  <c r="X60" i="13"/>
  <c r="Y60" i="13"/>
  <c r="Z60" i="13"/>
  <c r="AA60" i="13"/>
  <c r="AB60" i="13"/>
  <c r="AC60" i="13"/>
  <c r="AD60" i="13"/>
  <c r="AE60" i="13"/>
  <c r="AF60" i="13"/>
  <c r="AG60" i="13"/>
  <c r="AH60" i="13"/>
  <c r="AN60" i="13"/>
  <c r="AO60" i="13"/>
  <c r="AP60" i="13"/>
  <c r="AQ60" i="13"/>
  <c r="AR60" i="13"/>
  <c r="AS60" i="13"/>
  <c r="AT60" i="13"/>
  <c r="AU60" i="13"/>
  <c r="AV60" i="13"/>
  <c r="AW60" i="13"/>
  <c r="BD60" i="13"/>
  <c r="BE60" i="13"/>
  <c r="BF60" i="13"/>
  <c r="BG60" i="13"/>
  <c r="BH60" i="13"/>
  <c r="BI60" i="13"/>
  <c r="BJ60" i="13"/>
  <c r="BK60" i="13"/>
  <c r="BL60" i="13"/>
  <c r="BM60" i="13"/>
  <c r="B61" i="13"/>
  <c r="C61" i="13"/>
  <c r="D61" i="13"/>
  <c r="H61" i="13"/>
  <c r="I61" i="13"/>
  <c r="J61" i="13"/>
  <c r="K61" i="13"/>
  <c r="L61" i="13"/>
  <c r="M61" i="13"/>
  <c r="N61" i="13"/>
  <c r="O61" i="13"/>
  <c r="P61" i="13"/>
  <c r="Q61" i="13"/>
  <c r="R61" i="13"/>
  <c r="X61" i="13"/>
  <c r="Y61" i="13"/>
  <c r="Z61" i="13"/>
  <c r="AA61" i="13"/>
  <c r="AB61" i="13"/>
  <c r="AC61" i="13"/>
  <c r="AD61" i="13"/>
  <c r="AE61" i="13"/>
  <c r="AF61" i="13"/>
  <c r="AG61" i="13"/>
  <c r="AH61" i="13"/>
  <c r="AN61" i="13"/>
  <c r="AO61" i="13"/>
  <c r="AP61" i="13"/>
  <c r="AQ61" i="13"/>
  <c r="AR61" i="13"/>
  <c r="AS61" i="13"/>
  <c r="AT61" i="13"/>
  <c r="AU61" i="13"/>
  <c r="AV61" i="13"/>
  <c r="AW61" i="13"/>
  <c r="BD61" i="13"/>
  <c r="BE61" i="13"/>
  <c r="BF61" i="13"/>
  <c r="BG61" i="13"/>
  <c r="BH61" i="13"/>
  <c r="BI61" i="13"/>
  <c r="BJ61" i="13"/>
  <c r="BK61" i="13"/>
  <c r="BL61" i="13"/>
  <c r="BM61" i="13"/>
  <c r="B62" i="13"/>
  <c r="C62" i="13"/>
  <c r="D62" i="13"/>
  <c r="H62" i="13"/>
  <c r="I62" i="13"/>
  <c r="J62" i="13"/>
  <c r="K62" i="13"/>
  <c r="L62" i="13"/>
  <c r="M62" i="13"/>
  <c r="N62" i="13"/>
  <c r="O62" i="13"/>
  <c r="P62" i="13"/>
  <c r="Q62" i="13"/>
  <c r="R62" i="13"/>
  <c r="X62" i="13"/>
  <c r="Y62" i="13"/>
  <c r="Z62" i="13"/>
  <c r="AA62" i="13"/>
  <c r="AB62" i="13"/>
  <c r="AC62" i="13"/>
  <c r="AD62" i="13"/>
  <c r="AE62" i="13"/>
  <c r="AF62" i="13"/>
  <c r="AG62" i="13"/>
  <c r="AH62" i="13"/>
  <c r="AN62" i="13"/>
  <c r="AO62" i="13"/>
  <c r="AP62" i="13"/>
  <c r="AQ62" i="13"/>
  <c r="AR62" i="13"/>
  <c r="AS62" i="13"/>
  <c r="AT62" i="13"/>
  <c r="AU62" i="13"/>
  <c r="AV62" i="13"/>
  <c r="AW62" i="13"/>
  <c r="BD62" i="13"/>
  <c r="BE62" i="13"/>
  <c r="BF62" i="13"/>
  <c r="BG62" i="13"/>
  <c r="BH62" i="13"/>
  <c r="BI62" i="13"/>
  <c r="BJ62" i="13"/>
  <c r="BK62" i="13"/>
  <c r="BL62" i="13"/>
  <c r="BM62" i="13"/>
  <c r="B63" i="13"/>
  <c r="C63" i="13"/>
  <c r="D63" i="13"/>
  <c r="H63" i="13"/>
  <c r="I63" i="13"/>
  <c r="J63" i="13"/>
  <c r="K63" i="13"/>
  <c r="L63" i="13"/>
  <c r="M63" i="13"/>
  <c r="N63" i="13"/>
  <c r="O63" i="13"/>
  <c r="P63" i="13"/>
  <c r="Q63" i="13"/>
  <c r="R63" i="13"/>
  <c r="X63" i="13"/>
  <c r="Y63" i="13"/>
  <c r="Z63" i="13"/>
  <c r="AA63" i="13"/>
  <c r="AB63" i="13"/>
  <c r="AC63" i="13"/>
  <c r="AD63" i="13"/>
  <c r="AE63" i="13"/>
  <c r="AF63" i="13"/>
  <c r="AG63" i="13"/>
  <c r="AH63" i="13"/>
  <c r="AN63" i="13"/>
  <c r="AO63" i="13"/>
  <c r="AP63" i="13"/>
  <c r="AQ63" i="13"/>
  <c r="AR63" i="13"/>
  <c r="AS63" i="13"/>
  <c r="AT63" i="13"/>
  <c r="AU63" i="13"/>
  <c r="AV63" i="13"/>
  <c r="AW63" i="13"/>
  <c r="BD63" i="13"/>
  <c r="BE63" i="13"/>
  <c r="BF63" i="13"/>
  <c r="BG63" i="13"/>
  <c r="BH63" i="13"/>
  <c r="BI63" i="13"/>
  <c r="BJ63" i="13"/>
  <c r="BK63" i="13"/>
  <c r="BL63" i="13"/>
  <c r="BM63" i="13"/>
  <c r="B64" i="13"/>
  <c r="C64" i="13"/>
  <c r="D64" i="13"/>
  <c r="H64" i="13"/>
  <c r="I64" i="13"/>
  <c r="J64" i="13"/>
  <c r="K64" i="13"/>
  <c r="L64" i="13"/>
  <c r="M64" i="13"/>
  <c r="N64" i="13"/>
  <c r="O64" i="13"/>
  <c r="P64" i="13"/>
  <c r="Q64" i="13"/>
  <c r="R64" i="13"/>
  <c r="X64" i="13"/>
  <c r="Y64" i="13"/>
  <c r="Z64" i="13"/>
  <c r="AA64" i="13"/>
  <c r="AB64" i="13"/>
  <c r="AC64" i="13"/>
  <c r="AD64" i="13"/>
  <c r="AE64" i="13"/>
  <c r="AF64" i="13"/>
  <c r="AG64" i="13"/>
  <c r="AH64" i="13"/>
  <c r="AN64" i="13"/>
  <c r="AO64" i="13"/>
  <c r="AP64" i="13"/>
  <c r="AQ64" i="13"/>
  <c r="AR64" i="13"/>
  <c r="AS64" i="13"/>
  <c r="AT64" i="13"/>
  <c r="AU64" i="13"/>
  <c r="AV64" i="13"/>
  <c r="AW64" i="13"/>
  <c r="BD64" i="13"/>
  <c r="BE64" i="13"/>
  <c r="BF64" i="13"/>
  <c r="BG64" i="13"/>
  <c r="BH64" i="13"/>
  <c r="BI64" i="13"/>
  <c r="BJ64" i="13"/>
  <c r="BK64" i="13"/>
  <c r="BL64" i="13"/>
  <c r="BM64" i="13"/>
  <c r="B65" i="13"/>
  <c r="C65" i="13"/>
  <c r="D65" i="13"/>
  <c r="H65" i="13"/>
  <c r="I65" i="13"/>
  <c r="J65" i="13"/>
  <c r="K65" i="13"/>
  <c r="L65" i="13"/>
  <c r="M65" i="13"/>
  <c r="N65" i="13"/>
  <c r="O65" i="13"/>
  <c r="P65" i="13"/>
  <c r="Q65" i="13"/>
  <c r="R65" i="13"/>
  <c r="X65" i="13"/>
  <c r="Y65" i="13"/>
  <c r="Z65" i="13"/>
  <c r="AA65" i="13"/>
  <c r="AB65" i="13"/>
  <c r="AC65" i="13"/>
  <c r="AD65" i="13"/>
  <c r="AE65" i="13"/>
  <c r="AF65" i="13"/>
  <c r="AG65" i="13"/>
  <c r="AH65" i="13"/>
  <c r="AN65" i="13"/>
  <c r="AO65" i="13"/>
  <c r="AP65" i="13"/>
  <c r="AQ65" i="13"/>
  <c r="AR65" i="13"/>
  <c r="AS65" i="13"/>
  <c r="AT65" i="13"/>
  <c r="AU65" i="13"/>
  <c r="AV65" i="13"/>
  <c r="AW65" i="13"/>
  <c r="BD65" i="13"/>
  <c r="BE65" i="13"/>
  <c r="BF65" i="13"/>
  <c r="BG65" i="13"/>
  <c r="BH65" i="13"/>
  <c r="BI65" i="13"/>
  <c r="BJ65" i="13"/>
  <c r="BK65" i="13"/>
  <c r="BL65" i="13"/>
  <c r="BM65" i="13"/>
  <c r="B66" i="13"/>
  <c r="C66" i="13"/>
  <c r="D66" i="13"/>
  <c r="H66" i="13"/>
  <c r="I66" i="13"/>
  <c r="J66" i="13"/>
  <c r="K66" i="13"/>
  <c r="L66" i="13"/>
  <c r="M66" i="13"/>
  <c r="N66" i="13"/>
  <c r="O66" i="13"/>
  <c r="P66" i="13"/>
  <c r="Q66" i="13"/>
  <c r="R66" i="13"/>
  <c r="X66" i="13"/>
  <c r="Y66" i="13"/>
  <c r="Z66" i="13"/>
  <c r="AA66" i="13"/>
  <c r="AB66" i="13"/>
  <c r="AC66" i="13"/>
  <c r="AD66" i="13"/>
  <c r="AE66" i="13"/>
  <c r="AF66" i="13"/>
  <c r="AG66" i="13"/>
  <c r="AH66" i="13"/>
  <c r="AN66" i="13"/>
  <c r="AO66" i="13"/>
  <c r="AP66" i="13"/>
  <c r="AQ66" i="13"/>
  <c r="AR66" i="13"/>
  <c r="AS66" i="13"/>
  <c r="AT66" i="13"/>
  <c r="AU66" i="13"/>
  <c r="AV66" i="13"/>
  <c r="AW66" i="13"/>
  <c r="BD66" i="13"/>
  <c r="BE66" i="13"/>
  <c r="BF66" i="13"/>
  <c r="BG66" i="13"/>
  <c r="BH66" i="13"/>
  <c r="BI66" i="13"/>
  <c r="BJ66" i="13"/>
  <c r="BK66" i="13"/>
  <c r="BL66" i="13"/>
  <c r="BM66" i="13"/>
  <c r="B67" i="13"/>
  <c r="C67" i="13"/>
  <c r="D67" i="13"/>
  <c r="H67" i="13"/>
  <c r="I67" i="13"/>
  <c r="J67" i="13"/>
  <c r="K67" i="13"/>
  <c r="L67" i="13"/>
  <c r="M67" i="13"/>
  <c r="N67" i="13"/>
  <c r="O67" i="13"/>
  <c r="P67" i="13"/>
  <c r="Q67" i="13"/>
  <c r="R67" i="13"/>
  <c r="X67" i="13"/>
  <c r="Y67" i="13"/>
  <c r="Z67" i="13"/>
  <c r="AA67" i="13"/>
  <c r="AB67" i="13"/>
  <c r="AC67" i="13"/>
  <c r="AD67" i="13"/>
  <c r="AE67" i="13"/>
  <c r="AF67" i="13"/>
  <c r="AG67" i="13"/>
  <c r="AH67" i="13"/>
  <c r="AN67" i="13"/>
  <c r="AO67" i="13"/>
  <c r="AP67" i="13"/>
  <c r="AQ67" i="13"/>
  <c r="AR67" i="13"/>
  <c r="AS67" i="13"/>
  <c r="AT67" i="13"/>
  <c r="AU67" i="13"/>
  <c r="AV67" i="13"/>
  <c r="AW67" i="13"/>
  <c r="BD67" i="13"/>
  <c r="BE67" i="13"/>
  <c r="BF67" i="13"/>
  <c r="BG67" i="13"/>
  <c r="BH67" i="13"/>
  <c r="BI67" i="13"/>
  <c r="BJ67" i="13"/>
  <c r="BK67" i="13"/>
  <c r="BL67" i="13"/>
  <c r="BM67" i="13"/>
  <c r="B68" i="13"/>
  <c r="C68" i="13"/>
  <c r="D68" i="13"/>
  <c r="H68" i="13"/>
  <c r="I68" i="13"/>
  <c r="J68" i="13"/>
  <c r="K68" i="13"/>
  <c r="L68" i="13"/>
  <c r="M68" i="13"/>
  <c r="N68" i="13"/>
  <c r="O68" i="13"/>
  <c r="P68" i="13"/>
  <c r="Q68" i="13"/>
  <c r="R68" i="13"/>
  <c r="X68" i="13"/>
  <c r="Y68" i="13"/>
  <c r="Z68" i="13"/>
  <c r="AA68" i="13"/>
  <c r="AB68" i="13"/>
  <c r="AC68" i="13"/>
  <c r="AD68" i="13"/>
  <c r="AE68" i="13"/>
  <c r="AF68" i="13"/>
  <c r="AG68" i="13"/>
  <c r="AH68" i="13"/>
  <c r="AN68" i="13"/>
  <c r="AO68" i="13"/>
  <c r="AP68" i="13"/>
  <c r="AQ68" i="13"/>
  <c r="AR68" i="13"/>
  <c r="AS68" i="13"/>
  <c r="AT68" i="13"/>
  <c r="AU68" i="13"/>
  <c r="AV68" i="13"/>
  <c r="AW68" i="13"/>
  <c r="BD68" i="13"/>
  <c r="BE68" i="13"/>
  <c r="BF68" i="13"/>
  <c r="BG68" i="13"/>
  <c r="BH68" i="13"/>
  <c r="BI68" i="13"/>
  <c r="BJ68" i="13"/>
  <c r="BK68" i="13"/>
  <c r="BL68" i="13"/>
  <c r="BM68" i="13"/>
  <c r="B69" i="13"/>
  <c r="C69" i="13"/>
  <c r="D69" i="13"/>
  <c r="H69" i="13"/>
  <c r="I69" i="13"/>
  <c r="J69" i="13"/>
  <c r="K69" i="13"/>
  <c r="L69" i="13"/>
  <c r="M69" i="13"/>
  <c r="N69" i="13"/>
  <c r="O69" i="13"/>
  <c r="P69" i="13"/>
  <c r="Q69" i="13"/>
  <c r="R69" i="13"/>
  <c r="X69" i="13"/>
  <c r="Y69" i="13"/>
  <c r="Z69" i="13"/>
  <c r="AA69" i="13"/>
  <c r="AB69" i="13"/>
  <c r="AC69" i="13"/>
  <c r="AD69" i="13"/>
  <c r="AE69" i="13"/>
  <c r="AF69" i="13"/>
  <c r="AG69" i="13"/>
  <c r="AH69" i="13"/>
  <c r="AN69" i="13"/>
  <c r="AO69" i="13"/>
  <c r="AP69" i="13"/>
  <c r="AQ69" i="13"/>
  <c r="AR69" i="13"/>
  <c r="AS69" i="13"/>
  <c r="AT69" i="13"/>
  <c r="AU69" i="13"/>
  <c r="AV69" i="13"/>
  <c r="AW69" i="13"/>
  <c r="BD69" i="13"/>
  <c r="BE69" i="13"/>
  <c r="BF69" i="13"/>
  <c r="BG69" i="13"/>
  <c r="BH69" i="13"/>
  <c r="BI69" i="13"/>
  <c r="BJ69" i="13"/>
  <c r="BK69" i="13"/>
  <c r="BL69" i="13"/>
  <c r="BM69" i="13"/>
  <c r="B70" i="13"/>
  <c r="C70" i="13"/>
  <c r="D70" i="13"/>
  <c r="H70" i="13"/>
  <c r="I70" i="13"/>
  <c r="J70" i="13"/>
  <c r="K70" i="13"/>
  <c r="L70" i="13"/>
  <c r="M70" i="13"/>
  <c r="N70" i="13"/>
  <c r="O70" i="13"/>
  <c r="P70" i="13"/>
  <c r="Q70" i="13"/>
  <c r="R70" i="13"/>
  <c r="X70" i="13"/>
  <c r="Y70" i="13"/>
  <c r="Z70" i="13"/>
  <c r="AA70" i="13"/>
  <c r="AB70" i="13"/>
  <c r="AC70" i="13"/>
  <c r="AD70" i="13"/>
  <c r="AE70" i="13"/>
  <c r="AF70" i="13"/>
  <c r="AG70" i="13"/>
  <c r="AH70" i="13"/>
  <c r="AN70" i="13"/>
  <c r="AO70" i="13"/>
  <c r="AP70" i="13"/>
  <c r="AQ70" i="13"/>
  <c r="AR70" i="13"/>
  <c r="AS70" i="13"/>
  <c r="AT70" i="13"/>
  <c r="AU70" i="13"/>
  <c r="AV70" i="13"/>
  <c r="AW70" i="13"/>
  <c r="BD70" i="13"/>
  <c r="BE70" i="13"/>
  <c r="BF70" i="13"/>
  <c r="BG70" i="13"/>
  <c r="BH70" i="13"/>
  <c r="BI70" i="13"/>
  <c r="BJ70" i="13"/>
  <c r="BK70" i="13"/>
  <c r="BL70" i="13"/>
  <c r="BM70" i="13"/>
  <c r="B71" i="13"/>
  <c r="C71" i="13"/>
  <c r="D71" i="13"/>
  <c r="I71" i="13"/>
  <c r="J71" i="13"/>
  <c r="K71" i="13"/>
  <c r="L71" i="13"/>
  <c r="M71" i="13"/>
  <c r="N71" i="13"/>
  <c r="O71" i="13"/>
  <c r="P71" i="13"/>
  <c r="Q71" i="13"/>
  <c r="R71" i="13"/>
  <c r="Y71" i="13"/>
  <c r="Z71" i="13"/>
  <c r="AA71" i="13"/>
  <c r="AB71" i="13"/>
  <c r="AC71" i="13"/>
  <c r="AD71" i="13"/>
  <c r="AE71" i="13"/>
  <c r="AF71" i="13"/>
  <c r="AG71" i="13"/>
  <c r="AH71" i="13"/>
  <c r="AO71" i="13"/>
  <c r="AP71" i="13"/>
  <c r="AQ71" i="13"/>
  <c r="AR71" i="13"/>
  <c r="AS71" i="13"/>
  <c r="AT71" i="13"/>
  <c r="AU71" i="13"/>
  <c r="AV71" i="13"/>
  <c r="AW71" i="13"/>
  <c r="BE71" i="13"/>
  <c r="BF71" i="13"/>
  <c r="BG71" i="13"/>
  <c r="BH71" i="13"/>
  <c r="BI71" i="13"/>
  <c r="BJ71" i="13"/>
  <c r="BK71" i="13"/>
  <c r="BL71" i="13"/>
  <c r="BM71" i="13"/>
  <c r="B72" i="13"/>
  <c r="C72" i="13"/>
  <c r="D72" i="13"/>
  <c r="I72" i="13"/>
  <c r="J72" i="13"/>
  <c r="K72" i="13"/>
  <c r="L72" i="13"/>
  <c r="M72" i="13"/>
  <c r="N72" i="13"/>
  <c r="O72" i="13"/>
  <c r="P72" i="13"/>
  <c r="Q72" i="13"/>
  <c r="R72" i="13"/>
  <c r="Y72" i="13"/>
  <c r="Z72" i="13"/>
  <c r="AA72" i="13"/>
  <c r="AB72" i="13"/>
  <c r="AC72" i="13"/>
  <c r="AD72" i="13"/>
  <c r="AE72" i="13"/>
  <c r="AF72" i="13"/>
  <c r="AG72" i="13"/>
  <c r="AH72" i="13"/>
  <c r="AO72" i="13"/>
  <c r="AP72" i="13"/>
  <c r="AQ72" i="13"/>
  <c r="AR72" i="13"/>
  <c r="AS72" i="13"/>
  <c r="AT72" i="13"/>
  <c r="AU72" i="13"/>
  <c r="AV72" i="13"/>
  <c r="AW72" i="13"/>
  <c r="BE72" i="13"/>
  <c r="BF72" i="13"/>
  <c r="BG72" i="13"/>
  <c r="BH72" i="13"/>
  <c r="BI72" i="13"/>
  <c r="BJ72" i="13"/>
  <c r="BK72" i="13"/>
  <c r="BL72" i="13"/>
  <c r="BM72" i="13"/>
  <c r="B73" i="13"/>
  <c r="C73" i="13"/>
  <c r="D73" i="13"/>
  <c r="I73" i="13"/>
  <c r="J73" i="13"/>
  <c r="K73" i="13"/>
  <c r="L73" i="13"/>
  <c r="M73" i="13"/>
  <c r="N73" i="13"/>
  <c r="O73" i="13"/>
  <c r="P73" i="13"/>
  <c r="Q73" i="13"/>
  <c r="R73" i="13"/>
  <c r="Y73" i="13"/>
  <c r="Z73" i="13"/>
  <c r="AA73" i="13"/>
  <c r="AB73" i="13"/>
  <c r="AC73" i="13"/>
  <c r="AD73" i="13"/>
  <c r="AE73" i="13"/>
  <c r="AF73" i="13"/>
  <c r="AG73" i="13"/>
  <c r="AH73" i="13"/>
  <c r="AO73" i="13"/>
  <c r="AP73" i="13"/>
  <c r="AQ73" i="13"/>
  <c r="AR73" i="13"/>
  <c r="AS73" i="13"/>
  <c r="AT73" i="13"/>
  <c r="AU73" i="13"/>
  <c r="AV73" i="13"/>
  <c r="AW73" i="13"/>
  <c r="BE73" i="13"/>
  <c r="BF73" i="13"/>
  <c r="BG73" i="13"/>
  <c r="BH73" i="13"/>
  <c r="BI73" i="13"/>
  <c r="BJ73" i="13"/>
  <c r="BK73" i="13"/>
  <c r="BL73" i="13"/>
  <c r="BM73" i="13"/>
  <c r="B74" i="13"/>
  <c r="C74" i="13"/>
  <c r="D74" i="13"/>
  <c r="I74" i="13"/>
  <c r="J74" i="13"/>
  <c r="K74" i="13"/>
  <c r="L74" i="13"/>
  <c r="M74" i="13"/>
  <c r="N74" i="13"/>
  <c r="O74" i="13"/>
  <c r="P74" i="13"/>
  <c r="Q74" i="13"/>
  <c r="R74" i="13"/>
  <c r="Y74" i="13"/>
  <c r="Z74" i="13"/>
  <c r="AA74" i="13"/>
  <c r="AB74" i="13"/>
  <c r="AC74" i="13"/>
  <c r="AD74" i="13"/>
  <c r="AE74" i="13"/>
  <c r="AF74" i="13"/>
  <c r="AG74" i="13"/>
  <c r="AH74" i="13"/>
  <c r="AO74" i="13"/>
  <c r="AP74" i="13"/>
  <c r="AQ74" i="13"/>
  <c r="AR74" i="13"/>
  <c r="AS74" i="13"/>
  <c r="AT74" i="13"/>
  <c r="AU74" i="13"/>
  <c r="AV74" i="13"/>
  <c r="AW74" i="13"/>
  <c r="BE74" i="13"/>
  <c r="BF74" i="13"/>
  <c r="BG74" i="13"/>
  <c r="BH74" i="13"/>
  <c r="BI74" i="13"/>
  <c r="BJ74" i="13"/>
  <c r="BK74" i="13"/>
  <c r="BL74" i="13"/>
  <c r="BM74" i="13"/>
  <c r="B75" i="13"/>
  <c r="C75" i="13"/>
  <c r="D75" i="13"/>
  <c r="I75" i="13"/>
  <c r="J75" i="13"/>
  <c r="K75" i="13"/>
  <c r="L75" i="13"/>
  <c r="M75" i="13"/>
  <c r="N75" i="13"/>
  <c r="O75" i="13"/>
  <c r="P75" i="13"/>
  <c r="Q75" i="13"/>
  <c r="R75" i="13"/>
  <c r="Y75" i="13"/>
  <c r="Z75" i="13"/>
  <c r="AA75" i="13"/>
  <c r="AB75" i="13"/>
  <c r="AC75" i="13"/>
  <c r="AD75" i="13"/>
  <c r="AE75" i="13"/>
  <c r="AF75" i="13"/>
  <c r="AG75" i="13"/>
  <c r="AH75" i="13"/>
  <c r="AO75" i="13"/>
  <c r="AP75" i="13"/>
  <c r="AQ75" i="13"/>
  <c r="AR75" i="13"/>
  <c r="AS75" i="13"/>
  <c r="AT75" i="13"/>
  <c r="AU75" i="13"/>
  <c r="AV75" i="13"/>
  <c r="AW75" i="13"/>
  <c r="BE75" i="13"/>
  <c r="BF75" i="13"/>
  <c r="BG75" i="13"/>
  <c r="BH75" i="13"/>
  <c r="BI75" i="13"/>
  <c r="BJ75" i="13"/>
  <c r="BK75" i="13"/>
  <c r="BL75" i="13"/>
  <c r="BM75" i="13"/>
  <c r="B76" i="13"/>
  <c r="C76" i="13"/>
  <c r="D76" i="13"/>
  <c r="I76" i="13"/>
  <c r="J76" i="13"/>
  <c r="K76" i="13"/>
  <c r="L76" i="13"/>
  <c r="M76" i="13"/>
  <c r="N76" i="13"/>
  <c r="O76" i="13"/>
  <c r="P76" i="13"/>
  <c r="Q76" i="13"/>
  <c r="R76" i="13"/>
  <c r="Y76" i="13"/>
  <c r="Z76" i="13"/>
  <c r="AA76" i="13"/>
  <c r="AB76" i="13"/>
  <c r="AC76" i="13"/>
  <c r="AD76" i="13"/>
  <c r="AE76" i="13"/>
  <c r="AF76" i="13"/>
  <c r="AG76" i="13"/>
  <c r="AH76" i="13"/>
  <c r="AO76" i="13"/>
  <c r="AP76" i="13"/>
  <c r="AQ76" i="13"/>
  <c r="AR76" i="13"/>
  <c r="AS76" i="13"/>
  <c r="AT76" i="13"/>
  <c r="AU76" i="13"/>
  <c r="AV76" i="13"/>
  <c r="AW76" i="13"/>
  <c r="BE76" i="13"/>
  <c r="BF76" i="13"/>
  <c r="BG76" i="13"/>
  <c r="BH76" i="13"/>
  <c r="BI76" i="13"/>
  <c r="BJ76" i="13"/>
  <c r="BK76" i="13"/>
  <c r="BL76" i="13"/>
  <c r="BM76" i="13"/>
  <c r="B77" i="13"/>
  <c r="C77" i="13"/>
  <c r="D77" i="13"/>
  <c r="I77" i="13"/>
  <c r="J77" i="13"/>
  <c r="K77" i="13"/>
  <c r="L77" i="13"/>
  <c r="M77" i="13"/>
  <c r="N77" i="13"/>
  <c r="O77" i="13"/>
  <c r="P77" i="13"/>
  <c r="Q77" i="13"/>
  <c r="R77" i="13"/>
  <c r="Y77" i="13"/>
  <c r="Z77" i="13"/>
  <c r="AA77" i="13"/>
  <c r="AB77" i="13"/>
  <c r="AC77" i="13"/>
  <c r="AD77" i="13"/>
  <c r="AE77" i="13"/>
  <c r="AF77" i="13"/>
  <c r="AG77" i="13"/>
  <c r="AH77" i="13"/>
  <c r="AO77" i="13"/>
  <c r="AP77" i="13"/>
  <c r="AQ77" i="13"/>
  <c r="AR77" i="13"/>
  <c r="AS77" i="13"/>
  <c r="AT77" i="13"/>
  <c r="AU77" i="13"/>
  <c r="AV77" i="13"/>
  <c r="AW77" i="13"/>
  <c r="BE77" i="13"/>
  <c r="BF77" i="13"/>
  <c r="BG77" i="13"/>
  <c r="BH77" i="13"/>
  <c r="BI77" i="13"/>
  <c r="BJ77" i="13"/>
  <c r="BK77" i="13"/>
  <c r="BL77" i="13"/>
  <c r="BM77" i="13"/>
  <c r="B78" i="13"/>
  <c r="C78" i="13"/>
  <c r="D78" i="13"/>
  <c r="I78" i="13"/>
  <c r="J78" i="13"/>
  <c r="K78" i="13"/>
  <c r="L78" i="13"/>
  <c r="M78" i="13"/>
  <c r="N78" i="13"/>
  <c r="O78" i="13"/>
  <c r="P78" i="13"/>
  <c r="Q78" i="13"/>
  <c r="R78" i="13"/>
  <c r="Y78" i="13"/>
  <c r="Z78" i="13"/>
  <c r="AA78" i="13"/>
  <c r="AB78" i="13"/>
  <c r="AC78" i="13"/>
  <c r="AD78" i="13"/>
  <c r="AE78" i="13"/>
  <c r="AF78" i="13"/>
  <c r="AG78" i="13"/>
  <c r="AH78" i="13"/>
  <c r="AO78" i="13"/>
  <c r="AP78" i="13"/>
  <c r="AQ78" i="13"/>
  <c r="AR78" i="13"/>
  <c r="AS78" i="13"/>
  <c r="AT78" i="13"/>
  <c r="AU78" i="13"/>
  <c r="AV78" i="13"/>
  <c r="AW78" i="13"/>
  <c r="BE78" i="13"/>
  <c r="BF78" i="13"/>
  <c r="BG78" i="13"/>
  <c r="BH78" i="13"/>
  <c r="BI78" i="13"/>
  <c r="BJ78" i="13"/>
  <c r="BK78" i="13"/>
  <c r="BL78" i="13"/>
  <c r="BM78" i="13"/>
  <c r="B79" i="13"/>
  <c r="C79" i="13"/>
  <c r="D79" i="13"/>
  <c r="I79" i="13"/>
  <c r="J79" i="13"/>
  <c r="K79" i="13"/>
  <c r="L79" i="13"/>
  <c r="M79" i="13"/>
  <c r="N79" i="13"/>
  <c r="O79" i="13"/>
  <c r="P79" i="13"/>
  <c r="Q79" i="13"/>
  <c r="R79" i="13"/>
  <c r="Y79" i="13"/>
  <c r="Z79" i="13"/>
  <c r="AA79" i="13"/>
  <c r="AB79" i="13"/>
  <c r="AC79" i="13"/>
  <c r="AD79" i="13"/>
  <c r="AE79" i="13"/>
  <c r="AF79" i="13"/>
  <c r="AG79" i="13"/>
  <c r="AH79" i="13"/>
  <c r="AO79" i="13"/>
  <c r="AP79" i="13"/>
  <c r="AQ79" i="13"/>
  <c r="AR79" i="13"/>
  <c r="AS79" i="13"/>
  <c r="AT79" i="13"/>
  <c r="AU79" i="13"/>
  <c r="AV79" i="13"/>
  <c r="AW79" i="13"/>
  <c r="BE79" i="13"/>
  <c r="BF79" i="13"/>
  <c r="BG79" i="13"/>
  <c r="BH79" i="13"/>
  <c r="BI79" i="13"/>
  <c r="BJ79" i="13"/>
  <c r="BK79" i="13"/>
  <c r="BL79" i="13"/>
  <c r="BM79" i="13"/>
  <c r="B80" i="13"/>
  <c r="C80" i="13"/>
  <c r="D80" i="13"/>
  <c r="I80" i="13"/>
  <c r="J80" i="13"/>
  <c r="K80" i="13"/>
  <c r="L80" i="13"/>
  <c r="M80" i="13"/>
  <c r="N80" i="13"/>
  <c r="O80" i="13"/>
  <c r="P80" i="13"/>
  <c r="Q80" i="13"/>
  <c r="R80" i="13"/>
  <c r="Y80" i="13"/>
  <c r="Z80" i="13"/>
  <c r="AA80" i="13"/>
  <c r="AB80" i="13"/>
  <c r="AC80" i="13"/>
  <c r="AD80" i="13"/>
  <c r="AE80" i="13"/>
  <c r="AF80" i="13"/>
  <c r="AG80" i="13"/>
  <c r="AH80" i="13"/>
  <c r="AO80" i="13"/>
  <c r="AP80" i="13"/>
  <c r="AQ80" i="13"/>
  <c r="AR80" i="13"/>
  <c r="AS80" i="13"/>
  <c r="AT80" i="13"/>
  <c r="AU80" i="13"/>
  <c r="AV80" i="13"/>
  <c r="AW80" i="13"/>
  <c r="BE80" i="13"/>
  <c r="BF80" i="13"/>
  <c r="BG80" i="13"/>
  <c r="BH80" i="13"/>
  <c r="BI80" i="13"/>
  <c r="BJ80" i="13"/>
  <c r="BK80" i="13"/>
  <c r="BL80" i="13"/>
  <c r="BM80" i="13"/>
  <c r="B81" i="13"/>
  <c r="C81" i="13"/>
  <c r="D81" i="13"/>
  <c r="I81" i="13"/>
  <c r="J81" i="13"/>
  <c r="K81" i="13"/>
  <c r="L81" i="13"/>
  <c r="M81" i="13"/>
  <c r="N81" i="13"/>
  <c r="O81" i="13"/>
  <c r="P81" i="13"/>
  <c r="Q81" i="13"/>
  <c r="R81" i="13"/>
  <c r="Y81" i="13"/>
  <c r="Z81" i="13"/>
  <c r="AA81" i="13"/>
  <c r="AB81" i="13"/>
  <c r="AC81" i="13"/>
  <c r="AD81" i="13"/>
  <c r="AE81" i="13"/>
  <c r="AF81" i="13"/>
  <c r="AG81" i="13"/>
  <c r="AH81" i="13"/>
  <c r="AO81" i="13"/>
  <c r="AP81" i="13"/>
  <c r="AQ81" i="13"/>
  <c r="AR81" i="13"/>
  <c r="AS81" i="13"/>
  <c r="AT81" i="13"/>
  <c r="AU81" i="13"/>
  <c r="AV81" i="13"/>
  <c r="AW81" i="13"/>
  <c r="BE81" i="13"/>
  <c r="BF81" i="13"/>
  <c r="BG81" i="13"/>
  <c r="BH81" i="13"/>
  <c r="BI81" i="13"/>
  <c r="BJ81" i="13"/>
  <c r="BK81" i="13"/>
  <c r="BL81" i="13"/>
  <c r="BM81" i="13"/>
  <c r="B82" i="13"/>
  <c r="C82" i="13"/>
  <c r="D82" i="13"/>
  <c r="E82" i="13"/>
  <c r="J82" i="13"/>
  <c r="K82" i="13"/>
  <c r="L82" i="13"/>
  <c r="M82" i="13"/>
  <c r="N82" i="13"/>
  <c r="O82" i="13"/>
  <c r="P82" i="13"/>
  <c r="Q82" i="13"/>
  <c r="R82" i="13"/>
  <c r="S82" i="13"/>
  <c r="Z82" i="13"/>
  <c r="AA82" i="13"/>
  <c r="AB82" i="13"/>
  <c r="AC82" i="13"/>
  <c r="AD82" i="13"/>
  <c r="AE82" i="13"/>
  <c r="AF82" i="13"/>
  <c r="AG82" i="13"/>
  <c r="AH82" i="13"/>
  <c r="AP82" i="13"/>
  <c r="AQ82" i="13"/>
  <c r="AR82" i="13"/>
  <c r="AS82" i="13"/>
  <c r="AT82" i="13"/>
  <c r="AU82" i="13"/>
  <c r="AV82" i="13"/>
  <c r="AW82" i="13"/>
  <c r="AX82" i="13"/>
  <c r="BF82" i="13"/>
  <c r="BG82" i="13"/>
  <c r="BH82" i="13"/>
  <c r="BI82" i="13"/>
  <c r="BJ82" i="13"/>
  <c r="BK82" i="13"/>
  <c r="BL82" i="13"/>
  <c r="BM82" i="13"/>
  <c r="B83" i="13"/>
  <c r="C83" i="13"/>
  <c r="D83" i="13"/>
  <c r="E83" i="13"/>
  <c r="J83" i="13"/>
  <c r="K83" i="13"/>
  <c r="L83" i="13"/>
  <c r="M83" i="13"/>
  <c r="N83" i="13"/>
  <c r="O83" i="13"/>
  <c r="P83" i="13"/>
  <c r="Q83" i="13"/>
  <c r="R83" i="13"/>
  <c r="S83" i="13"/>
  <c r="Z83" i="13"/>
  <c r="AA83" i="13"/>
  <c r="AB83" i="13"/>
  <c r="AC83" i="13"/>
  <c r="AD83" i="13"/>
  <c r="AE83" i="13"/>
  <c r="AF83" i="13"/>
  <c r="AG83" i="13"/>
  <c r="AH83" i="13"/>
  <c r="AP83" i="13"/>
  <c r="AQ83" i="13"/>
  <c r="AR83" i="13"/>
  <c r="AS83" i="13"/>
  <c r="AT83" i="13"/>
  <c r="AU83" i="13"/>
  <c r="AV83" i="13"/>
  <c r="AW83" i="13"/>
  <c r="AX83" i="13"/>
  <c r="BF83" i="13"/>
  <c r="BG83" i="13"/>
  <c r="BH83" i="13"/>
  <c r="BI83" i="13"/>
  <c r="BJ83" i="13"/>
  <c r="BK83" i="13"/>
  <c r="BL83" i="13"/>
  <c r="BM83" i="13"/>
  <c r="B84" i="13"/>
  <c r="C84" i="13"/>
  <c r="D84" i="13"/>
  <c r="E84" i="13"/>
  <c r="J84" i="13"/>
  <c r="K84" i="13"/>
  <c r="L84" i="13"/>
  <c r="M84" i="13"/>
  <c r="N84" i="13"/>
  <c r="O84" i="13"/>
  <c r="P84" i="13"/>
  <c r="Q84" i="13"/>
  <c r="R84" i="13"/>
  <c r="S84" i="13"/>
  <c r="Z84" i="13"/>
  <c r="AA84" i="13"/>
  <c r="AB84" i="13"/>
  <c r="AC84" i="13"/>
  <c r="AD84" i="13"/>
  <c r="AE84" i="13"/>
  <c r="AF84" i="13"/>
  <c r="AG84" i="13"/>
  <c r="AH84" i="13"/>
  <c r="AP84" i="13"/>
  <c r="AQ84" i="13"/>
  <c r="AR84" i="13"/>
  <c r="AS84" i="13"/>
  <c r="AT84" i="13"/>
  <c r="AU84" i="13"/>
  <c r="AV84" i="13"/>
  <c r="AW84" i="13"/>
  <c r="AX84" i="13"/>
  <c r="BF84" i="13"/>
  <c r="BG84" i="13"/>
  <c r="BH84" i="13"/>
  <c r="BI84" i="13"/>
  <c r="BJ84" i="13"/>
  <c r="BK84" i="13"/>
  <c r="BL84" i="13"/>
  <c r="BM84" i="13"/>
  <c r="B85" i="13"/>
  <c r="C85" i="13"/>
  <c r="D85" i="13"/>
  <c r="E85" i="13"/>
  <c r="J85" i="13"/>
  <c r="K85" i="13"/>
  <c r="L85" i="13"/>
  <c r="M85" i="13"/>
  <c r="N85" i="13"/>
  <c r="O85" i="13"/>
  <c r="P85" i="13"/>
  <c r="Q85" i="13"/>
  <c r="R85" i="13"/>
  <c r="S85" i="13"/>
  <c r="Z85" i="13"/>
  <c r="AA85" i="13"/>
  <c r="AB85" i="13"/>
  <c r="AC85" i="13"/>
  <c r="AD85" i="13"/>
  <c r="AE85" i="13"/>
  <c r="AF85" i="13"/>
  <c r="AG85" i="13"/>
  <c r="AH85" i="13"/>
  <c r="AP85" i="13"/>
  <c r="AQ85" i="13"/>
  <c r="AR85" i="13"/>
  <c r="AS85" i="13"/>
  <c r="AT85" i="13"/>
  <c r="AU85" i="13"/>
  <c r="AV85" i="13"/>
  <c r="AW85" i="13"/>
  <c r="AX85" i="13"/>
  <c r="BF85" i="13"/>
  <c r="BG85" i="13"/>
  <c r="BH85" i="13"/>
  <c r="BI85" i="13"/>
  <c r="BJ85" i="13"/>
  <c r="BK85" i="13"/>
  <c r="BL85" i="13"/>
  <c r="BM85" i="13"/>
  <c r="B86" i="13"/>
  <c r="C86" i="13"/>
  <c r="D86" i="13"/>
  <c r="E86" i="13"/>
  <c r="J86" i="13"/>
  <c r="K86" i="13"/>
  <c r="L86" i="13"/>
  <c r="M86" i="13"/>
  <c r="N86" i="13"/>
  <c r="O86" i="13"/>
  <c r="P86" i="13"/>
  <c r="Q86" i="13"/>
  <c r="R86" i="13"/>
  <c r="S86" i="13"/>
  <c r="Z86" i="13"/>
  <c r="AA86" i="13"/>
  <c r="AB86" i="13"/>
  <c r="AC86" i="13"/>
  <c r="AD86" i="13"/>
  <c r="AE86" i="13"/>
  <c r="AF86" i="13"/>
  <c r="AG86" i="13"/>
  <c r="AH86" i="13"/>
  <c r="AP86" i="13"/>
  <c r="AQ86" i="13"/>
  <c r="AR86" i="13"/>
  <c r="AS86" i="13"/>
  <c r="AT86" i="13"/>
  <c r="AU86" i="13"/>
  <c r="AV86" i="13"/>
  <c r="AW86" i="13"/>
  <c r="AX86" i="13"/>
  <c r="BF86" i="13"/>
  <c r="BG86" i="13"/>
  <c r="BH86" i="13"/>
  <c r="BI86" i="13"/>
  <c r="BJ86" i="13"/>
  <c r="BK86" i="13"/>
  <c r="BL86" i="13"/>
  <c r="BM86" i="13"/>
  <c r="B87" i="13"/>
  <c r="C87" i="13"/>
  <c r="D87" i="13"/>
  <c r="E87" i="13"/>
  <c r="J87" i="13"/>
  <c r="K87" i="13"/>
  <c r="L87" i="13"/>
  <c r="M87" i="13"/>
  <c r="N87" i="13"/>
  <c r="O87" i="13"/>
  <c r="P87" i="13"/>
  <c r="Q87" i="13"/>
  <c r="R87" i="13"/>
  <c r="S87" i="13"/>
  <c r="Z87" i="13"/>
  <c r="AA87" i="13"/>
  <c r="AB87" i="13"/>
  <c r="AC87" i="13"/>
  <c r="AD87" i="13"/>
  <c r="AE87" i="13"/>
  <c r="AF87" i="13"/>
  <c r="AG87" i="13"/>
  <c r="AH87" i="13"/>
  <c r="AP87" i="13"/>
  <c r="AQ87" i="13"/>
  <c r="AR87" i="13"/>
  <c r="AS87" i="13"/>
  <c r="AT87" i="13"/>
  <c r="AU87" i="13"/>
  <c r="AV87" i="13"/>
  <c r="AW87" i="13"/>
  <c r="AX87" i="13"/>
  <c r="BF87" i="13"/>
  <c r="BG87" i="13"/>
  <c r="BH87" i="13"/>
  <c r="BI87" i="13"/>
  <c r="BJ87" i="13"/>
  <c r="BK87" i="13"/>
  <c r="BL87" i="13"/>
  <c r="BM87" i="13"/>
  <c r="B88" i="13"/>
  <c r="C88" i="13"/>
  <c r="D88" i="13"/>
  <c r="E88" i="13"/>
  <c r="J88" i="13"/>
  <c r="K88" i="13"/>
  <c r="L88" i="13"/>
  <c r="M88" i="13"/>
  <c r="N88" i="13"/>
  <c r="O88" i="13"/>
  <c r="P88" i="13"/>
  <c r="Q88" i="13"/>
  <c r="R88" i="13"/>
  <c r="S88" i="13"/>
  <c r="Z88" i="13"/>
  <c r="AA88" i="13"/>
  <c r="AB88" i="13"/>
  <c r="AC88" i="13"/>
  <c r="AD88" i="13"/>
  <c r="AE88" i="13"/>
  <c r="AF88" i="13"/>
  <c r="AG88" i="13"/>
  <c r="AH88" i="13"/>
  <c r="AP88" i="13"/>
  <c r="AQ88" i="13"/>
  <c r="AR88" i="13"/>
  <c r="AS88" i="13"/>
  <c r="AT88" i="13"/>
  <c r="AU88" i="13"/>
  <c r="AV88" i="13"/>
  <c r="AW88" i="13"/>
  <c r="AX88" i="13"/>
  <c r="BF88" i="13"/>
  <c r="BG88" i="13"/>
  <c r="BH88" i="13"/>
  <c r="BI88" i="13"/>
  <c r="BJ88" i="13"/>
  <c r="BK88" i="13"/>
  <c r="BL88" i="13"/>
  <c r="BM88" i="13"/>
  <c r="B89" i="13"/>
  <c r="C89" i="13"/>
  <c r="D89" i="13"/>
  <c r="E89" i="13"/>
  <c r="J89" i="13"/>
  <c r="K89" i="13"/>
  <c r="L89" i="13"/>
  <c r="M89" i="13"/>
  <c r="N89" i="13"/>
  <c r="O89" i="13"/>
  <c r="P89" i="13"/>
  <c r="Q89" i="13"/>
  <c r="R89" i="13"/>
  <c r="S89" i="13"/>
  <c r="Z89" i="13"/>
  <c r="AA89" i="13"/>
  <c r="AB89" i="13"/>
  <c r="AC89" i="13"/>
  <c r="AD89" i="13"/>
  <c r="AE89" i="13"/>
  <c r="AF89" i="13"/>
  <c r="AG89" i="13"/>
  <c r="AH89" i="13"/>
  <c r="AP89" i="13"/>
  <c r="AQ89" i="13"/>
  <c r="AR89" i="13"/>
  <c r="AS89" i="13"/>
  <c r="AT89" i="13"/>
  <c r="AU89" i="13"/>
  <c r="AV89" i="13"/>
  <c r="AW89" i="13"/>
  <c r="AX89" i="13"/>
  <c r="BF89" i="13"/>
  <c r="BG89" i="13"/>
  <c r="BH89" i="13"/>
  <c r="BI89" i="13"/>
  <c r="BJ89" i="13"/>
  <c r="BK89" i="13"/>
  <c r="BL89" i="13"/>
  <c r="BM89" i="13"/>
  <c r="B90" i="13"/>
  <c r="C90" i="13"/>
  <c r="D90" i="13"/>
  <c r="E90" i="13"/>
  <c r="J90" i="13"/>
  <c r="K90" i="13"/>
  <c r="L90" i="13"/>
  <c r="M90" i="13"/>
  <c r="N90" i="13"/>
  <c r="O90" i="13"/>
  <c r="P90" i="13"/>
  <c r="Q90" i="13"/>
  <c r="R90" i="13"/>
  <c r="S90" i="13"/>
  <c r="Z90" i="13"/>
  <c r="AA90" i="13"/>
  <c r="AB90" i="13"/>
  <c r="AC90" i="13"/>
  <c r="AD90" i="13"/>
  <c r="AE90" i="13"/>
  <c r="AF90" i="13"/>
  <c r="AG90" i="13"/>
  <c r="AH90" i="13"/>
  <c r="AP90" i="13"/>
  <c r="AQ90" i="13"/>
  <c r="AR90" i="13"/>
  <c r="AS90" i="13"/>
  <c r="AT90" i="13"/>
  <c r="AU90" i="13"/>
  <c r="AV90" i="13"/>
  <c r="AW90" i="13"/>
  <c r="AX90" i="13"/>
  <c r="BF90" i="13"/>
  <c r="BG90" i="13"/>
  <c r="BH90" i="13"/>
  <c r="BI90" i="13"/>
  <c r="BJ90" i="13"/>
  <c r="BK90" i="13"/>
  <c r="BL90" i="13"/>
  <c r="BM90" i="13"/>
  <c r="B91" i="13"/>
  <c r="C91" i="13"/>
  <c r="D91" i="13"/>
  <c r="E91" i="13"/>
  <c r="J91" i="13"/>
  <c r="K91" i="13"/>
  <c r="L91" i="13"/>
  <c r="M91" i="13"/>
  <c r="N91" i="13"/>
  <c r="O91" i="13"/>
  <c r="P91" i="13"/>
  <c r="Q91" i="13"/>
  <c r="R91" i="13"/>
  <c r="S91" i="13"/>
  <c r="Z91" i="13"/>
  <c r="AA91" i="13"/>
  <c r="AB91" i="13"/>
  <c r="AC91" i="13"/>
  <c r="AD91" i="13"/>
  <c r="AE91" i="13"/>
  <c r="AF91" i="13"/>
  <c r="AG91" i="13"/>
  <c r="AH91" i="13"/>
  <c r="AP91" i="13"/>
  <c r="AQ91" i="13"/>
  <c r="AR91" i="13"/>
  <c r="AS91" i="13"/>
  <c r="AT91" i="13"/>
  <c r="AU91" i="13"/>
  <c r="AV91" i="13"/>
  <c r="AW91" i="13"/>
  <c r="AX91" i="13"/>
  <c r="BF91" i="13"/>
  <c r="BG91" i="13"/>
  <c r="BH91" i="13"/>
  <c r="BI91" i="13"/>
  <c r="BJ91" i="13"/>
  <c r="BK91" i="13"/>
  <c r="BL91" i="13"/>
  <c r="BM91" i="13"/>
  <c r="B92" i="13"/>
  <c r="C92" i="13"/>
  <c r="D92" i="13"/>
  <c r="E92" i="13"/>
  <c r="K92" i="13"/>
  <c r="L92" i="13"/>
  <c r="M92" i="13"/>
  <c r="N92" i="13"/>
  <c r="O92" i="13"/>
  <c r="P92" i="13"/>
  <c r="Q92" i="13"/>
  <c r="R92" i="13"/>
  <c r="S92" i="13"/>
  <c r="AA92" i="13"/>
  <c r="AB92" i="13"/>
  <c r="AC92" i="13"/>
  <c r="AD92" i="13"/>
  <c r="AE92" i="13"/>
  <c r="AF92" i="13"/>
  <c r="AG92" i="13"/>
  <c r="AH92" i="13"/>
  <c r="AQ92" i="13"/>
  <c r="AR92" i="13"/>
  <c r="AS92" i="13"/>
  <c r="AT92" i="13"/>
  <c r="AU92" i="13"/>
  <c r="AV92" i="13"/>
  <c r="AW92" i="13"/>
  <c r="AX92" i="13"/>
  <c r="BG92" i="13"/>
  <c r="BH92" i="13"/>
  <c r="BI92" i="13"/>
  <c r="BJ92" i="13"/>
  <c r="BK92" i="13"/>
  <c r="BL92" i="13"/>
  <c r="BM92" i="13"/>
  <c r="B93" i="13"/>
  <c r="C93" i="13"/>
  <c r="D93" i="13"/>
  <c r="E93" i="13"/>
  <c r="K93" i="13"/>
  <c r="L93" i="13"/>
  <c r="M93" i="13"/>
  <c r="N93" i="13"/>
  <c r="O93" i="13"/>
  <c r="P93" i="13"/>
  <c r="Q93" i="13"/>
  <c r="R93" i="13"/>
  <c r="S93" i="13"/>
  <c r="AA93" i="13"/>
  <c r="AB93" i="13"/>
  <c r="AC93" i="13"/>
  <c r="AD93" i="13"/>
  <c r="AE93" i="13"/>
  <c r="AF93" i="13"/>
  <c r="AG93" i="13"/>
  <c r="AH93" i="13"/>
  <c r="AQ93" i="13"/>
  <c r="AR93" i="13"/>
  <c r="AS93" i="13"/>
  <c r="AT93" i="13"/>
  <c r="AU93" i="13"/>
  <c r="AV93" i="13"/>
  <c r="AW93" i="13"/>
  <c r="AX93" i="13"/>
  <c r="BG93" i="13"/>
  <c r="BH93" i="13"/>
  <c r="BI93" i="13"/>
  <c r="BJ93" i="13"/>
  <c r="BK93" i="13"/>
  <c r="BL93" i="13"/>
  <c r="BM93" i="13"/>
  <c r="B94" i="13"/>
  <c r="C94" i="13"/>
  <c r="D94" i="13"/>
  <c r="E94" i="13"/>
  <c r="K94" i="13"/>
  <c r="L94" i="13"/>
  <c r="M94" i="13"/>
  <c r="N94" i="13"/>
  <c r="O94" i="13"/>
  <c r="P94" i="13"/>
  <c r="Q94" i="13"/>
  <c r="R94" i="13"/>
  <c r="S94" i="13"/>
  <c r="AA94" i="13"/>
  <c r="AB94" i="13"/>
  <c r="AC94" i="13"/>
  <c r="AD94" i="13"/>
  <c r="AE94" i="13"/>
  <c r="AF94" i="13"/>
  <c r="AG94" i="13"/>
  <c r="AH94" i="13"/>
  <c r="AQ94" i="13"/>
  <c r="AR94" i="13"/>
  <c r="AS94" i="13"/>
  <c r="AT94" i="13"/>
  <c r="AU94" i="13"/>
  <c r="AV94" i="13"/>
  <c r="AW94" i="13"/>
  <c r="AX94" i="13"/>
  <c r="BG94" i="13"/>
  <c r="BH94" i="13"/>
  <c r="BI94" i="13"/>
  <c r="BJ94" i="13"/>
  <c r="BK94" i="13"/>
  <c r="BL94" i="13"/>
  <c r="BM94" i="13"/>
  <c r="B95" i="13"/>
  <c r="C95" i="13"/>
  <c r="D95" i="13"/>
  <c r="E95" i="13"/>
  <c r="K95" i="13"/>
  <c r="L95" i="13"/>
  <c r="M95" i="13"/>
  <c r="N95" i="13"/>
  <c r="O95" i="13"/>
  <c r="P95" i="13"/>
  <c r="Q95" i="13"/>
  <c r="R95" i="13"/>
  <c r="S95" i="13"/>
  <c r="AA95" i="13"/>
  <c r="AB95" i="13"/>
  <c r="AC95" i="13"/>
  <c r="AD95" i="13"/>
  <c r="AE95" i="13"/>
  <c r="AF95" i="13"/>
  <c r="AG95" i="13"/>
  <c r="AH95" i="13"/>
  <c r="AQ95" i="13"/>
  <c r="AR95" i="13"/>
  <c r="AS95" i="13"/>
  <c r="AT95" i="13"/>
  <c r="AU95" i="13"/>
  <c r="AV95" i="13"/>
  <c r="AW95" i="13"/>
  <c r="AX95" i="13"/>
  <c r="BG95" i="13"/>
  <c r="BH95" i="13"/>
  <c r="BI95" i="13"/>
  <c r="BJ95" i="13"/>
  <c r="BK95" i="13"/>
  <c r="BL95" i="13"/>
  <c r="BM95" i="13"/>
  <c r="B96" i="13"/>
  <c r="C96" i="13"/>
  <c r="D96" i="13"/>
  <c r="E96" i="13"/>
  <c r="K96" i="13"/>
  <c r="L96" i="13"/>
  <c r="M96" i="13"/>
  <c r="N96" i="13"/>
  <c r="O96" i="13"/>
  <c r="P96" i="13"/>
  <c r="Q96" i="13"/>
  <c r="R96" i="13"/>
  <c r="S96" i="13"/>
  <c r="AA96" i="13"/>
  <c r="AB96" i="13"/>
  <c r="AC96" i="13"/>
  <c r="AD96" i="13"/>
  <c r="AE96" i="13"/>
  <c r="AF96" i="13"/>
  <c r="AG96" i="13"/>
  <c r="AH96" i="13"/>
  <c r="AQ96" i="13"/>
  <c r="AR96" i="13"/>
  <c r="AS96" i="13"/>
  <c r="AT96" i="13"/>
  <c r="AU96" i="13"/>
  <c r="AV96" i="13"/>
  <c r="AW96" i="13"/>
  <c r="AX96" i="13"/>
  <c r="BG96" i="13"/>
  <c r="BH96" i="13"/>
  <c r="BI96" i="13"/>
  <c r="BJ96" i="13"/>
  <c r="BK96" i="13"/>
  <c r="BL96" i="13"/>
  <c r="BM96" i="13"/>
  <c r="B97" i="13"/>
  <c r="C97" i="13"/>
  <c r="D97" i="13"/>
  <c r="E97" i="13"/>
  <c r="K97" i="13"/>
  <c r="L97" i="13"/>
  <c r="M97" i="13"/>
  <c r="N97" i="13"/>
  <c r="O97" i="13"/>
  <c r="P97" i="13"/>
  <c r="Q97" i="13"/>
  <c r="R97" i="13"/>
  <c r="S97" i="13"/>
  <c r="AA97" i="13"/>
  <c r="AB97" i="13"/>
  <c r="AC97" i="13"/>
  <c r="AD97" i="13"/>
  <c r="AE97" i="13"/>
  <c r="AF97" i="13"/>
  <c r="AG97" i="13"/>
  <c r="AH97" i="13"/>
  <c r="AQ97" i="13"/>
  <c r="AR97" i="13"/>
  <c r="AS97" i="13"/>
  <c r="AT97" i="13"/>
  <c r="AU97" i="13"/>
  <c r="AV97" i="13"/>
  <c r="AW97" i="13"/>
  <c r="AX97" i="13"/>
  <c r="BG97" i="13"/>
  <c r="BH97" i="13"/>
  <c r="BI97" i="13"/>
  <c r="BJ97" i="13"/>
  <c r="BK97" i="13"/>
  <c r="BL97" i="13"/>
  <c r="BM97" i="13"/>
  <c r="B98" i="13"/>
  <c r="C98" i="13"/>
  <c r="D98" i="13"/>
  <c r="E98" i="13"/>
  <c r="K98" i="13"/>
  <c r="L98" i="13"/>
  <c r="M98" i="13"/>
  <c r="N98" i="13"/>
  <c r="O98" i="13"/>
  <c r="P98" i="13"/>
  <c r="Q98" i="13"/>
  <c r="R98" i="13"/>
  <c r="S98" i="13"/>
  <c r="AA98" i="13"/>
  <c r="AB98" i="13"/>
  <c r="AC98" i="13"/>
  <c r="AD98" i="13"/>
  <c r="AE98" i="13"/>
  <c r="AF98" i="13"/>
  <c r="AG98" i="13"/>
  <c r="AH98" i="13"/>
  <c r="AQ98" i="13"/>
  <c r="AR98" i="13"/>
  <c r="AS98" i="13"/>
  <c r="AT98" i="13"/>
  <c r="AU98" i="13"/>
  <c r="AV98" i="13"/>
  <c r="AW98" i="13"/>
  <c r="AX98" i="13"/>
  <c r="BG98" i="13"/>
  <c r="BH98" i="13"/>
  <c r="BI98" i="13"/>
  <c r="BJ98" i="13"/>
  <c r="BK98" i="13"/>
  <c r="BL98" i="13"/>
  <c r="BM98" i="13"/>
  <c r="B99" i="13"/>
  <c r="C99" i="13"/>
  <c r="D99" i="13"/>
  <c r="E99" i="13"/>
  <c r="K99" i="13"/>
  <c r="L99" i="13"/>
  <c r="M99" i="13"/>
  <c r="N99" i="13"/>
  <c r="O99" i="13"/>
  <c r="P99" i="13"/>
  <c r="Q99" i="13"/>
  <c r="R99" i="13"/>
  <c r="S99" i="13"/>
  <c r="AA99" i="13"/>
  <c r="AB99" i="13"/>
  <c r="AC99" i="13"/>
  <c r="AD99" i="13"/>
  <c r="AE99" i="13"/>
  <c r="AF99" i="13"/>
  <c r="AG99" i="13"/>
  <c r="AH99" i="13"/>
  <c r="AQ99" i="13"/>
  <c r="AR99" i="13"/>
  <c r="AS99" i="13"/>
  <c r="AT99" i="13"/>
  <c r="AU99" i="13"/>
  <c r="AV99" i="13"/>
  <c r="AW99" i="13"/>
  <c r="AX99" i="13"/>
  <c r="BG99" i="13"/>
  <c r="BH99" i="13"/>
  <c r="BI99" i="13"/>
  <c r="BJ99" i="13"/>
  <c r="BK99" i="13"/>
  <c r="BL99" i="13"/>
  <c r="BM99" i="13"/>
  <c r="B100" i="13"/>
  <c r="C100" i="13"/>
  <c r="D100" i="13"/>
  <c r="E100" i="13"/>
  <c r="K100" i="13"/>
  <c r="L100" i="13"/>
  <c r="M100" i="13"/>
  <c r="N100" i="13"/>
  <c r="O100" i="13"/>
  <c r="P100" i="13"/>
  <c r="Q100" i="13"/>
  <c r="R100" i="13"/>
  <c r="S100" i="13"/>
  <c r="AA100" i="13"/>
  <c r="AB100" i="13"/>
  <c r="AC100" i="13"/>
  <c r="AD100" i="13"/>
  <c r="AE100" i="13"/>
  <c r="AF100" i="13"/>
  <c r="AG100" i="13"/>
  <c r="AH100" i="13"/>
  <c r="AQ100" i="13"/>
  <c r="AR100" i="13"/>
  <c r="AS100" i="13"/>
  <c r="AT100" i="13"/>
  <c r="AU100" i="13"/>
  <c r="AV100" i="13"/>
  <c r="AW100" i="13"/>
  <c r="AX100" i="13"/>
  <c r="BG100" i="13"/>
  <c r="BH100" i="13"/>
  <c r="BI100" i="13"/>
  <c r="BJ100" i="13"/>
  <c r="BK100" i="13"/>
  <c r="BL100" i="13"/>
  <c r="BM100" i="13"/>
  <c r="B101" i="13"/>
  <c r="C101" i="13"/>
  <c r="D101" i="13"/>
  <c r="E101" i="13"/>
  <c r="K101" i="13"/>
  <c r="L101" i="13"/>
  <c r="M101" i="13"/>
  <c r="N101" i="13"/>
  <c r="O101" i="13"/>
  <c r="P101" i="13"/>
  <c r="Q101" i="13"/>
  <c r="R101" i="13"/>
  <c r="S101" i="13"/>
  <c r="AA101" i="13"/>
  <c r="AB101" i="13"/>
  <c r="AC101" i="13"/>
  <c r="AD101" i="13"/>
  <c r="AE101" i="13"/>
  <c r="AF101" i="13"/>
  <c r="AG101" i="13"/>
  <c r="AH101" i="13"/>
  <c r="AQ101" i="13"/>
  <c r="AR101" i="13"/>
  <c r="AS101" i="13"/>
  <c r="AT101" i="13"/>
  <c r="AU101" i="13"/>
  <c r="AV101" i="13"/>
  <c r="AW101" i="13"/>
  <c r="AX101" i="13"/>
  <c r="BG101" i="13"/>
  <c r="BH101" i="13"/>
  <c r="BI101" i="13"/>
  <c r="BJ101" i="13"/>
  <c r="BK101" i="13"/>
  <c r="BL101" i="13"/>
  <c r="BM101" i="13"/>
  <c r="B102" i="13"/>
  <c r="C102" i="13"/>
  <c r="D102" i="13"/>
  <c r="E102" i="13"/>
  <c r="K102" i="13"/>
  <c r="L102" i="13"/>
  <c r="M102" i="13"/>
  <c r="N102" i="13"/>
  <c r="O102" i="13"/>
  <c r="P102" i="13"/>
  <c r="Q102" i="13"/>
  <c r="R102" i="13"/>
  <c r="S102" i="13"/>
  <c r="AA102" i="13"/>
  <c r="AB102" i="13"/>
  <c r="AC102" i="13"/>
  <c r="AD102" i="13"/>
  <c r="AE102" i="13"/>
  <c r="AF102" i="13"/>
  <c r="AG102" i="13"/>
  <c r="AH102" i="13"/>
  <c r="AQ102" i="13"/>
  <c r="AR102" i="13"/>
  <c r="AS102" i="13"/>
  <c r="AT102" i="13"/>
  <c r="AU102" i="13"/>
  <c r="AV102" i="13"/>
  <c r="AW102" i="13"/>
  <c r="AX102" i="13"/>
  <c r="BG102" i="13"/>
  <c r="BH102" i="13"/>
  <c r="BI102" i="13"/>
  <c r="BJ102" i="13"/>
  <c r="BK102" i="13"/>
  <c r="BL102" i="13"/>
  <c r="BM102" i="13"/>
  <c r="B103" i="13"/>
  <c r="C103" i="13"/>
  <c r="D103" i="13"/>
  <c r="E103" i="13"/>
  <c r="F103" i="13"/>
  <c r="L103" i="13"/>
  <c r="M103" i="13"/>
  <c r="N103" i="13"/>
  <c r="O103" i="13"/>
  <c r="P103" i="13"/>
  <c r="Q103" i="13"/>
  <c r="R103" i="13"/>
  <c r="S103" i="13"/>
  <c r="AB103" i="13"/>
  <c r="AC103" i="13"/>
  <c r="AD103" i="13"/>
  <c r="AE103" i="13"/>
  <c r="AF103" i="13"/>
  <c r="AG103" i="13"/>
  <c r="AH103" i="13"/>
  <c r="AR103" i="13"/>
  <c r="AS103" i="13"/>
  <c r="AT103" i="13"/>
  <c r="AU103" i="13"/>
  <c r="AV103" i="13"/>
  <c r="AW103" i="13"/>
  <c r="AX103" i="13"/>
  <c r="BH103" i="13"/>
  <c r="BI103" i="13"/>
  <c r="BJ103" i="13"/>
  <c r="BK103" i="13"/>
  <c r="BL103" i="13"/>
  <c r="BM103" i="13"/>
  <c r="B104" i="13"/>
  <c r="C104" i="13"/>
  <c r="D104" i="13"/>
  <c r="E104" i="13"/>
  <c r="F104" i="13"/>
  <c r="L104" i="13"/>
  <c r="M104" i="13"/>
  <c r="N104" i="13"/>
  <c r="O104" i="13"/>
  <c r="P104" i="13"/>
  <c r="Q104" i="13"/>
  <c r="R104" i="13"/>
  <c r="S104" i="13"/>
  <c r="AB104" i="13"/>
  <c r="AC104" i="13"/>
  <c r="AD104" i="13"/>
  <c r="AE104" i="13"/>
  <c r="AF104" i="13"/>
  <c r="AG104" i="13"/>
  <c r="AH104" i="13"/>
  <c r="AR104" i="13"/>
  <c r="AS104" i="13"/>
  <c r="AT104" i="13"/>
  <c r="AU104" i="13"/>
  <c r="AV104" i="13"/>
  <c r="AW104" i="13"/>
  <c r="AX104" i="13"/>
  <c r="BH104" i="13"/>
  <c r="BI104" i="13"/>
  <c r="BJ104" i="13"/>
  <c r="BK104" i="13"/>
  <c r="BL104" i="13"/>
  <c r="BM104" i="13"/>
  <c r="B105" i="13"/>
  <c r="C105" i="13"/>
  <c r="D105" i="13"/>
  <c r="E105" i="13"/>
  <c r="F105" i="13"/>
  <c r="L105" i="13"/>
  <c r="M105" i="13"/>
  <c r="N105" i="13"/>
  <c r="O105" i="13"/>
  <c r="P105" i="13"/>
  <c r="Q105" i="13"/>
  <c r="R105" i="13"/>
  <c r="S105" i="13"/>
  <c r="AB105" i="13"/>
  <c r="AC105" i="13"/>
  <c r="AD105" i="13"/>
  <c r="AE105" i="13"/>
  <c r="AF105" i="13"/>
  <c r="AG105" i="13"/>
  <c r="AH105" i="13"/>
  <c r="AR105" i="13"/>
  <c r="AS105" i="13"/>
  <c r="AT105" i="13"/>
  <c r="AU105" i="13"/>
  <c r="AV105" i="13"/>
  <c r="AW105" i="13"/>
  <c r="AX105" i="13"/>
  <c r="BH105" i="13"/>
  <c r="BI105" i="13"/>
  <c r="BJ105" i="13"/>
  <c r="BK105" i="13"/>
  <c r="BL105" i="13"/>
  <c r="BM105" i="13"/>
  <c r="B106" i="13"/>
  <c r="C106" i="13"/>
  <c r="D106" i="13"/>
  <c r="E106" i="13"/>
  <c r="F106" i="13"/>
  <c r="L106" i="13"/>
  <c r="M106" i="13"/>
  <c r="N106" i="13"/>
  <c r="O106" i="13"/>
  <c r="P106" i="13"/>
  <c r="Q106" i="13"/>
  <c r="R106" i="13"/>
  <c r="S106" i="13"/>
  <c r="AB106" i="13"/>
  <c r="AC106" i="13"/>
  <c r="AD106" i="13"/>
  <c r="AE106" i="13"/>
  <c r="AF106" i="13"/>
  <c r="AG106" i="13"/>
  <c r="AH106" i="13"/>
  <c r="AR106" i="13"/>
  <c r="AS106" i="13"/>
  <c r="AT106" i="13"/>
  <c r="AU106" i="13"/>
  <c r="AV106" i="13"/>
  <c r="AW106" i="13"/>
  <c r="AX106" i="13"/>
  <c r="BH106" i="13"/>
  <c r="BI106" i="13"/>
  <c r="BJ106" i="13"/>
  <c r="BK106" i="13"/>
  <c r="BL106" i="13"/>
  <c r="BM106" i="13"/>
  <c r="B107" i="13"/>
  <c r="C107" i="13"/>
  <c r="D107" i="13"/>
  <c r="E107" i="13"/>
  <c r="F107" i="13"/>
  <c r="L107" i="13"/>
  <c r="M107" i="13"/>
  <c r="N107" i="13"/>
  <c r="O107" i="13"/>
  <c r="P107" i="13"/>
  <c r="Q107" i="13"/>
  <c r="R107" i="13"/>
  <c r="S107" i="13"/>
  <c r="AB107" i="13"/>
  <c r="AC107" i="13"/>
  <c r="AD107" i="13"/>
  <c r="AE107" i="13"/>
  <c r="AF107" i="13"/>
  <c r="AG107" i="13"/>
  <c r="AH107" i="13"/>
  <c r="AR107" i="13"/>
  <c r="AS107" i="13"/>
  <c r="AT107" i="13"/>
  <c r="AU107" i="13"/>
  <c r="AV107" i="13"/>
  <c r="AW107" i="13"/>
  <c r="AX107" i="13"/>
  <c r="BH107" i="13"/>
  <c r="BI107" i="13"/>
  <c r="BJ107" i="13"/>
  <c r="BK107" i="13"/>
  <c r="BL107" i="13"/>
  <c r="BM107" i="13"/>
  <c r="B108" i="13"/>
  <c r="C108" i="13"/>
  <c r="D108" i="13"/>
  <c r="E108" i="13"/>
  <c r="F108" i="13"/>
  <c r="L108" i="13"/>
  <c r="M108" i="13"/>
  <c r="N108" i="13"/>
  <c r="O108" i="13"/>
  <c r="P108" i="13"/>
  <c r="Q108" i="13"/>
  <c r="R108" i="13"/>
  <c r="S108" i="13"/>
  <c r="AB108" i="13"/>
  <c r="AC108" i="13"/>
  <c r="AD108" i="13"/>
  <c r="AE108" i="13"/>
  <c r="AF108" i="13"/>
  <c r="AG108" i="13"/>
  <c r="AH108" i="13"/>
  <c r="AR108" i="13"/>
  <c r="AS108" i="13"/>
  <c r="AT108" i="13"/>
  <c r="AU108" i="13"/>
  <c r="AV108" i="13"/>
  <c r="AW108" i="13"/>
  <c r="AX108" i="13"/>
  <c r="BH108" i="13"/>
  <c r="BI108" i="13"/>
  <c r="BJ108" i="13"/>
  <c r="BK108" i="13"/>
  <c r="BL108" i="13"/>
  <c r="BM108" i="13"/>
  <c r="B109" i="13"/>
  <c r="C109" i="13"/>
  <c r="D109" i="13"/>
  <c r="E109" i="13"/>
  <c r="F109" i="13"/>
  <c r="L109" i="13"/>
  <c r="M109" i="13"/>
  <c r="N109" i="13"/>
  <c r="O109" i="13"/>
  <c r="P109" i="13"/>
  <c r="Q109" i="13"/>
  <c r="R109" i="13"/>
  <c r="S109" i="13"/>
  <c r="AB109" i="13"/>
  <c r="AC109" i="13"/>
  <c r="AD109" i="13"/>
  <c r="AE109" i="13"/>
  <c r="AF109" i="13"/>
  <c r="AG109" i="13"/>
  <c r="AH109" i="13"/>
  <c r="AR109" i="13"/>
  <c r="AS109" i="13"/>
  <c r="AT109" i="13"/>
  <c r="AU109" i="13"/>
  <c r="AV109" i="13"/>
  <c r="AW109" i="13"/>
  <c r="AX109" i="13"/>
  <c r="BH109" i="13"/>
  <c r="BI109" i="13"/>
  <c r="BJ109" i="13"/>
  <c r="BK109" i="13"/>
  <c r="BL109" i="13"/>
  <c r="BM109" i="13"/>
  <c r="B110" i="13"/>
  <c r="C110" i="13"/>
  <c r="D110" i="13"/>
  <c r="E110" i="13"/>
  <c r="F110" i="13"/>
  <c r="L110" i="13"/>
  <c r="M110" i="13"/>
  <c r="N110" i="13"/>
  <c r="O110" i="13"/>
  <c r="P110" i="13"/>
  <c r="Q110" i="13"/>
  <c r="R110" i="13"/>
  <c r="S110" i="13"/>
  <c r="AB110" i="13"/>
  <c r="AC110" i="13"/>
  <c r="AD110" i="13"/>
  <c r="AE110" i="13"/>
  <c r="AF110" i="13"/>
  <c r="AG110" i="13"/>
  <c r="AH110" i="13"/>
  <c r="AR110" i="13"/>
  <c r="AS110" i="13"/>
  <c r="AT110" i="13"/>
  <c r="AU110" i="13"/>
  <c r="AV110" i="13"/>
  <c r="AW110" i="13"/>
  <c r="AX110" i="13"/>
  <c r="BH110" i="13"/>
  <c r="BI110" i="13"/>
  <c r="BJ110" i="13"/>
  <c r="BK110" i="13"/>
  <c r="BL110" i="13"/>
  <c r="BM110" i="13"/>
  <c r="B111" i="13"/>
  <c r="C111" i="13"/>
  <c r="D111" i="13"/>
  <c r="E111" i="13"/>
  <c r="F111" i="13"/>
  <c r="L111" i="13"/>
  <c r="M111" i="13"/>
  <c r="N111" i="13"/>
  <c r="O111" i="13"/>
  <c r="P111" i="13"/>
  <c r="Q111" i="13"/>
  <c r="R111" i="13"/>
  <c r="S111" i="13"/>
  <c r="AB111" i="13"/>
  <c r="AC111" i="13"/>
  <c r="AD111" i="13"/>
  <c r="AE111" i="13"/>
  <c r="AF111" i="13"/>
  <c r="AG111" i="13"/>
  <c r="AH111" i="13"/>
  <c r="AR111" i="13"/>
  <c r="AS111" i="13"/>
  <c r="AT111" i="13"/>
  <c r="AU111" i="13"/>
  <c r="AV111" i="13"/>
  <c r="AW111" i="13"/>
  <c r="AX111" i="13"/>
  <c r="BH111" i="13"/>
  <c r="BI111" i="13"/>
  <c r="BJ111" i="13"/>
  <c r="BK111" i="13"/>
  <c r="BL111" i="13"/>
  <c r="BM111" i="13"/>
  <c r="B112" i="13"/>
  <c r="C112" i="13"/>
  <c r="D112" i="13"/>
  <c r="E112" i="13"/>
  <c r="F112" i="13"/>
  <c r="L112" i="13"/>
  <c r="M112" i="13"/>
  <c r="N112" i="13"/>
  <c r="O112" i="13"/>
  <c r="P112" i="13"/>
  <c r="Q112" i="13"/>
  <c r="R112" i="13"/>
  <c r="S112" i="13"/>
  <c r="AB112" i="13"/>
  <c r="AC112" i="13"/>
  <c r="AD112" i="13"/>
  <c r="AE112" i="13"/>
  <c r="AF112" i="13"/>
  <c r="AG112" i="13"/>
  <c r="AH112" i="13"/>
  <c r="AR112" i="13"/>
  <c r="AS112" i="13"/>
  <c r="AT112" i="13"/>
  <c r="AU112" i="13"/>
  <c r="AV112" i="13"/>
  <c r="AW112" i="13"/>
  <c r="AX112" i="13"/>
  <c r="BH112" i="13"/>
  <c r="BI112" i="13"/>
  <c r="BJ112" i="13"/>
  <c r="BK112" i="13"/>
  <c r="BL112" i="13"/>
  <c r="BM112" i="13"/>
  <c r="B113" i="13"/>
  <c r="C113" i="13"/>
  <c r="D113" i="13"/>
  <c r="E113" i="13"/>
  <c r="F113" i="13"/>
  <c r="M113" i="13"/>
  <c r="N113" i="13"/>
  <c r="O113" i="13"/>
  <c r="P113" i="13"/>
  <c r="Q113" i="13"/>
  <c r="R113" i="13"/>
  <c r="S113" i="13"/>
  <c r="AC113" i="13"/>
  <c r="AD113" i="13"/>
  <c r="AE113" i="13"/>
  <c r="AF113" i="13"/>
  <c r="AG113" i="13"/>
  <c r="AH113" i="13"/>
  <c r="AS113" i="13"/>
  <c r="AT113" i="13"/>
  <c r="AU113" i="13"/>
  <c r="AV113" i="13"/>
  <c r="AW113" i="13"/>
  <c r="AX113" i="13"/>
  <c r="BI113" i="13"/>
  <c r="BJ113" i="13"/>
  <c r="BK113" i="13"/>
  <c r="BL113" i="13"/>
  <c r="BM113" i="13"/>
  <c r="B114" i="13"/>
  <c r="C114" i="13"/>
  <c r="D114" i="13"/>
  <c r="E114" i="13"/>
  <c r="F114" i="13"/>
  <c r="M114" i="13"/>
  <c r="N114" i="13"/>
  <c r="O114" i="13"/>
  <c r="P114" i="13"/>
  <c r="Q114" i="13"/>
  <c r="R114" i="13"/>
  <c r="S114" i="13"/>
  <c r="AC114" i="13"/>
  <c r="AD114" i="13"/>
  <c r="AE114" i="13"/>
  <c r="AF114" i="13"/>
  <c r="AG114" i="13"/>
  <c r="AH114" i="13"/>
  <c r="AS114" i="13"/>
  <c r="AT114" i="13"/>
  <c r="AU114" i="13"/>
  <c r="AV114" i="13"/>
  <c r="AW114" i="13"/>
  <c r="AX114" i="13"/>
  <c r="BI114" i="13"/>
  <c r="BJ114" i="13"/>
  <c r="BK114" i="13"/>
  <c r="BL114" i="13"/>
  <c r="BM114" i="13"/>
  <c r="B115" i="13"/>
  <c r="C115" i="13"/>
  <c r="D115" i="13"/>
  <c r="E115" i="13"/>
  <c r="F115" i="13"/>
  <c r="M115" i="13"/>
  <c r="N115" i="13"/>
  <c r="O115" i="13"/>
  <c r="P115" i="13"/>
  <c r="Q115" i="13"/>
  <c r="R115" i="13"/>
  <c r="S115" i="13"/>
  <c r="AC115" i="13"/>
  <c r="AD115" i="13"/>
  <c r="AE115" i="13"/>
  <c r="AF115" i="13"/>
  <c r="AG115" i="13"/>
  <c r="AH115" i="13"/>
  <c r="AS115" i="13"/>
  <c r="AT115" i="13"/>
  <c r="AU115" i="13"/>
  <c r="AV115" i="13"/>
  <c r="AW115" i="13"/>
  <c r="AX115" i="13"/>
  <c r="BI115" i="13"/>
  <c r="BJ115" i="13"/>
  <c r="BK115" i="13"/>
  <c r="BL115" i="13"/>
  <c r="BM115" i="13"/>
  <c r="B116" i="13"/>
  <c r="C116" i="13"/>
  <c r="D116" i="13"/>
  <c r="E116" i="13"/>
  <c r="F116" i="13"/>
  <c r="M116" i="13"/>
  <c r="N116" i="13"/>
  <c r="O116" i="13"/>
  <c r="P116" i="13"/>
  <c r="Q116" i="13"/>
  <c r="R116" i="13"/>
  <c r="S116" i="13"/>
  <c r="AC116" i="13"/>
  <c r="AD116" i="13"/>
  <c r="AE116" i="13"/>
  <c r="AF116" i="13"/>
  <c r="AG116" i="13"/>
  <c r="AH116" i="13"/>
  <c r="AS116" i="13"/>
  <c r="AT116" i="13"/>
  <c r="AU116" i="13"/>
  <c r="AV116" i="13"/>
  <c r="AW116" i="13"/>
  <c r="AX116" i="13"/>
  <c r="BI116" i="13"/>
  <c r="BJ116" i="13"/>
  <c r="BK116" i="13"/>
  <c r="BL116" i="13"/>
  <c r="BM116" i="13"/>
  <c r="B117" i="13"/>
  <c r="C117" i="13"/>
  <c r="D117" i="13"/>
  <c r="E117" i="13"/>
  <c r="F117" i="13"/>
  <c r="M117" i="13"/>
  <c r="N117" i="13"/>
  <c r="O117" i="13"/>
  <c r="P117" i="13"/>
  <c r="Q117" i="13"/>
  <c r="R117" i="13"/>
  <c r="S117" i="13"/>
  <c r="AC117" i="13"/>
  <c r="AD117" i="13"/>
  <c r="AE117" i="13"/>
  <c r="AF117" i="13"/>
  <c r="AG117" i="13"/>
  <c r="AH117" i="13"/>
  <c r="AS117" i="13"/>
  <c r="AT117" i="13"/>
  <c r="AU117" i="13"/>
  <c r="AV117" i="13"/>
  <c r="AW117" i="13"/>
  <c r="AX117" i="13"/>
  <c r="BI117" i="13"/>
  <c r="BJ117" i="13"/>
  <c r="BK117" i="13"/>
  <c r="BL117" i="13"/>
  <c r="BM117" i="13"/>
  <c r="B118" i="13"/>
  <c r="C118" i="13"/>
  <c r="D118" i="13"/>
  <c r="E118" i="13"/>
  <c r="F118" i="13"/>
  <c r="M118" i="13"/>
  <c r="N118" i="13"/>
  <c r="O118" i="13"/>
  <c r="P118" i="13"/>
  <c r="Q118" i="13"/>
  <c r="R118" i="13"/>
  <c r="S118" i="13"/>
  <c r="AC118" i="13"/>
  <c r="AD118" i="13"/>
  <c r="AE118" i="13"/>
  <c r="AF118" i="13"/>
  <c r="AG118" i="13"/>
  <c r="AH118" i="13"/>
  <c r="AS118" i="13"/>
  <c r="AT118" i="13"/>
  <c r="AU118" i="13"/>
  <c r="AV118" i="13"/>
  <c r="AW118" i="13"/>
  <c r="AX118" i="13"/>
  <c r="BI118" i="13"/>
  <c r="BJ118" i="13"/>
  <c r="BK118" i="13"/>
  <c r="BL118" i="13"/>
  <c r="BM118" i="13"/>
  <c r="B119" i="13"/>
  <c r="C119" i="13"/>
  <c r="D119" i="13"/>
  <c r="E119" i="13"/>
  <c r="F119" i="13"/>
  <c r="M119" i="13"/>
  <c r="N119" i="13"/>
  <c r="O119" i="13"/>
  <c r="P119" i="13"/>
  <c r="Q119" i="13"/>
  <c r="R119" i="13"/>
  <c r="S119" i="13"/>
  <c r="AC119" i="13"/>
  <c r="AD119" i="13"/>
  <c r="AE119" i="13"/>
  <c r="AF119" i="13"/>
  <c r="AG119" i="13"/>
  <c r="AH119" i="13"/>
  <c r="AS119" i="13"/>
  <c r="AT119" i="13"/>
  <c r="AU119" i="13"/>
  <c r="AV119" i="13"/>
  <c r="AW119" i="13"/>
  <c r="AX119" i="13"/>
  <c r="BI119" i="13"/>
  <c r="BJ119" i="13"/>
  <c r="BK119" i="13"/>
  <c r="BL119" i="13"/>
  <c r="BM119" i="13"/>
  <c r="B120" i="13"/>
  <c r="C120" i="13"/>
  <c r="D120" i="13"/>
  <c r="E120" i="13"/>
  <c r="F120" i="13"/>
  <c r="M120" i="13"/>
  <c r="N120" i="13"/>
  <c r="O120" i="13"/>
  <c r="P120" i="13"/>
  <c r="Q120" i="13"/>
  <c r="R120" i="13"/>
  <c r="S120" i="13"/>
  <c r="AC120" i="13"/>
  <c r="AD120" i="13"/>
  <c r="AE120" i="13"/>
  <c r="AF120" i="13"/>
  <c r="AG120" i="13"/>
  <c r="AH120" i="13"/>
  <c r="AS120" i="13"/>
  <c r="AT120" i="13"/>
  <c r="AU120" i="13"/>
  <c r="AV120" i="13"/>
  <c r="AW120" i="13"/>
  <c r="AX120" i="13"/>
  <c r="BI120" i="13"/>
  <c r="BJ120" i="13"/>
  <c r="BK120" i="13"/>
  <c r="BL120" i="13"/>
  <c r="BM120" i="13"/>
  <c r="B121" i="13"/>
  <c r="C121" i="13"/>
  <c r="D121" i="13"/>
  <c r="E121" i="13"/>
  <c r="F121" i="13"/>
  <c r="M121" i="13"/>
  <c r="N121" i="13"/>
  <c r="O121" i="13"/>
  <c r="P121" i="13"/>
  <c r="Q121" i="13"/>
  <c r="R121" i="13"/>
  <c r="S121" i="13"/>
  <c r="AC121" i="13"/>
  <c r="AD121" i="13"/>
  <c r="AE121" i="13"/>
  <c r="AF121" i="13"/>
  <c r="AG121" i="13"/>
  <c r="AH121" i="13"/>
  <c r="AS121" i="13"/>
  <c r="AT121" i="13"/>
  <c r="AU121" i="13"/>
  <c r="AV121" i="13"/>
  <c r="AW121" i="13"/>
  <c r="AX121" i="13"/>
  <c r="BI121" i="13"/>
  <c r="BJ121" i="13"/>
  <c r="BK121" i="13"/>
  <c r="BL121" i="13"/>
  <c r="BM121" i="13"/>
  <c r="B122" i="13"/>
  <c r="C122" i="13"/>
  <c r="D122" i="13"/>
  <c r="E122" i="13"/>
  <c r="F122" i="13"/>
  <c r="M122" i="13"/>
  <c r="N122" i="13"/>
  <c r="O122" i="13"/>
  <c r="P122" i="13"/>
  <c r="Q122" i="13"/>
  <c r="R122" i="13"/>
  <c r="S122" i="13"/>
  <c r="AC122" i="13"/>
  <c r="AD122" i="13"/>
  <c r="AE122" i="13"/>
  <c r="AF122" i="13"/>
  <c r="AG122" i="13"/>
  <c r="AH122" i="13"/>
  <c r="AS122" i="13"/>
  <c r="AT122" i="13"/>
  <c r="AU122" i="13"/>
  <c r="AV122" i="13"/>
  <c r="AW122" i="13"/>
  <c r="AX122" i="13"/>
  <c r="BI122" i="13"/>
  <c r="BJ122" i="13"/>
  <c r="BK122" i="13"/>
  <c r="BL122" i="13"/>
  <c r="BM122" i="13"/>
  <c r="B123" i="13"/>
  <c r="C123" i="13"/>
  <c r="D123" i="13"/>
  <c r="E123" i="13"/>
  <c r="F123" i="13"/>
  <c r="M123" i="13"/>
  <c r="N123" i="13"/>
  <c r="O123" i="13"/>
  <c r="P123" i="13"/>
  <c r="Q123" i="13"/>
  <c r="R123" i="13"/>
  <c r="S123" i="13"/>
  <c r="AC123" i="13"/>
  <c r="AD123" i="13"/>
  <c r="AE123" i="13"/>
  <c r="AF123" i="13"/>
  <c r="AG123" i="13"/>
  <c r="AH123" i="13"/>
  <c r="AS123" i="13"/>
  <c r="AT123" i="13"/>
  <c r="AU123" i="13"/>
  <c r="AV123" i="13"/>
  <c r="AW123" i="13"/>
  <c r="AX123" i="13"/>
  <c r="BI123" i="13"/>
  <c r="BJ123" i="13"/>
  <c r="BK123" i="13"/>
  <c r="BL123" i="13"/>
  <c r="BM12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E18" i="12"/>
  <c r="Y87" i="12" s="1"/>
  <c r="E17" i="12"/>
  <c r="E16" i="12"/>
  <c r="E15" i="12"/>
  <c r="V3" i="12" s="1"/>
  <c r="E14" i="12"/>
  <c r="U88" i="12" s="1"/>
  <c r="E13" i="12"/>
  <c r="T46" i="12" s="1"/>
  <c r="AK46" i="12" s="1"/>
  <c r="E12" i="12"/>
  <c r="S22" i="12" s="1"/>
  <c r="AJ22" i="12" s="1"/>
  <c r="E11" i="12"/>
  <c r="R3" i="12" s="1"/>
  <c r="E10" i="12"/>
  <c r="E9" i="12"/>
  <c r="E8" i="12"/>
  <c r="E7" i="12"/>
  <c r="N3" i="12" s="1"/>
  <c r="AE3" i="12" s="1"/>
  <c r="E6" i="12"/>
  <c r="E5" i="12"/>
  <c r="E4" i="12"/>
  <c r="E3" i="12"/>
  <c r="U12" i="11"/>
  <c r="U13" i="11" s="1"/>
  <c r="U9" i="11"/>
  <c r="U18" i="11" s="1"/>
  <c r="U6" i="11"/>
  <c r="AS121" i="12" l="1"/>
  <c r="T122" i="13" s="1"/>
  <c r="AG84" i="12"/>
  <c r="H85" i="13" s="1"/>
  <c r="U97" i="12"/>
  <c r="U117" i="12"/>
  <c r="CH117" i="12" s="1"/>
  <c r="U91" i="12"/>
  <c r="CH91" i="12" s="1"/>
  <c r="U116" i="12"/>
  <c r="CH116" i="12" s="1"/>
  <c r="U90" i="12"/>
  <c r="AL90" i="12" s="1"/>
  <c r="U110" i="12"/>
  <c r="U104" i="12"/>
  <c r="CH104" i="12" s="1"/>
  <c r="U121" i="12"/>
  <c r="CH121" i="12" s="1"/>
  <c r="U103" i="12"/>
  <c r="CE3" i="12"/>
  <c r="BO3" i="12"/>
  <c r="AY3" i="12"/>
  <c r="AI3" i="12"/>
  <c r="BB117" i="12"/>
  <c r="BB116" i="12"/>
  <c r="CH110" i="12"/>
  <c r="BR110" i="12"/>
  <c r="BB110" i="12"/>
  <c r="AL110" i="12"/>
  <c r="CL87" i="12"/>
  <c r="BV87" i="12"/>
  <c r="BF87" i="12"/>
  <c r="AP87" i="12"/>
  <c r="BB91" i="12"/>
  <c r="BY121" i="12"/>
  <c r="AZ122" i="13" s="1"/>
  <c r="BI121" i="12"/>
  <c r="AJ122" i="13" s="1"/>
  <c r="BY122" i="12"/>
  <c r="AZ123" i="13" s="1"/>
  <c r="BI122" i="12"/>
  <c r="AJ123" i="13" s="1"/>
  <c r="AS122" i="12"/>
  <c r="T123" i="13" s="1"/>
  <c r="BB121" i="12"/>
  <c r="AL121" i="12"/>
  <c r="CH103" i="12"/>
  <c r="BR103" i="12"/>
  <c r="BB103" i="12"/>
  <c r="AL103" i="12"/>
  <c r="CF120" i="12"/>
  <c r="BG121" i="13" s="1"/>
  <c r="BP120" i="12"/>
  <c r="AQ121" i="13" s="1"/>
  <c r="AJ120" i="12"/>
  <c r="K121" i="13" s="1"/>
  <c r="AZ120" i="12"/>
  <c r="AA121" i="13" s="1"/>
  <c r="BZ98" i="12"/>
  <c r="BA99" i="13" s="1"/>
  <c r="BJ98" i="12"/>
  <c r="AK99" i="13" s="1"/>
  <c r="AT98" i="12"/>
  <c r="U99" i="13" s="1"/>
  <c r="R88" i="12"/>
  <c r="BZ120" i="12"/>
  <c r="BA121" i="13" s="1"/>
  <c r="BJ120" i="12"/>
  <c r="AK121" i="13" s="1"/>
  <c r="AT120" i="12"/>
  <c r="U121" i="13" s="1"/>
  <c r="CH97" i="12"/>
  <c r="BR97" i="12"/>
  <c r="BB97" i="12"/>
  <c r="AL97" i="12"/>
  <c r="BX63" i="12"/>
  <c r="AY64" i="13" s="1"/>
  <c r="BH63" i="12"/>
  <c r="AI64" i="13" s="1"/>
  <c r="AR63" i="12"/>
  <c r="S64" i="13" s="1"/>
  <c r="CI3" i="12"/>
  <c r="BC3" i="12"/>
  <c r="BS3" i="12"/>
  <c r="U115" i="12"/>
  <c r="U109" i="12"/>
  <c r="U102" i="12"/>
  <c r="U96" i="12"/>
  <c r="CG46" i="12"/>
  <c r="BQ46" i="12"/>
  <c r="BA46" i="12"/>
  <c r="U122" i="12"/>
  <c r="U119" i="12"/>
  <c r="U114" i="12"/>
  <c r="U108" i="12"/>
  <c r="U95" i="12"/>
  <c r="T89" i="12"/>
  <c r="BZ92" i="12"/>
  <c r="BA93" i="13" s="1"/>
  <c r="BJ92" i="12"/>
  <c r="AK93" i="13" s="1"/>
  <c r="AT92" i="12"/>
  <c r="U93" i="13" s="1"/>
  <c r="U107" i="12"/>
  <c r="U94" i="12"/>
  <c r="T86" i="12"/>
  <c r="AM3" i="12"/>
  <c r="CF22" i="12"/>
  <c r="BP22" i="12"/>
  <c r="CA3" i="12"/>
  <c r="BK3" i="12"/>
  <c r="AU3" i="12"/>
  <c r="U113" i="12"/>
  <c r="CH88" i="12"/>
  <c r="BR88" i="12"/>
  <c r="BB88" i="12"/>
  <c r="AL88" i="12"/>
  <c r="U101" i="12"/>
  <c r="U118" i="12"/>
  <c r="U106" i="12"/>
  <c r="U100" i="12"/>
  <c r="U112" i="12"/>
  <c r="U99" i="12"/>
  <c r="U93" i="12"/>
  <c r="AZ22" i="12"/>
  <c r="BM84" i="12"/>
  <c r="AN85" i="13" s="1"/>
  <c r="AW84" i="12"/>
  <c r="X85" i="13" s="1"/>
  <c r="CC84" i="12"/>
  <c r="BD85" i="13" s="1"/>
  <c r="U120" i="12"/>
  <c r="U111" i="12"/>
  <c r="U105" i="12"/>
  <c r="U98" i="12"/>
  <c r="U92" i="12"/>
  <c r="T40" i="12"/>
  <c r="W7" i="12"/>
  <c r="W11" i="12"/>
  <c r="W15" i="12"/>
  <c r="W19" i="12"/>
  <c r="W23" i="12"/>
  <c r="W27" i="12"/>
  <c r="W31" i="12"/>
  <c r="W35" i="12"/>
  <c r="W39" i="12"/>
  <c r="W4" i="12"/>
  <c r="W6" i="12"/>
  <c r="W10" i="12"/>
  <c r="W14" i="12"/>
  <c r="W18" i="12"/>
  <c r="W22" i="12"/>
  <c r="W26" i="12"/>
  <c r="W30" i="12"/>
  <c r="W34" i="12"/>
  <c r="W38" i="12"/>
  <c r="W42" i="12"/>
  <c r="W46" i="12"/>
  <c r="W47" i="12"/>
  <c r="W48" i="12"/>
  <c r="W49" i="12"/>
  <c r="W50" i="12"/>
  <c r="W51" i="12"/>
  <c r="W52" i="12"/>
  <c r="W53" i="12"/>
  <c r="W9" i="12"/>
  <c r="W13" i="12"/>
  <c r="W17" i="12"/>
  <c r="W21" i="12"/>
  <c r="W25" i="12"/>
  <c r="W29" i="12"/>
  <c r="W33" i="12"/>
  <c r="W37" i="12"/>
  <c r="W5" i="12"/>
  <c r="W8" i="12"/>
  <c r="W12" i="12"/>
  <c r="W16" i="12"/>
  <c r="W20" i="12"/>
  <c r="W24" i="12"/>
  <c r="W28" i="12"/>
  <c r="W32" i="12"/>
  <c r="W36" i="12"/>
  <c r="W40" i="12"/>
  <c r="W44" i="12"/>
  <c r="W43" i="12"/>
  <c r="W45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41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88" i="12"/>
  <c r="W87" i="12"/>
  <c r="O7" i="12"/>
  <c r="O11" i="12"/>
  <c r="O15" i="12"/>
  <c r="O19" i="12"/>
  <c r="O23" i="12"/>
  <c r="O27" i="12"/>
  <c r="O31" i="12"/>
  <c r="O35" i="12"/>
  <c r="O39" i="12"/>
  <c r="O43" i="12"/>
  <c r="O4" i="12"/>
  <c r="O6" i="12"/>
  <c r="O10" i="12"/>
  <c r="O14" i="12"/>
  <c r="O18" i="12"/>
  <c r="O22" i="12"/>
  <c r="O26" i="12"/>
  <c r="O30" i="12"/>
  <c r="O34" i="12"/>
  <c r="O38" i="12"/>
  <c r="O42" i="12"/>
  <c r="O46" i="12"/>
  <c r="O47" i="12"/>
  <c r="O48" i="12"/>
  <c r="O49" i="12"/>
  <c r="O50" i="12"/>
  <c r="O51" i="12"/>
  <c r="O52" i="12"/>
  <c r="O53" i="12"/>
  <c r="O54" i="12"/>
  <c r="O9" i="12"/>
  <c r="O13" i="12"/>
  <c r="O17" i="12"/>
  <c r="O21" i="12"/>
  <c r="O25" i="12"/>
  <c r="O29" i="12"/>
  <c r="O33" i="12"/>
  <c r="O37" i="12"/>
  <c r="O41" i="12"/>
  <c r="O45" i="12"/>
  <c r="O32" i="12"/>
  <c r="O5" i="12"/>
  <c r="O28" i="12"/>
  <c r="O24" i="12"/>
  <c r="O44" i="12"/>
  <c r="O20" i="12"/>
  <c r="O55" i="12"/>
  <c r="O56" i="12"/>
  <c r="O57" i="12"/>
  <c r="O58" i="12"/>
  <c r="O16" i="12"/>
  <c r="O12" i="12"/>
  <c r="O8" i="12"/>
  <c r="O40" i="12"/>
  <c r="O36" i="12"/>
  <c r="P5" i="12"/>
  <c r="P8" i="12"/>
  <c r="P12" i="12"/>
  <c r="P16" i="12"/>
  <c r="P20" i="12"/>
  <c r="P24" i="12"/>
  <c r="P28" i="12"/>
  <c r="P32" i="12"/>
  <c r="P36" i="12"/>
  <c r="P40" i="12"/>
  <c r="P7" i="12"/>
  <c r="P11" i="12"/>
  <c r="P15" i="12"/>
  <c r="P19" i="12"/>
  <c r="P23" i="12"/>
  <c r="P27" i="12"/>
  <c r="P31" i="12"/>
  <c r="P35" i="12"/>
  <c r="P39" i="12"/>
  <c r="P43" i="12"/>
  <c r="P4" i="12"/>
  <c r="P6" i="12"/>
  <c r="P10" i="12"/>
  <c r="P14" i="12"/>
  <c r="P18" i="12"/>
  <c r="P22" i="12"/>
  <c r="P26" i="12"/>
  <c r="P30" i="12"/>
  <c r="P34" i="12"/>
  <c r="P38" i="12"/>
  <c r="P9" i="12"/>
  <c r="P13" i="12"/>
  <c r="P17" i="12"/>
  <c r="P21" i="12"/>
  <c r="P25" i="12"/>
  <c r="P29" i="12"/>
  <c r="P33" i="12"/>
  <c r="P37" i="12"/>
  <c r="P41" i="12"/>
  <c r="P45" i="12"/>
  <c r="P42" i="12"/>
  <c r="P52" i="12"/>
  <c r="P48" i="12"/>
  <c r="P44" i="12"/>
  <c r="P47" i="12"/>
  <c r="P51" i="12"/>
  <c r="P49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46" i="12"/>
  <c r="P53" i="12"/>
  <c r="X7" i="12"/>
  <c r="X11" i="12"/>
  <c r="X15" i="12"/>
  <c r="X19" i="12"/>
  <c r="X23" i="12"/>
  <c r="X27" i="12"/>
  <c r="X31" i="12"/>
  <c r="X35" i="12"/>
  <c r="X39" i="12"/>
  <c r="X43" i="12"/>
  <c r="X4" i="12"/>
  <c r="X6" i="12"/>
  <c r="X10" i="12"/>
  <c r="X14" i="12"/>
  <c r="X18" i="12"/>
  <c r="X22" i="12"/>
  <c r="X26" i="12"/>
  <c r="X30" i="12"/>
  <c r="X34" i="12"/>
  <c r="X38" i="12"/>
  <c r="X42" i="12"/>
  <c r="X9" i="12"/>
  <c r="X13" i="12"/>
  <c r="X17" i="12"/>
  <c r="X21" i="12"/>
  <c r="X25" i="12"/>
  <c r="X29" i="12"/>
  <c r="X33" i="12"/>
  <c r="X37" i="12"/>
  <c r="X41" i="12"/>
  <c r="X45" i="12"/>
  <c r="X5" i="12"/>
  <c r="X36" i="12"/>
  <c r="X40" i="12"/>
  <c r="X46" i="12"/>
  <c r="X32" i="12"/>
  <c r="X49" i="12"/>
  <c r="X51" i="12"/>
  <c r="X28" i="12"/>
  <c r="X24" i="12"/>
  <c r="X20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16" i="12"/>
  <c r="X44" i="12"/>
  <c r="X50" i="12"/>
  <c r="X53" i="12"/>
  <c r="X12" i="12"/>
  <c r="X47" i="12"/>
  <c r="X8" i="12"/>
  <c r="X86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52" i="12"/>
  <c r="X78" i="12"/>
  <c r="X79" i="12"/>
  <c r="X80" i="12"/>
  <c r="X81" i="12"/>
  <c r="X82" i="12"/>
  <c r="X83" i="12"/>
  <c r="X84" i="12"/>
  <c r="X88" i="12"/>
  <c r="X48" i="12"/>
  <c r="X85" i="12"/>
  <c r="X87" i="12"/>
  <c r="W3" i="12"/>
  <c r="J3" i="12"/>
  <c r="X3" i="12"/>
  <c r="Q5" i="12"/>
  <c r="Q8" i="12"/>
  <c r="Q12" i="12"/>
  <c r="Q16" i="12"/>
  <c r="Q20" i="12"/>
  <c r="Q24" i="12"/>
  <c r="Q28" i="12"/>
  <c r="Q32" i="12"/>
  <c r="Q36" i="12"/>
  <c r="Q40" i="12"/>
  <c r="Q44" i="12"/>
  <c r="Q7" i="12"/>
  <c r="Q11" i="12"/>
  <c r="Q15" i="12"/>
  <c r="Q19" i="12"/>
  <c r="Q23" i="12"/>
  <c r="Q27" i="12"/>
  <c r="Q31" i="12"/>
  <c r="Q35" i="12"/>
  <c r="Q39" i="12"/>
  <c r="Q43" i="12"/>
  <c r="Q4" i="12"/>
  <c r="Q6" i="12"/>
  <c r="Q10" i="12"/>
  <c r="Q14" i="12"/>
  <c r="Q18" i="12"/>
  <c r="Q22" i="12"/>
  <c r="Q26" i="12"/>
  <c r="Q30" i="12"/>
  <c r="Q34" i="12"/>
  <c r="Q38" i="12"/>
  <c r="Q42" i="12"/>
  <c r="Q46" i="12"/>
  <c r="Q47" i="12"/>
  <c r="Q9" i="12"/>
  <c r="Q45" i="12"/>
  <c r="Q50" i="12"/>
  <c r="Q37" i="12"/>
  <c r="Q52" i="12"/>
  <c r="Q33" i="12"/>
  <c r="Q29" i="12"/>
  <c r="Q41" i="12"/>
  <c r="Q48" i="12"/>
  <c r="Q25" i="12"/>
  <c r="Q51" i="12"/>
  <c r="Q21" i="12"/>
  <c r="Q49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17" i="12"/>
  <c r="Q79" i="12"/>
  <c r="Q80" i="12"/>
  <c r="Q13" i="12"/>
  <c r="Q78" i="12"/>
  <c r="Q53" i="12"/>
  <c r="Q77" i="12"/>
  <c r="K10" i="12"/>
  <c r="K14" i="12"/>
  <c r="K4" i="12"/>
  <c r="K6" i="12"/>
  <c r="K9" i="12"/>
  <c r="K13" i="12"/>
  <c r="K8" i="12"/>
  <c r="K12" i="12"/>
  <c r="K16" i="12"/>
  <c r="K5" i="12"/>
  <c r="K7" i="12"/>
  <c r="K11" i="12"/>
  <c r="K15" i="12"/>
  <c r="K3" i="12"/>
  <c r="Y3" i="12"/>
  <c r="R9" i="12"/>
  <c r="R13" i="12"/>
  <c r="R17" i="12"/>
  <c r="R21" i="12"/>
  <c r="R25" i="12"/>
  <c r="R29" i="12"/>
  <c r="R33" i="12"/>
  <c r="R37" i="12"/>
  <c r="R5" i="12"/>
  <c r="R8" i="12"/>
  <c r="R12" i="12"/>
  <c r="R16" i="12"/>
  <c r="R20" i="12"/>
  <c r="R24" i="12"/>
  <c r="R28" i="12"/>
  <c r="R32" i="12"/>
  <c r="R36" i="12"/>
  <c r="R40" i="12"/>
  <c r="R44" i="12"/>
  <c r="R7" i="12"/>
  <c r="R11" i="12"/>
  <c r="R15" i="12"/>
  <c r="R19" i="12"/>
  <c r="R23" i="12"/>
  <c r="R27" i="12"/>
  <c r="R31" i="12"/>
  <c r="R35" i="12"/>
  <c r="R39" i="12"/>
  <c r="R4" i="12"/>
  <c r="R6" i="12"/>
  <c r="R10" i="12"/>
  <c r="R14" i="12"/>
  <c r="R18" i="12"/>
  <c r="R22" i="12"/>
  <c r="R26" i="12"/>
  <c r="R30" i="12"/>
  <c r="R34" i="12"/>
  <c r="R38" i="12"/>
  <c r="R42" i="12"/>
  <c r="R46" i="12"/>
  <c r="R47" i="12"/>
  <c r="R53" i="12"/>
  <c r="R45" i="12"/>
  <c r="R50" i="12"/>
  <c r="R52" i="12"/>
  <c r="R41" i="12"/>
  <c r="R48" i="12"/>
  <c r="R51" i="12"/>
  <c r="R43" i="12"/>
  <c r="R49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7" i="12"/>
  <c r="R90" i="12"/>
  <c r="R86" i="12"/>
  <c r="R89" i="12"/>
  <c r="L4" i="12"/>
  <c r="L5" i="12"/>
  <c r="L6" i="12"/>
  <c r="L10" i="12"/>
  <c r="L14" i="12"/>
  <c r="L18" i="12"/>
  <c r="L22" i="12"/>
  <c r="L26" i="12"/>
  <c r="L9" i="12"/>
  <c r="L13" i="12"/>
  <c r="L17" i="12"/>
  <c r="L21" i="12"/>
  <c r="L25" i="12"/>
  <c r="L8" i="12"/>
  <c r="L12" i="12"/>
  <c r="L16" i="12"/>
  <c r="L20" i="12"/>
  <c r="L24" i="12"/>
  <c r="L23" i="12"/>
  <c r="L19" i="12"/>
  <c r="L15" i="12"/>
  <c r="L11" i="12"/>
  <c r="L7" i="12"/>
  <c r="L3" i="12"/>
  <c r="O3" i="12"/>
  <c r="Y8" i="12"/>
  <c r="Y12" i="12"/>
  <c r="Y16" i="12"/>
  <c r="Y20" i="12"/>
  <c r="Y24" i="12"/>
  <c r="Y28" i="12"/>
  <c r="Y32" i="12"/>
  <c r="Y36" i="12"/>
  <c r="Y7" i="12"/>
  <c r="Y11" i="12"/>
  <c r="Y15" i="12"/>
  <c r="Y19" i="12"/>
  <c r="Y23" i="12"/>
  <c r="Y27" i="12"/>
  <c r="Y31" i="12"/>
  <c r="Y35" i="12"/>
  <c r="Y39" i="12"/>
  <c r="Y43" i="12"/>
  <c r="Y4" i="12"/>
  <c r="Y6" i="12"/>
  <c r="Y10" i="12"/>
  <c r="Y14" i="12"/>
  <c r="Y18" i="12"/>
  <c r="Y22" i="12"/>
  <c r="Y26" i="12"/>
  <c r="Y30" i="12"/>
  <c r="Y34" i="12"/>
  <c r="Y38" i="12"/>
  <c r="Y46" i="12"/>
  <c r="Y47" i="12"/>
  <c r="Y9" i="12"/>
  <c r="Y13" i="12"/>
  <c r="Y17" i="12"/>
  <c r="Y21" i="12"/>
  <c r="Y25" i="12"/>
  <c r="Y29" i="12"/>
  <c r="Y33" i="12"/>
  <c r="Y37" i="12"/>
  <c r="Y41" i="12"/>
  <c r="Y45" i="12"/>
  <c r="Y48" i="12"/>
  <c r="Y52" i="12"/>
  <c r="Y40" i="12"/>
  <c r="Y5" i="12"/>
  <c r="Y49" i="12"/>
  <c r="Y51" i="12"/>
  <c r="Y42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44" i="12"/>
  <c r="Y50" i="12"/>
  <c r="Y53" i="12"/>
  <c r="Y86" i="12"/>
  <c r="Y76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78" i="12"/>
  <c r="Y79" i="12"/>
  <c r="Y80" i="12"/>
  <c r="Y81" i="12"/>
  <c r="Y82" i="12"/>
  <c r="Y83" i="12"/>
  <c r="Y84" i="12"/>
  <c r="Y88" i="12"/>
  <c r="Y85" i="12"/>
  <c r="J4" i="12"/>
  <c r="J5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" i="12"/>
  <c r="P3" i="12"/>
  <c r="P50" i="12"/>
  <c r="N7" i="12"/>
  <c r="N11" i="12"/>
  <c r="N15" i="12"/>
  <c r="N19" i="12"/>
  <c r="N23" i="12"/>
  <c r="N27" i="12"/>
  <c r="N31" i="12"/>
  <c r="N35" i="12"/>
  <c r="N39" i="12"/>
  <c r="N4" i="12"/>
  <c r="N6" i="12"/>
  <c r="N10" i="12"/>
  <c r="N14" i="12"/>
  <c r="N18" i="12"/>
  <c r="N22" i="12"/>
  <c r="N26" i="12"/>
  <c r="N30" i="12"/>
  <c r="N34" i="12"/>
  <c r="N38" i="12"/>
  <c r="N42" i="12"/>
  <c r="N46" i="12"/>
  <c r="N47" i="12"/>
  <c r="N48" i="12"/>
  <c r="N9" i="12"/>
  <c r="N13" i="12"/>
  <c r="N17" i="12"/>
  <c r="N21" i="12"/>
  <c r="N25" i="12"/>
  <c r="N29" i="12"/>
  <c r="N33" i="12"/>
  <c r="N37" i="12"/>
  <c r="N5" i="12"/>
  <c r="N8" i="12"/>
  <c r="N12" i="12"/>
  <c r="N16" i="12"/>
  <c r="N20" i="12"/>
  <c r="N24" i="12"/>
  <c r="N28" i="12"/>
  <c r="N32" i="12"/>
  <c r="N36" i="12"/>
  <c r="N40" i="12"/>
  <c r="N44" i="12"/>
  <c r="N41" i="12"/>
  <c r="N43" i="12"/>
  <c r="N45" i="12"/>
  <c r="V4" i="12"/>
  <c r="V6" i="12"/>
  <c r="V10" i="12"/>
  <c r="V14" i="12"/>
  <c r="V18" i="12"/>
  <c r="V22" i="12"/>
  <c r="V26" i="12"/>
  <c r="V30" i="12"/>
  <c r="V34" i="12"/>
  <c r="V38" i="12"/>
  <c r="V42" i="12"/>
  <c r="V46" i="12"/>
  <c r="V47" i="12"/>
  <c r="V48" i="12"/>
  <c r="V49" i="12"/>
  <c r="V50" i="12"/>
  <c r="V51" i="12"/>
  <c r="V9" i="12"/>
  <c r="V13" i="12"/>
  <c r="V17" i="12"/>
  <c r="V21" i="12"/>
  <c r="V25" i="12"/>
  <c r="V29" i="12"/>
  <c r="V33" i="12"/>
  <c r="V37" i="12"/>
  <c r="V41" i="12"/>
  <c r="V45" i="12"/>
  <c r="V5" i="12"/>
  <c r="V8" i="12"/>
  <c r="V12" i="12"/>
  <c r="V16" i="12"/>
  <c r="V20" i="12"/>
  <c r="V24" i="12"/>
  <c r="V28" i="12"/>
  <c r="V32" i="12"/>
  <c r="V36" i="12"/>
  <c r="V40" i="12"/>
  <c r="V44" i="12"/>
  <c r="V27" i="12"/>
  <c r="V23" i="12"/>
  <c r="V19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15" i="12"/>
  <c r="V11" i="12"/>
  <c r="V53" i="12"/>
  <c r="V7" i="12"/>
  <c r="V39" i="12"/>
  <c r="V35" i="12"/>
  <c r="V52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43" i="12"/>
  <c r="V31" i="12"/>
  <c r="Q3" i="12"/>
  <c r="Y77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S89" i="12"/>
  <c r="S86" i="12"/>
  <c r="S77" i="12"/>
  <c r="S74" i="12"/>
  <c r="S70" i="12"/>
  <c r="S66" i="12"/>
  <c r="S62" i="12"/>
  <c r="S58" i="12"/>
  <c r="S54" i="12"/>
  <c r="S49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U87" i="12"/>
  <c r="U85" i="12"/>
  <c r="S73" i="12"/>
  <c r="S69" i="12"/>
  <c r="S65" i="12"/>
  <c r="S61" i="12"/>
  <c r="S57" i="12"/>
  <c r="T87" i="12"/>
  <c r="T85" i="12"/>
  <c r="S9" i="12"/>
  <c r="S13" i="12"/>
  <c r="S17" i="12"/>
  <c r="S21" i="12"/>
  <c r="S25" i="12"/>
  <c r="S29" i="12"/>
  <c r="S33" i="12"/>
  <c r="S37" i="12"/>
  <c r="S41" i="12"/>
  <c r="S45" i="12"/>
  <c r="S5" i="12"/>
  <c r="S8" i="12"/>
  <c r="S12" i="12"/>
  <c r="S16" i="12"/>
  <c r="S20" i="12"/>
  <c r="S24" i="12"/>
  <c r="S28" i="12"/>
  <c r="S32" i="12"/>
  <c r="S36" i="12"/>
  <c r="S40" i="12"/>
  <c r="S44" i="12"/>
  <c r="S7" i="12"/>
  <c r="S11" i="12"/>
  <c r="S15" i="12"/>
  <c r="S19" i="12"/>
  <c r="S23" i="12"/>
  <c r="S27" i="12"/>
  <c r="S31" i="12"/>
  <c r="S35" i="12"/>
  <c r="S39" i="12"/>
  <c r="S43" i="12"/>
  <c r="S4" i="12"/>
  <c r="S18" i="12"/>
  <c r="S14" i="12"/>
  <c r="S42" i="12"/>
  <c r="S53" i="12"/>
  <c r="S10" i="12"/>
  <c r="S50" i="12"/>
  <c r="S6" i="12"/>
  <c r="S38" i="12"/>
  <c r="S52" i="12"/>
  <c r="S34" i="12"/>
  <c r="S47" i="12"/>
  <c r="S30" i="12"/>
  <c r="S48" i="12"/>
  <c r="S26" i="12"/>
  <c r="S46" i="12"/>
  <c r="S51" i="12"/>
  <c r="S3" i="12"/>
  <c r="S87" i="12"/>
  <c r="S85" i="12"/>
  <c r="S84" i="12"/>
  <c r="S83" i="12"/>
  <c r="S82" i="12"/>
  <c r="S81" i="12"/>
  <c r="S80" i="12"/>
  <c r="S79" i="12"/>
  <c r="S78" i="12"/>
  <c r="S76" i="12"/>
  <c r="S72" i="12"/>
  <c r="S68" i="12"/>
  <c r="S64" i="12"/>
  <c r="S60" i="12"/>
  <c r="S56" i="12"/>
  <c r="T4" i="12"/>
  <c r="T5" i="12"/>
  <c r="T6" i="12"/>
  <c r="T10" i="12"/>
  <c r="T14" i="12"/>
  <c r="T18" i="12"/>
  <c r="T22" i="12"/>
  <c r="T26" i="12"/>
  <c r="T30" i="12"/>
  <c r="T34" i="12"/>
  <c r="T38" i="12"/>
  <c r="T9" i="12"/>
  <c r="T13" i="12"/>
  <c r="T17" i="12"/>
  <c r="T21" i="12"/>
  <c r="T25" i="12"/>
  <c r="T29" i="12"/>
  <c r="T33" i="12"/>
  <c r="T37" i="12"/>
  <c r="T41" i="12"/>
  <c r="T45" i="12"/>
  <c r="T8" i="12"/>
  <c r="T12" i="12"/>
  <c r="T16" i="12"/>
  <c r="T20" i="12"/>
  <c r="T24" i="12"/>
  <c r="T28" i="12"/>
  <c r="T32" i="12"/>
  <c r="T36" i="12"/>
  <c r="T7" i="12"/>
  <c r="T11" i="12"/>
  <c r="T15" i="12"/>
  <c r="T19" i="12"/>
  <c r="T23" i="12"/>
  <c r="T27" i="12"/>
  <c r="T31" i="12"/>
  <c r="T35" i="12"/>
  <c r="T39" i="12"/>
  <c r="T43" i="12"/>
  <c r="T49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42" i="12"/>
  <c r="T53" i="12"/>
  <c r="T50" i="12"/>
  <c r="T44" i="12"/>
  <c r="T52" i="12"/>
  <c r="T47" i="12"/>
  <c r="T48" i="12"/>
  <c r="T3" i="12"/>
  <c r="T88" i="12"/>
  <c r="T51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1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53" i="12"/>
  <c r="U50" i="12"/>
  <c r="U52" i="12"/>
  <c r="U3" i="12"/>
  <c r="U89" i="12"/>
  <c r="S88" i="12"/>
  <c r="U86" i="12"/>
  <c r="S75" i="12"/>
  <c r="S71" i="12"/>
  <c r="S67" i="12"/>
  <c r="S63" i="12"/>
  <c r="S59" i="12"/>
  <c r="S55" i="12"/>
  <c r="U19" i="11"/>
  <c r="V13" i="11"/>
  <c r="U14" i="11"/>
  <c r="BR90" i="12" l="1"/>
  <c r="BB90" i="12"/>
  <c r="AL117" i="12"/>
  <c r="AL104" i="12"/>
  <c r="BB104" i="12"/>
  <c r="BR117" i="12"/>
  <c r="BR104" i="12"/>
  <c r="BR121" i="12"/>
  <c r="BZ110" i="12"/>
  <c r="BA111" i="13" s="1"/>
  <c r="CH90" i="12"/>
  <c r="AL91" i="12"/>
  <c r="AL116" i="12"/>
  <c r="AT110" i="12"/>
  <c r="U111" i="13" s="1"/>
  <c r="BJ110" i="12"/>
  <c r="AK111" i="13" s="1"/>
  <c r="BR91" i="12"/>
  <c r="BR116" i="12"/>
  <c r="CG112" i="12"/>
  <c r="BH113" i="13" s="1"/>
  <c r="BQ112" i="12"/>
  <c r="AR113" i="13" s="1"/>
  <c r="BA112" i="12"/>
  <c r="AB113" i="13" s="1"/>
  <c r="AK112" i="12"/>
  <c r="L113" i="13" s="1"/>
  <c r="CI64" i="12"/>
  <c r="BS64" i="12"/>
  <c r="BC64" i="12"/>
  <c r="AM64" i="12"/>
  <c r="CH3" i="12"/>
  <c r="BR3" i="12"/>
  <c r="AL3" i="12"/>
  <c r="BB3" i="12"/>
  <c r="CH29" i="12"/>
  <c r="BR29" i="12"/>
  <c r="BB29" i="12"/>
  <c r="AL29" i="12"/>
  <c r="CG28" i="12"/>
  <c r="BQ28" i="12"/>
  <c r="BA28" i="12"/>
  <c r="AK28" i="12"/>
  <c r="CI105" i="12"/>
  <c r="BS105" i="12"/>
  <c r="BC105" i="12"/>
  <c r="AM105" i="12"/>
  <c r="CH56" i="12"/>
  <c r="BR56" i="12"/>
  <c r="BB56" i="12"/>
  <c r="AL56" i="12"/>
  <c r="CG64" i="12"/>
  <c r="BQ64" i="12"/>
  <c r="BA64" i="12"/>
  <c r="AK64" i="12"/>
  <c r="CF42" i="12"/>
  <c r="BP42" i="12"/>
  <c r="AJ42" i="12"/>
  <c r="AZ42" i="12"/>
  <c r="CG120" i="12"/>
  <c r="BH121" i="13" s="1"/>
  <c r="BQ120" i="12"/>
  <c r="AR121" i="13" s="1"/>
  <c r="BA120" i="12"/>
  <c r="AB121" i="13" s="1"/>
  <c r="AK120" i="12"/>
  <c r="L121" i="13" s="1"/>
  <c r="CH80" i="12"/>
  <c r="BR80" i="12"/>
  <c r="BB80" i="12"/>
  <c r="AL80" i="12"/>
  <c r="CH21" i="12"/>
  <c r="BR21" i="12"/>
  <c r="BB21" i="12"/>
  <c r="AL21" i="12"/>
  <c r="CG56" i="12"/>
  <c r="BQ56" i="12"/>
  <c r="BA56" i="12"/>
  <c r="AK56" i="12"/>
  <c r="CF85" i="12"/>
  <c r="BP85" i="12"/>
  <c r="AZ85" i="12"/>
  <c r="AJ85" i="12"/>
  <c r="CF17" i="12"/>
  <c r="BP17" i="12"/>
  <c r="AJ17" i="12"/>
  <c r="AZ17" i="12"/>
  <c r="CI121" i="12"/>
  <c r="BS121" i="12"/>
  <c r="BC121" i="12"/>
  <c r="AM121" i="12"/>
  <c r="CF59" i="12"/>
  <c r="BP59" i="12"/>
  <c r="AZ59" i="12"/>
  <c r="AJ59" i="12"/>
  <c r="CH37" i="12"/>
  <c r="BR37" i="12"/>
  <c r="BB37" i="12"/>
  <c r="AL37" i="12"/>
  <c r="CG80" i="12"/>
  <c r="BQ80" i="12"/>
  <c r="BA80" i="12"/>
  <c r="AK80" i="12"/>
  <c r="BQ6" i="12"/>
  <c r="CG6" i="12"/>
  <c r="BA6" i="12"/>
  <c r="AK6" i="12"/>
  <c r="CF5" i="12"/>
  <c r="BP5" i="12"/>
  <c r="AJ5" i="12"/>
  <c r="AZ5" i="12"/>
  <c r="CI52" i="12"/>
  <c r="BS52" i="12"/>
  <c r="BC52" i="12"/>
  <c r="AM52" i="12"/>
  <c r="CH72" i="12"/>
  <c r="BR72" i="12"/>
  <c r="BB72" i="12"/>
  <c r="AL72" i="12"/>
  <c r="CH45" i="12"/>
  <c r="BR45" i="12"/>
  <c r="BB45" i="12"/>
  <c r="AL45" i="12"/>
  <c r="CH13" i="12"/>
  <c r="BR13" i="12"/>
  <c r="AL13" i="12"/>
  <c r="BB13" i="12"/>
  <c r="CG44" i="12"/>
  <c r="BQ44" i="12"/>
  <c r="BA44" i="12"/>
  <c r="AK44" i="12"/>
  <c r="CG72" i="12"/>
  <c r="BQ72" i="12"/>
  <c r="BA72" i="12"/>
  <c r="AK72" i="12"/>
  <c r="CG27" i="12"/>
  <c r="BQ27" i="12"/>
  <c r="BA27" i="12"/>
  <c r="AK27" i="12"/>
  <c r="BQ38" i="12"/>
  <c r="CG38" i="12"/>
  <c r="BA38" i="12"/>
  <c r="AK38" i="12"/>
  <c r="CF76" i="12"/>
  <c r="BP76" i="12"/>
  <c r="AZ76" i="12"/>
  <c r="AJ76" i="12"/>
  <c r="CF27" i="12"/>
  <c r="BP27" i="12"/>
  <c r="AZ27" i="12"/>
  <c r="AJ27" i="12"/>
  <c r="CF94" i="12"/>
  <c r="BP94" i="12"/>
  <c r="AJ94" i="12"/>
  <c r="AZ94" i="12"/>
  <c r="CF86" i="12"/>
  <c r="BP86" i="12"/>
  <c r="AJ86" i="12"/>
  <c r="AZ86" i="12"/>
  <c r="CI113" i="12"/>
  <c r="BS113" i="12"/>
  <c r="BC113" i="12"/>
  <c r="AM113" i="12"/>
  <c r="CH64" i="12"/>
  <c r="BR64" i="12"/>
  <c r="BB64" i="12"/>
  <c r="AL64" i="12"/>
  <c r="CH5" i="12"/>
  <c r="BR5" i="12"/>
  <c r="AL5" i="12"/>
  <c r="BB5" i="12"/>
  <c r="CG37" i="12"/>
  <c r="BQ37" i="12"/>
  <c r="BA37" i="12"/>
  <c r="AK37" i="12"/>
  <c r="CF47" i="12"/>
  <c r="BP47" i="12"/>
  <c r="AZ47" i="12"/>
  <c r="AJ47" i="12"/>
  <c r="CF36" i="12"/>
  <c r="BP36" i="12"/>
  <c r="AZ36" i="12"/>
  <c r="AJ36" i="12"/>
  <c r="CF69" i="12"/>
  <c r="BP69" i="12"/>
  <c r="AZ69" i="12"/>
  <c r="AJ69" i="12"/>
  <c r="CF102" i="12"/>
  <c r="BG103" i="13" s="1"/>
  <c r="BP102" i="12"/>
  <c r="AQ103" i="13" s="1"/>
  <c r="AJ102" i="12"/>
  <c r="K103" i="13" s="1"/>
  <c r="AZ102" i="12"/>
  <c r="AA103" i="13" s="1"/>
  <c r="CF110" i="12"/>
  <c r="BG111" i="13" s="1"/>
  <c r="BP110" i="12"/>
  <c r="AQ111" i="13" s="1"/>
  <c r="AJ110" i="12"/>
  <c r="K111" i="13" s="1"/>
  <c r="AZ110" i="12"/>
  <c r="AA111" i="13" s="1"/>
  <c r="CF49" i="12"/>
  <c r="BP49" i="12"/>
  <c r="AZ49" i="12"/>
  <c r="AJ49" i="12"/>
  <c r="CG96" i="12"/>
  <c r="BQ96" i="12"/>
  <c r="BA96" i="12"/>
  <c r="AK96" i="12"/>
  <c r="CG104" i="12"/>
  <c r="BQ104" i="12"/>
  <c r="BA104" i="12"/>
  <c r="AK104" i="12"/>
  <c r="CI97" i="12"/>
  <c r="BS97" i="12"/>
  <c r="BC97" i="12"/>
  <c r="AM97" i="12"/>
  <c r="CA104" i="12"/>
  <c r="BB105" i="13" s="1"/>
  <c r="BK104" i="12"/>
  <c r="AL105" i="13" s="1"/>
  <c r="AU104" i="12"/>
  <c r="V105" i="13" s="1"/>
  <c r="CA9" i="12"/>
  <c r="BK9" i="12"/>
  <c r="AE9" i="12"/>
  <c r="AU9" i="12"/>
  <c r="BZ60" i="12"/>
  <c r="BA61" i="13" s="1"/>
  <c r="BJ60" i="12"/>
  <c r="AK61" i="13" s="1"/>
  <c r="AT60" i="12"/>
  <c r="U61" i="13" s="1"/>
  <c r="AD60" i="12"/>
  <c r="E61" i="13" s="1"/>
  <c r="BW34" i="12"/>
  <c r="AX35" i="13" s="1"/>
  <c r="BG34" i="12"/>
  <c r="AH35" i="13" s="1"/>
  <c r="AQ34" i="12"/>
  <c r="R35" i="13" s="1"/>
  <c r="CL115" i="12"/>
  <c r="BV115" i="12"/>
  <c r="BF115" i="12"/>
  <c r="AP115" i="12"/>
  <c r="CL49" i="12"/>
  <c r="BV49" i="12"/>
  <c r="BF49" i="12"/>
  <c r="AP49" i="12"/>
  <c r="BX119" i="12"/>
  <c r="AY120" i="13" s="1"/>
  <c r="BH119" i="12"/>
  <c r="AI120" i="13" s="1"/>
  <c r="BY84" i="12"/>
  <c r="AZ85" i="13" s="1"/>
  <c r="BI84" i="12"/>
  <c r="AJ85" i="13" s="1"/>
  <c r="AS84" i="12"/>
  <c r="T85" i="13" s="1"/>
  <c r="BY26" i="12"/>
  <c r="BI26" i="12"/>
  <c r="AC26" i="12"/>
  <c r="AS26" i="12"/>
  <c r="CE78" i="12"/>
  <c r="BO78" i="12"/>
  <c r="AY78" i="12"/>
  <c r="AI78" i="12"/>
  <c r="CE17" i="12"/>
  <c r="BO17" i="12"/>
  <c r="AI17" i="12"/>
  <c r="AY17" i="12"/>
  <c r="BX91" i="12"/>
  <c r="AY92" i="13" s="1"/>
  <c r="BH91" i="12"/>
  <c r="AI92" i="13" s="1"/>
  <c r="BX41" i="12"/>
  <c r="AY42" i="13" s="1"/>
  <c r="BH41" i="12"/>
  <c r="AI42" i="13" s="1"/>
  <c r="AR41" i="12"/>
  <c r="S42" i="13" s="1"/>
  <c r="BN81" i="12"/>
  <c r="AO82" i="13" s="1"/>
  <c r="AX81" i="12"/>
  <c r="Y82" i="13" s="1"/>
  <c r="AH81" i="12"/>
  <c r="I82" i="13" s="1"/>
  <c r="CD81" i="12"/>
  <c r="BE82" i="13" s="1"/>
  <c r="CD40" i="12"/>
  <c r="AX40" i="12"/>
  <c r="AH40" i="12"/>
  <c r="BN40" i="12"/>
  <c r="CK47" i="12"/>
  <c r="BU47" i="12"/>
  <c r="AO47" i="12"/>
  <c r="BE47" i="12"/>
  <c r="CK31" i="12"/>
  <c r="AO31" i="12"/>
  <c r="BU31" i="12"/>
  <c r="BE31" i="12"/>
  <c r="CC61" i="12"/>
  <c r="BM61" i="12"/>
  <c r="AW61" i="12"/>
  <c r="AG61" i="12"/>
  <c r="CB108" i="12"/>
  <c r="BC109" i="13" s="1"/>
  <c r="BL108" i="12"/>
  <c r="AM109" i="13" s="1"/>
  <c r="AV108" i="12"/>
  <c r="W109" i="13" s="1"/>
  <c r="AF108" i="12"/>
  <c r="G109" i="13" s="1"/>
  <c r="CB20" i="12"/>
  <c r="BL20" i="12"/>
  <c r="AV20" i="12"/>
  <c r="AF20" i="12"/>
  <c r="CJ107" i="12"/>
  <c r="BT107" i="12"/>
  <c r="BD107" i="12"/>
  <c r="AN107" i="12"/>
  <c r="CJ58" i="12"/>
  <c r="BT58" i="12"/>
  <c r="BD58" i="12"/>
  <c r="AN58" i="12"/>
  <c r="CJ18" i="12"/>
  <c r="BT18" i="12"/>
  <c r="BD18" i="12"/>
  <c r="AN18" i="12"/>
  <c r="CH108" i="12"/>
  <c r="BR108" i="12"/>
  <c r="BB108" i="12"/>
  <c r="AL108" i="12"/>
  <c r="CF63" i="12"/>
  <c r="BP63" i="12"/>
  <c r="AZ63" i="12"/>
  <c r="AJ63" i="12"/>
  <c r="CH71" i="12"/>
  <c r="BR71" i="12"/>
  <c r="BB71" i="12"/>
  <c r="AL71" i="12"/>
  <c r="CH55" i="12"/>
  <c r="BR55" i="12"/>
  <c r="BB55" i="12"/>
  <c r="AL55" i="12"/>
  <c r="CH36" i="12"/>
  <c r="BR36" i="12"/>
  <c r="BB36" i="12"/>
  <c r="AL36" i="12"/>
  <c r="CH20" i="12"/>
  <c r="BR20" i="12"/>
  <c r="BB20" i="12"/>
  <c r="AL20" i="12"/>
  <c r="CG50" i="12"/>
  <c r="BQ50" i="12"/>
  <c r="BA50" i="12"/>
  <c r="AK50" i="12"/>
  <c r="CG79" i="12"/>
  <c r="BQ79" i="12"/>
  <c r="AK79" i="12"/>
  <c r="BA79" i="12"/>
  <c r="CG71" i="12"/>
  <c r="BQ71" i="12"/>
  <c r="BA71" i="12"/>
  <c r="AK71" i="12"/>
  <c r="CG63" i="12"/>
  <c r="BQ63" i="12"/>
  <c r="BA63" i="12"/>
  <c r="AK63" i="12"/>
  <c r="CG55" i="12"/>
  <c r="BQ55" i="12"/>
  <c r="BA55" i="12"/>
  <c r="AK55" i="12"/>
  <c r="CG23" i="12"/>
  <c r="BQ23" i="12"/>
  <c r="AK23" i="12"/>
  <c r="BA23" i="12"/>
  <c r="CG24" i="12"/>
  <c r="BQ24" i="12"/>
  <c r="BA24" i="12"/>
  <c r="AK24" i="12"/>
  <c r="CG33" i="12"/>
  <c r="BQ33" i="12"/>
  <c r="BA33" i="12"/>
  <c r="AK33" i="12"/>
  <c r="BQ34" i="12"/>
  <c r="CG34" i="12"/>
  <c r="BA34" i="12"/>
  <c r="AK34" i="12"/>
  <c r="CG5" i="12"/>
  <c r="BQ5" i="12"/>
  <c r="BA5" i="12"/>
  <c r="AK5" i="12"/>
  <c r="CF78" i="12"/>
  <c r="BP78" i="12"/>
  <c r="AJ78" i="12"/>
  <c r="AZ78" i="12"/>
  <c r="CF87" i="12"/>
  <c r="BP87" i="12"/>
  <c r="AZ87" i="12"/>
  <c r="AJ87" i="12"/>
  <c r="CF34" i="12"/>
  <c r="BP34" i="12"/>
  <c r="AJ34" i="12"/>
  <c r="AZ34" i="12"/>
  <c r="CF14" i="12"/>
  <c r="BP14" i="12"/>
  <c r="AZ14" i="12"/>
  <c r="AJ14" i="12"/>
  <c r="CF23" i="12"/>
  <c r="BP23" i="12"/>
  <c r="AZ23" i="12"/>
  <c r="AJ23" i="12"/>
  <c r="CF32" i="12"/>
  <c r="BP32" i="12"/>
  <c r="AZ32" i="12"/>
  <c r="AJ32" i="12"/>
  <c r="CF45" i="12"/>
  <c r="BP45" i="12"/>
  <c r="AZ45" i="12"/>
  <c r="AJ45" i="12"/>
  <c r="CF13" i="12"/>
  <c r="BP13" i="12"/>
  <c r="AJ13" i="12"/>
  <c r="AZ13" i="12"/>
  <c r="CF73" i="12"/>
  <c r="BP73" i="12"/>
  <c r="AZ73" i="12"/>
  <c r="AJ73" i="12"/>
  <c r="CF95" i="12"/>
  <c r="BP95" i="12"/>
  <c r="AZ95" i="12"/>
  <c r="AJ95" i="12"/>
  <c r="CF103" i="12"/>
  <c r="BG104" i="13" s="1"/>
  <c r="BP103" i="12"/>
  <c r="AQ104" i="13" s="1"/>
  <c r="AZ103" i="12"/>
  <c r="AA104" i="13" s="1"/>
  <c r="AJ103" i="12"/>
  <c r="K104" i="13" s="1"/>
  <c r="CF111" i="12"/>
  <c r="BG112" i="13" s="1"/>
  <c r="BP111" i="12"/>
  <c r="AQ112" i="13" s="1"/>
  <c r="AZ111" i="12"/>
  <c r="AA112" i="13" s="1"/>
  <c r="AJ111" i="12"/>
  <c r="K112" i="13" s="1"/>
  <c r="CF54" i="12"/>
  <c r="BP54" i="12"/>
  <c r="AJ54" i="12"/>
  <c r="AZ54" i="12"/>
  <c r="CF89" i="12"/>
  <c r="BP89" i="12"/>
  <c r="AZ89" i="12"/>
  <c r="AJ89" i="12"/>
  <c r="CG97" i="12"/>
  <c r="BQ97" i="12"/>
  <c r="BA97" i="12"/>
  <c r="AK97" i="12"/>
  <c r="CG105" i="12"/>
  <c r="BQ105" i="12"/>
  <c r="BA105" i="12"/>
  <c r="AK105" i="12"/>
  <c r="CG113" i="12"/>
  <c r="BH114" i="13" s="1"/>
  <c r="BQ113" i="12"/>
  <c r="AR114" i="13" s="1"/>
  <c r="BA113" i="12"/>
  <c r="AB114" i="13" s="1"/>
  <c r="AK113" i="12"/>
  <c r="L114" i="13" s="1"/>
  <c r="CL77" i="12"/>
  <c r="BF77" i="12"/>
  <c r="AP77" i="12"/>
  <c r="BV77" i="12"/>
  <c r="CI120" i="12"/>
  <c r="BS120" i="12"/>
  <c r="BC120" i="12"/>
  <c r="AM120" i="12"/>
  <c r="CI112" i="12"/>
  <c r="BS112" i="12"/>
  <c r="BC112" i="12"/>
  <c r="AM112" i="12"/>
  <c r="CI104" i="12"/>
  <c r="BS104" i="12"/>
  <c r="BC104" i="12"/>
  <c r="AM104" i="12"/>
  <c r="CI96" i="12"/>
  <c r="BS96" i="12"/>
  <c r="BC96" i="12"/>
  <c r="AM96" i="12"/>
  <c r="CI35" i="12"/>
  <c r="BS35" i="12"/>
  <c r="BC35" i="12"/>
  <c r="AM35" i="12"/>
  <c r="CI87" i="12"/>
  <c r="BS87" i="12"/>
  <c r="BC87" i="12"/>
  <c r="AM87" i="12"/>
  <c r="CI79" i="12"/>
  <c r="BS79" i="12"/>
  <c r="BC79" i="12"/>
  <c r="AM79" i="12"/>
  <c r="CI71" i="12"/>
  <c r="BS71" i="12"/>
  <c r="BC71" i="12"/>
  <c r="AM71" i="12"/>
  <c r="CI63" i="12"/>
  <c r="BS63" i="12"/>
  <c r="BC63" i="12"/>
  <c r="AM63" i="12"/>
  <c r="CI55" i="12"/>
  <c r="BS55" i="12"/>
  <c r="BC55" i="12"/>
  <c r="AM55" i="12"/>
  <c r="CI32" i="12"/>
  <c r="BS32" i="12"/>
  <c r="BC32" i="12"/>
  <c r="AM32" i="12"/>
  <c r="CI45" i="12"/>
  <c r="BS45" i="12"/>
  <c r="BC45" i="12"/>
  <c r="AM45" i="12"/>
  <c r="CI13" i="12"/>
  <c r="BS13" i="12"/>
  <c r="AM13" i="12"/>
  <c r="BC13" i="12"/>
  <c r="CI42" i="12"/>
  <c r="BS42" i="12"/>
  <c r="BC42" i="12"/>
  <c r="AM42" i="12"/>
  <c r="CI10" i="12"/>
  <c r="BS10" i="12"/>
  <c r="BC10" i="12"/>
  <c r="AM10" i="12"/>
  <c r="CA119" i="12"/>
  <c r="BB120" i="13" s="1"/>
  <c r="BK119" i="12"/>
  <c r="AL120" i="13" s="1"/>
  <c r="AU119" i="12"/>
  <c r="V120" i="13" s="1"/>
  <c r="CA111" i="12"/>
  <c r="BB112" i="13" s="1"/>
  <c r="BK111" i="12"/>
  <c r="AL112" i="13" s="1"/>
  <c r="AU111" i="12"/>
  <c r="V112" i="13" s="1"/>
  <c r="CA103" i="12"/>
  <c r="BB104" i="13" s="1"/>
  <c r="BK103" i="12"/>
  <c r="AL104" i="13" s="1"/>
  <c r="AU103" i="12"/>
  <c r="V104" i="13" s="1"/>
  <c r="CA95" i="12"/>
  <c r="BB96" i="13" s="1"/>
  <c r="BK95" i="12"/>
  <c r="AL96" i="13" s="1"/>
  <c r="AU95" i="12"/>
  <c r="V96" i="13" s="1"/>
  <c r="AE95" i="12"/>
  <c r="F96" i="13" s="1"/>
  <c r="CA54" i="12"/>
  <c r="BB55" i="13" s="1"/>
  <c r="BK54" i="12"/>
  <c r="AL55" i="13" s="1"/>
  <c r="AU54" i="12"/>
  <c r="V55" i="13" s="1"/>
  <c r="AE54" i="12"/>
  <c r="F55" i="13" s="1"/>
  <c r="CA82" i="12"/>
  <c r="BB83" i="13" s="1"/>
  <c r="BK82" i="12"/>
  <c r="AL83" i="13" s="1"/>
  <c r="AU82" i="12"/>
  <c r="V83" i="13" s="1"/>
  <c r="AE82" i="12"/>
  <c r="F83" i="13" s="1"/>
  <c r="CA74" i="12"/>
  <c r="BB75" i="13" s="1"/>
  <c r="BK74" i="12"/>
  <c r="AL75" i="13" s="1"/>
  <c r="AU74" i="12"/>
  <c r="V75" i="13" s="1"/>
  <c r="AE74" i="12"/>
  <c r="F75" i="13" s="1"/>
  <c r="CA66" i="12"/>
  <c r="BB67" i="13" s="1"/>
  <c r="BK66" i="12"/>
  <c r="AL67" i="13" s="1"/>
  <c r="AU66" i="12"/>
  <c r="V67" i="13" s="1"/>
  <c r="AE66" i="12"/>
  <c r="F67" i="13" s="1"/>
  <c r="CA58" i="12"/>
  <c r="BB59" i="13" s="1"/>
  <c r="BK58" i="12"/>
  <c r="AL59" i="13" s="1"/>
  <c r="AU58" i="12"/>
  <c r="V59" i="13" s="1"/>
  <c r="AE58" i="12"/>
  <c r="F59" i="13" s="1"/>
  <c r="CA32" i="12"/>
  <c r="BK32" i="12"/>
  <c r="AU32" i="12"/>
  <c r="AE32" i="12"/>
  <c r="CA37" i="12"/>
  <c r="BK37" i="12"/>
  <c r="AU37" i="12"/>
  <c r="AE37" i="12"/>
  <c r="CA51" i="12"/>
  <c r="BB52" i="13" s="1"/>
  <c r="BK51" i="12"/>
  <c r="AL52" i="13" s="1"/>
  <c r="AU51" i="12"/>
  <c r="V52" i="13" s="1"/>
  <c r="AE51" i="12"/>
  <c r="F52" i="13" s="1"/>
  <c r="CA34" i="12"/>
  <c r="BK34" i="12"/>
  <c r="AU34" i="12"/>
  <c r="AE34" i="12"/>
  <c r="CA4" i="12"/>
  <c r="BK4" i="12"/>
  <c r="AE4" i="12"/>
  <c r="AU4" i="12"/>
  <c r="CA11" i="12"/>
  <c r="BK11" i="12"/>
  <c r="AE11" i="12"/>
  <c r="AU11" i="12"/>
  <c r="BZ107" i="12"/>
  <c r="BA108" i="13" s="1"/>
  <c r="BJ107" i="12"/>
  <c r="AK108" i="13" s="1"/>
  <c r="AT107" i="12"/>
  <c r="U108" i="13" s="1"/>
  <c r="BZ3" i="12"/>
  <c r="AD3" i="12"/>
  <c r="AT3" i="12"/>
  <c r="BJ3" i="12"/>
  <c r="BZ83" i="12"/>
  <c r="BA84" i="13" s="1"/>
  <c r="BJ83" i="12"/>
  <c r="AK84" i="13" s="1"/>
  <c r="AT83" i="12"/>
  <c r="U84" i="13" s="1"/>
  <c r="BZ75" i="12"/>
  <c r="BA76" i="13" s="1"/>
  <c r="BJ75" i="12"/>
  <c r="AK76" i="13" s="1"/>
  <c r="AT75" i="12"/>
  <c r="U76" i="13" s="1"/>
  <c r="AD75" i="12"/>
  <c r="E76" i="13" s="1"/>
  <c r="BZ67" i="12"/>
  <c r="BA68" i="13" s="1"/>
  <c r="BJ67" i="12"/>
  <c r="AK68" i="13" s="1"/>
  <c r="AT67" i="12"/>
  <c r="U68" i="13" s="1"/>
  <c r="AD67" i="12"/>
  <c r="E68" i="13" s="1"/>
  <c r="BZ59" i="12"/>
  <c r="BA60" i="13" s="1"/>
  <c r="BJ59" i="12"/>
  <c r="AK60" i="13" s="1"/>
  <c r="AT59" i="12"/>
  <c r="U60" i="13" s="1"/>
  <c r="AD59" i="12"/>
  <c r="E60" i="13" s="1"/>
  <c r="BZ46" i="12"/>
  <c r="BA47" i="13" s="1"/>
  <c r="BJ46" i="12"/>
  <c r="AK47" i="13" s="1"/>
  <c r="AT46" i="12"/>
  <c r="U47" i="13" s="1"/>
  <c r="AD46" i="12"/>
  <c r="E47" i="13" s="1"/>
  <c r="BZ38" i="12"/>
  <c r="BA39" i="13" s="1"/>
  <c r="BJ38" i="12"/>
  <c r="AK39" i="13" s="1"/>
  <c r="AT38" i="12"/>
  <c r="U39" i="13" s="1"/>
  <c r="AD38" i="12"/>
  <c r="E39" i="13" s="1"/>
  <c r="BZ30" i="12"/>
  <c r="BJ30" i="12"/>
  <c r="AT30" i="12"/>
  <c r="AD30" i="12"/>
  <c r="BZ22" i="12"/>
  <c r="BJ22" i="12"/>
  <c r="AT22" i="12"/>
  <c r="AD22" i="12"/>
  <c r="BZ14" i="12"/>
  <c r="BJ14" i="12"/>
  <c r="AT14" i="12"/>
  <c r="AD14" i="12"/>
  <c r="BZ6" i="12"/>
  <c r="BJ6" i="12"/>
  <c r="AT6" i="12"/>
  <c r="AD6" i="12"/>
  <c r="BW78" i="12"/>
  <c r="AX79" i="13" s="1"/>
  <c r="BW70" i="12"/>
  <c r="AX71" i="13" s="1"/>
  <c r="BW62" i="12"/>
  <c r="AX63" i="13" s="1"/>
  <c r="BW42" i="12"/>
  <c r="AX43" i="13" s="1"/>
  <c r="BG42" i="12"/>
  <c r="AH43" i="13" s="1"/>
  <c r="BW38" i="12"/>
  <c r="AX39" i="13" s="1"/>
  <c r="BG38" i="12"/>
  <c r="AH39" i="13" s="1"/>
  <c r="BW35" i="12"/>
  <c r="AX36" i="13" s="1"/>
  <c r="BG35" i="12"/>
  <c r="AH36" i="13" s="1"/>
  <c r="AQ35" i="12"/>
  <c r="R36" i="13" s="1"/>
  <c r="BW5" i="12"/>
  <c r="BG5" i="12"/>
  <c r="AA5" i="12"/>
  <c r="AQ5" i="12"/>
  <c r="BW16" i="12"/>
  <c r="AX17" i="13" s="1"/>
  <c r="BG16" i="12"/>
  <c r="AH17" i="13" s="1"/>
  <c r="AQ16" i="12"/>
  <c r="R17" i="13" s="1"/>
  <c r="AA16" i="12"/>
  <c r="B17" i="13" s="1"/>
  <c r="BW25" i="12"/>
  <c r="AX26" i="13" s="1"/>
  <c r="BG25" i="12"/>
  <c r="AH26" i="13" s="1"/>
  <c r="AQ25" i="12"/>
  <c r="R26" i="13" s="1"/>
  <c r="CL88" i="12"/>
  <c r="BF88" i="12"/>
  <c r="AP88" i="12"/>
  <c r="BV88" i="12"/>
  <c r="BF122" i="12"/>
  <c r="CL122" i="12"/>
  <c r="BV122" i="12"/>
  <c r="AP122" i="12"/>
  <c r="CL114" i="12"/>
  <c r="BF114" i="12"/>
  <c r="BV114" i="12"/>
  <c r="AP114" i="12"/>
  <c r="CL106" i="12"/>
  <c r="BF106" i="12"/>
  <c r="BV106" i="12"/>
  <c r="AP106" i="12"/>
  <c r="CL98" i="12"/>
  <c r="BF98" i="12"/>
  <c r="BV98" i="12"/>
  <c r="AP98" i="12"/>
  <c r="CL90" i="12"/>
  <c r="BF90" i="12"/>
  <c r="AP90" i="12"/>
  <c r="BV90" i="12"/>
  <c r="CL74" i="12"/>
  <c r="BF74" i="12"/>
  <c r="AP74" i="12"/>
  <c r="BV74" i="12"/>
  <c r="CL66" i="12"/>
  <c r="BF66" i="12"/>
  <c r="AP66" i="12"/>
  <c r="BV66" i="12"/>
  <c r="CL58" i="12"/>
  <c r="BF58" i="12"/>
  <c r="AP58" i="12"/>
  <c r="BV58" i="12"/>
  <c r="CL5" i="12"/>
  <c r="BF5" i="12"/>
  <c r="AP5" i="12"/>
  <c r="BV5" i="12"/>
  <c r="CL29" i="12"/>
  <c r="BF29" i="12"/>
  <c r="AP29" i="12"/>
  <c r="BV29" i="12"/>
  <c r="CL38" i="12"/>
  <c r="BV38" i="12"/>
  <c r="BF38" i="12"/>
  <c r="AP38" i="12"/>
  <c r="CL6" i="12"/>
  <c r="BV6" i="12"/>
  <c r="BF6" i="12"/>
  <c r="AP6" i="12"/>
  <c r="CL19" i="12"/>
  <c r="BV19" i="12"/>
  <c r="BF19" i="12"/>
  <c r="AP19" i="12"/>
  <c r="CL20" i="12"/>
  <c r="BF20" i="12"/>
  <c r="AP20" i="12"/>
  <c r="BV20" i="12"/>
  <c r="BL3" i="12"/>
  <c r="CB3" i="12"/>
  <c r="AV3" i="12"/>
  <c r="AF3" i="12"/>
  <c r="BY113" i="12"/>
  <c r="AZ114" i="13" s="1"/>
  <c r="BI113" i="12"/>
  <c r="AJ114" i="13" s="1"/>
  <c r="AS113" i="12"/>
  <c r="T114" i="13" s="1"/>
  <c r="BY105" i="12"/>
  <c r="AZ106" i="13" s="1"/>
  <c r="BI105" i="12"/>
  <c r="AJ106" i="13" s="1"/>
  <c r="AS105" i="12"/>
  <c r="T106" i="13" s="1"/>
  <c r="BY97" i="12"/>
  <c r="AZ98" i="13" s="1"/>
  <c r="BI97" i="12"/>
  <c r="AJ98" i="13" s="1"/>
  <c r="AS97" i="12"/>
  <c r="T98" i="13" s="1"/>
  <c r="BY87" i="12"/>
  <c r="AZ88" i="13" s="1"/>
  <c r="BI87" i="12"/>
  <c r="AJ88" i="13" s="1"/>
  <c r="AS87" i="12"/>
  <c r="T88" i="13" s="1"/>
  <c r="BY50" i="12"/>
  <c r="AZ51" i="13" s="1"/>
  <c r="BI50" i="12"/>
  <c r="AJ51" i="13" s="1"/>
  <c r="AS50" i="12"/>
  <c r="T51" i="13" s="1"/>
  <c r="AC50" i="12"/>
  <c r="D51" i="13" s="1"/>
  <c r="BY47" i="12"/>
  <c r="AZ48" i="13" s="1"/>
  <c r="BI47" i="12"/>
  <c r="AJ48" i="13" s="1"/>
  <c r="AS47" i="12"/>
  <c r="T48" i="13" s="1"/>
  <c r="AC47" i="12"/>
  <c r="D48" i="13" s="1"/>
  <c r="BY83" i="12"/>
  <c r="AZ84" i="13" s="1"/>
  <c r="BI83" i="12"/>
  <c r="AJ84" i="13" s="1"/>
  <c r="AS83" i="12"/>
  <c r="T84" i="13" s="1"/>
  <c r="BY75" i="12"/>
  <c r="AZ76" i="13" s="1"/>
  <c r="BI75" i="12"/>
  <c r="AJ76" i="13" s="1"/>
  <c r="AS75" i="12"/>
  <c r="T76" i="13" s="1"/>
  <c r="BY67" i="12"/>
  <c r="AZ68" i="13" s="1"/>
  <c r="BI67" i="12"/>
  <c r="AJ68" i="13" s="1"/>
  <c r="AS67" i="12"/>
  <c r="T68" i="13" s="1"/>
  <c r="BY59" i="12"/>
  <c r="AZ60" i="13" s="1"/>
  <c r="BI59" i="12"/>
  <c r="AJ60" i="13" s="1"/>
  <c r="AS59" i="12"/>
  <c r="T60" i="13" s="1"/>
  <c r="BY36" i="12"/>
  <c r="AZ37" i="13" s="1"/>
  <c r="BI36" i="12"/>
  <c r="AJ37" i="13" s="1"/>
  <c r="AS36" i="12"/>
  <c r="T37" i="13" s="1"/>
  <c r="AC36" i="12"/>
  <c r="D37" i="13" s="1"/>
  <c r="BI45" i="12"/>
  <c r="AJ46" i="13" s="1"/>
  <c r="BY45" i="12"/>
  <c r="AZ46" i="13" s="1"/>
  <c r="AC45" i="12"/>
  <c r="D46" i="13" s="1"/>
  <c r="AS45" i="12"/>
  <c r="T46" i="13" s="1"/>
  <c r="BI13" i="12"/>
  <c r="BY13" i="12"/>
  <c r="AS13" i="12"/>
  <c r="AC13" i="12"/>
  <c r="BY22" i="12"/>
  <c r="BI22" i="12"/>
  <c r="AS22" i="12"/>
  <c r="AC22" i="12"/>
  <c r="CE86" i="12"/>
  <c r="BO86" i="12"/>
  <c r="AY86" i="12"/>
  <c r="AI86" i="12"/>
  <c r="CE112" i="12"/>
  <c r="BF113" i="13" s="1"/>
  <c r="BO112" i="12"/>
  <c r="AP113" i="13" s="1"/>
  <c r="AY112" i="12"/>
  <c r="Z113" i="13" s="1"/>
  <c r="AI112" i="12"/>
  <c r="J113" i="13" s="1"/>
  <c r="CE104" i="12"/>
  <c r="BF105" i="13" s="1"/>
  <c r="BO104" i="12"/>
  <c r="AP105" i="13" s="1"/>
  <c r="AY104" i="12"/>
  <c r="Z105" i="13" s="1"/>
  <c r="AI104" i="12"/>
  <c r="J105" i="13" s="1"/>
  <c r="CE96" i="12"/>
  <c r="BF97" i="13" s="1"/>
  <c r="BO96" i="12"/>
  <c r="AP97" i="13" s="1"/>
  <c r="AY96" i="12"/>
  <c r="Z97" i="13" s="1"/>
  <c r="AI96" i="12"/>
  <c r="J97" i="13" s="1"/>
  <c r="CE85" i="12"/>
  <c r="BO85" i="12"/>
  <c r="AY85" i="12"/>
  <c r="AI85" i="12"/>
  <c r="CE77" i="12"/>
  <c r="BO77" i="12"/>
  <c r="AY77" i="12"/>
  <c r="AI77" i="12"/>
  <c r="CE69" i="12"/>
  <c r="BO69" i="12"/>
  <c r="AY69" i="12"/>
  <c r="AI69" i="12"/>
  <c r="CE61" i="12"/>
  <c r="BO61" i="12"/>
  <c r="AY61" i="12"/>
  <c r="AI61" i="12"/>
  <c r="CE49" i="12"/>
  <c r="BO49" i="12"/>
  <c r="AY49" i="12"/>
  <c r="AI49" i="12"/>
  <c r="CE53" i="12"/>
  <c r="BO53" i="12"/>
  <c r="AY53" i="12"/>
  <c r="AI53" i="12"/>
  <c r="CE22" i="12"/>
  <c r="BO22" i="12"/>
  <c r="AY22" i="12"/>
  <c r="AI22" i="12"/>
  <c r="CE31" i="12"/>
  <c r="BO31" i="12"/>
  <c r="AY31" i="12"/>
  <c r="AI31" i="12"/>
  <c r="CE40" i="12"/>
  <c r="BO40" i="12"/>
  <c r="AY40" i="12"/>
  <c r="AI40" i="12"/>
  <c r="CE8" i="12"/>
  <c r="BO8" i="12"/>
  <c r="AY8" i="12"/>
  <c r="AI8" i="12"/>
  <c r="CE13" i="12"/>
  <c r="BO13" i="12"/>
  <c r="AI13" i="12"/>
  <c r="AY13" i="12"/>
  <c r="BZ112" i="12"/>
  <c r="BA113" i="13" s="1"/>
  <c r="BJ112" i="12"/>
  <c r="AK113" i="13" s="1"/>
  <c r="AT112" i="12"/>
  <c r="U113" i="13" s="1"/>
  <c r="BX82" i="12"/>
  <c r="AY83" i="13" s="1"/>
  <c r="BH82" i="12"/>
  <c r="AI83" i="13" s="1"/>
  <c r="BX114" i="12"/>
  <c r="AY115" i="13" s="1"/>
  <c r="BH114" i="12"/>
  <c r="AI115" i="13" s="1"/>
  <c r="BX106" i="12"/>
  <c r="AY107" i="13" s="1"/>
  <c r="BH106" i="12"/>
  <c r="AI107" i="13" s="1"/>
  <c r="BX98" i="12"/>
  <c r="AY99" i="13" s="1"/>
  <c r="BH98" i="12"/>
  <c r="AI99" i="13" s="1"/>
  <c r="BX90" i="12"/>
  <c r="AY91" i="13" s="1"/>
  <c r="BH90" i="12"/>
  <c r="AI91" i="13" s="1"/>
  <c r="BX73" i="12"/>
  <c r="AY74" i="13" s="1"/>
  <c r="BH73" i="12"/>
  <c r="AI74" i="13" s="1"/>
  <c r="AR73" i="12"/>
  <c r="S74" i="13" s="1"/>
  <c r="BX72" i="12"/>
  <c r="AY73" i="13" s="1"/>
  <c r="BH72" i="12"/>
  <c r="AI73" i="13" s="1"/>
  <c r="AR72" i="12"/>
  <c r="S73" i="13" s="1"/>
  <c r="BX52" i="12"/>
  <c r="AY53" i="13" s="1"/>
  <c r="BH52" i="12"/>
  <c r="AI53" i="13" s="1"/>
  <c r="AR52" i="12"/>
  <c r="S53" i="13" s="1"/>
  <c r="BX51" i="12"/>
  <c r="AY52" i="13" s="1"/>
  <c r="BH51" i="12"/>
  <c r="AI52" i="13" s="1"/>
  <c r="AR51" i="12"/>
  <c r="S52" i="13" s="1"/>
  <c r="BX19" i="12"/>
  <c r="AY20" i="13" s="1"/>
  <c r="BH19" i="12"/>
  <c r="AI20" i="13" s="1"/>
  <c r="AR19" i="12"/>
  <c r="S20" i="13" s="1"/>
  <c r="AB19" i="12"/>
  <c r="C20" i="13" s="1"/>
  <c r="BX28" i="12"/>
  <c r="AY29" i="13" s="1"/>
  <c r="BH28" i="12"/>
  <c r="AI29" i="13" s="1"/>
  <c r="AR28" i="12"/>
  <c r="S29" i="13" s="1"/>
  <c r="AB28" i="12"/>
  <c r="C29" i="13" s="1"/>
  <c r="BX37" i="12"/>
  <c r="AY38" i="13" s="1"/>
  <c r="BH37" i="12"/>
  <c r="AI38" i="13" s="1"/>
  <c r="AB37" i="12"/>
  <c r="C38" i="13" s="1"/>
  <c r="AR37" i="12"/>
  <c r="S38" i="13" s="1"/>
  <c r="BX6" i="12"/>
  <c r="BH6" i="12"/>
  <c r="AB6" i="12"/>
  <c r="AR6" i="12"/>
  <c r="BX14" i="12"/>
  <c r="BH14" i="12"/>
  <c r="AB14" i="12"/>
  <c r="AR14" i="12"/>
  <c r="CD121" i="12"/>
  <c r="BE122" i="13" s="1"/>
  <c r="BN121" i="12"/>
  <c r="AO122" i="13" s="1"/>
  <c r="AX121" i="12"/>
  <c r="Y122" i="13" s="1"/>
  <c r="AH121" i="12"/>
  <c r="I122" i="13" s="1"/>
  <c r="BN113" i="12"/>
  <c r="AO114" i="13" s="1"/>
  <c r="AX113" i="12"/>
  <c r="Y114" i="13" s="1"/>
  <c r="CD113" i="12"/>
  <c r="BE114" i="13" s="1"/>
  <c r="AH113" i="12"/>
  <c r="I114" i="13" s="1"/>
  <c r="BN105" i="12"/>
  <c r="AO106" i="13" s="1"/>
  <c r="AX105" i="12"/>
  <c r="Y106" i="13" s="1"/>
  <c r="CD105" i="12"/>
  <c r="BE106" i="13" s="1"/>
  <c r="AH105" i="12"/>
  <c r="I106" i="13" s="1"/>
  <c r="BN97" i="12"/>
  <c r="AO98" i="13" s="1"/>
  <c r="AX97" i="12"/>
  <c r="Y98" i="13" s="1"/>
  <c r="AH97" i="12"/>
  <c r="I98" i="13" s="1"/>
  <c r="CD97" i="12"/>
  <c r="BE98" i="13" s="1"/>
  <c r="AX78" i="12"/>
  <c r="AH78" i="12"/>
  <c r="CD78" i="12"/>
  <c r="BN78" i="12"/>
  <c r="CD80" i="12"/>
  <c r="AX80" i="12"/>
  <c r="AH80" i="12"/>
  <c r="BN80" i="12"/>
  <c r="BN71" i="12"/>
  <c r="CD71" i="12"/>
  <c r="AX71" i="12"/>
  <c r="AH71" i="12"/>
  <c r="CD63" i="12"/>
  <c r="BN63" i="12"/>
  <c r="AX63" i="12"/>
  <c r="AH63" i="12"/>
  <c r="BN55" i="12"/>
  <c r="CD55" i="12"/>
  <c r="AX55" i="12"/>
  <c r="AH55" i="12"/>
  <c r="CD29" i="12"/>
  <c r="BN29" i="12"/>
  <c r="AX29" i="12"/>
  <c r="AH29" i="12"/>
  <c r="AX46" i="12"/>
  <c r="AH46" i="12"/>
  <c r="CD46" i="12"/>
  <c r="BN46" i="12"/>
  <c r="CD14" i="12"/>
  <c r="AH14" i="12"/>
  <c r="AX14" i="12"/>
  <c r="BN14" i="12"/>
  <c r="CD27" i="12"/>
  <c r="AX27" i="12"/>
  <c r="AH27" i="12"/>
  <c r="BN27" i="12"/>
  <c r="CD36" i="12"/>
  <c r="BN36" i="12"/>
  <c r="AX36" i="12"/>
  <c r="AH36" i="12"/>
  <c r="CD5" i="12"/>
  <c r="BN5" i="12"/>
  <c r="AH5" i="12"/>
  <c r="AX5" i="12"/>
  <c r="CK85" i="12"/>
  <c r="BU85" i="12"/>
  <c r="BE85" i="12"/>
  <c r="AO85" i="12"/>
  <c r="CK79" i="12"/>
  <c r="BU79" i="12"/>
  <c r="AO79" i="12"/>
  <c r="BE79" i="12"/>
  <c r="CK117" i="12"/>
  <c r="BU117" i="12"/>
  <c r="AO117" i="12"/>
  <c r="BE117" i="12"/>
  <c r="CK109" i="12"/>
  <c r="BU109" i="12"/>
  <c r="BE109" i="12"/>
  <c r="AO109" i="12"/>
  <c r="CK101" i="12"/>
  <c r="BU101" i="12"/>
  <c r="AO101" i="12"/>
  <c r="BE101" i="12"/>
  <c r="CK93" i="12"/>
  <c r="BU93" i="12"/>
  <c r="BE93" i="12"/>
  <c r="AO93" i="12"/>
  <c r="CK12" i="12"/>
  <c r="BU12" i="12"/>
  <c r="BE12" i="12"/>
  <c r="AO12" i="12"/>
  <c r="CK74" i="12"/>
  <c r="BU74" i="12"/>
  <c r="BE74" i="12"/>
  <c r="AO74" i="12"/>
  <c r="CK66" i="12"/>
  <c r="BU66" i="12"/>
  <c r="BE66" i="12"/>
  <c r="AO66" i="12"/>
  <c r="CK58" i="12"/>
  <c r="BU58" i="12"/>
  <c r="BE58" i="12"/>
  <c r="AO58" i="12"/>
  <c r="CK51" i="12"/>
  <c r="BU51" i="12"/>
  <c r="AO51" i="12"/>
  <c r="BE51" i="12"/>
  <c r="CK41" i="12"/>
  <c r="BU41" i="12"/>
  <c r="AO41" i="12"/>
  <c r="BE41" i="12"/>
  <c r="CK9" i="12"/>
  <c r="BU9" i="12"/>
  <c r="BE9" i="12"/>
  <c r="AO9" i="12"/>
  <c r="CK14" i="12"/>
  <c r="BU14" i="12"/>
  <c r="BE14" i="12"/>
  <c r="AO14" i="12"/>
  <c r="CK27" i="12"/>
  <c r="AO27" i="12"/>
  <c r="BU27" i="12"/>
  <c r="BE27" i="12"/>
  <c r="BX89" i="12"/>
  <c r="AY90" i="13" s="1"/>
  <c r="BH89" i="12"/>
  <c r="AI90" i="13" s="1"/>
  <c r="BM88" i="12"/>
  <c r="AN89" i="13" s="1"/>
  <c r="CC88" i="12"/>
  <c r="BD89" i="13" s="1"/>
  <c r="AW88" i="12"/>
  <c r="X89" i="13" s="1"/>
  <c r="AG88" i="12"/>
  <c r="H89" i="13" s="1"/>
  <c r="CC117" i="12"/>
  <c r="BD118" i="13" s="1"/>
  <c r="BM117" i="12"/>
  <c r="AN118" i="13" s="1"/>
  <c r="AW117" i="12"/>
  <c r="X118" i="13" s="1"/>
  <c r="AG117" i="12"/>
  <c r="H118" i="13" s="1"/>
  <c r="CC109" i="12"/>
  <c r="BD110" i="13" s="1"/>
  <c r="BM109" i="12"/>
  <c r="AN110" i="13" s="1"/>
  <c r="AW109" i="12"/>
  <c r="X110" i="13" s="1"/>
  <c r="AG109" i="12"/>
  <c r="H110" i="13" s="1"/>
  <c r="CC101" i="12"/>
  <c r="BD102" i="13" s="1"/>
  <c r="BM101" i="12"/>
  <c r="AN102" i="13" s="1"/>
  <c r="AW101" i="12"/>
  <c r="X102" i="13" s="1"/>
  <c r="AG101" i="12"/>
  <c r="H102" i="13" s="1"/>
  <c r="CC93" i="12"/>
  <c r="BD94" i="13" s="1"/>
  <c r="BM93" i="12"/>
  <c r="AN94" i="13" s="1"/>
  <c r="AW93" i="12"/>
  <c r="X94" i="13" s="1"/>
  <c r="AG93" i="12"/>
  <c r="H94" i="13" s="1"/>
  <c r="BM76" i="12"/>
  <c r="AN77" i="13" s="1"/>
  <c r="CC76" i="12"/>
  <c r="BD77" i="13" s="1"/>
  <c r="AW76" i="12"/>
  <c r="X77" i="13" s="1"/>
  <c r="AG76" i="12"/>
  <c r="H77" i="13" s="1"/>
  <c r="BM68" i="12"/>
  <c r="AW68" i="12"/>
  <c r="CC68" i="12"/>
  <c r="AG68" i="12"/>
  <c r="BM60" i="12"/>
  <c r="AW60" i="12"/>
  <c r="CC60" i="12"/>
  <c r="AG60" i="12"/>
  <c r="CC51" i="12"/>
  <c r="BM51" i="12"/>
  <c r="AW51" i="12"/>
  <c r="AG51" i="12"/>
  <c r="CC37" i="12"/>
  <c r="BM37" i="12"/>
  <c r="AW37" i="12"/>
  <c r="AG37" i="12"/>
  <c r="CC38" i="12"/>
  <c r="BM38" i="12"/>
  <c r="AG38" i="12"/>
  <c r="AW38" i="12"/>
  <c r="CC6" i="12"/>
  <c r="BM6" i="12"/>
  <c r="AW6" i="12"/>
  <c r="AG6" i="12"/>
  <c r="CC19" i="12"/>
  <c r="BM19" i="12"/>
  <c r="AW19" i="12"/>
  <c r="AG19" i="12"/>
  <c r="CC24" i="12"/>
  <c r="BM24" i="12"/>
  <c r="AW24" i="12"/>
  <c r="AG24" i="12"/>
  <c r="CB89" i="12"/>
  <c r="BC90" i="13" s="1"/>
  <c r="BL89" i="12"/>
  <c r="AM90" i="13" s="1"/>
  <c r="AV89" i="12"/>
  <c r="W90" i="13" s="1"/>
  <c r="AF89" i="12"/>
  <c r="G90" i="13" s="1"/>
  <c r="CB115" i="12"/>
  <c r="BC116" i="13" s="1"/>
  <c r="BL115" i="12"/>
  <c r="AM116" i="13" s="1"/>
  <c r="AV115" i="12"/>
  <c r="W116" i="13" s="1"/>
  <c r="AF115" i="12"/>
  <c r="G116" i="13" s="1"/>
  <c r="CB107" i="12"/>
  <c r="BC108" i="13" s="1"/>
  <c r="BL107" i="12"/>
  <c r="AM108" i="13" s="1"/>
  <c r="AV107" i="12"/>
  <c r="W108" i="13" s="1"/>
  <c r="AF107" i="12"/>
  <c r="G108" i="13" s="1"/>
  <c r="CB99" i="12"/>
  <c r="BC100" i="13" s="1"/>
  <c r="BL99" i="12"/>
  <c r="AM100" i="13" s="1"/>
  <c r="AV99" i="12"/>
  <c r="W100" i="13" s="1"/>
  <c r="AF99" i="12"/>
  <c r="G100" i="13" s="1"/>
  <c r="CB91" i="12"/>
  <c r="BC92" i="13" s="1"/>
  <c r="BL91" i="12"/>
  <c r="AM92" i="13" s="1"/>
  <c r="AV91" i="12"/>
  <c r="W92" i="13" s="1"/>
  <c r="AF91" i="12"/>
  <c r="G92" i="13" s="1"/>
  <c r="CB85" i="12"/>
  <c r="BC86" i="13" s="1"/>
  <c r="BL85" i="12"/>
  <c r="AM86" i="13" s="1"/>
  <c r="AV85" i="12"/>
  <c r="W86" i="13" s="1"/>
  <c r="AF85" i="12"/>
  <c r="G86" i="13" s="1"/>
  <c r="CB77" i="12"/>
  <c r="BC78" i="13" s="1"/>
  <c r="BL77" i="12"/>
  <c r="AM78" i="13" s="1"/>
  <c r="AV77" i="12"/>
  <c r="W78" i="13" s="1"/>
  <c r="AF77" i="12"/>
  <c r="G78" i="13" s="1"/>
  <c r="CB69" i="12"/>
  <c r="BC70" i="13" s="1"/>
  <c r="BL69" i="12"/>
  <c r="AM70" i="13" s="1"/>
  <c r="AV69" i="12"/>
  <c r="W70" i="13" s="1"/>
  <c r="AF69" i="12"/>
  <c r="G70" i="13" s="1"/>
  <c r="CB61" i="12"/>
  <c r="BC62" i="13" s="1"/>
  <c r="BL61" i="12"/>
  <c r="AM62" i="13" s="1"/>
  <c r="AV61" i="12"/>
  <c r="W62" i="13" s="1"/>
  <c r="AF61" i="12"/>
  <c r="G62" i="13" s="1"/>
  <c r="CB44" i="12"/>
  <c r="BL44" i="12"/>
  <c r="AV44" i="12"/>
  <c r="AF44" i="12"/>
  <c r="BL33" i="12"/>
  <c r="AV33" i="12"/>
  <c r="CB33" i="12"/>
  <c r="AF33" i="12"/>
  <c r="CB53" i="12"/>
  <c r="BL53" i="12"/>
  <c r="AV53" i="12"/>
  <c r="AF53" i="12"/>
  <c r="CB42" i="12"/>
  <c r="BL42" i="12"/>
  <c r="AV42" i="12"/>
  <c r="AF42" i="12"/>
  <c r="CB10" i="12"/>
  <c r="BL10" i="12"/>
  <c r="AV10" i="12"/>
  <c r="AF10" i="12"/>
  <c r="CB23" i="12"/>
  <c r="BL23" i="12"/>
  <c r="AV23" i="12"/>
  <c r="AF23" i="12"/>
  <c r="CJ122" i="12"/>
  <c r="BT122" i="12"/>
  <c r="BD122" i="12"/>
  <c r="AN122" i="12"/>
  <c r="CJ114" i="12"/>
  <c r="BT114" i="12"/>
  <c r="BD114" i="12"/>
  <c r="AN114" i="12"/>
  <c r="CJ106" i="12"/>
  <c r="BT106" i="12"/>
  <c r="BD106" i="12"/>
  <c r="AN106" i="12"/>
  <c r="CJ98" i="12"/>
  <c r="BT98" i="12"/>
  <c r="BD98" i="12"/>
  <c r="AN98" i="12"/>
  <c r="CJ90" i="12"/>
  <c r="BT90" i="12"/>
  <c r="BD90" i="12"/>
  <c r="AN90" i="12"/>
  <c r="CJ81" i="12"/>
  <c r="BT81" i="12"/>
  <c r="BD81" i="12"/>
  <c r="AN81" i="12"/>
  <c r="CJ73" i="12"/>
  <c r="BT73" i="12"/>
  <c r="BD73" i="12"/>
  <c r="AN73" i="12"/>
  <c r="CJ65" i="12"/>
  <c r="BT65" i="12"/>
  <c r="BD65" i="12"/>
  <c r="AN65" i="12"/>
  <c r="CJ57" i="12"/>
  <c r="BT57" i="12"/>
  <c r="BD57" i="12"/>
  <c r="AN57" i="12"/>
  <c r="CJ36" i="12"/>
  <c r="BT36" i="12"/>
  <c r="BD36" i="12"/>
  <c r="AN36" i="12"/>
  <c r="CJ5" i="12"/>
  <c r="BT5" i="12"/>
  <c r="BD5" i="12"/>
  <c r="AN5" i="12"/>
  <c r="CJ9" i="12"/>
  <c r="BT9" i="12"/>
  <c r="BD9" i="12"/>
  <c r="AN9" i="12"/>
  <c r="CJ46" i="12"/>
  <c r="BT46" i="12"/>
  <c r="BD46" i="12"/>
  <c r="AN46" i="12"/>
  <c r="CJ14" i="12"/>
  <c r="BT14" i="12"/>
  <c r="BD14" i="12"/>
  <c r="AN14" i="12"/>
  <c r="BT23" i="12"/>
  <c r="CJ23" i="12"/>
  <c r="BD23" i="12"/>
  <c r="AN23" i="12"/>
  <c r="CH105" i="12"/>
  <c r="BR105" i="12"/>
  <c r="BB105" i="12"/>
  <c r="AL105" i="12"/>
  <c r="BZ94" i="12"/>
  <c r="BA95" i="13" s="1"/>
  <c r="BJ94" i="12"/>
  <c r="AK95" i="13" s="1"/>
  <c r="AT94" i="12"/>
  <c r="U95" i="13" s="1"/>
  <c r="CG122" i="12"/>
  <c r="BH123" i="13" s="1"/>
  <c r="BQ122" i="12"/>
  <c r="AR123" i="13" s="1"/>
  <c r="BA122" i="12"/>
  <c r="AB123" i="13" s="1"/>
  <c r="AK122" i="12"/>
  <c r="L123" i="13" s="1"/>
  <c r="CH114" i="12"/>
  <c r="BR114" i="12"/>
  <c r="BB114" i="12"/>
  <c r="AL114" i="12"/>
  <c r="CH96" i="12"/>
  <c r="BR96" i="12"/>
  <c r="BB96" i="12"/>
  <c r="AL96" i="12"/>
  <c r="CI72" i="12"/>
  <c r="BS72" i="12"/>
  <c r="BC72" i="12"/>
  <c r="AM72" i="12"/>
  <c r="CI46" i="12"/>
  <c r="BS46" i="12"/>
  <c r="BC46" i="12"/>
  <c r="AM46" i="12"/>
  <c r="CA83" i="12"/>
  <c r="BB84" i="13" s="1"/>
  <c r="BK83" i="12"/>
  <c r="AL84" i="13" s="1"/>
  <c r="AU83" i="12"/>
  <c r="V84" i="13" s="1"/>
  <c r="AE83" i="12"/>
  <c r="F84" i="13" s="1"/>
  <c r="CA15" i="12"/>
  <c r="BK15" i="12"/>
  <c r="AE15" i="12"/>
  <c r="AU15" i="12"/>
  <c r="BZ39" i="12"/>
  <c r="BA40" i="13" s="1"/>
  <c r="BJ39" i="12"/>
  <c r="AK40" i="13" s="1"/>
  <c r="AT39" i="12"/>
  <c r="U40" i="13" s="1"/>
  <c r="AD39" i="12"/>
  <c r="E40" i="13" s="1"/>
  <c r="BW55" i="12"/>
  <c r="AX56" i="13" s="1"/>
  <c r="BG55" i="12"/>
  <c r="AH56" i="13" s="1"/>
  <c r="CL78" i="12"/>
  <c r="BV78" i="12"/>
  <c r="BF78" i="12"/>
  <c r="AP78" i="12"/>
  <c r="CL67" i="12"/>
  <c r="BV67" i="12"/>
  <c r="BF67" i="12"/>
  <c r="AP67" i="12"/>
  <c r="CL24" i="12"/>
  <c r="BF24" i="12"/>
  <c r="AP24" i="12"/>
  <c r="BV24" i="12"/>
  <c r="BY52" i="12"/>
  <c r="AZ53" i="13" s="1"/>
  <c r="BI52" i="12"/>
  <c r="AJ53" i="13" s="1"/>
  <c r="AS52" i="12"/>
  <c r="T53" i="13" s="1"/>
  <c r="AC52" i="12"/>
  <c r="D53" i="13" s="1"/>
  <c r="BY60" i="12"/>
  <c r="AZ61" i="13" s="1"/>
  <c r="BI60" i="12"/>
  <c r="AJ61" i="13" s="1"/>
  <c r="AS60" i="12"/>
  <c r="T61" i="13" s="1"/>
  <c r="CE89" i="12"/>
  <c r="BO89" i="12"/>
  <c r="AY89" i="12"/>
  <c r="AI89" i="12"/>
  <c r="CE62" i="12"/>
  <c r="BO62" i="12"/>
  <c r="AY62" i="12"/>
  <c r="AI62" i="12"/>
  <c r="BZ108" i="12"/>
  <c r="BA109" i="13" s="1"/>
  <c r="BJ108" i="12"/>
  <c r="AK109" i="13" s="1"/>
  <c r="AT108" i="12"/>
  <c r="U109" i="13" s="1"/>
  <c r="BX23" i="12"/>
  <c r="AY24" i="13" s="1"/>
  <c r="BH23" i="12"/>
  <c r="AI24" i="13" s="1"/>
  <c r="AR23" i="12"/>
  <c r="S24" i="13" s="1"/>
  <c r="AB23" i="12"/>
  <c r="C24" i="13" s="1"/>
  <c r="AX98" i="12"/>
  <c r="Y99" i="13" s="1"/>
  <c r="AH98" i="12"/>
  <c r="I99" i="13" s="1"/>
  <c r="CD98" i="12"/>
  <c r="BE99" i="13" s="1"/>
  <c r="BN98" i="12"/>
  <c r="AO99" i="13" s="1"/>
  <c r="CD18" i="12"/>
  <c r="AX18" i="12"/>
  <c r="AH18" i="12"/>
  <c r="BN18" i="12"/>
  <c r="CK110" i="12"/>
  <c r="BU110" i="12"/>
  <c r="BE110" i="12"/>
  <c r="AO110" i="12"/>
  <c r="CK45" i="12"/>
  <c r="BU45" i="12"/>
  <c r="BE45" i="12"/>
  <c r="AO45" i="12"/>
  <c r="BM102" i="12"/>
  <c r="AN103" i="13" s="1"/>
  <c r="CC102" i="12"/>
  <c r="BD103" i="13" s="1"/>
  <c r="AG102" i="12"/>
  <c r="H103" i="13" s="1"/>
  <c r="AW102" i="12"/>
  <c r="X103" i="13" s="1"/>
  <c r="CC9" i="12"/>
  <c r="BM9" i="12"/>
  <c r="AW9" i="12"/>
  <c r="AG9" i="12"/>
  <c r="CB100" i="12"/>
  <c r="BC101" i="13" s="1"/>
  <c r="BL100" i="12"/>
  <c r="AM101" i="13" s="1"/>
  <c r="AV100" i="12"/>
  <c r="W101" i="13" s="1"/>
  <c r="AF100" i="12"/>
  <c r="G101" i="13" s="1"/>
  <c r="BL37" i="12"/>
  <c r="CB37" i="12"/>
  <c r="AV37" i="12"/>
  <c r="AF37" i="12"/>
  <c r="CJ115" i="12"/>
  <c r="BT115" i="12"/>
  <c r="BD115" i="12"/>
  <c r="AN115" i="12"/>
  <c r="CJ40" i="12"/>
  <c r="BT40" i="12"/>
  <c r="BD40" i="12"/>
  <c r="AN40" i="12"/>
  <c r="CF118" i="12"/>
  <c r="BG119" i="13" s="1"/>
  <c r="BP118" i="12"/>
  <c r="AQ119" i="13" s="1"/>
  <c r="AZ118" i="12"/>
  <c r="AA119" i="13" s="1"/>
  <c r="AJ118" i="12"/>
  <c r="K119" i="13" s="1"/>
  <c r="CH52" i="12"/>
  <c r="BR52" i="12"/>
  <c r="BB52" i="12"/>
  <c r="AL52" i="12"/>
  <c r="CH63" i="12"/>
  <c r="BR63" i="12"/>
  <c r="BB63" i="12"/>
  <c r="AL63" i="12"/>
  <c r="CH28" i="12"/>
  <c r="BR28" i="12"/>
  <c r="BB28" i="12"/>
  <c r="AL28" i="12"/>
  <c r="CH4" i="12"/>
  <c r="BR4" i="12"/>
  <c r="AL4" i="12"/>
  <c r="BB4" i="12"/>
  <c r="CH50" i="12"/>
  <c r="BR50" i="12"/>
  <c r="BB50" i="12"/>
  <c r="AL50" i="12"/>
  <c r="CH78" i="12"/>
  <c r="BR78" i="12"/>
  <c r="BB78" i="12"/>
  <c r="AL78" i="12"/>
  <c r="CH62" i="12"/>
  <c r="BR62" i="12"/>
  <c r="BB62" i="12"/>
  <c r="AL62" i="12"/>
  <c r="CH54" i="12"/>
  <c r="BR54" i="12"/>
  <c r="BB54" i="12"/>
  <c r="AL54" i="12"/>
  <c r="CH35" i="12"/>
  <c r="BR35" i="12"/>
  <c r="BB35" i="12"/>
  <c r="AL35" i="12"/>
  <c r="CH27" i="12"/>
  <c r="BR27" i="12"/>
  <c r="BB27" i="12"/>
  <c r="AL27" i="12"/>
  <c r="CH11" i="12"/>
  <c r="BR11" i="12"/>
  <c r="AL11" i="12"/>
  <c r="BB11" i="12"/>
  <c r="CG51" i="12"/>
  <c r="BQ51" i="12"/>
  <c r="AK51" i="12"/>
  <c r="BA51" i="12"/>
  <c r="CG53" i="12"/>
  <c r="BQ53" i="12"/>
  <c r="BA53" i="12"/>
  <c r="AK53" i="12"/>
  <c r="CG70" i="12"/>
  <c r="BQ70" i="12"/>
  <c r="BA70" i="12"/>
  <c r="AK70" i="12"/>
  <c r="CG62" i="12"/>
  <c r="BQ62" i="12"/>
  <c r="BA62" i="12"/>
  <c r="AK62" i="12"/>
  <c r="CG54" i="12"/>
  <c r="BQ54" i="12"/>
  <c r="BA54" i="12"/>
  <c r="AK54" i="12"/>
  <c r="CG19" i="12"/>
  <c r="BQ19" i="12"/>
  <c r="AK19" i="12"/>
  <c r="BA19" i="12"/>
  <c r="CG20" i="12"/>
  <c r="BQ20" i="12"/>
  <c r="BA20" i="12"/>
  <c r="AK20" i="12"/>
  <c r="CG29" i="12"/>
  <c r="BQ29" i="12"/>
  <c r="BA29" i="12"/>
  <c r="AK29" i="12"/>
  <c r="BQ30" i="12"/>
  <c r="BA30" i="12"/>
  <c r="CG30" i="12"/>
  <c r="AK30" i="12"/>
  <c r="CG4" i="12"/>
  <c r="BQ4" i="12"/>
  <c r="BA4" i="12"/>
  <c r="AK4" i="12"/>
  <c r="CF79" i="12"/>
  <c r="BP79" i="12"/>
  <c r="AZ79" i="12"/>
  <c r="AJ79" i="12"/>
  <c r="CF3" i="12"/>
  <c r="BP3" i="12"/>
  <c r="AZ3" i="12"/>
  <c r="AJ3" i="12"/>
  <c r="CF52" i="12"/>
  <c r="BP52" i="12"/>
  <c r="AZ52" i="12"/>
  <c r="AJ52" i="12"/>
  <c r="CF18" i="12"/>
  <c r="BP18" i="12"/>
  <c r="AJ18" i="12"/>
  <c r="AZ18" i="12"/>
  <c r="CF19" i="12"/>
  <c r="BP19" i="12"/>
  <c r="AZ19" i="12"/>
  <c r="AJ19" i="12"/>
  <c r="CF28" i="12"/>
  <c r="BP28" i="12"/>
  <c r="AZ28" i="12"/>
  <c r="AJ28" i="12"/>
  <c r="CF41" i="12"/>
  <c r="BP41" i="12"/>
  <c r="AZ41" i="12"/>
  <c r="AJ41" i="12"/>
  <c r="CF9" i="12"/>
  <c r="BP9" i="12"/>
  <c r="AZ9" i="12"/>
  <c r="AJ9" i="12"/>
  <c r="CH85" i="12"/>
  <c r="BR85" i="12"/>
  <c r="BB85" i="12"/>
  <c r="AL85" i="12"/>
  <c r="CF96" i="12"/>
  <c r="BP96" i="12"/>
  <c r="AJ96" i="12"/>
  <c r="AZ96" i="12"/>
  <c r="CF104" i="12"/>
  <c r="BG105" i="13" s="1"/>
  <c r="BP104" i="12"/>
  <c r="AQ105" i="13" s="1"/>
  <c r="AZ104" i="12"/>
  <c r="AA105" i="13" s="1"/>
  <c r="AJ104" i="12"/>
  <c r="K105" i="13" s="1"/>
  <c r="CF112" i="12"/>
  <c r="BG113" i="13" s="1"/>
  <c r="BP112" i="12"/>
  <c r="AQ113" i="13" s="1"/>
  <c r="AJ112" i="12"/>
  <c r="K113" i="13" s="1"/>
  <c r="AZ112" i="12"/>
  <c r="AA113" i="13" s="1"/>
  <c r="CF58" i="12"/>
  <c r="BP58" i="12"/>
  <c r="AJ58" i="12"/>
  <c r="AZ58" i="12"/>
  <c r="CG90" i="12"/>
  <c r="BQ90" i="12"/>
  <c r="BA90" i="12"/>
  <c r="AK90" i="12"/>
  <c r="CG98" i="12"/>
  <c r="BQ98" i="12"/>
  <c r="BA98" i="12"/>
  <c r="AK98" i="12"/>
  <c r="CG106" i="12"/>
  <c r="BQ106" i="12"/>
  <c r="BA106" i="12"/>
  <c r="AK106" i="12"/>
  <c r="CG114" i="12"/>
  <c r="BH115" i="13" s="1"/>
  <c r="BQ114" i="12"/>
  <c r="AR115" i="13" s="1"/>
  <c r="BA114" i="12"/>
  <c r="AB115" i="13" s="1"/>
  <c r="AK114" i="12"/>
  <c r="L115" i="13" s="1"/>
  <c r="CI119" i="12"/>
  <c r="BS119" i="12"/>
  <c r="BC119" i="12"/>
  <c r="AM119" i="12"/>
  <c r="CI111" i="12"/>
  <c r="BS111" i="12"/>
  <c r="BC111" i="12"/>
  <c r="AM111" i="12"/>
  <c r="CI103" i="12"/>
  <c r="BS103" i="12"/>
  <c r="BC103" i="12"/>
  <c r="AM103" i="12"/>
  <c r="CI95" i="12"/>
  <c r="BS95" i="12"/>
  <c r="BC95" i="12"/>
  <c r="AM95" i="12"/>
  <c r="CI39" i="12"/>
  <c r="BS39" i="12"/>
  <c r="BC39" i="12"/>
  <c r="AM39" i="12"/>
  <c r="CI86" i="12"/>
  <c r="BS86" i="12"/>
  <c r="BC86" i="12"/>
  <c r="AM86" i="12"/>
  <c r="CI78" i="12"/>
  <c r="BS78" i="12"/>
  <c r="BC78" i="12"/>
  <c r="AM78" i="12"/>
  <c r="CI70" i="12"/>
  <c r="BS70" i="12"/>
  <c r="BC70" i="12"/>
  <c r="AM70" i="12"/>
  <c r="CI62" i="12"/>
  <c r="BS62" i="12"/>
  <c r="BC62" i="12"/>
  <c r="AM62" i="12"/>
  <c r="CI54" i="12"/>
  <c r="BS54" i="12"/>
  <c r="BC54" i="12"/>
  <c r="AM54" i="12"/>
  <c r="CI28" i="12"/>
  <c r="BS28" i="12"/>
  <c r="BC28" i="12"/>
  <c r="AM28" i="12"/>
  <c r="CI41" i="12"/>
  <c r="BS41" i="12"/>
  <c r="BC41" i="12"/>
  <c r="AM41" i="12"/>
  <c r="CI9" i="12"/>
  <c r="BS9" i="12"/>
  <c r="AM9" i="12"/>
  <c r="BC9" i="12"/>
  <c r="CI38" i="12"/>
  <c r="BS38" i="12"/>
  <c r="BC38" i="12"/>
  <c r="AM38" i="12"/>
  <c r="CI6" i="12"/>
  <c r="BS6" i="12"/>
  <c r="BC6" i="12"/>
  <c r="AM6" i="12"/>
  <c r="CA118" i="12"/>
  <c r="BB119" i="13" s="1"/>
  <c r="BK118" i="12"/>
  <c r="AL119" i="13" s="1"/>
  <c r="AU118" i="12"/>
  <c r="V119" i="13" s="1"/>
  <c r="CA110" i="12"/>
  <c r="BB111" i="13" s="1"/>
  <c r="BK110" i="12"/>
  <c r="AL111" i="13" s="1"/>
  <c r="AU110" i="12"/>
  <c r="V111" i="13" s="1"/>
  <c r="CA102" i="12"/>
  <c r="BB103" i="13" s="1"/>
  <c r="BK102" i="12"/>
  <c r="AL103" i="13" s="1"/>
  <c r="AU102" i="12"/>
  <c r="V103" i="13" s="1"/>
  <c r="CA94" i="12"/>
  <c r="BB95" i="13" s="1"/>
  <c r="BK94" i="12"/>
  <c r="AL95" i="13" s="1"/>
  <c r="AU94" i="12"/>
  <c r="V95" i="13" s="1"/>
  <c r="AE94" i="12"/>
  <c r="F95" i="13" s="1"/>
  <c r="CA89" i="12"/>
  <c r="BB90" i="13" s="1"/>
  <c r="BK89" i="12"/>
  <c r="AL90" i="13" s="1"/>
  <c r="AU89" i="12"/>
  <c r="V90" i="13" s="1"/>
  <c r="AE89" i="12"/>
  <c r="F90" i="13" s="1"/>
  <c r="CA81" i="12"/>
  <c r="BB82" i="13" s="1"/>
  <c r="BK81" i="12"/>
  <c r="AL82" i="13" s="1"/>
  <c r="AU81" i="12"/>
  <c r="V82" i="13" s="1"/>
  <c r="AE81" i="12"/>
  <c r="F82" i="13" s="1"/>
  <c r="CA73" i="12"/>
  <c r="BB74" i="13" s="1"/>
  <c r="BK73" i="12"/>
  <c r="AL74" i="13" s="1"/>
  <c r="AU73" i="12"/>
  <c r="V74" i="13" s="1"/>
  <c r="AE73" i="12"/>
  <c r="F74" i="13" s="1"/>
  <c r="CA65" i="12"/>
  <c r="BB66" i="13" s="1"/>
  <c r="BK65" i="12"/>
  <c r="AL66" i="13" s="1"/>
  <c r="AU65" i="12"/>
  <c r="V66" i="13" s="1"/>
  <c r="AE65" i="12"/>
  <c r="F66" i="13" s="1"/>
  <c r="CA57" i="12"/>
  <c r="BB58" i="13" s="1"/>
  <c r="BK57" i="12"/>
  <c r="AL58" i="13" s="1"/>
  <c r="AU57" i="12"/>
  <c r="V58" i="13" s="1"/>
  <c r="AE57" i="12"/>
  <c r="F58" i="13" s="1"/>
  <c r="CA28" i="12"/>
  <c r="BK28" i="12"/>
  <c r="AU28" i="12"/>
  <c r="AE28" i="12"/>
  <c r="CA33" i="12"/>
  <c r="BK33" i="12"/>
  <c r="AU33" i="12"/>
  <c r="AE33" i="12"/>
  <c r="CA50" i="12"/>
  <c r="BB51" i="13" s="1"/>
  <c r="BK50" i="12"/>
  <c r="AL51" i="13" s="1"/>
  <c r="AU50" i="12"/>
  <c r="V51" i="13" s="1"/>
  <c r="AE50" i="12"/>
  <c r="F51" i="13" s="1"/>
  <c r="CA30" i="12"/>
  <c r="BK30" i="12"/>
  <c r="AU30" i="12"/>
  <c r="AE30" i="12"/>
  <c r="CA39" i="12"/>
  <c r="BK39" i="12"/>
  <c r="AU39" i="12"/>
  <c r="AE39" i="12"/>
  <c r="CA7" i="12"/>
  <c r="BK7" i="12"/>
  <c r="AE7" i="12"/>
  <c r="AU7" i="12"/>
  <c r="BZ111" i="12"/>
  <c r="BA112" i="13" s="1"/>
  <c r="BJ111" i="12"/>
  <c r="AK112" i="13" s="1"/>
  <c r="AT111" i="12"/>
  <c r="U112" i="13" s="1"/>
  <c r="BZ52" i="12"/>
  <c r="BA53" i="13" s="1"/>
  <c r="BJ52" i="12"/>
  <c r="AK53" i="13" s="1"/>
  <c r="AT52" i="12"/>
  <c r="U53" i="13" s="1"/>
  <c r="AD52" i="12"/>
  <c r="E53" i="13" s="1"/>
  <c r="BZ82" i="12"/>
  <c r="BA83" i="13" s="1"/>
  <c r="BJ82" i="12"/>
  <c r="AK83" i="13" s="1"/>
  <c r="AT82" i="12"/>
  <c r="U83" i="13" s="1"/>
  <c r="BZ74" i="12"/>
  <c r="BA75" i="13" s="1"/>
  <c r="BJ74" i="12"/>
  <c r="AK75" i="13" s="1"/>
  <c r="AT74" i="12"/>
  <c r="U75" i="13" s="1"/>
  <c r="AD74" i="12"/>
  <c r="E75" i="13" s="1"/>
  <c r="BZ66" i="12"/>
  <c r="BA67" i="13" s="1"/>
  <c r="BJ66" i="12"/>
  <c r="AK67" i="13" s="1"/>
  <c r="AT66" i="12"/>
  <c r="U67" i="13" s="1"/>
  <c r="AD66" i="12"/>
  <c r="E67" i="13" s="1"/>
  <c r="BZ58" i="12"/>
  <c r="BA59" i="13" s="1"/>
  <c r="BJ58" i="12"/>
  <c r="AK59" i="13" s="1"/>
  <c r="AT58" i="12"/>
  <c r="U59" i="13" s="1"/>
  <c r="AD58" i="12"/>
  <c r="E59" i="13" s="1"/>
  <c r="BZ45" i="12"/>
  <c r="BA46" i="13" s="1"/>
  <c r="BJ45" i="12"/>
  <c r="AK46" i="13" s="1"/>
  <c r="AT45" i="12"/>
  <c r="U46" i="13" s="1"/>
  <c r="AD45" i="12"/>
  <c r="E46" i="13" s="1"/>
  <c r="BZ37" i="12"/>
  <c r="BJ37" i="12"/>
  <c r="AT37" i="12"/>
  <c r="AD37" i="12"/>
  <c r="BZ29" i="12"/>
  <c r="BJ29" i="12"/>
  <c r="AT29" i="12"/>
  <c r="AD29" i="12"/>
  <c r="BZ21" i="12"/>
  <c r="BJ21" i="12"/>
  <c r="AT21" i="12"/>
  <c r="AD21" i="12"/>
  <c r="BZ13" i="12"/>
  <c r="BJ13" i="12"/>
  <c r="AD13" i="12"/>
  <c r="AT13" i="12"/>
  <c r="BZ5" i="12"/>
  <c r="BJ5" i="12"/>
  <c r="AD5" i="12"/>
  <c r="AT5" i="12"/>
  <c r="BW80" i="12"/>
  <c r="AX81" i="13" s="1"/>
  <c r="BW77" i="12"/>
  <c r="AX78" i="13" s="1"/>
  <c r="BW69" i="12"/>
  <c r="AX70" i="13" s="1"/>
  <c r="BW61" i="12"/>
  <c r="AX62" i="13" s="1"/>
  <c r="BW22" i="12"/>
  <c r="AX23" i="13" s="1"/>
  <c r="BG22" i="12"/>
  <c r="AH23" i="13" s="1"/>
  <c r="AQ22" i="12"/>
  <c r="R23" i="13" s="1"/>
  <c r="BW53" i="12"/>
  <c r="AX54" i="13" s="1"/>
  <c r="BG53" i="12"/>
  <c r="AH54" i="13" s="1"/>
  <c r="BW31" i="12"/>
  <c r="AX32" i="13" s="1"/>
  <c r="BG31" i="12"/>
  <c r="AH32" i="13" s="1"/>
  <c r="AQ31" i="12"/>
  <c r="R32" i="13" s="1"/>
  <c r="BW44" i="12"/>
  <c r="AX45" i="13" s="1"/>
  <c r="BG44" i="12"/>
  <c r="AH45" i="13" s="1"/>
  <c r="BW12" i="12"/>
  <c r="AX13" i="13" s="1"/>
  <c r="BG12" i="12"/>
  <c r="AH13" i="13" s="1"/>
  <c r="AQ12" i="12"/>
  <c r="R13" i="13" s="1"/>
  <c r="AA12" i="12"/>
  <c r="B13" i="13" s="1"/>
  <c r="BW21" i="12"/>
  <c r="AX22" i="13" s="1"/>
  <c r="BG21" i="12"/>
  <c r="AH22" i="13" s="1"/>
  <c r="AQ21" i="12"/>
  <c r="R22" i="13" s="1"/>
  <c r="CL84" i="12"/>
  <c r="BF84" i="12"/>
  <c r="AP84" i="12"/>
  <c r="BV84" i="12"/>
  <c r="CL121" i="12"/>
  <c r="BV121" i="12"/>
  <c r="BF121" i="12"/>
  <c r="AP121" i="12"/>
  <c r="CL113" i="12"/>
  <c r="BV113" i="12"/>
  <c r="BF113" i="12"/>
  <c r="AP113" i="12"/>
  <c r="CL105" i="12"/>
  <c r="BV105" i="12"/>
  <c r="BF105" i="12"/>
  <c r="AP105" i="12"/>
  <c r="CL97" i="12"/>
  <c r="BV97" i="12"/>
  <c r="BF97" i="12"/>
  <c r="AP97" i="12"/>
  <c r="CL89" i="12"/>
  <c r="BV89" i="12"/>
  <c r="BF89" i="12"/>
  <c r="AP89" i="12"/>
  <c r="CL73" i="12"/>
  <c r="BV73" i="12"/>
  <c r="BF73" i="12"/>
  <c r="AP73" i="12"/>
  <c r="CL65" i="12"/>
  <c r="BV65" i="12"/>
  <c r="BF65" i="12"/>
  <c r="AP65" i="12"/>
  <c r="CL57" i="12"/>
  <c r="BV57" i="12"/>
  <c r="BF57" i="12"/>
  <c r="AP57" i="12"/>
  <c r="CL40" i="12"/>
  <c r="BF40" i="12"/>
  <c r="AP40" i="12"/>
  <c r="BV40" i="12"/>
  <c r="CL25" i="12"/>
  <c r="BV25" i="12"/>
  <c r="BF25" i="12"/>
  <c r="AP25" i="12"/>
  <c r="CL34" i="12"/>
  <c r="BF34" i="12"/>
  <c r="AP34" i="12"/>
  <c r="BV34" i="12"/>
  <c r="CL4" i="12"/>
  <c r="AP4" i="12"/>
  <c r="BV4" i="12"/>
  <c r="BF4" i="12"/>
  <c r="CL15" i="12"/>
  <c r="BF15" i="12"/>
  <c r="BV15" i="12"/>
  <c r="AP15" i="12"/>
  <c r="CL16" i="12"/>
  <c r="AP16" i="12"/>
  <c r="BF16" i="12"/>
  <c r="BV16" i="12"/>
  <c r="BY120" i="12"/>
  <c r="AZ121" i="13" s="1"/>
  <c r="BI120" i="12"/>
  <c r="AJ121" i="13" s="1"/>
  <c r="AS120" i="12"/>
  <c r="T121" i="13" s="1"/>
  <c r="BY112" i="12"/>
  <c r="AZ113" i="13" s="1"/>
  <c r="BI112" i="12"/>
  <c r="AJ113" i="13" s="1"/>
  <c r="AS112" i="12"/>
  <c r="T113" i="13" s="1"/>
  <c r="BY104" i="12"/>
  <c r="AZ105" i="13" s="1"/>
  <c r="BI104" i="12"/>
  <c r="AJ105" i="13" s="1"/>
  <c r="AS104" i="12"/>
  <c r="T105" i="13" s="1"/>
  <c r="BY96" i="12"/>
  <c r="AZ97" i="13" s="1"/>
  <c r="BI96" i="12"/>
  <c r="AJ97" i="13" s="1"/>
  <c r="AS96" i="12"/>
  <c r="T97" i="13" s="1"/>
  <c r="BY27" i="12"/>
  <c r="AZ28" i="13" s="1"/>
  <c r="BI27" i="12"/>
  <c r="AJ28" i="13" s="1"/>
  <c r="AC27" i="12"/>
  <c r="D28" i="13" s="1"/>
  <c r="AS27" i="12"/>
  <c r="T28" i="13" s="1"/>
  <c r="BY35" i="12"/>
  <c r="AZ36" i="13" s="1"/>
  <c r="BI35" i="12"/>
  <c r="AJ36" i="13" s="1"/>
  <c r="AC35" i="12"/>
  <c r="D36" i="13" s="1"/>
  <c r="AS35" i="12"/>
  <c r="T36" i="13" s="1"/>
  <c r="BY15" i="12"/>
  <c r="BI15" i="12"/>
  <c r="AS15" i="12"/>
  <c r="AC15" i="12"/>
  <c r="BY82" i="12"/>
  <c r="AZ83" i="13" s="1"/>
  <c r="BI82" i="12"/>
  <c r="AJ83" i="13" s="1"/>
  <c r="AS82" i="12"/>
  <c r="T83" i="13" s="1"/>
  <c r="BY74" i="12"/>
  <c r="AZ75" i="13" s="1"/>
  <c r="BI74" i="12"/>
  <c r="AJ75" i="13" s="1"/>
  <c r="AS74" i="12"/>
  <c r="T75" i="13" s="1"/>
  <c r="BY66" i="12"/>
  <c r="AZ67" i="13" s="1"/>
  <c r="BI66" i="12"/>
  <c r="AJ67" i="13" s="1"/>
  <c r="AS66" i="12"/>
  <c r="T67" i="13" s="1"/>
  <c r="BY58" i="12"/>
  <c r="AZ59" i="13" s="1"/>
  <c r="BI58" i="12"/>
  <c r="AJ59" i="13" s="1"/>
  <c r="AS58" i="12"/>
  <c r="T59" i="13" s="1"/>
  <c r="AC58" i="12"/>
  <c r="D59" i="13" s="1"/>
  <c r="BY32" i="12"/>
  <c r="AZ33" i="13" s="1"/>
  <c r="BI32" i="12"/>
  <c r="AJ33" i="13" s="1"/>
  <c r="AS32" i="12"/>
  <c r="T33" i="13" s="1"/>
  <c r="AC32" i="12"/>
  <c r="D33" i="13" s="1"/>
  <c r="BI41" i="12"/>
  <c r="AJ42" i="13" s="1"/>
  <c r="AC41" i="12"/>
  <c r="D42" i="13" s="1"/>
  <c r="BY41" i="12"/>
  <c r="AZ42" i="13" s="1"/>
  <c r="AS41" i="12"/>
  <c r="T42" i="13" s="1"/>
  <c r="BI9" i="12"/>
  <c r="BY9" i="12"/>
  <c r="AS9" i="12"/>
  <c r="AC9" i="12"/>
  <c r="BY18" i="12"/>
  <c r="BI18" i="12"/>
  <c r="AS18" i="12"/>
  <c r="AC18" i="12"/>
  <c r="CE119" i="12"/>
  <c r="BF120" i="13" s="1"/>
  <c r="BO119" i="12"/>
  <c r="AP120" i="13" s="1"/>
  <c r="AY119" i="12"/>
  <c r="Z120" i="13" s="1"/>
  <c r="AI119" i="12"/>
  <c r="J120" i="13" s="1"/>
  <c r="CE111" i="12"/>
  <c r="BF112" i="13" s="1"/>
  <c r="BO111" i="12"/>
  <c r="AP112" i="13" s="1"/>
  <c r="AY111" i="12"/>
  <c r="Z112" i="13" s="1"/>
  <c r="AI111" i="12"/>
  <c r="J112" i="13" s="1"/>
  <c r="CE103" i="12"/>
  <c r="BF104" i="13" s="1"/>
  <c r="BO103" i="12"/>
  <c r="AP104" i="13" s="1"/>
  <c r="AY103" i="12"/>
  <c r="Z104" i="13" s="1"/>
  <c r="AI103" i="12"/>
  <c r="J104" i="13" s="1"/>
  <c r="CE95" i="12"/>
  <c r="BF96" i="13" s="1"/>
  <c r="BO95" i="12"/>
  <c r="AP96" i="13" s="1"/>
  <c r="AY95" i="12"/>
  <c r="Z96" i="13" s="1"/>
  <c r="AI95" i="12"/>
  <c r="J96" i="13" s="1"/>
  <c r="CE84" i="12"/>
  <c r="BO84" i="12"/>
  <c r="AY84" i="12"/>
  <c r="AI84" i="12"/>
  <c r="CE76" i="12"/>
  <c r="BO76" i="12"/>
  <c r="AY76" i="12"/>
  <c r="AI76" i="12"/>
  <c r="CE68" i="12"/>
  <c r="BO68" i="12"/>
  <c r="AY68" i="12"/>
  <c r="AI68" i="12"/>
  <c r="CE60" i="12"/>
  <c r="BO60" i="12"/>
  <c r="AY60" i="12"/>
  <c r="AI60" i="12"/>
  <c r="CE43" i="12"/>
  <c r="BO43" i="12"/>
  <c r="AY43" i="12"/>
  <c r="AI43" i="12"/>
  <c r="CE47" i="12"/>
  <c r="BO47" i="12"/>
  <c r="AY47" i="12"/>
  <c r="AI47" i="12"/>
  <c r="CE18" i="12"/>
  <c r="BO18" i="12"/>
  <c r="AY18" i="12"/>
  <c r="AI18" i="12"/>
  <c r="CE27" i="12"/>
  <c r="BO27" i="12"/>
  <c r="AY27" i="12"/>
  <c r="AI27" i="12"/>
  <c r="CE36" i="12"/>
  <c r="BO36" i="12"/>
  <c r="AY36" i="12"/>
  <c r="AI36" i="12"/>
  <c r="CE5" i="12"/>
  <c r="BO5" i="12"/>
  <c r="AI5" i="12"/>
  <c r="AY5" i="12"/>
  <c r="CE9" i="12"/>
  <c r="BO9" i="12"/>
  <c r="AI9" i="12"/>
  <c r="AY9" i="12"/>
  <c r="BZ116" i="12"/>
  <c r="BA117" i="13" s="1"/>
  <c r="BJ116" i="12"/>
  <c r="AK117" i="13" s="1"/>
  <c r="AT116" i="12"/>
  <c r="U117" i="13" s="1"/>
  <c r="BX81" i="12"/>
  <c r="AY82" i="13" s="1"/>
  <c r="BH81" i="12"/>
  <c r="AI82" i="13" s="1"/>
  <c r="BX113" i="12"/>
  <c r="AY114" i="13" s="1"/>
  <c r="BH113" i="12"/>
  <c r="AI114" i="13" s="1"/>
  <c r="BX105" i="12"/>
  <c r="AY106" i="13" s="1"/>
  <c r="BH105" i="12"/>
  <c r="AI106" i="13" s="1"/>
  <c r="BX97" i="12"/>
  <c r="AY98" i="13" s="1"/>
  <c r="BH97" i="12"/>
  <c r="AI98" i="13" s="1"/>
  <c r="BX74" i="12"/>
  <c r="AY75" i="13" s="1"/>
  <c r="BH74" i="12"/>
  <c r="AI75" i="13" s="1"/>
  <c r="AR74" i="12"/>
  <c r="S75" i="13" s="1"/>
  <c r="BX69" i="12"/>
  <c r="AY70" i="13" s="1"/>
  <c r="BH69" i="12"/>
  <c r="AI70" i="13" s="1"/>
  <c r="AR69" i="12"/>
  <c r="S70" i="13" s="1"/>
  <c r="BX68" i="12"/>
  <c r="AY69" i="13" s="1"/>
  <c r="BH68" i="12"/>
  <c r="AI69" i="13" s="1"/>
  <c r="AR68" i="12"/>
  <c r="S69" i="13" s="1"/>
  <c r="BX50" i="12"/>
  <c r="AY51" i="13" s="1"/>
  <c r="BH50" i="12"/>
  <c r="AI51" i="13" s="1"/>
  <c r="AR50" i="12"/>
  <c r="S51" i="13" s="1"/>
  <c r="BX48" i="12"/>
  <c r="AY49" i="13" s="1"/>
  <c r="BH48" i="12"/>
  <c r="AI49" i="13" s="1"/>
  <c r="AR48" i="12"/>
  <c r="S49" i="13" s="1"/>
  <c r="BX15" i="12"/>
  <c r="BH15" i="12"/>
  <c r="AR15" i="12"/>
  <c r="AB15" i="12"/>
  <c r="BX24" i="12"/>
  <c r="AY25" i="13" s="1"/>
  <c r="BH24" i="12"/>
  <c r="AI25" i="13" s="1"/>
  <c r="AR24" i="12"/>
  <c r="S25" i="13" s="1"/>
  <c r="AB24" i="12"/>
  <c r="C25" i="13" s="1"/>
  <c r="BX33" i="12"/>
  <c r="AY34" i="13" s="1"/>
  <c r="BH33" i="12"/>
  <c r="AI34" i="13" s="1"/>
  <c r="AB33" i="12"/>
  <c r="C34" i="13" s="1"/>
  <c r="AR33" i="12"/>
  <c r="S34" i="13" s="1"/>
  <c r="BX4" i="12"/>
  <c r="BH4" i="12"/>
  <c r="AR4" i="12"/>
  <c r="AB4" i="12"/>
  <c r="BX10" i="12"/>
  <c r="BH10" i="12"/>
  <c r="AR10" i="12"/>
  <c r="AB10" i="12"/>
  <c r="AX120" i="12"/>
  <c r="Y121" i="13" s="1"/>
  <c r="CD120" i="12"/>
  <c r="BE121" i="13" s="1"/>
  <c r="BN120" i="12"/>
  <c r="AO121" i="13" s="1"/>
  <c r="AH120" i="12"/>
  <c r="I121" i="13" s="1"/>
  <c r="CD112" i="12"/>
  <c r="BE113" i="13" s="1"/>
  <c r="AX112" i="12"/>
  <c r="Y113" i="13" s="1"/>
  <c r="BN112" i="12"/>
  <c r="AO113" i="13" s="1"/>
  <c r="AH112" i="12"/>
  <c r="I113" i="13" s="1"/>
  <c r="AX104" i="12"/>
  <c r="Y105" i="13" s="1"/>
  <c r="BN104" i="12"/>
  <c r="AO105" i="13" s="1"/>
  <c r="CD104" i="12"/>
  <c r="BE105" i="13" s="1"/>
  <c r="AH104" i="12"/>
  <c r="I105" i="13" s="1"/>
  <c r="CD96" i="12"/>
  <c r="BE97" i="13" s="1"/>
  <c r="AX96" i="12"/>
  <c r="Y97" i="13" s="1"/>
  <c r="AH96" i="12"/>
  <c r="I97" i="13" s="1"/>
  <c r="BN96" i="12"/>
  <c r="AO97" i="13" s="1"/>
  <c r="CD13" i="12"/>
  <c r="BN13" i="12"/>
  <c r="AH13" i="12"/>
  <c r="AX13" i="12"/>
  <c r="CD79" i="12"/>
  <c r="BN79" i="12"/>
  <c r="AX79" i="12"/>
  <c r="AH79" i="12"/>
  <c r="AX70" i="12"/>
  <c r="AH70" i="12"/>
  <c r="BN70" i="12"/>
  <c r="CD70" i="12"/>
  <c r="AX62" i="12"/>
  <c r="AH62" i="12"/>
  <c r="CD62" i="12"/>
  <c r="BN62" i="12"/>
  <c r="AX54" i="12"/>
  <c r="AH54" i="12"/>
  <c r="BN54" i="12"/>
  <c r="CD54" i="12"/>
  <c r="CD33" i="12"/>
  <c r="BN33" i="12"/>
  <c r="AX33" i="12"/>
  <c r="AH33" i="12"/>
  <c r="CD42" i="12"/>
  <c r="AX42" i="12"/>
  <c r="AH42" i="12"/>
  <c r="BN42" i="12"/>
  <c r="CD10" i="12"/>
  <c r="AH10" i="12"/>
  <c r="AX10" i="12"/>
  <c r="BN10" i="12"/>
  <c r="CD23" i="12"/>
  <c r="BN23" i="12"/>
  <c r="AX23" i="12"/>
  <c r="AH23" i="12"/>
  <c r="CD32" i="12"/>
  <c r="AX32" i="12"/>
  <c r="AH32" i="12"/>
  <c r="BN32" i="12"/>
  <c r="BM82" i="12"/>
  <c r="AN83" i="13" s="1"/>
  <c r="CC82" i="12"/>
  <c r="BD83" i="13" s="1"/>
  <c r="AG82" i="12"/>
  <c r="H83" i="13" s="1"/>
  <c r="AW82" i="12"/>
  <c r="X83" i="13" s="1"/>
  <c r="CK48" i="12"/>
  <c r="BU48" i="12"/>
  <c r="BE48" i="12"/>
  <c r="AO48" i="12"/>
  <c r="CK78" i="12"/>
  <c r="BU78" i="12"/>
  <c r="BE78" i="12"/>
  <c r="AO78" i="12"/>
  <c r="CK116" i="12"/>
  <c r="BU116" i="12"/>
  <c r="BE116" i="12"/>
  <c r="AO116" i="12"/>
  <c r="CK108" i="12"/>
  <c r="BU108" i="12"/>
  <c r="BE108" i="12"/>
  <c r="AO108" i="12"/>
  <c r="CK100" i="12"/>
  <c r="BU100" i="12"/>
  <c r="BE100" i="12"/>
  <c r="AO100" i="12"/>
  <c r="CK92" i="12"/>
  <c r="BU92" i="12"/>
  <c r="BE92" i="12"/>
  <c r="AO92" i="12"/>
  <c r="CK53" i="12"/>
  <c r="BU53" i="12"/>
  <c r="BE53" i="12"/>
  <c r="AO53" i="12"/>
  <c r="CK73" i="12"/>
  <c r="BU73" i="12"/>
  <c r="BE73" i="12"/>
  <c r="AO73" i="12"/>
  <c r="CK65" i="12"/>
  <c r="BU65" i="12"/>
  <c r="BE65" i="12"/>
  <c r="AO65" i="12"/>
  <c r="CK57" i="12"/>
  <c r="BU57" i="12"/>
  <c r="BE57" i="12"/>
  <c r="AO57" i="12"/>
  <c r="CK49" i="12"/>
  <c r="BU49" i="12"/>
  <c r="BE49" i="12"/>
  <c r="AO49" i="12"/>
  <c r="CK37" i="12"/>
  <c r="BU37" i="12"/>
  <c r="AO37" i="12"/>
  <c r="BE37" i="12"/>
  <c r="CK42" i="12"/>
  <c r="BU42" i="12"/>
  <c r="AO42" i="12"/>
  <c r="BE42" i="12"/>
  <c r="CK10" i="12"/>
  <c r="BE10" i="12"/>
  <c r="BU10" i="12"/>
  <c r="AO10" i="12"/>
  <c r="CK23" i="12"/>
  <c r="AO23" i="12"/>
  <c r="BU23" i="12"/>
  <c r="BE23" i="12"/>
  <c r="BZ93" i="12"/>
  <c r="BA94" i="13" s="1"/>
  <c r="BJ93" i="12"/>
  <c r="AK94" i="13" s="1"/>
  <c r="AT93" i="12"/>
  <c r="U94" i="13" s="1"/>
  <c r="CC89" i="12"/>
  <c r="BD90" i="13" s="1"/>
  <c r="BM89" i="12"/>
  <c r="AN90" i="13" s="1"/>
  <c r="AW89" i="12"/>
  <c r="X90" i="13" s="1"/>
  <c r="AG89" i="12"/>
  <c r="H90" i="13" s="1"/>
  <c r="CC116" i="12"/>
  <c r="BD117" i="13" s="1"/>
  <c r="BM116" i="12"/>
  <c r="AN117" i="13" s="1"/>
  <c r="AW116" i="12"/>
  <c r="X117" i="13" s="1"/>
  <c r="AG116" i="12"/>
  <c r="H117" i="13" s="1"/>
  <c r="BM108" i="12"/>
  <c r="AN109" i="13" s="1"/>
  <c r="CC108" i="12"/>
  <c r="BD109" i="13" s="1"/>
  <c r="AW108" i="12"/>
  <c r="X109" i="13" s="1"/>
  <c r="AG108" i="12"/>
  <c r="H109" i="13" s="1"/>
  <c r="BM100" i="12"/>
  <c r="AN101" i="13" s="1"/>
  <c r="AW100" i="12"/>
  <c r="X101" i="13" s="1"/>
  <c r="CC100" i="12"/>
  <c r="BD101" i="13" s="1"/>
  <c r="AG100" i="12"/>
  <c r="H101" i="13" s="1"/>
  <c r="BM92" i="12"/>
  <c r="AN93" i="13" s="1"/>
  <c r="CC92" i="12"/>
  <c r="BD93" i="13" s="1"/>
  <c r="AW92" i="12"/>
  <c r="X93" i="13" s="1"/>
  <c r="AG92" i="12"/>
  <c r="H93" i="13" s="1"/>
  <c r="CC75" i="12"/>
  <c r="BD76" i="13" s="1"/>
  <c r="BM75" i="12"/>
  <c r="AN76" i="13" s="1"/>
  <c r="AW75" i="12"/>
  <c r="X76" i="13" s="1"/>
  <c r="AG75" i="12"/>
  <c r="H76" i="13" s="1"/>
  <c r="CC67" i="12"/>
  <c r="BM67" i="12"/>
  <c r="AW67" i="12"/>
  <c r="AG67" i="12"/>
  <c r="CC59" i="12"/>
  <c r="BM59" i="12"/>
  <c r="AW59" i="12"/>
  <c r="AG59" i="12"/>
  <c r="CC47" i="12"/>
  <c r="BM47" i="12"/>
  <c r="AW47" i="12"/>
  <c r="AG47" i="12"/>
  <c r="CC33" i="12"/>
  <c r="BM33" i="12"/>
  <c r="AW33" i="12"/>
  <c r="AG33" i="12"/>
  <c r="BM34" i="12"/>
  <c r="CC34" i="12"/>
  <c r="AG34" i="12"/>
  <c r="AW34" i="12"/>
  <c r="CC4" i="12"/>
  <c r="BM4" i="12"/>
  <c r="AG4" i="12"/>
  <c r="AW4" i="12"/>
  <c r="CC15" i="12"/>
  <c r="BM15" i="12"/>
  <c r="AW15" i="12"/>
  <c r="AG15" i="12"/>
  <c r="CC20" i="12"/>
  <c r="BM20" i="12"/>
  <c r="AW20" i="12"/>
  <c r="AG20" i="12"/>
  <c r="CB122" i="12"/>
  <c r="BC123" i="13" s="1"/>
  <c r="BL122" i="12"/>
  <c r="AM123" i="13" s="1"/>
  <c r="AV122" i="12"/>
  <c r="W123" i="13" s="1"/>
  <c r="AF122" i="12"/>
  <c r="G123" i="13" s="1"/>
  <c r="CB114" i="12"/>
  <c r="BC115" i="13" s="1"/>
  <c r="BL114" i="12"/>
  <c r="AM115" i="13" s="1"/>
  <c r="AV114" i="12"/>
  <c r="W115" i="13" s="1"/>
  <c r="AF114" i="12"/>
  <c r="G115" i="13" s="1"/>
  <c r="CB106" i="12"/>
  <c r="BC107" i="13" s="1"/>
  <c r="BL106" i="12"/>
  <c r="AM107" i="13" s="1"/>
  <c r="AV106" i="12"/>
  <c r="W107" i="13" s="1"/>
  <c r="AF106" i="12"/>
  <c r="G107" i="13" s="1"/>
  <c r="CB98" i="12"/>
  <c r="BC99" i="13" s="1"/>
  <c r="BL98" i="12"/>
  <c r="AM99" i="13" s="1"/>
  <c r="AV98" i="12"/>
  <c r="W99" i="13" s="1"/>
  <c r="AF98" i="12"/>
  <c r="G99" i="13" s="1"/>
  <c r="CB90" i="12"/>
  <c r="BC91" i="13" s="1"/>
  <c r="BL90" i="12"/>
  <c r="AM91" i="13" s="1"/>
  <c r="AV90" i="12"/>
  <c r="W91" i="13" s="1"/>
  <c r="AF90" i="12"/>
  <c r="G91" i="13" s="1"/>
  <c r="CB84" i="12"/>
  <c r="BC85" i="13" s="1"/>
  <c r="BL84" i="12"/>
  <c r="AM85" i="13" s="1"/>
  <c r="AV84" i="12"/>
  <c r="W85" i="13" s="1"/>
  <c r="AF84" i="12"/>
  <c r="G85" i="13" s="1"/>
  <c r="CB76" i="12"/>
  <c r="BC77" i="13" s="1"/>
  <c r="BL76" i="12"/>
  <c r="AM77" i="13" s="1"/>
  <c r="AV76" i="12"/>
  <c r="W77" i="13" s="1"/>
  <c r="AF76" i="12"/>
  <c r="G77" i="13" s="1"/>
  <c r="CB68" i="12"/>
  <c r="BC69" i="13" s="1"/>
  <c r="BL68" i="12"/>
  <c r="AM69" i="13" s="1"/>
  <c r="AV68" i="12"/>
  <c r="W69" i="13" s="1"/>
  <c r="AF68" i="12"/>
  <c r="G69" i="13" s="1"/>
  <c r="CB60" i="12"/>
  <c r="BC61" i="13" s="1"/>
  <c r="BL60" i="12"/>
  <c r="AM61" i="13" s="1"/>
  <c r="AV60" i="12"/>
  <c r="W61" i="13" s="1"/>
  <c r="AF60" i="12"/>
  <c r="G61" i="13" s="1"/>
  <c r="CB24" i="12"/>
  <c r="BL24" i="12"/>
  <c r="AV24" i="12"/>
  <c r="AF24" i="12"/>
  <c r="BL29" i="12"/>
  <c r="CB29" i="12"/>
  <c r="AV29" i="12"/>
  <c r="AF29" i="12"/>
  <c r="CB52" i="12"/>
  <c r="BL52" i="12"/>
  <c r="AV52" i="12"/>
  <c r="AF52" i="12"/>
  <c r="CB38" i="12"/>
  <c r="BL38" i="12"/>
  <c r="AV38" i="12"/>
  <c r="AF38" i="12"/>
  <c r="CB6" i="12"/>
  <c r="BL6" i="12"/>
  <c r="AV6" i="12"/>
  <c r="AF6" i="12"/>
  <c r="CB19" i="12"/>
  <c r="BL19" i="12"/>
  <c r="AV19" i="12"/>
  <c r="AF19" i="12"/>
  <c r="CJ121" i="12"/>
  <c r="BT121" i="12"/>
  <c r="BD121" i="12"/>
  <c r="AN121" i="12"/>
  <c r="CJ113" i="12"/>
  <c r="BT113" i="12"/>
  <c r="BD113" i="12"/>
  <c r="AN113" i="12"/>
  <c r="CJ105" i="12"/>
  <c r="BT105" i="12"/>
  <c r="BD105" i="12"/>
  <c r="AN105" i="12"/>
  <c r="CJ97" i="12"/>
  <c r="BT97" i="12"/>
  <c r="BD97" i="12"/>
  <c r="AN97" i="12"/>
  <c r="CJ89" i="12"/>
  <c r="BT89" i="12"/>
  <c r="BD89" i="12"/>
  <c r="AN89" i="12"/>
  <c r="CJ80" i="12"/>
  <c r="BT80" i="12"/>
  <c r="BD80" i="12"/>
  <c r="AN80" i="12"/>
  <c r="CJ72" i="12"/>
  <c r="BT72" i="12"/>
  <c r="BD72" i="12"/>
  <c r="AN72" i="12"/>
  <c r="CJ64" i="12"/>
  <c r="BT64" i="12"/>
  <c r="BD64" i="12"/>
  <c r="AN64" i="12"/>
  <c r="CJ56" i="12"/>
  <c r="BT56" i="12"/>
  <c r="BD56" i="12"/>
  <c r="AN56" i="12"/>
  <c r="CJ32" i="12"/>
  <c r="BT32" i="12"/>
  <c r="BD32" i="12"/>
  <c r="AN32" i="12"/>
  <c r="CJ37" i="12"/>
  <c r="BT37" i="12"/>
  <c r="BD37" i="12"/>
  <c r="AN37" i="12"/>
  <c r="CJ53" i="12"/>
  <c r="BT53" i="12"/>
  <c r="BD53" i="12"/>
  <c r="AN53" i="12"/>
  <c r="CJ42" i="12"/>
  <c r="BT42" i="12"/>
  <c r="BD42" i="12"/>
  <c r="AN42" i="12"/>
  <c r="CJ10" i="12"/>
  <c r="BT10" i="12"/>
  <c r="BD10" i="12"/>
  <c r="AN10" i="12"/>
  <c r="BT19" i="12"/>
  <c r="BD19" i="12"/>
  <c r="AN19" i="12"/>
  <c r="CJ19" i="12"/>
  <c r="CH111" i="12"/>
  <c r="BR111" i="12"/>
  <c r="BB111" i="12"/>
  <c r="AL111" i="12"/>
  <c r="CH100" i="12"/>
  <c r="BR100" i="12"/>
  <c r="BB100" i="12"/>
  <c r="AL100" i="12"/>
  <c r="CH119" i="12"/>
  <c r="BR119" i="12"/>
  <c r="BB119" i="12"/>
  <c r="AL119" i="12"/>
  <c r="CH102" i="12"/>
  <c r="BR102" i="12"/>
  <c r="BB102" i="12"/>
  <c r="AL102" i="12"/>
  <c r="CI88" i="12"/>
  <c r="BS88" i="12"/>
  <c r="BC88" i="12"/>
  <c r="AM88" i="12"/>
  <c r="CI5" i="12"/>
  <c r="BS5" i="12"/>
  <c r="AM5" i="12"/>
  <c r="BC5" i="12"/>
  <c r="CA96" i="12"/>
  <c r="BB97" i="13" s="1"/>
  <c r="BK96" i="12"/>
  <c r="AL97" i="13" s="1"/>
  <c r="AU96" i="12"/>
  <c r="V97" i="13" s="1"/>
  <c r="AE96" i="12"/>
  <c r="F97" i="13" s="1"/>
  <c r="CA67" i="12"/>
  <c r="BB68" i="13" s="1"/>
  <c r="BK67" i="12"/>
  <c r="AL68" i="13" s="1"/>
  <c r="AU67" i="12"/>
  <c r="V68" i="13" s="1"/>
  <c r="AE67" i="12"/>
  <c r="F68" i="13" s="1"/>
  <c r="CA6" i="12"/>
  <c r="BK6" i="12"/>
  <c r="AU6" i="12"/>
  <c r="AE6" i="12"/>
  <c r="BZ68" i="12"/>
  <c r="BA69" i="13" s="1"/>
  <c r="BJ68" i="12"/>
  <c r="AK69" i="13" s="1"/>
  <c r="AT68" i="12"/>
  <c r="U69" i="13" s="1"/>
  <c r="AD68" i="12"/>
  <c r="E69" i="13" s="1"/>
  <c r="BZ23" i="12"/>
  <c r="BJ23" i="12"/>
  <c r="AT23" i="12"/>
  <c r="AD23" i="12"/>
  <c r="BW7" i="12"/>
  <c r="AX8" i="13" s="1"/>
  <c r="BG7" i="12"/>
  <c r="AH8" i="13" s="1"/>
  <c r="AA7" i="12"/>
  <c r="B8" i="13" s="1"/>
  <c r="AQ7" i="12"/>
  <c r="R8" i="13" s="1"/>
  <c r="CL99" i="12"/>
  <c r="BV99" i="12"/>
  <c r="BF99" i="12"/>
  <c r="AP99" i="12"/>
  <c r="CL23" i="12"/>
  <c r="BV23" i="12"/>
  <c r="BF23" i="12"/>
  <c r="AP23" i="12"/>
  <c r="BY11" i="12"/>
  <c r="BI11" i="12"/>
  <c r="AS11" i="12"/>
  <c r="AC11" i="12"/>
  <c r="BI17" i="12"/>
  <c r="BY17" i="12"/>
  <c r="AS17" i="12"/>
  <c r="AC17" i="12"/>
  <c r="CE70" i="12"/>
  <c r="BO70" i="12"/>
  <c r="AY70" i="12"/>
  <c r="AI70" i="12"/>
  <c r="CE12" i="12"/>
  <c r="BO12" i="12"/>
  <c r="AY12" i="12"/>
  <c r="AI12" i="12"/>
  <c r="BX107" i="12"/>
  <c r="AY108" i="13" s="1"/>
  <c r="BH107" i="12"/>
  <c r="AI108" i="13" s="1"/>
  <c r="BX54" i="12"/>
  <c r="AY55" i="13" s="1"/>
  <c r="BH54" i="12"/>
  <c r="AI55" i="13" s="1"/>
  <c r="AR54" i="12"/>
  <c r="S55" i="13" s="1"/>
  <c r="AX114" i="12"/>
  <c r="Y115" i="13" s="1"/>
  <c r="CD114" i="12"/>
  <c r="BE115" i="13" s="1"/>
  <c r="BN114" i="12"/>
  <c r="AO115" i="13" s="1"/>
  <c r="AH114" i="12"/>
  <c r="I115" i="13" s="1"/>
  <c r="AX56" i="12"/>
  <c r="AH56" i="12"/>
  <c r="BN56" i="12"/>
  <c r="CD56" i="12"/>
  <c r="CD8" i="12"/>
  <c r="AH8" i="12"/>
  <c r="BN8" i="12"/>
  <c r="AX8" i="12"/>
  <c r="CK94" i="12"/>
  <c r="BU94" i="12"/>
  <c r="BE94" i="12"/>
  <c r="AO94" i="12"/>
  <c r="CK59" i="12"/>
  <c r="BE59" i="12"/>
  <c r="AO59" i="12"/>
  <c r="BU59" i="12"/>
  <c r="CC83" i="12"/>
  <c r="BD84" i="13" s="1"/>
  <c r="BM83" i="12"/>
  <c r="AN84" i="13" s="1"/>
  <c r="AW83" i="12"/>
  <c r="X84" i="13" s="1"/>
  <c r="AG83" i="12"/>
  <c r="H84" i="13" s="1"/>
  <c r="CC69" i="12"/>
  <c r="BM69" i="12"/>
  <c r="AW69" i="12"/>
  <c r="AG69" i="12"/>
  <c r="CC28" i="12"/>
  <c r="BM28" i="12"/>
  <c r="AW28" i="12"/>
  <c r="AG28" i="12"/>
  <c r="CB70" i="12"/>
  <c r="BC71" i="13" s="1"/>
  <c r="BL70" i="12"/>
  <c r="AM71" i="13" s="1"/>
  <c r="AV70" i="12"/>
  <c r="W71" i="13" s="1"/>
  <c r="AF70" i="12"/>
  <c r="G71" i="13" s="1"/>
  <c r="CB27" i="12"/>
  <c r="BL27" i="12"/>
  <c r="AV27" i="12"/>
  <c r="AF27" i="12"/>
  <c r="CJ74" i="12"/>
  <c r="BT74" i="12"/>
  <c r="BD74" i="12"/>
  <c r="AN74" i="12"/>
  <c r="CH98" i="12"/>
  <c r="BR98" i="12"/>
  <c r="BB98" i="12"/>
  <c r="AL98" i="12"/>
  <c r="CH79" i="12"/>
  <c r="BR79" i="12"/>
  <c r="BB79" i="12"/>
  <c r="AL79" i="12"/>
  <c r="CH44" i="12"/>
  <c r="BR44" i="12"/>
  <c r="BB44" i="12"/>
  <c r="AL44" i="12"/>
  <c r="CH12" i="12"/>
  <c r="BR12" i="12"/>
  <c r="AL12" i="12"/>
  <c r="BB12" i="12"/>
  <c r="CF67" i="12"/>
  <c r="BP67" i="12"/>
  <c r="AZ67" i="12"/>
  <c r="AJ67" i="12"/>
  <c r="CH70" i="12"/>
  <c r="BR70" i="12"/>
  <c r="BB70" i="12"/>
  <c r="AL70" i="12"/>
  <c r="CH43" i="12"/>
  <c r="BR43" i="12"/>
  <c r="BB43" i="12"/>
  <c r="AL43" i="12"/>
  <c r="CH19" i="12"/>
  <c r="BR19" i="12"/>
  <c r="BB19" i="12"/>
  <c r="AL19" i="12"/>
  <c r="CG78" i="12"/>
  <c r="BQ78" i="12"/>
  <c r="BA78" i="12"/>
  <c r="AK78" i="12"/>
  <c r="CF71" i="12"/>
  <c r="BP71" i="12"/>
  <c r="AZ71" i="12"/>
  <c r="AJ71" i="12"/>
  <c r="CH53" i="12"/>
  <c r="BR53" i="12"/>
  <c r="BB53" i="12"/>
  <c r="AL53" i="12"/>
  <c r="CH77" i="12"/>
  <c r="BR77" i="12"/>
  <c r="BB77" i="12"/>
  <c r="AL77" i="12"/>
  <c r="CH69" i="12"/>
  <c r="BR69" i="12"/>
  <c r="BB69" i="12"/>
  <c r="AL69" i="12"/>
  <c r="CH61" i="12"/>
  <c r="BR61" i="12"/>
  <c r="BB61" i="12"/>
  <c r="AL61" i="12"/>
  <c r="CH51" i="12"/>
  <c r="BR51" i="12"/>
  <c r="BB51" i="12"/>
  <c r="AL51" i="12"/>
  <c r="CH42" i="12"/>
  <c r="BR42" i="12"/>
  <c r="BB42" i="12"/>
  <c r="AL42" i="12"/>
  <c r="CH34" i="12"/>
  <c r="BR34" i="12"/>
  <c r="BB34" i="12"/>
  <c r="AL34" i="12"/>
  <c r="CH26" i="12"/>
  <c r="BR26" i="12"/>
  <c r="BB26" i="12"/>
  <c r="AL26" i="12"/>
  <c r="CH18" i="12"/>
  <c r="BR18" i="12"/>
  <c r="BB18" i="12"/>
  <c r="AL18" i="12"/>
  <c r="CH10" i="12"/>
  <c r="BR10" i="12"/>
  <c r="AL10" i="12"/>
  <c r="BB10" i="12"/>
  <c r="CG88" i="12"/>
  <c r="BQ88" i="12"/>
  <c r="AK88" i="12"/>
  <c r="BA88" i="12"/>
  <c r="CG42" i="12"/>
  <c r="BQ42" i="12"/>
  <c r="BA42" i="12"/>
  <c r="AK42" i="12"/>
  <c r="CG77" i="12"/>
  <c r="BQ77" i="12"/>
  <c r="BA77" i="12"/>
  <c r="AK77" i="12"/>
  <c r="CG69" i="12"/>
  <c r="BQ69" i="12"/>
  <c r="BA69" i="12"/>
  <c r="AK69" i="12"/>
  <c r="CG61" i="12"/>
  <c r="BQ61" i="12"/>
  <c r="BA61" i="12"/>
  <c r="AK61" i="12"/>
  <c r="CG49" i="12"/>
  <c r="BQ49" i="12"/>
  <c r="BA49" i="12"/>
  <c r="AK49" i="12"/>
  <c r="CG15" i="12"/>
  <c r="BQ15" i="12"/>
  <c r="BA15" i="12"/>
  <c r="AK15" i="12"/>
  <c r="CG16" i="12"/>
  <c r="BQ16" i="12"/>
  <c r="BA16" i="12"/>
  <c r="AK16" i="12"/>
  <c r="CG25" i="12"/>
  <c r="BQ25" i="12"/>
  <c r="BA25" i="12"/>
  <c r="AK25" i="12"/>
  <c r="CG26" i="12"/>
  <c r="BQ26" i="12"/>
  <c r="BA26" i="12"/>
  <c r="AK26" i="12"/>
  <c r="CF56" i="12"/>
  <c r="BP56" i="12"/>
  <c r="AZ56" i="12"/>
  <c r="AJ56" i="12"/>
  <c r="CF80" i="12"/>
  <c r="BP80" i="12"/>
  <c r="AZ80" i="12"/>
  <c r="AJ80" i="12"/>
  <c r="CF51" i="12"/>
  <c r="BP51" i="12"/>
  <c r="AZ51" i="12"/>
  <c r="AJ51" i="12"/>
  <c r="CF38" i="12"/>
  <c r="BP38" i="12"/>
  <c r="AJ38" i="12"/>
  <c r="AZ38" i="12"/>
  <c r="CF4" i="12"/>
  <c r="BP4" i="12"/>
  <c r="AZ4" i="12"/>
  <c r="AJ4" i="12"/>
  <c r="CF15" i="12"/>
  <c r="BP15" i="12"/>
  <c r="AJ15" i="12"/>
  <c r="AZ15" i="12"/>
  <c r="CF24" i="12"/>
  <c r="BP24" i="12"/>
  <c r="AZ24" i="12"/>
  <c r="AJ24" i="12"/>
  <c r="CF37" i="12"/>
  <c r="BP37" i="12"/>
  <c r="AZ37" i="12"/>
  <c r="AJ37" i="12"/>
  <c r="CG85" i="12"/>
  <c r="BQ85" i="12"/>
  <c r="BA85" i="12"/>
  <c r="AK85" i="12"/>
  <c r="CH87" i="12"/>
  <c r="BR87" i="12"/>
  <c r="BB87" i="12"/>
  <c r="AL87" i="12"/>
  <c r="CF97" i="12"/>
  <c r="BP97" i="12"/>
  <c r="AZ97" i="12"/>
  <c r="AJ97" i="12"/>
  <c r="CF105" i="12"/>
  <c r="BG106" i="13" s="1"/>
  <c r="BP105" i="12"/>
  <c r="AQ106" i="13" s="1"/>
  <c r="AZ105" i="12"/>
  <c r="AA106" i="13" s="1"/>
  <c r="AJ105" i="12"/>
  <c r="K106" i="13" s="1"/>
  <c r="CF113" i="12"/>
  <c r="BG114" i="13" s="1"/>
  <c r="BP113" i="12"/>
  <c r="AQ114" i="13" s="1"/>
  <c r="AZ113" i="12"/>
  <c r="AA114" i="13" s="1"/>
  <c r="AJ113" i="12"/>
  <c r="K114" i="13" s="1"/>
  <c r="CF62" i="12"/>
  <c r="BP62" i="12"/>
  <c r="AJ62" i="12"/>
  <c r="AZ62" i="12"/>
  <c r="CG91" i="12"/>
  <c r="BQ91" i="12"/>
  <c r="AK91" i="12"/>
  <c r="BA91" i="12"/>
  <c r="CG99" i="12"/>
  <c r="BQ99" i="12"/>
  <c r="AK99" i="12"/>
  <c r="BA99" i="12"/>
  <c r="CG107" i="12"/>
  <c r="BQ107" i="12"/>
  <c r="BA107" i="12"/>
  <c r="AK107" i="12"/>
  <c r="CG115" i="12"/>
  <c r="BH116" i="13" s="1"/>
  <c r="BQ115" i="12"/>
  <c r="AR116" i="13" s="1"/>
  <c r="BA115" i="12"/>
  <c r="AB116" i="13" s="1"/>
  <c r="AK115" i="12"/>
  <c r="L116" i="13" s="1"/>
  <c r="CE120" i="12"/>
  <c r="BF121" i="13" s="1"/>
  <c r="BO120" i="12"/>
  <c r="AP121" i="13" s="1"/>
  <c r="AY120" i="12"/>
  <c r="Z121" i="13" s="1"/>
  <c r="AI120" i="12"/>
  <c r="J121" i="13" s="1"/>
  <c r="CI118" i="12"/>
  <c r="BS118" i="12"/>
  <c r="BC118" i="12"/>
  <c r="AM118" i="12"/>
  <c r="CI110" i="12"/>
  <c r="BS110" i="12"/>
  <c r="BC110" i="12"/>
  <c r="AM110" i="12"/>
  <c r="CI102" i="12"/>
  <c r="BS102" i="12"/>
  <c r="BC102" i="12"/>
  <c r="AM102" i="12"/>
  <c r="CI94" i="12"/>
  <c r="BS94" i="12"/>
  <c r="BC94" i="12"/>
  <c r="AM94" i="12"/>
  <c r="CI7" i="12"/>
  <c r="BS7" i="12"/>
  <c r="AM7" i="12"/>
  <c r="BC7" i="12"/>
  <c r="CI85" i="12"/>
  <c r="BS85" i="12"/>
  <c r="BC85" i="12"/>
  <c r="AM85" i="12"/>
  <c r="CI77" i="12"/>
  <c r="BS77" i="12"/>
  <c r="BC77" i="12"/>
  <c r="AM77" i="12"/>
  <c r="CI69" i="12"/>
  <c r="BS69" i="12"/>
  <c r="BC69" i="12"/>
  <c r="AM69" i="12"/>
  <c r="CI61" i="12"/>
  <c r="BS61" i="12"/>
  <c r="BC61" i="12"/>
  <c r="AM61" i="12"/>
  <c r="CI19" i="12"/>
  <c r="BS19" i="12"/>
  <c r="BC19" i="12"/>
  <c r="AM19" i="12"/>
  <c r="CI24" i="12"/>
  <c r="BS24" i="12"/>
  <c r="BC24" i="12"/>
  <c r="AM24" i="12"/>
  <c r="CI37" i="12"/>
  <c r="BS37" i="12"/>
  <c r="BC37" i="12"/>
  <c r="AM37" i="12"/>
  <c r="CI51" i="12"/>
  <c r="BS51" i="12"/>
  <c r="BC51" i="12"/>
  <c r="AM51" i="12"/>
  <c r="CI34" i="12"/>
  <c r="BS34" i="12"/>
  <c r="BC34" i="12"/>
  <c r="AM34" i="12"/>
  <c r="CI4" i="12"/>
  <c r="BS4" i="12"/>
  <c r="AM4" i="12"/>
  <c r="BC4" i="12"/>
  <c r="CA117" i="12"/>
  <c r="BB118" i="13" s="1"/>
  <c r="BK117" i="12"/>
  <c r="AL118" i="13" s="1"/>
  <c r="AU117" i="12"/>
  <c r="V118" i="13" s="1"/>
  <c r="CA109" i="12"/>
  <c r="BB110" i="13" s="1"/>
  <c r="BK109" i="12"/>
  <c r="AL110" i="13" s="1"/>
  <c r="AU109" i="12"/>
  <c r="V110" i="13" s="1"/>
  <c r="CA101" i="12"/>
  <c r="BB102" i="13" s="1"/>
  <c r="BK101" i="12"/>
  <c r="AL102" i="13" s="1"/>
  <c r="AU101" i="12"/>
  <c r="V102" i="13" s="1"/>
  <c r="AE101" i="12"/>
  <c r="F102" i="13" s="1"/>
  <c r="CA93" i="12"/>
  <c r="BB94" i="13" s="1"/>
  <c r="BK93" i="12"/>
  <c r="AL94" i="13" s="1"/>
  <c r="AU93" i="12"/>
  <c r="V94" i="13" s="1"/>
  <c r="AE93" i="12"/>
  <c r="F94" i="13" s="1"/>
  <c r="CA88" i="12"/>
  <c r="BB89" i="13" s="1"/>
  <c r="BK88" i="12"/>
  <c r="AL89" i="13" s="1"/>
  <c r="AU88" i="12"/>
  <c r="V89" i="13" s="1"/>
  <c r="AE88" i="12"/>
  <c r="F89" i="13" s="1"/>
  <c r="CA80" i="12"/>
  <c r="BB81" i="13" s="1"/>
  <c r="BK80" i="12"/>
  <c r="AL81" i="13" s="1"/>
  <c r="AU80" i="12"/>
  <c r="V81" i="13" s="1"/>
  <c r="AE80" i="12"/>
  <c r="F81" i="13" s="1"/>
  <c r="CA72" i="12"/>
  <c r="BB73" i="13" s="1"/>
  <c r="BK72" i="12"/>
  <c r="AL73" i="13" s="1"/>
  <c r="AU72" i="12"/>
  <c r="V73" i="13" s="1"/>
  <c r="AE72" i="12"/>
  <c r="F73" i="13" s="1"/>
  <c r="CA64" i="12"/>
  <c r="BB65" i="13" s="1"/>
  <c r="BK64" i="12"/>
  <c r="AL65" i="13" s="1"/>
  <c r="AU64" i="12"/>
  <c r="V65" i="13" s="1"/>
  <c r="AE64" i="12"/>
  <c r="F65" i="13" s="1"/>
  <c r="CA56" i="12"/>
  <c r="BB57" i="13" s="1"/>
  <c r="BK56" i="12"/>
  <c r="AL57" i="13" s="1"/>
  <c r="AU56" i="12"/>
  <c r="V57" i="13" s="1"/>
  <c r="AE56" i="12"/>
  <c r="F57" i="13" s="1"/>
  <c r="CA24" i="12"/>
  <c r="BK24" i="12"/>
  <c r="AU24" i="12"/>
  <c r="AE24" i="12"/>
  <c r="CA29" i="12"/>
  <c r="BK29" i="12"/>
  <c r="AU29" i="12"/>
  <c r="AE29" i="12"/>
  <c r="CA49" i="12"/>
  <c r="BB50" i="13" s="1"/>
  <c r="BK49" i="12"/>
  <c r="AL50" i="13" s="1"/>
  <c r="AU49" i="12"/>
  <c r="V50" i="13" s="1"/>
  <c r="AE49" i="12"/>
  <c r="F50" i="13" s="1"/>
  <c r="CA26" i="12"/>
  <c r="BK26" i="12"/>
  <c r="AU26" i="12"/>
  <c r="AE26" i="12"/>
  <c r="CA35" i="12"/>
  <c r="BK35" i="12"/>
  <c r="AU35" i="12"/>
  <c r="AE35" i="12"/>
  <c r="BM50" i="12"/>
  <c r="CC50" i="12"/>
  <c r="AG50" i="12"/>
  <c r="AW50" i="12"/>
  <c r="BZ115" i="12"/>
  <c r="BA116" i="13" s="1"/>
  <c r="BJ115" i="12"/>
  <c r="AK116" i="13" s="1"/>
  <c r="AT115" i="12"/>
  <c r="U116" i="13" s="1"/>
  <c r="BZ50" i="12"/>
  <c r="BA51" i="13" s="1"/>
  <c r="BJ50" i="12"/>
  <c r="AK51" i="13" s="1"/>
  <c r="AT50" i="12"/>
  <c r="U51" i="13" s="1"/>
  <c r="AD50" i="12"/>
  <c r="E51" i="13" s="1"/>
  <c r="BZ81" i="12"/>
  <c r="BA82" i="13" s="1"/>
  <c r="BJ81" i="12"/>
  <c r="AK82" i="13" s="1"/>
  <c r="AT81" i="12"/>
  <c r="U82" i="13" s="1"/>
  <c r="BZ73" i="12"/>
  <c r="BA74" i="13" s="1"/>
  <c r="BJ73" i="12"/>
  <c r="AK74" i="13" s="1"/>
  <c r="AT73" i="12"/>
  <c r="U74" i="13" s="1"/>
  <c r="AD73" i="12"/>
  <c r="E74" i="13" s="1"/>
  <c r="BZ65" i="12"/>
  <c r="BA66" i="13" s="1"/>
  <c r="BJ65" i="12"/>
  <c r="AK66" i="13" s="1"/>
  <c r="AT65" i="12"/>
  <c r="U66" i="13" s="1"/>
  <c r="AD65" i="12"/>
  <c r="E66" i="13" s="1"/>
  <c r="BZ57" i="12"/>
  <c r="BA58" i="13" s="1"/>
  <c r="BJ57" i="12"/>
  <c r="AK58" i="13" s="1"/>
  <c r="AT57" i="12"/>
  <c r="U58" i="13" s="1"/>
  <c r="AD57" i="12"/>
  <c r="E58" i="13" s="1"/>
  <c r="BZ44" i="12"/>
  <c r="BA45" i="13" s="1"/>
  <c r="BJ44" i="12"/>
  <c r="AK45" i="13" s="1"/>
  <c r="AT44" i="12"/>
  <c r="U45" i="13" s="1"/>
  <c r="AD44" i="12"/>
  <c r="E45" i="13" s="1"/>
  <c r="BZ36" i="12"/>
  <c r="BJ36" i="12"/>
  <c r="AT36" i="12"/>
  <c r="AD36" i="12"/>
  <c r="BZ28" i="12"/>
  <c r="BJ28" i="12"/>
  <c r="AT28" i="12"/>
  <c r="AD28" i="12"/>
  <c r="BZ20" i="12"/>
  <c r="BJ20" i="12"/>
  <c r="AT20" i="12"/>
  <c r="AD20" i="12"/>
  <c r="BZ12" i="12"/>
  <c r="BJ12" i="12"/>
  <c r="AD12" i="12"/>
  <c r="AT12" i="12"/>
  <c r="BZ4" i="12"/>
  <c r="BJ4" i="12"/>
  <c r="AD4" i="12"/>
  <c r="AT4" i="12"/>
  <c r="BW79" i="12"/>
  <c r="AX80" i="13" s="1"/>
  <c r="BW76" i="12"/>
  <c r="AX77" i="13" s="1"/>
  <c r="BW68" i="12"/>
  <c r="AX69" i="13" s="1"/>
  <c r="BW60" i="12"/>
  <c r="AX61" i="13" s="1"/>
  <c r="BW26" i="12"/>
  <c r="AX27" i="13" s="1"/>
  <c r="BG26" i="12"/>
  <c r="AH27" i="13" s="1"/>
  <c r="AQ26" i="12"/>
  <c r="R27" i="13" s="1"/>
  <c r="BW49" i="12"/>
  <c r="AX50" i="13" s="1"/>
  <c r="BG49" i="12"/>
  <c r="AH50" i="13" s="1"/>
  <c r="BW27" i="12"/>
  <c r="AX28" i="13" s="1"/>
  <c r="BG27" i="12"/>
  <c r="AH28" i="13" s="1"/>
  <c r="AQ27" i="12"/>
  <c r="R28" i="13" s="1"/>
  <c r="BW40" i="12"/>
  <c r="AX41" i="13" s="1"/>
  <c r="BG40" i="12"/>
  <c r="AH41" i="13" s="1"/>
  <c r="BW8" i="12"/>
  <c r="AX9" i="13" s="1"/>
  <c r="BG8" i="12"/>
  <c r="AH9" i="13" s="1"/>
  <c r="AQ8" i="12"/>
  <c r="R9" i="13" s="1"/>
  <c r="AA8" i="12"/>
  <c r="B9" i="13" s="1"/>
  <c r="BW17" i="12"/>
  <c r="AX18" i="13" s="1"/>
  <c r="BG17" i="12"/>
  <c r="AH18" i="13" s="1"/>
  <c r="AQ17" i="12"/>
  <c r="R18" i="13" s="1"/>
  <c r="CL83" i="12"/>
  <c r="BV83" i="12"/>
  <c r="BF83" i="12"/>
  <c r="AP83" i="12"/>
  <c r="BF120" i="12"/>
  <c r="BV120" i="12"/>
  <c r="CL120" i="12"/>
  <c r="AP120" i="12"/>
  <c r="CL112" i="12"/>
  <c r="BF112" i="12"/>
  <c r="BV112" i="12"/>
  <c r="AP112" i="12"/>
  <c r="CL104" i="12"/>
  <c r="BF104" i="12"/>
  <c r="BV104" i="12"/>
  <c r="AP104" i="12"/>
  <c r="CL96" i="12"/>
  <c r="BF96" i="12"/>
  <c r="AP96" i="12"/>
  <c r="BV96" i="12"/>
  <c r="CL76" i="12"/>
  <c r="BF76" i="12"/>
  <c r="AP76" i="12"/>
  <c r="BV76" i="12"/>
  <c r="CL72" i="12"/>
  <c r="BF72" i="12"/>
  <c r="AP72" i="12"/>
  <c r="BV72" i="12"/>
  <c r="CL64" i="12"/>
  <c r="BF64" i="12"/>
  <c r="AP64" i="12"/>
  <c r="BV64" i="12"/>
  <c r="CL56" i="12"/>
  <c r="BF56" i="12"/>
  <c r="AP56" i="12"/>
  <c r="BV56" i="12"/>
  <c r="CL52" i="12"/>
  <c r="BF52" i="12"/>
  <c r="AP52" i="12"/>
  <c r="BV52" i="12"/>
  <c r="CL21" i="12"/>
  <c r="BF21" i="12"/>
  <c r="AP21" i="12"/>
  <c r="BV21" i="12"/>
  <c r="CL30" i="12"/>
  <c r="BV30" i="12"/>
  <c r="BF30" i="12"/>
  <c r="AP30" i="12"/>
  <c r="CL43" i="12"/>
  <c r="BV43" i="12"/>
  <c r="BF43" i="12"/>
  <c r="AP43" i="12"/>
  <c r="CL11" i="12"/>
  <c r="BV11" i="12"/>
  <c r="BF11" i="12"/>
  <c r="AP11" i="12"/>
  <c r="CL12" i="12"/>
  <c r="AP12" i="12"/>
  <c r="BF12" i="12"/>
  <c r="BV12" i="12"/>
  <c r="BY119" i="12"/>
  <c r="AZ120" i="13" s="1"/>
  <c r="BI119" i="12"/>
  <c r="AJ120" i="13" s="1"/>
  <c r="AS119" i="12"/>
  <c r="T120" i="13" s="1"/>
  <c r="BY111" i="12"/>
  <c r="AZ112" i="13" s="1"/>
  <c r="BI111" i="12"/>
  <c r="AJ112" i="13" s="1"/>
  <c r="AS111" i="12"/>
  <c r="T112" i="13" s="1"/>
  <c r="BY103" i="12"/>
  <c r="AZ104" i="13" s="1"/>
  <c r="BI103" i="12"/>
  <c r="AJ104" i="13" s="1"/>
  <c r="AS103" i="12"/>
  <c r="T104" i="13" s="1"/>
  <c r="BY95" i="12"/>
  <c r="AZ96" i="13" s="1"/>
  <c r="BI95" i="12"/>
  <c r="AJ96" i="13" s="1"/>
  <c r="AS95" i="12"/>
  <c r="T96" i="13" s="1"/>
  <c r="BY88" i="12"/>
  <c r="AZ89" i="13" s="1"/>
  <c r="BI88" i="12"/>
  <c r="AJ89" i="13" s="1"/>
  <c r="AS88" i="12"/>
  <c r="T89" i="13" s="1"/>
  <c r="BY43" i="12"/>
  <c r="AZ44" i="13" s="1"/>
  <c r="BI43" i="12"/>
  <c r="AJ44" i="13" s="1"/>
  <c r="AC43" i="12"/>
  <c r="D44" i="13" s="1"/>
  <c r="AS43" i="12"/>
  <c r="T44" i="13" s="1"/>
  <c r="BY54" i="12"/>
  <c r="AZ55" i="13" s="1"/>
  <c r="BI54" i="12"/>
  <c r="AJ55" i="13" s="1"/>
  <c r="AS54" i="12"/>
  <c r="T55" i="13" s="1"/>
  <c r="AC54" i="12"/>
  <c r="D55" i="13" s="1"/>
  <c r="BY81" i="12"/>
  <c r="AZ82" i="13" s="1"/>
  <c r="BI81" i="12"/>
  <c r="AJ82" i="13" s="1"/>
  <c r="AS81" i="12"/>
  <c r="T82" i="13" s="1"/>
  <c r="BY73" i="12"/>
  <c r="AZ74" i="13" s="1"/>
  <c r="BI73" i="12"/>
  <c r="AJ74" i="13" s="1"/>
  <c r="AS73" i="12"/>
  <c r="T74" i="13" s="1"/>
  <c r="BY65" i="12"/>
  <c r="AZ66" i="13" s="1"/>
  <c r="BI65" i="12"/>
  <c r="AJ66" i="13" s="1"/>
  <c r="AS65" i="12"/>
  <c r="T66" i="13" s="1"/>
  <c r="BY57" i="12"/>
  <c r="AZ58" i="13" s="1"/>
  <c r="BI57" i="12"/>
  <c r="AJ58" i="13" s="1"/>
  <c r="AC57" i="12"/>
  <c r="D58" i="13" s="1"/>
  <c r="AS57" i="12"/>
  <c r="T58" i="13" s="1"/>
  <c r="BY28" i="12"/>
  <c r="AZ29" i="13" s="1"/>
  <c r="BI28" i="12"/>
  <c r="AJ29" i="13" s="1"/>
  <c r="AS28" i="12"/>
  <c r="T29" i="13" s="1"/>
  <c r="AC28" i="12"/>
  <c r="D29" i="13" s="1"/>
  <c r="BY37" i="12"/>
  <c r="AZ38" i="13" s="1"/>
  <c r="BI37" i="12"/>
  <c r="AJ38" i="13" s="1"/>
  <c r="AC37" i="12"/>
  <c r="D38" i="13" s="1"/>
  <c r="AS37" i="12"/>
  <c r="T38" i="13" s="1"/>
  <c r="BY46" i="12"/>
  <c r="AZ47" i="13" s="1"/>
  <c r="BI46" i="12"/>
  <c r="AJ47" i="13" s="1"/>
  <c r="AC46" i="12"/>
  <c r="D47" i="13" s="1"/>
  <c r="AS46" i="12"/>
  <c r="T47" i="13" s="1"/>
  <c r="BY14" i="12"/>
  <c r="BI14" i="12"/>
  <c r="AS14" i="12"/>
  <c r="AC14" i="12"/>
  <c r="CE118" i="12"/>
  <c r="BF119" i="13" s="1"/>
  <c r="BO118" i="12"/>
  <c r="AP119" i="13" s="1"/>
  <c r="AY118" i="12"/>
  <c r="Z119" i="13" s="1"/>
  <c r="AI118" i="12"/>
  <c r="J119" i="13" s="1"/>
  <c r="CE110" i="12"/>
  <c r="BF111" i="13" s="1"/>
  <c r="BO110" i="12"/>
  <c r="AP111" i="13" s="1"/>
  <c r="AY110" i="12"/>
  <c r="Z111" i="13" s="1"/>
  <c r="AI110" i="12"/>
  <c r="J111" i="13" s="1"/>
  <c r="CE102" i="12"/>
  <c r="BF103" i="13" s="1"/>
  <c r="BO102" i="12"/>
  <c r="AP103" i="13" s="1"/>
  <c r="AY102" i="12"/>
  <c r="Z103" i="13" s="1"/>
  <c r="AI102" i="12"/>
  <c r="J103" i="13" s="1"/>
  <c r="CE94" i="12"/>
  <c r="BF95" i="13" s="1"/>
  <c r="BO94" i="12"/>
  <c r="AP95" i="13" s="1"/>
  <c r="AY94" i="12"/>
  <c r="Z95" i="13" s="1"/>
  <c r="AI94" i="12"/>
  <c r="J95" i="13" s="1"/>
  <c r="CE83" i="12"/>
  <c r="BO83" i="12"/>
  <c r="AY83" i="12"/>
  <c r="AI83" i="12"/>
  <c r="CE75" i="12"/>
  <c r="BO75" i="12"/>
  <c r="AY75" i="12"/>
  <c r="AI75" i="12"/>
  <c r="CE67" i="12"/>
  <c r="BO67" i="12"/>
  <c r="AY67" i="12"/>
  <c r="AI67" i="12"/>
  <c r="CE59" i="12"/>
  <c r="BO59" i="12"/>
  <c r="AY59" i="12"/>
  <c r="AI59" i="12"/>
  <c r="CE51" i="12"/>
  <c r="BO51" i="12"/>
  <c r="AY51" i="12"/>
  <c r="AI51" i="12"/>
  <c r="CE46" i="12"/>
  <c r="BO46" i="12"/>
  <c r="AY46" i="12"/>
  <c r="AI46" i="12"/>
  <c r="CE14" i="12"/>
  <c r="BO14" i="12"/>
  <c r="AY14" i="12"/>
  <c r="AI14" i="12"/>
  <c r="CE23" i="12"/>
  <c r="BO23" i="12"/>
  <c r="AY23" i="12"/>
  <c r="AI23" i="12"/>
  <c r="CE32" i="12"/>
  <c r="BO32" i="12"/>
  <c r="AY32" i="12"/>
  <c r="AI32" i="12"/>
  <c r="CE37" i="12"/>
  <c r="BO37" i="12"/>
  <c r="AY37" i="12"/>
  <c r="AI37" i="12"/>
  <c r="BX59" i="12"/>
  <c r="AY60" i="13" s="1"/>
  <c r="BH59" i="12"/>
  <c r="AI60" i="13" s="1"/>
  <c r="AR59" i="12"/>
  <c r="S60" i="13" s="1"/>
  <c r="BZ119" i="12"/>
  <c r="BA120" i="13" s="1"/>
  <c r="BJ119" i="12"/>
  <c r="AK120" i="13" s="1"/>
  <c r="AT119" i="12"/>
  <c r="U120" i="13" s="1"/>
  <c r="BX80" i="12"/>
  <c r="AY81" i="13" s="1"/>
  <c r="BH80" i="12"/>
  <c r="AI81" i="13" s="1"/>
  <c r="AR80" i="12"/>
  <c r="S81" i="13" s="1"/>
  <c r="BX112" i="12"/>
  <c r="AY113" i="13" s="1"/>
  <c r="BH112" i="12"/>
  <c r="AI113" i="13" s="1"/>
  <c r="BX104" i="12"/>
  <c r="AY105" i="13" s="1"/>
  <c r="BH104" i="12"/>
  <c r="AI105" i="13" s="1"/>
  <c r="BX96" i="12"/>
  <c r="AY97" i="13" s="1"/>
  <c r="BH96" i="12"/>
  <c r="AI97" i="13" s="1"/>
  <c r="BX70" i="12"/>
  <c r="AY71" i="13" s="1"/>
  <c r="BH70" i="12"/>
  <c r="AI71" i="13" s="1"/>
  <c r="AR70" i="12"/>
  <c r="S71" i="13" s="1"/>
  <c r="BX65" i="12"/>
  <c r="AY66" i="13" s="1"/>
  <c r="BH65" i="12"/>
  <c r="AI66" i="13" s="1"/>
  <c r="AR65" i="12"/>
  <c r="S66" i="13" s="1"/>
  <c r="BX64" i="12"/>
  <c r="AY65" i="13" s="1"/>
  <c r="BH64" i="12"/>
  <c r="AI65" i="13" s="1"/>
  <c r="AR64" i="12"/>
  <c r="S65" i="13" s="1"/>
  <c r="BX46" i="12"/>
  <c r="AY47" i="13" s="1"/>
  <c r="BH46" i="12"/>
  <c r="AI47" i="13" s="1"/>
  <c r="AR46" i="12"/>
  <c r="S47" i="13" s="1"/>
  <c r="BX43" i="12"/>
  <c r="AY44" i="13" s="1"/>
  <c r="BH43" i="12"/>
  <c r="AI44" i="13" s="1"/>
  <c r="AR43" i="12"/>
  <c r="S44" i="13" s="1"/>
  <c r="BX11" i="12"/>
  <c r="BH11" i="12"/>
  <c r="AR11" i="12"/>
  <c r="AB11" i="12"/>
  <c r="BX20" i="12"/>
  <c r="AY21" i="13" s="1"/>
  <c r="BH20" i="12"/>
  <c r="AI21" i="13" s="1"/>
  <c r="AR20" i="12"/>
  <c r="S21" i="13" s="1"/>
  <c r="AB20" i="12"/>
  <c r="C21" i="13" s="1"/>
  <c r="BX29" i="12"/>
  <c r="AY30" i="13" s="1"/>
  <c r="BH29" i="12"/>
  <c r="AI30" i="13" s="1"/>
  <c r="AB29" i="12"/>
  <c r="C30" i="13" s="1"/>
  <c r="AR29" i="12"/>
  <c r="S30" i="13" s="1"/>
  <c r="BX38" i="12"/>
  <c r="AY39" i="13" s="1"/>
  <c r="BH38" i="12"/>
  <c r="AI39" i="13" s="1"/>
  <c r="AR38" i="12"/>
  <c r="S39" i="13" s="1"/>
  <c r="AX88" i="12"/>
  <c r="Y89" i="13" s="1"/>
  <c r="AH88" i="12"/>
  <c r="I89" i="13" s="1"/>
  <c r="BN88" i="12"/>
  <c r="AO89" i="13" s="1"/>
  <c r="CD88" i="12"/>
  <c r="BE89" i="13" s="1"/>
  <c r="CD119" i="12"/>
  <c r="BE120" i="13" s="1"/>
  <c r="BN119" i="12"/>
  <c r="AO120" i="13" s="1"/>
  <c r="AX119" i="12"/>
  <c r="Y120" i="13" s="1"/>
  <c r="AH119" i="12"/>
  <c r="I120" i="13" s="1"/>
  <c r="CD111" i="12"/>
  <c r="BE112" i="13" s="1"/>
  <c r="BN111" i="12"/>
  <c r="AO112" i="13" s="1"/>
  <c r="AX111" i="12"/>
  <c r="Y112" i="13" s="1"/>
  <c r="AH111" i="12"/>
  <c r="I112" i="13" s="1"/>
  <c r="BN103" i="12"/>
  <c r="AO104" i="13" s="1"/>
  <c r="CD103" i="12"/>
  <c r="BE104" i="13" s="1"/>
  <c r="AX103" i="12"/>
  <c r="Y104" i="13" s="1"/>
  <c r="AH103" i="12"/>
  <c r="I104" i="13" s="1"/>
  <c r="CD95" i="12"/>
  <c r="BE96" i="13" s="1"/>
  <c r="BN95" i="12"/>
  <c r="AO96" i="13" s="1"/>
  <c r="AX95" i="12"/>
  <c r="Y96" i="13" s="1"/>
  <c r="AH95" i="12"/>
  <c r="I96" i="13" s="1"/>
  <c r="BN87" i="12"/>
  <c r="AO88" i="13" s="1"/>
  <c r="CD87" i="12"/>
  <c r="BE88" i="13" s="1"/>
  <c r="AX87" i="12"/>
  <c r="Y88" i="13" s="1"/>
  <c r="AH87" i="12"/>
  <c r="I88" i="13" s="1"/>
  <c r="CD17" i="12"/>
  <c r="BN17" i="12"/>
  <c r="AH17" i="12"/>
  <c r="AX17" i="12"/>
  <c r="CD69" i="12"/>
  <c r="BN69" i="12"/>
  <c r="AX69" i="12"/>
  <c r="AH69" i="12"/>
  <c r="BN61" i="12"/>
  <c r="AX61" i="12"/>
  <c r="AH61" i="12"/>
  <c r="CD61" i="12"/>
  <c r="BN49" i="12"/>
  <c r="AX49" i="12"/>
  <c r="AH49" i="12"/>
  <c r="CD49" i="12"/>
  <c r="CD52" i="12"/>
  <c r="BN52" i="12"/>
  <c r="AX52" i="12"/>
  <c r="AH52" i="12"/>
  <c r="CD38" i="12"/>
  <c r="AX38" i="12"/>
  <c r="AH38" i="12"/>
  <c r="BN38" i="12"/>
  <c r="CD6" i="12"/>
  <c r="AH6" i="12"/>
  <c r="BN6" i="12"/>
  <c r="AX6" i="12"/>
  <c r="CD19" i="12"/>
  <c r="AX19" i="12"/>
  <c r="AH19" i="12"/>
  <c r="BN19" i="12"/>
  <c r="CD28" i="12"/>
  <c r="BN28" i="12"/>
  <c r="AX28" i="12"/>
  <c r="AH28" i="12"/>
  <c r="BX121" i="12"/>
  <c r="AY122" i="13" s="1"/>
  <c r="BH121" i="12"/>
  <c r="AI122" i="13" s="1"/>
  <c r="CK88" i="12"/>
  <c r="BE88" i="12"/>
  <c r="AO88" i="12"/>
  <c r="BU88" i="12"/>
  <c r="CK52" i="12"/>
  <c r="BU52" i="12"/>
  <c r="BE52" i="12"/>
  <c r="AO52" i="12"/>
  <c r="CK115" i="12"/>
  <c r="BE115" i="12"/>
  <c r="BU115" i="12"/>
  <c r="AO115" i="12"/>
  <c r="CK107" i="12"/>
  <c r="BU107" i="12"/>
  <c r="AO107" i="12"/>
  <c r="BE107" i="12"/>
  <c r="CK99" i="12"/>
  <c r="BU99" i="12"/>
  <c r="AO99" i="12"/>
  <c r="BE99" i="12"/>
  <c r="CK91" i="12"/>
  <c r="BU91" i="12"/>
  <c r="AO91" i="12"/>
  <c r="BE91" i="12"/>
  <c r="CK50" i="12"/>
  <c r="BU50" i="12"/>
  <c r="BE50" i="12"/>
  <c r="AO50" i="12"/>
  <c r="CK72" i="12"/>
  <c r="BU72" i="12"/>
  <c r="BE72" i="12"/>
  <c r="AO72" i="12"/>
  <c r="CK64" i="12"/>
  <c r="BU64" i="12"/>
  <c r="BE64" i="12"/>
  <c r="AO64" i="12"/>
  <c r="CK56" i="12"/>
  <c r="BU56" i="12"/>
  <c r="BE56" i="12"/>
  <c r="AO56" i="12"/>
  <c r="CK32" i="12"/>
  <c r="BU32" i="12"/>
  <c r="AO32" i="12"/>
  <c r="BE32" i="12"/>
  <c r="CK33" i="12"/>
  <c r="BU33" i="12"/>
  <c r="AO33" i="12"/>
  <c r="BE33" i="12"/>
  <c r="CK38" i="12"/>
  <c r="BU38" i="12"/>
  <c r="AO38" i="12"/>
  <c r="BE38" i="12"/>
  <c r="CK6" i="12"/>
  <c r="BU6" i="12"/>
  <c r="BE6" i="12"/>
  <c r="AO6" i="12"/>
  <c r="CK19" i="12"/>
  <c r="BU19" i="12"/>
  <c r="AO19" i="12"/>
  <c r="BE19" i="12"/>
  <c r="BZ97" i="12"/>
  <c r="BA98" i="13" s="1"/>
  <c r="BJ97" i="12"/>
  <c r="AK98" i="13" s="1"/>
  <c r="AT97" i="12"/>
  <c r="U98" i="13" s="1"/>
  <c r="BM86" i="12"/>
  <c r="AN87" i="13" s="1"/>
  <c r="CC86" i="12"/>
  <c r="BD87" i="13" s="1"/>
  <c r="AW86" i="12"/>
  <c r="X87" i="13" s="1"/>
  <c r="AG86" i="12"/>
  <c r="H87" i="13" s="1"/>
  <c r="CC115" i="12"/>
  <c r="BD116" i="13" s="1"/>
  <c r="BM115" i="12"/>
  <c r="AN116" i="13" s="1"/>
  <c r="AW115" i="12"/>
  <c r="X116" i="13" s="1"/>
  <c r="AG115" i="12"/>
  <c r="H116" i="13" s="1"/>
  <c r="CC107" i="12"/>
  <c r="BD108" i="13" s="1"/>
  <c r="BM107" i="12"/>
  <c r="AN108" i="13" s="1"/>
  <c r="AW107" i="12"/>
  <c r="X108" i="13" s="1"/>
  <c r="AG107" i="12"/>
  <c r="H108" i="13" s="1"/>
  <c r="CC99" i="12"/>
  <c r="BD100" i="13" s="1"/>
  <c r="BM99" i="12"/>
  <c r="AN100" i="13" s="1"/>
  <c r="AW99" i="12"/>
  <c r="X100" i="13" s="1"/>
  <c r="AG99" i="12"/>
  <c r="H100" i="13" s="1"/>
  <c r="CC91" i="12"/>
  <c r="BD92" i="13" s="1"/>
  <c r="BM91" i="12"/>
  <c r="AN92" i="13" s="1"/>
  <c r="AW91" i="12"/>
  <c r="X92" i="13" s="1"/>
  <c r="AG91" i="12"/>
  <c r="H92" i="13" s="1"/>
  <c r="BM74" i="12"/>
  <c r="AN75" i="13" s="1"/>
  <c r="CC74" i="12"/>
  <c r="BD75" i="13" s="1"/>
  <c r="AG74" i="12"/>
  <c r="H75" i="13" s="1"/>
  <c r="AW74" i="12"/>
  <c r="X75" i="13" s="1"/>
  <c r="BM66" i="12"/>
  <c r="CC66" i="12"/>
  <c r="AG66" i="12"/>
  <c r="AW66" i="12"/>
  <c r="BM58" i="12"/>
  <c r="CC58" i="12"/>
  <c r="AG58" i="12"/>
  <c r="AW58" i="12"/>
  <c r="CC44" i="12"/>
  <c r="BM44" i="12"/>
  <c r="AW44" i="12"/>
  <c r="AG44" i="12"/>
  <c r="CC29" i="12"/>
  <c r="BM29" i="12"/>
  <c r="AW29" i="12"/>
  <c r="AG29" i="12"/>
  <c r="BM30" i="12"/>
  <c r="CC30" i="12"/>
  <c r="AG30" i="12"/>
  <c r="AW30" i="12"/>
  <c r="CC43" i="12"/>
  <c r="BM43" i="12"/>
  <c r="AW43" i="12"/>
  <c r="AG43" i="12"/>
  <c r="CC11" i="12"/>
  <c r="BM11" i="12"/>
  <c r="AW11" i="12"/>
  <c r="AG11" i="12"/>
  <c r="CC16" i="12"/>
  <c r="BM16" i="12"/>
  <c r="AG16" i="12"/>
  <c r="AW16" i="12"/>
  <c r="CB121" i="12"/>
  <c r="BC122" i="13" s="1"/>
  <c r="BL121" i="12"/>
  <c r="AM122" i="13" s="1"/>
  <c r="AV121" i="12"/>
  <c r="W122" i="13" s="1"/>
  <c r="AF121" i="12"/>
  <c r="G122" i="13" s="1"/>
  <c r="CB113" i="12"/>
  <c r="BC114" i="13" s="1"/>
  <c r="BL113" i="12"/>
  <c r="AM114" i="13" s="1"/>
  <c r="AV113" i="12"/>
  <c r="W114" i="13" s="1"/>
  <c r="AF113" i="12"/>
  <c r="G114" i="13" s="1"/>
  <c r="CB105" i="12"/>
  <c r="BC106" i="13" s="1"/>
  <c r="BL105" i="12"/>
  <c r="AM106" i="13" s="1"/>
  <c r="AV105" i="12"/>
  <c r="W106" i="13" s="1"/>
  <c r="AF105" i="12"/>
  <c r="G106" i="13" s="1"/>
  <c r="CB97" i="12"/>
  <c r="BC98" i="13" s="1"/>
  <c r="BL97" i="12"/>
  <c r="AM98" i="13" s="1"/>
  <c r="AV97" i="12"/>
  <c r="W98" i="13" s="1"/>
  <c r="AF97" i="12"/>
  <c r="G98" i="13" s="1"/>
  <c r="CB40" i="12"/>
  <c r="BL40" i="12"/>
  <c r="AV40" i="12"/>
  <c r="AF40" i="12"/>
  <c r="CB83" i="12"/>
  <c r="BC84" i="13" s="1"/>
  <c r="BL83" i="12"/>
  <c r="AM84" i="13" s="1"/>
  <c r="AV83" i="12"/>
  <c r="W84" i="13" s="1"/>
  <c r="AF83" i="12"/>
  <c r="G84" i="13" s="1"/>
  <c r="CB75" i="12"/>
  <c r="BC76" i="13" s="1"/>
  <c r="BL75" i="12"/>
  <c r="AM76" i="13" s="1"/>
  <c r="AV75" i="12"/>
  <c r="W76" i="13" s="1"/>
  <c r="AF75" i="12"/>
  <c r="G76" i="13" s="1"/>
  <c r="CB67" i="12"/>
  <c r="BC68" i="13" s="1"/>
  <c r="BL67" i="12"/>
  <c r="AM68" i="13" s="1"/>
  <c r="AV67" i="12"/>
  <c r="W68" i="13" s="1"/>
  <c r="AF67" i="12"/>
  <c r="G68" i="13" s="1"/>
  <c r="CB59" i="12"/>
  <c r="BC60" i="13" s="1"/>
  <c r="BL59" i="12"/>
  <c r="AM60" i="13" s="1"/>
  <c r="AV59" i="12"/>
  <c r="W60" i="13" s="1"/>
  <c r="AF59" i="12"/>
  <c r="G60" i="13" s="1"/>
  <c r="CB28" i="12"/>
  <c r="BL28" i="12"/>
  <c r="AV28" i="12"/>
  <c r="AF28" i="12"/>
  <c r="BL25" i="12"/>
  <c r="AV25" i="12"/>
  <c r="CB25" i="12"/>
  <c r="AF25" i="12"/>
  <c r="CB51" i="12"/>
  <c r="BL51" i="12"/>
  <c r="AV51" i="12"/>
  <c r="AF51" i="12"/>
  <c r="CB34" i="12"/>
  <c r="BL34" i="12"/>
  <c r="AV34" i="12"/>
  <c r="AF34" i="12"/>
  <c r="CB4" i="12"/>
  <c r="BL4" i="12"/>
  <c r="AV4" i="12"/>
  <c r="AF4" i="12"/>
  <c r="CB15" i="12"/>
  <c r="BL15" i="12"/>
  <c r="AV15" i="12"/>
  <c r="AF15" i="12"/>
  <c r="CJ120" i="12"/>
  <c r="BT120" i="12"/>
  <c r="BD120" i="12"/>
  <c r="AN120" i="12"/>
  <c r="CJ112" i="12"/>
  <c r="BT112" i="12"/>
  <c r="BD112" i="12"/>
  <c r="AN112" i="12"/>
  <c r="CJ104" i="12"/>
  <c r="BT104" i="12"/>
  <c r="BD104" i="12"/>
  <c r="AN104" i="12"/>
  <c r="CJ96" i="12"/>
  <c r="BT96" i="12"/>
  <c r="BD96" i="12"/>
  <c r="AN96" i="12"/>
  <c r="CJ41" i="12"/>
  <c r="BT41" i="12"/>
  <c r="BD41" i="12"/>
  <c r="AN41" i="12"/>
  <c r="CJ79" i="12"/>
  <c r="BT79" i="12"/>
  <c r="BD79" i="12"/>
  <c r="AN79" i="12"/>
  <c r="CJ71" i="12"/>
  <c r="BT71" i="12"/>
  <c r="BD71" i="12"/>
  <c r="AN71" i="12"/>
  <c r="CJ63" i="12"/>
  <c r="BT63" i="12"/>
  <c r="BD63" i="12"/>
  <c r="AN63" i="12"/>
  <c r="CJ55" i="12"/>
  <c r="BT55" i="12"/>
  <c r="BD55" i="12"/>
  <c r="AN55" i="12"/>
  <c r="CJ28" i="12"/>
  <c r="BT28" i="12"/>
  <c r="BD28" i="12"/>
  <c r="AN28" i="12"/>
  <c r="CJ33" i="12"/>
  <c r="BT33" i="12"/>
  <c r="BD33" i="12"/>
  <c r="AN33" i="12"/>
  <c r="CJ52" i="12"/>
  <c r="BT52" i="12"/>
  <c r="BD52" i="12"/>
  <c r="AN52" i="12"/>
  <c r="CJ38" i="12"/>
  <c r="BT38" i="12"/>
  <c r="BD38" i="12"/>
  <c r="AN38" i="12"/>
  <c r="CJ6" i="12"/>
  <c r="BT6" i="12"/>
  <c r="BD6" i="12"/>
  <c r="AN6" i="12"/>
  <c r="BT15" i="12"/>
  <c r="CJ15" i="12"/>
  <c r="BD15" i="12"/>
  <c r="AN15" i="12"/>
  <c r="BZ118" i="12"/>
  <c r="BA119" i="13" s="1"/>
  <c r="BJ118" i="12"/>
  <c r="AK119" i="13" s="1"/>
  <c r="AT118" i="12"/>
  <c r="U119" i="13" s="1"/>
  <c r="BX75" i="12"/>
  <c r="AY76" i="13" s="1"/>
  <c r="BH75" i="12"/>
  <c r="AI76" i="13" s="1"/>
  <c r="AR75" i="12"/>
  <c r="S76" i="13" s="1"/>
  <c r="CH106" i="12"/>
  <c r="BR106" i="12"/>
  <c r="BB106" i="12"/>
  <c r="AL106" i="12"/>
  <c r="CC85" i="12"/>
  <c r="BD86" i="13" s="1"/>
  <c r="BM85" i="12"/>
  <c r="AN86" i="13" s="1"/>
  <c r="AW85" i="12"/>
  <c r="X86" i="13" s="1"/>
  <c r="AG85" i="12"/>
  <c r="H86" i="13" s="1"/>
  <c r="CF121" i="12"/>
  <c r="BG122" i="13" s="1"/>
  <c r="BP121" i="12"/>
  <c r="AQ122" i="13" s="1"/>
  <c r="AZ121" i="12"/>
  <c r="AA122" i="13" s="1"/>
  <c r="AJ121" i="12"/>
  <c r="K122" i="13" s="1"/>
  <c r="CH109" i="12"/>
  <c r="BR109" i="12"/>
  <c r="BB109" i="12"/>
  <c r="AL109" i="12"/>
  <c r="CI56" i="12"/>
  <c r="BS56" i="12"/>
  <c r="BC56" i="12"/>
  <c r="AM56" i="12"/>
  <c r="CA112" i="12"/>
  <c r="BB113" i="13" s="1"/>
  <c r="BK112" i="12"/>
  <c r="AL113" i="13" s="1"/>
  <c r="AU112" i="12"/>
  <c r="V113" i="13" s="1"/>
  <c r="CA5" i="12"/>
  <c r="BK5" i="12"/>
  <c r="AE5" i="12"/>
  <c r="AU5" i="12"/>
  <c r="BZ84" i="12"/>
  <c r="BA85" i="13" s="1"/>
  <c r="BJ84" i="12"/>
  <c r="AK85" i="13" s="1"/>
  <c r="AT84" i="12"/>
  <c r="U85" i="13" s="1"/>
  <c r="BZ15" i="12"/>
  <c r="BJ15" i="12"/>
  <c r="AD15" i="12"/>
  <c r="AT15" i="12"/>
  <c r="BW51" i="12"/>
  <c r="AX52" i="13" s="1"/>
  <c r="BG51" i="12"/>
  <c r="AH52" i="13" s="1"/>
  <c r="BW20" i="12"/>
  <c r="AX21" i="13" s="1"/>
  <c r="BG20" i="12"/>
  <c r="AH21" i="13" s="1"/>
  <c r="AQ20" i="12"/>
  <c r="R21" i="13" s="1"/>
  <c r="CL91" i="12"/>
  <c r="BV91" i="12"/>
  <c r="BF91" i="12"/>
  <c r="AP91" i="12"/>
  <c r="CL46" i="12"/>
  <c r="BV46" i="12"/>
  <c r="BF46" i="12"/>
  <c r="AP46" i="12"/>
  <c r="BY98" i="12"/>
  <c r="AZ99" i="13" s="1"/>
  <c r="BI98" i="12"/>
  <c r="AJ99" i="13" s="1"/>
  <c r="AS98" i="12"/>
  <c r="T99" i="13" s="1"/>
  <c r="BY68" i="12"/>
  <c r="AZ69" i="13" s="1"/>
  <c r="BI68" i="12"/>
  <c r="AJ69" i="13" s="1"/>
  <c r="AS68" i="12"/>
  <c r="T69" i="13" s="1"/>
  <c r="CE113" i="12"/>
  <c r="BF114" i="13" s="1"/>
  <c r="BO113" i="12"/>
  <c r="AP114" i="13" s="1"/>
  <c r="AY113" i="12"/>
  <c r="Z114" i="13" s="1"/>
  <c r="AI113" i="12"/>
  <c r="J114" i="13" s="1"/>
  <c r="CE26" i="12"/>
  <c r="BO26" i="12"/>
  <c r="AY26" i="12"/>
  <c r="AI26" i="12"/>
  <c r="BX115" i="12"/>
  <c r="AY116" i="13" s="1"/>
  <c r="BH115" i="12"/>
  <c r="AI116" i="13" s="1"/>
  <c r="BX42" i="12"/>
  <c r="AY43" i="13" s="1"/>
  <c r="BH42" i="12"/>
  <c r="AI43" i="13" s="1"/>
  <c r="AR42" i="12"/>
  <c r="S43" i="13" s="1"/>
  <c r="BN122" i="12"/>
  <c r="AO123" i="13" s="1"/>
  <c r="AX122" i="12"/>
  <c r="Y123" i="13" s="1"/>
  <c r="CD122" i="12"/>
  <c r="BE123" i="13" s="1"/>
  <c r="AH122" i="12"/>
  <c r="I123" i="13" s="1"/>
  <c r="AX72" i="12"/>
  <c r="AH72" i="12"/>
  <c r="BN72" i="12"/>
  <c r="CD72" i="12"/>
  <c r="CD31" i="12"/>
  <c r="BN31" i="12"/>
  <c r="AX31" i="12"/>
  <c r="AH31" i="12"/>
  <c r="CK102" i="12"/>
  <c r="BU102" i="12"/>
  <c r="BE102" i="12"/>
  <c r="AO102" i="12"/>
  <c r="CK28" i="12"/>
  <c r="BU28" i="12"/>
  <c r="AO28" i="12"/>
  <c r="BE28" i="12"/>
  <c r="BZ117" i="12"/>
  <c r="BA118" i="13" s="1"/>
  <c r="BJ117" i="12"/>
  <c r="AK118" i="13" s="1"/>
  <c r="AT117" i="12"/>
  <c r="U118" i="13" s="1"/>
  <c r="CC77" i="12"/>
  <c r="BD78" i="13" s="1"/>
  <c r="BM77" i="12"/>
  <c r="AN78" i="13" s="1"/>
  <c r="AW77" i="12"/>
  <c r="X78" i="13" s="1"/>
  <c r="AG77" i="12"/>
  <c r="H78" i="13" s="1"/>
  <c r="CC41" i="12"/>
  <c r="BM41" i="12"/>
  <c r="AW41" i="12"/>
  <c r="AG41" i="12"/>
  <c r="CB116" i="12"/>
  <c r="BC117" i="13" s="1"/>
  <c r="BL116" i="12"/>
  <c r="AM117" i="13" s="1"/>
  <c r="AV116" i="12"/>
  <c r="W117" i="13" s="1"/>
  <c r="AF116" i="12"/>
  <c r="G117" i="13" s="1"/>
  <c r="CB86" i="12"/>
  <c r="BC87" i="13" s="1"/>
  <c r="BL86" i="12"/>
  <c r="AM87" i="13" s="1"/>
  <c r="AV86" i="12"/>
  <c r="W87" i="13" s="1"/>
  <c r="AF86" i="12"/>
  <c r="G87" i="13" s="1"/>
  <c r="CB54" i="12"/>
  <c r="BL54" i="12"/>
  <c r="AV54" i="12"/>
  <c r="AF54" i="12"/>
  <c r="CJ88" i="12"/>
  <c r="BT88" i="12"/>
  <c r="BD88" i="12"/>
  <c r="AN88" i="12"/>
  <c r="CJ82" i="12"/>
  <c r="BT82" i="12"/>
  <c r="BD82" i="12"/>
  <c r="AN82" i="12"/>
  <c r="CJ47" i="12"/>
  <c r="BT47" i="12"/>
  <c r="BD47" i="12"/>
  <c r="AN47" i="12"/>
  <c r="BZ90" i="12"/>
  <c r="BA91" i="13" s="1"/>
  <c r="BJ90" i="12"/>
  <c r="AK91" i="13" s="1"/>
  <c r="AT90" i="12"/>
  <c r="U91" i="13" s="1"/>
  <c r="CE88" i="12"/>
  <c r="BO88" i="12"/>
  <c r="AY88" i="12"/>
  <c r="AI88" i="12"/>
  <c r="CF75" i="12"/>
  <c r="BP75" i="12"/>
  <c r="AZ75" i="12"/>
  <c r="AJ75" i="12"/>
  <c r="CH84" i="12"/>
  <c r="BR84" i="12"/>
  <c r="BB84" i="12"/>
  <c r="AL84" i="12"/>
  <c r="CH76" i="12"/>
  <c r="BR76" i="12"/>
  <c r="BB76" i="12"/>
  <c r="AL76" i="12"/>
  <c r="CH68" i="12"/>
  <c r="BR68" i="12"/>
  <c r="BB68" i="12"/>
  <c r="AL68" i="12"/>
  <c r="CH60" i="12"/>
  <c r="BR60" i="12"/>
  <c r="BB60" i="12"/>
  <c r="AL60" i="12"/>
  <c r="CH49" i="12"/>
  <c r="BR49" i="12"/>
  <c r="BB49" i="12"/>
  <c r="AL49" i="12"/>
  <c r="CH41" i="12"/>
  <c r="BR41" i="12"/>
  <c r="BB41" i="12"/>
  <c r="AL41" i="12"/>
  <c r="CH33" i="12"/>
  <c r="BR33" i="12"/>
  <c r="BB33" i="12"/>
  <c r="AL33" i="12"/>
  <c r="CH25" i="12"/>
  <c r="BR25" i="12"/>
  <c r="BB25" i="12"/>
  <c r="AL25" i="12"/>
  <c r="CH17" i="12"/>
  <c r="BR17" i="12"/>
  <c r="AL17" i="12"/>
  <c r="BB17" i="12"/>
  <c r="CH9" i="12"/>
  <c r="BR9" i="12"/>
  <c r="AL9" i="12"/>
  <c r="BB9" i="12"/>
  <c r="CG3" i="12"/>
  <c r="BQ3" i="12"/>
  <c r="BA3" i="12"/>
  <c r="AK3" i="12"/>
  <c r="CG84" i="12"/>
  <c r="BQ84" i="12"/>
  <c r="BA84" i="12"/>
  <c r="AK84" i="12"/>
  <c r="CG76" i="12"/>
  <c r="BQ76" i="12"/>
  <c r="BA76" i="12"/>
  <c r="AK76" i="12"/>
  <c r="CG68" i="12"/>
  <c r="BQ68" i="12"/>
  <c r="BA68" i="12"/>
  <c r="AK68" i="12"/>
  <c r="CG60" i="12"/>
  <c r="BQ60" i="12"/>
  <c r="BA60" i="12"/>
  <c r="AK60" i="12"/>
  <c r="CG43" i="12"/>
  <c r="BQ43" i="12"/>
  <c r="BA43" i="12"/>
  <c r="AK43" i="12"/>
  <c r="CG11" i="12"/>
  <c r="BQ11" i="12"/>
  <c r="BA11" i="12"/>
  <c r="AK11" i="12"/>
  <c r="CG12" i="12"/>
  <c r="BQ12" i="12"/>
  <c r="BA12" i="12"/>
  <c r="AK12" i="12"/>
  <c r="CG21" i="12"/>
  <c r="BQ21" i="12"/>
  <c r="BA21" i="12"/>
  <c r="AK21" i="12"/>
  <c r="BQ22" i="12"/>
  <c r="CG22" i="12"/>
  <c r="BA22" i="12"/>
  <c r="AK22" i="12"/>
  <c r="CF60" i="12"/>
  <c r="BP60" i="12"/>
  <c r="AZ60" i="12"/>
  <c r="AJ60" i="12"/>
  <c r="CF81" i="12"/>
  <c r="BP81" i="12"/>
  <c r="AZ81" i="12"/>
  <c r="AJ81" i="12"/>
  <c r="CF46" i="12"/>
  <c r="BP46" i="12"/>
  <c r="AJ46" i="12"/>
  <c r="AZ46" i="12"/>
  <c r="CF6" i="12"/>
  <c r="BP6" i="12"/>
  <c r="AZ6" i="12"/>
  <c r="AJ6" i="12"/>
  <c r="CF43" i="12"/>
  <c r="BP43" i="12"/>
  <c r="AZ43" i="12"/>
  <c r="AJ43" i="12"/>
  <c r="CF11" i="12"/>
  <c r="BP11" i="12"/>
  <c r="AZ11" i="12"/>
  <c r="AJ11" i="12"/>
  <c r="CF20" i="12"/>
  <c r="BP20" i="12"/>
  <c r="AZ20" i="12"/>
  <c r="AJ20" i="12"/>
  <c r="CF33" i="12"/>
  <c r="BP33" i="12"/>
  <c r="AZ33" i="12"/>
  <c r="AJ33" i="12"/>
  <c r="CG87" i="12"/>
  <c r="BQ87" i="12"/>
  <c r="BA87" i="12"/>
  <c r="AK87" i="12"/>
  <c r="CF90" i="12"/>
  <c r="BP90" i="12"/>
  <c r="AJ90" i="12"/>
  <c r="AZ90" i="12"/>
  <c r="CF98" i="12"/>
  <c r="BP98" i="12"/>
  <c r="AJ98" i="12"/>
  <c r="AZ98" i="12"/>
  <c r="CF106" i="12"/>
  <c r="BG107" i="13" s="1"/>
  <c r="BP106" i="12"/>
  <c r="AQ107" i="13" s="1"/>
  <c r="AJ106" i="12"/>
  <c r="K107" i="13" s="1"/>
  <c r="AZ106" i="12"/>
  <c r="AA107" i="13" s="1"/>
  <c r="CF114" i="12"/>
  <c r="BG115" i="13" s="1"/>
  <c r="BP114" i="12"/>
  <c r="AQ115" i="13" s="1"/>
  <c r="AZ114" i="12"/>
  <c r="AA115" i="13" s="1"/>
  <c r="AJ114" i="12"/>
  <c r="K115" i="13" s="1"/>
  <c r="CF66" i="12"/>
  <c r="BP66" i="12"/>
  <c r="AJ66" i="12"/>
  <c r="AZ66" i="12"/>
  <c r="CG92" i="12"/>
  <c r="BQ92" i="12"/>
  <c r="BA92" i="12"/>
  <c r="AK92" i="12"/>
  <c r="CG100" i="12"/>
  <c r="BQ100" i="12"/>
  <c r="BA100" i="12"/>
  <c r="AK100" i="12"/>
  <c r="CG108" i="12"/>
  <c r="BQ108" i="12"/>
  <c r="BA108" i="12"/>
  <c r="AK108" i="12"/>
  <c r="CG116" i="12"/>
  <c r="BH117" i="13" s="1"/>
  <c r="BQ116" i="12"/>
  <c r="AR117" i="13" s="1"/>
  <c r="BA116" i="12"/>
  <c r="AB117" i="13" s="1"/>
  <c r="AK116" i="12"/>
  <c r="L117" i="13" s="1"/>
  <c r="BN3" i="12"/>
  <c r="AX3" i="12"/>
  <c r="CD3" i="12"/>
  <c r="AH3" i="12"/>
  <c r="CI117" i="12"/>
  <c r="BS117" i="12"/>
  <c r="BC117" i="12"/>
  <c r="AM117" i="12"/>
  <c r="CI109" i="12"/>
  <c r="BS109" i="12"/>
  <c r="BC109" i="12"/>
  <c r="AM109" i="12"/>
  <c r="CI101" i="12"/>
  <c r="BS101" i="12"/>
  <c r="BC101" i="12"/>
  <c r="AM101" i="12"/>
  <c r="CI93" i="12"/>
  <c r="BS93" i="12"/>
  <c r="BC93" i="12"/>
  <c r="AM93" i="12"/>
  <c r="CI53" i="12"/>
  <c r="BS53" i="12"/>
  <c r="BC53" i="12"/>
  <c r="AM53" i="12"/>
  <c r="CI84" i="12"/>
  <c r="BS84" i="12"/>
  <c r="BC84" i="12"/>
  <c r="AM84" i="12"/>
  <c r="CI76" i="12"/>
  <c r="BS76" i="12"/>
  <c r="BC76" i="12"/>
  <c r="AM76" i="12"/>
  <c r="CI68" i="12"/>
  <c r="BS68" i="12"/>
  <c r="BC68" i="12"/>
  <c r="AM68" i="12"/>
  <c r="CI60" i="12"/>
  <c r="BS60" i="12"/>
  <c r="BC60" i="12"/>
  <c r="AM60" i="12"/>
  <c r="CI23" i="12"/>
  <c r="BS23" i="12"/>
  <c r="BC23" i="12"/>
  <c r="AM23" i="12"/>
  <c r="CI20" i="12"/>
  <c r="BS20" i="12"/>
  <c r="BC20" i="12"/>
  <c r="AM20" i="12"/>
  <c r="CI33" i="12"/>
  <c r="BS33" i="12"/>
  <c r="BC33" i="12"/>
  <c r="AM33" i="12"/>
  <c r="CI50" i="12"/>
  <c r="BS50" i="12"/>
  <c r="BC50" i="12"/>
  <c r="AM50" i="12"/>
  <c r="CI30" i="12"/>
  <c r="BS30" i="12"/>
  <c r="BC30" i="12"/>
  <c r="AM30" i="12"/>
  <c r="CA52" i="12"/>
  <c r="BB53" i="13" s="1"/>
  <c r="BK52" i="12"/>
  <c r="AL53" i="13" s="1"/>
  <c r="AU52" i="12"/>
  <c r="V53" i="13" s="1"/>
  <c r="AE52" i="12"/>
  <c r="F53" i="13" s="1"/>
  <c r="CA116" i="12"/>
  <c r="BB117" i="13" s="1"/>
  <c r="BK116" i="12"/>
  <c r="AL117" i="13" s="1"/>
  <c r="AU116" i="12"/>
  <c r="V117" i="13" s="1"/>
  <c r="CA108" i="12"/>
  <c r="BB109" i="13" s="1"/>
  <c r="BK108" i="12"/>
  <c r="AL109" i="13" s="1"/>
  <c r="AU108" i="12"/>
  <c r="V109" i="13" s="1"/>
  <c r="CA100" i="12"/>
  <c r="BB101" i="13" s="1"/>
  <c r="BK100" i="12"/>
  <c r="AL101" i="13" s="1"/>
  <c r="AU100" i="12"/>
  <c r="V101" i="13" s="1"/>
  <c r="AE100" i="12"/>
  <c r="F101" i="13" s="1"/>
  <c r="CA92" i="12"/>
  <c r="BB93" i="13" s="1"/>
  <c r="BK92" i="12"/>
  <c r="AL93" i="13" s="1"/>
  <c r="AU92" i="12"/>
  <c r="V93" i="13" s="1"/>
  <c r="AE92" i="12"/>
  <c r="F93" i="13" s="1"/>
  <c r="CA87" i="12"/>
  <c r="BB88" i="13" s="1"/>
  <c r="BK87" i="12"/>
  <c r="AL88" i="13" s="1"/>
  <c r="AU87" i="12"/>
  <c r="V88" i="13" s="1"/>
  <c r="AE87" i="12"/>
  <c r="F88" i="13" s="1"/>
  <c r="CA79" i="12"/>
  <c r="BB80" i="13" s="1"/>
  <c r="BK79" i="12"/>
  <c r="AL80" i="13" s="1"/>
  <c r="AU79" i="12"/>
  <c r="V80" i="13" s="1"/>
  <c r="AE79" i="12"/>
  <c r="F80" i="13" s="1"/>
  <c r="CA71" i="12"/>
  <c r="BB72" i="13" s="1"/>
  <c r="BK71" i="12"/>
  <c r="AL72" i="13" s="1"/>
  <c r="AU71" i="12"/>
  <c r="V72" i="13" s="1"/>
  <c r="AE71" i="12"/>
  <c r="F72" i="13" s="1"/>
  <c r="CA63" i="12"/>
  <c r="BB64" i="13" s="1"/>
  <c r="BK63" i="12"/>
  <c r="AL64" i="13" s="1"/>
  <c r="AU63" i="12"/>
  <c r="V64" i="13" s="1"/>
  <c r="AE63" i="12"/>
  <c r="F64" i="13" s="1"/>
  <c r="CA55" i="12"/>
  <c r="BB56" i="13" s="1"/>
  <c r="BK55" i="12"/>
  <c r="AL56" i="13" s="1"/>
  <c r="AU55" i="12"/>
  <c r="V56" i="13" s="1"/>
  <c r="AE55" i="12"/>
  <c r="F56" i="13" s="1"/>
  <c r="CA20" i="12"/>
  <c r="BK20" i="12"/>
  <c r="AU20" i="12"/>
  <c r="AE20" i="12"/>
  <c r="CA25" i="12"/>
  <c r="BK25" i="12"/>
  <c r="AU25" i="12"/>
  <c r="AE25" i="12"/>
  <c r="CA48" i="12"/>
  <c r="BK48" i="12"/>
  <c r="AU48" i="12"/>
  <c r="AE48" i="12"/>
  <c r="CA22" i="12"/>
  <c r="BK22" i="12"/>
  <c r="AU22" i="12"/>
  <c r="AE22" i="12"/>
  <c r="CA31" i="12"/>
  <c r="BK31" i="12"/>
  <c r="AU31" i="12"/>
  <c r="AE31" i="12"/>
  <c r="CC79" i="12"/>
  <c r="BD80" i="13" s="1"/>
  <c r="BM79" i="12"/>
  <c r="AN80" i="13" s="1"/>
  <c r="AW79" i="12"/>
  <c r="X80" i="13" s="1"/>
  <c r="AG79" i="12"/>
  <c r="H80" i="13" s="1"/>
  <c r="BM3" i="12"/>
  <c r="CC3" i="12"/>
  <c r="AW3" i="12"/>
  <c r="AG3" i="12"/>
  <c r="BZ53" i="12"/>
  <c r="BA54" i="13" s="1"/>
  <c r="BJ53" i="12"/>
  <c r="AK54" i="13" s="1"/>
  <c r="AT53" i="12"/>
  <c r="U54" i="13" s="1"/>
  <c r="AD53" i="12"/>
  <c r="E54" i="13" s="1"/>
  <c r="BZ80" i="12"/>
  <c r="BA81" i="13" s="1"/>
  <c r="BJ80" i="12"/>
  <c r="AK81" i="13" s="1"/>
  <c r="AT80" i="12"/>
  <c r="U81" i="13" s="1"/>
  <c r="AD80" i="12"/>
  <c r="E81" i="13" s="1"/>
  <c r="BZ72" i="12"/>
  <c r="BA73" i="13" s="1"/>
  <c r="BJ72" i="12"/>
  <c r="AK73" i="13" s="1"/>
  <c r="AT72" i="12"/>
  <c r="U73" i="13" s="1"/>
  <c r="AD72" i="12"/>
  <c r="E73" i="13" s="1"/>
  <c r="BZ64" i="12"/>
  <c r="BA65" i="13" s="1"/>
  <c r="BJ64" i="12"/>
  <c r="AK65" i="13" s="1"/>
  <c r="AT64" i="12"/>
  <c r="U65" i="13" s="1"/>
  <c r="AD64" i="12"/>
  <c r="E65" i="13" s="1"/>
  <c r="BZ56" i="12"/>
  <c r="BA57" i="13" s="1"/>
  <c r="BJ56" i="12"/>
  <c r="AK57" i="13" s="1"/>
  <c r="AT56" i="12"/>
  <c r="U57" i="13" s="1"/>
  <c r="AD56" i="12"/>
  <c r="E57" i="13" s="1"/>
  <c r="BZ43" i="12"/>
  <c r="BA44" i="13" s="1"/>
  <c r="BJ43" i="12"/>
  <c r="AK44" i="13" s="1"/>
  <c r="AT43" i="12"/>
  <c r="U44" i="13" s="1"/>
  <c r="AD43" i="12"/>
  <c r="E44" i="13" s="1"/>
  <c r="BZ35" i="12"/>
  <c r="BJ35" i="12"/>
  <c r="AT35" i="12"/>
  <c r="AD35" i="12"/>
  <c r="BZ27" i="12"/>
  <c r="BJ27" i="12"/>
  <c r="AT27" i="12"/>
  <c r="AD27" i="12"/>
  <c r="BZ19" i="12"/>
  <c r="BJ19" i="12"/>
  <c r="AT19" i="12"/>
  <c r="AD19" i="12"/>
  <c r="BZ11" i="12"/>
  <c r="BJ11" i="12"/>
  <c r="AD11" i="12"/>
  <c r="AT11" i="12"/>
  <c r="BW54" i="12"/>
  <c r="AX55" i="13" s="1"/>
  <c r="BG54" i="12"/>
  <c r="AH55" i="13" s="1"/>
  <c r="BW48" i="12"/>
  <c r="AX49" i="13" s="1"/>
  <c r="BG48" i="12"/>
  <c r="AH49" i="13" s="1"/>
  <c r="BW75" i="12"/>
  <c r="AX76" i="13" s="1"/>
  <c r="BW67" i="12"/>
  <c r="AX68" i="13" s="1"/>
  <c r="BW59" i="12"/>
  <c r="AX60" i="13" s="1"/>
  <c r="BW30" i="12"/>
  <c r="AX31" i="13" s="1"/>
  <c r="BG30" i="12"/>
  <c r="AH31" i="13" s="1"/>
  <c r="AQ30" i="12"/>
  <c r="R31" i="13" s="1"/>
  <c r="BW10" i="12"/>
  <c r="AX11" i="13" s="1"/>
  <c r="BG10" i="12"/>
  <c r="AH11" i="13" s="1"/>
  <c r="AQ10" i="12"/>
  <c r="R11" i="13" s="1"/>
  <c r="AA10" i="12"/>
  <c r="B11" i="13" s="1"/>
  <c r="BW23" i="12"/>
  <c r="AX24" i="13" s="1"/>
  <c r="BG23" i="12"/>
  <c r="AH24" i="13" s="1"/>
  <c r="AQ23" i="12"/>
  <c r="R24" i="13" s="1"/>
  <c r="BW36" i="12"/>
  <c r="AX37" i="13" s="1"/>
  <c r="BG36" i="12"/>
  <c r="AH37" i="13" s="1"/>
  <c r="AQ36" i="12"/>
  <c r="R37" i="13" s="1"/>
  <c r="BW45" i="12"/>
  <c r="AX46" i="13" s="1"/>
  <c r="BG45" i="12"/>
  <c r="AH46" i="13" s="1"/>
  <c r="BW13" i="12"/>
  <c r="AX14" i="13" s="1"/>
  <c r="BG13" i="12"/>
  <c r="AH14" i="13" s="1"/>
  <c r="AA13" i="12"/>
  <c r="B14" i="13" s="1"/>
  <c r="AQ13" i="12"/>
  <c r="R14" i="13" s="1"/>
  <c r="CL82" i="12"/>
  <c r="BF82" i="12"/>
  <c r="AP82" i="12"/>
  <c r="BV82" i="12"/>
  <c r="CL119" i="12"/>
  <c r="BV119" i="12"/>
  <c r="BF119" i="12"/>
  <c r="AP119" i="12"/>
  <c r="CL111" i="12"/>
  <c r="BV111" i="12"/>
  <c r="BF111" i="12"/>
  <c r="AP111" i="12"/>
  <c r="CL103" i="12"/>
  <c r="BV103" i="12"/>
  <c r="BF103" i="12"/>
  <c r="AP103" i="12"/>
  <c r="CL95" i="12"/>
  <c r="BV95" i="12"/>
  <c r="BF95" i="12"/>
  <c r="AP95" i="12"/>
  <c r="CL86" i="12"/>
  <c r="BV86" i="12"/>
  <c r="BF86" i="12"/>
  <c r="AP86" i="12"/>
  <c r="CL71" i="12"/>
  <c r="BV71" i="12"/>
  <c r="BF71" i="12"/>
  <c r="AP71" i="12"/>
  <c r="CL63" i="12"/>
  <c r="BV63" i="12"/>
  <c r="BF63" i="12"/>
  <c r="AP63" i="12"/>
  <c r="CL55" i="12"/>
  <c r="BV55" i="12"/>
  <c r="BF55" i="12"/>
  <c r="AP55" i="12"/>
  <c r="CL48" i="12"/>
  <c r="BF48" i="12"/>
  <c r="AP48" i="12"/>
  <c r="BV48" i="12"/>
  <c r="CL17" i="12"/>
  <c r="BV17" i="12"/>
  <c r="BF17" i="12"/>
  <c r="AP17" i="12"/>
  <c r="CL26" i="12"/>
  <c r="BF26" i="12"/>
  <c r="AP26" i="12"/>
  <c r="BV26" i="12"/>
  <c r="CL39" i="12"/>
  <c r="BV39" i="12"/>
  <c r="BF39" i="12"/>
  <c r="AP39" i="12"/>
  <c r="CL7" i="12"/>
  <c r="BF7" i="12"/>
  <c r="BV7" i="12"/>
  <c r="AP7" i="12"/>
  <c r="CL8" i="12"/>
  <c r="AP8" i="12"/>
  <c r="BF8" i="12"/>
  <c r="BV8" i="12"/>
  <c r="BY118" i="12"/>
  <c r="AZ119" i="13" s="1"/>
  <c r="BI118" i="12"/>
  <c r="AJ119" i="13" s="1"/>
  <c r="AS118" i="12"/>
  <c r="T119" i="13" s="1"/>
  <c r="BY110" i="12"/>
  <c r="AZ111" i="13" s="1"/>
  <c r="BI110" i="12"/>
  <c r="AJ111" i="13" s="1"/>
  <c r="AS110" i="12"/>
  <c r="T111" i="13" s="1"/>
  <c r="BY102" i="12"/>
  <c r="AZ103" i="13" s="1"/>
  <c r="BI102" i="12"/>
  <c r="AJ103" i="13" s="1"/>
  <c r="AS102" i="12"/>
  <c r="T103" i="13" s="1"/>
  <c r="BY94" i="12"/>
  <c r="AZ95" i="13" s="1"/>
  <c r="BI94" i="12"/>
  <c r="AJ95" i="13" s="1"/>
  <c r="AS94" i="12"/>
  <c r="T95" i="13" s="1"/>
  <c r="BI3" i="12"/>
  <c r="BY3" i="12"/>
  <c r="AS3" i="12"/>
  <c r="AC3" i="12"/>
  <c r="BY39" i="12"/>
  <c r="AZ40" i="13" s="1"/>
  <c r="BI39" i="12"/>
  <c r="AJ40" i="13" s="1"/>
  <c r="AC39" i="12"/>
  <c r="D40" i="13" s="1"/>
  <c r="AS39" i="12"/>
  <c r="T40" i="13" s="1"/>
  <c r="BY51" i="12"/>
  <c r="AZ52" i="13" s="1"/>
  <c r="BI51" i="12"/>
  <c r="AJ52" i="13" s="1"/>
  <c r="AS51" i="12"/>
  <c r="T52" i="13" s="1"/>
  <c r="AC51" i="12"/>
  <c r="D52" i="13" s="1"/>
  <c r="BY80" i="12"/>
  <c r="AZ81" i="13" s="1"/>
  <c r="BI80" i="12"/>
  <c r="AJ81" i="13" s="1"/>
  <c r="AS80" i="12"/>
  <c r="T81" i="13" s="1"/>
  <c r="BY72" i="12"/>
  <c r="AZ73" i="13" s="1"/>
  <c r="BI72" i="12"/>
  <c r="AJ73" i="13" s="1"/>
  <c r="AS72" i="12"/>
  <c r="T73" i="13" s="1"/>
  <c r="BY64" i="12"/>
  <c r="AZ65" i="13" s="1"/>
  <c r="BI64" i="12"/>
  <c r="AJ65" i="13" s="1"/>
  <c r="AS64" i="12"/>
  <c r="T65" i="13" s="1"/>
  <c r="BY56" i="12"/>
  <c r="AZ57" i="13" s="1"/>
  <c r="BI56" i="12"/>
  <c r="AJ57" i="13" s="1"/>
  <c r="AS56" i="12"/>
  <c r="T57" i="13" s="1"/>
  <c r="AC56" i="12"/>
  <c r="D57" i="13" s="1"/>
  <c r="BY24" i="12"/>
  <c r="BI24" i="12"/>
  <c r="AS24" i="12"/>
  <c r="AC24" i="12"/>
  <c r="BI33" i="12"/>
  <c r="AJ34" i="13" s="1"/>
  <c r="BY33" i="12"/>
  <c r="AZ34" i="13" s="1"/>
  <c r="AC33" i="12"/>
  <c r="D34" i="13" s="1"/>
  <c r="AS33" i="12"/>
  <c r="T34" i="13" s="1"/>
  <c r="BY42" i="12"/>
  <c r="AZ43" i="13" s="1"/>
  <c r="BI42" i="12"/>
  <c r="AJ43" i="13" s="1"/>
  <c r="AC42" i="12"/>
  <c r="D43" i="13" s="1"/>
  <c r="AS42" i="12"/>
  <c r="T43" i="13" s="1"/>
  <c r="BY10" i="12"/>
  <c r="BI10" i="12"/>
  <c r="AS10" i="12"/>
  <c r="AC10" i="12"/>
  <c r="CE117" i="12"/>
  <c r="BF118" i="13" s="1"/>
  <c r="BO117" i="12"/>
  <c r="AP118" i="13" s="1"/>
  <c r="AY117" i="12"/>
  <c r="Z118" i="13" s="1"/>
  <c r="AI117" i="12"/>
  <c r="J118" i="13" s="1"/>
  <c r="CE109" i="12"/>
  <c r="BF110" i="13" s="1"/>
  <c r="BO109" i="12"/>
  <c r="AP110" i="13" s="1"/>
  <c r="AY109" i="12"/>
  <c r="Z110" i="13" s="1"/>
  <c r="AI109" i="12"/>
  <c r="J110" i="13" s="1"/>
  <c r="CE101" i="12"/>
  <c r="BF102" i="13" s="1"/>
  <c r="BO101" i="12"/>
  <c r="AP102" i="13" s="1"/>
  <c r="AY101" i="12"/>
  <c r="Z102" i="13" s="1"/>
  <c r="AI101" i="12"/>
  <c r="J102" i="13" s="1"/>
  <c r="CE93" i="12"/>
  <c r="BF94" i="13" s="1"/>
  <c r="BO93" i="12"/>
  <c r="AP94" i="13" s="1"/>
  <c r="AY93" i="12"/>
  <c r="Z94" i="13" s="1"/>
  <c r="AI93" i="12"/>
  <c r="J94" i="13" s="1"/>
  <c r="CE82" i="12"/>
  <c r="BO82" i="12"/>
  <c r="AY82" i="12"/>
  <c r="AI82" i="12"/>
  <c r="CE74" i="12"/>
  <c r="BO74" i="12"/>
  <c r="AY74" i="12"/>
  <c r="AI74" i="12"/>
  <c r="CE66" i="12"/>
  <c r="BO66" i="12"/>
  <c r="AY66" i="12"/>
  <c r="AI66" i="12"/>
  <c r="CE58" i="12"/>
  <c r="BO58" i="12"/>
  <c r="AY58" i="12"/>
  <c r="AI58" i="12"/>
  <c r="CE48" i="12"/>
  <c r="BO48" i="12"/>
  <c r="AY48" i="12"/>
  <c r="AI48" i="12"/>
  <c r="CE42" i="12"/>
  <c r="BO42" i="12"/>
  <c r="AY42" i="12"/>
  <c r="AI42" i="12"/>
  <c r="CE10" i="12"/>
  <c r="BO10" i="12"/>
  <c r="AY10" i="12"/>
  <c r="AI10" i="12"/>
  <c r="CE19" i="12"/>
  <c r="BO19" i="12"/>
  <c r="AY19" i="12"/>
  <c r="AI19" i="12"/>
  <c r="CE28" i="12"/>
  <c r="BO28" i="12"/>
  <c r="AY28" i="12"/>
  <c r="AI28" i="12"/>
  <c r="CE33" i="12"/>
  <c r="BO33" i="12"/>
  <c r="AY33" i="12"/>
  <c r="AI33" i="12"/>
  <c r="CC81" i="12"/>
  <c r="BD82" i="13" s="1"/>
  <c r="BM81" i="12"/>
  <c r="AN82" i="13" s="1"/>
  <c r="AW81" i="12"/>
  <c r="X82" i="13" s="1"/>
  <c r="AG81" i="12"/>
  <c r="H82" i="13" s="1"/>
  <c r="BX79" i="12"/>
  <c r="AY80" i="13" s="1"/>
  <c r="BH79" i="12"/>
  <c r="AI80" i="13" s="1"/>
  <c r="AR79" i="12"/>
  <c r="S80" i="13" s="1"/>
  <c r="BX111" i="12"/>
  <c r="AY112" i="13" s="1"/>
  <c r="BH111" i="12"/>
  <c r="AI112" i="13" s="1"/>
  <c r="BX103" i="12"/>
  <c r="AY104" i="13" s="1"/>
  <c r="BH103" i="12"/>
  <c r="AI104" i="13" s="1"/>
  <c r="BX95" i="12"/>
  <c r="AY96" i="13" s="1"/>
  <c r="BH95" i="12"/>
  <c r="AI96" i="13" s="1"/>
  <c r="BX66" i="12"/>
  <c r="AY67" i="13" s="1"/>
  <c r="BH66" i="12"/>
  <c r="AI67" i="13" s="1"/>
  <c r="AR66" i="12"/>
  <c r="S67" i="13" s="1"/>
  <c r="BX61" i="12"/>
  <c r="AY62" i="13" s="1"/>
  <c r="BH61" i="12"/>
  <c r="AI62" i="13" s="1"/>
  <c r="AR61" i="12"/>
  <c r="S62" i="13" s="1"/>
  <c r="BX60" i="12"/>
  <c r="AY61" i="13" s="1"/>
  <c r="BH60" i="12"/>
  <c r="AI61" i="13" s="1"/>
  <c r="AR60" i="12"/>
  <c r="S61" i="13" s="1"/>
  <c r="BX53" i="12"/>
  <c r="AY54" i="13" s="1"/>
  <c r="BH53" i="12"/>
  <c r="AI54" i="13" s="1"/>
  <c r="AR53" i="12"/>
  <c r="S54" i="13" s="1"/>
  <c r="BX39" i="12"/>
  <c r="AY40" i="13" s="1"/>
  <c r="BH39" i="12"/>
  <c r="AI40" i="13" s="1"/>
  <c r="AR39" i="12"/>
  <c r="S40" i="13" s="1"/>
  <c r="BX7" i="12"/>
  <c r="BH7" i="12"/>
  <c r="AR7" i="12"/>
  <c r="AB7" i="12"/>
  <c r="BX16" i="12"/>
  <c r="BH16" i="12"/>
  <c r="AR16" i="12"/>
  <c r="AB16" i="12"/>
  <c r="BX25" i="12"/>
  <c r="AY26" i="13" s="1"/>
  <c r="BH25" i="12"/>
  <c r="AI26" i="13" s="1"/>
  <c r="AB25" i="12"/>
  <c r="C26" i="13" s="1"/>
  <c r="AR25" i="12"/>
  <c r="S26" i="13" s="1"/>
  <c r="BX34" i="12"/>
  <c r="AY35" i="13" s="1"/>
  <c r="BH34" i="12"/>
  <c r="AI35" i="13" s="1"/>
  <c r="AB34" i="12"/>
  <c r="C35" i="13" s="1"/>
  <c r="AR34" i="12"/>
  <c r="S35" i="13" s="1"/>
  <c r="BN77" i="12"/>
  <c r="AX77" i="12"/>
  <c r="AH77" i="12"/>
  <c r="CD77" i="12"/>
  <c r="AX118" i="12"/>
  <c r="Y119" i="13" s="1"/>
  <c r="BN118" i="12"/>
  <c r="AO119" i="13" s="1"/>
  <c r="CD118" i="12"/>
  <c r="BE119" i="13" s="1"/>
  <c r="AH118" i="12"/>
  <c r="I119" i="13" s="1"/>
  <c r="AX110" i="12"/>
  <c r="Y111" i="13" s="1"/>
  <c r="BN110" i="12"/>
  <c r="AO111" i="13" s="1"/>
  <c r="CD110" i="12"/>
  <c r="BE111" i="13" s="1"/>
  <c r="AH110" i="12"/>
  <c r="I111" i="13" s="1"/>
  <c r="AX102" i="12"/>
  <c r="Y103" i="13" s="1"/>
  <c r="AH102" i="12"/>
  <c r="I103" i="13" s="1"/>
  <c r="CD102" i="12"/>
  <c r="BE103" i="13" s="1"/>
  <c r="BN102" i="12"/>
  <c r="AO103" i="13" s="1"/>
  <c r="AX94" i="12"/>
  <c r="Y95" i="13" s="1"/>
  <c r="AH94" i="12"/>
  <c r="I95" i="13" s="1"/>
  <c r="CD94" i="12"/>
  <c r="BE95" i="13" s="1"/>
  <c r="BN94" i="12"/>
  <c r="AO95" i="13" s="1"/>
  <c r="CD85" i="12"/>
  <c r="BE86" i="13" s="1"/>
  <c r="BN85" i="12"/>
  <c r="AO86" i="13" s="1"/>
  <c r="AX85" i="12"/>
  <c r="Y86" i="13" s="1"/>
  <c r="AH85" i="12"/>
  <c r="I86" i="13" s="1"/>
  <c r="BN76" i="12"/>
  <c r="CD76" i="12"/>
  <c r="AX76" i="12"/>
  <c r="AH76" i="12"/>
  <c r="CD68" i="12"/>
  <c r="BN68" i="12"/>
  <c r="AX68" i="12"/>
  <c r="AH68" i="12"/>
  <c r="BN60" i="12"/>
  <c r="CD60" i="12"/>
  <c r="AX60" i="12"/>
  <c r="AH60" i="12"/>
  <c r="CD21" i="12"/>
  <c r="BN21" i="12"/>
  <c r="AX21" i="12"/>
  <c r="AH21" i="12"/>
  <c r="CD37" i="12"/>
  <c r="BN37" i="12"/>
  <c r="AX37" i="12"/>
  <c r="AH37" i="12"/>
  <c r="CD34" i="12"/>
  <c r="AX34" i="12"/>
  <c r="AH34" i="12"/>
  <c r="BN34" i="12"/>
  <c r="CD4" i="12"/>
  <c r="BN4" i="12"/>
  <c r="AH4" i="12"/>
  <c r="AX4" i="12"/>
  <c r="CD15" i="12"/>
  <c r="AX15" i="12"/>
  <c r="BN15" i="12"/>
  <c r="AH15" i="12"/>
  <c r="CD24" i="12"/>
  <c r="AX24" i="12"/>
  <c r="AH24" i="12"/>
  <c r="BN24" i="12"/>
  <c r="BX122" i="12"/>
  <c r="AY123" i="13" s="1"/>
  <c r="BH122" i="12"/>
  <c r="AI123" i="13" s="1"/>
  <c r="CK84" i="12"/>
  <c r="BU84" i="12"/>
  <c r="BE84" i="12"/>
  <c r="AO84" i="12"/>
  <c r="CK122" i="12"/>
  <c r="BU122" i="12"/>
  <c r="BE122" i="12"/>
  <c r="AO122" i="12"/>
  <c r="CK114" i="12"/>
  <c r="BU114" i="12"/>
  <c r="BE114" i="12"/>
  <c r="AO114" i="12"/>
  <c r="CK106" i="12"/>
  <c r="BU106" i="12"/>
  <c r="BE106" i="12"/>
  <c r="AO106" i="12"/>
  <c r="CK98" i="12"/>
  <c r="BU98" i="12"/>
  <c r="BE98" i="12"/>
  <c r="AO98" i="12"/>
  <c r="CK90" i="12"/>
  <c r="BU90" i="12"/>
  <c r="BE90" i="12"/>
  <c r="AO90" i="12"/>
  <c r="CK44" i="12"/>
  <c r="BU44" i="12"/>
  <c r="AO44" i="12"/>
  <c r="BE44" i="12"/>
  <c r="CK71" i="12"/>
  <c r="BU71" i="12"/>
  <c r="AO71" i="12"/>
  <c r="BE71" i="12"/>
  <c r="CK63" i="12"/>
  <c r="BU63" i="12"/>
  <c r="AO63" i="12"/>
  <c r="BE63" i="12"/>
  <c r="CK55" i="12"/>
  <c r="BU55" i="12"/>
  <c r="AO55" i="12"/>
  <c r="BE55" i="12"/>
  <c r="CK46" i="12"/>
  <c r="BU46" i="12"/>
  <c r="BE46" i="12"/>
  <c r="AO46" i="12"/>
  <c r="CK29" i="12"/>
  <c r="BU29" i="12"/>
  <c r="AO29" i="12"/>
  <c r="BE29" i="12"/>
  <c r="CK34" i="12"/>
  <c r="BU34" i="12"/>
  <c r="AO34" i="12"/>
  <c r="BE34" i="12"/>
  <c r="CK4" i="12"/>
  <c r="BU4" i="12"/>
  <c r="BE4" i="12"/>
  <c r="AO4" i="12"/>
  <c r="CK15" i="12"/>
  <c r="BE15" i="12"/>
  <c r="BU15" i="12"/>
  <c r="AO15" i="12"/>
  <c r="BZ101" i="12"/>
  <c r="BA102" i="13" s="1"/>
  <c r="BJ101" i="12"/>
  <c r="AK102" i="13" s="1"/>
  <c r="AT101" i="12"/>
  <c r="U102" i="13" s="1"/>
  <c r="CC122" i="12"/>
  <c r="BD123" i="13" s="1"/>
  <c r="BM122" i="12"/>
  <c r="AN123" i="13" s="1"/>
  <c r="AW122" i="12"/>
  <c r="X123" i="13" s="1"/>
  <c r="AG122" i="12"/>
  <c r="H123" i="13" s="1"/>
  <c r="BM114" i="12"/>
  <c r="AN115" i="13" s="1"/>
  <c r="CC114" i="12"/>
  <c r="BD115" i="13" s="1"/>
  <c r="AG114" i="12"/>
  <c r="H115" i="13" s="1"/>
  <c r="AW114" i="12"/>
  <c r="X115" i="13" s="1"/>
  <c r="BM106" i="12"/>
  <c r="AN107" i="13" s="1"/>
  <c r="CC106" i="12"/>
  <c r="BD107" i="13" s="1"/>
  <c r="AG106" i="12"/>
  <c r="H107" i="13" s="1"/>
  <c r="AW106" i="12"/>
  <c r="X107" i="13" s="1"/>
  <c r="BM98" i="12"/>
  <c r="AN99" i="13" s="1"/>
  <c r="CC98" i="12"/>
  <c r="BD99" i="13" s="1"/>
  <c r="AG98" i="12"/>
  <c r="H99" i="13" s="1"/>
  <c r="AW98" i="12"/>
  <c r="X99" i="13" s="1"/>
  <c r="BM90" i="12"/>
  <c r="AN91" i="13" s="1"/>
  <c r="CC90" i="12"/>
  <c r="BD91" i="13" s="1"/>
  <c r="AW90" i="12"/>
  <c r="X91" i="13" s="1"/>
  <c r="AG90" i="12"/>
  <c r="H91" i="13" s="1"/>
  <c r="CC73" i="12"/>
  <c r="BD74" i="13" s="1"/>
  <c r="BM73" i="12"/>
  <c r="AN74" i="13" s="1"/>
  <c r="AW73" i="12"/>
  <c r="X74" i="13" s="1"/>
  <c r="AG73" i="12"/>
  <c r="H74" i="13" s="1"/>
  <c r="CC65" i="12"/>
  <c r="BM65" i="12"/>
  <c r="AW65" i="12"/>
  <c r="AG65" i="12"/>
  <c r="CC57" i="12"/>
  <c r="BM57" i="12"/>
  <c r="AW57" i="12"/>
  <c r="AG57" i="12"/>
  <c r="BM48" i="12"/>
  <c r="CC48" i="12"/>
  <c r="AW48" i="12"/>
  <c r="AG48" i="12"/>
  <c r="CC25" i="12"/>
  <c r="BM25" i="12"/>
  <c r="AW25" i="12"/>
  <c r="AG25" i="12"/>
  <c r="CC26" i="12"/>
  <c r="BM26" i="12"/>
  <c r="AG26" i="12"/>
  <c r="AW26" i="12"/>
  <c r="CC39" i="12"/>
  <c r="BM39" i="12"/>
  <c r="AW39" i="12"/>
  <c r="AG39" i="12"/>
  <c r="CC7" i="12"/>
  <c r="BM7" i="12"/>
  <c r="AW7" i="12"/>
  <c r="AG7" i="12"/>
  <c r="CC12" i="12"/>
  <c r="BM12" i="12"/>
  <c r="AG12" i="12"/>
  <c r="AW12" i="12"/>
  <c r="CB120" i="12"/>
  <c r="BC121" i="13" s="1"/>
  <c r="BL120" i="12"/>
  <c r="AM121" i="13" s="1"/>
  <c r="AV120" i="12"/>
  <c r="W121" i="13" s="1"/>
  <c r="AF120" i="12"/>
  <c r="G121" i="13" s="1"/>
  <c r="CB112" i="12"/>
  <c r="BC113" i="13" s="1"/>
  <c r="BL112" i="12"/>
  <c r="AM113" i="13" s="1"/>
  <c r="AV112" i="12"/>
  <c r="W113" i="13" s="1"/>
  <c r="AF112" i="12"/>
  <c r="G113" i="13" s="1"/>
  <c r="CB104" i="12"/>
  <c r="BC105" i="13" s="1"/>
  <c r="BL104" i="12"/>
  <c r="AM105" i="13" s="1"/>
  <c r="AV104" i="12"/>
  <c r="W105" i="13" s="1"/>
  <c r="AF104" i="12"/>
  <c r="G105" i="13" s="1"/>
  <c r="CB96" i="12"/>
  <c r="BC97" i="13" s="1"/>
  <c r="BL96" i="12"/>
  <c r="AM97" i="13" s="1"/>
  <c r="AV96" i="12"/>
  <c r="W97" i="13" s="1"/>
  <c r="AF96" i="12"/>
  <c r="G97" i="13" s="1"/>
  <c r="CB8" i="12"/>
  <c r="BL8" i="12"/>
  <c r="AV8" i="12"/>
  <c r="AF8" i="12"/>
  <c r="CB82" i="12"/>
  <c r="BC83" i="13" s="1"/>
  <c r="BL82" i="12"/>
  <c r="AM83" i="13" s="1"/>
  <c r="AV82" i="12"/>
  <c r="W83" i="13" s="1"/>
  <c r="AF82" i="12"/>
  <c r="G83" i="13" s="1"/>
  <c r="CB74" i="12"/>
  <c r="BC75" i="13" s="1"/>
  <c r="BL74" i="12"/>
  <c r="AM75" i="13" s="1"/>
  <c r="AV74" i="12"/>
  <c r="W75" i="13" s="1"/>
  <c r="AF74" i="12"/>
  <c r="G75" i="13" s="1"/>
  <c r="CB66" i="12"/>
  <c r="BC67" i="13" s="1"/>
  <c r="BL66" i="12"/>
  <c r="AM67" i="13" s="1"/>
  <c r="AV66" i="12"/>
  <c r="W67" i="13" s="1"/>
  <c r="AF66" i="12"/>
  <c r="G67" i="13" s="1"/>
  <c r="CB58" i="12"/>
  <c r="BL58" i="12"/>
  <c r="AV58" i="12"/>
  <c r="AF58" i="12"/>
  <c r="BL5" i="12"/>
  <c r="CB5" i="12"/>
  <c r="AV5" i="12"/>
  <c r="AF5" i="12"/>
  <c r="BL21" i="12"/>
  <c r="CB21" i="12"/>
  <c r="AV21" i="12"/>
  <c r="AF21" i="12"/>
  <c r="CB50" i="12"/>
  <c r="BL50" i="12"/>
  <c r="AV50" i="12"/>
  <c r="AF50" i="12"/>
  <c r="CB30" i="12"/>
  <c r="BL30" i="12"/>
  <c r="AV30" i="12"/>
  <c r="AF30" i="12"/>
  <c r="CB43" i="12"/>
  <c r="BL43" i="12"/>
  <c r="AV43" i="12"/>
  <c r="AF43" i="12"/>
  <c r="CB11" i="12"/>
  <c r="BL11" i="12"/>
  <c r="AV11" i="12"/>
  <c r="AF11" i="12"/>
  <c r="CJ119" i="12"/>
  <c r="BT119" i="12"/>
  <c r="BD119" i="12"/>
  <c r="AN119" i="12"/>
  <c r="CJ111" i="12"/>
  <c r="BT111" i="12"/>
  <c r="BD111" i="12"/>
  <c r="AN111" i="12"/>
  <c r="CJ103" i="12"/>
  <c r="BT103" i="12"/>
  <c r="BD103" i="12"/>
  <c r="AN103" i="12"/>
  <c r="CJ95" i="12"/>
  <c r="BT95" i="12"/>
  <c r="BD95" i="12"/>
  <c r="AN95" i="12"/>
  <c r="CJ86" i="12"/>
  <c r="BT86" i="12"/>
  <c r="BD86" i="12"/>
  <c r="AN86" i="12"/>
  <c r="CJ78" i="12"/>
  <c r="BT78" i="12"/>
  <c r="BD78" i="12"/>
  <c r="AN78" i="12"/>
  <c r="CJ70" i="12"/>
  <c r="BT70" i="12"/>
  <c r="BD70" i="12"/>
  <c r="AN70" i="12"/>
  <c r="CJ62" i="12"/>
  <c r="BT62" i="12"/>
  <c r="BD62" i="12"/>
  <c r="AN62" i="12"/>
  <c r="CJ54" i="12"/>
  <c r="BT54" i="12"/>
  <c r="BD54" i="12"/>
  <c r="AN54" i="12"/>
  <c r="CJ24" i="12"/>
  <c r="BT24" i="12"/>
  <c r="BD24" i="12"/>
  <c r="AN24" i="12"/>
  <c r="CJ29" i="12"/>
  <c r="BT29" i="12"/>
  <c r="BD29" i="12"/>
  <c r="AN29" i="12"/>
  <c r="CJ51" i="12"/>
  <c r="BT51" i="12"/>
  <c r="BD51" i="12"/>
  <c r="AN51" i="12"/>
  <c r="CJ34" i="12"/>
  <c r="BT34" i="12"/>
  <c r="BD34" i="12"/>
  <c r="AN34" i="12"/>
  <c r="CJ4" i="12"/>
  <c r="BT4" i="12"/>
  <c r="BD4" i="12"/>
  <c r="AN4" i="12"/>
  <c r="BT11" i="12"/>
  <c r="BD11" i="12"/>
  <c r="CJ11" i="12"/>
  <c r="AN11" i="12"/>
  <c r="CH120" i="12"/>
  <c r="BR120" i="12"/>
  <c r="BB120" i="12"/>
  <c r="AL120" i="12"/>
  <c r="CH93" i="12"/>
  <c r="BR93" i="12"/>
  <c r="BB93" i="12"/>
  <c r="AL93" i="12"/>
  <c r="CH118" i="12"/>
  <c r="BR118" i="12"/>
  <c r="BB118" i="12"/>
  <c r="AL118" i="12"/>
  <c r="CH113" i="12"/>
  <c r="BR113" i="12"/>
  <c r="BB113" i="12"/>
  <c r="AL113" i="12"/>
  <c r="CG86" i="12"/>
  <c r="BQ86" i="12"/>
  <c r="BA86" i="12"/>
  <c r="AK86" i="12"/>
  <c r="CH122" i="12"/>
  <c r="BR122" i="12"/>
  <c r="BB122" i="12"/>
  <c r="AL122" i="12"/>
  <c r="CH115" i="12"/>
  <c r="BR115" i="12"/>
  <c r="BB115" i="12"/>
  <c r="AL115" i="12"/>
  <c r="CI14" i="12"/>
  <c r="BS14" i="12"/>
  <c r="BC14" i="12"/>
  <c r="AM14" i="12"/>
  <c r="CA59" i="12"/>
  <c r="BB60" i="13" s="1"/>
  <c r="BK59" i="12"/>
  <c r="AL60" i="13" s="1"/>
  <c r="AU59" i="12"/>
  <c r="V60" i="13" s="1"/>
  <c r="AE59" i="12"/>
  <c r="F60" i="13" s="1"/>
  <c r="BZ89" i="12"/>
  <c r="BA90" i="13" s="1"/>
  <c r="BJ89" i="12"/>
  <c r="AK90" i="13" s="1"/>
  <c r="AT89" i="12"/>
  <c r="U90" i="13" s="1"/>
  <c r="BW63" i="12"/>
  <c r="AX64" i="13" s="1"/>
  <c r="CL85" i="12"/>
  <c r="BF85" i="12"/>
  <c r="AP85" i="12"/>
  <c r="BV85" i="12"/>
  <c r="CL59" i="12"/>
  <c r="BV59" i="12"/>
  <c r="BF59" i="12"/>
  <c r="AP59" i="12"/>
  <c r="BY114" i="12"/>
  <c r="AZ115" i="13" s="1"/>
  <c r="BI114" i="12"/>
  <c r="AJ115" i="13" s="1"/>
  <c r="AS114" i="12"/>
  <c r="T115" i="13" s="1"/>
  <c r="BY76" i="12"/>
  <c r="AZ77" i="13" s="1"/>
  <c r="BI76" i="12"/>
  <c r="AJ77" i="13" s="1"/>
  <c r="AS76" i="12"/>
  <c r="T77" i="13" s="1"/>
  <c r="CE105" i="12"/>
  <c r="BF106" i="13" s="1"/>
  <c r="BO105" i="12"/>
  <c r="AP106" i="13" s="1"/>
  <c r="AY105" i="12"/>
  <c r="Z106" i="13" s="1"/>
  <c r="AI105" i="12"/>
  <c r="J106" i="13" s="1"/>
  <c r="CE35" i="12"/>
  <c r="BO35" i="12"/>
  <c r="AY35" i="12"/>
  <c r="AI35" i="12"/>
  <c r="BX77" i="12"/>
  <c r="AY78" i="13" s="1"/>
  <c r="BH77" i="12"/>
  <c r="AI78" i="13" s="1"/>
  <c r="AR77" i="12"/>
  <c r="S78" i="13" s="1"/>
  <c r="BX18" i="12"/>
  <c r="AY19" i="13" s="1"/>
  <c r="BH18" i="12"/>
  <c r="AI19" i="13" s="1"/>
  <c r="AR18" i="12"/>
  <c r="S19" i="13" s="1"/>
  <c r="AB18" i="12"/>
  <c r="C19" i="13" s="1"/>
  <c r="CD64" i="12"/>
  <c r="AX64" i="12"/>
  <c r="AH64" i="12"/>
  <c r="BN64" i="12"/>
  <c r="CK87" i="12"/>
  <c r="AO87" i="12"/>
  <c r="BU87" i="12"/>
  <c r="BE87" i="12"/>
  <c r="CK67" i="12"/>
  <c r="BU67" i="12"/>
  <c r="AO67" i="12"/>
  <c r="BE67" i="12"/>
  <c r="CC118" i="12"/>
  <c r="BD119" i="13" s="1"/>
  <c r="BM118" i="12"/>
  <c r="AN119" i="13" s="1"/>
  <c r="AW118" i="12"/>
  <c r="X119" i="13" s="1"/>
  <c r="AG118" i="12"/>
  <c r="H119" i="13" s="1"/>
  <c r="CC23" i="12"/>
  <c r="BM23" i="12"/>
  <c r="AW23" i="12"/>
  <c r="AG23" i="12"/>
  <c r="CB62" i="12"/>
  <c r="BC63" i="13" s="1"/>
  <c r="BL62" i="12"/>
  <c r="AM63" i="13" s="1"/>
  <c r="AV62" i="12"/>
  <c r="W63" i="13" s="1"/>
  <c r="AF62" i="12"/>
  <c r="G63" i="13" s="1"/>
  <c r="CJ66" i="12"/>
  <c r="BT66" i="12"/>
  <c r="BD66" i="12"/>
  <c r="AN66" i="12"/>
  <c r="CH83" i="12"/>
  <c r="BR83" i="12"/>
  <c r="BB83" i="12"/>
  <c r="AL83" i="12"/>
  <c r="CH59" i="12"/>
  <c r="BR59" i="12"/>
  <c r="BB59" i="12"/>
  <c r="AL59" i="12"/>
  <c r="CH32" i="12"/>
  <c r="BR32" i="12"/>
  <c r="BB32" i="12"/>
  <c r="AL32" i="12"/>
  <c r="CG48" i="12"/>
  <c r="BQ48" i="12"/>
  <c r="BA48" i="12"/>
  <c r="AK48" i="12"/>
  <c r="CG67" i="12"/>
  <c r="BQ67" i="12"/>
  <c r="AK67" i="12"/>
  <c r="BA67" i="12"/>
  <c r="CG7" i="12"/>
  <c r="BQ7" i="12"/>
  <c r="BA7" i="12"/>
  <c r="AK7" i="12"/>
  <c r="CG17" i="12"/>
  <c r="BQ17" i="12"/>
  <c r="BA17" i="12"/>
  <c r="AK17" i="12"/>
  <c r="CF64" i="12"/>
  <c r="BP64" i="12"/>
  <c r="AZ64" i="12"/>
  <c r="AJ64" i="12"/>
  <c r="CF26" i="12"/>
  <c r="BP26" i="12"/>
  <c r="AJ26" i="12"/>
  <c r="AZ26" i="12"/>
  <c r="CF50" i="12"/>
  <c r="BP50" i="12"/>
  <c r="AJ50" i="12"/>
  <c r="AZ50" i="12"/>
  <c r="CF7" i="12"/>
  <c r="BP7" i="12"/>
  <c r="AZ7" i="12"/>
  <c r="AJ7" i="12"/>
  <c r="CF29" i="12"/>
  <c r="BP29" i="12"/>
  <c r="AZ29" i="12"/>
  <c r="AJ29" i="12"/>
  <c r="CF57" i="12"/>
  <c r="BP57" i="12"/>
  <c r="AZ57" i="12"/>
  <c r="AJ57" i="12"/>
  <c r="CF91" i="12"/>
  <c r="BP91" i="12"/>
  <c r="AZ91" i="12"/>
  <c r="AJ91" i="12"/>
  <c r="CF99" i="12"/>
  <c r="BP99" i="12"/>
  <c r="AZ99" i="12"/>
  <c r="AJ99" i="12"/>
  <c r="CF107" i="12"/>
  <c r="BG108" i="13" s="1"/>
  <c r="BP107" i="12"/>
  <c r="AQ108" i="13" s="1"/>
  <c r="AZ107" i="12"/>
  <c r="AA108" i="13" s="1"/>
  <c r="AJ107" i="12"/>
  <c r="K108" i="13" s="1"/>
  <c r="CF115" i="12"/>
  <c r="BG116" i="13" s="1"/>
  <c r="BP115" i="12"/>
  <c r="AQ116" i="13" s="1"/>
  <c r="AZ115" i="12"/>
  <c r="AA116" i="13" s="1"/>
  <c r="AJ115" i="12"/>
  <c r="K116" i="13" s="1"/>
  <c r="CF70" i="12"/>
  <c r="BP70" i="12"/>
  <c r="AZ70" i="12"/>
  <c r="AJ70" i="12"/>
  <c r="CG93" i="12"/>
  <c r="BQ93" i="12"/>
  <c r="BA93" i="12"/>
  <c r="AK93" i="12"/>
  <c r="CG101" i="12"/>
  <c r="BQ101" i="12"/>
  <c r="BA101" i="12"/>
  <c r="AK101" i="12"/>
  <c r="CG109" i="12"/>
  <c r="BQ109" i="12"/>
  <c r="BA109" i="12"/>
  <c r="AK109" i="12"/>
  <c r="CG117" i="12"/>
  <c r="BH118" i="13" s="1"/>
  <c r="BQ117" i="12"/>
  <c r="AR118" i="13" s="1"/>
  <c r="BA117" i="12"/>
  <c r="AB118" i="13" s="1"/>
  <c r="AK117" i="12"/>
  <c r="L118" i="13" s="1"/>
  <c r="CI31" i="12"/>
  <c r="BS31" i="12"/>
  <c r="BC31" i="12"/>
  <c r="AM31" i="12"/>
  <c r="CI108" i="12"/>
  <c r="BS108" i="12"/>
  <c r="BC108" i="12"/>
  <c r="AM108" i="12"/>
  <c r="CI100" i="12"/>
  <c r="BS100" i="12"/>
  <c r="BC100" i="12"/>
  <c r="AM100" i="12"/>
  <c r="CI92" i="12"/>
  <c r="BS92" i="12"/>
  <c r="BC92" i="12"/>
  <c r="AM92" i="12"/>
  <c r="CI11" i="12"/>
  <c r="BS11" i="12"/>
  <c r="AM11" i="12"/>
  <c r="BC11" i="12"/>
  <c r="CI83" i="12"/>
  <c r="BS83" i="12"/>
  <c r="BC83" i="12"/>
  <c r="AM83" i="12"/>
  <c r="CI75" i="12"/>
  <c r="BS75" i="12"/>
  <c r="BC75" i="12"/>
  <c r="AM75" i="12"/>
  <c r="CI67" i="12"/>
  <c r="BS67" i="12"/>
  <c r="BC67" i="12"/>
  <c r="AM67" i="12"/>
  <c r="CI59" i="12"/>
  <c r="BS59" i="12"/>
  <c r="BC59" i="12"/>
  <c r="AM59" i="12"/>
  <c r="CI27" i="12"/>
  <c r="BS27" i="12"/>
  <c r="BC27" i="12"/>
  <c r="AM27" i="12"/>
  <c r="CI16" i="12"/>
  <c r="BS16" i="12"/>
  <c r="AM16" i="12"/>
  <c r="BC16" i="12"/>
  <c r="CI29" i="12"/>
  <c r="BS29" i="12"/>
  <c r="BC29" i="12"/>
  <c r="AM29" i="12"/>
  <c r="CI49" i="12"/>
  <c r="BS49" i="12"/>
  <c r="BC49" i="12"/>
  <c r="AM49" i="12"/>
  <c r="CI26" i="12"/>
  <c r="BS26" i="12"/>
  <c r="BC26" i="12"/>
  <c r="AM26" i="12"/>
  <c r="CA45" i="12"/>
  <c r="BK45" i="12"/>
  <c r="AU45" i="12"/>
  <c r="AE45" i="12"/>
  <c r="CA115" i="12"/>
  <c r="BB116" i="13" s="1"/>
  <c r="BK115" i="12"/>
  <c r="AL116" i="13" s="1"/>
  <c r="AU115" i="12"/>
  <c r="V116" i="13" s="1"/>
  <c r="CA107" i="12"/>
  <c r="BB108" i="13" s="1"/>
  <c r="BK107" i="12"/>
  <c r="AL108" i="13" s="1"/>
  <c r="AU107" i="12"/>
  <c r="V108" i="13" s="1"/>
  <c r="CA99" i="12"/>
  <c r="BB100" i="13" s="1"/>
  <c r="BK99" i="12"/>
  <c r="AL100" i="13" s="1"/>
  <c r="AU99" i="12"/>
  <c r="V100" i="13" s="1"/>
  <c r="AE99" i="12"/>
  <c r="F100" i="13" s="1"/>
  <c r="CA91" i="12"/>
  <c r="BB92" i="13" s="1"/>
  <c r="BK91" i="12"/>
  <c r="AL92" i="13" s="1"/>
  <c r="AU91" i="12"/>
  <c r="V92" i="13" s="1"/>
  <c r="AE91" i="12"/>
  <c r="F92" i="13" s="1"/>
  <c r="CA86" i="12"/>
  <c r="BB87" i="13" s="1"/>
  <c r="BK86" i="12"/>
  <c r="AL87" i="13" s="1"/>
  <c r="AU86" i="12"/>
  <c r="V87" i="13" s="1"/>
  <c r="AE86" i="12"/>
  <c r="F87" i="13" s="1"/>
  <c r="CA78" i="12"/>
  <c r="BB79" i="13" s="1"/>
  <c r="BK78" i="12"/>
  <c r="AL79" i="13" s="1"/>
  <c r="AU78" i="12"/>
  <c r="V79" i="13" s="1"/>
  <c r="AE78" i="12"/>
  <c r="F79" i="13" s="1"/>
  <c r="CA70" i="12"/>
  <c r="BB71" i="13" s="1"/>
  <c r="BK70" i="12"/>
  <c r="AL71" i="13" s="1"/>
  <c r="AU70" i="12"/>
  <c r="V71" i="13" s="1"/>
  <c r="AE70" i="12"/>
  <c r="F71" i="13" s="1"/>
  <c r="CA62" i="12"/>
  <c r="BB63" i="13" s="1"/>
  <c r="BK62" i="12"/>
  <c r="AL63" i="13" s="1"/>
  <c r="AU62" i="12"/>
  <c r="V63" i="13" s="1"/>
  <c r="AE62" i="12"/>
  <c r="F63" i="13" s="1"/>
  <c r="CA41" i="12"/>
  <c r="BK41" i="12"/>
  <c r="AU41" i="12"/>
  <c r="AE41" i="12"/>
  <c r="CA16" i="12"/>
  <c r="BK16" i="12"/>
  <c r="AE16" i="12"/>
  <c r="AU16" i="12"/>
  <c r="CA21" i="12"/>
  <c r="BK21" i="12"/>
  <c r="AU21" i="12"/>
  <c r="AE21" i="12"/>
  <c r="CA47" i="12"/>
  <c r="BK47" i="12"/>
  <c r="AU47" i="12"/>
  <c r="AE47" i="12"/>
  <c r="CA18" i="12"/>
  <c r="BK18" i="12"/>
  <c r="AU18" i="12"/>
  <c r="AE18" i="12"/>
  <c r="CA27" i="12"/>
  <c r="BK27" i="12"/>
  <c r="AU27" i="12"/>
  <c r="AE27" i="12"/>
  <c r="BZ91" i="12"/>
  <c r="BA92" i="13" s="1"/>
  <c r="BJ91" i="12"/>
  <c r="AK92" i="13" s="1"/>
  <c r="AT91" i="12"/>
  <c r="U92" i="13" s="1"/>
  <c r="BZ87" i="12"/>
  <c r="BA88" i="13" s="1"/>
  <c r="BJ87" i="12"/>
  <c r="AK88" i="13" s="1"/>
  <c r="AT87" i="12"/>
  <c r="U88" i="13" s="1"/>
  <c r="BZ54" i="12"/>
  <c r="BA55" i="13" s="1"/>
  <c r="BJ54" i="12"/>
  <c r="AK55" i="13" s="1"/>
  <c r="AT54" i="12"/>
  <c r="U55" i="13" s="1"/>
  <c r="AD54" i="12"/>
  <c r="E55" i="13" s="1"/>
  <c r="BZ79" i="12"/>
  <c r="BA80" i="13" s="1"/>
  <c r="BJ79" i="12"/>
  <c r="AK80" i="13" s="1"/>
  <c r="AT79" i="12"/>
  <c r="U80" i="13" s="1"/>
  <c r="AD79" i="12"/>
  <c r="E80" i="13" s="1"/>
  <c r="BZ71" i="12"/>
  <c r="BA72" i="13" s="1"/>
  <c r="BJ71" i="12"/>
  <c r="AK72" i="13" s="1"/>
  <c r="AT71" i="12"/>
  <c r="U72" i="13" s="1"/>
  <c r="AD71" i="12"/>
  <c r="E72" i="13" s="1"/>
  <c r="BZ63" i="12"/>
  <c r="BA64" i="13" s="1"/>
  <c r="BJ63" i="12"/>
  <c r="AK64" i="13" s="1"/>
  <c r="AT63" i="12"/>
  <c r="U64" i="13" s="1"/>
  <c r="AD63" i="12"/>
  <c r="E64" i="13" s="1"/>
  <c r="BZ55" i="12"/>
  <c r="BA56" i="13" s="1"/>
  <c r="BJ55" i="12"/>
  <c r="AK56" i="13" s="1"/>
  <c r="AT55" i="12"/>
  <c r="U56" i="13" s="1"/>
  <c r="AD55" i="12"/>
  <c r="E56" i="13" s="1"/>
  <c r="BZ42" i="12"/>
  <c r="BA43" i="13" s="1"/>
  <c r="BJ42" i="12"/>
  <c r="AK43" i="13" s="1"/>
  <c r="AT42" i="12"/>
  <c r="U43" i="13" s="1"/>
  <c r="AD42" i="12"/>
  <c r="E43" i="13" s="1"/>
  <c r="BZ34" i="12"/>
  <c r="BJ34" i="12"/>
  <c r="AT34" i="12"/>
  <c r="AD34" i="12"/>
  <c r="BZ26" i="12"/>
  <c r="BJ26" i="12"/>
  <c r="AT26" i="12"/>
  <c r="AD26" i="12"/>
  <c r="BZ18" i="12"/>
  <c r="BJ18" i="12"/>
  <c r="AT18" i="12"/>
  <c r="AD18" i="12"/>
  <c r="BZ10" i="12"/>
  <c r="BJ10" i="12"/>
  <c r="AT10" i="12"/>
  <c r="AD10" i="12"/>
  <c r="BW74" i="12"/>
  <c r="AX75" i="13" s="1"/>
  <c r="BW66" i="12"/>
  <c r="AX67" i="13" s="1"/>
  <c r="BW58" i="12"/>
  <c r="AX59" i="13" s="1"/>
  <c r="BG58" i="12"/>
  <c r="AH59" i="13" s="1"/>
  <c r="BW52" i="12"/>
  <c r="AX53" i="13" s="1"/>
  <c r="BG52" i="12"/>
  <c r="AH53" i="13" s="1"/>
  <c r="BW14" i="12"/>
  <c r="AX15" i="13" s="1"/>
  <c r="BG14" i="12"/>
  <c r="AH15" i="13" s="1"/>
  <c r="AQ14" i="12"/>
  <c r="R15" i="13" s="1"/>
  <c r="AA14" i="12"/>
  <c r="B15" i="13" s="1"/>
  <c r="BW19" i="12"/>
  <c r="AX20" i="13" s="1"/>
  <c r="BG19" i="12"/>
  <c r="AH20" i="13" s="1"/>
  <c r="AQ19" i="12"/>
  <c r="R20" i="13" s="1"/>
  <c r="BW32" i="12"/>
  <c r="AX33" i="13" s="1"/>
  <c r="BG32" i="12"/>
  <c r="AH33" i="13" s="1"/>
  <c r="AQ32" i="12"/>
  <c r="R33" i="13" s="1"/>
  <c r="BW41" i="12"/>
  <c r="AX42" i="13" s="1"/>
  <c r="BG41" i="12"/>
  <c r="AH42" i="13" s="1"/>
  <c r="BW9" i="12"/>
  <c r="AX10" i="13" s="1"/>
  <c r="BG9" i="12"/>
  <c r="AH10" i="13" s="1"/>
  <c r="AA9" i="12"/>
  <c r="B10" i="13" s="1"/>
  <c r="AQ9" i="12"/>
  <c r="R10" i="13" s="1"/>
  <c r="CL81" i="12"/>
  <c r="BV81" i="12"/>
  <c r="BF81" i="12"/>
  <c r="AP81" i="12"/>
  <c r="CL118" i="12"/>
  <c r="BV118" i="12"/>
  <c r="BF118" i="12"/>
  <c r="AP118" i="12"/>
  <c r="CL110" i="12"/>
  <c r="BV110" i="12"/>
  <c r="BF110" i="12"/>
  <c r="AP110" i="12"/>
  <c r="CL102" i="12"/>
  <c r="BV102" i="12"/>
  <c r="BF102" i="12"/>
  <c r="AP102" i="12"/>
  <c r="CL94" i="12"/>
  <c r="BV94" i="12"/>
  <c r="BF94" i="12"/>
  <c r="AP94" i="12"/>
  <c r="CL53" i="12"/>
  <c r="BF53" i="12"/>
  <c r="AP53" i="12"/>
  <c r="BV53" i="12"/>
  <c r="CL70" i="12"/>
  <c r="BV70" i="12"/>
  <c r="BF70" i="12"/>
  <c r="AP70" i="12"/>
  <c r="CL62" i="12"/>
  <c r="BV62" i="12"/>
  <c r="BF62" i="12"/>
  <c r="AP62" i="12"/>
  <c r="CL54" i="12"/>
  <c r="BV54" i="12"/>
  <c r="BF54" i="12"/>
  <c r="AP54" i="12"/>
  <c r="CL45" i="12"/>
  <c r="BF45" i="12"/>
  <c r="AP45" i="12"/>
  <c r="BV45" i="12"/>
  <c r="CL13" i="12"/>
  <c r="BF13" i="12"/>
  <c r="AP13" i="12"/>
  <c r="BV13" i="12"/>
  <c r="CL22" i="12"/>
  <c r="BV22" i="12"/>
  <c r="BF22" i="12"/>
  <c r="AP22" i="12"/>
  <c r="CL35" i="12"/>
  <c r="BV35" i="12"/>
  <c r="BF35" i="12"/>
  <c r="AP35" i="12"/>
  <c r="CL36" i="12"/>
  <c r="BF36" i="12"/>
  <c r="AP36" i="12"/>
  <c r="BV36" i="12"/>
  <c r="BX55" i="12"/>
  <c r="AY56" i="13" s="1"/>
  <c r="BH55" i="12"/>
  <c r="AI56" i="13" s="1"/>
  <c r="AR55" i="12"/>
  <c r="S56" i="13" s="1"/>
  <c r="BY117" i="12"/>
  <c r="AZ118" i="13" s="1"/>
  <c r="BI117" i="12"/>
  <c r="AJ118" i="13" s="1"/>
  <c r="AS117" i="12"/>
  <c r="T118" i="13" s="1"/>
  <c r="BY109" i="12"/>
  <c r="AZ110" i="13" s="1"/>
  <c r="BI109" i="12"/>
  <c r="AJ110" i="13" s="1"/>
  <c r="AS109" i="12"/>
  <c r="T110" i="13" s="1"/>
  <c r="BY101" i="12"/>
  <c r="AZ102" i="13" s="1"/>
  <c r="BI101" i="12"/>
  <c r="AJ102" i="13" s="1"/>
  <c r="AS101" i="12"/>
  <c r="T102" i="13" s="1"/>
  <c r="BY93" i="12"/>
  <c r="AZ94" i="13" s="1"/>
  <c r="BI93" i="12"/>
  <c r="AJ94" i="13" s="1"/>
  <c r="AS93" i="12"/>
  <c r="T94" i="13" s="1"/>
  <c r="BY86" i="12"/>
  <c r="AZ87" i="13" s="1"/>
  <c r="BI86" i="12"/>
  <c r="AJ87" i="13" s="1"/>
  <c r="AS86" i="12"/>
  <c r="T87" i="13" s="1"/>
  <c r="BY7" i="12"/>
  <c r="BI7" i="12"/>
  <c r="AS7" i="12"/>
  <c r="AC7" i="12"/>
  <c r="BY48" i="12"/>
  <c r="AZ49" i="13" s="1"/>
  <c r="BI48" i="12"/>
  <c r="AJ49" i="13" s="1"/>
  <c r="AS48" i="12"/>
  <c r="T49" i="13" s="1"/>
  <c r="AC48" i="12"/>
  <c r="D49" i="13" s="1"/>
  <c r="BY79" i="12"/>
  <c r="AZ80" i="13" s="1"/>
  <c r="BI79" i="12"/>
  <c r="AJ80" i="13" s="1"/>
  <c r="AS79" i="12"/>
  <c r="T80" i="13" s="1"/>
  <c r="BY71" i="12"/>
  <c r="AZ72" i="13" s="1"/>
  <c r="BI71" i="12"/>
  <c r="AJ72" i="13" s="1"/>
  <c r="AS71" i="12"/>
  <c r="T72" i="13" s="1"/>
  <c r="BY63" i="12"/>
  <c r="AZ64" i="13" s="1"/>
  <c r="BI63" i="12"/>
  <c r="AJ64" i="13" s="1"/>
  <c r="AS63" i="12"/>
  <c r="T64" i="13" s="1"/>
  <c r="BY55" i="12"/>
  <c r="AZ56" i="13" s="1"/>
  <c r="BI55" i="12"/>
  <c r="AJ56" i="13" s="1"/>
  <c r="AS55" i="12"/>
  <c r="T56" i="13" s="1"/>
  <c r="AC55" i="12"/>
  <c r="D56" i="13" s="1"/>
  <c r="BY20" i="12"/>
  <c r="BI20" i="12"/>
  <c r="AS20" i="12"/>
  <c r="AC20" i="12"/>
  <c r="BI29" i="12"/>
  <c r="AJ30" i="13" s="1"/>
  <c r="BY29" i="12"/>
  <c r="AZ30" i="13" s="1"/>
  <c r="AC29" i="12"/>
  <c r="D30" i="13" s="1"/>
  <c r="AS29" i="12"/>
  <c r="T30" i="13" s="1"/>
  <c r="BY38" i="12"/>
  <c r="AZ39" i="13" s="1"/>
  <c r="BI38" i="12"/>
  <c r="AJ39" i="13" s="1"/>
  <c r="AC38" i="12"/>
  <c r="D39" i="13" s="1"/>
  <c r="AS38" i="12"/>
  <c r="T39" i="13" s="1"/>
  <c r="BY6" i="12"/>
  <c r="BI6" i="12"/>
  <c r="AC6" i="12"/>
  <c r="AS6" i="12"/>
  <c r="CE116" i="12"/>
  <c r="BF117" i="13" s="1"/>
  <c r="BO116" i="12"/>
  <c r="AP117" i="13" s="1"/>
  <c r="AY116" i="12"/>
  <c r="Z117" i="13" s="1"/>
  <c r="AI116" i="12"/>
  <c r="J117" i="13" s="1"/>
  <c r="CE108" i="12"/>
  <c r="BF109" i="13" s="1"/>
  <c r="BO108" i="12"/>
  <c r="AP109" i="13" s="1"/>
  <c r="AY108" i="12"/>
  <c r="Z109" i="13" s="1"/>
  <c r="AI108" i="12"/>
  <c r="J109" i="13" s="1"/>
  <c r="CE100" i="12"/>
  <c r="BF101" i="13" s="1"/>
  <c r="BO100" i="12"/>
  <c r="AP101" i="13" s="1"/>
  <c r="AY100" i="12"/>
  <c r="Z101" i="13" s="1"/>
  <c r="AI100" i="12"/>
  <c r="J101" i="13" s="1"/>
  <c r="CE92" i="12"/>
  <c r="BF93" i="13" s="1"/>
  <c r="BO92" i="12"/>
  <c r="AP93" i="13" s="1"/>
  <c r="AY92" i="12"/>
  <c r="Z93" i="13" s="1"/>
  <c r="AI92" i="12"/>
  <c r="J93" i="13" s="1"/>
  <c r="CE81" i="12"/>
  <c r="BO81" i="12"/>
  <c r="AY81" i="12"/>
  <c r="AI81" i="12"/>
  <c r="CE73" i="12"/>
  <c r="BO73" i="12"/>
  <c r="AY73" i="12"/>
  <c r="AI73" i="12"/>
  <c r="CE65" i="12"/>
  <c r="BO65" i="12"/>
  <c r="AY65" i="12"/>
  <c r="AI65" i="12"/>
  <c r="CE57" i="12"/>
  <c r="BO57" i="12"/>
  <c r="AY57" i="12"/>
  <c r="AI57" i="12"/>
  <c r="CE41" i="12"/>
  <c r="BO41" i="12"/>
  <c r="AY41" i="12"/>
  <c r="AI41" i="12"/>
  <c r="CE38" i="12"/>
  <c r="BO38" i="12"/>
  <c r="AY38" i="12"/>
  <c r="AI38" i="12"/>
  <c r="CE6" i="12"/>
  <c r="BO6" i="12"/>
  <c r="AY6" i="12"/>
  <c r="AI6" i="12"/>
  <c r="CE15" i="12"/>
  <c r="BO15" i="12"/>
  <c r="AY15" i="12"/>
  <c r="AI15" i="12"/>
  <c r="CE24" i="12"/>
  <c r="BO24" i="12"/>
  <c r="AY24" i="12"/>
  <c r="AI24" i="12"/>
  <c r="CE29" i="12"/>
  <c r="BO29" i="12"/>
  <c r="AY29" i="12"/>
  <c r="AI29" i="12"/>
  <c r="BZ96" i="12"/>
  <c r="BA97" i="13" s="1"/>
  <c r="BJ96" i="12"/>
  <c r="AK97" i="13" s="1"/>
  <c r="AT96" i="12"/>
  <c r="U97" i="13" s="1"/>
  <c r="CL3" i="12"/>
  <c r="BV3" i="12"/>
  <c r="BF3" i="12"/>
  <c r="AP3" i="12"/>
  <c r="BX118" i="12"/>
  <c r="AY119" i="13" s="1"/>
  <c r="BH118" i="12"/>
  <c r="AI119" i="13" s="1"/>
  <c r="BX110" i="12"/>
  <c r="AY111" i="13" s="1"/>
  <c r="BH110" i="12"/>
  <c r="AI111" i="13" s="1"/>
  <c r="BX102" i="12"/>
  <c r="AY103" i="13" s="1"/>
  <c r="BH102" i="12"/>
  <c r="AI103" i="13" s="1"/>
  <c r="BX94" i="12"/>
  <c r="AY95" i="13" s="1"/>
  <c r="BH94" i="12"/>
  <c r="AI95" i="13" s="1"/>
  <c r="BX62" i="12"/>
  <c r="AY63" i="13" s="1"/>
  <c r="BH62" i="12"/>
  <c r="AI63" i="13" s="1"/>
  <c r="AR62" i="12"/>
  <c r="S63" i="13" s="1"/>
  <c r="BX57" i="12"/>
  <c r="AY58" i="13" s="1"/>
  <c r="BH57" i="12"/>
  <c r="AI58" i="13" s="1"/>
  <c r="AR57" i="12"/>
  <c r="S58" i="13" s="1"/>
  <c r="BX56" i="12"/>
  <c r="AY57" i="13" s="1"/>
  <c r="BH56" i="12"/>
  <c r="AI57" i="13" s="1"/>
  <c r="AR56" i="12"/>
  <c r="S57" i="13" s="1"/>
  <c r="BX49" i="12"/>
  <c r="AY50" i="13" s="1"/>
  <c r="BH49" i="12"/>
  <c r="AI50" i="13" s="1"/>
  <c r="AR49" i="12"/>
  <c r="S50" i="13" s="1"/>
  <c r="BX35" i="12"/>
  <c r="AY36" i="13" s="1"/>
  <c r="BH35" i="12"/>
  <c r="AI36" i="13" s="1"/>
  <c r="AB35" i="12"/>
  <c r="C36" i="13" s="1"/>
  <c r="AR35" i="12"/>
  <c r="S36" i="13" s="1"/>
  <c r="BX5" i="12"/>
  <c r="BH5" i="12"/>
  <c r="AR5" i="12"/>
  <c r="AB5" i="12"/>
  <c r="BX12" i="12"/>
  <c r="BH12" i="12"/>
  <c r="AR12" i="12"/>
  <c r="AB12" i="12"/>
  <c r="BX21" i="12"/>
  <c r="AY22" i="13" s="1"/>
  <c r="BH21" i="12"/>
  <c r="AI22" i="13" s="1"/>
  <c r="AB21" i="12"/>
  <c r="C22" i="13" s="1"/>
  <c r="AR21" i="12"/>
  <c r="S22" i="13" s="1"/>
  <c r="BX30" i="12"/>
  <c r="AY31" i="13" s="1"/>
  <c r="BH30" i="12"/>
  <c r="AI31" i="13" s="1"/>
  <c r="AB30" i="12"/>
  <c r="C31" i="13" s="1"/>
  <c r="AR30" i="12"/>
  <c r="S31" i="13" s="1"/>
  <c r="BN89" i="12"/>
  <c r="AO90" i="13" s="1"/>
  <c r="AX89" i="12"/>
  <c r="Y90" i="13" s="1"/>
  <c r="AH89" i="12"/>
  <c r="I90" i="13" s="1"/>
  <c r="CD89" i="12"/>
  <c r="BE90" i="13" s="1"/>
  <c r="CD117" i="12"/>
  <c r="BE118" i="13" s="1"/>
  <c r="BN117" i="12"/>
  <c r="AO118" i="13" s="1"/>
  <c r="AX117" i="12"/>
  <c r="Y118" i="13" s="1"/>
  <c r="AH117" i="12"/>
  <c r="I118" i="13" s="1"/>
  <c r="BN109" i="12"/>
  <c r="AO110" i="13" s="1"/>
  <c r="AX109" i="12"/>
  <c r="Y110" i="13" s="1"/>
  <c r="CD109" i="12"/>
  <c r="BE110" i="13" s="1"/>
  <c r="AH109" i="12"/>
  <c r="I110" i="13" s="1"/>
  <c r="CD101" i="12"/>
  <c r="BE102" i="13" s="1"/>
  <c r="BN101" i="12"/>
  <c r="AO102" i="13" s="1"/>
  <c r="AX101" i="12"/>
  <c r="Y102" i="13" s="1"/>
  <c r="AH101" i="12"/>
  <c r="I102" i="13" s="1"/>
  <c r="BN93" i="12"/>
  <c r="AO94" i="13" s="1"/>
  <c r="AX93" i="12"/>
  <c r="Y94" i="13" s="1"/>
  <c r="AH93" i="12"/>
  <c r="I94" i="13" s="1"/>
  <c r="CD93" i="12"/>
  <c r="BE94" i="13" s="1"/>
  <c r="CD84" i="12"/>
  <c r="BE85" i="13" s="1"/>
  <c r="BN84" i="12"/>
  <c r="AO85" i="13" s="1"/>
  <c r="AX84" i="12"/>
  <c r="Y85" i="13" s="1"/>
  <c r="AH84" i="12"/>
  <c r="I85" i="13" s="1"/>
  <c r="CD75" i="12"/>
  <c r="AX75" i="12"/>
  <c r="AH75" i="12"/>
  <c r="BN75" i="12"/>
  <c r="AX67" i="12"/>
  <c r="AH67" i="12"/>
  <c r="CD67" i="12"/>
  <c r="BN67" i="12"/>
  <c r="CD59" i="12"/>
  <c r="AX59" i="12"/>
  <c r="AH59" i="12"/>
  <c r="BN59" i="12"/>
  <c r="AX51" i="12"/>
  <c r="AH51" i="12"/>
  <c r="CD51" i="12"/>
  <c r="BN51" i="12"/>
  <c r="AX50" i="12"/>
  <c r="AH50" i="12"/>
  <c r="CD50" i="12"/>
  <c r="BN50" i="12"/>
  <c r="CD30" i="12"/>
  <c r="AX30" i="12"/>
  <c r="AH30" i="12"/>
  <c r="BN30" i="12"/>
  <c r="CD43" i="12"/>
  <c r="AX43" i="12"/>
  <c r="AH43" i="12"/>
  <c r="BN43" i="12"/>
  <c r="CD11" i="12"/>
  <c r="AX11" i="12"/>
  <c r="AH11" i="12"/>
  <c r="BN11" i="12"/>
  <c r="CD20" i="12"/>
  <c r="BN20" i="12"/>
  <c r="AX20" i="12"/>
  <c r="AH20" i="12"/>
  <c r="BU3" i="12"/>
  <c r="BE3" i="12"/>
  <c r="CK3" i="12"/>
  <c r="AO3" i="12"/>
  <c r="CK83" i="12"/>
  <c r="BU83" i="12"/>
  <c r="AO83" i="12"/>
  <c r="BE83" i="12"/>
  <c r="CK121" i="12"/>
  <c r="BU121" i="12"/>
  <c r="BE121" i="12"/>
  <c r="AO121" i="12"/>
  <c r="CK113" i="12"/>
  <c r="BU113" i="12"/>
  <c r="BE113" i="12"/>
  <c r="AO113" i="12"/>
  <c r="CK105" i="12"/>
  <c r="BU105" i="12"/>
  <c r="BE105" i="12"/>
  <c r="AO105" i="12"/>
  <c r="CK97" i="12"/>
  <c r="BU97" i="12"/>
  <c r="BE97" i="12"/>
  <c r="AO97" i="12"/>
  <c r="CK89" i="12"/>
  <c r="BU89" i="12"/>
  <c r="BE89" i="12"/>
  <c r="AO89" i="12"/>
  <c r="CK16" i="12"/>
  <c r="BE16" i="12"/>
  <c r="AO16" i="12"/>
  <c r="BU16" i="12"/>
  <c r="CK70" i="12"/>
  <c r="BU70" i="12"/>
  <c r="BE70" i="12"/>
  <c r="AO70" i="12"/>
  <c r="CK62" i="12"/>
  <c r="BU62" i="12"/>
  <c r="BE62" i="12"/>
  <c r="AO62" i="12"/>
  <c r="CK54" i="12"/>
  <c r="BU54" i="12"/>
  <c r="BE54" i="12"/>
  <c r="AO54" i="12"/>
  <c r="CK40" i="12"/>
  <c r="AO40" i="12"/>
  <c r="BU40" i="12"/>
  <c r="BE40" i="12"/>
  <c r="CK25" i="12"/>
  <c r="BU25" i="12"/>
  <c r="AO25" i="12"/>
  <c r="BE25" i="12"/>
  <c r="CK30" i="12"/>
  <c r="BU30" i="12"/>
  <c r="AO30" i="12"/>
  <c r="BE30" i="12"/>
  <c r="CK43" i="12"/>
  <c r="AO43" i="12"/>
  <c r="BU43" i="12"/>
  <c r="BE43" i="12"/>
  <c r="CK11" i="12"/>
  <c r="BU11" i="12"/>
  <c r="BE11" i="12"/>
  <c r="AO11" i="12"/>
  <c r="BZ105" i="12"/>
  <c r="BA106" i="13" s="1"/>
  <c r="BJ105" i="12"/>
  <c r="AK106" i="13" s="1"/>
  <c r="AT105" i="12"/>
  <c r="U106" i="13" s="1"/>
  <c r="CC121" i="12"/>
  <c r="BD122" i="13" s="1"/>
  <c r="BM121" i="12"/>
  <c r="AN122" i="13" s="1"/>
  <c r="AW121" i="12"/>
  <c r="X122" i="13" s="1"/>
  <c r="AG121" i="12"/>
  <c r="H122" i="13" s="1"/>
  <c r="CC113" i="12"/>
  <c r="BD114" i="13" s="1"/>
  <c r="BM113" i="12"/>
  <c r="AN114" i="13" s="1"/>
  <c r="AW113" i="12"/>
  <c r="X114" i="13" s="1"/>
  <c r="AG113" i="12"/>
  <c r="H114" i="13" s="1"/>
  <c r="CC105" i="12"/>
  <c r="BD106" i="13" s="1"/>
  <c r="BM105" i="12"/>
  <c r="AN106" i="13" s="1"/>
  <c r="AW105" i="12"/>
  <c r="X106" i="13" s="1"/>
  <c r="AG105" i="12"/>
  <c r="H106" i="13" s="1"/>
  <c r="CC97" i="12"/>
  <c r="BD98" i="13" s="1"/>
  <c r="BM97" i="12"/>
  <c r="AN98" i="13" s="1"/>
  <c r="AW97" i="12"/>
  <c r="X98" i="13" s="1"/>
  <c r="AG97" i="12"/>
  <c r="H98" i="13" s="1"/>
  <c r="CC53" i="12"/>
  <c r="BM53" i="12"/>
  <c r="AW53" i="12"/>
  <c r="AG53" i="12"/>
  <c r="BM72" i="12"/>
  <c r="AN73" i="13" s="1"/>
  <c r="CC72" i="12"/>
  <c r="BD73" i="13" s="1"/>
  <c r="AW72" i="12"/>
  <c r="X73" i="13" s="1"/>
  <c r="AG72" i="12"/>
  <c r="H73" i="13" s="1"/>
  <c r="BM64" i="12"/>
  <c r="CC64" i="12"/>
  <c r="AW64" i="12"/>
  <c r="AG64" i="12"/>
  <c r="BM56" i="12"/>
  <c r="CC56" i="12"/>
  <c r="AW56" i="12"/>
  <c r="AG56" i="12"/>
  <c r="BM52" i="12"/>
  <c r="AW52" i="12"/>
  <c r="CC52" i="12"/>
  <c r="AG52" i="12"/>
  <c r="CC21" i="12"/>
  <c r="BM21" i="12"/>
  <c r="AW21" i="12"/>
  <c r="AG21" i="12"/>
  <c r="CC22" i="12"/>
  <c r="BM22" i="12"/>
  <c r="AW22" i="12"/>
  <c r="AG22" i="12"/>
  <c r="CC35" i="12"/>
  <c r="BM35" i="12"/>
  <c r="AW35" i="12"/>
  <c r="AG35" i="12"/>
  <c r="CC40" i="12"/>
  <c r="BM40" i="12"/>
  <c r="AW40" i="12"/>
  <c r="AG40" i="12"/>
  <c r="CC8" i="12"/>
  <c r="BM8" i="12"/>
  <c r="AW8" i="12"/>
  <c r="AG8" i="12"/>
  <c r="CB119" i="12"/>
  <c r="BC120" i="13" s="1"/>
  <c r="BL119" i="12"/>
  <c r="AM120" i="13" s="1"/>
  <c r="AV119" i="12"/>
  <c r="W120" i="13" s="1"/>
  <c r="AF119" i="12"/>
  <c r="G120" i="13" s="1"/>
  <c r="CB111" i="12"/>
  <c r="BC112" i="13" s="1"/>
  <c r="BL111" i="12"/>
  <c r="AM112" i="13" s="1"/>
  <c r="AV111" i="12"/>
  <c r="W112" i="13" s="1"/>
  <c r="AF111" i="12"/>
  <c r="G112" i="13" s="1"/>
  <c r="CB103" i="12"/>
  <c r="BC104" i="13" s="1"/>
  <c r="BL103" i="12"/>
  <c r="AM104" i="13" s="1"/>
  <c r="AV103" i="12"/>
  <c r="W104" i="13" s="1"/>
  <c r="AF103" i="12"/>
  <c r="G104" i="13" s="1"/>
  <c r="CB95" i="12"/>
  <c r="BC96" i="13" s="1"/>
  <c r="BL95" i="12"/>
  <c r="AM96" i="13" s="1"/>
  <c r="AV95" i="12"/>
  <c r="W96" i="13" s="1"/>
  <c r="AF95" i="12"/>
  <c r="G96" i="13" s="1"/>
  <c r="CB12" i="12"/>
  <c r="BL12" i="12"/>
  <c r="AV12" i="12"/>
  <c r="AF12" i="12"/>
  <c r="CB81" i="12"/>
  <c r="BC82" i="13" s="1"/>
  <c r="BL81" i="12"/>
  <c r="AM82" i="13" s="1"/>
  <c r="AV81" i="12"/>
  <c r="W82" i="13" s="1"/>
  <c r="AF81" i="12"/>
  <c r="G82" i="13" s="1"/>
  <c r="CB73" i="12"/>
  <c r="BC74" i="13" s="1"/>
  <c r="BL73" i="12"/>
  <c r="AM74" i="13" s="1"/>
  <c r="AV73" i="12"/>
  <c r="W74" i="13" s="1"/>
  <c r="AF73" i="12"/>
  <c r="G74" i="13" s="1"/>
  <c r="CB65" i="12"/>
  <c r="BC66" i="13" s="1"/>
  <c r="BL65" i="12"/>
  <c r="AM66" i="13" s="1"/>
  <c r="AV65" i="12"/>
  <c r="W66" i="13" s="1"/>
  <c r="AF65" i="12"/>
  <c r="G66" i="13" s="1"/>
  <c r="CB57" i="12"/>
  <c r="BL57" i="12"/>
  <c r="AV57" i="12"/>
  <c r="AF57" i="12"/>
  <c r="CB32" i="12"/>
  <c r="BL32" i="12"/>
  <c r="AV32" i="12"/>
  <c r="AF32" i="12"/>
  <c r="BL17" i="12"/>
  <c r="AV17" i="12"/>
  <c r="AF17" i="12"/>
  <c r="CB17" i="12"/>
  <c r="CB49" i="12"/>
  <c r="BL49" i="12"/>
  <c r="AV49" i="12"/>
  <c r="AF49" i="12"/>
  <c r="CB26" i="12"/>
  <c r="BL26" i="12"/>
  <c r="AV26" i="12"/>
  <c r="AF26" i="12"/>
  <c r="CB39" i="12"/>
  <c r="BL39" i="12"/>
  <c r="AV39" i="12"/>
  <c r="AF39" i="12"/>
  <c r="CB7" i="12"/>
  <c r="BL7" i="12"/>
  <c r="AV7" i="12"/>
  <c r="AF7" i="12"/>
  <c r="CJ118" i="12"/>
  <c r="BT118" i="12"/>
  <c r="BD118" i="12"/>
  <c r="AN118" i="12"/>
  <c r="CJ110" i="12"/>
  <c r="BT110" i="12"/>
  <c r="BD110" i="12"/>
  <c r="AN110" i="12"/>
  <c r="CJ102" i="12"/>
  <c r="BT102" i="12"/>
  <c r="BD102" i="12"/>
  <c r="AN102" i="12"/>
  <c r="CJ94" i="12"/>
  <c r="BT94" i="12"/>
  <c r="BD94" i="12"/>
  <c r="AN94" i="12"/>
  <c r="CJ85" i="12"/>
  <c r="BT85" i="12"/>
  <c r="BD85" i="12"/>
  <c r="AN85" i="12"/>
  <c r="CJ77" i="12"/>
  <c r="BT77" i="12"/>
  <c r="BD77" i="12"/>
  <c r="AN77" i="12"/>
  <c r="CJ69" i="12"/>
  <c r="BT69" i="12"/>
  <c r="BD69" i="12"/>
  <c r="AN69" i="12"/>
  <c r="CJ61" i="12"/>
  <c r="BT61" i="12"/>
  <c r="BD61" i="12"/>
  <c r="AN61" i="12"/>
  <c r="CJ45" i="12"/>
  <c r="BT45" i="12"/>
  <c r="BD45" i="12"/>
  <c r="AN45" i="12"/>
  <c r="CJ20" i="12"/>
  <c r="BT20" i="12"/>
  <c r="BD20" i="12"/>
  <c r="AN20" i="12"/>
  <c r="CJ25" i="12"/>
  <c r="BT25" i="12"/>
  <c r="BD25" i="12"/>
  <c r="AN25" i="12"/>
  <c r="CJ50" i="12"/>
  <c r="BT50" i="12"/>
  <c r="BD50" i="12"/>
  <c r="AN50" i="12"/>
  <c r="CJ30" i="12"/>
  <c r="BT30" i="12"/>
  <c r="BD30" i="12"/>
  <c r="AN30" i="12"/>
  <c r="BT39" i="12"/>
  <c r="CJ39" i="12"/>
  <c r="BD39" i="12"/>
  <c r="AN39" i="12"/>
  <c r="BT7" i="12"/>
  <c r="BD7" i="12"/>
  <c r="CJ7" i="12"/>
  <c r="AN7" i="12"/>
  <c r="BZ122" i="12"/>
  <c r="BA123" i="13" s="1"/>
  <c r="BJ122" i="12"/>
  <c r="AK123" i="13" s="1"/>
  <c r="AT122" i="12"/>
  <c r="U123" i="13" s="1"/>
  <c r="CH99" i="12"/>
  <c r="BR99" i="12"/>
  <c r="BB99" i="12"/>
  <c r="AL99" i="12"/>
  <c r="BZ121" i="12"/>
  <c r="BA122" i="13" s="1"/>
  <c r="BJ121" i="12"/>
  <c r="AK122" i="13" s="1"/>
  <c r="AT121" i="12"/>
  <c r="U122" i="13" s="1"/>
  <c r="CF122" i="12"/>
  <c r="BG123" i="13" s="1"/>
  <c r="BP122" i="12"/>
  <c r="AQ123" i="13" s="1"/>
  <c r="AJ122" i="12"/>
  <c r="K123" i="13" s="1"/>
  <c r="AZ122" i="12"/>
  <c r="AA123" i="13" s="1"/>
  <c r="CH94" i="12"/>
  <c r="BR94" i="12"/>
  <c r="BB94" i="12"/>
  <c r="AL94" i="12"/>
  <c r="CG89" i="12"/>
  <c r="BQ89" i="12"/>
  <c r="BA89" i="12"/>
  <c r="AK89" i="12"/>
  <c r="BX120" i="12"/>
  <c r="AY121" i="13" s="1"/>
  <c r="BH120" i="12"/>
  <c r="AI121" i="13" s="1"/>
  <c r="CI80" i="12"/>
  <c r="BS80" i="12"/>
  <c r="BC80" i="12"/>
  <c r="AM80" i="12"/>
  <c r="CI17" i="12"/>
  <c r="BS17" i="12"/>
  <c r="AM17" i="12"/>
  <c r="BC17" i="12"/>
  <c r="CA43" i="12"/>
  <c r="BK43" i="12"/>
  <c r="AU43" i="12"/>
  <c r="AE43" i="12"/>
  <c r="CA36" i="12"/>
  <c r="BK36" i="12"/>
  <c r="AU36" i="12"/>
  <c r="AE36" i="12"/>
  <c r="BZ103" i="12"/>
  <c r="BA104" i="13" s="1"/>
  <c r="BJ103" i="12"/>
  <c r="AK104" i="13" s="1"/>
  <c r="AT103" i="12"/>
  <c r="U104" i="13" s="1"/>
  <c r="BZ47" i="12"/>
  <c r="BA48" i="13" s="1"/>
  <c r="BJ47" i="12"/>
  <c r="AK48" i="13" s="1"/>
  <c r="AT47" i="12"/>
  <c r="U48" i="13" s="1"/>
  <c r="AD47" i="12"/>
  <c r="E48" i="13" s="1"/>
  <c r="BZ7" i="12"/>
  <c r="BJ7" i="12"/>
  <c r="AD7" i="12"/>
  <c r="AT7" i="12"/>
  <c r="BW71" i="12"/>
  <c r="AX72" i="13" s="1"/>
  <c r="BW29" i="12"/>
  <c r="AX30" i="13" s="1"/>
  <c r="BG29" i="12"/>
  <c r="AH30" i="13" s="1"/>
  <c r="AQ29" i="12"/>
  <c r="R30" i="13" s="1"/>
  <c r="CL75" i="12"/>
  <c r="BV75" i="12"/>
  <c r="BF75" i="12"/>
  <c r="AP75" i="12"/>
  <c r="CL10" i="12"/>
  <c r="BF10" i="12"/>
  <c r="AP10" i="12"/>
  <c r="BV10" i="12"/>
  <c r="BY90" i="12"/>
  <c r="AZ91" i="13" s="1"/>
  <c r="BI90" i="12"/>
  <c r="AJ91" i="13" s="1"/>
  <c r="AS90" i="12"/>
  <c r="T91" i="13" s="1"/>
  <c r="BY8" i="12"/>
  <c r="BI8" i="12"/>
  <c r="AS8" i="12"/>
  <c r="AC8" i="12"/>
  <c r="CE87" i="12"/>
  <c r="BO87" i="12"/>
  <c r="AY87" i="12"/>
  <c r="AI87" i="12"/>
  <c r="CE54" i="12"/>
  <c r="BO54" i="12"/>
  <c r="AY54" i="12"/>
  <c r="AI54" i="12"/>
  <c r="CE44" i="12"/>
  <c r="BO44" i="12"/>
  <c r="AY44" i="12"/>
  <c r="AI44" i="12"/>
  <c r="BX83" i="12"/>
  <c r="AY84" i="13" s="1"/>
  <c r="BH83" i="12"/>
  <c r="AI84" i="13" s="1"/>
  <c r="BX76" i="12"/>
  <c r="AY77" i="13" s="1"/>
  <c r="BH76" i="12"/>
  <c r="AI77" i="13" s="1"/>
  <c r="AR76" i="12"/>
  <c r="S77" i="13" s="1"/>
  <c r="BX9" i="12"/>
  <c r="BH9" i="12"/>
  <c r="AR9" i="12"/>
  <c r="AB9" i="12"/>
  <c r="CD90" i="12"/>
  <c r="BE91" i="13" s="1"/>
  <c r="AX90" i="12"/>
  <c r="Y91" i="13" s="1"/>
  <c r="AH90" i="12"/>
  <c r="I91" i="13" s="1"/>
  <c r="BN90" i="12"/>
  <c r="AO91" i="13" s="1"/>
  <c r="CD41" i="12"/>
  <c r="BN41" i="12"/>
  <c r="AX41" i="12"/>
  <c r="AH41" i="12"/>
  <c r="CK80" i="12"/>
  <c r="BE80" i="12"/>
  <c r="BU80" i="12"/>
  <c r="AO80" i="12"/>
  <c r="CK75" i="12"/>
  <c r="BU75" i="12"/>
  <c r="BE75" i="12"/>
  <c r="AO75" i="12"/>
  <c r="CK18" i="12"/>
  <c r="BU18" i="12"/>
  <c r="BE18" i="12"/>
  <c r="AO18" i="12"/>
  <c r="BM110" i="12"/>
  <c r="AN111" i="13" s="1"/>
  <c r="CC110" i="12"/>
  <c r="BD111" i="13" s="1"/>
  <c r="AW110" i="12"/>
  <c r="X111" i="13" s="1"/>
  <c r="AG110" i="12"/>
  <c r="H111" i="13" s="1"/>
  <c r="CC49" i="12"/>
  <c r="BM49" i="12"/>
  <c r="AW49" i="12"/>
  <c r="AG49" i="12"/>
  <c r="CB88" i="12"/>
  <c r="BC89" i="13" s="1"/>
  <c r="BL88" i="12"/>
  <c r="AM89" i="13" s="1"/>
  <c r="AV88" i="12"/>
  <c r="W89" i="13" s="1"/>
  <c r="AF88" i="12"/>
  <c r="G89" i="13" s="1"/>
  <c r="CB78" i="12"/>
  <c r="BC79" i="13" s="1"/>
  <c r="BL78" i="12"/>
  <c r="AM79" i="13" s="1"/>
  <c r="AV78" i="12"/>
  <c r="W79" i="13" s="1"/>
  <c r="AF78" i="12"/>
  <c r="G79" i="13" s="1"/>
  <c r="CB14" i="12"/>
  <c r="BL14" i="12"/>
  <c r="AV14" i="12"/>
  <c r="AF14" i="12"/>
  <c r="CJ91" i="12"/>
  <c r="BT91" i="12"/>
  <c r="BD91" i="12"/>
  <c r="AN91" i="12"/>
  <c r="CJ8" i="12"/>
  <c r="BT8" i="12"/>
  <c r="BD8" i="12"/>
  <c r="AN8" i="12"/>
  <c r="BT27" i="12"/>
  <c r="CJ27" i="12"/>
  <c r="BD27" i="12"/>
  <c r="AN27" i="12"/>
  <c r="CF119" i="12"/>
  <c r="BG120" i="13" s="1"/>
  <c r="BP119" i="12"/>
  <c r="AQ120" i="13" s="1"/>
  <c r="AZ119" i="12"/>
  <c r="AA120" i="13" s="1"/>
  <c r="AJ119" i="12"/>
  <c r="K120" i="13" s="1"/>
  <c r="CH75" i="12"/>
  <c r="BR75" i="12"/>
  <c r="BB75" i="12"/>
  <c r="AL75" i="12"/>
  <c r="CH48" i="12"/>
  <c r="BR48" i="12"/>
  <c r="BB48" i="12"/>
  <c r="AL48" i="12"/>
  <c r="CH24" i="12"/>
  <c r="BR24" i="12"/>
  <c r="BB24" i="12"/>
  <c r="AL24" i="12"/>
  <c r="CH8" i="12"/>
  <c r="BR8" i="12"/>
  <c r="AL8" i="12"/>
  <c r="BB8" i="12"/>
  <c r="CG75" i="12"/>
  <c r="BQ75" i="12"/>
  <c r="BA75" i="12"/>
  <c r="AK75" i="12"/>
  <c r="CG59" i="12"/>
  <c r="BQ59" i="12"/>
  <c r="BA59" i="12"/>
  <c r="AK59" i="12"/>
  <c r="CG8" i="12"/>
  <c r="BQ8" i="12"/>
  <c r="BA8" i="12"/>
  <c r="AK8" i="12"/>
  <c r="BQ18" i="12"/>
  <c r="CG18" i="12"/>
  <c r="BA18" i="12"/>
  <c r="AK18" i="12"/>
  <c r="CF82" i="12"/>
  <c r="BP82" i="12"/>
  <c r="AJ82" i="12"/>
  <c r="AZ82" i="12"/>
  <c r="CF39" i="12"/>
  <c r="BP39" i="12"/>
  <c r="AZ39" i="12"/>
  <c r="AJ39" i="12"/>
  <c r="CI116" i="12"/>
  <c r="BS116" i="12"/>
  <c r="BC116" i="12"/>
  <c r="AM116" i="12"/>
  <c r="CF88" i="12"/>
  <c r="BP88" i="12"/>
  <c r="AZ88" i="12"/>
  <c r="AJ88" i="12"/>
  <c r="CH82" i="12"/>
  <c r="BR82" i="12"/>
  <c r="BB82" i="12"/>
  <c r="AL82" i="12"/>
  <c r="CH74" i="12"/>
  <c r="BR74" i="12"/>
  <c r="BB74" i="12"/>
  <c r="AL74" i="12"/>
  <c r="CH66" i="12"/>
  <c r="BR66" i="12"/>
  <c r="BB66" i="12"/>
  <c r="AL66" i="12"/>
  <c r="CH58" i="12"/>
  <c r="BR58" i="12"/>
  <c r="BB58" i="12"/>
  <c r="AL58" i="12"/>
  <c r="CH47" i="12"/>
  <c r="BR47" i="12"/>
  <c r="BB47" i="12"/>
  <c r="AL47" i="12"/>
  <c r="CH39" i="12"/>
  <c r="BR39" i="12"/>
  <c r="BB39" i="12"/>
  <c r="AL39" i="12"/>
  <c r="CH31" i="12"/>
  <c r="BR31" i="12"/>
  <c r="BB31" i="12"/>
  <c r="AL31" i="12"/>
  <c r="CH23" i="12"/>
  <c r="BR23" i="12"/>
  <c r="BB23" i="12"/>
  <c r="AL23" i="12"/>
  <c r="CH15" i="12"/>
  <c r="BR15" i="12"/>
  <c r="AL15" i="12"/>
  <c r="BB15" i="12"/>
  <c r="CH7" i="12"/>
  <c r="BR7" i="12"/>
  <c r="AL7" i="12"/>
  <c r="BB7" i="12"/>
  <c r="CG47" i="12"/>
  <c r="BQ47" i="12"/>
  <c r="BA47" i="12"/>
  <c r="AK47" i="12"/>
  <c r="CG82" i="12"/>
  <c r="BQ82" i="12"/>
  <c r="BA82" i="12"/>
  <c r="AK82" i="12"/>
  <c r="CG74" i="12"/>
  <c r="BQ74" i="12"/>
  <c r="BA74" i="12"/>
  <c r="AK74" i="12"/>
  <c r="CG66" i="12"/>
  <c r="BQ66" i="12"/>
  <c r="BA66" i="12"/>
  <c r="AK66" i="12"/>
  <c r="CG58" i="12"/>
  <c r="BQ58" i="12"/>
  <c r="BA58" i="12"/>
  <c r="AK58" i="12"/>
  <c r="CG35" i="12"/>
  <c r="BQ35" i="12"/>
  <c r="BA35" i="12"/>
  <c r="AK35" i="12"/>
  <c r="CG36" i="12"/>
  <c r="BQ36" i="12"/>
  <c r="BA36" i="12"/>
  <c r="AK36" i="12"/>
  <c r="CG45" i="12"/>
  <c r="BQ45" i="12"/>
  <c r="BA45" i="12"/>
  <c r="AK45" i="12"/>
  <c r="CG13" i="12"/>
  <c r="BQ13" i="12"/>
  <c r="BA13" i="12"/>
  <c r="AK13" i="12"/>
  <c r="BQ14" i="12"/>
  <c r="CG14" i="12"/>
  <c r="AK14" i="12"/>
  <c r="BA14" i="12"/>
  <c r="CF68" i="12"/>
  <c r="BP68" i="12"/>
  <c r="AZ68" i="12"/>
  <c r="AJ68" i="12"/>
  <c r="CF83" i="12"/>
  <c r="BP83" i="12"/>
  <c r="AZ83" i="12"/>
  <c r="AJ83" i="12"/>
  <c r="CF48" i="12"/>
  <c r="BP48" i="12"/>
  <c r="AZ48" i="12"/>
  <c r="AJ48" i="12"/>
  <c r="CF10" i="12"/>
  <c r="BP10" i="12"/>
  <c r="AZ10" i="12"/>
  <c r="AJ10" i="12"/>
  <c r="CF35" i="12"/>
  <c r="BP35" i="12"/>
  <c r="AZ35" i="12"/>
  <c r="AJ35" i="12"/>
  <c r="CF44" i="12"/>
  <c r="BP44" i="12"/>
  <c r="AZ44" i="12"/>
  <c r="AJ44" i="12"/>
  <c r="CF12" i="12"/>
  <c r="BP12" i="12"/>
  <c r="AZ12" i="12"/>
  <c r="AJ12" i="12"/>
  <c r="CF25" i="12"/>
  <c r="BP25" i="12"/>
  <c r="AZ25" i="12"/>
  <c r="AJ25" i="12"/>
  <c r="CF61" i="12"/>
  <c r="BP61" i="12"/>
  <c r="AZ61" i="12"/>
  <c r="AJ61" i="12"/>
  <c r="CF92" i="12"/>
  <c r="BP92" i="12"/>
  <c r="AJ92" i="12"/>
  <c r="AZ92" i="12"/>
  <c r="CF100" i="12"/>
  <c r="BP100" i="12"/>
  <c r="AZ100" i="12"/>
  <c r="AJ100" i="12"/>
  <c r="CF108" i="12"/>
  <c r="BG109" i="13" s="1"/>
  <c r="BP108" i="12"/>
  <c r="AQ109" i="13" s="1"/>
  <c r="AJ108" i="12"/>
  <c r="K109" i="13" s="1"/>
  <c r="AZ108" i="12"/>
  <c r="AA109" i="13" s="1"/>
  <c r="CF116" i="12"/>
  <c r="BG117" i="13" s="1"/>
  <c r="BP116" i="12"/>
  <c r="AQ117" i="13" s="1"/>
  <c r="AJ116" i="12"/>
  <c r="K117" i="13" s="1"/>
  <c r="AZ116" i="12"/>
  <c r="AA117" i="13" s="1"/>
  <c r="CF74" i="12"/>
  <c r="BP74" i="12"/>
  <c r="AJ74" i="12"/>
  <c r="AZ74" i="12"/>
  <c r="CG94" i="12"/>
  <c r="BQ94" i="12"/>
  <c r="BA94" i="12"/>
  <c r="AK94" i="12"/>
  <c r="CG102" i="12"/>
  <c r="BQ102" i="12"/>
  <c r="BA102" i="12"/>
  <c r="AK102" i="12"/>
  <c r="CG110" i="12"/>
  <c r="BQ110" i="12"/>
  <c r="BA110" i="12"/>
  <c r="AK110" i="12"/>
  <c r="CG118" i="12"/>
  <c r="BH119" i="13" s="1"/>
  <c r="BQ118" i="12"/>
  <c r="AR119" i="13" s="1"/>
  <c r="BA118" i="12"/>
  <c r="AB119" i="13" s="1"/>
  <c r="AK118" i="12"/>
  <c r="L119" i="13" s="1"/>
  <c r="CI43" i="12"/>
  <c r="BS43" i="12"/>
  <c r="BC43" i="12"/>
  <c r="AM43" i="12"/>
  <c r="CI115" i="12"/>
  <c r="BS115" i="12"/>
  <c r="BC115" i="12"/>
  <c r="AM115" i="12"/>
  <c r="CI107" i="12"/>
  <c r="BS107" i="12"/>
  <c r="BC107" i="12"/>
  <c r="AM107" i="12"/>
  <c r="CI99" i="12"/>
  <c r="BS99" i="12"/>
  <c r="BC99" i="12"/>
  <c r="AM99" i="12"/>
  <c r="CI91" i="12"/>
  <c r="BS91" i="12"/>
  <c r="BC91" i="12"/>
  <c r="AM91" i="12"/>
  <c r="CI15" i="12"/>
  <c r="BS15" i="12"/>
  <c r="AM15" i="12"/>
  <c r="BC15" i="12"/>
  <c r="CI82" i="12"/>
  <c r="BS82" i="12"/>
  <c r="BC82" i="12"/>
  <c r="AM82" i="12"/>
  <c r="CI74" i="12"/>
  <c r="BS74" i="12"/>
  <c r="BC74" i="12"/>
  <c r="AM74" i="12"/>
  <c r="CI66" i="12"/>
  <c r="BS66" i="12"/>
  <c r="BC66" i="12"/>
  <c r="AM66" i="12"/>
  <c r="CI58" i="12"/>
  <c r="BS58" i="12"/>
  <c r="BC58" i="12"/>
  <c r="AM58" i="12"/>
  <c r="CI44" i="12"/>
  <c r="BS44" i="12"/>
  <c r="BC44" i="12"/>
  <c r="AM44" i="12"/>
  <c r="CI12" i="12"/>
  <c r="BS12" i="12"/>
  <c r="AM12" i="12"/>
  <c r="BC12" i="12"/>
  <c r="CI25" i="12"/>
  <c r="BS25" i="12"/>
  <c r="BC25" i="12"/>
  <c r="AM25" i="12"/>
  <c r="CI48" i="12"/>
  <c r="BS48" i="12"/>
  <c r="BC48" i="12"/>
  <c r="AM48" i="12"/>
  <c r="CI22" i="12"/>
  <c r="BS22" i="12"/>
  <c r="BC22" i="12"/>
  <c r="AM22" i="12"/>
  <c r="CA122" i="12"/>
  <c r="BB123" i="13" s="1"/>
  <c r="BK122" i="12"/>
  <c r="AL123" i="13" s="1"/>
  <c r="AU122" i="12"/>
  <c r="V123" i="13" s="1"/>
  <c r="CA114" i="12"/>
  <c r="BB115" i="13" s="1"/>
  <c r="BK114" i="12"/>
  <c r="AL115" i="13" s="1"/>
  <c r="AU114" i="12"/>
  <c r="V115" i="13" s="1"/>
  <c r="CA106" i="12"/>
  <c r="BB107" i="13" s="1"/>
  <c r="BK106" i="12"/>
  <c r="AL107" i="13" s="1"/>
  <c r="AU106" i="12"/>
  <c r="V107" i="13" s="1"/>
  <c r="CA98" i="12"/>
  <c r="BB99" i="13" s="1"/>
  <c r="BK98" i="12"/>
  <c r="AL99" i="13" s="1"/>
  <c r="AU98" i="12"/>
  <c r="V99" i="13" s="1"/>
  <c r="AE98" i="12"/>
  <c r="F99" i="13" s="1"/>
  <c r="CA90" i="12"/>
  <c r="BB91" i="13" s="1"/>
  <c r="BK90" i="12"/>
  <c r="AL91" i="13" s="1"/>
  <c r="AU90" i="12"/>
  <c r="V91" i="13" s="1"/>
  <c r="AE90" i="12"/>
  <c r="F91" i="13" s="1"/>
  <c r="CA85" i="12"/>
  <c r="BB86" i="13" s="1"/>
  <c r="BK85" i="12"/>
  <c r="AL86" i="13" s="1"/>
  <c r="AU85" i="12"/>
  <c r="V86" i="13" s="1"/>
  <c r="AE85" i="12"/>
  <c r="F86" i="13" s="1"/>
  <c r="CA77" i="12"/>
  <c r="BB78" i="13" s="1"/>
  <c r="BK77" i="12"/>
  <c r="AL78" i="13" s="1"/>
  <c r="AU77" i="12"/>
  <c r="V78" i="13" s="1"/>
  <c r="AE77" i="12"/>
  <c r="F78" i="13" s="1"/>
  <c r="CA69" i="12"/>
  <c r="BB70" i="13" s="1"/>
  <c r="BK69" i="12"/>
  <c r="AL70" i="13" s="1"/>
  <c r="AU69" i="12"/>
  <c r="V70" i="13" s="1"/>
  <c r="AE69" i="12"/>
  <c r="F70" i="13" s="1"/>
  <c r="CA61" i="12"/>
  <c r="BB62" i="13" s="1"/>
  <c r="BK61" i="12"/>
  <c r="AL62" i="13" s="1"/>
  <c r="AU61" i="12"/>
  <c r="V62" i="13" s="1"/>
  <c r="AE61" i="12"/>
  <c r="F62" i="13" s="1"/>
  <c r="CA44" i="12"/>
  <c r="BK44" i="12"/>
  <c r="AU44" i="12"/>
  <c r="AE44" i="12"/>
  <c r="CA12" i="12"/>
  <c r="BK12" i="12"/>
  <c r="AE12" i="12"/>
  <c r="AU12" i="12"/>
  <c r="CA17" i="12"/>
  <c r="BK17" i="12"/>
  <c r="AE17" i="12"/>
  <c r="AU17" i="12"/>
  <c r="CA46" i="12"/>
  <c r="BK46" i="12"/>
  <c r="AU46" i="12"/>
  <c r="AE46" i="12"/>
  <c r="CA14" i="12"/>
  <c r="BK14" i="12"/>
  <c r="AU14" i="12"/>
  <c r="AE14" i="12"/>
  <c r="CA23" i="12"/>
  <c r="BK23" i="12"/>
  <c r="AU23" i="12"/>
  <c r="AE23" i="12"/>
  <c r="BZ95" i="12"/>
  <c r="BA96" i="13" s="1"/>
  <c r="BJ95" i="12"/>
  <c r="AK96" i="13" s="1"/>
  <c r="AT95" i="12"/>
  <c r="U96" i="13" s="1"/>
  <c r="BZ88" i="12"/>
  <c r="BA89" i="13" s="1"/>
  <c r="BJ88" i="12"/>
  <c r="AK89" i="13" s="1"/>
  <c r="AT88" i="12"/>
  <c r="U89" i="13" s="1"/>
  <c r="BZ51" i="12"/>
  <c r="BA52" i="13" s="1"/>
  <c r="BJ51" i="12"/>
  <c r="AK52" i="13" s="1"/>
  <c r="AT51" i="12"/>
  <c r="U52" i="13" s="1"/>
  <c r="AD51" i="12"/>
  <c r="E52" i="13" s="1"/>
  <c r="BZ78" i="12"/>
  <c r="BA79" i="13" s="1"/>
  <c r="BJ78" i="12"/>
  <c r="AK79" i="13" s="1"/>
  <c r="AT78" i="12"/>
  <c r="U79" i="13" s="1"/>
  <c r="AD78" i="12"/>
  <c r="E79" i="13" s="1"/>
  <c r="BZ70" i="12"/>
  <c r="BA71" i="13" s="1"/>
  <c r="BJ70" i="12"/>
  <c r="AK71" i="13" s="1"/>
  <c r="AT70" i="12"/>
  <c r="U71" i="13" s="1"/>
  <c r="AD70" i="12"/>
  <c r="E71" i="13" s="1"/>
  <c r="BZ62" i="12"/>
  <c r="BA63" i="13" s="1"/>
  <c r="BJ62" i="12"/>
  <c r="AK63" i="13" s="1"/>
  <c r="AT62" i="12"/>
  <c r="U63" i="13" s="1"/>
  <c r="AD62" i="12"/>
  <c r="E63" i="13" s="1"/>
  <c r="BZ49" i="12"/>
  <c r="BA50" i="13" s="1"/>
  <c r="BJ49" i="12"/>
  <c r="AK50" i="13" s="1"/>
  <c r="AT49" i="12"/>
  <c r="U50" i="13" s="1"/>
  <c r="AD49" i="12"/>
  <c r="E50" i="13" s="1"/>
  <c r="BZ41" i="12"/>
  <c r="BA42" i="13" s="1"/>
  <c r="BJ41" i="12"/>
  <c r="AK42" i="13" s="1"/>
  <c r="AT41" i="12"/>
  <c r="U42" i="13" s="1"/>
  <c r="AD41" i="12"/>
  <c r="E42" i="13" s="1"/>
  <c r="BZ33" i="12"/>
  <c r="BJ33" i="12"/>
  <c r="AT33" i="12"/>
  <c r="AD33" i="12"/>
  <c r="BZ25" i="12"/>
  <c r="BJ25" i="12"/>
  <c r="AT25" i="12"/>
  <c r="AD25" i="12"/>
  <c r="BZ17" i="12"/>
  <c r="BJ17" i="12"/>
  <c r="AD17" i="12"/>
  <c r="AT17" i="12"/>
  <c r="BZ9" i="12"/>
  <c r="BJ9" i="12"/>
  <c r="AD9" i="12"/>
  <c r="AT9" i="12"/>
  <c r="BW18" i="12"/>
  <c r="AX19" i="13" s="1"/>
  <c r="BG18" i="12"/>
  <c r="AH19" i="13" s="1"/>
  <c r="AQ18" i="12"/>
  <c r="R19" i="13" s="1"/>
  <c r="BW73" i="12"/>
  <c r="AX74" i="13" s="1"/>
  <c r="BW65" i="12"/>
  <c r="AX66" i="13" s="1"/>
  <c r="BW57" i="12"/>
  <c r="AX58" i="13" s="1"/>
  <c r="BG57" i="12"/>
  <c r="AH58" i="13" s="1"/>
  <c r="BW50" i="12"/>
  <c r="AX51" i="13" s="1"/>
  <c r="BG50" i="12"/>
  <c r="AH51" i="13" s="1"/>
  <c r="BW47" i="12"/>
  <c r="AX48" i="13" s="1"/>
  <c r="BG47" i="12"/>
  <c r="AH48" i="13" s="1"/>
  <c r="BW15" i="12"/>
  <c r="AX16" i="13" s="1"/>
  <c r="BG15" i="12"/>
  <c r="AH16" i="13" s="1"/>
  <c r="AA15" i="12"/>
  <c r="B16" i="13" s="1"/>
  <c r="AQ15" i="12"/>
  <c r="R16" i="13" s="1"/>
  <c r="BW28" i="12"/>
  <c r="AX29" i="13" s="1"/>
  <c r="BG28" i="12"/>
  <c r="AH29" i="13" s="1"/>
  <c r="AQ28" i="12"/>
  <c r="R29" i="13" s="1"/>
  <c r="BW37" i="12"/>
  <c r="AX38" i="13" s="1"/>
  <c r="BG37" i="12"/>
  <c r="AH38" i="13" s="1"/>
  <c r="AQ37" i="12"/>
  <c r="R38" i="13" s="1"/>
  <c r="BW6" i="12"/>
  <c r="AX7" i="13" s="1"/>
  <c r="BG6" i="12"/>
  <c r="AH7" i="13" s="1"/>
  <c r="AQ6" i="12"/>
  <c r="R7" i="13" s="1"/>
  <c r="AA6" i="12"/>
  <c r="B7" i="13" s="1"/>
  <c r="CL80" i="12"/>
  <c r="BF80" i="12"/>
  <c r="AP80" i="12"/>
  <c r="BV80" i="12"/>
  <c r="BF117" i="12"/>
  <c r="BV117" i="12"/>
  <c r="CL117" i="12"/>
  <c r="AP117" i="12"/>
  <c r="CL109" i="12"/>
  <c r="BF109" i="12"/>
  <c r="BV109" i="12"/>
  <c r="AP109" i="12"/>
  <c r="CL101" i="12"/>
  <c r="BF101" i="12"/>
  <c r="AP101" i="12"/>
  <c r="BV101" i="12"/>
  <c r="CL93" i="12"/>
  <c r="BF93" i="12"/>
  <c r="AP93" i="12"/>
  <c r="BV93" i="12"/>
  <c r="CL50" i="12"/>
  <c r="BF50" i="12"/>
  <c r="AP50" i="12"/>
  <c r="BV50" i="12"/>
  <c r="CL69" i="12"/>
  <c r="BF69" i="12"/>
  <c r="AP69" i="12"/>
  <c r="BV69" i="12"/>
  <c r="CL61" i="12"/>
  <c r="BF61" i="12"/>
  <c r="AP61" i="12"/>
  <c r="BV61" i="12"/>
  <c r="CL42" i="12"/>
  <c r="BF42" i="12"/>
  <c r="AP42" i="12"/>
  <c r="BV42" i="12"/>
  <c r="CL41" i="12"/>
  <c r="BV41" i="12"/>
  <c r="BF41" i="12"/>
  <c r="AP41" i="12"/>
  <c r="CL9" i="12"/>
  <c r="BV9" i="12"/>
  <c r="BF9" i="12"/>
  <c r="AP9" i="12"/>
  <c r="CL18" i="12"/>
  <c r="BF18" i="12"/>
  <c r="AP18" i="12"/>
  <c r="BV18" i="12"/>
  <c r="CL31" i="12"/>
  <c r="BV31" i="12"/>
  <c r="BF31" i="12"/>
  <c r="AP31" i="12"/>
  <c r="CL32" i="12"/>
  <c r="BF32" i="12"/>
  <c r="AP32" i="12"/>
  <c r="BV32" i="12"/>
  <c r="BM80" i="12"/>
  <c r="AN81" i="13" s="1"/>
  <c r="CC80" i="12"/>
  <c r="BD81" i="13" s="1"/>
  <c r="AW80" i="12"/>
  <c r="X81" i="13" s="1"/>
  <c r="AG80" i="12"/>
  <c r="H81" i="13" s="1"/>
  <c r="BY116" i="12"/>
  <c r="AZ117" i="13" s="1"/>
  <c r="BI116" i="12"/>
  <c r="AJ117" i="13" s="1"/>
  <c r="AS116" i="12"/>
  <c r="T117" i="13" s="1"/>
  <c r="BY108" i="12"/>
  <c r="AZ109" i="13" s="1"/>
  <c r="BI108" i="12"/>
  <c r="AJ109" i="13" s="1"/>
  <c r="AS108" i="12"/>
  <c r="T109" i="13" s="1"/>
  <c r="BY100" i="12"/>
  <c r="AZ101" i="13" s="1"/>
  <c r="BI100" i="12"/>
  <c r="AJ101" i="13" s="1"/>
  <c r="AS100" i="12"/>
  <c r="T101" i="13" s="1"/>
  <c r="BY92" i="12"/>
  <c r="AZ93" i="13" s="1"/>
  <c r="BI92" i="12"/>
  <c r="AJ93" i="13" s="1"/>
  <c r="AS92" i="12"/>
  <c r="T93" i="13" s="1"/>
  <c r="BY89" i="12"/>
  <c r="AZ90" i="13" s="1"/>
  <c r="BI89" i="12"/>
  <c r="AJ90" i="13" s="1"/>
  <c r="AS89" i="12"/>
  <c r="T90" i="13" s="1"/>
  <c r="BY53" i="12"/>
  <c r="AZ54" i="13" s="1"/>
  <c r="BI53" i="12"/>
  <c r="AJ54" i="13" s="1"/>
  <c r="AC53" i="12"/>
  <c r="D54" i="13" s="1"/>
  <c r="AS53" i="12"/>
  <c r="T54" i="13" s="1"/>
  <c r="BY19" i="12"/>
  <c r="BI19" i="12"/>
  <c r="AS19" i="12"/>
  <c r="AC19" i="12"/>
  <c r="BY78" i="12"/>
  <c r="AZ79" i="13" s="1"/>
  <c r="BI78" i="12"/>
  <c r="AJ79" i="13" s="1"/>
  <c r="AS78" i="12"/>
  <c r="T79" i="13" s="1"/>
  <c r="BY70" i="12"/>
  <c r="AZ71" i="13" s="1"/>
  <c r="BI70" i="12"/>
  <c r="AJ71" i="13" s="1"/>
  <c r="AS70" i="12"/>
  <c r="T71" i="13" s="1"/>
  <c r="BY62" i="12"/>
  <c r="AZ63" i="13" s="1"/>
  <c r="BI62" i="12"/>
  <c r="AJ63" i="13" s="1"/>
  <c r="AS62" i="12"/>
  <c r="T63" i="13" s="1"/>
  <c r="BY23" i="12"/>
  <c r="BI23" i="12"/>
  <c r="AS23" i="12"/>
  <c r="AC23" i="12"/>
  <c r="BY16" i="12"/>
  <c r="BI16" i="12"/>
  <c r="AC16" i="12"/>
  <c r="AS16" i="12"/>
  <c r="BI25" i="12"/>
  <c r="BY25" i="12"/>
  <c r="AC25" i="12"/>
  <c r="AS25" i="12"/>
  <c r="BY34" i="12"/>
  <c r="AZ35" i="13" s="1"/>
  <c r="BI34" i="12"/>
  <c r="AJ35" i="13" s="1"/>
  <c r="AC34" i="12"/>
  <c r="D35" i="13" s="1"/>
  <c r="AS34" i="12"/>
  <c r="T35" i="13" s="1"/>
  <c r="BY5" i="12"/>
  <c r="BI5" i="12"/>
  <c r="AS5" i="12"/>
  <c r="AC5" i="12"/>
  <c r="CE115" i="12"/>
  <c r="BF116" i="13" s="1"/>
  <c r="BO115" i="12"/>
  <c r="AP116" i="13" s="1"/>
  <c r="AY115" i="12"/>
  <c r="Z116" i="13" s="1"/>
  <c r="AI115" i="12"/>
  <c r="J116" i="13" s="1"/>
  <c r="CE107" i="12"/>
  <c r="BF108" i="13" s="1"/>
  <c r="BO107" i="12"/>
  <c r="AP108" i="13" s="1"/>
  <c r="AY107" i="12"/>
  <c r="Z108" i="13" s="1"/>
  <c r="AI107" i="12"/>
  <c r="J108" i="13" s="1"/>
  <c r="CE99" i="12"/>
  <c r="BF100" i="13" s="1"/>
  <c r="BO99" i="12"/>
  <c r="AP100" i="13" s="1"/>
  <c r="AY99" i="12"/>
  <c r="Z100" i="13" s="1"/>
  <c r="AI99" i="12"/>
  <c r="J100" i="13" s="1"/>
  <c r="CE91" i="12"/>
  <c r="BF92" i="13" s="1"/>
  <c r="BO91" i="12"/>
  <c r="AP92" i="13" s="1"/>
  <c r="AY91" i="12"/>
  <c r="Z92" i="13" s="1"/>
  <c r="AI91" i="12"/>
  <c r="J92" i="13" s="1"/>
  <c r="CE80" i="12"/>
  <c r="BO80" i="12"/>
  <c r="AY80" i="12"/>
  <c r="AI80" i="12"/>
  <c r="CE72" i="12"/>
  <c r="BO72" i="12"/>
  <c r="AY72" i="12"/>
  <c r="AI72" i="12"/>
  <c r="CE64" i="12"/>
  <c r="BO64" i="12"/>
  <c r="AY64" i="12"/>
  <c r="AI64" i="12"/>
  <c r="CE56" i="12"/>
  <c r="BO56" i="12"/>
  <c r="AY56" i="12"/>
  <c r="AI56" i="12"/>
  <c r="CE52" i="12"/>
  <c r="BO52" i="12"/>
  <c r="AY52" i="12"/>
  <c r="AI52" i="12"/>
  <c r="CE34" i="12"/>
  <c r="BO34" i="12"/>
  <c r="AY34" i="12"/>
  <c r="AI34" i="12"/>
  <c r="CE4" i="12"/>
  <c r="BO4" i="12"/>
  <c r="AY4" i="12"/>
  <c r="AI4" i="12"/>
  <c r="CE11" i="12"/>
  <c r="BO11" i="12"/>
  <c r="AY11" i="12"/>
  <c r="AI11" i="12"/>
  <c r="CE20" i="12"/>
  <c r="BO20" i="12"/>
  <c r="AY20" i="12"/>
  <c r="AI20" i="12"/>
  <c r="CE25" i="12"/>
  <c r="BO25" i="12"/>
  <c r="AY25" i="12"/>
  <c r="AI25" i="12"/>
  <c r="BZ100" i="12"/>
  <c r="BA101" i="13" s="1"/>
  <c r="BJ100" i="12"/>
  <c r="AK101" i="13" s="1"/>
  <c r="AT100" i="12"/>
  <c r="U101" i="13" s="1"/>
  <c r="BX85" i="12"/>
  <c r="AY86" i="13" s="1"/>
  <c r="BH85" i="12"/>
  <c r="AI86" i="13" s="1"/>
  <c r="BX117" i="12"/>
  <c r="AY118" i="13" s="1"/>
  <c r="BH117" i="12"/>
  <c r="AI118" i="13" s="1"/>
  <c r="BX109" i="12"/>
  <c r="AY110" i="13" s="1"/>
  <c r="BH109" i="12"/>
  <c r="AI110" i="13" s="1"/>
  <c r="BX101" i="12"/>
  <c r="AY102" i="13" s="1"/>
  <c r="BH101" i="12"/>
  <c r="AI102" i="13" s="1"/>
  <c r="BX93" i="12"/>
  <c r="AY94" i="13" s="1"/>
  <c r="BH93" i="12"/>
  <c r="AI94" i="13" s="1"/>
  <c r="BX58" i="12"/>
  <c r="AY59" i="13" s="1"/>
  <c r="BH58" i="12"/>
  <c r="AI59" i="13" s="1"/>
  <c r="AR58" i="12"/>
  <c r="S59" i="13" s="1"/>
  <c r="BH3" i="12"/>
  <c r="BX3" i="12"/>
  <c r="AR3" i="12"/>
  <c r="AB3" i="12"/>
  <c r="BX86" i="12"/>
  <c r="AY87" i="13" s="1"/>
  <c r="BH86" i="12"/>
  <c r="AI87" i="13" s="1"/>
  <c r="BX47" i="12"/>
  <c r="AY48" i="13" s="1"/>
  <c r="BH47" i="12"/>
  <c r="AI48" i="13" s="1"/>
  <c r="AR47" i="12"/>
  <c r="S48" i="13" s="1"/>
  <c r="BX31" i="12"/>
  <c r="AY32" i="13" s="1"/>
  <c r="BH31" i="12"/>
  <c r="AI32" i="13" s="1"/>
  <c r="AB31" i="12"/>
  <c r="C32" i="13" s="1"/>
  <c r="AR31" i="12"/>
  <c r="S32" i="13" s="1"/>
  <c r="BX40" i="12"/>
  <c r="AY41" i="13" s="1"/>
  <c r="BH40" i="12"/>
  <c r="AI41" i="13" s="1"/>
  <c r="AR40" i="12"/>
  <c r="S41" i="13" s="1"/>
  <c r="BX8" i="12"/>
  <c r="BH8" i="12"/>
  <c r="AR8" i="12"/>
  <c r="AB8" i="12"/>
  <c r="BX17" i="12"/>
  <c r="AY18" i="13" s="1"/>
  <c r="BH17" i="12"/>
  <c r="AI18" i="13" s="1"/>
  <c r="AR17" i="12"/>
  <c r="S18" i="13" s="1"/>
  <c r="AB17" i="12"/>
  <c r="C18" i="13" s="1"/>
  <c r="BX26" i="12"/>
  <c r="AY27" i="13" s="1"/>
  <c r="BH26" i="12"/>
  <c r="AI27" i="13" s="1"/>
  <c r="AB26" i="12"/>
  <c r="C27" i="13" s="1"/>
  <c r="AR26" i="12"/>
  <c r="S27" i="13" s="1"/>
  <c r="AX86" i="12"/>
  <c r="Y87" i="13" s="1"/>
  <c r="AH86" i="12"/>
  <c r="I87" i="13" s="1"/>
  <c r="BN86" i="12"/>
  <c r="AO87" i="13" s="1"/>
  <c r="CD86" i="12"/>
  <c r="BE87" i="13" s="1"/>
  <c r="CD116" i="12"/>
  <c r="BE117" i="13" s="1"/>
  <c r="BN116" i="12"/>
  <c r="AO117" i="13" s="1"/>
  <c r="AX116" i="12"/>
  <c r="Y117" i="13" s="1"/>
  <c r="AH116" i="12"/>
  <c r="I117" i="13" s="1"/>
  <c r="BN108" i="12"/>
  <c r="AO109" i="13" s="1"/>
  <c r="CD108" i="12"/>
  <c r="BE109" i="13" s="1"/>
  <c r="AX108" i="12"/>
  <c r="Y109" i="13" s="1"/>
  <c r="AH108" i="12"/>
  <c r="I109" i="13" s="1"/>
  <c r="CD100" i="12"/>
  <c r="BE101" i="13" s="1"/>
  <c r="BN100" i="12"/>
  <c r="AO101" i="13" s="1"/>
  <c r="AX100" i="12"/>
  <c r="Y101" i="13" s="1"/>
  <c r="AH100" i="12"/>
  <c r="I101" i="13" s="1"/>
  <c r="BN92" i="12"/>
  <c r="AO93" i="13" s="1"/>
  <c r="CD92" i="12"/>
  <c r="BE93" i="13" s="1"/>
  <c r="AX92" i="12"/>
  <c r="Y93" i="13" s="1"/>
  <c r="AH92" i="12"/>
  <c r="I93" i="13" s="1"/>
  <c r="AX83" i="12"/>
  <c r="Y84" i="13" s="1"/>
  <c r="AH83" i="12"/>
  <c r="I84" i="13" s="1"/>
  <c r="BN83" i="12"/>
  <c r="AO84" i="13" s="1"/>
  <c r="CD83" i="12"/>
  <c r="BE84" i="13" s="1"/>
  <c r="CD74" i="12"/>
  <c r="AX74" i="12"/>
  <c r="AH74" i="12"/>
  <c r="BN74" i="12"/>
  <c r="AX66" i="12"/>
  <c r="AH66" i="12"/>
  <c r="CD66" i="12"/>
  <c r="BN66" i="12"/>
  <c r="CD58" i="12"/>
  <c r="AX58" i="12"/>
  <c r="AH58" i="12"/>
  <c r="BN58" i="12"/>
  <c r="CD25" i="12"/>
  <c r="BN25" i="12"/>
  <c r="AX25" i="12"/>
  <c r="AH25" i="12"/>
  <c r="CD45" i="12"/>
  <c r="BN45" i="12"/>
  <c r="AX45" i="12"/>
  <c r="AH45" i="12"/>
  <c r="CD26" i="12"/>
  <c r="AX26" i="12"/>
  <c r="AH26" i="12"/>
  <c r="BN26" i="12"/>
  <c r="CD39" i="12"/>
  <c r="BN39" i="12"/>
  <c r="AX39" i="12"/>
  <c r="AH39" i="12"/>
  <c r="CD7" i="12"/>
  <c r="AX7" i="12"/>
  <c r="BN7" i="12"/>
  <c r="AH7" i="12"/>
  <c r="CD16" i="12"/>
  <c r="AH16" i="12"/>
  <c r="BN16" i="12"/>
  <c r="AX16" i="12"/>
  <c r="BW3" i="12"/>
  <c r="BG3" i="12"/>
  <c r="AQ3" i="12"/>
  <c r="AA3" i="12"/>
  <c r="B4" i="13" s="1"/>
  <c r="CK82" i="12"/>
  <c r="BU82" i="12"/>
  <c r="BE82" i="12"/>
  <c r="AO82" i="12"/>
  <c r="BU120" i="12"/>
  <c r="CK120" i="12"/>
  <c r="BE120" i="12"/>
  <c r="AO120" i="12"/>
  <c r="CK112" i="12"/>
  <c r="BU112" i="12"/>
  <c r="BE112" i="12"/>
  <c r="AO112" i="12"/>
  <c r="CK104" i="12"/>
  <c r="BU104" i="12"/>
  <c r="BE104" i="12"/>
  <c r="AO104" i="12"/>
  <c r="CK96" i="12"/>
  <c r="BU96" i="12"/>
  <c r="BE96" i="12"/>
  <c r="AO96" i="12"/>
  <c r="CK86" i="12"/>
  <c r="BU86" i="12"/>
  <c r="BE86" i="12"/>
  <c r="AO86" i="12"/>
  <c r="CK77" i="12"/>
  <c r="BU77" i="12"/>
  <c r="BE77" i="12"/>
  <c r="AO77" i="12"/>
  <c r="CK69" i="12"/>
  <c r="BU69" i="12"/>
  <c r="BE69" i="12"/>
  <c r="AO69" i="12"/>
  <c r="CK61" i="12"/>
  <c r="BU61" i="12"/>
  <c r="BE61" i="12"/>
  <c r="AO61" i="12"/>
  <c r="CK20" i="12"/>
  <c r="BU20" i="12"/>
  <c r="BE20" i="12"/>
  <c r="AO20" i="12"/>
  <c r="CK36" i="12"/>
  <c r="BU36" i="12"/>
  <c r="AO36" i="12"/>
  <c r="BE36" i="12"/>
  <c r="CK21" i="12"/>
  <c r="BU21" i="12"/>
  <c r="BE21" i="12"/>
  <c r="AO21" i="12"/>
  <c r="CK26" i="12"/>
  <c r="BU26" i="12"/>
  <c r="AO26" i="12"/>
  <c r="BE26" i="12"/>
  <c r="CK39" i="12"/>
  <c r="BU39" i="12"/>
  <c r="AO39" i="12"/>
  <c r="BE39" i="12"/>
  <c r="CK7" i="12"/>
  <c r="BU7" i="12"/>
  <c r="AO7" i="12"/>
  <c r="BE7" i="12"/>
  <c r="BZ109" i="12"/>
  <c r="BA110" i="13" s="1"/>
  <c r="BJ109" i="12"/>
  <c r="AK110" i="13" s="1"/>
  <c r="AT109" i="12"/>
  <c r="U110" i="13" s="1"/>
  <c r="CC120" i="12"/>
  <c r="BD121" i="13" s="1"/>
  <c r="BM120" i="12"/>
  <c r="AN121" i="13" s="1"/>
  <c r="AW120" i="12"/>
  <c r="X121" i="13" s="1"/>
  <c r="AG120" i="12"/>
  <c r="H121" i="13" s="1"/>
  <c r="BM112" i="12"/>
  <c r="AN113" i="13" s="1"/>
  <c r="CC112" i="12"/>
  <c r="BD113" i="13" s="1"/>
  <c r="AW112" i="12"/>
  <c r="X113" i="13" s="1"/>
  <c r="AG112" i="12"/>
  <c r="H113" i="13" s="1"/>
  <c r="BM104" i="12"/>
  <c r="AN105" i="13" s="1"/>
  <c r="CC104" i="12"/>
  <c r="BD105" i="13" s="1"/>
  <c r="AW104" i="12"/>
  <c r="X105" i="13" s="1"/>
  <c r="AG104" i="12"/>
  <c r="H105" i="13" s="1"/>
  <c r="BM96" i="12"/>
  <c r="AN97" i="13" s="1"/>
  <c r="CC96" i="12"/>
  <c r="BD97" i="13" s="1"/>
  <c r="AW96" i="12"/>
  <c r="X97" i="13" s="1"/>
  <c r="AG96" i="12"/>
  <c r="H97" i="13" s="1"/>
  <c r="BM46" i="12"/>
  <c r="AG46" i="12"/>
  <c r="CC46" i="12"/>
  <c r="AW46" i="12"/>
  <c r="CC71" i="12"/>
  <c r="BD72" i="13" s="1"/>
  <c r="BM71" i="12"/>
  <c r="AN72" i="13" s="1"/>
  <c r="AW71" i="12"/>
  <c r="X72" i="13" s="1"/>
  <c r="AG71" i="12"/>
  <c r="H72" i="13" s="1"/>
  <c r="CC63" i="12"/>
  <c r="BM63" i="12"/>
  <c r="AW63" i="12"/>
  <c r="AG63" i="12"/>
  <c r="CC55" i="12"/>
  <c r="BM55" i="12"/>
  <c r="AW55" i="12"/>
  <c r="AG55" i="12"/>
  <c r="CC42" i="12"/>
  <c r="BM42" i="12"/>
  <c r="AG42" i="12"/>
  <c r="AW42" i="12"/>
  <c r="CC17" i="12"/>
  <c r="BM17" i="12"/>
  <c r="AW17" i="12"/>
  <c r="AG17" i="12"/>
  <c r="BM18" i="12"/>
  <c r="CC18" i="12"/>
  <c r="AW18" i="12"/>
  <c r="AG18" i="12"/>
  <c r="CC31" i="12"/>
  <c r="BM31" i="12"/>
  <c r="AW31" i="12"/>
  <c r="AG31" i="12"/>
  <c r="CC36" i="12"/>
  <c r="BM36" i="12"/>
  <c r="AW36" i="12"/>
  <c r="AG36" i="12"/>
  <c r="CC5" i="12"/>
  <c r="BM5" i="12"/>
  <c r="AW5" i="12"/>
  <c r="AG5" i="12"/>
  <c r="CB118" i="12"/>
  <c r="BC119" i="13" s="1"/>
  <c r="BL118" i="12"/>
  <c r="AM119" i="13" s="1"/>
  <c r="AV118" i="12"/>
  <c r="W119" i="13" s="1"/>
  <c r="AF118" i="12"/>
  <c r="G119" i="13" s="1"/>
  <c r="CB110" i="12"/>
  <c r="BC111" i="13" s="1"/>
  <c r="BL110" i="12"/>
  <c r="AM111" i="13" s="1"/>
  <c r="AV110" i="12"/>
  <c r="W111" i="13" s="1"/>
  <c r="AF110" i="12"/>
  <c r="G111" i="13" s="1"/>
  <c r="CB102" i="12"/>
  <c r="BC103" i="13" s="1"/>
  <c r="BL102" i="12"/>
  <c r="AM103" i="13" s="1"/>
  <c r="AV102" i="12"/>
  <c r="W103" i="13" s="1"/>
  <c r="AF102" i="12"/>
  <c r="G103" i="13" s="1"/>
  <c r="CB94" i="12"/>
  <c r="BC95" i="13" s="1"/>
  <c r="BL94" i="12"/>
  <c r="AM95" i="13" s="1"/>
  <c r="AV94" i="12"/>
  <c r="W95" i="13" s="1"/>
  <c r="AF94" i="12"/>
  <c r="G95" i="13" s="1"/>
  <c r="CB16" i="12"/>
  <c r="BL16" i="12"/>
  <c r="AV16" i="12"/>
  <c r="AF16" i="12"/>
  <c r="CB80" i="12"/>
  <c r="BC81" i="13" s="1"/>
  <c r="BL80" i="12"/>
  <c r="AM81" i="13" s="1"/>
  <c r="AV80" i="12"/>
  <c r="W81" i="13" s="1"/>
  <c r="AF80" i="12"/>
  <c r="G81" i="13" s="1"/>
  <c r="CB72" i="12"/>
  <c r="BC73" i="13" s="1"/>
  <c r="BL72" i="12"/>
  <c r="AM73" i="13" s="1"/>
  <c r="AV72" i="12"/>
  <c r="W73" i="13" s="1"/>
  <c r="AF72" i="12"/>
  <c r="G73" i="13" s="1"/>
  <c r="CB64" i="12"/>
  <c r="BC65" i="13" s="1"/>
  <c r="BL64" i="12"/>
  <c r="AM65" i="13" s="1"/>
  <c r="AV64" i="12"/>
  <c r="W65" i="13" s="1"/>
  <c r="AF64" i="12"/>
  <c r="G65" i="13" s="1"/>
  <c r="CB56" i="12"/>
  <c r="BL56" i="12"/>
  <c r="AV56" i="12"/>
  <c r="AF56" i="12"/>
  <c r="BL45" i="12"/>
  <c r="CB45" i="12"/>
  <c r="AV45" i="12"/>
  <c r="AF45" i="12"/>
  <c r="BL13" i="12"/>
  <c r="AV13" i="12"/>
  <c r="CB13" i="12"/>
  <c r="AF13" i="12"/>
  <c r="CB48" i="12"/>
  <c r="BL48" i="12"/>
  <c r="AV48" i="12"/>
  <c r="AF48" i="12"/>
  <c r="CB22" i="12"/>
  <c r="BL22" i="12"/>
  <c r="AV22" i="12"/>
  <c r="AF22" i="12"/>
  <c r="CB35" i="12"/>
  <c r="BL35" i="12"/>
  <c r="AV35" i="12"/>
  <c r="AF35" i="12"/>
  <c r="BX71" i="12"/>
  <c r="AY72" i="13" s="1"/>
  <c r="BH71" i="12"/>
  <c r="AI72" i="13" s="1"/>
  <c r="AR71" i="12"/>
  <c r="S72" i="13" s="1"/>
  <c r="CJ117" i="12"/>
  <c r="BT117" i="12"/>
  <c r="BD117" i="12"/>
  <c r="AN117" i="12"/>
  <c r="CJ109" i="12"/>
  <c r="BT109" i="12"/>
  <c r="BD109" i="12"/>
  <c r="AN109" i="12"/>
  <c r="CJ101" i="12"/>
  <c r="BT101" i="12"/>
  <c r="BD101" i="12"/>
  <c r="AN101" i="12"/>
  <c r="CJ93" i="12"/>
  <c r="BT93" i="12"/>
  <c r="BD93" i="12"/>
  <c r="AN93" i="12"/>
  <c r="CJ84" i="12"/>
  <c r="BT84" i="12"/>
  <c r="BD84" i="12"/>
  <c r="AN84" i="12"/>
  <c r="CJ76" i="12"/>
  <c r="BT76" i="12"/>
  <c r="BD76" i="12"/>
  <c r="AN76" i="12"/>
  <c r="CJ68" i="12"/>
  <c r="BT68" i="12"/>
  <c r="BD68" i="12"/>
  <c r="AN68" i="12"/>
  <c r="CJ60" i="12"/>
  <c r="BT60" i="12"/>
  <c r="BD60" i="12"/>
  <c r="AN60" i="12"/>
  <c r="BT43" i="12"/>
  <c r="CJ43" i="12"/>
  <c r="BD43" i="12"/>
  <c r="AN43" i="12"/>
  <c r="CJ16" i="12"/>
  <c r="BT16" i="12"/>
  <c r="BD16" i="12"/>
  <c r="AN16" i="12"/>
  <c r="CJ21" i="12"/>
  <c r="BT21" i="12"/>
  <c r="BD21" i="12"/>
  <c r="AN21" i="12"/>
  <c r="CJ49" i="12"/>
  <c r="BT49" i="12"/>
  <c r="BD49" i="12"/>
  <c r="AN49" i="12"/>
  <c r="CJ26" i="12"/>
  <c r="BT26" i="12"/>
  <c r="BD26" i="12"/>
  <c r="AN26" i="12"/>
  <c r="BT35" i="12"/>
  <c r="CJ35" i="12"/>
  <c r="BD35" i="12"/>
  <c r="AN35" i="12"/>
  <c r="CG40" i="12"/>
  <c r="BQ40" i="12"/>
  <c r="BA40" i="12"/>
  <c r="AK40" i="12"/>
  <c r="BZ106" i="12"/>
  <c r="BA107" i="13" s="1"/>
  <c r="BJ106" i="12"/>
  <c r="AK107" i="13" s="1"/>
  <c r="AT106" i="12"/>
  <c r="U107" i="13" s="1"/>
  <c r="CH101" i="12"/>
  <c r="BR101" i="12"/>
  <c r="BB101" i="12"/>
  <c r="AL101" i="12"/>
  <c r="CH107" i="12"/>
  <c r="BR107" i="12"/>
  <c r="BB107" i="12"/>
  <c r="AL107" i="12"/>
  <c r="CH95" i="12"/>
  <c r="BR95" i="12"/>
  <c r="BB95" i="12"/>
  <c r="AL95" i="12"/>
  <c r="CG121" i="12"/>
  <c r="BH122" i="13" s="1"/>
  <c r="BQ121" i="12"/>
  <c r="AR122" i="13" s="1"/>
  <c r="BA121" i="12"/>
  <c r="AB122" i="13" s="1"/>
  <c r="AK121" i="12"/>
  <c r="L122" i="13" s="1"/>
  <c r="CE121" i="12"/>
  <c r="BF122" i="13" s="1"/>
  <c r="BO121" i="12"/>
  <c r="AP122" i="13" s="1"/>
  <c r="AY121" i="12"/>
  <c r="Z122" i="13" s="1"/>
  <c r="AI121" i="12"/>
  <c r="J122" i="13" s="1"/>
  <c r="CI36" i="12"/>
  <c r="BS36" i="12"/>
  <c r="BC36" i="12"/>
  <c r="AM36" i="12"/>
  <c r="CA120" i="12"/>
  <c r="BB121" i="13" s="1"/>
  <c r="BK120" i="12"/>
  <c r="AL121" i="13" s="1"/>
  <c r="AU120" i="12"/>
  <c r="V121" i="13" s="1"/>
  <c r="CA75" i="12"/>
  <c r="BB76" i="13" s="1"/>
  <c r="BK75" i="12"/>
  <c r="AL76" i="13" s="1"/>
  <c r="AU75" i="12"/>
  <c r="V76" i="13" s="1"/>
  <c r="AE75" i="12"/>
  <c r="F76" i="13" s="1"/>
  <c r="CA38" i="12"/>
  <c r="BK38" i="12"/>
  <c r="AU38" i="12"/>
  <c r="AE38" i="12"/>
  <c r="BZ76" i="12"/>
  <c r="BA77" i="13" s="1"/>
  <c r="BJ76" i="12"/>
  <c r="AK77" i="13" s="1"/>
  <c r="AT76" i="12"/>
  <c r="U77" i="13" s="1"/>
  <c r="AD76" i="12"/>
  <c r="E77" i="13" s="1"/>
  <c r="BZ31" i="12"/>
  <c r="BJ31" i="12"/>
  <c r="AT31" i="12"/>
  <c r="AD31" i="12"/>
  <c r="BW39" i="12"/>
  <c r="AX40" i="13" s="1"/>
  <c r="BG39" i="12"/>
  <c r="AH40" i="13" s="1"/>
  <c r="CL107" i="12"/>
  <c r="BV107" i="12"/>
  <c r="BF107" i="12"/>
  <c r="AP107" i="12"/>
  <c r="CL33" i="12"/>
  <c r="BV33" i="12"/>
  <c r="BF33" i="12"/>
  <c r="AP33" i="12"/>
  <c r="BY106" i="12"/>
  <c r="AZ107" i="13" s="1"/>
  <c r="BI106" i="12"/>
  <c r="AJ107" i="13" s="1"/>
  <c r="AS106" i="12"/>
  <c r="T107" i="13" s="1"/>
  <c r="BY40" i="12"/>
  <c r="AZ41" i="13" s="1"/>
  <c r="BI40" i="12"/>
  <c r="AJ41" i="13" s="1"/>
  <c r="AS40" i="12"/>
  <c r="T41" i="13" s="1"/>
  <c r="AC40" i="12"/>
  <c r="D41" i="13" s="1"/>
  <c r="CE97" i="12"/>
  <c r="BF98" i="13" s="1"/>
  <c r="BO97" i="12"/>
  <c r="AP98" i="13" s="1"/>
  <c r="AY97" i="12"/>
  <c r="Z98" i="13" s="1"/>
  <c r="AI97" i="12"/>
  <c r="J98" i="13" s="1"/>
  <c r="CE45" i="12"/>
  <c r="BO45" i="12"/>
  <c r="AY45" i="12"/>
  <c r="AI45" i="12"/>
  <c r="BX99" i="12"/>
  <c r="AY100" i="13" s="1"/>
  <c r="BH99" i="12"/>
  <c r="AI100" i="13" s="1"/>
  <c r="BX32" i="12"/>
  <c r="AY33" i="13" s="1"/>
  <c r="BH32" i="12"/>
  <c r="AI33" i="13" s="1"/>
  <c r="AR32" i="12"/>
  <c r="S33" i="13" s="1"/>
  <c r="AB32" i="12"/>
  <c r="C33" i="13" s="1"/>
  <c r="CD106" i="12"/>
  <c r="BE107" i="13" s="1"/>
  <c r="AX106" i="12"/>
  <c r="Y107" i="13" s="1"/>
  <c r="BN106" i="12"/>
  <c r="AO107" i="13" s="1"/>
  <c r="AH106" i="12"/>
  <c r="I107" i="13" s="1"/>
  <c r="CD47" i="12"/>
  <c r="BN47" i="12"/>
  <c r="AX47" i="12"/>
  <c r="AH47" i="12"/>
  <c r="CK118" i="12"/>
  <c r="BU118" i="12"/>
  <c r="BE118" i="12"/>
  <c r="AO118" i="12"/>
  <c r="CK13" i="12"/>
  <c r="BU13" i="12"/>
  <c r="AO13" i="12"/>
  <c r="BE13" i="12"/>
  <c r="BM94" i="12"/>
  <c r="AN95" i="13" s="1"/>
  <c r="CC94" i="12"/>
  <c r="BD95" i="13" s="1"/>
  <c r="AG94" i="12"/>
  <c r="H95" i="13" s="1"/>
  <c r="AW94" i="12"/>
  <c r="X95" i="13" s="1"/>
  <c r="CC10" i="12"/>
  <c r="BM10" i="12"/>
  <c r="AW10" i="12"/>
  <c r="AG10" i="12"/>
  <c r="CB92" i="12"/>
  <c r="BC93" i="13" s="1"/>
  <c r="BL92" i="12"/>
  <c r="AM93" i="13" s="1"/>
  <c r="AV92" i="12"/>
  <c r="W93" i="13" s="1"/>
  <c r="AF92" i="12"/>
  <c r="G93" i="13" s="1"/>
  <c r="CB46" i="12"/>
  <c r="BL46" i="12"/>
  <c r="AV46" i="12"/>
  <c r="AF46" i="12"/>
  <c r="CJ99" i="12"/>
  <c r="BT99" i="12"/>
  <c r="BD99" i="12"/>
  <c r="AN99" i="12"/>
  <c r="CJ13" i="12"/>
  <c r="BT13" i="12"/>
  <c r="BD13" i="12"/>
  <c r="AN13" i="12"/>
  <c r="CH86" i="12"/>
  <c r="BR86" i="12"/>
  <c r="BB86" i="12"/>
  <c r="AL86" i="12"/>
  <c r="CH67" i="12"/>
  <c r="BR67" i="12"/>
  <c r="BB67" i="12"/>
  <c r="AL67" i="12"/>
  <c r="CH40" i="12"/>
  <c r="BR40" i="12"/>
  <c r="BB40" i="12"/>
  <c r="AL40" i="12"/>
  <c r="CH16" i="12"/>
  <c r="BR16" i="12"/>
  <c r="AL16" i="12"/>
  <c r="BB16" i="12"/>
  <c r="CG83" i="12"/>
  <c r="BQ83" i="12"/>
  <c r="AK83" i="12"/>
  <c r="BA83" i="12"/>
  <c r="CG39" i="12"/>
  <c r="BQ39" i="12"/>
  <c r="AK39" i="12"/>
  <c r="BA39" i="12"/>
  <c r="CF16" i="12"/>
  <c r="BP16" i="12"/>
  <c r="AZ16" i="12"/>
  <c r="AJ16" i="12"/>
  <c r="CF55" i="12"/>
  <c r="BP55" i="12"/>
  <c r="AZ55" i="12"/>
  <c r="AJ55" i="12"/>
  <c r="CH89" i="12"/>
  <c r="BR89" i="12"/>
  <c r="BB89" i="12"/>
  <c r="AL89" i="12"/>
  <c r="CH81" i="12"/>
  <c r="BR81" i="12"/>
  <c r="BB81" i="12"/>
  <c r="AL81" i="12"/>
  <c r="CH73" i="12"/>
  <c r="BR73" i="12"/>
  <c r="BB73" i="12"/>
  <c r="AL73" i="12"/>
  <c r="CH65" i="12"/>
  <c r="BR65" i="12"/>
  <c r="BB65" i="12"/>
  <c r="AL65" i="12"/>
  <c r="CH57" i="12"/>
  <c r="BR57" i="12"/>
  <c r="BB57" i="12"/>
  <c r="AL57" i="12"/>
  <c r="CH46" i="12"/>
  <c r="BR46" i="12"/>
  <c r="BB46" i="12"/>
  <c r="AL46" i="12"/>
  <c r="CH38" i="12"/>
  <c r="BR38" i="12"/>
  <c r="BB38" i="12"/>
  <c r="AL38" i="12"/>
  <c r="CH30" i="12"/>
  <c r="BR30" i="12"/>
  <c r="BB30" i="12"/>
  <c r="AL30" i="12"/>
  <c r="CH22" i="12"/>
  <c r="BR22" i="12"/>
  <c r="BB22" i="12"/>
  <c r="AL22" i="12"/>
  <c r="CH14" i="12"/>
  <c r="BR14" i="12"/>
  <c r="AL14" i="12"/>
  <c r="BB14" i="12"/>
  <c r="CH6" i="12"/>
  <c r="BR6" i="12"/>
  <c r="AL6" i="12"/>
  <c r="BB6" i="12"/>
  <c r="CG52" i="12"/>
  <c r="BQ52" i="12"/>
  <c r="BA52" i="12"/>
  <c r="AK52" i="12"/>
  <c r="CG81" i="12"/>
  <c r="BQ81" i="12"/>
  <c r="BA81" i="12"/>
  <c r="AK81" i="12"/>
  <c r="CG73" i="12"/>
  <c r="BQ73" i="12"/>
  <c r="BA73" i="12"/>
  <c r="AK73" i="12"/>
  <c r="CG65" i="12"/>
  <c r="BQ65" i="12"/>
  <c r="BA65" i="12"/>
  <c r="AK65" i="12"/>
  <c r="CG57" i="12"/>
  <c r="BQ57" i="12"/>
  <c r="BA57" i="12"/>
  <c r="AK57" i="12"/>
  <c r="CG31" i="12"/>
  <c r="BQ31" i="12"/>
  <c r="AK31" i="12"/>
  <c r="BA31" i="12"/>
  <c r="CG32" i="12"/>
  <c r="BQ32" i="12"/>
  <c r="BA32" i="12"/>
  <c r="AK32" i="12"/>
  <c r="CG41" i="12"/>
  <c r="BQ41" i="12"/>
  <c r="BA41" i="12"/>
  <c r="AK41" i="12"/>
  <c r="CG9" i="12"/>
  <c r="BQ9" i="12"/>
  <c r="BA9" i="12"/>
  <c r="AK9" i="12"/>
  <c r="CG10" i="12"/>
  <c r="BQ10" i="12"/>
  <c r="AK10" i="12"/>
  <c r="BA10" i="12"/>
  <c r="CF72" i="12"/>
  <c r="BP72" i="12"/>
  <c r="AZ72" i="12"/>
  <c r="AJ72" i="12"/>
  <c r="CF84" i="12"/>
  <c r="BP84" i="12"/>
  <c r="AZ84" i="12"/>
  <c r="AJ84" i="12"/>
  <c r="CF30" i="12"/>
  <c r="BP30" i="12"/>
  <c r="AJ30" i="12"/>
  <c r="AZ30" i="12"/>
  <c r="CF53" i="12"/>
  <c r="BP53" i="12"/>
  <c r="AZ53" i="12"/>
  <c r="AJ53" i="12"/>
  <c r="CF31" i="12"/>
  <c r="BP31" i="12"/>
  <c r="AZ31" i="12"/>
  <c r="AJ31" i="12"/>
  <c r="CF40" i="12"/>
  <c r="BP40" i="12"/>
  <c r="AZ40" i="12"/>
  <c r="AJ40" i="12"/>
  <c r="CF8" i="12"/>
  <c r="BP8" i="12"/>
  <c r="AZ8" i="12"/>
  <c r="AJ8" i="12"/>
  <c r="CF21" i="12"/>
  <c r="BP21" i="12"/>
  <c r="AZ21" i="12"/>
  <c r="AJ21" i="12"/>
  <c r="CF65" i="12"/>
  <c r="BP65" i="12"/>
  <c r="AZ65" i="12"/>
  <c r="AJ65" i="12"/>
  <c r="CF93" i="12"/>
  <c r="BP93" i="12"/>
  <c r="AZ93" i="12"/>
  <c r="AJ93" i="12"/>
  <c r="CF101" i="12"/>
  <c r="BP101" i="12"/>
  <c r="AZ101" i="12"/>
  <c r="AJ101" i="12"/>
  <c r="CF109" i="12"/>
  <c r="BG110" i="13" s="1"/>
  <c r="BP109" i="12"/>
  <c r="AQ110" i="13" s="1"/>
  <c r="AZ109" i="12"/>
  <c r="AA110" i="13" s="1"/>
  <c r="AJ109" i="12"/>
  <c r="K110" i="13" s="1"/>
  <c r="CF117" i="12"/>
  <c r="BG118" i="13" s="1"/>
  <c r="BP117" i="12"/>
  <c r="AQ118" i="13" s="1"/>
  <c r="AZ117" i="12"/>
  <c r="AA118" i="13" s="1"/>
  <c r="AJ117" i="12"/>
  <c r="K118" i="13" s="1"/>
  <c r="CF77" i="12"/>
  <c r="BP77" i="12"/>
  <c r="AZ77" i="12"/>
  <c r="AJ77" i="12"/>
  <c r="CG95" i="12"/>
  <c r="BQ95" i="12"/>
  <c r="BA95" i="12"/>
  <c r="AK95" i="12"/>
  <c r="CG103" i="12"/>
  <c r="BQ103" i="12"/>
  <c r="AK103" i="12"/>
  <c r="BA103" i="12"/>
  <c r="CG111" i="12"/>
  <c r="BQ111" i="12"/>
  <c r="BA111" i="12"/>
  <c r="AK111" i="12"/>
  <c r="CG119" i="12"/>
  <c r="BH120" i="13" s="1"/>
  <c r="BQ119" i="12"/>
  <c r="AR120" i="13" s="1"/>
  <c r="AK119" i="12"/>
  <c r="L120" i="13" s="1"/>
  <c r="BA119" i="12"/>
  <c r="AB120" i="13" s="1"/>
  <c r="CI122" i="12"/>
  <c r="BS122" i="12"/>
  <c r="BC122" i="12"/>
  <c r="AM122" i="12"/>
  <c r="CI114" i="12"/>
  <c r="BS114" i="12"/>
  <c r="BC114" i="12"/>
  <c r="AM114" i="12"/>
  <c r="CI106" i="12"/>
  <c r="BS106" i="12"/>
  <c r="BC106" i="12"/>
  <c r="AM106" i="12"/>
  <c r="CI98" i="12"/>
  <c r="BS98" i="12"/>
  <c r="BC98" i="12"/>
  <c r="AM98" i="12"/>
  <c r="CI90" i="12"/>
  <c r="BS90" i="12"/>
  <c r="BC90" i="12"/>
  <c r="AM90" i="12"/>
  <c r="CI89" i="12"/>
  <c r="BS89" i="12"/>
  <c r="BC89" i="12"/>
  <c r="AM89" i="12"/>
  <c r="CI81" i="12"/>
  <c r="BS81" i="12"/>
  <c r="BC81" i="12"/>
  <c r="AM81" i="12"/>
  <c r="CI73" i="12"/>
  <c r="BS73" i="12"/>
  <c r="BC73" i="12"/>
  <c r="AM73" i="12"/>
  <c r="CI65" i="12"/>
  <c r="BS65" i="12"/>
  <c r="BC65" i="12"/>
  <c r="AM65" i="12"/>
  <c r="CI57" i="12"/>
  <c r="BS57" i="12"/>
  <c r="BC57" i="12"/>
  <c r="AM57" i="12"/>
  <c r="CI40" i="12"/>
  <c r="BS40" i="12"/>
  <c r="BC40" i="12"/>
  <c r="AM40" i="12"/>
  <c r="CI8" i="12"/>
  <c r="BS8" i="12"/>
  <c r="AM8" i="12"/>
  <c r="BC8" i="12"/>
  <c r="CI21" i="12"/>
  <c r="BS21" i="12"/>
  <c r="BC21" i="12"/>
  <c r="AM21" i="12"/>
  <c r="CI47" i="12"/>
  <c r="BS47" i="12"/>
  <c r="BC47" i="12"/>
  <c r="AM47" i="12"/>
  <c r="CI18" i="12"/>
  <c r="BS18" i="12"/>
  <c r="BC18" i="12"/>
  <c r="AM18" i="12"/>
  <c r="CA121" i="12"/>
  <c r="BB122" i="13" s="1"/>
  <c r="BK121" i="12"/>
  <c r="AL122" i="13" s="1"/>
  <c r="AU121" i="12"/>
  <c r="V122" i="13" s="1"/>
  <c r="CA113" i="12"/>
  <c r="BB114" i="13" s="1"/>
  <c r="BK113" i="12"/>
  <c r="AL114" i="13" s="1"/>
  <c r="AU113" i="12"/>
  <c r="V114" i="13" s="1"/>
  <c r="CA105" i="12"/>
  <c r="BB106" i="13" s="1"/>
  <c r="BK105" i="12"/>
  <c r="AL106" i="13" s="1"/>
  <c r="AU105" i="12"/>
  <c r="V106" i="13" s="1"/>
  <c r="CA97" i="12"/>
  <c r="BB98" i="13" s="1"/>
  <c r="BK97" i="12"/>
  <c r="AL98" i="13" s="1"/>
  <c r="AU97" i="12"/>
  <c r="V98" i="13" s="1"/>
  <c r="AE97" i="12"/>
  <c r="F98" i="13" s="1"/>
  <c r="CA53" i="12"/>
  <c r="BB54" i="13" s="1"/>
  <c r="BK53" i="12"/>
  <c r="AL54" i="13" s="1"/>
  <c r="AU53" i="12"/>
  <c r="V54" i="13" s="1"/>
  <c r="AE53" i="12"/>
  <c r="F54" i="13" s="1"/>
  <c r="CA84" i="12"/>
  <c r="BB85" i="13" s="1"/>
  <c r="BK84" i="12"/>
  <c r="AL85" i="13" s="1"/>
  <c r="AU84" i="12"/>
  <c r="V85" i="13" s="1"/>
  <c r="AE84" i="12"/>
  <c r="F85" i="13" s="1"/>
  <c r="CA76" i="12"/>
  <c r="BB77" i="13" s="1"/>
  <c r="BK76" i="12"/>
  <c r="AL77" i="13" s="1"/>
  <c r="AU76" i="12"/>
  <c r="V77" i="13" s="1"/>
  <c r="AE76" i="12"/>
  <c r="F77" i="13" s="1"/>
  <c r="CA68" i="12"/>
  <c r="BB69" i="13" s="1"/>
  <c r="BK68" i="12"/>
  <c r="AL69" i="13" s="1"/>
  <c r="AU68" i="12"/>
  <c r="V69" i="13" s="1"/>
  <c r="AE68" i="12"/>
  <c r="F69" i="13" s="1"/>
  <c r="CA60" i="12"/>
  <c r="BB61" i="13" s="1"/>
  <c r="BK60" i="12"/>
  <c r="AL61" i="13" s="1"/>
  <c r="AU60" i="12"/>
  <c r="V61" i="13" s="1"/>
  <c r="AE60" i="12"/>
  <c r="F61" i="13" s="1"/>
  <c r="CA40" i="12"/>
  <c r="BK40" i="12"/>
  <c r="AU40" i="12"/>
  <c r="AE40" i="12"/>
  <c r="CA8" i="12"/>
  <c r="BK8" i="12"/>
  <c r="AE8" i="12"/>
  <c r="AU8" i="12"/>
  <c r="CA13" i="12"/>
  <c r="BK13" i="12"/>
  <c r="AE13" i="12"/>
  <c r="AU13" i="12"/>
  <c r="CA42" i="12"/>
  <c r="BK42" i="12"/>
  <c r="AU42" i="12"/>
  <c r="AE42" i="12"/>
  <c r="CA10" i="12"/>
  <c r="BK10" i="12"/>
  <c r="AU10" i="12"/>
  <c r="AE10" i="12"/>
  <c r="CA19" i="12"/>
  <c r="BK19" i="12"/>
  <c r="AU19" i="12"/>
  <c r="AE19" i="12"/>
  <c r="BZ99" i="12"/>
  <c r="BA100" i="13" s="1"/>
  <c r="BJ99" i="12"/>
  <c r="AK100" i="13" s="1"/>
  <c r="AT99" i="12"/>
  <c r="U100" i="13" s="1"/>
  <c r="BZ86" i="12"/>
  <c r="BA87" i="13" s="1"/>
  <c r="BJ86" i="12"/>
  <c r="AK87" i="13" s="1"/>
  <c r="AT86" i="12"/>
  <c r="U87" i="13" s="1"/>
  <c r="BZ85" i="12"/>
  <c r="BA86" i="13" s="1"/>
  <c r="BJ85" i="12"/>
  <c r="AK86" i="13" s="1"/>
  <c r="AT85" i="12"/>
  <c r="U86" i="13" s="1"/>
  <c r="BZ77" i="12"/>
  <c r="BA78" i="13" s="1"/>
  <c r="BJ77" i="12"/>
  <c r="AK78" i="13" s="1"/>
  <c r="AT77" i="12"/>
  <c r="U78" i="13" s="1"/>
  <c r="AD77" i="12"/>
  <c r="E78" i="13" s="1"/>
  <c r="BZ69" i="12"/>
  <c r="BA70" i="13" s="1"/>
  <c r="BJ69" i="12"/>
  <c r="AK70" i="13" s="1"/>
  <c r="AT69" i="12"/>
  <c r="U70" i="13" s="1"/>
  <c r="AD69" i="12"/>
  <c r="E70" i="13" s="1"/>
  <c r="BZ61" i="12"/>
  <c r="BA62" i="13" s="1"/>
  <c r="BJ61" i="12"/>
  <c r="AK62" i="13" s="1"/>
  <c r="AT61" i="12"/>
  <c r="U62" i="13" s="1"/>
  <c r="AD61" i="12"/>
  <c r="E62" i="13" s="1"/>
  <c r="BZ48" i="12"/>
  <c r="BA49" i="13" s="1"/>
  <c r="BJ48" i="12"/>
  <c r="AK49" i="13" s="1"/>
  <c r="AT48" i="12"/>
  <c r="U49" i="13" s="1"/>
  <c r="AD48" i="12"/>
  <c r="E49" i="13" s="1"/>
  <c r="BZ40" i="12"/>
  <c r="BA41" i="13" s="1"/>
  <c r="BJ40" i="12"/>
  <c r="AK41" i="13" s="1"/>
  <c r="AT40" i="12"/>
  <c r="U41" i="13" s="1"/>
  <c r="AD40" i="12"/>
  <c r="E41" i="13" s="1"/>
  <c r="BZ32" i="12"/>
  <c r="BJ32" i="12"/>
  <c r="AT32" i="12"/>
  <c r="AD32" i="12"/>
  <c r="BZ24" i="12"/>
  <c r="BJ24" i="12"/>
  <c r="AT24" i="12"/>
  <c r="AD24" i="12"/>
  <c r="BZ16" i="12"/>
  <c r="BJ16" i="12"/>
  <c r="AD16" i="12"/>
  <c r="AT16" i="12"/>
  <c r="BZ8" i="12"/>
  <c r="BJ8" i="12"/>
  <c r="AD8" i="12"/>
  <c r="AT8" i="12"/>
  <c r="BW72" i="12"/>
  <c r="AX73" i="13" s="1"/>
  <c r="BW64" i="12"/>
  <c r="AX65" i="13" s="1"/>
  <c r="BW56" i="12"/>
  <c r="AX57" i="13" s="1"/>
  <c r="BG56" i="12"/>
  <c r="AH57" i="13" s="1"/>
  <c r="BW46" i="12"/>
  <c r="AX47" i="13" s="1"/>
  <c r="BG46" i="12"/>
  <c r="AH47" i="13" s="1"/>
  <c r="BW43" i="12"/>
  <c r="AX44" i="13" s="1"/>
  <c r="BG43" i="12"/>
  <c r="AH44" i="13" s="1"/>
  <c r="BW11" i="12"/>
  <c r="AX12" i="13" s="1"/>
  <c r="BG11" i="12"/>
  <c r="AH12" i="13" s="1"/>
  <c r="AA11" i="12"/>
  <c r="B12" i="13" s="1"/>
  <c r="AQ11" i="12"/>
  <c r="R12" i="13" s="1"/>
  <c r="BW24" i="12"/>
  <c r="AX25" i="13" s="1"/>
  <c r="BG24" i="12"/>
  <c r="AH25" i="13" s="1"/>
  <c r="AQ24" i="12"/>
  <c r="R25" i="13" s="1"/>
  <c r="BW33" i="12"/>
  <c r="AX34" i="13" s="1"/>
  <c r="BG33" i="12"/>
  <c r="AH34" i="13" s="1"/>
  <c r="AQ33" i="12"/>
  <c r="R34" i="13" s="1"/>
  <c r="BW4" i="12"/>
  <c r="BG4" i="12"/>
  <c r="AQ4" i="12"/>
  <c r="AA4" i="12"/>
  <c r="CL79" i="12"/>
  <c r="BV79" i="12"/>
  <c r="BF79" i="12"/>
  <c r="AP79" i="12"/>
  <c r="BF116" i="12"/>
  <c r="CL116" i="12"/>
  <c r="BV116" i="12"/>
  <c r="AP116" i="12"/>
  <c r="CL108" i="12"/>
  <c r="BF108" i="12"/>
  <c r="BV108" i="12"/>
  <c r="AP108" i="12"/>
  <c r="CL100" i="12"/>
  <c r="BF100" i="12"/>
  <c r="AP100" i="12"/>
  <c r="BV100" i="12"/>
  <c r="CL92" i="12"/>
  <c r="BF92" i="12"/>
  <c r="AP92" i="12"/>
  <c r="BV92" i="12"/>
  <c r="CL44" i="12"/>
  <c r="BF44" i="12"/>
  <c r="AP44" i="12"/>
  <c r="BV44" i="12"/>
  <c r="CL68" i="12"/>
  <c r="BF68" i="12"/>
  <c r="AP68" i="12"/>
  <c r="BV68" i="12"/>
  <c r="CL60" i="12"/>
  <c r="BF60" i="12"/>
  <c r="AP60" i="12"/>
  <c r="BV60" i="12"/>
  <c r="CL51" i="12"/>
  <c r="BV51" i="12"/>
  <c r="BF51" i="12"/>
  <c r="AP51" i="12"/>
  <c r="CL37" i="12"/>
  <c r="BF37" i="12"/>
  <c r="AP37" i="12"/>
  <c r="BV37" i="12"/>
  <c r="CL47" i="12"/>
  <c r="BV47" i="12"/>
  <c r="BF47" i="12"/>
  <c r="AP47" i="12"/>
  <c r="CL14" i="12"/>
  <c r="BV14" i="12"/>
  <c r="BF14" i="12"/>
  <c r="AP14" i="12"/>
  <c r="CL27" i="12"/>
  <c r="BV27" i="12"/>
  <c r="BF27" i="12"/>
  <c r="AP27" i="12"/>
  <c r="CL28" i="12"/>
  <c r="BF28" i="12"/>
  <c r="AP28" i="12"/>
  <c r="BV28" i="12"/>
  <c r="CC87" i="12"/>
  <c r="BD88" i="13" s="1"/>
  <c r="BM87" i="12"/>
  <c r="AN88" i="13" s="1"/>
  <c r="AW87" i="12"/>
  <c r="X88" i="13" s="1"/>
  <c r="AG87" i="12"/>
  <c r="H88" i="13" s="1"/>
  <c r="BY115" i="12"/>
  <c r="AZ116" i="13" s="1"/>
  <c r="BI115" i="12"/>
  <c r="AJ116" i="13" s="1"/>
  <c r="AS115" i="12"/>
  <c r="T116" i="13" s="1"/>
  <c r="BY107" i="12"/>
  <c r="AZ108" i="13" s="1"/>
  <c r="BI107" i="12"/>
  <c r="AJ108" i="13" s="1"/>
  <c r="AS107" i="12"/>
  <c r="T108" i="13" s="1"/>
  <c r="BY99" i="12"/>
  <c r="AZ100" i="13" s="1"/>
  <c r="BI99" i="12"/>
  <c r="AJ100" i="13" s="1"/>
  <c r="AS99" i="12"/>
  <c r="T100" i="13" s="1"/>
  <c r="BY91" i="12"/>
  <c r="AZ92" i="13" s="1"/>
  <c r="BI91" i="12"/>
  <c r="AJ92" i="13" s="1"/>
  <c r="AS91" i="12"/>
  <c r="T92" i="13" s="1"/>
  <c r="BY31" i="12"/>
  <c r="AZ32" i="13" s="1"/>
  <c r="BI31" i="12"/>
  <c r="AJ32" i="13" s="1"/>
  <c r="AC31" i="12"/>
  <c r="D32" i="13" s="1"/>
  <c r="AS31" i="12"/>
  <c r="T32" i="13" s="1"/>
  <c r="BY49" i="12"/>
  <c r="AZ50" i="13" s="1"/>
  <c r="BI49" i="12"/>
  <c r="AJ50" i="13" s="1"/>
  <c r="AC49" i="12"/>
  <c r="D50" i="13" s="1"/>
  <c r="AS49" i="12"/>
  <c r="T50" i="13" s="1"/>
  <c r="BY85" i="12"/>
  <c r="AZ86" i="13" s="1"/>
  <c r="BI85" i="12"/>
  <c r="AJ86" i="13" s="1"/>
  <c r="AS85" i="12"/>
  <c r="T86" i="13" s="1"/>
  <c r="BY77" i="12"/>
  <c r="AZ78" i="13" s="1"/>
  <c r="BI77" i="12"/>
  <c r="AJ78" i="13" s="1"/>
  <c r="AS77" i="12"/>
  <c r="T78" i="13" s="1"/>
  <c r="BY69" i="12"/>
  <c r="AZ70" i="13" s="1"/>
  <c r="BI69" i="12"/>
  <c r="AJ70" i="13" s="1"/>
  <c r="AS69" i="12"/>
  <c r="T70" i="13" s="1"/>
  <c r="BY61" i="12"/>
  <c r="AZ62" i="13" s="1"/>
  <c r="BI61" i="12"/>
  <c r="AJ62" i="13" s="1"/>
  <c r="AS61" i="12"/>
  <c r="T62" i="13" s="1"/>
  <c r="BY44" i="12"/>
  <c r="AZ45" i="13" s="1"/>
  <c r="BI44" i="12"/>
  <c r="AJ45" i="13" s="1"/>
  <c r="AS44" i="12"/>
  <c r="T45" i="13" s="1"/>
  <c r="AC44" i="12"/>
  <c r="D45" i="13" s="1"/>
  <c r="BY12" i="12"/>
  <c r="BI12" i="12"/>
  <c r="AC12" i="12"/>
  <c r="AS12" i="12"/>
  <c r="BY21" i="12"/>
  <c r="BI21" i="12"/>
  <c r="AC21" i="12"/>
  <c r="AS21" i="12"/>
  <c r="BY30" i="12"/>
  <c r="AZ31" i="13" s="1"/>
  <c r="BI30" i="12"/>
  <c r="AJ31" i="13" s="1"/>
  <c r="AC30" i="12"/>
  <c r="D31" i="13" s="1"/>
  <c r="AS30" i="12"/>
  <c r="T31" i="13" s="1"/>
  <c r="BY4" i="12"/>
  <c r="BI4" i="12"/>
  <c r="AC4" i="12"/>
  <c r="AS4" i="12"/>
  <c r="CE114" i="12"/>
  <c r="BF115" i="13" s="1"/>
  <c r="BO114" i="12"/>
  <c r="AP115" i="13" s="1"/>
  <c r="AY114" i="12"/>
  <c r="Z115" i="13" s="1"/>
  <c r="AI114" i="12"/>
  <c r="J115" i="13" s="1"/>
  <c r="CE106" i="12"/>
  <c r="BF107" i="13" s="1"/>
  <c r="BO106" i="12"/>
  <c r="AP107" i="13" s="1"/>
  <c r="AY106" i="12"/>
  <c r="Z107" i="13" s="1"/>
  <c r="AI106" i="12"/>
  <c r="J107" i="13" s="1"/>
  <c r="CE98" i="12"/>
  <c r="BF99" i="13" s="1"/>
  <c r="BO98" i="12"/>
  <c r="AP99" i="13" s="1"/>
  <c r="AY98" i="12"/>
  <c r="Z99" i="13" s="1"/>
  <c r="AI98" i="12"/>
  <c r="J99" i="13" s="1"/>
  <c r="CE90" i="12"/>
  <c r="BO90" i="12"/>
  <c r="AY90" i="12"/>
  <c r="AI90" i="12"/>
  <c r="CE79" i="12"/>
  <c r="BO79" i="12"/>
  <c r="AY79" i="12"/>
  <c r="AI79" i="12"/>
  <c r="CE71" i="12"/>
  <c r="BO71" i="12"/>
  <c r="AY71" i="12"/>
  <c r="AI71" i="12"/>
  <c r="CE63" i="12"/>
  <c r="BO63" i="12"/>
  <c r="AY63" i="12"/>
  <c r="AI63" i="12"/>
  <c r="CE55" i="12"/>
  <c r="BO55" i="12"/>
  <c r="AY55" i="12"/>
  <c r="AI55" i="12"/>
  <c r="CE50" i="12"/>
  <c r="BO50" i="12"/>
  <c r="AY50" i="12"/>
  <c r="AI50" i="12"/>
  <c r="CE30" i="12"/>
  <c r="BO30" i="12"/>
  <c r="AY30" i="12"/>
  <c r="AI30" i="12"/>
  <c r="CE39" i="12"/>
  <c r="BO39" i="12"/>
  <c r="AY39" i="12"/>
  <c r="AI39" i="12"/>
  <c r="CE7" i="12"/>
  <c r="BO7" i="12"/>
  <c r="AY7" i="12"/>
  <c r="AI7" i="12"/>
  <c r="CE16" i="12"/>
  <c r="BO16" i="12"/>
  <c r="AY16" i="12"/>
  <c r="AI16" i="12"/>
  <c r="CE21" i="12"/>
  <c r="BO21" i="12"/>
  <c r="AY21" i="12"/>
  <c r="AI21" i="12"/>
  <c r="BZ104" i="12"/>
  <c r="BA105" i="13" s="1"/>
  <c r="BJ104" i="12"/>
  <c r="AK105" i="13" s="1"/>
  <c r="AT104" i="12"/>
  <c r="U105" i="13" s="1"/>
  <c r="BX84" i="12"/>
  <c r="AY85" i="13" s="1"/>
  <c r="BH84" i="12"/>
  <c r="AI85" i="13" s="1"/>
  <c r="BX116" i="12"/>
  <c r="AY117" i="13" s="1"/>
  <c r="BH116" i="12"/>
  <c r="AI117" i="13" s="1"/>
  <c r="BX108" i="12"/>
  <c r="AY109" i="13" s="1"/>
  <c r="BH108" i="12"/>
  <c r="AI109" i="13" s="1"/>
  <c r="BX100" i="12"/>
  <c r="AY101" i="13" s="1"/>
  <c r="BH100" i="12"/>
  <c r="AI101" i="13" s="1"/>
  <c r="BX92" i="12"/>
  <c r="AY93" i="13" s="1"/>
  <c r="BH92" i="12"/>
  <c r="AI93" i="13" s="1"/>
  <c r="BX87" i="12"/>
  <c r="AY88" i="13" s="1"/>
  <c r="BH87" i="12"/>
  <c r="AI88" i="13" s="1"/>
  <c r="BX88" i="12"/>
  <c r="AY89" i="13" s="1"/>
  <c r="BH88" i="12"/>
  <c r="AI89" i="13" s="1"/>
  <c r="BX78" i="12"/>
  <c r="AY79" i="13" s="1"/>
  <c r="BH78" i="12"/>
  <c r="AI79" i="13" s="1"/>
  <c r="AR78" i="12"/>
  <c r="S79" i="13" s="1"/>
  <c r="BX44" i="12"/>
  <c r="AY45" i="13" s="1"/>
  <c r="BH44" i="12"/>
  <c r="AI45" i="13" s="1"/>
  <c r="AR44" i="12"/>
  <c r="S45" i="13" s="1"/>
  <c r="BX27" i="12"/>
  <c r="AY28" i="13" s="1"/>
  <c r="BH27" i="12"/>
  <c r="AI28" i="13" s="1"/>
  <c r="AB27" i="12"/>
  <c r="C28" i="13" s="1"/>
  <c r="AR27" i="12"/>
  <c r="S28" i="13" s="1"/>
  <c r="BX36" i="12"/>
  <c r="AY37" i="13" s="1"/>
  <c r="BH36" i="12"/>
  <c r="AI37" i="13" s="1"/>
  <c r="AR36" i="12"/>
  <c r="S37" i="13" s="1"/>
  <c r="AB36" i="12"/>
  <c r="C37" i="13" s="1"/>
  <c r="BX45" i="12"/>
  <c r="AY46" i="13" s="1"/>
  <c r="BH45" i="12"/>
  <c r="AI46" i="13" s="1"/>
  <c r="AR45" i="12"/>
  <c r="S46" i="13" s="1"/>
  <c r="BX13" i="12"/>
  <c r="BH13" i="12"/>
  <c r="AR13" i="12"/>
  <c r="AB13" i="12"/>
  <c r="BX22" i="12"/>
  <c r="AY23" i="13" s="1"/>
  <c r="BH22" i="12"/>
  <c r="AI23" i="13" s="1"/>
  <c r="AR22" i="12"/>
  <c r="S23" i="13" s="1"/>
  <c r="AB22" i="12"/>
  <c r="C23" i="13" s="1"/>
  <c r="CD53" i="12"/>
  <c r="BN53" i="12"/>
  <c r="AX53" i="12"/>
  <c r="AH53" i="12"/>
  <c r="AX115" i="12"/>
  <c r="Y116" i="13" s="1"/>
  <c r="BN115" i="12"/>
  <c r="AO116" i="13" s="1"/>
  <c r="CD115" i="12"/>
  <c r="BE116" i="13" s="1"/>
  <c r="AH115" i="12"/>
  <c r="I116" i="13" s="1"/>
  <c r="CD107" i="12"/>
  <c r="BE108" i="13" s="1"/>
  <c r="AX107" i="12"/>
  <c r="Y108" i="13" s="1"/>
  <c r="BN107" i="12"/>
  <c r="AO108" i="13" s="1"/>
  <c r="AH107" i="12"/>
  <c r="I108" i="13" s="1"/>
  <c r="AX99" i="12"/>
  <c r="Y100" i="13" s="1"/>
  <c r="AH99" i="12"/>
  <c r="I100" i="13" s="1"/>
  <c r="BN99" i="12"/>
  <c r="AO100" i="13" s="1"/>
  <c r="CD99" i="12"/>
  <c r="BE100" i="13" s="1"/>
  <c r="CD91" i="12"/>
  <c r="BE92" i="13" s="1"/>
  <c r="AX91" i="12"/>
  <c r="Y92" i="13" s="1"/>
  <c r="AH91" i="12"/>
  <c r="I92" i="13" s="1"/>
  <c r="BN91" i="12"/>
  <c r="AO92" i="13" s="1"/>
  <c r="AX82" i="12"/>
  <c r="Y83" i="13" s="1"/>
  <c r="AH82" i="12"/>
  <c r="I83" i="13" s="1"/>
  <c r="CD82" i="12"/>
  <c r="BE83" i="13" s="1"/>
  <c r="BN82" i="12"/>
  <c r="AO83" i="13" s="1"/>
  <c r="BN73" i="12"/>
  <c r="AX73" i="12"/>
  <c r="AH73" i="12"/>
  <c r="CD73" i="12"/>
  <c r="BN65" i="12"/>
  <c r="AX65" i="12"/>
  <c r="AH65" i="12"/>
  <c r="CD65" i="12"/>
  <c r="BN57" i="12"/>
  <c r="AX57" i="12"/>
  <c r="AH57" i="12"/>
  <c r="CD57" i="12"/>
  <c r="CD48" i="12"/>
  <c r="AX48" i="12"/>
  <c r="AH48" i="12"/>
  <c r="BN48" i="12"/>
  <c r="CD9" i="12"/>
  <c r="BN9" i="12"/>
  <c r="AH9" i="12"/>
  <c r="AX9" i="12"/>
  <c r="CD22" i="12"/>
  <c r="AX22" i="12"/>
  <c r="AH22" i="12"/>
  <c r="BN22" i="12"/>
  <c r="CD35" i="12"/>
  <c r="AX35" i="12"/>
  <c r="AH35" i="12"/>
  <c r="BN35" i="12"/>
  <c r="CD44" i="12"/>
  <c r="BN44" i="12"/>
  <c r="AX44" i="12"/>
  <c r="AH44" i="12"/>
  <c r="CD12" i="12"/>
  <c r="BN12" i="12"/>
  <c r="AH12" i="12"/>
  <c r="AX12" i="12"/>
  <c r="CJ3" i="12"/>
  <c r="BD3" i="12"/>
  <c r="BT3" i="12"/>
  <c r="AN3" i="12"/>
  <c r="CK81" i="12"/>
  <c r="BU81" i="12"/>
  <c r="BE81" i="12"/>
  <c r="AO81" i="12"/>
  <c r="BU119" i="12"/>
  <c r="CK119" i="12"/>
  <c r="BE119" i="12"/>
  <c r="AO119" i="12"/>
  <c r="CK111" i="12"/>
  <c r="BU111" i="12"/>
  <c r="BE111" i="12"/>
  <c r="AO111" i="12"/>
  <c r="CK103" i="12"/>
  <c r="BU103" i="12"/>
  <c r="BE103" i="12"/>
  <c r="AO103" i="12"/>
  <c r="CK95" i="12"/>
  <c r="AO95" i="12"/>
  <c r="BE95" i="12"/>
  <c r="BU95" i="12"/>
  <c r="CK8" i="12"/>
  <c r="BE8" i="12"/>
  <c r="BU8" i="12"/>
  <c r="AO8" i="12"/>
  <c r="CK76" i="12"/>
  <c r="BU76" i="12"/>
  <c r="BE76" i="12"/>
  <c r="AO76" i="12"/>
  <c r="CK68" i="12"/>
  <c r="BU68" i="12"/>
  <c r="BE68" i="12"/>
  <c r="AO68" i="12"/>
  <c r="CK60" i="12"/>
  <c r="BU60" i="12"/>
  <c r="BE60" i="12"/>
  <c r="AO60" i="12"/>
  <c r="CK24" i="12"/>
  <c r="AO24" i="12"/>
  <c r="BE24" i="12"/>
  <c r="BU24" i="12"/>
  <c r="CK5" i="12"/>
  <c r="BU5" i="12"/>
  <c r="BE5" i="12"/>
  <c r="AO5" i="12"/>
  <c r="CK17" i="12"/>
  <c r="BU17" i="12"/>
  <c r="BE17" i="12"/>
  <c r="AO17" i="12"/>
  <c r="CK22" i="12"/>
  <c r="BU22" i="12"/>
  <c r="BE22" i="12"/>
  <c r="AO22" i="12"/>
  <c r="CK35" i="12"/>
  <c r="AO35" i="12"/>
  <c r="BU35" i="12"/>
  <c r="BE35" i="12"/>
  <c r="BX67" i="12"/>
  <c r="AY68" i="13" s="1"/>
  <c r="BH67" i="12"/>
  <c r="AI68" i="13" s="1"/>
  <c r="AR67" i="12"/>
  <c r="S68" i="13" s="1"/>
  <c r="BZ113" i="12"/>
  <c r="BA114" i="13" s="1"/>
  <c r="BJ113" i="12"/>
  <c r="AK114" i="13" s="1"/>
  <c r="AT113" i="12"/>
  <c r="U114" i="13" s="1"/>
  <c r="CC119" i="12"/>
  <c r="BD120" i="13" s="1"/>
  <c r="BM119" i="12"/>
  <c r="AN120" i="13" s="1"/>
  <c r="AW119" i="12"/>
  <c r="X120" i="13" s="1"/>
  <c r="AG119" i="12"/>
  <c r="H120" i="13" s="1"/>
  <c r="CC111" i="12"/>
  <c r="BD112" i="13" s="1"/>
  <c r="BM111" i="12"/>
  <c r="AN112" i="13" s="1"/>
  <c r="AW111" i="12"/>
  <c r="X112" i="13" s="1"/>
  <c r="AG111" i="12"/>
  <c r="H112" i="13" s="1"/>
  <c r="CC103" i="12"/>
  <c r="BD104" i="13" s="1"/>
  <c r="BM103" i="12"/>
  <c r="AN104" i="13" s="1"/>
  <c r="AW103" i="12"/>
  <c r="X104" i="13" s="1"/>
  <c r="AG103" i="12"/>
  <c r="H104" i="13" s="1"/>
  <c r="CC95" i="12"/>
  <c r="BD96" i="13" s="1"/>
  <c r="BM95" i="12"/>
  <c r="AN96" i="13" s="1"/>
  <c r="AW95" i="12"/>
  <c r="X96" i="13" s="1"/>
  <c r="AG95" i="12"/>
  <c r="H96" i="13" s="1"/>
  <c r="BM78" i="12"/>
  <c r="AN79" i="13" s="1"/>
  <c r="CC78" i="12"/>
  <c r="BD79" i="13" s="1"/>
  <c r="AW78" i="12"/>
  <c r="X79" i="13" s="1"/>
  <c r="AG78" i="12"/>
  <c r="H79" i="13" s="1"/>
  <c r="BM70" i="12"/>
  <c r="AN71" i="13" s="1"/>
  <c r="CC70" i="12"/>
  <c r="BD71" i="13" s="1"/>
  <c r="AW70" i="12"/>
  <c r="X71" i="13" s="1"/>
  <c r="AG70" i="12"/>
  <c r="H71" i="13" s="1"/>
  <c r="BM62" i="12"/>
  <c r="CC62" i="12"/>
  <c r="AW62" i="12"/>
  <c r="AG62" i="12"/>
  <c r="BM54" i="12"/>
  <c r="CC54" i="12"/>
  <c r="AW54" i="12"/>
  <c r="AG54" i="12"/>
  <c r="CC45" i="12"/>
  <c r="BM45" i="12"/>
  <c r="AW45" i="12"/>
  <c r="AG45" i="12"/>
  <c r="CC13" i="12"/>
  <c r="BM13" i="12"/>
  <c r="AW13" i="12"/>
  <c r="AG13" i="12"/>
  <c r="BM14" i="12"/>
  <c r="AW14" i="12"/>
  <c r="CC14" i="12"/>
  <c r="AG14" i="12"/>
  <c r="CC27" i="12"/>
  <c r="BM27" i="12"/>
  <c r="AW27" i="12"/>
  <c r="AG27" i="12"/>
  <c r="CC32" i="12"/>
  <c r="BM32" i="12"/>
  <c r="AW32" i="12"/>
  <c r="AG32" i="12"/>
  <c r="CB36" i="12"/>
  <c r="BL36" i="12"/>
  <c r="AV36" i="12"/>
  <c r="AF36" i="12"/>
  <c r="CB117" i="12"/>
  <c r="BC118" i="13" s="1"/>
  <c r="BL117" i="12"/>
  <c r="AM118" i="13" s="1"/>
  <c r="AV117" i="12"/>
  <c r="W118" i="13" s="1"/>
  <c r="AF117" i="12"/>
  <c r="G118" i="13" s="1"/>
  <c r="CB109" i="12"/>
  <c r="BC110" i="13" s="1"/>
  <c r="BL109" i="12"/>
  <c r="AM110" i="13" s="1"/>
  <c r="AV109" i="12"/>
  <c r="W110" i="13" s="1"/>
  <c r="AF109" i="12"/>
  <c r="G110" i="13" s="1"/>
  <c r="CB101" i="12"/>
  <c r="BC102" i="13" s="1"/>
  <c r="BL101" i="12"/>
  <c r="AM102" i="13" s="1"/>
  <c r="AV101" i="12"/>
  <c r="W102" i="13" s="1"/>
  <c r="AF101" i="12"/>
  <c r="G102" i="13" s="1"/>
  <c r="CB93" i="12"/>
  <c r="BC94" i="13" s="1"/>
  <c r="BL93" i="12"/>
  <c r="AM94" i="13" s="1"/>
  <c r="AV93" i="12"/>
  <c r="W94" i="13" s="1"/>
  <c r="AF93" i="12"/>
  <c r="G94" i="13" s="1"/>
  <c r="CB87" i="12"/>
  <c r="BC88" i="13" s="1"/>
  <c r="BL87" i="12"/>
  <c r="AM88" i="13" s="1"/>
  <c r="AV87" i="12"/>
  <c r="W88" i="13" s="1"/>
  <c r="AF87" i="12"/>
  <c r="G88" i="13" s="1"/>
  <c r="CB79" i="12"/>
  <c r="BC80" i="13" s="1"/>
  <c r="BL79" i="12"/>
  <c r="AM80" i="13" s="1"/>
  <c r="AV79" i="12"/>
  <c r="W80" i="13" s="1"/>
  <c r="AF79" i="12"/>
  <c r="G80" i="13" s="1"/>
  <c r="CB71" i="12"/>
  <c r="BC72" i="13" s="1"/>
  <c r="BL71" i="12"/>
  <c r="AM72" i="13" s="1"/>
  <c r="AV71" i="12"/>
  <c r="W72" i="13" s="1"/>
  <c r="AF71" i="12"/>
  <c r="G72" i="13" s="1"/>
  <c r="CB63" i="12"/>
  <c r="BC64" i="13" s="1"/>
  <c r="BL63" i="12"/>
  <c r="AM64" i="13" s="1"/>
  <c r="AV63" i="12"/>
  <c r="W64" i="13" s="1"/>
  <c r="AF63" i="12"/>
  <c r="G64" i="13" s="1"/>
  <c r="CB55" i="12"/>
  <c r="BL55" i="12"/>
  <c r="AV55" i="12"/>
  <c r="AF55" i="12"/>
  <c r="BL41" i="12"/>
  <c r="AV41" i="12"/>
  <c r="CB41" i="12"/>
  <c r="AF41" i="12"/>
  <c r="BL9" i="12"/>
  <c r="AV9" i="12"/>
  <c r="CB9" i="12"/>
  <c r="AF9" i="12"/>
  <c r="CB47" i="12"/>
  <c r="BL47" i="12"/>
  <c r="AV47" i="12"/>
  <c r="AF47" i="12"/>
  <c r="CB18" i="12"/>
  <c r="BL18" i="12"/>
  <c r="AV18" i="12"/>
  <c r="AF18" i="12"/>
  <c r="CB31" i="12"/>
  <c r="BL31" i="12"/>
  <c r="AV31" i="12"/>
  <c r="AF31" i="12"/>
  <c r="CJ87" i="12"/>
  <c r="BT87" i="12"/>
  <c r="BD87" i="12"/>
  <c r="AN87" i="12"/>
  <c r="CJ116" i="12"/>
  <c r="BT116" i="12"/>
  <c r="BD116" i="12"/>
  <c r="AN116" i="12"/>
  <c r="CJ108" i="12"/>
  <c r="BT108" i="12"/>
  <c r="BD108" i="12"/>
  <c r="AN108" i="12"/>
  <c r="CJ100" i="12"/>
  <c r="BT100" i="12"/>
  <c r="BD100" i="12"/>
  <c r="AN100" i="12"/>
  <c r="CJ92" i="12"/>
  <c r="BT92" i="12"/>
  <c r="BD92" i="12"/>
  <c r="AN92" i="12"/>
  <c r="CJ83" i="12"/>
  <c r="BT83" i="12"/>
  <c r="BD83" i="12"/>
  <c r="AN83" i="12"/>
  <c r="CJ75" i="12"/>
  <c r="BT75" i="12"/>
  <c r="BD75" i="12"/>
  <c r="AN75" i="12"/>
  <c r="CJ67" i="12"/>
  <c r="BT67" i="12"/>
  <c r="BD67" i="12"/>
  <c r="AN67" i="12"/>
  <c r="CJ59" i="12"/>
  <c r="BT59" i="12"/>
  <c r="BD59" i="12"/>
  <c r="AN59" i="12"/>
  <c r="CJ44" i="12"/>
  <c r="BT44" i="12"/>
  <c r="BD44" i="12"/>
  <c r="AN44" i="12"/>
  <c r="CJ12" i="12"/>
  <c r="BT12" i="12"/>
  <c r="BD12" i="12"/>
  <c r="AN12" i="12"/>
  <c r="CJ17" i="12"/>
  <c r="BT17" i="12"/>
  <c r="BD17" i="12"/>
  <c r="AN17" i="12"/>
  <c r="CJ48" i="12"/>
  <c r="BT48" i="12"/>
  <c r="BD48" i="12"/>
  <c r="AN48" i="12"/>
  <c r="CJ22" i="12"/>
  <c r="BT22" i="12"/>
  <c r="BD22" i="12"/>
  <c r="AN22" i="12"/>
  <c r="BT31" i="12"/>
  <c r="CJ31" i="12"/>
  <c r="BD31" i="12"/>
  <c r="AN31" i="12"/>
  <c r="CH92" i="12"/>
  <c r="BR92" i="12"/>
  <c r="BB92" i="12"/>
  <c r="AL92" i="12"/>
  <c r="CH112" i="12"/>
  <c r="BR112" i="12"/>
  <c r="BB112" i="12"/>
  <c r="AL112" i="12"/>
  <c r="BZ114" i="12"/>
  <c r="BA115" i="13" s="1"/>
  <c r="BJ114" i="12"/>
  <c r="AK115" i="13" s="1"/>
  <c r="AT114" i="12"/>
  <c r="U115" i="13" s="1"/>
  <c r="BZ102" i="12"/>
  <c r="BA103" i="13" s="1"/>
  <c r="BJ102" i="12"/>
  <c r="AK103" i="13" s="1"/>
  <c r="AT102" i="12"/>
  <c r="U103" i="13" s="1"/>
  <c r="CE122" i="12"/>
  <c r="BF123" i="13" s="1"/>
  <c r="BO122" i="12"/>
  <c r="AP123" i="13" s="1"/>
  <c r="AY122" i="12"/>
  <c r="Z123" i="13" s="1"/>
  <c r="AI122" i="12"/>
  <c r="J123" i="13" s="1"/>
  <c r="V14" i="11"/>
  <c r="U15" i="11"/>
  <c r="U20" i="11"/>
  <c r="V19" i="11"/>
  <c r="U21" i="11" l="1"/>
  <c r="V20" i="11"/>
  <c r="U16" i="11"/>
  <c r="V15" i="11"/>
  <c r="V16" i="11" l="1"/>
  <c r="V18" i="11"/>
  <c r="U22" i="11"/>
  <c r="V22" i="11" s="1"/>
  <c r="V21" i="11"/>
  <c r="X16" i="2" l="1"/>
  <c r="Y16" i="2"/>
  <c r="Z16" i="2"/>
  <c r="AA16" i="2"/>
  <c r="AB16" i="2"/>
  <c r="AC16" i="2"/>
  <c r="AD16" i="2"/>
  <c r="AE16" i="2"/>
  <c r="AF16" i="2"/>
  <c r="W16" i="2"/>
  <c r="S5" i="10"/>
  <c r="R17" i="10" l="1"/>
  <c r="Q17" i="10"/>
  <c r="G42" i="10"/>
  <c r="I42" i="10"/>
  <c r="K42" i="10"/>
  <c r="M42" i="10"/>
  <c r="O42" i="10"/>
  <c r="Q42" i="10"/>
  <c r="S42" i="10"/>
  <c r="U42" i="10"/>
  <c r="G12" i="10"/>
  <c r="H12" i="10" s="1"/>
  <c r="I12" i="10" s="1"/>
  <c r="J12" i="10" s="1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N11" i="10"/>
  <c r="M11" i="10"/>
  <c r="M5" i="10"/>
  <c r="M9" i="10" s="1"/>
  <c r="N9" i="10" s="1"/>
  <c r="M18" i="10" s="1"/>
  <c r="M17" i="10"/>
  <c r="E17" i="10"/>
  <c r="F15" i="10"/>
  <c r="F17" i="10" s="1"/>
  <c r="T17" i="10"/>
  <c r="T41" i="10"/>
  <c r="T42" i="10" s="1"/>
  <c r="T40" i="10"/>
  <c r="S17" i="10"/>
  <c r="S16" i="10"/>
  <c r="T15" i="10"/>
  <c r="T16" i="10" s="1"/>
  <c r="AC3" i="2"/>
  <c r="AC72" i="2" s="1"/>
  <c r="AC73" i="2" s="1"/>
  <c r="AB3" i="2"/>
  <c r="AB72" i="2" s="1"/>
  <c r="AB73" i="2" s="1"/>
  <c r="AA3" i="2"/>
  <c r="AA72" i="2" s="1"/>
  <c r="AA73" i="2" s="1"/>
  <c r="Z3" i="2"/>
  <c r="Z72" i="2" s="1"/>
  <c r="Z73" i="2" s="1"/>
  <c r="Y3" i="2"/>
  <c r="Y72" i="2" s="1"/>
  <c r="Y73" i="2" s="1"/>
  <c r="X3" i="2"/>
  <c r="X72" i="2" s="1"/>
  <c r="X73" i="2" s="1"/>
  <c r="W3" i="2"/>
  <c r="W72" i="2" s="1"/>
  <c r="W73" i="2" s="1"/>
  <c r="N18" i="10" l="1"/>
  <c r="I18" i="11" l="1"/>
  <c r="E18" i="11"/>
  <c r="G18" i="11"/>
  <c r="K18" i="11"/>
  <c r="C18" i="11"/>
  <c r="E6" i="11"/>
  <c r="M18" i="11"/>
  <c r="O18" i="11"/>
  <c r="S18" i="11"/>
  <c r="Q18" i="11"/>
  <c r="C6" i="11"/>
  <c r="G6" i="11"/>
  <c r="I6" i="11"/>
  <c r="K6" i="11"/>
  <c r="M6" i="11"/>
  <c r="O6" i="11"/>
  <c r="Q6" i="11"/>
  <c r="S6" i="11"/>
  <c r="I12" i="11"/>
  <c r="I9" i="11"/>
  <c r="G12" i="11"/>
  <c r="E12" i="11"/>
  <c r="C12" i="11"/>
  <c r="G9" i="11"/>
  <c r="E9" i="11"/>
  <c r="C9" i="11"/>
  <c r="S12" i="11"/>
  <c r="Q12" i="11"/>
  <c r="O12" i="11"/>
  <c r="M12" i="11"/>
  <c r="S9" i="11"/>
  <c r="Q9" i="11"/>
  <c r="O9" i="11"/>
  <c r="M9" i="11"/>
  <c r="K12" i="11"/>
  <c r="K9" i="11"/>
  <c r="V41" i="10"/>
  <c r="V40" i="10"/>
  <c r="U16" i="10"/>
  <c r="V15" i="10"/>
  <c r="V16" i="10" s="1"/>
  <c r="V11" i="10"/>
  <c r="U11" i="10"/>
  <c r="U5" i="10"/>
  <c r="U9" i="10" s="1"/>
  <c r="V9" i="10" s="1"/>
  <c r="U43" i="10" s="1"/>
  <c r="T11" i="10"/>
  <c r="S11" i="10"/>
  <c r="S9" i="10"/>
  <c r="T9" i="10" s="1"/>
  <c r="R41" i="10"/>
  <c r="R40" i="10"/>
  <c r="Q16" i="10"/>
  <c r="R15" i="10"/>
  <c r="R16" i="10" s="1"/>
  <c r="R11" i="10"/>
  <c r="Q11" i="10"/>
  <c r="Q5" i="10"/>
  <c r="Q9" i="10" s="1"/>
  <c r="R9" i="10" s="1"/>
  <c r="Q43" i="10" s="1"/>
  <c r="P41" i="10"/>
  <c r="P40" i="10"/>
  <c r="O16" i="10"/>
  <c r="P15" i="10"/>
  <c r="P16" i="10" s="1"/>
  <c r="P11" i="10"/>
  <c r="O11" i="10"/>
  <c r="O5" i="10"/>
  <c r="O9" i="10" s="1"/>
  <c r="P9" i="10" s="1"/>
  <c r="N41" i="10"/>
  <c r="N40" i="10"/>
  <c r="N16" i="10"/>
  <c r="M16" i="10"/>
  <c r="N15" i="10"/>
  <c r="N17" i="10" s="1"/>
  <c r="M43" i="10"/>
  <c r="K5" i="10"/>
  <c r="K9" i="10" s="1"/>
  <c r="L9" i="10" s="1"/>
  <c r="K43" i="10" s="1"/>
  <c r="I5" i="10"/>
  <c r="I9" i="10" s="1"/>
  <c r="J9" i="10" s="1"/>
  <c r="I43" i="10" s="1"/>
  <c r="G5" i="10"/>
  <c r="G9" i="10" s="1"/>
  <c r="H9" i="10" s="1"/>
  <c r="G11" i="10"/>
  <c r="G17" i="10" s="1"/>
  <c r="H11" i="10"/>
  <c r="H15" i="10"/>
  <c r="H16" i="10" s="1"/>
  <c r="G16" i="10"/>
  <c r="H40" i="10"/>
  <c r="H41" i="10"/>
  <c r="E9" i="10"/>
  <c r="F9" i="10" s="1"/>
  <c r="E11" i="10"/>
  <c r="F11" i="10"/>
  <c r="F12" i="10"/>
  <c r="F13" i="10"/>
  <c r="F16" i="10"/>
  <c r="E16" i="10"/>
  <c r="E28" i="10"/>
  <c r="E29" i="10" s="1"/>
  <c r="F40" i="10"/>
  <c r="F41" i="10"/>
  <c r="E42" i="10"/>
  <c r="L41" i="10"/>
  <c r="J41" i="10"/>
  <c r="L40" i="10"/>
  <c r="J40" i="10"/>
  <c r="K16" i="10"/>
  <c r="I16" i="10"/>
  <c r="L15" i="10"/>
  <c r="L16" i="10" s="1"/>
  <c r="J15" i="10"/>
  <c r="J16" i="10" s="1"/>
  <c r="L11" i="10"/>
  <c r="K11" i="10"/>
  <c r="K17" i="10" s="1"/>
  <c r="J11" i="10"/>
  <c r="I11" i="10"/>
  <c r="I17" i="10" s="1"/>
  <c r="G13" i="10" l="1"/>
  <c r="F28" i="10"/>
  <c r="K18" i="10"/>
  <c r="I18" i="10"/>
  <c r="F42" i="10"/>
  <c r="V43" i="10"/>
  <c r="V42" i="10"/>
  <c r="R42" i="10"/>
  <c r="P42" i="10"/>
  <c r="N43" i="10"/>
  <c r="N42" i="10"/>
  <c r="L42" i="10"/>
  <c r="J42" i="10"/>
  <c r="H42" i="10"/>
  <c r="F18" i="10"/>
  <c r="F19" i="10" s="1"/>
  <c r="E18" i="10"/>
  <c r="E19" i="10" s="1"/>
  <c r="R43" i="10"/>
  <c r="T18" i="10"/>
  <c r="T19" i="10" s="1"/>
  <c r="S18" i="10"/>
  <c r="S19" i="10" s="1"/>
  <c r="T43" i="10"/>
  <c r="S43" i="10"/>
  <c r="E13" i="11"/>
  <c r="E14" i="11" s="1"/>
  <c r="O13" i="11"/>
  <c r="O14" i="11" s="1"/>
  <c r="P14" i="11" s="1"/>
  <c r="G13" i="11"/>
  <c r="H13" i="11" s="1"/>
  <c r="Q13" i="11"/>
  <c r="R13" i="11" s="1"/>
  <c r="I13" i="11"/>
  <c r="J13" i="11" s="1"/>
  <c r="M13" i="11"/>
  <c r="N13" i="11" s="1"/>
  <c r="K13" i="11"/>
  <c r="K14" i="11" s="1"/>
  <c r="K15" i="11" s="1"/>
  <c r="K16" i="11" s="1"/>
  <c r="K19" i="11" s="1"/>
  <c r="K20" i="11" s="1"/>
  <c r="K21" i="11" s="1"/>
  <c r="K22" i="11" s="1"/>
  <c r="C13" i="11"/>
  <c r="C14" i="11" s="1"/>
  <c r="D14" i="11" s="1"/>
  <c r="G14" i="11"/>
  <c r="S13" i="11"/>
  <c r="S14" i="11" s="1"/>
  <c r="Q18" i="10"/>
  <c r="Q19" i="10" s="1"/>
  <c r="Q21" i="10" s="1"/>
  <c r="J43" i="10"/>
  <c r="L43" i="10"/>
  <c r="O43" i="10"/>
  <c r="O18" i="10"/>
  <c r="P43" i="10"/>
  <c r="V17" i="10"/>
  <c r="U17" i="10"/>
  <c r="U18" i="10" s="1"/>
  <c r="R18" i="10"/>
  <c r="P17" i="10"/>
  <c r="P18" i="10" s="1"/>
  <c r="P19" i="10" s="1"/>
  <c r="P21" i="10" s="1"/>
  <c r="O17" i="10"/>
  <c r="E43" i="10"/>
  <c r="G43" i="10"/>
  <c r="H43" i="10"/>
  <c r="G18" i="10"/>
  <c r="G19" i="10" s="1"/>
  <c r="H17" i="10"/>
  <c r="E30" i="10"/>
  <c r="F43" i="10"/>
  <c r="L17" i="10"/>
  <c r="L18" i="10" s="1"/>
  <c r="K19" i="10"/>
  <c r="K21" i="10" s="1"/>
  <c r="J17" i="10"/>
  <c r="J18" i="10" s="1"/>
  <c r="F29" i="10" l="1"/>
  <c r="F30" i="10"/>
  <c r="F31" i="10" s="1"/>
  <c r="F32" i="10" s="1"/>
  <c r="H13" i="10"/>
  <c r="G28" i="10"/>
  <c r="Q24" i="10"/>
  <c r="Q23" i="10"/>
  <c r="Q22" i="10"/>
  <c r="P23" i="10"/>
  <c r="P24" i="10"/>
  <c r="P22" i="10"/>
  <c r="K23" i="10"/>
  <c r="K22" i="10"/>
  <c r="K24" i="10"/>
  <c r="G21" i="10"/>
  <c r="G20" i="10"/>
  <c r="T20" i="10"/>
  <c r="T21" i="10"/>
  <c r="S21" i="10"/>
  <c r="S20" i="10"/>
  <c r="I14" i="11"/>
  <c r="J14" i="11" s="1"/>
  <c r="P13" i="11"/>
  <c r="O15" i="11"/>
  <c r="O16" i="11" s="1"/>
  <c r="F13" i="11"/>
  <c r="Q14" i="11"/>
  <c r="R14" i="11" s="1"/>
  <c r="D13" i="11"/>
  <c r="T13" i="11"/>
  <c r="M14" i="11"/>
  <c r="N14" i="11" s="1"/>
  <c r="H14" i="11"/>
  <c r="G15" i="11"/>
  <c r="C15" i="11"/>
  <c r="E15" i="11"/>
  <c r="F14" i="11"/>
  <c r="T14" i="11"/>
  <c r="S15" i="11"/>
  <c r="N19" i="10"/>
  <c r="V18" i="10"/>
  <c r="V19" i="10" s="1"/>
  <c r="U19" i="10"/>
  <c r="U21" i="10" s="1"/>
  <c r="Q20" i="10"/>
  <c r="R19" i="10"/>
  <c r="R21" i="10" s="1"/>
  <c r="P20" i="10"/>
  <c r="O19" i="10"/>
  <c r="O21" i="10" s="1"/>
  <c r="M19" i="10"/>
  <c r="H18" i="10"/>
  <c r="H19" i="10" s="1"/>
  <c r="H21" i="10" s="1"/>
  <c r="F20" i="10"/>
  <c r="F21" i="10"/>
  <c r="E20" i="10"/>
  <c r="E21" i="10"/>
  <c r="E31" i="10"/>
  <c r="E32" i="10" s="1"/>
  <c r="K20" i="10"/>
  <c r="J19" i="10"/>
  <c r="J21" i="10" s="1"/>
  <c r="I19" i="10"/>
  <c r="I21" i="10" s="1"/>
  <c r="L19" i="10"/>
  <c r="L21" i="10" s="1"/>
  <c r="G29" i="10" l="1"/>
  <c r="G30" i="10"/>
  <c r="I13" i="10"/>
  <c r="H28" i="10"/>
  <c r="F23" i="10"/>
  <c r="F24" i="10"/>
  <c r="F22" i="10"/>
  <c r="E37" i="10"/>
  <c r="E39" i="10" s="1"/>
  <c r="E33" i="10"/>
  <c r="F33" i="10"/>
  <c r="F37" i="10"/>
  <c r="F38" i="10" s="1"/>
  <c r="U24" i="10"/>
  <c r="U23" i="10"/>
  <c r="U22" i="10"/>
  <c r="S23" i="10"/>
  <c r="S22" i="10"/>
  <c r="S24" i="10"/>
  <c r="T24" i="10"/>
  <c r="T23" i="10"/>
  <c r="T22" i="10"/>
  <c r="Q25" i="10"/>
  <c r="Q26" i="10"/>
  <c r="R23" i="10"/>
  <c r="R22" i="10"/>
  <c r="R24" i="10"/>
  <c r="O22" i="10"/>
  <c r="O23" i="10"/>
  <c r="O24" i="10"/>
  <c r="P25" i="10"/>
  <c r="P26" i="10"/>
  <c r="L23" i="10"/>
  <c r="L22" i="10"/>
  <c r="L24" i="10"/>
  <c r="K25" i="10"/>
  <c r="K26" i="10"/>
  <c r="I22" i="10"/>
  <c r="I24" i="10"/>
  <c r="I23" i="10"/>
  <c r="J23" i="10"/>
  <c r="J22" i="10"/>
  <c r="J24" i="10"/>
  <c r="G22" i="10"/>
  <c r="G23" i="10"/>
  <c r="G24" i="10"/>
  <c r="H22" i="10"/>
  <c r="H23" i="10"/>
  <c r="H24" i="10"/>
  <c r="N20" i="10"/>
  <c r="N21" i="10"/>
  <c r="M20" i="10"/>
  <c r="M21" i="10"/>
  <c r="E23" i="10"/>
  <c r="E24" i="10"/>
  <c r="E25" i="10" s="1"/>
  <c r="S56" i="10"/>
  <c r="S57" i="10" s="1"/>
  <c r="T56" i="10"/>
  <c r="T57" i="10" s="1"/>
  <c r="I15" i="11"/>
  <c r="I16" i="11" s="1"/>
  <c r="P15" i="11"/>
  <c r="Q15" i="11"/>
  <c r="R15" i="11" s="1"/>
  <c r="C16" i="11"/>
  <c r="D15" i="11"/>
  <c r="J15" i="11"/>
  <c r="M15" i="11"/>
  <c r="M16" i="11" s="1"/>
  <c r="E16" i="11"/>
  <c r="F15" i="11"/>
  <c r="G16" i="11"/>
  <c r="H15" i="11"/>
  <c r="T15" i="11"/>
  <c r="S16" i="11"/>
  <c r="T18" i="11" s="1"/>
  <c r="P16" i="11"/>
  <c r="V21" i="10"/>
  <c r="V20" i="10"/>
  <c r="U20" i="10"/>
  <c r="R20" i="10"/>
  <c r="Q56" i="10"/>
  <c r="Q57" i="10" s="1"/>
  <c r="O20" i="10"/>
  <c r="P56" i="10"/>
  <c r="P57" i="10" s="1"/>
  <c r="H20" i="10"/>
  <c r="G56" i="10"/>
  <c r="G57" i="10" s="1"/>
  <c r="F34" i="10"/>
  <c r="F35" i="10" s="1"/>
  <c r="F56" i="10"/>
  <c r="F57" i="10" s="1"/>
  <c r="E34" i="10"/>
  <c r="E35" i="10" s="1"/>
  <c r="E56" i="10"/>
  <c r="E57" i="10" s="1"/>
  <c r="E22" i="10"/>
  <c r="L14" i="11"/>
  <c r="L13" i="11"/>
  <c r="I20" i="10"/>
  <c r="L20" i="10"/>
  <c r="J20" i="10"/>
  <c r="K56" i="10"/>
  <c r="K57" i="10" s="1"/>
  <c r="H29" i="10" l="1"/>
  <c r="H30" i="10"/>
  <c r="J13" i="10"/>
  <c r="I28" i="10"/>
  <c r="F47" i="10"/>
  <c r="E47" i="10"/>
  <c r="F25" i="10"/>
  <c r="F26" i="10"/>
  <c r="U26" i="10"/>
  <c r="U25" i="10"/>
  <c r="V23" i="10"/>
  <c r="V24" i="10"/>
  <c r="V22" i="10"/>
  <c r="T26" i="10"/>
  <c r="T25" i="10"/>
  <c r="S25" i="10"/>
  <c r="S26" i="10"/>
  <c r="R26" i="10"/>
  <c r="R25" i="10"/>
  <c r="O26" i="10"/>
  <c r="O25" i="10"/>
  <c r="M24" i="10"/>
  <c r="M22" i="10"/>
  <c r="M23" i="10"/>
  <c r="N24" i="10"/>
  <c r="N22" i="10"/>
  <c r="N23" i="10"/>
  <c r="L25" i="10"/>
  <c r="L26" i="10"/>
  <c r="J26" i="10"/>
  <c r="J25" i="10"/>
  <c r="I26" i="10"/>
  <c r="I25" i="10"/>
  <c r="H25" i="10"/>
  <c r="H26" i="10"/>
  <c r="G26" i="10"/>
  <c r="G25" i="10"/>
  <c r="N56" i="10"/>
  <c r="N57" i="10" s="1"/>
  <c r="N15" i="11"/>
  <c r="Q16" i="11"/>
  <c r="D16" i="11"/>
  <c r="D18" i="11"/>
  <c r="J16" i="11"/>
  <c r="H16" i="11"/>
  <c r="F16" i="11"/>
  <c r="R16" i="11"/>
  <c r="O19" i="11"/>
  <c r="P18" i="11"/>
  <c r="N16" i="11"/>
  <c r="T16" i="11"/>
  <c r="V56" i="10"/>
  <c r="V57" i="10" s="1"/>
  <c r="U56" i="10"/>
  <c r="U57" i="10" s="1"/>
  <c r="R56" i="10"/>
  <c r="R57" i="10" s="1"/>
  <c r="O56" i="10"/>
  <c r="O57" i="10" s="1"/>
  <c r="M56" i="10"/>
  <c r="M57" i="10" s="1"/>
  <c r="G31" i="10"/>
  <c r="G32" i="10" s="1"/>
  <c r="H56" i="10"/>
  <c r="H57" i="10" s="1"/>
  <c r="H31" i="10"/>
  <c r="H32" i="10" s="1"/>
  <c r="E46" i="10"/>
  <c r="F46" i="10"/>
  <c r="E26" i="10"/>
  <c r="E38" i="10"/>
  <c r="E48" i="10"/>
  <c r="E45" i="10"/>
  <c r="E50" i="10"/>
  <c r="E51" i="10" s="1"/>
  <c r="E54" i="10" s="1"/>
  <c r="F48" i="10"/>
  <c r="F39" i="10"/>
  <c r="F45" i="10"/>
  <c r="F50" i="10"/>
  <c r="F51" i="10" s="1"/>
  <c r="F54" i="10" s="1"/>
  <c r="L15" i="11"/>
  <c r="J56" i="10"/>
  <c r="J57" i="10" s="1"/>
  <c r="L56" i="10"/>
  <c r="L57" i="10" s="1"/>
  <c r="I56" i="10"/>
  <c r="I57" i="10" s="1"/>
  <c r="K13" i="10" l="1"/>
  <c r="J28" i="10"/>
  <c r="I30" i="10"/>
  <c r="I31" i="10" s="1"/>
  <c r="I32" i="10" s="1"/>
  <c r="I37" i="10" s="1"/>
  <c r="I38" i="10" s="1"/>
  <c r="I29" i="10"/>
  <c r="V26" i="10"/>
  <c r="V25" i="10"/>
  <c r="N25" i="10"/>
  <c r="N26" i="10"/>
  <c r="M25" i="10"/>
  <c r="M26" i="10"/>
  <c r="I33" i="10"/>
  <c r="H33" i="10"/>
  <c r="H37" i="10"/>
  <c r="H38" i="10" s="1"/>
  <c r="G37" i="10"/>
  <c r="G38" i="10" s="1"/>
  <c r="G33" i="10"/>
  <c r="J18" i="11"/>
  <c r="I19" i="11"/>
  <c r="C19" i="11"/>
  <c r="D19" i="11" s="1"/>
  <c r="F18" i="11"/>
  <c r="E19" i="11"/>
  <c r="H18" i="11"/>
  <c r="G19" i="11"/>
  <c r="O20" i="11"/>
  <c r="P19" i="11"/>
  <c r="S19" i="11"/>
  <c r="N18" i="11"/>
  <c r="M19" i="11"/>
  <c r="R18" i="11"/>
  <c r="Q19" i="11"/>
  <c r="L16" i="11"/>
  <c r="L18" i="11"/>
  <c r="G34" i="10"/>
  <c r="G35" i="10" s="1"/>
  <c r="H34" i="10"/>
  <c r="H35" i="10" s="1"/>
  <c r="F52" i="10"/>
  <c r="E52" i="10"/>
  <c r="L19" i="11"/>
  <c r="J29" i="10" l="1"/>
  <c r="J30" i="10"/>
  <c r="J31" i="10" s="1"/>
  <c r="J32" i="10" s="1"/>
  <c r="L13" i="10"/>
  <c r="K28" i="10"/>
  <c r="J33" i="10"/>
  <c r="J37" i="10"/>
  <c r="J38" i="10" s="1"/>
  <c r="G47" i="10"/>
  <c r="J19" i="11"/>
  <c r="I20" i="11"/>
  <c r="H19" i="11"/>
  <c r="G20" i="11"/>
  <c r="C20" i="11"/>
  <c r="D20" i="11" s="1"/>
  <c r="F19" i="11"/>
  <c r="E20" i="11"/>
  <c r="T19" i="11"/>
  <c r="S20" i="11"/>
  <c r="R19" i="11"/>
  <c r="Q20" i="11"/>
  <c r="M20" i="11"/>
  <c r="N19" i="11"/>
  <c r="O21" i="11"/>
  <c r="P20" i="11"/>
  <c r="I34" i="10"/>
  <c r="I35" i="10" s="1"/>
  <c r="G39" i="10"/>
  <c r="G45" i="10"/>
  <c r="G50" i="10"/>
  <c r="G51" i="10" s="1"/>
  <c r="G54" i="10" s="1"/>
  <c r="G48" i="10"/>
  <c r="H48" i="10"/>
  <c r="H39" i="10"/>
  <c r="H45" i="10"/>
  <c r="H50" i="10"/>
  <c r="H51" i="10" s="1"/>
  <c r="H54" i="10" s="1"/>
  <c r="H47" i="10"/>
  <c r="H46" i="10"/>
  <c r="G46" i="10"/>
  <c r="L20" i="11"/>
  <c r="I47" i="10"/>
  <c r="K29" i="10" l="1"/>
  <c r="K30" i="10"/>
  <c r="K31" i="10" s="1"/>
  <c r="K32" i="10" s="1"/>
  <c r="K37" i="10" s="1"/>
  <c r="K38" i="10" s="1"/>
  <c r="M13" i="10"/>
  <c r="L28" i="10"/>
  <c r="G52" i="10"/>
  <c r="I21" i="11"/>
  <c r="J20" i="11"/>
  <c r="E21" i="11"/>
  <c r="F20" i="11"/>
  <c r="H20" i="11"/>
  <c r="G21" i="11"/>
  <c r="C21" i="11"/>
  <c r="D21" i="11" s="1"/>
  <c r="P21" i="11"/>
  <c r="O22" i="11"/>
  <c r="P22" i="11" s="1"/>
  <c r="R20" i="11"/>
  <c r="Q21" i="11"/>
  <c r="T20" i="11"/>
  <c r="S21" i="11"/>
  <c r="M21" i="11"/>
  <c r="N20" i="11"/>
  <c r="J34" i="10"/>
  <c r="J35" i="10" s="1"/>
  <c r="I45" i="10"/>
  <c r="I48" i="10"/>
  <c r="I39" i="10"/>
  <c r="I46" i="10"/>
  <c r="H52" i="10"/>
  <c r="L21" i="11"/>
  <c r="I50" i="10"/>
  <c r="L29" i="10" l="1"/>
  <c r="L30" i="10"/>
  <c r="L31" i="10" s="1"/>
  <c r="L32" i="10" s="1"/>
  <c r="L34" i="10" s="1"/>
  <c r="L35" i="10" s="1"/>
  <c r="N13" i="10"/>
  <c r="M28" i="10"/>
  <c r="K33" i="10"/>
  <c r="I22" i="11"/>
  <c r="J22" i="11" s="1"/>
  <c r="J21" i="11"/>
  <c r="C22" i="11"/>
  <c r="D22" i="11" s="1"/>
  <c r="G22" i="11"/>
  <c r="H22" i="11" s="1"/>
  <c r="H21" i="11"/>
  <c r="F21" i="11"/>
  <c r="E22" i="11"/>
  <c r="F22" i="11" s="1"/>
  <c r="T21" i="11"/>
  <c r="S22" i="11"/>
  <c r="T22" i="11" s="1"/>
  <c r="R21" i="11"/>
  <c r="Q22" i="11"/>
  <c r="R22" i="11" s="1"/>
  <c r="N21" i="11"/>
  <c r="M22" i="11"/>
  <c r="N22" i="11" s="1"/>
  <c r="I51" i="10"/>
  <c r="I52" i="10" s="1"/>
  <c r="J45" i="10"/>
  <c r="J48" i="10"/>
  <c r="J39" i="10"/>
  <c r="J47" i="10"/>
  <c r="K34" i="10"/>
  <c r="K35" i="10" s="1"/>
  <c r="J46" i="10"/>
  <c r="L22" i="11"/>
  <c r="K47" i="10"/>
  <c r="J50" i="10"/>
  <c r="M30" i="10" l="1"/>
  <c r="M31" i="10" s="1"/>
  <c r="M32" i="10" s="1"/>
  <c r="M29" i="10"/>
  <c r="O13" i="10"/>
  <c r="N28" i="10"/>
  <c r="L37" i="10"/>
  <c r="L38" i="10" s="1"/>
  <c r="L33" i="10"/>
  <c r="I54" i="10"/>
  <c r="K48" i="10"/>
  <c r="K45" i="10"/>
  <c r="K39" i="10"/>
  <c r="K46" i="10"/>
  <c r="J51" i="10"/>
  <c r="J54" i="10" s="1"/>
  <c r="K50" i="10"/>
  <c r="P13" i="10" l="1"/>
  <c r="O28" i="10"/>
  <c r="L45" i="10"/>
  <c r="L50" i="10"/>
  <c r="L46" i="10"/>
  <c r="L47" i="10"/>
  <c r="L48" i="10"/>
  <c r="L39" i="10"/>
  <c r="N29" i="10"/>
  <c r="N30" i="10"/>
  <c r="M37" i="10"/>
  <c r="M38" i="10" s="1"/>
  <c r="M33" i="10"/>
  <c r="J52" i="10"/>
  <c r="M34" i="10"/>
  <c r="M35" i="10" s="1"/>
  <c r="K51" i="10"/>
  <c r="K54" i="10" s="1"/>
  <c r="L51" i="10"/>
  <c r="L52" i="10" s="1"/>
  <c r="N31" i="10"/>
  <c r="N32" i="10" s="1"/>
  <c r="O30" i="10" l="1"/>
  <c r="O31" i="10" s="1"/>
  <c r="O32" i="10" s="1"/>
  <c r="O29" i="10"/>
  <c r="Q13" i="10"/>
  <c r="P28" i="10"/>
  <c r="N33" i="10"/>
  <c r="N37" i="10"/>
  <c r="N38" i="10" s="1"/>
  <c r="M46" i="10"/>
  <c r="K52" i="10"/>
  <c r="N34" i="10"/>
  <c r="N35" i="10" s="1"/>
  <c r="L54" i="10"/>
  <c r="M48" i="10"/>
  <c r="M45" i="10"/>
  <c r="M39" i="10"/>
  <c r="M50" i="10"/>
  <c r="M47" i="10"/>
  <c r="P29" i="10" l="1"/>
  <c r="P30" i="10"/>
  <c r="P31" i="10" s="1"/>
  <c r="P32" i="10" s="1"/>
  <c r="R13" i="10"/>
  <c r="Q28" i="10"/>
  <c r="O33" i="10"/>
  <c r="O37" i="10"/>
  <c r="O38" i="10" s="1"/>
  <c r="N48" i="10"/>
  <c r="N39" i="10"/>
  <c r="N45" i="10"/>
  <c r="N50" i="10"/>
  <c r="O34" i="10"/>
  <c r="O35" i="10" s="1"/>
  <c r="O47" i="10"/>
  <c r="O46" i="10"/>
  <c r="M51" i="10"/>
  <c r="M52" i="10" s="1"/>
  <c r="N46" i="10"/>
  <c r="N47" i="10"/>
  <c r="AF3" i="2"/>
  <c r="AF72" i="2" s="1"/>
  <c r="AF73" i="2" s="1"/>
  <c r="AE3" i="2"/>
  <c r="AE72" i="2" s="1"/>
  <c r="AE73" i="2" s="1"/>
  <c r="Q30" i="10" l="1"/>
  <c r="Q31" i="10" s="1"/>
  <c r="Q32" i="10" s="1"/>
  <c r="Q29" i="10"/>
  <c r="S13" i="10"/>
  <c r="R28" i="10"/>
  <c r="P33" i="10"/>
  <c r="P37" i="10"/>
  <c r="P38" i="10" s="1"/>
  <c r="N51" i="10"/>
  <c r="N52" i="10" s="1"/>
  <c r="O50" i="10"/>
  <c r="O51" i="10" s="1"/>
  <c r="O54" i="10" s="1"/>
  <c r="O45" i="10"/>
  <c r="O48" i="10"/>
  <c r="O39" i="10"/>
  <c r="P34" i="10"/>
  <c r="P35" i="10" s="1"/>
  <c r="M54" i="10"/>
  <c r="AD3" i="2"/>
  <c r="AD72" i="2" s="1"/>
  <c r="AD73" i="2" s="1"/>
  <c r="R29" i="10" l="1"/>
  <c r="R30" i="10"/>
  <c r="S28" i="10"/>
  <c r="T13" i="10"/>
  <c r="Q33" i="10"/>
  <c r="Q37" i="10"/>
  <c r="Q38" i="10" s="1"/>
  <c r="O52" i="10"/>
  <c r="P46" i="10"/>
  <c r="P50" i="10"/>
  <c r="P51" i="10" s="1"/>
  <c r="P45" i="10"/>
  <c r="P48" i="10"/>
  <c r="P39" i="10"/>
  <c r="P47" i="10"/>
  <c r="Q34" i="10"/>
  <c r="Q35" i="10" s="1"/>
  <c r="N54" i="10"/>
  <c r="R31" i="10"/>
  <c r="R32" i="10" s="1"/>
  <c r="T28" i="10" l="1"/>
  <c r="U13" i="10"/>
  <c r="S29" i="10"/>
  <c r="S30" i="10"/>
  <c r="S31" i="10" s="1"/>
  <c r="S32" i="10" s="1"/>
  <c r="R33" i="10"/>
  <c r="R37" i="10"/>
  <c r="R38" i="10" s="1"/>
  <c r="Q45" i="10"/>
  <c r="Q39" i="10"/>
  <c r="Q48" i="10"/>
  <c r="Q50" i="10"/>
  <c r="R34" i="10"/>
  <c r="R35" i="10" s="1"/>
  <c r="P52" i="10"/>
  <c r="P54" i="10"/>
  <c r="Q47" i="10"/>
  <c r="Q46" i="10"/>
  <c r="S37" i="10" l="1"/>
  <c r="S33" i="10"/>
  <c r="S46" i="10"/>
  <c r="S34" i="10"/>
  <c r="S47" i="10"/>
  <c r="V13" i="10"/>
  <c r="V28" i="10" s="1"/>
  <c r="U28" i="10"/>
  <c r="T29" i="10"/>
  <c r="T30" i="10"/>
  <c r="T31" i="10" s="1"/>
  <c r="T32" i="10" s="1"/>
  <c r="R47" i="10"/>
  <c r="R46" i="10"/>
  <c r="Q51" i="10"/>
  <c r="Q54" i="10" s="1"/>
  <c r="R45" i="10"/>
  <c r="R39" i="10"/>
  <c r="R48" i="10"/>
  <c r="R50" i="10"/>
  <c r="T37" i="10" l="1"/>
  <c r="T46" i="10" s="1"/>
  <c r="T33" i="10"/>
  <c r="T34" i="10"/>
  <c r="U30" i="10"/>
  <c r="U29" i="10"/>
  <c r="V29" i="10"/>
  <c r="V30" i="10"/>
  <c r="S35" i="10"/>
  <c r="S38" i="10"/>
  <c r="S50" i="10"/>
  <c r="S51" i="10" s="1"/>
  <c r="S54" i="10" s="1"/>
  <c r="S48" i="10"/>
  <c r="S39" i="10"/>
  <c r="S45" i="10"/>
  <c r="V31" i="10"/>
  <c r="V32" i="10" s="1"/>
  <c r="U31" i="10"/>
  <c r="U32" i="10" s="1"/>
  <c r="R51" i="10"/>
  <c r="R52" i="10" s="1"/>
  <c r="Q52" i="10"/>
  <c r="S52" i="10" l="1"/>
  <c r="T38" i="10"/>
  <c r="T50" i="10"/>
  <c r="T51" i="10" s="1"/>
  <c r="T54" i="10" s="1"/>
  <c r="T48" i="10"/>
  <c r="T39" i="10"/>
  <c r="T45" i="10"/>
  <c r="T47" i="10"/>
  <c r="T35" i="10"/>
  <c r="T52" i="10"/>
  <c r="U37" i="10"/>
  <c r="U38" i="10" s="1"/>
  <c r="U33" i="10"/>
  <c r="V33" i="10"/>
  <c r="V37" i="10"/>
  <c r="V38" i="10" s="1"/>
  <c r="U34" i="10"/>
  <c r="U35" i="10" s="1"/>
  <c r="R54" i="10"/>
  <c r="V34" i="10"/>
  <c r="V35" i="10" s="1"/>
  <c r="V46" i="10" l="1"/>
  <c r="U45" i="10"/>
  <c r="U39" i="10"/>
  <c r="U48" i="10"/>
  <c r="U50" i="10"/>
  <c r="V45" i="10"/>
  <c r="V48" i="10"/>
  <c r="V39" i="10"/>
  <c r="V50" i="10"/>
  <c r="U47" i="10"/>
  <c r="V47" i="10"/>
  <c r="U46" i="10"/>
  <c r="U51" i="10" l="1"/>
  <c r="U52" i="10" s="1"/>
  <c r="V51" i="10"/>
  <c r="V52" i="10" s="1"/>
  <c r="V54" i="10" l="1"/>
  <c r="U5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</author>
  </authors>
  <commentList>
    <comment ref="B19" authorId="0" shapeId="0" xr:uid="{B1F22898-94D5-478A-A4DE-CF4FB9DA30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duty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정확해짐</t>
        </r>
        <r>
          <rPr>
            <sz val="9"/>
            <color indexed="81"/>
            <rFont val="Tahoma"/>
            <family val="2"/>
          </rPr>
          <t>.
SHSYNC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B24" authorId="1" shapeId="0" xr:uid="{5DD1AD01-9F54-49AD-A2AA-36ACFF5311D6}">
      <text>
        <r>
          <rPr>
            <b/>
            <sz val="9"/>
            <color indexed="81"/>
            <rFont val="Tahoma"/>
            <family val="2"/>
          </rPr>
          <t>oneyj: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가깝게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B45" authorId="0" shapeId="0" xr:uid="{6198440E-AC84-4D14-9F08-80D0D3694F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=ADO propagation delay</t>
        </r>
      </text>
    </comment>
    <comment ref="B48" authorId="1" shapeId="0" xr:uid="{3D40204E-C25C-4942-B45B-C69A3C88F910}">
      <text>
        <r>
          <rPr>
            <b/>
            <sz val="9"/>
            <color indexed="81"/>
            <rFont val="Tahoma"/>
            <family val="2"/>
          </rPr>
          <t>oneyj:</t>
        </r>
        <r>
          <rPr>
            <sz val="9"/>
            <color indexed="81"/>
            <rFont val="Tahoma"/>
            <family val="2"/>
          </rPr>
          <t xml:space="preserve">
residue/SVSYNC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5us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넘으면</t>
        </r>
        <r>
          <rPr>
            <sz val="9"/>
            <color indexed="81"/>
            <rFont val="Tahoma"/>
            <family val="2"/>
          </rPr>
          <t>, HOLD time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margin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B54" authorId="1" shapeId="0" xr:uid="{4DCA6B94-D91D-4F29-8488-C17A50AC461A}">
      <text>
        <r>
          <rPr>
            <b/>
            <sz val="9"/>
            <color indexed="81"/>
            <rFont val="Tahoma"/>
            <family val="2"/>
          </rPr>
          <t>oneyj:</t>
        </r>
        <r>
          <rPr>
            <sz val="9"/>
            <color indexed="81"/>
            <rFont val="Tahoma"/>
            <family val="2"/>
          </rPr>
          <t xml:space="preserve">
120hz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클수록</t>
        </r>
        <r>
          <rPr>
            <sz val="9"/>
            <color indexed="81"/>
            <rFont val="Tahoma"/>
            <family val="2"/>
          </rPr>
          <t xml:space="preserve">VSYNC_IN jitter </t>
        </r>
        <r>
          <rPr>
            <sz val="9"/>
            <color indexed="81"/>
            <rFont val="돋움"/>
            <family val="3"/>
            <charset val="129"/>
          </rPr>
          <t>대응성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높음
</t>
        </r>
        <r>
          <rPr>
            <sz val="9"/>
            <color indexed="81"/>
            <rFont val="Tahoma"/>
            <family val="2"/>
          </rPr>
          <t xml:space="preserve">5us </t>
        </r>
        <r>
          <rPr>
            <sz val="9"/>
            <color indexed="81"/>
            <rFont val="돋움"/>
            <family val="3"/>
            <charset val="129"/>
          </rPr>
          <t>권장</t>
        </r>
      </text>
    </comment>
    <comment ref="B57" authorId="1" shapeId="0" xr:uid="{FCC667B9-6FD8-45F2-8BF3-BF7018F099D0}">
      <text>
        <r>
          <rPr>
            <b/>
            <sz val="9"/>
            <color indexed="81"/>
            <rFont val="Tahoma"/>
            <family val="2"/>
          </rPr>
          <t>oneyj: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작을수록</t>
        </r>
        <r>
          <rPr>
            <sz val="9"/>
            <color indexed="81"/>
            <rFont val="Tahoma"/>
            <family val="2"/>
          </rPr>
          <t xml:space="preserve"> duty </t>
        </r>
        <r>
          <rPr>
            <sz val="9"/>
            <color indexed="81"/>
            <rFont val="돋움"/>
            <family val="3"/>
            <charset val="129"/>
          </rPr>
          <t xml:space="preserve">균일성
</t>
        </r>
        <r>
          <rPr>
            <sz val="9"/>
            <color indexed="81"/>
            <rFont val="Tahoma"/>
            <family val="2"/>
          </rPr>
          <t>(VS_COMP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4" authorId="0" shapeId="0" xr:uid="{4640F55D-6D74-466D-831A-041B1B6B3B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E4" authorId="0" shapeId="0" xr:uid="{9A1C5318-EF5C-41F9-A1B8-F3672CC8FB8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G4" authorId="0" shapeId="0" xr:uid="{39D8C011-0D4A-4ACC-B363-29AC2F15B7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I4" authorId="0" shapeId="0" xr:uid="{E9241A55-EFDB-4B00-A504-D8B322F636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K4" authorId="0" shapeId="0" xr:uid="{78D5FA02-B046-499F-859C-010FA6FD3A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M4" authorId="0" shapeId="0" xr:uid="{996F1883-E6BE-46B5-B280-81A70C64183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O4" authorId="0" shapeId="0" xr:uid="{03271A56-CBC5-4D73-94D0-0C6736F4F5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Q4" authorId="0" shapeId="0" xr:uid="{39827B6F-C2FA-4940-9A5B-617E2478EC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S4" authorId="0" shapeId="0" xr:uid="{08371C74-2006-4AED-9BE1-B6982F883B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U4" authorId="0" shapeId="0" xr:uid="{8ACF7CBB-A533-4EB5-B496-E0E6CAE92A4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 line</t>
        </r>
        <r>
          <rPr>
            <sz val="9"/>
            <color indexed="81"/>
            <rFont val="돋움"/>
            <family val="3"/>
            <charset val="129"/>
          </rPr>
          <t>갯수는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설정하되</t>
        </r>
        <r>
          <rPr>
            <sz val="9"/>
            <color indexed="81"/>
            <rFont val="Tahoma"/>
            <family val="2"/>
          </rPr>
          <t xml:space="preserve"> (cs/hold timing)
svsync_delay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line</t>
        </r>
        <r>
          <rPr>
            <sz val="9"/>
            <color indexed="81"/>
            <rFont val="돋움"/>
            <family val="3"/>
            <charset val="129"/>
          </rPr>
          <t>갯수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sharedStrings.xml><?xml version="1.0" encoding="utf-8"?>
<sst xmlns="http://schemas.openxmlformats.org/spreadsheetml/2006/main" count="567" uniqueCount="339">
  <si>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</si>
  <si>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</si>
  <si>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</si>
  <si>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</si>
  <si>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</si>
  <si>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</si>
  <si>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</si>
  <si>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</si>
  <si>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</si>
  <si>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</si>
  <si>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</si>
  <si>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‘h00</t>
  </si>
  <si>
    <t>SOFT RESET</t>
  </si>
  <si>
    <t>x</t>
  </si>
  <si>
    <t>RST3</t>
  </si>
  <si>
    <t>RST2</t>
  </si>
  <si>
    <t>RST1</t>
  </si>
  <si>
    <t>Address</t>
    <phoneticPr fontId="1" type="noConversion"/>
  </si>
  <si>
    <t>us</t>
    <phoneticPr fontId="1" type="noConversion"/>
  </si>
  <si>
    <t>D15</t>
  </si>
  <si>
    <t>D14</t>
  </si>
  <si>
    <t>D13</t>
  </si>
  <si>
    <t>D12</t>
  </si>
  <si>
    <t>D11</t>
  </si>
  <si>
    <t>DUP_O</t>
  </si>
  <si>
    <t>LD_FORCE</t>
  </si>
  <si>
    <t>LD_I_FIX</t>
  </si>
  <si>
    <t>DUTY_FIX</t>
  </si>
  <si>
    <t>CS_OUT</t>
  </si>
  <si>
    <t>CS/HD_FIX</t>
  </si>
  <si>
    <t>MODE CONTROL</t>
    <phoneticPr fontId="1" type="noConversion"/>
  </si>
  <si>
    <t>FIX CONTROL</t>
    <phoneticPr fontId="1" type="noConversion"/>
  </si>
  <si>
    <t>‘h01</t>
  </si>
  <si>
    <t>‘h02</t>
  </si>
  <si>
    <t>FRAME SIZE</t>
  </si>
  <si>
    <t>SHSYNC_SIZE [5:0]</t>
  </si>
  <si>
    <t>SVSYNC_SIZE [7:0]</t>
  </si>
  <si>
    <t>SVSYNC_START2 [6:0]</t>
  </si>
  <si>
    <t>SVSYNC_START1 [6:0]</t>
  </si>
  <si>
    <t>CH_SIZE [4:0]</t>
  </si>
  <si>
    <t>SVSYNC_DELAY [4:0]</t>
  </si>
  <si>
    <t>SVSYNC OFFSET</t>
  </si>
  <si>
    <t>SVSYNC_OFFSET [14:0]</t>
  </si>
  <si>
    <t>SVSYNC PERIOD</t>
  </si>
  <si>
    <t>SVSYNC_PERIOD [14:0]</t>
  </si>
  <si>
    <t>SHSYNC PERIOD</t>
  </si>
  <si>
    <t>SHSYNC_PERIOD [12:0]</t>
  </si>
  <si>
    <t>HOLD SETUP</t>
  </si>
  <si>
    <t>HOLD_SU [9:0]</t>
  </si>
  <si>
    <t>HOLD ON</t>
  </si>
  <si>
    <t>HOLD_ON [8:0]</t>
  </si>
  <si>
    <t>X PERIOD</t>
  </si>
  <si>
    <t>X_PERIOD [6:0]</t>
  </si>
  <si>
    <t>VS_COMP1 [11:0]</t>
  </si>
  <si>
    <t>VS_COMP2 [9:0]</t>
  </si>
  <si>
    <t>FRAME_CZ [1:0]</t>
  </si>
  <si>
    <t>ch8</t>
  </si>
  <si>
    <t>ch7</t>
  </si>
  <si>
    <t>ch6</t>
  </si>
  <si>
    <t>ch5</t>
  </si>
  <si>
    <t>ch4</t>
  </si>
  <si>
    <t>ch3</t>
  </si>
  <si>
    <t>ch2</t>
  </si>
  <si>
    <t>ch1</t>
  </si>
  <si>
    <t>CH4_STB_DUP_CH[3:0]</t>
  </si>
  <si>
    <t>CH3_STB_DUP_CH[3:0]</t>
  </si>
  <si>
    <t>CH2_STB_DUP_CH[3:0]</t>
  </si>
  <si>
    <t>CH1_STB_DUP_CH[3:0]</t>
  </si>
  <si>
    <t>CH8_STB_DUP_CH[3:0]</t>
  </si>
  <si>
    <t>CH7_STB_DUP_CH[3:0]</t>
  </si>
  <si>
    <t>CH6_STB_DUP_CH[3:0]</t>
  </si>
  <si>
    <t>CH5_STB_DUP_CH[3:0]</t>
  </si>
  <si>
    <t>ch16</t>
  </si>
  <si>
    <t>ch15</t>
  </si>
  <si>
    <t>ch14</t>
  </si>
  <si>
    <t>ch13</t>
  </si>
  <si>
    <t>ch12</t>
  </si>
  <si>
    <t>ch11</t>
  </si>
  <si>
    <t>ch10</t>
  </si>
  <si>
    <t>ch9</t>
  </si>
  <si>
    <t>ch24</t>
  </si>
  <si>
    <t>ch23</t>
  </si>
  <si>
    <t>ch22</t>
  </si>
  <si>
    <t>ch21</t>
  </si>
  <si>
    <t>ch20</t>
  </si>
  <si>
    <t>ch19</t>
  </si>
  <si>
    <t>ch18</t>
  </si>
  <si>
    <t>ch17</t>
  </si>
  <si>
    <t>MCLK_LOCK_CNT</t>
  </si>
  <si>
    <t>MCLK_LOCK_CNT [15:0]</t>
  </si>
  <si>
    <t>MCLK_LOCK_CNT [20:16]</t>
  </si>
  <si>
    <t>‘h03</t>
  </si>
  <si>
    <t>‘h04</t>
  </si>
  <si>
    <t>‘h05</t>
  </si>
  <si>
    <t>‘h06</t>
  </si>
  <si>
    <t>‘h07</t>
  </si>
  <si>
    <t>‘h08</t>
  </si>
  <si>
    <t>‘h09</t>
  </si>
  <si>
    <t>‘h11</t>
  </si>
  <si>
    <t>‘h12</t>
  </si>
  <si>
    <t>‘h13</t>
  </si>
  <si>
    <t>‘h14</t>
  </si>
  <si>
    <t>‘h15</t>
  </si>
  <si>
    <t>‘h0C</t>
    <phoneticPr fontId="1" type="noConversion"/>
  </si>
  <si>
    <t>‘h0D</t>
    <phoneticPr fontId="1" type="noConversion"/>
  </si>
  <si>
    <t>‘h0E</t>
    <phoneticPr fontId="1" type="noConversion"/>
  </si>
  <si>
    <t>‘h0F</t>
    <phoneticPr fontId="1" type="noConversion"/>
  </si>
  <si>
    <t>‘h10</t>
    <phoneticPr fontId="1" type="noConversion"/>
  </si>
  <si>
    <t>var</t>
    <phoneticPr fontId="1" type="noConversion"/>
  </si>
  <si>
    <t>0x0000</t>
    <phoneticPr fontId="1" type="noConversion"/>
  </si>
  <si>
    <t>ea</t>
    <phoneticPr fontId="1" type="noConversion"/>
  </si>
  <si>
    <t>ns</t>
    <phoneticPr fontId="1" type="noConversion"/>
  </si>
  <si>
    <t>variable</t>
    <phoneticPr fontId="1" type="noConversion"/>
  </si>
  <si>
    <t>hz</t>
    <phoneticPr fontId="1" type="noConversion"/>
  </si>
  <si>
    <t>mclk</t>
    <phoneticPr fontId="1" type="noConversion"/>
  </si>
  <si>
    <t>mhz</t>
    <phoneticPr fontId="1" type="noConversion"/>
  </si>
  <si>
    <t>Register</t>
    <phoneticPr fontId="1" type="noConversion"/>
  </si>
  <si>
    <t>@ initial</t>
    <phoneticPr fontId="1" type="noConversion"/>
  </si>
  <si>
    <t>VS_FT</t>
    <phoneticPr fontId="1" type="noConversion"/>
  </si>
  <si>
    <t>VS_COMP</t>
    <phoneticPr fontId="1" type="noConversion"/>
  </si>
  <si>
    <t>HD_FIX</t>
    <phoneticPr fontId="1" type="noConversion"/>
  </si>
  <si>
    <t>HOLD_OUT</t>
    <phoneticPr fontId="1" type="noConversion"/>
  </si>
  <si>
    <t>0x0834</t>
    <phoneticPr fontId="1" type="noConversion"/>
  </si>
  <si>
    <t>DUTY FIX</t>
    <phoneticPr fontId="1" type="noConversion"/>
  </si>
  <si>
    <t>DUTY_FIX [7:0]</t>
    <phoneticPr fontId="1" type="noConversion"/>
  </si>
  <si>
    <t>LD_I FIX</t>
    <phoneticPr fontId="1" type="noConversion"/>
  </si>
  <si>
    <t>LD_I_FIX [11:0]</t>
    <phoneticPr fontId="1" type="noConversion"/>
  </si>
  <si>
    <t>basic common freqeucy</t>
    <phoneticPr fontId="1" type="noConversion"/>
  </si>
  <si>
    <t>khz</t>
    <phoneticPr fontId="1" type="noConversion"/>
  </si>
  <si>
    <t>x</t>
    <phoneticPr fontId="1" type="noConversion"/>
  </si>
  <si>
    <t>common frequence</t>
    <phoneticPr fontId="1" type="noConversion"/>
  </si>
  <si>
    <t>tolerance</t>
    <phoneticPr fontId="1" type="noConversion"/>
  </si>
  <si>
    <t>frame frequency</t>
    <phoneticPr fontId="1" type="noConversion"/>
  </si>
  <si>
    <t>frame period</t>
    <phoneticPr fontId="1" type="noConversion"/>
  </si>
  <si>
    <t>drive</t>
    <phoneticPr fontId="1" type="noConversion"/>
  </si>
  <si>
    <t>line #</t>
    <phoneticPr fontId="1" type="noConversion"/>
  </si>
  <si>
    <t>SVSYNC_SIZE</t>
    <phoneticPr fontId="1" type="noConversion"/>
  </si>
  <si>
    <t>sub frame period</t>
    <phoneticPr fontId="1" type="noConversion"/>
  </si>
  <si>
    <t>clk#/sub frame</t>
    <phoneticPr fontId="1" type="noConversion"/>
  </si>
  <si>
    <t>SVSYNC_PERIOD</t>
    <phoneticPr fontId="1" type="noConversion"/>
  </si>
  <si>
    <t>residue/sub frame</t>
    <phoneticPr fontId="1" type="noConversion"/>
  </si>
  <si>
    <t>%</t>
    <phoneticPr fontId="1" type="noConversion"/>
  </si>
  <si>
    <t>residue/frame</t>
    <phoneticPr fontId="1" type="noConversion"/>
  </si>
  <si>
    <t>worst divi/SVSYNC</t>
    <phoneticPr fontId="1" type="noConversion"/>
  </si>
  <si>
    <t>SHSYNC_SIZE</t>
    <phoneticPr fontId="1" type="noConversion"/>
  </si>
  <si>
    <t>shsync_period</t>
    <phoneticPr fontId="1" type="noConversion"/>
  </si>
  <si>
    <t>clk#/shsync</t>
    <phoneticPr fontId="1" type="noConversion"/>
  </si>
  <si>
    <t>SHSYNC_PERIOD</t>
    <phoneticPr fontId="1" type="noConversion"/>
  </si>
  <si>
    <t>residue/sub hsync</t>
    <phoneticPr fontId="1" type="noConversion"/>
  </si>
  <si>
    <t>HOLD_SU</t>
    <phoneticPr fontId="1" type="noConversion"/>
  </si>
  <si>
    <t>HOLD_ON</t>
    <phoneticPr fontId="1" type="noConversion"/>
  </si>
  <si>
    <t>residue/SVSYNC</t>
    <phoneticPr fontId="1" type="noConversion"/>
  </si>
  <si>
    <t>total SVSYNC_PERIOD</t>
    <phoneticPr fontId="1" type="noConversion"/>
  </si>
  <si>
    <t>ADO setup time</t>
    <phoneticPr fontId="1" type="noConversion"/>
  </si>
  <si>
    <t>ADO hold time</t>
    <phoneticPr fontId="1" type="noConversion"/>
  </si>
  <si>
    <t>HOLD falling to CS rising</t>
    <phoneticPr fontId="1" type="noConversion"/>
  </si>
  <si>
    <t>total shsync time</t>
    <phoneticPr fontId="1" type="noConversion"/>
  </si>
  <si>
    <t>BROADCAST</t>
    <phoneticPr fontId="1" type="noConversion"/>
  </si>
  <si>
    <t>INT_MCLK</t>
    <phoneticPr fontId="1" type="noConversion"/>
  </si>
  <si>
    <t>KEEP_FRAME</t>
    <phoneticPr fontId="1" type="noConversion"/>
  </si>
  <si>
    <t>X2</t>
    <phoneticPr fontId="1" type="noConversion"/>
  </si>
  <si>
    <t>X8</t>
    <phoneticPr fontId="1" type="noConversion"/>
  </si>
  <si>
    <t>NORMAL</t>
    <phoneticPr fontId="1" type="noConversion"/>
  </si>
  <si>
    <t>DRV_MODE</t>
    <phoneticPr fontId="1" type="noConversion"/>
  </si>
  <si>
    <t>‘h03</t>
    <phoneticPr fontId="1" type="noConversion"/>
  </si>
  <si>
    <t>FIX_CH10</t>
    <phoneticPr fontId="1" type="noConversion"/>
  </si>
  <si>
    <t>FIX_CH9</t>
    <phoneticPr fontId="1" type="noConversion"/>
  </si>
  <si>
    <t>FIX_CH8</t>
  </si>
  <si>
    <t>FIX_CH7</t>
  </si>
  <si>
    <t>FIX_CH6</t>
  </si>
  <si>
    <t>FIX_CH5</t>
  </si>
  <si>
    <t>FIX_CH4</t>
  </si>
  <si>
    <t>FIX_CH3</t>
  </si>
  <si>
    <t>FIX_CH2</t>
  </si>
  <si>
    <t>FIX_CH1</t>
  </si>
  <si>
    <t>Type</t>
    <phoneticPr fontId="1" type="noConversion"/>
  </si>
  <si>
    <t>CMD1</t>
    <phoneticPr fontId="1" type="noConversion"/>
  </si>
  <si>
    <t>CMD2</t>
    <phoneticPr fontId="1" type="noConversion"/>
  </si>
  <si>
    <r>
      <t xml:space="preserve">1 </t>
    </r>
    <r>
      <rPr>
        <sz val="8"/>
        <rFont val="돋움"/>
        <family val="2"/>
        <charset val="129"/>
      </rPr>
      <t>→</t>
    </r>
    <r>
      <rPr>
        <sz val="8"/>
        <rFont val="Calibri Light"/>
        <family val="2"/>
      </rPr>
      <t xml:space="preserve"> 0</t>
    </r>
    <phoneticPr fontId="1" type="noConversion"/>
  </si>
  <si>
    <t>HOLD_SIZE4 [3:0]</t>
    <phoneticPr fontId="1" type="noConversion"/>
  </si>
  <si>
    <t>HOLD SIZE R1</t>
    <phoneticPr fontId="1" type="noConversion"/>
  </si>
  <si>
    <t>HOLD SIZE R2</t>
    <phoneticPr fontId="1" type="noConversion"/>
  </si>
  <si>
    <t>HOLD SIZE R3</t>
    <phoneticPr fontId="1" type="noConversion"/>
  </si>
  <si>
    <t>HOLD_SIZE8 [3:0]</t>
    <phoneticPr fontId="1" type="noConversion"/>
  </si>
  <si>
    <t>‘h0A</t>
    <phoneticPr fontId="1" type="noConversion"/>
  </si>
  <si>
    <t>‘h0B</t>
    <phoneticPr fontId="1" type="noConversion"/>
  </si>
  <si>
    <t>FRAME_VREF [11:0]</t>
    <phoneticPr fontId="1" type="noConversion"/>
  </si>
  <si>
    <t>‘h16</t>
    <phoneticPr fontId="1" type="noConversion"/>
  </si>
  <si>
    <t>CH9_STB_DUP_CH[3:0]</t>
    <phoneticPr fontId="1" type="noConversion"/>
  </si>
  <si>
    <t>CH10_STB_DUP_CH[3:0]</t>
    <phoneticPr fontId="1" type="noConversion"/>
  </si>
  <si>
    <t>‘h17</t>
    <phoneticPr fontId="1" type="noConversion"/>
  </si>
  <si>
    <t>‘h18</t>
    <phoneticPr fontId="1" type="noConversion"/>
  </si>
  <si>
    <t>‘h19</t>
    <phoneticPr fontId="1" type="noConversion"/>
  </si>
  <si>
    <t>‘h1A</t>
    <phoneticPr fontId="1" type="noConversion"/>
  </si>
  <si>
    <t>FULL STEP SIZE</t>
    <phoneticPr fontId="1" type="noConversion"/>
  </si>
  <si>
    <t>FULL_STEP_SIZE [11:0]</t>
    <phoneticPr fontId="1" type="noConversion"/>
  </si>
  <si>
    <t>FULL_STEP_DUTY_TH [7:0]</t>
    <phoneticPr fontId="1" type="noConversion"/>
  </si>
  <si>
    <t>‘h1B</t>
    <phoneticPr fontId="1" type="noConversion"/>
  </si>
  <si>
    <t>‘h1c</t>
    <phoneticPr fontId="1" type="noConversion"/>
  </si>
  <si>
    <t>CS/HOLD FIX CH</t>
    <phoneticPr fontId="1" type="noConversion"/>
  </si>
  <si>
    <t>CH S/SVSYNC DLY</t>
    <phoneticPr fontId="1" type="noConversion"/>
  </si>
  <si>
    <t>FRAME HD FIX</t>
    <phoneticPr fontId="1" type="noConversion"/>
  </si>
  <si>
    <t>STRB DUP EN</t>
    <phoneticPr fontId="1" type="noConversion"/>
  </si>
  <si>
    <t>OUTPUT CH EN 1</t>
    <phoneticPr fontId="1" type="noConversion"/>
  </si>
  <si>
    <t>OUTPUT CH EN 2</t>
    <phoneticPr fontId="1" type="noConversion"/>
  </si>
  <si>
    <t>FULL STEP DT TH</t>
    <phoneticPr fontId="1" type="noConversion"/>
  </si>
  <si>
    <t>VSYNC_COMP1</t>
    <phoneticPr fontId="1" type="noConversion"/>
  </si>
  <si>
    <t>VSYNC_COMP2</t>
    <phoneticPr fontId="1" type="noConversion"/>
  </si>
  <si>
    <t>HOLD DUMY S2</t>
    <phoneticPr fontId="1" type="noConversion"/>
  </si>
  <si>
    <t>HOLD DUMY S1</t>
    <phoneticPr fontId="1" type="noConversion"/>
  </si>
  <si>
    <t>STB DUP CH R1</t>
    <phoneticPr fontId="1" type="noConversion"/>
  </si>
  <si>
    <t>STB DUP CH R2</t>
    <phoneticPr fontId="1" type="noConversion"/>
  </si>
  <si>
    <t>STB DUP CH R3</t>
    <phoneticPr fontId="1" type="noConversion"/>
  </si>
  <si>
    <t>FRAME START</t>
    <phoneticPr fontId="1" type="noConversion"/>
  </si>
  <si>
    <r>
      <t>0x0001</t>
    </r>
    <r>
      <rPr>
        <sz val="9"/>
        <color theme="1"/>
        <rFont val="돋움"/>
        <family val="2"/>
        <charset val="129"/>
      </rPr>
      <t>→</t>
    </r>
    <r>
      <rPr>
        <sz val="9"/>
        <color theme="1"/>
        <rFont val="Calibri Light"/>
        <family val="2"/>
      </rPr>
      <t>0x0000</t>
    </r>
    <phoneticPr fontId="1" type="noConversion"/>
  </si>
  <si>
    <r>
      <t>0x0</t>
    </r>
    <r>
      <rPr>
        <sz val="9"/>
        <color rgb="FFFF0000"/>
        <rFont val="Calibri Light"/>
        <family val="2"/>
      </rPr>
      <t>x</t>
    </r>
    <r>
      <rPr>
        <sz val="9"/>
        <color theme="1"/>
        <rFont val="Calibri Light"/>
        <family val="2"/>
      </rPr>
      <t>0</t>
    </r>
    <r>
      <rPr>
        <sz val="9"/>
        <color rgb="FFFF0000"/>
        <rFont val="Calibri Light"/>
        <family val="2"/>
      </rPr>
      <t>x</t>
    </r>
    <r>
      <rPr>
        <sz val="9"/>
        <color theme="1"/>
        <rFont val="Calibri Light"/>
        <family val="2"/>
      </rPr>
      <t>→0x0400</t>
    </r>
    <phoneticPr fontId="1" type="noConversion"/>
  </si>
  <si>
    <t>HOLD5_DUMY_SIZE [2:0]</t>
    <phoneticPr fontId="1" type="noConversion"/>
  </si>
  <si>
    <t>HOLD10_DUMY_SIZE [2:0]</t>
    <phoneticPr fontId="1" type="noConversion"/>
  </si>
  <si>
    <t>HOLD4_DUMY_SIZE [2:0]</t>
    <phoneticPr fontId="1" type="noConversion"/>
  </si>
  <si>
    <t>HOLD9_DUMY_SIZE [2:0]</t>
    <phoneticPr fontId="1" type="noConversion"/>
  </si>
  <si>
    <t>HOLD3_DUMY_SIZE [2:0]</t>
    <phoneticPr fontId="1" type="noConversion"/>
  </si>
  <si>
    <t>HOLD8_DUMY_SIZE [2:0]</t>
    <phoneticPr fontId="1" type="noConversion"/>
  </si>
  <si>
    <t>HOLD2_DUMY_SIZE [2:0]</t>
    <phoneticPr fontId="1" type="noConversion"/>
  </si>
  <si>
    <t>HOLD7_DUMY_SIZE [2:0]</t>
    <phoneticPr fontId="1" type="noConversion"/>
  </si>
  <si>
    <t>HOLD1_DUMY_SIZE [2:0]</t>
    <phoneticPr fontId="1" type="noConversion"/>
  </si>
  <si>
    <t>HOLD6_DUMY_SIZE [2:0]</t>
    <phoneticPr fontId="1" type="noConversion"/>
  </si>
  <si>
    <t>0x0009</t>
    <phoneticPr fontId="1" type="noConversion"/>
  </si>
  <si>
    <t>0x0008</t>
    <phoneticPr fontId="1" type="noConversion"/>
  </si>
  <si>
    <t>0x0FFF</t>
    <phoneticPr fontId="1" type="noConversion"/>
  </si>
  <si>
    <t>MCLK</t>
    <phoneticPr fontId="1" type="noConversion"/>
  </si>
  <si>
    <t>dual drive</t>
    <phoneticPr fontId="1" type="noConversion"/>
  </si>
  <si>
    <t>sub-frame</t>
    <phoneticPr fontId="1" type="noConversion"/>
  </si>
  <si>
    <t>svsync_delay</t>
    <phoneticPr fontId="1" type="noConversion"/>
  </si>
  <si>
    <t>start1</t>
    <phoneticPr fontId="1" type="noConversion"/>
  </si>
  <si>
    <t>start2</t>
    <phoneticPr fontId="1" type="noConversion"/>
  </si>
  <si>
    <t>start #</t>
    <phoneticPr fontId="1" type="noConversion"/>
  </si>
  <si>
    <t>SF#</t>
    <phoneticPr fontId="1" type="noConversion"/>
  </si>
  <si>
    <t>0x0960</t>
    <phoneticPr fontId="1" type="noConversion"/>
  </si>
  <si>
    <r>
      <t>CH1, CH6</t>
    </r>
    <r>
      <rPr>
        <sz val="8"/>
        <color theme="1"/>
        <rFont val="Arial Unicode MS"/>
        <family val="2"/>
        <charset val="129"/>
      </rPr>
      <t>은</t>
    </r>
    <r>
      <rPr>
        <sz val="8"/>
        <color theme="1"/>
        <rFont val="Calibri Light"/>
        <family val="2"/>
      </rPr>
      <t xml:space="preserve"> 1*6 config</t>
    </r>
    <phoneticPr fontId="1" type="noConversion"/>
  </si>
  <si>
    <t>hex</t>
    <phoneticPr fontId="1" type="noConversion"/>
  </si>
  <si>
    <t>adj cofficient</t>
    <phoneticPr fontId="1" type="noConversion"/>
  </si>
  <si>
    <t>total line #</t>
    <phoneticPr fontId="1" type="noConversion"/>
  </si>
  <si>
    <t>gap</t>
    <phoneticPr fontId="1" type="noConversion"/>
  </si>
  <si>
    <t>0x0091</t>
    <phoneticPr fontId="1" type="noConversion"/>
  </si>
  <si>
    <r>
      <t>CZ[1:0]= 1</t>
    </r>
    <r>
      <rPr>
        <sz val="8"/>
        <color theme="1"/>
        <rFont val="맑은 고딕"/>
        <family val="3"/>
        <charset val="129"/>
      </rPr>
      <t>→</t>
    </r>
    <r>
      <rPr>
        <sz val="8"/>
        <color theme="1"/>
        <rFont val="Calibri Light"/>
        <family val="2"/>
      </rPr>
      <t>2→3→0@1*6   (2→3→0→1@2*3)</t>
    </r>
    <phoneticPr fontId="1" type="noConversion"/>
  </si>
  <si>
    <t>0x0063</t>
    <phoneticPr fontId="1" type="noConversion"/>
  </si>
  <si>
    <t>0x0680</t>
    <phoneticPr fontId="1" type="noConversion"/>
  </si>
  <si>
    <t>0x0678</t>
    <phoneticPr fontId="1" type="noConversion"/>
  </si>
  <si>
    <t>0x0670</t>
    <phoneticPr fontId="1" type="noConversion"/>
  </si>
  <si>
    <t>0x0668</t>
    <phoneticPr fontId="1" type="noConversion"/>
  </si>
  <si>
    <t>0x0660</t>
    <phoneticPr fontId="1" type="noConversion"/>
  </si>
  <si>
    <t>0x0658</t>
    <phoneticPr fontId="1" type="noConversion"/>
  </si>
  <si>
    <t>0x0650</t>
    <phoneticPr fontId="1" type="noConversion"/>
  </si>
  <si>
    <t>0x0648</t>
    <phoneticPr fontId="1" type="noConversion"/>
  </si>
  <si>
    <t>0x0640</t>
    <phoneticPr fontId="1" type="noConversion"/>
  </si>
  <si>
    <t>0x0638</t>
    <phoneticPr fontId="1" type="noConversion"/>
  </si>
  <si>
    <t>0x041A</t>
    <phoneticPr fontId="1" type="noConversion"/>
  </si>
  <si>
    <t>0x0460</t>
    <phoneticPr fontId="1" type="noConversion"/>
  </si>
  <si>
    <t>0x04B0</t>
    <phoneticPr fontId="1" type="noConversion"/>
  </si>
  <si>
    <t>0x04FB</t>
    <phoneticPr fontId="1" type="noConversion"/>
  </si>
  <si>
    <t>0x0578</t>
    <phoneticPr fontId="1" type="noConversion"/>
  </si>
  <si>
    <t>0x05DC</t>
    <phoneticPr fontId="1" type="noConversion"/>
  </si>
  <si>
    <t>0x0690</t>
    <phoneticPr fontId="1" type="noConversion"/>
  </si>
  <si>
    <t>0x073A</t>
    <phoneticPr fontId="1" type="noConversion"/>
  </si>
  <si>
    <t>0x00AF</t>
    <phoneticPr fontId="1" type="noConversion"/>
  </si>
  <si>
    <t>0x00BA</t>
    <phoneticPr fontId="1" type="noConversion"/>
  </si>
  <si>
    <t>0x00C8</t>
    <phoneticPr fontId="1" type="noConversion"/>
  </si>
  <si>
    <t>0x00D4</t>
    <phoneticPr fontId="1" type="noConversion"/>
  </si>
  <si>
    <t>0x00E9</t>
    <phoneticPr fontId="1" type="noConversion"/>
  </si>
  <si>
    <t>0x00FA</t>
    <phoneticPr fontId="1" type="noConversion"/>
  </si>
  <si>
    <t>0x0118</t>
    <phoneticPr fontId="1" type="noConversion"/>
  </si>
  <si>
    <t>0x0134</t>
    <phoneticPr fontId="1" type="noConversion"/>
  </si>
  <si>
    <t>0x015E</t>
    <phoneticPr fontId="1" type="noConversion"/>
  </si>
  <si>
    <t>0x0190</t>
    <phoneticPr fontId="1" type="noConversion"/>
  </si>
  <si>
    <t>0x0089</t>
    <phoneticPr fontId="1" type="noConversion"/>
  </si>
  <si>
    <t>0x0095</t>
    <phoneticPr fontId="1" type="noConversion"/>
  </si>
  <si>
    <t>0x00A2</t>
    <phoneticPr fontId="1" type="noConversion"/>
  </si>
  <si>
    <t>0x00AE</t>
    <phoneticPr fontId="1" type="noConversion"/>
  </si>
  <si>
    <t>0x00C3</t>
    <phoneticPr fontId="1" type="noConversion"/>
  </si>
  <si>
    <t>0x00F2</t>
    <phoneticPr fontId="1" type="noConversion"/>
  </si>
  <si>
    <t>0x010E</t>
    <phoneticPr fontId="1" type="noConversion"/>
  </si>
  <si>
    <t>0x0138</t>
    <phoneticPr fontId="1" type="noConversion"/>
  </si>
  <si>
    <t>0x0020</t>
    <phoneticPr fontId="1" type="noConversion"/>
  </si>
  <si>
    <t>0x016A</t>
    <phoneticPr fontId="1" type="noConversion"/>
  </si>
  <si>
    <t>0x000F</t>
    <phoneticPr fontId="1" type="noConversion"/>
  </si>
  <si>
    <t>0x000E</t>
    <phoneticPr fontId="1" type="noConversion"/>
  </si>
  <si>
    <t>0x000D</t>
    <phoneticPr fontId="1" type="noConversion"/>
  </si>
  <si>
    <t>0x000C</t>
    <phoneticPr fontId="1" type="noConversion"/>
  </si>
  <si>
    <t>0x000B</t>
    <phoneticPr fontId="1" type="noConversion"/>
  </si>
  <si>
    <t>0x000A</t>
    <phoneticPr fontId="1" type="noConversion"/>
  </si>
  <si>
    <t>0x0007</t>
  </si>
  <si>
    <t>0xF3FF</t>
    <phoneticPr fontId="1" type="noConversion"/>
  </si>
  <si>
    <t>0x003F</t>
    <phoneticPr fontId="1" type="noConversion"/>
  </si>
  <si>
    <t>0x140E</t>
    <phoneticPr fontId="1" type="noConversion"/>
  </si>
  <si>
    <t>0x140D</t>
    <phoneticPr fontId="1" type="noConversion"/>
  </si>
  <si>
    <t>0x140C</t>
    <phoneticPr fontId="1" type="noConversion"/>
  </si>
  <si>
    <t>0x140B</t>
    <phoneticPr fontId="1" type="noConversion"/>
  </si>
  <si>
    <t>0x140A</t>
    <phoneticPr fontId="1" type="noConversion"/>
  </si>
  <si>
    <t>0x1409</t>
    <phoneticPr fontId="1" type="noConversion"/>
  </si>
  <si>
    <t>0x1408</t>
    <phoneticPr fontId="1" type="noConversion"/>
  </si>
  <si>
    <t>0x1407</t>
    <phoneticPr fontId="1" type="noConversion"/>
  </si>
  <si>
    <t>0x1406</t>
    <phoneticPr fontId="1" type="noConversion"/>
  </si>
  <si>
    <t>0x4701</t>
    <phoneticPr fontId="1" type="noConversion"/>
  </si>
  <si>
    <t>0x4301</t>
    <phoneticPr fontId="1" type="noConversion"/>
  </si>
  <si>
    <t>0x3F01</t>
    <phoneticPr fontId="1" type="noConversion"/>
  </si>
  <si>
    <t>0x3B01</t>
    <phoneticPr fontId="1" type="noConversion"/>
  </si>
  <si>
    <t>0x3601</t>
    <phoneticPr fontId="1" type="noConversion"/>
  </si>
  <si>
    <t>0x3001</t>
    <phoneticPr fontId="1" type="noConversion"/>
  </si>
  <si>
    <t>0x2C01</t>
    <phoneticPr fontId="1" type="noConversion"/>
  </si>
  <si>
    <t>0x2801</t>
    <phoneticPr fontId="1" type="noConversion"/>
  </si>
  <si>
    <t>0x2401</t>
    <phoneticPr fontId="1" type="noConversion"/>
  </si>
  <si>
    <t>0x2001</t>
    <phoneticPr fontId="1" type="noConversion"/>
  </si>
  <si>
    <t>HOLD_SIZE1 [3:0]</t>
    <phoneticPr fontId="1" type="noConversion"/>
  </si>
  <si>
    <t>HOLD_SIZE5[3:0]</t>
    <phoneticPr fontId="1" type="noConversion"/>
  </si>
  <si>
    <t>HOLD_SIZE9 [3:0]</t>
    <phoneticPr fontId="1" type="noConversion"/>
  </si>
  <si>
    <t>HOLD_SIZE10 [3:0]</t>
    <phoneticPr fontId="1" type="noConversion"/>
  </si>
  <si>
    <t>HOLD_SIZE6 [3:0]</t>
    <phoneticPr fontId="1" type="noConversion"/>
  </si>
  <si>
    <t>HOLD_SIZE2 [3:0]</t>
    <phoneticPr fontId="1" type="noConversion"/>
  </si>
  <si>
    <t>HOLD_SIZE3 [3:0]</t>
    <phoneticPr fontId="1" type="noConversion"/>
  </si>
  <si>
    <t>HOLD_SIZE7 [3:0]</t>
    <phoneticPr fontId="1" type="noConversion"/>
  </si>
  <si>
    <t>0x0005</t>
    <phoneticPr fontId="1" type="noConversion"/>
  </si>
  <si>
    <t>0x0050</t>
    <phoneticPr fontId="1" type="noConversion"/>
  </si>
  <si>
    <t>0x0010</t>
    <phoneticPr fontId="1" type="noConversion"/>
  </si>
  <si>
    <t>0x0042</t>
    <phoneticPr fontId="1" type="noConversion"/>
  </si>
  <si>
    <t>0x0600</t>
    <phoneticPr fontId="1" type="noConversion"/>
  </si>
  <si>
    <t>STM32G473RCTx</t>
    <phoneticPr fontId="1" type="noConversion"/>
  </si>
  <si>
    <t>HSE CLK</t>
    <phoneticPr fontId="1" type="noConversion"/>
  </si>
  <si>
    <t>/R</t>
    <phoneticPr fontId="1" type="noConversion"/>
  </si>
  <si>
    <t>/PLLM</t>
    <phoneticPr fontId="1" type="noConversion"/>
  </si>
  <si>
    <t>VCO input frequency</t>
    <phoneticPr fontId="1" type="noConversion"/>
  </si>
  <si>
    <t>VCO output frequency</t>
    <phoneticPr fontId="1" type="noConversion"/>
  </si>
  <si>
    <t>*PLLN</t>
    <phoneticPr fontId="1" type="noConversion"/>
  </si>
  <si>
    <t>/PLLR</t>
    <phoneticPr fontId="1" type="noConversion"/>
  </si>
  <si>
    <t>system clock</t>
    <phoneticPr fontId="1" type="noConversion"/>
  </si>
  <si>
    <t>PLLCLK</t>
    <phoneticPr fontId="1" type="noConversion"/>
  </si>
  <si>
    <t>MCOPRE</t>
    <phoneticPr fontId="1" type="noConversion"/>
  </si>
  <si>
    <t>MCOSEL</t>
    <phoneticPr fontId="1" type="noConversion"/>
  </si>
  <si>
    <t>SYSCLK(PLLCLK)</t>
    <phoneticPr fontId="1" type="noConversion"/>
  </si>
  <si>
    <r>
      <t>0x000</t>
    </r>
    <r>
      <rPr>
        <b/>
        <sz val="9"/>
        <color rgb="FFFF0000"/>
        <rFont val="Calibri Light"/>
        <family val="2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</si>
</sst>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0_ "/>
    <numFmt numFmtId="177" formatCode="0.00000_ "/>
    <numFmt numFmtId="178" formatCode="0.00_ "/>
    <numFmt numFmtId="179" formatCode="0.000%"/>
    <numFmt numFmtId="180" formatCode="0.0000_ "/>
    <numFmt numFmtId="181" formatCode="0_);[Red]\(0\)"/>
    <numFmt numFmtId="182" formatCode="0_ "/>
    <numFmt numFmtId="183" formatCode="0.000_ ;[Red]\-0.000\ "/>
    <numFmt numFmtId="184" formatCode="0.0_);[Red]\(0.0\)"/>
    <numFmt numFmtId="185" formatCode="0.0000%"/>
    <numFmt numFmtId="186" formatCode="0.0000_);[Red]\(0.0000\)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sz val="10"/>
      <color theme="0"/>
      <name val="Calibri Light"/>
      <family val="2"/>
    </font>
    <font>
      <sz val="8"/>
      <color theme="1"/>
      <name val="Calibri Light"/>
      <family val="2"/>
    </font>
    <font>
      <sz val="9"/>
      <color rgb="FF000000"/>
      <name val="Calibri Light"/>
      <family val="2"/>
    </font>
    <font>
      <sz val="8"/>
      <name val="Calibri Light"/>
      <family val="2"/>
    </font>
    <font>
      <sz val="8"/>
      <color rgb="FFFF0000"/>
      <name val="Calibri Light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Calibri Light"/>
      <family val="2"/>
    </font>
    <font>
      <sz val="8"/>
      <name val="돋움"/>
      <family val="2"/>
      <charset val="129"/>
    </font>
    <font>
      <sz val="9"/>
      <name val="Calibri Light"/>
      <family val="2"/>
    </font>
    <font>
      <sz val="9"/>
      <color rgb="FFC00000"/>
      <name val="Calibri Light"/>
      <family val="2"/>
    </font>
    <font>
      <sz val="9"/>
      <color theme="0"/>
      <name val="Calibri Light"/>
      <family val="2"/>
    </font>
    <font>
      <sz val="9"/>
      <color theme="1"/>
      <name val="돋움"/>
      <family val="2"/>
      <charset val="129"/>
    </font>
    <font>
      <sz val="9"/>
      <color rgb="FFFF0000"/>
      <name val="Calibri Light"/>
      <family val="2"/>
    </font>
    <font>
      <sz val="8"/>
      <color rgb="FF0000FF"/>
      <name val="Calibri Light"/>
      <family val="2"/>
    </font>
    <font>
      <sz val="8"/>
      <color theme="1"/>
      <name val="맑은 고딕"/>
      <family val="3"/>
      <charset val="129"/>
    </font>
    <font>
      <sz val="8"/>
      <color theme="1"/>
      <name val="Arial Unicode MS"/>
      <family val="2"/>
      <charset val="129"/>
    </font>
    <font>
      <sz val="10"/>
      <name val="Calibri Light"/>
      <family val="2"/>
    </font>
    <font>
      <sz val="11"/>
      <color rgb="FF0000FF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178" fontId="9" fillId="3" borderId="0" xfId="0" applyNumberFormat="1" applyFont="1" applyFill="1" applyAlignment="1">
      <alignment horizontal="right" vertical="center"/>
    </xf>
    <xf numFmtId="179" fontId="9" fillId="3" borderId="0" xfId="0" applyNumberFormat="1" applyFont="1" applyFill="1" applyAlignment="1">
      <alignment horizontal="right" vertical="center"/>
    </xf>
    <xf numFmtId="177" fontId="9" fillId="3" borderId="0" xfId="0" applyNumberFormat="1" applyFont="1" applyFill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78" fontId="10" fillId="3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179" fontId="9" fillId="0" borderId="0" xfId="0" applyNumberFormat="1" applyFont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180" fontId="11" fillId="0" borderId="0" xfId="0" applyNumberFormat="1" applyFont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183" fontId="9" fillId="0" borderId="0" xfId="0" applyNumberFormat="1" applyFont="1" applyAlignment="1">
      <alignment horizontal="right" vertical="center"/>
    </xf>
    <xf numFmtId="182" fontId="9" fillId="0" borderId="0" xfId="0" applyNumberFormat="1" applyFont="1" applyAlignment="1">
      <alignment horizontal="right" vertical="center"/>
    </xf>
    <xf numFmtId="183" fontId="10" fillId="0" borderId="0" xfId="0" applyNumberFormat="1" applyFont="1" applyAlignment="1">
      <alignment horizontal="right" vertical="center"/>
    </xf>
    <xf numFmtId="184" fontId="9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85" fontId="9" fillId="0" borderId="0" xfId="0" applyNumberFormat="1" applyFont="1" applyAlignment="1">
      <alignment horizontal="right" vertical="center"/>
    </xf>
    <xf numFmtId="176" fontId="9" fillId="0" borderId="0" xfId="0" applyNumberFormat="1" applyFont="1">
      <alignment vertical="center"/>
    </xf>
    <xf numFmtId="0" fontId="10" fillId="2" borderId="0" xfId="0" applyFont="1" applyFill="1" applyAlignment="1">
      <alignment horizontal="right" vertical="center"/>
    </xf>
    <xf numFmtId="181" fontId="9" fillId="0" borderId="0" xfId="0" applyNumberFormat="1" applyFont="1" applyAlignment="1">
      <alignment horizontal="right" vertical="center"/>
    </xf>
    <xf numFmtId="0" fontId="15" fillId="3" borderId="0" xfId="0" applyFont="1" applyFill="1" applyAlignment="1">
      <alignment horizontal="right" vertical="center"/>
    </xf>
    <xf numFmtId="177" fontId="9" fillId="6" borderId="0" xfId="0" applyNumberFormat="1" applyFont="1" applyFill="1" applyAlignment="1">
      <alignment horizontal="right" vertical="center"/>
    </xf>
    <xf numFmtId="180" fontId="9" fillId="6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180" fontId="16" fillId="7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20" fillId="4" borderId="6" xfId="0" applyFont="1" applyFill="1" applyBorder="1" applyAlignment="1">
      <alignment horizontal="center" vertical="center" wrapText="1" readingOrder="1"/>
    </xf>
    <xf numFmtId="0" fontId="16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80" fontId="16" fillId="8" borderId="0" xfId="0" applyNumberFormat="1" applyFont="1" applyFill="1" applyAlignment="1">
      <alignment horizontal="right" vertical="center"/>
    </xf>
    <xf numFmtId="186" fontId="16" fillId="7" borderId="0" xfId="0" applyNumberFormat="1" applyFont="1" applyFill="1" applyAlignment="1">
      <alignment horizontal="right" vertical="center"/>
    </xf>
    <xf numFmtId="186" fontId="16" fillId="8" borderId="0" xfId="0" applyNumberFormat="1" applyFont="1" applyFill="1" applyAlignment="1">
      <alignment horizontal="right" vertical="center"/>
    </xf>
    <xf numFmtId="177" fontId="9" fillId="8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 wrapText="1" readingOrder="1"/>
    </xf>
    <xf numFmtId="0" fontId="18" fillId="0" borderId="0" xfId="0" applyFont="1" applyAlignment="1">
      <alignment horizontal="right" vertical="center" wrapText="1" readingOrder="1"/>
    </xf>
    <xf numFmtId="0" fontId="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6" fillId="0" borderId="0" xfId="0" quotePrefix="1" applyFont="1">
      <alignment vertical="center"/>
    </xf>
    <xf numFmtId="0" fontId="9" fillId="9" borderId="0" xfId="0" applyFont="1" applyFill="1" applyAlignment="1">
      <alignment horizontal="right" vertical="center"/>
    </xf>
    <xf numFmtId="183" fontId="10" fillId="9" borderId="0" xfId="0" applyNumberFormat="1" applyFont="1" applyFill="1" applyAlignment="1">
      <alignment horizontal="right" vertical="center"/>
    </xf>
    <xf numFmtId="180" fontId="11" fillId="9" borderId="0" xfId="0" applyNumberFormat="1" applyFont="1" applyFill="1" applyAlignment="1">
      <alignment horizontal="right" vertical="center"/>
    </xf>
    <xf numFmtId="179" fontId="11" fillId="9" borderId="0" xfId="0" applyNumberFormat="1" applyFont="1" applyFill="1" applyAlignment="1">
      <alignment horizontal="right" vertical="center"/>
    </xf>
    <xf numFmtId="181" fontId="9" fillId="9" borderId="0" xfId="0" applyNumberFormat="1" applyFont="1" applyFill="1" applyAlignment="1">
      <alignment horizontal="right" vertical="center"/>
    </xf>
    <xf numFmtId="176" fontId="9" fillId="9" borderId="0" xfId="0" applyNumberFormat="1" applyFont="1" applyFill="1" applyAlignment="1">
      <alignment horizontal="right" vertical="center"/>
    </xf>
    <xf numFmtId="178" fontId="9" fillId="9" borderId="0" xfId="0" applyNumberFormat="1" applyFont="1" applyFill="1" applyAlignment="1">
      <alignment horizontal="right" vertical="center"/>
    </xf>
    <xf numFmtId="183" fontId="9" fillId="9" borderId="0" xfId="0" applyNumberFormat="1" applyFont="1" applyFill="1" applyAlignment="1">
      <alignment horizontal="right" vertical="center"/>
    </xf>
    <xf numFmtId="182" fontId="9" fillId="9" borderId="0" xfId="0" applyNumberFormat="1" applyFont="1" applyFill="1" applyAlignment="1">
      <alignment horizontal="right" vertical="center"/>
    </xf>
    <xf numFmtId="181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9" fontId="10" fillId="0" borderId="0" xfId="0" applyNumberFormat="1" applyFont="1" applyAlignment="1">
      <alignment horizontal="right" vertical="center"/>
    </xf>
    <xf numFmtId="182" fontId="10" fillId="0" borderId="0" xfId="0" applyNumberFormat="1" applyFont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77" fontId="9" fillId="10" borderId="0" xfId="0" applyNumberFormat="1" applyFont="1" applyFill="1" applyAlignment="1">
      <alignment horizontal="right" vertical="center"/>
    </xf>
    <xf numFmtId="177" fontId="9" fillId="11" borderId="0" xfId="0" applyNumberFormat="1" applyFont="1" applyFill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81" fontId="0" fillId="3" borderId="0" xfId="0" applyNumberFormat="1" applyFill="1" applyAlignment="1">
      <alignment horizontal="right" vertical="center"/>
    </xf>
    <xf numFmtId="182" fontId="0" fillId="3" borderId="0" xfId="0" applyNumberFormat="1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182" fontId="27" fillId="0" borderId="0" xfId="0" applyNumberFormat="1" applyFont="1" applyAlignment="1">
      <alignment horizontal="right" vertical="center"/>
    </xf>
    <xf numFmtId="182" fontId="27" fillId="3" borderId="0" xfId="0" applyNumberFormat="1" applyFont="1" applyFill="1" applyAlignment="1">
      <alignment horizontal="right" vertical="center"/>
    </xf>
    <xf numFmtId="180" fontId="16" fillId="11" borderId="0" xfId="0" applyNumberFormat="1" applyFont="1" applyFill="1" applyAlignment="1">
      <alignment horizontal="right" vertical="center"/>
    </xf>
    <xf numFmtId="186" fontId="16" fillId="11" borderId="0" xfId="0" applyNumberFormat="1" applyFont="1" applyFill="1" applyAlignment="1">
      <alignment horizontal="right" vertical="center"/>
    </xf>
    <xf numFmtId="179" fontId="10" fillId="9" borderId="0" xfId="0" applyNumberFormat="1" applyFont="1" applyFill="1" applyAlignment="1">
      <alignment horizontal="right" vertical="center"/>
    </xf>
    <xf numFmtId="0" fontId="6" fillId="0" borderId="7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5" fillId="0" borderId="0" xfId="0" quotePrefix="1" applyFont="1" applyAlignment="1">
      <alignment horizontal="left" vertical="center"/>
    </xf>
    <xf numFmtId="0" fontId="5" fillId="0" borderId="0" xfId="0" quotePrefix="1" applyFont="1">
      <alignment vertical="center"/>
    </xf>
    <xf numFmtId="0" fontId="18" fillId="0" borderId="5" xfId="0" applyFont="1" applyBorder="1" applyAlignment="1">
      <alignment horizontal="center" vertical="center"/>
    </xf>
    <xf numFmtId="180" fontId="16" fillId="10" borderId="0" xfId="0" applyNumberFormat="1" applyFont="1" applyFill="1" applyAlignment="1">
      <alignment horizontal="right" vertical="center"/>
    </xf>
    <xf numFmtId="186" fontId="16" fillId="10" borderId="0" xfId="0" applyNumberFormat="1" applyFont="1" applyFill="1" applyAlignment="1">
      <alignment horizontal="right" vertical="center"/>
    </xf>
    <xf numFmtId="176" fontId="8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quotePrefix="1" applyFont="1">
      <alignment vertical="center"/>
    </xf>
    <xf numFmtId="0" fontId="28" fillId="0" borderId="0" xfId="0" quotePrefix="1" applyFont="1">
      <alignment vertical="center"/>
    </xf>
    <xf numFmtId="0" fontId="0" fillId="13" borderId="0" xfId="0" applyFill="1">
      <alignment vertical="center"/>
    </xf>
    <xf numFmtId="0" fontId="28" fillId="0" borderId="11" xfId="0" applyFont="1" applyBorder="1">
      <alignment vertical="center"/>
    </xf>
    <xf numFmtId="0" fontId="28" fillId="0" borderId="12" xfId="0" applyFont="1" applyBorder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14" borderId="0" xfId="0" applyFill="1">
      <alignment vertical="center"/>
    </xf>
    <xf numFmtId="0" fontId="0" fillId="10" borderId="11" xfId="0" applyFill="1" applyBorder="1">
      <alignment vertical="center"/>
    </xf>
    <xf numFmtId="0" fontId="0" fillId="10" borderId="0" xfId="0" applyFill="1">
      <alignment vertical="center"/>
    </xf>
    <xf numFmtId="0" fontId="0" fillId="10" borderId="12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14" borderId="11" xfId="0" applyFill="1" applyBorder="1">
      <alignment vertical="center"/>
    </xf>
    <xf numFmtId="0" fontId="28" fillId="15" borderId="0" xfId="0" applyFont="1" applyFill="1">
      <alignment vertical="center"/>
    </xf>
    <xf numFmtId="0" fontId="28" fillId="15" borderId="11" xfId="0" applyFont="1" applyFill="1" applyBorder="1">
      <alignment vertical="center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9FFCC"/>
      <color rgb="FFFFCCFF"/>
      <color rgb="FFCCFF99"/>
      <color rgb="FF66FFFF"/>
      <color rgb="FFCCFFFF"/>
      <color rgb="FFFFFFCC"/>
      <color rgb="FFEAEAEA"/>
      <color rgb="FF0000FF"/>
      <color rgb="FFF2F2F2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649113</xdr:colOff>
      <xdr:row>57</xdr:row>
      <xdr:rowOff>77611</xdr:rowOff>
    </xdr:from>
    <xdr:ext cx="3428999" cy="74789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899E16-6A91-46D7-A8AF-89D1AF48C36F}"/>
            </a:ext>
          </a:extLst>
        </xdr:cNvPr>
        <xdr:cNvSpPr txBox="1"/>
      </xdr:nvSpPr>
      <xdr:spPr>
        <a:xfrm>
          <a:off x="649113" y="12383911"/>
          <a:ext cx="3428999" cy="74789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effectLst/>
            </a:rPr>
            <a:t>cs/hold</a:t>
          </a:r>
          <a:r>
            <a:rPr lang="en-US" altLang="ko-KR" sz="1200" baseline="0">
              <a:effectLst/>
            </a:rPr>
            <a:t> delay = max 30ns</a:t>
          </a:r>
        </a:p>
        <a:p>
          <a:r>
            <a:rPr lang="en-US" altLang="ko-KR" sz="1200" baseline="0">
              <a:effectLst/>
            </a:rPr>
            <a:t>vref,ld_i delay to DAC = max 30ns --&gt; ADO delay = ??</a:t>
          </a:r>
        </a:p>
        <a:p>
          <a:r>
            <a:rPr lang="en-US" altLang="ko-KR" sz="1200" baseline="0">
              <a:effectLst/>
            </a:rPr>
            <a:t>==&gt; </a:t>
          </a:r>
          <a:r>
            <a:rPr lang="ko-KR" altLang="en-US" sz="1200" baseline="0">
              <a:effectLst/>
            </a:rPr>
            <a:t>실 파형 측정으로 </a:t>
          </a:r>
          <a:r>
            <a:rPr lang="en-US" altLang="ko-KR" sz="1200" baseline="0">
              <a:effectLst/>
            </a:rPr>
            <a:t>delay tunning </a:t>
          </a:r>
          <a:r>
            <a:rPr lang="ko-KR" altLang="en-US" sz="1200" baseline="0">
              <a:effectLst/>
            </a:rPr>
            <a:t>필요</a:t>
          </a:r>
          <a:endParaRPr lang="ko-KR" altLang="ko-KR" sz="12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1E29-43C3-4DD5-95CC-58F554C5B7E7}">
  <dimension ref="B1:AI73"/>
  <sheetViews>
    <sheetView showGridLines="0" tabSelected="1" zoomScale="85" zoomScaleNormal="85" workbookViewId="0"/>
  </sheetViews>
  <sheetFormatPr defaultColWidth="8.6875" defaultRowHeight="13.15"/>
  <cols>
    <col min="1" max="1" width="8.6875" style="1"/>
    <col min="2" max="2" width="5.3125" style="1" bestFit="1" customWidth="1"/>
    <col min="3" max="3" width="6.5" style="1" bestFit="1" customWidth="1"/>
    <col min="4" max="4" width="12.125" style="2" bestFit="1" customWidth="1"/>
    <col min="5" max="5" width="0.8125" style="2" customWidth="1"/>
    <col min="6" max="6" width="4.6875" style="2" customWidth="1"/>
    <col min="7" max="9" width="6.1875" style="2" customWidth="1"/>
    <col min="10" max="10" width="4.875" style="2" customWidth="1"/>
    <col min="11" max="11" width="7.375" style="2" bestFit="1" customWidth="1"/>
    <col min="12" max="12" width="6.875" style="2" bestFit="1" customWidth="1"/>
    <col min="13" max="13" width="8.6875" style="2" bestFit="1" customWidth="1"/>
    <col min="14" max="14" width="9.1875" style="2" bestFit="1" customWidth="1"/>
    <col min="15" max="15" width="6.3125" style="2" bestFit="1" customWidth="1"/>
    <col min="16" max="16" width="6.875" style="2" bestFit="1" customWidth="1"/>
    <col min="17" max="17" width="6.6875" style="2" bestFit="1" customWidth="1"/>
    <col min="18" max="18" width="6.1875" style="2" bestFit="1" customWidth="1"/>
    <col min="19" max="19" width="8.125" style="2" bestFit="1" customWidth="1"/>
    <col min="20" max="20" width="6.1875" style="2" bestFit="1" customWidth="1"/>
    <col min="21" max="21" width="8.375" style="2" bestFit="1" customWidth="1"/>
    <col min="22" max="22" width="5" style="60" bestFit="1" customWidth="1"/>
    <col min="23" max="23" width="11.6875" style="44" customWidth="1"/>
    <col min="24" max="30" width="11.6875" style="44" hidden="1" customWidth="1"/>
    <col min="31" max="31" width="11.6875" style="44" customWidth="1"/>
    <col min="32" max="32" width="11.6875" style="44" hidden="1" customWidth="1"/>
    <col min="33" max="16384" width="8.6875" style="1"/>
  </cols>
  <sheetData>
    <row r="1" spans="2:33">
      <c r="V1" s="60" t="s">
        <v>229</v>
      </c>
    </row>
    <row r="2" spans="2:33">
      <c r="D2" s="1"/>
      <c r="E2" s="1"/>
      <c r="F2" s="1"/>
      <c r="G2" s="1"/>
      <c r="H2" s="1"/>
      <c r="I2" s="1"/>
      <c r="V2" s="39" t="s">
        <v>115</v>
      </c>
      <c r="W2" s="40">
        <v>16.128</v>
      </c>
      <c r="X2" s="40">
        <v>16.128</v>
      </c>
      <c r="Y2" s="40">
        <v>16.128</v>
      </c>
      <c r="Z2" s="52">
        <v>15.912000000000001</v>
      </c>
      <c r="AA2" s="40">
        <v>16.128</v>
      </c>
      <c r="AB2" s="98">
        <v>15.84</v>
      </c>
      <c r="AC2" s="40">
        <v>16.128</v>
      </c>
      <c r="AD2" s="89">
        <v>15.984</v>
      </c>
      <c r="AE2" s="40">
        <v>15.6</v>
      </c>
      <c r="AF2" s="40">
        <v>16.128</v>
      </c>
    </row>
    <row r="3" spans="2:33">
      <c r="C3" s="39"/>
      <c r="D3" s="39"/>
      <c r="E3" s="39"/>
      <c r="F3" s="39"/>
      <c r="G3" s="39"/>
      <c r="H3" s="39"/>
      <c r="I3" s="39"/>
      <c r="J3" s="39"/>
      <c r="K3" s="39"/>
      <c r="U3" s="60"/>
      <c r="V3" s="39" t="s">
        <v>111</v>
      </c>
      <c r="W3" s="53">
        <f t="shared" ref="W3:AC3" si="0">1/W2*1000</f>
        <v>62.003968253968253</v>
      </c>
      <c r="X3" s="53">
        <f t="shared" si="0"/>
        <v>62.003968253968253</v>
      </c>
      <c r="Y3" s="53">
        <f t="shared" si="0"/>
        <v>62.003968253968253</v>
      </c>
      <c r="Z3" s="54">
        <f t="shared" si="0"/>
        <v>62.845651080945196</v>
      </c>
      <c r="AA3" s="53">
        <f t="shared" si="0"/>
        <v>62.003968253968253</v>
      </c>
      <c r="AB3" s="99">
        <f t="shared" si="0"/>
        <v>63.131313131313135</v>
      </c>
      <c r="AC3" s="53">
        <f t="shared" si="0"/>
        <v>62.003968253968253</v>
      </c>
      <c r="AD3" s="90">
        <f t="shared" ref="AD3" si="1">1/AD2*1000</f>
        <v>62.562562562562569</v>
      </c>
      <c r="AE3" s="53">
        <f>1/AE2*1000</f>
        <v>64.102564102564116</v>
      </c>
      <c r="AF3" s="53">
        <f>1/AF2*1000</f>
        <v>62.003968253968253</v>
      </c>
      <c r="AG3" s="1">
        <f>1/AE2</f>
        <v>6.4102564102564111E-2</v>
      </c>
    </row>
    <row r="4" spans="2:33">
      <c r="B4" s="4" t="s">
        <v>175</v>
      </c>
      <c r="C4" s="4" t="s">
        <v>17</v>
      </c>
      <c r="D4" s="4" t="s">
        <v>116</v>
      </c>
      <c r="E4" s="93"/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4" t="s">
        <v>6</v>
      </c>
      <c r="R4" s="4" t="s">
        <v>7</v>
      </c>
      <c r="S4" s="4" t="s">
        <v>8</v>
      </c>
      <c r="T4" s="4" t="s">
        <v>9</v>
      </c>
      <c r="U4" s="4" t="s">
        <v>10</v>
      </c>
      <c r="V4" s="61" t="s">
        <v>236</v>
      </c>
      <c r="W4" s="49">
        <v>128</v>
      </c>
      <c r="X4" s="49">
        <v>120</v>
      </c>
      <c r="Y4" s="49">
        <v>112</v>
      </c>
      <c r="Z4" s="49">
        <v>104</v>
      </c>
      <c r="AA4" s="49">
        <v>96</v>
      </c>
      <c r="AB4" s="49">
        <v>88</v>
      </c>
      <c r="AC4" s="49">
        <v>80</v>
      </c>
      <c r="AD4" s="49">
        <v>72</v>
      </c>
      <c r="AE4" s="49">
        <v>64</v>
      </c>
      <c r="AF4" s="49">
        <v>56</v>
      </c>
    </row>
    <row r="5" spans="2:3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AE5" s="43"/>
      <c r="AF5" s="43"/>
    </row>
    <row r="6" spans="2:33" ht="13.05" customHeight="1">
      <c r="B6" s="51" t="s">
        <v>176</v>
      </c>
      <c r="C6" s="3" t="s">
        <v>11</v>
      </c>
      <c r="D6" s="7" t="s">
        <v>12</v>
      </c>
      <c r="E6" s="41"/>
      <c r="F6" s="41"/>
      <c r="G6" s="41"/>
      <c r="H6" s="41"/>
      <c r="I6" s="41"/>
      <c r="J6" s="42"/>
      <c r="K6" s="7" t="s">
        <v>13</v>
      </c>
      <c r="L6" s="7" t="s">
        <v>13</v>
      </c>
      <c r="M6" s="7" t="s">
        <v>157</v>
      </c>
      <c r="N6" s="7" t="s">
        <v>13</v>
      </c>
      <c r="O6" s="7" t="s">
        <v>13</v>
      </c>
      <c r="P6" s="7" t="s">
        <v>13</v>
      </c>
      <c r="Q6" s="7" t="s">
        <v>13</v>
      </c>
      <c r="R6" s="7" t="s">
        <v>13</v>
      </c>
      <c r="S6" s="7" t="s">
        <v>14</v>
      </c>
      <c r="T6" s="7" t="s">
        <v>15</v>
      </c>
      <c r="U6" s="7" t="s">
        <v>16</v>
      </c>
      <c r="V6" s="62"/>
      <c r="W6" s="50" t="s">
        <v>214</v>
      </c>
      <c r="X6" s="95" t="s">
        <v>117</v>
      </c>
      <c r="AF6" s="43"/>
    </row>
    <row r="7" spans="2:33" s="5" customFormat="1" ht="10.5" customHeight="1">
      <c r="B7" s="51"/>
      <c r="C7" s="48"/>
      <c r="E7" s="6"/>
      <c r="F7" s="6"/>
      <c r="G7" s="6"/>
      <c r="H7" s="6"/>
      <c r="I7" s="6"/>
      <c r="J7" s="6"/>
      <c r="K7" s="8"/>
      <c r="L7" s="8"/>
      <c r="M7" s="8">
        <v>0</v>
      </c>
      <c r="N7" s="8"/>
      <c r="O7" s="8"/>
      <c r="P7" s="8"/>
      <c r="Q7" s="8"/>
      <c r="R7" s="8"/>
      <c r="S7" s="8">
        <v>0</v>
      </c>
      <c r="T7" s="8">
        <v>0</v>
      </c>
      <c r="U7" s="8" t="s">
        <v>178</v>
      </c>
      <c r="V7" s="63"/>
      <c r="W7" s="6"/>
      <c r="X7" s="44"/>
      <c r="Y7" s="44"/>
      <c r="Z7" s="44"/>
      <c r="AA7" s="44"/>
      <c r="AB7" s="44"/>
      <c r="AC7" s="44"/>
      <c r="AD7" s="44"/>
    </row>
    <row r="8" spans="2:33">
      <c r="B8" s="51"/>
      <c r="C8" s="3" t="s">
        <v>32</v>
      </c>
      <c r="D8" s="46" t="s">
        <v>30</v>
      </c>
      <c r="E8" s="41"/>
      <c r="F8" s="41"/>
      <c r="G8" s="41"/>
      <c r="H8" s="41"/>
      <c r="I8" s="41"/>
      <c r="J8" s="42"/>
      <c r="K8" s="7" t="s">
        <v>158</v>
      </c>
      <c r="L8" s="7" t="s">
        <v>118</v>
      </c>
      <c r="M8" s="7" t="s">
        <v>119</v>
      </c>
      <c r="N8" s="7" t="s">
        <v>159</v>
      </c>
      <c r="O8" s="7" t="s">
        <v>160</v>
      </c>
      <c r="P8" s="7" t="s">
        <v>161</v>
      </c>
      <c r="Q8" s="7" t="s">
        <v>162</v>
      </c>
      <c r="R8" s="7" t="s">
        <v>13</v>
      </c>
      <c r="S8" s="7" t="s">
        <v>13</v>
      </c>
      <c r="T8" s="7" t="s">
        <v>13</v>
      </c>
      <c r="U8" s="7" t="s">
        <v>163</v>
      </c>
      <c r="V8" s="62"/>
      <c r="W8" s="50" t="s">
        <v>243</v>
      </c>
      <c r="AE8" s="43"/>
    </row>
    <row r="9" spans="2:33" s="5" customFormat="1" ht="10.5" customHeight="1">
      <c r="B9" s="51"/>
      <c r="C9" s="48"/>
      <c r="E9" s="6"/>
      <c r="F9" s="6"/>
      <c r="G9" s="6"/>
      <c r="H9" s="6"/>
      <c r="I9" s="6"/>
      <c r="J9" s="6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1</v>
      </c>
      <c r="R9" s="6"/>
      <c r="S9" s="6"/>
      <c r="T9" s="6"/>
      <c r="U9" s="6">
        <v>1</v>
      </c>
      <c r="V9" s="63"/>
      <c r="W9" s="6"/>
      <c r="X9" s="6"/>
      <c r="Y9" s="6"/>
      <c r="Z9" s="6"/>
      <c r="AA9" s="6"/>
      <c r="AB9" s="6"/>
      <c r="AC9" s="6"/>
      <c r="AD9" s="6"/>
    </row>
    <row r="10" spans="2:33">
      <c r="B10" s="51"/>
      <c r="C10" s="3" t="s">
        <v>33</v>
      </c>
      <c r="D10" s="46" t="s">
        <v>31</v>
      </c>
      <c r="E10" s="41"/>
      <c r="F10" s="41"/>
      <c r="G10" s="41"/>
      <c r="H10" s="41"/>
      <c r="I10" s="41"/>
      <c r="J10" s="42"/>
      <c r="K10" s="7" t="s">
        <v>24</v>
      </c>
      <c r="L10" s="7" t="s">
        <v>13</v>
      </c>
      <c r="M10" s="7" t="s">
        <v>25</v>
      </c>
      <c r="N10" s="7" t="s">
        <v>13</v>
      </c>
      <c r="O10" s="7" t="s">
        <v>26</v>
      </c>
      <c r="P10" s="7" t="s">
        <v>27</v>
      </c>
      <c r="Q10" s="7" t="s">
        <v>120</v>
      </c>
      <c r="R10" s="7" t="s">
        <v>28</v>
      </c>
      <c r="S10" s="7" t="s">
        <v>121</v>
      </c>
      <c r="T10" s="7" t="s">
        <v>13</v>
      </c>
      <c r="U10" s="7" t="s">
        <v>29</v>
      </c>
      <c r="V10" s="62"/>
      <c r="W10" s="50" t="s">
        <v>215</v>
      </c>
      <c r="X10" s="96" t="s">
        <v>244</v>
      </c>
      <c r="Y10" s="6"/>
      <c r="Z10" s="6"/>
      <c r="AA10" s="6"/>
      <c r="AB10" s="6"/>
      <c r="AC10" s="6"/>
      <c r="AD10" s="6"/>
    </row>
    <row r="11" spans="2:33" s="5" customFormat="1" ht="10.5" customHeight="1">
      <c r="B11" s="51"/>
      <c r="C11" s="48"/>
      <c r="E11" s="6"/>
      <c r="F11" s="6"/>
      <c r="G11" s="6"/>
      <c r="H11" s="6"/>
      <c r="I11" s="6"/>
      <c r="J11" s="6"/>
      <c r="K11" s="8">
        <v>1</v>
      </c>
      <c r="L11" s="8"/>
      <c r="M11" s="8" t="s">
        <v>108</v>
      </c>
      <c r="N11" s="8"/>
      <c r="O11" s="8">
        <v>0</v>
      </c>
      <c r="P11" s="8">
        <v>0</v>
      </c>
      <c r="Q11" s="8">
        <v>0</v>
      </c>
      <c r="R11" s="8" t="s">
        <v>108</v>
      </c>
      <c r="S11" s="8" t="s">
        <v>108</v>
      </c>
      <c r="T11" s="8"/>
      <c r="U11" s="8" t="s">
        <v>108</v>
      </c>
      <c r="V11" s="63"/>
      <c r="AE11" s="6"/>
    </row>
    <row r="12" spans="2:33">
      <c r="B12" s="51"/>
      <c r="C12" s="3" t="s">
        <v>164</v>
      </c>
      <c r="D12" s="46" t="s">
        <v>199</v>
      </c>
      <c r="E12" s="41"/>
      <c r="F12" s="41"/>
      <c r="G12" s="41"/>
      <c r="H12" s="41"/>
      <c r="I12" s="41"/>
      <c r="J12" s="42"/>
      <c r="K12" s="7" t="s">
        <v>129</v>
      </c>
      <c r="L12" s="7" t="s">
        <v>165</v>
      </c>
      <c r="M12" s="7" t="s">
        <v>166</v>
      </c>
      <c r="N12" s="7" t="s">
        <v>167</v>
      </c>
      <c r="O12" s="7" t="s">
        <v>168</v>
      </c>
      <c r="P12" s="7" t="s">
        <v>169</v>
      </c>
      <c r="Q12" s="7" t="s">
        <v>170</v>
      </c>
      <c r="R12" s="7" t="s">
        <v>171</v>
      </c>
      <c r="S12" s="7" t="s">
        <v>172</v>
      </c>
      <c r="T12" s="7" t="s">
        <v>173</v>
      </c>
      <c r="U12" s="7" t="s">
        <v>174</v>
      </c>
      <c r="V12" s="62"/>
      <c r="W12" s="97" t="s">
        <v>245</v>
      </c>
      <c r="X12" s="5" t="s">
        <v>238</v>
      </c>
      <c r="Y12" s="5"/>
      <c r="Z12" s="5"/>
      <c r="AA12" s="5"/>
      <c r="AB12" s="5"/>
      <c r="AC12" s="5"/>
      <c r="AD12" s="5"/>
      <c r="AF12" s="1"/>
    </row>
    <row r="13" spans="2:33" s="5" customFormat="1" ht="10.5">
      <c r="F13" s="6"/>
      <c r="G13" s="6"/>
      <c r="H13" s="6"/>
      <c r="I13" s="6"/>
      <c r="J13" s="6"/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1</v>
      </c>
      <c r="Q13" s="8">
        <v>0</v>
      </c>
      <c r="R13" s="8">
        <v>0</v>
      </c>
      <c r="S13" s="8">
        <v>0</v>
      </c>
      <c r="T13" s="8">
        <v>1</v>
      </c>
      <c r="U13" s="8">
        <v>1</v>
      </c>
      <c r="V13" s="63"/>
    </row>
    <row r="14" spans="2:33">
      <c r="D14" s="43"/>
      <c r="E14" s="43"/>
      <c r="F14" s="44"/>
      <c r="G14" s="44"/>
      <c r="H14" s="44"/>
      <c r="I14" s="44"/>
      <c r="J14" s="44"/>
      <c r="K14" s="45"/>
      <c r="L14" s="44"/>
      <c r="M14" s="47"/>
      <c r="N14" s="44"/>
      <c r="O14" s="44"/>
      <c r="P14" s="44"/>
      <c r="Q14" s="44"/>
      <c r="R14" s="47"/>
      <c r="S14" s="47"/>
      <c r="T14" s="47"/>
      <c r="U14" s="47"/>
      <c r="V14" s="64"/>
      <c r="AF14" s="43"/>
    </row>
    <row r="15" spans="2:33">
      <c r="B15" s="51" t="s">
        <v>177</v>
      </c>
      <c r="C15" s="3" t="s">
        <v>11</v>
      </c>
      <c r="D15" s="7" t="s">
        <v>34</v>
      </c>
      <c r="E15" s="94"/>
      <c r="F15" s="7" t="s">
        <v>13</v>
      </c>
      <c r="G15" s="7" t="s">
        <v>13</v>
      </c>
      <c r="H15" s="122" t="s">
        <v>35</v>
      </c>
      <c r="I15" s="123"/>
      <c r="J15" s="123"/>
      <c r="K15" s="123"/>
      <c r="L15" s="123"/>
      <c r="M15" s="124"/>
      <c r="N15" s="122" t="s">
        <v>36</v>
      </c>
      <c r="O15" s="123"/>
      <c r="P15" s="123"/>
      <c r="Q15" s="123"/>
      <c r="R15" s="123"/>
      <c r="S15" s="123"/>
      <c r="T15" s="123"/>
      <c r="U15" s="124"/>
      <c r="V15" s="62"/>
      <c r="W15" s="50" t="s">
        <v>246</v>
      </c>
      <c r="X15" s="50" t="s">
        <v>247</v>
      </c>
      <c r="Y15" s="50" t="s">
        <v>248</v>
      </c>
      <c r="Z15" s="50" t="s">
        <v>249</v>
      </c>
      <c r="AA15" s="50" t="s">
        <v>250</v>
      </c>
      <c r="AB15" s="50" t="s">
        <v>251</v>
      </c>
      <c r="AC15" s="50" t="s">
        <v>252</v>
      </c>
      <c r="AD15" s="50" t="s">
        <v>253</v>
      </c>
      <c r="AE15" s="50" t="s">
        <v>254</v>
      </c>
      <c r="AF15" s="50" t="s">
        <v>255</v>
      </c>
    </row>
    <row r="16" spans="2:33" s="5" customFormat="1" ht="10.5" customHeight="1">
      <c r="B16" s="1"/>
      <c r="F16" s="6"/>
      <c r="G16" s="6"/>
      <c r="H16" s="6"/>
      <c r="I16" s="6"/>
      <c r="J16" s="6"/>
      <c r="K16" s="6">
        <v>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3"/>
      <c r="W16" s="6" t="str">
        <f>DEC2HEX(W4)</f>
        <v>80</v>
      </c>
      <c r="X16" s="6" t="str">
        <f t="shared" ref="X16:AF16" si="2">DEC2HEX(X4)</f>
        <v>78</v>
      </c>
      <c r="Y16" s="6" t="str">
        <f t="shared" si="2"/>
        <v>70</v>
      </c>
      <c r="Z16" s="6" t="str">
        <f t="shared" si="2"/>
        <v>68</v>
      </c>
      <c r="AA16" s="6" t="str">
        <f t="shared" si="2"/>
        <v>60</v>
      </c>
      <c r="AB16" s="6" t="str">
        <f t="shared" si="2"/>
        <v>58</v>
      </c>
      <c r="AC16" s="6" t="str">
        <f t="shared" si="2"/>
        <v>50</v>
      </c>
      <c r="AD16" s="6" t="str">
        <f t="shared" si="2"/>
        <v>48</v>
      </c>
      <c r="AE16" s="6" t="str">
        <f t="shared" si="2"/>
        <v>40</v>
      </c>
      <c r="AF16" s="6" t="str">
        <f t="shared" si="2"/>
        <v>38</v>
      </c>
    </row>
    <row r="17" spans="2:35" ht="13.05" customHeight="1">
      <c r="C17" s="3" t="s">
        <v>32</v>
      </c>
      <c r="D17" s="7" t="s">
        <v>213</v>
      </c>
      <c r="E17" s="94"/>
      <c r="F17" s="7" t="s">
        <v>13</v>
      </c>
      <c r="G17" s="122" t="s">
        <v>37</v>
      </c>
      <c r="H17" s="123"/>
      <c r="I17" s="123"/>
      <c r="J17" s="123"/>
      <c r="K17" s="123"/>
      <c r="L17" s="123"/>
      <c r="M17" s="124"/>
      <c r="N17" s="7" t="s">
        <v>13</v>
      </c>
      <c r="O17" s="122" t="s">
        <v>38</v>
      </c>
      <c r="P17" s="123"/>
      <c r="Q17" s="123"/>
      <c r="R17" s="123"/>
      <c r="S17" s="123"/>
      <c r="T17" s="123"/>
      <c r="U17" s="124"/>
      <c r="V17" s="62"/>
      <c r="W17" s="50" t="s">
        <v>302</v>
      </c>
      <c r="X17" s="50" t="s">
        <v>303</v>
      </c>
      <c r="Y17" s="50" t="s">
        <v>304</v>
      </c>
      <c r="Z17" s="50" t="s">
        <v>305</v>
      </c>
      <c r="AA17" s="50" t="s">
        <v>306</v>
      </c>
      <c r="AB17" s="50" t="s">
        <v>307</v>
      </c>
      <c r="AC17" s="50" t="s">
        <v>308</v>
      </c>
      <c r="AD17" s="50" t="s">
        <v>309</v>
      </c>
      <c r="AE17" s="50" t="s">
        <v>310</v>
      </c>
      <c r="AF17" s="50" t="s">
        <v>311</v>
      </c>
    </row>
    <row r="18" spans="2:35" s="5" customFormat="1" ht="12" customHeight="1">
      <c r="B18" s="1"/>
      <c r="C18" s="4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3"/>
      <c r="W18" s="44">
        <v>71</v>
      </c>
      <c r="X18" s="44">
        <v>67</v>
      </c>
      <c r="Y18" s="44">
        <v>63</v>
      </c>
      <c r="Z18" s="44">
        <v>59</v>
      </c>
      <c r="AA18" s="44">
        <v>54</v>
      </c>
      <c r="AB18" s="44">
        <v>48</v>
      </c>
      <c r="AC18" s="44">
        <v>44</v>
      </c>
      <c r="AD18" s="44">
        <v>40</v>
      </c>
      <c r="AE18" s="44">
        <v>36</v>
      </c>
      <c r="AF18" s="44">
        <v>32</v>
      </c>
    </row>
    <row r="19" spans="2:35">
      <c r="C19" s="3" t="s">
        <v>33</v>
      </c>
      <c r="D19" s="7" t="s">
        <v>200</v>
      </c>
      <c r="E19" s="94"/>
      <c r="F19" s="7" t="s">
        <v>13</v>
      </c>
      <c r="G19" s="7" t="s">
        <v>13</v>
      </c>
      <c r="H19" s="7" t="s">
        <v>13</v>
      </c>
      <c r="I19" s="122" t="s">
        <v>39</v>
      </c>
      <c r="J19" s="123"/>
      <c r="K19" s="123"/>
      <c r="L19" s="123"/>
      <c r="M19" s="124"/>
      <c r="N19" s="7" t="s">
        <v>13</v>
      </c>
      <c r="O19" s="7" t="s">
        <v>13</v>
      </c>
      <c r="P19" s="7" t="s">
        <v>13</v>
      </c>
      <c r="Q19" s="122" t="s">
        <v>40</v>
      </c>
      <c r="R19" s="123"/>
      <c r="S19" s="123"/>
      <c r="T19" s="123"/>
      <c r="U19" s="124"/>
      <c r="V19" s="62"/>
      <c r="W19" s="50" t="s">
        <v>293</v>
      </c>
      <c r="X19" s="50" t="s">
        <v>294</v>
      </c>
      <c r="Y19" s="50" t="s">
        <v>295</v>
      </c>
      <c r="Z19" s="50" t="s">
        <v>296</v>
      </c>
      <c r="AA19" s="50" t="s">
        <v>297</v>
      </c>
      <c r="AB19" s="50" t="s">
        <v>297</v>
      </c>
      <c r="AC19" s="50" t="s">
        <v>298</v>
      </c>
      <c r="AD19" s="50" t="s">
        <v>299</v>
      </c>
      <c r="AE19" s="50" t="s">
        <v>300</v>
      </c>
      <c r="AF19" s="50" t="s">
        <v>301</v>
      </c>
    </row>
    <row r="20" spans="2:35" s="5" customFormat="1" ht="10.5" customHeight="1">
      <c r="B20" s="1"/>
      <c r="C20" s="4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3"/>
      <c r="W20" s="100">
        <v>14</v>
      </c>
      <c r="X20" s="100">
        <v>13</v>
      </c>
      <c r="Y20" s="100">
        <v>12</v>
      </c>
      <c r="Z20" s="100">
        <v>11</v>
      </c>
      <c r="AA20" s="100">
        <v>10</v>
      </c>
      <c r="AB20" s="100">
        <v>10</v>
      </c>
      <c r="AC20" s="100">
        <v>9</v>
      </c>
      <c r="AD20" s="100">
        <v>8</v>
      </c>
      <c r="AE20" s="101">
        <v>7</v>
      </c>
      <c r="AF20" s="102">
        <v>6</v>
      </c>
    </row>
    <row r="21" spans="2:35" ht="13.05" customHeight="1">
      <c r="C21" s="3" t="s">
        <v>91</v>
      </c>
      <c r="D21" s="7" t="s">
        <v>41</v>
      </c>
      <c r="E21" s="94"/>
      <c r="F21" s="7" t="s">
        <v>13</v>
      </c>
      <c r="G21" s="122" t="s">
        <v>42</v>
      </c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4"/>
      <c r="V21" s="62"/>
      <c r="W21" s="50" t="s">
        <v>109</v>
      </c>
      <c r="X21" s="1"/>
      <c r="Y21" s="1"/>
      <c r="Z21" s="1"/>
      <c r="AA21" s="1"/>
      <c r="AB21" s="1"/>
      <c r="AC21" s="1"/>
      <c r="AD21" s="1"/>
      <c r="AE21" s="1"/>
      <c r="AF21" s="1"/>
    </row>
    <row r="22" spans="2:35" s="5" customFormat="1" ht="12" customHeight="1">
      <c r="B22" s="1"/>
      <c r="C22" s="4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3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spans="2:35" ht="13.05" customHeight="1">
      <c r="C23" s="3" t="s">
        <v>92</v>
      </c>
      <c r="D23" s="7" t="s">
        <v>43</v>
      </c>
      <c r="E23" s="94"/>
      <c r="F23" s="7" t="s">
        <v>13</v>
      </c>
      <c r="G23" s="122" t="s">
        <v>44</v>
      </c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4"/>
      <c r="V23" s="62"/>
      <c r="W23" s="50" t="s">
        <v>256</v>
      </c>
      <c r="X23" s="50" t="s">
        <v>257</v>
      </c>
      <c r="Y23" s="50" t="s">
        <v>258</v>
      </c>
      <c r="Z23" s="50" t="s">
        <v>259</v>
      </c>
      <c r="AA23" s="50" t="s">
        <v>260</v>
      </c>
      <c r="AB23" s="50" t="s">
        <v>261</v>
      </c>
      <c r="AC23" s="50" t="s">
        <v>262</v>
      </c>
      <c r="AD23" s="50" t="s">
        <v>263</v>
      </c>
      <c r="AE23" s="50" t="s">
        <v>122</v>
      </c>
      <c r="AF23" s="50" t="s">
        <v>237</v>
      </c>
      <c r="AG23" s="1">
        <f>10000/64/AG3</f>
        <v>2437.4999999999995</v>
      </c>
      <c r="AH23" s="1">
        <v>2435</v>
      </c>
      <c r="AI23" s="1" t="str">
        <f>_xlfn.CONCAT("0x", DEC2HEX(AH23))</f>
        <v>0x983</v>
      </c>
    </row>
    <row r="24" spans="2:35" s="5" customFormat="1" ht="10.5" customHeight="1">
      <c r="B24" s="1"/>
      <c r="C24" s="4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</row>
    <row r="25" spans="2:35" ht="13.05" customHeight="1">
      <c r="C25" s="3" t="s">
        <v>93</v>
      </c>
      <c r="D25" s="7" t="s">
        <v>45</v>
      </c>
      <c r="E25" s="94"/>
      <c r="F25" s="7" t="s">
        <v>13</v>
      </c>
      <c r="G25" s="7" t="s">
        <v>13</v>
      </c>
      <c r="H25" s="7" t="s">
        <v>13</v>
      </c>
      <c r="I25" s="122" t="s">
        <v>46</v>
      </c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4"/>
      <c r="V25" s="62"/>
      <c r="W25" s="50" t="s">
        <v>264</v>
      </c>
      <c r="X25" s="50" t="s">
        <v>265</v>
      </c>
      <c r="Y25" s="50" t="s">
        <v>266</v>
      </c>
      <c r="Z25" s="50" t="s">
        <v>267</v>
      </c>
      <c r="AA25" s="50" t="s">
        <v>268</v>
      </c>
      <c r="AB25" s="50" t="s">
        <v>269</v>
      </c>
      <c r="AC25" s="50" t="s">
        <v>270</v>
      </c>
      <c r="AD25" s="50" t="s">
        <v>271</v>
      </c>
      <c r="AE25" s="50" t="s">
        <v>272</v>
      </c>
      <c r="AF25" s="50" t="s">
        <v>273</v>
      </c>
      <c r="AG25" s="1">
        <f>10000/64/6/AG3</f>
        <v>406.24999999999994</v>
      </c>
      <c r="AH25" s="1">
        <v>406</v>
      </c>
      <c r="AI25" s="1" t="str">
        <f>_xlfn.CONCAT("0x", DEC2HEX(AH25))</f>
        <v>0x196</v>
      </c>
    </row>
    <row r="26" spans="2:35" s="5" customFormat="1" ht="10.5" customHeight="1">
      <c r="B26" s="1"/>
      <c r="C26" s="4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</row>
    <row r="27" spans="2:35" ht="13.05" customHeight="1">
      <c r="C27" s="3" t="s">
        <v>94</v>
      </c>
      <c r="D27" s="7" t="s">
        <v>180</v>
      </c>
      <c r="E27" s="92"/>
      <c r="F27" s="122" t="s">
        <v>179</v>
      </c>
      <c r="G27" s="123"/>
      <c r="H27" s="123"/>
      <c r="I27" s="124"/>
      <c r="J27" s="122" t="s">
        <v>318</v>
      </c>
      <c r="K27" s="123"/>
      <c r="L27" s="123"/>
      <c r="M27" s="124"/>
      <c r="N27" s="122" t="s">
        <v>317</v>
      </c>
      <c r="O27" s="123"/>
      <c r="P27" s="123"/>
      <c r="Q27" s="124"/>
      <c r="R27" s="122" t="s">
        <v>312</v>
      </c>
      <c r="S27" s="123"/>
      <c r="T27" s="123"/>
      <c r="U27" s="124"/>
      <c r="V27" s="62"/>
      <c r="W27" s="50" t="s">
        <v>320</v>
      </c>
      <c r="X27" s="1"/>
      <c r="Y27" s="1"/>
      <c r="Z27" s="1"/>
      <c r="AA27" s="1"/>
      <c r="AB27" s="1"/>
      <c r="AC27" s="1"/>
      <c r="AD27" s="1"/>
      <c r="AE27" s="1"/>
      <c r="AF27" s="1"/>
    </row>
    <row r="28" spans="2:35" s="5" customFormat="1" ht="10.5" customHeight="1">
      <c r="B28" s="1"/>
      <c r="C28" s="4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3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2:35" ht="13.05" customHeight="1">
      <c r="C29" s="3" t="s">
        <v>95</v>
      </c>
      <c r="D29" s="7" t="s">
        <v>181</v>
      </c>
      <c r="E29" s="92"/>
      <c r="F29" s="122" t="s">
        <v>183</v>
      </c>
      <c r="G29" s="123"/>
      <c r="H29" s="123"/>
      <c r="I29" s="124"/>
      <c r="J29" s="122" t="s">
        <v>319</v>
      </c>
      <c r="K29" s="123"/>
      <c r="L29" s="123"/>
      <c r="M29" s="124"/>
      <c r="N29" s="122" t="s">
        <v>316</v>
      </c>
      <c r="O29" s="123"/>
      <c r="P29" s="123"/>
      <c r="Q29" s="124"/>
      <c r="R29" s="122" t="s">
        <v>313</v>
      </c>
      <c r="S29" s="123"/>
      <c r="T29" s="123"/>
      <c r="U29" s="124"/>
      <c r="V29" s="62"/>
      <c r="W29" s="50" t="s">
        <v>321</v>
      </c>
      <c r="X29" s="1"/>
      <c r="Y29" s="1"/>
      <c r="Z29" s="1"/>
      <c r="AA29" s="1"/>
      <c r="AB29" s="1"/>
      <c r="AC29" s="1"/>
      <c r="AD29" s="1"/>
      <c r="AE29" s="1"/>
      <c r="AF29" s="1"/>
    </row>
    <row r="30" spans="2:35" s="5" customFormat="1" ht="10.5" customHeight="1">
      <c r="B30" s="1"/>
      <c r="C30" s="4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3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2:35" ht="13.05" customHeight="1">
      <c r="C31" s="3" t="s">
        <v>96</v>
      </c>
      <c r="D31" s="7" t="s">
        <v>182</v>
      </c>
      <c r="E31" s="94"/>
      <c r="F31" s="7" t="s">
        <v>129</v>
      </c>
      <c r="G31" s="7" t="s">
        <v>129</v>
      </c>
      <c r="H31" s="7" t="s">
        <v>129</v>
      </c>
      <c r="I31" s="7" t="s">
        <v>129</v>
      </c>
      <c r="J31" s="7" t="s">
        <v>129</v>
      </c>
      <c r="K31" s="7" t="s">
        <v>129</v>
      </c>
      <c r="L31" s="7" t="s">
        <v>129</v>
      </c>
      <c r="M31" s="7" t="s">
        <v>129</v>
      </c>
      <c r="N31" s="122" t="s">
        <v>315</v>
      </c>
      <c r="O31" s="123"/>
      <c r="P31" s="123"/>
      <c r="Q31" s="124"/>
      <c r="R31" s="122" t="s">
        <v>314</v>
      </c>
      <c r="S31" s="123"/>
      <c r="T31" s="123"/>
      <c r="U31" s="124"/>
      <c r="V31" s="62"/>
      <c r="W31" s="97" t="s">
        <v>109</v>
      </c>
      <c r="X31" s="1"/>
      <c r="Y31" s="1"/>
      <c r="Z31" s="1"/>
      <c r="AA31" s="1"/>
      <c r="AB31" s="1"/>
      <c r="AC31" s="1"/>
      <c r="AD31" s="1"/>
      <c r="AE31" s="1"/>
      <c r="AF31" s="1"/>
    </row>
    <row r="32" spans="2:35" s="5" customFormat="1" ht="10.5" customHeight="1">
      <c r="B32" s="1"/>
      <c r="C32" s="4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3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2:35" ht="13.05" customHeight="1">
      <c r="C33" s="3" t="s">
        <v>97</v>
      </c>
      <c r="D33" s="7" t="s">
        <v>209</v>
      </c>
      <c r="E33" s="94"/>
      <c r="F33" s="7" t="s">
        <v>13</v>
      </c>
      <c r="G33" s="122" t="s">
        <v>216</v>
      </c>
      <c r="H33" s="123"/>
      <c r="I33" s="124"/>
      <c r="J33" s="122" t="s">
        <v>218</v>
      </c>
      <c r="K33" s="123"/>
      <c r="L33" s="124"/>
      <c r="M33" s="122" t="s">
        <v>220</v>
      </c>
      <c r="N33" s="123"/>
      <c r="O33" s="124"/>
      <c r="P33" s="122" t="s">
        <v>222</v>
      </c>
      <c r="Q33" s="123"/>
      <c r="R33" s="124"/>
      <c r="S33" s="122" t="s">
        <v>224</v>
      </c>
      <c r="T33" s="123"/>
      <c r="U33" s="124"/>
      <c r="V33" s="62"/>
      <c r="W33" s="97" t="s">
        <v>338</v>
      </c>
      <c r="X33" s="65"/>
      <c r="Y33" s="65"/>
      <c r="Z33" s="65"/>
      <c r="AA33" s="65"/>
      <c r="AB33" s="65"/>
      <c r="AC33" s="65"/>
      <c r="AD33" s="65"/>
      <c r="AE33" s="65"/>
      <c r="AF33" s="65"/>
      <c r="AG33" s="65"/>
    </row>
    <row r="34" spans="2:35" s="5" customFormat="1" ht="10.5" customHeight="1">
      <c r="B34" s="1"/>
      <c r="C34" s="4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3"/>
      <c r="W34" s="6"/>
    </row>
    <row r="35" spans="2:35" ht="13.05" customHeight="1">
      <c r="C35" s="3" t="s">
        <v>184</v>
      </c>
      <c r="D35" s="7" t="s">
        <v>208</v>
      </c>
      <c r="E35" s="94"/>
      <c r="F35" s="7" t="s">
        <v>13</v>
      </c>
      <c r="G35" s="122" t="s">
        <v>217</v>
      </c>
      <c r="H35" s="123"/>
      <c r="I35" s="124"/>
      <c r="J35" s="122" t="s">
        <v>219</v>
      </c>
      <c r="K35" s="123"/>
      <c r="L35" s="124"/>
      <c r="M35" s="122" t="s">
        <v>221</v>
      </c>
      <c r="N35" s="123"/>
      <c r="O35" s="124"/>
      <c r="P35" s="122" t="s">
        <v>223</v>
      </c>
      <c r="Q35" s="123"/>
      <c r="R35" s="124"/>
      <c r="S35" s="122" t="s">
        <v>225</v>
      </c>
      <c r="T35" s="123"/>
      <c r="U35" s="124"/>
      <c r="V35" s="62"/>
      <c r="W35" s="97" t="s">
        <v>338</v>
      </c>
      <c r="X35" s="65"/>
      <c r="Y35" s="65"/>
      <c r="Z35" s="65"/>
      <c r="AA35" s="65"/>
      <c r="AB35" s="65"/>
      <c r="AC35" s="65"/>
      <c r="AD35" s="65"/>
      <c r="AE35" s="65"/>
      <c r="AF35" s="65"/>
      <c r="AG35" s="65"/>
    </row>
    <row r="36" spans="2:35" s="5" customFormat="1" ht="10.5" customHeight="1">
      <c r="B36" s="1"/>
      <c r="C36" s="4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3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2:35">
      <c r="C37" s="3" t="s">
        <v>185</v>
      </c>
      <c r="D37" s="7" t="s">
        <v>47</v>
      </c>
      <c r="E37" s="94"/>
      <c r="F37" s="7" t="s">
        <v>13</v>
      </c>
      <c r="G37" s="7" t="s">
        <v>13</v>
      </c>
      <c r="H37" s="7" t="s">
        <v>13</v>
      </c>
      <c r="I37" s="7" t="s">
        <v>13</v>
      </c>
      <c r="J37" s="7" t="s">
        <v>13</v>
      </c>
      <c r="K37" s="7" t="s">
        <v>13</v>
      </c>
      <c r="L37" s="122" t="s">
        <v>48</v>
      </c>
      <c r="M37" s="123"/>
      <c r="N37" s="123"/>
      <c r="O37" s="123"/>
      <c r="P37" s="123"/>
      <c r="Q37" s="123"/>
      <c r="R37" s="123"/>
      <c r="S37" s="123"/>
      <c r="T37" s="123"/>
      <c r="U37" s="124"/>
      <c r="V37" s="62"/>
      <c r="W37" s="97" t="s">
        <v>274</v>
      </c>
      <c r="X37" s="97" t="s">
        <v>275</v>
      </c>
      <c r="Y37" s="97" t="s">
        <v>276</v>
      </c>
      <c r="Z37" s="97" t="s">
        <v>277</v>
      </c>
      <c r="AA37" s="97" t="s">
        <v>278</v>
      </c>
      <c r="AB37" s="97" t="s">
        <v>267</v>
      </c>
      <c r="AC37" s="97" t="s">
        <v>279</v>
      </c>
      <c r="AD37" s="97" t="s">
        <v>280</v>
      </c>
      <c r="AE37" s="97" t="s">
        <v>281</v>
      </c>
      <c r="AF37" s="97" t="s">
        <v>283</v>
      </c>
    </row>
    <row r="38" spans="2:35" s="5" customFormat="1" ht="10.5" customHeight="1">
      <c r="B38" s="1"/>
      <c r="C38" s="48"/>
      <c r="F38" s="6"/>
      <c r="G38" s="6"/>
      <c r="H38" s="6"/>
      <c r="I38" s="6"/>
      <c r="J38" s="6"/>
      <c r="K38" s="6"/>
      <c r="L38" s="6"/>
      <c r="M38" s="6"/>
      <c r="N38" s="9"/>
      <c r="O38" s="10"/>
      <c r="P38" s="11"/>
      <c r="Q38" s="10"/>
      <c r="R38" s="6"/>
      <c r="S38" s="6"/>
      <c r="T38" s="6"/>
      <c r="U38" s="6"/>
      <c r="V38" s="63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2:35" ht="13.05" customHeight="1">
      <c r="C39" s="3" t="s">
        <v>103</v>
      </c>
      <c r="D39" s="7" t="s">
        <v>49</v>
      </c>
      <c r="E39" s="94"/>
      <c r="F39" s="7" t="s">
        <v>13</v>
      </c>
      <c r="G39" s="7" t="s">
        <v>13</v>
      </c>
      <c r="H39" s="7" t="s">
        <v>13</v>
      </c>
      <c r="I39" s="7" t="s">
        <v>13</v>
      </c>
      <c r="J39" s="7" t="s">
        <v>13</v>
      </c>
      <c r="K39" s="7" t="s">
        <v>13</v>
      </c>
      <c r="L39" s="7" t="s">
        <v>13</v>
      </c>
      <c r="M39" s="122" t="s">
        <v>50</v>
      </c>
      <c r="N39" s="123"/>
      <c r="O39" s="123"/>
      <c r="P39" s="123"/>
      <c r="Q39" s="123"/>
      <c r="R39" s="123"/>
      <c r="S39" s="123"/>
      <c r="T39" s="123"/>
      <c r="U39" s="124"/>
      <c r="V39" s="62"/>
      <c r="W39" s="97" t="s">
        <v>282</v>
      </c>
      <c r="X39" s="1"/>
      <c r="Y39" s="1"/>
      <c r="Z39" s="1"/>
      <c r="AA39" s="1"/>
      <c r="AB39" s="1"/>
      <c r="AC39" s="1"/>
      <c r="AD39" s="1"/>
      <c r="AE39" s="1"/>
      <c r="AF39" s="1"/>
    </row>
    <row r="40" spans="2:35" s="5" customFormat="1" ht="10.5" customHeight="1">
      <c r="B40" s="1"/>
      <c r="C40" s="48"/>
      <c r="F40" s="6"/>
      <c r="G40" s="6"/>
      <c r="H40" s="6"/>
      <c r="I40" s="6"/>
      <c r="J40" s="6"/>
      <c r="K40" s="6"/>
      <c r="L40" s="6"/>
      <c r="M40" s="6"/>
      <c r="N40" s="9"/>
      <c r="O40" s="10"/>
      <c r="P40" s="11"/>
      <c r="Q40" s="10"/>
      <c r="T40" s="11"/>
      <c r="U40" s="10"/>
      <c r="V40" s="63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2:35" ht="13.05" customHeight="1">
      <c r="C41" s="3" t="s">
        <v>104</v>
      </c>
      <c r="D41" s="7" t="s">
        <v>51</v>
      </c>
      <c r="E41" s="94"/>
      <c r="F41" s="7" t="s">
        <v>13</v>
      </c>
      <c r="G41" s="7" t="s">
        <v>13</v>
      </c>
      <c r="H41" s="7" t="s">
        <v>13</v>
      </c>
      <c r="I41" s="7" t="s">
        <v>13</v>
      </c>
      <c r="J41" s="7" t="s">
        <v>13</v>
      </c>
      <c r="K41" s="7" t="s">
        <v>13</v>
      </c>
      <c r="L41" s="7" t="s">
        <v>13</v>
      </c>
      <c r="M41" s="7" t="s">
        <v>13</v>
      </c>
      <c r="N41" s="7" t="s">
        <v>13</v>
      </c>
      <c r="O41" s="122" t="s">
        <v>52</v>
      </c>
      <c r="P41" s="123"/>
      <c r="Q41" s="123"/>
      <c r="R41" s="123"/>
      <c r="S41" s="123"/>
      <c r="T41" s="123"/>
      <c r="U41" s="124"/>
      <c r="V41" s="62"/>
      <c r="W41" s="50" t="s">
        <v>322</v>
      </c>
      <c r="X41" s="50" t="s">
        <v>284</v>
      </c>
      <c r="Y41" s="50" t="s">
        <v>285</v>
      </c>
      <c r="Z41" s="50" t="s">
        <v>286</v>
      </c>
      <c r="AA41" s="50" t="s">
        <v>287</v>
      </c>
      <c r="AB41" s="50" t="s">
        <v>288</v>
      </c>
      <c r="AC41" s="50" t="s">
        <v>289</v>
      </c>
      <c r="AD41" s="50" t="s">
        <v>226</v>
      </c>
      <c r="AE41" s="50" t="s">
        <v>227</v>
      </c>
      <c r="AF41" s="50" t="s">
        <v>290</v>
      </c>
    </row>
    <row r="42" spans="2:35" s="5" customFormat="1" ht="10.5" customHeight="1">
      <c r="B42" s="1"/>
      <c r="C42" s="4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3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2:35" ht="13.05" customHeight="1">
      <c r="C43" s="3" t="s">
        <v>105</v>
      </c>
      <c r="D43" s="7" t="s">
        <v>206</v>
      </c>
      <c r="E43" s="94"/>
      <c r="F43" s="7" t="s">
        <v>13</v>
      </c>
      <c r="G43" s="7" t="s">
        <v>13</v>
      </c>
      <c r="H43" s="7" t="s">
        <v>13</v>
      </c>
      <c r="I43" s="7" t="s">
        <v>13</v>
      </c>
      <c r="J43" s="122" t="s">
        <v>53</v>
      </c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4"/>
      <c r="V43" s="62"/>
      <c r="W43" s="50" t="s">
        <v>109</v>
      </c>
      <c r="X43" s="1"/>
      <c r="Y43" s="1"/>
      <c r="Z43" s="1"/>
      <c r="AA43" s="1"/>
      <c r="AB43" s="1"/>
      <c r="AC43" s="1"/>
      <c r="AD43" s="1"/>
      <c r="AE43" s="1"/>
      <c r="AF43" s="1"/>
    </row>
    <row r="44" spans="2:35" s="5" customFormat="1" ht="10.5" customHeight="1">
      <c r="B44" s="1"/>
      <c r="C44" s="4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3"/>
      <c r="W44" s="6"/>
    </row>
    <row r="45" spans="2:35" ht="13.05" customHeight="1">
      <c r="C45" s="3" t="s">
        <v>106</v>
      </c>
      <c r="D45" s="7" t="s">
        <v>207</v>
      </c>
      <c r="E45" s="94"/>
      <c r="F45" s="7" t="s">
        <v>13</v>
      </c>
      <c r="G45" s="7" t="s">
        <v>13</v>
      </c>
      <c r="H45" s="7" t="s">
        <v>13</v>
      </c>
      <c r="I45" s="7" t="s">
        <v>13</v>
      </c>
      <c r="J45" s="7" t="s">
        <v>13</v>
      </c>
      <c r="K45" s="7" t="s">
        <v>13</v>
      </c>
      <c r="L45" s="122" t="s">
        <v>54</v>
      </c>
      <c r="M45" s="123"/>
      <c r="N45" s="123"/>
      <c r="O45" s="123"/>
      <c r="P45" s="123"/>
      <c r="Q45" s="123"/>
      <c r="R45" s="123"/>
      <c r="S45" s="123"/>
      <c r="T45" s="123"/>
      <c r="U45" s="124"/>
      <c r="V45" s="62"/>
      <c r="W45" s="50" t="s">
        <v>109</v>
      </c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spans="2:35" s="5" customFormat="1" ht="10.5" customHeight="1">
      <c r="B46" s="1"/>
      <c r="C46" s="4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3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2:35" ht="13.05" customHeight="1">
      <c r="C47" s="3" t="s">
        <v>107</v>
      </c>
      <c r="D47" s="7" t="s">
        <v>201</v>
      </c>
      <c r="E47" s="94"/>
      <c r="F47" s="7" t="s">
        <v>13</v>
      </c>
      <c r="G47" s="7" t="s">
        <v>13</v>
      </c>
      <c r="H47" s="122" t="s">
        <v>55</v>
      </c>
      <c r="I47" s="124"/>
      <c r="J47" s="122" t="s">
        <v>186</v>
      </c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4"/>
      <c r="V47" s="62"/>
      <c r="W47" s="50" t="s">
        <v>112</v>
      </c>
      <c r="X47" s="43"/>
      <c r="Y47" s="43"/>
      <c r="Z47" s="43"/>
      <c r="AA47" s="43"/>
      <c r="AB47" s="43"/>
      <c r="AC47" s="43"/>
      <c r="AD47" s="43"/>
      <c r="AE47" s="43"/>
      <c r="AF47" s="43"/>
    </row>
    <row r="48" spans="2:35" s="5" customFormat="1" ht="10.5" customHeight="1">
      <c r="B48" s="1"/>
      <c r="C48" s="4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3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2:32">
      <c r="C49" s="3" t="s">
        <v>98</v>
      </c>
      <c r="D49" s="7" t="s">
        <v>123</v>
      </c>
      <c r="E49" s="94"/>
      <c r="F49" s="7" t="s">
        <v>13</v>
      </c>
      <c r="G49" s="7" t="s">
        <v>13</v>
      </c>
      <c r="H49" s="7" t="s">
        <v>13</v>
      </c>
      <c r="I49" s="7" t="s">
        <v>13</v>
      </c>
      <c r="J49" s="7" t="s">
        <v>13</v>
      </c>
      <c r="K49" s="7" t="s">
        <v>13</v>
      </c>
      <c r="L49" s="7" t="s">
        <v>13</v>
      </c>
      <c r="M49" s="7" t="s">
        <v>13</v>
      </c>
      <c r="N49" s="122" t="s">
        <v>124</v>
      </c>
      <c r="O49" s="123"/>
      <c r="P49" s="123"/>
      <c r="Q49" s="123"/>
      <c r="R49" s="123"/>
      <c r="S49" s="123"/>
      <c r="T49" s="123"/>
      <c r="U49" s="124"/>
      <c r="V49" s="62"/>
      <c r="W49" s="50" t="s">
        <v>109</v>
      </c>
      <c r="X49" s="43"/>
      <c r="Y49" s="43"/>
      <c r="Z49" s="43"/>
      <c r="AA49" s="43"/>
      <c r="AB49" s="43"/>
      <c r="AC49" s="43"/>
      <c r="AD49" s="43"/>
      <c r="AE49" s="43"/>
      <c r="AF49" s="43"/>
    </row>
    <row r="50" spans="2:32" s="5" customFormat="1" ht="10.5" customHeight="1">
      <c r="B50" s="1"/>
      <c r="C50" s="4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3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2:32">
      <c r="C51" s="3" t="s">
        <v>99</v>
      </c>
      <c r="D51" s="7" t="s">
        <v>125</v>
      </c>
      <c r="E51" s="94"/>
      <c r="F51" s="7" t="s">
        <v>13</v>
      </c>
      <c r="G51" s="7" t="s">
        <v>13</v>
      </c>
      <c r="H51" s="7" t="s">
        <v>13</v>
      </c>
      <c r="I51" s="7" t="s">
        <v>13</v>
      </c>
      <c r="J51" s="122" t="s">
        <v>126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4"/>
      <c r="V51" s="62"/>
      <c r="W51" s="50" t="s">
        <v>109</v>
      </c>
      <c r="X51" s="43"/>
      <c r="Y51" s="43"/>
      <c r="Z51" s="43"/>
      <c r="AA51" s="43"/>
      <c r="AB51" s="43"/>
      <c r="AC51" s="43"/>
      <c r="AD51" s="43"/>
      <c r="AE51" s="43"/>
      <c r="AF51" s="43"/>
    </row>
    <row r="52" spans="2:32" s="5" customFormat="1" ht="10.5" customHeight="1">
      <c r="B52" s="1"/>
      <c r="C52" s="4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3"/>
      <c r="W52" s="6"/>
      <c r="X52" s="6"/>
      <c r="Y52" s="6"/>
      <c r="Z52" s="6"/>
      <c r="AA52" s="6"/>
      <c r="AB52" s="6"/>
      <c r="AC52" s="6"/>
      <c r="AD52" s="6"/>
      <c r="AE52" s="43"/>
      <c r="AF52" s="6"/>
    </row>
    <row r="53" spans="2:32">
      <c r="C53" s="3" t="s">
        <v>100</v>
      </c>
      <c r="D53" s="7" t="s">
        <v>202</v>
      </c>
      <c r="E53" s="94"/>
      <c r="F53" s="7" t="s">
        <v>13</v>
      </c>
      <c r="G53" s="7" t="s">
        <v>13</v>
      </c>
      <c r="H53" s="7" t="s">
        <v>13</v>
      </c>
      <c r="I53" s="7" t="s">
        <v>13</v>
      </c>
      <c r="J53" s="7" t="s">
        <v>13</v>
      </c>
      <c r="K53" s="7" t="s">
        <v>13</v>
      </c>
      <c r="L53" s="7" t="s">
        <v>78</v>
      </c>
      <c r="M53" s="7" t="s">
        <v>79</v>
      </c>
      <c r="N53" s="7" t="s">
        <v>56</v>
      </c>
      <c r="O53" s="7" t="s">
        <v>57</v>
      </c>
      <c r="P53" s="7" t="s">
        <v>58</v>
      </c>
      <c r="Q53" s="7" t="s">
        <v>59</v>
      </c>
      <c r="R53" s="7" t="s">
        <v>60</v>
      </c>
      <c r="S53" s="7" t="s">
        <v>61</v>
      </c>
      <c r="T53" s="7" t="s">
        <v>62</v>
      </c>
      <c r="U53" s="7" t="s">
        <v>63</v>
      </c>
      <c r="V53" s="62"/>
      <c r="W53" s="50" t="s">
        <v>323</v>
      </c>
      <c r="X53" s="1"/>
      <c r="Y53" s="1"/>
      <c r="Z53" s="1"/>
      <c r="AA53" s="1"/>
      <c r="AB53" s="1"/>
      <c r="AC53" s="1"/>
      <c r="AD53" s="1"/>
      <c r="AE53" s="1"/>
      <c r="AF53" s="1"/>
    </row>
    <row r="54" spans="2:32" s="5" customFormat="1" ht="10.5" customHeight="1">
      <c r="B54" s="1"/>
      <c r="C54" s="48"/>
      <c r="F54" s="6"/>
      <c r="G54" s="6"/>
      <c r="H54" s="6"/>
      <c r="I54" s="6"/>
      <c r="J54" s="6"/>
      <c r="K54" s="6"/>
      <c r="L54" s="6"/>
      <c r="M54" s="6"/>
      <c r="N54" s="6"/>
      <c r="O54" s="6">
        <v>1</v>
      </c>
      <c r="P54" s="6"/>
      <c r="Q54" s="6"/>
      <c r="R54" s="6"/>
      <c r="S54" s="6"/>
      <c r="T54" s="6">
        <v>1</v>
      </c>
      <c r="U54" s="6"/>
      <c r="V54" s="63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2:32">
      <c r="C55" s="3" t="s">
        <v>101</v>
      </c>
      <c r="D55" s="7" t="s">
        <v>210</v>
      </c>
      <c r="E55" s="92"/>
      <c r="F55" s="122" t="s">
        <v>64</v>
      </c>
      <c r="G55" s="123"/>
      <c r="H55" s="123"/>
      <c r="I55" s="124"/>
      <c r="J55" s="122" t="s">
        <v>65</v>
      </c>
      <c r="K55" s="123"/>
      <c r="L55" s="123"/>
      <c r="M55" s="124"/>
      <c r="N55" s="122" t="s">
        <v>66</v>
      </c>
      <c r="O55" s="123"/>
      <c r="P55" s="123"/>
      <c r="Q55" s="124"/>
      <c r="R55" s="122" t="s">
        <v>67</v>
      </c>
      <c r="S55" s="123"/>
      <c r="T55" s="123"/>
      <c r="U55" s="124"/>
      <c r="V55" s="62"/>
      <c r="W55" s="50" t="s">
        <v>322</v>
      </c>
      <c r="X55" s="1"/>
      <c r="Y55" s="1"/>
      <c r="Z55" s="1"/>
      <c r="AA55" s="1"/>
      <c r="AB55" s="1"/>
      <c r="AC55" s="1"/>
      <c r="AD55" s="1"/>
      <c r="AE55" s="1"/>
      <c r="AF55" s="1"/>
    </row>
    <row r="56" spans="2:32" s="5" customFormat="1" ht="10.5" customHeight="1">
      <c r="B56" s="1"/>
      <c r="C56" s="48"/>
      <c r="F56" s="6"/>
      <c r="G56" s="6"/>
      <c r="H56" s="6"/>
      <c r="I56" s="6"/>
      <c r="J56" s="6"/>
      <c r="K56" s="6"/>
      <c r="L56" s="6"/>
      <c r="M56" s="6"/>
      <c r="N56" s="6"/>
      <c r="O56" s="6">
        <v>1</v>
      </c>
      <c r="P56" s="6"/>
      <c r="Q56" s="6"/>
      <c r="R56" s="6"/>
      <c r="S56" s="6"/>
      <c r="T56" s="6"/>
      <c r="U56" s="6"/>
      <c r="V56" s="63"/>
      <c r="W56" s="6"/>
    </row>
    <row r="57" spans="2:32">
      <c r="C57" s="3" t="s">
        <v>102</v>
      </c>
      <c r="D57" s="7" t="s">
        <v>211</v>
      </c>
      <c r="E57" s="92"/>
      <c r="F57" s="122" t="s">
        <v>68</v>
      </c>
      <c r="G57" s="123"/>
      <c r="H57" s="123"/>
      <c r="I57" s="124"/>
      <c r="J57" s="122" t="s">
        <v>69</v>
      </c>
      <c r="K57" s="123"/>
      <c r="L57" s="123"/>
      <c r="M57" s="124"/>
      <c r="N57" s="122" t="s">
        <v>70</v>
      </c>
      <c r="O57" s="123"/>
      <c r="P57" s="123"/>
      <c r="Q57" s="124"/>
      <c r="R57" s="122" t="s">
        <v>71</v>
      </c>
      <c r="S57" s="123"/>
      <c r="T57" s="123"/>
      <c r="U57" s="124"/>
      <c r="V57" s="62"/>
      <c r="W57" s="50" t="s">
        <v>324</v>
      </c>
      <c r="X57" s="1"/>
      <c r="Y57" s="1"/>
      <c r="Z57" s="1"/>
      <c r="AA57" s="1"/>
      <c r="AB57" s="1"/>
      <c r="AC57" s="1"/>
      <c r="AD57" s="1"/>
      <c r="AE57" s="1"/>
      <c r="AF57" s="1"/>
    </row>
    <row r="58" spans="2:32" s="5" customFormat="1" ht="10.5" customHeight="1">
      <c r="B58" s="1"/>
      <c r="C58" s="48"/>
      <c r="F58" s="6"/>
      <c r="G58" s="6"/>
      <c r="H58" s="6"/>
      <c r="I58" s="6"/>
      <c r="J58" s="6"/>
      <c r="K58" s="6"/>
      <c r="L58" s="6">
        <v>6</v>
      </c>
      <c r="M58" s="6"/>
      <c r="N58" s="6"/>
      <c r="O58" s="6"/>
      <c r="P58" s="6"/>
      <c r="Q58" s="6"/>
      <c r="R58" s="6"/>
      <c r="S58" s="6"/>
      <c r="T58" s="6"/>
      <c r="U58" s="6"/>
      <c r="V58" s="63"/>
      <c r="W58" s="6"/>
      <c r="X58" s="6"/>
      <c r="Y58" s="6"/>
      <c r="Z58" s="6"/>
      <c r="AA58" s="6"/>
      <c r="AB58" s="6"/>
      <c r="AC58" s="6"/>
      <c r="AD58" s="6"/>
      <c r="AE58" s="43"/>
      <c r="AF58" s="6"/>
    </row>
    <row r="59" spans="2:32" ht="13.05" customHeight="1">
      <c r="C59" s="3" t="s">
        <v>187</v>
      </c>
      <c r="D59" s="7" t="s">
        <v>212</v>
      </c>
      <c r="E59" s="94"/>
      <c r="F59" s="7" t="s">
        <v>13</v>
      </c>
      <c r="G59" s="7" t="s">
        <v>13</v>
      </c>
      <c r="H59" s="7" t="s">
        <v>13</v>
      </c>
      <c r="I59" s="7" t="s">
        <v>13</v>
      </c>
      <c r="J59" s="7" t="s">
        <v>13</v>
      </c>
      <c r="K59" s="7" t="s">
        <v>13</v>
      </c>
      <c r="L59" s="7" t="s">
        <v>13</v>
      </c>
      <c r="M59" s="7" t="s">
        <v>13</v>
      </c>
      <c r="N59" s="122" t="s">
        <v>189</v>
      </c>
      <c r="O59" s="123"/>
      <c r="P59" s="123"/>
      <c r="Q59" s="124"/>
      <c r="R59" s="122" t="s">
        <v>188</v>
      </c>
      <c r="S59" s="123"/>
      <c r="T59" s="123"/>
      <c r="U59" s="124"/>
      <c r="V59" s="62"/>
      <c r="W59" s="97" t="s">
        <v>109</v>
      </c>
      <c r="X59" s="43"/>
      <c r="Y59" s="43"/>
      <c r="Z59" s="43"/>
      <c r="AA59" s="43"/>
      <c r="AB59" s="43"/>
      <c r="AC59" s="43"/>
      <c r="AD59" s="43"/>
      <c r="AE59" s="43"/>
      <c r="AF59" s="43"/>
    </row>
    <row r="60" spans="2:32" s="5" customFormat="1" ht="10.5" customHeight="1">
      <c r="B60" s="1"/>
      <c r="C60" s="4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3"/>
      <c r="W60" s="6"/>
      <c r="X60" s="6"/>
      <c r="Y60" s="6"/>
      <c r="Z60" s="6"/>
      <c r="AA60" s="6"/>
      <c r="AB60" s="6"/>
      <c r="AC60" s="6"/>
      <c r="AD60" s="6"/>
      <c r="AE60" s="43"/>
      <c r="AF60" s="6"/>
    </row>
    <row r="61" spans="2:32">
      <c r="C61" s="3" t="s">
        <v>190</v>
      </c>
      <c r="D61" s="7" t="s">
        <v>194</v>
      </c>
      <c r="E61" s="94"/>
      <c r="F61" s="7" t="s">
        <v>13</v>
      </c>
      <c r="G61" s="7" t="s">
        <v>13</v>
      </c>
      <c r="H61" s="7" t="s">
        <v>13</v>
      </c>
      <c r="I61" s="7" t="s">
        <v>13</v>
      </c>
      <c r="J61" s="122" t="s">
        <v>195</v>
      </c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4"/>
      <c r="V61" s="62"/>
      <c r="W61" s="50" t="s">
        <v>228</v>
      </c>
      <c r="X61" s="43"/>
      <c r="Y61" s="43"/>
      <c r="Z61" s="43"/>
      <c r="AA61" s="43"/>
      <c r="AB61" s="43"/>
      <c r="AC61" s="43"/>
      <c r="AD61" s="43"/>
      <c r="AE61" s="43"/>
      <c r="AF61" s="43"/>
    </row>
    <row r="62" spans="2:32" s="5" customFormat="1" ht="10.5" customHeight="1">
      <c r="B62" s="1"/>
      <c r="C62" s="4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3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2:32" ht="13.05" customHeight="1">
      <c r="C63" s="3" t="s">
        <v>191</v>
      </c>
      <c r="D63" s="7" t="s">
        <v>205</v>
      </c>
      <c r="E63" s="94"/>
      <c r="F63" s="7" t="s">
        <v>13</v>
      </c>
      <c r="G63" s="7" t="s">
        <v>13</v>
      </c>
      <c r="H63" s="7" t="s">
        <v>13</v>
      </c>
      <c r="I63" s="7" t="s">
        <v>13</v>
      </c>
      <c r="J63" s="7" t="s">
        <v>13</v>
      </c>
      <c r="K63" s="7" t="s">
        <v>13</v>
      </c>
      <c r="L63" s="7" t="s">
        <v>13</v>
      </c>
      <c r="M63" s="7" t="s">
        <v>13</v>
      </c>
      <c r="N63" s="122" t="s">
        <v>196</v>
      </c>
      <c r="O63" s="123"/>
      <c r="P63" s="123"/>
      <c r="Q63" s="123"/>
      <c r="R63" s="123"/>
      <c r="S63" s="123"/>
      <c r="T63" s="123"/>
      <c r="U63" s="124"/>
      <c r="V63" s="62"/>
      <c r="W63" s="104" t="s">
        <v>109</v>
      </c>
      <c r="X63" s="1"/>
      <c r="Y63" s="1"/>
      <c r="Z63" s="1"/>
      <c r="AA63" s="1"/>
      <c r="AB63" s="1"/>
      <c r="AC63" s="1"/>
      <c r="AD63" s="1"/>
      <c r="AE63" s="1"/>
      <c r="AF63" s="1"/>
    </row>
    <row r="64" spans="2:32" s="5" customFormat="1" ht="10.5" customHeight="1">
      <c r="B64" s="1"/>
      <c r="C64" s="4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3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2:32">
      <c r="C65" s="3" t="s">
        <v>192</v>
      </c>
      <c r="D65" s="7" t="s">
        <v>203</v>
      </c>
      <c r="E65" s="94"/>
      <c r="F65" s="7" t="s">
        <v>72</v>
      </c>
      <c r="G65" s="7" t="s">
        <v>73</v>
      </c>
      <c r="H65" s="7" t="s">
        <v>74</v>
      </c>
      <c r="I65" s="7" t="s">
        <v>75</v>
      </c>
      <c r="J65" s="7" t="s">
        <v>76</v>
      </c>
      <c r="K65" s="7" t="s">
        <v>77</v>
      </c>
      <c r="L65" s="7" t="s">
        <v>78</v>
      </c>
      <c r="M65" s="7" t="s">
        <v>79</v>
      </c>
      <c r="N65" s="7" t="s">
        <v>56</v>
      </c>
      <c r="O65" s="7" t="s">
        <v>57</v>
      </c>
      <c r="P65" s="7" t="s">
        <v>58</v>
      </c>
      <c r="Q65" s="7" t="s">
        <v>59</v>
      </c>
      <c r="R65" s="7" t="s">
        <v>60</v>
      </c>
      <c r="S65" s="7" t="s">
        <v>61</v>
      </c>
      <c r="T65" s="7" t="s">
        <v>62</v>
      </c>
      <c r="U65" s="7" t="s">
        <v>63</v>
      </c>
      <c r="V65" s="62"/>
      <c r="W65" s="50" t="s">
        <v>291</v>
      </c>
      <c r="X65" s="43"/>
      <c r="Y65" s="43"/>
      <c r="Z65" s="43"/>
      <c r="AA65" s="43"/>
      <c r="AB65" s="43"/>
      <c r="AC65" s="43"/>
      <c r="AD65" s="43"/>
      <c r="AE65" s="43"/>
      <c r="AF65" s="43"/>
    </row>
    <row r="66" spans="2:32" s="5" customFormat="1" ht="10.5" customHeight="1">
      <c r="B66" s="1"/>
      <c r="C66" s="48"/>
      <c r="F66" s="6">
        <v>1</v>
      </c>
      <c r="G66" s="6">
        <v>1</v>
      </c>
      <c r="H66" s="6">
        <v>1</v>
      </c>
      <c r="I66" s="6">
        <v>1</v>
      </c>
      <c r="J66" s="6"/>
      <c r="K66" s="6"/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3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2:32">
      <c r="C67" s="3" t="s">
        <v>193</v>
      </c>
      <c r="D67" s="7" t="s">
        <v>204</v>
      </c>
      <c r="E67" s="94"/>
      <c r="F67" s="7" t="s">
        <v>13</v>
      </c>
      <c r="G67" s="7" t="s">
        <v>13</v>
      </c>
      <c r="H67" s="7" t="s">
        <v>13</v>
      </c>
      <c r="I67" s="7" t="s">
        <v>13</v>
      </c>
      <c r="J67" s="7" t="s">
        <v>13</v>
      </c>
      <c r="K67" s="7" t="s">
        <v>13</v>
      </c>
      <c r="L67" s="7" t="s">
        <v>13</v>
      </c>
      <c r="M67" s="7" t="s">
        <v>13</v>
      </c>
      <c r="N67" s="7" t="s">
        <v>80</v>
      </c>
      <c r="O67" s="7" t="s">
        <v>81</v>
      </c>
      <c r="P67" s="7" t="s">
        <v>82</v>
      </c>
      <c r="Q67" s="7" t="s">
        <v>83</v>
      </c>
      <c r="R67" s="7" t="s">
        <v>84</v>
      </c>
      <c r="S67" s="7" t="s">
        <v>85</v>
      </c>
      <c r="T67" s="7" t="s">
        <v>86</v>
      </c>
      <c r="U67" s="7" t="s">
        <v>87</v>
      </c>
      <c r="V67" s="62"/>
      <c r="W67" s="50" t="s">
        <v>292</v>
      </c>
      <c r="X67" s="43"/>
      <c r="Y67" s="43"/>
      <c r="Z67" s="43"/>
      <c r="AA67" s="43"/>
      <c r="AB67" s="43"/>
      <c r="AC67" s="43"/>
      <c r="AD67" s="43"/>
      <c r="AE67" s="43"/>
      <c r="AF67" s="43"/>
    </row>
    <row r="68" spans="2:32" s="5" customFormat="1" ht="10.5" customHeight="1">
      <c r="B68" s="1"/>
      <c r="C68" s="48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3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2:32" ht="13.05" customHeight="1">
      <c r="C69" s="3" t="s">
        <v>197</v>
      </c>
      <c r="D69" s="7" t="s">
        <v>88</v>
      </c>
      <c r="E69" s="92"/>
      <c r="F69" s="122" t="s">
        <v>89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4"/>
      <c r="V69" s="62"/>
      <c r="W69" s="50" t="s">
        <v>109</v>
      </c>
      <c r="X69" s="1"/>
      <c r="Y69" s="1"/>
      <c r="Z69" s="1"/>
      <c r="AA69" s="1"/>
      <c r="AB69" s="1"/>
      <c r="AC69" s="1"/>
      <c r="AD69" s="1"/>
      <c r="AE69" s="1"/>
      <c r="AF69" s="1"/>
    </row>
    <row r="70" spans="2:32" s="5" customFormat="1" ht="10.5" customHeight="1">
      <c r="B70" s="1"/>
      <c r="C70" s="4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3"/>
    </row>
    <row r="71" spans="2:32" ht="13.05" customHeight="1">
      <c r="C71" s="3" t="s">
        <v>198</v>
      </c>
      <c r="D71" s="7" t="s">
        <v>88</v>
      </c>
      <c r="E71" s="94"/>
      <c r="F71" s="7" t="s">
        <v>13</v>
      </c>
      <c r="G71" s="7" t="s">
        <v>13</v>
      </c>
      <c r="H71" s="7" t="s">
        <v>13</v>
      </c>
      <c r="I71" s="7" t="s">
        <v>13</v>
      </c>
      <c r="J71" s="7" t="s">
        <v>13</v>
      </c>
      <c r="K71" s="7" t="s">
        <v>13</v>
      </c>
      <c r="L71" s="7" t="s">
        <v>13</v>
      </c>
      <c r="M71" s="7" t="s">
        <v>13</v>
      </c>
      <c r="N71" s="7" t="s">
        <v>13</v>
      </c>
      <c r="O71" s="7" t="s">
        <v>13</v>
      </c>
      <c r="P71" s="7" t="s">
        <v>13</v>
      </c>
      <c r="Q71" s="122" t="s">
        <v>90</v>
      </c>
      <c r="R71" s="123"/>
      <c r="S71" s="123"/>
      <c r="T71" s="123"/>
      <c r="U71" s="124"/>
      <c r="V71" s="62"/>
      <c r="W71" s="50" t="s">
        <v>109</v>
      </c>
      <c r="X71" s="1"/>
      <c r="Y71" s="1"/>
      <c r="Z71" s="1"/>
      <c r="AA71" s="1"/>
      <c r="AB71" s="1"/>
      <c r="AC71" s="1"/>
      <c r="AD71" s="1"/>
      <c r="AE71" s="1"/>
      <c r="AF71" s="1"/>
    </row>
    <row r="72" spans="2:32"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64"/>
      <c r="W72" s="103">
        <f>8333333.333/W3</f>
        <v>134399.999994624</v>
      </c>
      <c r="X72" s="103">
        <f t="shared" ref="X72:AE72" si="3">8333333.333/X3</f>
        <v>134399.999994624</v>
      </c>
      <c r="Y72" s="103">
        <f t="shared" si="3"/>
        <v>134399.999994624</v>
      </c>
      <c r="Z72" s="103">
        <f t="shared" si="3"/>
        <v>132599.999994696</v>
      </c>
      <c r="AA72" s="103">
        <f t="shared" si="3"/>
        <v>134399.999994624</v>
      </c>
      <c r="AB72" s="103">
        <f t="shared" si="3"/>
        <v>131999.99999471998</v>
      </c>
      <c r="AC72" s="103">
        <f t="shared" si="3"/>
        <v>134399.999994624</v>
      </c>
      <c r="AD72" s="103">
        <f t="shared" si="3"/>
        <v>133199.99999467199</v>
      </c>
      <c r="AE72" s="103">
        <f t="shared" si="3"/>
        <v>129999.99999479996</v>
      </c>
      <c r="AF72" s="103">
        <f>8333333.333/AF3</f>
        <v>134399.999994624</v>
      </c>
    </row>
    <row r="73" spans="2:32">
      <c r="W73" s="44" t="str">
        <f>DEC2HEX(W72)</f>
        <v>20CFF</v>
      </c>
      <c r="X73" s="44" t="str">
        <f t="shared" ref="X73:AF73" si="4">DEC2HEX(X72)</f>
        <v>20CFF</v>
      </c>
      <c r="Y73" s="44" t="str">
        <f t="shared" si="4"/>
        <v>20CFF</v>
      </c>
      <c r="Z73" s="44" t="str">
        <f t="shared" si="4"/>
        <v>205F7</v>
      </c>
      <c r="AA73" s="44" t="str">
        <f t="shared" si="4"/>
        <v>20CFF</v>
      </c>
      <c r="AB73" s="44" t="str">
        <f t="shared" si="4"/>
        <v>2039F</v>
      </c>
      <c r="AC73" s="44" t="str">
        <f t="shared" si="4"/>
        <v>20CFF</v>
      </c>
      <c r="AD73" s="44" t="str">
        <f t="shared" si="4"/>
        <v>2084F</v>
      </c>
      <c r="AE73" s="44" t="str">
        <f t="shared" si="4"/>
        <v>1FBCF</v>
      </c>
      <c r="AF73" s="44" t="str">
        <f t="shared" si="4"/>
        <v>20CFF</v>
      </c>
    </row>
  </sheetData>
  <mergeCells count="52">
    <mergeCell ref="J47:U47"/>
    <mergeCell ref="Q71:U71"/>
    <mergeCell ref="H47:I47"/>
    <mergeCell ref="N49:U49"/>
    <mergeCell ref="J51:U51"/>
    <mergeCell ref="N59:Q59"/>
    <mergeCell ref="R59:U59"/>
    <mergeCell ref="J61:U61"/>
    <mergeCell ref="N63:U63"/>
    <mergeCell ref="F57:I57"/>
    <mergeCell ref="J57:M57"/>
    <mergeCell ref="N57:Q57"/>
    <mergeCell ref="R57:U57"/>
    <mergeCell ref="F69:U69"/>
    <mergeCell ref="N31:Q31"/>
    <mergeCell ref="R31:U31"/>
    <mergeCell ref="F55:I55"/>
    <mergeCell ref="J55:M55"/>
    <mergeCell ref="N55:Q55"/>
    <mergeCell ref="R55:U55"/>
    <mergeCell ref="S35:U35"/>
    <mergeCell ref="L37:U37"/>
    <mergeCell ref="M39:U39"/>
    <mergeCell ref="O41:U41"/>
    <mergeCell ref="J43:U43"/>
    <mergeCell ref="L45:U45"/>
    <mergeCell ref="G35:I35"/>
    <mergeCell ref="J35:L35"/>
    <mergeCell ref="M35:O35"/>
    <mergeCell ref="P35:R35"/>
    <mergeCell ref="H15:M15"/>
    <mergeCell ref="N15:U15"/>
    <mergeCell ref="G17:M17"/>
    <mergeCell ref="O17:U17"/>
    <mergeCell ref="I19:M19"/>
    <mergeCell ref="Q19:U19"/>
    <mergeCell ref="G33:I33"/>
    <mergeCell ref="J33:L33"/>
    <mergeCell ref="M33:O33"/>
    <mergeCell ref="G21:U21"/>
    <mergeCell ref="G23:U23"/>
    <mergeCell ref="F29:I29"/>
    <mergeCell ref="J29:M29"/>
    <mergeCell ref="N29:Q29"/>
    <mergeCell ref="R29:U29"/>
    <mergeCell ref="F27:I27"/>
    <mergeCell ref="J27:M27"/>
    <mergeCell ref="N27:Q27"/>
    <mergeCell ref="R27:U27"/>
    <mergeCell ref="I25:U25"/>
    <mergeCell ref="P33:R33"/>
    <mergeCell ref="S33:U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3F96-95CF-45F0-8562-D51E5A6DA11F}">
  <dimension ref="A2:V82"/>
  <sheetViews>
    <sheetView showGridLines="0" topLeftCell="A27" zoomScale="90" zoomScaleNormal="90" workbookViewId="0">
      <selection activeCell="F42" sqref="F42"/>
    </sheetView>
  </sheetViews>
  <sheetFormatPr defaultColWidth="8.6875" defaultRowHeight="16.899999999999999"/>
  <cols>
    <col min="1" max="1" width="8.6875" style="12"/>
    <col min="2" max="2" width="23.5" style="12" bestFit="1" customWidth="1"/>
    <col min="3" max="3" width="8.125" style="12" bestFit="1" customWidth="1"/>
    <col min="4" max="4" width="1.625" style="12" customWidth="1"/>
    <col min="5" max="7" width="9.375" style="12" bestFit="1" customWidth="1"/>
    <col min="8" max="8" width="9.375" style="30" bestFit="1" customWidth="1"/>
    <col min="9" max="22" width="9.375" style="12" bestFit="1" customWidth="1"/>
    <col min="23" max="16384" width="8.6875" style="12"/>
  </cols>
  <sheetData>
    <row r="2" spans="2:22">
      <c r="H2" s="12"/>
    </row>
    <row r="3" spans="2:22">
      <c r="B3" s="13" t="s">
        <v>127</v>
      </c>
      <c r="C3" s="13" t="s">
        <v>128</v>
      </c>
      <c r="E3" s="13">
        <v>72</v>
      </c>
      <c r="F3" s="13"/>
      <c r="G3" s="13">
        <v>72</v>
      </c>
      <c r="H3" s="13"/>
      <c r="I3" s="13">
        <v>72</v>
      </c>
      <c r="J3" s="13"/>
      <c r="K3" s="13">
        <v>72</v>
      </c>
      <c r="L3" s="13"/>
      <c r="M3" s="13">
        <v>72</v>
      </c>
      <c r="N3" s="13"/>
      <c r="O3" s="13">
        <v>72</v>
      </c>
      <c r="P3" s="13"/>
      <c r="Q3" s="13">
        <v>72</v>
      </c>
      <c r="R3" s="13"/>
      <c r="S3" s="13">
        <v>72</v>
      </c>
      <c r="T3" s="13"/>
      <c r="U3" s="13">
        <v>72</v>
      </c>
      <c r="V3" s="13"/>
    </row>
    <row r="4" spans="2:22">
      <c r="B4" s="13" t="s">
        <v>129</v>
      </c>
      <c r="C4" s="13" t="s">
        <v>110</v>
      </c>
      <c r="E4" s="13">
        <v>224</v>
      </c>
      <c r="F4" s="13"/>
      <c r="G4" s="13">
        <v>224</v>
      </c>
      <c r="H4" s="13"/>
      <c r="I4" s="13">
        <v>224</v>
      </c>
      <c r="J4" s="13"/>
      <c r="K4" s="13">
        <v>221</v>
      </c>
      <c r="L4" s="13"/>
      <c r="M4" s="13">
        <v>224</v>
      </c>
      <c r="N4" s="13"/>
      <c r="O4" s="13">
        <v>220</v>
      </c>
      <c r="P4" s="13"/>
      <c r="Q4" s="13">
        <v>224</v>
      </c>
      <c r="R4" s="13"/>
      <c r="S4" s="13">
        <v>222</v>
      </c>
      <c r="T4" s="13"/>
      <c r="U4" s="13">
        <v>224</v>
      </c>
      <c r="V4" s="13"/>
    </row>
    <row r="5" spans="2:22">
      <c r="B5" s="13" t="s">
        <v>130</v>
      </c>
      <c r="C5" s="13" t="s">
        <v>115</v>
      </c>
      <c r="E5" s="37">
        <v>16.166599999999999</v>
      </c>
      <c r="F5" s="14"/>
      <c r="G5" s="37">
        <f>G3*G4/1000</f>
        <v>16.128</v>
      </c>
      <c r="H5" s="13"/>
      <c r="I5" s="37">
        <f>I3*I4/1000</f>
        <v>16.128</v>
      </c>
      <c r="J5" s="13"/>
      <c r="K5" s="55">
        <f>K3*K4/1000</f>
        <v>15.912000000000001</v>
      </c>
      <c r="L5" s="13"/>
      <c r="M5" s="37">
        <f>M3*M4/1000</f>
        <v>16.128</v>
      </c>
      <c r="N5" s="14"/>
      <c r="O5" s="81">
        <f>O3*O4/1000</f>
        <v>15.84</v>
      </c>
      <c r="P5" s="13"/>
      <c r="Q5" s="37">
        <f>Q3*Q4/1000</f>
        <v>16.128</v>
      </c>
      <c r="R5" s="13"/>
      <c r="S5" s="82">
        <f>S3*S4/1000</f>
        <v>15.984</v>
      </c>
      <c r="T5" s="13"/>
      <c r="U5" s="37">
        <f>U3*U4/1000</f>
        <v>16.128</v>
      </c>
      <c r="V5" s="13"/>
    </row>
    <row r="6" spans="2:22">
      <c r="B6" s="13" t="s">
        <v>131</v>
      </c>
      <c r="C6" s="15">
        <v>-0.02</v>
      </c>
      <c r="D6" s="22"/>
      <c r="E6" s="13"/>
      <c r="F6" s="16"/>
      <c r="G6" s="13"/>
      <c r="H6" s="13"/>
      <c r="I6" s="13"/>
      <c r="J6" s="13"/>
      <c r="K6" s="13"/>
      <c r="L6" s="13"/>
      <c r="M6" s="13"/>
      <c r="N6" s="16"/>
      <c r="O6" s="13"/>
      <c r="P6" s="13"/>
      <c r="Q6" s="13"/>
      <c r="R6" s="13"/>
      <c r="S6" s="13"/>
      <c r="T6" s="13"/>
      <c r="U6" s="13"/>
      <c r="V6" s="13"/>
    </row>
    <row r="7" spans="2:22">
      <c r="B7" s="13"/>
      <c r="C7" s="15">
        <v>0.02</v>
      </c>
      <c r="D7" s="22"/>
      <c r="E7" s="13"/>
      <c r="F7" s="16"/>
      <c r="G7" s="13"/>
      <c r="H7" s="13"/>
      <c r="I7" s="13"/>
      <c r="J7" s="13"/>
      <c r="K7" s="13"/>
      <c r="L7" s="13"/>
      <c r="M7" s="13"/>
      <c r="N7" s="16"/>
      <c r="O7" s="13"/>
      <c r="P7" s="13"/>
      <c r="Q7" s="13"/>
      <c r="R7" s="13"/>
      <c r="S7" s="13"/>
      <c r="T7" s="13"/>
      <c r="U7" s="13"/>
      <c r="V7" s="13"/>
    </row>
    <row r="8" spans="2:22">
      <c r="B8" s="13"/>
      <c r="C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2:22">
      <c r="B9" s="13" t="s">
        <v>114</v>
      </c>
      <c r="C9" s="13" t="s">
        <v>115</v>
      </c>
      <c r="E9" s="38">
        <f>E5</f>
        <v>16.166599999999999</v>
      </c>
      <c r="F9" s="14">
        <f>1/E9*1000</f>
        <v>61.855925179072905</v>
      </c>
      <c r="G9" s="37">
        <f>G5</f>
        <v>16.128</v>
      </c>
      <c r="H9" s="14">
        <f>1/G9*1000</f>
        <v>62.003968253968253</v>
      </c>
      <c r="I9" s="37">
        <f>I5</f>
        <v>16.128</v>
      </c>
      <c r="J9" s="14">
        <f>1/I9*1000</f>
        <v>62.003968253968253</v>
      </c>
      <c r="K9" s="55">
        <f>K5</f>
        <v>15.912000000000001</v>
      </c>
      <c r="L9" s="14">
        <f>1/K9*1000</f>
        <v>62.845651080945196</v>
      </c>
      <c r="M9" s="38">
        <f>M5</f>
        <v>16.128</v>
      </c>
      <c r="N9" s="14">
        <f>1/M9*1000</f>
        <v>62.003968253968253</v>
      </c>
      <c r="O9" s="81">
        <f>O5</f>
        <v>15.84</v>
      </c>
      <c r="P9" s="14">
        <f>1/O9*1000</f>
        <v>63.131313131313135</v>
      </c>
      <c r="Q9" s="37">
        <f>Q5</f>
        <v>16.128</v>
      </c>
      <c r="R9" s="14">
        <f>1/Q9*1000</f>
        <v>62.003968253968253</v>
      </c>
      <c r="S9" s="82">
        <f>S5</f>
        <v>15.984</v>
      </c>
      <c r="T9" s="14">
        <f>1/S9*1000</f>
        <v>62.562562562562569</v>
      </c>
      <c r="U9" s="37">
        <f>U5</f>
        <v>16.128</v>
      </c>
      <c r="V9" s="14">
        <f>1/U9*1000</f>
        <v>62.003968253968253</v>
      </c>
    </row>
    <row r="10" spans="2:22">
      <c r="B10" s="13" t="s">
        <v>132</v>
      </c>
      <c r="C10" s="13" t="s">
        <v>113</v>
      </c>
      <c r="E10" s="18">
        <v>120</v>
      </c>
      <c r="F10" s="18">
        <v>100</v>
      </c>
      <c r="G10" s="13">
        <v>120</v>
      </c>
      <c r="H10" s="13">
        <v>100</v>
      </c>
      <c r="I10" s="13">
        <v>120</v>
      </c>
      <c r="J10" s="13">
        <v>100</v>
      </c>
      <c r="K10" s="13">
        <v>120</v>
      </c>
      <c r="L10" s="13">
        <v>100</v>
      </c>
      <c r="M10" s="13">
        <v>120</v>
      </c>
      <c r="N10" s="13">
        <v>100</v>
      </c>
      <c r="O10" s="13">
        <v>120</v>
      </c>
      <c r="P10" s="13">
        <v>100</v>
      </c>
      <c r="Q10" s="13">
        <v>120</v>
      </c>
      <c r="R10" s="13">
        <v>100</v>
      </c>
      <c r="S10" s="13">
        <v>120</v>
      </c>
      <c r="T10" s="13">
        <v>100</v>
      </c>
      <c r="U10" s="13">
        <v>120</v>
      </c>
      <c r="V10" s="13">
        <v>100</v>
      </c>
    </row>
    <row r="11" spans="2:22">
      <c r="B11" s="13" t="s">
        <v>133</v>
      </c>
      <c r="C11" s="13" t="s">
        <v>18</v>
      </c>
      <c r="E11" s="19">
        <f>1/E10*1000000</f>
        <v>8333.3333333333339</v>
      </c>
      <c r="F11" s="19">
        <f t="shared" ref="F11:H11" si="0">1/F10*1000000</f>
        <v>10000</v>
      </c>
      <c r="G11" s="14">
        <f>1/G10*1000000</f>
        <v>8333.3333333333339</v>
      </c>
      <c r="H11" s="14">
        <f t="shared" si="0"/>
        <v>10000</v>
      </c>
      <c r="I11" s="14">
        <f>1/I10*1000000</f>
        <v>8333.3333333333339</v>
      </c>
      <c r="J11" s="14">
        <f t="shared" ref="J11" si="1">1/J10*1000000</f>
        <v>10000</v>
      </c>
      <c r="K11" s="14">
        <f>1/K10*1000000</f>
        <v>8333.3333333333339</v>
      </c>
      <c r="L11" s="14">
        <f t="shared" ref="L11" si="2">1/L10*1000000</f>
        <v>10000</v>
      </c>
      <c r="M11" s="14">
        <f>1/M10*1000000</f>
        <v>8333.3333333333339</v>
      </c>
      <c r="N11" s="14">
        <f>1/N10*1000000</f>
        <v>10000</v>
      </c>
      <c r="O11" s="14">
        <f>1/O10*1000000</f>
        <v>8333.3333333333339</v>
      </c>
      <c r="P11" s="14">
        <f t="shared" ref="P11:R11" si="3">1/P10*1000000</f>
        <v>10000</v>
      </c>
      <c r="Q11" s="14">
        <f>1/Q10*1000000</f>
        <v>8333.3333333333339</v>
      </c>
      <c r="R11" s="14">
        <f t="shared" si="3"/>
        <v>10000</v>
      </c>
      <c r="S11" s="14">
        <f>1/S10*1000000</f>
        <v>8333.3333333333339</v>
      </c>
      <c r="T11" s="14">
        <f t="shared" ref="T11" si="4">1/T10*1000000</f>
        <v>10000</v>
      </c>
      <c r="U11" s="14">
        <f>1/U10*1000000</f>
        <v>8333.3333333333339</v>
      </c>
      <c r="V11" s="14">
        <f t="shared" ref="V11" si="5">1/V10*1000000</f>
        <v>10000</v>
      </c>
    </row>
    <row r="12" spans="2:22">
      <c r="B12" s="13" t="s">
        <v>134</v>
      </c>
      <c r="C12" s="13" t="s">
        <v>110</v>
      </c>
      <c r="E12" s="18">
        <v>2</v>
      </c>
      <c r="F12" s="18">
        <f>E12</f>
        <v>2</v>
      </c>
      <c r="G12" s="18">
        <f t="shared" ref="G12:V12" si="6">F12</f>
        <v>2</v>
      </c>
      <c r="H12" s="18">
        <f t="shared" si="6"/>
        <v>2</v>
      </c>
      <c r="I12" s="18">
        <f t="shared" si="6"/>
        <v>2</v>
      </c>
      <c r="J12" s="18">
        <f t="shared" si="6"/>
        <v>2</v>
      </c>
      <c r="K12" s="18">
        <f t="shared" si="6"/>
        <v>2</v>
      </c>
      <c r="L12" s="18">
        <f t="shared" si="6"/>
        <v>2</v>
      </c>
      <c r="M12" s="18">
        <f t="shared" si="6"/>
        <v>2</v>
      </c>
      <c r="N12" s="18">
        <f t="shared" si="6"/>
        <v>2</v>
      </c>
      <c r="O12" s="18">
        <f t="shared" si="6"/>
        <v>2</v>
      </c>
      <c r="P12" s="18">
        <f t="shared" si="6"/>
        <v>2</v>
      </c>
      <c r="Q12" s="18">
        <f t="shared" si="6"/>
        <v>2</v>
      </c>
      <c r="R12" s="18">
        <f t="shared" si="6"/>
        <v>2</v>
      </c>
      <c r="S12" s="18">
        <f t="shared" si="6"/>
        <v>2</v>
      </c>
      <c r="T12" s="18">
        <f t="shared" si="6"/>
        <v>2</v>
      </c>
      <c r="U12" s="18">
        <f t="shared" si="6"/>
        <v>2</v>
      </c>
      <c r="V12" s="18">
        <f t="shared" si="6"/>
        <v>2</v>
      </c>
    </row>
    <row r="13" spans="2:22">
      <c r="B13" s="13" t="s">
        <v>241</v>
      </c>
      <c r="C13" s="13" t="s">
        <v>110</v>
      </c>
      <c r="E13" s="18">
        <v>12</v>
      </c>
      <c r="F13" s="18">
        <f>E13</f>
        <v>12</v>
      </c>
      <c r="G13" s="18">
        <f t="shared" ref="G13:V13" si="7">F13</f>
        <v>12</v>
      </c>
      <c r="H13" s="18">
        <f t="shared" si="7"/>
        <v>12</v>
      </c>
      <c r="I13" s="18">
        <f t="shared" si="7"/>
        <v>12</v>
      </c>
      <c r="J13" s="18">
        <f t="shared" si="7"/>
        <v>12</v>
      </c>
      <c r="K13" s="18">
        <f t="shared" si="7"/>
        <v>12</v>
      </c>
      <c r="L13" s="18">
        <f t="shared" si="7"/>
        <v>12</v>
      </c>
      <c r="M13" s="18">
        <f t="shared" si="7"/>
        <v>12</v>
      </c>
      <c r="N13" s="18">
        <f t="shared" si="7"/>
        <v>12</v>
      </c>
      <c r="O13" s="18">
        <f t="shared" si="7"/>
        <v>12</v>
      </c>
      <c r="P13" s="18">
        <f t="shared" si="7"/>
        <v>12</v>
      </c>
      <c r="Q13" s="18">
        <f t="shared" si="7"/>
        <v>12</v>
      </c>
      <c r="R13" s="18">
        <f t="shared" si="7"/>
        <v>12</v>
      </c>
      <c r="S13" s="18">
        <f t="shared" si="7"/>
        <v>12</v>
      </c>
      <c r="T13" s="18">
        <f t="shared" si="7"/>
        <v>12</v>
      </c>
      <c r="U13" s="18">
        <f t="shared" si="7"/>
        <v>12</v>
      </c>
      <c r="V13" s="18">
        <f t="shared" si="7"/>
        <v>12</v>
      </c>
    </row>
    <row r="14" spans="2:22">
      <c r="B14" s="18"/>
      <c r="C14" s="13"/>
      <c r="E14" s="20"/>
      <c r="F14" s="20"/>
      <c r="G14" s="66"/>
      <c r="H14" s="66"/>
      <c r="K14" s="66"/>
      <c r="L14" s="66"/>
      <c r="O14" s="66"/>
      <c r="P14" s="66"/>
      <c r="S14" s="66"/>
      <c r="T14" s="66"/>
    </row>
    <row r="15" spans="2:22">
      <c r="B15" s="34" t="s">
        <v>136</v>
      </c>
      <c r="C15" s="13" t="s">
        <v>110</v>
      </c>
      <c r="E15" s="75">
        <v>64</v>
      </c>
      <c r="F15" s="75">
        <f>E15</f>
        <v>64</v>
      </c>
      <c r="G15" s="70">
        <v>120</v>
      </c>
      <c r="H15" s="70">
        <f t="shared" ref="H15:L15" si="8">G15</f>
        <v>120</v>
      </c>
      <c r="I15" s="35">
        <v>112</v>
      </c>
      <c r="J15" s="35">
        <f t="shared" si="8"/>
        <v>112</v>
      </c>
      <c r="K15" s="70">
        <v>104</v>
      </c>
      <c r="L15" s="70">
        <f t="shared" si="8"/>
        <v>104</v>
      </c>
      <c r="M15" s="35">
        <v>128</v>
      </c>
      <c r="N15" s="35">
        <f t="shared" ref="N15" si="9">M15</f>
        <v>128</v>
      </c>
      <c r="O15" s="70">
        <v>88</v>
      </c>
      <c r="P15" s="70">
        <f t="shared" ref="P15" si="10">O15</f>
        <v>88</v>
      </c>
      <c r="Q15" s="35">
        <v>80</v>
      </c>
      <c r="R15" s="35">
        <f t="shared" ref="R15" si="11">Q15</f>
        <v>80</v>
      </c>
      <c r="S15" s="70">
        <v>72</v>
      </c>
      <c r="T15" s="70">
        <f t="shared" ref="T15" si="12">S15</f>
        <v>72</v>
      </c>
      <c r="U15" s="35">
        <v>64</v>
      </c>
      <c r="V15" s="35">
        <f t="shared" ref="V15" si="13">U15</f>
        <v>64</v>
      </c>
    </row>
    <row r="16" spans="2:22">
      <c r="B16" s="18"/>
      <c r="C16" s="13" t="s">
        <v>239</v>
      </c>
      <c r="E16" s="75" t="str">
        <f>DEC2HEX(E15)</f>
        <v>40</v>
      </c>
      <c r="F16" s="75" t="str">
        <f t="shared" ref="F16:L16" si="14">DEC2HEX(F15)</f>
        <v>40</v>
      </c>
      <c r="G16" s="70" t="str">
        <f>DEC2HEX(G15)</f>
        <v>78</v>
      </c>
      <c r="H16" s="70" t="str">
        <f t="shared" si="14"/>
        <v>78</v>
      </c>
      <c r="I16" s="35" t="str">
        <f t="shared" si="14"/>
        <v>70</v>
      </c>
      <c r="J16" s="35" t="str">
        <f t="shared" si="14"/>
        <v>70</v>
      </c>
      <c r="K16" s="70" t="str">
        <f t="shared" si="14"/>
        <v>68</v>
      </c>
      <c r="L16" s="70" t="str">
        <f t="shared" si="14"/>
        <v>68</v>
      </c>
      <c r="M16" s="35" t="str">
        <f t="shared" ref="M16:P16" si="15">DEC2HEX(M15)</f>
        <v>80</v>
      </c>
      <c r="N16" s="35" t="str">
        <f t="shared" si="15"/>
        <v>80</v>
      </c>
      <c r="O16" s="70" t="str">
        <f t="shared" si="15"/>
        <v>58</v>
      </c>
      <c r="P16" s="70" t="str">
        <f t="shared" si="15"/>
        <v>58</v>
      </c>
      <c r="Q16" s="35" t="str">
        <f t="shared" ref="Q16:T16" si="16">DEC2HEX(Q15)</f>
        <v>50</v>
      </c>
      <c r="R16" s="35" t="str">
        <f t="shared" si="16"/>
        <v>50</v>
      </c>
      <c r="S16" s="70" t="str">
        <f t="shared" si="16"/>
        <v>48</v>
      </c>
      <c r="T16" s="70" t="str">
        <f t="shared" si="16"/>
        <v>48</v>
      </c>
      <c r="U16" s="35" t="str">
        <f t="shared" ref="U16:V16" si="17">DEC2HEX(U15)</f>
        <v>40</v>
      </c>
      <c r="V16" s="35" t="str">
        <f t="shared" si="17"/>
        <v>40</v>
      </c>
    </row>
    <row r="17" spans="2:22">
      <c r="B17" s="18" t="s">
        <v>137</v>
      </c>
      <c r="C17" s="13" t="s">
        <v>18</v>
      </c>
      <c r="E17" s="76">
        <f>E11/E15</f>
        <v>130.20833333333334</v>
      </c>
      <c r="F17" s="76">
        <f>F11/F15</f>
        <v>156.25</v>
      </c>
      <c r="G17" s="71">
        <f>G11/G15</f>
        <v>69.444444444444443</v>
      </c>
      <c r="H17" s="71">
        <f t="shared" ref="H17:L17" si="18">H11/H15</f>
        <v>83.333333333333329</v>
      </c>
      <c r="I17" s="17">
        <f>I11/I15</f>
        <v>74.404761904761912</v>
      </c>
      <c r="J17" s="17">
        <f t="shared" si="18"/>
        <v>89.285714285714292</v>
      </c>
      <c r="K17" s="71">
        <f t="shared" si="18"/>
        <v>80.128205128205138</v>
      </c>
      <c r="L17" s="71">
        <f t="shared" si="18"/>
        <v>96.15384615384616</v>
      </c>
      <c r="M17" s="17">
        <f>M11/M15</f>
        <v>65.104166666666671</v>
      </c>
      <c r="N17" s="17">
        <f>N11/N15</f>
        <v>78.125</v>
      </c>
      <c r="O17" s="71">
        <f t="shared" ref="O17:P17" si="19">O11/O15</f>
        <v>94.696969696969703</v>
      </c>
      <c r="P17" s="71">
        <f t="shared" si="19"/>
        <v>113.63636363636364</v>
      </c>
      <c r="Q17" s="17">
        <f>Q11/Q15</f>
        <v>104.16666666666667</v>
      </c>
      <c r="R17" s="17">
        <f>R11/R15</f>
        <v>125</v>
      </c>
      <c r="S17" s="71">
        <f t="shared" ref="S17" si="20">S11/S15</f>
        <v>115.74074074074075</v>
      </c>
      <c r="T17" s="71">
        <f>T11/T15</f>
        <v>138.88888888888889</v>
      </c>
      <c r="U17" s="17">
        <f t="shared" ref="U17:V17" si="21">U11/U15</f>
        <v>130.20833333333334</v>
      </c>
      <c r="V17" s="17">
        <f t="shared" si="21"/>
        <v>156.25</v>
      </c>
    </row>
    <row r="18" spans="2:22">
      <c r="B18" s="18" t="s">
        <v>138</v>
      </c>
      <c r="C18" s="13" t="s">
        <v>110</v>
      </c>
      <c r="E18" s="77">
        <f>E17*1000/$F$9</f>
        <v>2105.026041666667</v>
      </c>
      <c r="F18" s="77">
        <f>F17*1000/$F$9</f>
        <v>2526.03125</v>
      </c>
      <c r="G18" s="72">
        <f>G17*1000/$H$9</f>
        <v>1120</v>
      </c>
      <c r="H18" s="72">
        <f>H17*1000/$H$9</f>
        <v>1344</v>
      </c>
      <c r="I18" s="21">
        <f>I17*1000/$J$9</f>
        <v>1200</v>
      </c>
      <c r="J18" s="21">
        <f>J17*1000/$J$9</f>
        <v>1440</v>
      </c>
      <c r="K18" s="72">
        <f>K17*1000/$L$9</f>
        <v>1275.0000000000002</v>
      </c>
      <c r="L18" s="72">
        <f>L17*1000/$L$9</f>
        <v>1530</v>
      </c>
      <c r="M18" s="21">
        <f>M17*1000/$N$9</f>
        <v>1050</v>
      </c>
      <c r="N18" s="21">
        <f>N17*1000/$N$9</f>
        <v>1260</v>
      </c>
      <c r="O18" s="72">
        <f>O17*1000/$P$9</f>
        <v>1500</v>
      </c>
      <c r="P18" s="72">
        <f>P17*1000/$P$9</f>
        <v>1800</v>
      </c>
      <c r="Q18" s="21">
        <f>Q17*1000/$R$9</f>
        <v>1680</v>
      </c>
      <c r="R18" s="21">
        <f>R17*1000/$R$9</f>
        <v>2016</v>
      </c>
      <c r="S18" s="72">
        <f>S17*1000/$T$9</f>
        <v>1849.9999999999998</v>
      </c>
      <c r="T18" s="72">
        <f>T17*1000/$T$9</f>
        <v>2219.9999999999995</v>
      </c>
      <c r="U18" s="21">
        <f>U17*1000/$V$9</f>
        <v>2100</v>
      </c>
      <c r="V18" s="21">
        <f>V17*1000/$V$9</f>
        <v>2520</v>
      </c>
    </row>
    <row r="19" spans="2:22">
      <c r="B19" s="34" t="s">
        <v>139</v>
      </c>
      <c r="C19" s="13" t="s">
        <v>110</v>
      </c>
      <c r="E19" s="75">
        <f t="shared" ref="E19:L19" si="22">ROUNDDOWN(E18,0)</f>
        <v>2105</v>
      </c>
      <c r="F19" s="75">
        <f t="shared" si="22"/>
        <v>2526</v>
      </c>
      <c r="G19" s="70">
        <f t="shared" si="22"/>
        <v>1120</v>
      </c>
      <c r="H19" s="70">
        <f t="shared" si="22"/>
        <v>1344</v>
      </c>
      <c r="I19" s="35">
        <f t="shared" si="22"/>
        <v>1200</v>
      </c>
      <c r="J19" s="35">
        <f t="shared" si="22"/>
        <v>1440</v>
      </c>
      <c r="K19" s="70">
        <f t="shared" si="22"/>
        <v>1275</v>
      </c>
      <c r="L19" s="70">
        <f t="shared" si="22"/>
        <v>1530</v>
      </c>
      <c r="M19" s="35">
        <f>ROUNDDOWN(M18,0)</f>
        <v>1050</v>
      </c>
      <c r="N19" s="35">
        <f>ROUNDDOWN(N18,0)</f>
        <v>1260</v>
      </c>
      <c r="O19" s="70">
        <f t="shared" ref="O19:P19" si="23">ROUNDDOWN(O18,0)</f>
        <v>1500</v>
      </c>
      <c r="P19" s="70">
        <f t="shared" si="23"/>
        <v>1800</v>
      </c>
      <c r="Q19" s="35">
        <f t="shared" ref="Q19:T19" si="24">ROUNDDOWN(Q18,0)</f>
        <v>1680</v>
      </c>
      <c r="R19" s="35">
        <f t="shared" si="24"/>
        <v>2016</v>
      </c>
      <c r="S19" s="70">
        <f t="shared" si="24"/>
        <v>1850</v>
      </c>
      <c r="T19" s="70">
        <f t="shared" si="24"/>
        <v>2220</v>
      </c>
      <c r="U19" s="35">
        <f t="shared" ref="U19:V19" si="25">ROUNDDOWN(U18,0)</f>
        <v>2100</v>
      </c>
      <c r="V19" s="35">
        <f t="shared" si="25"/>
        <v>2520</v>
      </c>
    </row>
    <row r="20" spans="2:22">
      <c r="B20" s="18"/>
      <c r="C20" s="13" t="s">
        <v>239</v>
      </c>
      <c r="E20" s="75" t="str">
        <f>DEC2HEX(E19)</f>
        <v>839</v>
      </c>
      <c r="F20" s="75" t="str">
        <f t="shared" ref="F20:L20" si="26">DEC2HEX(F19)</f>
        <v>9DE</v>
      </c>
      <c r="G20" s="70" t="str">
        <f>DEC2HEX(G19)</f>
        <v>460</v>
      </c>
      <c r="H20" s="70" t="str">
        <f t="shared" si="26"/>
        <v>540</v>
      </c>
      <c r="I20" s="35" t="str">
        <f t="shared" si="26"/>
        <v>4B0</v>
      </c>
      <c r="J20" s="35" t="str">
        <f t="shared" si="26"/>
        <v>5A0</v>
      </c>
      <c r="K20" s="70" t="str">
        <f t="shared" si="26"/>
        <v>4FB</v>
      </c>
      <c r="L20" s="70" t="str">
        <f t="shared" si="26"/>
        <v>5FA</v>
      </c>
      <c r="M20" s="35" t="str">
        <f>DEC2HEX(M19)</f>
        <v>41A</v>
      </c>
      <c r="N20" s="35" t="str">
        <f>DEC2HEX(N19)</f>
        <v>4EC</v>
      </c>
      <c r="O20" s="70" t="str">
        <f t="shared" ref="O20:P20" si="27">DEC2HEX(O19)</f>
        <v>5DC</v>
      </c>
      <c r="P20" s="70" t="str">
        <f t="shared" si="27"/>
        <v>708</v>
      </c>
      <c r="Q20" s="35" t="str">
        <f t="shared" ref="Q20:T20" si="28">DEC2HEX(Q19)</f>
        <v>690</v>
      </c>
      <c r="R20" s="35" t="str">
        <f t="shared" si="28"/>
        <v>7E0</v>
      </c>
      <c r="S20" s="70" t="str">
        <f t="shared" si="28"/>
        <v>73A</v>
      </c>
      <c r="T20" s="70" t="str">
        <f t="shared" si="28"/>
        <v>8AC</v>
      </c>
      <c r="U20" s="35" t="str">
        <f t="shared" ref="U20:V20" si="29">DEC2HEX(U19)</f>
        <v>834</v>
      </c>
      <c r="V20" s="35" t="str">
        <f t="shared" si="29"/>
        <v>9D8</v>
      </c>
    </row>
    <row r="21" spans="2:22">
      <c r="B21" s="18"/>
      <c r="C21" s="13" t="s">
        <v>18</v>
      </c>
      <c r="E21" s="76">
        <f>E19*$F$9/1000</f>
        <v>130.20672250194846</v>
      </c>
      <c r="F21" s="76">
        <f>F19*$F$9/1000</f>
        <v>156.24806700233816</v>
      </c>
      <c r="G21" s="71">
        <f>G19*$H$9/1000</f>
        <v>69.444444444444443</v>
      </c>
      <c r="H21" s="71">
        <f>H19*$H$9/1000</f>
        <v>83.333333333333329</v>
      </c>
      <c r="I21" s="17">
        <f>I19*$J$9/1000</f>
        <v>74.404761904761912</v>
      </c>
      <c r="J21" s="17">
        <f>J19*$J$9/1000</f>
        <v>89.285714285714292</v>
      </c>
      <c r="K21" s="71">
        <f>K19*$L$9/1000</f>
        <v>80.128205128205124</v>
      </c>
      <c r="L21" s="71">
        <f>L19*$L$9/1000</f>
        <v>96.15384615384616</v>
      </c>
      <c r="M21" s="17">
        <f>M19*$N$9/1000</f>
        <v>65.104166666666657</v>
      </c>
      <c r="N21" s="17">
        <f>N19*$N$9/1000</f>
        <v>78.125</v>
      </c>
      <c r="O21" s="71">
        <f>O19*$P$9/1000</f>
        <v>94.696969696969703</v>
      </c>
      <c r="P21" s="71">
        <f>P19*$P$9/1000</f>
        <v>113.63636363636364</v>
      </c>
      <c r="Q21" s="17">
        <f>Q19*$R$9/1000</f>
        <v>104.16666666666667</v>
      </c>
      <c r="R21" s="17">
        <f>R19*$R$9/1000</f>
        <v>125</v>
      </c>
      <c r="S21" s="71">
        <f>S19*$T$9/1000</f>
        <v>115.74074074074076</v>
      </c>
      <c r="T21" s="71">
        <f>T19*$T$9/1000</f>
        <v>138.88888888888891</v>
      </c>
      <c r="U21" s="17">
        <f>U19*$V$9/1000</f>
        <v>130.20833333333331</v>
      </c>
      <c r="V21" s="17">
        <f>V19*$V$9/1000</f>
        <v>156.25</v>
      </c>
    </row>
    <row r="22" spans="2:22">
      <c r="B22" s="18" t="s">
        <v>140</v>
      </c>
      <c r="C22" s="13" t="s">
        <v>111</v>
      </c>
      <c r="E22" s="28">
        <f t="shared" ref="E22" si="30">(E17-E21)*1000</f>
        <v>1.6108313848803846</v>
      </c>
      <c r="F22" s="28">
        <f t="shared" ref="F22:V22" si="31">(F17-F21)*1000</f>
        <v>1.9329976618394085</v>
      </c>
      <c r="G22" s="67">
        <f t="shared" si="31"/>
        <v>0</v>
      </c>
      <c r="H22" s="67">
        <f t="shared" si="31"/>
        <v>0</v>
      </c>
      <c r="I22" s="28">
        <f t="shared" si="31"/>
        <v>0</v>
      </c>
      <c r="J22" s="28">
        <f t="shared" si="31"/>
        <v>0</v>
      </c>
      <c r="K22" s="67">
        <f t="shared" si="31"/>
        <v>1.4210854715202004E-11</v>
      </c>
      <c r="L22" s="67">
        <f t="shared" si="31"/>
        <v>0</v>
      </c>
      <c r="M22" s="28">
        <f t="shared" si="31"/>
        <v>1.4210854715202004E-11</v>
      </c>
      <c r="N22" s="28">
        <f t="shared" si="31"/>
        <v>0</v>
      </c>
      <c r="O22" s="67">
        <f t="shared" si="31"/>
        <v>0</v>
      </c>
      <c r="P22" s="67">
        <f t="shared" si="31"/>
        <v>0</v>
      </c>
      <c r="Q22" s="28">
        <f t="shared" si="31"/>
        <v>0</v>
      </c>
      <c r="R22" s="28">
        <f t="shared" si="31"/>
        <v>0</v>
      </c>
      <c r="S22" s="67">
        <f t="shared" si="31"/>
        <v>-1.4210854715202004E-11</v>
      </c>
      <c r="T22" s="67">
        <f t="shared" si="31"/>
        <v>-2.8421709430404007E-11</v>
      </c>
      <c r="U22" s="28">
        <f t="shared" si="31"/>
        <v>2.8421709430404007E-11</v>
      </c>
      <c r="V22" s="28">
        <f t="shared" si="31"/>
        <v>0</v>
      </c>
    </row>
    <row r="23" spans="2:22">
      <c r="B23" s="18"/>
      <c r="C23" s="13" t="s">
        <v>141</v>
      </c>
      <c r="E23" s="78">
        <f>(E17-E21)/E17</f>
        <v>1.2371185035881352E-5</v>
      </c>
      <c r="F23" s="78">
        <f t="shared" ref="F23:V23" si="32">(F17-F21)/F17</f>
        <v>1.2371185035772214E-5</v>
      </c>
      <c r="G23" s="91">
        <f t="shared" si="32"/>
        <v>0</v>
      </c>
      <c r="H23" s="91">
        <f t="shared" si="32"/>
        <v>0</v>
      </c>
      <c r="I23" s="78">
        <f t="shared" si="32"/>
        <v>0</v>
      </c>
      <c r="J23" s="78">
        <f t="shared" si="32"/>
        <v>0</v>
      </c>
      <c r="K23" s="91">
        <f t="shared" si="32"/>
        <v>1.7735146684572098E-16</v>
      </c>
      <c r="L23" s="91">
        <f t="shared" si="32"/>
        <v>0</v>
      </c>
      <c r="M23" s="78">
        <f t="shared" si="32"/>
        <v>2.1827872842550276E-16</v>
      </c>
      <c r="N23" s="78">
        <f t="shared" si="32"/>
        <v>0</v>
      </c>
      <c r="O23" s="91">
        <f t="shared" si="32"/>
        <v>0</v>
      </c>
      <c r="P23" s="91">
        <f t="shared" si="32"/>
        <v>0</v>
      </c>
      <c r="Q23" s="78">
        <f t="shared" si="32"/>
        <v>0</v>
      </c>
      <c r="R23" s="78">
        <f t="shared" si="32"/>
        <v>0</v>
      </c>
      <c r="S23" s="91">
        <f t="shared" si="32"/>
        <v>-1.2278178473934531E-16</v>
      </c>
      <c r="T23" s="91">
        <f t="shared" si="32"/>
        <v>-2.0463630789890885E-16</v>
      </c>
      <c r="U23" s="78">
        <f t="shared" si="32"/>
        <v>2.1827872842550276E-16</v>
      </c>
      <c r="V23" s="78">
        <f t="shared" si="32"/>
        <v>0</v>
      </c>
    </row>
    <row r="24" spans="2:22">
      <c r="B24" s="23" t="s">
        <v>142</v>
      </c>
      <c r="C24" s="13" t="s">
        <v>18</v>
      </c>
      <c r="E24" s="24">
        <f>E11-E21*E15</f>
        <v>0.10309320863234461</v>
      </c>
      <c r="F24" s="24">
        <f t="shared" ref="F24:V24" si="33">F11-F21*F15</f>
        <v>0.12371185035772214</v>
      </c>
      <c r="G24" s="68">
        <f t="shared" si="33"/>
        <v>0</v>
      </c>
      <c r="H24" s="68">
        <f t="shared" si="33"/>
        <v>0</v>
      </c>
      <c r="I24" s="24">
        <f t="shared" si="33"/>
        <v>0</v>
      </c>
      <c r="J24" s="24">
        <f t="shared" si="33"/>
        <v>0</v>
      </c>
      <c r="K24" s="68">
        <f t="shared" si="33"/>
        <v>0</v>
      </c>
      <c r="L24" s="68">
        <f t="shared" si="33"/>
        <v>0</v>
      </c>
      <c r="M24" s="24">
        <f t="shared" si="33"/>
        <v>0</v>
      </c>
      <c r="N24" s="24">
        <f t="shared" si="33"/>
        <v>0</v>
      </c>
      <c r="O24" s="68">
        <f t="shared" si="33"/>
        <v>0</v>
      </c>
      <c r="P24" s="68">
        <f t="shared" si="33"/>
        <v>0</v>
      </c>
      <c r="Q24" s="24">
        <f t="shared" si="33"/>
        <v>0</v>
      </c>
      <c r="R24" s="24">
        <f t="shared" si="33"/>
        <v>0</v>
      </c>
      <c r="S24" s="68">
        <f t="shared" si="33"/>
        <v>0</v>
      </c>
      <c r="T24" s="68">
        <f t="shared" si="33"/>
        <v>0</v>
      </c>
      <c r="U24" s="24">
        <f t="shared" si="33"/>
        <v>0</v>
      </c>
      <c r="V24" s="24">
        <f t="shared" si="33"/>
        <v>0</v>
      </c>
    </row>
    <row r="25" spans="2:22">
      <c r="B25" s="18"/>
      <c r="C25" s="13" t="s">
        <v>141</v>
      </c>
      <c r="E25" s="78">
        <f>E24/E11</f>
        <v>1.2371185035881352E-5</v>
      </c>
      <c r="F25" s="78">
        <f t="shared" ref="F25:V25" si="34">F24/F11</f>
        <v>1.2371185035772214E-5</v>
      </c>
      <c r="G25" s="91">
        <f t="shared" si="34"/>
        <v>0</v>
      </c>
      <c r="H25" s="91">
        <f t="shared" si="34"/>
        <v>0</v>
      </c>
      <c r="I25" s="78">
        <f t="shared" si="34"/>
        <v>0</v>
      </c>
      <c r="J25" s="78">
        <f t="shared" si="34"/>
        <v>0</v>
      </c>
      <c r="K25" s="91">
        <f t="shared" si="34"/>
        <v>0</v>
      </c>
      <c r="L25" s="91">
        <f t="shared" si="34"/>
        <v>0</v>
      </c>
      <c r="M25" s="78">
        <f t="shared" si="34"/>
        <v>0</v>
      </c>
      <c r="N25" s="78">
        <f t="shared" si="34"/>
        <v>0</v>
      </c>
      <c r="O25" s="91">
        <f t="shared" si="34"/>
        <v>0</v>
      </c>
      <c r="P25" s="91">
        <f t="shared" si="34"/>
        <v>0</v>
      </c>
      <c r="Q25" s="78">
        <f t="shared" si="34"/>
        <v>0</v>
      </c>
      <c r="R25" s="78">
        <f t="shared" si="34"/>
        <v>0</v>
      </c>
      <c r="S25" s="91">
        <f t="shared" si="34"/>
        <v>0</v>
      </c>
      <c r="T25" s="91">
        <f t="shared" si="34"/>
        <v>0</v>
      </c>
      <c r="U25" s="78">
        <f t="shared" si="34"/>
        <v>0</v>
      </c>
      <c r="V25" s="78">
        <f t="shared" si="34"/>
        <v>0</v>
      </c>
    </row>
    <row r="26" spans="2:22">
      <c r="B26" s="23" t="s">
        <v>143</v>
      </c>
      <c r="C26" s="13" t="s">
        <v>141</v>
      </c>
      <c r="E26" s="25">
        <f>E24/E21</f>
        <v>7.9176563737561165E-4</v>
      </c>
      <c r="F26" s="25">
        <f t="shared" ref="F26:V26" si="35">F24/F21</f>
        <v>7.9176563736862657E-4</v>
      </c>
      <c r="G26" s="69">
        <f t="shared" si="35"/>
        <v>0</v>
      </c>
      <c r="H26" s="69">
        <f t="shared" si="35"/>
        <v>0</v>
      </c>
      <c r="I26" s="25">
        <f t="shared" si="35"/>
        <v>0</v>
      </c>
      <c r="J26" s="25">
        <f t="shared" si="35"/>
        <v>0</v>
      </c>
      <c r="K26" s="69">
        <f t="shared" si="35"/>
        <v>0</v>
      </c>
      <c r="L26" s="69">
        <f t="shared" si="35"/>
        <v>0</v>
      </c>
      <c r="M26" s="25">
        <f t="shared" si="35"/>
        <v>0</v>
      </c>
      <c r="N26" s="25">
        <f t="shared" si="35"/>
        <v>0</v>
      </c>
      <c r="O26" s="69">
        <f t="shared" si="35"/>
        <v>0</v>
      </c>
      <c r="P26" s="69">
        <f t="shared" si="35"/>
        <v>0</v>
      </c>
      <c r="Q26" s="25">
        <f t="shared" si="35"/>
        <v>0</v>
      </c>
      <c r="R26" s="25">
        <f t="shared" si="35"/>
        <v>0</v>
      </c>
      <c r="S26" s="69">
        <f t="shared" si="35"/>
        <v>0</v>
      </c>
      <c r="T26" s="69">
        <f t="shared" si="35"/>
        <v>0</v>
      </c>
      <c r="U26" s="25">
        <f t="shared" si="35"/>
        <v>0</v>
      </c>
      <c r="V26" s="25">
        <f t="shared" si="35"/>
        <v>0</v>
      </c>
    </row>
    <row r="27" spans="2:22">
      <c r="B27" s="18"/>
      <c r="C27" s="13"/>
      <c r="E27" s="20"/>
      <c r="F27" s="20"/>
      <c r="G27" s="66"/>
      <c r="H27" s="66"/>
      <c r="K27" s="66"/>
      <c r="L27" s="66"/>
      <c r="O27" s="66"/>
      <c r="P27" s="66"/>
      <c r="S27" s="66"/>
      <c r="T27" s="66"/>
    </row>
    <row r="28" spans="2:22">
      <c r="B28" s="34" t="s">
        <v>144</v>
      </c>
      <c r="C28" s="13" t="s">
        <v>110</v>
      </c>
      <c r="E28" s="75">
        <f>E13/E12</f>
        <v>6</v>
      </c>
      <c r="F28" s="75">
        <f t="shared" ref="F28:L28" si="36">F13/F12</f>
        <v>6</v>
      </c>
      <c r="G28" s="70">
        <f t="shared" si="36"/>
        <v>6</v>
      </c>
      <c r="H28" s="70">
        <f t="shared" si="36"/>
        <v>6</v>
      </c>
      <c r="I28" s="35">
        <f t="shared" si="36"/>
        <v>6</v>
      </c>
      <c r="J28" s="35">
        <f t="shared" si="36"/>
        <v>6</v>
      </c>
      <c r="K28" s="70">
        <f t="shared" si="36"/>
        <v>6</v>
      </c>
      <c r="L28" s="70">
        <f t="shared" si="36"/>
        <v>6</v>
      </c>
      <c r="M28" s="35">
        <f t="shared" ref="M28:P28" si="37">M13/M12</f>
        <v>6</v>
      </c>
      <c r="N28" s="35">
        <f t="shared" si="37"/>
        <v>6</v>
      </c>
      <c r="O28" s="70">
        <f t="shared" si="37"/>
        <v>6</v>
      </c>
      <c r="P28" s="70">
        <f t="shared" si="37"/>
        <v>6</v>
      </c>
      <c r="Q28" s="35">
        <f t="shared" ref="Q28:T28" si="38">Q13/Q12</f>
        <v>6</v>
      </c>
      <c r="R28" s="35">
        <f t="shared" si="38"/>
        <v>6</v>
      </c>
      <c r="S28" s="70">
        <f t="shared" si="38"/>
        <v>6</v>
      </c>
      <c r="T28" s="70">
        <f t="shared" si="38"/>
        <v>6</v>
      </c>
      <c r="U28" s="35">
        <f t="shared" ref="U28:V28" si="39">U13/U12</f>
        <v>6</v>
      </c>
      <c r="V28" s="35">
        <f t="shared" si="39"/>
        <v>6</v>
      </c>
    </row>
    <row r="29" spans="2:22">
      <c r="B29" s="18"/>
      <c r="C29" s="13" t="s">
        <v>239</v>
      </c>
      <c r="E29" s="75" t="str">
        <f>DEC2HEX(E28)</f>
        <v>6</v>
      </c>
      <c r="F29" s="75" t="str">
        <f t="shared" ref="F29:L29" si="40">DEC2HEX(F28)</f>
        <v>6</v>
      </c>
      <c r="G29" s="70" t="str">
        <f t="shared" si="40"/>
        <v>6</v>
      </c>
      <c r="H29" s="70" t="str">
        <f t="shared" si="40"/>
        <v>6</v>
      </c>
      <c r="I29" s="35" t="str">
        <f t="shared" si="40"/>
        <v>6</v>
      </c>
      <c r="J29" s="35" t="str">
        <f t="shared" si="40"/>
        <v>6</v>
      </c>
      <c r="K29" s="70" t="str">
        <f t="shared" si="40"/>
        <v>6</v>
      </c>
      <c r="L29" s="70" t="str">
        <f t="shared" si="40"/>
        <v>6</v>
      </c>
      <c r="M29" s="35" t="str">
        <f t="shared" ref="M29:P29" si="41">DEC2HEX(M28)</f>
        <v>6</v>
      </c>
      <c r="N29" s="35" t="str">
        <f t="shared" si="41"/>
        <v>6</v>
      </c>
      <c r="O29" s="70" t="str">
        <f t="shared" si="41"/>
        <v>6</v>
      </c>
      <c r="P29" s="70" t="str">
        <f t="shared" si="41"/>
        <v>6</v>
      </c>
      <c r="Q29" s="35" t="str">
        <f t="shared" ref="Q29:T29" si="42">DEC2HEX(Q28)</f>
        <v>6</v>
      </c>
      <c r="R29" s="35" t="str">
        <f t="shared" si="42"/>
        <v>6</v>
      </c>
      <c r="S29" s="70" t="str">
        <f t="shared" si="42"/>
        <v>6</v>
      </c>
      <c r="T29" s="70" t="str">
        <f t="shared" si="42"/>
        <v>6</v>
      </c>
      <c r="U29" s="35" t="str">
        <f t="shared" ref="U29:V29" si="43">DEC2HEX(U28)</f>
        <v>6</v>
      </c>
      <c r="V29" s="35" t="str">
        <f t="shared" si="43"/>
        <v>6</v>
      </c>
    </row>
    <row r="30" spans="2:22">
      <c r="B30" s="18" t="s">
        <v>145</v>
      </c>
      <c r="C30" s="13" t="s">
        <v>18</v>
      </c>
      <c r="E30" s="76">
        <f t="shared" ref="E30:L30" si="44">E17/E28</f>
        <v>21.701388888888889</v>
      </c>
      <c r="F30" s="76">
        <f t="shared" si="44"/>
        <v>26.041666666666668</v>
      </c>
      <c r="G30" s="71">
        <f t="shared" si="44"/>
        <v>11.574074074074074</v>
      </c>
      <c r="H30" s="71">
        <f t="shared" si="44"/>
        <v>13.888888888888888</v>
      </c>
      <c r="I30" s="17">
        <f t="shared" si="44"/>
        <v>12.400793650793652</v>
      </c>
      <c r="J30" s="17">
        <f t="shared" si="44"/>
        <v>14.880952380952381</v>
      </c>
      <c r="K30" s="71">
        <f t="shared" si="44"/>
        <v>13.354700854700857</v>
      </c>
      <c r="L30" s="71">
        <f t="shared" si="44"/>
        <v>16.025641025641026</v>
      </c>
      <c r="M30" s="17">
        <f t="shared" ref="M30:P30" si="45">M17/M28</f>
        <v>10.850694444444445</v>
      </c>
      <c r="N30" s="17">
        <f t="shared" si="45"/>
        <v>13.020833333333334</v>
      </c>
      <c r="O30" s="71">
        <f t="shared" si="45"/>
        <v>15.782828282828284</v>
      </c>
      <c r="P30" s="71">
        <f t="shared" si="45"/>
        <v>18.939393939393941</v>
      </c>
      <c r="Q30" s="17">
        <f t="shared" ref="Q30:T30" si="46">Q17/Q28</f>
        <v>17.361111111111111</v>
      </c>
      <c r="R30" s="17">
        <f t="shared" si="46"/>
        <v>20.833333333333332</v>
      </c>
      <c r="S30" s="71">
        <f t="shared" si="46"/>
        <v>19.290123456790123</v>
      </c>
      <c r="T30" s="71">
        <f t="shared" si="46"/>
        <v>23.148148148148149</v>
      </c>
      <c r="U30" s="17">
        <f t="shared" ref="U30:V30" si="47">U17/U28</f>
        <v>21.701388888888889</v>
      </c>
      <c r="V30" s="17">
        <f t="shared" si="47"/>
        <v>26.041666666666668</v>
      </c>
    </row>
    <row r="31" spans="2:22">
      <c r="B31" s="18" t="s">
        <v>146</v>
      </c>
      <c r="C31" s="13" t="s">
        <v>110</v>
      </c>
      <c r="E31" s="77">
        <f t="shared" ref="E31:F31" si="48">E30*1000/$F$9</f>
        <v>350.83767361111114</v>
      </c>
      <c r="F31" s="77">
        <f t="shared" si="48"/>
        <v>421.00520833333331</v>
      </c>
      <c r="G31" s="72">
        <f>G30*1000/$H$9</f>
        <v>186.66666666666669</v>
      </c>
      <c r="H31" s="72">
        <f>H30*1000/$H$9</f>
        <v>223.99999999999997</v>
      </c>
      <c r="I31" s="21">
        <f>I30*1000/$J$9</f>
        <v>200.00000000000003</v>
      </c>
      <c r="J31" s="21">
        <f>J30*1000/$J$9</f>
        <v>240.00000000000003</v>
      </c>
      <c r="K31" s="72">
        <f>K30*1000/$L$9</f>
        <v>212.50000000000006</v>
      </c>
      <c r="L31" s="72">
        <f>L30*1000/$L$9</f>
        <v>255</v>
      </c>
      <c r="M31" s="21">
        <f>M30*1000/$N$9</f>
        <v>175.00000000000003</v>
      </c>
      <c r="N31" s="21">
        <f>N30*1000/$N$9</f>
        <v>210</v>
      </c>
      <c r="O31" s="72">
        <f>O30*1000/$P$9</f>
        <v>250</v>
      </c>
      <c r="P31" s="72">
        <f>P30*1000/$P$9</f>
        <v>300</v>
      </c>
      <c r="Q31" s="21">
        <f>Q30*1000/$R$9</f>
        <v>280</v>
      </c>
      <c r="R31" s="21">
        <f>R30*1000/$R$9</f>
        <v>336</v>
      </c>
      <c r="S31" s="72">
        <f>S30*1000/$T$9</f>
        <v>308.33333333333331</v>
      </c>
      <c r="T31" s="72">
        <f>T30*1000/$T$9</f>
        <v>370</v>
      </c>
      <c r="U31" s="21">
        <f>U30*1000/$V$9</f>
        <v>350.00000000000006</v>
      </c>
      <c r="V31" s="21">
        <f>V30*1000/$V$9</f>
        <v>420</v>
      </c>
    </row>
    <row r="32" spans="2:22">
      <c r="B32" s="34" t="s">
        <v>147</v>
      </c>
      <c r="C32" s="13" t="s">
        <v>110</v>
      </c>
      <c r="E32" s="79">
        <f t="shared" ref="E32:L32" si="49">ROUNDDOWN(E31,0)</f>
        <v>350</v>
      </c>
      <c r="F32" s="79">
        <f t="shared" si="49"/>
        <v>421</v>
      </c>
      <c r="G32" s="74">
        <f t="shared" si="49"/>
        <v>186</v>
      </c>
      <c r="H32" s="74">
        <f t="shared" si="49"/>
        <v>224</v>
      </c>
      <c r="I32" s="27">
        <f t="shared" si="49"/>
        <v>200</v>
      </c>
      <c r="J32" s="27">
        <f t="shared" si="49"/>
        <v>240</v>
      </c>
      <c r="K32" s="74">
        <f t="shared" si="49"/>
        <v>212</v>
      </c>
      <c r="L32" s="74">
        <f t="shared" si="49"/>
        <v>255</v>
      </c>
      <c r="M32" s="27">
        <f t="shared" ref="M32:P32" si="50">ROUNDDOWN(M31,0)</f>
        <v>175</v>
      </c>
      <c r="N32" s="27">
        <f t="shared" si="50"/>
        <v>210</v>
      </c>
      <c r="O32" s="74">
        <f t="shared" si="50"/>
        <v>250</v>
      </c>
      <c r="P32" s="74">
        <f t="shared" si="50"/>
        <v>300</v>
      </c>
      <c r="Q32" s="27">
        <f t="shared" ref="Q32:T32" si="51">ROUNDDOWN(Q31,0)</f>
        <v>280</v>
      </c>
      <c r="R32" s="27">
        <f t="shared" si="51"/>
        <v>336</v>
      </c>
      <c r="S32" s="74">
        <f t="shared" si="51"/>
        <v>308</v>
      </c>
      <c r="T32" s="74">
        <f t="shared" si="51"/>
        <v>370</v>
      </c>
      <c r="U32" s="27">
        <f t="shared" ref="U32:V32" si="52">ROUNDDOWN(U31,0)</f>
        <v>350</v>
      </c>
      <c r="V32" s="27">
        <f t="shared" si="52"/>
        <v>420</v>
      </c>
    </row>
    <row r="33" spans="1:22">
      <c r="B33" s="18"/>
      <c r="C33" s="13" t="s">
        <v>239</v>
      </c>
      <c r="E33" s="75" t="str">
        <f>DEC2HEX(E32)</f>
        <v>15E</v>
      </c>
      <c r="F33" s="75" t="str">
        <f t="shared" ref="F33:L33" si="53">DEC2HEX(F32)</f>
        <v>1A5</v>
      </c>
      <c r="G33" s="70" t="str">
        <f t="shared" si="53"/>
        <v>BA</v>
      </c>
      <c r="H33" s="70" t="str">
        <f t="shared" si="53"/>
        <v>E0</v>
      </c>
      <c r="I33" s="35" t="str">
        <f t="shared" si="53"/>
        <v>C8</v>
      </c>
      <c r="J33" s="35" t="str">
        <f t="shared" si="53"/>
        <v>F0</v>
      </c>
      <c r="K33" s="70" t="str">
        <f t="shared" si="53"/>
        <v>D4</v>
      </c>
      <c r="L33" s="70" t="str">
        <f t="shared" si="53"/>
        <v>FF</v>
      </c>
      <c r="M33" s="35" t="str">
        <f t="shared" ref="M33:P33" si="54">DEC2HEX(M32)</f>
        <v>AF</v>
      </c>
      <c r="N33" s="35" t="str">
        <f t="shared" si="54"/>
        <v>D2</v>
      </c>
      <c r="O33" s="70" t="str">
        <f t="shared" si="54"/>
        <v>FA</v>
      </c>
      <c r="P33" s="70" t="str">
        <f t="shared" si="54"/>
        <v>12C</v>
      </c>
      <c r="Q33" s="35" t="str">
        <f t="shared" ref="Q33:T33" si="55">DEC2HEX(Q32)</f>
        <v>118</v>
      </c>
      <c r="R33" s="35" t="str">
        <f t="shared" si="55"/>
        <v>150</v>
      </c>
      <c r="S33" s="70" t="str">
        <f t="shared" si="55"/>
        <v>134</v>
      </c>
      <c r="T33" s="70" t="str">
        <f t="shared" si="55"/>
        <v>172</v>
      </c>
      <c r="U33" s="35" t="str">
        <f t="shared" ref="U33:V33" si="56">DEC2HEX(U32)</f>
        <v>15E</v>
      </c>
      <c r="V33" s="35" t="str">
        <f t="shared" si="56"/>
        <v>1A4</v>
      </c>
    </row>
    <row r="34" spans="1:22">
      <c r="B34" s="18"/>
      <c r="C34" s="13" t="s">
        <v>18</v>
      </c>
      <c r="E34" s="76">
        <f>E32*$F$9/1000</f>
        <v>21.649573812675516</v>
      </c>
      <c r="F34" s="76">
        <f>F32*$F$9/1000</f>
        <v>26.041344500389691</v>
      </c>
      <c r="G34" s="71">
        <f>G32*$H$9/1000</f>
        <v>11.532738095238095</v>
      </c>
      <c r="H34" s="71">
        <f>H32*$H$9/1000</f>
        <v>13.888888888888889</v>
      </c>
      <c r="I34" s="17">
        <f>I32*$J$9/1000</f>
        <v>12.40079365079365</v>
      </c>
      <c r="J34" s="17">
        <f>J32*$J$9/1000</f>
        <v>14.880952380952381</v>
      </c>
      <c r="K34" s="71">
        <f>K32*$L$9/1000</f>
        <v>13.323278029160381</v>
      </c>
      <c r="L34" s="71">
        <f>L32*$L$9/1000</f>
        <v>16.025641025641026</v>
      </c>
      <c r="M34" s="17">
        <f>M32*$N$9/1000</f>
        <v>10.850694444444443</v>
      </c>
      <c r="N34" s="17">
        <f>N32*$N$9/1000</f>
        <v>13.020833333333334</v>
      </c>
      <c r="O34" s="71">
        <f>O32*$P$9/1000</f>
        <v>15.782828282828284</v>
      </c>
      <c r="P34" s="71">
        <f>P32*$P$9/1000</f>
        <v>18.939393939393941</v>
      </c>
      <c r="Q34" s="17">
        <f>Q32*$R$9/1000</f>
        <v>17.361111111111111</v>
      </c>
      <c r="R34" s="17">
        <f>R32*$R$9/1000</f>
        <v>20.833333333333332</v>
      </c>
      <c r="S34" s="71">
        <f>S32*$T$9/1000</f>
        <v>19.269269269269273</v>
      </c>
      <c r="T34" s="71">
        <f>T32*$T$9/1000</f>
        <v>23.148148148148149</v>
      </c>
      <c r="U34" s="17">
        <f>U32*$V$9/1000</f>
        <v>21.701388888888886</v>
      </c>
      <c r="V34" s="17">
        <f>V32*$V$9/1000</f>
        <v>26.041666666666668</v>
      </c>
    </row>
    <row r="35" spans="1:22">
      <c r="B35" s="18" t="s">
        <v>148</v>
      </c>
      <c r="C35" s="13" t="s">
        <v>18</v>
      </c>
      <c r="E35" s="76">
        <f>E30-E34</f>
        <v>5.181507621337289E-2</v>
      </c>
      <c r="F35" s="76">
        <f t="shared" ref="F35:L35" si="57">F30-F34</f>
        <v>3.2216627697678746E-4</v>
      </c>
      <c r="G35" s="71">
        <f t="shared" si="57"/>
        <v>4.1335978835979503E-2</v>
      </c>
      <c r="H35" s="71">
        <f t="shared" si="57"/>
        <v>0</v>
      </c>
      <c r="I35" s="17">
        <f t="shared" si="57"/>
        <v>0</v>
      </c>
      <c r="J35" s="17">
        <f t="shared" si="57"/>
        <v>0</v>
      </c>
      <c r="K35" s="71">
        <f t="shared" si="57"/>
        <v>3.142282554047604E-2</v>
      </c>
      <c r="L35" s="71">
        <f t="shared" si="57"/>
        <v>0</v>
      </c>
      <c r="M35" s="17">
        <f t="shared" ref="M35:P35" si="58">M30-M34</f>
        <v>0</v>
      </c>
      <c r="N35" s="17">
        <f t="shared" si="58"/>
        <v>0</v>
      </c>
      <c r="O35" s="71">
        <f t="shared" si="58"/>
        <v>0</v>
      </c>
      <c r="P35" s="71">
        <f t="shared" si="58"/>
        <v>0</v>
      </c>
      <c r="Q35" s="17">
        <f t="shared" ref="Q35:T35" si="59">Q30-Q34</f>
        <v>0</v>
      </c>
      <c r="R35" s="17">
        <f t="shared" si="59"/>
        <v>0</v>
      </c>
      <c r="S35" s="71">
        <f t="shared" si="59"/>
        <v>2.0854187520850331E-2</v>
      </c>
      <c r="T35" s="71">
        <f t="shared" si="59"/>
        <v>0</v>
      </c>
      <c r="U35" s="17">
        <f t="shared" ref="U35:V35" si="60">U30-U34</f>
        <v>0</v>
      </c>
      <c r="V35" s="17">
        <f t="shared" si="60"/>
        <v>0</v>
      </c>
    </row>
    <row r="36" spans="1:22">
      <c r="B36" s="18"/>
      <c r="C36" s="13"/>
      <c r="E36" s="76"/>
      <c r="F36" s="76"/>
      <c r="G36" s="71"/>
      <c r="H36" s="71"/>
      <c r="I36" s="17"/>
      <c r="J36" s="17"/>
      <c r="K36" s="71"/>
      <c r="L36" s="71"/>
      <c r="M36" s="17"/>
      <c r="N36" s="17"/>
      <c r="O36" s="71"/>
      <c r="P36" s="71"/>
      <c r="Q36" s="17"/>
      <c r="R36" s="17"/>
      <c r="S36" s="71"/>
      <c r="T36" s="71"/>
      <c r="U36" s="17"/>
      <c r="V36" s="17"/>
    </row>
    <row r="37" spans="1:22">
      <c r="B37" s="34" t="s">
        <v>149</v>
      </c>
      <c r="C37" s="13" t="s">
        <v>110</v>
      </c>
      <c r="E37" s="75">
        <f>E32-E41-E40</f>
        <v>312</v>
      </c>
      <c r="F37" s="75">
        <f t="shared" ref="F37:L37" si="61">F32-F41-F40</f>
        <v>383</v>
      </c>
      <c r="G37" s="70">
        <f t="shared" si="61"/>
        <v>148</v>
      </c>
      <c r="H37" s="70">
        <f t="shared" si="61"/>
        <v>186</v>
      </c>
      <c r="I37" s="35">
        <f>I32-I41-I40</f>
        <v>162</v>
      </c>
      <c r="J37" s="35">
        <f t="shared" si="61"/>
        <v>202</v>
      </c>
      <c r="K37" s="70">
        <f t="shared" si="61"/>
        <v>174</v>
      </c>
      <c r="L37" s="70">
        <f t="shared" si="61"/>
        <v>217</v>
      </c>
      <c r="M37" s="35">
        <f t="shared" ref="M37:P37" si="62">M32-M41-M40</f>
        <v>137</v>
      </c>
      <c r="N37" s="35">
        <f t="shared" si="62"/>
        <v>172</v>
      </c>
      <c r="O37" s="70">
        <f t="shared" si="62"/>
        <v>212</v>
      </c>
      <c r="P37" s="70">
        <f t="shared" si="62"/>
        <v>262</v>
      </c>
      <c r="Q37" s="35">
        <f t="shared" ref="Q37:T37" si="63">Q32-Q41-Q40</f>
        <v>242</v>
      </c>
      <c r="R37" s="35">
        <f t="shared" si="63"/>
        <v>298</v>
      </c>
      <c r="S37" s="70">
        <f t="shared" si="63"/>
        <v>270</v>
      </c>
      <c r="T37" s="70">
        <f t="shared" si="63"/>
        <v>332</v>
      </c>
      <c r="U37" s="35">
        <f t="shared" ref="U37:V37" si="64">U32-U41-U40</f>
        <v>312</v>
      </c>
      <c r="V37" s="35">
        <f t="shared" si="64"/>
        <v>382</v>
      </c>
    </row>
    <row r="38" spans="1:22">
      <c r="B38" s="18"/>
      <c r="C38" s="13" t="s">
        <v>239</v>
      </c>
      <c r="E38" s="75" t="str">
        <f>DEC2HEX(E37)</f>
        <v>138</v>
      </c>
      <c r="F38" s="75" t="str">
        <f t="shared" ref="F38:L38" si="65">DEC2HEX(F37)</f>
        <v>17F</v>
      </c>
      <c r="G38" s="70" t="str">
        <f t="shared" si="65"/>
        <v>94</v>
      </c>
      <c r="H38" s="70" t="str">
        <f t="shared" si="65"/>
        <v>BA</v>
      </c>
      <c r="I38" s="35" t="str">
        <f t="shared" si="65"/>
        <v>A2</v>
      </c>
      <c r="J38" s="35" t="str">
        <f t="shared" si="65"/>
        <v>CA</v>
      </c>
      <c r="K38" s="70" t="str">
        <f t="shared" si="65"/>
        <v>AE</v>
      </c>
      <c r="L38" s="70" t="str">
        <f t="shared" si="65"/>
        <v>D9</v>
      </c>
      <c r="M38" s="35" t="str">
        <f t="shared" ref="M38:P38" si="66">DEC2HEX(M37)</f>
        <v>89</v>
      </c>
      <c r="N38" s="35" t="str">
        <f t="shared" si="66"/>
        <v>AC</v>
      </c>
      <c r="O38" s="70" t="str">
        <f t="shared" si="66"/>
        <v>D4</v>
      </c>
      <c r="P38" s="70" t="str">
        <f t="shared" si="66"/>
        <v>106</v>
      </c>
      <c r="Q38" s="35" t="str">
        <f t="shared" ref="Q38:T38" si="67">DEC2HEX(Q37)</f>
        <v>F2</v>
      </c>
      <c r="R38" s="35" t="str">
        <f t="shared" si="67"/>
        <v>12A</v>
      </c>
      <c r="S38" s="70" t="str">
        <f t="shared" si="67"/>
        <v>10E</v>
      </c>
      <c r="T38" s="70" t="str">
        <f t="shared" si="67"/>
        <v>14C</v>
      </c>
      <c r="U38" s="35" t="str">
        <f>DEC2HEX(U37)</f>
        <v>138</v>
      </c>
      <c r="V38" s="35" t="str">
        <f t="shared" ref="V38" si="68">DEC2HEX(V37)</f>
        <v>17E</v>
      </c>
    </row>
    <row r="39" spans="1:22">
      <c r="B39" s="18"/>
      <c r="C39" s="13" t="s">
        <v>18</v>
      </c>
      <c r="E39" s="76">
        <f>E37*$F$9/1000</f>
        <v>19.299048655870745</v>
      </c>
      <c r="F39" s="76">
        <f>F37*$F$9/1000</f>
        <v>23.690819343584923</v>
      </c>
      <c r="G39" s="71">
        <f>G37*$H$9/1000</f>
        <v>9.1765873015873023</v>
      </c>
      <c r="H39" s="71">
        <f>H37*$H$9/1000</f>
        <v>11.532738095238095</v>
      </c>
      <c r="I39" s="17">
        <f>I37*$J$9/1000</f>
        <v>10.044642857142858</v>
      </c>
      <c r="J39" s="17">
        <f>J37*$J$9/1000</f>
        <v>12.524801587301587</v>
      </c>
      <c r="K39" s="71">
        <f>K37*$L$9/1000</f>
        <v>10.935143288084465</v>
      </c>
      <c r="L39" s="71">
        <f>L37*$L$9/1000</f>
        <v>13.637506284565108</v>
      </c>
      <c r="M39" s="17">
        <f>M37*$N$9/1000</f>
        <v>8.4945436507936503</v>
      </c>
      <c r="N39" s="17">
        <f>N37*$N$9/1000</f>
        <v>10.66468253968254</v>
      </c>
      <c r="O39" s="71">
        <f>O37*$P$9/1000</f>
        <v>13.383838383838386</v>
      </c>
      <c r="P39" s="71">
        <f>P37*$P$9/1000</f>
        <v>16.540404040404042</v>
      </c>
      <c r="Q39" s="17">
        <f>Q37*$R$9/1000</f>
        <v>15.004960317460318</v>
      </c>
      <c r="R39" s="17">
        <f>R37*$R$9/1000</f>
        <v>18.477182539682541</v>
      </c>
      <c r="S39" s="71">
        <f>S37*$T$9/1000</f>
        <v>16.891891891891895</v>
      </c>
      <c r="T39" s="71">
        <f>T37*$T$9/1000</f>
        <v>20.770770770770774</v>
      </c>
      <c r="U39" s="17">
        <f>U37*$V$9/1000</f>
        <v>19.345238095238095</v>
      </c>
      <c r="V39" s="17">
        <f>V37*$V$9/1000</f>
        <v>23.685515873015873</v>
      </c>
    </row>
    <row r="40" spans="1:22">
      <c r="B40" s="23" t="s">
        <v>240</v>
      </c>
      <c r="C40" s="13" t="s">
        <v>110</v>
      </c>
      <c r="E40" s="75">
        <v>6</v>
      </c>
      <c r="F40" s="75">
        <f>E40</f>
        <v>6</v>
      </c>
      <c r="G40" s="70">
        <v>6</v>
      </c>
      <c r="H40" s="70">
        <f>G40</f>
        <v>6</v>
      </c>
      <c r="I40" s="35">
        <v>6</v>
      </c>
      <c r="J40" s="35">
        <f>I40</f>
        <v>6</v>
      </c>
      <c r="K40" s="70">
        <v>6</v>
      </c>
      <c r="L40" s="70">
        <f>K40</f>
        <v>6</v>
      </c>
      <c r="M40" s="35">
        <v>6</v>
      </c>
      <c r="N40" s="35">
        <f>M40</f>
        <v>6</v>
      </c>
      <c r="O40" s="70">
        <v>6</v>
      </c>
      <c r="P40" s="70">
        <f>O40</f>
        <v>6</v>
      </c>
      <c r="Q40" s="35">
        <v>6</v>
      </c>
      <c r="R40" s="35">
        <f>Q40</f>
        <v>6</v>
      </c>
      <c r="S40" s="70">
        <v>6</v>
      </c>
      <c r="T40" s="70">
        <f>S40</f>
        <v>6</v>
      </c>
      <c r="U40" s="35">
        <v>6</v>
      </c>
      <c r="V40" s="35">
        <f>U40</f>
        <v>6</v>
      </c>
    </row>
    <row r="41" spans="1:22">
      <c r="B41" s="34" t="s">
        <v>150</v>
      </c>
      <c r="C41" s="13" t="s">
        <v>110</v>
      </c>
      <c r="E41" s="75">
        <v>32</v>
      </c>
      <c r="F41" s="75">
        <f>E41</f>
        <v>32</v>
      </c>
      <c r="G41" s="70">
        <v>32</v>
      </c>
      <c r="H41" s="70">
        <f>G41</f>
        <v>32</v>
      </c>
      <c r="I41" s="35">
        <v>32</v>
      </c>
      <c r="J41" s="35">
        <f>I41</f>
        <v>32</v>
      </c>
      <c r="K41" s="70">
        <v>32</v>
      </c>
      <c r="L41" s="70">
        <f>K41</f>
        <v>32</v>
      </c>
      <c r="M41" s="35">
        <v>32</v>
      </c>
      <c r="N41" s="35">
        <f>M41</f>
        <v>32</v>
      </c>
      <c r="O41" s="70">
        <v>32</v>
      </c>
      <c r="P41" s="70">
        <f>O41</f>
        <v>32</v>
      </c>
      <c r="Q41" s="35">
        <v>32</v>
      </c>
      <c r="R41" s="35">
        <f>Q41</f>
        <v>32</v>
      </c>
      <c r="S41" s="70">
        <v>32</v>
      </c>
      <c r="T41" s="70">
        <f>S41</f>
        <v>32</v>
      </c>
      <c r="U41" s="35">
        <v>32</v>
      </c>
      <c r="V41" s="35">
        <f>U41</f>
        <v>32</v>
      </c>
    </row>
    <row r="42" spans="1:22">
      <c r="B42" s="18"/>
      <c r="C42" s="13" t="s">
        <v>239</v>
      </c>
      <c r="E42" s="75" t="str">
        <f>DEC2HEX(E41)</f>
        <v>20</v>
      </c>
      <c r="F42" s="75" t="str">
        <f t="shared" ref="F42:L42" si="69">DEC2HEX(F41)</f>
        <v>20</v>
      </c>
      <c r="G42" s="70" t="str">
        <f t="shared" si="69"/>
        <v>20</v>
      </c>
      <c r="H42" s="70" t="str">
        <f t="shared" si="69"/>
        <v>20</v>
      </c>
      <c r="I42" s="35" t="str">
        <f t="shared" si="69"/>
        <v>20</v>
      </c>
      <c r="J42" s="35" t="str">
        <f t="shared" si="69"/>
        <v>20</v>
      </c>
      <c r="K42" s="70" t="str">
        <f t="shared" si="69"/>
        <v>20</v>
      </c>
      <c r="L42" s="70" t="str">
        <f t="shared" si="69"/>
        <v>20</v>
      </c>
      <c r="M42" s="35" t="str">
        <f t="shared" ref="M42:P42" si="70">DEC2HEX(M41)</f>
        <v>20</v>
      </c>
      <c r="N42" s="35" t="str">
        <f t="shared" si="70"/>
        <v>20</v>
      </c>
      <c r="O42" s="70" t="str">
        <f t="shared" si="70"/>
        <v>20</v>
      </c>
      <c r="P42" s="70" t="str">
        <f t="shared" si="70"/>
        <v>20</v>
      </c>
      <c r="Q42" s="35" t="str">
        <f t="shared" ref="Q42:T42" si="71">DEC2HEX(Q41)</f>
        <v>20</v>
      </c>
      <c r="R42" s="35" t="str">
        <f t="shared" si="71"/>
        <v>20</v>
      </c>
      <c r="S42" s="70" t="str">
        <f t="shared" si="71"/>
        <v>20</v>
      </c>
      <c r="T42" s="70" t="str">
        <f t="shared" si="71"/>
        <v>20</v>
      </c>
      <c r="U42" s="35" t="str">
        <f t="shared" ref="U42:V42" si="72">DEC2HEX(U41)</f>
        <v>20</v>
      </c>
      <c r="V42" s="35" t="str">
        <f t="shared" si="72"/>
        <v>20</v>
      </c>
    </row>
    <row r="43" spans="1:22">
      <c r="B43" s="18"/>
      <c r="C43" s="13" t="s">
        <v>18</v>
      </c>
      <c r="E43" s="76">
        <f>E41*$F$9/1000</f>
        <v>1.9793896057303331</v>
      </c>
      <c r="F43" s="76">
        <f>F41*$F$9/1000</f>
        <v>1.9793896057303331</v>
      </c>
      <c r="G43" s="71">
        <f>G41*$H$9/1000</f>
        <v>1.9841269841269842</v>
      </c>
      <c r="H43" s="71">
        <f>H41*$H$9/1000</f>
        <v>1.9841269841269842</v>
      </c>
      <c r="I43" s="17">
        <f>I41*$J$9/1000</f>
        <v>1.9841269841269842</v>
      </c>
      <c r="J43" s="17">
        <f>J41*$J$9/1000</f>
        <v>1.9841269841269842</v>
      </c>
      <c r="K43" s="71">
        <f>K41*$L$9/1000</f>
        <v>2.0110608345902463</v>
      </c>
      <c r="L43" s="71">
        <f>L41*$L$9/1000</f>
        <v>2.0110608345902463</v>
      </c>
      <c r="M43" s="17">
        <f>M41*$N$9/1000</f>
        <v>1.9841269841269842</v>
      </c>
      <c r="N43" s="17">
        <f>N41*$N$9/1000</f>
        <v>1.9841269841269842</v>
      </c>
      <c r="O43" s="71">
        <f>O41*$P$9/1000</f>
        <v>2.0202020202020203</v>
      </c>
      <c r="P43" s="71">
        <f>P41*$P$9/1000</f>
        <v>2.0202020202020203</v>
      </c>
      <c r="Q43" s="17">
        <f>Q41*$R$9/1000</f>
        <v>1.9841269841269842</v>
      </c>
      <c r="R43" s="17">
        <f>R41*$R$9/1000</f>
        <v>1.9841269841269842</v>
      </c>
      <c r="S43" s="71">
        <f>S41*$T$9/1000</f>
        <v>2.0020020020020022</v>
      </c>
      <c r="T43" s="71">
        <f>T41*$T$9/1000</f>
        <v>2.0020020020020022</v>
      </c>
      <c r="U43" s="17">
        <f>U41*$V$9/1000</f>
        <v>1.9841269841269842</v>
      </c>
      <c r="V43" s="17">
        <f>V41*$V$9/1000</f>
        <v>1.9841269841269842</v>
      </c>
    </row>
    <row r="44" spans="1:22">
      <c r="B44" s="18"/>
      <c r="C44" s="13"/>
      <c r="E44" s="76"/>
      <c r="F44" s="76"/>
      <c r="G44" s="71"/>
      <c r="H44" s="71"/>
      <c r="I44" s="17"/>
      <c r="J44" s="17"/>
      <c r="K44" s="71"/>
      <c r="L44" s="71"/>
      <c r="M44" s="17"/>
      <c r="N44" s="17"/>
      <c r="O44" s="71"/>
      <c r="P44" s="71"/>
      <c r="Q44" s="17"/>
      <c r="R44" s="17"/>
      <c r="S44" s="71"/>
      <c r="T44" s="71"/>
      <c r="U44" s="17"/>
      <c r="V44" s="17"/>
    </row>
    <row r="45" spans="1:22">
      <c r="B45" s="18" t="s">
        <v>153</v>
      </c>
      <c r="C45" s="13" t="s">
        <v>18</v>
      </c>
      <c r="E45" s="76">
        <f>(E37-3)*$F$9/1000</f>
        <v>19.11348088033353</v>
      </c>
      <c r="F45" s="76">
        <f>(F37-3)*$F$9/1000</f>
        <v>23.505251568047704</v>
      </c>
      <c r="G45" s="71">
        <f>(G37-3)*$H$9/1000</f>
        <v>8.9905753968253972</v>
      </c>
      <c r="H45" s="71">
        <f>(H37-3)*$H$9/1000</f>
        <v>11.346726190476192</v>
      </c>
      <c r="I45" s="17">
        <f>(I37-3)*$J$9/1000</f>
        <v>9.8586309523809526</v>
      </c>
      <c r="J45" s="17">
        <f>(J37-3)*$J$9/1000</f>
        <v>12.338789682539682</v>
      </c>
      <c r="K45" s="71">
        <f>(K37-3)*$L$9/1000</f>
        <v>10.746606334841628</v>
      </c>
      <c r="L45" s="71">
        <f>(L37-3)*$L$9/1000</f>
        <v>13.448969331322273</v>
      </c>
      <c r="M45" s="17">
        <f>(M37-3)*$N$9/1000</f>
        <v>8.3085317460317452</v>
      </c>
      <c r="N45" s="17">
        <f>(N37-3)*$N$9/1000</f>
        <v>10.478670634920634</v>
      </c>
      <c r="O45" s="71">
        <f>(O37-3)*$P$9/1000</f>
        <v>13.194444444444445</v>
      </c>
      <c r="P45" s="71">
        <f>(P37-3)*$P$9/1000</f>
        <v>16.351010101010104</v>
      </c>
      <c r="Q45" s="17">
        <f>(Q37-3)*$R$9/1000</f>
        <v>14.818948412698411</v>
      </c>
      <c r="R45" s="17">
        <f>(R37-3)*$R$9/1000</f>
        <v>18.291170634920636</v>
      </c>
      <c r="S45" s="71">
        <f>(S37-3)*$T$9/1000</f>
        <v>16.704204204204206</v>
      </c>
      <c r="T45" s="71">
        <f>(T37-3)*$T$9/1000</f>
        <v>20.583083083083086</v>
      </c>
      <c r="U45" s="17">
        <f>(U37-3)*$V$9/1000</f>
        <v>19.15922619047619</v>
      </c>
      <c r="V45" s="17">
        <f>(V37-3)*$V$9/1000</f>
        <v>23.499503968253968</v>
      </c>
    </row>
    <row r="46" spans="1:22">
      <c r="B46" s="18" t="s">
        <v>154</v>
      </c>
      <c r="C46" s="13" t="s">
        <v>18</v>
      </c>
      <c r="E46" s="76">
        <f>(E32-E37-E41+3)*$F$9/1000</f>
        <v>0.55670332661165611</v>
      </c>
      <c r="F46" s="76">
        <f>(F32-F37-F41+3)*$F$9/1000</f>
        <v>0.55670332661165611</v>
      </c>
      <c r="G46" s="71">
        <f>(G32-G37-G41+3)*$H$9/1000</f>
        <v>0.55803571428571419</v>
      </c>
      <c r="H46" s="71">
        <f>(H32-H37-H41+3)*$H$9/1000</f>
        <v>0.55803571428571419</v>
      </c>
      <c r="I46" s="17">
        <f>(I32-I37-I41+3)*$J$9/1000</f>
        <v>0.55803571428571419</v>
      </c>
      <c r="J46" s="17">
        <f>(J32-J37-J41+3)*$J$9/1000</f>
        <v>0.55803571428571419</v>
      </c>
      <c r="K46" s="71">
        <f>(K32-K37-K41+3)*$L$9/1000</f>
        <v>0.56561085972850678</v>
      </c>
      <c r="L46" s="71">
        <f>(L32-L37-L41+3)*$L$9/1000</f>
        <v>0.56561085972850678</v>
      </c>
      <c r="M46" s="17">
        <f>(M32-M37-M41+3)*$N$9/1000</f>
        <v>0.55803571428571419</v>
      </c>
      <c r="N46" s="17">
        <f>(N32-N37-N41+3)*$N$9/1000</f>
        <v>0.55803571428571419</v>
      </c>
      <c r="O46" s="71">
        <f>(O32-O37-O41+3)*$P$9/1000</f>
        <v>0.56818181818181823</v>
      </c>
      <c r="P46" s="71">
        <f>(P32-P37-P41+3)*$P$9/1000</f>
        <v>0.56818181818181823</v>
      </c>
      <c r="Q46" s="17">
        <f>(Q32-Q37-Q41+3)*$R$9/1000</f>
        <v>0.55803571428571419</v>
      </c>
      <c r="R46" s="17">
        <f>(R32-R37-R41+3)*$R$9/1000</f>
        <v>0.55803571428571419</v>
      </c>
      <c r="S46" s="71">
        <f>(S32-S37-S41+3)*$T$9/1000</f>
        <v>0.5630630630630632</v>
      </c>
      <c r="T46" s="71">
        <f>(T32-T37-T41+3)*$T$9/1000</f>
        <v>0.5630630630630632</v>
      </c>
      <c r="U46" s="17">
        <f>(U32-U37-U41+3)*$V$9/1000</f>
        <v>0.55803571428571419</v>
      </c>
      <c r="V46" s="17">
        <f>(V32-V37-V41+3)*$V$9/1000</f>
        <v>0.55803571428571419</v>
      </c>
    </row>
    <row r="47" spans="1:22">
      <c r="A47" s="29"/>
      <c r="B47" s="18" t="s">
        <v>155</v>
      </c>
      <c r="C47" s="13" t="s">
        <v>18</v>
      </c>
      <c r="E47" s="76">
        <f>(E32-E37-E41+9)*$F$9/1000</f>
        <v>0.92783887768609363</v>
      </c>
      <c r="F47" s="76">
        <f>(F32-F37-F41+9)*$F$9/1000</f>
        <v>0.92783887768609363</v>
      </c>
      <c r="G47" s="71">
        <f>(G32-G37-G41+9)*$H$9/1000</f>
        <v>0.93005952380952384</v>
      </c>
      <c r="H47" s="71">
        <f>(H32-H37-H41+9)*$H$9/1000</f>
        <v>0.93005952380952384</v>
      </c>
      <c r="I47" s="17">
        <f>(I32-I37-I41+9)*$J$9/1000</f>
        <v>0.93005952380952384</v>
      </c>
      <c r="J47" s="17">
        <f>(J32-J37-J41+9)*$J$9/1000</f>
        <v>0.93005952380952384</v>
      </c>
      <c r="K47" s="71">
        <f>(K32-K37-K41+9)*$L$9/1000</f>
        <v>0.94268476621417785</v>
      </c>
      <c r="L47" s="71">
        <f>(L32-L37-L41+9)*$L$9/1000</f>
        <v>0.94268476621417785</v>
      </c>
      <c r="M47" s="17">
        <f>(M32-M37-M41+9)*$N$9/1000</f>
        <v>0.93005952380952384</v>
      </c>
      <c r="N47" s="17">
        <f>(N32-N37-N41+9)*$N$9/1000</f>
        <v>0.93005952380952384</v>
      </c>
      <c r="O47" s="71">
        <f>(O32-O37-O41+9)*$P$9/1000</f>
        <v>0.94696969696969702</v>
      </c>
      <c r="P47" s="71">
        <f>(P32-P37-P41+9)*$P$9/1000</f>
        <v>0.94696969696969702</v>
      </c>
      <c r="Q47" s="17">
        <f>(Q32-Q37-Q41+9)*$R$9/1000</f>
        <v>0.93005952380952384</v>
      </c>
      <c r="R47" s="17">
        <f>(R32-R37-R41+9)*$R$9/1000</f>
        <v>0.93005952380952384</v>
      </c>
      <c r="S47" s="71">
        <f>(S32-S37-S41+9)*$T$9/1000</f>
        <v>0.93843843843843855</v>
      </c>
      <c r="T47" s="71">
        <f>(T32-T37-T41+9)*$T$9/1000</f>
        <v>0.93843843843843855</v>
      </c>
      <c r="U47" s="17">
        <f>(U32-U37-U41+9)*$V$9/1000</f>
        <v>0.93005952380952384</v>
      </c>
      <c r="V47" s="17">
        <f>(V32-V37-V41+9)*$V$9/1000</f>
        <v>0.93005952380952384</v>
      </c>
    </row>
    <row r="48" spans="1:22">
      <c r="A48" s="17"/>
      <c r="B48" s="18" t="s">
        <v>156</v>
      </c>
      <c r="C48" s="13" t="s">
        <v>18</v>
      </c>
      <c r="E48" s="76">
        <f>(E37+E41)*$F$9/1000</f>
        <v>21.278438261601082</v>
      </c>
      <c r="F48" s="76">
        <f>(F37+F41)*$F$9/1000</f>
        <v>25.670208949315256</v>
      </c>
      <c r="G48" s="71">
        <f>(G37+G41)*$H$9/1000</f>
        <v>11.160714285714286</v>
      </c>
      <c r="H48" s="71">
        <f>(H37+H41)*$H$9/1000</f>
        <v>13.516865079365079</v>
      </c>
      <c r="I48" s="17">
        <f>(I37+I41)*$J$9/1000</f>
        <v>12.028769841269842</v>
      </c>
      <c r="J48" s="17">
        <f>(J37+J41)*$J$9/1000</f>
        <v>14.508928571428571</v>
      </c>
      <c r="K48" s="71">
        <f>(K37+K41)*$L$9/1000</f>
        <v>12.946204122674709</v>
      </c>
      <c r="L48" s="71">
        <f>(L37+L41)*$L$9/1000</f>
        <v>15.648567119155354</v>
      </c>
      <c r="M48" s="17">
        <f>(M37+M41)*$N$9/1000</f>
        <v>10.478670634920634</v>
      </c>
      <c r="N48" s="17">
        <f>(N37+N41)*$N$9/1000</f>
        <v>12.648809523809524</v>
      </c>
      <c r="O48" s="71">
        <f>(O37+O41)*$P$9/1000</f>
        <v>15.404040404040405</v>
      </c>
      <c r="P48" s="71">
        <f>(P37+P41)*$P$9/1000</f>
        <v>18.560606060606059</v>
      </c>
      <c r="Q48" s="17">
        <f>(Q37+Q41)*$R$9/1000</f>
        <v>16.989087301587301</v>
      </c>
      <c r="R48" s="17">
        <f>(R37+R41)*$R$9/1000</f>
        <v>20.461309523809522</v>
      </c>
      <c r="S48" s="71">
        <f>(S37+S41)*$T$9/1000</f>
        <v>18.893893893893896</v>
      </c>
      <c r="T48" s="71">
        <f>(T37+T41)*$T$9/1000</f>
        <v>22.772772772772775</v>
      </c>
      <c r="U48" s="17">
        <f>(U37+U41)*$V$9/1000</f>
        <v>21.329365079365079</v>
      </c>
      <c r="V48" s="17">
        <f>(V37+V41)*$V$9/1000</f>
        <v>25.669642857142854</v>
      </c>
    </row>
    <row r="49" spans="1:22">
      <c r="A49" s="27"/>
      <c r="B49" s="36"/>
      <c r="C49" s="13"/>
      <c r="E49" s="20"/>
      <c r="F49" s="20"/>
      <c r="G49" s="66"/>
      <c r="H49" s="66"/>
      <c r="K49" s="66"/>
      <c r="L49" s="66"/>
      <c r="O49" s="66"/>
      <c r="P49" s="66"/>
      <c r="S49" s="66"/>
      <c r="T49" s="66"/>
    </row>
    <row r="50" spans="1:22">
      <c r="A50" s="17"/>
      <c r="B50" s="18" t="s">
        <v>145</v>
      </c>
      <c r="C50" s="13" t="s">
        <v>110</v>
      </c>
      <c r="E50" s="79">
        <f t="shared" ref="E50:L50" si="73">E37+E40+E41</f>
        <v>350</v>
      </c>
      <c r="F50" s="79">
        <f t="shared" si="73"/>
        <v>421</v>
      </c>
      <c r="G50" s="74">
        <f t="shared" si="73"/>
        <v>186</v>
      </c>
      <c r="H50" s="74">
        <f t="shared" si="73"/>
        <v>224</v>
      </c>
      <c r="I50" s="27">
        <f t="shared" si="73"/>
        <v>200</v>
      </c>
      <c r="J50" s="27">
        <f t="shared" si="73"/>
        <v>240</v>
      </c>
      <c r="K50" s="74">
        <f t="shared" si="73"/>
        <v>212</v>
      </c>
      <c r="L50" s="74">
        <f t="shared" si="73"/>
        <v>255</v>
      </c>
      <c r="M50" s="27">
        <f t="shared" ref="M50:P50" si="74">M37+M40+M41</f>
        <v>175</v>
      </c>
      <c r="N50" s="27">
        <f t="shared" si="74"/>
        <v>210</v>
      </c>
      <c r="O50" s="74">
        <f t="shared" si="74"/>
        <v>250</v>
      </c>
      <c r="P50" s="74">
        <f t="shared" si="74"/>
        <v>300</v>
      </c>
      <c r="Q50" s="27">
        <f t="shared" ref="Q50:T50" si="75">Q37+Q40+Q41</f>
        <v>280</v>
      </c>
      <c r="R50" s="27">
        <f t="shared" si="75"/>
        <v>336</v>
      </c>
      <c r="S50" s="74">
        <f t="shared" si="75"/>
        <v>308</v>
      </c>
      <c r="T50" s="74">
        <f t="shared" si="75"/>
        <v>370</v>
      </c>
      <c r="U50" s="27">
        <f t="shared" ref="U50:V50" si="76">U37+U40+U41</f>
        <v>350</v>
      </c>
      <c r="V50" s="27">
        <f t="shared" si="76"/>
        <v>420</v>
      </c>
    </row>
    <row r="51" spans="1:22">
      <c r="A51" s="17"/>
      <c r="B51" s="18"/>
      <c r="C51" s="13" t="s">
        <v>18</v>
      </c>
      <c r="E51" s="76">
        <f t="shared" ref="E51:F51" si="77">E50*$F$9/1000</f>
        <v>21.649573812675516</v>
      </c>
      <c r="F51" s="76">
        <f t="shared" si="77"/>
        <v>26.041344500389691</v>
      </c>
      <c r="G51" s="71">
        <f>G50*$H$9/1000</f>
        <v>11.532738095238095</v>
      </c>
      <c r="H51" s="71">
        <f>H50*$H$9/1000</f>
        <v>13.888888888888889</v>
      </c>
      <c r="I51" s="17">
        <f>I50*$J$9/1000</f>
        <v>12.40079365079365</v>
      </c>
      <c r="J51" s="17">
        <f>J50*$J$9/1000</f>
        <v>14.880952380952381</v>
      </c>
      <c r="K51" s="71">
        <f>K50*$L$9/1000</f>
        <v>13.323278029160381</v>
      </c>
      <c r="L51" s="71">
        <f>L50*$L$9/1000</f>
        <v>16.025641025641026</v>
      </c>
      <c r="M51" s="17">
        <f>M50*$N$9/1000</f>
        <v>10.850694444444443</v>
      </c>
      <c r="N51" s="17">
        <f>N50*$N$9/1000</f>
        <v>13.020833333333334</v>
      </c>
      <c r="O51" s="71">
        <f>O50*$P$9/1000</f>
        <v>15.782828282828284</v>
      </c>
      <c r="P51" s="71">
        <f>P50*$P$9/1000</f>
        <v>18.939393939393941</v>
      </c>
      <c r="Q51" s="17">
        <f>Q50*$R$9/1000</f>
        <v>17.361111111111111</v>
      </c>
      <c r="R51" s="17">
        <f>R50*$R$9/1000</f>
        <v>20.833333333333332</v>
      </c>
      <c r="S51" s="71">
        <f>S50*$T$9/1000</f>
        <v>19.269269269269273</v>
      </c>
      <c r="T51" s="71">
        <f>T50*$T$9/1000</f>
        <v>23.148148148148149</v>
      </c>
      <c r="U51" s="17">
        <f>U50*$V$9/1000</f>
        <v>21.701388888888886</v>
      </c>
      <c r="V51" s="17">
        <f>V50*$V$9/1000</f>
        <v>26.041666666666668</v>
      </c>
    </row>
    <row r="52" spans="1:22">
      <c r="A52" s="17"/>
      <c r="B52" s="18" t="s">
        <v>148</v>
      </c>
      <c r="C52" s="13" t="s">
        <v>18</v>
      </c>
      <c r="E52" s="28">
        <f t="shared" ref="E52:L52" si="78">E34-E51</f>
        <v>0</v>
      </c>
      <c r="F52" s="28">
        <f t="shared" si="78"/>
        <v>0</v>
      </c>
      <c r="G52" s="73">
        <f t="shared" si="78"/>
        <v>0</v>
      </c>
      <c r="H52" s="73">
        <f t="shared" si="78"/>
        <v>0</v>
      </c>
      <c r="I52" s="26">
        <f t="shared" si="78"/>
        <v>0</v>
      </c>
      <c r="J52" s="26">
        <f t="shared" si="78"/>
        <v>0</v>
      </c>
      <c r="K52" s="73">
        <f t="shared" si="78"/>
        <v>0</v>
      </c>
      <c r="L52" s="73">
        <f t="shared" si="78"/>
        <v>0</v>
      </c>
      <c r="M52" s="26">
        <f t="shared" ref="M52:P52" si="79">M34-M51</f>
        <v>0</v>
      </c>
      <c r="N52" s="26">
        <f t="shared" si="79"/>
        <v>0</v>
      </c>
      <c r="O52" s="73">
        <f t="shared" si="79"/>
        <v>0</v>
      </c>
      <c r="P52" s="73">
        <f t="shared" si="79"/>
        <v>0</v>
      </c>
      <c r="Q52" s="26">
        <f t="shared" ref="Q52:T52" si="80">Q34-Q51</f>
        <v>0</v>
      </c>
      <c r="R52" s="26">
        <f t="shared" si="80"/>
        <v>0</v>
      </c>
      <c r="S52" s="73">
        <f t="shared" si="80"/>
        <v>0</v>
      </c>
      <c r="T52" s="73">
        <f t="shared" si="80"/>
        <v>0</v>
      </c>
      <c r="U52" s="26">
        <f t="shared" ref="U52:V52" si="81">U34-U51</f>
        <v>0</v>
      </c>
      <c r="V52" s="26">
        <f t="shared" si="81"/>
        <v>0</v>
      </c>
    </row>
    <row r="53" spans="1:22">
      <c r="A53" s="17"/>
      <c r="B53" s="18"/>
      <c r="C53" s="13"/>
      <c r="E53" s="20"/>
      <c r="F53" s="20"/>
      <c r="G53" s="66"/>
      <c r="H53" s="66"/>
      <c r="K53" s="66"/>
      <c r="L53" s="66"/>
      <c r="O53" s="66"/>
      <c r="P53" s="66"/>
      <c r="S53" s="66"/>
      <c r="T53" s="66"/>
    </row>
    <row r="54" spans="1:22">
      <c r="A54" s="17"/>
      <c r="B54" s="18" t="s">
        <v>151</v>
      </c>
      <c r="C54" s="13" t="s">
        <v>18</v>
      </c>
      <c r="E54" s="28">
        <f t="shared" ref="E54:L54" si="82">E21-E28*E51</f>
        <v>0.30927962589535696</v>
      </c>
      <c r="F54" s="28">
        <f t="shared" si="82"/>
        <v>0</v>
      </c>
      <c r="G54" s="67">
        <f t="shared" si="82"/>
        <v>0.24801587301587347</v>
      </c>
      <c r="H54" s="67">
        <f t="shared" si="82"/>
        <v>0</v>
      </c>
      <c r="I54" s="28">
        <f t="shared" si="82"/>
        <v>0</v>
      </c>
      <c r="J54" s="28">
        <f t="shared" si="82"/>
        <v>0</v>
      </c>
      <c r="K54" s="67">
        <f t="shared" si="82"/>
        <v>0.18853695324283137</v>
      </c>
      <c r="L54" s="67">
        <f t="shared" si="82"/>
        <v>0</v>
      </c>
      <c r="M54" s="28">
        <f t="shared" ref="M54:P54" si="83">M21-M28*M51</f>
        <v>0</v>
      </c>
      <c r="N54" s="28">
        <f t="shared" si="83"/>
        <v>0</v>
      </c>
      <c r="O54" s="67">
        <f t="shared" si="83"/>
        <v>0</v>
      </c>
      <c r="P54" s="67">
        <f t="shared" si="83"/>
        <v>0</v>
      </c>
      <c r="Q54" s="28">
        <f t="shared" ref="Q54:T54" si="84">Q21-Q28*Q51</f>
        <v>0</v>
      </c>
      <c r="R54" s="28">
        <f t="shared" si="84"/>
        <v>0</v>
      </c>
      <c r="S54" s="67">
        <f t="shared" si="84"/>
        <v>0.1251251251251233</v>
      </c>
      <c r="T54" s="67">
        <f t="shared" si="84"/>
        <v>0</v>
      </c>
      <c r="U54" s="28">
        <f t="shared" ref="U54:V54" si="85">U21-U28*U51</f>
        <v>0</v>
      </c>
      <c r="V54" s="28">
        <f t="shared" si="85"/>
        <v>0</v>
      </c>
    </row>
    <row r="55" spans="1:22">
      <c r="A55" s="17"/>
      <c r="B55" s="13"/>
      <c r="C55" s="13"/>
      <c r="E55" s="20"/>
      <c r="F55" s="20"/>
      <c r="G55" s="66"/>
      <c r="H55" s="66"/>
      <c r="K55" s="66"/>
      <c r="L55" s="66"/>
      <c r="O55" s="66"/>
      <c r="P55" s="66"/>
      <c r="S55" s="66"/>
      <c r="T55" s="66"/>
    </row>
    <row r="56" spans="1:22">
      <c r="A56" s="32"/>
      <c r="B56" s="13" t="s">
        <v>152</v>
      </c>
      <c r="C56" s="13" t="s">
        <v>18</v>
      </c>
      <c r="E56" s="77">
        <f t="shared" ref="E56:L56" si="86">E21*E15</f>
        <v>8333.2302401247016</v>
      </c>
      <c r="F56" s="77">
        <f t="shared" si="86"/>
        <v>9999.8762881496423</v>
      </c>
      <c r="G56" s="72">
        <f t="shared" si="86"/>
        <v>8333.3333333333339</v>
      </c>
      <c r="H56" s="72">
        <f t="shared" si="86"/>
        <v>10000</v>
      </c>
      <c r="I56" s="21">
        <f t="shared" si="86"/>
        <v>8333.3333333333339</v>
      </c>
      <c r="J56" s="21">
        <f t="shared" si="86"/>
        <v>10000</v>
      </c>
      <c r="K56" s="72">
        <f t="shared" si="86"/>
        <v>8333.3333333333321</v>
      </c>
      <c r="L56" s="72">
        <f t="shared" si="86"/>
        <v>10000</v>
      </c>
      <c r="M56" s="21">
        <f t="shared" ref="M56:P56" si="87">M21*M15</f>
        <v>8333.3333333333321</v>
      </c>
      <c r="N56" s="21">
        <f t="shared" si="87"/>
        <v>10000</v>
      </c>
      <c r="O56" s="72">
        <f t="shared" si="87"/>
        <v>8333.3333333333339</v>
      </c>
      <c r="P56" s="72">
        <f t="shared" si="87"/>
        <v>10000</v>
      </c>
      <c r="Q56" s="21">
        <f t="shared" ref="Q56:T56" si="88">Q21*Q15</f>
        <v>8333.3333333333339</v>
      </c>
      <c r="R56" s="21">
        <f t="shared" si="88"/>
        <v>10000</v>
      </c>
      <c r="S56" s="72">
        <f t="shared" si="88"/>
        <v>8333.3333333333358</v>
      </c>
      <c r="T56" s="72">
        <f t="shared" si="88"/>
        <v>10000.000000000002</v>
      </c>
      <c r="U56" s="21">
        <f t="shared" ref="U56:V56" si="89">U21*U15</f>
        <v>8333.3333333333321</v>
      </c>
      <c r="V56" s="21">
        <f t="shared" si="89"/>
        <v>10000</v>
      </c>
    </row>
    <row r="57" spans="1:22">
      <c r="B57" s="13" t="s">
        <v>142</v>
      </c>
      <c r="C57" s="13" t="s">
        <v>18</v>
      </c>
      <c r="E57" s="28">
        <f t="shared" ref="E57:L57" si="90">E11-E56</f>
        <v>0.10309320863234461</v>
      </c>
      <c r="F57" s="28">
        <f t="shared" si="90"/>
        <v>0.12371185035772214</v>
      </c>
      <c r="G57" s="73">
        <f t="shared" si="90"/>
        <v>0</v>
      </c>
      <c r="H57" s="73">
        <f t="shared" si="90"/>
        <v>0</v>
      </c>
      <c r="I57" s="26">
        <f t="shared" si="90"/>
        <v>0</v>
      </c>
      <c r="J57" s="26">
        <f t="shared" si="90"/>
        <v>0</v>
      </c>
      <c r="K57" s="73">
        <f t="shared" si="90"/>
        <v>0</v>
      </c>
      <c r="L57" s="73">
        <f t="shared" si="90"/>
        <v>0</v>
      </c>
      <c r="M57" s="26">
        <f t="shared" ref="M57:P57" si="91">M11-M56</f>
        <v>0</v>
      </c>
      <c r="N57" s="26">
        <f t="shared" si="91"/>
        <v>0</v>
      </c>
      <c r="O57" s="73">
        <f t="shared" si="91"/>
        <v>0</v>
      </c>
      <c r="P57" s="73">
        <f t="shared" si="91"/>
        <v>0</v>
      </c>
      <c r="Q57" s="26">
        <f t="shared" ref="Q57:T57" si="92">Q11-Q56</f>
        <v>0</v>
      </c>
      <c r="R57" s="26">
        <f t="shared" si="92"/>
        <v>0</v>
      </c>
      <c r="S57" s="73">
        <f t="shared" si="92"/>
        <v>0</v>
      </c>
      <c r="T57" s="73">
        <f t="shared" si="92"/>
        <v>0</v>
      </c>
      <c r="U57" s="26">
        <f t="shared" ref="U57:V57" si="93">U11-U56</f>
        <v>0</v>
      </c>
      <c r="V57" s="26">
        <f t="shared" si="93"/>
        <v>0</v>
      </c>
    </row>
    <row r="58" spans="1:22">
      <c r="G58" s="17"/>
      <c r="L58" s="31"/>
      <c r="N58" s="31"/>
      <c r="P58" s="31"/>
      <c r="R58" s="31"/>
      <c r="T58" s="31"/>
      <c r="V58" s="31"/>
    </row>
    <row r="59" spans="1:22">
      <c r="G59" s="17"/>
      <c r="L59" s="31"/>
      <c r="N59" s="31"/>
      <c r="P59" s="31"/>
      <c r="R59" s="31"/>
      <c r="T59" s="31"/>
      <c r="V59" s="31"/>
    </row>
    <row r="60" spans="1:22">
      <c r="G60" s="17"/>
    </row>
    <row r="61" spans="1:22">
      <c r="G61" s="17"/>
      <c r="L61" s="31"/>
      <c r="N61" s="31"/>
      <c r="P61" s="31"/>
      <c r="R61" s="31"/>
      <c r="T61" s="31"/>
      <c r="V61" s="31"/>
    </row>
    <row r="62" spans="1:22">
      <c r="G62" s="17"/>
    </row>
    <row r="63" spans="1:22">
      <c r="G63" s="17"/>
    </row>
    <row r="64" spans="1:22">
      <c r="G64" s="17"/>
    </row>
    <row r="65" spans="6:8">
      <c r="G65" s="17"/>
    </row>
    <row r="66" spans="6:8">
      <c r="G66" s="17"/>
    </row>
    <row r="67" spans="6:8">
      <c r="G67" s="17"/>
    </row>
    <row r="68" spans="6:8">
      <c r="F68" s="17"/>
      <c r="G68" s="17"/>
    </row>
    <row r="69" spans="6:8">
      <c r="F69" s="17"/>
      <c r="G69" s="17"/>
    </row>
    <row r="70" spans="6:8">
      <c r="G70" s="17"/>
    </row>
    <row r="71" spans="6:8">
      <c r="G71" s="17"/>
    </row>
    <row r="72" spans="6:8">
      <c r="G72" s="17"/>
    </row>
    <row r="73" spans="6:8">
      <c r="G73" s="17"/>
    </row>
    <row r="74" spans="6:8">
      <c r="G74" s="17"/>
    </row>
    <row r="75" spans="6:8">
      <c r="G75" s="17"/>
    </row>
    <row r="76" spans="6:8">
      <c r="G76" s="17"/>
    </row>
    <row r="77" spans="6:8">
      <c r="G77" s="17"/>
      <c r="H77" s="33"/>
    </row>
    <row r="78" spans="6:8">
      <c r="G78" s="17"/>
      <c r="H78" s="33"/>
    </row>
    <row r="79" spans="6:8">
      <c r="G79" s="17"/>
      <c r="H79" s="33"/>
    </row>
    <row r="80" spans="6:8">
      <c r="G80" s="17"/>
      <c r="H80" s="33"/>
    </row>
    <row r="81" spans="7:8">
      <c r="G81" s="17"/>
      <c r="H81" s="33"/>
    </row>
    <row r="82" spans="7:8">
      <c r="G82" s="17"/>
      <c r="H82" s="33"/>
    </row>
  </sheetData>
  <phoneticPr fontId="1" type="noConversion"/>
  <pageMargins left="0.7" right="0.7" top="0.75" bottom="0.75" header="0.3" footer="0.3"/>
  <ignoredErrors>
    <ignoredError sqref="F9:G9 H9:M9 S9 T9:U9 N9:R9" formula="1"/>
  </ignoredError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C3CF-60E7-4CC7-9BA9-3826BDBACB4A}">
  <dimension ref="B2:V22"/>
  <sheetViews>
    <sheetView workbookViewId="0">
      <selection activeCell="W9" sqref="W9"/>
    </sheetView>
  </sheetViews>
  <sheetFormatPr defaultRowHeight="16.899999999999999"/>
  <cols>
    <col min="2" max="2" width="11.8125" style="56" bestFit="1" customWidth="1"/>
    <col min="3" max="3" width="6.6875" style="56" bestFit="1" customWidth="1"/>
    <col min="4" max="4" width="4.1875" style="56" bestFit="1" customWidth="1"/>
    <col min="5" max="5" width="6.6875" style="56" bestFit="1" customWidth="1"/>
    <col min="6" max="6" width="4.1875" style="56" bestFit="1" customWidth="1"/>
    <col min="7" max="7" width="6.6875" style="56" bestFit="1" customWidth="1"/>
    <col min="8" max="8" width="4.1875" style="56" bestFit="1" customWidth="1"/>
    <col min="9" max="9" width="6.6875" style="56" bestFit="1" customWidth="1"/>
    <col min="10" max="10" width="4.1875" style="56" bestFit="1" customWidth="1"/>
    <col min="11" max="11" width="6.6875" style="56" bestFit="1" customWidth="1"/>
    <col min="12" max="12" width="4.1875" style="56" bestFit="1" customWidth="1"/>
    <col min="13" max="13" width="6.6875" bestFit="1" customWidth="1"/>
    <col min="14" max="14" width="4.1875" bestFit="1" customWidth="1"/>
    <col min="15" max="15" width="6.6875" bestFit="1" customWidth="1"/>
    <col min="16" max="16" width="4.1875" bestFit="1" customWidth="1"/>
    <col min="17" max="17" width="6.6875" bestFit="1" customWidth="1"/>
    <col min="18" max="18" width="4.1875" bestFit="1" customWidth="1"/>
    <col min="19" max="19" width="6.6875" bestFit="1" customWidth="1"/>
    <col min="20" max="20" width="4.1875" bestFit="1" customWidth="1"/>
    <col min="21" max="21" width="6.6875" bestFit="1" customWidth="1"/>
    <col min="22" max="22" width="4.1875" bestFit="1" customWidth="1"/>
  </cols>
  <sheetData>
    <row r="2" spans="2:22">
      <c r="B2" s="86" t="s">
        <v>230</v>
      </c>
      <c r="C2" s="56">
        <v>2</v>
      </c>
      <c r="E2" s="58">
        <v>2</v>
      </c>
      <c r="F2" s="58"/>
      <c r="G2" s="56">
        <v>2</v>
      </c>
      <c r="I2" s="58">
        <v>2</v>
      </c>
      <c r="J2" s="58"/>
      <c r="K2" s="56">
        <v>2</v>
      </c>
      <c r="M2" s="58">
        <v>2</v>
      </c>
      <c r="N2" s="58"/>
      <c r="O2" s="56">
        <v>2</v>
      </c>
      <c r="P2" s="56"/>
      <c r="Q2" s="58">
        <v>2</v>
      </c>
      <c r="R2" s="58"/>
      <c r="S2" s="56">
        <v>2</v>
      </c>
      <c r="T2" s="56"/>
      <c r="U2" s="58">
        <v>2</v>
      </c>
      <c r="V2" s="58"/>
    </row>
    <row r="3" spans="2:22">
      <c r="B3" s="86" t="s">
        <v>231</v>
      </c>
      <c r="C3" s="56">
        <v>128</v>
      </c>
      <c r="E3" s="58">
        <v>120</v>
      </c>
      <c r="F3" s="58"/>
      <c r="G3" s="56">
        <v>112</v>
      </c>
      <c r="I3" s="58">
        <v>104</v>
      </c>
      <c r="J3" s="58"/>
      <c r="K3" s="56">
        <v>96</v>
      </c>
      <c r="M3" s="58">
        <v>88</v>
      </c>
      <c r="N3" s="58"/>
      <c r="O3" s="56">
        <v>80</v>
      </c>
      <c r="P3" s="56"/>
      <c r="Q3" s="58">
        <v>72</v>
      </c>
      <c r="R3" s="58"/>
      <c r="S3" s="56">
        <v>64</v>
      </c>
      <c r="T3" s="56"/>
      <c r="U3" s="58">
        <v>56</v>
      </c>
      <c r="V3" s="58"/>
    </row>
    <row r="4" spans="2:22">
      <c r="B4" s="86" t="s">
        <v>135</v>
      </c>
      <c r="C4" s="56">
        <v>5</v>
      </c>
      <c r="E4" s="58">
        <v>5</v>
      </c>
      <c r="F4" s="58"/>
      <c r="G4" s="56">
        <v>5</v>
      </c>
      <c r="I4" s="58">
        <v>5</v>
      </c>
      <c r="J4" s="58"/>
      <c r="K4" s="56">
        <v>5</v>
      </c>
      <c r="M4" s="58">
        <v>5</v>
      </c>
      <c r="N4" s="58"/>
      <c r="O4" s="56">
        <v>5</v>
      </c>
      <c r="P4" s="56"/>
      <c r="Q4" s="58">
        <v>5</v>
      </c>
      <c r="R4" s="58"/>
      <c r="S4" s="56">
        <v>5</v>
      </c>
      <c r="T4" s="56"/>
      <c r="U4" s="58">
        <v>5</v>
      </c>
      <c r="V4" s="58"/>
    </row>
    <row r="5" spans="2:22">
      <c r="B5" s="86"/>
      <c r="E5" s="58"/>
      <c r="F5" s="58"/>
      <c r="I5" s="58"/>
      <c r="J5" s="58"/>
      <c r="M5" s="58"/>
      <c r="N5" s="58"/>
      <c r="O5" s="56"/>
      <c r="P5" s="56"/>
      <c r="Q5" s="58"/>
      <c r="R5" s="58"/>
      <c r="S5" s="56"/>
      <c r="T5" s="56"/>
      <c r="U5" s="58"/>
      <c r="V5" s="58"/>
    </row>
    <row r="6" spans="2:22">
      <c r="B6" s="86" t="s">
        <v>232</v>
      </c>
      <c r="C6" s="57">
        <f>(C3/K2)/(C4)</f>
        <v>12.8</v>
      </c>
      <c r="D6" s="57"/>
      <c r="E6" s="83">
        <f>(E3/$K$2)/(E4)</f>
        <v>12</v>
      </c>
      <c r="F6" s="83"/>
      <c r="G6" s="57">
        <f>(G3/$K$2)/(G4)</f>
        <v>11.2</v>
      </c>
      <c r="H6" s="57"/>
      <c r="I6" s="83">
        <f>(I3/$K$2)/(I4)</f>
        <v>10.4</v>
      </c>
      <c r="J6" s="83"/>
      <c r="K6" s="57">
        <f>(K3/$K$2)/(K4)</f>
        <v>9.6</v>
      </c>
      <c r="L6" s="57"/>
      <c r="M6" s="83">
        <f t="shared" ref="M6" si="0">(M3/$K$2)/(M4)</f>
        <v>8.8000000000000007</v>
      </c>
      <c r="N6" s="83"/>
      <c r="O6" s="57">
        <f t="shared" ref="O6" si="1">(O3/$K$2)/(O4)</f>
        <v>8</v>
      </c>
      <c r="P6" s="57"/>
      <c r="Q6" s="83">
        <f t="shared" ref="Q6" si="2">(Q3/$K$2)/(Q4)</f>
        <v>7.2</v>
      </c>
      <c r="R6" s="83"/>
      <c r="S6" s="57">
        <f t="shared" ref="S6" si="3">(S3/$K$2)/(S4)</f>
        <v>6.4</v>
      </c>
      <c r="T6" s="57"/>
      <c r="U6" s="83">
        <f t="shared" ref="U6" si="4">(U3/$K$2)/(U4)</f>
        <v>5.6</v>
      </c>
      <c r="V6" s="83"/>
    </row>
    <row r="7" spans="2:22">
      <c r="B7" s="86"/>
      <c r="C7" s="87">
        <v>14</v>
      </c>
      <c r="D7" s="87"/>
      <c r="E7" s="88">
        <v>13</v>
      </c>
      <c r="F7" s="88"/>
      <c r="G7" s="87">
        <v>12</v>
      </c>
      <c r="H7" s="87"/>
      <c r="I7" s="88">
        <v>11</v>
      </c>
      <c r="J7" s="88"/>
      <c r="K7" s="87">
        <v>10</v>
      </c>
      <c r="L7" s="87"/>
      <c r="M7" s="88">
        <v>10</v>
      </c>
      <c r="N7" s="88"/>
      <c r="O7" s="87">
        <v>9</v>
      </c>
      <c r="P7" s="87"/>
      <c r="Q7" s="88">
        <v>8</v>
      </c>
      <c r="R7" s="88"/>
      <c r="S7" s="87">
        <v>7</v>
      </c>
      <c r="T7" s="59"/>
      <c r="U7" s="88">
        <v>6</v>
      </c>
      <c r="V7" s="88"/>
    </row>
    <row r="8" spans="2:22">
      <c r="B8" s="86" t="s">
        <v>233</v>
      </c>
      <c r="C8" s="80">
        <v>1</v>
      </c>
      <c r="E8" s="84">
        <v>1</v>
      </c>
      <c r="F8" s="58"/>
      <c r="G8" s="80">
        <v>1</v>
      </c>
      <c r="I8" s="84">
        <v>1</v>
      </c>
      <c r="J8" s="58"/>
      <c r="K8" s="80">
        <v>1</v>
      </c>
      <c r="M8" s="84">
        <v>1</v>
      </c>
      <c r="N8" s="58"/>
      <c r="O8" s="80">
        <v>1</v>
      </c>
      <c r="P8" s="56"/>
      <c r="Q8" s="84">
        <v>1</v>
      </c>
      <c r="R8" s="58"/>
      <c r="S8" s="80">
        <v>1</v>
      </c>
      <c r="T8" s="56"/>
      <c r="U8" s="84">
        <v>1</v>
      </c>
      <c r="V8" s="58"/>
    </row>
    <row r="9" spans="2:22">
      <c r="B9" s="86" t="s">
        <v>234</v>
      </c>
      <c r="C9" s="80">
        <f>C3/$K$2+1</f>
        <v>65</v>
      </c>
      <c r="D9" s="57"/>
      <c r="E9" s="84">
        <f>E3/$K$2+1</f>
        <v>61</v>
      </c>
      <c r="F9" s="83"/>
      <c r="G9" s="80">
        <f>G3/$K$2+1</f>
        <v>57</v>
      </c>
      <c r="H9" s="57"/>
      <c r="I9" s="84">
        <f>I3/$K$2+1</f>
        <v>53</v>
      </c>
      <c r="J9" s="83"/>
      <c r="K9" s="80">
        <f>K3/$K$2+1</f>
        <v>49</v>
      </c>
      <c r="L9" s="57"/>
      <c r="M9" s="84">
        <f t="shared" ref="M9" si="5">M3/$K$2+1</f>
        <v>45</v>
      </c>
      <c r="N9" s="83"/>
      <c r="O9" s="80">
        <f t="shared" ref="O9" si="6">O3/$K$2+1</f>
        <v>41</v>
      </c>
      <c r="P9" s="57"/>
      <c r="Q9" s="84">
        <f t="shared" ref="Q9" si="7">Q3/$K$2+1</f>
        <v>37</v>
      </c>
      <c r="R9" s="83"/>
      <c r="S9" s="80">
        <f t="shared" ref="S9" si="8">S3/$K$2+1</f>
        <v>33</v>
      </c>
      <c r="T9" s="57"/>
      <c r="U9" s="84">
        <f t="shared" ref="U9" si="9">U3/$K$2+1</f>
        <v>29</v>
      </c>
      <c r="V9" s="83"/>
    </row>
    <row r="10" spans="2:22">
      <c r="M10" s="56"/>
      <c r="N10" s="56"/>
      <c r="O10" s="56"/>
      <c r="P10" s="56"/>
      <c r="Q10" s="56"/>
      <c r="R10" s="56"/>
      <c r="S10" s="56"/>
      <c r="T10" s="56"/>
      <c r="U10" s="56"/>
      <c r="V10" s="56"/>
    </row>
    <row r="11" spans="2:22">
      <c r="B11" s="86"/>
      <c r="C11" s="86" t="s">
        <v>235</v>
      </c>
      <c r="D11" s="86" t="s">
        <v>242</v>
      </c>
      <c r="E11" s="86" t="s">
        <v>235</v>
      </c>
      <c r="F11" s="86" t="s">
        <v>242</v>
      </c>
      <c r="G11" s="86" t="s">
        <v>235</v>
      </c>
      <c r="H11" s="86" t="s">
        <v>242</v>
      </c>
      <c r="I11" s="86" t="s">
        <v>235</v>
      </c>
      <c r="J11" s="86" t="s">
        <v>242</v>
      </c>
      <c r="K11" s="86" t="s">
        <v>235</v>
      </c>
      <c r="L11" s="86" t="s">
        <v>242</v>
      </c>
      <c r="M11" s="86" t="s">
        <v>235</v>
      </c>
      <c r="N11" s="86" t="s">
        <v>242</v>
      </c>
      <c r="O11" s="86" t="s">
        <v>235</v>
      </c>
      <c r="P11" s="86" t="s">
        <v>242</v>
      </c>
      <c r="Q11" s="86" t="s">
        <v>235</v>
      </c>
      <c r="R11" s="86" t="s">
        <v>242</v>
      </c>
      <c r="S11" s="86" t="s">
        <v>235</v>
      </c>
      <c r="T11" s="86" t="s">
        <v>242</v>
      </c>
      <c r="U11" s="86" t="s">
        <v>235</v>
      </c>
      <c r="V11" s="86" t="s">
        <v>242</v>
      </c>
    </row>
    <row r="12" spans="2:22">
      <c r="B12" s="86">
        <v>1</v>
      </c>
      <c r="C12" s="80">
        <f>C8</f>
        <v>1</v>
      </c>
      <c r="E12" s="84">
        <f t="shared" ref="E12" si="10">E8</f>
        <v>1</v>
      </c>
      <c r="F12" s="58"/>
      <c r="G12" s="80">
        <f t="shared" ref="G12" si="11">G8</f>
        <v>1</v>
      </c>
      <c r="I12" s="84">
        <f t="shared" ref="I12" si="12">I8</f>
        <v>1</v>
      </c>
      <c r="J12" s="58"/>
      <c r="K12" s="80">
        <f>K8</f>
        <v>1</v>
      </c>
      <c r="M12" s="84">
        <f t="shared" ref="M12" si="13">M8</f>
        <v>1</v>
      </c>
      <c r="N12" s="58"/>
      <c r="O12" s="80">
        <f t="shared" ref="O12" si="14">O8</f>
        <v>1</v>
      </c>
      <c r="P12" s="56"/>
      <c r="Q12" s="84">
        <f t="shared" ref="Q12" si="15">Q8</f>
        <v>1</v>
      </c>
      <c r="R12" s="58"/>
      <c r="S12" s="80">
        <f t="shared" ref="S12" si="16">S8</f>
        <v>1</v>
      </c>
      <c r="T12" s="56"/>
      <c r="U12" s="84">
        <f t="shared" ref="U12" si="17">U8</f>
        <v>1</v>
      </c>
      <c r="V12" s="58"/>
    </row>
    <row r="13" spans="2:22">
      <c r="B13" s="86">
        <v>2</v>
      </c>
      <c r="C13" s="59">
        <f>C12+C7</f>
        <v>15</v>
      </c>
      <c r="D13" s="56">
        <f>C13-C12</f>
        <v>14</v>
      </c>
      <c r="E13" s="85">
        <f t="shared" ref="E13" si="18">E12+E7</f>
        <v>14</v>
      </c>
      <c r="F13" s="58">
        <f t="shared" ref="F13" si="19">E13-E12</f>
        <v>13</v>
      </c>
      <c r="G13" s="59">
        <f t="shared" ref="G13" si="20">G12+G7</f>
        <v>13</v>
      </c>
      <c r="H13" s="56">
        <f t="shared" ref="H13" si="21">G13-G12</f>
        <v>12</v>
      </c>
      <c r="I13" s="85">
        <f t="shared" ref="I13" si="22">I12+I7</f>
        <v>12</v>
      </c>
      <c r="J13" s="58">
        <f t="shared" ref="J13:J22" si="23">I13-I12</f>
        <v>11</v>
      </c>
      <c r="K13" s="59">
        <f>K12+K7</f>
        <v>11</v>
      </c>
      <c r="L13" s="56">
        <f>K13-K12</f>
        <v>10</v>
      </c>
      <c r="M13" s="85">
        <f t="shared" ref="M13" si="24">M12+M7</f>
        <v>11</v>
      </c>
      <c r="N13" s="58">
        <f t="shared" ref="N13:N22" si="25">M13-M12</f>
        <v>10</v>
      </c>
      <c r="O13" s="59">
        <f t="shared" ref="O13" si="26">O12+O7</f>
        <v>10</v>
      </c>
      <c r="P13" s="56">
        <f t="shared" ref="P13:P22" si="27">O13-O12</f>
        <v>9</v>
      </c>
      <c r="Q13" s="85">
        <f t="shared" ref="Q13" si="28">Q12+Q7</f>
        <v>9</v>
      </c>
      <c r="R13" s="58">
        <f t="shared" ref="R13:R22" si="29">Q13-Q12</f>
        <v>8</v>
      </c>
      <c r="S13" s="59">
        <f t="shared" ref="S13" si="30">S12+S7</f>
        <v>8</v>
      </c>
      <c r="T13" s="56">
        <f t="shared" ref="T13:T22" si="31">S13-S12</f>
        <v>7</v>
      </c>
      <c r="U13" s="85">
        <f t="shared" ref="U13" si="32">U12+U7</f>
        <v>7</v>
      </c>
      <c r="V13" s="58">
        <f t="shared" ref="V13:V16" si="33">U13-U12</f>
        <v>6</v>
      </c>
    </row>
    <row r="14" spans="2:22">
      <c r="B14" s="86">
        <v>3</v>
      </c>
      <c r="C14" s="59">
        <f>C13+C7</f>
        <v>29</v>
      </c>
      <c r="D14" s="56">
        <f t="shared" ref="D14:D22" si="34">C14-C13</f>
        <v>14</v>
      </c>
      <c r="E14" s="85">
        <f t="shared" ref="E14" si="35">E13+E7</f>
        <v>27</v>
      </c>
      <c r="F14" s="58">
        <f t="shared" ref="F14" si="36">E14-E13</f>
        <v>13</v>
      </c>
      <c r="G14" s="59">
        <f t="shared" ref="G14" si="37">G13+G7</f>
        <v>25</v>
      </c>
      <c r="H14" s="56">
        <f t="shared" ref="H14" si="38">G14-G13</f>
        <v>12</v>
      </c>
      <c r="I14" s="85">
        <f t="shared" ref="I14" si="39">I13+I7</f>
        <v>23</v>
      </c>
      <c r="J14" s="58">
        <f t="shared" si="23"/>
        <v>11</v>
      </c>
      <c r="K14" s="59">
        <f>K13+K7</f>
        <v>21</v>
      </c>
      <c r="L14" s="56">
        <f t="shared" ref="L14:L22" si="40">K14-K13</f>
        <v>10</v>
      </c>
      <c r="M14" s="85">
        <f t="shared" ref="M14" si="41">M13+M7</f>
        <v>21</v>
      </c>
      <c r="N14" s="58">
        <f t="shared" si="25"/>
        <v>10</v>
      </c>
      <c r="O14" s="59">
        <f t="shared" ref="O14" si="42">O13+O7</f>
        <v>19</v>
      </c>
      <c r="P14" s="56">
        <f t="shared" si="27"/>
        <v>9</v>
      </c>
      <c r="Q14" s="85">
        <f t="shared" ref="Q14" si="43">Q13+Q7</f>
        <v>17</v>
      </c>
      <c r="R14" s="58">
        <f t="shared" si="29"/>
        <v>8</v>
      </c>
      <c r="S14" s="59">
        <f t="shared" ref="S14" si="44">S13+S7</f>
        <v>15</v>
      </c>
      <c r="T14" s="56">
        <f t="shared" si="31"/>
        <v>7</v>
      </c>
      <c r="U14" s="85">
        <f t="shared" ref="U14" si="45">U13+U7</f>
        <v>13</v>
      </c>
      <c r="V14" s="58">
        <f t="shared" si="33"/>
        <v>6</v>
      </c>
    </row>
    <row r="15" spans="2:22">
      <c r="B15" s="86">
        <v>4</v>
      </c>
      <c r="C15" s="59">
        <f>C14+C7</f>
        <v>43</v>
      </c>
      <c r="D15" s="56">
        <f t="shared" si="34"/>
        <v>14</v>
      </c>
      <c r="E15" s="85">
        <f t="shared" ref="E15" si="46">E14+E7</f>
        <v>40</v>
      </c>
      <c r="F15" s="58">
        <f t="shared" ref="F15" si="47">E15-E14</f>
        <v>13</v>
      </c>
      <c r="G15" s="59">
        <f t="shared" ref="G15" si="48">G14+G7</f>
        <v>37</v>
      </c>
      <c r="H15" s="56">
        <f t="shared" ref="H15" si="49">G15-G14</f>
        <v>12</v>
      </c>
      <c r="I15" s="85">
        <f t="shared" ref="I15" si="50">I14+I7</f>
        <v>34</v>
      </c>
      <c r="J15" s="58">
        <f t="shared" si="23"/>
        <v>11</v>
      </c>
      <c r="K15" s="59">
        <f>K14+K7</f>
        <v>31</v>
      </c>
      <c r="L15" s="56">
        <f t="shared" si="40"/>
        <v>10</v>
      </c>
      <c r="M15" s="85">
        <f t="shared" ref="M15" si="51">M14+M7</f>
        <v>31</v>
      </c>
      <c r="N15" s="58">
        <f t="shared" si="25"/>
        <v>10</v>
      </c>
      <c r="O15" s="59">
        <f t="shared" ref="O15" si="52">O14+O7</f>
        <v>28</v>
      </c>
      <c r="P15" s="56">
        <f t="shared" si="27"/>
        <v>9</v>
      </c>
      <c r="Q15" s="85">
        <f t="shared" ref="Q15" si="53">Q14+Q7</f>
        <v>25</v>
      </c>
      <c r="R15" s="58">
        <f t="shared" si="29"/>
        <v>8</v>
      </c>
      <c r="S15" s="59">
        <f t="shared" ref="S15" si="54">S14+S7</f>
        <v>22</v>
      </c>
      <c r="T15" s="56">
        <f t="shared" si="31"/>
        <v>7</v>
      </c>
      <c r="U15" s="85">
        <f t="shared" ref="U15" si="55">U14+U7</f>
        <v>19</v>
      </c>
      <c r="V15" s="58">
        <f t="shared" si="33"/>
        <v>6</v>
      </c>
    </row>
    <row r="16" spans="2:22">
      <c r="B16" s="86">
        <v>5</v>
      </c>
      <c r="C16" s="59">
        <f>C15+C7</f>
        <v>57</v>
      </c>
      <c r="D16" s="56">
        <f t="shared" si="34"/>
        <v>14</v>
      </c>
      <c r="E16" s="85">
        <f t="shared" ref="E16" si="56">E15+E7</f>
        <v>53</v>
      </c>
      <c r="F16" s="58">
        <f t="shared" ref="F16" si="57">E16-E15</f>
        <v>13</v>
      </c>
      <c r="G16" s="59">
        <f t="shared" ref="G16" si="58">G15+G7</f>
        <v>49</v>
      </c>
      <c r="H16" s="56">
        <f t="shared" ref="H16" si="59">G16-G15</f>
        <v>12</v>
      </c>
      <c r="I16" s="85">
        <f t="shared" ref="I16" si="60">I15+I7</f>
        <v>45</v>
      </c>
      <c r="J16" s="58">
        <f t="shared" si="23"/>
        <v>11</v>
      </c>
      <c r="K16" s="59">
        <f>K15+K7</f>
        <v>41</v>
      </c>
      <c r="L16" s="56">
        <f t="shared" si="40"/>
        <v>10</v>
      </c>
      <c r="M16" s="85">
        <f t="shared" ref="M16" si="61">M15+M7</f>
        <v>41</v>
      </c>
      <c r="N16" s="58">
        <f t="shared" si="25"/>
        <v>10</v>
      </c>
      <c r="O16" s="59">
        <f t="shared" ref="O16" si="62">O15+O7</f>
        <v>37</v>
      </c>
      <c r="P16" s="56">
        <f t="shared" si="27"/>
        <v>9</v>
      </c>
      <c r="Q16" s="85">
        <f t="shared" ref="Q16" si="63">Q15+Q7</f>
        <v>33</v>
      </c>
      <c r="R16" s="58">
        <f t="shared" si="29"/>
        <v>8</v>
      </c>
      <c r="S16" s="59">
        <f t="shared" ref="S16" si="64">S15+S7</f>
        <v>29</v>
      </c>
      <c r="T16" s="56">
        <f t="shared" si="31"/>
        <v>7</v>
      </c>
      <c r="U16" s="85">
        <f t="shared" ref="U16" si="65">U15+U7</f>
        <v>25</v>
      </c>
      <c r="V16" s="58">
        <f t="shared" si="33"/>
        <v>6</v>
      </c>
    </row>
    <row r="17" spans="2:22">
      <c r="B17" s="86"/>
      <c r="C17" s="59"/>
      <c r="E17" s="85"/>
      <c r="F17" s="58"/>
      <c r="G17" s="59"/>
      <c r="I17" s="85"/>
      <c r="J17" s="58"/>
      <c r="K17" s="59"/>
      <c r="M17" s="85"/>
      <c r="N17" s="58"/>
      <c r="O17" s="59"/>
      <c r="P17" s="56"/>
      <c r="Q17" s="85"/>
      <c r="R17" s="58"/>
      <c r="S17" s="59"/>
      <c r="T17" s="56"/>
      <c r="U17" s="85"/>
      <c r="V17" s="58"/>
    </row>
    <row r="18" spans="2:22">
      <c r="B18" s="86">
        <v>6</v>
      </c>
      <c r="C18" s="59">
        <f>C9+6</f>
        <v>71</v>
      </c>
      <c r="D18" s="56">
        <f>C18-C16</f>
        <v>14</v>
      </c>
      <c r="E18" s="85">
        <f>E9+6</f>
        <v>67</v>
      </c>
      <c r="F18" s="58">
        <f t="shared" ref="F18" si="66">E18-E16</f>
        <v>14</v>
      </c>
      <c r="G18" s="59">
        <f>G9+6</f>
        <v>63</v>
      </c>
      <c r="H18" s="56">
        <f t="shared" ref="H18" si="67">G18-G16</f>
        <v>14</v>
      </c>
      <c r="I18" s="85">
        <f>I9+6</f>
        <v>59</v>
      </c>
      <c r="J18" s="58">
        <f>I18-I16</f>
        <v>14</v>
      </c>
      <c r="K18" s="59">
        <f>K9+5</f>
        <v>54</v>
      </c>
      <c r="L18" s="56">
        <f>K18-K16</f>
        <v>13</v>
      </c>
      <c r="M18" s="85">
        <f>M9+3</f>
        <v>48</v>
      </c>
      <c r="N18" s="58">
        <f>M18-M16</f>
        <v>7</v>
      </c>
      <c r="O18" s="59">
        <f>O9+3</f>
        <v>44</v>
      </c>
      <c r="P18" s="56">
        <f>O18-O16</f>
        <v>7</v>
      </c>
      <c r="Q18" s="85">
        <f>Q9+3</f>
        <v>40</v>
      </c>
      <c r="R18" s="58">
        <f>Q18-Q16</f>
        <v>7</v>
      </c>
      <c r="S18" s="59">
        <f>S9+3</f>
        <v>36</v>
      </c>
      <c r="T18" s="56">
        <f>S18-S16</f>
        <v>7</v>
      </c>
      <c r="U18" s="85">
        <f>U9+3</f>
        <v>32</v>
      </c>
      <c r="V18" s="58">
        <f>U18-U16</f>
        <v>7</v>
      </c>
    </row>
    <row r="19" spans="2:22">
      <c r="B19" s="86">
        <v>7</v>
      </c>
      <c r="C19" s="59">
        <f>C18+C7</f>
        <v>85</v>
      </c>
      <c r="D19" s="56">
        <f t="shared" si="34"/>
        <v>14</v>
      </c>
      <c r="E19" s="85">
        <f t="shared" ref="E19" si="68">E18+E7</f>
        <v>80</v>
      </c>
      <c r="F19" s="58">
        <f t="shared" ref="F19" si="69">E19-E18</f>
        <v>13</v>
      </c>
      <c r="G19" s="59">
        <f t="shared" ref="G19" si="70">G18+G7</f>
        <v>75</v>
      </c>
      <c r="H19" s="56">
        <f t="shared" ref="H19" si="71">G19-G18</f>
        <v>12</v>
      </c>
      <c r="I19" s="85">
        <f t="shared" ref="I19" si="72">I18+I7</f>
        <v>70</v>
      </c>
      <c r="J19" s="58">
        <f t="shared" si="23"/>
        <v>11</v>
      </c>
      <c r="K19" s="59">
        <f>K18+K7</f>
        <v>64</v>
      </c>
      <c r="L19" s="56">
        <f t="shared" si="40"/>
        <v>10</v>
      </c>
      <c r="M19" s="85">
        <f t="shared" ref="M19" si="73">M18+M7</f>
        <v>58</v>
      </c>
      <c r="N19" s="58">
        <f t="shared" si="25"/>
        <v>10</v>
      </c>
      <c r="O19" s="59">
        <f t="shared" ref="O19" si="74">O18+O7</f>
        <v>53</v>
      </c>
      <c r="P19" s="56">
        <f t="shared" si="27"/>
        <v>9</v>
      </c>
      <c r="Q19" s="85">
        <f t="shared" ref="Q19" si="75">Q18+Q7</f>
        <v>48</v>
      </c>
      <c r="R19" s="58">
        <f t="shared" si="29"/>
        <v>8</v>
      </c>
      <c r="S19" s="59">
        <f t="shared" ref="S19" si="76">S18+S7</f>
        <v>43</v>
      </c>
      <c r="T19" s="56">
        <f t="shared" si="31"/>
        <v>7</v>
      </c>
      <c r="U19" s="85">
        <f t="shared" ref="U19" si="77">U18+U7</f>
        <v>38</v>
      </c>
      <c r="V19" s="58">
        <f t="shared" ref="V19:V22" si="78">U19-U18</f>
        <v>6</v>
      </c>
    </row>
    <row r="20" spans="2:22">
      <c r="B20" s="86">
        <v>8</v>
      </c>
      <c r="C20" s="59">
        <f>C19+C7</f>
        <v>99</v>
      </c>
      <c r="D20" s="56">
        <f t="shared" si="34"/>
        <v>14</v>
      </c>
      <c r="E20" s="85">
        <f t="shared" ref="E20" si="79">E19+E7</f>
        <v>93</v>
      </c>
      <c r="F20" s="58">
        <f t="shared" ref="F20" si="80">E20-E19</f>
        <v>13</v>
      </c>
      <c r="G20" s="59">
        <f t="shared" ref="G20" si="81">G19+G7</f>
        <v>87</v>
      </c>
      <c r="H20" s="56">
        <f t="shared" ref="H20" si="82">G20-G19</f>
        <v>12</v>
      </c>
      <c r="I20" s="85">
        <f t="shared" ref="I20" si="83">I19+I7</f>
        <v>81</v>
      </c>
      <c r="J20" s="58">
        <f t="shared" si="23"/>
        <v>11</v>
      </c>
      <c r="K20" s="59">
        <f>K19+K7</f>
        <v>74</v>
      </c>
      <c r="L20" s="56">
        <f t="shared" si="40"/>
        <v>10</v>
      </c>
      <c r="M20" s="85">
        <f t="shared" ref="M20" si="84">M19+M7</f>
        <v>68</v>
      </c>
      <c r="N20" s="58">
        <f t="shared" si="25"/>
        <v>10</v>
      </c>
      <c r="O20" s="59">
        <f t="shared" ref="O20" si="85">O19+O7</f>
        <v>62</v>
      </c>
      <c r="P20" s="56">
        <f t="shared" si="27"/>
        <v>9</v>
      </c>
      <c r="Q20" s="85">
        <f t="shared" ref="Q20" si="86">Q19+Q7</f>
        <v>56</v>
      </c>
      <c r="R20" s="58">
        <f t="shared" si="29"/>
        <v>8</v>
      </c>
      <c r="S20" s="59">
        <f t="shared" ref="S20" si="87">S19+S7</f>
        <v>50</v>
      </c>
      <c r="T20" s="56">
        <f t="shared" si="31"/>
        <v>7</v>
      </c>
      <c r="U20" s="85">
        <f t="shared" ref="U20" si="88">U19+U7</f>
        <v>44</v>
      </c>
      <c r="V20" s="58">
        <f t="shared" si="78"/>
        <v>6</v>
      </c>
    </row>
    <row r="21" spans="2:22">
      <c r="B21" s="86">
        <v>9</v>
      </c>
      <c r="C21" s="59">
        <f>C20+C7</f>
        <v>113</v>
      </c>
      <c r="D21" s="56">
        <f t="shared" si="34"/>
        <v>14</v>
      </c>
      <c r="E21" s="85">
        <f t="shared" ref="E21" si="89">E20+E7</f>
        <v>106</v>
      </c>
      <c r="F21" s="58">
        <f t="shared" ref="F21" si="90">E21-E20</f>
        <v>13</v>
      </c>
      <c r="G21" s="59">
        <f t="shared" ref="G21" si="91">G20+G7</f>
        <v>99</v>
      </c>
      <c r="H21" s="56">
        <f t="shared" ref="H21" si="92">G21-G20</f>
        <v>12</v>
      </c>
      <c r="I21" s="85">
        <f t="shared" ref="I21" si="93">I20+I7</f>
        <v>92</v>
      </c>
      <c r="J21" s="58">
        <f t="shared" si="23"/>
        <v>11</v>
      </c>
      <c r="K21" s="59">
        <f>K20+K7</f>
        <v>84</v>
      </c>
      <c r="L21" s="56">
        <f t="shared" si="40"/>
        <v>10</v>
      </c>
      <c r="M21" s="85">
        <f t="shared" ref="M21" si="94">M20+M7</f>
        <v>78</v>
      </c>
      <c r="N21" s="58">
        <f t="shared" si="25"/>
        <v>10</v>
      </c>
      <c r="O21" s="59">
        <f t="shared" ref="O21" si="95">O20+O7</f>
        <v>71</v>
      </c>
      <c r="P21" s="56">
        <f t="shared" si="27"/>
        <v>9</v>
      </c>
      <c r="Q21" s="85">
        <f t="shared" ref="Q21" si="96">Q20+Q7</f>
        <v>64</v>
      </c>
      <c r="R21" s="58">
        <f t="shared" si="29"/>
        <v>8</v>
      </c>
      <c r="S21" s="59">
        <f t="shared" ref="S21" si="97">S20+S7</f>
        <v>57</v>
      </c>
      <c r="T21" s="56">
        <f t="shared" si="31"/>
        <v>7</v>
      </c>
      <c r="U21" s="85">
        <f t="shared" ref="U21" si="98">U20+U7</f>
        <v>50</v>
      </c>
      <c r="V21" s="58">
        <f t="shared" si="78"/>
        <v>6</v>
      </c>
    </row>
    <row r="22" spans="2:22">
      <c r="B22" s="86">
        <v>10</v>
      </c>
      <c r="C22" s="59">
        <f>C21+C7</f>
        <v>127</v>
      </c>
      <c r="D22" s="56">
        <f t="shared" si="34"/>
        <v>14</v>
      </c>
      <c r="E22" s="85">
        <f t="shared" ref="E22" si="99">E21+E7</f>
        <v>119</v>
      </c>
      <c r="F22" s="58">
        <f t="shared" ref="F22" si="100">E22-E21</f>
        <v>13</v>
      </c>
      <c r="G22" s="59">
        <f t="shared" ref="G22" si="101">G21+G7</f>
        <v>111</v>
      </c>
      <c r="H22" s="56">
        <f t="shared" ref="H22" si="102">G22-G21</f>
        <v>12</v>
      </c>
      <c r="I22" s="85">
        <f t="shared" ref="I22" si="103">I21+I7</f>
        <v>103</v>
      </c>
      <c r="J22" s="58">
        <f t="shared" si="23"/>
        <v>11</v>
      </c>
      <c r="K22" s="59">
        <f>K21+K7</f>
        <v>94</v>
      </c>
      <c r="L22" s="56">
        <f t="shared" si="40"/>
        <v>10</v>
      </c>
      <c r="M22" s="85">
        <f t="shared" ref="M22" si="104">M21+M7</f>
        <v>88</v>
      </c>
      <c r="N22" s="58">
        <f t="shared" si="25"/>
        <v>10</v>
      </c>
      <c r="O22" s="59">
        <f t="shared" ref="O22" si="105">O21+O7</f>
        <v>80</v>
      </c>
      <c r="P22" s="56">
        <f t="shared" si="27"/>
        <v>9</v>
      </c>
      <c r="Q22" s="85">
        <f t="shared" ref="Q22" si="106">Q21+Q7</f>
        <v>72</v>
      </c>
      <c r="R22" s="58">
        <f t="shared" si="29"/>
        <v>8</v>
      </c>
      <c r="S22" s="59">
        <f t="shared" ref="S22" si="107">S21+S7</f>
        <v>64</v>
      </c>
      <c r="T22" s="56">
        <f t="shared" si="31"/>
        <v>7</v>
      </c>
      <c r="U22" s="85">
        <f t="shared" ref="U22" si="108">U21+U7</f>
        <v>56</v>
      </c>
      <c r="V22" s="58">
        <f t="shared" si="78"/>
        <v>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D19:T22 D13:T16 D18 T18 Q18:S18 O18:P18 M18:N18 L18 J18:K18 H18:I18 E18:G18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C007-8847-4CFA-9BD2-CE98EB81DBE1}">
  <dimension ref="A1:DZ122"/>
  <sheetViews>
    <sheetView topLeftCell="Z4" workbookViewId="0">
      <selection activeCell="AC20" sqref="AC20"/>
    </sheetView>
  </sheetViews>
  <sheetFormatPr defaultColWidth="8.8125" defaultRowHeight="15.75"/>
  <cols>
    <col min="1" max="1" width="8.8125" style="105"/>
    <col min="2" max="2" width="9.625" style="105" bestFit="1" customWidth="1"/>
    <col min="3" max="3" width="8.8125" style="105"/>
    <col min="4" max="4" width="9.625" style="105" bestFit="1" customWidth="1"/>
    <col min="5" max="6" width="8.875" style="105" bestFit="1" customWidth="1"/>
    <col min="7" max="7" width="8.875" style="105" customWidth="1"/>
    <col min="8" max="8" width="8.8125" style="105"/>
    <col min="9" max="9" width="8.875" style="105" bestFit="1" customWidth="1"/>
    <col min="10" max="10" width="9.5" style="105" bestFit="1" customWidth="1"/>
    <col min="11" max="11" width="8.875" style="105" bestFit="1" customWidth="1"/>
    <col min="12" max="12" width="10.375" style="105" bestFit="1" customWidth="1"/>
    <col min="13" max="14" width="8.875" style="105" bestFit="1" customWidth="1"/>
    <col min="15" max="16" width="10.375" style="105" bestFit="1" customWidth="1"/>
    <col min="17" max="17" width="8.875" style="105" bestFit="1" customWidth="1"/>
    <col min="18" max="18" width="10.375" style="105" bestFit="1" customWidth="1"/>
    <col min="19" max="19" width="8.875" style="105" bestFit="1" customWidth="1"/>
    <col min="20" max="21" width="10.375" style="105" bestFit="1" customWidth="1"/>
    <col min="22" max="24" width="9.5" style="105" bestFit="1" customWidth="1"/>
    <col min="25" max="125" width="8.875" style="105" bestFit="1" customWidth="1"/>
    <col min="126" max="126" width="8.8125" style="105"/>
    <col min="127" max="130" width="8.875" style="105" bestFit="1" customWidth="1"/>
    <col min="131" max="16384" width="8.8125" style="105"/>
  </cols>
  <sheetData>
    <row r="1" spans="1:130">
      <c r="A1" s="105" t="s">
        <v>325</v>
      </c>
      <c r="I1" s="106"/>
      <c r="J1" s="105" t="s">
        <v>330</v>
      </c>
      <c r="AA1" s="105" t="s">
        <v>334</v>
      </c>
      <c r="AB1" s="105" t="s">
        <v>333</v>
      </c>
      <c r="AQ1" s="105" t="s">
        <v>334</v>
      </c>
      <c r="AR1" s="105" t="s">
        <v>333</v>
      </c>
      <c r="BG1" s="105" t="s">
        <v>334</v>
      </c>
      <c r="BH1" s="105" t="s">
        <v>333</v>
      </c>
      <c r="BW1" s="105" t="s">
        <v>334</v>
      </c>
      <c r="BX1" s="105" t="s">
        <v>333</v>
      </c>
    </row>
    <row r="2" spans="1:130">
      <c r="D2" s="106" t="s">
        <v>328</v>
      </c>
      <c r="E2" s="105" t="s">
        <v>329</v>
      </c>
      <c r="I2" s="107" t="s">
        <v>331</v>
      </c>
      <c r="J2" s="105">
        <v>1</v>
      </c>
      <c r="K2" s="105">
        <v>2</v>
      </c>
      <c r="L2" s="105">
        <v>3</v>
      </c>
      <c r="M2" s="105">
        <v>4</v>
      </c>
      <c r="N2" s="105">
        <v>5</v>
      </c>
      <c r="O2" s="105">
        <v>6</v>
      </c>
      <c r="P2" s="105">
        <v>7</v>
      </c>
      <c r="Q2" s="105">
        <v>8</v>
      </c>
      <c r="R2" s="105">
        <v>9</v>
      </c>
      <c r="S2" s="105">
        <v>10</v>
      </c>
      <c r="T2" s="105">
        <v>11</v>
      </c>
      <c r="U2" s="105">
        <v>12</v>
      </c>
      <c r="V2" s="105">
        <v>13</v>
      </c>
      <c r="W2" s="105">
        <v>14</v>
      </c>
      <c r="X2" s="105">
        <v>15</v>
      </c>
      <c r="Y2" s="105">
        <v>16</v>
      </c>
      <c r="AA2" s="107" t="s">
        <v>332</v>
      </c>
      <c r="AB2" s="105">
        <v>2</v>
      </c>
      <c r="AQ2" s="107" t="s">
        <v>332</v>
      </c>
      <c r="AR2" s="105">
        <v>4</v>
      </c>
      <c r="BG2" s="107" t="s">
        <v>332</v>
      </c>
      <c r="BH2" s="105">
        <v>6</v>
      </c>
      <c r="BW2" s="107" t="s">
        <v>332</v>
      </c>
      <c r="BX2" s="105">
        <v>8</v>
      </c>
      <c r="DW2" s="106" t="s">
        <v>327</v>
      </c>
    </row>
    <row r="3" spans="1:130">
      <c r="A3" s="105" t="s">
        <v>326</v>
      </c>
      <c r="B3" s="105">
        <v>16</v>
      </c>
      <c r="D3" s="105">
        <v>1</v>
      </c>
      <c r="E3" s="105">
        <f t="shared" ref="E3:E18" si="0">$B$3/D3</f>
        <v>16</v>
      </c>
      <c r="I3" s="105">
        <v>8</v>
      </c>
      <c r="J3" s="105">
        <f>$E$3*I3</f>
        <v>128</v>
      </c>
      <c r="K3" s="105">
        <f>$E$4*I3</f>
        <v>64</v>
      </c>
      <c r="L3" s="105">
        <f>$E$5*I3</f>
        <v>42.666666666666664</v>
      </c>
      <c r="M3" s="105">
        <f>$E$6*I3</f>
        <v>32</v>
      </c>
      <c r="N3" s="105">
        <f>$E$7*I3</f>
        <v>25.6</v>
      </c>
      <c r="O3" s="105">
        <f>$E$8*I3</f>
        <v>21.333333333333332</v>
      </c>
      <c r="P3" s="105">
        <f>$E$9*I3</f>
        <v>18.285714285714285</v>
      </c>
      <c r="Q3" s="105">
        <f>$E$10*I3</f>
        <v>16</v>
      </c>
      <c r="R3" s="105">
        <f>$E$11*I3</f>
        <v>14.222222222222221</v>
      </c>
      <c r="S3" s="105">
        <f>$E$12*I3</f>
        <v>12.8</v>
      </c>
      <c r="T3" s="105">
        <f>$E$13*I3</f>
        <v>11.636363636363637</v>
      </c>
      <c r="U3" s="105">
        <f>$E$14*I3</f>
        <v>10.666666666666666</v>
      </c>
      <c r="V3" s="105">
        <f>$E$15*I3</f>
        <v>9.8461538461538467</v>
      </c>
      <c r="W3" s="105">
        <f>$E$16*I3</f>
        <v>9.1428571428571423</v>
      </c>
      <c r="X3" s="105">
        <f>$E$17*I3</f>
        <v>8.5333333333333332</v>
      </c>
      <c r="Y3" s="105">
        <f>$E$18*I3</f>
        <v>8</v>
      </c>
      <c r="AA3" s="109">
        <f>J3/$AB$2</f>
        <v>64</v>
      </c>
      <c r="AB3" s="105">
        <f t="shared" ref="AB3:AP3" si="1">K3/$AB$2</f>
        <v>32</v>
      </c>
      <c r="AC3" s="105">
        <f t="shared" si="1"/>
        <v>21.333333333333332</v>
      </c>
      <c r="AD3" s="105">
        <f t="shared" si="1"/>
        <v>16</v>
      </c>
      <c r="AE3" s="105">
        <f t="shared" si="1"/>
        <v>12.8</v>
      </c>
      <c r="AF3" s="105">
        <f t="shared" si="1"/>
        <v>10.666666666666666</v>
      </c>
      <c r="AG3" s="105">
        <f t="shared" si="1"/>
        <v>9.1428571428571423</v>
      </c>
      <c r="AH3" s="105">
        <f t="shared" si="1"/>
        <v>8</v>
      </c>
      <c r="AI3" s="105">
        <f t="shared" si="1"/>
        <v>7.1111111111111107</v>
      </c>
      <c r="AJ3" s="105">
        <f t="shared" si="1"/>
        <v>6.4</v>
      </c>
      <c r="AK3" s="105">
        <f t="shared" si="1"/>
        <v>5.8181818181818183</v>
      </c>
      <c r="AL3" s="105">
        <f t="shared" si="1"/>
        <v>5.333333333333333</v>
      </c>
      <c r="AM3" s="105">
        <f t="shared" si="1"/>
        <v>4.9230769230769234</v>
      </c>
      <c r="AN3" s="105">
        <f t="shared" si="1"/>
        <v>4.5714285714285712</v>
      </c>
      <c r="AO3" s="105">
        <f t="shared" si="1"/>
        <v>4.2666666666666666</v>
      </c>
      <c r="AP3" s="105">
        <f t="shared" si="1"/>
        <v>4</v>
      </c>
      <c r="AQ3" s="109">
        <f>J3/$AR$2</f>
        <v>32</v>
      </c>
      <c r="AR3" s="105">
        <f t="shared" ref="AR3:BF3" si="2">K3/$AR$2</f>
        <v>16</v>
      </c>
      <c r="AS3" s="105">
        <f t="shared" si="2"/>
        <v>10.666666666666666</v>
      </c>
      <c r="AT3" s="105">
        <f t="shared" si="2"/>
        <v>8</v>
      </c>
      <c r="AU3" s="105">
        <f t="shared" si="2"/>
        <v>6.4</v>
      </c>
      <c r="AV3" s="105">
        <f t="shared" si="2"/>
        <v>5.333333333333333</v>
      </c>
      <c r="AW3" s="105">
        <f t="shared" si="2"/>
        <v>4.5714285714285712</v>
      </c>
      <c r="AX3" s="105">
        <f t="shared" si="2"/>
        <v>4</v>
      </c>
      <c r="AY3" s="105">
        <f t="shared" si="2"/>
        <v>3.5555555555555554</v>
      </c>
      <c r="AZ3" s="105">
        <f t="shared" si="2"/>
        <v>3.2</v>
      </c>
      <c r="BA3" s="105">
        <f t="shared" si="2"/>
        <v>2.9090909090909092</v>
      </c>
      <c r="BB3" s="105">
        <f t="shared" si="2"/>
        <v>2.6666666666666665</v>
      </c>
      <c r="BC3" s="105">
        <f t="shared" si="2"/>
        <v>2.4615384615384617</v>
      </c>
      <c r="BD3" s="105">
        <f t="shared" si="2"/>
        <v>2.2857142857142856</v>
      </c>
      <c r="BE3" s="105">
        <f t="shared" si="2"/>
        <v>2.1333333333333333</v>
      </c>
      <c r="BF3" s="110">
        <f t="shared" si="2"/>
        <v>2</v>
      </c>
      <c r="BG3" s="105">
        <f t="shared" ref="BG3:BV3" si="3">J3/$BH$2</f>
        <v>21.333333333333332</v>
      </c>
      <c r="BH3" s="105">
        <f t="shared" si="3"/>
        <v>10.666666666666666</v>
      </c>
      <c r="BI3" s="105">
        <f t="shared" si="3"/>
        <v>7.1111111111111107</v>
      </c>
      <c r="BJ3" s="105">
        <f t="shared" si="3"/>
        <v>5.333333333333333</v>
      </c>
      <c r="BK3" s="105">
        <f t="shared" si="3"/>
        <v>4.2666666666666666</v>
      </c>
      <c r="BL3" s="105">
        <f t="shared" si="3"/>
        <v>3.5555555555555554</v>
      </c>
      <c r="BM3" s="105">
        <f t="shared" si="3"/>
        <v>3.0476190476190474</v>
      </c>
      <c r="BN3" s="105">
        <f t="shared" si="3"/>
        <v>2.6666666666666665</v>
      </c>
      <c r="BO3" s="105">
        <f t="shared" si="3"/>
        <v>2.3703703703703702</v>
      </c>
      <c r="BP3" s="105">
        <f t="shared" si="3"/>
        <v>2.1333333333333333</v>
      </c>
      <c r="BQ3" s="105">
        <f t="shared" si="3"/>
        <v>1.9393939393939394</v>
      </c>
      <c r="BR3" s="105">
        <f t="shared" si="3"/>
        <v>1.7777777777777777</v>
      </c>
      <c r="BS3" s="105">
        <f t="shared" si="3"/>
        <v>1.6410256410256412</v>
      </c>
      <c r="BT3" s="105">
        <f t="shared" si="3"/>
        <v>1.5238095238095237</v>
      </c>
      <c r="BU3" s="105">
        <f t="shared" si="3"/>
        <v>1.4222222222222223</v>
      </c>
      <c r="BV3" s="105">
        <f t="shared" si="3"/>
        <v>1.3333333333333333</v>
      </c>
      <c r="BW3" s="109">
        <f>J3/$BX$2</f>
        <v>16</v>
      </c>
      <c r="BX3" s="105">
        <f t="shared" ref="BX3:CK3" si="4">K3/$BX$2</f>
        <v>8</v>
      </c>
      <c r="BY3" s="105">
        <f t="shared" si="4"/>
        <v>5.333333333333333</v>
      </c>
      <c r="BZ3" s="105">
        <f t="shared" si="4"/>
        <v>4</v>
      </c>
      <c r="CA3" s="105">
        <f t="shared" si="4"/>
        <v>3.2</v>
      </c>
      <c r="CB3" s="105">
        <f t="shared" si="4"/>
        <v>2.6666666666666665</v>
      </c>
      <c r="CC3" s="105">
        <f t="shared" si="4"/>
        <v>2.2857142857142856</v>
      </c>
      <c r="CD3" s="105">
        <f t="shared" si="4"/>
        <v>2</v>
      </c>
      <c r="CE3" s="105">
        <f t="shared" si="4"/>
        <v>1.7777777777777777</v>
      </c>
      <c r="CF3" s="105">
        <f t="shared" si="4"/>
        <v>1.6</v>
      </c>
      <c r="CG3" s="105">
        <f t="shared" si="4"/>
        <v>1.4545454545454546</v>
      </c>
      <c r="CH3" s="105">
        <f t="shared" si="4"/>
        <v>1.3333333333333333</v>
      </c>
      <c r="CI3" s="105">
        <f t="shared" si="4"/>
        <v>1.2307692307692308</v>
      </c>
      <c r="CJ3" s="105">
        <f t="shared" si="4"/>
        <v>1.1428571428571428</v>
      </c>
      <c r="CK3" s="105">
        <f t="shared" si="4"/>
        <v>1.0666666666666667</v>
      </c>
      <c r="CL3" s="105">
        <f>Y3/$BX$2</f>
        <v>1</v>
      </c>
      <c r="DW3" s="105">
        <v>2</v>
      </c>
      <c r="DX3" s="105">
        <v>4</v>
      </c>
      <c r="DY3" s="105">
        <v>6</v>
      </c>
      <c r="DZ3" s="105">
        <v>8</v>
      </c>
    </row>
    <row r="4" spans="1:130">
      <c r="D4" s="105">
        <v>2</v>
      </c>
      <c r="E4" s="105">
        <f t="shared" si="0"/>
        <v>8</v>
      </c>
      <c r="I4" s="105">
        <v>9</v>
      </c>
      <c r="J4" s="105">
        <f t="shared" ref="J4:J67" si="5">$E$3*I4</f>
        <v>144</v>
      </c>
      <c r="K4" s="105">
        <f t="shared" ref="K4:K67" si="6">$E$4*I4</f>
        <v>72</v>
      </c>
      <c r="L4" s="105">
        <f t="shared" ref="L4:L67" si="7">$E$5*I4</f>
        <v>48</v>
      </c>
      <c r="M4" s="105">
        <f t="shared" ref="M4:M67" si="8">$E$6*I4</f>
        <v>36</v>
      </c>
      <c r="N4" s="105">
        <f t="shared" ref="N4:N67" si="9">$E$7*I4</f>
        <v>28.8</v>
      </c>
      <c r="O4" s="105">
        <f t="shared" ref="O4:O67" si="10">$E$8*I4</f>
        <v>24</v>
      </c>
      <c r="P4" s="105">
        <f t="shared" ref="P4:P67" si="11">$E$9*I4</f>
        <v>20.571428571428569</v>
      </c>
      <c r="Q4" s="105">
        <f t="shared" ref="Q4:Q67" si="12">$E$10*I4</f>
        <v>18</v>
      </c>
      <c r="R4" s="105">
        <f t="shared" ref="R4:R67" si="13">$E$11*I4</f>
        <v>16</v>
      </c>
      <c r="S4" s="105">
        <f t="shared" ref="S4:S67" si="14">$E$12*I4</f>
        <v>14.4</v>
      </c>
      <c r="T4" s="105">
        <f t="shared" ref="T4:T67" si="15">$E$13*I4</f>
        <v>13.090909090909092</v>
      </c>
      <c r="U4" s="105">
        <f t="shared" ref="U4:U67" si="16">$E$14*I4</f>
        <v>12</v>
      </c>
      <c r="V4" s="105">
        <f t="shared" ref="V4:V67" si="17">$E$15*I4</f>
        <v>11.076923076923077</v>
      </c>
      <c r="W4" s="105">
        <f t="shared" ref="W4:W67" si="18">$E$16*I4</f>
        <v>10.285714285714285</v>
      </c>
      <c r="X4" s="105">
        <f t="shared" ref="X4:X67" si="19">$E$17*I4</f>
        <v>9.6</v>
      </c>
      <c r="Y4" s="105">
        <f t="shared" ref="Y4:Y67" si="20">$E$18*I4</f>
        <v>9</v>
      </c>
      <c r="AA4" s="109">
        <f t="shared" ref="AA4:AA16" si="21">J4/$AB$2</f>
        <v>72</v>
      </c>
      <c r="AB4" s="105">
        <f t="shared" ref="AB4:AB37" si="22">K4/$AB$2</f>
        <v>36</v>
      </c>
      <c r="AC4" s="105">
        <f t="shared" ref="AC4:AC58" si="23">L4/$AB$2</f>
        <v>24</v>
      </c>
      <c r="AD4" s="105">
        <f t="shared" ref="AD4:AD67" si="24">M4/$AB$2</f>
        <v>18</v>
      </c>
      <c r="AE4" s="105">
        <f t="shared" ref="AE4:AE67" si="25">N4/$AB$2</f>
        <v>14.4</v>
      </c>
      <c r="AF4" s="105">
        <f t="shared" ref="AF4:AF67" si="26">O4/$AB$2</f>
        <v>12</v>
      </c>
      <c r="AG4" s="105">
        <f t="shared" ref="AG4:AG67" si="27">P4/$AB$2</f>
        <v>10.285714285714285</v>
      </c>
      <c r="AH4" s="105">
        <f t="shared" ref="AH4:AH67" si="28">Q4/$AB$2</f>
        <v>9</v>
      </c>
      <c r="AI4" s="105">
        <f t="shared" ref="AI4:AI67" si="29">R4/$AB$2</f>
        <v>8</v>
      </c>
      <c r="AJ4" s="105">
        <f t="shared" ref="AJ4:AJ67" si="30">S4/$AB$2</f>
        <v>7.2</v>
      </c>
      <c r="AK4" s="105">
        <f t="shared" ref="AK4:AK67" si="31">T4/$AB$2</f>
        <v>6.5454545454545459</v>
      </c>
      <c r="AL4" s="105">
        <f t="shared" ref="AL4:AL67" si="32">U4/$AB$2</f>
        <v>6</v>
      </c>
      <c r="AM4" s="105">
        <f t="shared" ref="AM4:AM67" si="33">V4/$AB$2</f>
        <v>5.5384615384615383</v>
      </c>
      <c r="AN4" s="105">
        <f t="shared" ref="AN4:AN67" si="34">W4/$AB$2</f>
        <v>5.1428571428571423</v>
      </c>
      <c r="AO4" s="105">
        <f t="shared" ref="AO4:AO67" si="35">X4/$AB$2</f>
        <v>4.8</v>
      </c>
      <c r="AP4" s="105">
        <f t="shared" ref="AP4:AP67" si="36">Y4/$AB$2</f>
        <v>4.5</v>
      </c>
      <c r="AQ4" s="109">
        <f t="shared" ref="AQ4:AQ37" si="37">J4/$AR$2</f>
        <v>36</v>
      </c>
      <c r="AR4" s="105">
        <f t="shared" ref="AR4:AR67" si="38">K4/$AR$2</f>
        <v>18</v>
      </c>
      <c r="AS4" s="105">
        <f t="shared" ref="AS4:AS67" si="39">L4/$AR$2</f>
        <v>12</v>
      </c>
      <c r="AT4" s="105">
        <f t="shared" ref="AT4:AT67" si="40">M4/$AR$2</f>
        <v>9</v>
      </c>
      <c r="AU4" s="105">
        <f t="shared" ref="AU4:AU67" si="41">N4/$AR$2</f>
        <v>7.2</v>
      </c>
      <c r="AV4" s="105">
        <f t="shared" ref="AV4:AV67" si="42">O4/$AR$2</f>
        <v>6</v>
      </c>
      <c r="AW4" s="105">
        <f t="shared" ref="AW4:AW67" si="43">P4/$AR$2</f>
        <v>5.1428571428571423</v>
      </c>
      <c r="AX4" s="105">
        <f t="shared" ref="AX4:AX67" si="44">Q4/$AR$2</f>
        <v>4.5</v>
      </c>
      <c r="AY4" s="105">
        <f t="shared" ref="AY4:AY67" si="45">R4/$AR$2</f>
        <v>4</v>
      </c>
      <c r="AZ4" s="105">
        <f t="shared" ref="AZ4:AZ67" si="46">S4/$AR$2</f>
        <v>3.6</v>
      </c>
      <c r="BA4" s="105">
        <f t="shared" ref="BA4:BA67" si="47">T4/$AR$2</f>
        <v>3.2727272727272729</v>
      </c>
      <c r="BB4" s="105">
        <f t="shared" ref="BB4:BB67" si="48">U4/$AR$2</f>
        <v>3</v>
      </c>
      <c r="BC4" s="105">
        <f t="shared" ref="BC4:BC67" si="49">V4/$AR$2</f>
        <v>2.7692307692307692</v>
      </c>
      <c r="BD4" s="105">
        <f t="shared" ref="BD4:BD67" si="50">W4/$AR$2</f>
        <v>2.5714285714285712</v>
      </c>
      <c r="BE4" s="105">
        <f t="shared" ref="BE4:BE67" si="51">X4/$AR$2</f>
        <v>2.4</v>
      </c>
      <c r="BF4" s="110">
        <f t="shared" ref="BF4:BF67" si="52">Y4/$AR$2</f>
        <v>2.25</v>
      </c>
      <c r="BG4" s="105">
        <f t="shared" ref="BG4:BG58" si="53">J4/$BH$2</f>
        <v>24</v>
      </c>
      <c r="BH4" s="105">
        <f t="shared" ref="BH4:BH67" si="54">K4/$BH$2</f>
        <v>12</v>
      </c>
      <c r="BI4" s="105">
        <f t="shared" ref="BI4:BI67" si="55">L4/$BH$2</f>
        <v>8</v>
      </c>
      <c r="BJ4" s="105">
        <f t="shared" ref="BJ4:BJ67" si="56">M4/$BH$2</f>
        <v>6</v>
      </c>
      <c r="BK4" s="105">
        <f t="shared" ref="BK4:BK67" si="57">N4/$BH$2</f>
        <v>4.8</v>
      </c>
      <c r="BL4" s="105">
        <f t="shared" ref="BL4:BL67" si="58">O4/$BH$2</f>
        <v>4</v>
      </c>
      <c r="BM4" s="105">
        <f t="shared" ref="BM4:BM67" si="59">P4/$BH$2</f>
        <v>3.4285714285714284</v>
      </c>
      <c r="BN4" s="105">
        <f t="shared" ref="BN4:BN67" si="60">Q4/$BH$2</f>
        <v>3</v>
      </c>
      <c r="BO4" s="105">
        <f t="shared" ref="BO4:BO67" si="61">R4/$BH$2</f>
        <v>2.6666666666666665</v>
      </c>
      <c r="BP4" s="105">
        <f t="shared" ref="BP4:BP67" si="62">S4/$BH$2</f>
        <v>2.4</v>
      </c>
      <c r="BQ4" s="105">
        <f t="shared" ref="BQ4:BQ67" si="63">T4/$BH$2</f>
        <v>2.1818181818181821</v>
      </c>
      <c r="BR4" s="105">
        <f t="shared" ref="BR4:BR67" si="64">U4/$BH$2</f>
        <v>2</v>
      </c>
      <c r="BS4" s="105">
        <f t="shared" ref="BS4:BS67" si="65">V4/$BH$2</f>
        <v>1.846153846153846</v>
      </c>
      <c r="BT4" s="105">
        <f t="shared" ref="BT4:BT67" si="66">W4/$BH$2</f>
        <v>1.7142857142857142</v>
      </c>
      <c r="BU4" s="105">
        <f t="shared" ref="BU4:BU67" si="67">X4/$BH$2</f>
        <v>1.5999999999999999</v>
      </c>
      <c r="BV4" s="105">
        <f t="shared" ref="BV4:BV67" si="68">Y4/$BH$2</f>
        <v>1.5</v>
      </c>
      <c r="BW4" s="109">
        <f t="shared" ref="BW4:BW67" si="69">J4/$BX$2</f>
        <v>18</v>
      </c>
      <c r="BX4" s="105">
        <f t="shared" ref="BX4:BX67" si="70">K4/$BX$2</f>
        <v>9</v>
      </c>
      <c r="BY4" s="105">
        <f t="shared" ref="BY4:BY67" si="71">L4/$BX$2</f>
        <v>6</v>
      </c>
      <c r="BZ4" s="105">
        <f t="shared" ref="BZ4:BZ67" si="72">M4/$BX$2</f>
        <v>4.5</v>
      </c>
      <c r="CA4" s="105">
        <f t="shared" ref="CA4:CA67" si="73">N4/$BX$2</f>
        <v>3.6</v>
      </c>
      <c r="CB4" s="105">
        <f t="shared" ref="CB4:CB67" si="74">O4/$BX$2</f>
        <v>3</v>
      </c>
      <c r="CC4" s="105">
        <f t="shared" ref="CC4:CC67" si="75">P4/$BX$2</f>
        <v>2.5714285714285712</v>
      </c>
      <c r="CD4" s="105">
        <f t="shared" ref="CD4:CD67" si="76">Q4/$BX$2</f>
        <v>2.25</v>
      </c>
      <c r="CE4" s="105">
        <f t="shared" ref="CE4:CE67" si="77">R4/$BX$2</f>
        <v>2</v>
      </c>
      <c r="CF4" s="105">
        <f t="shared" ref="CF4:CF67" si="78">S4/$BX$2</f>
        <v>1.8</v>
      </c>
      <c r="CG4" s="105">
        <f t="shared" ref="CG4:CG67" si="79">T4/$BX$2</f>
        <v>1.6363636363636365</v>
      </c>
      <c r="CH4" s="105">
        <f t="shared" ref="CH4:CH67" si="80">U4/$BX$2</f>
        <v>1.5</v>
      </c>
      <c r="CI4" s="105">
        <f t="shared" ref="CI4:CI67" si="81">V4/$BX$2</f>
        <v>1.3846153846153846</v>
      </c>
      <c r="CJ4" s="105">
        <f t="shared" ref="CJ4:CJ67" si="82">W4/$BX$2</f>
        <v>1.2857142857142856</v>
      </c>
      <c r="CK4" s="105">
        <f t="shared" ref="CK4:CK67" si="83">X4/$BX$2</f>
        <v>1.2</v>
      </c>
      <c r="CL4" s="105">
        <f t="shared" ref="CL4:CL67" si="84">Y4/$BX$2</f>
        <v>1.125</v>
      </c>
    </row>
    <row r="5" spans="1:130">
      <c r="D5" s="105">
        <v>3</v>
      </c>
      <c r="E5" s="105">
        <f t="shared" si="0"/>
        <v>5.333333333333333</v>
      </c>
      <c r="I5" s="105">
        <v>10</v>
      </c>
      <c r="J5" s="105">
        <f t="shared" si="5"/>
        <v>160</v>
      </c>
      <c r="K5" s="105">
        <f t="shared" si="6"/>
        <v>80</v>
      </c>
      <c r="L5" s="105">
        <f t="shared" si="7"/>
        <v>53.333333333333329</v>
      </c>
      <c r="M5" s="105">
        <f t="shared" si="8"/>
        <v>40</v>
      </c>
      <c r="N5" s="105">
        <f t="shared" si="9"/>
        <v>32</v>
      </c>
      <c r="O5" s="105">
        <f t="shared" si="10"/>
        <v>26.666666666666664</v>
      </c>
      <c r="P5" s="105">
        <f t="shared" si="11"/>
        <v>22.857142857142854</v>
      </c>
      <c r="Q5" s="105">
        <f t="shared" si="12"/>
        <v>20</v>
      </c>
      <c r="R5" s="105">
        <f t="shared" si="13"/>
        <v>17.777777777777779</v>
      </c>
      <c r="S5" s="105">
        <f t="shared" si="14"/>
        <v>16</v>
      </c>
      <c r="T5" s="105">
        <f t="shared" si="15"/>
        <v>14.545454545454547</v>
      </c>
      <c r="U5" s="105">
        <f t="shared" si="16"/>
        <v>13.333333333333332</v>
      </c>
      <c r="V5" s="105">
        <f t="shared" si="17"/>
        <v>12.307692307692308</v>
      </c>
      <c r="W5" s="105">
        <f t="shared" si="18"/>
        <v>11.428571428571427</v>
      </c>
      <c r="X5" s="105">
        <f t="shared" si="19"/>
        <v>10.666666666666666</v>
      </c>
      <c r="Y5" s="105">
        <f t="shared" si="20"/>
        <v>10</v>
      </c>
      <c r="AA5" s="109">
        <f t="shared" si="21"/>
        <v>80</v>
      </c>
      <c r="AB5" s="105">
        <f t="shared" si="22"/>
        <v>40</v>
      </c>
      <c r="AC5" s="105">
        <f t="shared" si="23"/>
        <v>26.666666666666664</v>
      </c>
      <c r="AD5" s="105">
        <f t="shared" si="24"/>
        <v>20</v>
      </c>
      <c r="AE5" s="105">
        <f t="shared" si="25"/>
        <v>16</v>
      </c>
      <c r="AF5" s="105">
        <f t="shared" si="26"/>
        <v>13.333333333333332</v>
      </c>
      <c r="AG5" s="105">
        <f t="shared" si="27"/>
        <v>11.428571428571427</v>
      </c>
      <c r="AH5" s="105">
        <f t="shared" si="28"/>
        <v>10</v>
      </c>
      <c r="AI5" s="105">
        <f t="shared" si="29"/>
        <v>8.8888888888888893</v>
      </c>
      <c r="AJ5" s="105">
        <f t="shared" si="30"/>
        <v>8</v>
      </c>
      <c r="AK5" s="105">
        <f t="shared" si="31"/>
        <v>7.2727272727272734</v>
      </c>
      <c r="AL5" s="105">
        <f t="shared" si="32"/>
        <v>6.6666666666666661</v>
      </c>
      <c r="AM5" s="105">
        <f t="shared" si="33"/>
        <v>6.1538461538461542</v>
      </c>
      <c r="AN5" s="105">
        <f t="shared" si="34"/>
        <v>5.7142857142857135</v>
      </c>
      <c r="AO5" s="105">
        <f t="shared" si="35"/>
        <v>5.333333333333333</v>
      </c>
      <c r="AP5" s="105">
        <f t="shared" si="36"/>
        <v>5</v>
      </c>
      <c r="AQ5" s="109">
        <f t="shared" si="37"/>
        <v>40</v>
      </c>
      <c r="AR5" s="105">
        <f t="shared" si="38"/>
        <v>20</v>
      </c>
      <c r="AS5" s="105">
        <f t="shared" si="39"/>
        <v>13.333333333333332</v>
      </c>
      <c r="AT5" s="105">
        <f t="shared" si="40"/>
        <v>10</v>
      </c>
      <c r="AU5" s="105">
        <f t="shared" si="41"/>
        <v>8</v>
      </c>
      <c r="AV5" s="105">
        <f t="shared" si="42"/>
        <v>6.6666666666666661</v>
      </c>
      <c r="AW5" s="105">
        <f t="shared" si="43"/>
        <v>5.7142857142857135</v>
      </c>
      <c r="AX5" s="105">
        <f t="shared" si="44"/>
        <v>5</v>
      </c>
      <c r="AY5" s="105">
        <f t="shared" si="45"/>
        <v>4.4444444444444446</v>
      </c>
      <c r="AZ5" s="105">
        <f t="shared" si="46"/>
        <v>4</v>
      </c>
      <c r="BA5" s="105">
        <f t="shared" si="47"/>
        <v>3.6363636363636367</v>
      </c>
      <c r="BB5" s="105">
        <f t="shared" si="48"/>
        <v>3.333333333333333</v>
      </c>
      <c r="BC5" s="105">
        <f t="shared" si="49"/>
        <v>3.0769230769230771</v>
      </c>
      <c r="BD5" s="105">
        <f t="shared" si="50"/>
        <v>2.8571428571428568</v>
      </c>
      <c r="BE5" s="105">
        <f t="shared" si="51"/>
        <v>2.6666666666666665</v>
      </c>
      <c r="BF5" s="110">
        <f t="shared" si="52"/>
        <v>2.5</v>
      </c>
      <c r="BG5" s="105">
        <f t="shared" si="53"/>
        <v>26.666666666666668</v>
      </c>
      <c r="BH5" s="105">
        <f t="shared" si="54"/>
        <v>13.333333333333334</v>
      </c>
      <c r="BI5" s="105">
        <f t="shared" si="55"/>
        <v>8.8888888888888875</v>
      </c>
      <c r="BJ5" s="105">
        <f t="shared" si="56"/>
        <v>6.666666666666667</v>
      </c>
      <c r="BK5" s="105">
        <f t="shared" si="57"/>
        <v>5.333333333333333</v>
      </c>
      <c r="BL5" s="105">
        <f t="shared" si="58"/>
        <v>4.4444444444444438</v>
      </c>
      <c r="BM5" s="105">
        <f t="shared" si="59"/>
        <v>3.8095238095238089</v>
      </c>
      <c r="BN5" s="105">
        <f t="shared" si="60"/>
        <v>3.3333333333333335</v>
      </c>
      <c r="BO5" s="105">
        <f t="shared" si="61"/>
        <v>2.9629629629629632</v>
      </c>
      <c r="BP5" s="105">
        <f t="shared" si="62"/>
        <v>2.6666666666666665</v>
      </c>
      <c r="BQ5" s="105">
        <f t="shared" si="63"/>
        <v>2.4242424242424243</v>
      </c>
      <c r="BR5" s="105">
        <f t="shared" si="64"/>
        <v>2.2222222222222219</v>
      </c>
      <c r="BS5" s="105">
        <f t="shared" si="65"/>
        <v>2.0512820512820515</v>
      </c>
      <c r="BT5" s="105">
        <f t="shared" si="66"/>
        <v>1.9047619047619044</v>
      </c>
      <c r="BU5" s="105">
        <f t="shared" si="67"/>
        <v>1.7777777777777777</v>
      </c>
      <c r="BV5" s="105">
        <f t="shared" si="68"/>
        <v>1.6666666666666667</v>
      </c>
      <c r="BW5" s="109">
        <f t="shared" si="69"/>
        <v>20</v>
      </c>
      <c r="BX5" s="105">
        <f t="shared" si="70"/>
        <v>10</v>
      </c>
      <c r="BY5" s="105">
        <f t="shared" si="71"/>
        <v>6.6666666666666661</v>
      </c>
      <c r="BZ5" s="105">
        <f t="shared" si="72"/>
        <v>5</v>
      </c>
      <c r="CA5" s="105">
        <f t="shared" si="73"/>
        <v>4</v>
      </c>
      <c r="CB5" s="105">
        <f t="shared" si="74"/>
        <v>3.333333333333333</v>
      </c>
      <c r="CC5" s="105">
        <f t="shared" si="75"/>
        <v>2.8571428571428568</v>
      </c>
      <c r="CD5" s="105">
        <f t="shared" si="76"/>
        <v>2.5</v>
      </c>
      <c r="CE5" s="105">
        <f t="shared" si="77"/>
        <v>2.2222222222222223</v>
      </c>
      <c r="CF5" s="105">
        <f t="shared" si="78"/>
        <v>2</v>
      </c>
      <c r="CG5" s="105">
        <f t="shared" si="79"/>
        <v>1.8181818181818183</v>
      </c>
      <c r="CH5" s="105">
        <f t="shared" si="80"/>
        <v>1.6666666666666665</v>
      </c>
      <c r="CI5" s="105">
        <f t="shared" si="81"/>
        <v>1.5384615384615385</v>
      </c>
      <c r="CJ5" s="105">
        <f t="shared" si="82"/>
        <v>1.4285714285714284</v>
      </c>
      <c r="CK5" s="105">
        <f t="shared" si="83"/>
        <v>1.3333333333333333</v>
      </c>
      <c r="CL5" s="105">
        <f t="shared" si="84"/>
        <v>1.25</v>
      </c>
    </row>
    <row r="6" spans="1:130">
      <c r="D6" s="105">
        <v>4</v>
      </c>
      <c r="E6" s="105">
        <f t="shared" si="0"/>
        <v>4</v>
      </c>
      <c r="I6" s="105">
        <v>11</v>
      </c>
      <c r="J6" s="105">
        <f t="shared" si="5"/>
        <v>176</v>
      </c>
      <c r="K6" s="105">
        <f t="shared" si="6"/>
        <v>88</v>
      </c>
      <c r="L6" s="105">
        <f t="shared" si="7"/>
        <v>58.666666666666664</v>
      </c>
      <c r="M6" s="105">
        <f t="shared" si="8"/>
        <v>44</v>
      </c>
      <c r="N6" s="105">
        <f t="shared" si="9"/>
        <v>35.200000000000003</v>
      </c>
      <c r="O6" s="105">
        <f t="shared" si="10"/>
        <v>29.333333333333332</v>
      </c>
      <c r="P6" s="105">
        <f t="shared" si="11"/>
        <v>25.142857142857142</v>
      </c>
      <c r="Q6" s="105">
        <f t="shared" si="12"/>
        <v>22</v>
      </c>
      <c r="R6" s="105">
        <f t="shared" si="13"/>
        <v>19.555555555555554</v>
      </c>
      <c r="S6" s="105">
        <f t="shared" si="14"/>
        <v>17.600000000000001</v>
      </c>
      <c r="T6" s="105">
        <f t="shared" si="15"/>
        <v>16</v>
      </c>
      <c r="U6" s="105">
        <f t="shared" si="16"/>
        <v>14.666666666666666</v>
      </c>
      <c r="V6" s="105">
        <f t="shared" si="17"/>
        <v>13.53846153846154</v>
      </c>
      <c r="W6" s="105">
        <f t="shared" si="18"/>
        <v>12.571428571428571</v>
      </c>
      <c r="X6" s="105">
        <f t="shared" si="19"/>
        <v>11.733333333333333</v>
      </c>
      <c r="Y6" s="105">
        <f t="shared" si="20"/>
        <v>11</v>
      </c>
      <c r="AA6" s="109">
        <f t="shared" si="21"/>
        <v>88</v>
      </c>
      <c r="AB6" s="105">
        <f t="shared" si="22"/>
        <v>44</v>
      </c>
      <c r="AC6" s="105">
        <f t="shared" si="23"/>
        <v>29.333333333333332</v>
      </c>
      <c r="AD6" s="105">
        <f t="shared" si="24"/>
        <v>22</v>
      </c>
      <c r="AE6" s="105">
        <f t="shared" si="25"/>
        <v>17.600000000000001</v>
      </c>
      <c r="AF6" s="105">
        <f t="shared" si="26"/>
        <v>14.666666666666666</v>
      </c>
      <c r="AG6" s="105">
        <f t="shared" si="27"/>
        <v>12.571428571428571</v>
      </c>
      <c r="AH6" s="105">
        <f t="shared" si="28"/>
        <v>11</v>
      </c>
      <c r="AI6" s="105">
        <f t="shared" si="29"/>
        <v>9.7777777777777768</v>
      </c>
      <c r="AJ6" s="105">
        <f t="shared" si="30"/>
        <v>8.8000000000000007</v>
      </c>
      <c r="AK6" s="105">
        <f t="shared" si="31"/>
        <v>8</v>
      </c>
      <c r="AL6" s="105">
        <f t="shared" si="32"/>
        <v>7.333333333333333</v>
      </c>
      <c r="AM6" s="105">
        <f t="shared" si="33"/>
        <v>6.7692307692307701</v>
      </c>
      <c r="AN6" s="105">
        <f t="shared" si="34"/>
        <v>6.2857142857142856</v>
      </c>
      <c r="AO6" s="105">
        <f t="shared" si="35"/>
        <v>5.8666666666666663</v>
      </c>
      <c r="AP6" s="105">
        <f t="shared" si="36"/>
        <v>5.5</v>
      </c>
      <c r="AQ6" s="109">
        <f t="shared" si="37"/>
        <v>44</v>
      </c>
      <c r="AR6" s="105">
        <f t="shared" si="38"/>
        <v>22</v>
      </c>
      <c r="AS6" s="105">
        <f t="shared" si="39"/>
        <v>14.666666666666666</v>
      </c>
      <c r="AT6" s="105">
        <f t="shared" si="40"/>
        <v>11</v>
      </c>
      <c r="AU6" s="105">
        <f t="shared" si="41"/>
        <v>8.8000000000000007</v>
      </c>
      <c r="AV6" s="105">
        <f t="shared" si="42"/>
        <v>7.333333333333333</v>
      </c>
      <c r="AW6" s="105">
        <f t="shared" si="43"/>
        <v>6.2857142857142856</v>
      </c>
      <c r="AX6" s="105">
        <f t="shared" si="44"/>
        <v>5.5</v>
      </c>
      <c r="AY6" s="105">
        <f t="shared" si="45"/>
        <v>4.8888888888888884</v>
      </c>
      <c r="AZ6" s="105">
        <f t="shared" si="46"/>
        <v>4.4000000000000004</v>
      </c>
      <c r="BA6" s="105">
        <f t="shared" si="47"/>
        <v>4</v>
      </c>
      <c r="BB6" s="105">
        <f t="shared" si="48"/>
        <v>3.6666666666666665</v>
      </c>
      <c r="BC6" s="105">
        <f t="shared" si="49"/>
        <v>3.384615384615385</v>
      </c>
      <c r="BD6" s="105">
        <f t="shared" si="50"/>
        <v>3.1428571428571428</v>
      </c>
      <c r="BE6" s="105">
        <f t="shared" si="51"/>
        <v>2.9333333333333331</v>
      </c>
      <c r="BF6" s="110">
        <f t="shared" si="52"/>
        <v>2.75</v>
      </c>
      <c r="BG6" s="105">
        <f t="shared" si="53"/>
        <v>29.333333333333332</v>
      </c>
      <c r="BH6" s="105">
        <f t="shared" si="54"/>
        <v>14.666666666666666</v>
      </c>
      <c r="BI6" s="105">
        <f t="shared" si="55"/>
        <v>9.7777777777777768</v>
      </c>
      <c r="BJ6" s="105">
        <f t="shared" si="56"/>
        <v>7.333333333333333</v>
      </c>
      <c r="BK6" s="105">
        <f t="shared" si="57"/>
        <v>5.8666666666666671</v>
      </c>
      <c r="BL6" s="105">
        <f t="shared" si="58"/>
        <v>4.8888888888888884</v>
      </c>
      <c r="BM6" s="105">
        <f t="shared" si="59"/>
        <v>4.1904761904761907</v>
      </c>
      <c r="BN6" s="105">
        <f t="shared" si="60"/>
        <v>3.6666666666666665</v>
      </c>
      <c r="BO6" s="105">
        <f t="shared" si="61"/>
        <v>3.2592592592592591</v>
      </c>
      <c r="BP6" s="105">
        <f t="shared" si="62"/>
        <v>2.9333333333333336</v>
      </c>
      <c r="BQ6" s="105">
        <f t="shared" si="63"/>
        <v>2.6666666666666665</v>
      </c>
      <c r="BR6" s="105">
        <f t="shared" si="64"/>
        <v>2.4444444444444442</v>
      </c>
      <c r="BS6" s="105">
        <f t="shared" si="65"/>
        <v>2.2564102564102568</v>
      </c>
      <c r="BT6" s="105">
        <f t="shared" si="66"/>
        <v>2.0952380952380953</v>
      </c>
      <c r="BU6" s="105">
        <f t="shared" si="67"/>
        <v>1.9555555555555555</v>
      </c>
      <c r="BV6" s="105">
        <f t="shared" si="68"/>
        <v>1.8333333333333333</v>
      </c>
      <c r="BW6" s="109">
        <f t="shared" si="69"/>
        <v>22</v>
      </c>
      <c r="BX6" s="105">
        <f t="shared" si="70"/>
        <v>11</v>
      </c>
      <c r="BY6" s="105">
        <f t="shared" si="71"/>
        <v>7.333333333333333</v>
      </c>
      <c r="BZ6" s="105">
        <f t="shared" si="72"/>
        <v>5.5</v>
      </c>
      <c r="CA6" s="105">
        <f t="shared" si="73"/>
        <v>4.4000000000000004</v>
      </c>
      <c r="CB6" s="105">
        <f t="shared" si="74"/>
        <v>3.6666666666666665</v>
      </c>
      <c r="CC6" s="105">
        <f t="shared" si="75"/>
        <v>3.1428571428571428</v>
      </c>
      <c r="CD6" s="105">
        <f t="shared" si="76"/>
        <v>2.75</v>
      </c>
      <c r="CE6" s="105">
        <f t="shared" si="77"/>
        <v>2.4444444444444442</v>
      </c>
      <c r="CF6" s="105">
        <f t="shared" si="78"/>
        <v>2.2000000000000002</v>
      </c>
      <c r="CG6" s="105">
        <f t="shared" si="79"/>
        <v>2</v>
      </c>
      <c r="CH6" s="105">
        <f t="shared" si="80"/>
        <v>1.8333333333333333</v>
      </c>
      <c r="CI6" s="105">
        <f t="shared" si="81"/>
        <v>1.6923076923076925</v>
      </c>
      <c r="CJ6" s="105">
        <f t="shared" si="82"/>
        <v>1.5714285714285714</v>
      </c>
      <c r="CK6" s="105">
        <f t="shared" si="83"/>
        <v>1.4666666666666666</v>
      </c>
      <c r="CL6" s="105">
        <f t="shared" si="84"/>
        <v>1.375</v>
      </c>
    </row>
    <row r="7" spans="1:130">
      <c r="D7" s="105">
        <v>5</v>
      </c>
      <c r="E7" s="105">
        <f t="shared" si="0"/>
        <v>3.2</v>
      </c>
      <c r="I7" s="105">
        <v>12</v>
      </c>
      <c r="J7" s="105">
        <f t="shared" si="5"/>
        <v>192</v>
      </c>
      <c r="K7" s="105">
        <f t="shared" si="6"/>
        <v>96</v>
      </c>
      <c r="L7" s="105">
        <f t="shared" si="7"/>
        <v>64</v>
      </c>
      <c r="M7" s="105">
        <f t="shared" si="8"/>
        <v>48</v>
      </c>
      <c r="N7" s="105">
        <f t="shared" si="9"/>
        <v>38.400000000000006</v>
      </c>
      <c r="O7" s="105">
        <f t="shared" si="10"/>
        <v>32</v>
      </c>
      <c r="P7" s="105">
        <f t="shared" si="11"/>
        <v>27.428571428571427</v>
      </c>
      <c r="Q7" s="105">
        <f t="shared" si="12"/>
        <v>24</v>
      </c>
      <c r="R7" s="105">
        <f t="shared" si="13"/>
        <v>21.333333333333332</v>
      </c>
      <c r="S7" s="105">
        <f t="shared" si="14"/>
        <v>19.200000000000003</v>
      </c>
      <c r="T7" s="105">
        <f t="shared" si="15"/>
        <v>17.454545454545453</v>
      </c>
      <c r="U7" s="105">
        <f t="shared" si="16"/>
        <v>16</v>
      </c>
      <c r="V7" s="105">
        <f t="shared" si="17"/>
        <v>14.76923076923077</v>
      </c>
      <c r="W7" s="105">
        <f t="shared" si="18"/>
        <v>13.714285714285714</v>
      </c>
      <c r="X7" s="105">
        <f t="shared" si="19"/>
        <v>12.8</v>
      </c>
      <c r="Y7" s="105">
        <f t="shared" si="20"/>
        <v>12</v>
      </c>
      <c r="AA7" s="109">
        <f t="shared" si="21"/>
        <v>96</v>
      </c>
      <c r="AB7" s="105">
        <f t="shared" si="22"/>
        <v>48</v>
      </c>
      <c r="AC7" s="105">
        <f t="shared" si="23"/>
        <v>32</v>
      </c>
      <c r="AD7" s="105">
        <f t="shared" si="24"/>
        <v>24</v>
      </c>
      <c r="AE7" s="105">
        <f t="shared" si="25"/>
        <v>19.200000000000003</v>
      </c>
      <c r="AF7" s="105">
        <f t="shared" si="26"/>
        <v>16</v>
      </c>
      <c r="AG7" s="105">
        <f t="shared" si="27"/>
        <v>13.714285714285714</v>
      </c>
      <c r="AH7" s="105">
        <f t="shared" si="28"/>
        <v>12</v>
      </c>
      <c r="AI7" s="105">
        <f t="shared" si="29"/>
        <v>10.666666666666666</v>
      </c>
      <c r="AJ7" s="105">
        <f t="shared" si="30"/>
        <v>9.6000000000000014</v>
      </c>
      <c r="AK7" s="105">
        <f t="shared" si="31"/>
        <v>8.7272727272727266</v>
      </c>
      <c r="AL7" s="105">
        <f t="shared" si="32"/>
        <v>8</v>
      </c>
      <c r="AM7" s="105">
        <f t="shared" si="33"/>
        <v>7.384615384615385</v>
      </c>
      <c r="AN7" s="105">
        <f t="shared" si="34"/>
        <v>6.8571428571428568</v>
      </c>
      <c r="AO7" s="105">
        <f t="shared" si="35"/>
        <v>6.4</v>
      </c>
      <c r="AP7" s="105">
        <f t="shared" si="36"/>
        <v>6</v>
      </c>
      <c r="AQ7" s="109">
        <f t="shared" si="37"/>
        <v>48</v>
      </c>
      <c r="AR7" s="105">
        <f t="shared" si="38"/>
        <v>24</v>
      </c>
      <c r="AS7" s="105">
        <f t="shared" si="39"/>
        <v>16</v>
      </c>
      <c r="AT7" s="105">
        <f t="shared" si="40"/>
        <v>12</v>
      </c>
      <c r="AU7" s="105">
        <f t="shared" si="41"/>
        <v>9.6000000000000014</v>
      </c>
      <c r="AV7" s="105">
        <f t="shared" si="42"/>
        <v>8</v>
      </c>
      <c r="AW7" s="105">
        <f t="shared" si="43"/>
        <v>6.8571428571428568</v>
      </c>
      <c r="AX7" s="105">
        <f t="shared" si="44"/>
        <v>6</v>
      </c>
      <c r="AY7" s="105">
        <f t="shared" si="45"/>
        <v>5.333333333333333</v>
      </c>
      <c r="AZ7" s="105">
        <f t="shared" si="46"/>
        <v>4.8000000000000007</v>
      </c>
      <c r="BA7" s="105">
        <f t="shared" si="47"/>
        <v>4.3636363636363633</v>
      </c>
      <c r="BB7" s="105">
        <f t="shared" si="48"/>
        <v>4</v>
      </c>
      <c r="BC7" s="105">
        <f t="shared" si="49"/>
        <v>3.6923076923076925</v>
      </c>
      <c r="BD7" s="105">
        <f t="shared" si="50"/>
        <v>3.4285714285714284</v>
      </c>
      <c r="BE7" s="105">
        <f t="shared" si="51"/>
        <v>3.2</v>
      </c>
      <c r="BF7" s="110">
        <f t="shared" si="52"/>
        <v>3</v>
      </c>
      <c r="BG7" s="105">
        <f t="shared" si="53"/>
        <v>32</v>
      </c>
      <c r="BH7" s="105">
        <f t="shared" si="54"/>
        <v>16</v>
      </c>
      <c r="BI7" s="105">
        <f t="shared" si="55"/>
        <v>10.666666666666666</v>
      </c>
      <c r="BJ7" s="105">
        <f t="shared" si="56"/>
        <v>8</v>
      </c>
      <c r="BK7" s="105">
        <f t="shared" si="57"/>
        <v>6.4000000000000012</v>
      </c>
      <c r="BL7" s="105">
        <f t="shared" si="58"/>
        <v>5.333333333333333</v>
      </c>
      <c r="BM7" s="105">
        <f t="shared" si="59"/>
        <v>4.5714285714285712</v>
      </c>
      <c r="BN7" s="105">
        <f t="shared" si="60"/>
        <v>4</v>
      </c>
      <c r="BO7" s="105">
        <f t="shared" si="61"/>
        <v>3.5555555555555554</v>
      </c>
      <c r="BP7" s="105">
        <f t="shared" si="62"/>
        <v>3.2000000000000006</v>
      </c>
      <c r="BQ7" s="105">
        <f t="shared" si="63"/>
        <v>2.9090909090909087</v>
      </c>
      <c r="BR7" s="105">
        <f t="shared" si="64"/>
        <v>2.6666666666666665</v>
      </c>
      <c r="BS7" s="105">
        <f t="shared" si="65"/>
        <v>2.4615384615384617</v>
      </c>
      <c r="BT7" s="105">
        <f t="shared" si="66"/>
        <v>2.2857142857142856</v>
      </c>
      <c r="BU7" s="105">
        <f t="shared" si="67"/>
        <v>2.1333333333333333</v>
      </c>
      <c r="BV7" s="105">
        <f t="shared" si="68"/>
        <v>2</v>
      </c>
      <c r="BW7" s="109">
        <f t="shared" si="69"/>
        <v>24</v>
      </c>
      <c r="BX7" s="105">
        <f t="shared" si="70"/>
        <v>12</v>
      </c>
      <c r="BY7" s="105">
        <f t="shared" si="71"/>
        <v>8</v>
      </c>
      <c r="BZ7" s="105">
        <f t="shared" si="72"/>
        <v>6</v>
      </c>
      <c r="CA7" s="105">
        <f t="shared" si="73"/>
        <v>4.8000000000000007</v>
      </c>
      <c r="CB7" s="105">
        <f t="shared" si="74"/>
        <v>4</v>
      </c>
      <c r="CC7" s="105">
        <f t="shared" si="75"/>
        <v>3.4285714285714284</v>
      </c>
      <c r="CD7" s="105">
        <f t="shared" si="76"/>
        <v>3</v>
      </c>
      <c r="CE7" s="105">
        <f t="shared" si="77"/>
        <v>2.6666666666666665</v>
      </c>
      <c r="CF7" s="105">
        <f t="shared" si="78"/>
        <v>2.4000000000000004</v>
      </c>
      <c r="CG7" s="105">
        <f t="shared" si="79"/>
        <v>2.1818181818181817</v>
      </c>
      <c r="CH7" s="105">
        <f t="shared" si="80"/>
        <v>2</v>
      </c>
      <c r="CI7" s="105">
        <f t="shared" si="81"/>
        <v>1.8461538461538463</v>
      </c>
      <c r="CJ7" s="105">
        <f t="shared" si="82"/>
        <v>1.7142857142857142</v>
      </c>
      <c r="CK7" s="105">
        <f t="shared" si="83"/>
        <v>1.6</v>
      </c>
      <c r="CL7" s="105">
        <f t="shared" si="84"/>
        <v>1.5</v>
      </c>
    </row>
    <row r="8" spans="1:130">
      <c r="D8" s="105">
        <v>6</v>
      </c>
      <c r="E8" s="105">
        <f t="shared" si="0"/>
        <v>2.6666666666666665</v>
      </c>
      <c r="I8" s="105">
        <v>13</v>
      </c>
      <c r="J8" s="105">
        <f t="shared" si="5"/>
        <v>208</v>
      </c>
      <c r="K8" s="105">
        <f t="shared" si="6"/>
        <v>104</v>
      </c>
      <c r="L8" s="105">
        <f t="shared" si="7"/>
        <v>69.333333333333329</v>
      </c>
      <c r="M8" s="105">
        <f t="shared" si="8"/>
        <v>52</v>
      </c>
      <c r="N8" s="105">
        <f t="shared" si="9"/>
        <v>41.6</v>
      </c>
      <c r="O8" s="105">
        <f t="shared" si="10"/>
        <v>34.666666666666664</v>
      </c>
      <c r="P8" s="105">
        <f t="shared" si="11"/>
        <v>29.714285714285712</v>
      </c>
      <c r="Q8" s="105">
        <f t="shared" si="12"/>
        <v>26</v>
      </c>
      <c r="R8" s="105">
        <f t="shared" si="13"/>
        <v>23.111111111111111</v>
      </c>
      <c r="S8" s="105">
        <f t="shared" si="14"/>
        <v>20.8</v>
      </c>
      <c r="T8" s="105">
        <f t="shared" si="15"/>
        <v>18.90909090909091</v>
      </c>
      <c r="U8" s="105">
        <f t="shared" si="16"/>
        <v>17.333333333333332</v>
      </c>
      <c r="V8" s="105">
        <f t="shared" si="17"/>
        <v>16</v>
      </c>
      <c r="W8" s="105">
        <f t="shared" si="18"/>
        <v>14.857142857142856</v>
      </c>
      <c r="X8" s="105">
        <f t="shared" si="19"/>
        <v>13.866666666666667</v>
      </c>
      <c r="Y8" s="105">
        <f t="shared" si="20"/>
        <v>13</v>
      </c>
      <c r="AA8" s="109">
        <f t="shared" si="21"/>
        <v>104</v>
      </c>
      <c r="AB8" s="105">
        <f t="shared" si="22"/>
        <v>52</v>
      </c>
      <c r="AC8" s="105">
        <f t="shared" si="23"/>
        <v>34.666666666666664</v>
      </c>
      <c r="AD8" s="105">
        <f t="shared" si="24"/>
        <v>26</v>
      </c>
      <c r="AE8" s="105">
        <f t="shared" si="25"/>
        <v>20.8</v>
      </c>
      <c r="AF8" s="105">
        <f t="shared" si="26"/>
        <v>17.333333333333332</v>
      </c>
      <c r="AG8" s="105">
        <f t="shared" si="27"/>
        <v>14.857142857142856</v>
      </c>
      <c r="AH8" s="105">
        <f t="shared" si="28"/>
        <v>13</v>
      </c>
      <c r="AI8" s="105">
        <f t="shared" si="29"/>
        <v>11.555555555555555</v>
      </c>
      <c r="AJ8" s="105">
        <f t="shared" si="30"/>
        <v>10.4</v>
      </c>
      <c r="AK8" s="105">
        <f t="shared" si="31"/>
        <v>9.454545454545455</v>
      </c>
      <c r="AL8" s="105">
        <f t="shared" si="32"/>
        <v>8.6666666666666661</v>
      </c>
      <c r="AM8" s="105">
        <f t="shared" si="33"/>
        <v>8</v>
      </c>
      <c r="AN8" s="105">
        <f t="shared" si="34"/>
        <v>7.4285714285714279</v>
      </c>
      <c r="AO8" s="105">
        <f t="shared" si="35"/>
        <v>6.9333333333333336</v>
      </c>
      <c r="AP8" s="105">
        <f t="shared" si="36"/>
        <v>6.5</v>
      </c>
      <c r="AQ8" s="109">
        <f t="shared" si="37"/>
        <v>52</v>
      </c>
      <c r="AR8" s="105">
        <f t="shared" si="38"/>
        <v>26</v>
      </c>
      <c r="AS8" s="105">
        <f t="shared" si="39"/>
        <v>17.333333333333332</v>
      </c>
      <c r="AT8" s="105">
        <f t="shared" si="40"/>
        <v>13</v>
      </c>
      <c r="AU8" s="105">
        <f t="shared" si="41"/>
        <v>10.4</v>
      </c>
      <c r="AV8" s="105">
        <f t="shared" si="42"/>
        <v>8.6666666666666661</v>
      </c>
      <c r="AW8" s="105">
        <f t="shared" si="43"/>
        <v>7.4285714285714279</v>
      </c>
      <c r="AX8" s="105">
        <f t="shared" si="44"/>
        <v>6.5</v>
      </c>
      <c r="AY8" s="105">
        <f t="shared" si="45"/>
        <v>5.7777777777777777</v>
      </c>
      <c r="AZ8" s="105">
        <f t="shared" si="46"/>
        <v>5.2</v>
      </c>
      <c r="BA8" s="105">
        <f t="shared" si="47"/>
        <v>4.7272727272727275</v>
      </c>
      <c r="BB8" s="105">
        <f t="shared" si="48"/>
        <v>4.333333333333333</v>
      </c>
      <c r="BC8" s="105">
        <f t="shared" si="49"/>
        <v>4</v>
      </c>
      <c r="BD8" s="105">
        <f t="shared" si="50"/>
        <v>3.714285714285714</v>
      </c>
      <c r="BE8" s="105">
        <f t="shared" si="51"/>
        <v>3.4666666666666668</v>
      </c>
      <c r="BF8" s="110">
        <f t="shared" si="52"/>
        <v>3.25</v>
      </c>
      <c r="BG8" s="105">
        <f t="shared" si="53"/>
        <v>34.666666666666664</v>
      </c>
      <c r="BH8" s="105">
        <f t="shared" si="54"/>
        <v>17.333333333333332</v>
      </c>
      <c r="BI8" s="105">
        <f t="shared" si="55"/>
        <v>11.555555555555555</v>
      </c>
      <c r="BJ8" s="105">
        <f t="shared" si="56"/>
        <v>8.6666666666666661</v>
      </c>
      <c r="BK8" s="105">
        <f t="shared" si="57"/>
        <v>6.9333333333333336</v>
      </c>
      <c r="BL8" s="105">
        <f t="shared" si="58"/>
        <v>5.7777777777777777</v>
      </c>
      <c r="BM8" s="105">
        <f t="shared" si="59"/>
        <v>4.9523809523809517</v>
      </c>
      <c r="BN8" s="105">
        <f t="shared" si="60"/>
        <v>4.333333333333333</v>
      </c>
      <c r="BO8" s="105">
        <f t="shared" si="61"/>
        <v>3.8518518518518516</v>
      </c>
      <c r="BP8" s="105">
        <f t="shared" si="62"/>
        <v>3.4666666666666668</v>
      </c>
      <c r="BQ8" s="105">
        <f t="shared" si="63"/>
        <v>3.1515151515151518</v>
      </c>
      <c r="BR8" s="105">
        <f t="shared" si="64"/>
        <v>2.8888888888888888</v>
      </c>
      <c r="BS8" s="105">
        <f t="shared" si="65"/>
        <v>2.6666666666666665</v>
      </c>
      <c r="BT8" s="105">
        <f t="shared" si="66"/>
        <v>2.4761904761904758</v>
      </c>
      <c r="BU8" s="105">
        <f t="shared" si="67"/>
        <v>2.3111111111111113</v>
      </c>
      <c r="BV8" s="105">
        <f t="shared" si="68"/>
        <v>2.1666666666666665</v>
      </c>
      <c r="BW8" s="109">
        <f t="shared" si="69"/>
        <v>26</v>
      </c>
      <c r="BX8" s="105">
        <f t="shared" si="70"/>
        <v>13</v>
      </c>
      <c r="BY8" s="105">
        <f t="shared" si="71"/>
        <v>8.6666666666666661</v>
      </c>
      <c r="BZ8" s="105">
        <f t="shared" si="72"/>
        <v>6.5</v>
      </c>
      <c r="CA8" s="105">
        <f t="shared" si="73"/>
        <v>5.2</v>
      </c>
      <c r="CB8" s="105">
        <f t="shared" si="74"/>
        <v>4.333333333333333</v>
      </c>
      <c r="CC8" s="105">
        <f t="shared" si="75"/>
        <v>3.714285714285714</v>
      </c>
      <c r="CD8" s="105">
        <f t="shared" si="76"/>
        <v>3.25</v>
      </c>
      <c r="CE8" s="105">
        <f t="shared" si="77"/>
        <v>2.8888888888888888</v>
      </c>
      <c r="CF8" s="105">
        <f t="shared" si="78"/>
        <v>2.6</v>
      </c>
      <c r="CG8" s="105">
        <f t="shared" si="79"/>
        <v>2.3636363636363638</v>
      </c>
      <c r="CH8" s="105">
        <f t="shared" si="80"/>
        <v>2.1666666666666665</v>
      </c>
      <c r="CI8" s="105">
        <f t="shared" si="81"/>
        <v>2</v>
      </c>
      <c r="CJ8" s="105">
        <f t="shared" si="82"/>
        <v>1.857142857142857</v>
      </c>
      <c r="CK8" s="105">
        <f t="shared" si="83"/>
        <v>1.7333333333333334</v>
      </c>
      <c r="CL8" s="105">
        <f t="shared" si="84"/>
        <v>1.625</v>
      </c>
    </row>
    <row r="9" spans="1:130">
      <c r="D9" s="105">
        <v>7</v>
      </c>
      <c r="E9" s="105">
        <f t="shared" si="0"/>
        <v>2.2857142857142856</v>
      </c>
      <c r="I9" s="105">
        <v>14</v>
      </c>
      <c r="J9" s="105">
        <f t="shared" si="5"/>
        <v>224</v>
      </c>
      <c r="K9" s="105">
        <f t="shared" si="6"/>
        <v>112</v>
      </c>
      <c r="L9" s="105">
        <f t="shared" si="7"/>
        <v>74.666666666666657</v>
      </c>
      <c r="M9" s="105">
        <f t="shared" si="8"/>
        <v>56</v>
      </c>
      <c r="N9" s="105">
        <f t="shared" si="9"/>
        <v>44.800000000000004</v>
      </c>
      <c r="O9" s="105">
        <f t="shared" si="10"/>
        <v>37.333333333333329</v>
      </c>
      <c r="P9" s="105">
        <f t="shared" si="11"/>
        <v>32</v>
      </c>
      <c r="Q9" s="105">
        <f t="shared" si="12"/>
        <v>28</v>
      </c>
      <c r="R9" s="105">
        <f t="shared" si="13"/>
        <v>24.888888888888886</v>
      </c>
      <c r="S9" s="105">
        <f t="shared" si="14"/>
        <v>22.400000000000002</v>
      </c>
      <c r="T9" s="105">
        <f t="shared" si="15"/>
        <v>20.363636363636363</v>
      </c>
      <c r="U9" s="105">
        <f t="shared" si="16"/>
        <v>18.666666666666664</v>
      </c>
      <c r="V9" s="105">
        <f t="shared" si="17"/>
        <v>17.230769230769234</v>
      </c>
      <c r="W9" s="105">
        <f t="shared" si="18"/>
        <v>16</v>
      </c>
      <c r="X9" s="105">
        <f t="shared" si="19"/>
        <v>14.933333333333334</v>
      </c>
      <c r="Y9" s="105">
        <f t="shared" si="20"/>
        <v>14</v>
      </c>
      <c r="AA9" s="109">
        <f t="shared" si="21"/>
        <v>112</v>
      </c>
      <c r="AB9" s="105">
        <f t="shared" si="22"/>
        <v>56</v>
      </c>
      <c r="AC9" s="105">
        <f t="shared" si="23"/>
        <v>37.333333333333329</v>
      </c>
      <c r="AD9" s="105">
        <f t="shared" si="24"/>
        <v>28</v>
      </c>
      <c r="AE9" s="105">
        <f t="shared" si="25"/>
        <v>22.400000000000002</v>
      </c>
      <c r="AF9" s="105">
        <f t="shared" si="26"/>
        <v>18.666666666666664</v>
      </c>
      <c r="AG9" s="105">
        <f t="shared" si="27"/>
        <v>16</v>
      </c>
      <c r="AH9" s="105">
        <f t="shared" si="28"/>
        <v>14</v>
      </c>
      <c r="AI9" s="105">
        <f t="shared" si="29"/>
        <v>12.444444444444443</v>
      </c>
      <c r="AJ9" s="105">
        <f t="shared" si="30"/>
        <v>11.200000000000001</v>
      </c>
      <c r="AK9" s="105">
        <f t="shared" si="31"/>
        <v>10.181818181818182</v>
      </c>
      <c r="AL9" s="105">
        <f t="shared" si="32"/>
        <v>9.3333333333333321</v>
      </c>
      <c r="AM9" s="105">
        <f t="shared" si="33"/>
        <v>8.6153846153846168</v>
      </c>
      <c r="AN9" s="105">
        <f t="shared" si="34"/>
        <v>8</v>
      </c>
      <c r="AO9" s="105">
        <f t="shared" si="35"/>
        <v>7.4666666666666668</v>
      </c>
      <c r="AP9" s="105">
        <f t="shared" si="36"/>
        <v>7</v>
      </c>
      <c r="AQ9" s="109">
        <f t="shared" si="37"/>
        <v>56</v>
      </c>
      <c r="AR9" s="105">
        <f t="shared" si="38"/>
        <v>28</v>
      </c>
      <c r="AS9" s="105">
        <f t="shared" si="39"/>
        <v>18.666666666666664</v>
      </c>
      <c r="AT9" s="105">
        <f t="shared" si="40"/>
        <v>14</v>
      </c>
      <c r="AU9" s="105">
        <f t="shared" si="41"/>
        <v>11.200000000000001</v>
      </c>
      <c r="AV9" s="105">
        <f t="shared" si="42"/>
        <v>9.3333333333333321</v>
      </c>
      <c r="AW9" s="105">
        <f t="shared" si="43"/>
        <v>8</v>
      </c>
      <c r="AX9" s="105">
        <f t="shared" si="44"/>
        <v>7</v>
      </c>
      <c r="AY9" s="105">
        <f t="shared" si="45"/>
        <v>6.2222222222222214</v>
      </c>
      <c r="AZ9" s="105">
        <f t="shared" si="46"/>
        <v>5.6000000000000005</v>
      </c>
      <c r="BA9" s="105">
        <f t="shared" si="47"/>
        <v>5.0909090909090908</v>
      </c>
      <c r="BB9" s="105">
        <f t="shared" si="48"/>
        <v>4.6666666666666661</v>
      </c>
      <c r="BC9" s="105">
        <f t="shared" si="49"/>
        <v>4.3076923076923084</v>
      </c>
      <c r="BD9" s="105">
        <f t="shared" si="50"/>
        <v>4</v>
      </c>
      <c r="BE9" s="105">
        <f t="shared" si="51"/>
        <v>3.7333333333333334</v>
      </c>
      <c r="BF9" s="110">
        <f t="shared" si="52"/>
        <v>3.5</v>
      </c>
      <c r="BG9" s="105">
        <f t="shared" si="53"/>
        <v>37.333333333333336</v>
      </c>
      <c r="BH9" s="105">
        <f t="shared" si="54"/>
        <v>18.666666666666668</v>
      </c>
      <c r="BI9" s="105">
        <f t="shared" si="55"/>
        <v>12.444444444444443</v>
      </c>
      <c r="BJ9" s="105">
        <f t="shared" si="56"/>
        <v>9.3333333333333339</v>
      </c>
      <c r="BK9" s="105">
        <f t="shared" si="57"/>
        <v>7.4666666666666677</v>
      </c>
      <c r="BL9" s="105">
        <f t="shared" si="58"/>
        <v>6.2222222222222214</v>
      </c>
      <c r="BM9" s="105">
        <f t="shared" si="59"/>
        <v>5.333333333333333</v>
      </c>
      <c r="BN9" s="105">
        <f t="shared" si="60"/>
        <v>4.666666666666667</v>
      </c>
      <c r="BO9" s="105">
        <f t="shared" si="61"/>
        <v>4.1481481481481479</v>
      </c>
      <c r="BP9" s="105">
        <f t="shared" si="62"/>
        <v>3.7333333333333338</v>
      </c>
      <c r="BQ9" s="105">
        <f t="shared" si="63"/>
        <v>3.393939393939394</v>
      </c>
      <c r="BR9" s="105">
        <f t="shared" si="64"/>
        <v>3.1111111111111107</v>
      </c>
      <c r="BS9" s="105">
        <f t="shared" si="65"/>
        <v>2.8717948717948723</v>
      </c>
      <c r="BT9" s="105">
        <f t="shared" si="66"/>
        <v>2.6666666666666665</v>
      </c>
      <c r="BU9" s="105">
        <f t="shared" si="67"/>
        <v>2.4888888888888889</v>
      </c>
      <c r="BV9" s="105">
        <f t="shared" si="68"/>
        <v>2.3333333333333335</v>
      </c>
      <c r="BW9" s="109">
        <f t="shared" si="69"/>
        <v>28</v>
      </c>
      <c r="BX9" s="105">
        <f t="shared" si="70"/>
        <v>14</v>
      </c>
      <c r="BY9" s="105">
        <f t="shared" si="71"/>
        <v>9.3333333333333321</v>
      </c>
      <c r="BZ9" s="105">
        <f t="shared" si="72"/>
        <v>7</v>
      </c>
      <c r="CA9" s="105">
        <f t="shared" si="73"/>
        <v>5.6000000000000005</v>
      </c>
      <c r="CB9" s="105">
        <f t="shared" si="74"/>
        <v>4.6666666666666661</v>
      </c>
      <c r="CC9" s="105">
        <f t="shared" si="75"/>
        <v>4</v>
      </c>
      <c r="CD9" s="105">
        <f t="shared" si="76"/>
        <v>3.5</v>
      </c>
      <c r="CE9" s="105">
        <f t="shared" si="77"/>
        <v>3.1111111111111107</v>
      </c>
      <c r="CF9" s="105">
        <f t="shared" si="78"/>
        <v>2.8000000000000003</v>
      </c>
      <c r="CG9" s="105">
        <f t="shared" si="79"/>
        <v>2.5454545454545454</v>
      </c>
      <c r="CH9" s="105">
        <f t="shared" si="80"/>
        <v>2.333333333333333</v>
      </c>
      <c r="CI9" s="105">
        <f t="shared" si="81"/>
        <v>2.1538461538461542</v>
      </c>
      <c r="CJ9" s="105">
        <f t="shared" si="82"/>
        <v>2</v>
      </c>
      <c r="CK9" s="105">
        <f t="shared" si="83"/>
        <v>1.8666666666666667</v>
      </c>
      <c r="CL9" s="105">
        <f t="shared" si="84"/>
        <v>1.75</v>
      </c>
    </row>
    <row r="10" spans="1:130">
      <c r="D10" s="105">
        <v>8</v>
      </c>
      <c r="E10" s="105">
        <f t="shared" si="0"/>
        <v>2</v>
      </c>
      <c r="I10" s="105">
        <v>15</v>
      </c>
      <c r="J10" s="105">
        <f t="shared" si="5"/>
        <v>240</v>
      </c>
      <c r="K10" s="105">
        <f t="shared" si="6"/>
        <v>120</v>
      </c>
      <c r="L10" s="105">
        <f t="shared" si="7"/>
        <v>80</v>
      </c>
      <c r="M10" s="105">
        <f t="shared" si="8"/>
        <v>60</v>
      </c>
      <c r="N10" s="105">
        <f t="shared" si="9"/>
        <v>48</v>
      </c>
      <c r="O10" s="105">
        <f t="shared" si="10"/>
        <v>40</v>
      </c>
      <c r="P10" s="105">
        <f t="shared" si="11"/>
        <v>34.285714285714285</v>
      </c>
      <c r="Q10" s="105">
        <f t="shared" si="12"/>
        <v>30</v>
      </c>
      <c r="R10" s="105">
        <f t="shared" si="13"/>
        <v>26.666666666666664</v>
      </c>
      <c r="S10" s="105">
        <f t="shared" si="14"/>
        <v>24</v>
      </c>
      <c r="T10" s="105">
        <f t="shared" si="15"/>
        <v>21.81818181818182</v>
      </c>
      <c r="U10" s="105">
        <f t="shared" si="16"/>
        <v>20</v>
      </c>
      <c r="V10" s="105">
        <f t="shared" si="17"/>
        <v>18.461538461538463</v>
      </c>
      <c r="W10" s="105">
        <f t="shared" si="18"/>
        <v>17.142857142857142</v>
      </c>
      <c r="X10" s="105">
        <f t="shared" si="19"/>
        <v>16</v>
      </c>
      <c r="Y10" s="105">
        <f t="shared" si="20"/>
        <v>15</v>
      </c>
      <c r="AA10" s="109">
        <f t="shared" si="21"/>
        <v>120</v>
      </c>
      <c r="AB10" s="105">
        <f t="shared" si="22"/>
        <v>60</v>
      </c>
      <c r="AC10" s="105">
        <f t="shared" si="23"/>
        <v>40</v>
      </c>
      <c r="AD10" s="105">
        <f t="shared" si="24"/>
        <v>30</v>
      </c>
      <c r="AE10" s="105">
        <f t="shared" si="25"/>
        <v>24</v>
      </c>
      <c r="AF10" s="105">
        <f t="shared" si="26"/>
        <v>20</v>
      </c>
      <c r="AG10" s="105">
        <f t="shared" si="27"/>
        <v>17.142857142857142</v>
      </c>
      <c r="AH10" s="105">
        <f t="shared" si="28"/>
        <v>15</v>
      </c>
      <c r="AI10" s="105">
        <f t="shared" si="29"/>
        <v>13.333333333333332</v>
      </c>
      <c r="AJ10" s="105">
        <f t="shared" si="30"/>
        <v>12</v>
      </c>
      <c r="AK10" s="105">
        <f t="shared" si="31"/>
        <v>10.90909090909091</v>
      </c>
      <c r="AL10" s="105">
        <f t="shared" si="32"/>
        <v>10</v>
      </c>
      <c r="AM10" s="105">
        <f t="shared" si="33"/>
        <v>9.2307692307692317</v>
      </c>
      <c r="AN10" s="105">
        <f t="shared" si="34"/>
        <v>8.5714285714285712</v>
      </c>
      <c r="AO10" s="105">
        <f t="shared" si="35"/>
        <v>8</v>
      </c>
      <c r="AP10" s="105">
        <f t="shared" si="36"/>
        <v>7.5</v>
      </c>
      <c r="AQ10" s="109">
        <f t="shared" si="37"/>
        <v>60</v>
      </c>
      <c r="AR10" s="105">
        <f t="shared" si="38"/>
        <v>30</v>
      </c>
      <c r="AS10" s="105">
        <f t="shared" si="39"/>
        <v>20</v>
      </c>
      <c r="AT10" s="105">
        <f t="shared" si="40"/>
        <v>15</v>
      </c>
      <c r="AU10" s="105">
        <f t="shared" si="41"/>
        <v>12</v>
      </c>
      <c r="AV10" s="105">
        <f t="shared" si="42"/>
        <v>10</v>
      </c>
      <c r="AW10" s="105">
        <f t="shared" si="43"/>
        <v>8.5714285714285712</v>
      </c>
      <c r="AX10" s="105">
        <f t="shared" si="44"/>
        <v>7.5</v>
      </c>
      <c r="AY10" s="105">
        <f t="shared" si="45"/>
        <v>6.6666666666666661</v>
      </c>
      <c r="AZ10" s="105">
        <f t="shared" si="46"/>
        <v>6</v>
      </c>
      <c r="BA10" s="105">
        <f t="shared" si="47"/>
        <v>5.454545454545455</v>
      </c>
      <c r="BB10" s="105">
        <f t="shared" si="48"/>
        <v>5</v>
      </c>
      <c r="BC10" s="105">
        <f t="shared" si="49"/>
        <v>4.6153846153846159</v>
      </c>
      <c r="BD10" s="105">
        <f t="shared" si="50"/>
        <v>4.2857142857142856</v>
      </c>
      <c r="BE10" s="105">
        <f t="shared" si="51"/>
        <v>4</v>
      </c>
      <c r="BF10" s="110">
        <f t="shared" si="52"/>
        <v>3.75</v>
      </c>
      <c r="BG10" s="105">
        <f t="shared" si="53"/>
        <v>40</v>
      </c>
      <c r="BH10" s="105">
        <f t="shared" si="54"/>
        <v>20</v>
      </c>
      <c r="BI10" s="105">
        <f t="shared" si="55"/>
        <v>13.333333333333334</v>
      </c>
      <c r="BJ10" s="105">
        <f t="shared" si="56"/>
        <v>10</v>
      </c>
      <c r="BK10" s="105">
        <f t="shared" si="57"/>
        <v>8</v>
      </c>
      <c r="BL10" s="105">
        <f t="shared" si="58"/>
        <v>6.666666666666667</v>
      </c>
      <c r="BM10" s="105">
        <f t="shared" si="59"/>
        <v>5.7142857142857144</v>
      </c>
      <c r="BN10" s="105">
        <f t="shared" si="60"/>
        <v>5</v>
      </c>
      <c r="BO10" s="105">
        <f t="shared" si="61"/>
        <v>4.4444444444444438</v>
      </c>
      <c r="BP10" s="105">
        <f t="shared" si="62"/>
        <v>4</v>
      </c>
      <c r="BQ10" s="105">
        <f t="shared" si="63"/>
        <v>3.6363636363636367</v>
      </c>
      <c r="BR10" s="105">
        <f t="shared" si="64"/>
        <v>3.3333333333333335</v>
      </c>
      <c r="BS10" s="105">
        <f t="shared" si="65"/>
        <v>3.0769230769230771</v>
      </c>
      <c r="BT10" s="105">
        <f t="shared" si="66"/>
        <v>2.8571428571428572</v>
      </c>
      <c r="BU10" s="105">
        <f t="shared" si="67"/>
        <v>2.6666666666666665</v>
      </c>
      <c r="BV10" s="105">
        <f t="shared" si="68"/>
        <v>2.5</v>
      </c>
      <c r="BW10" s="109">
        <f t="shared" si="69"/>
        <v>30</v>
      </c>
      <c r="BX10" s="105">
        <f t="shared" si="70"/>
        <v>15</v>
      </c>
      <c r="BY10" s="105">
        <f t="shared" si="71"/>
        <v>10</v>
      </c>
      <c r="BZ10" s="105">
        <f t="shared" si="72"/>
        <v>7.5</v>
      </c>
      <c r="CA10" s="105">
        <f t="shared" si="73"/>
        <v>6</v>
      </c>
      <c r="CB10" s="105">
        <f t="shared" si="74"/>
        <v>5</v>
      </c>
      <c r="CC10" s="105">
        <f t="shared" si="75"/>
        <v>4.2857142857142856</v>
      </c>
      <c r="CD10" s="105">
        <f t="shared" si="76"/>
        <v>3.75</v>
      </c>
      <c r="CE10" s="105">
        <f t="shared" si="77"/>
        <v>3.333333333333333</v>
      </c>
      <c r="CF10" s="105">
        <f t="shared" si="78"/>
        <v>3</v>
      </c>
      <c r="CG10" s="105">
        <f t="shared" si="79"/>
        <v>2.7272727272727275</v>
      </c>
      <c r="CH10" s="105">
        <f t="shared" si="80"/>
        <v>2.5</v>
      </c>
      <c r="CI10" s="105">
        <f t="shared" si="81"/>
        <v>2.3076923076923079</v>
      </c>
      <c r="CJ10" s="105">
        <f t="shared" si="82"/>
        <v>2.1428571428571428</v>
      </c>
      <c r="CK10" s="105">
        <f t="shared" si="83"/>
        <v>2</v>
      </c>
      <c r="CL10" s="105">
        <f t="shared" si="84"/>
        <v>1.875</v>
      </c>
    </row>
    <row r="11" spans="1:130">
      <c r="D11" s="105">
        <v>9</v>
      </c>
      <c r="E11" s="105">
        <f t="shared" si="0"/>
        <v>1.7777777777777777</v>
      </c>
      <c r="I11" s="105">
        <v>16</v>
      </c>
      <c r="J11" s="105">
        <f t="shared" si="5"/>
        <v>256</v>
      </c>
      <c r="K11" s="105">
        <f t="shared" si="6"/>
        <v>128</v>
      </c>
      <c r="L11" s="105">
        <f t="shared" si="7"/>
        <v>85.333333333333329</v>
      </c>
      <c r="M11" s="105">
        <f t="shared" si="8"/>
        <v>64</v>
      </c>
      <c r="N11" s="105">
        <f t="shared" si="9"/>
        <v>51.2</v>
      </c>
      <c r="O11" s="105">
        <f t="shared" si="10"/>
        <v>42.666666666666664</v>
      </c>
      <c r="P11" s="105">
        <f t="shared" si="11"/>
        <v>36.571428571428569</v>
      </c>
      <c r="Q11" s="105">
        <f t="shared" si="12"/>
        <v>32</v>
      </c>
      <c r="R11" s="105">
        <f t="shared" si="13"/>
        <v>28.444444444444443</v>
      </c>
      <c r="S11" s="105">
        <f t="shared" si="14"/>
        <v>25.6</v>
      </c>
      <c r="T11" s="105">
        <f t="shared" si="15"/>
        <v>23.272727272727273</v>
      </c>
      <c r="U11" s="105">
        <f t="shared" si="16"/>
        <v>21.333333333333332</v>
      </c>
      <c r="V11" s="105">
        <f t="shared" si="17"/>
        <v>19.692307692307693</v>
      </c>
      <c r="W11" s="105">
        <f t="shared" si="18"/>
        <v>18.285714285714285</v>
      </c>
      <c r="X11" s="105">
        <f t="shared" si="19"/>
        <v>17.066666666666666</v>
      </c>
      <c r="Y11" s="105">
        <f t="shared" si="20"/>
        <v>16</v>
      </c>
      <c r="AA11" s="109">
        <f t="shared" si="21"/>
        <v>128</v>
      </c>
      <c r="AB11" s="105">
        <f t="shared" si="22"/>
        <v>64</v>
      </c>
      <c r="AC11" s="105">
        <f t="shared" si="23"/>
        <v>42.666666666666664</v>
      </c>
      <c r="AD11" s="105">
        <f t="shared" si="24"/>
        <v>32</v>
      </c>
      <c r="AE11" s="105">
        <f t="shared" si="25"/>
        <v>25.6</v>
      </c>
      <c r="AF11" s="105">
        <f t="shared" si="26"/>
        <v>21.333333333333332</v>
      </c>
      <c r="AG11" s="105">
        <f t="shared" si="27"/>
        <v>18.285714285714285</v>
      </c>
      <c r="AH11" s="105">
        <f t="shared" si="28"/>
        <v>16</v>
      </c>
      <c r="AI11" s="105">
        <f t="shared" si="29"/>
        <v>14.222222222222221</v>
      </c>
      <c r="AJ11" s="105">
        <f t="shared" si="30"/>
        <v>12.8</v>
      </c>
      <c r="AK11" s="105">
        <f t="shared" si="31"/>
        <v>11.636363636363637</v>
      </c>
      <c r="AL11" s="105">
        <f t="shared" si="32"/>
        <v>10.666666666666666</v>
      </c>
      <c r="AM11" s="105">
        <f t="shared" si="33"/>
        <v>9.8461538461538467</v>
      </c>
      <c r="AN11" s="105">
        <f t="shared" si="34"/>
        <v>9.1428571428571423</v>
      </c>
      <c r="AO11" s="105">
        <f t="shared" si="35"/>
        <v>8.5333333333333332</v>
      </c>
      <c r="AP11" s="105">
        <f t="shared" si="36"/>
        <v>8</v>
      </c>
      <c r="AQ11" s="109">
        <f t="shared" si="37"/>
        <v>64</v>
      </c>
      <c r="AR11" s="105">
        <f t="shared" si="38"/>
        <v>32</v>
      </c>
      <c r="AS11" s="105">
        <f t="shared" si="39"/>
        <v>21.333333333333332</v>
      </c>
      <c r="AT11" s="105">
        <f t="shared" si="40"/>
        <v>16</v>
      </c>
      <c r="AU11" s="105">
        <f t="shared" si="41"/>
        <v>12.8</v>
      </c>
      <c r="AV11" s="105">
        <f t="shared" si="42"/>
        <v>10.666666666666666</v>
      </c>
      <c r="AW11" s="105">
        <f t="shared" si="43"/>
        <v>9.1428571428571423</v>
      </c>
      <c r="AX11" s="105">
        <f t="shared" si="44"/>
        <v>8</v>
      </c>
      <c r="AY11" s="105">
        <f t="shared" si="45"/>
        <v>7.1111111111111107</v>
      </c>
      <c r="AZ11" s="105">
        <f t="shared" si="46"/>
        <v>6.4</v>
      </c>
      <c r="BA11" s="105">
        <f t="shared" si="47"/>
        <v>5.8181818181818183</v>
      </c>
      <c r="BB11" s="105">
        <f t="shared" si="48"/>
        <v>5.333333333333333</v>
      </c>
      <c r="BC11" s="105">
        <f t="shared" si="49"/>
        <v>4.9230769230769234</v>
      </c>
      <c r="BD11" s="105">
        <f t="shared" si="50"/>
        <v>4.5714285714285712</v>
      </c>
      <c r="BE11" s="105">
        <f t="shared" si="51"/>
        <v>4.2666666666666666</v>
      </c>
      <c r="BF11" s="110">
        <f t="shared" si="52"/>
        <v>4</v>
      </c>
      <c r="BG11" s="105">
        <f t="shared" si="53"/>
        <v>42.666666666666664</v>
      </c>
      <c r="BH11" s="105">
        <f t="shared" si="54"/>
        <v>21.333333333333332</v>
      </c>
      <c r="BI11" s="105">
        <f t="shared" si="55"/>
        <v>14.222222222222221</v>
      </c>
      <c r="BJ11" s="105">
        <f t="shared" si="56"/>
        <v>10.666666666666666</v>
      </c>
      <c r="BK11" s="105">
        <f t="shared" si="57"/>
        <v>8.5333333333333332</v>
      </c>
      <c r="BL11" s="105">
        <f t="shared" si="58"/>
        <v>7.1111111111111107</v>
      </c>
      <c r="BM11" s="105">
        <f t="shared" si="59"/>
        <v>6.0952380952380949</v>
      </c>
      <c r="BN11" s="105">
        <f t="shared" si="60"/>
        <v>5.333333333333333</v>
      </c>
      <c r="BO11" s="105">
        <f t="shared" si="61"/>
        <v>4.7407407407407405</v>
      </c>
      <c r="BP11" s="105">
        <f t="shared" si="62"/>
        <v>4.2666666666666666</v>
      </c>
      <c r="BQ11" s="105">
        <f t="shared" si="63"/>
        <v>3.8787878787878789</v>
      </c>
      <c r="BR11" s="105">
        <f t="shared" si="64"/>
        <v>3.5555555555555554</v>
      </c>
      <c r="BS11" s="105">
        <f t="shared" si="65"/>
        <v>3.2820512820512824</v>
      </c>
      <c r="BT11" s="105">
        <f t="shared" si="66"/>
        <v>3.0476190476190474</v>
      </c>
      <c r="BU11" s="105">
        <f t="shared" si="67"/>
        <v>2.8444444444444446</v>
      </c>
      <c r="BV11" s="105">
        <f t="shared" si="68"/>
        <v>2.6666666666666665</v>
      </c>
      <c r="BW11" s="109">
        <f t="shared" si="69"/>
        <v>32</v>
      </c>
      <c r="BX11" s="105">
        <f t="shared" si="70"/>
        <v>16</v>
      </c>
      <c r="BY11" s="105">
        <f t="shared" si="71"/>
        <v>10.666666666666666</v>
      </c>
      <c r="BZ11" s="105">
        <f t="shared" si="72"/>
        <v>8</v>
      </c>
      <c r="CA11" s="105">
        <f t="shared" si="73"/>
        <v>6.4</v>
      </c>
      <c r="CB11" s="105">
        <f t="shared" si="74"/>
        <v>5.333333333333333</v>
      </c>
      <c r="CC11" s="105">
        <f t="shared" si="75"/>
        <v>4.5714285714285712</v>
      </c>
      <c r="CD11" s="105">
        <f t="shared" si="76"/>
        <v>4</v>
      </c>
      <c r="CE11" s="105">
        <f t="shared" si="77"/>
        <v>3.5555555555555554</v>
      </c>
      <c r="CF11" s="105">
        <f t="shared" si="78"/>
        <v>3.2</v>
      </c>
      <c r="CG11" s="105">
        <f t="shared" si="79"/>
        <v>2.9090909090909092</v>
      </c>
      <c r="CH11" s="105">
        <f t="shared" si="80"/>
        <v>2.6666666666666665</v>
      </c>
      <c r="CI11" s="105">
        <f t="shared" si="81"/>
        <v>2.4615384615384617</v>
      </c>
      <c r="CJ11" s="105">
        <f t="shared" si="82"/>
        <v>2.2857142857142856</v>
      </c>
      <c r="CK11" s="105">
        <f t="shared" si="83"/>
        <v>2.1333333333333333</v>
      </c>
      <c r="CL11" s="105">
        <f t="shared" si="84"/>
        <v>2</v>
      </c>
    </row>
    <row r="12" spans="1:130">
      <c r="D12" s="105">
        <v>10</v>
      </c>
      <c r="E12" s="105">
        <f t="shared" si="0"/>
        <v>1.6</v>
      </c>
      <c r="I12" s="105">
        <v>17</v>
      </c>
      <c r="J12" s="105">
        <f t="shared" si="5"/>
        <v>272</v>
      </c>
      <c r="K12" s="105">
        <f t="shared" si="6"/>
        <v>136</v>
      </c>
      <c r="L12" s="105">
        <f t="shared" si="7"/>
        <v>90.666666666666657</v>
      </c>
      <c r="M12" s="105">
        <f t="shared" si="8"/>
        <v>68</v>
      </c>
      <c r="N12" s="105">
        <f t="shared" si="9"/>
        <v>54.400000000000006</v>
      </c>
      <c r="O12" s="105">
        <f t="shared" si="10"/>
        <v>45.333333333333329</v>
      </c>
      <c r="P12" s="105">
        <f t="shared" si="11"/>
        <v>38.857142857142854</v>
      </c>
      <c r="Q12" s="105">
        <f t="shared" si="12"/>
        <v>34</v>
      </c>
      <c r="R12" s="105">
        <f t="shared" si="13"/>
        <v>30.222222222222221</v>
      </c>
      <c r="S12" s="105">
        <f t="shared" si="14"/>
        <v>27.200000000000003</v>
      </c>
      <c r="T12" s="105">
        <f t="shared" si="15"/>
        <v>24.727272727272727</v>
      </c>
      <c r="U12" s="105">
        <f t="shared" si="16"/>
        <v>22.666666666666664</v>
      </c>
      <c r="V12" s="105">
        <f t="shared" si="17"/>
        <v>20.923076923076923</v>
      </c>
      <c r="W12" s="105">
        <f t="shared" si="18"/>
        <v>19.428571428571427</v>
      </c>
      <c r="X12" s="105">
        <f t="shared" si="19"/>
        <v>18.133333333333333</v>
      </c>
      <c r="Y12" s="105">
        <f t="shared" si="20"/>
        <v>17</v>
      </c>
      <c r="AA12" s="109">
        <f t="shared" si="21"/>
        <v>136</v>
      </c>
      <c r="AB12" s="105">
        <f t="shared" si="22"/>
        <v>68</v>
      </c>
      <c r="AC12" s="105">
        <f t="shared" si="23"/>
        <v>45.333333333333329</v>
      </c>
      <c r="AD12" s="105">
        <f t="shared" si="24"/>
        <v>34</v>
      </c>
      <c r="AE12" s="105">
        <f t="shared" si="25"/>
        <v>27.200000000000003</v>
      </c>
      <c r="AF12" s="105">
        <f t="shared" si="26"/>
        <v>22.666666666666664</v>
      </c>
      <c r="AG12" s="105">
        <f t="shared" si="27"/>
        <v>19.428571428571427</v>
      </c>
      <c r="AH12" s="105">
        <f t="shared" si="28"/>
        <v>17</v>
      </c>
      <c r="AI12" s="105">
        <f t="shared" si="29"/>
        <v>15.111111111111111</v>
      </c>
      <c r="AJ12" s="105">
        <f t="shared" si="30"/>
        <v>13.600000000000001</v>
      </c>
      <c r="AK12" s="105">
        <f t="shared" si="31"/>
        <v>12.363636363636363</v>
      </c>
      <c r="AL12" s="105">
        <f t="shared" si="32"/>
        <v>11.333333333333332</v>
      </c>
      <c r="AM12" s="105">
        <f t="shared" si="33"/>
        <v>10.461538461538462</v>
      </c>
      <c r="AN12" s="105">
        <f t="shared" si="34"/>
        <v>9.7142857142857135</v>
      </c>
      <c r="AO12" s="105">
        <f t="shared" si="35"/>
        <v>9.0666666666666664</v>
      </c>
      <c r="AP12" s="105">
        <f t="shared" si="36"/>
        <v>8.5</v>
      </c>
      <c r="AQ12" s="109">
        <f t="shared" si="37"/>
        <v>68</v>
      </c>
      <c r="AR12" s="105">
        <f t="shared" si="38"/>
        <v>34</v>
      </c>
      <c r="AS12" s="105">
        <f t="shared" si="39"/>
        <v>22.666666666666664</v>
      </c>
      <c r="AT12" s="105">
        <f t="shared" si="40"/>
        <v>17</v>
      </c>
      <c r="AU12" s="105">
        <f t="shared" si="41"/>
        <v>13.600000000000001</v>
      </c>
      <c r="AV12" s="105">
        <f t="shared" si="42"/>
        <v>11.333333333333332</v>
      </c>
      <c r="AW12" s="105">
        <f t="shared" si="43"/>
        <v>9.7142857142857135</v>
      </c>
      <c r="AX12" s="105">
        <f t="shared" si="44"/>
        <v>8.5</v>
      </c>
      <c r="AY12" s="105">
        <f t="shared" si="45"/>
        <v>7.5555555555555554</v>
      </c>
      <c r="AZ12" s="105">
        <f t="shared" si="46"/>
        <v>6.8000000000000007</v>
      </c>
      <c r="BA12" s="105">
        <f t="shared" si="47"/>
        <v>6.1818181818181817</v>
      </c>
      <c r="BB12" s="105">
        <f t="shared" si="48"/>
        <v>5.6666666666666661</v>
      </c>
      <c r="BC12" s="105">
        <f t="shared" si="49"/>
        <v>5.2307692307692308</v>
      </c>
      <c r="BD12" s="105">
        <f t="shared" si="50"/>
        <v>4.8571428571428568</v>
      </c>
      <c r="BE12" s="105">
        <f t="shared" si="51"/>
        <v>4.5333333333333332</v>
      </c>
      <c r="BF12" s="110">
        <f t="shared" si="52"/>
        <v>4.25</v>
      </c>
      <c r="BG12" s="105">
        <f t="shared" si="53"/>
        <v>45.333333333333336</v>
      </c>
      <c r="BH12" s="105">
        <f t="shared" si="54"/>
        <v>22.666666666666668</v>
      </c>
      <c r="BI12" s="105">
        <f t="shared" si="55"/>
        <v>15.111111111111109</v>
      </c>
      <c r="BJ12" s="105">
        <f t="shared" si="56"/>
        <v>11.333333333333334</v>
      </c>
      <c r="BK12" s="105">
        <f t="shared" si="57"/>
        <v>9.0666666666666682</v>
      </c>
      <c r="BL12" s="105">
        <f t="shared" si="58"/>
        <v>7.5555555555555545</v>
      </c>
      <c r="BM12" s="105">
        <f t="shared" si="59"/>
        <v>6.4761904761904754</v>
      </c>
      <c r="BN12" s="105">
        <f t="shared" si="60"/>
        <v>5.666666666666667</v>
      </c>
      <c r="BO12" s="105">
        <f t="shared" si="61"/>
        <v>5.0370370370370372</v>
      </c>
      <c r="BP12" s="105">
        <f t="shared" si="62"/>
        <v>4.5333333333333341</v>
      </c>
      <c r="BQ12" s="105">
        <f t="shared" si="63"/>
        <v>4.1212121212121211</v>
      </c>
      <c r="BR12" s="105">
        <f t="shared" si="64"/>
        <v>3.7777777777777772</v>
      </c>
      <c r="BS12" s="105">
        <f t="shared" si="65"/>
        <v>3.4871794871794872</v>
      </c>
      <c r="BT12" s="105">
        <f t="shared" si="66"/>
        <v>3.2380952380952377</v>
      </c>
      <c r="BU12" s="105">
        <f t="shared" si="67"/>
        <v>3.0222222222222221</v>
      </c>
      <c r="BV12" s="105">
        <f t="shared" si="68"/>
        <v>2.8333333333333335</v>
      </c>
      <c r="BW12" s="109">
        <f t="shared" si="69"/>
        <v>34</v>
      </c>
      <c r="BX12" s="105">
        <f t="shared" si="70"/>
        <v>17</v>
      </c>
      <c r="BY12" s="105">
        <f t="shared" si="71"/>
        <v>11.333333333333332</v>
      </c>
      <c r="BZ12" s="105">
        <f t="shared" si="72"/>
        <v>8.5</v>
      </c>
      <c r="CA12" s="105">
        <f t="shared" si="73"/>
        <v>6.8000000000000007</v>
      </c>
      <c r="CB12" s="105">
        <f t="shared" si="74"/>
        <v>5.6666666666666661</v>
      </c>
      <c r="CC12" s="105">
        <f t="shared" si="75"/>
        <v>4.8571428571428568</v>
      </c>
      <c r="CD12" s="105">
        <f t="shared" si="76"/>
        <v>4.25</v>
      </c>
      <c r="CE12" s="105">
        <f t="shared" si="77"/>
        <v>3.7777777777777777</v>
      </c>
      <c r="CF12" s="105">
        <f t="shared" si="78"/>
        <v>3.4000000000000004</v>
      </c>
      <c r="CG12" s="105">
        <f t="shared" si="79"/>
        <v>3.0909090909090908</v>
      </c>
      <c r="CH12" s="105">
        <f t="shared" si="80"/>
        <v>2.833333333333333</v>
      </c>
      <c r="CI12" s="105">
        <f t="shared" si="81"/>
        <v>2.6153846153846154</v>
      </c>
      <c r="CJ12" s="105">
        <f t="shared" si="82"/>
        <v>2.4285714285714284</v>
      </c>
      <c r="CK12" s="105">
        <f t="shared" si="83"/>
        <v>2.2666666666666666</v>
      </c>
      <c r="CL12" s="105">
        <f t="shared" si="84"/>
        <v>2.125</v>
      </c>
    </row>
    <row r="13" spans="1:130">
      <c r="D13" s="105">
        <v>11</v>
      </c>
      <c r="E13" s="105">
        <f t="shared" si="0"/>
        <v>1.4545454545454546</v>
      </c>
      <c r="I13" s="105">
        <v>18</v>
      </c>
      <c r="J13" s="105">
        <f t="shared" si="5"/>
        <v>288</v>
      </c>
      <c r="K13" s="105">
        <f t="shared" si="6"/>
        <v>144</v>
      </c>
      <c r="L13" s="105">
        <f t="shared" si="7"/>
        <v>96</v>
      </c>
      <c r="M13" s="105">
        <f t="shared" si="8"/>
        <v>72</v>
      </c>
      <c r="N13" s="105">
        <f t="shared" si="9"/>
        <v>57.6</v>
      </c>
      <c r="O13" s="105">
        <f t="shared" si="10"/>
        <v>48</v>
      </c>
      <c r="P13" s="105">
        <f t="shared" si="11"/>
        <v>41.142857142857139</v>
      </c>
      <c r="Q13" s="105">
        <f t="shared" si="12"/>
        <v>36</v>
      </c>
      <c r="R13" s="105">
        <f t="shared" si="13"/>
        <v>32</v>
      </c>
      <c r="S13" s="105">
        <f t="shared" si="14"/>
        <v>28.8</v>
      </c>
      <c r="T13" s="105">
        <f t="shared" si="15"/>
        <v>26.181818181818183</v>
      </c>
      <c r="U13" s="105">
        <f t="shared" si="16"/>
        <v>24</v>
      </c>
      <c r="V13" s="105">
        <f t="shared" si="17"/>
        <v>22.153846153846153</v>
      </c>
      <c r="W13" s="105">
        <f t="shared" si="18"/>
        <v>20.571428571428569</v>
      </c>
      <c r="X13" s="105">
        <f t="shared" si="19"/>
        <v>19.2</v>
      </c>
      <c r="Y13" s="105">
        <f t="shared" si="20"/>
        <v>18</v>
      </c>
      <c r="AA13" s="109">
        <f t="shared" si="21"/>
        <v>144</v>
      </c>
      <c r="AB13" s="105">
        <f t="shared" si="22"/>
        <v>72</v>
      </c>
      <c r="AC13" s="105">
        <f t="shared" si="23"/>
        <v>48</v>
      </c>
      <c r="AD13" s="105">
        <f t="shared" si="24"/>
        <v>36</v>
      </c>
      <c r="AE13" s="105">
        <f t="shared" si="25"/>
        <v>28.8</v>
      </c>
      <c r="AF13" s="105">
        <f t="shared" si="26"/>
        <v>24</v>
      </c>
      <c r="AG13" s="105">
        <f t="shared" si="27"/>
        <v>20.571428571428569</v>
      </c>
      <c r="AH13" s="105">
        <f t="shared" si="28"/>
        <v>18</v>
      </c>
      <c r="AI13" s="105">
        <f t="shared" si="29"/>
        <v>16</v>
      </c>
      <c r="AJ13" s="105">
        <f t="shared" si="30"/>
        <v>14.4</v>
      </c>
      <c r="AK13" s="105">
        <f t="shared" si="31"/>
        <v>13.090909090909092</v>
      </c>
      <c r="AL13" s="105">
        <f t="shared" si="32"/>
        <v>12</v>
      </c>
      <c r="AM13" s="105">
        <f t="shared" si="33"/>
        <v>11.076923076923077</v>
      </c>
      <c r="AN13" s="105">
        <f t="shared" si="34"/>
        <v>10.285714285714285</v>
      </c>
      <c r="AO13" s="105">
        <f t="shared" si="35"/>
        <v>9.6</v>
      </c>
      <c r="AP13" s="105">
        <f t="shared" si="36"/>
        <v>9</v>
      </c>
      <c r="AQ13" s="109">
        <f t="shared" si="37"/>
        <v>72</v>
      </c>
      <c r="AR13" s="105">
        <f t="shared" si="38"/>
        <v>36</v>
      </c>
      <c r="AS13" s="105">
        <f t="shared" si="39"/>
        <v>24</v>
      </c>
      <c r="AT13" s="105">
        <f t="shared" si="40"/>
        <v>18</v>
      </c>
      <c r="AU13" s="105">
        <f t="shared" si="41"/>
        <v>14.4</v>
      </c>
      <c r="AV13" s="105">
        <f t="shared" si="42"/>
        <v>12</v>
      </c>
      <c r="AW13" s="105">
        <f t="shared" si="43"/>
        <v>10.285714285714285</v>
      </c>
      <c r="AX13" s="105">
        <f t="shared" si="44"/>
        <v>9</v>
      </c>
      <c r="AY13" s="105">
        <f t="shared" si="45"/>
        <v>8</v>
      </c>
      <c r="AZ13" s="105">
        <f t="shared" si="46"/>
        <v>7.2</v>
      </c>
      <c r="BA13" s="105">
        <f t="shared" si="47"/>
        <v>6.5454545454545459</v>
      </c>
      <c r="BB13" s="105">
        <f t="shared" si="48"/>
        <v>6</v>
      </c>
      <c r="BC13" s="105">
        <f t="shared" si="49"/>
        <v>5.5384615384615383</v>
      </c>
      <c r="BD13" s="105">
        <f t="shared" si="50"/>
        <v>5.1428571428571423</v>
      </c>
      <c r="BE13" s="105">
        <f t="shared" si="51"/>
        <v>4.8</v>
      </c>
      <c r="BF13" s="110">
        <f t="shared" si="52"/>
        <v>4.5</v>
      </c>
      <c r="BG13" s="105">
        <f t="shared" si="53"/>
        <v>48</v>
      </c>
      <c r="BH13" s="105">
        <f t="shared" si="54"/>
        <v>24</v>
      </c>
      <c r="BI13" s="105">
        <f t="shared" si="55"/>
        <v>16</v>
      </c>
      <c r="BJ13" s="105">
        <f t="shared" si="56"/>
        <v>12</v>
      </c>
      <c r="BK13" s="105">
        <f t="shared" si="57"/>
        <v>9.6</v>
      </c>
      <c r="BL13" s="105">
        <f t="shared" si="58"/>
        <v>8</v>
      </c>
      <c r="BM13" s="105">
        <f t="shared" si="59"/>
        <v>6.8571428571428568</v>
      </c>
      <c r="BN13" s="105">
        <f t="shared" si="60"/>
        <v>6</v>
      </c>
      <c r="BO13" s="105">
        <f t="shared" si="61"/>
        <v>5.333333333333333</v>
      </c>
      <c r="BP13" s="105">
        <f t="shared" si="62"/>
        <v>4.8</v>
      </c>
      <c r="BQ13" s="105">
        <f t="shared" si="63"/>
        <v>4.3636363636363642</v>
      </c>
      <c r="BR13" s="105">
        <f t="shared" si="64"/>
        <v>4</v>
      </c>
      <c r="BS13" s="105">
        <f t="shared" si="65"/>
        <v>3.6923076923076921</v>
      </c>
      <c r="BT13" s="105">
        <f t="shared" si="66"/>
        <v>3.4285714285714284</v>
      </c>
      <c r="BU13" s="105">
        <f t="shared" si="67"/>
        <v>3.1999999999999997</v>
      </c>
      <c r="BV13" s="105">
        <f t="shared" si="68"/>
        <v>3</v>
      </c>
      <c r="BW13" s="109">
        <f t="shared" si="69"/>
        <v>36</v>
      </c>
      <c r="BX13" s="105">
        <f t="shared" si="70"/>
        <v>18</v>
      </c>
      <c r="BY13" s="105">
        <f t="shared" si="71"/>
        <v>12</v>
      </c>
      <c r="BZ13" s="105">
        <f t="shared" si="72"/>
        <v>9</v>
      </c>
      <c r="CA13" s="105">
        <f t="shared" si="73"/>
        <v>7.2</v>
      </c>
      <c r="CB13" s="105">
        <f t="shared" si="74"/>
        <v>6</v>
      </c>
      <c r="CC13" s="105">
        <f t="shared" si="75"/>
        <v>5.1428571428571423</v>
      </c>
      <c r="CD13" s="105">
        <f t="shared" si="76"/>
        <v>4.5</v>
      </c>
      <c r="CE13" s="105">
        <f t="shared" si="77"/>
        <v>4</v>
      </c>
      <c r="CF13" s="105">
        <f t="shared" si="78"/>
        <v>3.6</v>
      </c>
      <c r="CG13" s="105">
        <f t="shared" si="79"/>
        <v>3.2727272727272729</v>
      </c>
      <c r="CH13" s="105">
        <f t="shared" si="80"/>
        <v>3</v>
      </c>
      <c r="CI13" s="105">
        <f t="shared" si="81"/>
        <v>2.7692307692307692</v>
      </c>
      <c r="CJ13" s="105">
        <f t="shared" si="82"/>
        <v>2.5714285714285712</v>
      </c>
      <c r="CK13" s="105">
        <f t="shared" si="83"/>
        <v>2.4</v>
      </c>
      <c r="CL13" s="105">
        <f t="shared" si="84"/>
        <v>2.25</v>
      </c>
    </row>
    <row r="14" spans="1:130">
      <c r="D14" s="105">
        <v>12</v>
      </c>
      <c r="E14" s="105">
        <f t="shared" si="0"/>
        <v>1.3333333333333333</v>
      </c>
      <c r="I14" s="105">
        <v>19</v>
      </c>
      <c r="J14" s="105">
        <f t="shared" si="5"/>
        <v>304</v>
      </c>
      <c r="K14" s="105">
        <f t="shared" si="6"/>
        <v>152</v>
      </c>
      <c r="L14" s="105">
        <f t="shared" si="7"/>
        <v>101.33333333333333</v>
      </c>
      <c r="M14" s="105">
        <f t="shared" si="8"/>
        <v>76</v>
      </c>
      <c r="N14" s="105">
        <f t="shared" si="9"/>
        <v>60.800000000000004</v>
      </c>
      <c r="O14" s="105">
        <f t="shared" si="10"/>
        <v>50.666666666666664</v>
      </c>
      <c r="P14" s="105">
        <f t="shared" si="11"/>
        <v>43.428571428571423</v>
      </c>
      <c r="Q14" s="105">
        <f t="shared" si="12"/>
        <v>38</v>
      </c>
      <c r="R14" s="105">
        <f t="shared" si="13"/>
        <v>33.777777777777779</v>
      </c>
      <c r="S14" s="105">
        <f t="shared" si="14"/>
        <v>30.400000000000002</v>
      </c>
      <c r="T14" s="105">
        <f t="shared" si="15"/>
        <v>27.636363636363637</v>
      </c>
      <c r="U14" s="105">
        <f t="shared" si="16"/>
        <v>25.333333333333332</v>
      </c>
      <c r="V14" s="105">
        <f t="shared" si="17"/>
        <v>23.384615384615387</v>
      </c>
      <c r="W14" s="105">
        <f t="shared" si="18"/>
        <v>21.714285714285712</v>
      </c>
      <c r="X14" s="105">
        <f t="shared" si="19"/>
        <v>20.266666666666666</v>
      </c>
      <c r="Y14" s="105">
        <f t="shared" si="20"/>
        <v>19</v>
      </c>
      <c r="AA14" s="109">
        <f t="shared" si="21"/>
        <v>152</v>
      </c>
      <c r="AB14" s="105">
        <f t="shared" si="22"/>
        <v>76</v>
      </c>
      <c r="AC14" s="105">
        <f t="shared" si="23"/>
        <v>50.666666666666664</v>
      </c>
      <c r="AD14" s="105">
        <f t="shared" si="24"/>
        <v>38</v>
      </c>
      <c r="AE14" s="105">
        <f t="shared" si="25"/>
        <v>30.400000000000002</v>
      </c>
      <c r="AF14" s="105">
        <f t="shared" si="26"/>
        <v>25.333333333333332</v>
      </c>
      <c r="AG14" s="105">
        <f t="shared" si="27"/>
        <v>21.714285714285712</v>
      </c>
      <c r="AH14" s="105">
        <f t="shared" si="28"/>
        <v>19</v>
      </c>
      <c r="AI14" s="105">
        <f t="shared" si="29"/>
        <v>16.888888888888889</v>
      </c>
      <c r="AJ14" s="105">
        <f t="shared" si="30"/>
        <v>15.200000000000001</v>
      </c>
      <c r="AK14" s="105">
        <f t="shared" si="31"/>
        <v>13.818181818181818</v>
      </c>
      <c r="AL14" s="105">
        <f t="shared" si="32"/>
        <v>12.666666666666666</v>
      </c>
      <c r="AM14" s="105">
        <f t="shared" si="33"/>
        <v>11.692307692307693</v>
      </c>
      <c r="AN14" s="105">
        <f t="shared" si="34"/>
        <v>10.857142857142856</v>
      </c>
      <c r="AO14" s="105">
        <f t="shared" si="35"/>
        <v>10.133333333333333</v>
      </c>
      <c r="AP14" s="105">
        <f t="shared" si="36"/>
        <v>9.5</v>
      </c>
      <c r="AQ14" s="109">
        <f t="shared" si="37"/>
        <v>76</v>
      </c>
      <c r="AR14" s="105">
        <f t="shared" si="38"/>
        <v>38</v>
      </c>
      <c r="AS14" s="105">
        <f t="shared" si="39"/>
        <v>25.333333333333332</v>
      </c>
      <c r="AT14" s="105">
        <f t="shared" si="40"/>
        <v>19</v>
      </c>
      <c r="AU14" s="105">
        <f t="shared" si="41"/>
        <v>15.200000000000001</v>
      </c>
      <c r="AV14" s="105">
        <f t="shared" si="42"/>
        <v>12.666666666666666</v>
      </c>
      <c r="AW14" s="105">
        <f t="shared" si="43"/>
        <v>10.857142857142856</v>
      </c>
      <c r="AX14" s="105">
        <f t="shared" si="44"/>
        <v>9.5</v>
      </c>
      <c r="AY14" s="105">
        <f t="shared" si="45"/>
        <v>8.4444444444444446</v>
      </c>
      <c r="AZ14" s="105">
        <f t="shared" si="46"/>
        <v>7.6000000000000005</v>
      </c>
      <c r="BA14" s="105">
        <f t="shared" si="47"/>
        <v>6.9090909090909092</v>
      </c>
      <c r="BB14" s="105">
        <f t="shared" si="48"/>
        <v>6.333333333333333</v>
      </c>
      <c r="BC14" s="105">
        <f t="shared" si="49"/>
        <v>5.8461538461538467</v>
      </c>
      <c r="BD14" s="105">
        <f t="shared" si="50"/>
        <v>5.4285714285714279</v>
      </c>
      <c r="BE14" s="105">
        <f t="shared" si="51"/>
        <v>5.0666666666666664</v>
      </c>
      <c r="BF14" s="110">
        <f t="shared" si="52"/>
        <v>4.75</v>
      </c>
      <c r="BG14" s="105">
        <f t="shared" si="53"/>
        <v>50.666666666666664</v>
      </c>
      <c r="BH14" s="105">
        <f t="shared" si="54"/>
        <v>25.333333333333332</v>
      </c>
      <c r="BI14" s="105">
        <f t="shared" si="55"/>
        <v>16.888888888888889</v>
      </c>
      <c r="BJ14" s="105">
        <f t="shared" si="56"/>
        <v>12.666666666666666</v>
      </c>
      <c r="BK14" s="105">
        <f t="shared" si="57"/>
        <v>10.133333333333335</v>
      </c>
      <c r="BL14" s="105">
        <f t="shared" si="58"/>
        <v>8.4444444444444446</v>
      </c>
      <c r="BM14" s="105">
        <f t="shared" si="59"/>
        <v>7.2380952380952372</v>
      </c>
      <c r="BN14" s="105">
        <f t="shared" si="60"/>
        <v>6.333333333333333</v>
      </c>
      <c r="BO14" s="105">
        <f t="shared" si="61"/>
        <v>5.6296296296296298</v>
      </c>
      <c r="BP14" s="105">
        <f t="shared" si="62"/>
        <v>5.0666666666666673</v>
      </c>
      <c r="BQ14" s="105">
        <f t="shared" si="63"/>
        <v>4.6060606060606064</v>
      </c>
      <c r="BR14" s="105">
        <f t="shared" si="64"/>
        <v>4.2222222222222223</v>
      </c>
      <c r="BS14" s="105">
        <f t="shared" si="65"/>
        <v>3.8974358974358978</v>
      </c>
      <c r="BT14" s="105">
        <f t="shared" si="66"/>
        <v>3.6190476190476186</v>
      </c>
      <c r="BU14" s="105">
        <f t="shared" si="67"/>
        <v>3.3777777777777778</v>
      </c>
      <c r="BV14" s="105">
        <f t="shared" si="68"/>
        <v>3.1666666666666665</v>
      </c>
      <c r="BW14" s="109">
        <f t="shared" si="69"/>
        <v>38</v>
      </c>
      <c r="BX14" s="105">
        <f t="shared" si="70"/>
        <v>19</v>
      </c>
      <c r="BY14" s="105">
        <f t="shared" si="71"/>
        <v>12.666666666666666</v>
      </c>
      <c r="BZ14" s="105">
        <f t="shared" si="72"/>
        <v>9.5</v>
      </c>
      <c r="CA14" s="105">
        <f t="shared" si="73"/>
        <v>7.6000000000000005</v>
      </c>
      <c r="CB14" s="105">
        <f t="shared" si="74"/>
        <v>6.333333333333333</v>
      </c>
      <c r="CC14" s="105">
        <f t="shared" si="75"/>
        <v>5.4285714285714279</v>
      </c>
      <c r="CD14" s="105">
        <f t="shared" si="76"/>
        <v>4.75</v>
      </c>
      <c r="CE14" s="105">
        <f t="shared" si="77"/>
        <v>4.2222222222222223</v>
      </c>
      <c r="CF14" s="105">
        <f t="shared" si="78"/>
        <v>3.8000000000000003</v>
      </c>
      <c r="CG14" s="105">
        <f t="shared" si="79"/>
        <v>3.4545454545454546</v>
      </c>
      <c r="CH14" s="105">
        <f t="shared" si="80"/>
        <v>3.1666666666666665</v>
      </c>
      <c r="CI14" s="105">
        <f t="shared" si="81"/>
        <v>2.9230769230769234</v>
      </c>
      <c r="CJ14" s="105">
        <f t="shared" si="82"/>
        <v>2.714285714285714</v>
      </c>
      <c r="CK14" s="105">
        <f t="shared" si="83"/>
        <v>2.5333333333333332</v>
      </c>
      <c r="CL14" s="105">
        <f t="shared" si="84"/>
        <v>2.375</v>
      </c>
    </row>
    <row r="15" spans="1:130">
      <c r="D15" s="105">
        <v>13</v>
      </c>
      <c r="E15" s="105">
        <f t="shared" si="0"/>
        <v>1.2307692307692308</v>
      </c>
      <c r="I15" s="105">
        <v>20</v>
      </c>
      <c r="J15" s="105">
        <f t="shared" si="5"/>
        <v>320</v>
      </c>
      <c r="K15" s="105">
        <f t="shared" si="6"/>
        <v>160</v>
      </c>
      <c r="L15" s="105">
        <f t="shared" si="7"/>
        <v>106.66666666666666</v>
      </c>
      <c r="M15" s="105">
        <f t="shared" si="8"/>
        <v>80</v>
      </c>
      <c r="N15" s="105">
        <f t="shared" si="9"/>
        <v>64</v>
      </c>
      <c r="O15" s="105">
        <f t="shared" si="10"/>
        <v>53.333333333333329</v>
      </c>
      <c r="P15" s="105">
        <f t="shared" si="11"/>
        <v>45.714285714285708</v>
      </c>
      <c r="Q15" s="105">
        <f t="shared" si="12"/>
        <v>40</v>
      </c>
      <c r="R15" s="105">
        <f t="shared" si="13"/>
        <v>35.555555555555557</v>
      </c>
      <c r="S15" s="105">
        <f t="shared" si="14"/>
        <v>32</v>
      </c>
      <c r="T15" s="105">
        <f t="shared" si="15"/>
        <v>29.090909090909093</v>
      </c>
      <c r="U15" s="105">
        <f t="shared" si="16"/>
        <v>26.666666666666664</v>
      </c>
      <c r="V15" s="105">
        <f t="shared" si="17"/>
        <v>24.615384615384617</v>
      </c>
      <c r="W15" s="105">
        <f t="shared" si="18"/>
        <v>22.857142857142854</v>
      </c>
      <c r="X15" s="105">
        <f t="shared" si="19"/>
        <v>21.333333333333332</v>
      </c>
      <c r="Y15" s="105">
        <f t="shared" si="20"/>
        <v>20</v>
      </c>
      <c r="AA15" s="109">
        <f t="shared" si="21"/>
        <v>160</v>
      </c>
      <c r="AB15" s="105">
        <f t="shared" si="22"/>
        <v>80</v>
      </c>
      <c r="AC15" s="105">
        <f t="shared" si="23"/>
        <v>53.333333333333329</v>
      </c>
      <c r="AD15" s="105">
        <f t="shared" si="24"/>
        <v>40</v>
      </c>
      <c r="AE15" s="105">
        <f t="shared" si="25"/>
        <v>32</v>
      </c>
      <c r="AF15" s="105">
        <f t="shared" si="26"/>
        <v>26.666666666666664</v>
      </c>
      <c r="AG15" s="105">
        <f t="shared" si="27"/>
        <v>22.857142857142854</v>
      </c>
      <c r="AH15" s="105">
        <f t="shared" si="28"/>
        <v>20</v>
      </c>
      <c r="AI15" s="105">
        <f t="shared" si="29"/>
        <v>17.777777777777779</v>
      </c>
      <c r="AJ15" s="105">
        <f t="shared" si="30"/>
        <v>16</v>
      </c>
      <c r="AK15" s="105">
        <f t="shared" si="31"/>
        <v>14.545454545454547</v>
      </c>
      <c r="AL15" s="105">
        <f t="shared" si="32"/>
        <v>13.333333333333332</v>
      </c>
      <c r="AM15" s="105">
        <f t="shared" si="33"/>
        <v>12.307692307692308</v>
      </c>
      <c r="AN15" s="105">
        <f t="shared" si="34"/>
        <v>11.428571428571427</v>
      </c>
      <c r="AO15" s="105">
        <f t="shared" si="35"/>
        <v>10.666666666666666</v>
      </c>
      <c r="AP15" s="105">
        <f t="shared" si="36"/>
        <v>10</v>
      </c>
      <c r="AQ15" s="109">
        <f t="shared" si="37"/>
        <v>80</v>
      </c>
      <c r="AR15" s="105">
        <f t="shared" si="38"/>
        <v>40</v>
      </c>
      <c r="AS15" s="105">
        <f t="shared" si="39"/>
        <v>26.666666666666664</v>
      </c>
      <c r="AT15" s="105">
        <f t="shared" si="40"/>
        <v>20</v>
      </c>
      <c r="AU15" s="105">
        <f t="shared" si="41"/>
        <v>16</v>
      </c>
      <c r="AV15" s="105">
        <f t="shared" si="42"/>
        <v>13.333333333333332</v>
      </c>
      <c r="AW15" s="105">
        <f t="shared" si="43"/>
        <v>11.428571428571427</v>
      </c>
      <c r="AX15" s="105">
        <f t="shared" si="44"/>
        <v>10</v>
      </c>
      <c r="AY15" s="105">
        <f t="shared" si="45"/>
        <v>8.8888888888888893</v>
      </c>
      <c r="AZ15" s="105">
        <f t="shared" si="46"/>
        <v>8</v>
      </c>
      <c r="BA15" s="105">
        <f t="shared" si="47"/>
        <v>7.2727272727272734</v>
      </c>
      <c r="BB15" s="105">
        <f t="shared" si="48"/>
        <v>6.6666666666666661</v>
      </c>
      <c r="BC15" s="105">
        <f t="shared" si="49"/>
        <v>6.1538461538461542</v>
      </c>
      <c r="BD15" s="105">
        <f t="shared" si="50"/>
        <v>5.7142857142857135</v>
      </c>
      <c r="BE15" s="105">
        <f t="shared" si="51"/>
        <v>5.333333333333333</v>
      </c>
      <c r="BF15" s="110">
        <f t="shared" si="52"/>
        <v>5</v>
      </c>
      <c r="BG15" s="105">
        <f t="shared" si="53"/>
        <v>53.333333333333336</v>
      </c>
      <c r="BH15" s="105">
        <f t="shared" si="54"/>
        <v>26.666666666666668</v>
      </c>
      <c r="BI15" s="105">
        <f t="shared" si="55"/>
        <v>17.777777777777775</v>
      </c>
      <c r="BJ15" s="105">
        <f t="shared" si="56"/>
        <v>13.333333333333334</v>
      </c>
      <c r="BK15" s="105">
        <f t="shared" si="57"/>
        <v>10.666666666666666</v>
      </c>
      <c r="BL15" s="105">
        <f t="shared" si="58"/>
        <v>8.8888888888888875</v>
      </c>
      <c r="BM15" s="105">
        <f t="shared" si="59"/>
        <v>7.6190476190476177</v>
      </c>
      <c r="BN15" s="105">
        <f t="shared" si="60"/>
        <v>6.666666666666667</v>
      </c>
      <c r="BO15" s="105">
        <f t="shared" si="61"/>
        <v>5.9259259259259265</v>
      </c>
      <c r="BP15" s="105">
        <f t="shared" si="62"/>
        <v>5.333333333333333</v>
      </c>
      <c r="BQ15" s="105">
        <f t="shared" si="63"/>
        <v>4.8484848484848486</v>
      </c>
      <c r="BR15" s="105">
        <f t="shared" si="64"/>
        <v>4.4444444444444438</v>
      </c>
      <c r="BS15" s="105">
        <f t="shared" si="65"/>
        <v>4.1025641025641031</v>
      </c>
      <c r="BT15" s="105">
        <f t="shared" si="66"/>
        <v>3.8095238095238089</v>
      </c>
      <c r="BU15" s="105">
        <f t="shared" si="67"/>
        <v>3.5555555555555554</v>
      </c>
      <c r="BV15" s="105">
        <f t="shared" si="68"/>
        <v>3.3333333333333335</v>
      </c>
      <c r="BW15" s="109">
        <f t="shared" si="69"/>
        <v>40</v>
      </c>
      <c r="BX15" s="105">
        <f t="shared" si="70"/>
        <v>20</v>
      </c>
      <c r="BY15" s="105">
        <f t="shared" si="71"/>
        <v>13.333333333333332</v>
      </c>
      <c r="BZ15" s="105">
        <f t="shared" si="72"/>
        <v>10</v>
      </c>
      <c r="CA15" s="105">
        <f t="shared" si="73"/>
        <v>8</v>
      </c>
      <c r="CB15" s="105">
        <f t="shared" si="74"/>
        <v>6.6666666666666661</v>
      </c>
      <c r="CC15" s="105">
        <f t="shared" si="75"/>
        <v>5.7142857142857135</v>
      </c>
      <c r="CD15" s="105">
        <f t="shared" si="76"/>
        <v>5</v>
      </c>
      <c r="CE15" s="105">
        <f t="shared" si="77"/>
        <v>4.4444444444444446</v>
      </c>
      <c r="CF15" s="105">
        <f t="shared" si="78"/>
        <v>4</v>
      </c>
      <c r="CG15" s="105">
        <f t="shared" si="79"/>
        <v>3.6363636363636367</v>
      </c>
      <c r="CH15" s="105">
        <f t="shared" si="80"/>
        <v>3.333333333333333</v>
      </c>
      <c r="CI15" s="105">
        <f t="shared" si="81"/>
        <v>3.0769230769230771</v>
      </c>
      <c r="CJ15" s="105">
        <f t="shared" si="82"/>
        <v>2.8571428571428568</v>
      </c>
      <c r="CK15" s="105">
        <f t="shared" si="83"/>
        <v>2.6666666666666665</v>
      </c>
      <c r="CL15" s="105">
        <f t="shared" si="84"/>
        <v>2.5</v>
      </c>
    </row>
    <row r="16" spans="1:130">
      <c r="D16" s="105">
        <v>14</v>
      </c>
      <c r="E16" s="105">
        <f t="shared" si="0"/>
        <v>1.1428571428571428</v>
      </c>
      <c r="I16" s="105">
        <v>21</v>
      </c>
      <c r="J16" s="105">
        <f t="shared" si="5"/>
        <v>336</v>
      </c>
      <c r="K16" s="105">
        <f t="shared" si="6"/>
        <v>168</v>
      </c>
      <c r="L16" s="105">
        <f t="shared" si="7"/>
        <v>112</v>
      </c>
      <c r="M16" s="105">
        <f t="shared" si="8"/>
        <v>84</v>
      </c>
      <c r="N16" s="105">
        <f t="shared" si="9"/>
        <v>67.2</v>
      </c>
      <c r="O16" s="105">
        <f t="shared" si="10"/>
        <v>56</v>
      </c>
      <c r="P16" s="105">
        <f t="shared" si="11"/>
        <v>48</v>
      </c>
      <c r="Q16" s="105">
        <f t="shared" si="12"/>
        <v>42</v>
      </c>
      <c r="R16" s="105">
        <f t="shared" si="13"/>
        <v>37.333333333333329</v>
      </c>
      <c r="S16" s="105">
        <f t="shared" si="14"/>
        <v>33.6</v>
      </c>
      <c r="T16" s="105">
        <f t="shared" si="15"/>
        <v>30.545454545454547</v>
      </c>
      <c r="U16" s="105">
        <f t="shared" si="16"/>
        <v>28</v>
      </c>
      <c r="V16" s="105">
        <f t="shared" si="17"/>
        <v>25.846153846153847</v>
      </c>
      <c r="W16" s="105">
        <f t="shared" si="18"/>
        <v>24</v>
      </c>
      <c r="X16" s="105">
        <f t="shared" si="19"/>
        <v>22.4</v>
      </c>
      <c r="Y16" s="105">
        <f t="shared" si="20"/>
        <v>21</v>
      </c>
      <c r="AA16" s="109">
        <f t="shared" si="21"/>
        <v>168</v>
      </c>
      <c r="AB16" s="105">
        <f t="shared" si="22"/>
        <v>84</v>
      </c>
      <c r="AC16" s="105">
        <f t="shared" si="23"/>
        <v>56</v>
      </c>
      <c r="AD16" s="105">
        <f t="shared" si="24"/>
        <v>42</v>
      </c>
      <c r="AE16" s="105">
        <f t="shared" si="25"/>
        <v>33.6</v>
      </c>
      <c r="AF16" s="105">
        <f t="shared" si="26"/>
        <v>28</v>
      </c>
      <c r="AG16" s="105">
        <f t="shared" si="27"/>
        <v>24</v>
      </c>
      <c r="AH16" s="105">
        <f t="shared" si="28"/>
        <v>21</v>
      </c>
      <c r="AI16" s="105">
        <f t="shared" si="29"/>
        <v>18.666666666666664</v>
      </c>
      <c r="AJ16" s="105">
        <f t="shared" si="30"/>
        <v>16.8</v>
      </c>
      <c r="AK16" s="105">
        <f t="shared" si="31"/>
        <v>15.272727272727273</v>
      </c>
      <c r="AL16" s="105">
        <f t="shared" si="32"/>
        <v>14</v>
      </c>
      <c r="AM16" s="105">
        <f t="shared" si="33"/>
        <v>12.923076923076923</v>
      </c>
      <c r="AN16" s="105">
        <f t="shared" si="34"/>
        <v>12</v>
      </c>
      <c r="AO16" s="105">
        <f t="shared" si="35"/>
        <v>11.2</v>
      </c>
      <c r="AP16" s="105">
        <f t="shared" si="36"/>
        <v>10.5</v>
      </c>
      <c r="AQ16" s="109">
        <f t="shared" si="37"/>
        <v>84</v>
      </c>
      <c r="AR16" s="105">
        <f t="shared" si="38"/>
        <v>42</v>
      </c>
      <c r="AS16" s="105">
        <f t="shared" si="39"/>
        <v>28</v>
      </c>
      <c r="AT16" s="105">
        <f t="shared" si="40"/>
        <v>21</v>
      </c>
      <c r="AU16" s="105">
        <f t="shared" si="41"/>
        <v>16.8</v>
      </c>
      <c r="AV16" s="105">
        <f t="shared" si="42"/>
        <v>14</v>
      </c>
      <c r="AW16" s="105">
        <f t="shared" si="43"/>
        <v>12</v>
      </c>
      <c r="AX16" s="105">
        <f t="shared" si="44"/>
        <v>10.5</v>
      </c>
      <c r="AY16" s="105">
        <f t="shared" si="45"/>
        <v>9.3333333333333321</v>
      </c>
      <c r="AZ16" s="105">
        <f t="shared" si="46"/>
        <v>8.4</v>
      </c>
      <c r="BA16" s="105">
        <f t="shared" si="47"/>
        <v>7.6363636363636367</v>
      </c>
      <c r="BB16" s="105">
        <f t="shared" si="48"/>
        <v>7</v>
      </c>
      <c r="BC16" s="105">
        <f t="shared" si="49"/>
        <v>6.4615384615384617</v>
      </c>
      <c r="BD16" s="105">
        <f t="shared" si="50"/>
        <v>6</v>
      </c>
      <c r="BE16" s="105">
        <f t="shared" si="51"/>
        <v>5.6</v>
      </c>
      <c r="BF16" s="110">
        <f t="shared" si="52"/>
        <v>5.25</v>
      </c>
      <c r="BG16" s="105">
        <f t="shared" si="53"/>
        <v>56</v>
      </c>
      <c r="BH16" s="105">
        <f t="shared" si="54"/>
        <v>28</v>
      </c>
      <c r="BI16" s="105">
        <f t="shared" si="55"/>
        <v>18.666666666666668</v>
      </c>
      <c r="BJ16" s="105">
        <f t="shared" si="56"/>
        <v>14</v>
      </c>
      <c r="BK16" s="105">
        <f t="shared" si="57"/>
        <v>11.200000000000001</v>
      </c>
      <c r="BL16" s="105">
        <f t="shared" si="58"/>
        <v>9.3333333333333339</v>
      </c>
      <c r="BM16" s="105">
        <f t="shared" si="59"/>
        <v>8</v>
      </c>
      <c r="BN16" s="105">
        <f t="shared" si="60"/>
        <v>7</v>
      </c>
      <c r="BO16" s="105">
        <f t="shared" si="61"/>
        <v>6.2222222222222214</v>
      </c>
      <c r="BP16" s="105">
        <f t="shared" si="62"/>
        <v>5.6000000000000005</v>
      </c>
      <c r="BQ16" s="105">
        <f t="shared" si="63"/>
        <v>5.0909090909090908</v>
      </c>
      <c r="BR16" s="105">
        <f t="shared" si="64"/>
        <v>4.666666666666667</v>
      </c>
      <c r="BS16" s="105">
        <f t="shared" si="65"/>
        <v>4.3076923076923075</v>
      </c>
      <c r="BT16" s="105">
        <f t="shared" si="66"/>
        <v>4</v>
      </c>
      <c r="BU16" s="105">
        <f t="shared" si="67"/>
        <v>3.7333333333333329</v>
      </c>
      <c r="BV16" s="105">
        <f t="shared" si="68"/>
        <v>3.5</v>
      </c>
      <c r="BW16" s="109">
        <f t="shared" si="69"/>
        <v>42</v>
      </c>
      <c r="BX16" s="105">
        <f t="shared" si="70"/>
        <v>21</v>
      </c>
      <c r="BY16" s="105">
        <f t="shared" si="71"/>
        <v>14</v>
      </c>
      <c r="BZ16" s="105">
        <f t="shared" si="72"/>
        <v>10.5</v>
      </c>
      <c r="CA16" s="105">
        <f t="shared" si="73"/>
        <v>8.4</v>
      </c>
      <c r="CB16" s="105">
        <f t="shared" si="74"/>
        <v>7</v>
      </c>
      <c r="CC16" s="105">
        <f t="shared" si="75"/>
        <v>6</v>
      </c>
      <c r="CD16" s="105">
        <f t="shared" si="76"/>
        <v>5.25</v>
      </c>
      <c r="CE16" s="105">
        <f t="shared" si="77"/>
        <v>4.6666666666666661</v>
      </c>
      <c r="CF16" s="105">
        <f t="shared" si="78"/>
        <v>4.2</v>
      </c>
      <c r="CG16" s="105">
        <f t="shared" si="79"/>
        <v>3.8181818181818183</v>
      </c>
      <c r="CH16" s="105">
        <f t="shared" si="80"/>
        <v>3.5</v>
      </c>
      <c r="CI16" s="105">
        <f t="shared" si="81"/>
        <v>3.2307692307692308</v>
      </c>
      <c r="CJ16" s="105">
        <f t="shared" si="82"/>
        <v>3</v>
      </c>
      <c r="CK16" s="105">
        <f t="shared" si="83"/>
        <v>2.8</v>
      </c>
      <c r="CL16" s="105">
        <f t="shared" si="84"/>
        <v>2.625</v>
      </c>
    </row>
    <row r="17" spans="4:90">
      <c r="D17" s="105">
        <v>15</v>
      </c>
      <c r="E17" s="105">
        <f t="shared" si="0"/>
        <v>1.0666666666666667</v>
      </c>
      <c r="I17" s="105">
        <v>22</v>
      </c>
      <c r="J17" s="105">
        <f t="shared" si="5"/>
        <v>352</v>
      </c>
      <c r="K17" s="105">
        <f t="shared" si="6"/>
        <v>176</v>
      </c>
      <c r="L17" s="105">
        <f t="shared" si="7"/>
        <v>117.33333333333333</v>
      </c>
      <c r="M17" s="105">
        <f t="shared" si="8"/>
        <v>88</v>
      </c>
      <c r="N17" s="105">
        <f t="shared" si="9"/>
        <v>70.400000000000006</v>
      </c>
      <c r="O17" s="105">
        <f t="shared" si="10"/>
        <v>58.666666666666664</v>
      </c>
      <c r="P17" s="105">
        <f t="shared" si="11"/>
        <v>50.285714285714285</v>
      </c>
      <c r="Q17" s="105">
        <f t="shared" si="12"/>
        <v>44</v>
      </c>
      <c r="R17" s="105">
        <f t="shared" si="13"/>
        <v>39.111111111111107</v>
      </c>
      <c r="S17" s="105">
        <f t="shared" si="14"/>
        <v>35.200000000000003</v>
      </c>
      <c r="T17" s="105">
        <f t="shared" si="15"/>
        <v>32</v>
      </c>
      <c r="U17" s="105">
        <f t="shared" si="16"/>
        <v>29.333333333333332</v>
      </c>
      <c r="V17" s="105">
        <f t="shared" si="17"/>
        <v>27.07692307692308</v>
      </c>
      <c r="W17" s="105">
        <f t="shared" si="18"/>
        <v>25.142857142857142</v>
      </c>
      <c r="X17" s="105">
        <f t="shared" si="19"/>
        <v>23.466666666666665</v>
      </c>
      <c r="Y17" s="105">
        <f t="shared" si="20"/>
        <v>22</v>
      </c>
      <c r="AA17" s="121"/>
      <c r="AB17" s="105">
        <f t="shared" si="22"/>
        <v>88</v>
      </c>
      <c r="AC17" s="105">
        <f t="shared" si="23"/>
        <v>58.666666666666664</v>
      </c>
      <c r="AD17" s="105">
        <f t="shared" si="24"/>
        <v>44</v>
      </c>
      <c r="AE17" s="105">
        <f t="shared" si="25"/>
        <v>35.200000000000003</v>
      </c>
      <c r="AF17" s="105">
        <f t="shared" si="26"/>
        <v>29.333333333333332</v>
      </c>
      <c r="AG17" s="105">
        <f t="shared" si="27"/>
        <v>25.142857142857142</v>
      </c>
      <c r="AH17" s="105">
        <f t="shared" si="28"/>
        <v>22</v>
      </c>
      <c r="AI17" s="105">
        <f t="shared" si="29"/>
        <v>19.555555555555554</v>
      </c>
      <c r="AJ17" s="105">
        <f t="shared" si="30"/>
        <v>17.600000000000001</v>
      </c>
      <c r="AK17" s="105">
        <f t="shared" si="31"/>
        <v>16</v>
      </c>
      <c r="AL17" s="105">
        <f t="shared" si="32"/>
        <v>14.666666666666666</v>
      </c>
      <c r="AM17" s="105">
        <f t="shared" si="33"/>
        <v>13.53846153846154</v>
      </c>
      <c r="AN17" s="105">
        <f t="shared" si="34"/>
        <v>12.571428571428571</v>
      </c>
      <c r="AO17" s="105">
        <f t="shared" si="35"/>
        <v>11.733333333333333</v>
      </c>
      <c r="AP17" s="105">
        <f t="shared" si="36"/>
        <v>11</v>
      </c>
      <c r="AQ17" s="109">
        <f t="shared" si="37"/>
        <v>88</v>
      </c>
      <c r="AR17" s="105">
        <f t="shared" si="38"/>
        <v>44</v>
      </c>
      <c r="AS17" s="105">
        <f t="shared" si="39"/>
        <v>29.333333333333332</v>
      </c>
      <c r="AT17" s="105">
        <f t="shared" si="40"/>
        <v>22</v>
      </c>
      <c r="AU17" s="105">
        <f t="shared" si="41"/>
        <v>17.600000000000001</v>
      </c>
      <c r="AV17" s="105">
        <f t="shared" si="42"/>
        <v>14.666666666666666</v>
      </c>
      <c r="AW17" s="105">
        <f t="shared" si="43"/>
        <v>12.571428571428571</v>
      </c>
      <c r="AX17" s="105">
        <f t="shared" si="44"/>
        <v>11</v>
      </c>
      <c r="AY17" s="105">
        <f t="shared" si="45"/>
        <v>9.7777777777777768</v>
      </c>
      <c r="AZ17" s="105">
        <f t="shared" si="46"/>
        <v>8.8000000000000007</v>
      </c>
      <c r="BA17" s="105">
        <f t="shared" si="47"/>
        <v>8</v>
      </c>
      <c r="BB17" s="105">
        <f t="shared" si="48"/>
        <v>7.333333333333333</v>
      </c>
      <c r="BC17" s="105">
        <f t="shared" si="49"/>
        <v>6.7692307692307701</v>
      </c>
      <c r="BD17" s="105">
        <f t="shared" si="50"/>
        <v>6.2857142857142856</v>
      </c>
      <c r="BE17" s="105">
        <f t="shared" si="51"/>
        <v>5.8666666666666663</v>
      </c>
      <c r="BF17" s="110">
        <f t="shared" si="52"/>
        <v>5.5</v>
      </c>
      <c r="BG17" s="105">
        <f t="shared" si="53"/>
        <v>58.666666666666664</v>
      </c>
      <c r="BH17" s="105">
        <f t="shared" si="54"/>
        <v>29.333333333333332</v>
      </c>
      <c r="BI17" s="105">
        <f t="shared" si="55"/>
        <v>19.555555555555554</v>
      </c>
      <c r="BJ17" s="105">
        <f t="shared" si="56"/>
        <v>14.666666666666666</v>
      </c>
      <c r="BK17" s="105">
        <f t="shared" si="57"/>
        <v>11.733333333333334</v>
      </c>
      <c r="BL17" s="105">
        <f t="shared" si="58"/>
        <v>9.7777777777777768</v>
      </c>
      <c r="BM17" s="105">
        <f t="shared" si="59"/>
        <v>8.3809523809523814</v>
      </c>
      <c r="BN17" s="105">
        <f t="shared" si="60"/>
        <v>7.333333333333333</v>
      </c>
      <c r="BO17" s="105">
        <f t="shared" si="61"/>
        <v>6.5185185185185182</v>
      </c>
      <c r="BP17" s="105">
        <f t="shared" si="62"/>
        <v>5.8666666666666671</v>
      </c>
      <c r="BQ17" s="105">
        <f t="shared" si="63"/>
        <v>5.333333333333333</v>
      </c>
      <c r="BR17" s="105">
        <f t="shared" si="64"/>
        <v>4.8888888888888884</v>
      </c>
      <c r="BS17" s="105">
        <f t="shared" si="65"/>
        <v>4.5128205128205137</v>
      </c>
      <c r="BT17" s="105">
        <f t="shared" si="66"/>
        <v>4.1904761904761907</v>
      </c>
      <c r="BU17" s="105">
        <f t="shared" si="67"/>
        <v>3.911111111111111</v>
      </c>
      <c r="BV17" s="105">
        <f t="shared" si="68"/>
        <v>3.6666666666666665</v>
      </c>
      <c r="BW17" s="109">
        <f t="shared" si="69"/>
        <v>44</v>
      </c>
      <c r="BX17" s="105">
        <f t="shared" si="70"/>
        <v>22</v>
      </c>
      <c r="BY17" s="105">
        <f t="shared" si="71"/>
        <v>14.666666666666666</v>
      </c>
      <c r="BZ17" s="105">
        <f t="shared" si="72"/>
        <v>11</v>
      </c>
      <c r="CA17" s="105">
        <f t="shared" si="73"/>
        <v>8.8000000000000007</v>
      </c>
      <c r="CB17" s="105">
        <f t="shared" si="74"/>
        <v>7.333333333333333</v>
      </c>
      <c r="CC17" s="105">
        <f t="shared" si="75"/>
        <v>6.2857142857142856</v>
      </c>
      <c r="CD17" s="105">
        <f t="shared" si="76"/>
        <v>5.5</v>
      </c>
      <c r="CE17" s="105">
        <f t="shared" si="77"/>
        <v>4.8888888888888884</v>
      </c>
      <c r="CF17" s="105">
        <f t="shared" si="78"/>
        <v>4.4000000000000004</v>
      </c>
      <c r="CG17" s="105">
        <f t="shared" si="79"/>
        <v>4</v>
      </c>
      <c r="CH17" s="105">
        <f t="shared" si="80"/>
        <v>3.6666666666666665</v>
      </c>
      <c r="CI17" s="105">
        <f t="shared" si="81"/>
        <v>3.384615384615385</v>
      </c>
      <c r="CJ17" s="105">
        <f t="shared" si="82"/>
        <v>3.1428571428571428</v>
      </c>
      <c r="CK17" s="105">
        <f t="shared" si="83"/>
        <v>2.9333333333333331</v>
      </c>
      <c r="CL17" s="105">
        <f t="shared" si="84"/>
        <v>2.75</v>
      </c>
    </row>
    <row r="18" spans="4:90">
      <c r="D18" s="105">
        <v>16</v>
      </c>
      <c r="E18" s="105">
        <f t="shared" si="0"/>
        <v>1</v>
      </c>
      <c r="I18" s="105">
        <v>23</v>
      </c>
      <c r="J18" s="105">
        <f t="shared" si="5"/>
        <v>368</v>
      </c>
      <c r="K18" s="105">
        <f t="shared" si="6"/>
        <v>184</v>
      </c>
      <c r="L18" s="105">
        <f t="shared" si="7"/>
        <v>122.66666666666666</v>
      </c>
      <c r="M18" s="105">
        <f t="shared" si="8"/>
        <v>92</v>
      </c>
      <c r="N18" s="105">
        <f t="shared" si="9"/>
        <v>73.600000000000009</v>
      </c>
      <c r="O18" s="105">
        <f t="shared" si="10"/>
        <v>61.333333333333329</v>
      </c>
      <c r="P18" s="105">
        <f t="shared" si="11"/>
        <v>52.571428571428569</v>
      </c>
      <c r="Q18" s="105">
        <f t="shared" si="12"/>
        <v>46</v>
      </c>
      <c r="R18" s="105">
        <f t="shared" si="13"/>
        <v>40.888888888888886</v>
      </c>
      <c r="S18" s="105">
        <f t="shared" si="14"/>
        <v>36.800000000000004</v>
      </c>
      <c r="T18" s="105">
        <f t="shared" si="15"/>
        <v>33.454545454545453</v>
      </c>
      <c r="U18" s="105">
        <f t="shared" si="16"/>
        <v>30.666666666666664</v>
      </c>
      <c r="V18" s="105">
        <f t="shared" si="17"/>
        <v>28.30769230769231</v>
      </c>
      <c r="W18" s="105">
        <f t="shared" si="18"/>
        <v>26.285714285714285</v>
      </c>
      <c r="X18" s="105">
        <f t="shared" si="19"/>
        <v>24.533333333333331</v>
      </c>
      <c r="Y18" s="105">
        <f t="shared" si="20"/>
        <v>23</v>
      </c>
      <c r="AA18" s="121"/>
      <c r="AB18" s="105">
        <f t="shared" si="22"/>
        <v>92</v>
      </c>
      <c r="AC18" s="105">
        <f t="shared" si="23"/>
        <v>61.333333333333329</v>
      </c>
      <c r="AD18" s="105">
        <f t="shared" si="24"/>
        <v>46</v>
      </c>
      <c r="AE18" s="105">
        <f t="shared" si="25"/>
        <v>36.800000000000004</v>
      </c>
      <c r="AF18" s="105">
        <f t="shared" si="26"/>
        <v>30.666666666666664</v>
      </c>
      <c r="AG18" s="105">
        <f t="shared" si="27"/>
        <v>26.285714285714285</v>
      </c>
      <c r="AH18" s="105">
        <f t="shared" si="28"/>
        <v>23</v>
      </c>
      <c r="AI18" s="105">
        <f t="shared" si="29"/>
        <v>20.444444444444443</v>
      </c>
      <c r="AJ18" s="105">
        <f t="shared" si="30"/>
        <v>18.400000000000002</v>
      </c>
      <c r="AK18" s="105">
        <f t="shared" si="31"/>
        <v>16.727272727272727</v>
      </c>
      <c r="AL18" s="105">
        <f t="shared" si="32"/>
        <v>15.333333333333332</v>
      </c>
      <c r="AM18" s="105">
        <f t="shared" si="33"/>
        <v>14.153846153846155</v>
      </c>
      <c r="AN18" s="105">
        <f t="shared" si="34"/>
        <v>13.142857142857142</v>
      </c>
      <c r="AO18" s="105">
        <f t="shared" si="35"/>
        <v>12.266666666666666</v>
      </c>
      <c r="AP18" s="105">
        <f t="shared" si="36"/>
        <v>11.5</v>
      </c>
      <c r="AQ18" s="109">
        <f t="shared" si="37"/>
        <v>92</v>
      </c>
      <c r="AR18" s="105">
        <f t="shared" si="38"/>
        <v>46</v>
      </c>
      <c r="AS18" s="105">
        <f t="shared" si="39"/>
        <v>30.666666666666664</v>
      </c>
      <c r="AT18" s="105">
        <f t="shared" si="40"/>
        <v>23</v>
      </c>
      <c r="AU18" s="105">
        <f t="shared" si="41"/>
        <v>18.400000000000002</v>
      </c>
      <c r="AV18" s="105">
        <f t="shared" si="42"/>
        <v>15.333333333333332</v>
      </c>
      <c r="AW18" s="105">
        <f t="shared" si="43"/>
        <v>13.142857142857142</v>
      </c>
      <c r="AX18" s="105">
        <f t="shared" si="44"/>
        <v>11.5</v>
      </c>
      <c r="AY18" s="105">
        <f t="shared" si="45"/>
        <v>10.222222222222221</v>
      </c>
      <c r="AZ18" s="105">
        <f t="shared" si="46"/>
        <v>9.2000000000000011</v>
      </c>
      <c r="BA18" s="105">
        <f t="shared" si="47"/>
        <v>8.3636363636363633</v>
      </c>
      <c r="BB18" s="105">
        <f t="shared" si="48"/>
        <v>7.6666666666666661</v>
      </c>
      <c r="BC18" s="105">
        <f t="shared" si="49"/>
        <v>7.0769230769230775</v>
      </c>
      <c r="BD18" s="105">
        <f t="shared" si="50"/>
        <v>6.5714285714285712</v>
      </c>
      <c r="BE18" s="105">
        <f t="shared" si="51"/>
        <v>6.1333333333333329</v>
      </c>
      <c r="BF18" s="110">
        <f t="shared" si="52"/>
        <v>5.75</v>
      </c>
      <c r="BG18" s="105">
        <f t="shared" si="53"/>
        <v>61.333333333333336</v>
      </c>
      <c r="BH18" s="105">
        <f t="shared" si="54"/>
        <v>30.666666666666668</v>
      </c>
      <c r="BI18" s="105">
        <f t="shared" si="55"/>
        <v>20.444444444444443</v>
      </c>
      <c r="BJ18" s="105">
        <f t="shared" si="56"/>
        <v>15.333333333333334</v>
      </c>
      <c r="BK18" s="105">
        <f t="shared" si="57"/>
        <v>12.266666666666667</v>
      </c>
      <c r="BL18" s="105">
        <f t="shared" si="58"/>
        <v>10.222222222222221</v>
      </c>
      <c r="BM18" s="105">
        <f t="shared" si="59"/>
        <v>8.761904761904761</v>
      </c>
      <c r="BN18" s="105">
        <f t="shared" si="60"/>
        <v>7.666666666666667</v>
      </c>
      <c r="BO18" s="105">
        <f t="shared" si="61"/>
        <v>6.814814814814814</v>
      </c>
      <c r="BP18" s="105">
        <f t="shared" si="62"/>
        <v>6.1333333333333337</v>
      </c>
      <c r="BQ18" s="105">
        <f t="shared" si="63"/>
        <v>5.5757575757575752</v>
      </c>
      <c r="BR18" s="105">
        <f t="shared" si="64"/>
        <v>5.1111111111111107</v>
      </c>
      <c r="BS18" s="105">
        <f t="shared" si="65"/>
        <v>4.7179487179487181</v>
      </c>
      <c r="BT18" s="105">
        <f t="shared" si="66"/>
        <v>4.3809523809523805</v>
      </c>
      <c r="BU18" s="105">
        <f t="shared" si="67"/>
        <v>4.0888888888888886</v>
      </c>
      <c r="BV18" s="105">
        <f t="shared" si="68"/>
        <v>3.8333333333333335</v>
      </c>
      <c r="BW18" s="109">
        <f t="shared" si="69"/>
        <v>46</v>
      </c>
      <c r="BX18" s="105">
        <f t="shared" si="70"/>
        <v>23</v>
      </c>
      <c r="BY18" s="105">
        <f t="shared" si="71"/>
        <v>15.333333333333332</v>
      </c>
      <c r="BZ18" s="105">
        <f t="shared" si="72"/>
        <v>11.5</v>
      </c>
      <c r="CA18" s="105">
        <f t="shared" si="73"/>
        <v>9.2000000000000011</v>
      </c>
      <c r="CB18" s="105">
        <f t="shared" si="74"/>
        <v>7.6666666666666661</v>
      </c>
      <c r="CC18" s="105">
        <f t="shared" si="75"/>
        <v>6.5714285714285712</v>
      </c>
      <c r="CD18" s="105">
        <f t="shared" si="76"/>
        <v>5.75</v>
      </c>
      <c r="CE18" s="105">
        <f t="shared" si="77"/>
        <v>5.1111111111111107</v>
      </c>
      <c r="CF18" s="105">
        <f t="shared" si="78"/>
        <v>4.6000000000000005</v>
      </c>
      <c r="CG18" s="105">
        <f t="shared" si="79"/>
        <v>4.1818181818181817</v>
      </c>
      <c r="CH18" s="105">
        <f t="shared" si="80"/>
        <v>3.833333333333333</v>
      </c>
      <c r="CI18" s="105">
        <f t="shared" si="81"/>
        <v>3.5384615384615388</v>
      </c>
      <c r="CJ18" s="105">
        <f t="shared" si="82"/>
        <v>3.2857142857142856</v>
      </c>
      <c r="CK18" s="105">
        <f t="shared" si="83"/>
        <v>3.0666666666666664</v>
      </c>
      <c r="CL18" s="105">
        <f t="shared" si="84"/>
        <v>2.875</v>
      </c>
    </row>
    <row r="19" spans="4:90">
      <c r="I19" s="105">
        <v>24</v>
      </c>
      <c r="J19" s="105">
        <f t="shared" si="5"/>
        <v>384</v>
      </c>
      <c r="K19" s="105">
        <f t="shared" si="6"/>
        <v>192</v>
      </c>
      <c r="L19" s="105">
        <f t="shared" si="7"/>
        <v>128</v>
      </c>
      <c r="M19" s="105">
        <f t="shared" si="8"/>
        <v>96</v>
      </c>
      <c r="N19" s="105">
        <f t="shared" si="9"/>
        <v>76.800000000000011</v>
      </c>
      <c r="O19" s="105">
        <f t="shared" si="10"/>
        <v>64</v>
      </c>
      <c r="P19" s="105">
        <f t="shared" si="11"/>
        <v>54.857142857142854</v>
      </c>
      <c r="Q19" s="105">
        <f t="shared" si="12"/>
        <v>48</v>
      </c>
      <c r="R19" s="105">
        <f t="shared" si="13"/>
        <v>42.666666666666664</v>
      </c>
      <c r="S19" s="105">
        <f t="shared" si="14"/>
        <v>38.400000000000006</v>
      </c>
      <c r="T19" s="105">
        <f t="shared" si="15"/>
        <v>34.909090909090907</v>
      </c>
      <c r="U19" s="105">
        <f t="shared" si="16"/>
        <v>32</v>
      </c>
      <c r="V19" s="105">
        <f t="shared" si="17"/>
        <v>29.53846153846154</v>
      </c>
      <c r="W19" s="105">
        <f t="shared" si="18"/>
        <v>27.428571428571427</v>
      </c>
      <c r="X19" s="105">
        <f t="shared" si="19"/>
        <v>25.6</v>
      </c>
      <c r="Y19" s="105">
        <f t="shared" si="20"/>
        <v>24</v>
      </c>
      <c r="AA19" s="121"/>
      <c r="AB19" s="105">
        <f t="shared" si="22"/>
        <v>96</v>
      </c>
      <c r="AC19" s="105">
        <f t="shared" si="23"/>
        <v>64</v>
      </c>
      <c r="AD19" s="105">
        <f t="shared" si="24"/>
        <v>48</v>
      </c>
      <c r="AE19" s="105">
        <f t="shared" si="25"/>
        <v>38.400000000000006</v>
      </c>
      <c r="AF19" s="105">
        <f t="shared" si="26"/>
        <v>32</v>
      </c>
      <c r="AG19" s="105">
        <f t="shared" si="27"/>
        <v>27.428571428571427</v>
      </c>
      <c r="AH19" s="105">
        <f t="shared" si="28"/>
        <v>24</v>
      </c>
      <c r="AI19" s="105">
        <f t="shared" si="29"/>
        <v>21.333333333333332</v>
      </c>
      <c r="AJ19" s="105">
        <f t="shared" si="30"/>
        <v>19.200000000000003</v>
      </c>
      <c r="AK19" s="105">
        <f t="shared" si="31"/>
        <v>17.454545454545453</v>
      </c>
      <c r="AL19" s="105">
        <f t="shared" si="32"/>
        <v>16</v>
      </c>
      <c r="AM19" s="105">
        <f t="shared" si="33"/>
        <v>14.76923076923077</v>
      </c>
      <c r="AN19" s="105">
        <f t="shared" si="34"/>
        <v>13.714285714285714</v>
      </c>
      <c r="AO19" s="105">
        <f t="shared" si="35"/>
        <v>12.8</v>
      </c>
      <c r="AP19" s="105">
        <f t="shared" si="36"/>
        <v>12</v>
      </c>
      <c r="AQ19" s="109">
        <f t="shared" si="37"/>
        <v>96</v>
      </c>
      <c r="AR19" s="105">
        <f t="shared" si="38"/>
        <v>48</v>
      </c>
      <c r="AS19" s="105">
        <f t="shared" si="39"/>
        <v>32</v>
      </c>
      <c r="AT19" s="105">
        <f t="shared" si="40"/>
        <v>24</v>
      </c>
      <c r="AU19" s="105">
        <f t="shared" si="41"/>
        <v>19.200000000000003</v>
      </c>
      <c r="AV19" s="105">
        <f t="shared" si="42"/>
        <v>16</v>
      </c>
      <c r="AW19" s="105">
        <f t="shared" si="43"/>
        <v>13.714285714285714</v>
      </c>
      <c r="AX19" s="105">
        <f t="shared" si="44"/>
        <v>12</v>
      </c>
      <c r="AY19" s="105">
        <f t="shared" si="45"/>
        <v>10.666666666666666</v>
      </c>
      <c r="AZ19" s="105">
        <f t="shared" si="46"/>
        <v>9.6000000000000014</v>
      </c>
      <c r="BA19" s="105">
        <f t="shared" si="47"/>
        <v>8.7272727272727266</v>
      </c>
      <c r="BB19" s="105">
        <f t="shared" si="48"/>
        <v>8</v>
      </c>
      <c r="BC19" s="105">
        <f t="shared" si="49"/>
        <v>7.384615384615385</v>
      </c>
      <c r="BD19" s="105">
        <f t="shared" si="50"/>
        <v>6.8571428571428568</v>
      </c>
      <c r="BE19" s="105">
        <f t="shared" si="51"/>
        <v>6.4</v>
      </c>
      <c r="BF19" s="110">
        <f t="shared" si="52"/>
        <v>6</v>
      </c>
      <c r="BG19" s="105">
        <f t="shared" si="53"/>
        <v>64</v>
      </c>
      <c r="BH19" s="105">
        <f t="shared" si="54"/>
        <v>32</v>
      </c>
      <c r="BI19" s="105">
        <f t="shared" si="55"/>
        <v>21.333333333333332</v>
      </c>
      <c r="BJ19" s="105">
        <f t="shared" si="56"/>
        <v>16</v>
      </c>
      <c r="BK19" s="105">
        <f t="shared" si="57"/>
        <v>12.800000000000002</v>
      </c>
      <c r="BL19" s="105">
        <f t="shared" si="58"/>
        <v>10.666666666666666</v>
      </c>
      <c r="BM19" s="105">
        <f t="shared" si="59"/>
        <v>9.1428571428571423</v>
      </c>
      <c r="BN19" s="105">
        <f t="shared" si="60"/>
        <v>8</v>
      </c>
      <c r="BO19" s="105">
        <f t="shared" si="61"/>
        <v>7.1111111111111107</v>
      </c>
      <c r="BP19" s="105">
        <f t="shared" si="62"/>
        <v>6.4000000000000012</v>
      </c>
      <c r="BQ19" s="105">
        <f t="shared" si="63"/>
        <v>5.8181818181818175</v>
      </c>
      <c r="BR19" s="105">
        <f t="shared" si="64"/>
        <v>5.333333333333333</v>
      </c>
      <c r="BS19" s="105">
        <f t="shared" si="65"/>
        <v>4.9230769230769234</v>
      </c>
      <c r="BT19" s="105">
        <f t="shared" si="66"/>
        <v>4.5714285714285712</v>
      </c>
      <c r="BU19" s="105">
        <f t="shared" si="67"/>
        <v>4.2666666666666666</v>
      </c>
      <c r="BV19" s="105">
        <f t="shared" si="68"/>
        <v>4</v>
      </c>
      <c r="BW19" s="109">
        <f t="shared" si="69"/>
        <v>48</v>
      </c>
      <c r="BX19" s="105">
        <f t="shared" si="70"/>
        <v>24</v>
      </c>
      <c r="BY19" s="105">
        <f t="shared" si="71"/>
        <v>16</v>
      </c>
      <c r="BZ19" s="105">
        <f t="shared" si="72"/>
        <v>12</v>
      </c>
      <c r="CA19" s="105">
        <f t="shared" si="73"/>
        <v>9.6000000000000014</v>
      </c>
      <c r="CB19" s="105">
        <f t="shared" si="74"/>
        <v>8</v>
      </c>
      <c r="CC19" s="105">
        <f t="shared" si="75"/>
        <v>6.8571428571428568</v>
      </c>
      <c r="CD19" s="105">
        <f t="shared" si="76"/>
        <v>6</v>
      </c>
      <c r="CE19" s="105">
        <f t="shared" si="77"/>
        <v>5.333333333333333</v>
      </c>
      <c r="CF19" s="105">
        <f t="shared" si="78"/>
        <v>4.8000000000000007</v>
      </c>
      <c r="CG19" s="105">
        <f t="shared" si="79"/>
        <v>4.3636363636363633</v>
      </c>
      <c r="CH19" s="105">
        <f t="shared" si="80"/>
        <v>4</v>
      </c>
      <c r="CI19" s="105">
        <f t="shared" si="81"/>
        <v>3.6923076923076925</v>
      </c>
      <c r="CJ19" s="105">
        <f t="shared" si="82"/>
        <v>3.4285714285714284</v>
      </c>
      <c r="CK19" s="105">
        <f t="shared" si="83"/>
        <v>3.2</v>
      </c>
      <c r="CL19" s="105">
        <f t="shared" si="84"/>
        <v>3</v>
      </c>
    </row>
    <row r="20" spans="4:90">
      <c r="I20" s="105">
        <v>25</v>
      </c>
      <c r="J20" s="105">
        <f t="shared" si="5"/>
        <v>400</v>
      </c>
      <c r="K20" s="105">
        <f t="shared" si="6"/>
        <v>200</v>
      </c>
      <c r="L20" s="105">
        <f t="shared" si="7"/>
        <v>133.33333333333331</v>
      </c>
      <c r="M20" s="105">
        <f t="shared" si="8"/>
        <v>100</v>
      </c>
      <c r="N20" s="105">
        <f t="shared" si="9"/>
        <v>80</v>
      </c>
      <c r="O20" s="105">
        <f t="shared" si="10"/>
        <v>66.666666666666657</v>
      </c>
      <c r="P20" s="105">
        <f t="shared" si="11"/>
        <v>57.142857142857139</v>
      </c>
      <c r="Q20" s="105">
        <f t="shared" si="12"/>
        <v>50</v>
      </c>
      <c r="R20" s="105">
        <f t="shared" si="13"/>
        <v>44.444444444444443</v>
      </c>
      <c r="S20" s="105">
        <f t="shared" si="14"/>
        <v>40</v>
      </c>
      <c r="T20" s="105">
        <f t="shared" si="15"/>
        <v>36.363636363636367</v>
      </c>
      <c r="U20" s="105">
        <f t="shared" si="16"/>
        <v>33.333333333333329</v>
      </c>
      <c r="V20" s="105">
        <f t="shared" si="17"/>
        <v>30.76923076923077</v>
      </c>
      <c r="W20" s="105">
        <f t="shared" si="18"/>
        <v>28.571428571428569</v>
      </c>
      <c r="X20" s="105">
        <f t="shared" si="19"/>
        <v>26.666666666666668</v>
      </c>
      <c r="Y20" s="105">
        <f t="shared" si="20"/>
        <v>25</v>
      </c>
      <c r="AA20" s="121"/>
      <c r="AB20" s="105">
        <f t="shared" si="22"/>
        <v>100</v>
      </c>
      <c r="AC20" s="105">
        <f t="shared" si="23"/>
        <v>66.666666666666657</v>
      </c>
      <c r="AD20" s="105">
        <f t="shared" si="24"/>
        <v>50</v>
      </c>
      <c r="AE20" s="105">
        <f t="shared" si="25"/>
        <v>40</v>
      </c>
      <c r="AF20" s="105">
        <f t="shared" si="26"/>
        <v>33.333333333333329</v>
      </c>
      <c r="AG20" s="105">
        <f t="shared" si="27"/>
        <v>28.571428571428569</v>
      </c>
      <c r="AH20" s="105">
        <f t="shared" si="28"/>
        <v>25</v>
      </c>
      <c r="AI20" s="105">
        <f t="shared" si="29"/>
        <v>22.222222222222221</v>
      </c>
      <c r="AJ20" s="105">
        <f t="shared" si="30"/>
        <v>20</v>
      </c>
      <c r="AK20" s="105">
        <f t="shared" si="31"/>
        <v>18.181818181818183</v>
      </c>
      <c r="AL20" s="105">
        <f t="shared" si="32"/>
        <v>16.666666666666664</v>
      </c>
      <c r="AM20" s="105">
        <f t="shared" si="33"/>
        <v>15.384615384615385</v>
      </c>
      <c r="AN20" s="105">
        <f t="shared" si="34"/>
        <v>14.285714285714285</v>
      </c>
      <c r="AO20" s="105">
        <f t="shared" si="35"/>
        <v>13.333333333333334</v>
      </c>
      <c r="AP20" s="105">
        <f t="shared" si="36"/>
        <v>12.5</v>
      </c>
      <c r="AQ20" s="109">
        <f t="shared" si="37"/>
        <v>100</v>
      </c>
      <c r="AR20" s="105">
        <f t="shared" si="38"/>
        <v>50</v>
      </c>
      <c r="AS20" s="105">
        <f t="shared" si="39"/>
        <v>33.333333333333329</v>
      </c>
      <c r="AT20" s="105">
        <f t="shared" si="40"/>
        <v>25</v>
      </c>
      <c r="AU20" s="105">
        <f t="shared" si="41"/>
        <v>20</v>
      </c>
      <c r="AV20" s="105">
        <f t="shared" si="42"/>
        <v>16.666666666666664</v>
      </c>
      <c r="AW20" s="105">
        <f t="shared" si="43"/>
        <v>14.285714285714285</v>
      </c>
      <c r="AX20" s="105">
        <f t="shared" si="44"/>
        <v>12.5</v>
      </c>
      <c r="AY20" s="105">
        <f t="shared" si="45"/>
        <v>11.111111111111111</v>
      </c>
      <c r="AZ20" s="105">
        <f t="shared" si="46"/>
        <v>10</v>
      </c>
      <c r="BA20" s="105">
        <f t="shared" si="47"/>
        <v>9.0909090909090917</v>
      </c>
      <c r="BB20" s="105">
        <f t="shared" si="48"/>
        <v>8.3333333333333321</v>
      </c>
      <c r="BC20" s="105">
        <f t="shared" si="49"/>
        <v>7.6923076923076925</v>
      </c>
      <c r="BD20" s="105">
        <f t="shared" si="50"/>
        <v>7.1428571428571423</v>
      </c>
      <c r="BE20" s="105">
        <f t="shared" si="51"/>
        <v>6.666666666666667</v>
      </c>
      <c r="BF20" s="110">
        <f t="shared" si="52"/>
        <v>6.25</v>
      </c>
      <c r="BG20" s="105">
        <f t="shared" si="53"/>
        <v>66.666666666666671</v>
      </c>
      <c r="BH20" s="105">
        <f t="shared" si="54"/>
        <v>33.333333333333336</v>
      </c>
      <c r="BI20" s="105">
        <f t="shared" si="55"/>
        <v>22.222222222222218</v>
      </c>
      <c r="BJ20" s="105">
        <f t="shared" si="56"/>
        <v>16.666666666666668</v>
      </c>
      <c r="BK20" s="105">
        <f t="shared" si="57"/>
        <v>13.333333333333334</v>
      </c>
      <c r="BL20" s="105">
        <f t="shared" si="58"/>
        <v>11.111111111111109</v>
      </c>
      <c r="BM20" s="105">
        <f t="shared" si="59"/>
        <v>9.5238095238095237</v>
      </c>
      <c r="BN20" s="105">
        <f t="shared" si="60"/>
        <v>8.3333333333333339</v>
      </c>
      <c r="BO20" s="105">
        <f t="shared" si="61"/>
        <v>7.4074074074074074</v>
      </c>
      <c r="BP20" s="105">
        <f t="shared" si="62"/>
        <v>6.666666666666667</v>
      </c>
      <c r="BQ20" s="105">
        <f t="shared" si="63"/>
        <v>6.0606060606060614</v>
      </c>
      <c r="BR20" s="105">
        <f t="shared" si="64"/>
        <v>5.5555555555555545</v>
      </c>
      <c r="BS20" s="105">
        <f t="shared" si="65"/>
        <v>5.1282051282051286</v>
      </c>
      <c r="BT20" s="105">
        <f t="shared" si="66"/>
        <v>4.7619047619047619</v>
      </c>
      <c r="BU20" s="105">
        <f t="shared" si="67"/>
        <v>4.4444444444444446</v>
      </c>
      <c r="BV20" s="105">
        <f t="shared" si="68"/>
        <v>4.166666666666667</v>
      </c>
      <c r="BW20" s="109">
        <f t="shared" si="69"/>
        <v>50</v>
      </c>
      <c r="BX20" s="105">
        <f t="shared" si="70"/>
        <v>25</v>
      </c>
      <c r="BY20" s="105">
        <f t="shared" si="71"/>
        <v>16.666666666666664</v>
      </c>
      <c r="BZ20" s="105">
        <f t="shared" si="72"/>
        <v>12.5</v>
      </c>
      <c r="CA20" s="105">
        <f t="shared" si="73"/>
        <v>10</v>
      </c>
      <c r="CB20" s="105">
        <f t="shared" si="74"/>
        <v>8.3333333333333321</v>
      </c>
      <c r="CC20" s="105">
        <f t="shared" si="75"/>
        <v>7.1428571428571423</v>
      </c>
      <c r="CD20" s="105">
        <f t="shared" si="76"/>
        <v>6.25</v>
      </c>
      <c r="CE20" s="105">
        <f t="shared" si="77"/>
        <v>5.5555555555555554</v>
      </c>
      <c r="CF20" s="105">
        <f t="shared" si="78"/>
        <v>5</v>
      </c>
      <c r="CG20" s="105">
        <f t="shared" si="79"/>
        <v>4.5454545454545459</v>
      </c>
      <c r="CH20" s="105">
        <f t="shared" si="80"/>
        <v>4.1666666666666661</v>
      </c>
      <c r="CI20" s="105">
        <f t="shared" si="81"/>
        <v>3.8461538461538463</v>
      </c>
      <c r="CJ20" s="105">
        <f t="shared" si="82"/>
        <v>3.5714285714285712</v>
      </c>
      <c r="CK20" s="105">
        <f t="shared" si="83"/>
        <v>3.3333333333333335</v>
      </c>
      <c r="CL20" s="105">
        <f t="shared" si="84"/>
        <v>3.125</v>
      </c>
    </row>
    <row r="21" spans="4:90">
      <c r="I21" s="105">
        <v>26</v>
      </c>
      <c r="J21" s="105">
        <f t="shared" si="5"/>
        <v>416</v>
      </c>
      <c r="K21" s="105">
        <f t="shared" si="6"/>
        <v>208</v>
      </c>
      <c r="L21" s="105">
        <f t="shared" si="7"/>
        <v>138.66666666666666</v>
      </c>
      <c r="M21" s="105">
        <f t="shared" si="8"/>
        <v>104</v>
      </c>
      <c r="N21" s="105">
        <f t="shared" si="9"/>
        <v>83.2</v>
      </c>
      <c r="O21" s="105">
        <f t="shared" si="10"/>
        <v>69.333333333333329</v>
      </c>
      <c r="P21" s="105">
        <f t="shared" si="11"/>
        <v>59.428571428571423</v>
      </c>
      <c r="Q21" s="105">
        <f t="shared" si="12"/>
        <v>52</v>
      </c>
      <c r="R21" s="105">
        <f t="shared" si="13"/>
        <v>46.222222222222221</v>
      </c>
      <c r="S21" s="105">
        <f t="shared" si="14"/>
        <v>41.6</v>
      </c>
      <c r="T21" s="105">
        <f t="shared" si="15"/>
        <v>37.81818181818182</v>
      </c>
      <c r="U21" s="105">
        <f t="shared" si="16"/>
        <v>34.666666666666664</v>
      </c>
      <c r="V21" s="105">
        <f t="shared" si="17"/>
        <v>32</v>
      </c>
      <c r="W21" s="105">
        <f t="shared" si="18"/>
        <v>29.714285714285712</v>
      </c>
      <c r="X21" s="105">
        <f t="shared" si="19"/>
        <v>27.733333333333334</v>
      </c>
      <c r="Y21" s="105">
        <f t="shared" si="20"/>
        <v>26</v>
      </c>
      <c r="AA21" s="121"/>
      <c r="AB21" s="105">
        <f t="shared" si="22"/>
        <v>104</v>
      </c>
      <c r="AC21" s="105">
        <f t="shared" si="23"/>
        <v>69.333333333333329</v>
      </c>
      <c r="AD21" s="105">
        <f t="shared" si="24"/>
        <v>52</v>
      </c>
      <c r="AE21" s="105">
        <f t="shared" si="25"/>
        <v>41.6</v>
      </c>
      <c r="AF21" s="105">
        <f t="shared" si="26"/>
        <v>34.666666666666664</v>
      </c>
      <c r="AG21" s="105">
        <f t="shared" si="27"/>
        <v>29.714285714285712</v>
      </c>
      <c r="AH21" s="105">
        <f t="shared" si="28"/>
        <v>26</v>
      </c>
      <c r="AI21" s="105">
        <f t="shared" si="29"/>
        <v>23.111111111111111</v>
      </c>
      <c r="AJ21" s="105">
        <f t="shared" si="30"/>
        <v>20.8</v>
      </c>
      <c r="AK21" s="105">
        <f t="shared" si="31"/>
        <v>18.90909090909091</v>
      </c>
      <c r="AL21" s="105">
        <f t="shared" si="32"/>
        <v>17.333333333333332</v>
      </c>
      <c r="AM21" s="105">
        <f t="shared" si="33"/>
        <v>16</v>
      </c>
      <c r="AN21" s="105">
        <f t="shared" si="34"/>
        <v>14.857142857142856</v>
      </c>
      <c r="AO21" s="105">
        <f t="shared" si="35"/>
        <v>13.866666666666667</v>
      </c>
      <c r="AP21" s="105">
        <f t="shared" si="36"/>
        <v>13</v>
      </c>
      <c r="AQ21" s="109">
        <f t="shared" si="37"/>
        <v>104</v>
      </c>
      <c r="AR21" s="105">
        <f t="shared" si="38"/>
        <v>52</v>
      </c>
      <c r="AS21" s="105">
        <f t="shared" si="39"/>
        <v>34.666666666666664</v>
      </c>
      <c r="AT21" s="105">
        <f t="shared" si="40"/>
        <v>26</v>
      </c>
      <c r="AU21" s="105">
        <f t="shared" si="41"/>
        <v>20.8</v>
      </c>
      <c r="AV21" s="105">
        <f t="shared" si="42"/>
        <v>17.333333333333332</v>
      </c>
      <c r="AW21" s="105">
        <f t="shared" si="43"/>
        <v>14.857142857142856</v>
      </c>
      <c r="AX21" s="105">
        <f t="shared" si="44"/>
        <v>13</v>
      </c>
      <c r="AY21" s="105">
        <f t="shared" si="45"/>
        <v>11.555555555555555</v>
      </c>
      <c r="AZ21" s="105">
        <f t="shared" si="46"/>
        <v>10.4</v>
      </c>
      <c r="BA21" s="105">
        <f t="shared" si="47"/>
        <v>9.454545454545455</v>
      </c>
      <c r="BB21" s="105">
        <f t="shared" si="48"/>
        <v>8.6666666666666661</v>
      </c>
      <c r="BC21" s="105">
        <f t="shared" si="49"/>
        <v>8</v>
      </c>
      <c r="BD21" s="105">
        <f t="shared" si="50"/>
        <v>7.4285714285714279</v>
      </c>
      <c r="BE21" s="105">
        <f t="shared" si="51"/>
        <v>6.9333333333333336</v>
      </c>
      <c r="BF21" s="110">
        <f t="shared" si="52"/>
        <v>6.5</v>
      </c>
      <c r="BG21" s="105">
        <f t="shared" si="53"/>
        <v>69.333333333333329</v>
      </c>
      <c r="BH21" s="105">
        <f t="shared" si="54"/>
        <v>34.666666666666664</v>
      </c>
      <c r="BI21" s="105">
        <f t="shared" si="55"/>
        <v>23.111111111111111</v>
      </c>
      <c r="BJ21" s="105">
        <f t="shared" si="56"/>
        <v>17.333333333333332</v>
      </c>
      <c r="BK21" s="105">
        <f t="shared" si="57"/>
        <v>13.866666666666667</v>
      </c>
      <c r="BL21" s="105">
        <f t="shared" si="58"/>
        <v>11.555555555555555</v>
      </c>
      <c r="BM21" s="105">
        <f t="shared" si="59"/>
        <v>9.9047619047619033</v>
      </c>
      <c r="BN21" s="105">
        <f t="shared" si="60"/>
        <v>8.6666666666666661</v>
      </c>
      <c r="BO21" s="105">
        <f t="shared" si="61"/>
        <v>7.7037037037037033</v>
      </c>
      <c r="BP21" s="105">
        <f t="shared" si="62"/>
        <v>6.9333333333333336</v>
      </c>
      <c r="BQ21" s="105">
        <f t="shared" si="63"/>
        <v>6.3030303030303036</v>
      </c>
      <c r="BR21" s="105">
        <f t="shared" si="64"/>
        <v>5.7777777777777777</v>
      </c>
      <c r="BS21" s="105">
        <f t="shared" si="65"/>
        <v>5.333333333333333</v>
      </c>
      <c r="BT21" s="105">
        <f t="shared" si="66"/>
        <v>4.9523809523809517</v>
      </c>
      <c r="BU21" s="105">
        <f t="shared" si="67"/>
        <v>4.6222222222222227</v>
      </c>
      <c r="BV21" s="105">
        <f t="shared" si="68"/>
        <v>4.333333333333333</v>
      </c>
      <c r="BW21" s="109">
        <f t="shared" si="69"/>
        <v>52</v>
      </c>
      <c r="BX21" s="105">
        <f t="shared" si="70"/>
        <v>26</v>
      </c>
      <c r="BY21" s="105">
        <f t="shared" si="71"/>
        <v>17.333333333333332</v>
      </c>
      <c r="BZ21" s="105">
        <f t="shared" si="72"/>
        <v>13</v>
      </c>
      <c r="CA21" s="105">
        <f t="shared" si="73"/>
        <v>10.4</v>
      </c>
      <c r="CB21" s="105">
        <f t="shared" si="74"/>
        <v>8.6666666666666661</v>
      </c>
      <c r="CC21" s="105">
        <f t="shared" si="75"/>
        <v>7.4285714285714279</v>
      </c>
      <c r="CD21" s="105">
        <f t="shared" si="76"/>
        <v>6.5</v>
      </c>
      <c r="CE21" s="105">
        <f t="shared" si="77"/>
        <v>5.7777777777777777</v>
      </c>
      <c r="CF21" s="105">
        <f t="shared" si="78"/>
        <v>5.2</v>
      </c>
      <c r="CG21" s="105">
        <f t="shared" si="79"/>
        <v>4.7272727272727275</v>
      </c>
      <c r="CH21" s="105">
        <f t="shared" si="80"/>
        <v>4.333333333333333</v>
      </c>
      <c r="CI21" s="105">
        <f t="shared" si="81"/>
        <v>4</v>
      </c>
      <c r="CJ21" s="105">
        <f t="shared" si="82"/>
        <v>3.714285714285714</v>
      </c>
      <c r="CK21" s="105">
        <f t="shared" si="83"/>
        <v>3.4666666666666668</v>
      </c>
      <c r="CL21" s="105">
        <f t="shared" si="84"/>
        <v>3.25</v>
      </c>
    </row>
    <row r="22" spans="4:90">
      <c r="I22" s="105">
        <v>27</v>
      </c>
      <c r="J22" s="105">
        <f t="shared" si="5"/>
        <v>432</v>
      </c>
      <c r="K22" s="105">
        <f t="shared" si="6"/>
        <v>216</v>
      </c>
      <c r="L22" s="105">
        <f t="shared" si="7"/>
        <v>144</v>
      </c>
      <c r="M22" s="105">
        <f t="shared" si="8"/>
        <v>108</v>
      </c>
      <c r="N22" s="105">
        <f t="shared" si="9"/>
        <v>86.4</v>
      </c>
      <c r="O22" s="105">
        <f t="shared" si="10"/>
        <v>72</v>
      </c>
      <c r="P22" s="105">
        <f t="shared" si="11"/>
        <v>61.714285714285708</v>
      </c>
      <c r="Q22" s="105">
        <f t="shared" si="12"/>
        <v>54</v>
      </c>
      <c r="R22" s="105">
        <f t="shared" si="13"/>
        <v>48</v>
      </c>
      <c r="S22" s="105">
        <f t="shared" si="14"/>
        <v>43.2</v>
      </c>
      <c r="T22" s="105">
        <f t="shared" si="15"/>
        <v>39.272727272727273</v>
      </c>
      <c r="U22" s="105">
        <f t="shared" si="16"/>
        <v>36</v>
      </c>
      <c r="V22" s="105">
        <f t="shared" si="17"/>
        <v>33.230769230769234</v>
      </c>
      <c r="W22" s="105">
        <f t="shared" si="18"/>
        <v>30.857142857142854</v>
      </c>
      <c r="X22" s="105">
        <f t="shared" si="19"/>
        <v>28.8</v>
      </c>
      <c r="Y22" s="105">
        <f t="shared" si="20"/>
        <v>27</v>
      </c>
      <c r="AA22" s="121"/>
      <c r="AB22" s="105">
        <f t="shared" si="22"/>
        <v>108</v>
      </c>
      <c r="AC22" s="105">
        <f t="shared" si="23"/>
        <v>72</v>
      </c>
      <c r="AD22" s="105">
        <f t="shared" si="24"/>
        <v>54</v>
      </c>
      <c r="AE22" s="105">
        <f t="shared" si="25"/>
        <v>43.2</v>
      </c>
      <c r="AF22" s="105">
        <f t="shared" si="26"/>
        <v>36</v>
      </c>
      <c r="AG22" s="105">
        <f t="shared" si="27"/>
        <v>30.857142857142854</v>
      </c>
      <c r="AH22" s="105">
        <f t="shared" si="28"/>
        <v>27</v>
      </c>
      <c r="AI22" s="105">
        <f t="shared" si="29"/>
        <v>24</v>
      </c>
      <c r="AJ22" s="105">
        <f t="shared" si="30"/>
        <v>21.6</v>
      </c>
      <c r="AK22" s="105">
        <f t="shared" si="31"/>
        <v>19.636363636363637</v>
      </c>
      <c r="AL22" s="105">
        <f t="shared" si="32"/>
        <v>18</v>
      </c>
      <c r="AM22" s="105">
        <f t="shared" si="33"/>
        <v>16.615384615384617</v>
      </c>
      <c r="AN22" s="105">
        <f t="shared" si="34"/>
        <v>15.428571428571427</v>
      </c>
      <c r="AO22" s="105">
        <f t="shared" si="35"/>
        <v>14.4</v>
      </c>
      <c r="AP22" s="105">
        <f t="shared" si="36"/>
        <v>13.5</v>
      </c>
      <c r="AQ22" s="109">
        <f t="shared" si="37"/>
        <v>108</v>
      </c>
      <c r="AR22" s="105">
        <f t="shared" si="38"/>
        <v>54</v>
      </c>
      <c r="AS22" s="105">
        <f t="shared" si="39"/>
        <v>36</v>
      </c>
      <c r="AT22" s="105">
        <f t="shared" si="40"/>
        <v>27</v>
      </c>
      <c r="AU22" s="105">
        <f t="shared" si="41"/>
        <v>21.6</v>
      </c>
      <c r="AV22" s="105">
        <f t="shared" si="42"/>
        <v>18</v>
      </c>
      <c r="AW22" s="105">
        <f t="shared" si="43"/>
        <v>15.428571428571427</v>
      </c>
      <c r="AX22" s="105">
        <f t="shared" si="44"/>
        <v>13.5</v>
      </c>
      <c r="AY22" s="105">
        <f t="shared" si="45"/>
        <v>12</v>
      </c>
      <c r="AZ22" s="105">
        <f t="shared" si="46"/>
        <v>10.8</v>
      </c>
      <c r="BA22" s="105">
        <f t="shared" si="47"/>
        <v>9.8181818181818183</v>
      </c>
      <c r="BB22" s="105">
        <f t="shared" si="48"/>
        <v>9</v>
      </c>
      <c r="BC22" s="105">
        <f t="shared" si="49"/>
        <v>8.3076923076923084</v>
      </c>
      <c r="BD22" s="105">
        <f t="shared" si="50"/>
        <v>7.7142857142857135</v>
      </c>
      <c r="BE22" s="105">
        <f t="shared" si="51"/>
        <v>7.2</v>
      </c>
      <c r="BF22" s="110">
        <f t="shared" si="52"/>
        <v>6.75</v>
      </c>
      <c r="BG22" s="105">
        <f t="shared" si="53"/>
        <v>72</v>
      </c>
      <c r="BH22" s="105">
        <f t="shared" si="54"/>
        <v>36</v>
      </c>
      <c r="BI22" s="105">
        <f t="shared" si="55"/>
        <v>24</v>
      </c>
      <c r="BJ22" s="105">
        <f t="shared" si="56"/>
        <v>18</v>
      </c>
      <c r="BK22" s="105">
        <f t="shared" si="57"/>
        <v>14.4</v>
      </c>
      <c r="BL22" s="105">
        <f t="shared" si="58"/>
        <v>12</v>
      </c>
      <c r="BM22" s="105">
        <f t="shared" si="59"/>
        <v>10.285714285714285</v>
      </c>
      <c r="BN22" s="105">
        <f t="shared" si="60"/>
        <v>9</v>
      </c>
      <c r="BO22" s="105">
        <f t="shared" si="61"/>
        <v>8</v>
      </c>
      <c r="BP22" s="105">
        <f t="shared" si="62"/>
        <v>7.2</v>
      </c>
      <c r="BQ22" s="105">
        <f t="shared" si="63"/>
        <v>6.5454545454545459</v>
      </c>
      <c r="BR22" s="105">
        <f t="shared" si="64"/>
        <v>6</v>
      </c>
      <c r="BS22" s="105">
        <f t="shared" si="65"/>
        <v>5.5384615384615392</v>
      </c>
      <c r="BT22" s="105">
        <f t="shared" si="66"/>
        <v>5.1428571428571423</v>
      </c>
      <c r="BU22" s="105">
        <f t="shared" si="67"/>
        <v>4.8</v>
      </c>
      <c r="BV22" s="105">
        <f t="shared" si="68"/>
        <v>4.5</v>
      </c>
      <c r="BW22" s="109">
        <f t="shared" si="69"/>
        <v>54</v>
      </c>
      <c r="BX22" s="105">
        <f t="shared" si="70"/>
        <v>27</v>
      </c>
      <c r="BY22" s="105">
        <f t="shared" si="71"/>
        <v>18</v>
      </c>
      <c r="BZ22" s="105">
        <f t="shared" si="72"/>
        <v>13.5</v>
      </c>
      <c r="CA22" s="105">
        <f t="shared" si="73"/>
        <v>10.8</v>
      </c>
      <c r="CB22" s="105">
        <f t="shared" si="74"/>
        <v>9</v>
      </c>
      <c r="CC22" s="105">
        <f t="shared" si="75"/>
        <v>7.7142857142857135</v>
      </c>
      <c r="CD22" s="105">
        <f t="shared" si="76"/>
        <v>6.75</v>
      </c>
      <c r="CE22" s="105">
        <f t="shared" si="77"/>
        <v>6</v>
      </c>
      <c r="CF22" s="105">
        <f t="shared" si="78"/>
        <v>5.4</v>
      </c>
      <c r="CG22" s="105">
        <f t="shared" si="79"/>
        <v>4.9090909090909092</v>
      </c>
      <c r="CH22" s="105">
        <f t="shared" si="80"/>
        <v>4.5</v>
      </c>
      <c r="CI22" s="105">
        <f t="shared" si="81"/>
        <v>4.1538461538461542</v>
      </c>
      <c r="CJ22" s="105">
        <f t="shared" si="82"/>
        <v>3.8571428571428568</v>
      </c>
      <c r="CK22" s="105">
        <f t="shared" si="83"/>
        <v>3.6</v>
      </c>
      <c r="CL22" s="105">
        <f t="shared" si="84"/>
        <v>3.375</v>
      </c>
    </row>
    <row r="23" spans="4:90">
      <c r="I23" s="105">
        <v>28</v>
      </c>
      <c r="J23" s="105">
        <f t="shared" si="5"/>
        <v>448</v>
      </c>
      <c r="K23" s="105">
        <f t="shared" si="6"/>
        <v>224</v>
      </c>
      <c r="L23" s="105">
        <f t="shared" si="7"/>
        <v>149.33333333333331</v>
      </c>
      <c r="M23" s="105">
        <f t="shared" si="8"/>
        <v>112</v>
      </c>
      <c r="N23" s="105">
        <f t="shared" si="9"/>
        <v>89.600000000000009</v>
      </c>
      <c r="O23" s="105">
        <f t="shared" si="10"/>
        <v>74.666666666666657</v>
      </c>
      <c r="P23" s="105">
        <f t="shared" si="11"/>
        <v>64</v>
      </c>
      <c r="Q23" s="105">
        <f t="shared" si="12"/>
        <v>56</v>
      </c>
      <c r="R23" s="105">
        <f t="shared" si="13"/>
        <v>49.777777777777771</v>
      </c>
      <c r="S23" s="105">
        <f t="shared" si="14"/>
        <v>44.800000000000004</v>
      </c>
      <c r="T23" s="105">
        <f t="shared" si="15"/>
        <v>40.727272727272727</v>
      </c>
      <c r="U23" s="105">
        <f t="shared" si="16"/>
        <v>37.333333333333329</v>
      </c>
      <c r="V23" s="105">
        <f t="shared" si="17"/>
        <v>34.461538461538467</v>
      </c>
      <c r="W23" s="105">
        <f t="shared" si="18"/>
        <v>32</v>
      </c>
      <c r="X23" s="105">
        <f t="shared" si="19"/>
        <v>29.866666666666667</v>
      </c>
      <c r="Y23" s="105">
        <f t="shared" si="20"/>
        <v>28</v>
      </c>
      <c r="AA23" s="121"/>
      <c r="AB23" s="105">
        <f t="shared" si="22"/>
        <v>112</v>
      </c>
      <c r="AC23" s="105">
        <f t="shared" si="23"/>
        <v>74.666666666666657</v>
      </c>
      <c r="AD23" s="105">
        <f t="shared" si="24"/>
        <v>56</v>
      </c>
      <c r="AE23" s="105">
        <f t="shared" si="25"/>
        <v>44.800000000000004</v>
      </c>
      <c r="AF23" s="105">
        <f t="shared" si="26"/>
        <v>37.333333333333329</v>
      </c>
      <c r="AG23" s="105">
        <f t="shared" si="27"/>
        <v>32</v>
      </c>
      <c r="AH23" s="105">
        <f t="shared" si="28"/>
        <v>28</v>
      </c>
      <c r="AI23" s="105">
        <f t="shared" si="29"/>
        <v>24.888888888888886</v>
      </c>
      <c r="AJ23" s="105">
        <f t="shared" si="30"/>
        <v>22.400000000000002</v>
      </c>
      <c r="AK23" s="105">
        <f t="shared" si="31"/>
        <v>20.363636363636363</v>
      </c>
      <c r="AL23" s="105">
        <f t="shared" si="32"/>
        <v>18.666666666666664</v>
      </c>
      <c r="AM23" s="105">
        <f t="shared" si="33"/>
        <v>17.230769230769234</v>
      </c>
      <c r="AN23" s="105">
        <f t="shared" si="34"/>
        <v>16</v>
      </c>
      <c r="AO23" s="105">
        <f t="shared" si="35"/>
        <v>14.933333333333334</v>
      </c>
      <c r="AP23" s="105">
        <f t="shared" si="36"/>
        <v>14</v>
      </c>
      <c r="AQ23" s="109">
        <f t="shared" si="37"/>
        <v>112</v>
      </c>
      <c r="AR23" s="105">
        <f t="shared" si="38"/>
        <v>56</v>
      </c>
      <c r="AS23" s="105">
        <f t="shared" si="39"/>
        <v>37.333333333333329</v>
      </c>
      <c r="AT23" s="105">
        <f t="shared" si="40"/>
        <v>28</v>
      </c>
      <c r="AU23" s="105">
        <f t="shared" si="41"/>
        <v>22.400000000000002</v>
      </c>
      <c r="AV23" s="105">
        <f t="shared" si="42"/>
        <v>18.666666666666664</v>
      </c>
      <c r="AW23" s="105">
        <f t="shared" si="43"/>
        <v>16</v>
      </c>
      <c r="AX23" s="105">
        <f t="shared" si="44"/>
        <v>14</v>
      </c>
      <c r="AY23" s="105">
        <f t="shared" si="45"/>
        <v>12.444444444444443</v>
      </c>
      <c r="AZ23" s="105">
        <f t="shared" si="46"/>
        <v>11.200000000000001</v>
      </c>
      <c r="BA23" s="105">
        <f t="shared" si="47"/>
        <v>10.181818181818182</v>
      </c>
      <c r="BB23" s="105">
        <f t="shared" si="48"/>
        <v>9.3333333333333321</v>
      </c>
      <c r="BC23" s="105">
        <f t="shared" si="49"/>
        <v>8.6153846153846168</v>
      </c>
      <c r="BD23" s="105">
        <f t="shared" si="50"/>
        <v>8</v>
      </c>
      <c r="BE23" s="105">
        <f t="shared" si="51"/>
        <v>7.4666666666666668</v>
      </c>
      <c r="BF23" s="110">
        <f t="shared" si="52"/>
        <v>7</v>
      </c>
      <c r="BG23" s="105">
        <f t="shared" si="53"/>
        <v>74.666666666666671</v>
      </c>
      <c r="BH23" s="105">
        <f t="shared" si="54"/>
        <v>37.333333333333336</v>
      </c>
      <c r="BI23" s="105">
        <f t="shared" si="55"/>
        <v>24.888888888888886</v>
      </c>
      <c r="BJ23" s="105">
        <f t="shared" si="56"/>
        <v>18.666666666666668</v>
      </c>
      <c r="BK23" s="105">
        <f t="shared" si="57"/>
        <v>14.933333333333335</v>
      </c>
      <c r="BL23" s="105">
        <f t="shared" si="58"/>
        <v>12.444444444444443</v>
      </c>
      <c r="BM23" s="105">
        <f t="shared" si="59"/>
        <v>10.666666666666666</v>
      </c>
      <c r="BN23" s="105">
        <f t="shared" si="60"/>
        <v>9.3333333333333339</v>
      </c>
      <c r="BO23" s="105">
        <f t="shared" si="61"/>
        <v>8.2962962962962958</v>
      </c>
      <c r="BP23" s="105">
        <f t="shared" si="62"/>
        <v>7.4666666666666677</v>
      </c>
      <c r="BQ23" s="105">
        <f t="shared" si="63"/>
        <v>6.7878787878787881</v>
      </c>
      <c r="BR23" s="105">
        <f t="shared" si="64"/>
        <v>6.2222222222222214</v>
      </c>
      <c r="BS23" s="105">
        <f t="shared" si="65"/>
        <v>5.7435897435897445</v>
      </c>
      <c r="BT23" s="105">
        <f t="shared" si="66"/>
        <v>5.333333333333333</v>
      </c>
      <c r="BU23" s="105">
        <f t="shared" si="67"/>
        <v>4.9777777777777779</v>
      </c>
      <c r="BV23" s="105">
        <f t="shared" si="68"/>
        <v>4.666666666666667</v>
      </c>
      <c r="BW23" s="109">
        <f t="shared" si="69"/>
        <v>56</v>
      </c>
      <c r="BX23" s="105">
        <f t="shared" si="70"/>
        <v>28</v>
      </c>
      <c r="BY23" s="105">
        <f t="shared" si="71"/>
        <v>18.666666666666664</v>
      </c>
      <c r="BZ23" s="105">
        <f t="shared" si="72"/>
        <v>14</v>
      </c>
      <c r="CA23" s="105">
        <f t="shared" si="73"/>
        <v>11.200000000000001</v>
      </c>
      <c r="CB23" s="105">
        <f t="shared" si="74"/>
        <v>9.3333333333333321</v>
      </c>
      <c r="CC23" s="105">
        <f t="shared" si="75"/>
        <v>8</v>
      </c>
      <c r="CD23" s="105">
        <f t="shared" si="76"/>
        <v>7</v>
      </c>
      <c r="CE23" s="105">
        <f t="shared" si="77"/>
        <v>6.2222222222222214</v>
      </c>
      <c r="CF23" s="105">
        <f t="shared" si="78"/>
        <v>5.6000000000000005</v>
      </c>
      <c r="CG23" s="105">
        <f t="shared" si="79"/>
        <v>5.0909090909090908</v>
      </c>
      <c r="CH23" s="105">
        <f t="shared" si="80"/>
        <v>4.6666666666666661</v>
      </c>
      <c r="CI23" s="105">
        <f t="shared" si="81"/>
        <v>4.3076923076923084</v>
      </c>
      <c r="CJ23" s="105">
        <f t="shared" si="82"/>
        <v>4</v>
      </c>
      <c r="CK23" s="105">
        <f t="shared" si="83"/>
        <v>3.7333333333333334</v>
      </c>
      <c r="CL23" s="105">
        <f t="shared" si="84"/>
        <v>3.5</v>
      </c>
    </row>
    <row r="24" spans="4:90">
      <c r="I24" s="105">
        <v>29</v>
      </c>
      <c r="J24" s="105">
        <f t="shared" si="5"/>
        <v>464</v>
      </c>
      <c r="K24" s="105">
        <f t="shared" si="6"/>
        <v>232</v>
      </c>
      <c r="L24" s="105">
        <f t="shared" si="7"/>
        <v>154.66666666666666</v>
      </c>
      <c r="M24" s="105">
        <f t="shared" si="8"/>
        <v>116</v>
      </c>
      <c r="N24" s="105">
        <f t="shared" si="9"/>
        <v>92.800000000000011</v>
      </c>
      <c r="O24" s="105">
        <f t="shared" si="10"/>
        <v>77.333333333333329</v>
      </c>
      <c r="P24" s="105">
        <f t="shared" si="11"/>
        <v>66.285714285714278</v>
      </c>
      <c r="Q24" s="105">
        <f t="shared" si="12"/>
        <v>58</v>
      </c>
      <c r="R24" s="105">
        <f t="shared" si="13"/>
        <v>51.55555555555555</v>
      </c>
      <c r="S24" s="105">
        <f t="shared" si="14"/>
        <v>46.400000000000006</v>
      </c>
      <c r="T24" s="105">
        <f t="shared" si="15"/>
        <v>42.18181818181818</v>
      </c>
      <c r="U24" s="105">
        <f t="shared" si="16"/>
        <v>38.666666666666664</v>
      </c>
      <c r="V24" s="105">
        <f t="shared" si="17"/>
        <v>35.692307692307693</v>
      </c>
      <c r="W24" s="105">
        <f t="shared" si="18"/>
        <v>33.142857142857139</v>
      </c>
      <c r="X24" s="105">
        <f t="shared" si="19"/>
        <v>30.933333333333334</v>
      </c>
      <c r="Y24" s="105">
        <f t="shared" si="20"/>
        <v>29</v>
      </c>
      <c r="AA24" s="121"/>
      <c r="AB24" s="105">
        <f t="shared" si="22"/>
        <v>116</v>
      </c>
      <c r="AC24" s="105">
        <f t="shared" si="23"/>
        <v>77.333333333333329</v>
      </c>
      <c r="AD24" s="105">
        <f t="shared" si="24"/>
        <v>58</v>
      </c>
      <c r="AE24" s="105">
        <f t="shared" si="25"/>
        <v>46.400000000000006</v>
      </c>
      <c r="AF24" s="105">
        <f t="shared" si="26"/>
        <v>38.666666666666664</v>
      </c>
      <c r="AG24" s="105">
        <f t="shared" si="27"/>
        <v>33.142857142857139</v>
      </c>
      <c r="AH24" s="105">
        <f t="shared" si="28"/>
        <v>29</v>
      </c>
      <c r="AI24" s="105">
        <f t="shared" si="29"/>
        <v>25.777777777777775</v>
      </c>
      <c r="AJ24" s="105">
        <f t="shared" si="30"/>
        <v>23.200000000000003</v>
      </c>
      <c r="AK24" s="105">
        <f t="shared" si="31"/>
        <v>21.09090909090909</v>
      </c>
      <c r="AL24" s="105">
        <f t="shared" si="32"/>
        <v>19.333333333333332</v>
      </c>
      <c r="AM24" s="105">
        <f t="shared" si="33"/>
        <v>17.846153846153847</v>
      </c>
      <c r="AN24" s="105">
        <f t="shared" si="34"/>
        <v>16.571428571428569</v>
      </c>
      <c r="AO24" s="105">
        <f t="shared" si="35"/>
        <v>15.466666666666667</v>
      </c>
      <c r="AP24" s="105">
        <f t="shared" si="36"/>
        <v>14.5</v>
      </c>
      <c r="AQ24" s="109">
        <f t="shared" si="37"/>
        <v>116</v>
      </c>
      <c r="AR24" s="105">
        <f t="shared" si="38"/>
        <v>58</v>
      </c>
      <c r="AS24" s="105">
        <f t="shared" si="39"/>
        <v>38.666666666666664</v>
      </c>
      <c r="AT24" s="105">
        <f t="shared" si="40"/>
        <v>29</v>
      </c>
      <c r="AU24" s="105">
        <f t="shared" si="41"/>
        <v>23.200000000000003</v>
      </c>
      <c r="AV24" s="105">
        <f t="shared" si="42"/>
        <v>19.333333333333332</v>
      </c>
      <c r="AW24" s="105">
        <f t="shared" si="43"/>
        <v>16.571428571428569</v>
      </c>
      <c r="AX24" s="105">
        <f t="shared" si="44"/>
        <v>14.5</v>
      </c>
      <c r="AY24" s="105">
        <f t="shared" si="45"/>
        <v>12.888888888888888</v>
      </c>
      <c r="AZ24" s="105">
        <f t="shared" si="46"/>
        <v>11.600000000000001</v>
      </c>
      <c r="BA24" s="105">
        <f t="shared" si="47"/>
        <v>10.545454545454545</v>
      </c>
      <c r="BB24" s="105">
        <f t="shared" si="48"/>
        <v>9.6666666666666661</v>
      </c>
      <c r="BC24" s="105">
        <f t="shared" si="49"/>
        <v>8.9230769230769234</v>
      </c>
      <c r="BD24" s="105">
        <f t="shared" si="50"/>
        <v>8.2857142857142847</v>
      </c>
      <c r="BE24" s="105">
        <f t="shared" si="51"/>
        <v>7.7333333333333334</v>
      </c>
      <c r="BF24" s="110">
        <f t="shared" si="52"/>
        <v>7.25</v>
      </c>
      <c r="BG24" s="105">
        <f t="shared" si="53"/>
        <v>77.333333333333329</v>
      </c>
      <c r="BH24" s="105">
        <f t="shared" si="54"/>
        <v>38.666666666666664</v>
      </c>
      <c r="BI24" s="105">
        <f t="shared" si="55"/>
        <v>25.777777777777775</v>
      </c>
      <c r="BJ24" s="105">
        <f t="shared" si="56"/>
        <v>19.333333333333332</v>
      </c>
      <c r="BK24" s="105">
        <f t="shared" si="57"/>
        <v>15.466666666666669</v>
      </c>
      <c r="BL24" s="105">
        <f t="shared" si="58"/>
        <v>12.888888888888888</v>
      </c>
      <c r="BM24" s="105">
        <f t="shared" si="59"/>
        <v>11.047619047619046</v>
      </c>
      <c r="BN24" s="105">
        <f t="shared" si="60"/>
        <v>9.6666666666666661</v>
      </c>
      <c r="BO24" s="105">
        <f t="shared" si="61"/>
        <v>8.5925925925925917</v>
      </c>
      <c r="BP24" s="105">
        <f t="shared" si="62"/>
        <v>7.7333333333333343</v>
      </c>
      <c r="BQ24" s="105">
        <f t="shared" si="63"/>
        <v>7.0303030303030303</v>
      </c>
      <c r="BR24" s="105">
        <f t="shared" si="64"/>
        <v>6.4444444444444438</v>
      </c>
      <c r="BS24" s="105">
        <f t="shared" si="65"/>
        <v>5.9487179487179489</v>
      </c>
      <c r="BT24" s="105">
        <f t="shared" si="66"/>
        <v>5.5238095238095228</v>
      </c>
      <c r="BU24" s="105">
        <f t="shared" si="67"/>
        <v>5.1555555555555559</v>
      </c>
      <c r="BV24" s="105">
        <f t="shared" si="68"/>
        <v>4.833333333333333</v>
      </c>
      <c r="BW24" s="109">
        <f t="shared" si="69"/>
        <v>58</v>
      </c>
      <c r="BX24" s="105">
        <f t="shared" si="70"/>
        <v>29</v>
      </c>
      <c r="BY24" s="105">
        <f t="shared" si="71"/>
        <v>19.333333333333332</v>
      </c>
      <c r="BZ24" s="105">
        <f t="shared" si="72"/>
        <v>14.5</v>
      </c>
      <c r="CA24" s="105">
        <f t="shared" si="73"/>
        <v>11.600000000000001</v>
      </c>
      <c r="CB24" s="105">
        <f t="shared" si="74"/>
        <v>9.6666666666666661</v>
      </c>
      <c r="CC24" s="105">
        <f t="shared" si="75"/>
        <v>8.2857142857142847</v>
      </c>
      <c r="CD24" s="105">
        <f t="shared" si="76"/>
        <v>7.25</v>
      </c>
      <c r="CE24" s="105">
        <f t="shared" si="77"/>
        <v>6.4444444444444438</v>
      </c>
      <c r="CF24" s="105">
        <f t="shared" si="78"/>
        <v>5.8000000000000007</v>
      </c>
      <c r="CG24" s="105">
        <f t="shared" si="79"/>
        <v>5.2727272727272725</v>
      </c>
      <c r="CH24" s="105">
        <f t="shared" si="80"/>
        <v>4.833333333333333</v>
      </c>
      <c r="CI24" s="105">
        <f t="shared" si="81"/>
        <v>4.4615384615384617</v>
      </c>
      <c r="CJ24" s="105">
        <f t="shared" si="82"/>
        <v>4.1428571428571423</v>
      </c>
      <c r="CK24" s="105">
        <f t="shared" si="83"/>
        <v>3.8666666666666667</v>
      </c>
      <c r="CL24" s="105">
        <f t="shared" si="84"/>
        <v>3.625</v>
      </c>
    </row>
    <row r="25" spans="4:90">
      <c r="I25" s="105">
        <v>30</v>
      </c>
      <c r="J25" s="105">
        <f t="shared" si="5"/>
        <v>480</v>
      </c>
      <c r="K25" s="105">
        <f t="shared" si="6"/>
        <v>240</v>
      </c>
      <c r="L25" s="105">
        <f t="shared" si="7"/>
        <v>160</v>
      </c>
      <c r="M25" s="105">
        <f t="shared" si="8"/>
        <v>120</v>
      </c>
      <c r="N25" s="105">
        <f t="shared" si="9"/>
        <v>96</v>
      </c>
      <c r="O25" s="105">
        <f t="shared" si="10"/>
        <v>80</v>
      </c>
      <c r="P25" s="105">
        <f t="shared" si="11"/>
        <v>68.571428571428569</v>
      </c>
      <c r="Q25" s="105">
        <f t="shared" si="12"/>
        <v>60</v>
      </c>
      <c r="R25" s="105">
        <f t="shared" si="13"/>
        <v>53.333333333333329</v>
      </c>
      <c r="S25" s="105">
        <f t="shared" si="14"/>
        <v>48</v>
      </c>
      <c r="T25" s="105">
        <f t="shared" si="15"/>
        <v>43.63636363636364</v>
      </c>
      <c r="U25" s="105">
        <f t="shared" si="16"/>
        <v>40</v>
      </c>
      <c r="V25" s="105">
        <f t="shared" si="17"/>
        <v>36.923076923076927</v>
      </c>
      <c r="W25" s="105">
        <f t="shared" si="18"/>
        <v>34.285714285714285</v>
      </c>
      <c r="X25" s="105">
        <f t="shared" si="19"/>
        <v>32</v>
      </c>
      <c r="Y25" s="105">
        <f t="shared" si="20"/>
        <v>30</v>
      </c>
      <c r="AA25" s="121"/>
      <c r="AB25" s="105">
        <f t="shared" si="22"/>
        <v>120</v>
      </c>
      <c r="AC25" s="105">
        <f t="shared" si="23"/>
        <v>80</v>
      </c>
      <c r="AD25" s="105">
        <f t="shared" si="24"/>
        <v>60</v>
      </c>
      <c r="AE25" s="105">
        <f t="shared" si="25"/>
        <v>48</v>
      </c>
      <c r="AF25" s="105">
        <f t="shared" si="26"/>
        <v>40</v>
      </c>
      <c r="AG25" s="105">
        <f t="shared" si="27"/>
        <v>34.285714285714285</v>
      </c>
      <c r="AH25" s="105">
        <f t="shared" si="28"/>
        <v>30</v>
      </c>
      <c r="AI25" s="105">
        <f t="shared" si="29"/>
        <v>26.666666666666664</v>
      </c>
      <c r="AJ25" s="105">
        <f t="shared" si="30"/>
        <v>24</v>
      </c>
      <c r="AK25" s="105">
        <f t="shared" si="31"/>
        <v>21.81818181818182</v>
      </c>
      <c r="AL25" s="105">
        <f t="shared" si="32"/>
        <v>20</v>
      </c>
      <c r="AM25" s="105">
        <f t="shared" si="33"/>
        <v>18.461538461538463</v>
      </c>
      <c r="AN25" s="105">
        <f t="shared" si="34"/>
        <v>17.142857142857142</v>
      </c>
      <c r="AO25" s="105">
        <f t="shared" si="35"/>
        <v>16</v>
      </c>
      <c r="AP25" s="105">
        <f t="shared" si="36"/>
        <v>15</v>
      </c>
      <c r="AQ25" s="109">
        <f t="shared" si="37"/>
        <v>120</v>
      </c>
      <c r="AR25" s="105">
        <f t="shared" si="38"/>
        <v>60</v>
      </c>
      <c r="AS25" s="105">
        <f t="shared" si="39"/>
        <v>40</v>
      </c>
      <c r="AT25" s="105">
        <f t="shared" si="40"/>
        <v>30</v>
      </c>
      <c r="AU25" s="105">
        <f t="shared" si="41"/>
        <v>24</v>
      </c>
      <c r="AV25" s="105">
        <f t="shared" si="42"/>
        <v>20</v>
      </c>
      <c r="AW25" s="105">
        <f t="shared" si="43"/>
        <v>17.142857142857142</v>
      </c>
      <c r="AX25" s="105">
        <f t="shared" si="44"/>
        <v>15</v>
      </c>
      <c r="AY25" s="105">
        <f t="shared" si="45"/>
        <v>13.333333333333332</v>
      </c>
      <c r="AZ25" s="105">
        <f t="shared" si="46"/>
        <v>12</v>
      </c>
      <c r="BA25" s="105">
        <f t="shared" si="47"/>
        <v>10.90909090909091</v>
      </c>
      <c r="BB25" s="105">
        <f t="shared" si="48"/>
        <v>10</v>
      </c>
      <c r="BC25" s="105">
        <f t="shared" si="49"/>
        <v>9.2307692307692317</v>
      </c>
      <c r="BD25" s="105">
        <f t="shared" si="50"/>
        <v>8.5714285714285712</v>
      </c>
      <c r="BE25" s="105">
        <f t="shared" si="51"/>
        <v>8</v>
      </c>
      <c r="BF25" s="110">
        <f t="shared" si="52"/>
        <v>7.5</v>
      </c>
      <c r="BG25" s="105">
        <f t="shared" si="53"/>
        <v>80</v>
      </c>
      <c r="BH25" s="105">
        <f t="shared" si="54"/>
        <v>40</v>
      </c>
      <c r="BI25" s="105">
        <f t="shared" si="55"/>
        <v>26.666666666666668</v>
      </c>
      <c r="BJ25" s="105">
        <f t="shared" si="56"/>
        <v>20</v>
      </c>
      <c r="BK25" s="105">
        <f t="shared" si="57"/>
        <v>16</v>
      </c>
      <c r="BL25" s="105">
        <f t="shared" si="58"/>
        <v>13.333333333333334</v>
      </c>
      <c r="BM25" s="105">
        <f t="shared" si="59"/>
        <v>11.428571428571429</v>
      </c>
      <c r="BN25" s="105">
        <f t="shared" si="60"/>
        <v>10</v>
      </c>
      <c r="BO25" s="105">
        <f t="shared" si="61"/>
        <v>8.8888888888888875</v>
      </c>
      <c r="BP25" s="105">
        <f t="shared" si="62"/>
        <v>8</v>
      </c>
      <c r="BQ25" s="105">
        <f t="shared" si="63"/>
        <v>7.2727272727272734</v>
      </c>
      <c r="BR25" s="105">
        <f t="shared" si="64"/>
        <v>6.666666666666667</v>
      </c>
      <c r="BS25" s="105">
        <f t="shared" si="65"/>
        <v>6.1538461538461542</v>
      </c>
      <c r="BT25" s="105">
        <f t="shared" si="66"/>
        <v>5.7142857142857144</v>
      </c>
      <c r="BU25" s="105">
        <f t="shared" si="67"/>
        <v>5.333333333333333</v>
      </c>
      <c r="BV25" s="105">
        <f t="shared" si="68"/>
        <v>5</v>
      </c>
      <c r="BW25" s="109">
        <f t="shared" si="69"/>
        <v>60</v>
      </c>
      <c r="BX25" s="105">
        <f t="shared" si="70"/>
        <v>30</v>
      </c>
      <c r="BY25" s="105">
        <f t="shared" si="71"/>
        <v>20</v>
      </c>
      <c r="BZ25" s="105">
        <f t="shared" si="72"/>
        <v>15</v>
      </c>
      <c r="CA25" s="105">
        <f t="shared" si="73"/>
        <v>12</v>
      </c>
      <c r="CB25" s="105">
        <f t="shared" si="74"/>
        <v>10</v>
      </c>
      <c r="CC25" s="105">
        <f t="shared" si="75"/>
        <v>8.5714285714285712</v>
      </c>
      <c r="CD25" s="105">
        <f t="shared" si="76"/>
        <v>7.5</v>
      </c>
      <c r="CE25" s="105">
        <f t="shared" si="77"/>
        <v>6.6666666666666661</v>
      </c>
      <c r="CF25" s="105">
        <f t="shared" si="78"/>
        <v>6</v>
      </c>
      <c r="CG25" s="105">
        <f t="shared" si="79"/>
        <v>5.454545454545455</v>
      </c>
      <c r="CH25" s="105">
        <f t="shared" si="80"/>
        <v>5</v>
      </c>
      <c r="CI25" s="105">
        <f t="shared" si="81"/>
        <v>4.6153846153846159</v>
      </c>
      <c r="CJ25" s="105">
        <f t="shared" si="82"/>
        <v>4.2857142857142856</v>
      </c>
      <c r="CK25" s="105">
        <f t="shared" si="83"/>
        <v>4</v>
      </c>
      <c r="CL25" s="105">
        <f t="shared" si="84"/>
        <v>3.75</v>
      </c>
    </row>
    <row r="26" spans="4:90">
      <c r="I26" s="105">
        <v>31</v>
      </c>
      <c r="J26" s="105">
        <f t="shared" si="5"/>
        <v>496</v>
      </c>
      <c r="K26" s="105">
        <f t="shared" si="6"/>
        <v>248</v>
      </c>
      <c r="L26" s="105">
        <f t="shared" si="7"/>
        <v>165.33333333333331</v>
      </c>
      <c r="M26" s="105">
        <f t="shared" si="8"/>
        <v>124</v>
      </c>
      <c r="N26" s="105">
        <f t="shared" si="9"/>
        <v>99.2</v>
      </c>
      <c r="O26" s="105">
        <f t="shared" si="10"/>
        <v>82.666666666666657</v>
      </c>
      <c r="P26" s="105">
        <f t="shared" si="11"/>
        <v>70.857142857142847</v>
      </c>
      <c r="Q26" s="105">
        <f t="shared" si="12"/>
        <v>62</v>
      </c>
      <c r="R26" s="105">
        <f t="shared" si="13"/>
        <v>55.111111111111107</v>
      </c>
      <c r="S26" s="105">
        <f t="shared" si="14"/>
        <v>49.6</v>
      </c>
      <c r="T26" s="105">
        <f t="shared" si="15"/>
        <v>45.090909090909093</v>
      </c>
      <c r="U26" s="105">
        <f t="shared" si="16"/>
        <v>41.333333333333329</v>
      </c>
      <c r="V26" s="105">
        <f t="shared" si="17"/>
        <v>38.153846153846153</v>
      </c>
      <c r="W26" s="105">
        <f t="shared" si="18"/>
        <v>35.428571428571423</v>
      </c>
      <c r="X26" s="105">
        <f t="shared" si="19"/>
        <v>33.066666666666663</v>
      </c>
      <c r="Y26" s="105">
        <f t="shared" si="20"/>
        <v>31</v>
      </c>
      <c r="AA26" s="121"/>
      <c r="AB26" s="105">
        <f t="shared" si="22"/>
        <v>124</v>
      </c>
      <c r="AC26" s="105">
        <f t="shared" si="23"/>
        <v>82.666666666666657</v>
      </c>
      <c r="AD26" s="105">
        <f t="shared" si="24"/>
        <v>62</v>
      </c>
      <c r="AE26" s="105">
        <f t="shared" si="25"/>
        <v>49.6</v>
      </c>
      <c r="AF26" s="105">
        <f t="shared" si="26"/>
        <v>41.333333333333329</v>
      </c>
      <c r="AG26" s="105">
        <f t="shared" si="27"/>
        <v>35.428571428571423</v>
      </c>
      <c r="AH26" s="105">
        <f t="shared" si="28"/>
        <v>31</v>
      </c>
      <c r="AI26" s="105">
        <f t="shared" si="29"/>
        <v>27.555555555555554</v>
      </c>
      <c r="AJ26" s="105">
        <f t="shared" si="30"/>
        <v>24.8</v>
      </c>
      <c r="AK26" s="105">
        <f t="shared" si="31"/>
        <v>22.545454545454547</v>
      </c>
      <c r="AL26" s="105">
        <f t="shared" si="32"/>
        <v>20.666666666666664</v>
      </c>
      <c r="AM26" s="105">
        <f t="shared" si="33"/>
        <v>19.076923076923077</v>
      </c>
      <c r="AN26" s="105">
        <f t="shared" si="34"/>
        <v>17.714285714285712</v>
      </c>
      <c r="AO26" s="105">
        <f t="shared" si="35"/>
        <v>16.533333333333331</v>
      </c>
      <c r="AP26" s="105">
        <f t="shared" si="36"/>
        <v>15.5</v>
      </c>
      <c r="AQ26" s="109">
        <f t="shared" si="37"/>
        <v>124</v>
      </c>
      <c r="AR26" s="105">
        <f t="shared" si="38"/>
        <v>62</v>
      </c>
      <c r="AS26" s="105">
        <f t="shared" si="39"/>
        <v>41.333333333333329</v>
      </c>
      <c r="AT26" s="105">
        <f t="shared" si="40"/>
        <v>31</v>
      </c>
      <c r="AU26" s="105">
        <f t="shared" si="41"/>
        <v>24.8</v>
      </c>
      <c r="AV26" s="105">
        <f t="shared" si="42"/>
        <v>20.666666666666664</v>
      </c>
      <c r="AW26" s="105">
        <f t="shared" si="43"/>
        <v>17.714285714285712</v>
      </c>
      <c r="AX26" s="105">
        <f t="shared" si="44"/>
        <v>15.5</v>
      </c>
      <c r="AY26" s="105">
        <f t="shared" si="45"/>
        <v>13.777777777777777</v>
      </c>
      <c r="AZ26" s="105">
        <f t="shared" si="46"/>
        <v>12.4</v>
      </c>
      <c r="BA26" s="105">
        <f t="shared" si="47"/>
        <v>11.272727272727273</v>
      </c>
      <c r="BB26" s="105">
        <f t="shared" si="48"/>
        <v>10.333333333333332</v>
      </c>
      <c r="BC26" s="105">
        <f t="shared" si="49"/>
        <v>9.5384615384615383</v>
      </c>
      <c r="BD26" s="105">
        <f t="shared" si="50"/>
        <v>8.8571428571428559</v>
      </c>
      <c r="BE26" s="105">
        <f t="shared" si="51"/>
        <v>8.2666666666666657</v>
      </c>
      <c r="BF26" s="110">
        <f t="shared" si="52"/>
        <v>7.75</v>
      </c>
      <c r="BG26" s="105">
        <f t="shared" si="53"/>
        <v>82.666666666666671</v>
      </c>
      <c r="BH26" s="105">
        <f t="shared" si="54"/>
        <v>41.333333333333336</v>
      </c>
      <c r="BI26" s="105">
        <f t="shared" si="55"/>
        <v>27.555555555555554</v>
      </c>
      <c r="BJ26" s="105">
        <f t="shared" si="56"/>
        <v>20.666666666666668</v>
      </c>
      <c r="BK26" s="105">
        <f t="shared" si="57"/>
        <v>16.533333333333335</v>
      </c>
      <c r="BL26" s="105">
        <f t="shared" si="58"/>
        <v>13.777777777777777</v>
      </c>
      <c r="BM26" s="105">
        <f t="shared" si="59"/>
        <v>11.809523809523808</v>
      </c>
      <c r="BN26" s="105">
        <f t="shared" si="60"/>
        <v>10.333333333333334</v>
      </c>
      <c r="BO26" s="105">
        <f t="shared" si="61"/>
        <v>9.1851851851851851</v>
      </c>
      <c r="BP26" s="105">
        <f t="shared" si="62"/>
        <v>8.2666666666666675</v>
      </c>
      <c r="BQ26" s="105">
        <f t="shared" si="63"/>
        <v>7.5151515151515156</v>
      </c>
      <c r="BR26" s="105">
        <f t="shared" si="64"/>
        <v>6.8888888888888884</v>
      </c>
      <c r="BS26" s="105">
        <f t="shared" si="65"/>
        <v>6.3589743589743586</v>
      </c>
      <c r="BT26" s="105">
        <f t="shared" si="66"/>
        <v>5.9047619047619042</v>
      </c>
      <c r="BU26" s="105">
        <f t="shared" si="67"/>
        <v>5.5111111111111102</v>
      </c>
      <c r="BV26" s="105">
        <f t="shared" si="68"/>
        <v>5.166666666666667</v>
      </c>
      <c r="BW26" s="109">
        <f t="shared" si="69"/>
        <v>62</v>
      </c>
      <c r="BX26" s="105">
        <f t="shared" si="70"/>
        <v>31</v>
      </c>
      <c r="BY26" s="105">
        <f t="shared" si="71"/>
        <v>20.666666666666664</v>
      </c>
      <c r="BZ26" s="105">
        <f t="shared" si="72"/>
        <v>15.5</v>
      </c>
      <c r="CA26" s="105">
        <f t="shared" si="73"/>
        <v>12.4</v>
      </c>
      <c r="CB26" s="105">
        <f t="shared" si="74"/>
        <v>10.333333333333332</v>
      </c>
      <c r="CC26" s="105">
        <f t="shared" si="75"/>
        <v>8.8571428571428559</v>
      </c>
      <c r="CD26" s="105">
        <f t="shared" si="76"/>
        <v>7.75</v>
      </c>
      <c r="CE26" s="105">
        <f t="shared" si="77"/>
        <v>6.8888888888888884</v>
      </c>
      <c r="CF26" s="105">
        <f t="shared" si="78"/>
        <v>6.2</v>
      </c>
      <c r="CG26" s="105">
        <f t="shared" si="79"/>
        <v>5.6363636363636367</v>
      </c>
      <c r="CH26" s="105">
        <f t="shared" si="80"/>
        <v>5.1666666666666661</v>
      </c>
      <c r="CI26" s="105">
        <f t="shared" si="81"/>
        <v>4.7692307692307692</v>
      </c>
      <c r="CJ26" s="105">
        <f t="shared" si="82"/>
        <v>4.4285714285714279</v>
      </c>
      <c r="CK26" s="105">
        <f t="shared" si="83"/>
        <v>4.1333333333333329</v>
      </c>
      <c r="CL26" s="105">
        <f t="shared" si="84"/>
        <v>3.875</v>
      </c>
    </row>
    <row r="27" spans="4:90">
      <c r="I27" s="105">
        <v>32</v>
      </c>
      <c r="J27" s="105">
        <f t="shared" si="5"/>
        <v>512</v>
      </c>
      <c r="K27" s="105">
        <f t="shared" si="6"/>
        <v>256</v>
      </c>
      <c r="L27" s="105">
        <f t="shared" si="7"/>
        <v>170.66666666666666</v>
      </c>
      <c r="M27" s="105">
        <f t="shared" si="8"/>
        <v>128</v>
      </c>
      <c r="N27" s="105">
        <f t="shared" si="9"/>
        <v>102.4</v>
      </c>
      <c r="O27" s="105">
        <f t="shared" si="10"/>
        <v>85.333333333333329</v>
      </c>
      <c r="P27" s="105">
        <f t="shared" si="11"/>
        <v>73.142857142857139</v>
      </c>
      <c r="Q27" s="105">
        <f t="shared" si="12"/>
        <v>64</v>
      </c>
      <c r="R27" s="105">
        <f t="shared" si="13"/>
        <v>56.888888888888886</v>
      </c>
      <c r="S27" s="105">
        <f t="shared" si="14"/>
        <v>51.2</v>
      </c>
      <c r="T27" s="105">
        <f t="shared" si="15"/>
        <v>46.545454545454547</v>
      </c>
      <c r="U27" s="105">
        <f t="shared" si="16"/>
        <v>42.666666666666664</v>
      </c>
      <c r="V27" s="105">
        <f t="shared" si="17"/>
        <v>39.384615384615387</v>
      </c>
      <c r="W27" s="105">
        <f t="shared" si="18"/>
        <v>36.571428571428569</v>
      </c>
      <c r="X27" s="105">
        <f t="shared" si="19"/>
        <v>34.133333333333333</v>
      </c>
      <c r="Y27" s="105">
        <f t="shared" si="20"/>
        <v>32</v>
      </c>
      <c r="AA27" s="121"/>
      <c r="AB27" s="105">
        <f t="shared" si="22"/>
        <v>128</v>
      </c>
      <c r="AC27" s="105">
        <f t="shared" si="23"/>
        <v>85.333333333333329</v>
      </c>
      <c r="AD27" s="105">
        <f t="shared" si="24"/>
        <v>64</v>
      </c>
      <c r="AE27" s="105">
        <f t="shared" si="25"/>
        <v>51.2</v>
      </c>
      <c r="AF27" s="105">
        <f t="shared" si="26"/>
        <v>42.666666666666664</v>
      </c>
      <c r="AG27" s="105">
        <f t="shared" si="27"/>
        <v>36.571428571428569</v>
      </c>
      <c r="AH27" s="105">
        <f t="shared" si="28"/>
        <v>32</v>
      </c>
      <c r="AI27" s="105">
        <f t="shared" si="29"/>
        <v>28.444444444444443</v>
      </c>
      <c r="AJ27" s="105">
        <f t="shared" si="30"/>
        <v>25.6</v>
      </c>
      <c r="AK27" s="105">
        <f t="shared" si="31"/>
        <v>23.272727272727273</v>
      </c>
      <c r="AL27" s="105">
        <f t="shared" si="32"/>
        <v>21.333333333333332</v>
      </c>
      <c r="AM27" s="105">
        <f t="shared" si="33"/>
        <v>19.692307692307693</v>
      </c>
      <c r="AN27" s="105">
        <f t="shared" si="34"/>
        <v>18.285714285714285</v>
      </c>
      <c r="AO27" s="105">
        <f t="shared" si="35"/>
        <v>17.066666666666666</v>
      </c>
      <c r="AP27" s="105">
        <f t="shared" si="36"/>
        <v>16</v>
      </c>
      <c r="AQ27" s="109">
        <f t="shared" si="37"/>
        <v>128</v>
      </c>
      <c r="AR27" s="105">
        <f t="shared" si="38"/>
        <v>64</v>
      </c>
      <c r="AS27" s="105">
        <f t="shared" si="39"/>
        <v>42.666666666666664</v>
      </c>
      <c r="AT27" s="105">
        <f t="shared" si="40"/>
        <v>32</v>
      </c>
      <c r="AU27" s="105">
        <f t="shared" si="41"/>
        <v>25.6</v>
      </c>
      <c r="AV27" s="105">
        <f t="shared" si="42"/>
        <v>21.333333333333332</v>
      </c>
      <c r="AW27" s="105">
        <f t="shared" si="43"/>
        <v>18.285714285714285</v>
      </c>
      <c r="AX27" s="105">
        <f t="shared" si="44"/>
        <v>16</v>
      </c>
      <c r="AY27" s="105">
        <f t="shared" si="45"/>
        <v>14.222222222222221</v>
      </c>
      <c r="AZ27" s="105">
        <f t="shared" si="46"/>
        <v>12.8</v>
      </c>
      <c r="BA27" s="105">
        <f t="shared" si="47"/>
        <v>11.636363636363637</v>
      </c>
      <c r="BB27" s="105">
        <f t="shared" si="48"/>
        <v>10.666666666666666</v>
      </c>
      <c r="BC27" s="105">
        <f t="shared" si="49"/>
        <v>9.8461538461538467</v>
      </c>
      <c r="BD27" s="105">
        <f t="shared" si="50"/>
        <v>9.1428571428571423</v>
      </c>
      <c r="BE27" s="105">
        <f t="shared" si="51"/>
        <v>8.5333333333333332</v>
      </c>
      <c r="BF27" s="110">
        <f t="shared" si="52"/>
        <v>8</v>
      </c>
      <c r="BG27" s="105">
        <f t="shared" si="53"/>
        <v>85.333333333333329</v>
      </c>
      <c r="BH27" s="105">
        <f t="shared" si="54"/>
        <v>42.666666666666664</v>
      </c>
      <c r="BI27" s="105">
        <f t="shared" si="55"/>
        <v>28.444444444444443</v>
      </c>
      <c r="BJ27" s="105">
        <f t="shared" si="56"/>
        <v>21.333333333333332</v>
      </c>
      <c r="BK27" s="105">
        <f t="shared" si="57"/>
        <v>17.066666666666666</v>
      </c>
      <c r="BL27" s="105">
        <f t="shared" si="58"/>
        <v>14.222222222222221</v>
      </c>
      <c r="BM27" s="105">
        <f t="shared" si="59"/>
        <v>12.19047619047619</v>
      </c>
      <c r="BN27" s="105">
        <f t="shared" si="60"/>
        <v>10.666666666666666</v>
      </c>
      <c r="BO27" s="105">
        <f t="shared" si="61"/>
        <v>9.481481481481481</v>
      </c>
      <c r="BP27" s="105">
        <f t="shared" si="62"/>
        <v>8.5333333333333332</v>
      </c>
      <c r="BQ27" s="105">
        <f t="shared" si="63"/>
        <v>7.7575757575757578</v>
      </c>
      <c r="BR27" s="105">
        <f t="shared" si="64"/>
        <v>7.1111111111111107</v>
      </c>
      <c r="BS27" s="105">
        <f t="shared" si="65"/>
        <v>6.5641025641025648</v>
      </c>
      <c r="BT27" s="105">
        <f t="shared" si="66"/>
        <v>6.0952380952380949</v>
      </c>
      <c r="BU27" s="105">
        <f t="shared" si="67"/>
        <v>5.6888888888888891</v>
      </c>
      <c r="BV27" s="105">
        <f t="shared" si="68"/>
        <v>5.333333333333333</v>
      </c>
      <c r="BW27" s="109">
        <f t="shared" si="69"/>
        <v>64</v>
      </c>
      <c r="BX27" s="105">
        <f t="shared" si="70"/>
        <v>32</v>
      </c>
      <c r="BY27" s="105">
        <f t="shared" si="71"/>
        <v>21.333333333333332</v>
      </c>
      <c r="BZ27" s="105">
        <f t="shared" si="72"/>
        <v>16</v>
      </c>
      <c r="CA27" s="105">
        <f t="shared" si="73"/>
        <v>12.8</v>
      </c>
      <c r="CB27" s="105">
        <f t="shared" si="74"/>
        <v>10.666666666666666</v>
      </c>
      <c r="CC27" s="105">
        <f t="shared" si="75"/>
        <v>9.1428571428571423</v>
      </c>
      <c r="CD27" s="105">
        <f t="shared" si="76"/>
        <v>8</v>
      </c>
      <c r="CE27" s="105">
        <f t="shared" si="77"/>
        <v>7.1111111111111107</v>
      </c>
      <c r="CF27" s="105">
        <f t="shared" si="78"/>
        <v>6.4</v>
      </c>
      <c r="CG27" s="105">
        <f t="shared" si="79"/>
        <v>5.8181818181818183</v>
      </c>
      <c r="CH27" s="105">
        <f t="shared" si="80"/>
        <v>5.333333333333333</v>
      </c>
      <c r="CI27" s="105">
        <f t="shared" si="81"/>
        <v>4.9230769230769234</v>
      </c>
      <c r="CJ27" s="105">
        <f t="shared" si="82"/>
        <v>4.5714285714285712</v>
      </c>
      <c r="CK27" s="105">
        <f t="shared" si="83"/>
        <v>4.2666666666666666</v>
      </c>
      <c r="CL27" s="105">
        <f t="shared" si="84"/>
        <v>4</v>
      </c>
    </row>
    <row r="28" spans="4:90">
      <c r="I28" s="105">
        <v>33</v>
      </c>
      <c r="J28" s="105">
        <f t="shared" si="5"/>
        <v>528</v>
      </c>
      <c r="K28" s="105">
        <f t="shared" si="6"/>
        <v>264</v>
      </c>
      <c r="L28" s="105">
        <f t="shared" si="7"/>
        <v>176</v>
      </c>
      <c r="M28" s="105">
        <f t="shared" si="8"/>
        <v>132</v>
      </c>
      <c r="N28" s="105">
        <f t="shared" si="9"/>
        <v>105.60000000000001</v>
      </c>
      <c r="O28" s="105">
        <f t="shared" si="10"/>
        <v>88</v>
      </c>
      <c r="P28" s="105">
        <f t="shared" si="11"/>
        <v>75.428571428571431</v>
      </c>
      <c r="Q28" s="105">
        <f t="shared" si="12"/>
        <v>66</v>
      </c>
      <c r="R28" s="105">
        <f t="shared" si="13"/>
        <v>58.666666666666664</v>
      </c>
      <c r="S28" s="105">
        <f t="shared" si="14"/>
        <v>52.800000000000004</v>
      </c>
      <c r="T28" s="105">
        <f t="shared" si="15"/>
        <v>48</v>
      </c>
      <c r="U28" s="105">
        <f t="shared" si="16"/>
        <v>44</v>
      </c>
      <c r="V28" s="105">
        <f t="shared" si="17"/>
        <v>40.61538461538462</v>
      </c>
      <c r="W28" s="105">
        <f t="shared" si="18"/>
        <v>37.714285714285715</v>
      </c>
      <c r="X28" s="105">
        <f t="shared" si="19"/>
        <v>35.200000000000003</v>
      </c>
      <c r="Y28" s="105">
        <f t="shared" si="20"/>
        <v>33</v>
      </c>
      <c r="AA28" s="121"/>
      <c r="AB28" s="105">
        <f t="shared" si="22"/>
        <v>132</v>
      </c>
      <c r="AC28" s="105">
        <f t="shared" si="23"/>
        <v>88</v>
      </c>
      <c r="AD28" s="105">
        <f t="shared" si="24"/>
        <v>66</v>
      </c>
      <c r="AE28" s="105">
        <f t="shared" si="25"/>
        <v>52.800000000000004</v>
      </c>
      <c r="AF28" s="105">
        <f t="shared" si="26"/>
        <v>44</v>
      </c>
      <c r="AG28" s="105">
        <f t="shared" si="27"/>
        <v>37.714285714285715</v>
      </c>
      <c r="AH28" s="105">
        <f t="shared" si="28"/>
        <v>33</v>
      </c>
      <c r="AI28" s="105">
        <f t="shared" si="29"/>
        <v>29.333333333333332</v>
      </c>
      <c r="AJ28" s="105">
        <f t="shared" si="30"/>
        <v>26.400000000000002</v>
      </c>
      <c r="AK28" s="105">
        <f t="shared" si="31"/>
        <v>24</v>
      </c>
      <c r="AL28" s="105">
        <f t="shared" si="32"/>
        <v>22</v>
      </c>
      <c r="AM28" s="105">
        <f t="shared" si="33"/>
        <v>20.30769230769231</v>
      </c>
      <c r="AN28" s="105">
        <f t="shared" si="34"/>
        <v>18.857142857142858</v>
      </c>
      <c r="AO28" s="105">
        <f t="shared" si="35"/>
        <v>17.600000000000001</v>
      </c>
      <c r="AP28" s="105">
        <f t="shared" si="36"/>
        <v>16.5</v>
      </c>
      <c r="AQ28" s="109">
        <f t="shared" si="37"/>
        <v>132</v>
      </c>
      <c r="AR28" s="105">
        <f t="shared" si="38"/>
        <v>66</v>
      </c>
      <c r="AS28" s="105">
        <f t="shared" si="39"/>
        <v>44</v>
      </c>
      <c r="AT28" s="105">
        <f t="shared" si="40"/>
        <v>33</v>
      </c>
      <c r="AU28" s="105">
        <f t="shared" si="41"/>
        <v>26.400000000000002</v>
      </c>
      <c r="AV28" s="105">
        <f t="shared" si="42"/>
        <v>22</v>
      </c>
      <c r="AW28" s="105">
        <f t="shared" si="43"/>
        <v>18.857142857142858</v>
      </c>
      <c r="AX28" s="105">
        <f t="shared" si="44"/>
        <v>16.5</v>
      </c>
      <c r="AY28" s="105">
        <f t="shared" si="45"/>
        <v>14.666666666666666</v>
      </c>
      <c r="AZ28" s="105">
        <f t="shared" si="46"/>
        <v>13.200000000000001</v>
      </c>
      <c r="BA28" s="105">
        <f t="shared" si="47"/>
        <v>12</v>
      </c>
      <c r="BB28" s="105">
        <f t="shared" si="48"/>
        <v>11</v>
      </c>
      <c r="BC28" s="105">
        <f t="shared" si="49"/>
        <v>10.153846153846155</v>
      </c>
      <c r="BD28" s="105">
        <f t="shared" si="50"/>
        <v>9.4285714285714288</v>
      </c>
      <c r="BE28" s="105">
        <f t="shared" si="51"/>
        <v>8.8000000000000007</v>
      </c>
      <c r="BF28" s="110">
        <f t="shared" si="52"/>
        <v>8.25</v>
      </c>
      <c r="BG28" s="105">
        <f t="shared" si="53"/>
        <v>88</v>
      </c>
      <c r="BH28" s="105">
        <f t="shared" si="54"/>
        <v>44</v>
      </c>
      <c r="BI28" s="105">
        <f t="shared" si="55"/>
        <v>29.333333333333332</v>
      </c>
      <c r="BJ28" s="105">
        <f t="shared" si="56"/>
        <v>22</v>
      </c>
      <c r="BK28" s="105">
        <f t="shared" si="57"/>
        <v>17.600000000000001</v>
      </c>
      <c r="BL28" s="105">
        <f t="shared" si="58"/>
        <v>14.666666666666666</v>
      </c>
      <c r="BM28" s="105">
        <f t="shared" si="59"/>
        <v>12.571428571428571</v>
      </c>
      <c r="BN28" s="105">
        <f t="shared" si="60"/>
        <v>11</v>
      </c>
      <c r="BO28" s="105">
        <f t="shared" si="61"/>
        <v>9.7777777777777768</v>
      </c>
      <c r="BP28" s="105">
        <f t="shared" si="62"/>
        <v>8.8000000000000007</v>
      </c>
      <c r="BQ28" s="105">
        <f t="shared" si="63"/>
        <v>8</v>
      </c>
      <c r="BR28" s="105">
        <f t="shared" si="64"/>
        <v>7.333333333333333</v>
      </c>
      <c r="BS28" s="105">
        <f t="shared" si="65"/>
        <v>6.7692307692307701</v>
      </c>
      <c r="BT28" s="105">
        <f t="shared" si="66"/>
        <v>6.2857142857142856</v>
      </c>
      <c r="BU28" s="105">
        <f t="shared" si="67"/>
        <v>5.8666666666666671</v>
      </c>
      <c r="BV28" s="105">
        <f t="shared" si="68"/>
        <v>5.5</v>
      </c>
      <c r="BW28" s="109">
        <f t="shared" si="69"/>
        <v>66</v>
      </c>
      <c r="BX28" s="105">
        <f t="shared" si="70"/>
        <v>33</v>
      </c>
      <c r="BY28" s="105">
        <f t="shared" si="71"/>
        <v>22</v>
      </c>
      <c r="BZ28" s="105">
        <f t="shared" si="72"/>
        <v>16.5</v>
      </c>
      <c r="CA28" s="105">
        <f t="shared" si="73"/>
        <v>13.200000000000001</v>
      </c>
      <c r="CB28" s="105">
        <f t="shared" si="74"/>
        <v>11</v>
      </c>
      <c r="CC28" s="105">
        <f t="shared" si="75"/>
        <v>9.4285714285714288</v>
      </c>
      <c r="CD28" s="105">
        <f t="shared" si="76"/>
        <v>8.25</v>
      </c>
      <c r="CE28" s="105">
        <f t="shared" si="77"/>
        <v>7.333333333333333</v>
      </c>
      <c r="CF28" s="105">
        <f t="shared" si="78"/>
        <v>6.6000000000000005</v>
      </c>
      <c r="CG28" s="105">
        <f t="shared" si="79"/>
        <v>6</v>
      </c>
      <c r="CH28" s="105">
        <f t="shared" si="80"/>
        <v>5.5</v>
      </c>
      <c r="CI28" s="105">
        <f t="shared" si="81"/>
        <v>5.0769230769230775</v>
      </c>
      <c r="CJ28" s="105">
        <f t="shared" si="82"/>
        <v>4.7142857142857144</v>
      </c>
      <c r="CK28" s="105">
        <f t="shared" si="83"/>
        <v>4.4000000000000004</v>
      </c>
      <c r="CL28" s="105">
        <f t="shared" si="84"/>
        <v>4.125</v>
      </c>
    </row>
    <row r="29" spans="4:90">
      <c r="I29" s="105">
        <v>34</v>
      </c>
      <c r="J29" s="105">
        <f t="shared" si="5"/>
        <v>544</v>
      </c>
      <c r="K29" s="105">
        <f t="shared" si="6"/>
        <v>272</v>
      </c>
      <c r="L29" s="105">
        <f t="shared" si="7"/>
        <v>181.33333333333331</v>
      </c>
      <c r="M29" s="105">
        <f t="shared" si="8"/>
        <v>136</v>
      </c>
      <c r="N29" s="105">
        <f t="shared" si="9"/>
        <v>108.80000000000001</v>
      </c>
      <c r="O29" s="105">
        <f t="shared" si="10"/>
        <v>90.666666666666657</v>
      </c>
      <c r="P29" s="105">
        <f t="shared" si="11"/>
        <v>77.714285714285708</v>
      </c>
      <c r="Q29" s="105">
        <f t="shared" si="12"/>
        <v>68</v>
      </c>
      <c r="R29" s="105">
        <f t="shared" si="13"/>
        <v>60.444444444444443</v>
      </c>
      <c r="S29" s="105">
        <f t="shared" si="14"/>
        <v>54.400000000000006</v>
      </c>
      <c r="T29" s="105">
        <f t="shared" si="15"/>
        <v>49.454545454545453</v>
      </c>
      <c r="U29" s="105">
        <f t="shared" si="16"/>
        <v>45.333333333333329</v>
      </c>
      <c r="V29" s="105">
        <f t="shared" si="17"/>
        <v>41.846153846153847</v>
      </c>
      <c r="W29" s="105">
        <f t="shared" si="18"/>
        <v>38.857142857142854</v>
      </c>
      <c r="X29" s="105">
        <f t="shared" si="19"/>
        <v>36.266666666666666</v>
      </c>
      <c r="Y29" s="105">
        <f t="shared" si="20"/>
        <v>34</v>
      </c>
      <c r="AA29" s="121"/>
      <c r="AB29" s="105">
        <f t="shared" si="22"/>
        <v>136</v>
      </c>
      <c r="AC29" s="105">
        <f t="shared" si="23"/>
        <v>90.666666666666657</v>
      </c>
      <c r="AD29" s="105">
        <f t="shared" si="24"/>
        <v>68</v>
      </c>
      <c r="AE29" s="105">
        <f t="shared" si="25"/>
        <v>54.400000000000006</v>
      </c>
      <c r="AF29" s="105">
        <f t="shared" si="26"/>
        <v>45.333333333333329</v>
      </c>
      <c r="AG29" s="105">
        <f t="shared" si="27"/>
        <v>38.857142857142854</v>
      </c>
      <c r="AH29" s="105">
        <f t="shared" si="28"/>
        <v>34</v>
      </c>
      <c r="AI29" s="105">
        <f t="shared" si="29"/>
        <v>30.222222222222221</v>
      </c>
      <c r="AJ29" s="105">
        <f t="shared" si="30"/>
        <v>27.200000000000003</v>
      </c>
      <c r="AK29" s="105">
        <f t="shared" si="31"/>
        <v>24.727272727272727</v>
      </c>
      <c r="AL29" s="105">
        <f t="shared" si="32"/>
        <v>22.666666666666664</v>
      </c>
      <c r="AM29" s="105">
        <f t="shared" si="33"/>
        <v>20.923076923076923</v>
      </c>
      <c r="AN29" s="105">
        <f t="shared" si="34"/>
        <v>19.428571428571427</v>
      </c>
      <c r="AO29" s="105">
        <f t="shared" si="35"/>
        <v>18.133333333333333</v>
      </c>
      <c r="AP29" s="105">
        <f t="shared" si="36"/>
        <v>17</v>
      </c>
      <c r="AQ29" s="109">
        <f t="shared" si="37"/>
        <v>136</v>
      </c>
      <c r="AR29" s="105">
        <f t="shared" si="38"/>
        <v>68</v>
      </c>
      <c r="AS29" s="105">
        <f t="shared" si="39"/>
        <v>45.333333333333329</v>
      </c>
      <c r="AT29" s="105">
        <f t="shared" si="40"/>
        <v>34</v>
      </c>
      <c r="AU29" s="105">
        <f t="shared" si="41"/>
        <v>27.200000000000003</v>
      </c>
      <c r="AV29" s="105">
        <f t="shared" si="42"/>
        <v>22.666666666666664</v>
      </c>
      <c r="AW29" s="105">
        <f t="shared" si="43"/>
        <v>19.428571428571427</v>
      </c>
      <c r="AX29" s="105">
        <f t="shared" si="44"/>
        <v>17</v>
      </c>
      <c r="AY29" s="105">
        <f t="shared" si="45"/>
        <v>15.111111111111111</v>
      </c>
      <c r="AZ29" s="105">
        <f t="shared" si="46"/>
        <v>13.600000000000001</v>
      </c>
      <c r="BA29" s="105">
        <f t="shared" si="47"/>
        <v>12.363636363636363</v>
      </c>
      <c r="BB29" s="105">
        <f t="shared" si="48"/>
        <v>11.333333333333332</v>
      </c>
      <c r="BC29" s="105">
        <f t="shared" si="49"/>
        <v>10.461538461538462</v>
      </c>
      <c r="BD29" s="105">
        <f t="shared" si="50"/>
        <v>9.7142857142857135</v>
      </c>
      <c r="BE29" s="105">
        <f t="shared" si="51"/>
        <v>9.0666666666666664</v>
      </c>
      <c r="BF29" s="110">
        <f t="shared" si="52"/>
        <v>8.5</v>
      </c>
      <c r="BG29" s="105">
        <f t="shared" si="53"/>
        <v>90.666666666666671</v>
      </c>
      <c r="BH29" s="105">
        <f t="shared" si="54"/>
        <v>45.333333333333336</v>
      </c>
      <c r="BI29" s="105">
        <f t="shared" si="55"/>
        <v>30.222222222222218</v>
      </c>
      <c r="BJ29" s="105">
        <f t="shared" si="56"/>
        <v>22.666666666666668</v>
      </c>
      <c r="BK29" s="105">
        <f t="shared" si="57"/>
        <v>18.133333333333336</v>
      </c>
      <c r="BL29" s="105">
        <f t="shared" si="58"/>
        <v>15.111111111111109</v>
      </c>
      <c r="BM29" s="105">
        <f t="shared" si="59"/>
        <v>12.952380952380951</v>
      </c>
      <c r="BN29" s="105">
        <f t="shared" si="60"/>
        <v>11.333333333333334</v>
      </c>
      <c r="BO29" s="105">
        <f t="shared" si="61"/>
        <v>10.074074074074074</v>
      </c>
      <c r="BP29" s="105">
        <f t="shared" si="62"/>
        <v>9.0666666666666682</v>
      </c>
      <c r="BQ29" s="105">
        <f t="shared" si="63"/>
        <v>8.2424242424242422</v>
      </c>
      <c r="BR29" s="105">
        <f t="shared" si="64"/>
        <v>7.5555555555555545</v>
      </c>
      <c r="BS29" s="105">
        <f t="shared" si="65"/>
        <v>6.9743589743589745</v>
      </c>
      <c r="BT29" s="105">
        <f t="shared" si="66"/>
        <v>6.4761904761904754</v>
      </c>
      <c r="BU29" s="105">
        <f t="shared" si="67"/>
        <v>6.0444444444444443</v>
      </c>
      <c r="BV29" s="105">
        <f t="shared" si="68"/>
        <v>5.666666666666667</v>
      </c>
      <c r="BW29" s="109">
        <f t="shared" si="69"/>
        <v>68</v>
      </c>
      <c r="BX29" s="105">
        <f t="shared" si="70"/>
        <v>34</v>
      </c>
      <c r="BY29" s="105">
        <f t="shared" si="71"/>
        <v>22.666666666666664</v>
      </c>
      <c r="BZ29" s="105">
        <f t="shared" si="72"/>
        <v>17</v>
      </c>
      <c r="CA29" s="105">
        <f t="shared" si="73"/>
        <v>13.600000000000001</v>
      </c>
      <c r="CB29" s="105">
        <f t="shared" si="74"/>
        <v>11.333333333333332</v>
      </c>
      <c r="CC29" s="105">
        <f t="shared" si="75"/>
        <v>9.7142857142857135</v>
      </c>
      <c r="CD29" s="105">
        <f t="shared" si="76"/>
        <v>8.5</v>
      </c>
      <c r="CE29" s="105">
        <f t="shared" si="77"/>
        <v>7.5555555555555554</v>
      </c>
      <c r="CF29" s="105">
        <f t="shared" si="78"/>
        <v>6.8000000000000007</v>
      </c>
      <c r="CG29" s="105">
        <f t="shared" si="79"/>
        <v>6.1818181818181817</v>
      </c>
      <c r="CH29" s="105">
        <f t="shared" si="80"/>
        <v>5.6666666666666661</v>
      </c>
      <c r="CI29" s="105">
        <f t="shared" si="81"/>
        <v>5.2307692307692308</v>
      </c>
      <c r="CJ29" s="105">
        <f t="shared" si="82"/>
        <v>4.8571428571428568</v>
      </c>
      <c r="CK29" s="105">
        <f t="shared" si="83"/>
        <v>4.5333333333333332</v>
      </c>
      <c r="CL29" s="105">
        <f t="shared" si="84"/>
        <v>4.25</v>
      </c>
    </row>
    <row r="30" spans="4:90">
      <c r="I30" s="105">
        <v>35</v>
      </c>
      <c r="J30" s="105">
        <f t="shared" si="5"/>
        <v>560</v>
      </c>
      <c r="K30" s="105">
        <f t="shared" si="6"/>
        <v>280</v>
      </c>
      <c r="L30" s="105">
        <f t="shared" si="7"/>
        <v>186.66666666666666</v>
      </c>
      <c r="M30" s="105">
        <f t="shared" si="8"/>
        <v>140</v>
      </c>
      <c r="N30" s="105">
        <f t="shared" si="9"/>
        <v>112</v>
      </c>
      <c r="O30" s="105">
        <f t="shared" si="10"/>
        <v>93.333333333333329</v>
      </c>
      <c r="P30" s="105">
        <f t="shared" si="11"/>
        <v>80</v>
      </c>
      <c r="Q30" s="105">
        <f t="shared" si="12"/>
        <v>70</v>
      </c>
      <c r="R30" s="105">
        <f t="shared" si="13"/>
        <v>62.222222222222221</v>
      </c>
      <c r="S30" s="105">
        <f t="shared" si="14"/>
        <v>56</v>
      </c>
      <c r="T30" s="105">
        <f t="shared" si="15"/>
        <v>50.909090909090914</v>
      </c>
      <c r="U30" s="105">
        <f t="shared" si="16"/>
        <v>46.666666666666664</v>
      </c>
      <c r="V30" s="105">
        <f t="shared" si="17"/>
        <v>43.07692307692308</v>
      </c>
      <c r="W30" s="105">
        <f t="shared" si="18"/>
        <v>40</v>
      </c>
      <c r="X30" s="105">
        <f t="shared" si="19"/>
        <v>37.333333333333336</v>
      </c>
      <c r="Y30" s="105">
        <f t="shared" si="20"/>
        <v>35</v>
      </c>
      <c r="AA30" s="121"/>
      <c r="AB30" s="105">
        <f t="shared" si="22"/>
        <v>140</v>
      </c>
      <c r="AC30" s="105">
        <f t="shared" si="23"/>
        <v>93.333333333333329</v>
      </c>
      <c r="AD30" s="105">
        <f t="shared" si="24"/>
        <v>70</v>
      </c>
      <c r="AE30" s="105">
        <f t="shared" si="25"/>
        <v>56</v>
      </c>
      <c r="AF30" s="105">
        <f t="shared" si="26"/>
        <v>46.666666666666664</v>
      </c>
      <c r="AG30" s="105">
        <f t="shared" si="27"/>
        <v>40</v>
      </c>
      <c r="AH30" s="105">
        <f t="shared" si="28"/>
        <v>35</v>
      </c>
      <c r="AI30" s="105">
        <f t="shared" si="29"/>
        <v>31.111111111111111</v>
      </c>
      <c r="AJ30" s="105">
        <f t="shared" si="30"/>
        <v>28</v>
      </c>
      <c r="AK30" s="105">
        <f t="shared" si="31"/>
        <v>25.454545454545457</v>
      </c>
      <c r="AL30" s="105">
        <f t="shared" si="32"/>
        <v>23.333333333333332</v>
      </c>
      <c r="AM30" s="105">
        <f t="shared" si="33"/>
        <v>21.53846153846154</v>
      </c>
      <c r="AN30" s="105">
        <f t="shared" si="34"/>
        <v>20</v>
      </c>
      <c r="AO30" s="105">
        <f t="shared" si="35"/>
        <v>18.666666666666668</v>
      </c>
      <c r="AP30" s="105">
        <f t="shared" si="36"/>
        <v>17.5</v>
      </c>
      <c r="AQ30" s="109">
        <f t="shared" si="37"/>
        <v>140</v>
      </c>
      <c r="AR30" s="105">
        <f t="shared" si="38"/>
        <v>70</v>
      </c>
      <c r="AS30" s="105">
        <f t="shared" si="39"/>
        <v>46.666666666666664</v>
      </c>
      <c r="AT30" s="105">
        <f t="shared" si="40"/>
        <v>35</v>
      </c>
      <c r="AU30" s="105">
        <f t="shared" si="41"/>
        <v>28</v>
      </c>
      <c r="AV30" s="105">
        <f t="shared" si="42"/>
        <v>23.333333333333332</v>
      </c>
      <c r="AW30" s="105">
        <f t="shared" si="43"/>
        <v>20</v>
      </c>
      <c r="AX30" s="105">
        <f t="shared" si="44"/>
        <v>17.5</v>
      </c>
      <c r="AY30" s="105">
        <f t="shared" si="45"/>
        <v>15.555555555555555</v>
      </c>
      <c r="AZ30" s="105">
        <f t="shared" si="46"/>
        <v>14</v>
      </c>
      <c r="BA30" s="105">
        <f t="shared" si="47"/>
        <v>12.727272727272728</v>
      </c>
      <c r="BB30" s="105">
        <f t="shared" si="48"/>
        <v>11.666666666666666</v>
      </c>
      <c r="BC30" s="105">
        <f t="shared" si="49"/>
        <v>10.76923076923077</v>
      </c>
      <c r="BD30" s="105">
        <f t="shared" si="50"/>
        <v>10</v>
      </c>
      <c r="BE30" s="105">
        <f t="shared" si="51"/>
        <v>9.3333333333333339</v>
      </c>
      <c r="BF30" s="110">
        <f t="shared" si="52"/>
        <v>8.75</v>
      </c>
      <c r="BG30" s="105">
        <f t="shared" si="53"/>
        <v>93.333333333333329</v>
      </c>
      <c r="BH30" s="105">
        <f t="shared" si="54"/>
        <v>46.666666666666664</v>
      </c>
      <c r="BI30" s="105">
        <f t="shared" si="55"/>
        <v>31.111111111111111</v>
      </c>
      <c r="BJ30" s="105">
        <f t="shared" si="56"/>
        <v>23.333333333333332</v>
      </c>
      <c r="BK30" s="105">
        <f t="shared" si="57"/>
        <v>18.666666666666668</v>
      </c>
      <c r="BL30" s="105">
        <f t="shared" si="58"/>
        <v>15.555555555555555</v>
      </c>
      <c r="BM30" s="105">
        <f t="shared" si="59"/>
        <v>13.333333333333334</v>
      </c>
      <c r="BN30" s="105">
        <f t="shared" si="60"/>
        <v>11.666666666666666</v>
      </c>
      <c r="BO30" s="105">
        <f t="shared" si="61"/>
        <v>10.37037037037037</v>
      </c>
      <c r="BP30" s="105">
        <f t="shared" si="62"/>
        <v>9.3333333333333339</v>
      </c>
      <c r="BQ30" s="105">
        <f t="shared" si="63"/>
        <v>8.4848484848484862</v>
      </c>
      <c r="BR30" s="105">
        <f t="shared" si="64"/>
        <v>7.7777777777777777</v>
      </c>
      <c r="BS30" s="105">
        <f t="shared" si="65"/>
        <v>7.1794871794871797</v>
      </c>
      <c r="BT30" s="105">
        <f t="shared" si="66"/>
        <v>6.666666666666667</v>
      </c>
      <c r="BU30" s="105">
        <f t="shared" si="67"/>
        <v>6.2222222222222223</v>
      </c>
      <c r="BV30" s="105">
        <f t="shared" si="68"/>
        <v>5.833333333333333</v>
      </c>
      <c r="BW30" s="109">
        <f t="shared" si="69"/>
        <v>70</v>
      </c>
      <c r="BX30" s="105">
        <f t="shared" si="70"/>
        <v>35</v>
      </c>
      <c r="BY30" s="105">
        <f t="shared" si="71"/>
        <v>23.333333333333332</v>
      </c>
      <c r="BZ30" s="105">
        <f t="shared" si="72"/>
        <v>17.5</v>
      </c>
      <c r="CA30" s="105">
        <f t="shared" si="73"/>
        <v>14</v>
      </c>
      <c r="CB30" s="105">
        <f t="shared" si="74"/>
        <v>11.666666666666666</v>
      </c>
      <c r="CC30" s="105">
        <f t="shared" si="75"/>
        <v>10</v>
      </c>
      <c r="CD30" s="105">
        <f t="shared" si="76"/>
        <v>8.75</v>
      </c>
      <c r="CE30" s="105">
        <f t="shared" si="77"/>
        <v>7.7777777777777777</v>
      </c>
      <c r="CF30" s="105">
        <f t="shared" si="78"/>
        <v>7</v>
      </c>
      <c r="CG30" s="105">
        <f t="shared" si="79"/>
        <v>6.3636363636363642</v>
      </c>
      <c r="CH30" s="105">
        <f t="shared" si="80"/>
        <v>5.833333333333333</v>
      </c>
      <c r="CI30" s="105">
        <f t="shared" si="81"/>
        <v>5.384615384615385</v>
      </c>
      <c r="CJ30" s="105">
        <f t="shared" si="82"/>
        <v>5</v>
      </c>
      <c r="CK30" s="105">
        <f t="shared" si="83"/>
        <v>4.666666666666667</v>
      </c>
      <c r="CL30" s="105">
        <f t="shared" si="84"/>
        <v>4.375</v>
      </c>
    </row>
    <row r="31" spans="4:90">
      <c r="I31" s="105">
        <v>36</v>
      </c>
      <c r="J31" s="105">
        <f t="shared" si="5"/>
        <v>576</v>
      </c>
      <c r="K31" s="105">
        <f t="shared" si="6"/>
        <v>288</v>
      </c>
      <c r="L31" s="105">
        <f t="shared" si="7"/>
        <v>192</v>
      </c>
      <c r="M31" s="105">
        <f t="shared" si="8"/>
        <v>144</v>
      </c>
      <c r="N31" s="105">
        <f t="shared" si="9"/>
        <v>115.2</v>
      </c>
      <c r="O31" s="105">
        <f t="shared" si="10"/>
        <v>96</v>
      </c>
      <c r="P31" s="105">
        <f t="shared" si="11"/>
        <v>82.285714285714278</v>
      </c>
      <c r="Q31" s="105">
        <f t="shared" si="12"/>
        <v>72</v>
      </c>
      <c r="R31" s="105">
        <f t="shared" si="13"/>
        <v>64</v>
      </c>
      <c r="S31" s="105">
        <f t="shared" si="14"/>
        <v>57.6</v>
      </c>
      <c r="T31" s="105">
        <f t="shared" si="15"/>
        <v>52.363636363636367</v>
      </c>
      <c r="U31" s="105">
        <f t="shared" si="16"/>
        <v>48</v>
      </c>
      <c r="V31" s="105">
        <f t="shared" si="17"/>
        <v>44.307692307692307</v>
      </c>
      <c r="W31" s="105">
        <f t="shared" si="18"/>
        <v>41.142857142857139</v>
      </c>
      <c r="X31" s="105">
        <f t="shared" si="19"/>
        <v>38.4</v>
      </c>
      <c r="Y31" s="105">
        <f t="shared" si="20"/>
        <v>36</v>
      </c>
      <c r="AA31" s="121"/>
      <c r="AB31" s="105">
        <f t="shared" si="22"/>
        <v>144</v>
      </c>
      <c r="AC31" s="105">
        <f t="shared" si="23"/>
        <v>96</v>
      </c>
      <c r="AD31" s="105">
        <f t="shared" si="24"/>
        <v>72</v>
      </c>
      <c r="AE31" s="105">
        <f t="shared" si="25"/>
        <v>57.6</v>
      </c>
      <c r="AF31" s="105">
        <f t="shared" si="26"/>
        <v>48</v>
      </c>
      <c r="AG31" s="105">
        <f t="shared" si="27"/>
        <v>41.142857142857139</v>
      </c>
      <c r="AH31" s="105">
        <f t="shared" si="28"/>
        <v>36</v>
      </c>
      <c r="AI31" s="105">
        <f t="shared" si="29"/>
        <v>32</v>
      </c>
      <c r="AJ31" s="105">
        <f t="shared" si="30"/>
        <v>28.8</v>
      </c>
      <c r="AK31" s="105">
        <f t="shared" si="31"/>
        <v>26.181818181818183</v>
      </c>
      <c r="AL31" s="105">
        <f t="shared" si="32"/>
        <v>24</v>
      </c>
      <c r="AM31" s="105">
        <f t="shared" si="33"/>
        <v>22.153846153846153</v>
      </c>
      <c r="AN31" s="105">
        <f t="shared" si="34"/>
        <v>20.571428571428569</v>
      </c>
      <c r="AO31" s="105">
        <f t="shared" si="35"/>
        <v>19.2</v>
      </c>
      <c r="AP31" s="105">
        <f t="shared" si="36"/>
        <v>18</v>
      </c>
      <c r="AQ31" s="109">
        <f t="shared" si="37"/>
        <v>144</v>
      </c>
      <c r="AR31" s="105">
        <f t="shared" si="38"/>
        <v>72</v>
      </c>
      <c r="AS31" s="105">
        <f t="shared" si="39"/>
        <v>48</v>
      </c>
      <c r="AT31" s="105">
        <f t="shared" si="40"/>
        <v>36</v>
      </c>
      <c r="AU31" s="105">
        <f t="shared" si="41"/>
        <v>28.8</v>
      </c>
      <c r="AV31" s="105">
        <f t="shared" si="42"/>
        <v>24</v>
      </c>
      <c r="AW31" s="105">
        <f t="shared" si="43"/>
        <v>20.571428571428569</v>
      </c>
      <c r="AX31" s="105">
        <f t="shared" si="44"/>
        <v>18</v>
      </c>
      <c r="AY31" s="105">
        <f t="shared" si="45"/>
        <v>16</v>
      </c>
      <c r="AZ31" s="105">
        <f t="shared" si="46"/>
        <v>14.4</v>
      </c>
      <c r="BA31" s="105">
        <f t="shared" si="47"/>
        <v>13.090909090909092</v>
      </c>
      <c r="BB31" s="105">
        <f t="shared" si="48"/>
        <v>12</v>
      </c>
      <c r="BC31" s="105">
        <f t="shared" si="49"/>
        <v>11.076923076923077</v>
      </c>
      <c r="BD31" s="105">
        <f t="shared" si="50"/>
        <v>10.285714285714285</v>
      </c>
      <c r="BE31" s="105">
        <f t="shared" si="51"/>
        <v>9.6</v>
      </c>
      <c r="BF31" s="110">
        <f t="shared" si="52"/>
        <v>9</v>
      </c>
      <c r="BG31" s="105">
        <f t="shared" si="53"/>
        <v>96</v>
      </c>
      <c r="BH31" s="105">
        <f t="shared" si="54"/>
        <v>48</v>
      </c>
      <c r="BI31" s="105">
        <f t="shared" si="55"/>
        <v>32</v>
      </c>
      <c r="BJ31" s="105">
        <f t="shared" si="56"/>
        <v>24</v>
      </c>
      <c r="BK31" s="105">
        <f t="shared" si="57"/>
        <v>19.2</v>
      </c>
      <c r="BL31" s="105">
        <f t="shared" si="58"/>
        <v>16</v>
      </c>
      <c r="BM31" s="105">
        <f t="shared" si="59"/>
        <v>13.714285714285714</v>
      </c>
      <c r="BN31" s="105">
        <f t="shared" si="60"/>
        <v>12</v>
      </c>
      <c r="BO31" s="105">
        <f t="shared" si="61"/>
        <v>10.666666666666666</v>
      </c>
      <c r="BP31" s="105">
        <f t="shared" si="62"/>
        <v>9.6</v>
      </c>
      <c r="BQ31" s="105">
        <f t="shared" si="63"/>
        <v>8.7272727272727284</v>
      </c>
      <c r="BR31" s="105">
        <f t="shared" si="64"/>
        <v>8</v>
      </c>
      <c r="BS31" s="105">
        <f t="shared" si="65"/>
        <v>7.3846153846153841</v>
      </c>
      <c r="BT31" s="105">
        <f t="shared" si="66"/>
        <v>6.8571428571428568</v>
      </c>
      <c r="BU31" s="105">
        <f t="shared" si="67"/>
        <v>6.3999999999999995</v>
      </c>
      <c r="BV31" s="105">
        <f t="shared" si="68"/>
        <v>6</v>
      </c>
      <c r="BW31" s="109">
        <f t="shared" si="69"/>
        <v>72</v>
      </c>
      <c r="BX31" s="105">
        <f t="shared" si="70"/>
        <v>36</v>
      </c>
      <c r="BY31" s="105">
        <f t="shared" si="71"/>
        <v>24</v>
      </c>
      <c r="BZ31" s="105">
        <f t="shared" si="72"/>
        <v>18</v>
      </c>
      <c r="CA31" s="105">
        <f t="shared" si="73"/>
        <v>14.4</v>
      </c>
      <c r="CB31" s="105">
        <f t="shared" si="74"/>
        <v>12</v>
      </c>
      <c r="CC31" s="105">
        <f t="shared" si="75"/>
        <v>10.285714285714285</v>
      </c>
      <c r="CD31" s="105">
        <f t="shared" si="76"/>
        <v>9</v>
      </c>
      <c r="CE31" s="105">
        <f t="shared" si="77"/>
        <v>8</v>
      </c>
      <c r="CF31" s="105">
        <f t="shared" si="78"/>
        <v>7.2</v>
      </c>
      <c r="CG31" s="105">
        <f t="shared" si="79"/>
        <v>6.5454545454545459</v>
      </c>
      <c r="CH31" s="105">
        <f t="shared" si="80"/>
        <v>6</v>
      </c>
      <c r="CI31" s="105">
        <f t="shared" si="81"/>
        <v>5.5384615384615383</v>
      </c>
      <c r="CJ31" s="105">
        <f t="shared" si="82"/>
        <v>5.1428571428571423</v>
      </c>
      <c r="CK31" s="105">
        <f t="shared" si="83"/>
        <v>4.8</v>
      </c>
      <c r="CL31" s="105">
        <f t="shared" si="84"/>
        <v>4.5</v>
      </c>
    </row>
    <row r="32" spans="4:90">
      <c r="I32" s="105">
        <v>37</v>
      </c>
      <c r="J32" s="105">
        <f t="shared" si="5"/>
        <v>592</v>
      </c>
      <c r="K32" s="105">
        <f t="shared" si="6"/>
        <v>296</v>
      </c>
      <c r="L32" s="105">
        <f t="shared" si="7"/>
        <v>197.33333333333331</v>
      </c>
      <c r="M32" s="105">
        <f t="shared" si="8"/>
        <v>148</v>
      </c>
      <c r="N32" s="105">
        <f t="shared" si="9"/>
        <v>118.4</v>
      </c>
      <c r="O32" s="105">
        <f t="shared" si="10"/>
        <v>98.666666666666657</v>
      </c>
      <c r="P32" s="105">
        <f t="shared" si="11"/>
        <v>84.571428571428569</v>
      </c>
      <c r="Q32" s="105">
        <f t="shared" si="12"/>
        <v>74</v>
      </c>
      <c r="R32" s="105">
        <f t="shared" si="13"/>
        <v>65.777777777777771</v>
      </c>
      <c r="S32" s="105">
        <f t="shared" si="14"/>
        <v>59.2</v>
      </c>
      <c r="T32" s="105">
        <f t="shared" si="15"/>
        <v>53.81818181818182</v>
      </c>
      <c r="U32" s="105">
        <f t="shared" si="16"/>
        <v>49.333333333333329</v>
      </c>
      <c r="V32" s="105">
        <f t="shared" si="17"/>
        <v>45.53846153846154</v>
      </c>
      <c r="W32" s="105">
        <f t="shared" si="18"/>
        <v>42.285714285714285</v>
      </c>
      <c r="X32" s="105">
        <f t="shared" si="19"/>
        <v>39.466666666666669</v>
      </c>
      <c r="Y32" s="105">
        <f t="shared" si="20"/>
        <v>37</v>
      </c>
      <c r="AA32" s="121"/>
      <c r="AB32" s="105">
        <f t="shared" si="22"/>
        <v>148</v>
      </c>
      <c r="AC32" s="105">
        <f t="shared" si="23"/>
        <v>98.666666666666657</v>
      </c>
      <c r="AD32" s="105">
        <f t="shared" si="24"/>
        <v>74</v>
      </c>
      <c r="AE32" s="105">
        <f t="shared" si="25"/>
        <v>59.2</v>
      </c>
      <c r="AF32" s="105">
        <f t="shared" si="26"/>
        <v>49.333333333333329</v>
      </c>
      <c r="AG32" s="105">
        <f t="shared" si="27"/>
        <v>42.285714285714285</v>
      </c>
      <c r="AH32" s="105">
        <f t="shared" si="28"/>
        <v>37</v>
      </c>
      <c r="AI32" s="105">
        <f t="shared" si="29"/>
        <v>32.888888888888886</v>
      </c>
      <c r="AJ32" s="105">
        <f t="shared" si="30"/>
        <v>29.6</v>
      </c>
      <c r="AK32" s="105">
        <f t="shared" si="31"/>
        <v>26.90909090909091</v>
      </c>
      <c r="AL32" s="105">
        <f t="shared" si="32"/>
        <v>24.666666666666664</v>
      </c>
      <c r="AM32" s="105">
        <f t="shared" si="33"/>
        <v>22.76923076923077</v>
      </c>
      <c r="AN32" s="105">
        <f t="shared" si="34"/>
        <v>21.142857142857142</v>
      </c>
      <c r="AO32" s="105">
        <f t="shared" si="35"/>
        <v>19.733333333333334</v>
      </c>
      <c r="AP32" s="105">
        <f t="shared" si="36"/>
        <v>18.5</v>
      </c>
      <c r="AQ32" s="109">
        <f t="shared" si="37"/>
        <v>148</v>
      </c>
      <c r="AR32" s="105">
        <f t="shared" si="38"/>
        <v>74</v>
      </c>
      <c r="AS32" s="105">
        <f t="shared" si="39"/>
        <v>49.333333333333329</v>
      </c>
      <c r="AT32" s="105">
        <f t="shared" si="40"/>
        <v>37</v>
      </c>
      <c r="AU32" s="105">
        <f t="shared" si="41"/>
        <v>29.6</v>
      </c>
      <c r="AV32" s="105">
        <f t="shared" si="42"/>
        <v>24.666666666666664</v>
      </c>
      <c r="AW32" s="105">
        <f t="shared" si="43"/>
        <v>21.142857142857142</v>
      </c>
      <c r="AX32" s="105">
        <f t="shared" si="44"/>
        <v>18.5</v>
      </c>
      <c r="AY32" s="105">
        <f t="shared" si="45"/>
        <v>16.444444444444443</v>
      </c>
      <c r="AZ32" s="105">
        <f t="shared" si="46"/>
        <v>14.8</v>
      </c>
      <c r="BA32" s="105">
        <f t="shared" si="47"/>
        <v>13.454545454545455</v>
      </c>
      <c r="BB32" s="105">
        <f t="shared" si="48"/>
        <v>12.333333333333332</v>
      </c>
      <c r="BC32" s="105">
        <f t="shared" si="49"/>
        <v>11.384615384615385</v>
      </c>
      <c r="BD32" s="105">
        <f t="shared" si="50"/>
        <v>10.571428571428571</v>
      </c>
      <c r="BE32" s="105">
        <f t="shared" si="51"/>
        <v>9.8666666666666671</v>
      </c>
      <c r="BF32" s="110">
        <f t="shared" si="52"/>
        <v>9.25</v>
      </c>
      <c r="BG32" s="105">
        <f t="shared" si="53"/>
        <v>98.666666666666671</v>
      </c>
      <c r="BH32" s="105">
        <f t="shared" si="54"/>
        <v>49.333333333333336</v>
      </c>
      <c r="BI32" s="105">
        <f t="shared" si="55"/>
        <v>32.888888888888886</v>
      </c>
      <c r="BJ32" s="105">
        <f t="shared" si="56"/>
        <v>24.666666666666668</v>
      </c>
      <c r="BK32" s="105">
        <f t="shared" si="57"/>
        <v>19.733333333333334</v>
      </c>
      <c r="BL32" s="105">
        <f t="shared" si="58"/>
        <v>16.444444444444443</v>
      </c>
      <c r="BM32" s="105">
        <f t="shared" si="59"/>
        <v>14.095238095238095</v>
      </c>
      <c r="BN32" s="105">
        <f t="shared" si="60"/>
        <v>12.333333333333334</v>
      </c>
      <c r="BO32" s="105">
        <f t="shared" si="61"/>
        <v>10.962962962962962</v>
      </c>
      <c r="BP32" s="105">
        <f t="shared" si="62"/>
        <v>9.8666666666666671</v>
      </c>
      <c r="BQ32" s="105">
        <f t="shared" si="63"/>
        <v>8.9696969696969706</v>
      </c>
      <c r="BR32" s="105">
        <f t="shared" si="64"/>
        <v>8.2222222222222214</v>
      </c>
      <c r="BS32" s="105">
        <f t="shared" si="65"/>
        <v>7.5897435897435903</v>
      </c>
      <c r="BT32" s="105">
        <f t="shared" si="66"/>
        <v>7.0476190476190474</v>
      </c>
      <c r="BU32" s="105">
        <f t="shared" si="67"/>
        <v>6.5777777777777784</v>
      </c>
      <c r="BV32" s="105">
        <f t="shared" si="68"/>
        <v>6.166666666666667</v>
      </c>
      <c r="BW32" s="109">
        <f t="shared" si="69"/>
        <v>74</v>
      </c>
      <c r="BX32" s="105">
        <f t="shared" si="70"/>
        <v>37</v>
      </c>
      <c r="BY32" s="105">
        <f t="shared" si="71"/>
        <v>24.666666666666664</v>
      </c>
      <c r="BZ32" s="105">
        <f t="shared" si="72"/>
        <v>18.5</v>
      </c>
      <c r="CA32" s="105">
        <f t="shared" si="73"/>
        <v>14.8</v>
      </c>
      <c r="CB32" s="105">
        <f t="shared" si="74"/>
        <v>12.333333333333332</v>
      </c>
      <c r="CC32" s="105">
        <f t="shared" si="75"/>
        <v>10.571428571428571</v>
      </c>
      <c r="CD32" s="105">
        <f t="shared" si="76"/>
        <v>9.25</v>
      </c>
      <c r="CE32" s="105">
        <f t="shared" si="77"/>
        <v>8.2222222222222214</v>
      </c>
      <c r="CF32" s="105">
        <f t="shared" si="78"/>
        <v>7.4</v>
      </c>
      <c r="CG32" s="105">
        <f t="shared" si="79"/>
        <v>6.7272727272727275</v>
      </c>
      <c r="CH32" s="105">
        <f t="shared" si="80"/>
        <v>6.1666666666666661</v>
      </c>
      <c r="CI32" s="105">
        <f t="shared" si="81"/>
        <v>5.6923076923076925</v>
      </c>
      <c r="CJ32" s="105">
        <f t="shared" si="82"/>
        <v>5.2857142857142856</v>
      </c>
      <c r="CK32" s="105">
        <f t="shared" si="83"/>
        <v>4.9333333333333336</v>
      </c>
      <c r="CL32" s="105">
        <f t="shared" si="84"/>
        <v>4.625</v>
      </c>
    </row>
    <row r="33" spans="9:90">
      <c r="I33" s="105">
        <v>38</v>
      </c>
      <c r="J33" s="105">
        <f t="shared" si="5"/>
        <v>608</v>
      </c>
      <c r="K33" s="105">
        <f t="shared" si="6"/>
        <v>304</v>
      </c>
      <c r="L33" s="105">
        <f t="shared" si="7"/>
        <v>202.66666666666666</v>
      </c>
      <c r="M33" s="105">
        <f t="shared" si="8"/>
        <v>152</v>
      </c>
      <c r="N33" s="105">
        <f t="shared" si="9"/>
        <v>121.60000000000001</v>
      </c>
      <c r="O33" s="105">
        <f t="shared" si="10"/>
        <v>101.33333333333333</v>
      </c>
      <c r="P33" s="105">
        <f t="shared" si="11"/>
        <v>86.857142857142847</v>
      </c>
      <c r="Q33" s="105">
        <f t="shared" si="12"/>
        <v>76</v>
      </c>
      <c r="R33" s="105">
        <f t="shared" si="13"/>
        <v>67.555555555555557</v>
      </c>
      <c r="S33" s="105">
        <f t="shared" si="14"/>
        <v>60.800000000000004</v>
      </c>
      <c r="T33" s="105">
        <f t="shared" si="15"/>
        <v>55.272727272727273</v>
      </c>
      <c r="U33" s="105">
        <f t="shared" si="16"/>
        <v>50.666666666666664</v>
      </c>
      <c r="V33" s="105">
        <f t="shared" si="17"/>
        <v>46.769230769230774</v>
      </c>
      <c r="W33" s="105">
        <f t="shared" si="18"/>
        <v>43.428571428571423</v>
      </c>
      <c r="X33" s="105">
        <f t="shared" si="19"/>
        <v>40.533333333333331</v>
      </c>
      <c r="Y33" s="105">
        <f t="shared" si="20"/>
        <v>38</v>
      </c>
      <c r="AA33" s="121"/>
      <c r="AB33" s="105">
        <f t="shared" si="22"/>
        <v>152</v>
      </c>
      <c r="AC33" s="105">
        <f t="shared" si="23"/>
        <v>101.33333333333333</v>
      </c>
      <c r="AD33" s="105">
        <f t="shared" si="24"/>
        <v>76</v>
      </c>
      <c r="AE33" s="105">
        <f t="shared" si="25"/>
        <v>60.800000000000004</v>
      </c>
      <c r="AF33" s="105">
        <f t="shared" si="26"/>
        <v>50.666666666666664</v>
      </c>
      <c r="AG33" s="105">
        <f t="shared" si="27"/>
        <v>43.428571428571423</v>
      </c>
      <c r="AH33" s="105">
        <f t="shared" si="28"/>
        <v>38</v>
      </c>
      <c r="AI33" s="105">
        <f t="shared" si="29"/>
        <v>33.777777777777779</v>
      </c>
      <c r="AJ33" s="105">
        <f t="shared" si="30"/>
        <v>30.400000000000002</v>
      </c>
      <c r="AK33" s="105">
        <f t="shared" si="31"/>
        <v>27.636363636363637</v>
      </c>
      <c r="AL33" s="105">
        <f t="shared" si="32"/>
        <v>25.333333333333332</v>
      </c>
      <c r="AM33" s="105">
        <f t="shared" si="33"/>
        <v>23.384615384615387</v>
      </c>
      <c r="AN33" s="105">
        <f t="shared" si="34"/>
        <v>21.714285714285712</v>
      </c>
      <c r="AO33" s="105">
        <f t="shared" si="35"/>
        <v>20.266666666666666</v>
      </c>
      <c r="AP33" s="105">
        <f t="shared" si="36"/>
        <v>19</v>
      </c>
      <c r="AQ33" s="109">
        <f t="shared" si="37"/>
        <v>152</v>
      </c>
      <c r="AR33" s="105">
        <f t="shared" si="38"/>
        <v>76</v>
      </c>
      <c r="AS33" s="105">
        <f t="shared" si="39"/>
        <v>50.666666666666664</v>
      </c>
      <c r="AT33" s="105">
        <f t="shared" si="40"/>
        <v>38</v>
      </c>
      <c r="AU33" s="105">
        <f t="shared" si="41"/>
        <v>30.400000000000002</v>
      </c>
      <c r="AV33" s="105">
        <f t="shared" si="42"/>
        <v>25.333333333333332</v>
      </c>
      <c r="AW33" s="105">
        <f t="shared" si="43"/>
        <v>21.714285714285712</v>
      </c>
      <c r="AX33" s="105">
        <f t="shared" si="44"/>
        <v>19</v>
      </c>
      <c r="AY33" s="105">
        <f t="shared" si="45"/>
        <v>16.888888888888889</v>
      </c>
      <c r="AZ33" s="105">
        <f t="shared" si="46"/>
        <v>15.200000000000001</v>
      </c>
      <c r="BA33" s="105">
        <f t="shared" si="47"/>
        <v>13.818181818181818</v>
      </c>
      <c r="BB33" s="105">
        <f t="shared" si="48"/>
        <v>12.666666666666666</v>
      </c>
      <c r="BC33" s="105">
        <f t="shared" si="49"/>
        <v>11.692307692307693</v>
      </c>
      <c r="BD33" s="105">
        <f t="shared" si="50"/>
        <v>10.857142857142856</v>
      </c>
      <c r="BE33" s="105">
        <f t="shared" si="51"/>
        <v>10.133333333333333</v>
      </c>
      <c r="BF33" s="110">
        <f t="shared" si="52"/>
        <v>9.5</v>
      </c>
      <c r="BG33" s="105">
        <f t="shared" si="53"/>
        <v>101.33333333333333</v>
      </c>
      <c r="BH33" s="105">
        <f t="shared" si="54"/>
        <v>50.666666666666664</v>
      </c>
      <c r="BI33" s="105">
        <f t="shared" si="55"/>
        <v>33.777777777777779</v>
      </c>
      <c r="BJ33" s="105">
        <f t="shared" si="56"/>
        <v>25.333333333333332</v>
      </c>
      <c r="BK33" s="105">
        <f t="shared" si="57"/>
        <v>20.266666666666669</v>
      </c>
      <c r="BL33" s="105">
        <f t="shared" si="58"/>
        <v>16.888888888888889</v>
      </c>
      <c r="BM33" s="105">
        <f t="shared" si="59"/>
        <v>14.476190476190474</v>
      </c>
      <c r="BN33" s="105">
        <f t="shared" si="60"/>
        <v>12.666666666666666</v>
      </c>
      <c r="BO33" s="105">
        <f t="shared" si="61"/>
        <v>11.25925925925926</v>
      </c>
      <c r="BP33" s="105">
        <f t="shared" si="62"/>
        <v>10.133333333333335</v>
      </c>
      <c r="BQ33" s="105">
        <f t="shared" si="63"/>
        <v>9.2121212121212128</v>
      </c>
      <c r="BR33" s="105">
        <f t="shared" si="64"/>
        <v>8.4444444444444446</v>
      </c>
      <c r="BS33" s="105">
        <f t="shared" si="65"/>
        <v>7.7948717948717956</v>
      </c>
      <c r="BT33" s="105">
        <f t="shared" si="66"/>
        <v>7.2380952380952372</v>
      </c>
      <c r="BU33" s="105">
        <f t="shared" si="67"/>
        <v>6.7555555555555555</v>
      </c>
      <c r="BV33" s="105">
        <f t="shared" si="68"/>
        <v>6.333333333333333</v>
      </c>
      <c r="BW33" s="109">
        <f t="shared" si="69"/>
        <v>76</v>
      </c>
      <c r="BX33" s="105">
        <f t="shared" si="70"/>
        <v>38</v>
      </c>
      <c r="BY33" s="105">
        <f t="shared" si="71"/>
        <v>25.333333333333332</v>
      </c>
      <c r="BZ33" s="105">
        <f t="shared" si="72"/>
        <v>19</v>
      </c>
      <c r="CA33" s="105">
        <f t="shared" si="73"/>
        <v>15.200000000000001</v>
      </c>
      <c r="CB33" s="105">
        <f t="shared" si="74"/>
        <v>12.666666666666666</v>
      </c>
      <c r="CC33" s="105">
        <f t="shared" si="75"/>
        <v>10.857142857142856</v>
      </c>
      <c r="CD33" s="105">
        <f t="shared" si="76"/>
        <v>9.5</v>
      </c>
      <c r="CE33" s="105">
        <f t="shared" si="77"/>
        <v>8.4444444444444446</v>
      </c>
      <c r="CF33" s="105">
        <f t="shared" si="78"/>
        <v>7.6000000000000005</v>
      </c>
      <c r="CG33" s="105">
        <f t="shared" si="79"/>
        <v>6.9090909090909092</v>
      </c>
      <c r="CH33" s="105">
        <f t="shared" si="80"/>
        <v>6.333333333333333</v>
      </c>
      <c r="CI33" s="105">
        <f t="shared" si="81"/>
        <v>5.8461538461538467</v>
      </c>
      <c r="CJ33" s="105">
        <f t="shared" si="82"/>
        <v>5.4285714285714279</v>
      </c>
      <c r="CK33" s="105">
        <f t="shared" si="83"/>
        <v>5.0666666666666664</v>
      </c>
      <c r="CL33" s="105">
        <f t="shared" si="84"/>
        <v>4.75</v>
      </c>
    </row>
    <row r="34" spans="9:90">
      <c r="I34" s="105">
        <v>39</v>
      </c>
      <c r="J34" s="105">
        <f t="shared" si="5"/>
        <v>624</v>
      </c>
      <c r="K34" s="105">
        <f t="shared" si="6"/>
        <v>312</v>
      </c>
      <c r="L34" s="105">
        <f t="shared" si="7"/>
        <v>208</v>
      </c>
      <c r="M34" s="105">
        <f t="shared" si="8"/>
        <v>156</v>
      </c>
      <c r="N34" s="105">
        <f t="shared" si="9"/>
        <v>124.80000000000001</v>
      </c>
      <c r="O34" s="105">
        <f t="shared" si="10"/>
        <v>104</v>
      </c>
      <c r="P34" s="105">
        <f t="shared" si="11"/>
        <v>89.142857142857139</v>
      </c>
      <c r="Q34" s="105">
        <f t="shared" si="12"/>
        <v>78</v>
      </c>
      <c r="R34" s="105">
        <f t="shared" si="13"/>
        <v>69.333333333333329</v>
      </c>
      <c r="S34" s="105">
        <f t="shared" si="14"/>
        <v>62.400000000000006</v>
      </c>
      <c r="T34" s="105">
        <f t="shared" si="15"/>
        <v>56.727272727272727</v>
      </c>
      <c r="U34" s="105">
        <f t="shared" si="16"/>
        <v>52</v>
      </c>
      <c r="V34" s="105">
        <f t="shared" si="17"/>
        <v>48</v>
      </c>
      <c r="W34" s="105">
        <f t="shared" si="18"/>
        <v>44.571428571428569</v>
      </c>
      <c r="X34" s="105">
        <f t="shared" si="19"/>
        <v>41.6</v>
      </c>
      <c r="Y34" s="105">
        <f t="shared" si="20"/>
        <v>39</v>
      </c>
      <c r="AA34" s="121"/>
      <c r="AB34" s="105">
        <f t="shared" si="22"/>
        <v>156</v>
      </c>
      <c r="AC34" s="105">
        <f t="shared" si="23"/>
        <v>104</v>
      </c>
      <c r="AD34" s="105">
        <f t="shared" si="24"/>
        <v>78</v>
      </c>
      <c r="AE34" s="105">
        <f t="shared" si="25"/>
        <v>62.400000000000006</v>
      </c>
      <c r="AF34" s="105">
        <f t="shared" si="26"/>
        <v>52</v>
      </c>
      <c r="AG34" s="105">
        <f t="shared" si="27"/>
        <v>44.571428571428569</v>
      </c>
      <c r="AH34" s="105">
        <f t="shared" si="28"/>
        <v>39</v>
      </c>
      <c r="AI34" s="105">
        <f t="shared" si="29"/>
        <v>34.666666666666664</v>
      </c>
      <c r="AJ34" s="105">
        <f t="shared" si="30"/>
        <v>31.200000000000003</v>
      </c>
      <c r="AK34" s="105">
        <f t="shared" si="31"/>
        <v>28.363636363636363</v>
      </c>
      <c r="AL34" s="105">
        <f t="shared" si="32"/>
        <v>26</v>
      </c>
      <c r="AM34" s="105">
        <f t="shared" si="33"/>
        <v>24</v>
      </c>
      <c r="AN34" s="105">
        <f t="shared" si="34"/>
        <v>22.285714285714285</v>
      </c>
      <c r="AO34" s="105">
        <f t="shared" si="35"/>
        <v>20.8</v>
      </c>
      <c r="AP34" s="105">
        <f t="shared" si="36"/>
        <v>19.5</v>
      </c>
      <c r="AQ34" s="109">
        <f t="shared" si="37"/>
        <v>156</v>
      </c>
      <c r="AR34" s="105">
        <f t="shared" si="38"/>
        <v>78</v>
      </c>
      <c r="AS34" s="105">
        <f t="shared" si="39"/>
        <v>52</v>
      </c>
      <c r="AT34" s="105">
        <f t="shared" si="40"/>
        <v>39</v>
      </c>
      <c r="AU34" s="105">
        <f t="shared" si="41"/>
        <v>31.200000000000003</v>
      </c>
      <c r="AV34" s="105">
        <f t="shared" si="42"/>
        <v>26</v>
      </c>
      <c r="AW34" s="105">
        <f t="shared" si="43"/>
        <v>22.285714285714285</v>
      </c>
      <c r="AX34" s="105">
        <f t="shared" si="44"/>
        <v>19.5</v>
      </c>
      <c r="AY34" s="105">
        <f t="shared" si="45"/>
        <v>17.333333333333332</v>
      </c>
      <c r="AZ34" s="105">
        <f t="shared" si="46"/>
        <v>15.600000000000001</v>
      </c>
      <c r="BA34" s="105">
        <f t="shared" si="47"/>
        <v>14.181818181818182</v>
      </c>
      <c r="BB34" s="105">
        <f t="shared" si="48"/>
        <v>13</v>
      </c>
      <c r="BC34" s="105">
        <f t="shared" si="49"/>
        <v>12</v>
      </c>
      <c r="BD34" s="105">
        <f t="shared" si="50"/>
        <v>11.142857142857142</v>
      </c>
      <c r="BE34" s="105">
        <f t="shared" si="51"/>
        <v>10.4</v>
      </c>
      <c r="BF34" s="110">
        <f t="shared" si="52"/>
        <v>9.75</v>
      </c>
      <c r="BG34" s="105">
        <f t="shared" si="53"/>
        <v>104</v>
      </c>
      <c r="BH34" s="105">
        <f t="shared" si="54"/>
        <v>52</v>
      </c>
      <c r="BI34" s="105">
        <f t="shared" si="55"/>
        <v>34.666666666666664</v>
      </c>
      <c r="BJ34" s="105">
        <f t="shared" si="56"/>
        <v>26</v>
      </c>
      <c r="BK34" s="105">
        <f t="shared" si="57"/>
        <v>20.8</v>
      </c>
      <c r="BL34" s="105">
        <f t="shared" si="58"/>
        <v>17.333333333333332</v>
      </c>
      <c r="BM34" s="105">
        <f t="shared" si="59"/>
        <v>14.857142857142856</v>
      </c>
      <c r="BN34" s="105">
        <f t="shared" si="60"/>
        <v>13</v>
      </c>
      <c r="BO34" s="105">
        <f t="shared" si="61"/>
        <v>11.555555555555555</v>
      </c>
      <c r="BP34" s="105">
        <f t="shared" si="62"/>
        <v>10.4</v>
      </c>
      <c r="BQ34" s="105">
        <f t="shared" si="63"/>
        <v>9.454545454545455</v>
      </c>
      <c r="BR34" s="105">
        <f t="shared" si="64"/>
        <v>8.6666666666666661</v>
      </c>
      <c r="BS34" s="105">
        <f t="shared" si="65"/>
        <v>8</v>
      </c>
      <c r="BT34" s="105">
        <f t="shared" si="66"/>
        <v>7.4285714285714279</v>
      </c>
      <c r="BU34" s="105">
        <f t="shared" si="67"/>
        <v>6.9333333333333336</v>
      </c>
      <c r="BV34" s="105">
        <f t="shared" si="68"/>
        <v>6.5</v>
      </c>
      <c r="BW34" s="109">
        <f t="shared" si="69"/>
        <v>78</v>
      </c>
      <c r="BX34" s="105">
        <f t="shared" si="70"/>
        <v>39</v>
      </c>
      <c r="BY34" s="105">
        <f t="shared" si="71"/>
        <v>26</v>
      </c>
      <c r="BZ34" s="105">
        <f t="shared" si="72"/>
        <v>19.5</v>
      </c>
      <c r="CA34" s="105">
        <f t="shared" si="73"/>
        <v>15.600000000000001</v>
      </c>
      <c r="CB34" s="105">
        <f t="shared" si="74"/>
        <v>13</v>
      </c>
      <c r="CC34" s="105">
        <f t="shared" si="75"/>
        <v>11.142857142857142</v>
      </c>
      <c r="CD34" s="105">
        <f t="shared" si="76"/>
        <v>9.75</v>
      </c>
      <c r="CE34" s="105">
        <f t="shared" si="77"/>
        <v>8.6666666666666661</v>
      </c>
      <c r="CF34" s="105">
        <f t="shared" si="78"/>
        <v>7.8000000000000007</v>
      </c>
      <c r="CG34" s="105">
        <f t="shared" si="79"/>
        <v>7.0909090909090908</v>
      </c>
      <c r="CH34" s="105">
        <f t="shared" si="80"/>
        <v>6.5</v>
      </c>
      <c r="CI34" s="105">
        <f t="shared" si="81"/>
        <v>6</v>
      </c>
      <c r="CJ34" s="105">
        <f t="shared" si="82"/>
        <v>5.5714285714285712</v>
      </c>
      <c r="CK34" s="105">
        <f t="shared" si="83"/>
        <v>5.2</v>
      </c>
      <c r="CL34" s="105">
        <f t="shared" si="84"/>
        <v>4.875</v>
      </c>
    </row>
    <row r="35" spans="9:90">
      <c r="I35" s="105">
        <v>40</v>
      </c>
      <c r="J35" s="105">
        <f t="shared" si="5"/>
        <v>640</v>
      </c>
      <c r="K35" s="105">
        <f t="shared" si="6"/>
        <v>320</v>
      </c>
      <c r="L35" s="105">
        <f t="shared" si="7"/>
        <v>213.33333333333331</v>
      </c>
      <c r="M35" s="105">
        <f t="shared" si="8"/>
        <v>160</v>
      </c>
      <c r="N35" s="105">
        <f t="shared" si="9"/>
        <v>128</v>
      </c>
      <c r="O35" s="105">
        <f t="shared" si="10"/>
        <v>106.66666666666666</v>
      </c>
      <c r="P35" s="105">
        <f t="shared" si="11"/>
        <v>91.428571428571416</v>
      </c>
      <c r="Q35" s="105">
        <f t="shared" si="12"/>
        <v>80</v>
      </c>
      <c r="R35" s="105">
        <f t="shared" si="13"/>
        <v>71.111111111111114</v>
      </c>
      <c r="S35" s="105">
        <f t="shared" si="14"/>
        <v>64</v>
      </c>
      <c r="T35" s="105">
        <f t="shared" si="15"/>
        <v>58.181818181818187</v>
      </c>
      <c r="U35" s="105">
        <f t="shared" si="16"/>
        <v>53.333333333333329</v>
      </c>
      <c r="V35" s="105">
        <f t="shared" si="17"/>
        <v>49.230769230769234</v>
      </c>
      <c r="W35" s="105">
        <f t="shared" si="18"/>
        <v>45.714285714285708</v>
      </c>
      <c r="X35" s="105">
        <f t="shared" si="19"/>
        <v>42.666666666666664</v>
      </c>
      <c r="Y35" s="105">
        <f t="shared" si="20"/>
        <v>40</v>
      </c>
      <c r="AA35" s="121"/>
      <c r="AB35" s="105">
        <f t="shared" si="22"/>
        <v>160</v>
      </c>
      <c r="AC35" s="105">
        <f t="shared" si="23"/>
        <v>106.66666666666666</v>
      </c>
      <c r="AD35" s="105">
        <f t="shared" si="24"/>
        <v>80</v>
      </c>
      <c r="AE35" s="105">
        <f t="shared" si="25"/>
        <v>64</v>
      </c>
      <c r="AF35" s="105">
        <f t="shared" si="26"/>
        <v>53.333333333333329</v>
      </c>
      <c r="AG35" s="105">
        <f t="shared" si="27"/>
        <v>45.714285714285708</v>
      </c>
      <c r="AH35" s="105">
        <f t="shared" si="28"/>
        <v>40</v>
      </c>
      <c r="AI35" s="105">
        <f t="shared" si="29"/>
        <v>35.555555555555557</v>
      </c>
      <c r="AJ35" s="105">
        <f t="shared" si="30"/>
        <v>32</v>
      </c>
      <c r="AK35" s="105">
        <f t="shared" si="31"/>
        <v>29.090909090909093</v>
      </c>
      <c r="AL35" s="105">
        <f t="shared" si="32"/>
        <v>26.666666666666664</v>
      </c>
      <c r="AM35" s="105">
        <f t="shared" si="33"/>
        <v>24.615384615384617</v>
      </c>
      <c r="AN35" s="105">
        <f t="shared" si="34"/>
        <v>22.857142857142854</v>
      </c>
      <c r="AO35" s="105">
        <f t="shared" si="35"/>
        <v>21.333333333333332</v>
      </c>
      <c r="AP35" s="105">
        <f t="shared" si="36"/>
        <v>20</v>
      </c>
      <c r="AQ35" s="109">
        <f t="shared" si="37"/>
        <v>160</v>
      </c>
      <c r="AR35" s="105">
        <f t="shared" si="38"/>
        <v>80</v>
      </c>
      <c r="AS35" s="105">
        <f t="shared" si="39"/>
        <v>53.333333333333329</v>
      </c>
      <c r="AT35" s="105">
        <f t="shared" si="40"/>
        <v>40</v>
      </c>
      <c r="AU35" s="105">
        <f t="shared" si="41"/>
        <v>32</v>
      </c>
      <c r="AV35" s="105">
        <f t="shared" si="42"/>
        <v>26.666666666666664</v>
      </c>
      <c r="AW35" s="105">
        <f t="shared" si="43"/>
        <v>22.857142857142854</v>
      </c>
      <c r="AX35" s="105">
        <f t="shared" si="44"/>
        <v>20</v>
      </c>
      <c r="AY35" s="105">
        <f t="shared" si="45"/>
        <v>17.777777777777779</v>
      </c>
      <c r="AZ35" s="105">
        <f t="shared" si="46"/>
        <v>16</v>
      </c>
      <c r="BA35" s="105">
        <f t="shared" si="47"/>
        <v>14.545454545454547</v>
      </c>
      <c r="BB35" s="105">
        <f t="shared" si="48"/>
        <v>13.333333333333332</v>
      </c>
      <c r="BC35" s="105">
        <f t="shared" si="49"/>
        <v>12.307692307692308</v>
      </c>
      <c r="BD35" s="105">
        <f t="shared" si="50"/>
        <v>11.428571428571427</v>
      </c>
      <c r="BE35" s="105">
        <f t="shared" si="51"/>
        <v>10.666666666666666</v>
      </c>
      <c r="BF35" s="110">
        <f t="shared" si="52"/>
        <v>10</v>
      </c>
      <c r="BG35" s="105">
        <f t="shared" si="53"/>
        <v>106.66666666666667</v>
      </c>
      <c r="BH35" s="105">
        <f t="shared" si="54"/>
        <v>53.333333333333336</v>
      </c>
      <c r="BI35" s="105">
        <f t="shared" si="55"/>
        <v>35.55555555555555</v>
      </c>
      <c r="BJ35" s="105">
        <f t="shared" si="56"/>
        <v>26.666666666666668</v>
      </c>
      <c r="BK35" s="105">
        <f t="shared" si="57"/>
        <v>21.333333333333332</v>
      </c>
      <c r="BL35" s="105">
        <f t="shared" si="58"/>
        <v>17.777777777777775</v>
      </c>
      <c r="BM35" s="105">
        <f t="shared" si="59"/>
        <v>15.238095238095235</v>
      </c>
      <c r="BN35" s="105">
        <f t="shared" si="60"/>
        <v>13.333333333333334</v>
      </c>
      <c r="BO35" s="105">
        <f t="shared" si="61"/>
        <v>11.851851851851853</v>
      </c>
      <c r="BP35" s="105">
        <f t="shared" si="62"/>
        <v>10.666666666666666</v>
      </c>
      <c r="BQ35" s="105">
        <f t="shared" si="63"/>
        <v>9.6969696969696972</v>
      </c>
      <c r="BR35" s="105">
        <f t="shared" si="64"/>
        <v>8.8888888888888875</v>
      </c>
      <c r="BS35" s="105">
        <f t="shared" si="65"/>
        <v>8.2051282051282062</v>
      </c>
      <c r="BT35" s="105">
        <f t="shared" si="66"/>
        <v>7.6190476190476177</v>
      </c>
      <c r="BU35" s="105">
        <f t="shared" si="67"/>
        <v>7.1111111111111107</v>
      </c>
      <c r="BV35" s="105">
        <f t="shared" si="68"/>
        <v>6.666666666666667</v>
      </c>
      <c r="BW35" s="109">
        <f t="shared" si="69"/>
        <v>80</v>
      </c>
      <c r="BX35" s="105">
        <f t="shared" si="70"/>
        <v>40</v>
      </c>
      <c r="BY35" s="105">
        <f t="shared" si="71"/>
        <v>26.666666666666664</v>
      </c>
      <c r="BZ35" s="105">
        <f t="shared" si="72"/>
        <v>20</v>
      </c>
      <c r="CA35" s="105">
        <f t="shared" si="73"/>
        <v>16</v>
      </c>
      <c r="CB35" s="105">
        <f t="shared" si="74"/>
        <v>13.333333333333332</v>
      </c>
      <c r="CC35" s="105">
        <f t="shared" si="75"/>
        <v>11.428571428571427</v>
      </c>
      <c r="CD35" s="105">
        <f t="shared" si="76"/>
        <v>10</v>
      </c>
      <c r="CE35" s="105">
        <f t="shared" si="77"/>
        <v>8.8888888888888893</v>
      </c>
      <c r="CF35" s="105">
        <f t="shared" si="78"/>
        <v>8</v>
      </c>
      <c r="CG35" s="105">
        <f t="shared" si="79"/>
        <v>7.2727272727272734</v>
      </c>
      <c r="CH35" s="105">
        <f t="shared" si="80"/>
        <v>6.6666666666666661</v>
      </c>
      <c r="CI35" s="105">
        <f t="shared" si="81"/>
        <v>6.1538461538461542</v>
      </c>
      <c r="CJ35" s="105">
        <f t="shared" si="82"/>
        <v>5.7142857142857135</v>
      </c>
      <c r="CK35" s="105">
        <f t="shared" si="83"/>
        <v>5.333333333333333</v>
      </c>
      <c r="CL35" s="105">
        <f t="shared" si="84"/>
        <v>5</v>
      </c>
    </row>
    <row r="36" spans="9:90">
      <c r="I36" s="105">
        <v>41</v>
      </c>
      <c r="J36" s="105">
        <f t="shared" si="5"/>
        <v>656</v>
      </c>
      <c r="K36" s="105">
        <f t="shared" si="6"/>
        <v>328</v>
      </c>
      <c r="L36" s="105">
        <f t="shared" si="7"/>
        <v>218.66666666666666</v>
      </c>
      <c r="M36" s="105">
        <f t="shared" si="8"/>
        <v>164</v>
      </c>
      <c r="N36" s="105">
        <f t="shared" si="9"/>
        <v>131.20000000000002</v>
      </c>
      <c r="O36" s="105">
        <f t="shared" si="10"/>
        <v>109.33333333333333</v>
      </c>
      <c r="P36" s="105">
        <f t="shared" si="11"/>
        <v>93.714285714285708</v>
      </c>
      <c r="Q36" s="105">
        <f t="shared" si="12"/>
        <v>82</v>
      </c>
      <c r="R36" s="105">
        <f t="shared" si="13"/>
        <v>72.888888888888886</v>
      </c>
      <c r="S36" s="105">
        <f t="shared" si="14"/>
        <v>65.600000000000009</v>
      </c>
      <c r="T36" s="105">
        <f t="shared" si="15"/>
        <v>59.63636363636364</v>
      </c>
      <c r="U36" s="105">
        <f t="shared" si="16"/>
        <v>54.666666666666664</v>
      </c>
      <c r="V36" s="105">
        <f t="shared" si="17"/>
        <v>50.461538461538467</v>
      </c>
      <c r="W36" s="105">
        <f t="shared" si="18"/>
        <v>46.857142857142854</v>
      </c>
      <c r="X36" s="105">
        <f t="shared" si="19"/>
        <v>43.733333333333334</v>
      </c>
      <c r="Y36" s="105">
        <f t="shared" si="20"/>
        <v>41</v>
      </c>
      <c r="AA36" s="121"/>
      <c r="AB36" s="105">
        <f t="shared" si="22"/>
        <v>164</v>
      </c>
      <c r="AC36" s="105">
        <f t="shared" si="23"/>
        <v>109.33333333333333</v>
      </c>
      <c r="AD36" s="105">
        <f t="shared" si="24"/>
        <v>82</v>
      </c>
      <c r="AE36" s="105">
        <f t="shared" si="25"/>
        <v>65.600000000000009</v>
      </c>
      <c r="AF36" s="105">
        <f t="shared" si="26"/>
        <v>54.666666666666664</v>
      </c>
      <c r="AG36" s="105">
        <f t="shared" si="27"/>
        <v>46.857142857142854</v>
      </c>
      <c r="AH36" s="105">
        <f t="shared" si="28"/>
        <v>41</v>
      </c>
      <c r="AI36" s="105">
        <f t="shared" si="29"/>
        <v>36.444444444444443</v>
      </c>
      <c r="AJ36" s="105">
        <f t="shared" si="30"/>
        <v>32.800000000000004</v>
      </c>
      <c r="AK36" s="105">
        <f t="shared" si="31"/>
        <v>29.81818181818182</v>
      </c>
      <c r="AL36" s="105">
        <f t="shared" si="32"/>
        <v>27.333333333333332</v>
      </c>
      <c r="AM36" s="105">
        <f t="shared" si="33"/>
        <v>25.230769230769234</v>
      </c>
      <c r="AN36" s="105">
        <f t="shared" si="34"/>
        <v>23.428571428571427</v>
      </c>
      <c r="AO36" s="105">
        <f t="shared" si="35"/>
        <v>21.866666666666667</v>
      </c>
      <c r="AP36" s="105">
        <f t="shared" si="36"/>
        <v>20.5</v>
      </c>
      <c r="AQ36" s="109">
        <f t="shared" si="37"/>
        <v>164</v>
      </c>
      <c r="AR36" s="105">
        <f t="shared" si="38"/>
        <v>82</v>
      </c>
      <c r="AS36" s="105">
        <f t="shared" si="39"/>
        <v>54.666666666666664</v>
      </c>
      <c r="AT36" s="105">
        <f t="shared" si="40"/>
        <v>41</v>
      </c>
      <c r="AU36" s="105">
        <f t="shared" si="41"/>
        <v>32.800000000000004</v>
      </c>
      <c r="AV36" s="105">
        <f t="shared" si="42"/>
        <v>27.333333333333332</v>
      </c>
      <c r="AW36" s="105">
        <f t="shared" si="43"/>
        <v>23.428571428571427</v>
      </c>
      <c r="AX36" s="105">
        <f t="shared" si="44"/>
        <v>20.5</v>
      </c>
      <c r="AY36" s="105">
        <f t="shared" si="45"/>
        <v>18.222222222222221</v>
      </c>
      <c r="AZ36" s="105">
        <f t="shared" si="46"/>
        <v>16.400000000000002</v>
      </c>
      <c r="BA36" s="105">
        <f t="shared" si="47"/>
        <v>14.90909090909091</v>
      </c>
      <c r="BB36" s="105">
        <f t="shared" si="48"/>
        <v>13.666666666666666</v>
      </c>
      <c r="BC36" s="105">
        <f t="shared" si="49"/>
        <v>12.615384615384617</v>
      </c>
      <c r="BD36" s="105">
        <f t="shared" si="50"/>
        <v>11.714285714285714</v>
      </c>
      <c r="BE36" s="105">
        <f t="shared" si="51"/>
        <v>10.933333333333334</v>
      </c>
      <c r="BF36" s="110">
        <f t="shared" si="52"/>
        <v>10.25</v>
      </c>
      <c r="BG36" s="105">
        <f t="shared" si="53"/>
        <v>109.33333333333333</v>
      </c>
      <c r="BH36" s="105">
        <f t="shared" si="54"/>
        <v>54.666666666666664</v>
      </c>
      <c r="BI36" s="105">
        <f t="shared" si="55"/>
        <v>36.444444444444443</v>
      </c>
      <c r="BJ36" s="105">
        <f t="shared" si="56"/>
        <v>27.333333333333332</v>
      </c>
      <c r="BK36" s="105">
        <f t="shared" si="57"/>
        <v>21.866666666666671</v>
      </c>
      <c r="BL36" s="105">
        <f t="shared" si="58"/>
        <v>18.222222222222221</v>
      </c>
      <c r="BM36" s="105">
        <f t="shared" si="59"/>
        <v>15.619047619047619</v>
      </c>
      <c r="BN36" s="105">
        <f t="shared" si="60"/>
        <v>13.666666666666666</v>
      </c>
      <c r="BO36" s="105">
        <f t="shared" si="61"/>
        <v>12.148148148148147</v>
      </c>
      <c r="BP36" s="105">
        <f t="shared" si="62"/>
        <v>10.933333333333335</v>
      </c>
      <c r="BQ36" s="105">
        <f t="shared" si="63"/>
        <v>9.9393939393939394</v>
      </c>
      <c r="BR36" s="105">
        <f t="shared" si="64"/>
        <v>9.1111111111111107</v>
      </c>
      <c r="BS36" s="105">
        <f t="shared" si="65"/>
        <v>8.4102564102564106</v>
      </c>
      <c r="BT36" s="105">
        <f t="shared" si="66"/>
        <v>7.8095238095238093</v>
      </c>
      <c r="BU36" s="105">
        <f t="shared" si="67"/>
        <v>7.2888888888888888</v>
      </c>
      <c r="BV36" s="105">
        <f t="shared" si="68"/>
        <v>6.833333333333333</v>
      </c>
      <c r="BW36" s="109">
        <f t="shared" si="69"/>
        <v>82</v>
      </c>
      <c r="BX36" s="105">
        <f t="shared" si="70"/>
        <v>41</v>
      </c>
      <c r="BY36" s="105">
        <f t="shared" si="71"/>
        <v>27.333333333333332</v>
      </c>
      <c r="BZ36" s="105">
        <f t="shared" si="72"/>
        <v>20.5</v>
      </c>
      <c r="CA36" s="105">
        <f t="shared" si="73"/>
        <v>16.400000000000002</v>
      </c>
      <c r="CB36" s="105">
        <f t="shared" si="74"/>
        <v>13.666666666666666</v>
      </c>
      <c r="CC36" s="105">
        <f t="shared" si="75"/>
        <v>11.714285714285714</v>
      </c>
      <c r="CD36" s="105">
        <f t="shared" si="76"/>
        <v>10.25</v>
      </c>
      <c r="CE36" s="105">
        <f t="shared" si="77"/>
        <v>9.1111111111111107</v>
      </c>
      <c r="CF36" s="105">
        <f t="shared" si="78"/>
        <v>8.2000000000000011</v>
      </c>
      <c r="CG36" s="105">
        <f t="shared" si="79"/>
        <v>7.454545454545455</v>
      </c>
      <c r="CH36" s="105">
        <f t="shared" si="80"/>
        <v>6.833333333333333</v>
      </c>
      <c r="CI36" s="105">
        <f t="shared" si="81"/>
        <v>6.3076923076923084</v>
      </c>
      <c r="CJ36" s="105">
        <f t="shared" si="82"/>
        <v>5.8571428571428568</v>
      </c>
      <c r="CK36" s="105">
        <f t="shared" si="83"/>
        <v>5.4666666666666668</v>
      </c>
      <c r="CL36" s="105">
        <f t="shared" si="84"/>
        <v>5.125</v>
      </c>
    </row>
    <row r="37" spans="9:90">
      <c r="I37" s="105">
        <v>42</v>
      </c>
      <c r="J37" s="105">
        <f t="shared" si="5"/>
        <v>672</v>
      </c>
      <c r="K37" s="105">
        <f t="shared" si="6"/>
        <v>336</v>
      </c>
      <c r="L37" s="105">
        <f t="shared" si="7"/>
        <v>224</v>
      </c>
      <c r="M37" s="105">
        <f t="shared" si="8"/>
        <v>168</v>
      </c>
      <c r="N37" s="105">
        <f t="shared" si="9"/>
        <v>134.4</v>
      </c>
      <c r="O37" s="105">
        <f t="shared" si="10"/>
        <v>112</v>
      </c>
      <c r="P37" s="105">
        <f t="shared" si="11"/>
        <v>96</v>
      </c>
      <c r="Q37" s="105">
        <f t="shared" si="12"/>
        <v>84</v>
      </c>
      <c r="R37" s="105">
        <f t="shared" si="13"/>
        <v>74.666666666666657</v>
      </c>
      <c r="S37" s="105">
        <f t="shared" si="14"/>
        <v>67.2</v>
      </c>
      <c r="T37" s="105">
        <f t="shared" si="15"/>
        <v>61.090909090909093</v>
      </c>
      <c r="U37" s="105">
        <f t="shared" si="16"/>
        <v>56</v>
      </c>
      <c r="V37" s="105">
        <f t="shared" si="17"/>
        <v>51.692307692307693</v>
      </c>
      <c r="W37" s="105">
        <f t="shared" si="18"/>
        <v>48</v>
      </c>
      <c r="X37" s="105">
        <f t="shared" si="19"/>
        <v>44.8</v>
      </c>
      <c r="Y37" s="105">
        <f t="shared" si="20"/>
        <v>42</v>
      </c>
      <c r="AA37" s="121"/>
      <c r="AB37" s="105">
        <f t="shared" si="22"/>
        <v>168</v>
      </c>
      <c r="AC37" s="105">
        <f t="shared" si="23"/>
        <v>112</v>
      </c>
      <c r="AD37" s="105">
        <f t="shared" si="24"/>
        <v>84</v>
      </c>
      <c r="AE37" s="105">
        <f t="shared" si="25"/>
        <v>67.2</v>
      </c>
      <c r="AF37" s="105">
        <f t="shared" si="26"/>
        <v>56</v>
      </c>
      <c r="AG37" s="105">
        <f t="shared" si="27"/>
        <v>48</v>
      </c>
      <c r="AH37" s="105">
        <f t="shared" si="28"/>
        <v>42</v>
      </c>
      <c r="AI37" s="105">
        <f t="shared" si="29"/>
        <v>37.333333333333329</v>
      </c>
      <c r="AJ37" s="105">
        <f t="shared" si="30"/>
        <v>33.6</v>
      </c>
      <c r="AK37" s="105">
        <f t="shared" si="31"/>
        <v>30.545454545454547</v>
      </c>
      <c r="AL37" s="105">
        <f t="shared" si="32"/>
        <v>28</v>
      </c>
      <c r="AM37" s="105">
        <f t="shared" si="33"/>
        <v>25.846153846153847</v>
      </c>
      <c r="AN37" s="105">
        <f t="shared" si="34"/>
        <v>24</v>
      </c>
      <c r="AO37" s="105">
        <f t="shared" si="35"/>
        <v>22.4</v>
      </c>
      <c r="AP37" s="105">
        <f t="shared" si="36"/>
        <v>21</v>
      </c>
      <c r="AQ37" s="109">
        <f t="shared" si="37"/>
        <v>168</v>
      </c>
      <c r="AR37" s="105">
        <f t="shared" si="38"/>
        <v>84</v>
      </c>
      <c r="AS37" s="105">
        <f t="shared" si="39"/>
        <v>56</v>
      </c>
      <c r="AT37" s="105">
        <f t="shared" si="40"/>
        <v>42</v>
      </c>
      <c r="AU37" s="105">
        <f t="shared" si="41"/>
        <v>33.6</v>
      </c>
      <c r="AV37" s="105">
        <f t="shared" si="42"/>
        <v>28</v>
      </c>
      <c r="AW37" s="105">
        <f t="shared" si="43"/>
        <v>24</v>
      </c>
      <c r="AX37" s="105">
        <f t="shared" si="44"/>
        <v>21</v>
      </c>
      <c r="AY37" s="105">
        <f t="shared" si="45"/>
        <v>18.666666666666664</v>
      </c>
      <c r="AZ37" s="105">
        <f t="shared" si="46"/>
        <v>16.8</v>
      </c>
      <c r="BA37" s="105">
        <f t="shared" si="47"/>
        <v>15.272727272727273</v>
      </c>
      <c r="BB37" s="105">
        <f t="shared" si="48"/>
        <v>14</v>
      </c>
      <c r="BC37" s="105">
        <f t="shared" si="49"/>
        <v>12.923076923076923</v>
      </c>
      <c r="BD37" s="105">
        <f t="shared" si="50"/>
        <v>12</v>
      </c>
      <c r="BE37" s="105">
        <f t="shared" si="51"/>
        <v>11.2</v>
      </c>
      <c r="BF37" s="110">
        <f t="shared" si="52"/>
        <v>10.5</v>
      </c>
      <c r="BG37" s="105">
        <f t="shared" si="53"/>
        <v>112</v>
      </c>
      <c r="BH37" s="105">
        <f t="shared" si="54"/>
        <v>56</v>
      </c>
      <c r="BI37" s="105">
        <f t="shared" si="55"/>
        <v>37.333333333333336</v>
      </c>
      <c r="BJ37" s="105">
        <f t="shared" si="56"/>
        <v>28</v>
      </c>
      <c r="BK37" s="105">
        <f t="shared" si="57"/>
        <v>22.400000000000002</v>
      </c>
      <c r="BL37" s="105">
        <f t="shared" si="58"/>
        <v>18.666666666666668</v>
      </c>
      <c r="BM37" s="105">
        <f t="shared" si="59"/>
        <v>16</v>
      </c>
      <c r="BN37" s="105">
        <f t="shared" si="60"/>
        <v>14</v>
      </c>
      <c r="BO37" s="105">
        <f t="shared" si="61"/>
        <v>12.444444444444443</v>
      </c>
      <c r="BP37" s="105">
        <f t="shared" si="62"/>
        <v>11.200000000000001</v>
      </c>
      <c r="BQ37" s="105">
        <f t="shared" si="63"/>
        <v>10.181818181818182</v>
      </c>
      <c r="BR37" s="105">
        <f t="shared" si="64"/>
        <v>9.3333333333333339</v>
      </c>
      <c r="BS37" s="105">
        <f t="shared" si="65"/>
        <v>8.615384615384615</v>
      </c>
      <c r="BT37" s="105">
        <f t="shared" si="66"/>
        <v>8</v>
      </c>
      <c r="BU37" s="105">
        <f t="shared" si="67"/>
        <v>7.4666666666666659</v>
      </c>
      <c r="BV37" s="105">
        <f t="shared" si="68"/>
        <v>7</v>
      </c>
      <c r="BW37" s="109">
        <f t="shared" si="69"/>
        <v>84</v>
      </c>
      <c r="BX37" s="105">
        <f t="shared" si="70"/>
        <v>42</v>
      </c>
      <c r="BY37" s="105">
        <f t="shared" si="71"/>
        <v>28</v>
      </c>
      <c r="BZ37" s="105">
        <f t="shared" si="72"/>
        <v>21</v>
      </c>
      <c r="CA37" s="105">
        <f t="shared" si="73"/>
        <v>16.8</v>
      </c>
      <c r="CB37" s="105">
        <f t="shared" si="74"/>
        <v>14</v>
      </c>
      <c r="CC37" s="105">
        <f t="shared" si="75"/>
        <v>12</v>
      </c>
      <c r="CD37" s="105">
        <f t="shared" si="76"/>
        <v>10.5</v>
      </c>
      <c r="CE37" s="105">
        <f t="shared" si="77"/>
        <v>9.3333333333333321</v>
      </c>
      <c r="CF37" s="105">
        <f t="shared" si="78"/>
        <v>8.4</v>
      </c>
      <c r="CG37" s="105">
        <f t="shared" si="79"/>
        <v>7.6363636363636367</v>
      </c>
      <c r="CH37" s="105">
        <f t="shared" si="80"/>
        <v>7</v>
      </c>
      <c r="CI37" s="105">
        <f t="shared" si="81"/>
        <v>6.4615384615384617</v>
      </c>
      <c r="CJ37" s="105">
        <f t="shared" si="82"/>
        <v>6</v>
      </c>
      <c r="CK37" s="105">
        <f t="shared" si="83"/>
        <v>5.6</v>
      </c>
      <c r="CL37" s="105">
        <f t="shared" si="84"/>
        <v>5.25</v>
      </c>
    </row>
    <row r="38" spans="9:90">
      <c r="I38" s="105">
        <v>43</v>
      </c>
      <c r="J38" s="105">
        <f t="shared" si="5"/>
        <v>688</v>
      </c>
      <c r="K38" s="105">
        <f t="shared" si="6"/>
        <v>344</v>
      </c>
      <c r="L38" s="105">
        <f t="shared" si="7"/>
        <v>229.33333333333331</v>
      </c>
      <c r="M38" s="105">
        <f t="shared" si="8"/>
        <v>172</v>
      </c>
      <c r="N38" s="105">
        <f t="shared" si="9"/>
        <v>137.6</v>
      </c>
      <c r="O38" s="105">
        <f t="shared" si="10"/>
        <v>114.66666666666666</v>
      </c>
      <c r="P38" s="105">
        <f t="shared" si="11"/>
        <v>98.285714285714278</v>
      </c>
      <c r="Q38" s="105">
        <f t="shared" si="12"/>
        <v>86</v>
      </c>
      <c r="R38" s="105">
        <f t="shared" si="13"/>
        <v>76.444444444444443</v>
      </c>
      <c r="S38" s="105">
        <f t="shared" si="14"/>
        <v>68.8</v>
      </c>
      <c r="T38" s="105">
        <f t="shared" si="15"/>
        <v>62.545454545454547</v>
      </c>
      <c r="U38" s="105">
        <f t="shared" si="16"/>
        <v>57.333333333333329</v>
      </c>
      <c r="V38" s="105">
        <f t="shared" si="17"/>
        <v>52.923076923076927</v>
      </c>
      <c r="W38" s="105">
        <f t="shared" si="18"/>
        <v>49.142857142857139</v>
      </c>
      <c r="X38" s="105">
        <f t="shared" si="19"/>
        <v>45.866666666666667</v>
      </c>
      <c r="Y38" s="105">
        <f t="shared" si="20"/>
        <v>43</v>
      </c>
      <c r="AA38" s="121"/>
      <c r="AB38" s="120"/>
      <c r="AC38" s="105">
        <f t="shared" si="23"/>
        <v>114.66666666666666</v>
      </c>
      <c r="AD38" s="105">
        <f t="shared" si="24"/>
        <v>86</v>
      </c>
      <c r="AE38" s="105">
        <f t="shared" si="25"/>
        <v>68.8</v>
      </c>
      <c r="AF38" s="105">
        <f t="shared" si="26"/>
        <v>57.333333333333329</v>
      </c>
      <c r="AG38" s="105">
        <f t="shared" si="27"/>
        <v>49.142857142857139</v>
      </c>
      <c r="AH38" s="105">
        <f t="shared" si="28"/>
        <v>43</v>
      </c>
      <c r="AI38" s="105">
        <f t="shared" si="29"/>
        <v>38.222222222222221</v>
      </c>
      <c r="AJ38" s="105">
        <f t="shared" si="30"/>
        <v>34.4</v>
      </c>
      <c r="AK38" s="105">
        <f t="shared" si="31"/>
        <v>31.272727272727273</v>
      </c>
      <c r="AL38" s="105">
        <f t="shared" si="32"/>
        <v>28.666666666666664</v>
      </c>
      <c r="AM38" s="105">
        <f t="shared" si="33"/>
        <v>26.461538461538463</v>
      </c>
      <c r="AN38" s="105">
        <f t="shared" si="34"/>
        <v>24.571428571428569</v>
      </c>
      <c r="AO38" s="105">
        <f t="shared" si="35"/>
        <v>22.933333333333334</v>
      </c>
      <c r="AP38" s="105">
        <f t="shared" si="36"/>
        <v>21.5</v>
      </c>
      <c r="AQ38" s="121"/>
      <c r="AR38" s="105">
        <f t="shared" si="38"/>
        <v>86</v>
      </c>
      <c r="AS38" s="105">
        <f t="shared" si="39"/>
        <v>57.333333333333329</v>
      </c>
      <c r="AT38" s="105">
        <f t="shared" si="40"/>
        <v>43</v>
      </c>
      <c r="AU38" s="105">
        <f t="shared" si="41"/>
        <v>34.4</v>
      </c>
      <c r="AV38" s="105">
        <f t="shared" si="42"/>
        <v>28.666666666666664</v>
      </c>
      <c r="AW38" s="105">
        <f t="shared" si="43"/>
        <v>24.571428571428569</v>
      </c>
      <c r="AX38" s="105">
        <f t="shared" si="44"/>
        <v>21.5</v>
      </c>
      <c r="AY38" s="105">
        <f t="shared" si="45"/>
        <v>19.111111111111111</v>
      </c>
      <c r="AZ38" s="105">
        <f t="shared" si="46"/>
        <v>17.2</v>
      </c>
      <c r="BA38" s="105">
        <f t="shared" si="47"/>
        <v>15.636363636363637</v>
      </c>
      <c r="BB38" s="105">
        <f t="shared" si="48"/>
        <v>14.333333333333332</v>
      </c>
      <c r="BC38" s="105">
        <f t="shared" si="49"/>
        <v>13.230769230769232</v>
      </c>
      <c r="BD38" s="105">
        <f t="shared" si="50"/>
        <v>12.285714285714285</v>
      </c>
      <c r="BE38" s="105">
        <f t="shared" si="51"/>
        <v>11.466666666666667</v>
      </c>
      <c r="BF38" s="110">
        <f t="shared" si="52"/>
        <v>10.75</v>
      </c>
      <c r="BG38" s="105">
        <f t="shared" si="53"/>
        <v>114.66666666666667</v>
      </c>
      <c r="BH38" s="105">
        <f t="shared" si="54"/>
        <v>57.333333333333336</v>
      </c>
      <c r="BI38" s="105">
        <f t="shared" si="55"/>
        <v>38.222222222222221</v>
      </c>
      <c r="BJ38" s="105">
        <f t="shared" si="56"/>
        <v>28.666666666666668</v>
      </c>
      <c r="BK38" s="105">
        <f t="shared" si="57"/>
        <v>22.933333333333334</v>
      </c>
      <c r="BL38" s="105">
        <f t="shared" si="58"/>
        <v>19.111111111111111</v>
      </c>
      <c r="BM38" s="105">
        <f t="shared" si="59"/>
        <v>16.38095238095238</v>
      </c>
      <c r="BN38" s="105">
        <f t="shared" si="60"/>
        <v>14.333333333333334</v>
      </c>
      <c r="BO38" s="105">
        <f t="shared" si="61"/>
        <v>12.74074074074074</v>
      </c>
      <c r="BP38" s="105">
        <f t="shared" si="62"/>
        <v>11.466666666666667</v>
      </c>
      <c r="BQ38" s="105">
        <f t="shared" si="63"/>
        <v>10.424242424242424</v>
      </c>
      <c r="BR38" s="105">
        <f t="shared" si="64"/>
        <v>9.5555555555555554</v>
      </c>
      <c r="BS38" s="105">
        <f t="shared" si="65"/>
        <v>8.8205128205128212</v>
      </c>
      <c r="BT38" s="105">
        <f t="shared" si="66"/>
        <v>8.1904761904761898</v>
      </c>
      <c r="BU38" s="105">
        <f t="shared" si="67"/>
        <v>7.6444444444444448</v>
      </c>
      <c r="BV38" s="105">
        <f t="shared" si="68"/>
        <v>7.166666666666667</v>
      </c>
      <c r="BW38" s="109">
        <f t="shared" si="69"/>
        <v>86</v>
      </c>
      <c r="BX38" s="105">
        <f t="shared" si="70"/>
        <v>43</v>
      </c>
      <c r="BY38" s="105">
        <f t="shared" si="71"/>
        <v>28.666666666666664</v>
      </c>
      <c r="BZ38" s="105">
        <f t="shared" si="72"/>
        <v>21.5</v>
      </c>
      <c r="CA38" s="105">
        <f t="shared" si="73"/>
        <v>17.2</v>
      </c>
      <c r="CB38" s="105">
        <f t="shared" si="74"/>
        <v>14.333333333333332</v>
      </c>
      <c r="CC38" s="105">
        <f t="shared" si="75"/>
        <v>12.285714285714285</v>
      </c>
      <c r="CD38" s="105">
        <f t="shared" si="76"/>
        <v>10.75</v>
      </c>
      <c r="CE38" s="105">
        <f t="shared" si="77"/>
        <v>9.5555555555555554</v>
      </c>
      <c r="CF38" s="105">
        <f t="shared" si="78"/>
        <v>8.6</v>
      </c>
      <c r="CG38" s="105">
        <f t="shared" si="79"/>
        <v>7.8181818181818183</v>
      </c>
      <c r="CH38" s="105">
        <f t="shared" si="80"/>
        <v>7.1666666666666661</v>
      </c>
      <c r="CI38" s="105">
        <f t="shared" si="81"/>
        <v>6.6153846153846159</v>
      </c>
      <c r="CJ38" s="105">
        <f t="shared" si="82"/>
        <v>6.1428571428571423</v>
      </c>
      <c r="CK38" s="105">
        <f t="shared" si="83"/>
        <v>5.7333333333333334</v>
      </c>
      <c r="CL38" s="105">
        <f t="shared" si="84"/>
        <v>5.375</v>
      </c>
    </row>
    <row r="39" spans="9:90">
      <c r="I39" s="105">
        <v>44</v>
      </c>
      <c r="J39" s="105">
        <f t="shared" si="5"/>
        <v>704</v>
      </c>
      <c r="K39" s="105">
        <f t="shared" si="6"/>
        <v>352</v>
      </c>
      <c r="L39" s="105">
        <f t="shared" si="7"/>
        <v>234.66666666666666</v>
      </c>
      <c r="M39" s="105">
        <f t="shared" si="8"/>
        <v>176</v>
      </c>
      <c r="N39" s="105">
        <f t="shared" si="9"/>
        <v>140.80000000000001</v>
      </c>
      <c r="O39" s="105">
        <f t="shared" si="10"/>
        <v>117.33333333333333</v>
      </c>
      <c r="P39" s="105">
        <f t="shared" si="11"/>
        <v>100.57142857142857</v>
      </c>
      <c r="Q39" s="105">
        <f t="shared" si="12"/>
        <v>88</v>
      </c>
      <c r="R39" s="105">
        <f t="shared" si="13"/>
        <v>78.222222222222214</v>
      </c>
      <c r="S39" s="105">
        <f t="shared" si="14"/>
        <v>70.400000000000006</v>
      </c>
      <c r="T39" s="105">
        <f t="shared" si="15"/>
        <v>64</v>
      </c>
      <c r="U39" s="105">
        <f t="shared" si="16"/>
        <v>58.666666666666664</v>
      </c>
      <c r="V39" s="105">
        <f t="shared" si="17"/>
        <v>54.15384615384616</v>
      </c>
      <c r="W39" s="105">
        <f t="shared" si="18"/>
        <v>50.285714285714285</v>
      </c>
      <c r="X39" s="105">
        <f t="shared" si="19"/>
        <v>46.93333333333333</v>
      </c>
      <c r="Y39" s="105">
        <f t="shared" si="20"/>
        <v>44</v>
      </c>
      <c r="AA39" s="121"/>
      <c r="AB39" s="120"/>
      <c r="AC39" s="105">
        <f t="shared" si="23"/>
        <v>117.33333333333333</v>
      </c>
      <c r="AD39" s="105">
        <f t="shared" si="24"/>
        <v>88</v>
      </c>
      <c r="AE39" s="105">
        <f t="shared" si="25"/>
        <v>70.400000000000006</v>
      </c>
      <c r="AF39" s="105">
        <f t="shared" si="26"/>
        <v>58.666666666666664</v>
      </c>
      <c r="AG39" s="105">
        <f t="shared" si="27"/>
        <v>50.285714285714285</v>
      </c>
      <c r="AH39" s="105">
        <f t="shared" si="28"/>
        <v>44</v>
      </c>
      <c r="AI39" s="105">
        <f t="shared" si="29"/>
        <v>39.111111111111107</v>
      </c>
      <c r="AJ39" s="105">
        <f t="shared" si="30"/>
        <v>35.200000000000003</v>
      </c>
      <c r="AK39" s="105">
        <f t="shared" si="31"/>
        <v>32</v>
      </c>
      <c r="AL39" s="105">
        <f t="shared" si="32"/>
        <v>29.333333333333332</v>
      </c>
      <c r="AM39" s="105">
        <f t="shared" si="33"/>
        <v>27.07692307692308</v>
      </c>
      <c r="AN39" s="105">
        <f t="shared" si="34"/>
        <v>25.142857142857142</v>
      </c>
      <c r="AO39" s="105">
        <f t="shared" si="35"/>
        <v>23.466666666666665</v>
      </c>
      <c r="AP39" s="105">
        <f t="shared" si="36"/>
        <v>22</v>
      </c>
      <c r="AQ39" s="121"/>
      <c r="AR39" s="105">
        <f t="shared" si="38"/>
        <v>88</v>
      </c>
      <c r="AS39" s="105">
        <f t="shared" si="39"/>
        <v>58.666666666666664</v>
      </c>
      <c r="AT39" s="105">
        <f t="shared" si="40"/>
        <v>44</v>
      </c>
      <c r="AU39" s="105">
        <f t="shared" si="41"/>
        <v>35.200000000000003</v>
      </c>
      <c r="AV39" s="105">
        <f t="shared" si="42"/>
        <v>29.333333333333332</v>
      </c>
      <c r="AW39" s="105">
        <f t="shared" si="43"/>
        <v>25.142857142857142</v>
      </c>
      <c r="AX39" s="105">
        <f t="shared" si="44"/>
        <v>22</v>
      </c>
      <c r="AY39" s="105">
        <f t="shared" si="45"/>
        <v>19.555555555555554</v>
      </c>
      <c r="AZ39" s="105">
        <f t="shared" si="46"/>
        <v>17.600000000000001</v>
      </c>
      <c r="BA39" s="105">
        <f t="shared" si="47"/>
        <v>16</v>
      </c>
      <c r="BB39" s="105">
        <f t="shared" si="48"/>
        <v>14.666666666666666</v>
      </c>
      <c r="BC39" s="105">
        <f t="shared" si="49"/>
        <v>13.53846153846154</v>
      </c>
      <c r="BD39" s="105">
        <f t="shared" si="50"/>
        <v>12.571428571428571</v>
      </c>
      <c r="BE39" s="105">
        <f t="shared" si="51"/>
        <v>11.733333333333333</v>
      </c>
      <c r="BF39" s="110">
        <f t="shared" si="52"/>
        <v>11</v>
      </c>
      <c r="BG39" s="105">
        <f t="shared" si="53"/>
        <v>117.33333333333333</v>
      </c>
      <c r="BH39" s="105">
        <f t="shared" si="54"/>
        <v>58.666666666666664</v>
      </c>
      <c r="BI39" s="105">
        <f t="shared" si="55"/>
        <v>39.111111111111107</v>
      </c>
      <c r="BJ39" s="105">
        <f t="shared" si="56"/>
        <v>29.333333333333332</v>
      </c>
      <c r="BK39" s="105">
        <f t="shared" si="57"/>
        <v>23.466666666666669</v>
      </c>
      <c r="BL39" s="105">
        <f t="shared" si="58"/>
        <v>19.555555555555554</v>
      </c>
      <c r="BM39" s="105">
        <f t="shared" si="59"/>
        <v>16.761904761904763</v>
      </c>
      <c r="BN39" s="105">
        <f t="shared" si="60"/>
        <v>14.666666666666666</v>
      </c>
      <c r="BO39" s="105">
        <f t="shared" si="61"/>
        <v>13.037037037037036</v>
      </c>
      <c r="BP39" s="105">
        <f t="shared" si="62"/>
        <v>11.733333333333334</v>
      </c>
      <c r="BQ39" s="105">
        <f t="shared" si="63"/>
        <v>10.666666666666666</v>
      </c>
      <c r="BR39" s="105">
        <f t="shared" si="64"/>
        <v>9.7777777777777768</v>
      </c>
      <c r="BS39" s="105">
        <f t="shared" si="65"/>
        <v>9.0256410256410273</v>
      </c>
      <c r="BT39" s="105">
        <f t="shared" si="66"/>
        <v>8.3809523809523814</v>
      </c>
      <c r="BU39" s="105">
        <f t="shared" si="67"/>
        <v>7.822222222222222</v>
      </c>
      <c r="BV39" s="105">
        <f t="shared" si="68"/>
        <v>7.333333333333333</v>
      </c>
      <c r="BW39" s="109">
        <f t="shared" si="69"/>
        <v>88</v>
      </c>
      <c r="BX39" s="105">
        <f t="shared" si="70"/>
        <v>44</v>
      </c>
      <c r="BY39" s="105">
        <f t="shared" si="71"/>
        <v>29.333333333333332</v>
      </c>
      <c r="BZ39" s="105">
        <f t="shared" si="72"/>
        <v>22</v>
      </c>
      <c r="CA39" s="105">
        <f t="shared" si="73"/>
        <v>17.600000000000001</v>
      </c>
      <c r="CB39" s="105">
        <f t="shared" si="74"/>
        <v>14.666666666666666</v>
      </c>
      <c r="CC39" s="105">
        <f t="shared" si="75"/>
        <v>12.571428571428571</v>
      </c>
      <c r="CD39" s="105">
        <f t="shared" si="76"/>
        <v>11</v>
      </c>
      <c r="CE39" s="105">
        <f t="shared" si="77"/>
        <v>9.7777777777777768</v>
      </c>
      <c r="CF39" s="105">
        <f t="shared" si="78"/>
        <v>8.8000000000000007</v>
      </c>
      <c r="CG39" s="105">
        <f t="shared" si="79"/>
        <v>8</v>
      </c>
      <c r="CH39" s="105">
        <f t="shared" si="80"/>
        <v>7.333333333333333</v>
      </c>
      <c r="CI39" s="105">
        <f t="shared" si="81"/>
        <v>6.7692307692307701</v>
      </c>
      <c r="CJ39" s="105">
        <f t="shared" si="82"/>
        <v>6.2857142857142856</v>
      </c>
      <c r="CK39" s="105">
        <f t="shared" si="83"/>
        <v>5.8666666666666663</v>
      </c>
      <c r="CL39" s="105">
        <f t="shared" si="84"/>
        <v>5.5</v>
      </c>
    </row>
    <row r="40" spans="9:90">
      <c r="I40" s="105">
        <v>45</v>
      </c>
      <c r="J40" s="105">
        <f t="shared" si="5"/>
        <v>720</v>
      </c>
      <c r="K40" s="105">
        <f t="shared" si="6"/>
        <v>360</v>
      </c>
      <c r="L40" s="105">
        <f t="shared" si="7"/>
        <v>240</v>
      </c>
      <c r="M40" s="105">
        <f t="shared" si="8"/>
        <v>180</v>
      </c>
      <c r="N40" s="105">
        <f t="shared" si="9"/>
        <v>144</v>
      </c>
      <c r="O40" s="105">
        <f t="shared" si="10"/>
        <v>120</v>
      </c>
      <c r="P40" s="105">
        <f t="shared" si="11"/>
        <v>102.85714285714285</v>
      </c>
      <c r="Q40" s="105">
        <f t="shared" si="12"/>
        <v>90</v>
      </c>
      <c r="R40" s="105">
        <f t="shared" si="13"/>
        <v>80</v>
      </c>
      <c r="S40" s="105">
        <f t="shared" si="14"/>
        <v>72</v>
      </c>
      <c r="T40" s="105">
        <f t="shared" si="15"/>
        <v>65.454545454545453</v>
      </c>
      <c r="U40" s="105">
        <f t="shared" si="16"/>
        <v>60</v>
      </c>
      <c r="V40" s="105">
        <f t="shared" si="17"/>
        <v>55.384615384615387</v>
      </c>
      <c r="W40" s="105">
        <f t="shared" si="18"/>
        <v>51.428571428571423</v>
      </c>
      <c r="X40" s="105">
        <f t="shared" si="19"/>
        <v>48</v>
      </c>
      <c r="Y40" s="105">
        <f t="shared" si="20"/>
        <v>45</v>
      </c>
      <c r="AA40" s="121"/>
      <c r="AB40" s="120"/>
      <c r="AC40" s="105">
        <f t="shared" si="23"/>
        <v>120</v>
      </c>
      <c r="AD40" s="105">
        <f t="shared" si="24"/>
        <v>90</v>
      </c>
      <c r="AE40" s="105">
        <f t="shared" si="25"/>
        <v>72</v>
      </c>
      <c r="AF40" s="105">
        <f t="shared" si="26"/>
        <v>60</v>
      </c>
      <c r="AG40" s="105">
        <f t="shared" si="27"/>
        <v>51.428571428571423</v>
      </c>
      <c r="AH40" s="105">
        <f t="shared" si="28"/>
        <v>45</v>
      </c>
      <c r="AI40" s="105">
        <f t="shared" si="29"/>
        <v>40</v>
      </c>
      <c r="AJ40" s="105">
        <f t="shared" si="30"/>
        <v>36</v>
      </c>
      <c r="AK40" s="105">
        <f t="shared" si="31"/>
        <v>32.727272727272727</v>
      </c>
      <c r="AL40" s="105">
        <f t="shared" si="32"/>
        <v>30</v>
      </c>
      <c r="AM40" s="105">
        <f t="shared" si="33"/>
        <v>27.692307692307693</v>
      </c>
      <c r="AN40" s="105">
        <f t="shared" si="34"/>
        <v>25.714285714285712</v>
      </c>
      <c r="AO40" s="105">
        <f t="shared" si="35"/>
        <v>24</v>
      </c>
      <c r="AP40" s="105">
        <f t="shared" si="36"/>
        <v>22.5</v>
      </c>
      <c r="AQ40" s="121"/>
      <c r="AR40" s="105">
        <f t="shared" si="38"/>
        <v>90</v>
      </c>
      <c r="AS40" s="105">
        <f t="shared" si="39"/>
        <v>60</v>
      </c>
      <c r="AT40" s="105">
        <f t="shared" si="40"/>
        <v>45</v>
      </c>
      <c r="AU40" s="105">
        <f t="shared" si="41"/>
        <v>36</v>
      </c>
      <c r="AV40" s="105">
        <f t="shared" si="42"/>
        <v>30</v>
      </c>
      <c r="AW40" s="105">
        <f t="shared" si="43"/>
        <v>25.714285714285712</v>
      </c>
      <c r="AX40" s="105">
        <f t="shared" si="44"/>
        <v>22.5</v>
      </c>
      <c r="AY40" s="105">
        <f t="shared" si="45"/>
        <v>20</v>
      </c>
      <c r="AZ40" s="105">
        <f t="shared" si="46"/>
        <v>18</v>
      </c>
      <c r="BA40" s="105">
        <f t="shared" si="47"/>
        <v>16.363636363636363</v>
      </c>
      <c r="BB40" s="105">
        <f t="shared" si="48"/>
        <v>15</v>
      </c>
      <c r="BC40" s="105">
        <f t="shared" si="49"/>
        <v>13.846153846153847</v>
      </c>
      <c r="BD40" s="105">
        <f t="shared" si="50"/>
        <v>12.857142857142856</v>
      </c>
      <c r="BE40" s="105">
        <f t="shared" si="51"/>
        <v>12</v>
      </c>
      <c r="BF40" s="110">
        <f t="shared" si="52"/>
        <v>11.25</v>
      </c>
      <c r="BG40" s="105">
        <f t="shared" si="53"/>
        <v>120</v>
      </c>
      <c r="BH40" s="105">
        <f t="shared" si="54"/>
        <v>60</v>
      </c>
      <c r="BI40" s="105">
        <f t="shared" si="55"/>
        <v>40</v>
      </c>
      <c r="BJ40" s="105">
        <f t="shared" si="56"/>
        <v>30</v>
      </c>
      <c r="BK40" s="105">
        <f t="shared" si="57"/>
        <v>24</v>
      </c>
      <c r="BL40" s="105">
        <f t="shared" si="58"/>
        <v>20</v>
      </c>
      <c r="BM40" s="105">
        <f t="shared" si="59"/>
        <v>17.142857142857142</v>
      </c>
      <c r="BN40" s="105">
        <f t="shared" si="60"/>
        <v>15</v>
      </c>
      <c r="BO40" s="105">
        <f t="shared" si="61"/>
        <v>13.333333333333334</v>
      </c>
      <c r="BP40" s="105">
        <f t="shared" si="62"/>
        <v>12</v>
      </c>
      <c r="BQ40" s="105">
        <f t="shared" si="63"/>
        <v>10.909090909090908</v>
      </c>
      <c r="BR40" s="105">
        <f t="shared" si="64"/>
        <v>10</v>
      </c>
      <c r="BS40" s="105">
        <f t="shared" si="65"/>
        <v>9.2307692307692317</v>
      </c>
      <c r="BT40" s="105">
        <f t="shared" si="66"/>
        <v>8.5714285714285712</v>
      </c>
      <c r="BU40" s="105">
        <f t="shared" si="67"/>
        <v>8</v>
      </c>
      <c r="BV40" s="105">
        <f t="shared" si="68"/>
        <v>7.5</v>
      </c>
      <c r="BW40" s="109">
        <f t="shared" si="69"/>
        <v>90</v>
      </c>
      <c r="BX40" s="105">
        <f t="shared" si="70"/>
        <v>45</v>
      </c>
      <c r="BY40" s="105">
        <f t="shared" si="71"/>
        <v>30</v>
      </c>
      <c r="BZ40" s="105">
        <f t="shared" si="72"/>
        <v>22.5</v>
      </c>
      <c r="CA40" s="105">
        <f t="shared" si="73"/>
        <v>18</v>
      </c>
      <c r="CB40" s="105">
        <f t="shared" si="74"/>
        <v>15</v>
      </c>
      <c r="CC40" s="105">
        <f t="shared" si="75"/>
        <v>12.857142857142856</v>
      </c>
      <c r="CD40" s="105">
        <f t="shared" si="76"/>
        <v>11.25</v>
      </c>
      <c r="CE40" s="105">
        <f t="shared" si="77"/>
        <v>10</v>
      </c>
      <c r="CF40" s="105">
        <f t="shared" si="78"/>
        <v>9</v>
      </c>
      <c r="CG40" s="105">
        <f t="shared" si="79"/>
        <v>8.1818181818181817</v>
      </c>
      <c r="CH40" s="105">
        <f t="shared" si="80"/>
        <v>7.5</v>
      </c>
      <c r="CI40" s="105">
        <f t="shared" si="81"/>
        <v>6.9230769230769234</v>
      </c>
      <c r="CJ40" s="105">
        <f t="shared" si="82"/>
        <v>6.4285714285714279</v>
      </c>
      <c r="CK40" s="105">
        <f t="shared" si="83"/>
        <v>6</v>
      </c>
      <c r="CL40" s="105">
        <f t="shared" si="84"/>
        <v>5.625</v>
      </c>
    </row>
    <row r="41" spans="9:90">
      <c r="I41" s="105">
        <v>46</v>
      </c>
      <c r="J41" s="105">
        <f t="shared" si="5"/>
        <v>736</v>
      </c>
      <c r="K41" s="105">
        <f t="shared" si="6"/>
        <v>368</v>
      </c>
      <c r="L41" s="105">
        <f t="shared" si="7"/>
        <v>245.33333333333331</v>
      </c>
      <c r="M41" s="105">
        <f t="shared" si="8"/>
        <v>184</v>
      </c>
      <c r="N41" s="105">
        <f t="shared" si="9"/>
        <v>147.20000000000002</v>
      </c>
      <c r="O41" s="105">
        <f t="shared" si="10"/>
        <v>122.66666666666666</v>
      </c>
      <c r="P41" s="105">
        <f t="shared" si="11"/>
        <v>105.14285714285714</v>
      </c>
      <c r="Q41" s="105">
        <f t="shared" si="12"/>
        <v>92</v>
      </c>
      <c r="R41" s="105">
        <f t="shared" si="13"/>
        <v>81.777777777777771</v>
      </c>
      <c r="S41" s="105">
        <f t="shared" si="14"/>
        <v>73.600000000000009</v>
      </c>
      <c r="T41" s="105">
        <f t="shared" si="15"/>
        <v>66.909090909090907</v>
      </c>
      <c r="U41" s="105">
        <f t="shared" si="16"/>
        <v>61.333333333333329</v>
      </c>
      <c r="V41" s="105">
        <f t="shared" si="17"/>
        <v>56.61538461538462</v>
      </c>
      <c r="W41" s="105">
        <f t="shared" si="18"/>
        <v>52.571428571428569</v>
      </c>
      <c r="X41" s="105">
        <f t="shared" si="19"/>
        <v>49.066666666666663</v>
      </c>
      <c r="Y41" s="105">
        <f t="shared" si="20"/>
        <v>46</v>
      </c>
      <c r="AA41" s="121"/>
      <c r="AB41" s="120"/>
      <c r="AC41" s="105">
        <f t="shared" si="23"/>
        <v>122.66666666666666</v>
      </c>
      <c r="AD41" s="105">
        <f t="shared" si="24"/>
        <v>92</v>
      </c>
      <c r="AE41" s="105">
        <f t="shared" si="25"/>
        <v>73.600000000000009</v>
      </c>
      <c r="AF41" s="105">
        <f t="shared" si="26"/>
        <v>61.333333333333329</v>
      </c>
      <c r="AG41" s="105">
        <f t="shared" si="27"/>
        <v>52.571428571428569</v>
      </c>
      <c r="AH41" s="105">
        <f t="shared" si="28"/>
        <v>46</v>
      </c>
      <c r="AI41" s="105">
        <f t="shared" si="29"/>
        <v>40.888888888888886</v>
      </c>
      <c r="AJ41" s="105">
        <f t="shared" si="30"/>
        <v>36.800000000000004</v>
      </c>
      <c r="AK41" s="105">
        <f t="shared" si="31"/>
        <v>33.454545454545453</v>
      </c>
      <c r="AL41" s="105">
        <f t="shared" si="32"/>
        <v>30.666666666666664</v>
      </c>
      <c r="AM41" s="105">
        <f t="shared" si="33"/>
        <v>28.30769230769231</v>
      </c>
      <c r="AN41" s="105">
        <f t="shared" si="34"/>
        <v>26.285714285714285</v>
      </c>
      <c r="AO41" s="105">
        <f t="shared" si="35"/>
        <v>24.533333333333331</v>
      </c>
      <c r="AP41" s="105">
        <f t="shared" si="36"/>
        <v>23</v>
      </c>
      <c r="AQ41" s="121"/>
      <c r="AR41" s="105">
        <f t="shared" si="38"/>
        <v>92</v>
      </c>
      <c r="AS41" s="105">
        <f t="shared" si="39"/>
        <v>61.333333333333329</v>
      </c>
      <c r="AT41" s="105">
        <f t="shared" si="40"/>
        <v>46</v>
      </c>
      <c r="AU41" s="105">
        <f t="shared" si="41"/>
        <v>36.800000000000004</v>
      </c>
      <c r="AV41" s="105">
        <f t="shared" si="42"/>
        <v>30.666666666666664</v>
      </c>
      <c r="AW41" s="105">
        <f t="shared" si="43"/>
        <v>26.285714285714285</v>
      </c>
      <c r="AX41" s="105">
        <f t="shared" si="44"/>
        <v>23</v>
      </c>
      <c r="AY41" s="105">
        <f t="shared" si="45"/>
        <v>20.444444444444443</v>
      </c>
      <c r="AZ41" s="105">
        <f t="shared" si="46"/>
        <v>18.400000000000002</v>
      </c>
      <c r="BA41" s="105">
        <f t="shared" si="47"/>
        <v>16.727272727272727</v>
      </c>
      <c r="BB41" s="105">
        <f t="shared" si="48"/>
        <v>15.333333333333332</v>
      </c>
      <c r="BC41" s="105">
        <f t="shared" si="49"/>
        <v>14.153846153846155</v>
      </c>
      <c r="BD41" s="105">
        <f t="shared" si="50"/>
        <v>13.142857142857142</v>
      </c>
      <c r="BE41" s="105">
        <f t="shared" si="51"/>
        <v>12.266666666666666</v>
      </c>
      <c r="BF41" s="110">
        <f t="shared" si="52"/>
        <v>11.5</v>
      </c>
      <c r="BG41" s="105">
        <f t="shared" si="53"/>
        <v>122.66666666666667</v>
      </c>
      <c r="BH41" s="105">
        <f t="shared" si="54"/>
        <v>61.333333333333336</v>
      </c>
      <c r="BI41" s="105">
        <f t="shared" si="55"/>
        <v>40.888888888888886</v>
      </c>
      <c r="BJ41" s="105">
        <f t="shared" si="56"/>
        <v>30.666666666666668</v>
      </c>
      <c r="BK41" s="105">
        <f t="shared" si="57"/>
        <v>24.533333333333335</v>
      </c>
      <c r="BL41" s="105">
        <f t="shared" si="58"/>
        <v>20.444444444444443</v>
      </c>
      <c r="BM41" s="105">
        <f t="shared" si="59"/>
        <v>17.523809523809522</v>
      </c>
      <c r="BN41" s="105">
        <f t="shared" si="60"/>
        <v>15.333333333333334</v>
      </c>
      <c r="BO41" s="105">
        <f t="shared" si="61"/>
        <v>13.629629629629628</v>
      </c>
      <c r="BP41" s="105">
        <f t="shared" si="62"/>
        <v>12.266666666666667</v>
      </c>
      <c r="BQ41" s="105">
        <f t="shared" si="63"/>
        <v>11.15151515151515</v>
      </c>
      <c r="BR41" s="105">
        <f t="shared" si="64"/>
        <v>10.222222222222221</v>
      </c>
      <c r="BS41" s="105">
        <f t="shared" si="65"/>
        <v>9.4358974358974361</v>
      </c>
      <c r="BT41" s="105">
        <f t="shared" si="66"/>
        <v>8.761904761904761</v>
      </c>
      <c r="BU41" s="105">
        <f t="shared" si="67"/>
        <v>8.1777777777777771</v>
      </c>
      <c r="BV41" s="105">
        <f t="shared" si="68"/>
        <v>7.666666666666667</v>
      </c>
      <c r="BW41" s="109">
        <f t="shared" si="69"/>
        <v>92</v>
      </c>
      <c r="BX41" s="105">
        <f t="shared" si="70"/>
        <v>46</v>
      </c>
      <c r="BY41" s="105">
        <f t="shared" si="71"/>
        <v>30.666666666666664</v>
      </c>
      <c r="BZ41" s="105">
        <f t="shared" si="72"/>
        <v>23</v>
      </c>
      <c r="CA41" s="105">
        <f t="shared" si="73"/>
        <v>18.400000000000002</v>
      </c>
      <c r="CB41" s="105">
        <f t="shared" si="74"/>
        <v>15.333333333333332</v>
      </c>
      <c r="CC41" s="105">
        <f t="shared" si="75"/>
        <v>13.142857142857142</v>
      </c>
      <c r="CD41" s="105">
        <f t="shared" si="76"/>
        <v>11.5</v>
      </c>
      <c r="CE41" s="105">
        <f t="shared" si="77"/>
        <v>10.222222222222221</v>
      </c>
      <c r="CF41" s="105">
        <f t="shared" si="78"/>
        <v>9.2000000000000011</v>
      </c>
      <c r="CG41" s="105">
        <f t="shared" si="79"/>
        <v>8.3636363636363633</v>
      </c>
      <c r="CH41" s="105">
        <f t="shared" si="80"/>
        <v>7.6666666666666661</v>
      </c>
      <c r="CI41" s="105">
        <f t="shared" si="81"/>
        <v>7.0769230769230775</v>
      </c>
      <c r="CJ41" s="105">
        <f t="shared" si="82"/>
        <v>6.5714285714285712</v>
      </c>
      <c r="CK41" s="105">
        <f t="shared" si="83"/>
        <v>6.1333333333333329</v>
      </c>
      <c r="CL41" s="105">
        <f t="shared" si="84"/>
        <v>5.75</v>
      </c>
    </row>
    <row r="42" spans="9:90">
      <c r="I42" s="105">
        <v>47</v>
      </c>
      <c r="J42" s="105">
        <f t="shared" si="5"/>
        <v>752</v>
      </c>
      <c r="K42" s="105">
        <f t="shared" si="6"/>
        <v>376</v>
      </c>
      <c r="L42" s="105">
        <f t="shared" si="7"/>
        <v>250.66666666666666</v>
      </c>
      <c r="M42" s="105">
        <f t="shared" si="8"/>
        <v>188</v>
      </c>
      <c r="N42" s="105">
        <f t="shared" si="9"/>
        <v>150.4</v>
      </c>
      <c r="O42" s="105">
        <f t="shared" si="10"/>
        <v>125.33333333333333</v>
      </c>
      <c r="P42" s="105">
        <f t="shared" si="11"/>
        <v>107.42857142857142</v>
      </c>
      <c r="Q42" s="105">
        <f t="shared" si="12"/>
        <v>94</v>
      </c>
      <c r="R42" s="105">
        <f t="shared" si="13"/>
        <v>83.555555555555557</v>
      </c>
      <c r="S42" s="105">
        <f t="shared" si="14"/>
        <v>75.2</v>
      </c>
      <c r="T42" s="105">
        <f t="shared" si="15"/>
        <v>68.36363636363636</v>
      </c>
      <c r="U42" s="105">
        <f t="shared" si="16"/>
        <v>62.666666666666664</v>
      </c>
      <c r="V42" s="105">
        <f t="shared" si="17"/>
        <v>57.846153846153847</v>
      </c>
      <c r="W42" s="105">
        <f t="shared" si="18"/>
        <v>53.714285714285708</v>
      </c>
      <c r="X42" s="105">
        <f t="shared" si="19"/>
        <v>50.133333333333333</v>
      </c>
      <c r="Y42" s="105">
        <f t="shared" si="20"/>
        <v>47</v>
      </c>
      <c r="AA42" s="121"/>
      <c r="AB42" s="120"/>
      <c r="AC42" s="105">
        <f t="shared" si="23"/>
        <v>125.33333333333333</v>
      </c>
      <c r="AD42" s="105">
        <f t="shared" si="24"/>
        <v>94</v>
      </c>
      <c r="AE42" s="105">
        <f t="shared" si="25"/>
        <v>75.2</v>
      </c>
      <c r="AF42" s="105">
        <f t="shared" si="26"/>
        <v>62.666666666666664</v>
      </c>
      <c r="AG42" s="105">
        <f t="shared" si="27"/>
        <v>53.714285714285708</v>
      </c>
      <c r="AH42" s="105">
        <f t="shared" si="28"/>
        <v>47</v>
      </c>
      <c r="AI42" s="105">
        <f t="shared" si="29"/>
        <v>41.777777777777779</v>
      </c>
      <c r="AJ42" s="105">
        <f t="shared" si="30"/>
        <v>37.6</v>
      </c>
      <c r="AK42" s="105">
        <f t="shared" si="31"/>
        <v>34.18181818181818</v>
      </c>
      <c r="AL42" s="105">
        <f t="shared" si="32"/>
        <v>31.333333333333332</v>
      </c>
      <c r="AM42" s="105">
        <f t="shared" si="33"/>
        <v>28.923076923076923</v>
      </c>
      <c r="AN42" s="105">
        <f t="shared" si="34"/>
        <v>26.857142857142854</v>
      </c>
      <c r="AO42" s="105">
        <f t="shared" si="35"/>
        <v>25.066666666666666</v>
      </c>
      <c r="AP42" s="105">
        <f t="shared" si="36"/>
        <v>23.5</v>
      </c>
      <c r="AQ42" s="121"/>
      <c r="AR42" s="105">
        <f t="shared" si="38"/>
        <v>94</v>
      </c>
      <c r="AS42" s="105">
        <f t="shared" si="39"/>
        <v>62.666666666666664</v>
      </c>
      <c r="AT42" s="105">
        <f t="shared" si="40"/>
        <v>47</v>
      </c>
      <c r="AU42" s="105">
        <f t="shared" si="41"/>
        <v>37.6</v>
      </c>
      <c r="AV42" s="105">
        <f t="shared" si="42"/>
        <v>31.333333333333332</v>
      </c>
      <c r="AW42" s="105">
        <f t="shared" si="43"/>
        <v>26.857142857142854</v>
      </c>
      <c r="AX42" s="105">
        <f t="shared" si="44"/>
        <v>23.5</v>
      </c>
      <c r="AY42" s="105">
        <f t="shared" si="45"/>
        <v>20.888888888888889</v>
      </c>
      <c r="AZ42" s="105">
        <f t="shared" si="46"/>
        <v>18.8</v>
      </c>
      <c r="BA42" s="105">
        <f t="shared" si="47"/>
        <v>17.09090909090909</v>
      </c>
      <c r="BB42" s="105">
        <f t="shared" si="48"/>
        <v>15.666666666666666</v>
      </c>
      <c r="BC42" s="105">
        <f t="shared" si="49"/>
        <v>14.461538461538462</v>
      </c>
      <c r="BD42" s="105">
        <f t="shared" si="50"/>
        <v>13.428571428571427</v>
      </c>
      <c r="BE42" s="105">
        <f t="shared" si="51"/>
        <v>12.533333333333333</v>
      </c>
      <c r="BF42" s="110">
        <f t="shared" si="52"/>
        <v>11.75</v>
      </c>
      <c r="BG42" s="105">
        <f t="shared" si="53"/>
        <v>125.33333333333333</v>
      </c>
      <c r="BH42" s="105">
        <f t="shared" si="54"/>
        <v>62.666666666666664</v>
      </c>
      <c r="BI42" s="105">
        <f t="shared" si="55"/>
        <v>41.777777777777779</v>
      </c>
      <c r="BJ42" s="105">
        <f t="shared" si="56"/>
        <v>31.333333333333332</v>
      </c>
      <c r="BK42" s="105">
        <f t="shared" si="57"/>
        <v>25.066666666666666</v>
      </c>
      <c r="BL42" s="105">
        <f t="shared" si="58"/>
        <v>20.888888888888889</v>
      </c>
      <c r="BM42" s="105">
        <f t="shared" si="59"/>
        <v>17.904761904761902</v>
      </c>
      <c r="BN42" s="105">
        <f t="shared" si="60"/>
        <v>15.666666666666666</v>
      </c>
      <c r="BO42" s="105">
        <f t="shared" si="61"/>
        <v>13.925925925925926</v>
      </c>
      <c r="BP42" s="105">
        <f t="shared" si="62"/>
        <v>12.533333333333333</v>
      </c>
      <c r="BQ42" s="105">
        <f t="shared" si="63"/>
        <v>11.393939393939393</v>
      </c>
      <c r="BR42" s="105">
        <f t="shared" si="64"/>
        <v>10.444444444444445</v>
      </c>
      <c r="BS42" s="105">
        <f t="shared" si="65"/>
        <v>9.6410256410256405</v>
      </c>
      <c r="BT42" s="105">
        <f t="shared" si="66"/>
        <v>8.9523809523809508</v>
      </c>
      <c r="BU42" s="105">
        <f t="shared" si="67"/>
        <v>8.3555555555555561</v>
      </c>
      <c r="BV42" s="105">
        <f t="shared" si="68"/>
        <v>7.833333333333333</v>
      </c>
      <c r="BW42" s="109">
        <f t="shared" si="69"/>
        <v>94</v>
      </c>
      <c r="BX42" s="105">
        <f t="shared" si="70"/>
        <v>47</v>
      </c>
      <c r="BY42" s="105">
        <f t="shared" si="71"/>
        <v>31.333333333333332</v>
      </c>
      <c r="BZ42" s="105">
        <f t="shared" si="72"/>
        <v>23.5</v>
      </c>
      <c r="CA42" s="105">
        <f t="shared" si="73"/>
        <v>18.8</v>
      </c>
      <c r="CB42" s="105">
        <f t="shared" si="74"/>
        <v>15.666666666666666</v>
      </c>
      <c r="CC42" s="105">
        <f t="shared" si="75"/>
        <v>13.428571428571427</v>
      </c>
      <c r="CD42" s="105">
        <f t="shared" si="76"/>
        <v>11.75</v>
      </c>
      <c r="CE42" s="105">
        <f t="shared" si="77"/>
        <v>10.444444444444445</v>
      </c>
      <c r="CF42" s="105">
        <f t="shared" si="78"/>
        <v>9.4</v>
      </c>
      <c r="CG42" s="105">
        <f t="shared" si="79"/>
        <v>8.545454545454545</v>
      </c>
      <c r="CH42" s="105">
        <f t="shared" si="80"/>
        <v>7.833333333333333</v>
      </c>
      <c r="CI42" s="105">
        <f t="shared" si="81"/>
        <v>7.2307692307692308</v>
      </c>
      <c r="CJ42" s="105">
        <f t="shared" si="82"/>
        <v>6.7142857142857135</v>
      </c>
      <c r="CK42" s="105">
        <f t="shared" si="83"/>
        <v>6.2666666666666666</v>
      </c>
      <c r="CL42" s="105">
        <f t="shared" si="84"/>
        <v>5.875</v>
      </c>
    </row>
    <row r="43" spans="9:90">
      <c r="I43" s="105">
        <v>48</v>
      </c>
      <c r="J43" s="105">
        <f t="shared" si="5"/>
        <v>768</v>
      </c>
      <c r="K43" s="105">
        <f t="shared" si="6"/>
        <v>384</v>
      </c>
      <c r="L43" s="105">
        <f t="shared" si="7"/>
        <v>256</v>
      </c>
      <c r="M43" s="105">
        <f t="shared" si="8"/>
        <v>192</v>
      </c>
      <c r="N43" s="105">
        <f t="shared" si="9"/>
        <v>153.60000000000002</v>
      </c>
      <c r="O43" s="105">
        <f t="shared" si="10"/>
        <v>128</v>
      </c>
      <c r="P43" s="105">
        <f t="shared" si="11"/>
        <v>109.71428571428571</v>
      </c>
      <c r="Q43" s="105">
        <f t="shared" si="12"/>
        <v>96</v>
      </c>
      <c r="R43" s="105">
        <f t="shared" si="13"/>
        <v>85.333333333333329</v>
      </c>
      <c r="S43" s="105">
        <f t="shared" si="14"/>
        <v>76.800000000000011</v>
      </c>
      <c r="T43" s="105">
        <f t="shared" si="15"/>
        <v>69.818181818181813</v>
      </c>
      <c r="U43" s="105">
        <f t="shared" si="16"/>
        <v>64</v>
      </c>
      <c r="V43" s="105">
        <f t="shared" si="17"/>
        <v>59.07692307692308</v>
      </c>
      <c r="W43" s="105">
        <f t="shared" si="18"/>
        <v>54.857142857142854</v>
      </c>
      <c r="X43" s="105">
        <f t="shared" si="19"/>
        <v>51.2</v>
      </c>
      <c r="Y43" s="105">
        <f t="shared" si="20"/>
        <v>48</v>
      </c>
      <c r="AA43" s="121"/>
      <c r="AB43" s="120"/>
      <c r="AC43" s="105">
        <f t="shared" si="23"/>
        <v>128</v>
      </c>
      <c r="AD43" s="105">
        <f t="shared" si="24"/>
        <v>96</v>
      </c>
      <c r="AE43" s="105">
        <f t="shared" si="25"/>
        <v>76.800000000000011</v>
      </c>
      <c r="AF43" s="105">
        <f t="shared" si="26"/>
        <v>64</v>
      </c>
      <c r="AG43" s="105">
        <f t="shared" si="27"/>
        <v>54.857142857142854</v>
      </c>
      <c r="AH43" s="105">
        <f t="shared" si="28"/>
        <v>48</v>
      </c>
      <c r="AI43" s="105">
        <f t="shared" si="29"/>
        <v>42.666666666666664</v>
      </c>
      <c r="AJ43" s="105">
        <f t="shared" si="30"/>
        <v>38.400000000000006</v>
      </c>
      <c r="AK43" s="105">
        <f t="shared" si="31"/>
        <v>34.909090909090907</v>
      </c>
      <c r="AL43" s="105">
        <f t="shared" si="32"/>
        <v>32</v>
      </c>
      <c r="AM43" s="105">
        <f t="shared" si="33"/>
        <v>29.53846153846154</v>
      </c>
      <c r="AN43" s="105">
        <f t="shared" si="34"/>
        <v>27.428571428571427</v>
      </c>
      <c r="AO43" s="105">
        <f t="shared" si="35"/>
        <v>25.6</v>
      </c>
      <c r="AP43" s="105">
        <f t="shared" si="36"/>
        <v>24</v>
      </c>
      <c r="AQ43" s="121"/>
      <c r="AR43" s="105">
        <f t="shared" si="38"/>
        <v>96</v>
      </c>
      <c r="AS43" s="105">
        <f t="shared" si="39"/>
        <v>64</v>
      </c>
      <c r="AT43" s="105">
        <f t="shared" si="40"/>
        <v>48</v>
      </c>
      <c r="AU43" s="105">
        <f t="shared" si="41"/>
        <v>38.400000000000006</v>
      </c>
      <c r="AV43" s="105">
        <f t="shared" si="42"/>
        <v>32</v>
      </c>
      <c r="AW43" s="105">
        <f t="shared" si="43"/>
        <v>27.428571428571427</v>
      </c>
      <c r="AX43" s="105">
        <f t="shared" si="44"/>
        <v>24</v>
      </c>
      <c r="AY43" s="105">
        <f t="shared" si="45"/>
        <v>21.333333333333332</v>
      </c>
      <c r="AZ43" s="105">
        <f t="shared" si="46"/>
        <v>19.200000000000003</v>
      </c>
      <c r="BA43" s="105">
        <f t="shared" si="47"/>
        <v>17.454545454545453</v>
      </c>
      <c r="BB43" s="105">
        <f t="shared" si="48"/>
        <v>16</v>
      </c>
      <c r="BC43" s="105">
        <f t="shared" si="49"/>
        <v>14.76923076923077</v>
      </c>
      <c r="BD43" s="105">
        <f t="shared" si="50"/>
        <v>13.714285714285714</v>
      </c>
      <c r="BE43" s="105">
        <f t="shared" si="51"/>
        <v>12.8</v>
      </c>
      <c r="BF43" s="110">
        <f t="shared" si="52"/>
        <v>12</v>
      </c>
      <c r="BG43" s="105">
        <f t="shared" si="53"/>
        <v>128</v>
      </c>
      <c r="BH43" s="105">
        <f t="shared" si="54"/>
        <v>64</v>
      </c>
      <c r="BI43" s="105">
        <f t="shared" si="55"/>
        <v>42.666666666666664</v>
      </c>
      <c r="BJ43" s="105">
        <f t="shared" si="56"/>
        <v>32</v>
      </c>
      <c r="BK43" s="105">
        <f t="shared" si="57"/>
        <v>25.600000000000005</v>
      </c>
      <c r="BL43" s="105">
        <f t="shared" si="58"/>
        <v>21.333333333333332</v>
      </c>
      <c r="BM43" s="105">
        <f t="shared" si="59"/>
        <v>18.285714285714285</v>
      </c>
      <c r="BN43" s="105">
        <f t="shared" si="60"/>
        <v>16</v>
      </c>
      <c r="BO43" s="105">
        <f t="shared" si="61"/>
        <v>14.222222222222221</v>
      </c>
      <c r="BP43" s="105">
        <f t="shared" si="62"/>
        <v>12.800000000000002</v>
      </c>
      <c r="BQ43" s="105">
        <f t="shared" si="63"/>
        <v>11.636363636363635</v>
      </c>
      <c r="BR43" s="105">
        <f t="shared" si="64"/>
        <v>10.666666666666666</v>
      </c>
      <c r="BS43" s="105">
        <f t="shared" si="65"/>
        <v>9.8461538461538467</v>
      </c>
      <c r="BT43" s="105">
        <f t="shared" si="66"/>
        <v>9.1428571428571423</v>
      </c>
      <c r="BU43" s="105">
        <f t="shared" si="67"/>
        <v>8.5333333333333332</v>
      </c>
      <c r="BV43" s="105">
        <f t="shared" si="68"/>
        <v>8</v>
      </c>
      <c r="BW43" s="109">
        <f t="shared" si="69"/>
        <v>96</v>
      </c>
      <c r="BX43" s="105">
        <f t="shared" si="70"/>
        <v>48</v>
      </c>
      <c r="BY43" s="105">
        <f t="shared" si="71"/>
        <v>32</v>
      </c>
      <c r="BZ43" s="105">
        <f t="shared" si="72"/>
        <v>24</v>
      </c>
      <c r="CA43" s="105">
        <f t="shared" si="73"/>
        <v>19.200000000000003</v>
      </c>
      <c r="CB43" s="105">
        <f t="shared" si="74"/>
        <v>16</v>
      </c>
      <c r="CC43" s="105">
        <f t="shared" si="75"/>
        <v>13.714285714285714</v>
      </c>
      <c r="CD43" s="105">
        <f t="shared" si="76"/>
        <v>12</v>
      </c>
      <c r="CE43" s="105">
        <f t="shared" si="77"/>
        <v>10.666666666666666</v>
      </c>
      <c r="CF43" s="105">
        <f t="shared" si="78"/>
        <v>9.6000000000000014</v>
      </c>
      <c r="CG43" s="105">
        <f t="shared" si="79"/>
        <v>8.7272727272727266</v>
      </c>
      <c r="CH43" s="105">
        <f t="shared" si="80"/>
        <v>8</v>
      </c>
      <c r="CI43" s="105">
        <f t="shared" si="81"/>
        <v>7.384615384615385</v>
      </c>
      <c r="CJ43" s="105">
        <f t="shared" si="82"/>
        <v>6.8571428571428568</v>
      </c>
      <c r="CK43" s="105">
        <f t="shared" si="83"/>
        <v>6.4</v>
      </c>
      <c r="CL43" s="105">
        <f t="shared" si="84"/>
        <v>6</v>
      </c>
    </row>
    <row r="44" spans="9:90">
      <c r="I44" s="105">
        <v>49</v>
      </c>
      <c r="J44" s="105">
        <f t="shared" si="5"/>
        <v>784</v>
      </c>
      <c r="K44" s="105">
        <f t="shared" si="6"/>
        <v>392</v>
      </c>
      <c r="L44" s="105">
        <f t="shared" si="7"/>
        <v>261.33333333333331</v>
      </c>
      <c r="M44" s="105">
        <f t="shared" si="8"/>
        <v>196</v>
      </c>
      <c r="N44" s="105">
        <f t="shared" si="9"/>
        <v>156.80000000000001</v>
      </c>
      <c r="O44" s="105">
        <f t="shared" si="10"/>
        <v>130.66666666666666</v>
      </c>
      <c r="P44" s="105">
        <f t="shared" si="11"/>
        <v>112</v>
      </c>
      <c r="Q44" s="105">
        <f t="shared" si="12"/>
        <v>98</v>
      </c>
      <c r="R44" s="105">
        <f t="shared" si="13"/>
        <v>87.1111111111111</v>
      </c>
      <c r="S44" s="105">
        <f t="shared" si="14"/>
        <v>78.400000000000006</v>
      </c>
      <c r="T44" s="105">
        <f t="shared" si="15"/>
        <v>71.27272727272728</v>
      </c>
      <c r="U44" s="105">
        <f t="shared" si="16"/>
        <v>65.333333333333329</v>
      </c>
      <c r="V44" s="105">
        <f t="shared" si="17"/>
        <v>60.307692307692314</v>
      </c>
      <c r="W44" s="105">
        <f t="shared" si="18"/>
        <v>56</v>
      </c>
      <c r="X44" s="105">
        <f t="shared" si="19"/>
        <v>52.266666666666666</v>
      </c>
      <c r="Y44" s="105">
        <f t="shared" si="20"/>
        <v>49</v>
      </c>
      <c r="AA44" s="121"/>
      <c r="AB44" s="120"/>
      <c r="AC44" s="105">
        <f t="shared" si="23"/>
        <v>130.66666666666666</v>
      </c>
      <c r="AD44" s="105">
        <f t="shared" si="24"/>
        <v>98</v>
      </c>
      <c r="AE44" s="105">
        <f t="shared" si="25"/>
        <v>78.400000000000006</v>
      </c>
      <c r="AF44" s="105">
        <f t="shared" si="26"/>
        <v>65.333333333333329</v>
      </c>
      <c r="AG44" s="105">
        <f t="shared" si="27"/>
        <v>56</v>
      </c>
      <c r="AH44" s="105">
        <f t="shared" si="28"/>
        <v>49</v>
      </c>
      <c r="AI44" s="105">
        <f t="shared" si="29"/>
        <v>43.55555555555555</v>
      </c>
      <c r="AJ44" s="105">
        <f t="shared" si="30"/>
        <v>39.200000000000003</v>
      </c>
      <c r="AK44" s="105">
        <f t="shared" si="31"/>
        <v>35.63636363636364</v>
      </c>
      <c r="AL44" s="105">
        <f t="shared" si="32"/>
        <v>32.666666666666664</v>
      </c>
      <c r="AM44" s="105">
        <f t="shared" si="33"/>
        <v>30.153846153846157</v>
      </c>
      <c r="AN44" s="105">
        <f t="shared" si="34"/>
        <v>28</v>
      </c>
      <c r="AO44" s="105">
        <f t="shared" si="35"/>
        <v>26.133333333333333</v>
      </c>
      <c r="AP44" s="105">
        <f t="shared" si="36"/>
        <v>24.5</v>
      </c>
      <c r="AQ44" s="121"/>
      <c r="AR44" s="105">
        <f t="shared" si="38"/>
        <v>98</v>
      </c>
      <c r="AS44" s="105">
        <f t="shared" si="39"/>
        <v>65.333333333333329</v>
      </c>
      <c r="AT44" s="105">
        <f t="shared" si="40"/>
        <v>49</v>
      </c>
      <c r="AU44" s="105">
        <f t="shared" si="41"/>
        <v>39.200000000000003</v>
      </c>
      <c r="AV44" s="105">
        <f t="shared" si="42"/>
        <v>32.666666666666664</v>
      </c>
      <c r="AW44" s="105">
        <f t="shared" si="43"/>
        <v>28</v>
      </c>
      <c r="AX44" s="105">
        <f t="shared" si="44"/>
        <v>24.5</v>
      </c>
      <c r="AY44" s="105">
        <f t="shared" si="45"/>
        <v>21.777777777777775</v>
      </c>
      <c r="AZ44" s="105">
        <f t="shared" si="46"/>
        <v>19.600000000000001</v>
      </c>
      <c r="BA44" s="105">
        <f t="shared" si="47"/>
        <v>17.81818181818182</v>
      </c>
      <c r="BB44" s="105">
        <f t="shared" si="48"/>
        <v>16.333333333333332</v>
      </c>
      <c r="BC44" s="105">
        <f t="shared" si="49"/>
        <v>15.076923076923078</v>
      </c>
      <c r="BD44" s="105">
        <f t="shared" si="50"/>
        <v>14</v>
      </c>
      <c r="BE44" s="105">
        <f t="shared" si="51"/>
        <v>13.066666666666666</v>
      </c>
      <c r="BF44" s="110">
        <f t="shared" si="52"/>
        <v>12.25</v>
      </c>
      <c r="BG44" s="105">
        <f t="shared" si="53"/>
        <v>130.66666666666666</v>
      </c>
      <c r="BH44" s="105">
        <f t="shared" si="54"/>
        <v>65.333333333333329</v>
      </c>
      <c r="BI44" s="105">
        <f t="shared" si="55"/>
        <v>43.55555555555555</v>
      </c>
      <c r="BJ44" s="105">
        <f t="shared" si="56"/>
        <v>32.666666666666664</v>
      </c>
      <c r="BK44" s="105">
        <f t="shared" si="57"/>
        <v>26.133333333333336</v>
      </c>
      <c r="BL44" s="105">
        <f t="shared" si="58"/>
        <v>21.777777777777775</v>
      </c>
      <c r="BM44" s="105">
        <f t="shared" si="59"/>
        <v>18.666666666666668</v>
      </c>
      <c r="BN44" s="105">
        <f t="shared" si="60"/>
        <v>16.333333333333332</v>
      </c>
      <c r="BO44" s="105">
        <f t="shared" si="61"/>
        <v>14.518518518518517</v>
      </c>
      <c r="BP44" s="105">
        <f t="shared" si="62"/>
        <v>13.066666666666668</v>
      </c>
      <c r="BQ44" s="105">
        <f t="shared" si="63"/>
        <v>11.878787878787881</v>
      </c>
      <c r="BR44" s="105">
        <f t="shared" si="64"/>
        <v>10.888888888888888</v>
      </c>
      <c r="BS44" s="105">
        <f t="shared" si="65"/>
        <v>10.051282051282053</v>
      </c>
      <c r="BT44" s="105">
        <f t="shared" si="66"/>
        <v>9.3333333333333339</v>
      </c>
      <c r="BU44" s="105">
        <f t="shared" si="67"/>
        <v>8.7111111111111104</v>
      </c>
      <c r="BV44" s="105">
        <f t="shared" si="68"/>
        <v>8.1666666666666661</v>
      </c>
      <c r="BW44" s="109">
        <f t="shared" si="69"/>
        <v>98</v>
      </c>
      <c r="BX44" s="105">
        <f t="shared" si="70"/>
        <v>49</v>
      </c>
      <c r="BY44" s="105">
        <f t="shared" si="71"/>
        <v>32.666666666666664</v>
      </c>
      <c r="BZ44" s="105">
        <f t="shared" si="72"/>
        <v>24.5</v>
      </c>
      <c r="CA44" s="105">
        <f t="shared" si="73"/>
        <v>19.600000000000001</v>
      </c>
      <c r="CB44" s="105">
        <f t="shared" si="74"/>
        <v>16.333333333333332</v>
      </c>
      <c r="CC44" s="105">
        <f t="shared" si="75"/>
        <v>14</v>
      </c>
      <c r="CD44" s="105">
        <f t="shared" si="76"/>
        <v>12.25</v>
      </c>
      <c r="CE44" s="105">
        <f t="shared" si="77"/>
        <v>10.888888888888888</v>
      </c>
      <c r="CF44" s="105">
        <f t="shared" si="78"/>
        <v>9.8000000000000007</v>
      </c>
      <c r="CG44" s="105">
        <f t="shared" si="79"/>
        <v>8.9090909090909101</v>
      </c>
      <c r="CH44" s="105">
        <f t="shared" si="80"/>
        <v>8.1666666666666661</v>
      </c>
      <c r="CI44" s="105">
        <f t="shared" si="81"/>
        <v>7.5384615384615392</v>
      </c>
      <c r="CJ44" s="105">
        <f t="shared" si="82"/>
        <v>7</v>
      </c>
      <c r="CK44" s="105">
        <f t="shared" si="83"/>
        <v>6.5333333333333332</v>
      </c>
      <c r="CL44" s="105">
        <f t="shared" si="84"/>
        <v>6.125</v>
      </c>
    </row>
    <row r="45" spans="9:90">
      <c r="I45" s="105">
        <v>50</v>
      </c>
      <c r="J45" s="105">
        <f t="shared" si="5"/>
        <v>800</v>
      </c>
      <c r="K45" s="105">
        <f t="shared" si="6"/>
        <v>400</v>
      </c>
      <c r="L45" s="105">
        <f t="shared" si="7"/>
        <v>266.66666666666663</v>
      </c>
      <c r="M45" s="105">
        <f t="shared" si="8"/>
        <v>200</v>
      </c>
      <c r="N45" s="105">
        <f t="shared" si="9"/>
        <v>160</v>
      </c>
      <c r="O45" s="105">
        <f t="shared" si="10"/>
        <v>133.33333333333331</v>
      </c>
      <c r="P45" s="105">
        <f t="shared" si="11"/>
        <v>114.28571428571428</v>
      </c>
      <c r="Q45" s="105">
        <f t="shared" si="12"/>
        <v>100</v>
      </c>
      <c r="R45" s="105">
        <f t="shared" si="13"/>
        <v>88.888888888888886</v>
      </c>
      <c r="S45" s="105">
        <f t="shared" si="14"/>
        <v>80</v>
      </c>
      <c r="T45" s="105">
        <f t="shared" si="15"/>
        <v>72.727272727272734</v>
      </c>
      <c r="U45" s="105">
        <f t="shared" si="16"/>
        <v>66.666666666666657</v>
      </c>
      <c r="V45" s="105">
        <f t="shared" si="17"/>
        <v>61.53846153846154</v>
      </c>
      <c r="W45" s="105">
        <f t="shared" si="18"/>
        <v>57.142857142857139</v>
      </c>
      <c r="X45" s="105">
        <f t="shared" si="19"/>
        <v>53.333333333333336</v>
      </c>
      <c r="Y45" s="105">
        <f t="shared" si="20"/>
        <v>50</v>
      </c>
      <c r="AA45" s="121"/>
      <c r="AB45" s="120"/>
      <c r="AC45" s="105">
        <f t="shared" si="23"/>
        <v>133.33333333333331</v>
      </c>
      <c r="AD45" s="105">
        <f t="shared" si="24"/>
        <v>100</v>
      </c>
      <c r="AE45" s="105">
        <f t="shared" si="25"/>
        <v>80</v>
      </c>
      <c r="AF45" s="105">
        <f t="shared" si="26"/>
        <v>66.666666666666657</v>
      </c>
      <c r="AG45" s="105">
        <f t="shared" si="27"/>
        <v>57.142857142857139</v>
      </c>
      <c r="AH45" s="105">
        <f t="shared" si="28"/>
        <v>50</v>
      </c>
      <c r="AI45" s="105">
        <f t="shared" si="29"/>
        <v>44.444444444444443</v>
      </c>
      <c r="AJ45" s="105">
        <f t="shared" si="30"/>
        <v>40</v>
      </c>
      <c r="AK45" s="105">
        <f t="shared" si="31"/>
        <v>36.363636363636367</v>
      </c>
      <c r="AL45" s="105">
        <f t="shared" si="32"/>
        <v>33.333333333333329</v>
      </c>
      <c r="AM45" s="105">
        <f t="shared" si="33"/>
        <v>30.76923076923077</v>
      </c>
      <c r="AN45" s="105">
        <f t="shared" si="34"/>
        <v>28.571428571428569</v>
      </c>
      <c r="AO45" s="105">
        <f t="shared" si="35"/>
        <v>26.666666666666668</v>
      </c>
      <c r="AP45" s="105">
        <f t="shared" si="36"/>
        <v>25</v>
      </c>
      <c r="AQ45" s="121"/>
      <c r="AR45" s="105">
        <f t="shared" si="38"/>
        <v>100</v>
      </c>
      <c r="AS45" s="105">
        <f t="shared" si="39"/>
        <v>66.666666666666657</v>
      </c>
      <c r="AT45" s="105">
        <f t="shared" si="40"/>
        <v>50</v>
      </c>
      <c r="AU45" s="105">
        <f t="shared" si="41"/>
        <v>40</v>
      </c>
      <c r="AV45" s="105">
        <f t="shared" si="42"/>
        <v>33.333333333333329</v>
      </c>
      <c r="AW45" s="105">
        <f t="shared" si="43"/>
        <v>28.571428571428569</v>
      </c>
      <c r="AX45" s="105">
        <f t="shared" si="44"/>
        <v>25</v>
      </c>
      <c r="AY45" s="105">
        <f t="shared" si="45"/>
        <v>22.222222222222221</v>
      </c>
      <c r="AZ45" s="105">
        <f t="shared" si="46"/>
        <v>20</v>
      </c>
      <c r="BA45" s="105">
        <f t="shared" si="47"/>
        <v>18.181818181818183</v>
      </c>
      <c r="BB45" s="105">
        <f t="shared" si="48"/>
        <v>16.666666666666664</v>
      </c>
      <c r="BC45" s="105">
        <f t="shared" si="49"/>
        <v>15.384615384615385</v>
      </c>
      <c r="BD45" s="105">
        <f t="shared" si="50"/>
        <v>14.285714285714285</v>
      </c>
      <c r="BE45" s="105">
        <f t="shared" si="51"/>
        <v>13.333333333333334</v>
      </c>
      <c r="BF45" s="110">
        <f t="shared" si="52"/>
        <v>12.5</v>
      </c>
      <c r="BG45" s="105">
        <f t="shared" si="53"/>
        <v>133.33333333333334</v>
      </c>
      <c r="BH45" s="105">
        <f t="shared" si="54"/>
        <v>66.666666666666671</v>
      </c>
      <c r="BI45" s="105">
        <f t="shared" si="55"/>
        <v>44.444444444444436</v>
      </c>
      <c r="BJ45" s="105">
        <f t="shared" si="56"/>
        <v>33.333333333333336</v>
      </c>
      <c r="BK45" s="105">
        <f t="shared" si="57"/>
        <v>26.666666666666668</v>
      </c>
      <c r="BL45" s="105">
        <f t="shared" si="58"/>
        <v>22.222222222222218</v>
      </c>
      <c r="BM45" s="105">
        <f t="shared" si="59"/>
        <v>19.047619047619047</v>
      </c>
      <c r="BN45" s="105">
        <f t="shared" si="60"/>
        <v>16.666666666666668</v>
      </c>
      <c r="BO45" s="105">
        <f t="shared" si="61"/>
        <v>14.814814814814815</v>
      </c>
      <c r="BP45" s="105">
        <f t="shared" si="62"/>
        <v>13.333333333333334</v>
      </c>
      <c r="BQ45" s="105">
        <f t="shared" si="63"/>
        <v>12.121212121212123</v>
      </c>
      <c r="BR45" s="105">
        <f t="shared" si="64"/>
        <v>11.111111111111109</v>
      </c>
      <c r="BS45" s="105">
        <f t="shared" si="65"/>
        <v>10.256410256410257</v>
      </c>
      <c r="BT45" s="105">
        <f t="shared" si="66"/>
        <v>9.5238095238095237</v>
      </c>
      <c r="BU45" s="105">
        <f t="shared" si="67"/>
        <v>8.8888888888888893</v>
      </c>
      <c r="BV45" s="105">
        <f t="shared" si="68"/>
        <v>8.3333333333333339</v>
      </c>
      <c r="BW45" s="109">
        <f t="shared" si="69"/>
        <v>100</v>
      </c>
      <c r="BX45" s="105">
        <f t="shared" si="70"/>
        <v>50</v>
      </c>
      <c r="BY45" s="105">
        <f t="shared" si="71"/>
        <v>33.333333333333329</v>
      </c>
      <c r="BZ45" s="105">
        <f t="shared" si="72"/>
        <v>25</v>
      </c>
      <c r="CA45" s="105">
        <f t="shared" si="73"/>
        <v>20</v>
      </c>
      <c r="CB45" s="105">
        <f t="shared" si="74"/>
        <v>16.666666666666664</v>
      </c>
      <c r="CC45" s="105">
        <f t="shared" si="75"/>
        <v>14.285714285714285</v>
      </c>
      <c r="CD45" s="105">
        <f t="shared" si="76"/>
        <v>12.5</v>
      </c>
      <c r="CE45" s="105">
        <f t="shared" si="77"/>
        <v>11.111111111111111</v>
      </c>
      <c r="CF45" s="105">
        <f t="shared" si="78"/>
        <v>10</v>
      </c>
      <c r="CG45" s="105">
        <f t="shared" si="79"/>
        <v>9.0909090909090917</v>
      </c>
      <c r="CH45" s="105">
        <f t="shared" si="80"/>
        <v>8.3333333333333321</v>
      </c>
      <c r="CI45" s="105">
        <f t="shared" si="81"/>
        <v>7.6923076923076925</v>
      </c>
      <c r="CJ45" s="105">
        <f t="shared" si="82"/>
        <v>7.1428571428571423</v>
      </c>
      <c r="CK45" s="105">
        <f t="shared" si="83"/>
        <v>6.666666666666667</v>
      </c>
      <c r="CL45" s="105">
        <f t="shared" si="84"/>
        <v>6.25</v>
      </c>
    </row>
    <row r="46" spans="9:90">
      <c r="I46" s="105">
        <v>51</v>
      </c>
      <c r="J46" s="105">
        <f t="shared" si="5"/>
        <v>816</v>
      </c>
      <c r="K46" s="105">
        <f t="shared" si="6"/>
        <v>408</v>
      </c>
      <c r="L46" s="105">
        <f t="shared" si="7"/>
        <v>272</v>
      </c>
      <c r="M46" s="105">
        <f t="shared" si="8"/>
        <v>204</v>
      </c>
      <c r="N46" s="105">
        <f t="shared" si="9"/>
        <v>163.20000000000002</v>
      </c>
      <c r="O46" s="105">
        <f t="shared" si="10"/>
        <v>136</v>
      </c>
      <c r="P46" s="105">
        <f t="shared" si="11"/>
        <v>116.57142857142857</v>
      </c>
      <c r="Q46" s="105">
        <f t="shared" si="12"/>
        <v>102</v>
      </c>
      <c r="R46" s="105">
        <f t="shared" si="13"/>
        <v>90.666666666666657</v>
      </c>
      <c r="S46" s="105">
        <f t="shared" si="14"/>
        <v>81.600000000000009</v>
      </c>
      <c r="T46" s="105">
        <f t="shared" si="15"/>
        <v>74.181818181818187</v>
      </c>
      <c r="U46" s="105">
        <f t="shared" si="16"/>
        <v>68</v>
      </c>
      <c r="V46" s="105">
        <f t="shared" si="17"/>
        <v>62.769230769230774</v>
      </c>
      <c r="W46" s="105">
        <f t="shared" si="18"/>
        <v>58.285714285714285</v>
      </c>
      <c r="X46" s="105">
        <f t="shared" si="19"/>
        <v>54.4</v>
      </c>
      <c r="Y46" s="105">
        <f t="shared" si="20"/>
        <v>51</v>
      </c>
      <c r="AA46" s="121"/>
      <c r="AB46" s="120"/>
      <c r="AC46" s="105">
        <f t="shared" si="23"/>
        <v>136</v>
      </c>
      <c r="AD46" s="105">
        <f t="shared" si="24"/>
        <v>102</v>
      </c>
      <c r="AE46" s="105">
        <f t="shared" si="25"/>
        <v>81.600000000000009</v>
      </c>
      <c r="AF46" s="105">
        <f t="shared" si="26"/>
        <v>68</v>
      </c>
      <c r="AG46" s="105">
        <f t="shared" si="27"/>
        <v>58.285714285714285</v>
      </c>
      <c r="AH46" s="105">
        <f t="shared" si="28"/>
        <v>51</v>
      </c>
      <c r="AI46" s="105">
        <f t="shared" si="29"/>
        <v>45.333333333333329</v>
      </c>
      <c r="AJ46" s="105">
        <f t="shared" si="30"/>
        <v>40.800000000000004</v>
      </c>
      <c r="AK46" s="105">
        <f t="shared" si="31"/>
        <v>37.090909090909093</v>
      </c>
      <c r="AL46" s="105">
        <f t="shared" si="32"/>
        <v>34</v>
      </c>
      <c r="AM46" s="105">
        <f t="shared" si="33"/>
        <v>31.384615384615387</v>
      </c>
      <c r="AN46" s="105">
        <f t="shared" si="34"/>
        <v>29.142857142857142</v>
      </c>
      <c r="AO46" s="105">
        <f t="shared" si="35"/>
        <v>27.2</v>
      </c>
      <c r="AP46" s="105">
        <f t="shared" si="36"/>
        <v>25.5</v>
      </c>
      <c r="AQ46" s="121"/>
      <c r="AR46" s="105">
        <f t="shared" si="38"/>
        <v>102</v>
      </c>
      <c r="AS46" s="105">
        <f t="shared" si="39"/>
        <v>68</v>
      </c>
      <c r="AT46" s="105">
        <f t="shared" si="40"/>
        <v>51</v>
      </c>
      <c r="AU46" s="105">
        <f t="shared" si="41"/>
        <v>40.800000000000004</v>
      </c>
      <c r="AV46" s="105">
        <f t="shared" si="42"/>
        <v>34</v>
      </c>
      <c r="AW46" s="105">
        <f t="shared" si="43"/>
        <v>29.142857142857142</v>
      </c>
      <c r="AX46" s="105">
        <f t="shared" si="44"/>
        <v>25.5</v>
      </c>
      <c r="AY46" s="105">
        <f t="shared" si="45"/>
        <v>22.666666666666664</v>
      </c>
      <c r="AZ46" s="105">
        <f t="shared" si="46"/>
        <v>20.400000000000002</v>
      </c>
      <c r="BA46" s="105">
        <f t="shared" si="47"/>
        <v>18.545454545454547</v>
      </c>
      <c r="BB46" s="105">
        <f t="shared" si="48"/>
        <v>17</v>
      </c>
      <c r="BC46" s="105">
        <f t="shared" si="49"/>
        <v>15.692307692307693</v>
      </c>
      <c r="BD46" s="105">
        <f t="shared" si="50"/>
        <v>14.571428571428571</v>
      </c>
      <c r="BE46" s="105">
        <f t="shared" si="51"/>
        <v>13.6</v>
      </c>
      <c r="BF46" s="110">
        <f t="shared" si="52"/>
        <v>12.75</v>
      </c>
      <c r="BG46" s="105">
        <f t="shared" si="53"/>
        <v>136</v>
      </c>
      <c r="BH46" s="105">
        <f t="shared" si="54"/>
        <v>68</v>
      </c>
      <c r="BI46" s="105">
        <f t="shared" si="55"/>
        <v>45.333333333333336</v>
      </c>
      <c r="BJ46" s="105">
        <f t="shared" si="56"/>
        <v>34</v>
      </c>
      <c r="BK46" s="105">
        <f t="shared" si="57"/>
        <v>27.200000000000003</v>
      </c>
      <c r="BL46" s="105">
        <f t="shared" si="58"/>
        <v>22.666666666666668</v>
      </c>
      <c r="BM46" s="105">
        <f t="shared" si="59"/>
        <v>19.428571428571427</v>
      </c>
      <c r="BN46" s="105">
        <f t="shared" si="60"/>
        <v>17</v>
      </c>
      <c r="BO46" s="105">
        <f t="shared" si="61"/>
        <v>15.111111111111109</v>
      </c>
      <c r="BP46" s="105">
        <f t="shared" si="62"/>
        <v>13.600000000000001</v>
      </c>
      <c r="BQ46" s="105">
        <f t="shared" si="63"/>
        <v>12.363636363636365</v>
      </c>
      <c r="BR46" s="105">
        <f t="shared" si="64"/>
        <v>11.333333333333334</v>
      </c>
      <c r="BS46" s="105">
        <f t="shared" si="65"/>
        <v>10.461538461538462</v>
      </c>
      <c r="BT46" s="105">
        <f t="shared" si="66"/>
        <v>9.7142857142857135</v>
      </c>
      <c r="BU46" s="105">
        <f t="shared" si="67"/>
        <v>9.0666666666666664</v>
      </c>
      <c r="BV46" s="105">
        <f t="shared" si="68"/>
        <v>8.5</v>
      </c>
      <c r="BW46" s="109">
        <f t="shared" si="69"/>
        <v>102</v>
      </c>
      <c r="BX46" s="105">
        <f t="shared" si="70"/>
        <v>51</v>
      </c>
      <c r="BY46" s="105">
        <f t="shared" si="71"/>
        <v>34</v>
      </c>
      <c r="BZ46" s="105">
        <f t="shared" si="72"/>
        <v>25.5</v>
      </c>
      <c r="CA46" s="105">
        <f t="shared" si="73"/>
        <v>20.400000000000002</v>
      </c>
      <c r="CB46" s="105">
        <f t="shared" si="74"/>
        <v>17</v>
      </c>
      <c r="CC46" s="105">
        <f t="shared" si="75"/>
        <v>14.571428571428571</v>
      </c>
      <c r="CD46" s="105">
        <f t="shared" si="76"/>
        <v>12.75</v>
      </c>
      <c r="CE46" s="105">
        <f t="shared" si="77"/>
        <v>11.333333333333332</v>
      </c>
      <c r="CF46" s="105">
        <f t="shared" si="78"/>
        <v>10.200000000000001</v>
      </c>
      <c r="CG46" s="105">
        <f t="shared" si="79"/>
        <v>9.2727272727272734</v>
      </c>
      <c r="CH46" s="105">
        <f t="shared" si="80"/>
        <v>8.5</v>
      </c>
      <c r="CI46" s="105">
        <f t="shared" si="81"/>
        <v>7.8461538461538467</v>
      </c>
      <c r="CJ46" s="105">
        <f t="shared" si="82"/>
        <v>7.2857142857142856</v>
      </c>
      <c r="CK46" s="105">
        <f t="shared" si="83"/>
        <v>6.8</v>
      </c>
      <c r="CL46" s="105">
        <f t="shared" si="84"/>
        <v>6.375</v>
      </c>
    </row>
    <row r="47" spans="9:90">
      <c r="I47" s="105">
        <v>52</v>
      </c>
      <c r="J47" s="105">
        <f t="shared" si="5"/>
        <v>832</v>
      </c>
      <c r="K47" s="105">
        <f t="shared" si="6"/>
        <v>416</v>
      </c>
      <c r="L47" s="105">
        <f t="shared" si="7"/>
        <v>277.33333333333331</v>
      </c>
      <c r="M47" s="105">
        <f t="shared" si="8"/>
        <v>208</v>
      </c>
      <c r="N47" s="105">
        <f t="shared" si="9"/>
        <v>166.4</v>
      </c>
      <c r="O47" s="105">
        <f t="shared" si="10"/>
        <v>138.66666666666666</v>
      </c>
      <c r="P47" s="105">
        <f t="shared" si="11"/>
        <v>118.85714285714285</v>
      </c>
      <c r="Q47" s="105">
        <f t="shared" si="12"/>
        <v>104</v>
      </c>
      <c r="R47" s="105">
        <f t="shared" si="13"/>
        <v>92.444444444444443</v>
      </c>
      <c r="S47" s="105">
        <f t="shared" si="14"/>
        <v>83.2</v>
      </c>
      <c r="T47" s="105">
        <f t="shared" si="15"/>
        <v>75.63636363636364</v>
      </c>
      <c r="U47" s="105">
        <f t="shared" si="16"/>
        <v>69.333333333333329</v>
      </c>
      <c r="V47" s="105">
        <f t="shared" si="17"/>
        <v>64</v>
      </c>
      <c r="W47" s="105">
        <f t="shared" si="18"/>
        <v>59.428571428571423</v>
      </c>
      <c r="X47" s="105">
        <f t="shared" si="19"/>
        <v>55.466666666666669</v>
      </c>
      <c r="Y47" s="105">
        <f t="shared" si="20"/>
        <v>52</v>
      </c>
      <c r="AA47" s="121"/>
      <c r="AB47" s="120"/>
      <c r="AC47" s="105">
        <f t="shared" si="23"/>
        <v>138.66666666666666</v>
      </c>
      <c r="AD47" s="105">
        <f t="shared" si="24"/>
        <v>104</v>
      </c>
      <c r="AE47" s="105">
        <f t="shared" si="25"/>
        <v>83.2</v>
      </c>
      <c r="AF47" s="105">
        <f t="shared" si="26"/>
        <v>69.333333333333329</v>
      </c>
      <c r="AG47" s="105">
        <f t="shared" si="27"/>
        <v>59.428571428571423</v>
      </c>
      <c r="AH47" s="105">
        <f t="shared" si="28"/>
        <v>52</v>
      </c>
      <c r="AI47" s="105">
        <f t="shared" si="29"/>
        <v>46.222222222222221</v>
      </c>
      <c r="AJ47" s="105">
        <f t="shared" si="30"/>
        <v>41.6</v>
      </c>
      <c r="AK47" s="105">
        <f t="shared" si="31"/>
        <v>37.81818181818182</v>
      </c>
      <c r="AL47" s="105">
        <f t="shared" si="32"/>
        <v>34.666666666666664</v>
      </c>
      <c r="AM47" s="105">
        <f t="shared" si="33"/>
        <v>32</v>
      </c>
      <c r="AN47" s="105">
        <f t="shared" si="34"/>
        <v>29.714285714285712</v>
      </c>
      <c r="AO47" s="105">
        <f t="shared" si="35"/>
        <v>27.733333333333334</v>
      </c>
      <c r="AP47" s="105">
        <f t="shared" si="36"/>
        <v>26</v>
      </c>
      <c r="AQ47" s="121"/>
      <c r="AR47" s="105">
        <f t="shared" si="38"/>
        <v>104</v>
      </c>
      <c r="AS47" s="105">
        <f t="shared" si="39"/>
        <v>69.333333333333329</v>
      </c>
      <c r="AT47" s="105">
        <f t="shared" si="40"/>
        <v>52</v>
      </c>
      <c r="AU47" s="105">
        <f t="shared" si="41"/>
        <v>41.6</v>
      </c>
      <c r="AV47" s="105">
        <f t="shared" si="42"/>
        <v>34.666666666666664</v>
      </c>
      <c r="AW47" s="105">
        <f t="shared" si="43"/>
        <v>29.714285714285712</v>
      </c>
      <c r="AX47" s="105">
        <f t="shared" si="44"/>
        <v>26</v>
      </c>
      <c r="AY47" s="105">
        <f t="shared" si="45"/>
        <v>23.111111111111111</v>
      </c>
      <c r="AZ47" s="105">
        <f t="shared" si="46"/>
        <v>20.8</v>
      </c>
      <c r="BA47" s="105">
        <f t="shared" si="47"/>
        <v>18.90909090909091</v>
      </c>
      <c r="BB47" s="105">
        <f t="shared" si="48"/>
        <v>17.333333333333332</v>
      </c>
      <c r="BC47" s="105">
        <f t="shared" si="49"/>
        <v>16</v>
      </c>
      <c r="BD47" s="105">
        <f t="shared" si="50"/>
        <v>14.857142857142856</v>
      </c>
      <c r="BE47" s="105">
        <f t="shared" si="51"/>
        <v>13.866666666666667</v>
      </c>
      <c r="BF47" s="110">
        <f t="shared" si="52"/>
        <v>13</v>
      </c>
      <c r="BG47" s="105">
        <f t="shared" si="53"/>
        <v>138.66666666666666</v>
      </c>
      <c r="BH47" s="105">
        <f t="shared" si="54"/>
        <v>69.333333333333329</v>
      </c>
      <c r="BI47" s="105">
        <f t="shared" si="55"/>
        <v>46.222222222222221</v>
      </c>
      <c r="BJ47" s="105">
        <f t="shared" si="56"/>
        <v>34.666666666666664</v>
      </c>
      <c r="BK47" s="105">
        <f t="shared" si="57"/>
        <v>27.733333333333334</v>
      </c>
      <c r="BL47" s="105">
        <f t="shared" si="58"/>
        <v>23.111111111111111</v>
      </c>
      <c r="BM47" s="105">
        <f t="shared" si="59"/>
        <v>19.809523809523807</v>
      </c>
      <c r="BN47" s="105">
        <f t="shared" si="60"/>
        <v>17.333333333333332</v>
      </c>
      <c r="BO47" s="105">
        <f t="shared" si="61"/>
        <v>15.407407407407407</v>
      </c>
      <c r="BP47" s="105">
        <f t="shared" si="62"/>
        <v>13.866666666666667</v>
      </c>
      <c r="BQ47" s="105">
        <f t="shared" si="63"/>
        <v>12.606060606060607</v>
      </c>
      <c r="BR47" s="105">
        <f t="shared" si="64"/>
        <v>11.555555555555555</v>
      </c>
      <c r="BS47" s="105">
        <f t="shared" si="65"/>
        <v>10.666666666666666</v>
      </c>
      <c r="BT47" s="105">
        <f t="shared" si="66"/>
        <v>9.9047619047619033</v>
      </c>
      <c r="BU47" s="105">
        <f t="shared" si="67"/>
        <v>9.2444444444444454</v>
      </c>
      <c r="BV47" s="105">
        <f t="shared" si="68"/>
        <v>8.6666666666666661</v>
      </c>
      <c r="BW47" s="109">
        <f t="shared" si="69"/>
        <v>104</v>
      </c>
      <c r="BX47" s="105">
        <f t="shared" si="70"/>
        <v>52</v>
      </c>
      <c r="BY47" s="105">
        <f t="shared" si="71"/>
        <v>34.666666666666664</v>
      </c>
      <c r="BZ47" s="105">
        <f t="shared" si="72"/>
        <v>26</v>
      </c>
      <c r="CA47" s="105">
        <f t="shared" si="73"/>
        <v>20.8</v>
      </c>
      <c r="CB47" s="105">
        <f t="shared" si="74"/>
        <v>17.333333333333332</v>
      </c>
      <c r="CC47" s="105">
        <f t="shared" si="75"/>
        <v>14.857142857142856</v>
      </c>
      <c r="CD47" s="105">
        <f t="shared" si="76"/>
        <v>13</v>
      </c>
      <c r="CE47" s="105">
        <f t="shared" si="77"/>
        <v>11.555555555555555</v>
      </c>
      <c r="CF47" s="105">
        <f t="shared" si="78"/>
        <v>10.4</v>
      </c>
      <c r="CG47" s="105">
        <f t="shared" si="79"/>
        <v>9.454545454545455</v>
      </c>
      <c r="CH47" s="105">
        <f t="shared" si="80"/>
        <v>8.6666666666666661</v>
      </c>
      <c r="CI47" s="105">
        <f t="shared" si="81"/>
        <v>8</v>
      </c>
      <c r="CJ47" s="105">
        <f t="shared" si="82"/>
        <v>7.4285714285714279</v>
      </c>
      <c r="CK47" s="105">
        <f t="shared" si="83"/>
        <v>6.9333333333333336</v>
      </c>
      <c r="CL47" s="105">
        <f t="shared" si="84"/>
        <v>6.5</v>
      </c>
    </row>
    <row r="48" spans="9:90">
      <c r="I48" s="105">
        <v>53</v>
      </c>
      <c r="J48" s="105">
        <f t="shared" si="5"/>
        <v>848</v>
      </c>
      <c r="K48" s="105">
        <f t="shared" si="6"/>
        <v>424</v>
      </c>
      <c r="L48" s="105">
        <f t="shared" si="7"/>
        <v>282.66666666666663</v>
      </c>
      <c r="M48" s="105">
        <f t="shared" si="8"/>
        <v>212</v>
      </c>
      <c r="N48" s="105">
        <f t="shared" si="9"/>
        <v>169.60000000000002</v>
      </c>
      <c r="O48" s="105">
        <f t="shared" si="10"/>
        <v>141.33333333333331</v>
      </c>
      <c r="P48" s="105">
        <f t="shared" si="11"/>
        <v>121.14285714285714</v>
      </c>
      <c r="Q48" s="105">
        <f t="shared" si="12"/>
        <v>106</v>
      </c>
      <c r="R48" s="105">
        <f t="shared" si="13"/>
        <v>94.222222222222214</v>
      </c>
      <c r="S48" s="105">
        <f t="shared" si="14"/>
        <v>84.800000000000011</v>
      </c>
      <c r="T48" s="105">
        <f t="shared" si="15"/>
        <v>77.090909090909093</v>
      </c>
      <c r="U48" s="105">
        <f t="shared" si="16"/>
        <v>70.666666666666657</v>
      </c>
      <c r="V48" s="105">
        <f t="shared" si="17"/>
        <v>65.230769230769241</v>
      </c>
      <c r="W48" s="105">
        <f t="shared" si="18"/>
        <v>60.571428571428569</v>
      </c>
      <c r="X48" s="105">
        <f t="shared" si="19"/>
        <v>56.533333333333331</v>
      </c>
      <c r="Y48" s="105">
        <f t="shared" si="20"/>
        <v>53</v>
      </c>
      <c r="AA48" s="121"/>
      <c r="AB48" s="120"/>
      <c r="AC48" s="105">
        <f t="shared" si="23"/>
        <v>141.33333333333331</v>
      </c>
      <c r="AD48" s="105">
        <f t="shared" si="24"/>
        <v>106</v>
      </c>
      <c r="AE48" s="105">
        <f t="shared" si="25"/>
        <v>84.800000000000011</v>
      </c>
      <c r="AF48" s="105">
        <f t="shared" si="26"/>
        <v>70.666666666666657</v>
      </c>
      <c r="AG48" s="105">
        <f t="shared" si="27"/>
        <v>60.571428571428569</v>
      </c>
      <c r="AH48" s="105">
        <f t="shared" si="28"/>
        <v>53</v>
      </c>
      <c r="AI48" s="105">
        <f t="shared" si="29"/>
        <v>47.111111111111107</v>
      </c>
      <c r="AJ48" s="105">
        <f t="shared" si="30"/>
        <v>42.400000000000006</v>
      </c>
      <c r="AK48" s="105">
        <f t="shared" si="31"/>
        <v>38.545454545454547</v>
      </c>
      <c r="AL48" s="105">
        <f t="shared" si="32"/>
        <v>35.333333333333329</v>
      </c>
      <c r="AM48" s="105">
        <f t="shared" si="33"/>
        <v>32.61538461538462</v>
      </c>
      <c r="AN48" s="105">
        <f t="shared" si="34"/>
        <v>30.285714285714285</v>
      </c>
      <c r="AO48" s="105">
        <f t="shared" si="35"/>
        <v>28.266666666666666</v>
      </c>
      <c r="AP48" s="105">
        <f t="shared" si="36"/>
        <v>26.5</v>
      </c>
      <c r="AQ48" s="121"/>
      <c r="AR48" s="105">
        <f t="shared" si="38"/>
        <v>106</v>
      </c>
      <c r="AS48" s="105">
        <f t="shared" si="39"/>
        <v>70.666666666666657</v>
      </c>
      <c r="AT48" s="105">
        <f t="shared" si="40"/>
        <v>53</v>
      </c>
      <c r="AU48" s="105">
        <f t="shared" si="41"/>
        <v>42.400000000000006</v>
      </c>
      <c r="AV48" s="105">
        <f t="shared" si="42"/>
        <v>35.333333333333329</v>
      </c>
      <c r="AW48" s="105">
        <f t="shared" si="43"/>
        <v>30.285714285714285</v>
      </c>
      <c r="AX48" s="105">
        <f t="shared" si="44"/>
        <v>26.5</v>
      </c>
      <c r="AY48" s="105">
        <f t="shared" si="45"/>
        <v>23.555555555555554</v>
      </c>
      <c r="AZ48" s="105">
        <f t="shared" si="46"/>
        <v>21.200000000000003</v>
      </c>
      <c r="BA48" s="105">
        <f t="shared" si="47"/>
        <v>19.272727272727273</v>
      </c>
      <c r="BB48" s="105">
        <f t="shared" si="48"/>
        <v>17.666666666666664</v>
      </c>
      <c r="BC48" s="105">
        <f t="shared" si="49"/>
        <v>16.30769230769231</v>
      </c>
      <c r="BD48" s="105">
        <f t="shared" si="50"/>
        <v>15.142857142857142</v>
      </c>
      <c r="BE48" s="105">
        <f t="shared" si="51"/>
        <v>14.133333333333333</v>
      </c>
      <c r="BF48" s="110">
        <f t="shared" si="52"/>
        <v>13.25</v>
      </c>
      <c r="BG48" s="105">
        <f t="shared" si="53"/>
        <v>141.33333333333334</v>
      </c>
      <c r="BH48" s="105">
        <f t="shared" si="54"/>
        <v>70.666666666666671</v>
      </c>
      <c r="BI48" s="105">
        <f t="shared" si="55"/>
        <v>47.111111111111107</v>
      </c>
      <c r="BJ48" s="105">
        <f t="shared" si="56"/>
        <v>35.333333333333336</v>
      </c>
      <c r="BK48" s="105">
        <f t="shared" si="57"/>
        <v>28.266666666666669</v>
      </c>
      <c r="BL48" s="105">
        <f t="shared" si="58"/>
        <v>23.555555555555554</v>
      </c>
      <c r="BM48" s="105">
        <f t="shared" si="59"/>
        <v>20.19047619047619</v>
      </c>
      <c r="BN48" s="105">
        <f t="shared" si="60"/>
        <v>17.666666666666668</v>
      </c>
      <c r="BO48" s="105">
        <f t="shared" si="61"/>
        <v>15.703703703703702</v>
      </c>
      <c r="BP48" s="105">
        <f t="shared" si="62"/>
        <v>14.133333333333335</v>
      </c>
      <c r="BQ48" s="105">
        <f t="shared" si="63"/>
        <v>12.84848484848485</v>
      </c>
      <c r="BR48" s="105">
        <f t="shared" si="64"/>
        <v>11.777777777777777</v>
      </c>
      <c r="BS48" s="105">
        <f t="shared" si="65"/>
        <v>10.871794871794874</v>
      </c>
      <c r="BT48" s="105">
        <f t="shared" si="66"/>
        <v>10.095238095238095</v>
      </c>
      <c r="BU48" s="105">
        <f t="shared" si="67"/>
        <v>9.4222222222222225</v>
      </c>
      <c r="BV48" s="105">
        <f t="shared" si="68"/>
        <v>8.8333333333333339</v>
      </c>
      <c r="BW48" s="109">
        <f t="shared" si="69"/>
        <v>106</v>
      </c>
      <c r="BX48" s="105">
        <f t="shared" si="70"/>
        <v>53</v>
      </c>
      <c r="BY48" s="105">
        <f t="shared" si="71"/>
        <v>35.333333333333329</v>
      </c>
      <c r="BZ48" s="105">
        <f t="shared" si="72"/>
        <v>26.5</v>
      </c>
      <c r="CA48" s="105">
        <f t="shared" si="73"/>
        <v>21.200000000000003</v>
      </c>
      <c r="CB48" s="105">
        <f t="shared" si="74"/>
        <v>17.666666666666664</v>
      </c>
      <c r="CC48" s="105">
        <f t="shared" si="75"/>
        <v>15.142857142857142</v>
      </c>
      <c r="CD48" s="105">
        <f t="shared" si="76"/>
        <v>13.25</v>
      </c>
      <c r="CE48" s="105">
        <f t="shared" si="77"/>
        <v>11.777777777777777</v>
      </c>
      <c r="CF48" s="105">
        <f t="shared" si="78"/>
        <v>10.600000000000001</v>
      </c>
      <c r="CG48" s="105">
        <f t="shared" si="79"/>
        <v>9.6363636363636367</v>
      </c>
      <c r="CH48" s="105">
        <f t="shared" si="80"/>
        <v>8.8333333333333321</v>
      </c>
      <c r="CI48" s="105">
        <f t="shared" si="81"/>
        <v>8.1538461538461551</v>
      </c>
      <c r="CJ48" s="105">
        <f t="shared" si="82"/>
        <v>7.5714285714285712</v>
      </c>
      <c r="CK48" s="105">
        <f t="shared" si="83"/>
        <v>7.0666666666666664</v>
      </c>
      <c r="CL48" s="105">
        <f t="shared" si="84"/>
        <v>6.625</v>
      </c>
    </row>
    <row r="49" spans="9:90">
      <c r="I49" s="105">
        <v>54</v>
      </c>
      <c r="J49" s="105">
        <f t="shared" si="5"/>
        <v>864</v>
      </c>
      <c r="K49" s="105">
        <f t="shared" si="6"/>
        <v>432</v>
      </c>
      <c r="L49" s="105">
        <f t="shared" si="7"/>
        <v>288</v>
      </c>
      <c r="M49" s="105">
        <f t="shared" si="8"/>
        <v>216</v>
      </c>
      <c r="N49" s="105">
        <f t="shared" si="9"/>
        <v>172.8</v>
      </c>
      <c r="O49" s="105">
        <f t="shared" si="10"/>
        <v>144</v>
      </c>
      <c r="P49" s="105">
        <f t="shared" si="11"/>
        <v>123.42857142857142</v>
      </c>
      <c r="Q49" s="105">
        <f t="shared" si="12"/>
        <v>108</v>
      </c>
      <c r="R49" s="105">
        <f t="shared" si="13"/>
        <v>96</v>
      </c>
      <c r="S49" s="105">
        <f t="shared" si="14"/>
        <v>86.4</v>
      </c>
      <c r="T49" s="105">
        <f t="shared" si="15"/>
        <v>78.545454545454547</v>
      </c>
      <c r="U49" s="105">
        <f t="shared" si="16"/>
        <v>72</v>
      </c>
      <c r="V49" s="105">
        <f t="shared" si="17"/>
        <v>66.461538461538467</v>
      </c>
      <c r="W49" s="105">
        <f t="shared" si="18"/>
        <v>61.714285714285708</v>
      </c>
      <c r="X49" s="105">
        <f t="shared" si="19"/>
        <v>57.6</v>
      </c>
      <c r="Y49" s="105">
        <f t="shared" si="20"/>
        <v>54</v>
      </c>
      <c r="AA49" s="121"/>
      <c r="AB49" s="120"/>
      <c r="AC49" s="105">
        <f t="shared" si="23"/>
        <v>144</v>
      </c>
      <c r="AD49" s="105">
        <f t="shared" si="24"/>
        <v>108</v>
      </c>
      <c r="AE49" s="105">
        <f t="shared" si="25"/>
        <v>86.4</v>
      </c>
      <c r="AF49" s="105">
        <f t="shared" si="26"/>
        <v>72</v>
      </c>
      <c r="AG49" s="105">
        <f t="shared" si="27"/>
        <v>61.714285714285708</v>
      </c>
      <c r="AH49" s="105">
        <f t="shared" si="28"/>
        <v>54</v>
      </c>
      <c r="AI49" s="105">
        <f t="shared" si="29"/>
        <v>48</v>
      </c>
      <c r="AJ49" s="105">
        <f t="shared" si="30"/>
        <v>43.2</v>
      </c>
      <c r="AK49" s="105">
        <f t="shared" si="31"/>
        <v>39.272727272727273</v>
      </c>
      <c r="AL49" s="105">
        <f t="shared" si="32"/>
        <v>36</v>
      </c>
      <c r="AM49" s="105">
        <f t="shared" si="33"/>
        <v>33.230769230769234</v>
      </c>
      <c r="AN49" s="105">
        <f t="shared" si="34"/>
        <v>30.857142857142854</v>
      </c>
      <c r="AO49" s="105">
        <f t="shared" si="35"/>
        <v>28.8</v>
      </c>
      <c r="AP49" s="105">
        <f t="shared" si="36"/>
        <v>27</v>
      </c>
      <c r="AQ49" s="121"/>
      <c r="AR49" s="105">
        <f t="shared" si="38"/>
        <v>108</v>
      </c>
      <c r="AS49" s="105">
        <f t="shared" si="39"/>
        <v>72</v>
      </c>
      <c r="AT49" s="105">
        <f t="shared" si="40"/>
        <v>54</v>
      </c>
      <c r="AU49" s="105">
        <f t="shared" si="41"/>
        <v>43.2</v>
      </c>
      <c r="AV49" s="105">
        <f t="shared" si="42"/>
        <v>36</v>
      </c>
      <c r="AW49" s="105">
        <f t="shared" si="43"/>
        <v>30.857142857142854</v>
      </c>
      <c r="AX49" s="105">
        <f t="shared" si="44"/>
        <v>27</v>
      </c>
      <c r="AY49" s="105">
        <f t="shared" si="45"/>
        <v>24</v>
      </c>
      <c r="AZ49" s="105">
        <f t="shared" si="46"/>
        <v>21.6</v>
      </c>
      <c r="BA49" s="105">
        <f t="shared" si="47"/>
        <v>19.636363636363637</v>
      </c>
      <c r="BB49" s="105">
        <f t="shared" si="48"/>
        <v>18</v>
      </c>
      <c r="BC49" s="105">
        <f t="shared" si="49"/>
        <v>16.615384615384617</v>
      </c>
      <c r="BD49" s="105">
        <f t="shared" si="50"/>
        <v>15.428571428571427</v>
      </c>
      <c r="BE49" s="105">
        <f t="shared" si="51"/>
        <v>14.4</v>
      </c>
      <c r="BF49" s="110">
        <f t="shared" si="52"/>
        <v>13.5</v>
      </c>
      <c r="BG49" s="105">
        <f t="shared" si="53"/>
        <v>144</v>
      </c>
      <c r="BH49" s="105">
        <f t="shared" si="54"/>
        <v>72</v>
      </c>
      <c r="BI49" s="105">
        <f t="shared" si="55"/>
        <v>48</v>
      </c>
      <c r="BJ49" s="105">
        <f t="shared" si="56"/>
        <v>36</v>
      </c>
      <c r="BK49" s="105">
        <f t="shared" si="57"/>
        <v>28.8</v>
      </c>
      <c r="BL49" s="105">
        <f t="shared" si="58"/>
        <v>24</v>
      </c>
      <c r="BM49" s="105">
        <f t="shared" si="59"/>
        <v>20.571428571428569</v>
      </c>
      <c r="BN49" s="105">
        <f t="shared" si="60"/>
        <v>18</v>
      </c>
      <c r="BO49" s="105">
        <f t="shared" si="61"/>
        <v>16</v>
      </c>
      <c r="BP49" s="105">
        <f t="shared" si="62"/>
        <v>14.4</v>
      </c>
      <c r="BQ49" s="105">
        <f t="shared" si="63"/>
        <v>13.090909090909092</v>
      </c>
      <c r="BR49" s="105">
        <f t="shared" si="64"/>
        <v>12</v>
      </c>
      <c r="BS49" s="105">
        <f t="shared" si="65"/>
        <v>11.076923076923078</v>
      </c>
      <c r="BT49" s="105">
        <f t="shared" si="66"/>
        <v>10.285714285714285</v>
      </c>
      <c r="BU49" s="105">
        <f t="shared" si="67"/>
        <v>9.6</v>
      </c>
      <c r="BV49" s="105">
        <f t="shared" si="68"/>
        <v>9</v>
      </c>
      <c r="BW49" s="109">
        <f t="shared" si="69"/>
        <v>108</v>
      </c>
      <c r="BX49" s="105">
        <f t="shared" si="70"/>
        <v>54</v>
      </c>
      <c r="BY49" s="105">
        <f t="shared" si="71"/>
        <v>36</v>
      </c>
      <c r="BZ49" s="105">
        <f t="shared" si="72"/>
        <v>27</v>
      </c>
      <c r="CA49" s="105">
        <f t="shared" si="73"/>
        <v>21.6</v>
      </c>
      <c r="CB49" s="105">
        <f t="shared" si="74"/>
        <v>18</v>
      </c>
      <c r="CC49" s="105">
        <f t="shared" si="75"/>
        <v>15.428571428571427</v>
      </c>
      <c r="CD49" s="105">
        <f t="shared" si="76"/>
        <v>13.5</v>
      </c>
      <c r="CE49" s="105">
        <f t="shared" si="77"/>
        <v>12</v>
      </c>
      <c r="CF49" s="105">
        <f t="shared" si="78"/>
        <v>10.8</v>
      </c>
      <c r="CG49" s="105">
        <f t="shared" si="79"/>
        <v>9.8181818181818183</v>
      </c>
      <c r="CH49" s="105">
        <f t="shared" si="80"/>
        <v>9</v>
      </c>
      <c r="CI49" s="105">
        <f t="shared" si="81"/>
        <v>8.3076923076923084</v>
      </c>
      <c r="CJ49" s="105">
        <f t="shared" si="82"/>
        <v>7.7142857142857135</v>
      </c>
      <c r="CK49" s="105">
        <f t="shared" si="83"/>
        <v>7.2</v>
      </c>
      <c r="CL49" s="105">
        <f t="shared" si="84"/>
        <v>6.75</v>
      </c>
    </row>
    <row r="50" spans="9:90">
      <c r="I50" s="105">
        <v>55</v>
      </c>
      <c r="J50" s="105">
        <f t="shared" si="5"/>
        <v>880</v>
      </c>
      <c r="K50" s="105">
        <f t="shared" si="6"/>
        <v>440</v>
      </c>
      <c r="L50" s="105">
        <f t="shared" si="7"/>
        <v>293.33333333333331</v>
      </c>
      <c r="M50" s="105">
        <f t="shared" si="8"/>
        <v>220</v>
      </c>
      <c r="N50" s="105">
        <f t="shared" si="9"/>
        <v>176</v>
      </c>
      <c r="O50" s="105">
        <f t="shared" si="10"/>
        <v>146.66666666666666</v>
      </c>
      <c r="P50" s="105">
        <f t="shared" si="11"/>
        <v>125.71428571428571</v>
      </c>
      <c r="Q50" s="105">
        <f t="shared" si="12"/>
        <v>110</v>
      </c>
      <c r="R50" s="105">
        <f t="shared" si="13"/>
        <v>97.777777777777771</v>
      </c>
      <c r="S50" s="105">
        <f t="shared" si="14"/>
        <v>88</v>
      </c>
      <c r="T50" s="105">
        <f t="shared" si="15"/>
        <v>80</v>
      </c>
      <c r="U50" s="105">
        <f t="shared" si="16"/>
        <v>73.333333333333329</v>
      </c>
      <c r="V50" s="105">
        <f t="shared" si="17"/>
        <v>67.692307692307693</v>
      </c>
      <c r="W50" s="105">
        <f t="shared" si="18"/>
        <v>62.857142857142854</v>
      </c>
      <c r="X50" s="105">
        <f t="shared" si="19"/>
        <v>58.666666666666664</v>
      </c>
      <c r="Y50" s="105">
        <f t="shared" si="20"/>
        <v>55</v>
      </c>
      <c r="AA50" s="121"/>
      <c r="AB50" s="120"/>
      <c r="AC50" s="105">
        <f t="shared" si="23"/>
        <v>146.66666666666666</v>
      </c>
      <c r="AD50" s="105">
        <f t="shared" si="24"/>
        <v>110</v>
      </c>
      <c r="AE50" s="105">
        <f t="shared" si="25"/>
        <v>88</v>
      </c>
      <c r="AF50" s="105">
        <f t="shared" si="26"/>
        <v>73.333333333333329</v>
      </c>
      <c r="AG50" s="105">
        <f t="shared" si="27"/>
        <v>62.857142857142854</v>
      </c>
      <c r="AH50" s="105">
        <f t="shared" si="28"/>
        <v>55</v>
      </c>
      <c r="AI50" s="105">
        <f t="shared" si="29"/>
        <v>48.888888888888886</v>
      </c>
      <c r="AJ50" s="105">
        <f t="shared" si="30"/>
        <v>44</v>
      </c>
      <c r="AK50" s="105">
        <f t="shared" si="31"/>
        <v>40</v>
      </c>
      <c r="AL50" s="105">
        <f t="shared" si="32"/>
        <v>36.666666666666664</v>
      </c>
      <c r="AM50" s="105">
        <f t="shared" si="33"/>
        <v>33.846153846153847</v>
      </c>
      <c r="AN50" s="105">
        <f t="shared" si="34"/>
        <v>31.428571428571427</v>
      </c>
      <c r="AO50" s="105">
        <f t="shared" si="35"/>
        <v>29.333333333333332</v>
      </c>
      <c r="AP50" s="105">
        <f t="shared" si="36"/>
        <v>27.5</v>
      </c>
      <c r="AQ50" s="121"/>
      <c r="AR50" s="105">
        <f t="shared" si="38"/>
        <v>110</v>
      </c>
      <c r="AS50" s="105">
        <f t="shared" si="39"/>
        <v>73.333333333333329</v>
      </c>
      <c r="AT50" s="105">
        <f t="shared" si="40"/>
        <v>55</v>
      </c>
      <c r="AU50" s="105">
        <f t="shared" si="41"/>
        <v>44</v>
      </c>
      <c r="AV50" s="105">
        <f t="shared" si="42"/>
        <v>36.666666666666664</v>
      </c>
      <c r="AW50" s="105">
        <f t="shared" si="43"/>
        <v>31.428571428571427</v>
      </c>
      <c r="AX50" s="105">
        <f t="shared" si="44"/>
        <v>27.5</v>
      </c>
      <c r="AY50" s="105">
        <f t="shared" si="45"/>
        <v>24.444444444444443</v>
      </c>
      <c r="AZ50" s="105">
        <f t="shared" si="46"/>
        <v>22</v>
      </c>
      <c r="BA50" s="105">
        <f t="shared" si="47"/>
        <v>20</v>
      </c>
      <c r="BB50" s="105">
        <f t="shared" si="48"/>
        <v>18.333333333333332</v>
      </c>
      <c r="BC50" s="105">
        <f t="shared" si="49"/>
        <v>16.923076923076923</v>
      </c>
      <c r="BD50" s="105">
        <f t="shared" si="50"/>
        <v>15.714285714285714</v>
      </c>
      <c r="BE50" s="105">
        <f t="shared" si="51"/>
        <v>14.666666666666666</v>
      </c>
      <c r="BF50" s="110">
        <f t="shared" si="52"/>
        <v>13.75</v>
      </c>
      <c r="BG50" s="105">
        <f t="shared" si="53"/>
        <v>146.66666666666666</v>
      </c>
      <c r="BH50" s="105">
        <f t="shared" si="54"/>
        <v>73.333333333333329</v>
      </c>
      <c r="BI50" s="105">
        <f t="shared" si="55"/>
        <v>48.888888888888886</v>
      </c>
      <c r="BJ50" s="105">
        <f t="shared" si="56"/>
        <v>36.666666666666664</v>
      </c>
      <c r="BK50" s="105">
        <f t="shared" si="57"/>
        <v>29.333333333333332</v>
      </c>
      <c r="BL50" s="105">
        <f t="shared" si="58"/>
        <v>24.444444444444443</v>
      </c>
      <c r="BM50" s="105">
        <f t="shared" si="59"/>
        <v>20.952380952380953</v>
      </c>
      <c r="BN50" s="105">
        <f t="shared" si="60"/>
        <v>18.333333333333332</v>
      </c>
      <c r="BO50" s="105">
        <f t="shared" si="61"/>
        <v>16.296296296296294</v>
      </c>
      <c r="BP50" s="105">
        <f t="shared" si="62"/>
        <v>14.666666666666666</v>
      </c>
      <c r="BQ50" s="105">
        <f t="shared" si="63"/>
        <v>13.333333333333334</v>
      </c>
      <c r="BR50" s="105">
        <f t="shared" si="64"/>
        <v>12.222222222222221</v>
      </c>
      <c r="BS50" s="105">
        <f t="shared" si="65"/>
        <v>11.282051282051283</v>
      </c>
      <c r="BT50" s="105">
        <f t="shared" si="66"/>
        <v>10.476190476190476</v>
      </c>
      <c r="BU50" s="105">
        <f t="shared" si="67"/>
        <v>9.7777777777777768</v>
      </c>
      <c r="BV50" s="105">
        <f t="shared" si="68"/>
        <v>9.1666666666666661</v>
      </c>
      <c r="BW50" s="109">
        <f t="shared" si="69"/>
        <v>110</v>
      </c>
      <c r="BX50" s="105">
        <f t="shared" si="70"/>
        <v>55</v>
      </c>
      <c r="BY50" s="105">
        <f t="shared" si="71"/>
        <v>36.666666666666664</v>
      </c>
      <c r="BZ50" s="105">
        <f t="shared" si="72"/>
        <v>27.5</v>
      </c>
      <c r="CA50" s="105">
        <f t="shared" si="73"/>
        <v>22</v>
      </c>
      <c r="CB50" s="105">
        <f t="shared" si="74"/>
        <v>18.333333333333332</v>
      </c>
      <c r="CC50" s="105">
        <f t="shared" si="75"/>
        <v>15.714285714285714</v>
      </c>
      <c r="CD50" s="105">
        <f t="shared" si="76"/>
        <v>13.75</v>
      </c>
      <c r="CE50" s="105">
        <f t="shared" si="77"/>
        <v>12.222222222222221</v>
      </c>
      <c r="CF50" s="105">
        <f t="shared" si="78"/>
        <v>11</v>
      </c>
      <c r="CG50" s="105">
        <f t="shared" si="79"/>
        <v>10</v>
      </c>
      <c r="CH50" s="105">
        <f t="shared" si="80"/>
        <v>9.1666666666666661</v>
      </c>
      <c r="CI50" s="105">
        <f t="shared" si="81"/>
        <v>8.4615384615384617</v>
      </c>
      <c r="CJ50" s="105">
        <f t="shared" si="82"/>
        <v>7.8571428571428568</v>
      </c>
      <c r="CK50" s="105">
        <f t="shared" si="83"/>
        <v>7.333333333333333</v>
      </c>
      <c r="CL50" s="105">
        <f t="shared" si="84"/>
        <v>6.875</v>
      </c>
    </row>
    <row r="51" spans="9:90">
      <c r="I51" s="105">
        <v>56</v>
      </c>
      <c r="J51" s="105">
        <f t="shared" si="5"/>
        <v>896</v>
      </c>
      <c r="K51" s="105">
        <f t="shared" si="6"/>
        <v>448</v>
      </c>
      <c r="L51" s="105">
        <f t="shared" si="7"/>
        <v>298.66666666666663</v>
      </c>
      <c r="M51" s="105">
        <f t="shared" si="8"/>
        <v>224</v>
      </c>
      <c r="N51" s="105">
        <f t="shared" si="9"/>
        <v>179.20000000000002</v>
      </c>
      <c r="O51" s="105">
        <f t="shared" si="10"/>
        <v>149.33333333333331</v>
      </c>
      <c r="P51" s="105">
        <f t="shared" si="11"/>
        <v>128</v>
      </c>
      <c r="Q51" s="105">
        <f t="shared" si="12"/>
        <v>112</v>
      </c>
      <c r="R51" s="105">
        <f t="shared" si="13"/>
        <v>99.555555555555543</v>
      </c>
      <c r="S51" s="105">
        <f t="shared" si="14"/>
        <v>89.600000000000009</v>
      </c>
      <c r="T51" s="105">
        <f t="shared" si="15"/>
        <v>81.454545454545453</v>
      </c>
      <c r="U51" s="105">
        <f t="shared" si="16"/>
        <v>74.666666666666657</v>
      </c>
      <c r="V51" s="105">
        <f t="shared" si="17"/>
        <v>68.923076923076934</v>
      </c>
      <c r="W51" s="105">
        <f t="shared" si="18"/>
        <v>64</v>
      </c>
      <c r="X51" s="105">
        <f t="shared" si="19"/>
        <v>59.733333333333334</v>
      </c>
      <c r="Y51" s="105">
        <f t="shared" si="20"/>
        <v>56</v>
      </c>
      <c r="AA51" s="121"/>
      <c r="AB51" s="120"/>
      <c r="AC51" s="105">
        <f t="shared" si="23"/>
        <v>149.33333333333331</v>
      </c>
      <c r="AD51" s="105">
        <f t="shared" si="24"/>
        <v>112</v>
      </c>
      <c r="AE51" s="105">
        <f t="shared" si="25"/>
        <v>89.600000000000009</v>
      </c>
      <c r="AF51" s="105">
        <f t="shared" si="26"/>
        <v>74.666666666666657</v>
      </c>
      <c r="AG51" s="105">
        <f t="shared" si="27"/>
        <v>64</v>
      </c>
      <c r="AH51" s="105">
        <f t="shared" si="28"/>
        <v>56</v>
      </c>
      <c r="AI51" s="105">
        <f t="shared" si="29"/>
        <v>49.777777777777771</v>
      </c>
      <c r="AJ51" s="105">
        <f t="shared" si="30"/>
        <v>44.800000000000004</v>
      </c>
      <c r="AK51" s="105">
        <f t="shared" si="31"/>
        <v>40.727272727272727</v>
      </c>
      <c r="AL51" s="105">
        <f t="shared" si="32"/>
        <v>37.333333333333329</v>
      </c>
      <c r="AM51" s="105">
        <f t="shared" si="33"/>
        <v>34.461538461538467</v>
      </c>
      <c r="AN51" s="105">
        <f t="shared" si="34"/>
        <v>32</v>
      </c>
      <c r="AO51" s="105">
        <f t="shared" si="35"/>
        <v>29.866666666666667</v>
      </c>
      <c r="AP51" s="105">
        <f t="shared" si="36"/>
        <v>28</v>
      </c>
      <c r="AQ51" s="121"/>
      <c r="AR51" s="105">
        <f t="shared" si="38"/>
        <v>112</v>
      </c>
      <c r="AS51" s="105">
        <f t="shared" si="39"/>
        <v>74.666666666666657</v>
      </c>
      <c r="AT51" s="105">
        <f t="shared" si="40"/>
        <v>56</v>
      </c>
      <c r="AU51" s="105">
        <f t="shared" si="41"/>
        <v>44.800000000000004</v>
      </c>
      <c r="AV51" s="105">
        <f t="shared" si="42"/>
        <v>37.333333333333329</v>
      </c>
      <c r="AW51" s="105">
        <f t="shared" si="43"/>
        <v>32</v>
      </c>
      <c r="AX51" s="105">
        <f t="shared" si="44"/>
        <v>28</v>
      </c>
      <c r="AY51" s="105">
        <f t="shared" si="45"/>
        <v>24.888888888888886</v>
      </c>
      <c r="AZ51" s="105">
        <f t="shared" si="46"/>
        <v>22.400000000000002</v>
      </c>
      <c r="BA51" s="105">
        <f t="shared" si="47"/>
        <v>20.363636363636363</v>
      </c>
      <c r="BB51" s="105">
        <f t="shared" si="48"/>
        <v>18.666666666666664</v>
      </c>
      <c r="BC51" s="105">
        <f t="shared" si="49"/>
        <v>17.230769230769234</v>
      </c>
      <c r="BD51" s="105">
        <f t="shared" si="50"/>
        <v>16</v>
      </c>
      <c r="BE51" s="105">
        <f t="shared" si="51"/>
        <v>14.933333333333334</v>
      </c>
      <c r="BF51" s="110">
        <f t="shared" si="52"/>
        <v>14</v>
      </c>
      <c r="BG51" s="105">
        <f t="shared" si="53"/>
        <v>149.33333333333334</v>
      </c>
      <c r="BH51" s="105">
        <f t="shared" si="54"/>
        <v>74.666666666666671</v>
      </c>
      <c r="BI51" s="105">
        <f t="shared" si="55"/>
        <v>49.777777777777771</v>
      </c>
      <c r="BJ51" s="105">
        <f t="shared" si="56"/>
        <v>37.333333333333336</v>
      </c>
      <c r="BK51" s="105">
        <f t="shared" si="57"/>
        <v>29.866666666666671</v>
      </c>
      <c r="BL51" s="105">
        <f t="shared" si="58"/>
        <v>24.888888888888886</v>
      </c>
      <c r="BM51" s="105">
        <f t="shared" si="59"/>
        <v>21.333333333333332</v>
      </c>
      <c r="BN51" s="105">
        <f t="shared" si="60"/>
        <v>18.666666666666668</v>
      </c>
      <c r="BO51" s="105">
        <f t="shared" si="61"/>
        <v>16.592592592592592</v>
      </c>
      <c r="BP51" s="105">
        <f t="shared" si="62"/>
        <v>14.933333333333335</v>
      </c>
      <c r="BQ51" s="105">
        <f t="shared" si="63"/>
        <v>13.575757575757576</v>
      </c>
      <c r="BR51" s="105">
        <f t="shared" si="64"/>
        <v>12.444444444444443</v>
      </c>
      <c r="BS51" s="105">
        <f t="shared" si="65"/>
        <v>11.487179487179489</v>
      </c>
      <c r="BT51" s="105">
        <f t="shared" si="66"/>
        <v>10.666666666666666</v>
      </c>
      <c r="BU51" s="105">
        <f t="shared" si="67"/>
        <v>9.9555555555555557</v>
      </c>
      <c r="BV51" s="105">
        <f t="shared" si="68"/>
        <v>9.3333333333333339</v>
      </c>
      <c r="BW51" s="109">
        <f t="shared" si="69"/>
        <v>112</v>
      </c>
      <c r="BX51" s="105">
        <f t="shared" si="70"/>
        <v>56</v>
      </c>
      <c r="BY51" s="105">
        <f t="shared" si="71"/>
        <v>37.333333333333329</v>
      </c>
      <c r="BZ51" s="105">
        <f t="shared" si="72"/>
        <v>28</v>
      </c>
      <c r="CA51" s="105">
        <f t="shared" si="73"/>
        <v>22.400000000000002</v>
      </c>
      <c r="CB51" s="105">
        <f t="shared" si="74"/>
        <v>18.666666666666664</v>
      </c>
      <c r="CC51" s="105">
        <f t="shared" si="75"/>
        <v>16</v>
      </c>
      <c r="CD51" s="105">
        <f t="shared" si="76"/>
        <v>14</v>
      </c>
      <c r="CE51" s="105">
        <f t="shared" si="77"/>
        <v>12.444444444444443</v>
      </c>
      <c r="CF51" s="105">
        <f t="shared" si="78"/>
        <v>11.200000000000001</v>
      </c>
      <c r="CG51" s="105">
        <f t="shared" si="79"/>
        <v>10.181818181818182</v>
      </c>
      <c r="CH51" s="105">
        <f t="shared" si="80"/>
        <v>9.3333333333333321</v>
      </c>
      <c r="CI51" s="105">
        <f t="shared" si="81"/>
        <v>8.6153846153846168</v>
      </c>
      <c r="CJ51" s="105">
        <f t="shared" si="82"/>
        <v>8</v>
      </c>
      <c r="CK51" s="105">
        <f t="shared" si="83"/>
        <v>7.4666666666666668</v>
      </c>
      <c r="CL51" s="105">
        <f t="shared" si="84"/>
        <v>7</v>
      </c>
    </row>
    <row r="52" spans="9:90">
      <c r="I52" s="105">
        <v>57</v>
      </c>
      <c r="J52" s="105">
        <f t="shared" si="5"/>
        <v>912</v>
      </c>
      <c r="K52" s="105">
        <f t="shared" si="6"/>
        <v>456</v>
      </c>
      <c r="L52" s="105">
        <f t="shared" si="7"/>
        <v>304</v>
      </c>
      <c r="M52" s="105">
        <f t="shared" si="8"/>
        <v>228</v>
      </c>
      <c r="N52" s="105">
        <f t="shared" si="9"/>
        <v>182.4</v>
      </c>
      <c r="O52" s="105">
        <f t="shared" si="10"/>
        <v>152</v>
      </c>
      <c r="P52" s="105">
        <f t="shared" si="11"/>
        <v>130.28571428571428</v>
      </c>
      <c r="Q52" s="105">
        <f t="shared" si="12"/>
        <v>114</v>
      </c>
      <c r="R52" s="105">
        <f t="shared" si="13"/>
        <v>101.33333333333333</v>
      </c>
      <c r="S52" s="105">
        <f t="shared" si="14"/>
        <v>91.2</v>
      </c>
      <c r="T52" s="105">
        <f t="shared" si="15"/>
        <v>82.909090909090907</v>
      </c>
      <c r="U52" s="105">
        <f t="shared" si="16"/>
        <v>76</v>
      </c>
      <c r="V52" s="105">
        <f t="shared" si="17"/>
        <v>70.15384615384616</v>
      </c>
      <c r="W52" s="105">
        <f t="shared" si="18"/>
        <v>65.142857142857139</v>
      </c>
      <c r="X52" s="105">
        <f t="shared" si="19"/>
        <v>60.8</v>
      </c>
      <c r="Y52" s="105">
        <f t="shared" si="20"/>
        <v>57</v>
      </c>
      <c r="AA52" s="121"/>
      <c r="AB52" s="120"/>
      <c r="AC52" s="105">
        <f t="shared" si="23"/>
        <v>152</v>
      </c>
      <c r="AD52" s="105">
        <f t="shared" si="24"/>
        <v>114</v>
      </c>
      <c r="AE52" s="105">
        <f t="shared" si="25"/>
        <v>91.2</v>
      </c>
      <c r="AF52" s="105">
        <f t="shared" si="26"/>
        <v>76</v>
      </c>
      <c r="AG52" s="105">
        <f t="shared" si="27"/>
        <v>65.142857142857139</v>
      </c>
      <c r="AH52" s="105">
        <f t="shared" si="28"/>
        <v>57</v>
      </c>
      <c r="AI52" s="105">
        <f t="shared" si="29"/>
        <v>50.666666666666664</v>
      </c>
      <c r="AJ52" s="105">
        <f t="shared" si="30"/>
        <v>45.6</v>
      </c>
      <c r="AK52" s="105">
        <f t="shared" si="31"/>
        <v>41.454545454545453</v>
      </c>
      <c r="AL52" s="105">
        <f t="shared" si="32"/>
        <v>38</v>
      </c>
      <c r="AM52" s="105">
        <f t="shared" si="33"/>
        <v>35.07692307692308</v>
      </c>
      <c r="AN52" s="105">
        <f t="shared" si="34"/>
        <v>32.571428571428569</v>
      </c>
      <c r="AO52" s="105">
        <f t="shared" si="35"/>
        <v>30.4</v>
      </c>
      <c r="AP52" s="105">
        <f t="shared" si="36"/>
        <v>28.5</v>
      </c>
      <c r="AQ52" s="121"/>
      <c r="AR52" s="105">
        <f t="shared" si="38"/>
        <v>114</v>
      </c>
      <c r="AS52" s="105">
        <f t="shared" si="39"/>
        <v>76</v>
      </c>
      <c r="AT52" s="105">
        <f t="shared" si="40"/>
        <v>57</v>
      </c>
      <c r="AU52" s="105">
        <f t="shared" si="41"/>
        <v>45.6</v>
      </c>
      <c r="AV52" s="105">
        <f t="shared" si="42"/>
        <v>38</v>
      </c>
      <c r="AW52" s="105">
        <f t="shared" si="43"/>
        <v>32.571428571428569</v>
      </c>
      <c r="AX52" s="105">
        <f t="shared" si="44"/>
        <v>28.5</v>
      </c>
      <c r="AY52" s="105">
        <f t="shared" si="45"/>
        <v>25.333333333333332</v>
      </c>
      <c r="AZ52" s="105">
        <f t="shared" si="46"/>
        <v>22.8</v>
      </c>
      <c r="BA52" s="105">
        <f t="shared" si="47"/>
        <v>20.727272727272727</v>
      </c>
      <c r="BB52" s="105">
        <f t="shared" si="48"/>
        <v>19</v>
      </c>
      <c r="BC52" s="105">
        <f t="shared" si="49"/>
        <v>17.53846153846154</v>
      </c>
      <c r="BD52" s="105">
        <f t="shared" si="50"/>
        <v>16.285714285714285</v>
      </c>
      <c r="BE52" s="105">
        <f t="shared" si="51"/>
        <v>15.2</v>
      </c>
      <c r="BF52" s="110">
        <f t="shared" si="52"/>
        <v>14.25</v>
      </c>
      <c r="BG52" s="105">
        <f t="shared" si="53"/>
        <v>152</v>
      </c>
      <c r="BH52" s="105">
        <f t="shared" si="54"/>
        <v>76</v>
      </c>
      <c r="BI52" s="105">
        <f t="shared" si="55"/>
        <v>50.666666666666664</v>
      </c>
      <c r="BJ52" s="105">
        <f t="shared" si="56"/>
        <v>38</v>
      </c>
      <c r="BK52" s="105">
        <f t="shared" si="57"/>
        <v>30.400000000000002</v>
      </c>
      <c r="BL52" s="105">
        <f t="shared" si="58"/>
        <v>25.333333333333332</v>
      </c>
      <c r="BM52" s="105">
        <f t="shared" si="59"/>
        <v>21.714285714285712</v>
      </c>
      <c r="BN52" s="105">
        <f t="shared" si="60"/>
        <v>19</v>
      </c>
      <c r="BO52" s="105">
        <f t="shared" si="61"/>
        <v>16.888888888888889</v>
      </c>
      <c r="BP52" s="105">
        <f t="shared" si="62"/>
        <v>15.200000000000001</v>
      </c>
      <c r="BQ52" s="105">
        <f t="shared" si="63"/>
        <v>13.818181818181818</v>
      </c>
      <c r="BR52" s="105">
        <f t="shared" si="64"/>
        <v>12.666666666666666</v>
      </c>
      <c r="BS52" s="105">
        <f t="shared" si="65"/>
        <v>11.692307692307693</v>
      </c>
      <c r="BT52" s="105">
        <f t="shared" si="66"/>
        <v>10.857142857142856</v>
      </c>
      <c r="BU52" s="105">
        <f t="shared" si="67"/>
        <v>10.133333333333333</v>
      </c>
      <c r="BV52" s="105">
        <f t="shared" si="68"/>
        <v>9.5</v>
      </c>
      <c r="BW52" s="109">
        <f t="shared" si="69"/>
        <v>114</v>
      </c>
      <c r="BX52" s="105">
        <f t="shared" si="70"/>
        <v>57</v>
      </c>
      <c r="BY52" s="105">
        <f t="shared" si="71"/>
        <v>38</v>
      </c>
      <c r="BZ52" s="105">
        <f t="shared" si="72"/>
        <v>28.5</v>
      </c>
      <c r="CA52" s="105">
        <f t="shared" si="73"/>
        <v>22.8</v>
      </c>
      <c r="CB52" s="105">
        <f t="shared" si="74"/>
        <v>19</v>
      </c>
      <c r="CC52" s="105">
        <f t="shared" si="75"/>
        <v>16.285714285714285</v>
      </c>
      <c r="CD52" s="105">
        <f t="shared" si="76"/>
        <v>14.25</v>
      </c>
      <c r="CE52" s="105">
        <f t="shared" si="77"/>
        <v>12.666666666666666</v>
      </c>
      <c r="CF52" s="105">
        <f t="shared" si="78"/>
        <v>11.4</v>
      </c>
      <c r="CG52" s="105">
        <f t="shared" si="79"/>
        <v>10.363636363636363</v>
      </c>
      <c r="CH52" s="105">
        <f t="shared" si="80"/>
        <v>9.5</v>
      </c>
      <c r="CI52" s="105">
        <f t="shared" si="81"/>
        <v>8.7692307692307701</v>
      </c>
      <c r="CJ52" s="105">
        <f t="shared" si="82"/>
        <v>8.1428571428571423</v>
      </c>
      <c r="CK52" s="105">
        <f t="shared" si="83"/>
        <v>7.6</v>
      </c>
      <c r="CL52" s="105">
        <f t="shared" si="84"/>
        <v>7.125</v>
      </c>
    </row>
    <row r="53" spans="9:90">
      <c r="I53" s="105">
        <v>58</v>
      </c>
      <c r="J53" s="105">
        <f t="shared" si="5"/>
        <v>928</v>
      </c>
      <c r="K53" s="105">
        <f t="shared" si="6"/>
        <v>464</v>
      </c>
      <c r="L53" s="105">
        <f t="shared" si="7"/>
        <v>309.33333333333331</v>
      </c>
      <c r="M53" s="105">
        <f t="shared" si="8"/>
        <v>232</v>
      </c>
      <c r="N53" s="105">
        <f t="shared" si="9"/>
        <v>185.60000000000002</v>
      </c>
      <c r="O53" s="105">
        <f t="shared" si="10"/>
        <v>154.66666666666666</v>
      </c>
      <c r="P53" s="105">
        <f t="shared" si="11"/>
        <v>132.57142857142856</v>
      </c>
      <c r="Q53" s="105">
        <f t="shared" si="12"/>
        <v>116</v>
      </c>
      <c r="R53" s="105">
        <f t="shared" si="13"/>
        <v>103.1111111111111</v>
      </c>
      <c r="S53" s="105">
        <f t="shared" si="14"/>
        <v>92.800000000000011</v>
      </c>
      <c r="T53" s="105">
        <f t="shared" si="15"/>
        <v>84.36363636363636</v>
      </c>
      <c r="U53" s="105">
        <f t="shared" si="16"/>
        <v>77.333333333333329</v>
      </c>
      <c r="V53" s="105">
        <f t="shared" si="17"/>
        <v>71.384615384615387</v>
      </c>
      <c r="W53" s="105">
        <f t="shared" si="18"/>
        <v>66.285714285714278</v>
      </c>
      <c r="X53" s="105">
        <f t="shared" si="19"/>
        <v>61.866666666666667</v>
      </c>
      <c r="Y53" s="105">
        <f t="shared" si="20"/>
        <v>58</v>
      </c>
      <c r="AA53" s="121"/>
      <c r="AB53" s="120"/>
      <c r="AC53" s="105">
        <f t="shared" si="23"/>
        <v>154.66666666666666</v>
      </c>
      <c r="AD53" s="105">
        <f t="shared" si="24"/>
        <v>116</v>
      </c>
      <c r="AE53" s="105">
        <f t="shared" si="25"/>
        <v>92.800000000000011</v>
      </c>
      <c r="AF53" s="105">
        <f t="shared" si="26"/>
        <v>77.333333333333329</v>
      </c>
      <c r="AG53" s="105">
        <f t="shared" si="27"/>
        <v>66.285714285714278</v>
      </c>
      <c r="AH53" s="105">
        <f t="shared" si="28"/>
        <v>58</v>
      </c>
      <c r="AI53" s="105">
        <f t="shared" si="29"/>
        <v>51.55555555555555</v>
      </c>
      <c r="AJ53" s="105">
        <f t="shared" si="30"/>
        <v>46.400000000000006</v>
      </c>
      <c r="AK53" s="105">
        <f t="shared" si="31"/>
        <v>42.18181818181818</v>
      </c>
      <c r="AL53" s="105">
        <f t="shared" si="32"/>
        <v>38.666666666666664</v>
      </c>
      <c r="AM53" s="105">
        <f t="shared" si="33"/>
        <v>35.692307692307693</v>
      </c>
      <c r="AN53" s="105">
        <f t="shared" si="34"/>
        <v>33.142857142857139</v>
      </c>
      <c r="AO53" s="105">
        <f t="shared" si="35"/>
        <v>30.933333333333334</v>
      </c>
      <c r="AP53" s="105">
        <f t="shared" si="36"/>
        <v>29</v>
      </c>
      <c r="AQ53" s="121"/>
      <c r="AR53" s="105">
        <f t="shared" si="38"/>
        <v>116</v>
      </c>
      <c r="AS53" s="105">
        <f t="shared" si="39"/>
        <v>77.333333333333329</v>
      </c>
      <c r="AT53" s="105">
        <f t="shared" si="40"/>
        <v>58</v>
      </c>
      <c r="AU53" s="105">
        <f t="shared" si="41"/>
        <v>46.400000000000006</v>
      </c>
      <c r="AV53" s="105">
        <f t="shared" si="42"/>
        <v>38.666666666666664</v>
      </c>
      <c r="AW53" s="105">
        <f t="shared" si="43"/>
        <v>33.142857142857139</v>
      </c>
      <c r="AX53" s="105">
        <f t="shared" si="44"/>
        <v>29</v>
      </c>
      <c r="AY53" s="105">
        <f t="shared" si="45"/>
        <v>25.777777777777775</v>
      </c>
      <c r="AZ53" s="105">
        <f t="shared" si="46"/>
        <v>23.200000000000003</v>
      </c>
      <c r="BA53" s="105">
        <f t="shared" si="47"/>
        <v>21.09090909090909</v>
      </c>
      <c r="BB53" s="105">
        <f t="shared" si="48"/>
        <v>19.333333333333332</v>
      </c>
      <c r="BC53" s="105">
        <f t="shared" si="49"/>
        <v>17.846153846153847</v>
      </c>
      <c r="BD53" s="105">
        <f t="shared" si="50"/>
        <v>16.571428571428569</v>
      </c>
      <c r="BE53" s="105">
        <f t="shared" si="51"/>
        <v>15.466666666666667</v>
      </c>
      <c r="BF53" s="110">
        <f t="shared" si="52"/>
        <v>14.5</v>
      </c>
      <c r="BG53" s="105">
        <f t="shared" si="53"/>
        <v>154.66666666666666</v>
      </c>
      <c r="BH53" s="105">
        <f t="shared" si="54"/>
        <v>77.333333333333329</v>
      </c>
      <c r="BI53" s="105">
        <f t="shared" si="55"/>
        <v>51.55555555555555</v>
      </c>
      <c r="BJ53" s="105">
        <f t="shared" si="56"/>
        <v>38.666666666666664</v>
      </c>
      <c r="BK53" s="105">
        <f t="shared" si="57"/>
        <v>30.933333333333337</v>
      </c>
      <c r="BL53" s="105">
        <f t="shared" si="58"/>
        <v>25.777777777777775</v>
      </c>
      <c r="BM53" s="105">
        <f t="shared" si="59"/>
        <v>22.095238095238091</v>
      </c>
      <c r="BN53" s="105">
        <f t="shared" si="60"/>
        <v>19.333333333333332</v>
      </c>
      <c r="BO53" s="105">
        <f t="shared" si="61"/>
        <v>17.185185185185183</v>
      </c>
      <c r="BP53" s="105">
        <f t="shared" si="62"/>
        <v>15.466666666666669</v>
      </c>
      <c r="BQ53" s="105">
        <f t="shared" si="63"/>
        <v>14.060606060606061</v>
      </c>
      <c r="BR53" s="105">
        <f t="shared" si="64"/>
        <v>12.888888888888888</v>
      </c>
      <c r="BS53" s="105">
        <f t="shared" si="65"/>
        <v>11.897435897435898</v>
      </c>
      <c r="BT53" s="105">
        <f t="shared" si="66"/>
        <v>11.047619047619046</v>
      </c>
      <c r="BU53" s="105">
        <f t="shared" si="67"/>
        <v>10.311111111111112</v>
      </c>
      <c r="BV53" s="105">
        <f t="shared" si="68"/>
        <v>9.6666666666666661</v>
      </c>
      <c r="BW53" s="109">
        <f t="shared" si="69"/>
        <v>116</v>
      </c>
      <c r="BX53" s="105">
        <f t="shared" si="70"/>
        <v>58</v>
      </c>
      <c r="BY53" s="105">
        <f t="shared" si="71"/>
        <v>38.666666666666664</v>
      </c>
      <c r="BZ53" s="105">
        <f t="shared" si="72"/>
        <v>29</v>
      </c>
      <c r="CA53" s="105">
        <f t="shared" si="73"/>
        <v>23.200000000000003</v>
      </c>
      <c r="CB53" s="105">
        <f t="shared" si="74"/>
        <v>19.333333333333332</v>
      </c>
      <c r="CC53" s="105">
        <f t="shared" si="75"/>
        <v>16.571428571428569</v>
      </c>
      <c r="CD53" s="105">
        <f t="shared" si="76"/>
        <v>14.5</v>
      </c>
      <c r="CE53" s="105">
        <f t="shared" si="77"/>
        <v>12.888888888888888</v>
      </c>
      <c r="CF53" s="105">
        <f t="shared" si="78"/>
        <v>11.600000000000001</v>
      </c>
      <c r="CG53" s="105">
        <f t="shared" si="79"/>
        <v>10.545454545454545</v>
      </c>
      <c r="CH53" s="105">
        <f t="shared" si="80"/>
        <v>9.6666666666666661</v>
      </c>
      <c r="CI53" s="105">
        <f t="shared" si="81"/>
        <v>8.9230769230769234</v>
      </c>
      <c r="CJ53" s="105">
        <f t="shared" si="82"/>
        <v>8.2857142857142847</v>
      </c>
      <c r="CK53" s="105">
        <f t="shared" si="83"/>
        <v>7.7333333333333334</v>
      </c>
      <c r="CL53" s="105">
        <f t="shared" si="84"/>
        <v>7.25</v>
      </c>
    </row>
    <row r="54" spans="9:90">
      <c r="I54" s="105">
        <v>59</v>
      </c>
      <c r="J54" s="105">
        <f t="shared" si="5"/>
        <v>944</v>
      </c>
      <c r="K54" s="105">
        <f t="shared" si="6"/>
        <v>472</v>
      </c>
      <c r="L54" s="105">
        <f t="shared" si="7"/>
        <v>314.66666666666663</v>
      </c>
      <c r="M54" s="105">
        <f t="shared" si="8"/>
        <v>236</v>
      </c>
      <c r="N54" s="105">
        <f t="shared" si="9"/>
        <v>188.8</v>
      </c>
      <c r="O54" s="105">
        <f t="shared" si="10"/>
        <v>157.33333333333331</v>
      </c>
      <c r="P54" s="105">
        <f t="shared" si="11"/>
        <v>134.85714285714286</v>
      </c>
      <c r="Q54" s="105">
        <f t="shared" si="12"/>
        <v>118</v>
      </c>
      <c r="R54" s="105">
        <f t="shared" si="13"/>
        <v>104.88888888888889</v>
      </c>
      <c r="S54" s="105">
        <f t="shared" si="14"/>
        <v>94.4</v>
      </c>
      <c r="T54" s="105">
        <f t="shared" si="15"/>
        <v>85.818181818181827</v>
      </c>
      <c r="U54" s="105">
        <f t="shared" si="16"/>
        <v>78.666666666666657</v>
      </c>
      <c r="V54" s="105">
        <f t="shared" si="17"/>
        <v>72.615384615384613</v>
      </c>
      <c r="W54" s="105">
        <f t="shared" si="18"/>
        <v>67.428571428571431</v>
      </c>
      <c r="X54" s="105">
        <f t="shared" si="19"/>
        <v>62.93333333333333</v>
      </c>
      <c r="Y54" s="105">
        <f t="shared" si="20"/>
        <v>59</v>
      </c>
      <c r="AA54" s="121"/>
      <c r="AB54" s="120"/>
      <c r="AC54" s="105">
        <f t="shared" si="23"/>
        <v>157.33333333333331</v>
      </c>
      <c r="AD54" s="105">
        <f t="shared" si="24"/>
        <v>118</v>
      </c>
      <c r="AE54" s="105">
        <f t="shared" si="25"/>
        <v>94.4</v>
      </c>
      <c r="AF54" s="105">
        <f t="shared" si="26"/>
        <v>78.666666666666657</v>
      </c>
      <c r="AG54" s="105">
        <f t="shared" si="27"/>
        <v>67.428571428571431</v>
      </c>
      <c r="AH54" s="105">
        <f t="shared" si="28"/>
        <v>59</v>
      </c>
      <c r="AI54" s="105">
        <f t="shared" si="29"/>
        <v>52.444444444444443</v>
      </c>
      <c r="AJ54" s="105">
        <f t="shared" si="30"/>
        <v>47.2</v>
      </c>
      <c r="AK54" s="105">
        <f t="shared" si="31"/>
        <v>42.909090909090914</v>
      </c>
      <c r="AL54" s="105">
        <f t="shared" si="32"/>
        <v>39.333333333333329</v>
      </c>
      <c r="AM54" s="105">
        <f t="shared" si="33"/>
        <v>36.307692307692307</v>
      </c>
      <c r="AN54" s="105">
        <f t="shared" si="34"/>
        <v>33.714285714285715</v>
      </c>
      <c r="AO54" s="105">
        <f t="shared" si="35"/>
        <v>31.466666666666665</v>
      </c>
      <c r="AP54" s="105">
        <f t="shared" si="36"/>
        <v>29.5</v>
      </c>
      <c r="AQ54" s="121"/>
      <c r="AR54" s="105">
        <f t="shared" si="38"/>
        <v>118</v>
      </c>
      <c r="AS54" s="105">
        <f t="shared" si="39"/>
        <v>78.666666666666657</v>
      </c>
      <c r="AT54" s="105">
        <f t="shared" si="40"/>
        <v>59</v>
      </c>
      <c r="AU54" s="105">
        <f t="shared" si="41"/>
        <v>47.2</v>
      </c>
      <c r="AV54" s="105">
        <f t="shared" si="42"/>
        <v>39.333333333333329</v>
      </c>
      <c r="AW54" s="105">
        <f t="shared" si="43"/>
        <v>33.714285714285715</v>
      </c>
      <c r="AX54" s="105">
        <f t="shared" si="44"/>
        <v>29.5</v>
      </c>
      <c r="AY54" s="105">
        <f t="shared" si="45"/>
        <v>26.222222222222221</v>
      </c>
      <c r="AZ54" s="105">
        <f t="shared" si="46"/>
        <v>23.6</v>
      </c>
      <c r="BA54" s="105">
        <f t="shared" si="47"/>
        <v>21.454545454545457</v>
      </c>
      <c r="BB54" s="105">
        <f t="shared" si="48"/>
        <v>19.666666666666664</v>
      </c>
      <c r="BC54" s="105">
        <f t="shared" si="49"/>
        <v>18.153846153846153</v>
      </c>
      <c r="BD54" s="105">
        <f t="shared" si="50"/>
        <v>16.857142857142858</v>
      </c>
      <c r="BE54" s="105">
        <f t="shared" si="51"/>
        <v>15.733333333333333</v>
      </c>
      <c r="BF54" s="110">
        <f t="shared" si="52"/>
        <v>14.75</v>
      </c>
      <c r="BG54" s="105">
        <f t="shared" si="53"/>
        <v>157.33333333333334</v>
      </c>
      <c r="BH54" s="105">
        <f t="shared" si="54"/>
        <v>78.666666666666671</v>
      </c>
      <c r="BI54" s="105">
        <f t="shared" si="55"/>
        <v>52.444444444444436</v>
      </c>
      <c r="BJ54" s="105">
        <f t="shared" si="56"/>
        <v>39.333333333333336</v>
      </c>
      <c r="BK54" s="105">
        <f t="shared" si="57"/>
        <v>31.466666666666669</v>
      </c>
      <c r="BL54" s="105">
        <f t="shared" si="58"/>
        <v>26.222222222222218</v>
      </c>
      <c r="BM54" s="105">
        <f t="shared" si="59"/>
        <v>22.476190476190478</v>
      </c>
      <c r="BN54" s="105">
        <f t="shared" si="60"/>
        <v>19.666666666666668</v>
      </c>
      <c r="BO54" s="105">
        <f t="shared" si="61"/>
        <v>17.481481481481481</v>
      </c>
      <c r="BP54" s="105">
        <f t="shared" si="62"/>
        <v>15.733333333333334</v>
      </c>
      <c r="BQ54" s="105">
        <f t="shared" si="63"/>
        <v>14.303030303030305</v>
      </c>
      <c r="BR54" s="105">
        <f t="shared" si="64"/>
        <v>13.111111111111109</v>
      </c>
      <c r="BS54" s="105">
        <f t="shared" si="65"/>
        <v>12.102564102564102</v>
      </c>
      <c r="BT54" s="105">
        <f t="shared" si="66"/>
        <v>11.238095238095239</v>
      </c>
      <c r="BU54" s="105">
        <f t="shared" si="67"/>
        <v>10.488888888888889</v>
      </c>
      <c r="BV54" s="105">
        <f t="shared" si="68"/>
        <v>9.8333333333333339</v>
      </c>
      <c r="BW54" s="109">
        <f t="shared" si="69"/>
        <v>118</v>
      </c>
      <c r="BX54" s="105">
        <f t="shared" si="70"/>
        <v>59</v>
      </c>
      <c r="BY54" s="105">
        <f t="shared" si="71"/>
        <v>39.333333333333329</v>
      </c>
      <c r="BZ54" s="105">
        <f t="shared" si="72"/>
        <v>29.5</v>
      </c>
      <c r="CA54" s="105">
        <f t="shared" si="73"/>
        <v>23.6</v>
      </c>
      <c r="CB54" s="105">
        <f t="shared" si="74"/>
        <v>19.666666666666664</v>
      </c>
      <c r="CC54" s="105">
        <f t="shared" si="75"/>
        <v>16.857142857142858</v>
      </c>
      <c r="CD54" s="105">
        <f t="shared" si="76"/>
        <v>14.75</v>
      </c>
      <c r="CE54" s="105">
        <f t="shared" si="77"/>
        <v>13.111111111111111</v>
      </c>
      <c r="CF54" s="105">
        <f t="shared" si="78"/>
        <v>11.8</v>
      </c>
      <c r="CG54" s="105">
        <f t="shared" si="79"/>
        <v>10.727272727272728</v>
      </c>
      <c r="CH54" s="105">
        <f t="shared" si="80"/>
        <v>9.8333333333333321</v>
      </c>
      <c r="CI54" s="105">
        <f t="shared" si="81"/>
        <v>9.0769230769230766</v>
      </c>
      <c r="CJ54" s="105">
        <f t="shared" si="82"/>
        <v>8.4285714285714288</v>
      </c>
      <c r="CK54" s="105">
        <f t="shared" si="83"/>
        <v>7.8666666666666663</v>
      </c>
      <c r="CL54" s="105">
        <f t="shared" si="84"/>
        <v>7.375</v>
      </c>
    </row>
    <row r="55" spans="9:90">
      <c r="I55" s="105">
        <v>60</v>
      </c>
      <c r="J55" s="105">
        <f t="shared" si="5"/>
        <v>960</v>
      </c>
      <c r="K55" s="105">
        <f t="shared" si="6"/>
        <v>480</v>
      </c>
      <c r="L55" s="105">
        <f t="shared" si="7"/>
        <v>320</v>
      </c>
      <c r="M55" s="105">
        <f t="shared" si="8"/>
        <v>240</v>
      </c>
      <c r="N55" s="105">
        <f t="shared" si="9"/>
        <v>192</v>
      </c>
      <c r="O55" s="105">
        <f t="shared" si="10"/>
        <v>160</v>
      </c>
      <c r="P55" s="105">
        <f t="shared" si="11"/>
        <v>137.14285714285714</v>
      </c>
      <c r="Q55" s="105">
        <f t="shared" si="12"/>
        <v>120</v>
      </c>
      <c r="R55" s="105">
        <f t="shared" si="13"/>
        <v>106.66666666666666</v>
      </c>
      <c r="S55" s="105">
        <f t="shared" si="14"/>
        <v>96</v>
      </c>
      <c r="T55" s="105">
        <f t="shared" si="15"/>
        <v>87.27272727272728</v>
      </c>
      <c r="U55" s="105">
        <f t="shared" si="16"/>
        <v>80</v>
      </c>
      <c r="V55" s="105">
        <f t="shared" si="17"/>
        <v>73.846153846153854</v>
      </c>
      <c r="W55" s="105">
        <f t="shared" si="18"/>
        <v>68.571428571428569</v>
      </c>
      <c r="X55" s="105">
        <f t="shared" si="19"/>
        <v>64</v>
      </c>
      <c r="Y55" s="105">
        <f t="shared" si="20"/>
        <v>60</v>
      </c>
      <c r="AA55" s="121"/>
      <c r="AB55" s="120"/>
      <c r="AC55" s="105">
        <f t="shared" si="23"/>
        <v>160</v>
      </c>
      <c r="AD55" s="105">
        <f t="shared" si="24"/>
        <v>120</v>
      </c>
      <c r="AE55" s="105">
        <f t="shared" si="25"/>
        <v>96</v>
      </c>
      <c r="AF55" s="105">
        <f t="shared" si="26"/>
        <v>80</v>
      </c>
      <c r="AG55" s="105">
        <f t="shared" si="27"/>
        <v>68.571428571428569</v>
      </c>
      <c r="AH55" s="105">
        <f t="shared" si="28"/>
        <v>60</v>
      </c>
      <c r="AI55" s="105">
        <f t="shared" si="29"/>
        <v>53.333333333333329</v>
      </c>
      <c r="AJ55" s="105">
        <f t="shared" si="30"/>
        <v>48</v>
      </c>
      <c r="AK55" s="105">
        <f t="shared" si="31"/>
        <v>43.63636363636364</v>
      </c>
      <c r="AL55" s="105">
        <f t="shared" si="32"/>
        <v>40</v>
      </c>
      <c r="AM55" s="105">
        <f t="shared" si="33"/>
        <v>36.923076923076927</v>
      </c>
      <c r="AN55" s="105">
        <f t="shared" si="34"/>
        <v>34.285714285714285</v>
      </c>
      <c r="AO55" s="105">
        <f t="shared" si="35"/>
        <v>32</v>
      </c>
      <c r="AP55" s="105">
        <f t="shared" si="36"/>
        <v>30</v>
      </c>
      <c r="AQ55" s="121"/>
      <c r="AR55" s="105">
        <f t="shared" si="38"/>
        <v>120</v>
      </c>
      <c r="AS55" s="105">
        <f t="shared" si="39"/>
        <v>80</v>
      </c>
      <c r="AT55" s="105">
        <f t="shared" si="40"/>
        <v>60</v>
      </c>
      <c r="AU55" s="105">
        <f t="shared" si="41"/>
        <v>48</v>
      </c>
      <c r="AV55" s="105">
        <f t="shared" si="42"/>
        <v>40</v>
      </c>
      <c r="AW55" s="105">
        <f t="shared" si="43"/>
        <v>34.285714285714285</v>
      </c>
      <c r="AX55" s="105">
        <f t="shared" si="44"/>
        <v>30</v>
      </c>
      <c r="AY55" s="105">
        <f t="shared" si="45"/>
        <v>26.666666666666664</v>
      </c>
      <c r="AZ55" s="105">
        <f t="shared" si="46"/>
        <v>24</v>
      </c>
      <c r="BA55" s="105">
        <f t="shared" si="47"/>
        <v>21.81818181818182</v>
      </c>
      <c r="BB55" s="105">
        <f t="shared" si="48"/>
        <v>20</v>
      </c>
      <c r="BC55" s="105">
        <f t="shared" si="49"/>
        <v>18.461538461538463</v>
      </c>
      <c r="BD55" s="105">
        <f t="shared" si="50"/>
        <v>17.142857142857142</v>
      </c>
      <c r="BE55" s="105">
        <f t="shared" si="51"/>
        <v>16</v>
      </c>
      <c r="BF55" s="110">
        <f t="shared" si="52"/>
        <v>15</v>
      </c>
      <c r="BG55" s="105">
        <f t="shared" si="53"/>
        <v>160</v>
      </c>
      <c r="BH55" s="105">
        <f t="shared" si="54"/>
        <v>80</v>
      </c>
      <c r="BI55" s="105">
        <f t="shared" si="55"/>
        <v>53.333333333333336</v>
      </c>
      <c r="BJ55" s="105">
        <f t="shared" si="56"/>
        <v>40</v>
      </c>
      <c r="BK55" s="105">
        <f t="shared" si="57"/>
        <v>32</v>
      </c>
      <c r="BL55" s="105">
        <f t="shared" si="58"/>
        <v>26.666666666666668</v>
      </c>
      <c r="BM55" s="105">
        <f t="shared" si="59"/>
        <v>22.857142857142858</v>
      </c>
      <c r="BN55" s="105">
        <f t="shared" si="60"/>
        <v>20</v>
      </c>
      <c r="BO55" s="105">
        <f t="shared" si="61"/>
        <v>17.777777777777775</v>
      </c>
      <c r="BP55" s="105">
        <f t="shared" si="62"/>
        <v>16</v>
      </c>
      <c r="BQ55" s="105">
        <f t="shared" si="63"/>
        <v>14.545454545454547</v>
      </c>
      <c r="BR55" s="105">
        <f t="shared" si="64"/>
        <v>13.333333333333334</v>
      </c>
      <c r="BS55" s="105">
        <f t="shared" si="65"/>
        <v>12.307692307692308</v>
      </c>
      <c r="BT55" s="105">
        <f t="shared" si="66"/>
        <v>11.428571428571429</v>
      </c>
      <c r="BU55" s="105">
        <f t="shared" si="67"/>
        <v>10.666666666666666</v>
      </c>
      <c r="BV55" s="105">
        <f t="shared" si="68"/>
        <v>10</v>
      </c>
      <c r="BW55" s="109">
        <f t="shared" si="69"/>
        <v>120</v>
      </c>
      <c r="BX55" s="105">
        <f t="shared" si="70"/>
        <v>60</v>
      </c>
      <c r="BY55" s="105">
        <f t="shared" si="71"/>
        <v>40</v>
      </c>
      <c r="BZ55" s="105">
        <f t="shared" si="72"/>
        <v>30</v>
      </c>
      <c r="CA55" s="105">
        <f t="shared" si="73"/>
        <v>24</v>
      </c>
      <c r="CB55" s="105">
        <f t="shared" si="74"/>
        <v>20</v>
      </c>
      <c r="CC55" s="105">
        <f t="shared" si="75"/>
        <v>17.142857142857142</v>
      </c>
      <c r="CD55" s="105">
        <f t="shared" si="76"/>
        <v>15</v>
      </c>
      <c r="CE55" s="105">
        <f t="shared" si="77"/>
        <v>13.333333333333332</v>
      </c>
      <c r="CF55" s="105">
        <f t="shared" si="78"/>
        <v>12</v>
      </c>
      <c r="CG55" s="105">
        <f t="shared" si="79"/>
        <v>10.90909090909091</v>
      </c>
      <c r="CH55" s="105">
        <f t="shared" si="80"/>
        <v>10</v>
      </c>
      <c r="CI55" s="105">
        <f t="shared" si="81"/>
        <v>9.2307692307692317</v>
      </c>
      <c r="CJ55" s="105">
        <f t="shared" si="82"/>
        <v>8.5714285714285712</v>
      </c>
      <c r="CK55" s="105">
        <f t="shared" si="83"/>
        <v>8</v>
      </c>
      <c r="CL55" s="105">
        <f t="shared" si="84"/>
        <v>7.5</v>
      </c>
    </row>
    <row r="56" spans="9:90">
      <c r="I56" s="105">
        <v>61</v>
      </c>
      <c r="J56" s="105">
        <f t="shared" si="5"/>
        <v>976</v>
      </c>
      <c r="K56" s="105">
        <f t="shared" si="6"/>
        <v>488</v>
      </c>
      <c r="L56" s="105">
        <f t="shared" si="7"/>
        <v>325.33333333333331</v>
      </c>
      <c r="M56" s="105">
        <f t="shared" si="8"/>
        <v>244</v>
      </c>
      <c r="N56" s="105">
        <f t="shared" si="9"/>
        <v>195.20000000000002</v>
      </c>
      <c r="O56" s="105">
        <f t="shared" si="10"/>
        <v>162.66666666666666</v>
      </c>
      <c r="P56" s="105">
        <f t="shared" si="11"/>
        <v>139.42857142857142</v>
      </c>
      <c r="Q56" s="105">
        <f t="shared" si="12"/>
        <v>122</v>
      </c>
      <c r="R56" s="105">
        <f t="shared" si="13"/>
        <v>108.44444444444444</v>
      </c>
      <c r="S56" s="105">
        <f t="shared" si="14"/>
        <v>97.600000000000009</v>
      </c>
      <c r="T56" s="105">
        <f t="shared" si="15"/>
        <v>88.727272727272734</v>
      </c>
      <c r="U56" s="105">
        <f t="shared" si="16"/>
        <v>81.333333333333329</v>
      </c>
      <c r="V56" s="105">
        <f t="shared" si="17"/>
        <v>75.07692307692308</v>
      </c>
      <c r="W56" s="105">
        <f t="shared" si="18"/>
        <v>69.714285714285708</v>
      </c>
      <c r="X56" s="105">
        <f t="shared" si="19"/>
        <v>65.066666666666663</v>
      </c>
      <c r="Y56" s="105">
        <f t="shared" si="20"/>
        <v>61</v>
      </c>
      <c r="AA56" s="121"/>
      <c r="AB56" s="120"/>
      <c r="AC56" s="105">
        <f t="shared" si="23"/>
        <v>162.66666666666666</v>
      </c>
      <c r="AD56" s="105">
        <f t="shared" si="24"/>
        <v>122</v>
      </c>
      <c r="AE56" s="105">
        <f t="shared" si="25"/>
        <v>97.600000000000009</v>
      </c>
      <c r="AF56" s="105">
        <f t="shared" si="26"/>
        <v>81.333333333333329</v>
      </c>
      <c r="AG56" s="105">
        <f t="shared" si="27"/>
        <v>69.714285714285708</v>
      </c>
      <c r="AH56" s="105">
        <f t="shared" si="28"/>
        <v>61</v>
      </c>
      <c r="AI56" s="105">
        <f t="shared" si="29"/>
        <v>54.222222222222221</v>
      </c>
      <c r="AJ56" s="105">
        <f t="shared" si="30"/>
        <v>48.800000000000004</v>
      </c>
      <c r="AK56" s="105">
        <f t="shared" si="31"/>
        <v>44.363636363636367</v>
      </c>
      <c r="AL56" s="105">
        <f t="shared" si="32"/>
        <v>40.666666666666664</v>
      </c>
      <c r="AM56" s="105">
        <f t="shared" si="33"/>
        <v>37.53846153846154</v>
      </c>
      <c r="AN56" s="105">
        <f t="shared" si="34"/>
        <v>34.857142857142854</v>
      </c>
      <c r="AO56" s="105">
        <f t="shared" si="35"/>
        <v>32.533333333333331</v>
      </c>
      <c r="AP56" s="105">
        <f t="shared" si="36"/>
        <v>30.5</v>
      </c>
      <c r="AQ56" s="121"/>
      <c r="AR56" s="105">
        <f t="shared" si="38"/>
        <v>122</v>
      </c>
      <c r="AS56" s="105">
        <f t="shared" si="39"/>
        <v>81.333333333333329</v>
      </c>
      <c r="AT56" s="105">
        <f t="shared" si="40"/>
        <v>61</v>
      </c>
      <c r="AU56" s="105">
        <f t="shared" si="41"/>
        <v>48.800000000000004</v>
      </c>
      <c r="AV56" s="105">
        <f t="shared" si="42"/>
        <v>40.666666666666664</v>
      </c>
      <c r="AW56" s="105">
        <f t="shared" si="43"/>
        <v>34.857142857142854</v>
      </c>
      <c r="AX56" s="105">
        <f t="shared" si="44"/>
        <v>30.5</v>
      </c>
      <c r="AY56" s="105">
        <f t="shared" si="45"/>
        <v>27.111111111111111</v>
      </c>
      <c r="AZ56" s="105">
        <f t="shared" si="46"/>
        <v>24.400000000000002</v>
      </c>
      <c r="BA56" s="105">
        <f t="shared" si="47"/>
        <v>22.181818181818183</v>
      </c>
      <c r="BB56" s="105">
        <f t="shared" si="48"/>
        <v>20.333333333333332</v>
      </c>
      <c r="BC56" s="105">
        <f t="shared" si="49"/>
        <v>18.76923076923077</v>
      </c>
      <c r="BD56" s="105">
        <f t="shared" si="50"/>
        <v>17.428571428571427</v>
      </c>
      <c r="BE56" s="105">
        <f t="shared" si="51"/>
        <v>16.266666666666666</v>
      </c>
      <c r="BF56" s="110">
        <f t="shared" si="52"/>
        <v>15.25</v>
      </c>
      <c r="BG56" s="105">
        <f t="shared" si="53"/>
        <v>162.66666666666666</v>
      </c>
      <c r="BH56" s="105">
        <f t="shared" si="54"/>
        <v>81.333333333333329</v>
      </c>
      <c r="BI56" s="105">
        <f t="shared" si="55"/>
        <v>54.222222222222221</v>
      </c>
      <c r="BJ56" s="105">
        <f t="shared" si="56"/>
        <v>40.666666666666664</v>
      </c>
      <c r="BK56" s="105">
        <f t="shared" si="57"/>
        <v>32.533333333333339</v>
      </c>
      <c r="BL56" s="105">
        <f t="shared" si="58"/>
        <v>27.111111111111111</v>
      </c>
      <c r="BM56" s="105">
        <f t="shared" si="59"/>
        <v>23.238095238095237</v>
      </c>
      <c r="BN56" s="105">
        <f t="shared" si="60"/>
        <v>20.333333333333332</v>
      </c>
      <c r="BO56" s="105">
        <f t="shared" si="61"/>
        <v>18.074074074074073</v>
      </c>
      <c r="BP56" s="105">
        <f t="shared" si="62"/>
        <v>16.266666666666669</v>
      </c>
      <c r="BQ56" s="105">
        <f t="shared" si="63"/>
        <v>14.787878787878789</v>
      </c>
      <c r="BR56" s="105">
        <f t="shared" si="64"/>
        <v>13.555555555555555</v>
      </c>
      <c r="BS56" s="105">
        <f t="shared" si="65"/>
        <v>12.512820512820513</v>
      </c>
      <c r="BT56" s="105">
        <f t="shared" si="66"/>
        <v>11.619047619047619</v>
      </c>
      <c r="BU56" s="105">
        <f t="shared" si="67"/>
        <v>10.844444444444443</v>
      </c>
      <c r="BV56" s="105">
        <f t="shared" si="68"/>
        <v>10.166666666666666</v>
      </c>
      <c r="BW56" s="109">
        <f t="shared" si="69"/>
        <v>122</v>
      </c>
      <c r="BX56" s="105">
        <f t="shared" si="70"/>
        <v>61</v>
      </c>
      <c r="BY56" s="105">
        <f t="shared" si="71"/>
        <v>40.666666666666664</v>
      </c>
      <c r="BZ56" s="105">
        <f t="shared" si="72"/>
        <v>30.5</v>
      </c>
      <c r="CA56" s="105">
        <f t="shared" si="73"/>
        <v>24.400000000000002</v>
      </c>
      <c r="CB56" s="105">
        <f t="shared" si="74"/>
        <v>20.333333333333332</v>
      </c>
      <c r="CC56" s="105">
        <f t="shared" si="75"/>
        <v>17.428571428571427</v>
      </c>
      <c r="CD56" s="105">
        <f t="shared" si="76"/>
        <v>15.25</v>
      </c>
      <c r="CE56" s="105">
        <f t="shared" si="77"/>
        <v>13.555555555555555</v>
      </c>
      <c r="CF56" s="105">
        <f t="shared" si="78"/>
        <v>12.200000000000001</v>
      </c>
      <c r="CG56" s="105">
        <f t="shared" si="79"/>
        <v>11.090909090909092</v>
      </c>
      <c r="CH56" s="105">
        <f t="shared" si="80"/>
        <v>10.166666666666666</v>
      </c>
      <c r="CI56" s="105">
        <f t="shared" si="81"/>
        <v>9.384615384615385</v>
      </c>
      <c r="CJ56" s="105">
        <f t="shared" si="82"/>
        <v>8.7142857142857135</v>
      </c>
      <c r="CK56" s="105">
        <f t="shared" si="83"/>
        <v>8.1333333333333329</v>
      </c>
      <c r="CL56" s="105">
        <f t="shared" si="84"/>
        <v>7.625</v>
      </c>
    </row>
    <row r="57" spans="9:90">
      <c r="I57" s="105">
        <v>62</v>
      </c>
      <c r="J57" s="105">
        <f t="shared" si="5"/>
        <v>992</v>
      </c>
      <c r="K57" s="105">
        <f t="shared" si="6"/>
        <v>496</v>
      </c>
      <c r="L57" s="105">
        <f t="shared" si="7"/>
        <v>330.66666666666663</v>
      </c>
      <c r="M57" s="105">
        <f t="shared" si="8"/>
        <v>248</v>
      </c>
      <c r="N57" s="105">
        <f t="shared" si="9"/>
        <v>198.4</v>
      </c>
      <c r="O57" s="105">
        <f t="shared" si="10"/>
        <v>165.33333333333331</v>
      </c>
      <c r="P57" s="105">
        <f t="shared" si="11"/>
        <v>141.71428571428569</v>
      </c>
      <c r="Q57" s="105">
        <f t="shared" si="12"/>
        <v>124</v>
      </c>
      <c r="R57" s="105">
        <f t="shared" si="13"/>
        <v>110.22222222222221</v>
      </c>
      <c r="S57" s="105">
        <f t="shared" si="14"/>
        <v>99.2</v>
      </c>
      <c r="T57" s="105">
        <f t="shared" si="15"/>
        <v>90.181818181818187</v>
      </c>
      <c r="U57" s="105">
        <f t="shared" si="16"/>
        <v>82.666666666666657</v>
      </c>
      <c r="V57" s="105">
        <f t="shared" si="17"/>
        <v>76.307692307692307</v>
      </c>
      <c r="W57" s="105">
        <f t="shared" si="18"/>
        <v>70.857142857142847</v>
      </c>
      <c r="X57" s="105">
        <f t="shared" si="19"/>
        <v>66.133333333333326</v>
      </c>
      <c r="Y57" s="105">
        <f t="shared" si="20"/>
        <v>62</v>
      </c>
      <c r="AA57" s="121"/>
      <c r="AB57" s="120"/>
      <c r="AC57" s="105">
        <f t="shared" si="23"/>
        <v>165.33333333333331</v>
      </c>
      <c r="AD57" s="105">
        <f t="shared" si="24"/>
        <v>124</v>
      </c>
      <c r="AE57" s="105">
        <f t="shared" si="25"/>
        <v>99.2</v>
      </c>
      <c r="AF57" s="105">
        <f t="shared" si="26"/>
        <v>82.666666666666657</v>
      </c>
      <c r="AG57" s="105">
        <f t="shared" si="27"/>
        <v>70.857142857142847</v>
      </c>
      <c r="AH57" s="105">
        <f t="shared" si="28"/>
        <v>62</v>
      </c>
      <c r="AI57" s="105">
        <f t="shared" si="29"/>
        <v>55.111111111111107</v>
      </c>
      <c r="AJ57" s="105">
        <f t="shared" si="30"/>
        <v>49.6</v>
      </c>
      <c r="AK57" s="105">
        <f t="shared" si="31"/>
        <v>45.090909090909093</v>
      </c>
      <c r="AL57" s="105">
        <f t="shared" si="32"/>
        <v>41.333333333333329</v>
      </c>
      <c r="AM57" s="105">
        <f t="shared" si="33"/>
        <v>38.153846153846153</v>
      </c>
      <c r="AN57" s="105">
        <f t="shared" si="34"/>
        <v>35.428571428571423</v>
      </c>
      <c r="AO57" s="105">
        <f t="shared" si="35"/>
        <v>33.066666666666663</v>
      </c>
      <c r="AP57" s="105">
        <f t="shared" si="36"/>
        <v>31</v>
      </c>
      <c r="AQ57" s="121"/>
      <c r="AR57" s="105">
        <f t="shared" si="38"/>
        <v>124</v>
      </c>
      <c r="AS57" s="105">
        <f t="shared" si="39"/>
        <v>82.666666666666657</v>
      </c>
      <c r="AT57" s="105">
        <f t="shared" si="40"/>
        <v>62</v>
      </c>
      <c r="AU57" s="105">
        <f t="shared" si="41"/>
        <v>49.6</v>
      </c>
      <c r="AV57" s="105">
        <f t="shared" si="42"/>
        <v>41.333333333333329</v>
      </c>
      <c r="AW57" s="105">
        <f t="shared" si="43"/>
        <v>35.428571428571423</v>
      </c>
      <c r="AX57" s="105">
        <f t="shared" si="44"/>
        <v>31</v>
      </c>
      <c r="AY57" s="105">
        <f t="shared" si="45"/>
        <v>27.555555555555554</v>
      </c>
      <c r="AZ57" s="105">
        <f t="shared" si="46"/>
        <v>24.8</v>
      </c>
      <c r="BA57" s="105">
        <f t="shared" si="47"/>
        <v>22.545454545454547</v>
      </c>
      <c r="BB57" s="105">
        <f t="shared" si="48"/>
        <v>20.666666666666664</v>
      </c>
      <c r="BC57" s="105">
        <f t="shared" si="49"/>
        <v>19.076923076923077</v>
      </c>
      <c r="BD57" s="105">
        <f t="shared" si="50"/>
        <v>17.714285714285712</v>
      </c>
      <c r="BE57" s="105">
        <f t="shared" si="51"/>
        <v>16.533333333333331</v>
      </c>
      <c r="BF57" s="110">
        <f t="shared" si="52"/>
        <v>15.5</v>
      </c>
      <c r="BG57" s="105">
        <f t="shared" si="53"/>
        <v>165.33333333333334</v>
      </c>
      <c r="BH57" s="105">
        <f t="shared" si="54"/>
        <v>82.666666666666671</v>
      </c>
      <c r="BI57" s="105">
        <f t="shared" si="55"/>
        <v>55.111111111111107</v>
      </c>
      <c r="BJ57" s="105">
        <f t="shared" si="56"/>
        <v>41.333333333333336</v>
      </c>
      <c r="BK57" s="105">
        <f t="shared" si="57"/>
        <v>33.06666666666667</v>
      </c>
      <c r="BL57" s="105">
        <f t="shared" si="58"/>
        <v>27.555555555555554</v>
      </c>
      <c r="BM57" s="105">
        <f t="shared" si="59"/>
        <v>23.619047619047617</v>
      </c>
      <c r="BN57" s="105">
        <f t="shared" si="60"/>
        <v>20.666666666666668</v>
      </c>
      <c r="BO57" s="105">
        <f t="shared" si="61"/>
        <v>18.37037037037037</v>
      </c>
      <c r="BP57" s="105">
        <f t="shared" si="62"/>
        <v>16.533333333333335</v>
      </c>
      <c r="BQ57" s="105">
        <f t="shared" si="63"/>
        <v>15.030303030303031</v>
      </c>
      <c r="BR57" s="105">
        <f t="shared" si="64"/>
        <v>13.777777777777777</v>
      </c>
      <c r="BS57" s="105">
        <f t="shared" si="65"/>
        <v>12.717948717948717</v>
      </c>
      <c r="BT57" s="105">
        <f t="shared" si="66"/>
        <v>11.809523809523808</v>
      </c>
      <c r="BU57" s="105">
        <f t="shared" si="67"/>
        <v>11.02222222222222</v>
      </c>
      <c r="BV57" s="105">
        <f t="shared" si="68"/>
        <v>10.333333333333334</v>
      </c>
      <c r="BW57" s="109">
        <f t="shared" si="69"/>
        <v>124</v>
      </c>
      <c r="BX57" s="105">
        <f t="shared" si="70"/>
        <v>62</v>
      </c>
      <c r="BY57" s="105">
        <f t="shared" si="71"/>
        <v>41.333333333333329</v>
      </c>
      <c r="BZ57" s="105">
        <f t="shared" si="72"/>
        <v>31</v>
      </c>
      <c r="CA57" s="105">
        <f t="shared" si="73"/>
        <v>24.8</v>
      </c>
      <c r="CB57" s="105">
        <f t="shared" si="74"/>
        <v>20.666666666666664</v>
      </c>
      <c r="CC57" s="105">
        <f t="shared" si="75"/>
        <v>17.714285714285712</v>
      </c>
      <c r="CD57" s="105">
        <f t="shared" si="76"/>
        <v>15.5</v>
      </c>
      <c r="CE57" s="105">
        <f t="shared" si="77"/>
        <v>13.777777777777777</v>
      </c>
      <c r="CF57" s="105">
        <f t="shared" si="78"/>
        <v>12.4</v>
      </c>
      <c r="CG57" s="105">
        <f t="shared" si="79"/>
        <v>11.272727272727273</v>
      </c>
      <c r="CH57" s="105">
        <f t="shared" si="80"/>
        <v>10.333333333333332</v>
      </c>
      <c r="CI57" s="105">
        <f t="shared" si="81"/>
        <v>9.5384615384615383</v>
      </c>
      <c r="CJ57" s="105">
        <f t="shared" si="82"/>
        <v>8.8571428571428559</v>
      </c>
      <c r="CK57" s="105">
        <f t="shared" si="83"/>
        <v>8.2666666666666657</v>
      </c>
      <c r="CL57" s="105">
        <f t="shared" si="84"/>
        <v>7.75</v>
      </c>
    </row>
    <row r="58" spans="9:90">
      <c r="I58" s="105">
        <v>63</v>
      </c>
      <c r="J58" s="105">
        <f t="shared" si="5"/>
        <v>1008</v>
      </c>
      <c r="K58" s="105">
        <f t="shared" si="6"/>
        <v>504</v>
      </c>
      <c r="L58" s="105">
        <f t="shared" si="7"/>
        <v>336</v>
      </c>
      <c r="M58" s="105">
        <f t="shared" si="8"/>
        <v>252</v>
      </c>
      <c r="N58" s="105">
        <f t="shared" si="9"/>
        <v>201.60000000000002</v>
      </c>
      <c r="O58" s="105">
        <f t="shared" si="10"/>
        <v>168</v>
      </c>
      <c r="P58" s="105">
        <f t="shared" si="11"/>
        <v>144</v>
      </c>
      <c r="Q58" s="105">
        <f t="shared" si="12"/>
        <v>126</v>
      </c>
      <c r="R58" s="105">
        <f t="shared" si="13"/>
        <v>112</v>
      </c>
      <c r="S58" s="105">
        <f t="shared" si="14"/>
        <v>100.80000000000001</v>
      </c>
      <c r="T58" s="105">
        <f t="shared" si="15"/>
        <v>91.63636363636364</v>
      </c>
      <c r="U58" s="105">
        <f t="shared" si="16"/>
        <v>84</v>
      </c>
      <c r="V58" s="105">
        <f t="shared" si="17"/>
        <v>77.538461538461547</v>
      </c>
      <c r="W58" s="105">
        <f t="shared" si="18"/>
        <v>72</v>
      </c>
      <c r="X58" s="105">
        <f t="shared" si="19"/>
        <v>67.2</v>
      </c>
      <c r="Y58" s="105">
        <f t="shared" si="20"/>
        <v>63</v>
      </c>
      <c r="AA58" s="121"/>
      <c r="AB58" s="120"/>
      <c r="AC58" s="105">
        <f t="shared" si="23"/>
        <v>168</v>
      </c>
      <c r="AD58" s="105">
        <f t="shared" si="24"/>
        <v>126</v>
      </c>
      <c r="AE58" s="105">
        <f t="shared" si="25"/>
        <v>100.80000000000001</v>
      </c>
      <c r="AF58" s="105">
        <f t="shared" si="26"/>
        <v>84</v>
      </c>
      <c r="AG58" s="105">
        <f t="shared" si="27"/>
        <v>72</v>
      </c>
      <c r="AH58" s="105">
        <f t="shared" si="28"/>
        <v>63</v>
      </c>
      <c r="AI58" s="105">
        <f t="shared" si="29"/>
        <v>56</v>
      </c>
      <c r="AJ58" s="105">
        <f t="shared" si="30"/>
        <v>50.400000000000006</v>
      </c>
      <c r="AK58" s="105">
        <f t="shared" si="31"/>
        <v>45.81818181818182</v>
      </c>
      <c r="AL58" s="105">
        <f t="shared" si="32"/>
        <v>42</v>
      </c>
      <c r="AM58" s="105">
        <f t="shared" si="33"/>
        <v>38.769230769230774</v>
      </c>
      <c r="AN58" s="105">
        <f t="shared" si="34"/>
        <v>36</v>
      </c>
      <c r="AO58" s="105">
        <f t="shared" si="35"/>
        <v>33.6</v>
      </c>
      <c r="AP58" s="105">
        <f t="shared" si="36"/>
        <v>31.5</v>
      </c>
      <c r="AQ58" s="121"/>
      <c r="AR58" s="105">
        <f t="shared" si="38"/>
        <v>126</v>
      </c>
      <c r="AS58" s="105">
        <f t="shared" si="39"/>
        <v>84</v>
      </c>
      <c r="AT58" s="105">
        <f t="shared" si="40"/>
        <v>63</v>
      </c>
      <c r="AU58" s="105">
        <f t="shared" si="41"/>
        <v>50.400000000000006</v>
      </c>
      <c r="AV58" s="105">
        <f t="shared" si="42"/>
        <v>42</v>
      </c>
      <c r="AW58" s="105">
        <f t="shared" si="43"/>
        <v>36</v>
      </c>
      <c r="AX58" s="105">
        <f t="shared" si="44"/>
        <v>31.5</v>
      </c>
      <c r="AY58" s="105">
        <f t="shared" si="45"/>
        <v>28</v>
      </c>
      <c r="AZ58" s="105">
        <f t="shared" si="46"/>
        <v>25.200000000000003</v>
      </c>
      <c r="BA58" s="105">
        <f t="shared" si="47"/>
        <v>22.90909090909091</v>
      </c>
      <c r="BB58" s="105">
        <f t="shared" si="48"/>
        <v>21</v>
      </c>
      <c r="BC58" s="105">
        <f t="shared" si="49"/>
        <v>19.384615384615387</v>
      </c>
      <c r="BD58" s="105">
        <f t="shared" si="50"/>
        <v>18</v>
      </c>
      <c r="BE58" s="105">
        <f t="shared" si="51"/>
        <v>16.8</v>
      </c>
      <c r="BF58" s="110">
        <f t="shared" si="52"/>
        <v>15.75</v>
      </c>
      <c r="BG58" s="105">
        <f t="shared" si="53"/>
        <v>168</v>
      </c>
      <c r="BH58" s="105">
        <f t="shared" si="54"/>
        <v>84</v>
      </c>
      <c r="BI58" s="105">
        <f t="shared" si="55"/>
        <v>56</v>
      </c>
      <c r="BJ58" s="105">
        <f t="shared" si="56"/>
        <v>42</v>
      </c>
      <c r="BK58" s="105">
        <f t="shared" si="57"/>
        <v>33.6</v>
      </c>
      <c r="BL58" s="105">
        <f t="shared" si="58"/>
        <v>28</v>
      </c>
      <c r="BM58" s="105">
        <f t="shared" si="59"/>
        <v>24</v>
      </c>
      <c r="BN58" s="105">
        <f t="shared" si="60"/>
        <v>21</v>
      </c>
      <c r="BO58" s="105">
        <f t="shared" si="61"/>
        <v>18.666666666666668</v>
      </c>
      <c r="BP58" s="105">
        <f t="shared" si="62"/>
        <v>16.8</v>
      </c>
      <c r="BQ58" s="105">
        <f t="shared" si="63"/>
        <v>15.272727272727273</v>
      </c>
      <c r="BR58" s="105">
        <f t="shared" si="64"/>
        <v>14</v>
      </c>
      <c r="BS58" s="105">
        <f t="shared" si="65"/>
        <v>12.923076923076925</v>
      </c>
      <c r="BT58" s="105">
        <f t="shared" si="66"/>
        <v>12</v>
      </c>
      <c r="BU58" s="105">
        <f t="shared" si="67"/>
        <v>11.200000000000001</v>
      </c>
      <c r="BV58" s="105">
        <f t="shared" si="68"/>
        <v>10.5</v>
      </c>
      <c r="BW58" s="109">
        <f t="shared" si="69"/>
        <v>126</v>
      </c>
      <c r="BX58" s="105">
        <f t="shared" si="70"/>
        <v>63</v>
      </c>
      <c r="BY58" s="105">
        <f t="shared" si="71"/>
        <v>42</v>
      </c>
      <c r="BZ58" s="105">
        <f t="shared" si="72"/>
        <v>31.5</v>
      </c>
      <c r="CA58" s="105">
        <f t="shared" si="73"/>
        <v>25.200000000000003</v>
      </c>
      <c r="CB58" s="105">
        <f t="shared" si="74"/>
        <v>21</v>
      </c>
      <c r="CC58" s="105">
        <f t="shared" si="75"/>
        <v>18</v>
      </c>
      <c r="CD58" s="105">
        <f t="shared" si="76"/>
        <v>15.75</v>
      </c>
      <c r="CE58" s="105">
        <f t="shared" si="77"/>
        <v>14</v>
      </c>
      <c r="CF58" s="105">
        <f t="shared" si="78"/>
        <v>12.600000000000001</v>
      </c>
      <c r="CG58" s="105">
        <f t="shared" si="79"/>
        <v>11.454545454545455</v>
      </c>
      <c r="CH58" s="105">
        <f t="shared" si="80"/>
        <v>10.5</v>
      </c>
      <c r="CI58" s="105">
        <f t="shared" si="81"/>
        <v>9.6923076923076934</v>
      </c>
      <c r="CJ58" s="105">
        <f t="shared" si="82"/>
        <v>9</v>
      </c>
      <c r="CK58" s="105">
        <f t="shared" si="83"/>
        <v>8.4</v>
      </c>
      <c r="CL58" s="105">
        <f t="shared" si="84"/>
        <v>7.875</v>
      </c>
    </row>
    <row r="59" spans="9:90">
      <c r="I59" s="105">
        <v>64</v>
      </c>
      <c r="J59" s="105">
        <f t="shared" si="5"/>
        <v>1024</v>
      </c>
      <c r="K59" s="105">
        <f t="shared" si="6"/>
        <v>512</v>
      </c>
      <c r="L59" s="105">
        <f t="shared" si="7"/>
        <v>341.33333333333331</v>
      </c>
      <c r="M59" s="105">
        <f t="shared" si="8"/>
        <v>256</v>
      </c>
      <c r="N59" s="105">
        <f t="shared" si="9"/>
        <v>204.8</v>
      </c>
      <c r="O59" s="105">
        <f t="shared" si="10"/>
        <v>170.66666666666666</v>
      </c>
      <c r="P59" s="105">
        <f t="shared" si="11"/>
        <v>146.28571428571428</v>
      </c>
      <c r="Q59" s="105">
        <f t="shared" si="12"/>
        <v>128</v>
      </c>
      <c r="R59" s="105">
        <f t="shared" si="13"/>
        <v>113.77777777777777</v>
      </c>
      <c r="S59" s="105">
        <f t="shared" si="14"/>
        <v>102.4</v>
      </c>
      <c r="T59" s="105">
        <f t="shared" si="15"/>
        <v>93.090909090909093</v>
      </c>
      <c r="U59" s="105">
        <f t="shared" si="16"/>
        <v>85.333333333333329</v>
      </c>
      <c r="V59" s="105">
        <f t="shared" si="17"/>
        <v>78.769230769230774</v>
      </c>
      <c r="W59" s="105">
        <f t="shared" si="18"/>
        <v>73.142857142857139</v>
      </c>
      <c r="X59" s="105">
        <f t="shared" si="19"/>
        <v>68.266666666666666</v>
      </c>
      <c r="Y59" s="105">
        <f t="shared" si="20"/>
        <v>64</v>
      </c>
      <c r="AA59" s="121"/>
      <c r="AB59" s="120"/>
      <c r="AC59" s="120"/>
      <c r="AD59" s="105">
        <f t="shared" si="24"/>
        <v>128</v>
      </c>
      <c r="AE59" s="105">
        <f t="shared" si="25"/>
        <v>102.4</v>
      </c>
      <c r="AF59" s="105">
        <f t="shared" si="26"/>
        <v>85.333333333333329</v>
      </c>
      <c r="AG59" s="105">
        <f t="shared" si="27"/>
        <v>73.142857142857139</v>
      </c>
      <c r="AH59" s="105">
        <f t="shared" si="28"/>
        <v>64</v>
      </c>
      <c r="AI59" s="105">
        <f t="shared" si="29"/>
        <v>56.888888888888886</v>
      </c>
      <c r="AJ59" s="105">
        <f t="shared" si="30"/>
        <v>51.2</v>
      </c>
      <c r="AK59" s="105">
        <f t="shared" si="31"/>
        <v>46.545454545454547</v>
      </c>
      <c r="AL59" s="105">
        <f t="shared" si="32"/>
        <v>42.666666666666664</v>
      </c>
      <c r="AM59" s="105">
        <f t="shared" si="33"/>
        <v>39.384615384615387</v>
      </c>
      <c r="AN59" s="105">
        <f t="shared" si="34"/>
        <v>36.571428571428569</v>
      </c>
      <c r="AO59" s="105">
        <f t="shared" si="35"/>
        <v>34.133333333333333</v>
      </c>
      <c r="AP59" s="105">
        <f t="shared" si="36"/>
        <v>32</v>
      </c>
      <c r="AQ59" s="121"/>
      <c r="AR59" s="105">
        <f t="shared" si="38"/>
        <v>128</v>
      </c>
      <c r="AS59" s="105">
        <f t="shared" si="39"/>
        <v>85.333333333333329</v>
      </c>
      <c r="AT59" s="105">
        <f t="shared" si="40"/>
        <v>64</v>
      </c>
      <c r="AU59" s="105">
        <f t="shared" si="41"/>
        <v>51.2</v>
      </c>
      <c r="AV59" s="105">
        <f t="shared" si="42"/>
        <v>42.666666666666664</v>
      </c>
      <c r="AW59" s="105">
        <f t="shared" si="43"/>
        <v>36.571428571428569</v>
      </c>
      <c r="AX59" s="105">
        <f t="shared" si="44"/>
        <v>32</v>
      </c>
      <c r="AY59" s="105">
        <f t="shared" si="45"/>
        <v>28.444444444444443</v>
      </c>
      <c r="AZ59" s="105">
        <f t="shared" si="46"/>
        <v>25.6</v>
      </c>
      <c r="BA59" s="105">
        <f t="shared" si="47"/>
        <v>23.272727272727273</v>
      </c>
      <c r="BB59" s="105">
        <f t="shared" si="48"/>
        <v>21.333333333333332</v>
      </c>
      <c r="BC59" s="105">
        <f t="shared" si="49"/>
        <v>19.692307692307693</v>
      </c>
      <c r="BD59" s="105">
        <f t="shared" si="50"/>
        <v>18.285714285714285</v>
      </c>
      <c r="BE59" s="105">
        <f t="shared" si="51"/>
        <v>17.066666666666666</v>
      </c>
      <c r="BF59" s="110">
        <f t="shared" si="52"/>
        <v>16</v>
      </c>
      <c r="BG59" s="120"/>
      <c r="BH59" s="105">
        <f t="shared" si="54"/>
        <v>85.333333333333329</v>
      </c>
      <c r="BI59" s="105">
        <f t="shared" si="55"/>
        <v>56.888888888888886</v>
      </c>
      <c r="BJ59" s="105">
        <f t="shared" si="56"/>
        <v>42.666666666666664</v>
      </c>
      <c r="BK59" s="105">
        <f t="shared" si="57"/>
        <v>34.133333333333333</v>
      </c>
      <c r="BL59" s="105">
        <f t="shared" si="58"/>
        <v>28.444444444444443</v>
      </c>
      <c r="BM59" s="105">
        <f t="shared" si="59"/>
        <v>24.38095238095238</v>
      </c>
      <c r="BN59" s="105">
        <f t="shared" si="60"/>
        <v>21.333333333333332</v>
      </c>
      <c r="BO59" s="105">
        <f t="shared" si="61"/>
        <v>18.962962962962962</v>
      </c>
      <c r="BP59" s="105">
        <f t="shared" si="62"/>
        <v>17.066666666666666</v>
      </c>
      <c r="BQ59" s="105">
        <f t="shared" si="63"/>
        <v>15.515151515151516</v>
      </c>
      <c r="BR59" s="105">
        <f t="shared" si="64"/>
        <v>14.222222222222221</v>
      </c>
      <c r="BS59" s="105">
        <f t="shared" si="65"/>
        <v>13.12820512820513</v>
      </c>
      <c r="BT59" s="105">
        <f t="shared" si="66"/>
        <v>12.19047619047619</v>
      </c>
      <c r="BU59" s="105">
        <f t="shared" si="67"/>
        <v>11.377777777777778</v>
      </c>
      <c r="BV59" s="105">
        <f t="shared" si="68"/>
        <v>10.666666666666666</v>
      </c>
      <c r="BW59" s="109">
        <f t="shared" si="69"/>
        <v>128</v>
      </c>
      <c r="BX59" s="105">
        <f t="shared" si="70"/>
        <v>64</v>
      </c>
      <c r="BY59" s="105">
        <f t="shared" si="71"/>
        <v>42.666666666666664</v>
      </c>
      <c r="BZ59" s="105">
        <f t="shared" si="72"/>
        <v>32</v>
      </c>
      <c r="CA59" s="105">
        <f t="shared" si="73"/>
        <v>25.6</v>
      </c>
      <c r="CB59" s="105">
        <f t="shared" si="74"/>
        <v>21.333333333333332</v>
      </c>
      <c r="CC59" s="105">
        <f t="shared" si="75"/>
        <v>18.285714285714285</v>
      </c>
      <c r="CD59" s="105">
        <f t="shared" si="76"/>
        <v>16</v>
      </c>
      <c r="CE59" s="105">
        <f t="shared" si="77"/>
        <v>14.222222222222221</v>
      </c>
      <c r="CF59" s="105">
        <f t="shared" si="78"/>
        <v>12.8</v>
      </c>
      <c r="CG59" s="105">
        <f t="shared" si="79"/>
        <v>11.636363636363637</v>
      </c>
      <c r="CH59" s="105">
        <f t="shared" si="80"/>
        <v>10.666666666666666</v>
      </c>
      <c r="CI59" s="105">
        <f t="shared" si="81"/>
        <v>9.8461538461538467</v>
      </c>
      <c r="CJ59" s="105">
        <f t="shared" si="82"/>
        <v>9.1428571428571423</v>
      </c>
      <c r="CK59" s="105">
        <f t="shared" si="83"/>
        <v>8.5333333333333332</v>
      </c>
      <c r="CL59" s="105">
        <f t="shared" si="84"/>
        <v>8</v>
      </c>
    </row>
    <row r="60" spans="9:90">
      <c r="I60" s="105">
        <v>65</v>
      </c>
      <c r="J60" s="105">
        <f t="shared" si="5"/>
        <v>1040</v>
      </c>
      <c r="K60" s="105">
        <f t="shared" si="6"/>
        <v>520</v>
      </c>
      <c r="L60" s="105">
        <f t="shared" si="7"/>
        <v>346.66666666666663</v>
      </c>
      <c r="M60" s="105">
        <f t="shared" si="8"/>
        <v>260</v>
      </c>
      <c r="N60" s="105">
        <f t="shared" si="9"/>
        <v>208</v>
      </c>
      <c r="O60" s="105">
        <f t="shared" si="10"/>
        <v>173.33333333333331</v>
      </c>
      <c r="P60" s="105">
        <f t="shared" si="11"/>
        <v>148.57142857142856</v>
      </c>
      <c r="Q60" s="105">
        <f t="shared" si="12"/>
        <v>130</v>
      </c>
      <c r="R60" s="105">
        <f t="shared" si="13"/>
        <v>115.55555555555554</v>
      </c>
      <c r="S60" s="105">
        <f t="shared" si="14"/>
        <v>104</v>
      </c>
      <c r="T60" s="105">
        <f t="shared" si="15"/>
        <v>94.545454545454547</v>
      </c>
      <c r="U60" s="105">
        <f t="shared" si="16"/>
        <v>86.666666666666657</v>
      </c>
      <c r="V60" s="105">
        <f t="shared" si="17"/>
        <v>80</v>
      </c>
      <c r="W60" s="105">
        <f t="shared" si="18"/>
        <v>74.285714285714278</v>
      </c>
      <c r="X60" s="105">
        <f t="shared" si="19"/>
        <v>69.333333333333329</v>
      </c>
      <c r="Y60" s="105">
        <f t="shared" si="20"/>
        <v>65</v>
      </c>
      <c r="AA60" s="121"/>
      <c r="AB60" s="120"/>
      <c r="AC60" s="120"/>
      <c r="AD60" s="105">
        <f t="shared" si="24"/>
        <v>130</v>
      </c>
      <c r="AE60" s="105">
        <f t="shared" si="25"/>
        <v>104</v>
      </c>
      <c r="AF60" s="105">
        <f t="shared" si="26"/>
        <v>86.666666666666657</v>
      </c>
      <c r="AG60" s="105">
        <f t="shared" si="27"/>
        <v>74.285714285714278</v>
      </c>
      <c r="AH60" s="105">
        <f t="shared" si="28"/>
        <v>65</v>
      </c>
      <c r="AI60" s="105">
        <f t="shared" si="29"/>
        <v>57.777777777777771</v>
      </c>
      <c r="AJ60" s="105">
        <f t="shared" si="30"/>
        <v>52</v>
      </c>
      <c r="AK60" s="105">
        <f t="shared" si="31"/>
        <v>47.272727272727273</v>
      </c>
      <c r="AL60" s="105">
        <f t="shared" si="32"/>
        <v>43.333333333333329</v>
      </c>
      <c r="AM60" s="105">
        <f t="shared" si="33"/>
        <v>40</v>
      </c>
      <c r="AN60" s="105">
        <f t="shared" si="34"/>
        <v>37.142857142857139</v>
      </c>
      <c r="AO60" s="105">
        <f t="shared" si="35"/>
        <v>34.666666666666664</v>
      </c>
      <c r="AP60" s="105">
        <f t="shared" si="36"/>
        <v>32.5</v>
      </c>
      <c r="AQ60" s="121"/>
      <c r="AR60" s="105">
        <f t="shared" si="38"/>
        <v>130</v>
      </c>
      <c r="AS60" s="105">
        <f t="shared" si="39"/>
        <v>86.666666666666657</v>
      </c>
      <c r="AT60" s="105">
        <f t="shared" si="40"/>
        <v>65</v>
      </c>
      <c r="AU60" s="105">
        <f t="shared" si="41"/>
        <v>52</v>
      </c>
      <c r="AV60" s="105">
        <f t="shared" si="42"/>
        <v>43.333333333333329</v>
      </c>
      <c r="AW60" s="105">
        <f t="shared" si="43"/>
        <v>37.142857142857139</v>
      </c>
      <c r="AX60" s="105">
        <f t="shared" si="44"/>
        <v>32.5</v>
      </c>
      <c r="AY60" s="105">
        <f t="shared" si="45"/>
        <v>28.888888888888886</v>
      </c>
      <c r="AZ60" s="105">
        <f t="shared" si="46"/>
        <v>26</v>
      </c>
      <c r="BA60" s="105">
        <f t="shared" si="47"/>
        <v>23.636363636363637</v>
      </c>
      <c r="BB60" s="105">
        <f t="shared" si="48"/>
        <v>21.666666666666664</v>
      </c>
      <c r="BC60" s="105">
        <f t="shared" si="49"/>
        <v>20</v>
      </c>
      <c r="BD60" s="105">
        <f t="shared" si="50"/>
        <v>18.571428571428569</v>
      </c>
      <c r="BE60" s="105">
        <f t="shared" si="51"/>
        <v>17.333333333333332</v>
      </c>
      <c r="BF60" s="110">
        <f t="shared" si="52"/>
        <v>16.25</v>
      </c>
      <c r="BG60" s="120"/>
      <c r="BH60" s="105">
        <f t="shared" si="54"/>
        <v>86.666666666666671</v>
      </c>
      <c r="BI60" s="105">
        <f t="shared" si="55"/>
        <v>57.777777777777771</v>
      </c>
      <c r="BJ60" s="105">
        <f t="shared" si="56"/>
        <v>43.333333333333336</v>
      </c>
      <c r="BK60" s="105">
        <f t="shared" si="57"/>
        <v>34.666666666666664</v>
      </c>
      <c r="BL60" s="105">
        <f t="shared" si="58"/>
        <v>28.888888888888886</v>
      </c>
      <c r="BM60" s="105">
        <f t="shared" si="59"/>
        <v>24.761904761904759</v>
      </c>
      <c r="BN60" s="105">
        <f t="shared" si="60"/>
        <v>21.666666666666668</v>
      </c>
      <c r="BO60" s="105">
        <f t="shared" si="61"/>
        <v>19.259259259259256</v>
      </c>
      <c r="BP60" s="105">
        <f t="shared" si="62"/>
        <v>17.333333333333332</v>
      </c>
      <c r="BQ60" s="105">
        <f t="shared" si="63"/>
        <v>15.757575757575758</v>
      </c>
      <c r="BR60" s="105">
        <f t="shared" si="64"/>
        <v>14.444444444444443</v>
      </c>
      <c r="BS60" s="105">
        <f t="shared" si="65"/>
        <v>13.333333333333334</v>
      </c>
      <c r="BT60" s="105">
        <f t="shared" si="66"/>
        <v>12.38095238095238</v>
      </c>
      <c r="BU60" s="105">
        <f t="shared" si="67"/>
        <v>11.555555555555555</v>
      </c>
      <c r="BV60" s="105">
        <f t="shared" si="68"/>
        <v>10.833333333333334</v>
      </c>
      <c r="BW60" s="109">
        <f t="shared" si="69"/>
        <v>130</v>
      </c>
      <c r="BX60" s="105">
        <f t="shared" si="70"/>
        <v>65</v>
      </c>
      <c r="BY60" s="105">
        <f t="shared" si="71"/>
        <v>43.333333333333329</v>
      </c>
      <c r="BZ60" s="105">
        <f t="shared" si="72"/>
        <v>32.5</v>
      </c>
      <c r="CA60" s="105">
        <f t="shared" si="73"/>
        <v>26</v>
      </c>
      <c r="CB60" s="105">
        <f t="shared" si="74"/>
        <v>21.666666666666664</v>
      </c>
      <c r="CC60" s="105">
        <f t="shared" si="75"/>
        <v>18.571428571428569</v>
      </c>
      <c r="CD60" s="105">
        <f t="shared" si="76"/>
        <v>16.25</v>
      </c>
      <c r="CE60" s="105">
        <f t="shared" si="77"/>
        <v>14.444444444444443</v>
      </c>
      <c r="CF60" s="105">
        <f t="shared" si="78"/>
        <v>13</v>
      </c>
      <c r="CG60" s="105">
        <f t="shared" si="79"/>
        <v>11.818181818181818</v>
      </c>
      <c r="CH60" s="105">
        <f t="shared" si="80"/>
        <v>10.833333333333332</v>
      </c>
      <c r="CI60" s="105">
        <f t="shared" si="81"/>
        <v>10</v>
      </c>
      <c r="CJ60" s="105">
        <f t="shared" si="82"/>
        <v>9.2857142857142847</v>
      </c>
      <c r="CK60" s="105">
        <f t="shared" si="83"/>
        <v>8.6666666666666661</v>
      </c>
      <c r="CL60" s="105">
        <f t="shared" si="84"/>
        <v>8.125</v>
      </c>
    </row>
    <row r="61" spans="9:90">
      <c r="I61" s="105">
        <v>66</v>
      </c>
      <c r="J61" s="105">
        <f t="shared" si="5"/>
        <v>1056</v>
      </c>
      <c r="K61" s="105">
        <f t="shared" si="6"/>
        <v>528</v>
      </c>
      <c r="L61" s="105">
        <f t="shared" si="7"/>
        <v>352</v>
      </c>
      <c r="M61" s="105">
        <f t="shared" si="8"/>
        <v>264</v>
      </c>
      <c r="N61" s="105">
        <f t="shared" si="9"/>
        <v>211.20000000000002</v>
      </c>
      <c r="O61" s="105">
        <f t="shared" si="10"/>
        <v>176</v>
      </c>
      <c r="P61" s="105">
        <f t="shared" si="11"/>
        <v>150.85714285714286</v>
      </c>
      <c r="Q61" s="105">
        <f t="shared" si="12"/>
        <v>132</v>
      </c>
      <c r="R61" s="105">
        <f t="shared" si="13"/>
        <v>117.33333333333333</v>
      </c>
      <c r="S61" s="105">
        <f t="shared" si="14"/>
        <v>105.60000000000001</v>
      </c>
      <c r="T61" s="105">
        <f t="shared" si="15"/>
        <v>96</v>
      </c>
      <c r="U61" s="105">
        <f t="shared" si="16"/>
        <v>88</v>
      </c>
      <c r="V61" s="105">
        <f t="shared" si="17"/>
        <v>81.230769230769241</v>
      </c>
      <c r="W61" s="105">
        <f t="shared" si="18"/>
        <v>75.428571428571431</v>
      </c>
      <c r="X61" s="105">
        <f t="shared" si="19"/>
        <v>70.400000000000006</v>
      </c>
      <c r="Y61" s="105">
        <f t="shared" si="20"/>
        <v>66</v>
      </c>
      <c r="AA61" s="121"/>
      <c r="AB61" s="120"/>
      <c r="AC61" s="120"/>
      <c r="AD61" s="105">
        <f t="shared" si="24"/>
        <v>132</v>
      </c>
      <c r="AE61" s="105">
        <f t="shared" si="25"/>
        <v>105.60000000000001</v>
      </c>
      <c r="AF61" s="105">
        <f t="shared" si="26"/>
        <v>88</v>
      </c>
      <c r="AG61" s="105">
        <f t="shared" si="27"/>
        <v>75.428571428571431</v>
      </c>
      <c r="AH61" s="105">
        <f t="shared" si="28"/>
        <v>66</v>
      </c>
      <c r="AI61" s="105">
        <f t="shared" si="29"/>
        <v>58.666666666666664</v>
      </c>
      <c r="AJ61" s="105">
        <f t="shared" si="30"/>
        <v>52.800000000000004</v>
      </c>
      <c r="AK61" s="105">
        <f t="shared" si="31"/>
        <v>48</v>
      </c>
      <c r="AL61" s="105">
        <f t="shared" si="32"/>
        <v>44</v>
      </c>
      <c r="AM61" s="105">
        <f t="shared" si="33"/>
        <v>40.61538461538462</v>
      </c>
      <c r="AN61" s="105">
        <f t="shared" si="34"/>
        <v>37.714285714285715</v>
      </c>
      <c r="AO61" s="105">
        <f t="shared" si="35"/>
        <v>35.200000000000003</v>
      </c>
      <c r="AP61" s="105">
        <f t="shared" si="36"/>
        <v>33</v>
      </c>
      <c r="AQ61" s="121"/>
      <c r="AR61" s="105">
        <f t="shared" si="38"/>
        <v>132</v>
      </c>
      <c r="AS61" s="105">
        <f t="shared" si="39"/>
        <v>88</v>
      </c>
      <c r="AT61" s="105">
        <f t="shared" si="40"/>
        <v>66</v>
      </c>
      <c r="AU61" s="105">
        <f t="shared" si="41"/>
        <v>52.800000000000004</v>
      </c>
      <c r="AV61" s="105">
        <f t="shared" si="42"/>
        <v>44</v>
      </c>
      <c r="AW61" s="105">
        <f t="shared" si="43"/>
        <v>37.714285714285715</v>
      </c>
      <c r="AX61" s="105">
        <f t="shared" si="44"/>
        <v>33</v>
      </c>
      <c r="AY61" s="105">
        <f t="shared" si="45"/>
        <v>29.333333333333332</v>
      </c>
      <c r="AZ61" s="105">
        <f t="shared" si="46"/>
        <v>26.400000000000002</v>
      </c>
      <c r="BA61" s="105">
        <f t="shared" si="47"/>
        <v>24</v>
      </c>
      <c r="BB61" s="105">
        <f t="shared" si="48"/>
        <v>22</v>
      </c>
      <c r="BC61" s="105">
        <f t="shared" si="49"/>
        <v>20.30769230769231</v>
      </c>
      <c r="BD61" s="105">
        <f t="shared" si="50"/>
        <v>18.857142857142858</v>
      </c>
      <c r="BE61" s="105">
        <f t="shared" si="51"/>
        <v>17.600000000000001</v>
      </c>
      <c r="BF61" s="110">
        <f t="shared" si="52"/>
        <v>16.5</v>
      </c>
      <c r="BG61" s="120"/>
      <c r="BH61" s="105">
        <f t="shared" si="54"/>
        <v>88</v>
      </c>
      <c r="BI61" s="105">
        <f t="shared" si="55"/>
        <v>58.666666666666664</v>
      </c>
      <c r="BJ61" s="105">
        <f t="shared" si="56"/>
        <v>44</v>
      </c>
      <c r="BK61" s="105">
        <f t="shared" si="57"/>
        <v>35.200000000000003</v>
      </c>
      <c r="BL61" s="105">
        <f t="shared" si="58"/>
        <v>29.333333333333332</v>
      </c>
      <c r="BM61" s="105">
        <f t="shared" si="59"/>
        <v>25.142857142857142</v>
      </c>
      <c r="BN61" s="105">
        <f t="shared" si="60"/>
        <v>22</v>
      </c>
      <c r="BO61" s="105">
        <f t="shared" si="61"/>
        <v>19.555555555555554</v>
      </c>
      <c r="BP61" s="105">
        <f t="shared" si="62"/>
        <v>17.600000000000001</v>
      </c>
      <c r="BQ61" s="105">
        <f t="shared" si="63"/>
        <v>16</v>
      </c>
      <c r="BR61" s="105">
        <f t="shared" si="64"/>
        <v>14.666666666666666</v>
      </c>
      <c r="BS61" s="105">
        <f t="shared" si="65"/>
        <v>13.53846153846154</v>
      </c>
      <c r="BT61" s="105">
        <f t="shared" si="66"/>
        <v>12.571428571428571</v>
      </c>
      <c r="BU61" s="105">
        <f t="shared" si="67"/>
        <v>11.733333333333334</v>
      </c>
      <c r="BV61" s="105">
        <f t="shared" si="68"/>
        <v>11</v>
      </c>
      <c r="BW61" s="109">
        <f t="shared" si="69"/>
        <v>132</v>
      </c>
      <c r="BX61" s="105">
        <f t="shared" si="70"/>
        <v>66</v>
      </c>
      <c r="BY61" s="105">
        <f t="shared" si="71"/>
        <v>44</v>
      </c>
      <c r="BZ61" s="105">
        <f t="shared" si="72"/>
        <v>33</v>
      </c>
      <c r="CA61" s="105">
        <f t="shared" si="73"/>
        <v>26.400000000000002</v>
      </c>
      <c r="CB61" s="105">
        <f t="shared" si="74"/>
        <v>22</v>
      </c>
      <c r="CC61" s="105">
        <f t="shared" si="75"/>
        <v>18.857142857142858</v>
      </c>
      <c r="CD61" s="105">
        <f t="shared" si="76"/>
        <v>16.5</v>
      </c>
      <c r="CE61" s="105">
        <f t="shared" si="77"/>
        <v>14.666666666666666</v>
      </c>
      <c r="CF61" s="105">
        <f t="shared" si="78"/>
        <v>13.200000000000001</v>
      </c>
      <c r="CG61" s="105">
        <f t="shared" si="79"/>
        <v>12</v>
      </c>
      <c r="CH61" s="105">
        <f t="shared" si="80"/>
        <v>11</v>
      </c>
      <c r="CI61" s="105">
        <f t="shared" si="81"/>
        <v>10.153846153846155</v>
      </c>
      <c r="CJ61" s="105">
        <f t="shared" si="82"/>
        <v>9.4285714285714288</v>
      </c>
      <c r="CK61" s="105">
        <f t="shared" si="83"/>
        <v>8.8000000000000007</v>
      </c>
      <c r="CL61" s="105">
        <f t="shared" si="84"/>
        <v>8.25</v>
      </c>
    </row>
    <row r="62" spans="9:90">
      <c r="I62" s="105">
        <v>67</v>
      </c>
      <c r="J62" s="105">
        <f t="shared" si="5"/>
        <v>1072</v>
      </c>
      <c r="K62" s="105">
        <f t="shared" si="6"/>
        <v>536</v>
      </c>
      <c r="L62" s="105">
        <f t="shared" si="7"/>
        <v>357.33333333333331</v>
      </c>
      <c r="M62" s="105">
        <f t="shared" si="8"/>
        <v>268</v>
      </c>
      <c r="N62" s="105">
        <f t="shared" si="9"/>
        <v>214.4</v>
      </c>
      <c r="O62" s="105">
        <f t="shared" si="10"/>
        <v>178.66666666666666</v>
      </c>
      <c r="P62" s="105">
        <f t="shared" si="11"/>
        <v>153.14285714285714</v>
      </c>
      <c r="Q62" s="105">
        <f t="shared" si="12"/>
        <v>134</v>
      </c>
      <c r="R62" s="105">
        <f t="shared" si="13"/>
        <v>119.1111111111111</v>
      </c>
      <c r="S62" s="105">
        <f t="shared" si="14"/>
        <v>107.2</v>
      </c>
      <c r="T62" s="105">
        <f t="shared" si="15"/>
        <v>97.454545454545453</v>
      </c>
      <c r="U62" s="105">
        <f t="shared" si="16"/>
        <v>89.333333333333329</v>
      </c>
      <c r="V62" s="105">
        <f t="shared" si="17"/>
        <v>82.461538461538467</v>
      </c>
      <c r="W62" s="105">
        <f t="shared" si="18"/>
        <v>76.571428571428569</v>
      </c>
      <c r="X62" s="105">
        <f t="shared" si="19"/>
        <v>71.466666666666669</v>
      </c>
      <c r="Y62" s="105">
        <f t="shared" si="20"/>
        <v>67</v>
      </c>
      <c r="AA62" s="121"/>
      <c r="AB62" s="120"/>
      <c r="AC62" s="120"/>
      <c r="AD62" s="105">
        <f t="shared" si="24"/>
        <v>134</v>
      </c>
      <c r="AE62" s="105">
        <f t="shared" si="25"/>
        <v>107.2</v>
      </c>
      <c r="AF62" s="105">
        <f t="shared" si="26"/>
        <v>89.333333333333329</v>
      </c>
      <c r="AG62" s="105">
        <f t="shared" si="27"/>
        <v>76.571428571428569</v>
      </c>
      <c r="AH62" s="105">
        <f t="shared" si="28"/>
        <v>67</v>
      </c>
      <c r="AI62" s="105">
        <f t="shared" si="29"/>
        <v>59.55555555555555</v>
      </c>
      <c r="AJ62" s="105">
        <f t="shared" si="30"/>
        <v>53.6</v>
      </c>
      <c r="AK62" s="105">
        <f t="shared" si="31"/>
        <v>48.727272727272727</v>
      </c>
      <c r="AL62" s="105">
        <f t="shared" si="32"/>
        <v>44.666666666666664</v>
      </c>
      <c r="AM62" s="105">
        <f t="shared" si="33"/>
        <v>41.230769230769234</v>
      </c>
      <c r="AN62" s="105">
        <f t="shared" si="34"/>
        <v>38.285714285714285</v>
      </c>
      <c r="AO62" s="105">
        <f t="shared" si="35"/>
        <v>35.733333333333334</v>
      </c>
      <c r="AP62" s="105">
        <f t="shared" si="36"/>
        <v>33.5</v>
      </c>
      <c r="AQ62" s="121"/>
      <c r="AR62" s="105">
        <f t="shared" si="38"/>
        <v>134</v>
      </c>
      <c r="AS62" s="105">
        <f t="shared" si="39"/>
        <v>89.333333333333329</v>
      </c>
      <c r="AT62" s="105">
        <f t="shared" si="40"/>
        <v>67</v>
      </c>
      <c r="AU62" s="105">
        <f t="shared" si="41"/>
        <v>53.6</v>
      </c>
      <c r="AV62" s="105">
        <f t="shared" si="42"/>
        <v>44.666666666666664</v>
      </c>
      <c r="AW62" s="105">
        <f t="shared" si="43"/>
        <v>38.285714285714285</v>
      </c>
      <c r="AX62" s="105">
        <f t="shared" si="44"/>
        <v>33.5</v>
      </c>
      <c r="AY62" s="105">
        <f t="shared" si="45"/>
        <v>29.777777777777775</v>
      </c>
      <c r="AZ62" s="105">
        <f t="shared" si="46"/>
        <v>26.8</v>
      </c>
      <c r="BA62" s="105">
        <f t="shared" si="47"/>
        <v>24.363636363636363</v>
      </c>
      <c r="BB62" s="105">
        <f t="shared" si="48"/>
        <v>22.333333333333332</v>
      </c>
      <c r="BC62" s="105">
        <f t="shared" si="49"/>
        <v>20.615384615384617</v>
      </c>
      <c r="BD62" s="105">
        <f t="shared" si="50"/>
        <v>19.142857142857142</v>
      </c>
      <c r="BE62" s="105">
        <f t="shared" si="51"/>
        <v>17.866666666666667</v>
      </c>
      <c r="BF62" s="110">
        <f t="shared" si="52"/>
        <v>16.75</v>
      </c>
      <c r="BG62" s="120"/>
      <c r="BH62" s="105">
        <f t="shared" si="54"/>
        <v>89.333333333333329</v>
      </c>
      <c r="BI62" s="105">
        <f t="shared" si="55"/>
        <v>59.55555555555555</v>
      </c>
      <c r="BJ62" s="105">
        <f t="shared" si="56"/>
        <v>44.666666666666664</v>
      </c>
      <c r="BK62" s="105">
        <f t="shared" si="57"/>
        <v>35.733333333333334</v>
      </c>
      <c r="BL62" s="105">
        <f t="shared" si="58"/>
        <v>29.777777777777775</v>
      </c>
      <c r="BM62" s="105">
        <f t="shared" si="59"/>
        <v>25.523809523809522</v>
      </c>
      <c r="BN62" s="105">
        <f t="shared" si="60"/>
        <v>22.333333333333332</v>
      </c>
      <c r="BO62" s="105">
        <f t="shared" si="61"/>
        <v>19.851851851851851</v>
      </c>
      <c r="BP62" s="105">
        <f t="shared" si="62"/>
        <v>17.866666666666667</v>
      </c>
      <c r="BQ62" s="105">
        <f t="shared" si="63"/>
        <v>16.242424242424242</v>
      </c>
      <c r="BR62" s="105">
        <f t="shared" si="64"/>
        <v>14.888888888888888</v>
      </c>
      <c r="BS62" s="105">
        <f t="shared" si="65"/>
        <v>13.743589743589745</v>
      </c>
      <c r="BT62" s="105">
        <f t="shared" si="66"/>
        <v>12.761904761904761</v>
      </c>
      <c r="BU62" s="105">
        <f t="shared" si="67"/>
        <v>11.911111111111111</v>
      </c>
      <c r="BV62" s="105">
        <f t="shared" si="68"/>
        <v>11.166666666666666</v>
      </c>
      <c r="BW62" s="109">
        <f t="shared" si="69"/>
        <v>134</v>
      </c>
      <c r="BX62" s="105">
        <f t="shared" si="70"/>
        <v>67</v>
      </c>
      <c r="BY62" s="105">
        <f t="shared" si="71"/>
        <v>44.666666666666664</v>
      </c>
      <c r="BZ62" s="105">
        <f t="shared" si="72"/>
        <v>33.5</v>
      </c>
      <c r="CA62" s="105">
        <f t="shared" si="73"/>
        <v>26.8</v>
      </c>
      <c r="CB62" s="105">
        <f t="shared" si="74"/>
        <v>22.333333333333332</v>
      </c>
      <c r="CC62" s="105">
        <f t="shared" si="75"/>
        <v>19.142857142857142</v>
      </c>
      <c r="CD62" s="105">
        <f t="shared" si="76"/>
        <v>16.75</v>
      </c>
      <c r="CE62" s="105">
        <f t="shared" si="77"/>
        <v>14.888888888888888</v>
      </c>
      <c r="CF62" s="105">
        <f t="shared" si="78"/>
        <v>13.4</v>
      </c>
      <c r="CG62" s="105">
        <f t="shared" si="79"/>
        <v>12.181818181818182</v>
      </c>
      <c r="CH62" s="105">
        <f t="shared" si="80"/>
        <v>11.166666666666666</v>
      </c>
      <c r="CI62" s="105">
        <f t="shared" si="81"/>
        <v>10.307692307692308</v>
      </c>
      <c r="CJ62" s="105">
        <f t="shared" si="82"/>
        <v>9.5714285714285712</v>
      </c>
      <c r="CK62" s="105">
        <f t="shared" si="83"/>
        <v>8.9333333333333336</v>
      </c>
      <c r="CL62" s="105">
        <f t="shared" si="84"/>
        <v>8.375</v>
      </c>
    </row>
    <row r="63" spans="9:90">
      <c r="I63" s="105">
        <v>68</v>
      </c>
      <c r="J63" s="105">
        <f t="shared" si="5"/>
        <v>1088</v>
      </c>
      <c r="K63" s="105">
        <f t="shared" si="6"/>
        <v>544</v>
      </c>
      <c r="L63" s="105">
        <f t="shared" si="7"/>
        <v>362.66666666666663</v>
      </c>
      <c r="M63" s="105">
        <f t="shared" si="8"/>
        <v>272</v>
      </c>
      <c r="N63" s="105">
        <f t="shared" si="9"/>
        <v>217.60000000000002</v>
      </c>
      <c r="O63" s="105">
        <f t="shared" si="10"/>
        <v>181.33333333333331</v>
      </c>
      <c r="P63" s="105">
        <f t="shared" si="11"/>
        <v>155.42857142857142</v>
      </c>
      <c r="Q63" s="105">
        <f t="shared" si="12"/>
        <v>136</v>
      </c>
      <c r="R63" s="105">
        <f t="shared" si="13"/>
        <v>120.88888888888889</v>
      </c>
      <c r="S63" s="105">
        <f t="shared" si="14"/>
        <v>108.80000000000001</v>
      </c>
      <c r="T63" s="105">
        <f t="shared" si="15"/>
        <v>98.909090909090907</v>
      </c>
      <c r="U63" s="105">
        <f t="shared" si="16"/>
        <v>90.666666666666657</v>
      </c>
      <c r="V63" s="105">
        <f t="shared" si="17"/>
        <v>83.692307692307693</v>
      </c>
      <c r="W63" s="105">
        <f t="shared" si="18"/>
        <v>77.714285714285708</v>
      </c>
      <c r="X63" s="105">
        <f t="shared" si="19"/>
        <v>72.533333333333331</v>
      </c>
      <c r="Y63" s="105">
        <f t="shared" si="20"/>
        <v>68</v>
      </c>
      <c r="AA63" s="121"/>
      <c r="AB63" s="120"/>
      <c r="AC63" s="120"/>
      <c r="AD63" s="105">
        <f t="shared" si="24"/>
        <v>136</v>
      </c>
      <c r="AE63" s="105">
        <f t="shared" si="25"/>
        <v>108.80000000000001</v>
      </c>
      <c r="AF63" s="105">
        <f t="shared" si="26"/>
        <v>90.666666666666657</v>
      </c>
      <c r="AG63" s="105">
        <f t="shared" si="27"/>
        <v>77.714285714285708</v>
      </c>
      <c r="AH63" s="105">
        <f t="shared" si="28"/>
        <v>68</v>
      </c>
      <c r="AI63" s="105">
        <f t="shared" si="29"/>
        <v>60.444444444444443</v>
      </c>
      <c r="AJ63" s="105">
        <f t="shared" si="30"/>
        <v>54.400000000000006</v>
      </c>
      <c r="AK63" s="105">
        <f t="shared" si="31"/>
        <v>49.454545454545453</v>
      </c>
      <c r="AL63" s="105">
        <f t="shared" si="32"/>
        <v>45.333333333333329</v>
      </c>
      <c r="AM63" s="105">
        <f t="shared" si="33"/>
        <v>41.846153846153847</v>
      </c>
      <c r="AN63" s="105">
        <f t="shared" si="34"/>
        <v>38.857142857142854</v>
      </c>
      <c r="AO63" s="105">
        <f t="shared" si="35"/>
        <v>36.266666666666666</v>
      </c>
      <c r="AP63" s="105">
        <f t="shared" si="36"/>
        <v>34</v>
      </c>
      <c r="AQ63" s="121"/>
      <c r="AR63" s="105">
        <f t="shared" si="38"/>
        <v>136</v>
      </c>
      <c r="AS63" s="105">
        <f t="shared" si="39"/>
        <v>90.666666666666657</v>
      </c>
      <c r="AT63" s="105">
        <f t="shared" si="40"/>
        <v>68</v>
      </c>
      <c r="AU63" s="105">
        <f t="shared" si="41"/>
        <v>54.400000000000006</v>
      </c>
      <c r="AV63" s="105">
        <f t="shared" si="42"/>
        <v>45.333333333333329</v>
      </c>
      <c r="AW63" s="105">
        <f t="shared" si="43"/>
        <v>38.857142857142854</v>
      </c>
      <c r="AX63" s="105">
        <f t="shared" si="44"/>
        <v>34</v>
      </c>
      <c r="AY63" s="105">
        <f t="shared" si="45"/>
        <v>30.222222222222221</v>
      </c>
      <c r="AZ63" s="105">
        <f t="shared" si="46"/>
        <v>27.200000000000003</v>
      </c>
      <c r="BA63" s="105">
        <f t="shared" si="47"/>
        <v>24.727272727272727</v>
      </c>
      <c r="BB63" s="105">
        <f t="shared" si="48"/>
        <v>22.666666666666664</v>
      </c>
      <c r="BC63" s="105">
        <f t="shared" si="49"/>
        <v>20.923076923076923</v>
      </c>
      <c r="BD63" s="105">
        <f t="shared" si="50"/>
        <v>19.428571428571427</v>
      </c>
      <c r="BE63" s="105">
        <f t="shared" si="51"/>
        <v>18.133333333333333</v>
      </c>
      <c r="BF63" s="110">
        <f t="shared" si="52"/>
        <v>17</v>
      </c>
      <c r="BG63" s="120"/>
      <c r="BH63" s="105">
        <f t="shared" si="54"/>
        <v>90.666666666666671</v>
      </c>
      <c r="BI63" s="105">
        <f t="shared" si="55"/>
        <v>60.444444444444436</v>
      </c>
      <c r="BJ63" s="105">
        <f t="shared" si="56"/>
        <v>45.333333333333336</v>
      </c>
      <c r="BK63" s="105">
        <f t="shared" si="57"/>
        <v>36.266666666666673</v>
      </c>
      <c r="BL63" s="105">
        <f t="shared" si="58"/>
        <v>30.222222222222218</v>
      </c>
      <c r="BM63" s="105">
        <f t="shared" si="59"/>
        <v>25.904761904761902</v>
      </c>
      <c r="BN63" s="105">
        <f t="shared" si="60"/>
        <v>22.666666666666668</v>
      </c>
      <c r="BO63" s="105">
        <f t="shared" si="61"/>
        <v>20.148148148148149</v>
      </c>
      <c r="BP63" s="105">
        <f t="shared" si="62"/>
        <v>18.133333333333336</v>
      </c>
      <c r="BQ63" s="105">
        <f t="shared" si="63"/>
        <v>16.484848484848484</v>
      </c>
      <c r="BR63" s="105">
        <f t="shared" si="64"/>
        <v>15.111111111111109</v>
      </c>
      <c r="BS63" s="105">
        <f t="shared" si="65"/>
        <v>13.948717948717949</v>
      </c>
      <c r="BT63" s="105">
        <f t="shared" si="66"/>
        <v>12.952380952380951</v>
      </c>
      <c r="BU63" s="105">
        <f t="shared" si="67"/>
        <v>12.088888888888889</v>
      </c>
      <c r="BV63" s="105">
        <f t="shared" si="68"/>
        <v>11.333333333333334</v>
      </c>
      <c r="BW63" s="109">
        <f t="shared" si="69"/>
        <v>136</v>
      </c>
      <c r="BX63" s="105">
        <f t="shared" si="70"/>
        <v>68</v>
      </c>
      <c r="BY63" s="105">
        <f t="shared" si="71"/>
        <v>45.333333333333329</v>
      </c>
      <c r="BZ63" s="105">
        <f t="shared" si="72"/>
        <v>34</v>
      </c>
      <c r="CA63" s="105">
        <f t="shared" si="73"/>
        <v>27.200000000000003</v>
      </c>
      <c r="CB63" s="105">
        <f t="shared" si="74"/>
        <v>22.666666666666664</v>
      </c>
      <c r="CC63" s="105">
        <f t="shared" si="75"/>
        <v>19.428571428571427</v>
      </c>
      <c r="CD63" s="105">
        <f t="shared" si="76"/>
        <v>17</v>
      </c>
      <c r="CE63" s="105">
        <f t="shared" si="77"/>
        <v>15.111111111111111</v>
      </c>
      <c r="CF63" s="105">
        <f t="shared" si="78"/>
        <v>13.600000000000001</v>
      </c>
      <c r="CG63" s="105">
        <f t="shared" si="79"/>
        <v>12.363636363636363</v>
      </c>
      <c r="CH63" s="105">
        <f t="shared" si="80"/>
        <v>11.333333333333332</v>
      </c>
      <c r="CI63" s="105">
        <f t="shared" si="81"/>
        <v>10.461538461538462</v>
      </c>
      <c r="CJ63" s="105">
        <f t="shared" si="82"/>
        <v>9.7142857142857135</v>
      </c>
      <c r="CK63" s="105">
        <f t="shared" si="83"/>
        <v>9.0666666666666664</v>
      </c>
      <c r="CL63" s="105">
        <f t="shared" si="84"/>
        <v>8.5</v>
      </c>
    </row>
    <row r="64" spans="9:90">
      <c r="I64" s="105">
        <v>69</v>
      </c>
      <c r="J64" s="105">
        <f t="shared" si="5"/>
        <v>1104</v>
      </c>
      <c r="K64" s="105">
        <f t="shared" si="6"/>
        <v>552</v>
      </c>
      <c r="L64" s="105">
        <f t="shared" si="7"/>
        <v>368</v>
      </c>
      <c r="M64" s="105">
        <f t="shared" si="8"/>
        <v>276</v>
      </c>
      <c r="N64" s="105">
        <f t="shared" si="9"/>
        <v>220.8</v>
      </c>
      <c r="O64" s="105">
        <f t="shared" si="10"/>
        <v>184</v>
      </c>
      <c r="P64" s="105">
        <f t="shared" si="11"/>
        <v>157.71428571428569</v>
      </c>
      <c r="Q64" s="105">
        <f t="shared" si="12"/>
        <v>138</v>
      </c>
      <c r="R64" s="105">
        <f t="shared" si="13"/>
        <v>122.66666666666666</v>
      </c>
      <c r="S64" s="105">
        <f t="shared" si="14"/>
        <v>110.4</v>
      </c>
      <c r="T64" s="105">
        <f t="shared" si="15"/>
        <v>100.36363636363636</v>
      </c>
      <c r="U64" s="105">
        <f t="shared" si="16"/>
        <v>92</v>
      </c>
      <c r="V64" s="105">
        <f t="shared" si="17"/>
        <v>84.923076923076934</v>
      </c>
      <c r="W64" s="105">
        <f t="shared" si="18"/>
        <v>78.857142857142847</v>
      </c>
      <c r="X64" s="105">
        <f t="shared" si="19"/>
        <v>73.599999999999994</v>
      </c>
      <c r="Y64" s="105">
        <f t="shared" si="20"/>
        <v>69</v>
      </c>
      <c r="AA64" s="121"/>
      <c r="AB64" s="120"/>
      <c r="AC64" s="120"/>
      <c r="AD64" s="105">
        <f t="shared" si="24"/>
        <v>138</v>
      </c>
      <c r="AE64" s="105">
        <f t="shared" si="25"/>
        <v>110.4</v>
      </c>
      <c r="AF64" s="105">
        <f t="shared" si="26"/>
        <v>92</v>
      </c>
      <c r="AG64" s="105">
        <f t="shared" si="27"/>
        <v>78.857142857142847</v>
      </c>
      <c r="AH64" s="105">
        <f t="shared" si="28"/>
        <v>69</v>
      </c>
      <c r="AI64" s="105">
        <f t="shared" si="29"/>
        <v>61.333333333333329</v>
      </c>
      <c r="AJ64" s="105">
        <f t="shared" si="30"/>
        <v>55.2</v>
      </c>
      <c r="AK64" s="105">
        <f t="shared" si="31"/>
        <v>50.18181818181818</v>
      </c>
      <c r="AL64" s="105">
        <f t="shared" si="32"/>
        <v>46</v>
      </c>
      <c r="AM64" s="105">
        <f t="shared" si="33"/>
        <v>42.461538461538467</v>
      </c>
      <c r="AN64" s="105">
        <f t="shared" si="34"/>
        <v>39.428571428571423</v>
      </c>
      <c r="AO64" s="105">
        <f t="shared" si="35"/>
        <v>36.799999999999997</v>
      </c>
      <c r="AP64" s="105">
        <f t="shared" si="36"/>
        <v>34.5</v>
      </c>
      <c r="AQ64" s="121"/>
      <c r="AR64" s="105">
        <f t="shared" si="38"/>
        <v>138</v>
      </c>
      <c r="AS64" s="105">
        <f t="shared" si="39"/>
        <v>92</v>
      </c>
      <c r="AT64" s="105">
        <f t="shared" si="40"/>
        <v>69</v>
      </c>
      <c r="AU64" s="105">
        <f t="shared" si="41"/>
        <v>55.2</v>
      </c>
      <c r="AV64" s="105">
        <f t="shared" si="42"/>
        <v>46</v>
      </c>
      <c r="AW64" s="105">
        <f t="shared" si="43"/>
        <v>39.428571428571423</v>
      </c>
      <c r="AX64" s="105">
        <f t="shared" si="44"/>
        <v>34.5</v>
      </c>
      <c r="AY64" s="105">
        <f t="shared" si="45"/>
        <v>30.666666666666664</v>
      </c>
      <c r="AZ64" s="105">
        <f t="shared" si="46"/>
        <v>27.6</v>
      </c>
      <c r="BA64" s="105">
        <f t="shared" si="47"/>
        <v>25.09090909090909</v>
      </c>
      <c r="BB64" s="105">
        <f t="shared" si="48"/>
        <v>23</v>
      </c>
      <c r="BC64" s="105">
        <f t="shared" si="49"/>
        <v>21.230769230769234</v>
      </c>
      <c r="BD64" s="105">
        <f t="shared" si="50"/>
        <v>19.714285714285712</v>
      </c>
      <c r="BE64" s="105">
        <f t="shared" si="51"/>
        <v>18.399999999999999</v>
      </c>
      <c r="BF64" s="110">
        <f t="shared" si="52"/>
        <v>17.25</v>
      </c>
      <c r="BG64" s="120"/>
      <c r="BH64" s="105">
        <f t="shared" si="54"/>
        <v>92</v>
      </c>
      <c r="BI64" s="105">
        <f t="shared" si="55"/>
        <v>61.333333333333336</v>
      </c>
      <c r="BJ64" s="105">
        <f t="shared" si="56"/>
        <v>46</v>
      </c>
      <c r="BK64" s="105">
        <f t="shared" si="57"/>
        <v>36.800000000000004</v>
      </c>
      <c r="BL64" s="105">
        <f t="shared" si="58"/>
        <v>30.666666666666668</v>
      </c>
      <c r="BM64" s="105">
        <f t="shared" si="59"/>
        <v>26.285714285714281</v>
      </c>
      <c r="BN64" s="105">
        <f t="shared" si="60"/>
        <v>23</v>
      </c>
      <c r="BO64" s="105">
        <f t="shared" si="61"/>
        <v>20.444444444444443</v>
      </c>
      <c r="BP64" s="105">
        <f t="shared" si="62"/>
        <v>18.400000000000002</v>
      </c>
      <c r="BQ64" s="105">
        <f t="shared" si="63"/>
        <v>16.727272727272727</v>
      </c>
      <c r="BR64" s="105">
        <f t="shared" si="64"/>
        <v>15.333333333333334</v>
      </c>
      <c r="BS64" s="105">
        <f t="shared" si="65"/>
        <v>14.153846153846155</v>
      </c>
      <c r="BT64" s="105">
        <f t="shared" si="66"/>
        <v>13.142857142857141</v>
      </c>
      <c r="BU64" s="105">
        <f t="shared" si="67"/>
        <v>12.266666666666666</v>
      </c>
      <c r="BV64" s="105">
        <f t="shared" si="68"/>
        <v>11.5</v>
      </c>
      <c r="BW64" s="109">
        <f t="shared" si="69"/>
        <v>138</v>
      </c>
      <c r="BX64" s="105">
        <f t="shared" si="70"/>
        <v>69</v>
      </c>
      <c r="BY64" s="105">
        <f t="shared" si="71"/>
        <v>46</v>
      </c>
      <c r="BZ64" s="105">
        <f t="shared" si="72"/>
        <v>34.5</v>
      </c>
      <c r="CA64" s="105">
        <f t="shared" si="73"/>
        <v>27.6</v>
      </c>
      <c r="CB64" s="105">
        <f t="shared" si="74"/>
        <v>23</v>
      </c>
      <c r="CC64" s="105">
        <f t="shared" si="75"/>
        <v>19.714285714285712</v>
      </c>
      <c r="CD64" s="105">
        <f t="shared" si="76"/>
        <v>17.25</v>
      </c>
      <c r="CE64" s="105">
        <f t="shared" si="77"/>
        <v>15.333333333333332</v>
      </c>
      <c r="CF64" s="105">
        <f t="shared" si="78"/>
        <v>13.8</v>
      </c>
      <c r="CG64" s="105">
        <f t="shared" si="79"/>
        <v>12.545454545454545</v>
      </c>
      <c r="CH64" s="105">
        <f t="shared" si="80"/>
        <v>11.5</v>
      </c>
      <c r="CI64" s="105">
        <f t="shared" si="81"/>
        <v>10.615384615384617</v>
      </c>
      <c r="CJ64" s="105">
        <f t="shared" si="82"/>
        <v>9.8571428571428559</v>
      </c>
      <c r="CK64" s="105">
        <f t="shared" si="83"/>
        <v>9.1999999999999993</v>
      </c>
      <c r="CL64" s="105">
        <f t="shared" si="84"/>
        <v>8.625</v>
      </c>
    </row>
    <row r="65" spans="9:90">
      <c r="I65" s="105">
        <v>70</v>
      </c>
      <c r="J65" s="105">
        <f t="shared" si="5"/>
        <v>1120</v>
      </c>
      <c r="K65" s="105">
        <f t="shared" si="6"/>
        <v>560</v>
      </c>
      <c r="L65" s="105">
        <f t="shared" si="7"/>
        <v>373.33333333333331</v>
      </c>
      <c r="M65" s="105">
        <f t="shared" si="8"/>
        <v>280</v>
      </c>
      <c r="N65" s="105">
        <f t="shared" si="9"/>
        <v>224</v>
      </c>
      <c r="O65" s="105">
        <f t="shared" si="10"/>
        <v>186.66666666666666</v>
      </c>
      <c r="P65" s="105">
        <f t="shared" si="11"/>
        <v>160</v>
      </c>
      <c r="Q65" s="105">
        <f t="shared" si="12"/>
        <v>140</v>
      </c>
      <c r="R65" s="105">
        <f t="shared" si="13"/>
        <v>124.44444444444444</v>
      </c>
      <c r="S65" s="105">
        <f t="shared" si="14"/>
        <v>112</v>
      </c>
      <c r="T65" s="105">
        <f t="shared" si="15"/>
        <v>101.81818181818183</v>
      </c>
      <c r="U65" s="105">
        <f t="shared" si="16"/>
        <v>93.333333333333329</v>
      </c>
      <c r="V65" s="105">
        <f t="shared" si="17"/>
        <v>86.15384615384616</v>
      </c>
      <c r="W65" s="105">
        <f t="shared" si="18"/>
        <v>80</v>
      </c>
      <c r="X65" s="105">
        <f t="shared" si="19"/>
        <v>74.666666666666671</v>
      </c>
      <c r="Y65" s="105">
        <f t="shared" si="20"/>
        <v>70</v>
      </c>
      <c r="AA65" s="121"/>
      <c r="AB65" s="120"/>
      <c r="AC65" s="120"/>
      <c r="AD65" s="105">
        <f t="shared" si="24"/>
        <v>140</v>
      </c>
      <c r="AE65" s="105">
        <f t="shared" si="25"/>
        <v>112</v>
      </c>
      <c r="AF65" s="105">
        <f t="shared" si="26"/>
        <v>93.333333333333329</v>
      </c>
      <c r="AG65" s="105">
        <f t="shared" si="27"/>
        <v>80</v>
      </c>
      <c r="AH65" s="105">
        <f t="shared" si="28"/>
        <v>70</v>
      </c>
      <c r="AI65" s="105">
        <f t="shared" si="29"/>
        <v>62.222222222222221</v>
      </c>
      <c r="AJ65" s="105">
        <f t="shared" si="30"/>
        <v>56</v>
      </c>
      <c r="AK65" s="105">
        <f t="shared" si="31"/>
        <v>50.909090909090914</v>
      </c>
      <c r="AL65" s="105">
        <f t="shared" si="32"/>
        <v>46.666666666666664</v>
      </c>
      <c r="AM65" s="105">
        <f t="shared" si="33"/>
        <v>43.07692307692308</v>
      </c>
      <c r="AN65" s="105">
        <f t="shared" si="34"/>
        <v>40</v>
      </c>
      <c r="AO65" s="105">
        <f t="shared" si="35"/>
        <v>37.333333333333336</v>
      </c>
      <c r="AP65" s="105">
        <f t="shared" si="36"/>
        <v>35</v>
      </c>
      <c r="AQ65" s="121"/>
      <c r="AR65" s="105">
        <f t="shared" si="38"/>
        <v>140</v>
      </c>
      <c r="AS65" s="105">
        <f t="shared" si="39"/>
        <v>93.333333333333329</v>
      </c>
      <c r="AT65" s="105">
        <f t="shared" si="40"/>
        <v>70</v>
      </c>
      <c r="AU65" s="105">
        <f t="shared" si="41"/>
        <v>56</v>
      </c>
      <c r="AV65" s="105">
        <f t="shared" si="42"/>
        <v>46.666666666666664</v>
      </c>
      <c r="AW65" s="105">
        <f t="shared" si="43"/>
        <v>40</v>
      </c>
      <c r="AX65" s="105">
        <f t="shared" si="44"/>
        <v>35</v>
      </c>
      <c r="AY65" s="105">
        <f t="shared" si="45"/>
        <v>31.111111111111111</v>
      </c>
      <c r="AZ65" s="105">
        <f t="shared" si="46"/>
        <v>28</v>
      </c>
      <c r="BA65" s="105">
        <f t="shared" si="47"/>
        <v>25.454545454545457</v>
      </c>
      <c r="BB65" s="105">
        <f t="shared" si="48"/>
        <v>23.333333333333332</v>
      </c>
      <c r="BC65" s="105">
        <f t="shared" si="49"/>
        <v>21.53846153846154</v>
      </c>
      <c r="BD65" s="105">
        <f t="shared" si="50"/>
        <v>20</v>
      </c>
      <c r="BE65" s="105">
        <f t="shared" si="51"/>
        <v>18.666666666666668</v>
      </c>
      <c r="BF65" s="110">
        <f t="shared" si="52"/>
        <v>17.5</v>
      </c>
      <c r="BG65" s="120"/>
      <c r="BH65" s="105">
        <f t="shared" si="54"/>
        <v>93.333333333333329</v>
      </c>
      <c r="BI65" s="105">
        <f t="shared" si="55"/>
        <v>62.222222222222221</v>
      </c>
      <c r="BJ65" s="105">
        <f t="shared" si="56"/>
        <v>46.666666666666664</v>
      </c>
      <c r="BK65" s="105">
        <f t="shared" si="57"/>
        <v>37.333333333333336</v>
      </c>
      <c r="BL65" s="105">
        <f t="shared" si="58"/>
        <v>31.111111111111111</v>
      </c>
      <c r="BM65" s="105">
        <f t="shared" si="59"/>
        <v>26.666666666666668</v>
      </c>
      <c r="BN65" s="105">
        <f t="shared" si="60"/>
        <v>23.333333333333332</v>
      </c>
      <c r="BO65" s="105">
        <f t="shared" si="61"/>
        <v>20.74074074074074</v>
      </c>
      <c r="BP65" s="105">
        <f t="shared" si="62"/>
        <v>18.666666666666668</v>
      </c>
      <c r="BQ65" s="105">
        <f t="shared" si="63"/>
        <v>16.969696969696972</v>
      </c>
      <c r="BR65" s="105">
        <f t="shared" si="64"/>
        <v>15.555555555555555</v>
      </c>
      <c r="BS65" s="105">
        <f t="shared" si="65"/>
        <v>14.358974358974359</v>
      </c>
      <c r="BT65" s="105">
        <f t="shared" si="66"/>
        <v>13.333333333333334</v>
      </c>
      <c r="BU65" s="105">
        <f t="shared" si="67"/>
        <v>12.444444444444445</v>
      </c>
      <c r="BV65" s="105">
        <f t="shared" si="68"/>
        <v>11.666666666666666</v>
      </c>
      <c r="BW65" s="109">
        <f t="shared" si="69"/>
        <v>140</v>
      </c>
      <c r="BX65" s="105">
        <f t="shared" si="70"/>
        <v>70</v>
      </c>
      <c r="BY65" s="105">
        <f t="shared" si="71"/>
        <v>46.666666666666664</v>
      </c>
      <c r="BZ65" s="105">
        <f t="shared" si="72"/>
        <v>35</v>
      </c>
      <c r="CA65" s="105">
        <f t="shared" si="73"/>
        <v>28</v>
      </c>
      <c r="CB65" s="105">
        <f t="shared" si="74"/>
        <v>23.333333333333332</v>
      </c>
      <c r="CC65" s="105">
        <f t="shared" si="75"/>
        <v>20</v>
      </c>
      <c r="CD65" s="105">
        <f t="shared" si="76"/>
        <v>17.5</v>
      </c>
      <c r="CE65" s="105">
        <f t="shared" si="77"/>
        <v>15.555555555555555</v>
      </c>
      <c r="CF65" s="105">
        <f t="shared" si="78"/>
        <v>14</v>
      </c>
      <c r="CG65" s="105">
        <f t="shared" si="79"/>
        <v>12.727272727272728</v>
      </c>
      <c r="CH65" s="105">
        <f t="shared" si="80"/>
        <v>11.666666666666666</v>
      </c>
      <c r="CI65" s="105">
        <f t="shared" si="81"/>
        <v>10.76923076923077</v>
      </c>
      <c r="CJ65" s="105">
        <f t="shared" si="82"/>
        <v>10</v>
      </c>
      <c r="CK65" s="105">
        <f t="shared" si="83"/>
        <v>9.3333333333333339</v>
      </c>
      <c r="CL65" s="105">
        <f t="shared" si="84"/>
        <v>8.75</v>
      </c>
    </row>
    <row r="66" spans="9:90">
      <c r="I66" s="105">
        <v>71</v>
      </c>
      <c r="J66" s="105">
        <f t="shared" si="5"/>
        <v>1136</v>
      </c>
      <c r="K66" s="105">
        <f t="shared" si="6"/>
        <v>568</v>
      </c>
      <c r="L66" s="105">
        <f t="shared" si="7"/>
        <v>378.66666666666663</v>
      </c>
      <c r="M66" s="105">
        <f t="shared" si="8"/>
        <v>284</v>
      </c>
      <c r="N66" s="105">
        <f t="shared" si="9"/>
        <v>227.20000000000002</v>
      </c>
      <c r="O66" s="105">
        <f t="shared" si="10"/>
        <v>189.33333333333331</v>
      </c>
      <c r="P66" s="105">
        <f t="shared" si="11"/>
        <v>162.28571428571428</v>
      </c>
      <c r="Q66" s="105">
        <f t="shared" si="12"/>
        <v>142</v>
      </c>
      <c r="R66" s="105">
        <f t="shared" si="13"/>
        <v>126.22222222222221</v>
      </c>
      <c r="S66" s="105">
        <f t="shared" si="14"/>
        <v>113.60000000000001</v>
      </c>
      <c r="T66" s="105">
        <f t="shared" si="15"/>
        <v>103.27272727272728</v>
      </c>
      <c r="U66" s="105">
        <f t="shared" si="16"/>
        <v>94.666666666666657</v>
      </c>
      <c r="V66" s="105">
        <f t="shared" si="17"/>
        <v>87.384615384615387</v>
      </c>
      <c r="W66" s="105">
        <f t="shared" si="18"/>
        <v>81.142857142857139</v>
      </c>
      <c r="X66" s="105">
        <f t="shared" si="19"/>
        <v>75.733333333333334</v>
      </c>
      <c r="Y66" s="105">
        <f t="shared" si="20"/>
        <v>71</v>
      </c>
      <c r="AA66" s="121"/>
      <c r="AB66" s="120"/>
      <c r="AC66" s="120"/>
      <c r="AD66" s="105">
        <f t="shared" si="24"/>
        <v>142</v>
      </c>
      <c r="AE66" s="105">
        <f t="shared" si="25"/>
        <v>113.60000000000001</v>
      </c>
      <c r="AF66" s="105">
        <f t="shared" si="26"/>
        <v>94.666666666666657</v>
      </c>
      <c r="AG66" s="105">
        <f t="shared" si="27"/>
        <v>81.142857142857139</v>
      </c>
      <c r="AH66" s="105">
        <f t="shared" si="28"/>
        <v>71</v>
      </c>
      <c r="AI66" s="105">
        <f t="shared" si="29"/>
        <v>63.111111111111107</v>
      </c>
      <c r="AJ66" s="105">
        <f t="shared" si="30"/>
        <v>56.800000000000004</v>
      </c>
      <c r="AK66" s="105">
        <f t="shared" si="31"/>
        <v>51.63636363636364</v>
      </c>
      <c r="AL66" s="105">
        <f t="shared" si="32"/>
        <v>47.333333333333329</v>
      </c>
      <c r="AM66" s="105">
        <f t="shared" si="33"/>
        <v>43.692307692307693</v>
      </c>
      <c r="AN66" s="105">
        <f t="shared" si="34"/>
        <v>40.571428571428569</v>
      </c>
      <c r="AO66" s="105">
        <f t="shared" si="35"/>
        <v>37.866666666666667</v>
      </c>
      <c r="AP66" s="105">
        <f t="shared" si="36"/>
        <v>35.5</v>
      </c>
      <c r="AQ66" s="121"/>
      <c r="AR66" s="105">
        <f t="shared" si="38"/>
        <v>142</v>
      </c>
      <c r="AS66" s="105">
        <f t="shared" si="39"/>
        <v>94.666666666666657</v>
      </c>
      <c r="AT66" s="105">
        <f t="shared" si="40"/>
        <v>71</v>
      </c>
      <c r="AU66" s="105">
        <f t="shared" si="41"/>
        <v>56.800000000000004</v>
      </c>
      <c r="AV66" s="105">
        <f t="shared" si="42"/>
        <v>47.333333333333329</v>
      </c>
      <c r="AW66" s="105">
        <f t="shared" si="43"/>
        <v>40.571428571428569</v>
      </c>
      <c r="AX66" s="105">
        <f t="shared" si="44"/>
        <v>35.5</v>
      </c>
      <c r="AY66" s="105">
        <f t="shared" si="45"/>
        <v>31.555555555555554</v>
      </c>
      <c r="AZ66" s="105">
        <f t="shared" si="46"/>
        <v>28.400000000000002</v>
      </c>
      <c r="BA66" s="105">
        <f t="shared" si="47"/>
        <v>25.81818181818182</v>
      </c>
      <c r="BB66" s="105">
        <f t="shared" si="48"/>
        <v>23.666666666666664</v>
      </c>
      <c r="BC66" s="105">
        <f t="shared" si="49"/>
        <v>21.846153846153847</v>
      </c>
      <c r="BD66" s="105">
        <f t="shared" si="50"/>
        <v>20.285714285714285</v>
      </c>
      <c r="BE66" s="105">
        <f t="shared" si="51"/>
        <v>18.933333333333334</v>
      </c>
      <c r="BF66" s="110">
        <f t="shared" si="52"/>
        <v>17.75</v>
      </c>
      <c r="BG66" s="120"/>
      <c r="BH66" s="105">
        <f t="shared" si="54"/>
        <v>94.666666666666671</v>
      </c>
      <c r="BI66" s="105">
        <f t="shared" si="55"/>
        <v>63.111111111111107</v>
      </c>
      <c r="BJ66" s="105">
        <f t="shared" si="56"/>
        <v>47.333333333333336</v>
      </c>
      <c r="BK66" s="105">
        <f t="shared" si="57"/>
        <v>37.866666666666667</v>
      </c>
      <c r="BL66" s="105">
        <f t="shared" si="58"/>
        <v>31.555555555555554</v>
      </c>
      <c r="BM66" s="105">
        <f t="shared" si="59"/>
        <v>27.047619047619047</v>
      </c>
      <c r="BN66" s="105">
        <f t="shared" si="60"/>
        <v>23.666666666666668</v>
      </c>
      <c r="BO66" s="105">
        <f t="shared" si="61"/>
        <v>21.037037037037035</v>
      </c>
      <c r="BP66" s="105">
        <f t="shared" si="62"/>
        <v>18.933333333333334</v>
      </c>
      <c r="BQ66" s="105">
        <f t="shared" si="63"/>
        <v>17.212121212121215</v>
      </c>
      <c r="BR66" s="105">
        <f t="shared" si="64"/>
        <v>15.777777777777777</v>
      </c>
      <c r="BS66" s="105">
        <f t="shared" si="65"/>
        <v>14.564102564102564</v>
      </c>
      <c r="BT66" s="105">
        <f t="shared" si="66"/>
        <v>13.523809523809524</v>
      </c>
      <c r="BU66" s="105">
        <f t="shared" si="67"/>
        <v>12.622222222222222</v>
      </c>
      <c r="BV66" s="105">
        <f t="shared" si="68"/>
        <v>11.833333333333334</v>
      </c>
      <c r="BW66" s="109">
        <f t="shared" si="69"/>
        <v>142</v>
      </c>
      <c r="BX66" s="105">
        <f t="shared" si="70"/>
        <v>71</v>
      </c>
      <c r="BY66" s="105">
        <f t="shared" si="71"/>
        <v>47.333333333333329</v>
      </c>
      <c r="BZ66" s="105">
        <f t="shared" si="72"/>
        <v>35.5</v>
      </c>
      <c r="CA66" s="105">
        <f t="shared" si="73"/>
        <v>28.400000000000002</v>
      </c>
      <c r="CB66" s="105">
        <f t="shared" si="74"/>
        <v>23.666666666666664</v>
      </c>
      <c r="CC66" s="105">
        <f t="shared" si="75"/>
        <v>20.285714285714285</v>
      </c>
      <c r="CD66" s="105">
        <f t="shared" si="76"/>
        <v>17.75</v>
      </c>
      <c r="CE66" s="105">
        <f t="shared" si="77"/>
        <v>15.777777777777777</v>
      </c>
      <c r="CF66" s="105">
        <f t="shared" si="78"/>
        <v>14.200000000000001</v>
      </c>
      <c r="CG66" s="105">
        <f t="shared" si="79"/>
        <v>12.90909090909091</v>
      </c>
      <c r="CH66" s="105">
        <f t="shared" si="80"/>
        <v>11.833333333333332</v>
      </c>
      <c r="CI66" s="105">
        <f t="shared" si="81"/>
        <v>10.923076923076923</v>
      </c>
      <c r="CJ66" s="105">
        <f t="shared" si="82"/>
        <v>10.142857142857142</v>
      </c>
      <c r="CK66" s="105">
        <f t="shared" si="83"/>
        <v>9.4666666666666668</v>
      </c>
      <c r="CL66" s="105">
        <f t="shared" si="84"/>
        <v>8.875</v>
      </c>
    </row>
    <row r="67" spans="9:90">
      <c r="I67" s="105">
        <v>72</v>
      </c>
      <c r="J67" s="105">
        <f t="shared" si="5"/>
        <v>1152</v>
      </c>
      <c r="K67" s="105">
        <f t="shared" si="6"/>
        <v>576</v>
      </c>
      <c r="L67" s="105">
        <f t="shared" si="7"/>
        <v>384</v>
      </c>
      <c r="M67" s="105">
        <f t="shared" si="8"/>
        <v>288</v>
      </c>
      <c r="N67" s="105">
        <f t="shared" si="9"/>
        <v>230.4</v>
      </c>
      <c r="O67" s="105">
        <f t="shared" si="10"/>
        <v>192</v>
      </c>
      <c r="P67" s="105">
        <f t="shared" si="11"/>
        <v>164.57142857142856</v>
      </c>
      <c r="Q67" s="105">
        <f t="shared" si="12"/>
        <v>144</v>
      </c>
      <c r="R67" s="105">
        <f t="shared" si="13"/>
        <v>128</v>
      </c>
      <c r="S67" s="105">
        <f t="shared" si="14"/>
        <v>115.2</v>
      </c>
      <c r="T67" s="105">
        <f t="shared" si="15"/>
        <v>104.72727272727273</v>
      </c>
      <c r="U67" s="105">
        <f t="shared" si="16"/>
        <v>96</v>
      </c>
      <c r="V67" s="105">
        <f t="shared" si="17"/>
        <v>88.615384615384613</v>
      </c>
      <c r="W67" s="105">
        <f t="shared" si="18"/>
        <v>82.285714285714278</v>
      </c>
      <c r="X67" s="105">
        <f t="shared" si="19"/>
        <v>76.8</v>
      </c>
      <c r="Y67" s="105">
        <f t="shared" si="20"/>
        <v>72</v>
      </c>
      <c r="AA67" s="121"/>
      <c r="AB67" s="120"/>
      <c r="AC67" s="120"/>
      <c r="AD67" s="105">
        <f t="shared" si="24"/>
        <v>144</v>
      </c>
      <c r="AE67" s="105">
        <f t="shared" si="25"/>
        <v>115.2</v>
      </c>
      <c r="AF67" s="105">
        <f t="shared" si="26"/>
        <v>96</v>
      </c>
      <c r="AG67" s="105">
        <f t="shared" si="27"/>
        <v>82.285714285714278</v>
      </c>
      <c r="AH67" s="105">
        <f t="shared" si="28"/>
        <v>72</v>
      </c>
      <c r="AI67" s="105">
        <f t="shared" si="29"/>
        <v>64</v>
      </c>
      <c r="AJ67" s="105">
        <f t="shared" si="30"/>
        <v>57.6</v>
      </c>
      <c r="AK67" s="105">
        <f t="shared" si="31"/>
        <v>52.363636363636367</v>
      </c>
      <c r="AL67" s="105">
        <f t="shared" si="32"/>
        <v>48</v>
      </c>
      <c r="AM67" s="105">
        <f t="shared" si="33"/>
        <v>44.307692307692307</v>
      </c>
      <c r="AN67" s="105">
        <f t="shared" si="34"/>
        <v>41.142857142857139</v>
      </c>
      <c r="AO67" s="105">
        <f t="shared" si="35"/>
        <v>38.4</v>
      </c>
      <c r="AP67" s="105">
        <f t="shared" si="36"/>
        <v>36</v>
      </c>
      <c r="AQ67" s="121"/>
      <c r="AR67" s="105">
        <f t="shared" si="38"/>
        <v>144</v>
      </c>
      <c r="AS67" s="105">
        <f t="shared" si="39"/>
        <v>96</v>
      </c>
      <c r="AT67" s="105">
        <f t="shared" si="40"/>
        <v>72</v>
      </c>
      <c r="AU67" s="105">
        <f t="shared" si="41"/>
        <v>57.6</v>
      </c>
      <c r="AV67" s="105">
        <f t="shared" si="42"/>
        <v>48</v>
      </c>
      <c r="AW67" s="105">
        <f t="shared" si="43"/>
        <v>41.142857142857139</v>
      </c>
      <c r="AX67" s="105">
        <f t="shared" si="44"/>
        <v>36</v>
      </c>
      <c r="AY67" s="105">
        <f t="shared" si="45"/>
        <v>32</v>
      </c>
      <c r="AZ67" s="105">
        <f t="shared" si="46"/>
        <v>28.8</v>
      </c>
      <c r="BA67" s="105">
        <f t="shared" si="47"/>
        <v>26.181818181818183</v>
      </c>
      <c r="BB67" s="105">
        <f t="shared" si="48"/>
        <v>24</v>
      </c>
      <c r="BC67" s="105">
        <f t="shared" si="49"/>
        <v>22.153846153846153</v>
      </c>
      <c r="BD67" s="105">
        <f t="shared" si="50"/>
        <v>20.571428571428569</v>
      </c>
      <c r="BE67" s="105">
        <f t="shared" si="51"/>
        <v>19.2</v>
      </c>
      <c r="BF67" s="110">
        <f t="shared" si="52"/>
        <v>18</v>
      </c>
      <c r="BG67" s="120"/>
      <c r="BH67" s="105">
        <f t="shared" si="54"/>
        <v>96</v>
      </c>
      <c r="BI67" s="105">
        <f t="shared" si="55"/>
        <v>64</v>
      </c>
      <c r="BJ67" s="105">
        <f t="shared" si="56"/>
        <v>48</v>
      </c>
      <c r="BK67" s="105">
        <f t="shared" si="57"/>
        <v>38.4</v>
      </c>
      <c r="BL67" s="105">
        <f t="shared" si="58"/>
        <v>32</v>
      </c>
      <c r="BM67" s="105">
        <f t="shared" si="59"/>
        <v>27.428571428571427</v>
      </c>
      <c r="BN67" s="105">
        <f t="shared" si="60"/>
        <v>24</v>
      </c>
      <c r="BO67" s="105">
        <f t="shared" si="61"/>
        <v>21.333333333333332</v>
      </c>
      <c r="BP67" s="105">
        <f t="shared" si="62"/>
        <v>19.2</v>
      </c>
      <c r="BQ67" s="105">
        <f t="shared" si="63"/>
        <v>17.454545454545457</v>
      </c>
      <c r="BR67" s="105">
        <f t="shared" si="64"/>
        <v>16</v>
      </c>
      <c r="BS67" s="105">
        <f t="shared" si="65"/>
        <v>14.769230769230768</v>
      </c>
      <c r="BT67" s="105">
        <f t="shared" si="66"/>
        <v>13.714285714285714</v>
      </c>
      <c r="BU67" s="105">
        <f t="shared" si="67"/>
        <v>12.799999999999999</v>
      </c>
      <c r="BV67" s="105">
        <f t="shared" si="68"/>
        <v>12</v>
      </c>
      <c r="BW67" s="109">
        <f t="shared" si="69"/>
        <v>144</v>
      </c>
      <c r="BX67" s="105">
        <f t="shared" si="70"/>
        <v>72</v>
      </c>
      <c r="BY67" s="105">
        <f t="shared" si="71"/>
        <v>48</v>
      </c>
      <c r="BZ67" s="105">
        <f t="shared" si="72"/>
        <v>36</v>
      </c>
      <c r="CA67" s="105">
        <f t="shared" si="73"/>
        <v>28.8</v>
      </c>
      <c r="CB67" s="105">
        <f t="shared" si="74"/>
        <v>24</v>
      </c>
      <c r="CC67" s="105">
        <f t="shared" si="75"/>
        <v>20.571428571428569</v>
      </c>
      <c r="CD67" s="105">
        <f t="shared" si="76"/>
        <v>18</v>
      </c>
      <c r="CE67" s="105">
        <f t="shared" si="77"/>
        <v>16</v>
      </c>
      <c r="CF67" s="105">
        <f t="shared" si="78"/>
        <v>14.4</v>
      </c>
      <c r="CG67" s="105">
        <f t="shared" si="79"/>
        <v>13.090909090909092</v>
      </c>
      <c r="CH67" s="105">
        <f t="shared" si="80"/>
        <v>12</v>
      </c>
      <c r="CI67" s="105">
        <f t="shared" si="81"/>
        <v>11.076923076923077</v>
      </c>
      <c r="CJ67" s="105">
        <f t="shared" si="82"/>
        <v>10.285714285714285</v>
      </c>
      <c r="CK67" s="105">
        <f t="shared" si="83"/>
        <v>9.6</v>
      </c>
      <c r="CL67" s="105">
        <f t="shared" si="84"/>
        <v>9</v>
      </c>
    </row>
    <row r="68" spans="9:90">
      <c r="I68" s="105">
        <v>73</v>
      </c>
      <c r="J68" s="105">
        <f t="shared" ref="J68:J122" si="85">$E$3*I68</f>
        <v>1168</v>
      </c>
      <c r="K68" s="105">
        <f t="shared" ref="K68:K122" si="86">$E$4*I68</f>
        <v>584</v>
      </c>
      <c r="L68" s="105">
        <f t="shared" ref="L68:L122" si="87">$E$5*I68</f>
        <v>389.33333333333331</v>
      </c>
      <c r="M68" s="105">
        <f t="shared" ref="M68:M122" si="88">$E$6*I68</f>
        <v>292</v>
      </c>
      <c r="N68" s="105">
        <f t="shared" ref="N68:N122" si="89">$E$7*I68</f>
        <v>233.60000000000002</v>
      </c>
      <c r="O68" s="105">
        <f t="shared" ref="O68:O122" si="90">$E$8*I68</f>
        <v>194.66666666666666</v>
      </c>
      <c r="P68" s="105">
        <f t="shared" ref="P68:P122" si="91">$E$9*I68</f>
        <v>166.85714285714286</v>
      </c>
      <c r="Q68" s="105">
        <f t="shared" ref="Q68:Q122" si="92">$E$10*I68</f>
        <v>146</v>
      </c>
      <c r="R68" s="105">
        <f t="shared" ref="R68:R122" si="93">$E$11*I68</f>
        <v>129.77777777777777</v>
      </c>
      <c r="S68" s="105">
        <f t="shared" ref="S68:S122" si="94">$E$12*I68</f>
        <v>116.80000000000001</v>
      </c>
      <c r="T68" s="105">
        <f t="shared" ref="T68:T122" si="95">$E$13*I68</f>
        <v>106.18181818181819</v>
      </c>
      <c r="U68" s="105">
        <f t="shared" ref="U68:U122" si="96">$E$14*I68</f>
        <v>97.333333333333329</v>
      </c>
      <c r="V68" s="105">
        <f t="shared" ref="V68:V122" si="97">$E$15*I68</f>
        <v>89.846153846153854</v>
      </c>
      <c r="W68" s="105">
        <f t="shared" ref="W68:W122" si="98">$E$16*I68</f>
        <v>83.428571428571431</v>
      </c>
      <c r="X68" s="105">
        <f t="shared" ref="X68:X122" si="99">$E$17*I68</f>
        <v>77.86666666666666</v>
      </c>
      <c r="Y68" s="105">
        <f t="shared" ref="Y68:Y122" si="100">$E$18*I68</f>
        <v>73</v>
      </c>
      <c r="AA68" s="121"/>
      <c r="AB68" s="120"/>
      <c r="AC68" s="120"/>
      <c r="AD68" s="105">
        <f t="shared" ref="AD68:AD80" si="101">M68/$AB$2</f>
        <v>146</v>
      </c>
      <c r="AE68" s="105">
        <f t="shared" ref="AE68:AE101" si="102">N68/$AB$2</f>
        <v>116.80000000000001</v>
      </c>
      <c r="AF68" s="105">
        <f t="shared" ref="AF68:AF122" si="103">O68/$AB$2</f>
        <v>97.333333333333329</v>
      </c>
      <c r="AG68" s="105">
        <f t="shared" ref="AG68:AG122" si="104">P68/$AB$2</f>
        <v>83.428571428571431</v>
      </c>
      <c r="AH68" s="105">
        <f t="shared" ref="AH68:AH122" si="105">Q68/$AB$2</f>
        <v>73</v>
      </c>
      <c r="AI68" s="105">
        <f t="shared" ref="AI68:AI122" si="106">R68/$AB$2</f>
        <v>64.888888888888886</v>
      </c>
      <c r="AJ68" s="105">
        <f t="shared" ref="AJ68:AJ122" si="107">S68/$AB$2</f>
        <v>58.400000000000006</v>
      </c>
      <c r="AK68" s="105">
        <f t="shared" ref="AK68:AK122" si="108">T68/$AB$2</f>
        <v>53.090909090909093</v>
      </c>
      <c r="AL68" s="105">
        <f t="shared" ref="AL68:AL122" si="109">U68/$AB$2</f>
        <v>48.666666666666664</v>
      </c>
      <c r="AM68" s="105">
        <f t="shared" ref="AM68:AM122" si="110">V68/$AB$2</f>
        <v>44.923076923076927</v>
      </c>
      <c r="AN68" s="105">
        <f t="shared" ref="AN68:AN122" si="111">W68/$AB$2</f>
        <v>41.714285714285715</v>
      </c>
      <c r="AO68" s="105">
        <f t="shared" ref="AO68:AO122" si="112">X68/$AB$2</f>
        <v>38.93333333333333</v>
      </c>
      <c r="AP68" s="105">
        <f t="shared" ref="AP68:AP122" si="113">Y68/$AB$2</f>
        <v>36.5</v>
      </c>
      <c r="AQ68" s="121"/>
      <c r="AR68" s="105">
        <f t="shared" ref="AR68:AR80" si="114">K68/$AR$2</f>
        <v>146</v>
      </c>
      <c r="AS68" s="105">
        <f t="shared" ref="AS68:AS122" si="115">L68/$AR$2</f>
        <v>97.333333333333329</v>
      </c>
      <c r="AT68" s="105">
        <f t="shared" ref="AT68:AT122" si="116">M68/$AR$2</f>
        <v>73</v>
      </c>
      <c r="AU68" s="105">
        <f t="shared" ref="AU68:AU122" si="117">N68/$AR$2</f>
        <v>58.400000000000006</v>
      </c>
      <c r="AV68" s="105">
        <f t="shared" ref="AV68:AV122" si="118">O68/$AR$2</f>
        <v>48.666666666666664</v>
      </c>
      <c r="AW68" s="105">
        <f t="shared" ref="AW68:AW122" si="119">P68/$AR$2</f>
        <v>41.714285714285715</v>
      </c>
      <c r="AX68" s="105">
        <f t="shared" ref="AX68:AX122" si="120">Q68/$AR$2</f>
        <v>36.5</v>
      </c>
      <c r="AY68" s="105">
        <f t="shared" ref="AY68:AY122" si="121">R68/$AR$2</f>
        <v>32.444444444444443</v>
      </c>
      <c r="AZ68" s="105">
        <f t="shared" ref="AZ68:AZ122" si="122">S68/$AR$2</f>
        <v>29.200000000000003</v>
      </c>
      <c r="BA68" s="105">
        <f t="shared" ref="BA68:BA122" si="123">T68/$AR$2</f>
        <v>26.545454545454547</v>
      </c>
      <c r="BB68" s="105">
        <f t="shared" ref="BB68:BB122" si="124">U68/$AR$2</f>
        <v>24.333333333333332</v>
      </c>
      <c r="BC68" s="105">
        <f t="shared" ref="BC68:BC122" si="125">V68/$AR$2</f>
        <v>22.461538461538463</v>
      </c>
      <c r="BD68" s="105">
        <f t="shared" ref="BD68:BD122" si="126">W68/$AR$2</f>
        <v>20.857142857142858</v>
      </c>
      <c r="BE68" s="105">
        <f t="shared" ref="BE68:BE122" si="127">X68/$AR$2</f>
        <v>19.466666666666665</v>
      </c>
      <c r="BF68" s="110">
        <f t="shared" ref="BF68:BF122" si="128">Y68/$AR$2</f>
        <v>18.25</v>
      </c>
      <c r="BG68" s="120"/>
      <c r="BH68" s="105">
        <f t="shared" ref="BH68:BH122" si="129">K68/$BH$2</f>
        <v>97.333333333333329</v>
      </c>
      <c r="BI68" s="105">
        <f t="shared" ref="BI68:BI122" si="130">L68/$BH$2</f>
        <v>64.888888888888886</v>
      </c>
      <c r="BJ68" s="105">
        <f t="shared" ref="BJ68:BJ122" si="131">M68/$BH$2</f>
        <v>48.666666666666664</v>
      </c>
      <c r="BK68" s="105">
        <f t="shared" ref="BK68:BK122" si="132">N68/$BH$2</f>
        <v>38.933333333333337</v>
      </c>
      <c r="BL68" s="105">
        <f t="shared" ref="BL68:BL122" si="133">O68/$BH$2</f>
        <v>32.444444444444443</v>
      </c>
      <c r="BM68" s="105">
        <f t="shared" ref="BM68:BM122" si="134">P68/$BH$2</f>
        <v>27.80952380952381</v>
      </c>
      <c r="BN68" s="105">
        <f t="shared" ref="BN68:BN122" si="135">Q68/$BH$2</f>
        <v>24.333333333333332</v>
      </c>
      <c r="BO68" s="105">
        <f t="shared" ref="BO68:BO122" si="136">R68/$BH$2</f>
        <v>21.62962962962963</v>
      </c>
      <c r="BP68" s="105">
        <f t="shared" ref="BP68:BP122" si="137">S68/$BH$2</f>
        <v>19.466666666666669</v>
      </c>
      <c r="BQ68" s="105">
        <f t="shared" ref="BQ68:BQ122" si="138">T68/$BH$2</f>
        <v>17.696969696969699</v>
      </c>
      <c r="BR68" s="105">
        <f t="shared" ref="BR68:BR122" si="139">U68/$BH$2</f>
        <v>16.222222222222221</v>
      </c>
      <c r="BS68" s="105">
        <f t="shared" ref="BS68:BS122" si="140">V68/$BH$2</f>
        <v>14.974358974358976</v>
      </c>
      <c r="BT68" s="105">
        <f t="shared" ref="BT68:BT122" si="141">W68/$BH$2</f>
        <v>13.904761904761905</v>
      </c>
      <c r="BU68" s="105">
        <f t="shared" ref="BU68:BU122" si="142">X68/$BH$2</f>
        <v>12.977777777777776</v>
      </c>
      <c r="BV68" s="105">
        <f t="shared" ref="BV68:BV122" si="143">Y68/$BH$2</f>
        <v>12.166666666666666</v>
      </c>
      <c r="BW68" s="109">
        <f t="shared" ref="BW68:BW80" si="144">J68/$BX$2</f>
        <v>146</v>
      </c>
      <c r="BX68" s="105">
        <f t="shared" ref="BX68:BX122" si="145">K68/$BX$2</f>
        <v>73</v>
      </c>
      <c r="BY68" s="105">
        <f t="shared" ref="BY68:BY122" si="146">L68/$BX$2</f>
        <v>48.666666666666664</v>
      </c>
      <c r="BZ68" s="105">
        <f t="shared" ref="BZ68:BZ122" si="147">M68/$BX$2</f>
        <v>36.5</v>
      </c>
      <c r="CA68" s="105">
        <f t="shared" ref="CA68:CA122" si="148">N68/$BX$2</f>
        <v>29.200000000000003</v>
      </c>
      <c r="CB68" s="105">
        <f t="shared" ref="CB68:CB122" si="149">O68/$BX$2</f>
        <v>24.333333333333332</v>
      </c>
      <c r="CC68" s="105">
        <f t="shared" ref="CC68:CC122" si="150">P68/$BX$2</f>
        <v>20.857142857142858</v>
      </c>
      <c r="CD68" s="105">
        <f t="shared" ref="CD68:CD122" si="151">Q68/$BX$2</f>
        <v>18.25</v>
      </c>
      <c r="CE68" s="105">
        <f t="shared" ref="CE68:CE122" si="152">R68/$BX$2</f>
        <v>16.222222222222221</v>
      </c>
      <c r="CF68" s="105">
        <f t="shared" ref="CF68:CF122" si="153">S68/$BX$2</f>
        <v>14.600000000000001</v>
      </c>
      <c r="CG68" s="105">
        <f t="shared" ref="CG68:CG122" si="154">T68/$BX$2</f>
        <v>13.272727272727273</v>
      </c>
      <c r="CH68" s="105">
        <f t="shared" ref="CH68:CH122" si="155">U68/$BX$2</f>
        <v>12.166666666666666</v>
      </c>
      <c r="CI68" s="105">
        <f t="shared" ref="CI68:CI122" si="156">V68/$BX$2</f>
        <v>11.230769230769232</v>
      </c>
      <c r="CJ68" s="105">
        <f t="shared" ref="CJ68:CJ122" si="157">W68/$BX$2</f>
        <v>10.428571428571429</v>
      </c>
      <c r="CK68" s="105">
        <f t="shared" ref="CK68:CK122" si="158">X68/$BX$2</f>
        <v>9.7333333333333325</v>
      </c>
      <c r="CL68" s="105">
        <f t="shared" ref="CL68:CL122" si="159">Y68/$BX$2</f>
        <v>9.125</v>
      </c>
    </row>
    <row r="69" spans="9:90">
      <c r="I69" s="105">
        <v>74</v>
      </c>
      <c r="J69" s="105">
        <f t="shared" si="85"/>
        <v>1184</v>
      </c>
      <c r="K69" s="105">
        <f t="shared" si="86"/>
        <v>592</v>
      </c>
      <c r="L69" s="105">
        <f t="shared" si="87"/>
        <v>394.66666666666663</v>
      </c>
      <c r="M69" s="105">
        <f t="shared" si="88"/>
        <v>296</v>
      </c>
      <c r="N69" s="105">
        <f t="shared" si="89"/>
        <v>236.8</v>
      </c>
      <c r="O69" s="105">
        <f t="shared" si="90"/>
        <v>197.33333333333331</v>
      </c>
      <c r="P69" s="105">
        <f t="shared" si="91"/>
        <v>169.14285714285714</v>
      </c>
      <c r="Q69" s="105">
        <f t="shared" si="92"/>
        <v>148</v>
      </c>
      <c r="R69" s="105">
        <f t="shared" si="93"/>
        <v>131.55555555555554</v>
      </c>
      <c r="S69" s="105">
        <f t="shared" si="94"/>
        <v>118.4</v>
      </c>
      <c r="T69" s="105">
        <f t="shared" si="95"/>
        <v>107.63636363636364</v>
      </c>
      <c r="U69" s="105">
        <f t="shared" si="96"/>
        <v>98.666666666666657</v>
      </c>
      <c r="V69" s="105">
        <f t="shared" si="97"/>
        <v>91.07692307692308</v>
      </c>
      <c r="W69" s="105">
        <f t="shared" si="98"/>
        <v>84.571428571428569</v>
      </c>
      <c r="X69" s="105">
        <f t="shared" si="99"/>
        <v>78.933333333333337</v>
      </c>
      <c r="Y69" s="105">
        <f t="shared" si="100"/>
        <v>74</v>
      </c>
      <c r="AA69" s="121"/>
      <c r="AB69" s="120"/>
      <c r="AC69" s="120"/>
      <c r="AD69" s="105">
        <f t="shared" si="101"/>
        <v>148</v>
      </c>
      <c r="AE69" s="105">
        <f t="shared" si="102"/>
        <v>118.4</v>
      </c>
      <c r="AF69" s="105">
        <f t="shared" si="103"/>
        <v>98.666666666666657</v>
      </c>
      <c r="AG69" s="105">
        <f t="shared" si="104"/>
        <v>84.571428571428569</v>
      </c>
      <c r="AH69" s="105">
        <f t="shared" si="105"/>
        <v>74</v>
      </c>
      <c r="AI69" s="105">
        <f t="shared" si="106"/>
        <v>65.777777777777771</v>
      </c>
      <c r="AJ69" s="105">
        <f t="shared" si="107"/>
        <v>59.2</v>
      </c>
      <c r="AK69" s="105">
        <f t="shared" si="108"/>
        <v>53.81818181818182</v>
      </c>
      <c r="AL69" s="105">
        <f t="shared" si="109"/>
        <v>49.333333333333329</v>
      </c>
      <c r="AM69" s="105">
        <f t="shared" si="110"/>
        <v>45.53846153846154</v>
      </c>
      <c r="AN69" s="105">
        <f t="shared" si="111"/>
        <v>42.285714285714285</v>
      </c>
      <c r="AO69" s="105">
        <f t="shared" si="112"/>
        <v>39.466666666666669</v>
      </c>
      <c r="AP69" s="105">
        <f t="shared" si="113"/>
        <v>37</v>
      </c>
      <c r="AQ69" s="121"/>
      <c r="AR69" s="105">
        <f t="shared" si="114"/>
        <v>148</v>
      </c>
      <c r="AS69" s="105">
        <f t="shared" si="115"/>
        <v>98.666666666666657</v>
      </c>
      <c r="AT69" s="105">
        <f t="shared" si="116"/>
        <v>74</v>
      </c>
      <c r="AU69" s="105">
        <f t="shared" si="117"/>
        <v>59.2</v>
      </c>
      <c r="AV69" s="105">
        <f t="shared" si="118"/>
        <v>49.333333333333329</v>
      </c>
      <c r="AW69" s="105">
        <f t="shared" si="119"/>
        <v>42.285714285714285</v>
      </c>
      <c r="AX69" s="105">
        <f t="shared" si="120"/>
        <v>37</v>
      </c>
      <c r="AY69" s="105">
        <f t="shared" si="121"/>
        <v>32.888888888888886</v>
      </c>
      <c r="AZ69" s="105">
        <f t="shared" si="122"/>
        <v>29.6</v>
      </c>
      <c r="BA69" s="105">
        <f t="shared" si="123"/>
        <v>26.90909090909091</v>
      </c>
      <c r="BB69" s="105">
        <f t="shared" si="124"/>
        <v>24.666666666666664</v>
      </c>
      <c r="BC69" s="105">
        <f t="shared" si="125"/>
        <v>22.76923076923077</v>
      </c>
      <c r="BD69" s="105">
        <f t="shared" si="126"/>
        <v>21.142857142857142</v>
      </c>
      <c r="BE69" s="105">
        <f t="shared" si="127"/>
        <v>19.733333333333334</v>
      </c>
      <c r="BF69" s="110">
        <f t="shared" si="128"/>
        <v>18.5</v>
      </c>
      <c r="BG69" s="120"/>
      <c r="BH69" s="105">
        <f t="shared" si="129"/>
        <v>98.666666666666671</v>
      </c>
      <c r="BI69" s="105">
        <f t="shared" si="130"/>
        <v>65.777777777777771</v>
      </c>
      <c r="BJ69" s="105">
        <f t="shared" si="131"/>
        <v>49.333333333333336</v>
      </c>
      <c r="BK69" s="105">
        <f t="shared" si="132"/>
        <v>39.466666666666669</v>
      </c>
      <c r="BL69" s="105">
        <f t="shared" si="133"/>
        <v>32.888888888888886</v>
      </c>
      <c r="BM69" s="105">
        <f t="shared" si="134"/>
        <v>28.19047619047619</v>
      </c>
      <c r="BN69" s="105">
        <f t="shared" si="135"/>
        <v>24.666666666666668</v>
      </c>
      <c r="BO69" s="105">
        <f t="shared" si="136"/>
        <v>21.925925925925924</v>
      </c>
      <c r="BP69" s="105">
        <f t="shared" si="137"/>
        <v>19.733333333333334</v>
      </c>
      <c r="BQ69" s="105">
        <f t="shared" si="138"/>
        <v>17.939393939393941</v>
      </c>
      <c r="BR69" s="105">
        <f t="shared" si="139"/>
        <v>16.444444444444443</v>
      </c>
      <c r="BS69" s="105">
        <f t="shared" si="140"/>
        <v>15.179487179487181</v>
      </c>
      <c r="BT69" s="105">
        <f t="shared" si="141"/>
        <v>14.095238095238095</v>
      </c>
      <c r="BU69" s="105">
        <f t="shared" si="142"/>
        <v>13.155555555555557</v>
      </c>
      <c r="BV69" s="105">
        <f t="shared" si="143"/>
        <v>12.333333333333334</v>
      </c>
      <c r="BW69" s="109">
        <f t="shared" si="144"/>
        <v>148</v>
      </c>
      <c r="BX69" s="105">
        <f t="shared" si="145"/>
        <v>74</v>
      </c>
      <c r="BY69" s="105">
        <f t="shared" si="146"/>
        <v>49.333333333333329</v>
      </c>
      <c r="BZ69" s="105">
        <f t="shared" si="147"/>
        <v>37</v>
      </c>
      <c r="CA69" s="105">
        <f t="shared" si="148"/>
        <v>29.6</v>
      </c>
      <c r="CB69" s="105">
        <f t="shared" si="149"/>
        <v>24.666666666666664</v>
      </c>
      <c r="CC69" s="105">
        <f t="shared" si="150"/>
        <v>21.142857142857142</v>
      </c>
      <c r="CD69" s="105">
        <f t="shared" si="151"/>
        <v>18.5</v>
      </c>
      <c r="CE69" s="105">
        <f t="shared" si="152"/>
        <v>16.444444444444443</v>
      </c>
      <c r="CF69" s="105">
        <f t="shared" si="153"/>
        <v>14.8</v>
      </c>
      <c r="CG69" s="105">
        <f t="shared" si="154"/>
        <v>13.454545454545455</v>
      </c>
      <c r="CH69" s="105">
        <f t="shared" si="155"/>
        <v>12.333333333333332</v>
      </c>
      <c r="CI69" s="105">
        <f t="shared" si="156"/>
        <v>11.384615384615385</v>
      </c>
      <c r="CJ69" s="105">
        <f t="shared" si="157"/>
        <v>10.571428571428571</v>
      </c>
      <c r="CK69" s="105">
        <f t="shared" si="158"/>
        <v>9.8666666666666671</v>
      </c>
      <c r="CL69" s="105">
        <f t="shared" si="159"/>
        <v>9.25</v>
      </c>
    </row>
    <row r="70" spans="9:90">
      <c r="I70" s="105">
        <v>75</v>
      </c>
      <c r="J70" s="105">
        <f t="shared" si="85"/>
        <v>1200</v>
      </c>
      <c r="K70" s="105">
        <f t="shared" si="86"/>
        <v>600</v>
      </c>
      <c r="L70" s="105">
        <f t="shared" si="87"/>
        <v>400</v>
      </c>
      <c r="M70" s="105">
        <f t="shared" si="88"/>
        <v>300</v>
      </c>
      <c r="N70" s="105">
        <f t="shared" si="89"/>
        <v>240</v>
      </c>
      <c r="O70" s="105">
        <f t="shared" si="90"/>
        <v>200</v>
      </c>
      <c r="P70" s="105">
        <f t="shared" si="91"/>
        <v>171.42857142857142</v>
      </c>
      <c r="Q70" s="105">
        <f t="shared" si="92"/>
        <v>150</v>
      </c>
      <c r="R70" s="105">
        <f t="shared" si="93"/>
        <v>133.33333333333331</v>
      </c>
      <c r="S70" s="105">
        <f t="shared" si="94"/>
        <v>120</v>
      </c>
      <c r="T70" s="105">
        <f t="shared" si="95"/>
        <v>109.09090909090909</v>
      </c>
      <c r="U70" s="105">
        <f t="shared" si="96"/>
        <v>100</v>
      </c>
      <c r="V70" s="105">
        <f t="shared" si="97"/>
        <v>92.307692307692307</v>
      </c>
      <c r="W70" s="105">
        <f t="shared" si="98"/>
        <v>85.714285714285708</v>
      </c>
      <c r="X70" s="105">
        <f t="shared" si="99"/>
        <v>80</v>
      </c>
      <c r="Y70" s="105">
        <f t="shared" si="100"/>
        <v>75</v>
      </c>
      <c r="AA70" s="121"/>
      <c r="AB70" s="120"/>
      <c r="AC70" s="120"/>
      <c r="AD70" s="105">
        <f t="shared" si="101"/>
        <v>150</v>
      </c>
      <c r="AE70" s="105">
        <f t="shared" si="102"/>
        <v>120</v>
      </c>
      <c r="AF70" s="105">
        <f t="shared" si="103"/>
        <v>100</v>
      </c>
      <c r="AG70" s="105">
        <f t="shared" si="104"/>
        <v>85.714285714285708</v>
      </c>
      <c r="AH70" s="105">
        <f t="shared" si="105"/>
        <v>75</v>
      </c>
      <c r="AI70" s="105">
        <f t="shared" si="106"/>
        <v>66.666666666666657</v>
      </c>
      <c r="AJ70" s="105">
        <f t="shared" si="107"/>
        <v>60</v>
      </c>
      <c r="AK70" s="105">
        <f t="shared" si="108"/>
        <v>54.545454545454547</v>
      </c>
      <c r="AL70" s="105">
        <f t="shared" si="109"/>
        <v>50</v>
      </c>
      <c r="AM70" s="105">
        <f t="shared" si="110"/>
        <v>46.153846153846153</v>
      </c>
      <c r="AN70" s="105">
        <f t="shared" si="111"/>
        <v>42.857142857142854</v>
      </c>
      <c r="AO70" s="105">
        <f t="shared" si="112"/>
        <v>40</v>
      </c>
      <c r="AP70" s="105">
        <f t="shared" si="113"/>
        <v>37.5</v>
      </c>
      <c r="AQ70" s="121"/>
      <c r="AR70" s="105">
        <f t="shared" si="114"/>
        <v>150</v>
      </c>
      <c r="AS70" s="105">
        <f t="shared" si="115"/>
        <v>100</v>
      </c>
      <c r="AT70" s="105">
        <f t="shared" si="116"/>
        <v>75</v>
      </c>
      <c r="AU70" s="105">
        <f t="shared" si="117"/>
        <v>60</v>
      </c>
      <c r="AV70" s="105">
        <f t="shared" si="118"/>
        <v>50</v>
      </c>
      <c r="AW70" s="105">
        <f t="shared" si="119"/>
        <v>42.857142857142854</v>
      </c>
      <c r="AX70" s="105">
        <f t="shared" si="120"/>
        <v>37.5</v>
      </c>
      <c r="AY70" s="105">
        <f t="shared" si="121"/>
        <v>33.333333333333329</v>
      </c>
      <c r="AZ70" s="105">
        <f t="shared" si="122"/>
        <v>30</v>
      </c>
      <c r="BA70" s="105">
        <f t="shared" si="123"/>
        <v>27.272727272727273</v>
      </c>
      <c r="BB70" s="105">
        <f t="shared" si="124"/>
        <v>25</v>
      </c>
      <c r="BC70" s="105">
        <f t="shared" si="125"/>
        <v>23.076923076923077</v>
      </c>
      <c r="BD70" s="105">
        <f t="shared" si="126"/>
        <v>21.428571428571427</v>
      </c>
      <c r="BE70" s="105">
        <f t="shared" si="127"/>
        <v>20</v>
      </c>
      <c r="BF70" s="110">
        <f t="shared" si="128"/>
        <v>18.75</v>
      </c>
      <c r="BG70" s="120"/>
      <c r="BH70" s="105">
        <f t="shared" si="129"/>
        <v>100</v>
      </c>
      <c r="BI70" s="105">
        <f t="shared" si="130"/>
        <v>66.666666666666671</v>
      </c>
      <c r="BJ70" s="105">
        <f t="shared" si="131"/>
        <v>50</v>
      </c>
      <c r="BK70" s="105">
        <f t="shared" si="132"/>
        <v>40</v>
      </c>
      <c r="BL70" s="105">
        <f t="shared" si="133"/>
        <v>33.333333333333336</v>
      </c>
      <c r="BM70" s="105">
        <f t="shared" si="134"/>
        <v>28.571428571428569</v>
      </c>
      <c r="BN70" s="105">
        <f t="shared" si="135"/>
        <v>25</v>
      </c>
      <c r="BO70" s="105">
        <f t="shared" si="136"/>
        <v>22.222222222222218</v>
      </c>
      <c r="BP70" s="105">
        <f t="shared" si="137"/>
        <v>20</v>
      </c>
      <c r="BQ70" s="105">
        <f t="shared" si="138"/>
        <v>18.181818181818183</v>
      </c>
      <c r="BR70" s="105">
        <f t="shared" si="139"/>
        <v>16.666666666666668</v>
      </c>
      <c r="BS70" s="105">
        <f t="shared" si="140"/>
        <v>15.384615384615385</v>
      </c>
      <c r="BT70" s="105">
        <f t="shared" si="141"/>
        <v>14.285714285714285</v>
      </c>
      <c r="BU70" s="105">
        <f t="shared" si="142"/>
        <v>13.333333333333334</v>
      </c>
      <c r="BV70" s="105">
        <f t="shared" si="143"/>
        <v>12.5</v>
      </c>
      <c r="BW70" s="109">
        <f t="shared" si="144"/>
        <v>150</v>
      </c>
      <c r="BX70" s="105">
        <f t="shared" si="145"/>
        <v>75</v>
      </c>
      <c r="BY70" s="105">
        <f t="shared" si="146"/>
        <v>50</v>
      </c>
      <c r="BZ70" s="105">
        <f t="shared" si="147"/>
        <v>37.5</v>
      </c>
      <c r="CA70" s="105">
        <f t="shared" si="148"/>
        <v>30</v>
      </c>
      <c r="CB70" s="105">
        <f t="shared" si="149"/>
        <v>25</v>
      </c>
      <c r="CC70" s="105">
        <f t="shared" si="150"/>
        <v>21.428571428571427</v>
      </c>
      <c r="CD70" s="105">
        <f t="shared" si="151"/>
        <v>18.75</v>
      </c>
      <c r="CE70" s="105">
        <f t="shared" si="152"/>
        <v>16.666666666666664</v>
      </c>
      <c r="CF70" s="105">
        <f t="shared" si="153"/>
        <v>15</v>
      </c>
      <c r="CG70" s="105">
        <f t="shared" si="154"/>
        <v>13.636363636363637</v>
      </c>
      <c r="CH70" s="105">
        <f t="shared" si="155"/>
        <v>12.5</v>
      </c>
      <c r="CI70" s="105">
        <f t="shared" si="156"/>
        <v>11.538461538461538</v>
      </c>
      <c r="CJ70" s="105">
        <f t="shared" si="157"/>
        <v>10.714285714285714</v>
      </c>
      <c r="CK70" s="105">
        <f t="shared" si="158"/>
        <v>10</v>
      </c>
      <c r="CL70" s="105">
        <f t="shared" si="159"/>
        <v>9.375</v>
      </c>
    </row>
    <row r="71" spans="9:90">
      <c r="I71" s="105">
        <v>76</v>
      </c>
      <c r="J71" s="105">
        <f t="shared" si="85"/>
        <v>1216</v>
      </c>
      <c r="K71" s="105">
        <f t="shared" si="86"/>
        <v>608</v>
      </c>
      <c r="L71" s="105">
        <f t="shared" si="87"/>
        <v>405.33333333333331</v>
      </c>
      <c r="M71" s="105">
        <f t="shared" si="88"/>
        <v>304</v>
      </c>
      <c r="N71" s="105">
        <f t="shared" si="89"/>
        <v>243.20000000000002</v>
      </c>
      <c r="O71" s="105">
        <f t="shared" si="90"/>
        <v>202.66666666666666</v>
      </c>
      <c r="P71" s="105">
        <f t="shared" si="91"/>
        <v>173.71428571428569</v>
      </c>
      <c r="Q71" s="105">
        <f t="shared" si="92"/>
        <v>152</v>
      </c>
      <c r="R71" s="105">
        <f t="shared" si="93"/>
        <v>135.11111111111111</v>
      </c>
      <c r="S71" s="105">
        <f t="shared" si="94"/>
        <v>121.60000000000001</v>
      </c>
      <c r="T71" s="105">
        <f t="shared" si="95"/>
        <v>110.54545454545455</v>
      </c>
      <c r="U71" s="105">
        <f t="shared" si="96"/>
        <v>101.33333333333333</v>
      </c>
      <c r="V71" s="105">
        <f t="shared" si="97"/>
        <v>93.538461538461547</v>
      </c>
      <c r="W71" s="105">
        <f t="shared" si="98"/>
        <v>86.857142857142847</v>
      </c>
      <c r="X71" s="105">
        <f t="shared" si="99"/>
        <v>81.066666666666663</v>
      </c>
      <c r="Y71" s="105">
        <f t="shared" si="100"/>
        <v>76</v>
      </c>
      <c r="AA71" s="121"/>
      <c r="AB71" s="120"/>
      <c r="AC71" s="120"/>
      <c r="AD71" s="105">
        <f t="shared" si="101"/>
        <v>152</v>
      </c>
      <c r="AE71" s="105">
        <f t="shared" si="102"/>
        <v>121.60000000000001</v>
      </c>
      <c r="AF71" s="105">
        <f t="shared" si="103"/>
        <v>101.33333333333333</v>
      </c>
      <c r="AG71" s="105">
        <f t="shared" si="104"/>
        <v>86.857142857142847</v>
      </c>
      <c r="AH71" s="105">
        <f t="shared" si="105"/>
        <v>76</v>
      </c>
      <c r="AI71" s="105">
        <f t="shared" si="106"/>
        <v>67.555555555555557</v>
      </c>
      <c r="AJ71" s="105">
        <f t="shared" si="107"/>
        <v>60.800000000000004</v>
      </c>
      <c r="AK71" s="105">
        <f t="shared" si="108"/>
        <v>55.272727272727273</v>
      </c>
      <c r="AL71" s="105">
        <f t="shared" si="109"/>
        <v>50.666666666666664</v>
      </c>
      <c r="AM71" s="105">
        <f t="shared" si="110"/>
        <v>46.769230769230774</v>
      </c>
      <c r="AN71" s="105">
        <f t="shared" si="111"/>
        <v>43.428571428571423</v>
      </c>
      <c r="AO71" s="105">
        <f t="shared" si="112"/>
        <v>40.533333333333331</v>
      </c>
      <c r="AP71" s="105">
        <f t="shared" si="113"/>
        <v>38</v>
      </c>
      <c r="AQ71" s="121"/>
      <c r="AR71" s="105">
        <f t="shared" si="114"/>
        <v>152</v>
      </c>
      <c r="AS71" s="105">
        <f t="shared" si="115"/>
        <v>101.33333333333333</v>
      </c>
      <c r="AT71" s="105">
        <f t="shared" si="116"/>
        <v>76</v>
      </c>
      <c r="AU71" s="105">
        <f t="shared" si="117"/>
        <v>60.800000000000004</v>
      </c>
      <c r="AV71" s="105">
        <f t="shared" si="118"/>
        <v>50.666666666666664</v>
      </c>
      <c r="AW71" s="105">
        <f t="shared" si="119"/>
        <v>43.428571428571423</v>
      </c>
      <c r="AX71" s="105">
        <f t="shared" si="120"/>
        <v>38</v>
      </c>
      <c r="AY71" s="105">
        <f t="shared" si="121"/>
        <v>33.777777777777779</v>
      </c>
      <c r="AZ71" s="105">
        <f t="shared" si="122"/>
        <v>30.400000000000002</v>
      </c>
      <c r="BA71" s="105">
        <f t="shared" si="123"/>
        <v>27.636363636363637</v>
      </c>
      <c r="BB71" s="105">
        <f t="shared" si="124"/>
        <v>25.333333333333332</v>
      </c>
      <c r="BC71" s="105">
        <f t="shared" si="125"/>
        <v>23.384615384615387</v>
      </c>
      <c r="BD71" s="105">
        <f t="shared" si="126"/>
        <v>21.714285714285712</v>
      </c>
      <c r="BE71" s="105">
        <f t="shared" si="127"/>
        <v>20.266666666666666</v>
      </c>
      <c r="BF71" s="110">
        <f t="shared" si="128"/>
        <v>19</v>
      </c>
      <c r="BG71" s="120"/>
      <c r="BH71" s="105">
        <f t="shared" si="129"/>
        <v>101.33333333333333</v>
      </c>
      <c r="BI71" s="105">
        <f t="shared" si="130"/>
        <v>67.555555555555557</v>
      </c>
      <c r="BJ71" s="105">
        <f t="shared" si="131"/>
        <v>50.666666666666664</v>
      </c>
      <c r="BK71" s="105">
        <f t="shared" si="132"/>
        <v>40.533333333333339</v>
      </c>
      <c r="BL71" s="105">
        <f t="shared" si="133"/>
        <v>33.777777777777779</v>
      </c>
      <c r="BM71" s="105">
        <f t="shared" si="134"/>
        <v>28.952380952380949</v>
      </c>
      <c r="BN71" s="105">
        <f t="shared" si="135"/>
        <v>25.333333333333332</v>
      </c>
      <c r="BO71" s="105">
        <f t="shared" si="136"/>
        <v>22.518518518518519</v>
      </c>
      <c r="BP71" s="105">
        <f t="shared" si="137"/>
        <v>20.266666666666669</v>
      </c>
      <c r="BQ71" s="105">
        <f t="shared" si="138"/>
        <v>18.424242424242426</v>
      </c>
      <c r="BR71" s="105">
        <f t="shared" si="139"/>
        <v>16.888888888888889</v>
      </c>
      <c r="BS71" s="105">
        <f t="shared" si="140"/>
        <v>15.589743589743591</v>
      </c>
      <c r="BT71" s="105">
        <f t="shared" si="141"/>
        <v>14.476190476190474</v>
      </c>
      <c r="BU71" s="105">
        <f t="shared" si="142"/>
        <v>13.511111111111111</v>
      </c>
      <c r="BV71" s="105">
        <f t="shared" si="143"/>
        <v>12.666666666666666</v>
      </c>
      <c r="BW71" s="109">
        <f t="shared" si="144"/>
        <v>152</v>
      </c>
      <c r="BX71" s="105">
        <f t="shared" si="145"/>
        <v>76</v>
      </c>
      <c r="BY71" s="105">
        <f t="shared" si="146"/>
        <v>50.666666666666664</v>
      </c>
      <c r="BZ71" s="105">
        <f t="shared" si="147"/>
        <v>38</v>
      </c>
      <c r="CA71" s="105">
        <f t="shared" si="148"/>
        <v>30.400000000000002</v>
      </c>
      <c r="CB71" s="105">
        <f t="shared" si="149"/>
        <v>25.333333333333332</v>
      </c>
      <c r="CC71" s="105">
        <f t="shared" si="150"/>
        <v>21.714285714285712</v>
      </c>
      <c r="CD71" s="105">
        <f t="shared" si="151"/>
        <v>19</v>
      </c>
      <c r="CE71" s="105">
        <f t="shared" si="152"/>
        <v>16.888888888888889</v>
      </c>
      <c r="CF71" s="105">
        <f t="shared" si="153"/>
        <v>15.200000000000001</v>
      </c>
      <c r="CG71" s="105">
        <f t="shared" si="154"/>
        <v>13.818181818181818</v>
      </c>
      <c r="CH71" s="105">
        <f t="shared" si="155"/>
        <v>12.666666666666666</v>
      </c>
      <c r="CI71" s="105">
        <f t="shared" si="156"/>
        <v>11.692307692307693</v>
      </c>
      <c r="CJ71" s="105">
        <f t="shared" si="157"/>
        <v>10.857142857142856</v>
      </c>
      <c r="CK71" s="105">
        <f t="shared" si="158"/>
        <v>10.133333333333333</v>
      </c>
      <c r="CL71" s="105">
        <f t="shared" si="159"/>
        <v>9.5</v>
      </c>
    </row>
    <row r="72" spans="9:90">
      <c r="I72" s="105">
        <v>77</v>
      </c>
      <c r="J72" s="105">
        <f t="shared" si="85"/>
        <v>1232</v>
      </c>
      <c r="K72" s="105">
        <f t="shared" si="86"/>
        <v>616</v>
      </c>
      <c r="L72" s="105">
        <f t="shared" si="87"/>
        <v>410.66666666666663</v>
      </c>
      <c r="M72" s="105">
        <f t="shared" si="88"/>
        <v>308</v>
      </c>
      <c r="N72" s="105">
        <f t="shared" si="89"/>
        <v>246.4</v>
      </c>
      <c r="O72" s="105">
        <f t="shared" si="90"/>
        <v>205.33333333333331</v>
      </c>
      <c r="P72" s="105">
        <f t="shared" si="91"/>
        <v>176</v>
      </c>
      <c r="Q72" s="105">
        <f t="shared" si="92"/>
        <v>154</v>
      </c>
      <c r="R72" s="105">
        <f t="shared" si="93"/>
        <v>136.88888888888889</v>
      </c>
      <c r="S72" s="105">
        <f t="shared" si="94"/>
        <v>123.2</v>
      </c>
      <c r="T72" s="105">
        <f t="shared" si="95"/>
        <v>112</v>
      </c>
      <c r="U72" s="105">
        <f t="shared" si="96"/>
        <v>102.66666666666666</v>
      </c>
      <c r="V72" s="105">
        <f t="shared" si="97"/>
        <v>94.769230769230774</v>
      </c>
      <c r="W72" s="105">
        <f t="shared" si="98"/>
        <v>88</v>
      </c>
      <c r="X72" s="105">
        <f t="shared" si="99"/>
        <v>82.133333333333326</v>
      </c>
      <c r="Y72" s="105">
        <f t="shared" si="100"/>
        <v>77</v>
      </c>
      <c r="AA72" s="121"/>
      <c r="AB72" s="120"/>
      <c r="AC72" s="120"/>
      <c r="AD72" s="105">
        <f t="shared" si="101"/>
        <v>154</v>
      </c>
      <c r="AE72" s="105">
        <f t="shared" si="102"/>
        <v>123.2</v>
      </c>
      <c r="AF72" s="105">
        <f t="shared" si="103"/>
        <v>102.66666666666666</v>
      </c>
      <c r="AG72" s="105">
        <f t="shared" si="104"/>
        <v>88</v>
      </c>
      <c r="AH72" s="105">
        <f t="shared" si="105"/>
        <v>77</v>
      </c>
      <c r="AI72" s="105">
        <f t="shared" si="106"/>
        <v>68.444444444444443</v>
      </c>
      <c r="AJ72" s="105">
        <f t="shared" si="107"/>
        <v>61.6</v>
      </c>
      <c r="AK72" s="105">
        <f t="shared" si="108"/>
        <v>56</v>
      </c>
      <c r="AL72" s="105">
        <f t="shared" si="109"/>
        <v>51.333333333333329</v>
      </c>
      <c r="AM72" s="105">
        <f t="shared" si="110"/>
        <v>47.384615384615387</v>
      </c>
      <c r="AN72" s="105">
        <f t="shared" si="111"/>
        <v>44</v>
      </c>
      <c r="AO72" s="105">
        <f t="shared" si="112"/>
        <v>41.066666666666663</v>
      </c>
      <c r="AP72" s="105">
        <f t="shared" si="113"/>
        <v>38.5</v>
      </c>
      <c r="AQ72" s="121"/>
      <c r="AR72" s="105">
        <f t="shared" si="114"/>
        <v>154</v>
      </c>
      <c r="AS72" s="105">
        <f t="shared" si="115"/>
        <v>102.66666666666666</v>
      </c>
      <c r="AT72" s="105">
        <f t="shared" si="116"/>
        <v>77</v>
      </c>
      <c r="AU72" s="105">
        <f t="shared" si="117"/>
        <v>61.6</v>
      </c>
      <c r="AV72" s="105">
        <f t="shared" si="118"/>
        <v>51.333333333333329</v>
      </c>
      <c r="AW72" s="105">
        <f t="shared" si="119"/>
        <v>44</v>
      </c>
      <c r="AX72" s="105">
        <f t="shared" si="120"/>
        <v>38.5</v>
      </c>
      <c r="AY72" s="105">
        <f t="shared" si="121"/>
        <v>34.222222222222221</v>
      </c>
      <c r="AZ72" s="105">
        <f t="shared" si="122"/>
        <v>30.8</v>
      </c>
      <c r="BA72" s="105">
        <f t="shared" si="123"/>
        <v>28</v>
      </c>
      <c r="BB72" s="105">
        <f t="shared" si="124"/>
        <v>25.666666666666664</v>
      </c>
      <c r="BC72" s="105">
        <f t="shared" si="125"/>
        <v>23.692307692307693</v>
      </c>
      <c r="BD72" s="105">
        <f t="shared" si="126"/>
        <v>22</v>
      </c>
      <c r="BE72" s="105">
        <f t="shared" si="127"/>
        <v>20.533333333333331</v>
      </c>
      <c r="BF72" s="110">
        <f t="shared" si="128"/>
        <v>19.25</v>
      </c>
      <c r="BG72" s="120"/>
      <c r="BH72" s="105">
        <f t="shared" si="129"/>
        <v>102.66666666666667</v>
      </c>
      <c r="BI72" s="105">
        <f t="shared" si="130"/>
        <v>68.444444444444443</v>
      </c>
      <c r="BJ72" s="105">
        <f t="shared" si="131"/>
        <v>51.333333333333336</v>
      </c>
      <c r="BK72" s="105">
        <f t="shared" si="132"/>
        <v>41.06666666666667</v>
      </c>
      <c r="BL72" s="105">
        <f t="shared" si="133"/>
        <v>34.222222222222221</v>
      </c>
      <c r="BM72" s="105">
        <f t="shared" si="134"/>
        <v>29.333333333333332</v>
      </c>
      <c r="BN72" s="105">
        <f t="shared" si="135"/>
        <v>25.666666666666668</v>
      </c>
      <c r="BO72" s="105">
        <f t="shared" si="136"/>
        <v>22.814814814814813</v>
      </c>
      <c r="BP72" s="105">
        <f t="shared" si="137"/>
        <v>20.533333333333335</v>
      </c>
      <c r="BQ72" s="105">
        <f t="shared" si="138"/>
        <v>18.666666666666668</v>
      </c>
      <c r="BR72" s="105">
        <f t="shared" si="139"/>
        <v>17.111111111111111</v>
      </c>
      <c r="BS72" s="105">
        <f t="shared" si="140"/>
        <v>15.794871794871796</v>
      </c>
      <c r="BT72" s="105">
        <f t="shared" si="141"/>
        <v>14.666666666666666</v>
      </c>
      <c r="BU72" s="105">
        <f t="shared" si="142"/>
        <v>13.688888888888888</v>
      </c>
      <c r="BV72" s="105">
        <f t="shared" si="143"/>
        <v>12.833333333333334</v>
      </c>
      <c r="BW72" s="109">
        <f t="shared" si="144"/>
        <v>154</v>
      </c>
      <c r="BX72" s="105">
        <f t="shared" si="145"/>
        <v>77</v>
      </c>
      <c r="BY72" s="105">
        <f t="shared" si="146"/>
        <v>51.333333333333329</v>
      </c>
      <c r="BZ72" s="105">
        <f t="shared" si="147"/>
        <v>38.5</v>
      </c>
      <c r="CA72" s="105">
        <f t="shared" si="148"/>
        <v>30.8</v>
      </c>
      <c r="CB72" s="105">
        <f t="shared" si="149"/>
        <v>25.666666666666664</v>
      </c>
      <c r="CC72" s="105">
        <f t="shared" si="150"/>
        <v>22</v>
      </c>
      <c r="CD72" s="105">
        <f t="shared" si="151"/>
        <v>19.25</v>
      </c>
      <c r="CE72" s="105">
        <f t="shared" si="152"/>
        <v>17.111111111111111</v>
      </c>
      <c r="CF72" s="105">
        <f t="shared" si="153"/>
        <v>15.4</v>
      </c>
      <c r="CG72" s="105">
        <f t="shared" si="154"/>
        <v>14</v>
      </c>
      <c r="CH72" s="105">
        <f t="shared" si="155"/>
        <v>12.833333333333332</v>
      </c>
      <c r="CI72" s="105">
        <f t="shared" si="156"/>
        <v>11.846153846153847</v>
      </c>
      <c r="CJ72" s="105">
        <f t="shared" si="157"/>
        <v>11</v>
      </c>
      <c r="CK72" s="105">
        <f t="shared" si="158"/>
        <v>10.266666666666666</v>
      </c>
      <c r="CL72" s="105">
        <f t="shared" si="159"/>
        <v>9.625</v>
      </c>
    </row>
    <row r="73" spans="9:90">
      <c r="I73" s="105">
        <v>78</v>
      </c>
      <c r="J73" s="105">
        <f t="shared" si="85"/>
        <v>1248</v>
      </c>
      <c r="K73" s="105">
        <f t="shared" si="86"/>
        <v>624</v>
      </c>
      <c r="L73" s="105">
        <f t="shared" si="87"/>
        <v>416</v>
      </c>
      <c r="M73" s="105">
        <f t="shared" si="88"/>
        <v>312</v>
      </c>
      <c r="N73" s="105">
        <f t="shared" si="89"/>
        <v>249.60000000000002</v>
      </c>
      <c r="O73" s="105">
        <f t="shared" si="90"/>
        <v>208</v>
      </c>
      <c r="P73" s="105">
        <f t="shared" si="91"/>
        <v>178.28571428571428</v>
      </c>
      <c r="Q73" s="105">
        <f t="shared" si="92"/>
        <v>156</v>
      </c>
      <c r="R73" s="105">
        <f t="shared" si="93"/>
        <v>138.66666666666666</v>
      </c>
      <c r="S73" s="105">
        <f t="shared" si="94"/>
        <v>124.80000000000001</v>
      </c>
      <c r="T73" s="105">
        <f t="shared" si="95"/>
        <v>113.45454545454545</v>
      </c>
      <c r="U73" s="105">
        <f t="shared" si="96"/>
        <v>104</v>
      </c>
      <c r="V73" s="105">
        <f t="shared" si="97"/>
        <v>96</v>
      </c>
      <c r="W73" s="105">
        <f t="shared" si="98"/>
        <v>89.142857142857139</v>
      </c>
      <c r="X73" s="105">
        <f t="shared" si="99"/>
        <v>83.2</v>
      </c>
      <c r="Y73" s="105">
        <f t="shared" si="100"/>
        <v>78</v>
      </c>
      <c r="AA73" s="121"/>
      <c r="AB73" s="120"/>
      <c r="AC73" s="120"/>
      <c r="AD73" s="105">
        <f t="shared" si="101"/>
        <v>156</v>
      </c>
      <c r="AE73" s="105">
        <f t="shared" si="102"/>
        <v>124.80000000000001</v>
      </c>
      <c r="AF73" s="105">
        <f t="shared" si="103"/>
        <v>104</v>
      </c>
      <c r="AG73" s="105">
        <f t="shared" si="104"/>
        <v>89.142857142857139</v>
      </c>
      <c r="AH73" s="105">
        <f t="shared" si="105"/>
        <v>78</v>
      </c>
      <c r="AI73" s="105">
        <f t="shared" si="106"/>
        <v>69.333333333333329</v>
      </c>
      <c r="AJ73" s="105">
        <f t="shared" si="107"/>
        <v>62.400000000000006</v>
      </c>
      <c r="AK73" s="105">
        <f t="shared" si="108"/>
        <v>56.727272727272727</v>
      </c>
      <c r="AL73" s="105">
        <f t="shared" si="109"/>
        <v>52</v>
      </c>
      <c r="AM73" s="105">
        <f t="shared" si="110"/>
        <v>48</v>
      </c>
      <c r="AN73" s="105">
        <f t="shared" si="111"/>
        <v>44.571428571428569</v>
      </c>
      <c r="AO73" s="105">
        <f t="shared" si="112"/>
        <v>41.6</v>
      </c>
      <c r="AP73" s="105">
        <f t="shared" si="113"/>
        <v>39</v>
      </c>
      <c r="AQ73" s="121"/>
      <c r="AR73" s="105">
        <f t="shared" si="114"/>
        <v>156</v>
      </c>
      <c r="AS73" s="105">
        <f t="shared" si="115"/>
        <v>104</v>
      </c>
      <c r="AT73" s="105">
        <f t="shared" si="116"/>
        <v>78</v>
      </c>
      <c r="AU73" s="105">
        <f t="shared" si="117"/>
        <v>62.400000000000006</v>
      </c>
      <c r="AV73" s="105">
        <f t="shared" si="118"/>
        <v>52</v>
      </c>
      <c r="AW73" s="105">
        <f t="shared" si="119"/>
        <v>44.571428571428569</v>
      </c>
      <c r="AX73" s="105">
        <f t="shared" si="120"/>
        <v>39</v>
      </c>
      <c r="AY73" s="105">
        <f t="shared" si="121"/>
        <v>34.666666666666664</v>
      </c>
      <c r="AZ73" s="105">
        <f t="shared" si="122"/>
        <v>31.200000000000003</v>
      </c>
      <c r="BA73" s="105">
        <f t="shared" si="123"/>
        <v>28.363636363636363</v>
      </c>
      <c r="BB73" s="105">
        <f t="shared" si="124"/>
        <v>26</v>
      </c>
      <c r="BC73" s="105">
        <f t="shared" si="125"/>
        <v>24</v>
      </c>
      <c r="BD73" s="105">
        <f t="shared" si="126"/>
        <v>22.285714285714285</v>
      </c>
      <c r="BE73" s="105">
        <f t="shared" si="127"/>
        <v>20.8</v>
      </c>
      <c r="BF73" s="110">
        <f t="shared" si="128"/>
        <v>19.5</v>
      </c>
      <c r="BG73" s="120"/>
      <c r="BH73" s="105">
        <f t="shared" si="129"/>
        <v>104</v>
      </c>
      <c r="BI73" s="105">
        <f t="shared" si="130"/>
        <v>69.333333333333329</v>
      </c>
      <c r="BJ73" s="105">
        <f t="shared" si="131"/>
        <v>52</v>
      </c>
      <c r="BK73" s="105">
        <f t="shared" si="132"/>
        <v>41.6</v>
      </c>
      <c r="BL73" s="105">
        <f t="shared" si="133"/>
        <v>34.666666666666664</v>
      </c>
      <c r="BM73" s="105">
        <f t="shared" si="134"/>
        <v>29.714285714285712</v>
      </c>
      <c r="BN73" s="105">
        <f t="shared" si="135"/>
        <v>26</v>
      </c>
      <c r="BO73" s="105">
        <f t="shared" si="136"/>
        <v>23.111111111111111</v>
      </c>
      <c r="BP73" s="105">
        <f t="shared" si="137"/>
        <v>20.8</v>
      </c>
      <c r="BQ73" s="105">
        <f t="shared" si="138"/>
        <v>18.90909090909091</v>
      </c>
      <c r="BR73" s="105">
        <f t="shared" si="139"/>
        <v>17.333333333333332</v>
      </c>
      <c r="BS73" s="105">
        <f t="shared" si="140"/>
        <v>16</v>
      </c>
      <c r="BT73" s="105">
        <f t="shared" si="141"/>
        <v>14.857142857142856</v>
      </c>
      <c r="BU73" s="105">
        <f t="shared" si="142"/>
        <v>13.866666666666667</v>
      </c>
      <c r="BV73" s="105">
        <f t="shared" si="143"/>
        <v>13</v>
      </c>
      <c r="BW73" s="109">
        <f t="shared" si="144"/>
        <v>156</v>
      </c>
      <c r="BX73" s="105">
        <f t="shared" si="145"/>
        <v>78</v>
      </c>
      <c r="BY73" s="105">
        <f t="shared" si="146"/>
        <v>52</v>
      </c>
      <c r="BZ73" s="105">
        <f t="shared" si="147"/>
        <v>39</v>
      </c>
      <c r="CA73" s="105">
        <f t="shared" si="148"/>
        <v>31.200000000000003</v>
      </c>
      <c r="CB73" s="105">
        <f t="shared" si="149"/>
        <v>26</v>
      </c>
      <c r="CC73" s="105">
        <f t="shared" si="150"/>
        <v>22.285714285714285</v>
      </c>
      <c r="CD73" s="105">
        <f t="shared" si="151"/>
        <v>19.5</v>
      </c>
      <c r="CE73" s="105">
        <f t="shared" si="152"/>
        <v>17.333333333333332</v>
      </c>
      <c r="CF73" s="105">
        <f t="shared" si="153"/>
        <v>15.600000000000001</v>
      </c>
      <c r="CG73" s="105">
        <f t="shared" si="154"/>
        <v>14.181818181818182</v>
      </c>
      <c r="CH73" s="105">
        <f t="shared" si="155"/>
        <v>13</v>
      </c>
      <c r="CI73" s="105">
        <f t="shared" si="156"/>
        <v>12</v>
      </c>
      <c r="CJ73" s="105">
        <f t="shared" si="157"/>
        <v>11.142857142857142</v>
      </c>
      <c r="CK73" s="105">
        <f t="shared" si="158"/>
        <v>10.4</v>
      </c>
      <c r="CL73" s="105">
        <f t="shared" si="159"/>
        <v>9.75</v>
      </c>
    </row>
    <row r="74" spans="9:90">
      <c r="I74" s="105">
        <v>79</v>
      </c>
      <c r="J74" s="105">
        <f t="shared" si="85"/>
        <v>1264</v>
      </c>
      <c r="K74" s="105">
        <f t="shared" si="86"/>
        <v>632</v>
      </c>
      <c r="L74" s="105">
        <f t="shared" si="87"/>
        <v>421.33333333333331</v>
      </c>
      <c r="M74" s="105">
        <f t="shared" si="88"/>
        <v>316</v>
      </c>
      <c r="N74" s="105">
        <f t="shared" si="89"/>
        <v>252.8</v>
      </c>
      <c r="O74" s="105">
        <f t="shared" si="90"/>
        <v>210.66666666666666</v>
      </c>
      <c r="P74" s="105">
        <f t="shared" si="91"/>
        <v>180.57142857142856</v>
      </c>
      <c r="Q74" s="105">
        <f t="shared" si="92"/>
        <v>158</v>
      </c>
      <c r="R74" s="105">
        <f t="shared" si="93"/>
        <v>140.44444444444443</v>
      </c>
      <c r="S74" s="105">
        <f t="shared" si="94"/>
        <v>126.4</v>
      </c>
      <c r="T74" s="105">
        <f t="shared" si="95"/>
        <v>114.90909090909091</v>
      </c>
      <c r="U74" s="105">
        <f t="shared" si="96"/>
        <v>105.33333333333333</v>
      </c>
      <c r="V74" s="105">
        <f t="shared" si="97"/>
        <v>97.230769230769241</v>
      </c>
      <c r="W74" s="105">
        <f t="shared" si="98"/>
        <v>90.285714285714278</v>
      </c>
      <c r="X74" s="105">
        <f t="shared" si="99"/>
        <v>84.266666666666666</v>
      </c>
      <c r="Y74" s="105">
        <f t="shared" si="100"/>
        <v>79</v>
      </c>
      <c r="AA74" s="121"/>
      <c r="AB74" s="120"/>
      <c r="AC74" s="120"/>
      <c r="AD74" s="105">
        <f t="shared" si="101"/>
        <v>158</v>
      </c>
      <c r="AE74" s="105">
        <f t="shared" si="102"/>
        <v>126.4</v>
      </c>
      <c r="AF74" s="105">
        <f t="shared" si="103"/>
        <v>105.33333333333333</v>
      </c>
      <c r="AG74" s="105">
        <f t="shared" si="104"/>
        <v>90.285714285714278</v>
      </c>
      <c r="AH74" s="105">
        <f t="shared" si="105"/>
        <v>79</v>
      </c>
      <c r="AI74" s="105">
        <f t="shared" si="106"/>
        <v>70.222222222222214</v>
      </c>
      <c r="AJ74" s="105">
        <f t="shared" si="107"/>
        <v>63.2</v>
      </c>
      <c r="AK74" s="105">
        <f t="shared" si="108"/>
        <v>57.454545454545453</v>
      </c>
      <c r="AL74" s="105">
        <f t="shared" si="109"/>
        <v>52.666666666666664</v>
      </c>
      <c r="AM74" s="105">
        <f t="shared" si="110"/>
        <v>48.61538461538462</v>
      </c>
      <c r="AN74" s="105">
        <f t="shared" si="111"/>
        <v>45.142857142857139</v>
      </c>
      <c r="AO74" s="105">
        <f t="shared" si="112"/>
        <v>42.133333333333333</v>
      </c>
      <c r="AP74" s="105">
        <f t="shared" si="113"/>
        <v>39.5</v>
      </c>
      <c r="AQ74" s="121"/>
      <c r="AR74" s="105">
        <f t="shared" si="114"/>
        <v>158</v>
      </c>
      <c r="AS74" s="105">
        <f t="shared" si="115"/>
        <v>105.33333333333333</v>
      </c>
      <c r="AT74" s="105">
        <f t="shared" si="116"/>
        <v>79</v>
      </c>
      <c r="AU74" s="105">
        <f t="shared" si="117"/>
        <v>63.2</v>
      </c>
      <c r="AV74" s="105">
        <f t="shared" si="118"/>
        <v>52.666666666666664</v>
      </c>
      <c r="AW74" s="105">
        <f t="shared" si="119"/>
        <v>45.142857142857139</v>
      </c>
      <c r="AX74" s="105">
        <f t="shared" si="120"/>
        <v>39.5</v>
      </c>
      <c r="AY74" s="105">
        <f t="shared" si="121"/>
        <v>35.111111111111107</v>
      </c>
      <c r="AZ74" s="105">
        <f t="shared" si="122"/>
        <v>31.6</v>
      </c>
      <c r="BA74" s="105">
        <f t="shared" si="123"/>
        <v>28.727272727272727</v>
      </c>
      <c r="BB74" s="105">
        <f t="shared" si="124"/>
        <v>26.333333333333332</v>
      </c>
      <c r="BC74" s="105">
        <f t="shared" si="125"/>
        <v>24.30769230769231</v>
      </c>
      <c r="BD74" s="105">
        <f t="shared" si="126"/>
        <v>22.571428571428569</v>
      </c>
      <c r="BE74" s="105">
        <f t="shared" si="127"/>
        <v>21.066666666666666</v>
      </c>
      <c r="BF74" s="110">
        <f t="shared" si="128"/>
        <v>19.75</v>
      </c>
      <c r="BG74" s="120"/>
      <c r="BH74" s="105">
        <f t="shared" si="129"/>
        <v>105.33333333333333</v>
      </c>
      <c r="BI74" s="105">
        <f t="shared" si="130"/>
        <v>70.222222222222214</v>
      </c>
      <c r="BJ74" s="105">
        <f t="shared" si="131"/>
        <v>52.666666666666664</v>
      </c>
      <c r="BK74" s="105">
        <f t="shared" si="132"/>
        <v>42.133333333333333</v>
      </c>
      <c r="BL74" s="105">
        <f t="shared" si="133"/>
        <v>35.111111111111107</v>
      </c>
      <c r="BM74" s="105">
        <f t="shared" si="134"/>
        <v>30.095238095238091</v>
      </c>
      <c r="BN74" s="105">
        <f t="shared" si="135"/>
        <v>26.333333333333332</v>
      </c>
      <c r="BO74" s="105">
        <f t="shared" si="136"/>
        <v>23.407407407407405</v>
      </c>
      <c r="BP74" s="105">
        <f t="shared" si="137"/>
        <v>21.066666666666666</v>
      </c>
      <c r="BQ74" s="105">
        <f t="shared" si="138"/>
        <v>19.151515151515152</v>
      </c>
      <c r="BR74" s="105">
        <f t="shared" si="139"/>
        <v>17.555555555555554</v>
      </c>
      <c r="BS74" s="105">
        <f t="shared" si="140"/>
        <v>16.205128205128208</v>
      </c>
      <c r="BT74" s="105">
        <f t="shared" si="141"/>
        <v>15.047619047619046</v>
      </c>
      <c r="BU74" s="105">
        <f t="shared" si="142"/>
        <v>14.044444444444444</v>
      </c>
      <c r="BV74" s="105">
        <f t="shared" si="143"/>
        <v>13.166666666666666</v>
      </c>
      <c r="BW74" s="109">
        <f t="shared" si="144"/>
        <v>158</v>
      </c>
      <c r="BX74" s="105">
        <f t="shared" si="145"/>
        <v>79</v>
      </c>
      <c r="BY74" s="105">
        <f t="shared" si="146"/>
        <v>52.666666666666664</v>
      </c>
      <c r="BZ74" s="105">
        <f t="shared" si="147"/>
        <v>39.5</v>
      </c>
      <c r="CA74" s="105">
        <f t="shared" si="148"/>
        <v>31.6</v>
      </c>
      <c r="CB74" s="105">
        <f t="shared" si="149"/>
        <v>26.333333333333332</v>
      </c>
      <c r="CC74" s="105">
        <f t="shared" si="150"/>
        <v>22.571428571428569</v>
      </c>
      <c r="CD74" s="105">
        <f t="shared" si="151"/>
        <v>19.75</v>
      </c>
      <c r="CE74" s="105">
        <f t="shared" si="152"/>
        <v>17.555555555555554</v>
      </c>
      <c r="CF74" s="105">
        <f t="shared" si="153"/>
        <v>15.8</v>
      </c>
      <c r="CG74" s="105">
        <f t="shared" si="154"/>
        <v>14.363636363636363</v>
      </c>
      <c r="CH74" s="105">
        <f t="shared" si="155"/>
        <v>13.166666666666666</v>
      </c>
      <c r="CI74" s="105">
        <f t="shared" si="156"/>
        <v>12.153846153846155</v>
      </c>
      <c r="CJ74" s="105">
        <f t="shared" si="157"/>
        <v>11.285714285714285</v>
      </c>
      <c r="CK74" s="105">
        <f t="shared" si="158"/>
        <v>10.533333333333333</v>
      </c>
      <c r="CL74" s="105">
        <f t="shared" si="159"/>
        <v>9.875</v>
      </c>
    </row>
    <row r="75" spans="9:90">
      <c r="I75" s="105">
        <v>80</v>
      </c>
      <c r="J75" s="105">
        <f t="shared" si="85"/>
        <v>1280</v>
      </c>
      <c r="K75" s="105">
        <f t="shared" si="86"/>
        <v>640</v>
      </c>
      <c r="L75" s="105">
        <f t="shared" si="87"/>
        <v>426.66666666666663</v>
      </c>
      <c r="M75" s="105">
        <f t="shared" si="88"/>
        <v>320</v>
      </c>
      <c r="N75" s="105">
        <f t="shared" si="89"/>
        <v>256</v>
      </c>
      <c r="O75" s="105">
        <f t="shared" si="90"/>
        <v>213.33333333333331</v>
      </c>
      <c r="P75" s="105">
        <f t="shared" si="91"/>
        <v>182.85714285714283</v>
      </c>
      <c r="Q75" s="105">
        <f t="shared" si="92"/>
        <v>160</v>
      </c>
      <c r="R75" s="105">
        <f t="shared" si="93"/>
        <v>142.22222222222223</v>
      </c>
      <c r="S75" s="105">
        <f t="shared" si="94"/>
        <v>128</v>
      </c>
      <c r="T75" s="105">
        <f t="shared" si="95"/>
        <v>116.36363636363637</v>
      </c>
      <c r="U75" s="105">
        <f t="shared" si="96"/>
        <v>106.66666666666666</v>
      </c>
      <c r="V75" s="105">
        <f t="shared" si="97"/>
        <v>98.461538461538467</v>
      </c>
      <c r="W75" s="105">
        <f t="shared" si="98"/>
        <v>91.428571428571416</v>
      </c>
      <c r="X75" s="105">
        <f t="shared" si="99"/>
        <v>85.333333333333329</v>
      </c>
      <c r="Y75" s="105">
        <f t="shared" si="100"/>
        <v>80</v>
      </c>
      <c r="AA75" s="121"/>
      <c r="AB75" s="120"/>
      <c r="AC75" s="120"/>
      <c r="AD75" s="105">
        <f t="shared" si="101"/>
        <v>160</v>
      </c>
      <c r="AE75" s="105">
        <f t="shared" si="102"/>
        <v>128</v>
      </c>
      <c r="AF75" s="105">
        <f t="shared" si="103"/>
        <v>106.66666666666666</v>
      </c>
      <c r="AG75" s="105">
        <f t="shared" si="104"/>
        <v>91.428571428571416</v>
      </c>
      <c r="AH75" s="105">
        <f t="shared" si="105"/>
        <v>80</v>
      </c>
      <c r="AI75" s="105">
        <f t="shared" si="106"/>
        <v>71.111111111111114</v>
      </c>
      <c r="AJ75" s="105">
        <f t="shared" si="107"/>
        <v>64</v>
      </c>
      <c r="AK75" s="105">
        <f t="shared" si="108"/>
        <v>58.181818181818187</v>
      </c>
      <c r="AL75" s="105">
        <f t="shared" si="109"/>
        <v>53.333333333333329</v>
      </c>
      <c r="AM75" s="105">
        <f t="shared" si="110"/>
        <v>49.230769230769234</v>
      </c>
      <c r="AN75" s="105">
        <f t="shared" si="111"/>
        <v>45.714285714285708</v>
      </c>
      <c r="AO75" s="105">
        <f t="shared" si="112"/>
        <v>42.666666666666664</v>
      </c>
      <c r="AP75" s="105">
        <f t="shared" si="113"/>
        <v>40</v>
      </c>
      <c r="AQ75" s="121"/>
      <c r="AR75" s="105">
        <f t="shared" si="114"/>
        <v>160</v>
      </c>
      <c r="AS75" s="105">
        <f t="shared" si="115"/>
        <v>106.66666666666666</v>
      </c>
      <c r="AT75" s="105">
        <f t="shared" si="116"/>
        <v>80</v>
      </c>
      <c r="AU75" s="105">
        <f t="shared" si="117"/>
        <v>64</v>
      </c>
      <c r="AV75" s="105">
        <f t="shared" si="118"/>
        <v>53.333333333333329</v>
      </c>
      <c r="AW75" s="105">
        <f t="shared" si="119"/>
        <v>45.714285714285708</v>
      </c>
      <c r="AX75" s="105">
        <f t="shared" si="120"/>
        <v>40</v>
      </c>
      <c r="AY75" s="105">
        <f t="shared" si="121"/>
        <v>35.555555555555557</v>
      </c>
      <c r="AZ75" s="105">
        <f t="shared" si="122"/>
        <v>32</v>
      </c>
      <c r="BA75" s="105">
        <f t="shared" si="123"/>
        <v>29.090909090909093</v>
      </c>
      <c r="BB75" s="105">
        <f t="shared" si="124"/>
        <v>26.666666666666664</v>
      </c>
      <c r="BC75" s="105">
        <f t="shared" si="125"/>
        <v>24.615384615384617</v>
      </c>
      <c r="BD75" s="105">
        <f t="shared" si="126"/>
        <v>22.857142857142854</v>
      </c>
      <c r="BE75" s="105">
        <f t="shared" si="127"/>
        <v>21.333333333333332</v>
      </c>
      <c r="BF75" s="110">
        <f t="shared" si="128"/>
        <v>20</v>
      </c>
      <c r="BG75" s="120"/>
      <c r="BH75" s="105">
        <f t="shared" si="129"/>
        <v>106.66666666666667</v>
      </c>
      <c r="BI75" s="105">
        <f t="shared" si="130"/>
        <v>71.1111111111111</v>
      </c>
      <c r="BJ75" s="105">
        <f t="shared" si="131"/>
        <v>53.333333333333336</v>
      </c>
      <c r="BK75" s="105">
        <f t="shared" si="132"/>
        <v>42.666666666666664</v>
      </c>
      <c r="BL75" s="105">
        <f t="shared" si="133"/>
        <v>35.55555555555555</v>
      </c>
      <c r="BM75" s="105">
        <f t="shared" si="134"/>
        <v>30.476190476190471</v>
      </c>
      <c r="BN75" s="105">
        <f t="shared" si="135"/>
        <v>26.666666666666668</v>
      </c>
      <c r="BO75" s="105">
        <f t="shared" si="136"/>
        <v>23.703703703703706</v>
      </c>
      <c r="BP75" s="105">
        <f t="shared" si="137"/>
        <v>21.333333333333332</v>
      </c>
      <c r="BQ75" s="105">
        <f t="shared" si="138"/>
        <v>19.393939393939394</v>
      </c>
      <c r="BR75" s="105">
        <f t="shared" si="139"/>
        <v>17.777777777777775</v>
      </c>
      <c r="BS75" s="105">
        <f t="shared" si="140"/>
        <v>16.410256410256412</v>
      </c>
      <c r="BT75" s="105">
        <f t="shared" si="141"/>
        <v>15.238095238095235</v>
      </c>
      <c r="BU75" s="105">
        <f t="shared" si="142"/>
        <v>14.222222222222221</v>
      </c>
      <c r="BV75" s="105">
        <f t="shared" si="143"/>
        <v>13.333333333333334</v>
      </c>
      <c r="BW75" s="109">
        <f t="shared" si="144"/>
        <v>160</v>
      </c>
      <c r="BX75" s="105">
        <f t="shared" si="145"/>
        <v>80</v>
      </c>
      <c r="BY75" s="105">
        <f t="shared" si="146"/>
        <v>53.333333333333329</v>
      </c>
      <c r="BZ75" s="105">
        <f t="shared" si="147"/>
        <v>40</v>
      </c>
      <c r="CA75" s="105">
        <f t="shared" si="148"/>
        <v>32</v>
      </c>
      <c r="CB75" s="105">
        <f t="shared" si="149"/>
        <v>26.666666666666664</v>
      </c>
      <c r="CC75" s="105">
        <f t="shared" si="150"/>
        <v>22.857142857142854</v>
      </c>
      <c r="CD75" s="105">
        <f t="shared" si="151"/>
        <v>20</v>
      </c>
      <c r="CE75" s="105">
        <f t="shared" si="152"/>
        <v>17.777777777777779</v>
      </c>
      <c r="CF75" s="105">
        <f t="shared" si="153"/>
        <v>16</v>
      </c>
      <c r="CG75" s="105">
        <f t="shared" si="154"/>
        <v>14.545454545454547</v>
      </c>
      <c r="CH75" s="105">
        <f t="shared" si="155"/>
        <v>13.333333333333332</v>
      </c>
      <c r="CI75" s="105">
        <f t="shared" si="156"/>
        <v>12.307692307692308</v>
      </c>
      <c r="CJ75" s="105">
        <f t="shared" si="157"/>
        <v>11.428571428571427</v>
      </c>
      <c r="CK75" s="105">
        <f t="shared" si="158"/>
        <v>10.666666666666666</v>
      </c>
      <c r="CL75" s="105">
        <f t="shared" si="159"/>
        <v>10</v>
      </c>
    </row>
    <row r="76" spans="9:90">
      <c r="I76" s="105">
        <v>81</v>
      </c>
      <c r="J76" s="105">
        <f t="shared" si="85"/>
        <v>1296</v>
      </c>
      <c r="K76" s="105">
        <f t="shared" si="86"/>
        <v>648</v>
      </c>
      <c r="L76" s="105">
        <f t="shared" si="87"/>
        <v>432</v>
      </c>
      <c r="M76" s="105">
        <f t="shared" si="88"/>
        <v>324</v>
      </c>
      <c r="N76" s="105">
        <f t="shared" si="89"/>
        <v>259.2</v>
      </c>
      <c r="O76" s="105">
        <f t="shared" si="90"/>
        <v>216</v>
      </c>
      <c r="P76" s="105">
        <f t="shared" si="91"/>
        <v>185.14285714285714</v>
      </c>
      <c r="Q76" s="105">
        <f t="shared" si="92"/>
        <v>162</v>
      </c>
      <c r="R76" s="105">
        <f t="shared" si="93"/>
        <v>144</v>
      </c>
      <c r="S76" s="105">
        <f t="shared" si="94"/>
        <v>129.6</v>
      </c>
      <c r="T76" s="105">
        <f t="shared" si="95"/>
        <v>117.81818181818183</v>
      </c>
      <c r="U76" s="105">
        <f t="shared" si="96"/>
        <v>108</v>
      </c>
      <c r="V76" s="105">
        <f t="shared" si="97"/>
        <v>99.692307692307693</v>
      </c>
      <c r="W76" s="105">
        <f t="shared" si="98"/>
        <v>92.571428571428569</v>
      </c>
      <c r="X76" s="105">
        <f t="shared" si="99"/>
        <v>86.4</v>
      </c>
      <c r="Y76" s="105">
        <f t="shared" si="100"/>
        <v>81</v>
      </c>
      <c r="AA76" s="121"/>
      <c r="AB76" s="120"/>
      <c r="AC76" s="120"/>
      <c r="AD76" s="105">
        <f t="shared" si="101"/>
        <v>162</v>
      </c>
      <c r="AE76" s="105">
        <f t="shared" si="102"/>
        <v>129.6</v>
      </c>
      <c r="AF76" s="105">
        <f t="shared" si="103"/>
        <v>108</v>
      </c>
      <c r="AG76" s="105">
        <f t="shared" si="104"/>
        <v>92.571428571428569</v>
      </c>
      <c r="AH76" s="105">
        <f t="shared" si="105"/>
        <v>81</v>
      </c>
      <c r="AI76" s="105">
        <f t="shared" si="106"/>
        <v>72</v>
      </c>
      <c r="AJ76" s="105">
        <f t="shared" si="107"/>
        <v>64.8</v>
      </c>
      <c r="AK76" s="105">
        <f t="shared" si="108"/>
        <v>58.909090909090914</v>
      </c>
      <c r="AL76" s="105">
        <f t="shared" si="109"/>
        <v>54</v>
      </c>
      <c r="AM76" s="105">
        <f t="shared" si="110"/>
        <v>49.846153846153847</v>
      </c>
      <c r="AN76" s="105">
        <f t="shared" si="111"/>
        <v>46.285714285714285</v>
      </c>
      <c r="AO76" s="105">
        <f t="shared" si="112"/>
        <v>43.2</v>
      </c>
      <c r="AP76" s="105">
        <f t="shared" si="113"/>
        <v>40.5</v>
      </c>
      <c r="AQ76" s="121"/>
      <c r="AR76" s="105">
        <f t="shared" si="114"/>
        <v>162</v>
      </c>
      <c r="AS76" s="105">
        <f t="shared" si="115"/>
        <v>108</v>
      </c>
      <c r="AT76" s="105">
        <f t="shared" si="116"/>
        <v>81</v>
      </c>
      <c r="AU76" s="105">
        <f t="shared" si="117"/>
        <v>64.8</v>
      </c>
      <c r="AV76" s="105">
        <f t="shared" si="118"/>
        <v>54</v>
      </c>
      <c r="AW76" s="105">
        <f t="shared" si="119"/>
        <v>46.285714285714285</v>
      </c>
      <c r="AX76" s="105">
        <f t="shared" si="120"/>
        <v>40.5</v>
      </c>
      <c r="AY76" s="105">
        <f t="shared" si="121"/>
        <v>36</v>
      </c>
      <c r="AZ76" s="105">
        <f t="shared" si="122"/>
        <v>32.4</v>
      </c>
      <c r="BA76" s="105">
        <f t="shared" si="123"/>
        <v>29.454545454545457</v>
      </c>
      <c r="BB76" s="105">
        <f t="shared" si="124"/>
        <v>27</v>
      </c>
      <c r="BC76" s="105">
        <f t="shared" si="125"/>
        <v>24.923076923076923</v>
      </c>
      <c r="BD76" s="105">
        <f t="shared" si="126"/>
        <v>23.142857142857142</v>
      </c>
      <c r="BE76" s="105">
        <f t="shared" si="127"/>
        <v>21.6</v>
      </c>
      <c r="BF76" s="110">
        <f t="shared" si="128"/>
        <v>20.25</v>
      </c>
      <c r="BG76" s="120"/>
      <c r="BH76" s="105">
        <f t="shared" si="129"/>
        <v>108</v>
      </c>
      <c r="BI76" s="105">
        <f t="shared" si="130"/>
        <v>72</v>
      </c>
      <c r="BJ76" s="105">
        <f t="shared" si="131"/>
        <v>54</v>
      </c>
      <c r="BK76" s="105">
        <f t="shared" si="132"/>
        <v>43.199999999999996</v>
      </c>
      <c r="BL76" s="105">
        <f t="shared" si="133"/>
        <v>36</v>
      </c>
      <c r="BM76" s="105">
        <f t="shared" si="134"/>
        <v>30.857142857142858</v>
      </c>
      <c r="BN76" s="105">
        <f t="shared" si="135"/>
        <v>27</v>
      </c>
      <c r="BO76" s="105">
        <f t="shared" si="136"/>
        <v>24</v>
      </c>
      <c r="BP76" s="105">
        <f t="shared" si="137"/>
        <v>21.599999999999998</v>
      </c>
      <c r="BQ76" s="105">
        <f t="shared" si="138"/>
        <v>19.636363636363637</v>
      </c>
      <c r="BR76" s="105">
        <f t="shared" si="139"/>
        <v>18</v>
      </c>
      <c r="BS76" s="105">
        <f t="shared" si="140"/>
        <v>16.615384615384617</v>
      </c>
      <c r="BT76" s="105">
        <f t="shared" si="141"/>
        <v>15.428571428571429</v>
      </c>
      <c r="BU76" s="105">
        <f t="shared" si="142"/>
        <v>14.4</v>
      </c>
      <c r="BV76" s="105">
        <f t="shared" si="143"/>
        <v>13.5</v>
      </c>
      <c r="BW76" s="109">
        <f t="shared" si="144"/>
        <v>162</v>
      </c>
      <c r="BX76" s="105">
        <f t="shared" si="145"/>
        <v>81</v>
      </c>
      <c r="BY76" s="105">
        <f t="shared" si="146"/>
        <v>54</v>
      </c>
      <c r="BZ76" s="105">
        <f t="shared" si="147"/>
        <v>40.5</v>
      </c>
      <c r="CA76" s="105">
        <f t="shared" si="148"/>
        <v>32.4</v>
      </c>
      <c r="CB76" s="105">
        <f t="shared" si="149"/>
        <v>27</v>
      </c>
      <c r="CC76" s="105">
        <f t="shared" si="150"/>
        <v>23.142857142857142</v>
      </c>
      <c r="CD76" s="105">
        <f t="shared" si="151"/>
        <v>20.25</v>
      </c>
      <c r="CE76" s="105">
        <f t="shared" si="152"/>
        <v>18</v>
      </c>
      <c r="CF76" s="105">
        <f t="shared" si="153"/>
        <v>16.2</v>
      </c>
      <c r="CG76" s="105">
        <f t="shared" si="154"/>
        <v>14.727272727272728</v>
      </c>
      <c r="CH76" s="105">
        <f t="shared" si="155"/>
        <v>13.5</v>
      </c>
      <c r="CI76" s="105">
        <f t="shared" si="156"/>
        <v>12.461538461538462</v>
      </c>
      <c r="CJ76" s="105">
        <f t="shared" si="157"/>
        <v>11.571428571428571</v>
      </c>
      <c r="CK76" s="105">
        <f t="shared" si="158"/>
        <v>10.8</v>
      </c>
      <c r="CL76" s="105">
        <f t="shared" si="159"/>
        <v>10.125</v>
      </c>
    </row>
    <row r="77" spans="9:90">
      <c r="I77" s="105">
        <v>82</v>
      </c>
      <c r="J77" s="105">
        <f t="shared" si="85"/>
        <v>1312</v>
      </c>
      <c r="K77" s="105">
        <f t="shared" si="86"/>
        <v>656</v>
      </c>
      <c r="L77" s="105">
        <f t="shared" si="87"/>
        <v>437.33333333333331</v>
      </c>
      <c r="M77" s="105">
        <f t="shared" si="88"/>
        <v>328</v>
      </c>
      <c r="N77" s="105">
        <f t="shared" si="89"/>
        <v>262.40000000000003</v>
      </c>
      <c r="O77" s="105">
        <f t="shared" si="90"/>
        <v>218.66666666666666</v>
      </c>
      <c r="P77" s="105">
        <f t="shared" si="91"/>
        <v>187.42857142857142</v>
      </c>
      <c r="Q77" s="105">
        <f t="shared" si="92"/>
        <v>164</v>
      </c>
      <c r="R77" s="105">
        <f t="shared" si="93"/>
        <v>145.77777777777777</v>
      </c>
      <c r="S77" s="105">
        <f t="shared" si="94"/>
        <v>131.20000000000002</v>
      </c>
      <c r="T77" s="105">
        <f t="shared" si="95"/>
        <v>119.27272727272728</v>
      </c>
      <c r="U77" s="105">
        <f t="shared" si="96"/>
        <v>109.33333333333333</v>
      </c>
      <c r="V77" s="105">
        <f t="shared" si="97"/>
        <v>100.92307692307693</v>
      </c>
      <c r="W77" s="105">
        <f t="shared" si="98"/>
        <v>93.714285714285708</v>
      </c>
      <c r="X77" s="105">
        <f t="shared" si="99"/>
        <v>87.466666666666669</v>
      </c>
      <c r="Y77" s="105">
        <f t="shared" si="100"/>
        <v>82</v>
      </c>
      <c r="AA77" s="121"/>
      <c r="AB77" s="120"/>
      <c r="AC77" s="120"/>
      <c r="AD77" s="105">
        <f t="shared" si="101"/>
        <v>164</v>
      </c>
      <c r="AE77" s="105">
        <f t="shared" si="102"/>
        <v>131.20000000000002</v>
      </c>
      <c r="AF77" s="105">
        <f t="shared" si="103"/>
        <v>109.33333333333333</v>
      </c>
      <c r="AG77" s="105">
        <f t="shared" si="104"/>
        <v>93.714285714285708</v>
      </c>
      <c r="AH77" s="105">
        <f t="shared" si="105"/>
        <v>82</v>
      </c>
      <c r="AI77" s="105">
        <f t="shared" si="106"/>
        <v>72.888888888888886</v>
      </c>
      <c r="AJ77" s="105">
        <f t="shared" si="107"/>
        <v>65.600000000000009</v>
      </c>
      <c r="AK77" s="105">
        <f t="shared" si="108"/>
        <v>59.63636363636364</v>
      </c>
      <c r="AL77" s="105">
        <f t="shared" si="109"/>
        <v>54.666666666666664</v>
      </c>
      <c r="AM77" s="105">
        <f t="shared" si="110"/>
        <v>50.461538461538467</v>
      </c>
      <c r="AN77" s="105">
        <f t="shared" si="111"/>
        <v>46.857142857142854</v>
      </c>
      <c r="AO77" s="105">
        <f t="shared" si="112"/>
        <v>43.733333333333334</v>
      </c>
      <c r="AP77" s="105">
        <f t="shared" si="113"/>
        <v>41</v>
      </c>
      <c r="AQ77" s="121"/>
      <c r="AR77" s="105">
        <f t="shared" si="114"/>
        <v>164</v>
      </c>
      <c r="AS77" s="105">
        <f t="shared" si="115"/>
        <v>109.33333333333333</v>
      </c>
      <c r="AT77" s="105">
        <f t="shared" si="116"/>
        <v>82</v>
      </c>
      <c r="AU77" s="105">
        <f t="shared" si="117"/>
        <v>65.600000000000009</v>
      </c>
      <c r="AV77" s="105">
        <f t="shared" si="118"/>
        <v>54.666666666666664</v>
      </c>
      <c r="AW77" s="105">
        <f t="shared" si="119"/>
        <v>46.857142857142854</v>
      </c>
      <c r="AX77" s="105">
        <f t="shared" si="120"/>
        <v>41</v>
      </c>
      <c r="AY77" s="105">
        <f t="shared" si="121"/>
        <v>36.444444444444443</v>
      </c>
      <c r="AZ77" s="105">
        <f t="shared" si="122"/>
        <v>32.800000000000004</v>
      </c>
      <c r="BA77" s="105">
        <f t="shared" si="123"/>
        <v>29.81818181818182</v>
      </c>
      <c r="BB77" s="105">
        <f t="shared" si="124"/>
        <v>27.333333333333332</v>
      </c>
      <c r="BC77" s="105">
        <f t="shared" si="125"/>
        <v>25.230769230769234</v>
      </c>
      <c r="BD77" s="105">
        <f t="shared" si="126"/>
        <v>23.428571428571427</v>
      </c>
      <c r="BE77" s="105">
        <f t="shared" si="127"/>
        <v>21.866666666666667</v>
      </c>
      <c r="BF77" s="110">
        <f t="shared" si="128"/>
        <v>20.5</v>
      </c>
      <c r="BG77" s="120"/>
      <c r="BH77" s="105">
        <f t="shared" si="129"/>
        <v>109.33333333333333</v>
      </c>
      <c r="BI77" s="105">
        <f t="shared" si="130"/>
        <v>72.888888888888886</v>
      </c>
      <c r="BJ77" s="105">
        <f t="shared" si="131"/>
        <v>54.666666666666664</v>
      </c>
      <c r="BK77" s="105">
        <f t="shared" si="132"/>
        <v>43.733333333333341</v>
      </c>
      <c r="BL77" s="105">
        <f t="shared" si="133"/>
        <v>36.444444444444443</v>
      </c>
      <c r="BM77" s="105">
        <f t="shared" si="134"/>
        <v>31.238095238095237</v>
      </c>
      <c r="BN77" s="105">
        <f t="shared" si="135"/>
        <v>27.333333333333332</v>
      </c>
      <c r="BO77" s="105">
        <f t="shared" si="136"/>
        <v>24.296296296296294</v>
      </c>
      <c r="BP77" s="105">
        <f t="shared" si="137"/>
        <v>21.866666666666671</v>
      </c>
      <c r="BQ77" s="105">
        <f t="shared" si="138"/>
        <v>19.878787878787879</v>
      </c>
      <c r="BR77" s="105">
        <f t="shared" si="139"/>
        <v>18.222222222222221</v>
      </c>
      <c r="BS77" s="105">
        <f t="shared" si="140"/>
        <v>16.820512820512821</v>
      </c>
      <c r="BT77" s="105">
        <f t="shared" si="141"/>
        <v>15.619047619047619</v>
      </c>
      <c r="BU77" s="105">
        <f t="shared" si="142"/>
        <v>14.577777777777778</v>
      </c>
      <c r="BV77" s="105">
        <f t="shared" si="143"/>
        <v>13.666666666666666</v>
      </c>
      <c r="BW77" s="109">
        <f t="shared" si="144"/>
        <v>164</v>
      </c>
      <c r="BX77" s="105">
        <f t="shared" si="145"/>
        <v>82</v>
      </c>
      <c r="BY77" s="105">
        <f t="shared" si="146"/>
        <v>54.666666666666664</v>
      </c>
      <c r="BZ77" s="105">
        <f t="shared" si="147"/>
        <v>41</v>
      </c>
      <c r="CA77" s="105">
        <f t="shared" si="148"/>
        <v>32.800000000000004</v>
      </c>
      <c r="CB77" s="105">
        <f t="shared" si="149"/>
        <v>27.333333333333332</v>
      </c>
      <c r="CC77" s="105">
        <f t="shared" si="150"/>
        <v>23.428571428571427</v>
      </c>
      <c r="CD77" s="105">
        <f t="shared" si="151"/>
        <v>20.5</v>
      </c>
      <c r="CE77" s="105">
        <f t="shared" si="152"/>
        <v>18.222222222222221</v>
      </c>
      <c r="CF77" s="105">
        <f t="shared" si="153"/>
        <v>16.400000000000002</v>
      </c>
      <c r="CG77" s="105">
        <f t="shared" si="154"/>
        <v>14.90909090909091</v>
      </c>
      <c r="CH77" s="105">
        <f t="shared" si="155"/>
        <v>13.666666666666666</v>
      </c>
      <c r="CI77" s="105">
        <f t="shared" si="156"/>
        <v>12.615384615384617</v>
      </c>
      <c r="CJ77" s="105">
        <f t="shared" si="157"/>
        <v>11.714285714285714</v>
      </c>
      <c r="CK77" s="105">
        <f t="shared" si="158"/>
        <v>10.933333333333334</v>
      </c>
      <c r="CL77" s="105">
        <f t="shared" si="159"/>
        <v>10.25</v>
      </c>
    </row>
    <row r="78" spans="9:90">
      <c r="I78" s="105">
        <v>83</v>
      </c>
      <c r="J78" s="105">
        <f t="shared" si="85"/>
        <v>1328</v>
      </c>
      <c r="K78" s="105">
        <f t="shared" si="86"/>
        <v>664</v>
      </c>
      <c r="L78" s="105">
        <f t="shared" si="87"/>
        <v>442.66666666666663</v>
      </c>
      <c r="M78" s="105">
        <f t="shared" si="88"/>
        <v>332</v>
      </c>
      <c r="N78" s="105">
        <f t="shared" si="89"/>
        <v>265.60000000000002</v>
      </c>
      <c r="O78" s="105">
        <f t="shared" si="90"/>
        <v>221.33333333333331</v>
      </c>
      <c r="P78" s="105">
        <f t="shared" si="91"/>
        <v>189.71428571428569</v>
      </c>
      <c r="Q78" s="105">
        <f t="shared" si="92"/>
        <v>166</v>
      </c>
      <c r="R78" s="105">
        <f t="shared" si="93"/>
        <v>147.55555555555554</v>
      </c>
      <c r="S78" s="105">
        <f t="shared" si="94"/>
        <v>132.80000000000001</v>
      </c>
      <c r="T78" s="105">
        <f t="shared" si="95"/>
        <v>120.72727272727273</v>
      </c>
      <c r="U78" s="105">
        <f t="shared" si="96"/>
        <v>110.66666666666666</v>
      </c>
      <c r="V78" s="105">
        <f t="shared" si="97"/>
        <v>102.15384615384616</v>
      </c>
      <c r="W78" s="105">
        <f t="shared" si="98"/>
        <v>94.857142857142847</v>
      </c>
      <c r="X78" s="105">
        <f t="shared" si="99"/>
        <v>88.533333333333331</v>
      </c>
      <c r="Y78" s="105">
        <f t="shared" si="100"/>
        <v>83</v>
      </c>
      <c r="AA78" s="121"/>
      <c r="AB78" s="120"/>
      <c r="AC78" s="120"/>
      <c r="AD78" s="105">
        <f t="shared" si="101"/>
        <v>166</v>
      </c>
      <c r="AE78" s="105">
        <f t="shared" si="102"/>
        <v>132.80000000000001</v>
      </c>
      <c r="AF78" s="105">
        <f t="shared" si="103"/>
        <v>110.66666666666666</v>
      </c>
      <c r="AG78" s="105">
        <f t="shared" si="104"/>
        <v>94.857142857142847</v>
      </c>
      <c r="AH78" s="105">
        <f t="shared" si="105"/>
        <v>83</v>
      </c>
      <c r="AI78" s="105">
        <f t="shared" si="106"/>
        <v>73.777777777777771</v>
      </c>
      <c r="AJ78" s="105">
        <f t="shared" si="107"/>
        <v>66.400000000000006</v>
      </c>
      <c r="AK78" s="105">
        <f t="shared" si="108"/>
        <v>60.363636363636367</v>
      </c>
      <c r="AL78" s="105">
        <f t="shared" si="109"/>
        <v>55.333333333333329</v>
      </c>
      <c r="AM78" s="105">
        <f t="shared" si="110"/>
        <v>51.07692307692308</v>
      </c>
      <c r="AN78" s="105">
        <f t="shared" si="111"/>
        <v>47.428571428571423</v>
      </c>
      <c r="AO78" s="105">
        <f t="shared" si="112"/>
        <v>44.266666666666666</v>
      </c>
      <c r="AP78" s="105">
        <f t="shared" si="113"/>
        <v>41.5</v>
      </c>
      <c r="AQ78" s="121"/>
      <c r="AR78" s="105">
        <f t="shared" si="114"/>
        <v>166</v>
      </c>
      <c r="AS78" s="105">
        <f t="shared" si="115"/>
        <v>110.66666666666666</v>
      </c>
      <c r="AT78" s="105">
        <f t="shared" si="116"/>
        <v>83</v>
      </c>
      <c r="AU78" s="105">
        <f t="shared" si="117"/>
        <v>66.400000000000006</v>
      </c>
      <c r="AV78" s="105">
        <f t="shared" si="118"/>
        <v>55.333333333333329</v>
      </c>
      <c r="AW78" s="105">
        <f t="shared" si="119"/>
        <v>47.428571428571423</v>
      </c>
      <c r="AX78" s="105">
        <f t="shared" si="120"/>
        <v>41.5</v>
      </c>
      <c r="AY78" s="105">
        <f t="shared" si="121"/>
        <v>36.888888888888886</v>
      </c>
      <c r="AZ78" s="105">
        <f t="shared" si="122"/>
        <v>33.200000000000003</v>
      </c>
      <c r="BA78" s="105">
        <f t="shared" si="123"/>
        <v>30.181818181818183</v>
      </c>
      <c r="BB78" s="105">
        <f t="shared" si="124"/>
        <v>27.666666666666664</v>
      </c>
      <c r="BC78" s="105">
        <f t="shared" si="125"/>
        <v>25.53846153846154</v>
      </c>
      <c r="BD78" s="105">
        <f t="shared" si="126"/>
        <v>23.714285714285712</v>
      </c>
      <c r="BE78" s="105">
        <f t="shared" si="127"/>
        <v>22.133333333333333</v>
      </c>
      <c r="BF78" s="110">
        <f t="shared" si="128"/>
        <v>20.75</v>
      </c>
      <c r="BG78" s="120"/>
      <c r="BH78" s="105">
        <f t="shared" si="129"/>
        <v>110.66666666666667</v>
      </c>
      <c r="BI78" s="105">
        <f t="shared" si="130"/>
        <v>73.777777777777771</v>
      </c>
      <c r="BJ78" s="105">
        <f t="shared" si="131"/>
        <v>55.333333333333336</v>
      </c>
      <c r="BK78" s="105">
        <f t="shared" si="132"/>
        <v>44.266666666666673</v>
      </c>
      <c r="BL78" s="105">
        <f t="shared" si="133"/>
        <v>36.888888888888886</v>
      </c>
      <c r="BM78" s="105">
        <f t="shared" si="134"/>
        <v>31.619047619047617</v>
      </c>
      <c r="BN78" s="105">
        <f t="shared" si="135"/>
        <v>27.666666666666668</v>
      </c>
      <c r="BO78" s="105">
        <f t="shared" si="136"/>
        <v>24.592592592592592</v>
      </c>
      <c r="BP78" s="105">
        <f t="shared" si="137"/>
        <v>22.133333333333336</v>
      </c>
      <c r="BQ78" s="105">
        <f t="shared" si="138"/>
        <v>20.121212121212121</v>
      </c>
      <c r="BR78" s="105">
        <f t="shared" si="139"/>
        <v>18.444444444444443</v>
      </c>
      <c r="BS78" s="105">
        <f t="shared" si="140"/>
        <v>17.025641025641026</v>
      </c>
      <c r="BT78" s="105">
        <f t="shared" si="141"/>
        <v>15.809523809523808</v>
      </c>
      <c r="BU78" s="105">
        <f t="shared" si="142"/>
        <v>14.755555555555555</v>
      </c>
      <c r="BV78" s="105">
        <f t="shared" si="143"/>
        <v>13.833333333333334</v>
      </c>
      <c r="BW78" s="109">
        <f t="shared" si="144"/>
        <v>166</v>
      </c>
      <c r="BX78" s="105">
        <f t="shared" si="145"/>
        <v>83</v>
      </c>
      <c r="BY78" s="105">
        <f t="shared" si="146"/>
        <v>55.333333333333329</v>
      </c>
      <c r="BZ78" s="105">
        <f t="shared" si="147"/>
        <v>41.5</v>
      </c>
      <c r="CA78" s="105">
        <f t="shared" si="148"/>
        <v>33.200000000000003</v>
      </c>
      <c r="CB78" s="105">
        <f t="shared" si="149"/>
        <v>27.666666666666664</v>
      </c>
      <c r="CC78" s="105">
        <f t="shared" si="150"/>
        <v>23.714285714285712</v>
      </c>
      <c r="CD78" s="105">
        <f t="shared" si="151"/>
        <v>20.75</v>
      </c>
      <c r="CE78" s="105">
        <f t="shared" si="152"/>
        <v>18.444444444444443</v>
      </c>
      <c r="CF78" s="105">
        <f t="shared" si="153"/>
        <v>16.600000000000001</v>
      </c>
      <c r="CG78" s="105">
        <f t="shared" si="154"/>
        <v>15.090909090909092</v>
      </c>
      <c r="CH78" s="105">
        <f t="shared" si="155"/>
        <v>13.833333333333332</v>
      </c>
      <c r="CI78" s="105">
        <f t="shared" si="156"/>
        <v>12.76923076923077</v>
      </c>
      <c r="CJ78" s="105">
        <f t="shared" si="157"/>
        <v>11.857142857142856</v>
      </c>
      <c r="CK78" s="105">
        <f t="shared" si="158"/>
        <v>11.066666666666666</v>
      </c>
      <c r="CL78" s="105">
        <f t="shared" si="159"/>
        <v>10.375</v>
      </c>
    </row>
    <row r="79" spans="9:90">
      <c r="I79" s="105">
        <v>84</v>
      </c>
      <c r="J79" s="105">
        <f t="shared" si="85"/>
        <v>1344</v>
      </c>
      <c r="K79" s="105">
        <f t="shared" si="86"/>
        <v>672</v>
      </c>
      <c r="L79" s="105">
        <f t="shared" si="87"/>
        <v>448</v>
      </c>
      <c r="M79" s="105">
        <f t="shared" si="88"/>
        <v>336</v>
      </c>
      <c r="N79" s="105">
        <f t="shared" si="89"/>
        <v>268.8</v>
      </c>
      <c r="O79" s="105">
        <f t="shared" si="90"/>
        <v>224</v>
      </c>
      <c r="P79" s="105">
        <f t="shared" si="91"/>
        <v>192</v>
      </c>
      <c r="Q79" s="105">
        <f t="shared" si="92"/>
        <v>168</v>
      </c>
      <c r="R79" s="105">
        <f t="shared" si="93"/>
        <v>149.33333333333331</v>
      </c>
      <c r="S79" s="105">
        <f t="shared" si="94"/>
        <v>134.4</v>
      </c>
      <c r="T79" s="105">
        <f t="shared" si="95"/>
        <v>122.18181818181819</v>
      </c>
      <c r="U79" s="105">
        <f t="shared" si="96"/>
        <v>112</v>
      </c>
      <c r="V79" s="105">
        <f t="shared" si="97"/>
        <v>103.38461538461539</v>
      </c>
      <c r="W79" s="105">
        <f t="shared" si="98"/>
        <v>96</v>
      </c>
      <c r="X79" s="105">
        <f t="shared" si="99"/>
        <v>89.6</v>
      </c>
      <c r="Y79" s="105">
        <f t="shared" si="100"/>
        <v>84</v>
      </c>
      <c r="AA79" s="121"/>
      <c r="AB79" s="120"/>
      <c r="AC79" s="120"/>
      <c r="AD79" s="105">
        <f t="shared" si="101"/>
        <v>168</v>
      </c>
      <c r="AE79" s="105">
        <f t="shared" si="102"/>
        <v>134.4</v>
      </c>
      <c r="AF79" s="105">
        <f t="shared" si="103"/>
        <v>112</v>
      </c>
      <c r="AG79" s="105">
        <f t="shared" si="104"/>
        <v>96</v>
      </c>
      <c r="AH79" s="105">
        <f t="shared" si="105"/>
        <v>84</v>
      </c>
      <c r="AI79" s="105">
        <f t="shared" si="106"/>
        <v>74.666666666666657</v>
      </c>
      <c r="AJ79" s="105">
        <f t="shared" si="107"/>
        <v>67.2</v>
      </c>
      <c r="AK79" s="105">
        <f t="shared" si="108"/>
        <v>61.090909090909093</v>
      </c>
      <c r="AL79" s="105">
        <f t="shared" si="109"/>
        <v>56</v>
      </c>
      <c r="AM79" s="105">
        <f t="shared" si="110"/>
        <v>51.692307692307693</v>
      </c>
      <c r="AN79" s="105">
        <f t="shared" si="111"/>
        <v>48</v>
      </c>
      <c r="AO79" s="105">
        <f t="shared" si="112"/>
        <v>44.8</v>
      </c>
      <c r="AP79" s="105">
        <f t="shared" si="113"/>
        <v>42</v>
      </c>
      <c r="AQ79" s="121"/>
      <c r="AR79" s="105">
        <f t="shared" si="114"/>
        <v>168</v>
      </c>
      <c r="AS79" s="105">
        <f t="shared" si="115"/>
        <v>112</v>
      </c>
      <c r="AT79" s="105">
        <f t="shared" si="116"/>
        <v>84</v>
      </c>
      <c r="AU79" s="105">
        <f t="shared" si="117"/>
        <v>67.2</v>
      </c>
      <c r="AV79" s="105">
        <f t="shared" si="118"/>
        <v>56</v>
      </c>
      <c r="AW79" s="105">
        <f t="shared" si="119"/>
        <v>48</v>
      </c>
      <c r="AX79" s="105">
        <f t="shared" si="120"/>
        <v>42</v>
      </c>
      <c r="AY79" s="105">
        <f t="shared" si="121"/>
        <v>37.333333333333329</v>
      </c>
      <c r="AZ79" s="105">
        <f t="shared" si="122"/>
        <v>33.6</v>
      </c>
      <c r="BA79" s="105">
        <f t="shared" si="123"/>
        <v>30.545454545454547</v>
      </c>
      <c r="BB79" s="105">
        <f t="shared" si="124"/>
        <v>28</v>
      </c>
      <c r="BC79" s="105">
        <f t="shared" si="125"/>
        <v>25.846153846153847</v>
      </c>
      <c r="BD79" s="105">
        <f t="shared" si="126"/>
        <v>24</v>
      </c>
      <c r="BE79" s="105">
        <f t="shared" si="127"/>
        <v>22.4</v>
      </c>
      <c r="BF79" s="110">
        <f t="shared" si="128"/>
        <v>21</v>
      </c>
      <c r="BG79" s="120"/>
      <c r="BH79" s="105">
        <f t="shared" si="129"/>
        <v>112</v>
      </c>
      <c r="BI79" s="105">
        <f t="shared" si="130"/>
        <v>74.666666666666671</v>
      </c>
      <c r="BJ79" s="105">
        <f t="shared" si="131"/>
        <v>56</v>
      </c>
      <c r="BK79" s="105">
        <f t="shared" si="132"/>
        <v>44.800000000000004</v>
      </c>
      <c r="BL79" s="105">
        <f t="shared" si="133"/>
        <v>37.333333333333336</v>
      </c>
      <c r="BM79" s="105">
        <f t="shared" si="134"/>
        <v>32</v>
      </c>
      <c r="BN79" s="105">
        <f t="shared" si="135"/>
        <v>28</v>
      </c>
      <c r="BO79" s="105">
        <f t="shared" si="136"/>
        <v>24.888888888888886</v>
      </c>
      <c r="BP79" s="105">
        <f t="shared" si="137"/>
        <v>22.400000000000002</v>
      </c>
      <c r="BQ79" s="105">
        <f t="shared" si="138"/>
        <v>20.363636363636363</v>
      </c>
      <c r="BR79" s="105">
        <f t="shared" si="139"/>
        <v>18.666666666666668</v>
      </c>
      <c r="BS79" s="105">
        <f t="shared" si="140"/>
        <v>17.23076923076923</v>
      </c>
      <c r="BT79" s="105">
        <f t="shared" si="141"/>
        <v>16</v>
      </c>
      <c r="BU79" s="105">
        <f t="shared" si="142"/>
        <v>14.933333333333332</v>
      </c>
      <c r="BV79" s="105">
        <f t="shared" si="143"/>
        <v>14</v>
      </c>
      <c r="BW79" s="109">
        <f t="shared" si="144"/>
        <v>168</v>
      </c>
      <c r="BX79" s="105">
        <f t="shared" si="145"/>
        <v>84</v>
      </c>
      <c r="BY79" s="105">
        <f t="shared" si="146"/>
        <v>56</v>
      </c>
      <c r="BZ79" s="105">
        <f t="shared" si="147"/>
        <v>42</v>
      </c>
      <c r="CA79" s="105">
        <f t="shared" si="148"/>
        <v>33.6</v>
      </c>
      <c r="CB79" s="105">
        <f t="shared" si="149"/>
        <v>28</v>
      </c>
      <c r="CC79" s="105">
        <f t="shared" si="150"/>
        <v>24</v>
      </c>
      <c r="CD79" s="105">
        <f t="shared" si="151"/>
        <v>21</v>
      </c>
      <c r="CE79" s="105">
        <f t="shared" si="152"/>
        <v>18.666666666666664</v>
      </c>
      <c r="CF79" s="105">
        <f t="shared" si="153"/>
        <v>16.8</v>
      </c>
      <c r="CG79" s="105">
        <f t="shared" si="154"/>
        <v>15.272727272727273</v>
      </c>
      <c r="CH79" s="105">
        <f t="shared" si="155"/>
        <v>14</v>
      </c>
      <c r="CI79" s="105">
        <f t="shared" si="156"/>
        <v>12.923076923076923</v>
      </c>
      <c r="CJ79" s="105">
        <f t="shared" si="157"/>
        <v>12</v>
      </c>
      <c r="CK79" s="105">
        <f t="shared" si="158"/>
        <v>11.2</v>
      </c>
      <c r="CL79" s="105">
        <f t="shared" si="159"/>
        <v>10.5</v>
      </c>
    </row>
    <row r="80" spans="9:90">
      <c r="I80" s="105">
        <v>85</v>
      </c>
      <c r="J80" s="105">
        <f t="shared" si="85"/>
        <v>1360</v>
      </c>
      <c r="K80" s="105">
        <f t="shared" si="86"/>
        <v>680</v>
      </c>
      <c r="L80" s="105">
        <f t="shared" si="87"/>
        <v>453.33333333333331</v>
      </c>
      <c r="M80" s="105">
        <f t="shared" si="88"/>
        <v>340</v>
      </c>
      <c r="N80" s="105">
        <f t="shared" si="89"/>
        <v>272</v>
      </c>
      <c r="O80" s="105">
        <f t="shared" si="90"/>
        <v>226.66666666666666</v>
      </c>
      <c r="P80" s="105">
        <f t="shared" si="91"/>
        <v>194.28571428571428</v>
      </c>
      <c r="Q80" s="105">
        <f t="shared" si="92"/>
        <v>170</v>
      </c>
      <c r="R80" s="105">
        <f t="shared" si="93"/>
        <v>151.11111111111111</v>
      </c>
      <c r="S80" s="105">
        <f t="shared" si="94"/>
        <v>136</v>
      </c>
      <c r="T80" s="105">
        <f t="shared" si="95"/>
        <v>123.63636363636364</v>
      </c>
      <c r="U80" s="105">
        <f t="shared" si="96"/>
        <v>113.33333333333333</v>
      </c>
      <c r="V80" s="105">
        <f t="shared" si="97"/>
        <v>104.61538461538463</v>
      </c>
      <c r="W80" s="105">
        <f t="shared" si="98"/>
        <v>97.142857142857139</v>
      </c>
      <c r="X80" s="105">
        <f t="shared" si="99"/>
        <v>90.666666666666671</v>
      </c>
      <c r="Y80" s="105">
        <f t="shared" si="100"/>
        <v>85</v>
      </c>
      <c r="AA80" s="121"/>
      <c r="AB80" s="120"/>
      <c r="AC80" s="120"/>
      <c r="AD80" s="105">
        <f t="shared" si="101"/>
        <v>170</v>
      </c>
      <c r="AE80" s="105">
        <f t="shared" si="102"/>
        <v>136</v>
      </c>
      <c r="AF80" s="105">
        <f t="shared" si="103"/>
        <v>113.33333333333333</v>
      </c>
      <c r="AG80" s="105">
        <f t="shared" si="104"/>
        <v>97.142857142857139</v>
      </c>
      <c r="AH80" s="105">
        <f t="shared" si="105"/>
        <v>85</v>
      </c>
      <c r="AI80" s="105">
        <f t="shared" si="106"/>
        <v>75.555555555555557</v>
      </c>
      <c r="AJ80" s="105">
        <f t="shared" si="107"/>
        <v>68</v>
      </c>
      <c r="AK80" s="105">
        <f t="shared" si="108"/>
        <v>61.81818181818182</v>
      </c>
      <c r="AL80" s="105">
        <f t="shared" si="109"/>
        <v>56.666666666666664</v>
      </c>
      <c r="AM80" s="105">
        <f t="shared" si="110"/>
        <v>52.307692307692314</v>
      </c>
      <c r="AN80" s="105">
        <f t="shared" si="111"/>
        <v>48.571428571428569</v>
      </c>
      <c r="AO80" s="105">
        <f t="shared" si="112"/>
        <v>45.333333333333336</v>
      </c>
      <c r="AP80" s="105">
        <f t="shared" si="113"/>
        <v>42.5</v>
      </c>
      <c r="AQ80" s="121"/>
      <c r="AR80" s="105">
        <f t="shared" si="114"/>
        <v>170</v>
      </c>
      <c r="AS80" s="105">
        <f t="shared" si="115"/>
        <v>113.33333333333333</v>
      </c>
      <c r="AT80" s="105">
        <f t="shared" si="116"/>
        <v>85</v>
      </c>
      <c r="AU80" s="105">
        <f t="shared" si="117"/>
        <v>68</v>
      </c>
      <c r="AV80" s="105">
        <f t="shared" si="118"/>
        <v>56.666666666666664</v>
      </c>
      <c r="AW80" s="105">
        <f t="shared" si="119"/>
        <v>48.571428571428569</v>
      </c>
      <c r="AX80" s="105">
        <f t="shared" si="120"/>
        <v>42.5</v>
      </c>
      <c r="AY80" s="105">
        <f t="shared" si="121"/>
        <v>37.777777777777779</v>
      </c>
      <c r="AZ80" s="105">
        <f t="shared" si="122"/>
        <v>34</v>
      </c>
      <c r="BA80" s="105">
        <f t="shared" si="123"/>
        <v>30.90909090909091</v>
      </c>
      <c r="BB80" s="105">
        <f t="shared" si="124"/>
        <v>28.333333333333332</v>
      </c>
      <c r="BC80" s="105">
        <f t="shared" si="125"/>
        <v>26.153846153846157</v>
      </c>
      <c r="BD80" s="105">
        <f t="shared" si="126"/>
        <v>24.285714285714285</v>
      </c>
      <c r="BE80" s="105">
        <f t="shared" si="127"/>
        <v>22.666666666666668</v>
      </c>
      <c r="BF80" s="110">
        <f t="shared" si="128"/>
        <v>21.25</v>
      </c>
      <c r="BG80" s="120"/>
      <c r="BH80" s="105">
        <f t="shared" si="129"/>
        <v>113.33333333333333</v>
      </c>
      <c r="BI80" s="105">
        <f t="shared" si="130"/>
        <v>75.555555555555557</v>
      </c>
      <c r="BJ80" s="105">
        <f t="shared" si="131"/>
        <v>56.666666666666664</v>
      </c>
      <c r="BK80" s="105">
        <f t="shared" si="132"/>
        <v>45.333333333333336</v>
      </c>
      <c r="BL80" s="105">
        <f t="shared" si="133"/>
        <v>37.777777777777779</v>
      </c>
      <c r="BM80" s="105">
        <f t="shared" si="134"/>
        <v>32.38095238095238</v>
      </c>
      <c r="BN80" s="105">
        <f t="shared" si="135"/>
        <v>28.333333333333332</v>
      </c>
      <c r="BO80" s="105">
        <f t="shared" si="136"/>
        <v>25.185185185185187</v>
      </c>
      <c r="BP80" s="105">
        <f t="shared" si="137"/>
        <v>22.666666666666668</v>
      </c>
      <c r="BQ80" s="105">
        <f t="shared" si="138"/>
        <v>20.606060606060606</v>
      </c>
      <c r="BR80" s="105">
        <f t="shared" si="139"/>
        <v>18.888888888888889</v>
      </c>
      <c r="BS80" s="105">
        <f t="shared" si="140"/>
        <v>17.435897435897438</v>
      </c>
      <c r="BT80" s="105">
        <f t="shared" si="141"/>
        <v>16.19047619047619</v>
      </c>
      <c r="BU80" s="105">
        <f t="shared" si="142"/>
        <v>15.111111111111112</v>
      </c>
      <c r="BV80" s="105">
        <f t="shared" si="143"/>
        <v>14.166666666666666</v>
      </c>
      <c r="BW80" s="109">
        <f t="shared" si="144"/>
        <v>170</v>
      </c>
      <c r="BX80" s="105">
        <f t="shared" si="145"/>
        <v>85</v>
      </c>
      <c r="BY80" s="105">
        <f t="shared" si="146"/>
        <v>56.666666666666664</v>
      </c>
      <c r="BZ80" s="105">
        <f t="shared" si="147"/>
        <v>42.5</v>
      </c>
      <c r="CA80" s="105">
        <f t="shared" si="148"/>
        <v>34</v>
      </c>
      <c r="CB80" s="105">
        <f t="shared" si="149"/>
        <v>28.333333333333332</v>
      </c>
      <c r="CC80" s="105">
        <f t="shared" si="150"/>
        <v>24.285714285714285</v>
      </c>
      <c r="CD80" s="105">
        <f t="shared" si="151"/>
        <v>21.25</v>
      </c>
      <c r="CE80" s="105">
        <f t="shared" si="152"/>
        <v>18.888888888888889</v>
      </c>
      <c r="CF80" s="105">
        <f t="shared" si="153"/>
        <v>17</v>
      </c>
      <c r="CG80" s="105">
        <f t="shared" si="154"/>
        <v>15.454545454545455</v>
      </c>
      <c r="CH80" s="105">
        <f t="shared" si="155"/>
        <v>14.166666666666666</v>
      </c>
      <c r="CI80" s="105">
        <f t="shared" si="156"/>
        <v>13.076923076923078</v>
      </c>
      <c r="CJ80" s="105">
        <f t="shared" si="157"/>
        <v>12.142857142857142</v>
      </c>
      <c r="CK80" s="105">
        <f t="shared" si="158"/>
        <v>11.333333333333334</v>
      </c>
      <c r="CL80" s="105">
        <f t="shared" si="159"/>
        <v>10.625</v>
      </c>
    </row>
    <row r="81" spans="9:90">
      <c r="I81" s="105">
        <v>86</v>
      </c>
      <c r="J81" s="105">
        <f t="shared" si="85"/>
        <v>1376</v>
      </c>
      <c r="K81" s="105">
        <f t="shared" si="86"/>
        <v>688</v>
      </c>
      <c r="L81" s="105">
        <f t="shared" si="87"/>
        <v>458.66666666666663</v>
      </c>
      <c r="M81" s="105">
        <f t="shared" si="88"/>
        <v>344</v>
      </c>
      <c r="N81" s="105">
        <f t="shared" si="89"/>
        <v>275.2</v>
      </c>
      <c r="O81" s="105">
        <f t="shared" si="90"/>
        <v>229.33333333333331</v>
      </c>
      <c r="P81" s="105">
        <f t="shared" si="91"/>
        <v>196.57142857142856</v>
      </c>
      <c r="Q81" s="105">
        <f t="shared" si="92"/>
        <v>172</v>
      </c>
      <c r="R81" s="105">
        <f t="shared" si="93"/>
        <v>152.88888888888889</v>
      </c>
      <c r="S81" s="105">
        <f t="shared" si="94"/>
        <v>137.6</v>
      </c>
      <c r="T81" s="105">
        <f t="shared" si="95"/>
        <v>125.09090909090909</v>
      </c>
      <c r="U81" s="105">
        <f t="shared" si="96"/>
        <v>114.66666666666666</v>
      </c>
      <c r="V81" s="105">
        <f t="shared" si="97"/>
        <v>105.84615384615385</v>
      </c>
      <c r="W81" s="105">
        <f t="shared" si="98"/>
        <v>98.285714285714278</v>
      </c>
      <c r="X81" s="105">
        <f t="shared" si="99"/>
        <v>91.733333333333334</v>
      </c>
      <c r="Y81" s="105">
        <f t="shared" si="100"/>
        <v>86</v>
      </c>
      <c r="AA81" s="121"/>
      <c r="AB81" s="120"/>
      <c r="AC81" s="120"/>
      <c r="AD81" s="120"/>
      <c r="AE81" s="105">
        <f t="shared" si="102"/>
        <v>137.6</v>
      </c>
      <c r="AF81" s="105">
        <f t="shared" si="103"/>
        <v>114.66666666666666</v>
      </c>
      <c r="AG81" s="105">
        <f t="shared" si="104"/>
        <v>98.285714285714278</v>
      </c>
      <c r="AH81" s="105">
        <f t="shared" si="105"/>
        <v>86</v>
      </c>
      <c r="AI81" s="105">
        <f t="shared" si="106"/>
        <v>76.444444444444443</v>
      </c>
      <c r="AJ81" s="105">
        <f t="shared" si="107"/>
        <v>68.8</v>
      </c>
      <c r="AK81" s="105">
        <f t="shared" si="108"/>
        <v>62.545454545454547</v>
      </c>
      <c r="AL81" s="105">
        <f t="shared" si="109"/>
        <v>57.333333333333329</v>
      </c>
      <c r="AM81" s="105">
        <f t="shared" si="110"/>
        <v>52.923076923076927</v>
      </c>
      <c r="AN81" s="105">
        <f t="shared" si="111"/>
        <v>49.142857142857139</v>
      </c>
      <c r="AO81" s="105">
        <f t="shared" si="112"/>
        <v>45.866666666666667</v>
      </c>
      <c r="AP81" s="105">
        <f t="shared" si="113"/>
        <v>43</v>
      </c>
      <c r="AQ81" s="121"/>
      <c r="AR81" s="120"/>
      <c r="AS81" s="105">
        <f t="shared" si="115"/>
        <v>114.66666666666666</v>
      </c>
      <c r="AT81" s="105">
        <f t="shared" si="116"/>
        <v>86</v>
      </c>
      <c r="AU81" s="105">
        <f t="shared" si="117"/>
        <v>68.8</v>
      </c>
      <c r="AV81" s="105">
        <f t="shared" si="118"/>
        <v>57.333333333333329</v>
      </c>
      <c r="AW81" s="105">
        <f t="shared" si="119"/>
        <v>49.142857142857139</v>
      </c>
      <c r="AX81" s="105">
        <f t="shared" si="120"/>
        <v>43</v>
      </c>
      <c r="AY81" s="105">
        <f t="shared" si="121"/>
        <v>38.222222222222221</v>
      </c>
      <c r="AZ81" s="105">
        <f t="shared" si="122"/>
        <v>34.4</v>
      </c>
      <c r="BA81" s="105">
        <f t="shared" si="123"/>
        <v>31.272727272727273</v>
      </c>
      <c r="BB81" s="105">
        <f t="shared" si="124"/>
        <v>28.666666666666664</v>
      </c>
      <c r="BC81" s="105">
        <f t="shared" si="125"/>
        <v>26.461538461538463</v>
      </c>
      <c r="BD81" s="105">
        <f t="shared" si="126"/>
        <v>24.571428571428569</v>
      </c>
      <c r="BE81" s="105">
        <f t="shared" si="127"/>
        <v>22.933333333333334</v>
      </c>
      <c r="BF81" s="110">
        <f t="shared" si="128"/>
        <v>21.5</v>
      </c>
      <c r="BG81" s="120"/>
      <c r="BH81" s="105">
        <f t="shared" si="129"/>
        <v>114.66666666666667</v>
      </c>
      <c r="BI81" s="105">
        <f t="shared" si="130"/>
        <v>76.444444444444443</v>
      </c>
      <c r="BJ81" s="105">
        <f t="shared" si="131"/>
        <v>57.333333333333336</v>
      </c>
      <c r="BK81" s="105">
        <f t="shared" si="132"/>
        <v>45.866666666666667</v>
      </c>
      <c r="BL81" s="105">
        <f t="shared" si="133"/>
        <v>38.222222222222221</v>
      </c>
      <c r="BM81" s="105">
        <f t="shared" si="134"/>
        <v>32.761904761904759</v>
      </c>
      <c r="BN81" s="105">
        <f t="shared" si="135"/>
        <v>28.666666666666668</v>
      </c>
      <c r="BO81" s="105">
        <f t="shared" si="136"/>
        <v>25.481481481481481</v>
      </c>
      <c r="BP81" s="105">
        <f t="shared" si="137"/>
        <v>22.933333333333334</v>
      </c>
      <c r="BQ81" s="105">
        <f t="shared" si="138"/>
        <v>20.848484848484848</v>
      </c>
      <c r="BR81" s="105">
        <f t="shared" si="139"/>
        <v>19.111111111111111</v>
      </c>
      <c r="BS81" s="105">
        <f t="shared" si="140"/>
        <v>17.641025641025642</v>
      </c>
      <c r="BT81" s="105">
        <f t="shared" si="141"/>
        <v>16.38095238095238</v>
      </c>
      <c r="BU81" s="105">
        <f t="shared" si="142"/>
        <v>15.28888888888889</v>
      </c>
      <c r="BV81" s="105">
        <f t="shared" si="143"/>
        <v>14.333333333333334</v>
      </c>
      <c r="BW81" s="121"/>
      <c r="BX81" s="105">
        <f t="shared" si="145"/>
        <v>86</v>
      </c>
      <c r="BY81" s="105">
        <f t="shared" si="146"/>
        <v>57.333333333333329</v>
      </c>
      <c r="BZ81" s="105">
        <f t="shared" si="147"/>
        <v>43</v>
      </c>
      <c r="CA81" s="105">
        <f t="shared" si="148"/>
        <v>34.4</v>
      </c>
      <c r="CB81" s="105">
        <f t="shared" si="149"/>
        <v>28.666666666666664</v>
      </c>
      <c r="CC81" s="105">
        <f t="shared" si="150"/>
        <v>24.571428571428569</v>
      </c>
      <c r="CD81" s="105">
        <f t="shared" si="151"/>
        <v>21.5</v>
      </c>
      <c r="CE81" s="105">
        <f t="shared" si="152"/>
        <v>19.111111111111111</v>
      </c>
      <c r="CF81" s="105">
        <f t="shared" si="153"/>
        <v>17.2</v>
      </c>
      <c r="CG81" s="105">
        <f t="shared" si="154"/>
        <v>15.636363636363637</v>
      </c>
      <c r="CH81" s="105">
        <f t="shared" si="155"/>
        <v>14.333333333333332</v>
      </c>
      <c r="CI81" s="105">
        <f t="shared" si="156"/>
        <v>13.230769230769232</v>
      </c>
      <c r="CJ81" s="105">
        <f t="shared" si="157"/>
        <v>12.285714285714285</v>
      </c>
      <c r="CK81" s="105">
        <f t="shared" si="158"/>
        <v>11.466666666666667</v>
      </c>
      <c r="CL81" s="105">
        <f t="shared" si="159"/>
        <v>10.75</v>
      </c>
    </row>
    <row r="82" spans="9:90">
      <c r="I82" s="105">
        <v>87</v>
      </c>
      <c r="J82" s="105">
        <f t="shared" si="85"/>
        <v>1392</v>
      </c>
      <c r="K82" s="105">
        <f t="shared" si="86"/>
        <v>696</v>
      </c>
      <c r="L82" s="105">
        <f t="shared" si="87"/>
        <v>464</v>
      </c>
      <c r="M82" s="105">
        <f t="shared" si="88"/>
        <v>348</v>
      </c>
      <c r="N82" s="105">
        <f t="shared" si="89"/>
        <v>278.40000000000003</v>
      </c>
      <c r="O82" s="105">
        <f t="shared" si="90"/>
        <v>232</v>
      </c>
      <c r="P82" s="105">
        <f t="shared" si="91"/>
        <v>198.85714285714283</v>
      </c>
      <c r="Q82" s="105">
        <f t="shared" si="92"/>
        <v>174</v>
      </c>
      <c r="R82" s="105">
        <f t="shared" si="93"/>
        <v>154.66666666666666</v>
      </c>
      <c r="S82" s="105">
        <f t="shared" si="94"/>
        <v>139.20000000000002</v>
      </c>
      <c r="T82" s="105">
        <f t="shared" si="95"/>
        <v>126.54545454545455</v>
      </c>
      <c r="U82" s="105">
        <f t="shared" si="96"/>
        <v>116</v>
      </c>
      <c r="V82" s="105">
        <f t="shared" si="97"/>
        <v>107.07692307692308</v>
      </c>
      <c r="W82" s="105">
        <f t="shared" si="98"/>
        <v>99.428571428571416</v>
      </c>
      <c r="X82" s="105">
        <f t="shared" si="99"/>
        <v>92.8</v>
      </c>
      <c r="Y82" s="105">
        <f t="shared" si="100"/>
        <v>87</v>
      </c>
      <c r="AA82" s="121"/>
      <c r="AB82" s="120"/>
      <c r="AC82" s="120"/>
      <c r="AD82" s="120"/>
      <c r="AE82" s="105">
        <f t="shared" si="102"/>
        <v>139.20000000000002</v>
      </c>
      <c r="AF82" s="105">
        <f t="shared" si="103"/>
        <v>116</v>
      </c>
      <c r="AG82" s="105">
        <f t="shared" si="104"/>
        <v>99.428571428571416</v>
      </c>
      <c r="AH82" s="105">
        <f t="shared" si="105"/>
        <v>87</v>
      </c>
      <c r="AI82" s="105">
        <f t="shared" si="106"/>
        <v>77.333333333333329</v>
      </c>
      <c r="AJ82" s="105">
        <f t="shared" si="107"/>
        <v>69.600000000000009</v>
      </c>
      <c r="AK82" s="105">
        <f t="shared" si="108"/>
        <v>63.272727272727273</v>
      </c>
      <c r="AL82" s="105">
        <f t="shared" si="109"/>
        <v>58</v>
      </c>
      <c r="AM82" s="105">
        <f t="shared" si="110"/>
        <v>53.53846153846154</v>
      </c>
      <c r="AN82" s="105">
        <f t="shared" si="111"/>
        <v>49.714285714285708</v>
      </c>
      <c r="AO82" s="105">
        <f t="shared" si="112"/>
        <v>46.4</v>
      </c>
      <c r="AP82" s="105">
        <f t="shared" si="113"/>
        <v>43.5</v>
      </c>
      <c r="AQ82" s="121"/>
      <c r="AR82" s="120"/>
      <c r="AS82" s="105">
        <f t="shared" si="115"/>
        <v>116</v>
      </c>
      <c r="AT82" s="105">
        <f t="shared" si="116"/>
        <v>87</v>
      </c>
      <c r="AU82" s="105">
        <f t="shared" si="117"/>
        <v>69.600000000000009</v>
      </c>
      <c r="AV82" s="105">
        <f t="shared" si="118"/>
        <v>58</v>
      </c>
      <c r="AW82" s="105">
        <f t="shared" si="119"/>
        <v>49.714285714285708</v>
      </c>
      <c r="AX82" s="105">
        <f t="shared" si="120"/>
        <v>43.5</v>
      </c>
      <c r="AY82" s="105">
        <f t="shared" si="121"/>
        <v>38.666666666666664</v>
      </c>
      <c r="AZ82" s="105">
        <f t="shared" si="122"/>
        <v>34.800000000000004</v>
      </c>
      <c r="BA82" s="105">
        <f t="shared" si="123"/>
        <v>31.636363636363637</v>
      </c>
      <c r="BB82" s="105">
        <f t="shared" si="124"/>
        <v>29</v>
      </c>
      <c r="BC82" s="105">
        <f t="shared" si="125"/>
        <v>26.76923076923077</v>
      </c>
      <c r="BD82" s="105">
        <f t="shared" si="126"/>
        <v>24.857142857142854</v>
      </c>
      <c r="BE82" s="105">
        <f t="shared" si="127"/>
        <v>23.2</v>
      </c>
      <c r="BF82" s="110">
        <f t="shared" si="128"/>
        <v>21.75</v>
      </c>
      <c r="BG82" s="120"/>
      <c r="BH82" s="105">
        <f t="shared" si="129"/>
        <v>116</v>
      </c>
      <c r="BI82" s="105">
        <f t="shared" si="130"/>
        <v>77.333333333333329</v>
      </c>
      <c r="BJ82" s="105">
        <f t="shared" si="131"/>
        <v>58</v>
      </c>
      <c r="BK82" s="105">
        <f t="shared" si="132"/>
        <v>46.400000000000006</v>
      </c>
      <c r="BL82" s="105">
        <f t="shared" si="133"/>
        <v>38.666666666666664</v>
      </c>
      <c r="BM82" s="105">
        <f t="shared" si="134"/>
        <v>33.142857142857139</v>
      </c>
      <c r="BN82" s="105">
        <f t="shared" si="135"/>
        <v>29</v>
      </c>
      <c r="BO82" s="105">
        <f t="shared" si="136"/>
        <v>25.777777777777775</v>
      </c>
      <c r="BP82" s="105">
        <f t="shared" si="137"/>
        <v>23.200000000000003</v>
      </c>
      <c r="BQ82" s="105">
        <f t="shared" si="138"/>
        <v>21.09090909090909</v>
      </c>
      <c r="BR82" s="105">
        <f t="shared" si="139"/>
        <v>19.333333333333332</v>
      </c>
      <c r="BS82" s="105">
        <f t="shared" si="140"/>
        <v>17.846153846153847</v>
      </c>
      <c r="BT82" s="105">
        <f t="shared" si="141"/>
        <v>16.571428571428569</v>
      </c>
      <c r="BU82" s="105">
        <f t="shared" si="142"/>
        <v>15.466666666666667</v>
      </c>
      <c r="BV82" s="105">
        <f t="shared" si="143"/>
        <v>14.5</v>
      </c>
      <c r="BW82" s="121"/>
      <c r="BX82" s="105">
        <f t="shared" si="145"/>
        <v>87</v>
      </c>
      <c r="BY82" s="105">
        <f t="shared" si="146"/>
        <v>58</v>
      </c>
      <c r="BZ82" s="105">
        <f t="shared" si="147"/>
        <v>43.5</v>
      </c>
      <c r="CA82" s="105">
        <f t="shared" si="148"/>
        <v>34.800000000000004</v>
      </c>
      <c r="CB82" s="105">
        <f t="shared" si="149"/>
        <v>29</v>
      </c>
      <c r="CC82" s="105">
        <f t="shared" si="150"/>
        <v>24.857142857142854</v>
      </c>
      <c r="CD82" s="105">
        <f t="shared" si="151"/>
        <v>21.75</v>
      </c>
      <c r="CE82" s="105">
        <f t="shared" si="152"/>
        <v>19.333333333333332</v>
      </c>
      <c r="CF82" s="105">
        <f t="shared" si="153"/>
        <v>17.400000000000002</v>
      </c>
      <c r="CG82" s="105">
        <f t="shared" si="154"/>
        <v>15.818181818181818</v>
      </c>
      <c r="CH82" s="105">
        <f t="shared" si="155"/>
        <v>14.5</v>
      </c>
      <c r="CI82" s="105">
        <f t="shared" si="156"/>
        <v>13.384615384615385</v>
      </c>
      <c r="CJ82" s="105">
        <f t="shared" si="157"/>
        <v>12.428571428571427</v>
      </c>
      <c r="CK82" s="105">
        <f t="shared" si="158"/>
        <v>11.6</v>
      </c>
      <c r="CL82" s="105">
        <f t="shared" si="159"/>
        <v>10.875</v>
      </c>
    </row>
    <row r="83" spans="9:90">
      <c r="I83" s="105">
        <v>88</v>
      </c>
      <c r="J83" s="105">
        <f t="shared" si="85"/>
        <v>1408</v>
      </c>
      <c r="K83" s="105">
        <f t="shared" si="86"/>
        <v>704</v>
      </c>
      <c r="L83" s="105">
        <f t="shared" si="87"/>
        <v>469.33333333333331</v>
      </c>
      <c r="M83" s="105">
        <f t="shared" si="88"/>
        <v>352</v>
      </c>
      <c r="N83" s="105">
        <f t="shared" si="89"/>
        <v>281.60000000000002</v>
      </c>
      <c r="O83" s="105">
        <f t="shared" si="90"/>
        <v>234.66666666666666</v>
      </c>
      <c r="P83" s="105">
        <f t="shared" si="91"/>
        <v>201.14285714285714</v>
      </c>
      <c r="Q83" s="105">
        <f t="shared" si="92"/>
        <v>176</v>
      </c>
      <c r="R83" s="105">
        <f t="shared" si="93"/>
        <v>156.44444444444443</v>
      </c>
      <c r="S83" s="105">
        <f t="shared" si="94"/>
        <v>140.80000000000001</v>
      </c>
      <c r="T83" s="105">
        <f t="shared" si="95"/>
        <v>128</v>
      </c>
      <c r="U83" s="105">
        <f t="shared" si="96"/>
        <v>117.33333333333333</v>
      </c>
      <c r="V83" s="105">
        <f t="shared" si="97"/>
        <v>108.30769230769232</v>
      </c>
      <c r="W83" s="105">
        <f t="shared" si="98"/>
        <v>100.57142857142857</v>
      </c>
      <c r="X83" s="105">
        <f t="shared" si="99"/>
        <v>93.86666666666666</v>
      </c>
      <c r="Y83" s="105">
        <f t="shared" si="100"/>
        <v>88</v>
      </c>
      <c r="AA83" s="121"/>
      <c r="AB83" s="120"/>
      <c r="AC83" s="120"/>
      <c r="AD83" s="120"/>
      <c r="AE83" s="105">
        <f t="shared" si="102"/>
        <v>140.80000000000001</v>
      </c>
      <c r="AF83" s="105">
        <f t="shared" si="103"/>
        <v>117.33333333333333</v>
      </c>
      <c r="AG83" s="105">
        <f t="shared" si="104"/>
        <v>100.57142857142857</v>
      </c>
      <c r="AH83" s="105">
        <f t="shared" si="105"/>
        <v>88</v>
      </c>
      <c r="AI83" s="105">
        <f t="shared" si="106"/>
        <v>78.222222222222214</v>
      </c>
      <c r="AJ83" s="105">
        <f t="shared" si="107"/>
        <v>70.400000000000006</v>
      </c>
      <c r="AK83" s="105">
        <f t="shared" si="108"/>
        <v>64</v>
      </c>
      <c r="AL83" s="105">
        <f t="shared" si="109"/>
        <v>58.666666666666664</v>
      </c>
      <c r="AM83" s="105">
        <f t="shared" si="110"/>
        <v>54.15384615384616</v>
      </c>
      <c r="AN83" s="105">
        <f t="shared" si="111"/>
        <v>50.285714285714285</v>
      </c>
      <c r="AO83" s="105">
        <f t="shared" si="112"/>
        <v>46.93333333333333</v>
      </c>
      <c r="AP83" s="105">
        <f t="shared" si="113"/>
        <v>44</v>
      </c>
      <c r="AQ83" s="121"/>
      <c r="AR83" s="120"/>
      <c r="AS83" s="105">
        <f t="shared" si="115"/>
        <v>117.33333333333333</v>
      </c>
      <c r="AT83" s="105">
        <f t="shared" si="116"/>
        <v>88</v>
      </c>
      <c r="AU83" s="105">
        <f t="shared" si="117"/>
        <v>70.400000000000006</v>
      </c>
      <c r="AV83" s="105">
        <f t="shared" si="118"/>
        <v>58.666666666666664</v>
      </c>
      <c r="AW83" s="105">
        <f t="shared" si="119"/>
        <v>50.285714285714285</v>
      </c>
      <c r="AX83" s="105">
        <f t="shared" si="120"/>
        <v>44</v>
      </c>
      <c r="AY83" s="105">
        <f t="shared" si="121"/>
        <v>39.111111111111107</v>
      </c>
      <c r="AZ83" s="105">
        <f t="shared" si="122"/>
        <v>35.200000000000003</v>
      </c>
      <c r="BA83" s="105">
        <f t="shared" si="123"/>
        <v>32</v>
      </c>
      <c r="BB83" s="105">
        <f t="shared" si="124"/>
        <v>29.333333333333332</v>
      </c>
      <c r="BC83" s="105">
        <f t="shared" si="125"/>
        <v>27.07692307692308</v>
      </c>
      <c r="BD83" s="105">
        <f t="shared" si="126"/>
        <v>25.142857142857142</v>
      </c>
      <c r="BE83" s="105">
        <f t="shared" si="127"/>
        <v>23.466666666666665</v>
      </c>
      <c r="BF83" s="110">
        <f t="shared" si="128"/>
        <v>22</v>
      </c>
      <c r="BG83" s="120"/>
      <c r="BH83" s="105">
        <f t="shared" si="129"/>
        <v>117.33333333333333</v>
      </c>
      <c r="BI83" s="105">
        <f t="shared" si="130"/>
        <v>78.222222222222214</v>
      </c>
      <c r="BJ83" s="105">
        <f t="shared" si="131"/>
        <v>58.666666666666664</v>
      </c>
      <c r="BK83" s="105">
        <f t="shared" si="132"/>
        <v>46.933333333333337</v>
      </c>
      <c r="BL83" s="105">
        <f t="shared" si="133"/>
        <v>39.111111111111107</v>
      </c>
      <c r="BM83" s="105">
        <f t="shared" si="134"/>
        <v>33.523809523809526</v>
      </c>
      <c r="BN83" s="105">
        <f t="shared" si="135"/>
        <v>29.333333333333332</v>
      </c>
      <c r="BO83" s="105">
        <f t="shared" si="136"/>
        <v>26.074074074074073</v>
      </c>
      <c r="BP83" s="105">
        <f t="shared" si="137"/>
        <v>23.466666666666669</v>
      </c>
      <c r="BQ83" s="105">
        <f t="shared" si="138"/>
        <v>21.333333333333332</v>
      </c>
      <c r="BR83" s="105">
        <f t="shared" si="139"/>
        <v>19.555555555555554</v>
      </c>
      <c r="BS83" s="105">
        <f t="shared" si="140"/>
        <v>18.051282051282055</v>
      </c>
      <c r="BT83" s="105">
        <f t="shared" si="141"/>
        <v>16.761904761904763</v>
      </c>
      <c r="BU83" s="105">
        <f t="shared" si="142"/>
        <v>15.644444444444444</v>
      </c>
      <c r="BV83" s="105">
        <f t="shared" si="143"/>
        <v>14.666666666666666</v>
      </c>
      <c r="BW83" s="121"/>
      <c r="BX83" s="105">
        <f t="shared" si="145"/>
        <v>88</v>
      </c>
      <c r="BY83" s="105">
        <f t="shared" si="146"/>
        <v>58.666666666666664</v>
      </c>
      <c r="BZ83" s="105">
        <f t="shared" si="147"/>
        <v>44</v>
      </c>
      <c r="CA83" s="105">
        <f t="shared" si="148"/>
        <v>35.200000000000003</v>
      </c>
      <c r="CB83" s="105">
        <f t="shared" si="149"/>
        <v>29.333333333333332</v>
      </c>
      <c r="CC83" s="105">
        <f t="shared" si="150"/>
        <v>25.142857142857142</v>
      </c>
      <c r="CD83" s="105">
        <f t="shared" si="151"/>
        <v>22</v>
      </c>
      <c r="CE83" s="105">
        <f t="shared" si="152"/>
        <v>19.555555555555554</v>
      </c>
      <c r="CF83" s="105">
        <f t="shared" si="153"/>
        <v>17.600000000000001</v>
      </c>
      <c r="CG83" s="105">
        <f t="shared" si="154"/>
        <v>16</v>
      </c>
      <c r="CH83" s="105">
        <f t="shared" si="155"/>
        <v>14.666666666666666</v>
      </c>
      <c r="CI83" s="105">
        <f t="shared" si="156"/>
        <v>13.53846153846154</v>
      </c>
      <c r="CJ83" s="105">
        <f t="shared" si="157"/>
        <v>12.571428571428571</v>
      </c>
      <c r="CK83" s="105">
        <f t="shared" si="158"/>
        <v>11.733333333333333</v>
      </c>
      <c r="CL83" s="105">
        <f t="shared" si="159"/>
        <v>11</v>
      </c>
    </row>
    <row r="84" spans="9:90">
      <c r="I84" s="105">
        <v>89</v>
      </c>
      <c r="J84" s="105">
        <f t="shared" si="85"/>
        <v>1424</v>
      </c>
      <c r="K84" s="105">
        <f t="shared" si="86"/>
        <v>712</v>
      </c>
      <c r="L84" s="105">
        <f t="shared" si="87"/>
        <v>474.66666666666663</v>
      </c>
      <c r="M84" s="105">
        <f t="shared" si="88"/>
        <v>356</v>
      </c>
      <c r="N84" s="105">
        <f t="shared" si="89"/>
        <v>284.8</v>
      </c>
      <c r="O84" s="105">
        <f t="shared" si="90"/>
        <v>237.33333333333331</v>
      </c>
      <c r="P84" s="105">
        <f t="shared" si="91"/>
        <v>203.42857142857142</v>
      </c>
      <c r="Q84" s="105">
        <f t="shared" si="92"/>
        <v>178</v>
      </c>
      <c r="R84" s="105">
        <f t="shared" si="93"/>
        <v>158.2222222222222</v>
      </c>
      <c r="S84" s="105">
        <f t="shared" si="94"/>
        <v>142.4</v>
      </c>
      <c r="T84" s="105">
        <f t="shared" si="95"/>
        <v>129.45454545454547</v>
      </c>
      <c r="U84" s="105">
        <f t="shared" si="96"/>
        <v>118.66666666666666</v>
      </c>
      <c r="V84" s="105">
        <f t="shared" si="97"/>
        <v>109.53846153846155</v>
      </c>
      <c r="W84" s="105">
        <f t="shared" si="98"/>
        <v>101.71428571428571</v>
      </c>
      <c r="X84" s="105">
        <f t="shared" si="99"/>
        <v>94.933333333333337</v>
      </c>
      <c r="Y84" s="105">
        <f t="shared" si="100"/>
        <v>89</v>
      </c>
      <c r="AA84" s="121"/>
      <c r="AB84" s="120"/>
      <c r="AC84" s="120"/>
      <c r="AD84" s="120"/>
      <c r="AE84" s="105">
        <f t="shared" si="102"/>
        <v>142.4</v>
      </c>
      <c r="AF84" s="105">
        <f t="shared" si="103"/>
        <v>118.66666666666666</v>
      </c>
      <c r="AG84" s="105">
        <f t="shared" si="104"/>
        <v>101.71428571428571</v>
      </c>
      <c r="AH84" s="105">
        <f t="shared" si="105"/>
        <v>89</v>
      </c>
      <c r="AI84" s="105">
        <f t="shared" si="106"/>
        <v>79.1111111111111</v>
      </c>
      <c r="AJ84" s="105">
        <f t="shared" si="107"/>
        <v>71.2</v>
      </c>
      <c r="AK84" s="105">
        <f t="shared" si="108"/>
        <v>64.727272727272734</v>
      </c>
      <c r="AL84" s="105">
        <f t="shared" si="109"/>
        <v>59.333333333333329</v>
      </c>
      <c r="AM84" s="105">
        <f t="shared" si="110"/>
        <v>54.769230769230774</v>
      </c>
      <c r="AN84" s="105">
        <f t="shared" si="111"/>
        <v>50.857142857142854</v>
      </c>
      <c r="AO84" s="105">
        <f t="shared" si="112"/>
        <v>47.466666666666669</v>
      </c>
      <c r="AP84" s="105">
        <f t="shared" si="113"/>
        <v>44.5</v>
      </c>
      <c r="AQ84" s="121"/>
      <c r="AR84" s="120"/>
      <c r="AS84" s="105">
        <f t="shared" si="115"/>
        <v>118.66666666666666</v>
      </c>
      <c r="AT84" s="105">
        <f t="shared" si="116"/>
        <v>89</v>
      </c>
      <c r="AU84" s="105">
        <f t="shared" si="117"/>
        <v>71.2</v>
      </c>
      <c r="AV84" s="105">
        <f t="shared" si="118"/>
        <v>59.333333333333329</v>
      </c>
      <c r="AW84" s="105">
        <f t="shared" si="119"/>
        <v>50.857142857142854</v>
      </c>
      <c r="AX84" s="105">
        <f t="shared" si="120"/>
        <v>44.5</v>
      </c>
      <c r="AY84" s="105">
        <f t="shared" si="121"/>
        <v>39.55555555555555</v>
      </c>
      <c r="AZ84" s="105">
        <f t="shared" si="122"/>
        <v>35.6</v>
      </c>
      <c r="BA84" s="105">
        <f t="shared" si="123"/>
        <v>32.363636363636367</v>
      </c>
      <c r="BB84" s="105">
        <f t="shared" si="124"/>
        <v>29.666666666666664</v>
      </c>
      <c r="BC84" s="105">
        <f t="shared" si="125"/>
        <v>27.384615384615387</v>
      </c>
      <c r="BD84" s="105">
        <f t="shared" si="126"/>
        <v>25.428571428571427</v>
      </c>
      <c r="BE84" s="105">
        <f t="shared" si="127"/>
        <v>23.733333333333334</v>
      </c>
      <c r="BF84" s="110">
        <f t="shared" si="128"/>
        <v>22.25</v>
      </c>
      <c r="BG84" s="120"/>
      <c r="BH84" s="105">
        <f t="shared" si="129"/>
        <v>118.66666666666667</v>
      </c>
      <c r="BI84" s="105">
        <f t="shared" si="130"/>
        <v>79.1111111111111</v>
      </c>
      <c r="BJ84" s="105">
        <f t="shared" si="131"/>
        <v>59.333333333333336</v>
      </c>
      <c r="BK84" s="105">
        <f t="shared" si="132"/>
        <v>47.466666666666669</v>
      </c>
      <c r="BL84" s="105">
        <f t="shared" si="133"/>
        <v>39.55555555555555</v>
      </c>
      <c r="BM84" s="105">
        <f t="shared" si="134"/>
        <v>33.904761904761905</v>
      </c>
      <c r="BN84" s="105">
        <f t="shared" si="135"/>
        <v>29.666666666666668</v>
      </c>
      <c r="BO84" s="105">
        <f t="shared" si="136"/>
        <v>26.370370370370367</v>
      </c>
      <c r="BP84" s="105">
        <f t="shared" si="137"/>
        <v>23.733333333333334</v>
      </c>
      <c r="BQ84" s="105">
        <f t="shared" si="138"/>
        <v>21.575757575757578</v>
      </c>
      <c r="BR84" s="105">
        <f t="shared" si="139"/>
        <v>19.777777777777775</v>
      </c>
      <c r="BS84" s="105">
        <f t="shared" si="140"/>
        <v>18.256410256410259</v>
      </c>
      <c r="BT84" s="105">
        <f t="shared" si="141"/>
        <v>16.952380952380953</v>
      </c>
      <c r="BU84" s="105">
        <f t="shared" si="142"/>
        <v>15.822222222222223</v>
      </c>
      <c r="BV84" s="105">
        <f t="shared" si="143"/>
        <v>14.833333333333334</v>
      </c>
      <c r="BW84" s="121"/>
      <c r="BX84" s="105">
        <f t="shared" si="145"/>
        <v>89</v>
      </c>
      <c r="BY84" s="105">
        <f t="shared" si="146"/>
        <v>59.333333333333329</v>
      </c>
      <c r="BZ84" s="105">
        <f t="shared" si="147"/>
        <v>44.5</v>
      </c>
      <c r="CA84" s="105">
        <f t="shared" si="148"/>
        <v>35.6</v>
      </c>
      <c r="CB84" s="105">
        <f t="shared" si="149"/>
        <v>29.666666666666664</v>
      </c>
      <c r="CC84" s="105">
        <f t="shared" si="150"/>
        <v>25.428571428571427</v>
      </c>
      <c r="CD84" s="105">
        <f t="shared" si="151"/>
        <v>22.25</v>
      </c>
      <c r="CE84" s="105">
        <f t="shared" si="152"/>
        <v>19.777777777777775</v>
      </c>
      <c r="CF84" s="105">
        <f t="shared" si="153"/>
        <v>17.8</v>
      </c>
      <c r="CG84" s="105">
        <f t="shared" si="154"/>
        <v>16.181818181818183</v>
      </c>
      <c r="CH84" s="105">
        <f t="shared" si="155"/>
        <v>14.833333333333332</v>
      </c>
      <c r="CI84" s="105">
        <f t="shared" si="156"/>
        <v>13.692307692307693</v>
      </c>
      <c r="CJ84" s="105">
        <f t="shared" si="157"/>
        <v>12.714285714285714</v>
      </c>
      <c r="CK84" s="105">
        <f t="shared" si="158"/>
        <v>11.866666666666667</v>
      </c>
      <c r="CL84" s="105">
        <f t="shared" si="159"/>
        <v>11.125</v>
      </c>
    </row>
    <row r="85" spans="9:90">
      <c r="I85" s="105">
        <v>90</v>
      </c>
      <c r="J85" s="105">
        <f t="shared" si="85"/>
        <v>1440</v>
      </c>
      <c r="K85" s="105">
        <f t="shared" si="86"/>
        <v>720</v>
      </c>
      <c r="L85" s="105">
        <f t="shared" si="87"/>
        <v>480</v>
      </c>
      <c r="M85" s="105">
        <f t="shared" si="88"/>
        <v>360</v>
      </c>
      <c r="N85" s="105">
        <f t="shared" si="89"/>
        <v>288</v>
      </c>
      <c r="O85" s="105">
        <f t="shared" si="90"/>
        <v>240</v>
      </c>
      <c r="P85" s="105">
        <f t="shared" si="91"/>
        <v>205.71428571428569</v>
      </c>
      <c r="Q85" s="105">
        <f t="shared" si="92"/>
        <v>180</v>
      </c>
      <c r="R85" s="105">
        <f t="shared" si="93"/>
        <v>160</v>
      </c>
      <c r="S85" s="105">
        <f t="shared" si="94"/>
        <v>144</v>
      </c>
      <c r="T85" s="105">
        <f t="shared" si="95"/>
        <v>130.90909090909091</v>
      </c>
      <c r="U85" s="105">
        <f t="shared" si="96"/>
        <v>120</v>
      </c>
      <c r="V85" s="105">
        <f t="shared" si="97"/>
        <v>110.76923076923077</v>
      </c>
      <c r="W85" s="105">
        <f t="shared" si="98"/>
        <v>102.85714285714285</v>
      </c>
      <c r="X85" s="105">
        <f t="shared" si="99"/>
        <v>96</v>
      </c>
      <c r="Y85" s="105">
        <f t="shared" si="100"/>
        <v>90</v>
      </c>
      <c r="AA85" s="121"/>
      <c r="AB85" s="120"/>
      <c r="AC85" s="120"/>
      <c r="AD85" s="120"/>
      <c r="AE85" s="105">
        <f t="shared" si="102"/>
        <v>144</v>
      </c>
      <c r="AF85" s="105">
        <f t="shared" si="103"/>
        <v>120</v>
      </c>
      <c r="AG85" s="105">
        <f t="shared" si="104"/>
        <v>102.85714285714285</v>
      </c>
      <c r="AH85" s="105">
        <f t="shared" si="105"/>
        <v>90</v>
      </c>
      <c r="AI85" s="105">
        <f t="shared" si="106"/>
        <v>80</v>
      </c>
      <c r="AJ85" s="105">
        <f t="shared" si="107"/>
        <v>72</v>
      </c>
      <c r="AK85" s="105">
        <f t="shared" si="108"/>
        <v>65.454545454545453</v>
      </c>
      <c r="AL85" s="105">
        <f t="shared" si="109"/>
        <v>60</v>
      </c>
      <c r="AM85" s="105">
        <f t="shared" si="110"/>
        <v>55.384615384615387</v>
      </c>
      <c r="AN85" s="105">
        <f t="shared" si="111"/>
        <v>51.428571428571423</v>
      </c>
      <c r="AO85" s="105">
        <f t="shared" si="112"/>
        <v>48</v>
      </c>
      <c r="AP85" s="105">
        <f t="shared" si="113"/>
        <v>45</v>
      </c>
      <c r="AQ85" s="121"/>
      <c r="AR85" s="120"/>
      <c r="AS85" s="105">
        <f t="shared" si="115"/>
        <v>120</v>
      </c>
      <c r="AT85" s="105">
        <f t="shared" si="116"/>
        <v>90</v>
      </c>
      <c r="AU85" s="105">
        <f t="shared" si="117"/>
        <v>72</v>
      </c>
      <c r="AV85" s="105">
        <f t="shared" si="118"/>
        <v>60</v>
      </c>
      <c r="AW85" s="105">
        <f t="shared" si="119"/>
        <v>51.428571428571423</v>
      </c>
      <c r="AX85" s="105">
        <f t="shared" si="120"/>
        <v>45</v>
      </c>
      <c r="AY85" s="105">
        <f t="shared" si="121"/>
        <v>40</v>
      </c>
      <c r="AZ85" s="105">
        <f t="shared" si="122"/>
        <v>36</v>
      </c>
      <c r="BA85" s="105">
        <f t="shared" si="123"/>
        <v>32.727272727272727</v>
      </c>
      <c r="BB85" s="105">
        <f t="shared" si="124"/>
        <v>30</v>
      </c>
      <c r="BC85" s="105">
        <f t="shared" si="125"/>
        <v>27.692307692307693</v>
      </c>
      <c r="BD85" s="105">
        <f t="shared" si="126"/>
        <v>25.714285714285712</v>
      </c>
      <c r="BE85" s="105">
        <f t="shared" si="127"/>
        <v>24</v>
      </c>
      <c r="BF85" s="110">
        <f t="shared" si="128"/>
        <v>22.5</v>
      </c>
      <c r="BG85" s="120"/>
      <c r="BH85" s="105">
        <f t="shared" si="129"/>
        <v>120</v>
      </c>
      <c r="BI85" s="105">
        <f t="shared" si="130"/>
        <v>80</v>
      </c>
      <c r="BJ85" s="105">
        <f t="shared" si="131"/>
        <v>60</v>
      </c>
      <c r="BK85" s="105">
        <f t="shared" si="132"/>
        <v>48</v>
      </c>
      <c r="BL85" s="105">
        <f t="shared" si="133"/>
        <v>40</v>
      </c>
      <c r="BM85" s="105">
        <f t="shared" si="134"/>
        <v>34.285714285714285</v>
      </c>
      <c r="BN85" s="105">
        <f t="shared" si="135"/>
        <v>30</v>
      </c>
      <c r="BO85" s="105">
        <f t="shared" si="136"/>
        <v>26.666666666666668</v>
      </c>
      <c r="BP85" s="105">
        <f t="shared" si="137"/>
        <v>24</v>
      </c>
      <c r="BQ85" s="105">
        <f t="shared" si="138"/>
        <v>21.818181818181817</v>
      </c>
      <c r="BR85" s="105">
        <f t="shared" si="139"/>
        <v>20</v>
      </c>
      <c r="BS85" s="105">
        <f t="shared" si="140"/>
        <v>18.461538461538463</v>
      </c>
      <c r="BT85" s="105">
        <f t="shared" si="141"/>
        <v>17.142857142857142</v>
      </c>
      <c r="BU85" s="105">
        <f t="shared" si="142"/>
        <v>16</v>
      </c>
      <c r="BV85" s="105">
        <f t="shared" si="143"/>
        <v>15</v>
      </c>
      <c r="BW85" s="121"/>
      <c r="BX85" s="105">
        <f t="shared" si="145"/>
        <v>90</v>
      </c>
      <c r="BY85" s="105">
        <f t="shared" si="146"/>
        <v>60</v>
      </c>
      <c r="BZ85" s="105">
        <f t="shared" si="147"/>
        <v>45</v>
      </c>
      <c r="CA85" s="105">
        <f t="shared" si="148"/>
        <v>36</v>
      </c>
      <c r="CB85" s="105">
        <f t="shared" si="149"/>
        <v>30</v>
      </c>
      <c r="CC85" s="105">
        <f t="shared" si="150"/>
        <v>25.714285714285712</v>
      </c>
      <c r="CD85" s="105">
        <f t="shared" si="151"/>
        <v>22.5</v>
      </c>
      <c r="CE85" s="105">
        <f t="shared" si="152"/>
        <v>20</v>
      </c>
      <c r="CF85" s="105">
        <f t="shared" si="153"/>
        <v>18</v>
      </c>
      <c r="CG85" s="105">
        <f t="shared" si="154"/>
        <v>16.363636363636363</v>
      </c>
      <c r="CH85" s="105">
        <f t="shared" si="155"/>
        <v>15</v>
      </c>
      <c r="CI85" s="105">
        <f t="shared" si="156"/>
        <v>13.846153846153847</v>
      </c>
      <c r="CJ85" s="105">
        <f t="shared" si="157"/>
        <v>12.857142857142856</v>
      </c>
      <c r="CK85" s="105">
        <f t="shared" si="158"/>
        <v>12</v>
      </c>
      <c r="CL85" s="105">
        <f t="shared" si="159"/>
        <v>11.25</v>
      </c>
    </row>
    <row r="86" spans="9:90">
      <c r="I86" s="105">
        <v>91</v>
      </c>
      <c r="J86" s="105">
        <f t="shared" si="85"/>
        <v>1456</v>
      </c>
      <c r="K86" s="105">
        <f t="shared" si="86"/>
        <v>728</v>
      </c>
      <c r="L86" s="105">
        <f t="shared" si="87"/>
        <v>485.33333333333331</v>
      </c>
      <c r="M86" s="105">
        <f t="shared" si="88"/>
        <v>364</v>
      </c>
      <c r="N86" s="105">
        <f t="shared" si="89"/>
        <v>291.2</v>
      </c>
      <c r="O86" s="105">
        <f t="shared" si="90"/>
        <v>242.66666666666666</v>
      </c>
      <c r="P86" s="105">
        <f t="shared" si="91"/>
        <v>208</v>
      </c>
      <c r="Q86" s="105">
        <f t="shared" si="92"/>
        <v>182</v>
      </c>
      <c r="R86" s="105">
        <f t="shared" si="93"/>
        <v>161.77777777777777</v>
      </c>
      <c r="S86" s="105">
        <f t="shared" si="94"/>
        <v>145.6</v>
      </c>
      <c r="T86" s="105">
        <f t="shared" si="95"/>
        <v>132.36363636363637</v>
      </c>
      <c r="U86" s="105">
        <f t="shared" si="96"/>
        <v>121.33333333333333</v>
      </c>
      <c r="V86" s="105">
        <f t="shared" si="97"/>
        <v>112</v>
      </c>
      <c r="W86" s="105">
        <f t="shared" si="98"/>
        <v>104</v>
      </c>
      <c r="X86" s="105">
        <f t="shared" si="99"/>
        <v>97.066666666666663</v>
      </c>
      <c r="Y86" s="105">
        <f t="shared" si="100"/>
        <v>91</v>
      </c>
      <c r="AA86" s="121"/>
      <c r="AB86" s="120"/>
      <c r="AC86" s="120"/>
      <c r="AD86" s="120"/>
      <c r="AE86" s="105">
        <f t="shared" si="102"/>
        <v>145.6</v>
      </c>
      <c r="AF86" s="105">
        <f t="shared" si="103"/>
        <v>121.33333333333333</v>
      </c>
      <c r="AG86" s="105">
        <f t="shared" si="104"/>
        <v>104</v>
      </c>
      <c r="AH86" s="105">
        <f t="shared" si="105"/>
        <v>91</v>
      </c>
      <c r="AI86" s="105">
        <f t="shared" si="106"/>
        <v>80.888888888888886</v>
      </c>
      <c r="AJ86" s="105">
        <f t="shared" si="107"/>
        <v>72.8</v>
      </c>
      <c r="AK86" s="105">
        <f t="shared" si="108"/>
        <v>66.181818181818187</v>
      </c>
      <c r="AL86" s="105">
        <f t="shared" si="109"/>
        <v>60.666666666666664</v>
      </c>
      <c r="AM86" s="105">
        <f t="shared" si="110"/>
        <v>56</v>
      </c>
      <c r="AN86" s="105">
        <f t="shared" si="111"/>
        <v>52</v>
      </c>
      <c r="AO86" s="105">
        <f t="shared" si="112"/>
        <v>48.533333333333331</v>
      </c>
      <c r="AP86" s="105">
        <f t="shared" si="113"/>
        <v>45.5</v>
      </c>
      <c r="AQ86" s="121"/>
      <c r="AR86" s="120"/>
      <c r="AS86" s="105">
        <f t="shared" si="115"/>
        <v>121.33333333333333</v>
      </c>
      <c r="AT86" s="105">
        <f t="shared" si="116"/>
        <v>91</v>
      </c>
      <c r="AU86" s="105">
        <f t="shared" si="117"/>
        <v>72.8</v>
      </c>
      <c r="AV86" s="105">
        <f t="shared" si="118"/>
        <v>60.666666666666664</v>
      </c>
      <c r="AW86" s="105">
        <f t="shared" si="119"/>
        <v>52</v>
      </c>
      <c r="AX86" s="105">
        <f t="shared" si="120"/>
        <v>45.5</v>
      </c>
      <c r="AY86" s="105">
        <f t="shared" si="121"/>
        <v>40.444444444444443</v>
      </c>
      <c r="AZ86" s="105">
        <f t="shared" si="122"/>
        <v>36.4</v>
      </c>
      <c r="BA86" s="105">
        <f t="shared" si="123"/>
        <v>33.090909090909093</v>
      </c>
      <c r="BB86" s="105">
        <f t="shared" si="124"/>
        <v>30.333333333333332</v>
      </c>
      <c r="BC86" s="105">
        <f t="shared" si="125"/>
        <v>28</v>
      </c>
      <c r="BD86" s="105">
        <f t="shared" si="126"/>
        <v>26</v>
      </c>
      <c r="BE86" s="105">
        <f t="shared" si="127"/>
        <v>24.266666666666666</v>
      </c>
      <c r="BF86" s="110">
        <f t="shared" si="128"/>
        <v>22.75</v>
      </c>
      <c r="BG86" s="120"/>
      <c r="BH86" s="105">
        <f t="shared" si="129"/>
        <v>121.33333333333333</v>
      </c>
      <c r="BI86" s="105">
        <f t="shared" si="130"/>
        <v>80.888888888888886</v>
      </c>
      <c r="BJ86" s="105">
        <f t="shared" si="131"/>
        <v>60.666666666666664</v>
      </c>
      <c r="BK86" s="105">
        <f t="shared" si="132"/>
        <v>48.533333333333331</v>
      </c>
      <c r="BL86" s="105">
        <f t="shared" si="133"/>
        <v>40.444444444444443</v>
      </c>
      <c r="BM86" s="105">
        <f t="shared" si="134"/>
        <v>34.666666666666664</v>
      </c>
      <c r="BN86" s="105">
        <f t="shared" si="135"/>
        <v>30.333333333333332</v>
      </c>
      <c r="BO86" s="105">
        <f t="shared" si="136"/>
        <v>26.962962962962962</v>
      </c>
      <c r="BP86" s="105">
        <f t="shared" si="137"/>
        <v>24.266666666666666</v>
      </c>
      <c r="BQ86" s="105">
        <f t="shared" si="138"/>
        <v>22.060606060606062</v>
      </c>
      <c r="BR86" s="105">
        <f t="shared" si="139"/>
        <v>20.222222222222221</v>
      </c>
      <c r="BS86" s="105">
        <f t="shared" si="140"/>
        <v>18.666666666666668</v>
      </c>
      <c r="BT86" s="105">
        <f t="shared" si="141"/>
        <v>17.333333333333332</v>
      </c>
      <c r="BU86" s="105">
        <f t="shared" si="142"/>
        <v>16.177777777777777</v>
      </c>
      <c r="BV86" s="105">
        <f t="shared" si="143"/>
        <v>15.166666666666666</v>
      </c>
      <c r="BW86" s="121"/>
      <c r="BX86" s="105">
        <f t="shared" si="145"/>
        <v>91</v>
      </c>
      <c r="BY86" s="105">
        <f t="shared" si="146"/>
        <v>60.666666666666664</v>
      </c>
      <c r="BZ86" s="105">
        <f t="shared" si="147"/>
        <v>45.5</v>
      </c>
      <c r="CA86" s="105">
        <f t="shared" si="148"/>
        <v>36.4</v>
      </c>
      <c r="CB86" s="105">
        <f t="shared" si="149"/>
        <v>30.333333333333332</v>
      </c>
      <c r="CC86" s="105">
        <f t="shared" si="150"/>
        <v>26</v>
      </c>
      <c r="CD86" s="105">
        <f t="shared" si="151"/>
        <v>22.75</v>
      </c>
      <c r="CE86" s="105">
        <f t="shared" si="152"/>
        <v>20.222222222222221</v>
      </c>
      <c r="CF86" s="105">
        <f t="shared" si="153"/>
        <v>18.2</v>
      </c>
      <c r="CG86" s="105">
        <f t="shared" si="154"/>
        <v>16.545454545454547</v>
      </c>
      <c r="CH86" s="105">
        <f t="shared" si="155"/>
        <v>15.166666666666666</v>
      </c>
      <c r="CI86" s="105">
        <f t="shared" si="156"/>
        <v>14</v>
      </c>
      <c r="CJ86" s="105">
        <f t="shared" si="157"/>
        <v>13</v>
      </c>
      <c r="CK86" s="105">
        <f t="shared" si="158"/>
        <v>12.133333333333333</v>
      </c>
      <c r="CL86" s="105">
        <f t="shared" si="159"/>
        <v>11.375</v>
      </c>
    </row>
    <row r="87" spans="9:90">
      <c r="I87" s="105">
        <v>92</v>
      </c>
      <c r="J87" s="105">
        <f t="shared" si="85"/>
        <v>1472</v>
      </c>
      <c r="K87" s="105">
        <f t="shared" si="86"/>
        <v>736</v>
      </c>
      <c r="L87" s="105">
        <f t="shared" si="87"/>
        <v>490.66666666666663</v>
      </c>
      <c r="M87" s="105">
        <f t="shared" si="88"/>
        <v>368</v>
      </c>
      <c r="N87" s="105">
        <f t="shared" si="89"/>
        <v>294.40000000000003</v>
      </c>
      <c r="O87" s="105">
        <f t="shared" si="90"/>
        <v>245.33333333333331</v>
      </c>
      <c r="P87" s="105">
        <f t="shared" si="91"/>
        <v>210.28571428571428</v>
      </c>
      <c r="Q87" s="105">
        <f t="shared" si="92"/>
        <v>184</v>
      </c>
      <c r="R87" s="105">
        <f t="shared" si="93"/>
        <v>163.55555555555554</v>
      </c>
      <c r="S87" s="105">
        <f t="shared" si="94"/>
        <v>147.20000000000002</v>
      </c>
      <c r="T87" s="105">
        <f t="shared" si="95"/>
        <v>133.81818181818181</v>
      </c>
      <c r="U87" s="105">
        <f t="shared" si="96"/>
        <v>122.66666666666666</v>
      </c>
      <c r="V87" s="105">
        <f t="shared" si="97"/>
        <v>113.23076923076924</v>
      </c>
      <c r="W87" s="105">
        <f t="shared" si="98"/>
        <v>105.14285714285714</v>
      </c>
      <c r="X87" s="105">
        <f t="shared" si="99"/>
        <v>98.133333333333326</v>
      </c>
      <c r="Y87" s="105">
        <f t="shared" si="100"/>
        <v>92</v>
      </c>
      <c r="AA87" s="121"/>
      <c r="AB87" s="120"/>
      <c r="AC87" s="120"/>
      <c r="AD87" s="120"/>
      <c r="AE87" s="105">
        <f t="shared" si="102"/>
        <v>147.20000000000002</v>
      </c>
      <c r="AF87" s="105">
        <f t="shared" si="103"/>
        <v>122.66666666666666</v>
      </c>
      <c r="AG87" s="105">
        <f t="shared" si="104"/>
        <v>105.14285714285714</v>
      </c>
      <c r="AH87" s="105">
        <f t="shared" si="105"/>
        <v>92</v>
      </c>
      <c r="AI87" s="105">
        <f t="shared" si="106"/>
        <v>81.777777777777771</v>
      </c>
      <c r="AJ87" s="105">
        <f t="shared" si="107"/>
        <v>73.600000000000009</v>
      </c>
      <c r="AK87" s="105">
        <f t="shared" si="108"/>
        <v>66.909090909090907</v>
      </c>
      <c r="AL87" s="105">
        <f t="shared" si="109"/>
        <v>61.333333333333329</v>
      </c>
      <c r="AM87" s="105">
        <f t="shared" si="110"/>
        <v>56.61538461538462</v>
      </c>
      <c r="AN87" s="105">
        <f t="shared" si="111"/>
        <v>52.571428571428569</v>
      </c>
      <c r="AO87" s="105">
        <f t="shared" si="112"/>
        <v>49.066666666666663</v>
      </c>
      <c r="AP87" s="105">
        <f t="shared" si="113"/>
        <v>46</v>
      </c>
      <c r="AQ87" s="121"/>
      <c r="AR87" s="120"/>
      <c r="AS87" s="105">
        <f t="shared" si="115"/>
        <v>122.66666666666666</v>
      </c>
      <c r="AT87" s="105">
        <f t="shared" si="116"/>
        <v>92</v>
      </c>
      <c r="AU87" s="105">
        <f t="shared" si="117"/>
        <v>73.600000000000009</v>
      </c>
      <c r="AV87" s="105">
        <f t="shared" si="118"/>
        <v>61.333333333333329</v>
      </c>
      <c r="AW87" s="105">
        <f t="shared" si="119"/>
        <v>52.571428571428569</v>
      </c>
      <c r="AX87" s="105">
        <f t="shared" si="120"/>
        <v>46</v>
      </c>
      <c r="AY87" s="105">
        <f t="shared" si="121"/>
        <v>40.888888888888886</v>
      </c>
      <c r="AZ87" s="105">
        <f t="shared" si="122"/>
        <v>36.800000000000004</v>
      </c>
      <c r="BA87" s="105">
        <f t="shared" si="123"/>
        <v>33.454545454545453</v>
      </c>
      <c r="BB87" s="105">
        <f t="shared" si="124"/>
        <v>30.666666666666664</v>
      </c>
      <c r="BC87" s="105">
        <f t="shared" si="125"/>
        <v>28.30769230769231</v>
      </c>
      <c r="BD87" s="105">
        <f t="shared" si="126"/>
        <v>26.285714285714285</v>
      </c>
      <c r="BE87" s="105">
        <f t="shared" si="127"/>
        <v>24.533333333333331</v>
      </c>
      <c r="BF87" s="110">
        <f t="shared" si="128"/>
        <v>23</v>
      </c>
      <c r="BG87" s="120"/>
      <c r="BH87" s="105">
        <f t="shared" si="129"/>
        <v>122.66666666666667</v>
      </c>
      <c r="BI87" s="105">
        <f t="shared" si="130"/>
        <v>81.777777777777771</v>
      </c>
      <c r="BJ87" s="105">
        <f t="shared" si="131"/>
        <v>61.333333333333336</v>
      </c>
      <c r="BK87" s="105">
        <f t="shared" si="132"/>
        <v>49.06666666666667</v>
      </c>
      <c r="BL87" s="105">
        <f t="shared" si="133"/>
        <v>40.888888888888886</v>
      </c>
      <c r="BM87" s="105">
        <f t="shared" si="134"/>
        <v>35.047619047619044</v>
      </c>
      <c r="BN87" s="105">
        <f t="shared" si="135"/>
        <v>30.666666666666668</v>
      </c>
      <c r="BO87" s="105">
        <f t="shared" si="136"/>
        <v>27.259259259259256</v>
      </c>
      <c r="BP87" s="105">
        <f t="shared" si="137"/>
        <v>24.533333333333335</v>
      </c>
      <c r="BQ87" s="105">
        <f t="shared" si="138"/>
        <v>22.303030303030301</v>
      </c>
      <c r="BR87" s="105">
        <f t="shared" si="139"/>
        <v>20.444444444444443</v>
      </c>
      <c r="BS87" s="105">
        <f t="shared" si="140"/>
        <v>18.871794871794872</v>
      </c>
      <c r="BT87" s="105">
        <f t="shared" si="141"/>
        <v>17.523809523809522</v>
      </c>
      <c r="BU87" s="105">
        <f t="shared" si="142"/>
        <v>16.355555555555554</v>
      </c>
      <c r="BV87" s="105">
        <f t="shared" si="143"/>
        <v>15.333333333333334</v>
      </c>
      <c r="BW87" s="121"/>
      <c r="BX87" s="105">
        <f t="shared" si="145"/>
        <v>92</v>
      </c>
      <c r="BY87" s="105">
        <f t="shared" si="146"/>
        <v>61.333333333333329</v>
      </c>
      <c r="BZ87" s="105">
        <f t="shared" si="147"/>
        <v>46</v>
      </c>
      <c r="CA87" s="105">
        <f t="shared" si="148"/>
        <v>36.800000000000004</v>
      </c>
      <c r="CB87" s="105">
        <f t="shared" si="149"/>
        <v>30.666666666666664</v>
      </c>
      <c r="CC87" s="105">
        <f t="shared" si="150"/>
        <v>26.285714285714285</v>
      </c>
      <c r="CD87" s="105">
        <f t="shared" si="151"/>
        <v>23</v>
      </c>
      <c r="CE87" s="105">
        <f t="shared" si="152"/>
        <v>20.444444444444443</v>
      </c>
      <c r="CF87" s="105">
        <f t="shared" si="153"/>
        <v>18.400000000000002</v>
      </c>
      <c r="CG87" s="105">
        <f t="shared" si="154"/>
        <v>16.727272727272727</v>
      </c>
      <c r="CH87" s="105">
        <f t="shared" si="155"/>
        <v>15.333333333333332</v>
      </c>
      <c r="CI87" s="105">
        <f t="shared" si="156"/>
        <v>14.153846153846155</v>
      </c>
      <c r="CJ87" s="105">
        <f t="shared" si="157"/>
        <v>13.142857142857142</v>
      </c>
      <c r="CK87" s="105">
        <f t="shared" si="158"/>
        <v>12.266666666666666</v>
      </c>
      <c r="CL87" s="105">
        <f t="shared" si="159"/>
        <v>11.5</v>
      </c>
    </row>
    <row r="88" spans="9:90">
      <c r="I88" s="105">
        <v>93</v>
      </c>
      <c r="J88" s="105">
        <f t="shared" si="85"/>
        <v>1488</v>
      </c>
      <c r="K88" s="105">
        <f t="shared" si="86"/>
        <v>744</v>
      </c>
      <c r="L88" s="105">
        <f t="shared" si="87"/>
        <v>496</v>
      </c>
      <c r="M88" s="105">
        <f t="shared" si="88"/>
        <v>372</v>
      </c>
      <c r="N88" s="105">
        <f t="shared" si="89"/>
        <v>297.60000000000002</v>
      </c>
      <c r="O88" s="105">
        <f t="shared" si="90"/>
        <v>248</v>
      </c>
      <c r="P88" s="105">
        <f t="shared" si="91"/>
        <v>212.57142857142856</v>
      </c>
      <c r="Q88" s="105">
        <f t="shared" si="92"/>
        <v>186</v>
      </c>
      <c r="R88" s="105">
        <f t="shared" si="93"/>
        <v>165.33333333333331</v>
      </c>
      <c r="S88" s="105">
        <f t="shared" si="94"/>
        <v>148.80000000000001</v>
      </c>
      <c r="T88" s="105">
        <f t="shared" si="95"/>
        <v>135.27272727272728</v>
      </c>
      <c r="U88" s="105">
        <f t="shared" si="96"/>
        <v>124</v>
      </c>
      <c r="V88" s="105">
        <f t="shared" si="97"/>
        <v>114.46153846153847</v>
      </c>
      <c r="W88" s="105">
        <f t="shared" si="98"/>
        <v>106.28571428571428</v>
      </c>
      <c r="X88" s="105">
        <f t="shared" si="99"/>
        <v>99.2</v>
      </c>
      <c r="Y88" s="105">
        <f t="shared" si="100"/>
        <v>93</v>
      </c>
      <c r="AA88" s="121"/>
      <c r="AB88" s="120"/>
      <c r="AC88" s="120"/>
      <c r="AD88" s="120"/>
      <c r="AE88" s="105">
        <f t="shared" si="102"/>
        <v>148.80000000000001</v>
      </c>
      <c r="AF88" s="105">
        <f t="shared" si="103"/>
        <v>124</v>
      </c>
      <c r="AG88" s="105">
        <f t="shared" si="104"/>
        <v>106.28571428571428</v>
      </c>
      <c r="AH88" s="105">
        <f t="shared" si="105"/>
        <v>93</v>
      </c>
      <c r="AI88" s="105">
        <f t="shared" si="106"/>
        <v>82.666666666666657</v>
      </c>
      <c r="AJ88" s="105">
        <f t="shared" si="107"/>
        <v>74.400000000000006</v>
      </c>
      <c r="AK88" s="105">
        <f t="shared" si="108"/>
        <v>67.63636363636364</v>
      </c>
      <c r="AL88" s="105">
        <f t="shared" si="109"/>
        <v>62</v>
      </c>
      <c r="AM88" s="105">
        <f t="shared" si="110"/>
        <v>57.230769230769234</v>
      </c>
      <c r="AN88" s="105">
        <f t="shared" si="111"/>
        <v>53.142857142857139</v>
      </c>
      <c r="AO88" s="105">
        <f t="shared" si="112"/>
        <v>49.6</v>
      </c>
      <c r="AP88" s="105">
        <f t="shared" si="113"/>
        <v>46.5</v>
      </c>
      <c r="AQ88" s="121"/>
      <c r="AR88" s="120"/>
      <c r="AS88" s="105">
        <f t="shared" si="115"/>
        <v>124</v>
      </c>
      <c r="AT88" s="105">
        <f t="shared" si="116"/>
        <v>93</v>
      </c>
      <c r="AU88" s="105">
        <f t="shared" si="117"/>
        <v>74.400000000000006</v>
      </c>
      <c r="AV88" s="105">
        <f t="shared" si="118"/>
        <v>62</v>
      </c>
      <c r="AW88" s="105">
        <f t="shared" si="119"/>
        <v>53.142857142857139</v>
      </c>
      <c r="AX88" s="105">
        <f t="shared" si="120"/>
        <v>46.5</v>
      </c>
      <c r="AY88" s="105">
        <f t="shared" si="121"/>
        <v>41.333333333333329</v>
      </c>
      <c r="AZ88" s="105">
        <f t="shared" si="122"/>
        <v>37.200000000000003</v>
      </c>
      <c r="BA88" s="105">
        <f t="shared" si="123"/>
        <v>33.81818181818182</v>
      </c>
      <c r="BB88" s="105">
        <f t="shared" si="124"/>
        <v>31</v>
      </c>
      <c r="BC88" s="105">
        <f t="shared" si="125"/>
        <v>28.615384615384617</v>
      </c>
      <c r="BD88" s="105">
        <f t="shared" si="126"/>
        <v>26.571428571428569</v>
      </c>
      <c r="BE88" s="105">
        <f t="shared" si="127"/>
        <v>24.8</v>
      </c>
      <c r="BF88" s="110">
        <f t="shared" si="128"/>
        <v>23.25</v>
      </c>
      <c r="BG88" s="120"/>
      <c r="BH88" s="105">
        <f t="shared" si="129"/>
        <v>124</v>
      </c>
      <c r="BI88" s="105">
        <f t="shared" si="130"/>
        <v>82.666666666666671</v>
      </c>
      <c r="BJ88" s="105">
        <f t="shared" si="131"/>
        <v>62</v>
      </c>
      <c r="BK88" s="105">
        <f t="shared" si="132"/>
        <v>49.6</v>
      </c>
      <c r="BL88" s="105">
        <f t="shared" si="133"/>
        <v>41.333333333333336</v>
      </c>
      <c r="BM88" s="105">
        <f t="shared" si="134"/>
        <v>35.428571428571423</v>
      </c>
      <c r="BN88" s="105">
        <f t="shared" si="135"/>
        <v>31</v>
      </c>
      <c r="BO88" s="105">
        <f t="shared" si="136"/>
        <v>27.555555555555554</v>
      </c>
      <c r="BP88" s="105">
        <f t="shared" si="137"/>
        <v>24.8</v>
      </c>
      <c r="BQ88" s="105">
        <f t="shared" si="138"/>
        <v>22.545454545454547</v>
      </c>
      <c r="BR88" s="105">
        <f t="shared" si="139"/>
        <v>20.666666666666668</v>
      </c>
      <c r="BS88" s="105">
        <f t="shared" si="140"/>
        <v>19.076923076923077</v>
      </c>
      <c r="BT88" s="105">
        <f t="shared" si="141"/>
        <v>17.714285714285712</v>
      </c>
      <c r="BU88" s="105">
        <f t="shared" si="142"/>
        <v>16.533333333333335</v>
      </c>
      <c r="BV88" s="105">
        <f t="shared" si="143"/>
        <v>15.5</v>
      </c>
      <c r="BW88" s="121"/>
      <c r="BX88" s="105">
        <f t="shared" si="145"/>
        <v>93</v>
      </c>
      <c r="BY88" s="105">
        <f t="shared" si="146"/>
        <v>62</v>
      </c>
      <c r="BZ88" s="105">
        <f t="shared" si="147"/>
        <v>46.5</v>
      </c>
      <c r="CA88" s="105">
        <f t="shared" si="148"/>
        <v>37.200000000000003</v>
      </c>
      <c r="CB88" s="105">
        <f t="shared" si="149"/>
        <v>31</v>
      </c>
      <c r="CC88" s="105">
        <f t="shared" si="150"/>
        <v>26.571428571428569</v>
      </c>
      <c r="CD88" s="105">
        <f t="shared" si="151"/>
        <v>23.25</v>
      </c>
      <c r="CE88" s="105">
        <f t="shared" si="152"/>
        <v>20.666666666666664</v>
      </c>
      <c r="CF88" s="105">
        <f t="shared" si="153"/>
        <v>18.600000000000001</v>
      </c>
      <c r="CG88" s="105">
        <f t="shared" si="154"/>
        <v>16.90909090909091</v>
      </c>
      <c r="CH88" s="105">
        <f t="shared" si="155"/>
        <v>15.5</v>
      </c>
      <c r="CI88" s="105">
        <f t="shared" si="156"/>
        <v>14.307692307692308</v>
      </c>
      <c r="CJ88" s="105">
        <f t="shared" si="157"/>
        <v>13.285714285714285</v>
      </c>
      <c r="CK88" s="105">
        <f t="shared" si="158"/>
        <v>12.4</v>
      </c>
      <c r="CL88" s="105">
        <f t="shared" si="159"/>
        <v>11.625</v>
      </c>
    </row>
    <row r="89" spans="9:90">
      <c r="I89" s="105">
        <v>94</v>
      </c>
      <c r="J89" s="105">
        <f t="shared" si="85"/>
        <v>1504</v>
      </c>
      <c r="K89" s="105">
        <f t="shared" si="86"/>
        <v>752</v>
      </c>
      <c r="L89" s="105">
        <f t="shared" si="87"/>
        <v>501.33333333333331</v>
      </c>
      <c r="M89" s="105">
        <f t="shared" si="88"/>
        <v>376</v>
      </c>
      <c r="N89" s="105">
        <f t="shared" si="89"/>
        <v>300.8</v>
      </c>
      <c r="O89" s="105">
        <f t="shared" si="90"/>
        <v>250.66666666666666</v>
      </c>
      <c r="P89" s="105">
        <f t="shared" si="91"/>
        <v>214.85714285714283</v>
      </c>
      <c r="Q89" s="105">
        <f t="shared" si="92"/>
        <v>188</v>
      </c>
      <c r="R89" s="105">
        <f t="shared" si="93"/>
        <v>167.11111111111111</v>
      </c>
      <c r="S89" s="105">
        <f t="shared" si="94"/>
        <v>150.4</v>
      </c>
      <c r="T89" s="105">
        <f t="shared" si="95"/>
        <v>136.72727272727272</v>
      </c>
      <c r="U89" s="105">
        <f t="shared" si="96"/>
        <v>125.33333333333333</v>
      </c>
      <c r="V89" s="105">
        <f t="shared" si="97"/>
        <v>115.69230769230769</v>
      </c>
      <c r="W89" s="105">
        <f t="shared" si="98"/>
        <v>107.42857142857142</v>
      </c>
      <c r="X89" s="105">
        <f t="shared" si="99"/>
        <v>100.26666666666667</v>
      </c>
      <c r="Y89" s="105">
        <f t="shared" si="100"/>
        <v>94</v>
      </c>
      <c r="AA89" s="121"/>
      <c r="AB89" s="120"/>
      <c r="AC89" s="120"/>
      <c r="AD89" s="120"/>
      <c r="AE89" s="105">
        <f t="shared" si="102"/>
        <v>150.4</v>
      </c>
      <c r="AF89" s="105">
        <f t="shared" si="103"/>
        <v>125.33333333333333</v>
      </c>
      <c r="AG89" s="105">
        <f t="shared" si="104"/>
        <v>107.42857142857142</v>
      </c>
      <c r="AH89" s="105">
        <f t="shared" si="105"/>
        <v>94</v>
      </c>
      <c r="AI89" s="105">
        <f t="shared" si="106"/>
        <v>83.555555555555557</v>
      </c>
      <c r="AJ89" s="105">
        <f t="shared" si="107"/>
        <v>75.2</v>
      </c>
      <c r="AK89" s="105">
        <f t="shared" si="108"/>
        <v>68.36363636363636</v>
      </c>
      <c r="AL89" s="105">
        <f t="shared" si="109"/>
        <v>62.666666666666664</v>
      </c>
      <c r="AM89" s="105">
        <f t="shared" si="110"/>
        <v>57.846153846153847</v>
      </c>
      <c r="AN89" s="105">
        <f t="shared" si="111"/>
        <v>53.714285714285708</v>
      </c>
      <c r="AO89" s="105">
        <f t="shared" si="112"/>
        <v>50.133333333333333</v>
      </c>
      <c r="AP89" s="105">
        <f t="shared" si="113"/>
        <v>47</v>
      </c>
      <c r="AQ89" s="121"/>
      <c r="AR89" s="120"/>
      <c r="AS89" s="105">
        <f t="shared" si="115"/>
        <v>125.33333333333333</v>
      </c>
      <c r="AT89" s="105">
        <f t="shared" si="116"/>
        <v>94</v>
      </c>
      <c r="AU89" s="105">
        <f t="shared" si="117"/>
        <v>75.2</v>
      </c>
      <c r="AV89" s="105">
        <f t="shared" si="118"/>
        <v>62.666666666666664</v>
      </c>
      <c r="AW89" s="105">
        <f t="shared" si="119"/>
        <v>53.714285714285708</v>
      </c>
      <c r="AX89" s="105">
        <f t="shared" si="120"/>
        <v>47</v>
      </c>
      <c r="AY89" s="105">
        <f t="shared" si="121"/>
        <v>41.777777777777779</v>
      </c>
      <c r="AZ89" s="105">
        <f t="shared" si="122"/>
        <v>37.6</v>
      </c>
      <c r="BA89" s="105">
        <f t="shared" si="123"/>
        <v>34.18181818181818</v>
      </c>
      <c r="BB89" s="105">
        <f t="shared" si="124"/>
        <v>31.333333333333332</v>
      </c>
      <c r="BC89" s="105">
        <f t="shared" si="125"/>
        <v>28.923076923076923</v>
      </c>
      <c r="BD89" s="105">
        <f t="shared" si="126"/>
        <v>26.857142857142854</v>
      </c>
      <c r="BE89" s="105">
        <f t="shared" si="127"/>
        <v>25.066666666666666</v>
      </c>
      <c r="BF89" s="110">
        <f t="shared" si="128"/>
        <v>23.5</v>
      </c>
      <c r="BG89" s="120"/>
      <c r="BH89" s="105">
        <f t="shared" si="129"/>
        <v>125.33333333333333</v>
      </c>
      <c r="BI89" s="105">
        <f t="shared" si="130"/>
        <v>83.555555555555557</v>
      </c>
      <c r="BJ89" s="105">
        <f t="shared" si="131"/>
        <v>62.666666666666664</v>
      </c>
      <c r="BK89" s="105">
        <f t="shared" si="132"/>
        <v>50.133333333333333</v>
      </c>
      <c r="BL89" s="105">
        <f t="shared" si="133"/>
        <v>41.777777777777779</v>
      </c>
      <c r="BM89" s="105">
        <f t="shared" si="134"/>
        <v>35.809523809523803</v>
      </c>
      <c r="BN89" s="105">
        <f t="shared" si="135"/>
        <v>31.333333333333332</v>
      </c>
      <c r="BO89" s="105">
        <f t="shared" si="136"/>
        <v>27.851851851851851</v>
      </c>
      <c r="BP89" s="105">
        <f t="shared" si="137"/>
        <v>25.066666666666666</v>
      </c>
      <c r="BQ89" s="105">
        <f t="shared" si="138"/>
        <v>22.787878787878785</v>
      </c>
      <c r="BR89" s="105">
        <f t="shared" si="139"/>
        <v>20.888888888888889</v>
      </c>
      <c r="BS89" s="105">
        <f t="shared" si="140"/>
        <v>19.282051282051281</v>
      </c>
      <c r="BT89" s="105">
        <f t="shared" si="141"/>
        <v>17.904761904761902</v>
      </c>
      <c r="BU89" s="105">
        <f t="shared" si="142"/>
        <v>16.711111111111112</v>
      </c>
      <c r="BV89" s="105">
        <f t="shared" si="143"/>
        <v>15.666666666666666</v>
      </c>
      <c r="BW89" s="121"/>
      <c r="BX89" s="105">
        <f t="shared" si="145"/>
        <v>94</v>
      </c>
      <c r="BY89" s="105">
        <f t="shared" si="146"/>
        <v>62.666666666666664</v>
      </c>
      <c r="BZ89" s="105">
        <f t="shared" si="147"/>
        <v>47</v>
      </c>
      <c r="CA89" s="105">
        <f t="shared" si="148"/>
        <v>37.6</v>
      </c>
      <c r="CB89" s="105">
        <f t="shared" si="149"/>
        <v>31.333333333333332</v>
      </c>
      <c r="CC89" s="105">
        <f t="shared" si="150"/>
        <v>26.857142857142854</v>
      </c>
      <c r="CD89" s="105">
        <f t="shared" si="151"/>
        <v>23.5</v>
      </c>
      <c r="CE89" s="105">
        <f t="shared" si="152"/>
        <v>20.888888888888889</v>
      </c>
      <c r="CF89" s="105">
        <f t="shared" si="153"/>
        <v>18.8</v>
      </c>
      <c r="CG89" s="105">
        <f t="shared" si="154"/>
        <v>17.09090909090909</v>
      </c>
      <c r="CH89" s="105">
        <f t="shared" si="155"/>
        <v>15.666666666666666</v>
      </c>
      <c r="CI89" s="105">
        <f t="shared" si="156"/>
        <v>14.461538461538462</v>
      </c>
      <c r="CJ89" s="105">
        <f t="shared" si="157"/>
        <v>13.428571428571427</v>
      </c>
      <c r="CK89" s="105">
        <f t="shared" si="158"/>
        <v>12.533333333333333</v>
      </c>
      <c r="CL89" s="105">
        <f t="shared" si="159"/>
        <v>11.75</v>
      </c>
    </row>
    <row r="90" spans="9:90">
      <c r="I90" s="105">
        <v>95</v>
      </c>
      <c r="J90" s="105">
        <f t="shared" si="85"/>
        <v>1520</v>
      </c>
      <c r="K90" s="105">
        <f t="shared" si="86"/>
        <v>760</v>
      </c>
      <c r="L90" s="105">
        <f t="shared" si="87"/>
        <v>506.66666666666663</v>
      </c>
      <c r="M90" s="105">
        <f t="shared" si="88"/>
        <v>380</v>
      </c>
      <c r="N90" s="105">
        <f t="shared" si="89"/>
        <v>304</v>
      </c>
      <c r="O90" s="105">
        <f t="shared" si="90"/>
        <v>253.33333333333331</v>
      </c>
      <c r="P90" s="105">
        <f t="shared" si="91"/>
        <v>217.14285714285714</v>
      </c>
      <c r="Q90" s="105">
        <f t="shared" si="92"/>
        <v>190</v>
      </c>
      <c r="R90" s="105">
        <f t="shared" si="93"/>
        <v>168.88888888888889</v>
      </c>
      <c r="S90" s="105">
        <f t="shared" si="94"/>
        <v>152</v>
      </c>
      <c r="T90" s="105">
        <f t="shared" si="95"/>
        <v>138.18181818181819</v>
      </c>
      <c r="U90" s="105">
        <f t="shared" si="96"/>
        <v>126.66666666666666</v>
      </c>
      <c r="V90" s="105">
        <f t="shared" si="97"/>
        <v>116.92307692307693</v>
      </c>
      <c r="W90" s="105">
        <f t="shared" si="98"/>
        <v>108.57142857142857</v>
      </c>
      <c r="X90" s="105">
        <f t="shared" si="99"/>
        <v>101.33333333333333</v>
      </c>
      <c r="Y90" s="105">
        <f t="shared" si="100"/>
        <v>95</v>
      </c>
      <c r="AA90" s="121"/>
      <c r="AB90" s="120"/>
      <c r="AC90" s="120"/>
      <c r="AD90" s="120"/>
      <c r="AE90" s="105">
        <f t="shared" si="102"/>
        <v>152</v>
      </c>
      <c r="AF90" s="105">
        <f t="shared" si="103"/>
        <v>126.66666666666666</v>
      </c>
      <c r="AG90" s="105">
        <f t="shared" si="104"/>
        <v>108.57142857142857</v>
      </c>
      <c r="AH90" s="105">
        <f t="shared" si="105"/>
        <v>95</v>
      </c>
      <c r="AI90" s="105">
        <f t="shared" si="106"/>
        <v>84.444444444444443</v>
      </c>
      <c r="AJ90" s="105">
        <f t="shared" si="107"/>
        <v>76</v>
      </c>
      <c r="AK90" s="105">
        <f t="shared" si="108"/>
        <v>69.090909090909093</v>
      </c>
      <c r="AL90" s="105">
        <f t="shared" si="109"/>
        <v>63.333333333333329</v>
      </c>
      <c r="AM90" s="105">
        <f t="shared" si="110"/>
        <v>58.461538461538467</v>
      </c>
      <c r="AN90" s="105">
        <f t="shared" si="111"/>
        <v>54.285714285714285</v>
      </c>
      <c r="AO90" s="105">
        <f t="shared" si="112"/>
        <v>50.666666666666664</v>
      </c>
      <c r="AP90" s="105">
        <f t="shared" si="113"/>
        <v>47.5</v>
      </c>
      <c r="AQ90" s="121"/>
      <c r="AR90" s="120"/>
      <c r="AS90" s="105">
        <f t="shared" si="115"/>
        <v>126.66666666666666</v>
      </c>
      <c r="AT90" s="105">
        <f t="shared" si="116"/>
        <v>95</v>
      </c>
      <c r="AU90" s="105">
        <f t="shared" si="117"/>
        <v>76</v>
      </c>
      <c r="AV90" s="105">
        <f t="shared" si="118"/>
        <v>63.333333333333329</v>
      </c>
      <c r="AW90" s="105">
        <f t="shared" si="119"/>
        <v>54.285714285714285</v>
      </c>
      <c r="AX90" s="105">
        <f t="shared" si="120"/>
        <v>47.5</v>
      </c>
      <c r="AY90" s="105">
        <f t="shared" si="121"/>
        <v>42.222222222222221</v>
      </c>
      <c r="AZ90" s="105">
        <f t="shared" si="122"/>
        <v>38</v>
      </c>
      <c r="BA90" s="105">
        <f t="shared" si="123"/>
        <v>34.545454545454547</v>
      </c>
      <c r="BB90" s="105">
        <f t="shared" si="124"/>
        <v>31.666666666666664</v>
      </c>
      <c r="BC90" s="105">
        <f t="shared" si="125"/>
        <v>29.230769230769234</v>
      </c>
      <c r="BD90" s="105">
        <f t="shared" si="126"/>
        <v>27.142857142857142</v>
      </c>
      <c r="BE90" s="105">
        <f t="shared" si="127"/>
        <v>25.333333333333332</v>
      </c>
      <c r="BF90" s="110">
        <f t="shared" si="128"/>
        <v>23.75</v>
      </c>
      <c r="BG90" s="120"/>
      <c r="BH90" s="105">
        <f t="shared" si="129"/>
        <v>126.66666666666667</v>
      </c>
      <c r="BI90" s="105">
        <f t="shared" si="130"/>
        <v>84.444444444444443</v>
      </c>
      <c r="BJ90" s="105">
        <f t="shared" si="131"/>
        <v>63.333333333333336</v>
      </c>
      <c r="BK90" s="105">
        <f t="shared" si="132"/>
        <v>50.666666666666664</v>
      </c>
      <c r="BL90" s="105">
        <f t="shared" si="133"/>
        <v>42.222222222222221</v>
      </c>
      <c r="BM90" s="105">
        <f t="shared" si="134"/>
        <v>36.19047619047619</v>
      </c>
      <c r="BN90" s="105">
        <f t="shared" si="135"/>
        <v>31.666666666666668</v>
      </c>
      <c r="BO90" s="105">
        <f t="shared" si="136"/>
        <v>28.148148148148149</v>
      </c>
      <c r="BP90" s="105">
        <f t="shared" si="137"/>
        <v>25.333333333333332</v>
      </c>
      <c r="BQ90" s="105">
        <f t="shared" si="138"/>
        <v>23.030303030303031</v>
      </c>
      <c r="BR90" s="105">
        <f t="shared" si="139"/>
        <v>21.111111111111111</v>
      </c>
      <c r="BS90" s="105">
        <f t="shared" si="140"/>
        <v>19.487179487179489</v>
      </c>
      <c r="BT90" s="105">
        <f t="shared" si="141"/>
        <v>18.095238095238095</v>
      </c>
      <c r="BU90" s="105">
        <f t="shared" si="142"/>
        <v>16.888888888888889</v>
      </c>
      <c r="BV90" s="105">
        <f t="shared" si="143"/>
        <v>15.833333333333334</v>
      </c>
      <c r="BW90" s="121"/>
      <c r="BX90" s="105">
        <f t="shared" si="145"/>
        <v>95</v>
      </c>
      <c r="BY90" s="105">
        <f t="shared" si="146"/>
        <v>63.333333333333329</v>
      </c>
      <c r="BZ90" s="105">
        <f t="shared" si="147"/>
        <v>47.5</v>
      </c>
      <c r="CA90" s="105">
        <f t="shared" si="148"/>
        <v>38</v>
      </c>
      <c r="CB90" s="105">
        <f t="shared" si="149"/>
        <v>31.666666666666664</v>
      </c>
      <c r="CC90" s="105">
        <f t="shared" si="150"/>
        <v>27.142857142857142</v>
      </c>
      <c r="CD90" s="105">
        <f t="shared" si="151"/>
        <v>23.75</v>
      </c>
      <c r="CE90" s="105">
        <f t="shared" si="152"/>
        <v>21.111111111111111</v>
      </c>
      <c r="CF90" s="105">
        <f t="shared" si="153"/>
        <v>19</v>
      </c>
      <c r="CG90" s="105">
        <f t="shared" si="154"/>
        <v>17.272727272727273</v>
      </c>
      <c r="CH90" s="105">
        <f t="shared" si="155"/>
        <v>15.833333333333332</v>
      </c>
      <c r="CI90" s="105">
        <f t="shared" si="156"/>
        <v>14.615384615384617</v>
      </c>
      <c r="CJ90" s="105">
        <f t="shared" si="157"/>
        <v>13.571428571428571</v>
      </c>
      <c r="CK90" s="105">
        <f t="shared" si="158"/>
        <v>12.666666666666666</v>
      </c>
      <c r="CL90" s="105">
        <f t="shared" si="159"/>
        <v>11.875</v>
      </c>
    </row>
    <row r="91" spans="9:90">
      <c r="I91" s="105">
        <v>96</v>
      </c>
      <c r="J91" s="105">
        <f t="shared" si="85"/>
        <v>1536</v>
      </c>
      <c r="K91" s="105">
        <f t="shared" si="86"/>
        <v>768</v>
      </c>
      <c r="L91" s="105">
        <f t="shared" si="87"/>
        <v>512</v>
      </c>
      <c r="M91" s="105">
        <f t="shared" si="88"/>
        <v>384</v>
      </c>
      <c r="N91" s="105">
        <f t="shared" si="89"/>
        <v>307.20000000000005</v>
      </c>
      <c r="O91" s="105">
        <f t="shared" si="90"/>
        <v>256</v>
      </c>
      <c r="P91" s="105">
        <f t="shared" si="91"/>
        <v>219.42857142857142</v>
      </c>
      <c r="Q91" s="105">
        <f t="shared" si="92"/>
        <v>192</v>
      </c>
      <c r="R91" s="105">
        <f t="shared" si="93"/>
        <v>170.66666666666666</v>
      </c>
      <c r="S91" s="105">
        <f t="shared" si="94"/>
        <v>153.60000000000002</v>
      </c>
      <c r="T91" s="105">
        <f t="shared" si="95"/>
        <v>139.63636363636363</v>
      </c>
      <c r="U91" s="105">
        <f t="shared" si="96"/>
        <v>128</v>
      </c>
      <c r="V91" s="105">
        <f t="shared" si="97"/>
        <v>118.15384615384616</v>
      </c>
      <c r="W91" s="105">
        <f t="shared" si="98"/>
        <v>109.71428571428571</v>
      </c>
      <c r="X91" s="105">
        <f t="shared" si="99"/>
        <v>102.4</v>
      </c>
      <c r="Y91" s="105">
        <f t="shared" si="100"/>
        <v>96</v>
      </c>
      <c r="AA91" s="121"/>
      <c r="AB91" s="120"/>
      <c r="AC91" s="120"/>
      <c r="AD91" s="120"/>
      <c r="AE91" s="105">
        <f t="shared" si="102"/>
        <v>153.60000000000002</v>
      </c>
      <c r="AF91" s="105">
        <f t="shared" si="103"/>
        <v>128</v>
      </c>
      <c r="AG91" s="105">
        <f t="shared" si="104"/>
        <v>109.71428571428571</v>
      </c>
      <c r="AH91" s="105">
        <f t="shared" si="105"/>
        <v>96</v>
      </c>
      <c r="AI91" s="105">
        <f t="shared" si="106"/>
        <v>85.333333333333329</v>
      </c>
      <c r="AJ91" s="105">
        <f t="shared" si="107"/>
        <v>76.800000000000011</v>
      </c>
      <c r="AK91" s="105">
        <f t="shared" si="108"/>
        <v>69.818181818181813</v>
      </c>
      <c r="AL91" s="105">
        <f t="shared" si="109"/>
        <v>64</v>
      </c>
      <c r="AM91" s="105">
        <f t="shared" si="110"/>
        <v>59.07692307692308</v>
      </c>
      <c r="AN91" s="105">
        <f t="shared" si="111"/>
        <v>54.857142857142854</v>
      </c>
      <c r="AO91" s="105">
        <f t="shared" si="112"/>
        <v>51.2</v>
      </c>
      <c r="AP91" s="105">
        <f t="shared" si="113"/>
        <v>48</v>
      </c>
      <c r="AQ91" s="121"/>
      <c r="AR91" s="120"/>
      <c r="AS91" s="105">
        <f t="shared" si="115"/>
        <v>128</v>
      </c>
      <c r="AT91" s="105">
        <f t="shared" si="116"/>
        <v>96</v>
      </c>
      <c r="AU91" s="105">
        <f t="shared" si="117"/>
        <v>76.800000000000011</v>
      </c>
      <c r="AV91" s="105">
        <f t="shared" si="118"/>
        <v>64</v>
      </c>
      <c r="AW91" s="105">
        <f t="shared" si="119"/>
        <v>54.857142857142854</v>
      </c>
      <c r="AX91" s="105">
        <f t="shared" si="120"/>
        <v>48</v>
      </c>
      <c r="AY91" s="105">
        <f t="shared" si="121"/>
        <v>42.666666666666664</v>
      </c>
      <c r="AZ91" s="105">
        <f t="shared" si="122"/>
        <v>38.400000000000006</v>
      </c>
      <c r="BA91" s="105">
        <f t="shared" si="123"/>
        <v>34.909090909090907</v>
      </c>
      <c r="BB91" s="105">
        <f t="shared" si="124"/>
        <v>32</v>
      </c>
      <c r="BC91" s="105">
        <f t="shared" si="125"/>
        <v>29.53846153846154</v>
      </c>
      <c r="BD91" s="105">
        <f t="shared" si="126"/>
        <v>27.428571428571427</v>
      </c>
      <c r="BE91" s="105">
        <f t="shared" si="127"/>
        <v>25.6</v>
      </c>
      <c r="BF91" s="110">
        <f t="shared" si="128"/>
        <v>24</v>
      </c>
      <c r="BG91" s="120"/>
      <c r="BH91" s="105">
        <f t="shared" si="129"/>
        <v>128</v>
      </c>
      <c r="BI91" s="105">
        <f t="shared" si="130"/>
        <v>85.333333333333329</v>
      </c>
      <c r="BJ91" s="105">
        <f t="shared" si="131"/>
        <v>64</v>
      </c>
      <c r="BK91" s="105">
        <f t="shared" si="132"/>
        <v>51.20000000000001</v>
      </c>
      <c r="BL91" s="105">
        <f t="shared" si="133"/>
        <v>42.666666666666664</v>
      </c>
      <c r="BM91" s="105">
        <f t="shared" si="134"/>
        <v>36.571428571428569</v>
      </c>
      <c r="BN91" s="105">
        <f t="shared" si="135"/>
        <v>32</v>
      </c>
      <c r="BO91" s="105">
        <f t="shared" si="136"/>
        <v>28.444444444444443</v>
      </c>
      <c r="BP91" s="105">
        <f t="shared" si="137"/>
        <v>25.600000000000005</v>
      </c>
      <c r="BQ91" s="105">
        <f t="shared" si="138"/>
        <v>23.27272727272727</v>
      </c>
      <c r="BR91" s="105">
        <f t="shared" si="139"/>
        <v>21.333333333333332</v>
      </c>
      <c r="BS91" s="105">
        <f t="shared" si="140"/>
        <v>19.692307692307693</v>
      </c>
      <c r="BT91" s="105">
        <f t="shared" si="141"/>
        <v>18.285714285714285</v>
      </c>
      <c r="BU91" s="105">
        <f t="shared" si="142"/>
        <v>17.066666666666666</v>
      </c>
      <c r="BV91" s="105">
        <f t="shared" si="143"/>
        <v>16</v>
      </c>
      <c r="BW91" s="121"/>
      <c r="BX91" s="105">
        <f t="shared" si="145"/>
        <v>96</v>
      </c>
      <c r="BY91" s="105">
        <f t="shared" si="146"/>
        <v>64</v>
      </c>
      <c r="BZ91" s="105">
        <f t="shared" si="147"/>
        <v>48</v>
      </c>
      <c r="CA91" s="105">
        <f t="shared" si="148"/>
        <v>38.400000000000006</v>
      </c>
      <c r="CB91" s="105">
        <f t="shared" si="149"/>
        <v>32</v>
      </c>
      <c r="CC91" s="105">
        <f t="shared" si="150"/>
        <v>27.428571428571427</v>
      </c>
      <c r="CD91" s="105">
        <f t="shared" si="151"/>
        <v>24</v>
      </c>
      <c r="CE91" s="105">
        <f t="shared" si="152"/>
        <v>21.333333333333332</v>
      </c>
      <c r="CF91" s="105">
        <f t="shared" si="153"/>
        <v>19.200000000000003</v>
      </c>
      <c r="CG91" s="105">
        <f t="shared" si="154"/>
        <v>17.454545454545453</v>
      </c>
      <c r="CH91" s="105">
        <f t="shared" si="155"/>
        <v>16</v>
      </c>
      <c r="CI91" s="105">
        <f t="shared" si="156"/>
        <v>14.76923076923077</v>
      </c>
      <c r="CJ91" s="105">
        <f t="shared" si="157"/>
        <v>13.714285714285714</v>
      </c>
      <c r="CK91" s="105">
        <f t="shared" si="158"/>
        <v>12.8</v>
      </c>
      <c r="CL91" s="105">
        <f t="shared" si="159"/>
        <v>12</v>
      </c>
    </row>
    <row r="92" spans="9:90">
      <c r="I92" s="105">
        <v>97</v>
      </c>
      <c r="J92" s="105">
        <f t="shared" si="85"/>
        <v>1552</v>
      </c>
      <c r="K92" s="105">
        <f t="shared" si="86"/>
        <v>776</v>
      </c>
      <c r="L92" s="105">
        <f t="shared" si="87"/>
        <v>517.33333333333326</v>
      </c>
      <c r="M92" s="105">
        <f t="shared" si="88"/>
        <v>388</v>
      </c>
      <c r="N92" s="105">
        <f t="shared" si="89"/>
        <v>310.40000000000003</v>
      </c>
      <c r="O92" s="105">
        <f t="shared" si="90"/>
        <v>258.66666666666663</v>
      </c>
      <c r="P92" s="105">
        <f t="shared" si="91"/>
        <v>221.71428571428569</v>
      </c>
      <c r="Q92" s="105">
        <f t="shared" si="92"/>
        <v>194</v>
      </c>
      <c r="R92" s="105">
        <f t="shared" si="93"/>
        <v>172.44444444444443</v>
      </c>
      <c r="S92" s="105">
        <f t="shared" si="94"/>
        <v>155.20000000000002</v>
      </c>
      <c r="T92" s="105">
        <f t="shared" si="95"/>
        <v>141.09090909090909</v>
      </c>
      <c r="U92" s="105">
        <f t="shared" si="96"/>
        <v>129.33333333333331</v>
      </c>
      <c r="V92" s="105">
        <f t="shared" si="97"/>
        <v>119.38461538461539</v>
      </c>
      <c r="W92" s="105">
        <f t="shared" si="98"/>
        <v>110.85714285714285</v>
      </c>
      <c r="X92" s="105">
        <f t="shared" si="99"/>
        <v>103.46666666666667</v>
      </c>
      <c r="Y92" s="105">
        <f t="shared" si="100"/>
        <v>97</v>
      </c>
      <c r="AA92" s="121"/>
      <c r="AB92" s="120"/>
      <c r="AC92" s="120"/>
      <c r="AD92" s="120"/>
      <c r="AE92" s="105">
        <f t="shared" si="102"/>
        <v>155.20000000000002</v>
      </c>
      <c r="AF92" s="105">
        <f t="shared" si="103"/>
        <v>129.33333333333331</v>
      </c>
      <c r="AG92" s="105">
        <f t="shared" si="104"/>
        <v>110.85714285714285</v>
      </c>
      <c r="AH92" s="105">
        <f t="shared" si="105"/>
        <v>97</v>
      </c>
      <c r="AI92" s="105">
        <f t="shared" si="106"/>
        <v>86.222222222222214</v>
      </c>
      <c r="AJ92" s="105">
        <f t="shared" si="107"/>
        <v>77.600000000000009</v>
      </c>
      <c r="AK92" s="105">
        <f t="shared" si="108"/>
        <v>70.545454545454547</v>
      </c>
      <c r="AL92" s="105">
        <f t="shared" si="109"/>
        <v>64.666666666666657</v>
      </c>
      <c r="AM92" s="105">
        <f t="shared" si="110"/>
        <v>59.692307692307693</v>
      </c>
      <c r="AN92" s="105">
        <f t="shared" si="111"/>
        <v>55.428571428571423</v>
      </c>
      <c r="AO92" s="105">
        <f t="shared" si="112"/>
        <v>51.733333333333334</v>
      </c>
      <c r="AP92" s="105">
        <f t="shared" si="113"/>
        <v>48.5</v>
      </c>
      <c r="AQ92" s="121"/>
      <c r="AR92" s="120"/>
      <c r="AS92" s="105">
        <f t="shared" si="115"/>
        <v>129.33333333333331</v>
      </c>
      <c r="AT92" s="105">
        <f t="shared" si="116"/>
        <v>97</v>
      </c>
      <c r="AU92" s="105">
        <f t="shared" si="117"/>
        <v>77.600000000000009</v>
      </c>
      <c r="AV92" s="105">
        <f t="shared" si="118"/>
        <v>64.666666666666657</v>
      </c>
      <c r="AW92" s="105">
        <f t="shared" si="119"/>
        <v>55.428571428571423</v>
      </c>
      <c r="AX92" s="105">
        <f t="shared" si="120"/>
        <v>48.5</v>
      </c>
      <c r="AY92" s="105">
        <f t="shared" si="121"/>
        <v>43.111111111111107</v>
      </c>
      <c r="AZ92" s="105">
        <f t="shared" si="122"/>
        <v>38.800000000000004</v>
      </c>
      <c r="BA92" s="105">
        <f t="shared" si="123"/>
        <v>35.272727272727273</v>
      </c>
      <c r="BB92" s="105">
        <f t="shared" si="124"/>
        <v>32.333333333333329</v>
      </c>
      <c r="BC92" s="105">
        <f t="shared" si="125"/>
        <v>29.846153846153847</v>
      </c>
      <c r="BD92" s="105">
        <f t="shared" si="126"/>
        <v>27.714285714285712</v>
      </c>
      <c r="BE92" s="105">
        <f t="shared" si="127"/>
        <v>25.866666666666667</v>
      </c>
      <c r="BF92" s="110">
        <f t="shared" si="128"/>
        <v>24.25</v>
      </c>
      <c r="BG92" s="120"/>
      <c r="BH92" s="105">
        <f t="shared" si="129"/>
        <v>129.33333333333334</v>
      </c>
      <c r="BI92" s="105">
        <f t="shared" si="130"/>
        <v>86.222222222222214</v>
      </c>
      <c r="BJ92" s="105">
        <f t="shared" si="131"/>
        <v>64.666666666666671</v>
      </c>
      <c r="BK92" s="105">
        <f t="shared" si="132"/>
        <v>51.733333333333341</v>
      </c>
      <c r="BL92" s="105">
        <f t="shared" si="133"/>
        <v>43.111111111111107</v>
      </c>
      <c r="BM92" s="105">
        <f t="shared" si="134"/>
        <v>36.952380952380949</v>
      </c>
      <c r="BN92" s="105">
        <f t="shared" si="135"/>
        <v>32.333333333333336</v>
      </c>
      <c r="BO92" s="105">
        <f t="shared" si="136"/>
        <v>28.740740740740737</v>
      </c>
      <c r="BP92" s="105">
        <f t="shared" si="137"/>
        <v>25.866666666666671</v>
      </c>
      <c r="BQ92" s="105">
        <f t="shared" si="138"/>
        <v>23.515151515151516</v>
      </c>
      <c r="BR92" s="105">
        <f t="shared" si="139"/>
        <v>21.555555555555554</v>
      </c>
      <c r="BS92" s="105">
        <f t="shared" si="140"/>
        <v>19.897435897435898</v>
      </c>
      <c r="BT92" s="105">
        <f t="shared" si="141"/>
        <v>18.476190476190474</v>
      </c>
      <c r="BU92" s="105">
        <f t="shared" si="142"/>
        <v>17.244444444444444</v>
      </c>
      <c r="BV92" s="105">
        <f t="shared" si="143"/>
        <v>16.166666666666668</v>
      </c>
      <c r="BW92" s="121"/>
      <c r="BX92" s="105">
        <f t="shared" si="145"/>
        <v>97</v>
      </c>
      <c r="BY92" s="105">
        <f t="shared" si="146"/>
        <v>64.666666666666657</v>
      </c>
      <c r="BZ92" s="105">
        <f t="shared" si="147"/>
        <v>48.5</v>
      </c>
      <c r="CA92" s="105">
        <f t="shared" si="148"/>
        <v>38.800000000000004</v>
      </c>
      <c r="CB92" s="105">
        <f t="shared" si="149"/>
        <v>32.333333333333329</v>
      </c>
      <c r="CC92" s="105">
        <f t="shared" si="150"/>
        <v>27.714285714285712</v>
      </c>
      <c r="CD92" s="105">
        <f t="shared" si="151"/>
        <v>24.25</v>
      </c>
      <c r="CE92" s="105">
        <f t="shared" si="152"/>
        <v>21.555555555555554</v>
      </c>
      <c r="CF92" s="105">
        <f t="shared" si="153"/>
        <v>19.400000000000002</v>
      </c>
      <c r="CG92" s="105">
        <f t="shared" si="154"/>
        <v>17.636363636363637</v>
      </c>
      <c r="CH92" s="105">
        <f t="shared" si="155"/>
        <v>16.166666666666664</v>
      </c>
      <c r="CI92" s="105">
        <f t="shared" si="156"/>
        <v>14.923076923076923</v>
      </c>
      <c r="CJ92" s="105">
        <f t="shared" si="157"/>
        <v>13.857142857142856</v>
      </c>
      <c r="CK92" s="105">
        <f t="shared" si="158"/>
        <v>12.933333333333334</v>
      </c>
      <c r="CL92" s="105">
        <f t="shared" si="159"/>
        <v>12.125</v>
      </c>
    </row>
    <row r="93" spans="9:90">
      <c r="I93" s="105">
        <v>98</v>
      </c>
      <c r="J93" s="105">
        <f t="shared" si="85"/>
        <v>1568</v>
      </c>
      <c r="K93" s="105">
        <f t="shared" si="86"/>
        <v>784</v>
      </c>
      <c r="L93" s="105">
        <f t="shared" si="87"/>
        <v>522.66666666666663</v>
      </c>
      <c r="M93" s="105">
        <f t="shared" si="88"/>
        <v>392</v>
      </c>
      <c r="N93" s="105">
        <f t="shared" si="89"/>
        <v>313.60000000000002</v>
      </c>
      <c r="O93" s="105">
        <f t="shared" si="90"/>
        <v>261.33333333333331</v>
      </c>
      <c r="P93" s="105">
        <f t="shared" si="91"/>
        <v>224</v>
      </c>
      <c r="Q93" s="105">
        <f t="shared" si="92"/>
        <v>196</v>
      </c>
      <c r="R93" s="105">
        <f t="shared" si="93"/>
        <v>174.2222222222222</v>
      </c>
      <c r="S93" s="105">
        <f t="shared" si="94"/>
        <v>156.80000000000001</v>
      </c>
      <c r="T93" s="105">
        <f t="shared" si="95"/>
        <v>142.54545454545456</v>
      </c>
      <c r="U93" s="105">
        <f t="shared" si="96"/>
        <v>130.66666666666666</v>
      </c>
      <c r="V93" s="105">
        <f t="shared" si="97"/>
        <v>120.61538461538463</v>
      </c>
      <c r="W93" s="105">
        <f t="shared" si="98"/>
        <v>112</v>
      </c>
      <c r="X93" s="105">
        <f t="shared" si="99"/>
        <v>104.53333333333333</v>
      </c>
      <c r="Y93" s="105">
        <f t="shared" si="100"/>
        <v>98</v>
      </c>
      <c r="AA93" s="121"/>
      <c r="AB93" s="120"/>
      <c r="AC93" s="120"/>
      <c r="AD93" s="120"/>
      <c r="AE93" s="105">
        <f t="shared" si="102"/>
        <v>156.80000000000001</v>
      </c>
      <c r="AF93" s="105">
        <f t="shared" si="103"/>
        <v>130.66666666666666</v>
      </c>
      <c r="AG93" s="105">
        <f t="shared" si="104"/>
        <v>112</v>
      </c>
      <c r="AH93" s="105">
        <f t="shared" si="105"/>
        <v>98</v>
      </c>
      <c r="AI93" s="105">
        <f t="shared" si="106"/>
        <v>87.1111111111111</v>
      </c>
      <c r="AJ93" s="105">
        <f t="shared" si="107"/>
        <v>78.400000000000006</v>
      </c>
      <c r="AK93" s="105">
        <f t="shared" si="108"/>
        <v>71.27272727272728</v>
      </c>
      <c r="AL93" s="105">
        <f t="shared" si="109"/>
        <v>65.333333333333329</v>
      </c>
      <c r="AM93" s="105">
        <f t="shared" si="110"/>
        <v>60.307692307692314</v>
      </c>
      <c r="AN93" s="105">
        <f t="shared" si="111"/>
        <v>56</v>
      </c>
      <c r="AO93" s="105">
        <f t="shared" si="112"/>
        <v>52.266666666666666</v>
      </c>
      <c r="AP93" s="105">
        <f t="shared" si="113"/>
        <v>49</v>
      </c>
      <c r="AQ93" s="121"/>
      <c r="AR93" s="120"/>
      <c r="AS93" s="105">
        <f t="shared" si="115"/>
        <v>130.66666666666666</v>
      </c>
      <c r="AT93" s="105">
        <f t="shared" si="116"/>
        <v>98</v>
      </c>
      <c r="AU93" s="105">
        <f t="shared" si="117"/>
        <v>78.400000000000006</v>
      </c>
      <c r="AV93" s="105">
        <f t="shared" si="118"/>
        <v>65.333333333333329</v>
      </c>
      <c r="AW93" s="105">
        <f t="shared" si="119"/>
        <v>56</v>
      </c>
      <c r="AX93" s="105">
        <f t="shared" si="120"/>
        <v>49</v>
      </c>
      <c r="AY93" s="105">
        <f t="shared" si="121"/>
        <v>43.55555555555555</v>
      </c>
      <c r="AZ93" s="105">
        <f t="shared" si="122"/>
        <v>39.200000000000003</v>
      </c>
      <c r="BA93" s="105">
        <f t="shared" si="123"/>
        <v>35.63636363636364</v>
      </c>
      <c r="BB93" s="105">
        <f t="shared" si="124"/>
        <v>32.666666666666664</v>
      </c>
      <c r="BC93" s="105">
        <f t="shared" si="125"/>
        <v>30.153846153846157</v>
      </c>
      <c r="BD93" s="105">
        <f t="shared" si="126"/>
        <v>28</v>
      </c>
      <c r="BE93" s="105">
        <f t="shared" si="127"/>
        <v>26.133333333333333</v>
      </c>
      <c r="BF93" s="110">
        <f t="shared" si="128"/>
        <v>24.5</v>
      </c>
      <c r="BG93" s="120"/>
      <c r="BH93" s="105">
        <f t="shared" si="129"/>
        <v>130.66666666666666</v>
      </c>
      <c r="BI93" s="105">
        <f t="shared" si="130"/>
        <v>87.1111111111111</v>
      </c>
      <c r="BJ93" s="105">
        <f t="shared" si="131"/>
        <v>65.333333333333329</v>
      </c>
      <c r="BK93" s="105">
        <f t="shared" si="132"/>
        <v>52.266666666666673</v>
      </c>
      <c r="BL93" s="105">
        <f t="shared" si="133"/>
        <v>43.55555555555555</v>
      </c>
      <c r="BM93" s="105">
        <f t="shared" si="134"/>
        <v>37.333333333333336</v>
      </c>
      <c r="BN93" s="105">
        <f t="shared" si="135"/>
        <v>32.666666666666664</v>
      </c>
      <c r="BO93" s="105">
        <f t="shared" si="136"/>
        <v>29.037037037037035</v>
      </c>
      <c r="BP93" s="105">
        <f t="shared" si="137"/>
        <v>26.133333333333336</v>
      </c>
      <c r="BQ93" s="105">
        <f t="shared" si="138"/>
        <v>23.757575757575761</v>
      </c>
      <c r="BR93" s="105">
        <f t="shared" si="139"/>
        <v>21.777777777777775</v>
      </c>
      <c r="BS93" s="105">
        <f t="shared" si="140"/>
        <v>20.102564102564106</v>
      </c>
      <c r="BT93" s="105">
        <f t="shared" si="141"/>
        <v>18.666666666666668</v>
      </c>
      <c r="BU93" s="105">
        <f t="shared" si="142"/>
        <v>17.422222222222221</v>
      </c>
      <c r="BV93" s="105">
        <f t="shared" si="143"/>
        <v>16.333333333333332</v>
      </c>
      <c r="BW93" s="121"/>
      <c r="BX93" s="105">
        <f t="shared" si="145"/>
        <v>98</v>
      </c>
      <c r="BY93" s="105">
        <f t="shared" si="146"/>
        <v>65.333333333333329</v>
      </c>
      <c r="BZ93" s="105">
        <f t="shared" si="147"/>
        <v>49</v>
      </c>
      <c r="CA93" s="105">
        <f t="shared" si="148"/>
        <v>39.200000000000003</v>
      </c>
      <c r="CB93" s="105">
        <f t="shared" si="149"/>
        <v>32.666666666666664</v>
      </c>
      <c r="CC93" s="105">
        <f t="shared" si="150"/>
        <v>28</v>
      </c>
      <c r="CD93" s="105">
        <f t="shared" si="151"/>
        <v>24.5</v>
      </c>
      <c r="CE93" s="105">
        <f t="shared" si="152"/>
        <v>21.777777777777775</v>
      </c>
      <c r="CF93" s="105">
        <f t="shared" si="153"/>
        <v>19.600000000000001</v>
      </c>
      <c r="CG93" s="105">
        <f t="shared" si="154"/>
        <v>17.81818181818182</v>
      </c>
      <c r="CH93" s="105">
        <f t="shared" si="155"/>
        <v>16.333333333333332</v>
      </c>
      <c r="CI93" s="105">
        <f t="shared" si="156"/>
        <v>15.076923076923078</v>
      </c>
      <c r="CJ93" s="105">
        <f t="shared" si="157"/>
        <v>14</v>
      </c>
      <c r="CK93" s="105">
        <f t="shared" si="158"/>
        <v>13.066666666666666</v>
      </c>
      <c r="CL93" s="105">
        <f t="shared" si="159"/>
        <v>12.25</v>
      </c>
    </row>
    <row r="94" spans="9:90">
      <c r="I94" s="105">
        <v>99</v>
      </c>
      <c r="J94" s="105">
        <f t="shared" si="85"/>
        <v>1584</v>
      </c>
      <c r="K94" s="105">
        <f t="shared" si="86"/>
        <v>792</v>
      </c>
      <c r="L94" s="105">
        <f t="shared" si="87"/>
        <v>528</v>
      </c>
      <c r="M94" s="105">
        <f t="shared" si="88"/>
        <v>396</v>
      </c>
      <c r="N94" s="105">
        <f t="shared" si="89"/>
        <v>316.8</v>
      </c>
      <c r="O94" s="105">
        <f t="shared" si="90"/>
        <v>264</v>
      </c>
      <c r="P94" s="105">
        <f t="shared" si="91"/>
        <v>226.28571428571428</v>
      </c>
      <c r="Q94" s="105">
        <f t="shared" si="92"/>
        <v>198</v>
      </c>
      <c r="R94" s="105">
        <f t="shared" si="93"/>
        <v>176</v>
      </c>
      <c r="S94" s="105">
        <f t="shared" si="94"/>
        <v>158.4</v>
      </c>
      <c r="T94" s="105">
        <f t="shared" si="95"/>
        <v>144</v>
      </c>
      <c r="U94" s="105">
        <f t="shared" si="96"/>
        <v>132</v>
      </c>
      <c r="V94" s="105">
        <f t="shared" si="97"/>
        <v>121.84615384615385</v>
      </c>
      <c r="W94" s="105">
        <f t="shared" si="98"/>
        <v>113.14285714285714</v>
      </c>
      <c r="X94" s="105">
        <f t="shared" si="99"/>
        <v>105.6</v>
      </c>
      <c r="Y94" s="105">
        <f t="shared" si="100"/>
        <v>99</v>
      </c>
      <c r="AA94" s="121"/>
      <c r="AB94" s="120"/>
      <c r="AC94" s="120"/>
      <c r="AD94" s="120"/>
      <c r="AE94" s="105">
        <f t="shared" si="102"/>
        <v>158.4</v>
      </c>
      <c r="AF94" s="105">
        <f t="shared" si="103"/>
        <v>132</v>
      </c>
      <c r="AG94" s="105">
        <f t="shared" si="104"/>
        <v>113.14285714285714</v>
      </c>
      <c r="AH94" s="105">
        <f t="shared" si="105"/>
        <v>99</v>
      </c>
      <c r="AI94" s="105">
        <f t="shared" si="106"/>
        <v>88</v>
      </c>
      <c r="AJ94" s="105">
        <f t="shared" si="107"/>
        <v>79.2</v>
      </c>
      <c r="AK94" s="105">
        <f t="shared" si="108"/>
        <v>72</v>
      </c>
      <c r="AL94" s="105">
        <f t="shared" si="109"/>
        <v>66</v>
      </c>
      <c r="AM94" s="105">
        <f t="shared" si="110"/>
        <v>60.923076923076927</v>
      </c>
      <c r="AN94" s="105">
        <f t="shared" si="111"/>
        <v>56.571428571428569</v>
      </c>
      <c r="AO94" s="105">
        <f t="shared" si="112"/>
        <v>52.8</v>
      </c>
      <c r="AP94" s="105">
        <f t="shared" si="113"/>
        <v>49.5</v>
      </c>
      <c r="AQ94" s="121"/>
      <c r="AR94" s="120"/>
      <c r="AS94" s="105">
        <f t="shared" si="115"/>
        <v>132</v>
      </c>
      <c r="AT94" s="105">
        <f t="shared" si="116"/>
        <v>99</v>
      </c>
      <c r="AU94" s="105">
        <f t="shared" si="117"/>
        <v>79.2</v>
      </c>
      <c r="AV94" s="105">
        <f t="shared" si="118"/>
        <v>66</v>
      </c>
      <c r="AW94" s="105">
        <f t="shared" si="119"/>
        <v>56.571428571428569</v>
      </c>
      <c r="AX94" s="105">
        <f t="shared" si="120"/>
        <v>49.5</v>
      </c>
      <c r="AY94" s="105">
        <f t="shared" si="121"/>
        <v>44</v>
      </c>
      <c r="AZ94" s="105">
        <f t="shared" si="122"/>
        <v>39.6</v>
      </c>
      <c r="BA94" s="105">
        <f t="shared" si="123"/>
        <v>36</v>
      </c>
      <c r="BB94" s="105">
        <f t="shared" si="124"/>
        <v>33</v>
      </c>
      <c r="BC94" s="105">
        <f t="shared" si="125"/>
        <v>30.461538461538463</v>
      </c>
      <c r="BD94" s="105">
        <f t="shared" si="126"/>
        <v>28.285714285714285</v>
      </c>
      <c r="BE94" s="105">
        <f t="shared" si="127"/>
        <v>26.4</v>
      </c>
      <c r="BF94" s="110">
        <f t="shared" si="128"/>
        <v>24.75</v>
      </c>
      <c r="BG94" s="120"/>
      <c r="BH94" s="105">
        <f t="shared" si="129"/>
        <v>132</v>
      </c>
      <c r="BI94" s="105">
        <f t="shared" si="130"/>
        <v>88</v>
      </c>
      <c r="BJ94" s="105">
        <f t="shared" si="131"/>
        <v>66</v>
      </c>
      <c r="BK94" s="105">
        <f t="shared" si="132"/>
        <v>52.800000000000004</v>
      </c>
      <c r="BL94" s="105">
        <f t="shared" si="133"/>
        <v>44</v>
      </c>
      <c r="BM94" s="105">
        <f t="shared" si="134"/>
        <v>37.714285714285715</v>
      </c>
      <c r="BN94" s="105">
        <f t="shared" si="135"/>
        <v>33</v>
      </c>
      <c r="BO94" s="105">
        <f t="shared" si="136"/>
        <v>29.333333333333332</v>
      </c>
      <c r="BP94" s="105">
        <f t="shared" si="137"/>
        <v>26.400000000000002</v>
      </c>
      <c r="BQ94" s="105">
        <f t="shared" si="138"/>
        <v>24</v>
      </c>
      <c r="BR94" s="105">
        <f t="shared" si="139"/>
        <v>22</v>
      </c>
      <c r="BS94" s="105">
        <f t="shared" si="140"/>
        <v>20.30769230769231</v>
      </c>
      <c r="BT94" s="105">
        <f t="shared" si="141"/>
        <v>18.857142857142858</v>
      </c>
      <c r="BU94" s="105">
        <f t="shared" si="142"/>
        <v>17.599999999999998</v>
      </c>
      <c r="BV94" s="105">
        <f t="shared" si="143"/>
        <v>16.5</v>
      </c>
      <c r="BW94" s="121"/>
      <c r="BX94" s="105">
        <f t="shared" si="145"/>
        <v>99</v>
      </c>
      <c r="BY94" s="105">
        <f t="shared" si="146"/>
        <v>66</v>
      </c>
      <c r="BZ94" s="105">
        <f t="shared" si="147"/>
        <v>49.5</v>
      </c>
      <c r="CA94" s="105">
        <f t="shared" si="148"/>
        <v>39.6</v>
      </c>
      <c r="CB94" s="105">
        <f t="shared" si="149"/>
        <v>33</v>
      </c>
      <c r="CC94" s="105">
        <f t="shared" si="150"/>
        <v>28.285714285714285</v>
      </c>
      <c r="CD94" s="105">
        <f t="shared" si="151"/>
        <v>24.75</v>
      </c>
      <c r="CE94" s="105">
        <f t="shared" si="152"/>
        <v>22</v>
      </c>
      <c r="CF94" s="105">
        <f t="shared" si="153"/>
        <v>19.8</v>
      </c>
      <c r="CG94" s="105">
        <f t="shared" si="154"/>
        <v>18</v>
      </c>
      <c r="CH94" s="105">
        <f t="shared" si="155"/>
        <v>16.5</v>
      </c>
      <c r="CI94" s="105">
        <f t="shared" si="156"/>
        <v>15.230769230769232</v>
      </c>
      <c r="CJ94" s="105">
        <f t="shared" si="157"/>
        <v>14.142857142857142</v>
      </c>
      <c r="CK94" s="105">
        <f t="shared" si="158"/>
        <v>13.2</v>
      </c>
      <c r="CL94" s="105">
        <f t="shared" si="159"/>
        <v>12.375</v>
      </c>
    </row>
    <row r="95" spans="9:90">
      <c r="I95" s="105">
        <v>100</v>
      </c>
      <c r="J95" s="105">
        <f t="shared" si="85"/>
        <v>1600</v>
      </c>
      <c r="K95" s="105">
        <f t="shared" si="86"/>
        <v>800</v>
      </c>
      <c r="L95" s="105">
        <f t="shared" si="87"/>
        <v>533.33333333333326</v>
      </c>
      <c r="M95" s="105">
        <f t="shared" si="88"/>
        <v>400</v>
      </c>
      <c r="N95" s="105">
        <f t="shared" si="89"/>
        <v>320</v>
      </c>
      <c r="O95" s="105">
        <f t="shared" si="90"/>
        <v>266.66666666666663</v>
      </c>
      <c r="P95" s="105">
        <f t="shared" si="91"/>
        <v>228.57142857142856</v>
      </c>
      <c r="Q95" s="105">
        <f t="shared" si="92"/>
        <v>200</v>
      </c>
      <c r="R95" s="105">
        <f t="shared" si="93"/>
        <v>177.77777777777777</v>
      </c>
      <c r="S95" s="105">
        <f t="shared" si="94"/>
        <v>160</v>
      </c>
      <c r="T95" s="105">
        <f t="shared" si="95"/>
        <v>145.45454545454547</v>
      </c>
      <c r="U95" s="105">
        <f t="shared" si="96"/>
        <v>133.33333333333331</v>
      </c>
      <c r="V95" s="105">
        <f t="shared" si="97"/>
        <v>123.07692307692308</v>
      </c>
      <c r="W95" s="105">
        <f t="shared" si="98"/>
        <v>114.28571428571428</v>
      </c>
      <c r="X95" s="105">
        <f t="shared" si="99"/>
        <v>106.66666666666667</v>
      </c>
      <c r="Y95" s="105">
        <f t="shared" si="100"/>
        <v>100</v>
      </c>
      <c r="AA95" s="121"/>
      <c r="AB95" s="120"/>
      <c r="AC95" s="120"/>
      <c r="AD95" s="120"/>
      <c r="AE95" s="105">
        <f t="shared" si="102"/>
        <v>160</v>
      </c>
      <c r="AF95" s="105">
        <f t="shared" si="103"/>
        <v>133.33333333333331</v>
      </c>
      <c r="AG95" s="105">
        <f t="shared" si="104"/>
        <v>114.28571428571428</v>
      </c>
      <c r="AH95" s="105">
        <f t="shared" si="105"/>
        <v>100</v>
      </c>
      <c r="AI95" s="105">
        <f t="shared" si="106"/>
        <v>88.888888888888886</v>
      </c>
      <c r="AJ95" s="105">
        <f t="shared" si="107"/>
        <v>80</v>
      </c>
      <c r="AK95" s="105">
        <f t="shared" si="108"/>
        <v>72.727272727272734</v>
      </c>
      <c r="AL95" s="105">
        <f t="shared" si="109"/>
        <v>66.666666666666657</v>
      </c>
      <c r="AM95" s="105">
        <f t="shared" si="110"/>
        <v>61.53846153846154</v>
      </c>
      <c r="AN95" s="105">
        <f t="shared" si="111"/>
        <v>57.142857142857139</v>
      </c>
      <c r="AO95" s="105">
        <f t="shared" si="112"/>
        <v>53.333333333333336</v>
      </c>
      <c r="AP95" s="105">
        <f t="shared" si="113"/>
        <v>50</v>
      </c>
      <c r="AQ95" s="121"/>
      <c r="AR95" s="120"/>
      <c r="AS95" s="105">
        <f t="shared" si="115"/>
        <v>133.33333333333331</v>
      </c>
      <c r="AT95" s="105">
        <f t="shared" si="116"/>
        <v>100</v>
      </c>
      <c r="AU95" s="105">
        <f t="shared" si="117"/>
        <v>80</v>
      </c>
      <c r="AV95" s="105">
        <f t="shared" si="118"/>
        <v>66.666666666666657</v>
      </c>
      <c r="AW95" s="105">
        <f t="shared" si="119"/>
        <v>57.142857142857139</v>
      </c>
      <c r="AX95" s="105">
        <f t="shared" si="120"/>
        <v>50</v>
      </c>
      <c r="AY95" s="105">
        <f t="shared" si="121"/>
        <v>44.444444444444443</v>
      </c>
      <c r="AZ95" s="105">
        <f t="shared" si="122"/>
        <v>40</v>
      </c>
      <c r="BA95" s="105">
        <f t="shared" si="123"/>
        <v>36.363636363636367</v>
      </c>
      <c r="BB95" s="105">
        <f t="shared" si="124"/>
        <v>33.333333333333329</v>
      </c>
      <c r="BC95" s="105">
        <f t="shared" si="125"/>
        <v>30.76923076923077</v>
      </c>
      <c r="BD95" s="105">
        <f t="shared" si="126"/>
        <v>28.571428571428569</v>
      </c>
      <c r="BE95" s="105">
        <f t="shared" si="127"/>
        <v>26.666666666666668</v>
      </c>
      <c r="BF95" s="110">
        <f t="shared" si="128"/>
        <v>25</v>
      </c>
      <c r="BG95" s="120"/>
      <c r="BH95" s="105">
        <f t="shared" si="129"/>
        <v>133.33333333333334</v>
      </c>
      <c r="BI95" s="105">
        <f t="shared" si="130"/>
        <v>88.888888888888872</v>
      </c>
      <c r="BJ95" s="105">
        <f t="shared" si="131"/>
        <v>66.666666666666671</v>
      </c>
      <c r="BK95" s="105">
        <f t="shared" si="132"/>
        <v>53.333333333333336</v>
      </c>
      <c r="BL95" s="105">
        <f t="shared" si="133"/>
        <v>44.444444444444436</v>
      </c>
      <c r="BM95" s="105">
        <f t="shared" si="134"/>
        <v>38.095238095238095</v>
      </c>
      <c r="BN95" s="105">
        <f t="shared" si="135"/>
        <v>33.333333333333336</v>
      </c>
      <c r="BO95" s="105">
        <f t="shared" si="136"/>
        <v>29.62962962962963</v>
      </c>
      <c r="BP95" s="105">
        <f t="shared" si="137"/>
        <v>26.666666666666668</v>
      </c>
      <c r="BQ95" s="105">
        <f t="shared" si="138"/>
        <v>24.242424242424246</v>
      </c>
      <c r="BR95" s="105">
        <f t="shared" si="139"/>
        <v>22.222222222222218</v>
      </c>
      <c r="BS95" s="105">
        <f t="shared" si="140"/>
        <v>20.512820512820515</v>
      </c>
      <c r="BT95" s="105">
        <f t="shared" si="141"/>
        <v>19.047619047619047</v>
      </c>
      <c r="BU95" s="105">
        <f t="shared" si="142"/>
        <v>17.777777777777779</v>
      </c>
      <c r="BV95" s="105">
        <f t="shared" si="143"/>
        <v>16.666666666666668</v>
      </c>
      <c r="BW95" s="121"/>
      <c r="BX95" s="105">
        <f t="shared" si="145"/>
        <v>100</v>
      </c>
      <c r="BY95" s="105">
        <f t="shared" si="146"/>
        <v>66.666666666666657</v>
      </c>
      <c r="BZ95" s="105">
        <f t="shared" si="147"/>
        <v>50</v>
      </c>
      <c r="CA95" s="105">
        <f t="shared" si="148"/>
        <v>40</v>
      </c>
      <c r="CB95" s="105">
        <f t="shared" si="149"/>
        <v>33.333333333333329</v>
      </c>
      <c r="CC95" s="105">
        <f t="shared" si="150"/>
        <v>28.571428571428569</v>
      </c>
      <c r="CD95" s="105">
        <f t="shared" si="151"/>
        <v>25</v>
      </c>
      <c r="CE95" s="105">
        <f t="shared" si="152"/>
        <v>22.222222222222221</v>
      </c>
      <c r="CF95" s="105">
        <f t="shared" si="153"/>
        <v>20</v>
      </c>
      <c r="CG95" s="105">
        <f t="shared" si="154"/>
        <v>18.181818181818183</v>
      </c>
      <c r="CH95" s="105">
        <f t="shared" si="155"/>
        <v>16.666666666666664</v>
      </c>
      <c r="CI95" s="105">
        <f t="shared" si="156"/>
        <v>15.384615384615385</v>
      </c>
      <c r="CJ95" s="105">
        <f t="shared" si="157"/>
        <v>14.285714285714285</v>
      </c>
      <c r="CK95" s="105">
        <f t="shared" si="158"/>
        <v>13.333333333333334</v>
      </c>
      <c r="CL95" s="105">
        <f t="shared" si="159"/>
        <v>12.5</v>
      </c>
    </row>
    <row r="96" spans="9:90">
      <c r="I96" s="105">
        <v>101</v>
      </c>
      <c r="J96" s="105">
        <f t="shared" si="85"/>
        <v>1616</v>
      </c>
      <c r="K96" s="105">
        <f t="shared" si="86"/>
        <v>808</v>
      </c>
      <c r="L96" s="105">
        <f t="shared" si="87"/>
        <v>538.66666666666663</v>
      </c>
      <c r="M96" s="105">
        <f t="shared" si="88"/>
        <v>404</v>
      </c>
      <c r="N96" s="105">
        <f t="shared" si="89"/>
        <v>323.20000000000005</v>
      </c>
      <c r="O96" s="105">
        <f t="shared" si="90"/>
        <v>269.33333333333331</v>
      </c>
      <c r="P96" s="105">
        <f t="shared" si="91"/>
        <v>230.85714285714283</v>
      </c>
      <c r="Q96" s="105">
        <f t="shared" si="92"/>
        <v>202</v>
      </c>
      <c r="R96" s="105">
        <f t="shared" si="93"/>
        <v>179.55555555555554</v>
      </c>
      <c r="S96" s="105">
        <f t="shared" si="94"/>
        <v>161.60000000000002</v>
      </c>
      <c r="T96" s="105">
        <f t="shared" si="95"/>
        <v>146.90909090909091</v>
      </c>
      <c r="U96" s="105">
        <f t="shared" si="96"/>
        <v>134.66666666666666</v>
      </c>
      <c r="V96" s="105">
        <f t="shared" si="97"/>
        <v>124.30769230769232</v>
      </c>
      <c r="W96" s="105">
        <f t="shared" si="98"/>
        <v>115.42857142857142</v>
      </c>
      <c r="X96" s="105">
        <f t="shared" si="99"/>
        <v>107.73333333333333</v>
      </c>
      <c r="Y96" s="105">
        <f t="shared" si="100"/>
        <v>101</v>
      </c>
      <c r="AA96" s="121"/>
      <c r="AB96" s="120"/>
      <c r="AC96" s="120"/>
      <c r="AD96" s="120"/>
      <c r="AE96" s="105">
        <f t="shared" si="102"/>
        <v>161.60000000000002</v>
      </c>
      <c r="AF96" s="105">
        <f t="shared" si="103"/>
        <v>134.66666666666666</v>
      </c>
      <c r="AG96" s="105">
        <f t="shared" si="104"/>
        <v>115.42857142857142</v>
      </c>
      <c r="AH96" s="105">
        <f t="shared" si="105"/>
        <v>101</v>
      </c>
      <c r="AI96" s="105">
        <f t="shared" si="106"/>
        <v>89.777777777777771</v>
      </c>
      <c r="AJ96" s="105">
        <f t="shared" si="107"/>
        <v>80.800000000000011</v>
      </c>
      <c r="AK96" s="105">
        <f t="shared" si="108"/>
        <v>73.454545454545453</v>
      </c>
      <c r="AL96" s="105">
        <f t="shared" si="109"/>
        <v>67.333333333333329</v>
      </c>
      <c r="AM96" s="105">
        <f t="shared" si="110"/>
        <v>62.15384615384616</v>
      </c>
      <c r="AN96" s="105">
        <f t="shared" si="111"/>
        <v>57.714285714285708</v>
      </c>
      <c r="AO96" s="105">
        <f t="shared" si="112"/>
        <v>53.866666666666667</v>
      </c>
      <c r="AP96" s="105">
        <f t="shared" si="113"/>
        <v>50.5</v>
      </c>
      <c r="AQ96" s="121"/>
      <c r="AR96" s="120"/>
      <c r="AS96" s="105">
        <f t="shared" si="115"/>
        <v>134.66666666666666</v>
      </c>
      <c r="AT96" s="105">
        <f t="shared" si="116"/>
        <v>101</v>
      </c>
      <c r="AU96" s="105">
        <f t="shared" si="117"/>
        <v>80.800000000000011</v>
      </c>
      <c r="AV96" s="105">
        <f t="shared" si="118"/>
        <v>67.333333333333329</v>
      </c>
      <c r="AW96" s="105">
        <f t="shared" si="119"/>
        <v>57.714285714285708</v>
      </c>
      <c r="AX96" s="105">
        <f t="shared" si="120"/>
        <v>50.5</v>
      </c>
      <c r="AY96" s="105">
        <f t="shared" si="121"/>
        <v>44.888888888888886</v>
      </c>
      <c r="AZ96" s="105">
        <f t="shared" si="122"/>
        <v>40.400000000000006</v>
      </c>
      <c r="BA96" s="105">
        <f t="shared" si="123"/>
        <v>36.727272727272727</v>
      </c>
      <c r="BB96" s="105">
        <f t="shared" si="124"/>
        <v>33.666666666666664</v>
      </c>
      <c r="BC96" s="105">
        <f t="shared" si="125"/>
        <v>31.07692307692308</v>
      </c>
      <c r="BD96" s="105">
        <f t="shared" si="126"/>
        <v>28.857142857142854</v>
      </c>
      <c r="BE96" s="105">
        <f t="shared" si="127"/>
        <v>26.933333333333334</v>
      </c>
      <c r="BF96" s="110">
        <f t="shared" si="128"/>
        <v>25.25</v>
      </c>
      <c r="BG96" s="120"/>
      <c r="BH96" s="105">
        <f t="shared" si="129"/>
        <v>134.66666666666666</v>
      </c>
      <c r="BI96" s="105">
        <f t="shared" si="130"/>
        <v>89.777777777777771</v>
      </c>
      <c r="BJ96" s="105">
        <f t="shared" si="131"/>
        <v>67.333333333333329</v>
      </c>
      <c r="BK96" s="105">
        <f t="shared" si="132"/>
        <v>53.866666666666674</v>
      </c>
      <c r="BL96" s="105">
        <f t="shared" si="133"/>
        <v>44.888888888888886</v>
      </c>
      <c r="BM96" s="105">
        <f t="shared" si="134"/>
        <v>38.476190476190474</v>
      </c>
      <c r="BN96" s="105">
        <f t="shared" si="135"/>
        <v>33.666666666666664</v>
      </c>
      <c r="BO96" s="105">
        <f t="shared" si="136"/>
        <v>29.925925925925924</v>
      </c>
      <c r="BP96" s="105">
        <f t="shared" si="137"/>
        <v>26.933333333333337</v>
      </c>
      <c r="BQ96" s="105">
        <f t="shared" si="138"/>
        <v>24.484848484848484</v>
      </c>
      <c r="BR96" s="105">
        <f t="shared" si="139"/>
        <v>22.444444444444443</v>
      </c>
      <c r="BS96" s="105">
        <f t="shared" si="140"/>
        <v>20.717948717948719</v>
      </c>
      <c r="BT96" s="105">
        <f t="shared" si="141"/>
        <v>19.238095238095237</v>
      </c>
      <c r="BU96" s="105">
        <f t="shared" si="142"/>
        <v>17.955555555555556</v>
      </c>
      <c r="BV96" s="105">
        <f t="shared" si="143"/>
        <v>16.833333333333332</v>
      </c>
      <c r="BW96" s="121"/>
      <c r="BX96" s="105">
        <f t="shared" si="145"/>
        <v>101</v>
      </c>
      <c r="BY96" s="105">
        <f t="shared" si="146"/>
        <v>67.333333333333329</v>
      </c>
      <c r="BZ96" s="105">
        <f t="shared" si="147"/>
        <v>50.5</v>
      </c>
      <c r="CA96" s="105">
        <f t="shared" si="148"/>
        <v>40.400000000000006</v>
      </c>
      <c r="CB96" s="105">
        <f t="shared" si="149"/>
        <v>33.666666666666664</v>
      </c>
      <c r="CC96" s="105">
        <f t="shared" si="150"/>
        <v>28.857142857142854</v>
      </c>
      <c r="CD96" s="105">
        <f t="shared" si="151"/>
        <v>25.25</v>
      </c>
      <c r="CE96" s="105">
        <f t="shared" si="152"/>
        <v>22.444444444444443</v>
      </c>
      <c r="CF96" s="105">
        <f t="shared" si="153"/>
        <v>20.200000000000003</v>
      </c>
      <c r="CG96" s="105">
        <f t="shared" si="154"/>
        <v>18.363636363636363</v>
      </c>
      <c r="CH96" s="105">
        <f t="shared" si="155"/>
        <v>16.833333333333332</v>
      </c>
      <c r="CI96" s="105">
        <f t="shared" si="156"/>
        <v>15.53846153846154</v>
      </c>
      <c r="CJ96" s="105">
        <f t="shared" si="157"/>
        <v>14.428571428571427</v>
      </c>
      <c r="CK96" s="105">
        <f t="shared" si="158"/>
        <v>13.466666666666667</v>
      </c>
      <c r="CL96" s="105">
        <f t="shared" si="159"/>
        <v>12.625</v>
      </c>
    </row>
    <row r="97" spans="9:90">
      <c r="I97" s="105">
        <v>102</v>
      </c>
      <c r="J97" s="105">
        <f t="shared" si="85"/>
        <v>1632</v>
      </c>
      <c r="K97" s="105">
        <f t="shared" si="86"/>
        <v>816</v>
      </c>
      <c r="L97" s="105">
        <f t="shared" si="87"/>
        <v>544</v>
      </c>
      <c r="M97" s="105">
        <f t="shared" si="88"/>
        <v>408</v>
      </c>
      <c r="N97" s="105">
        <f t="shared" si="89"/>
        <v>326.40000000000003</v>
      </c>
      <c r="O97" s="105">
        <f t="shared" si="90"/>
        <v>272</v>
      </c>
      <c r="P97" s="105">
        <f t="shared" si="91"/>
        <v>233.14285714285714</v>
      </c>
      <c r="Q97" s="105">
        <f t="shared" si="92"/>
        <v>204</v>
      </c>
      <c r="R97" s="105">
        <f t="shared" si="93"/>
        <v>181.33333333333331</v>
      </c>
      <c r="S97" s="105">
        <f t="shared" si="94"/>
        <v>163.20000000000002</v>
      </c>
      <c r="T97" s="105">
        <f t="shared" si="95"/>
        <v>148.36363636363637</v>
      </c>
      <c r="U97" s="105">
        <f t="shared" si="96"/>
        <v>136</v>
      </c>
      <c r="V97" s="105">
        <f t="shared" si="97"/>
        <v>125.53846153846155</v>
      </c>
      <c r="W97" s="105">
        <f t="shared" si="98"/>
        <v>116.57142857142857</v>
      </c>
      <c r="X97" s="105">
        <f t="shared" si="99"/>
        <v>108.8</v>
      </c>
      <c r="Y97" s="105">
        <f t="shared" si="100"/>
        <v>102</v>
      </c>
      <c r="AA97" s="121"/>
      <c r="AB97" s="120"/>
      <c r="AC97" s="120"/>
      <c r="AD97" s="120"/>
      <c r="AE97" s="105">
        <f t="shared" si="102"/>
        <v>163.20000000000002</v>
      </c>
      <c r="AF97" s="105">
        <f t="shared" si="103"/>
        <v>136</v>
      </c>
      <c r="AG97" s="105">
        <f t="shared" si="104"/>
        <v>116.57142857142857</v>
      </c>
      <c r="AH97" s="105">
        <f t="shared" si="105"/>
        <v>102</v>
      </c>
      <c r="AI97" s="105">
        <f t="shared" si="106"/>
        <v>90.666666666666657</v>
      </c>
      <c r="AJ97" s="105">
        <f t="shared" si="107"/>
        <v>81.600000000000009</v>
      </c>
      <c r="AK97" s="105">
        <f t="shared" si="108"/>
        <v>74.181818181818187</v>
      </c>
      <c r="AL97" s="105">
        <f t="shared" si="109"/>
        <v>68</v>
      </c>
      <c r="AM97" s="105">
        <f t="shared" si="110"/>
        <v>62.769230769230774</v>
      </c>
      <c r="AN97" s="105">
        <f t="shared" si="111"/>
        <v>58.285714285714285</v>
      </c>
      <c r="AO97" s="105">
        <f t="shared" si="112"/>
        <v>54.4</v>
      </c>
      <c r="AP97" s="105">
        <f t="shared" si="113"/>
        <v>51</v>
      </c>
      <c r="AQ97" s="121"/>
      <c r="AR97" s="120"/>
      <c r="AS97" s="105">
        <f t="shared" si="115"/>
        <v>136</v>
      </c>
      <c r="AT97" s="105">
        <f t="shared" si="116"/>
        <v>102</v>
      </c>
      <c r="AU97" s="105">
        <f t="shared" si="117"/>
        <v>81.600000000000009</v>
      </c>
      <c r="AV97" s="105">
        <f t="shared" si="118"/>
        <v>68</v>
      </c>
      <c r="AW97" s="105">
        <f t="shared" si="119"/>
        <v>58.285714285714285</v>
      </c>
      <c r="AX97" s="105">
        <f t="shared" si="120"/>
        <v>51</v>
      </c>
      <c r="AY97" s="105">
        <f t="shared" si="121"/>
        <v>45.333333333333329</v>
      </c>
      <c r="AZ97" s="105">
        <f t="shared" si="122"/>
        <v>40.800000000000004</v>
      </c>
      <c r="BA97" s="105">
        <f t="shared" si="123"/>
        <v>37.090909090909093</v>
      </c>
      <c r="BB97" s="105">
        <f t="shared" si="124"/>
        <v>34</v>
      </c>
      <c r="BC97" s="105">
        <f t="shared" si="125"/>
        <v>31.384615384615387</v>
      </c>
      <c r="BD97" s="105">
        <f t="shared" si="126"/>
        <v>29.142857142857142</v>
      </c>
      <c r="BE97" s="105">
        <f t="shared" si="127"/>
        <v>27.2</v>
      </c>
      <c r="BF97" s="110">
        <f t="shared" si="128"/>
        <v>25.5</v>
      </c>
      <c r="BG97" s="120"/>
      <c r="BH97" s="105">
        <f t="shared" si="129"/>
        <v>136</v>
      </c>
      <c r="BI97" s="105">
        <f t="shared" si="130"/>
        <v>90.666666666666671</v>
      </c>
      <c r="BJ97" s="105">
        <f t="shared" si="131"/>
        <v>68</v>
      </c>
      <c r="BK97" s="105">
        <f t="shared" si="132"/>
        <v>54.400000000000006</v>
      </c>
      <c r="BL97" s="105">
        <f t="shared" si="133"/>
        <v>45.333333333333336</v>
      </c>
      <c r="BM97" s="105">
        <f t="shared" si="134"/>
        <v>38.857142857142854</v>
      </c>
      <c r="BN97" s="105">
        <f t="shared" si="135"/>
        <v>34</v>
      </c>
      <c r="BO97" s="105">
        <f t="shared" si="136"/>
        <v>30.222222222222218</v>
      </c>
      <c r="BP97" s="105">
        <f t="shared" si="137"/>
        <v>27.200000000000003</v>
      </c>
      <c r="BQ97" s="105">
        <f t="shared" si="138"/>
        <v>24.72727272727273</v>
      </c>
      <c r="BR97" s="105">
        <f t="shared" si="139"/>
        <v>22.666666666666668</v>
      </c>
      <c r="BS97" s="105">
        <f t="shared" si="140"/>
        <v>20.923076923076923</v>
      </c>
      <c r="BT97" s="105">
        <f t="shared" si="141"/>
        <v>19.428571428571427</v>
      </c>
      <c r="BU97" s="105">
        <f t="shared" si="142"/>
        <v>18.133333333333333</v>
      </c>
      <c r="BV97" s="105">
        <f t="shared" si="143"/>
        <v>17</v>
      </c>
      <c r="BW97" s="121"/>
      <c r="BX97" s="105">
        <f t="shared" si="145"/>
        <v>102</v>
      </c>
      <c r="BY97" s="105">
        <f t="shared" si="146"/>
        <v>68</v>
      </c>
      <c r="BZ97" s="105">
        <f t="shared" si="147"/>
        <v>51</v>
      </c>
      <c r="CA97" s="105">
        <f t="shared" si="148"/>
        <v>40.800000000000004</v>
      </c>
      <c r="CB97" s="105">
        <f t="shared" si="149"/>
        <v>34</v>
      </c>
      <c r="CC97" s="105">
        <f t="shared" si="150"/>
        <v>29.142857142857142</v>
      </c>
      <c r="CD97" s="105">
        <f t="shared" si="151"/>
        <v>25.5</v>
      </c>
      <c r="CE97" s="105">
        <f t="shared" si="152"/>
        <v>22.666666666666664</v>
      </c>
      <c r="CF97" s="105">
        <f t="shared" si="153"/>
        <v>20.400000000000002</v>
      </c>
      <c r="CG97" s="105">
        <f t="shared" si="154"/>
        <v>18.545454545454547</v>
      </c>
      <c r="CH97" s="105">
        <f t="shared" si="155"/>
        <v>17</v>
      </c>
      <c r="CI97" s="105">
        <f t="shared" si="156"/>
        <v>15.692307692307693</v>
      </c>
      <c r="CJ97" s="105">
        <f t="shared" si="157"/>
        <v>14.571428571428571</v>
      </c>
      <c r="CK97" s="105">
        <f t="shared" si="158"/>
        <v>13.6</v>
      </c>
      <c r="CL97" s="105">
        <f t="shared" si="159"/>
        <v>12.75</v>
      </c>
    </row>
    <row r="98" spans="9:90">
      <c r="I98" s="105">
        <v>103</v>
      </c>
      <c r="J98" s="105">
        <f t="shared" si="85"/>
        <v>1648</v>
      </c>
      <c r="K98" s="105">
        <f t="shared" si="86"/>
        <v>824</v>
      </c>
      <c r="L98" s="105">
        <f t="shared" si="87"/>
        <v>549.33333333333326</v>
      </c>
      <c r="M98" s="105">
        <f t="shared" si="88"/>
        <v>412</v>
      </c>
      <c r="N98" s="105">
        <f t="shared" si="89"/>
        <v>329.6</v>
      </c>
      <c r="O98" s="105">
        <f t="shared" si="90"/>
        <v>274.66666666666663</v>
      </c>
      <c r="P98" s="105">
        <f t="shared" si="91"/>
        <v>235.42857142857142</v>
      </c>
      <c r="Q98" s="105">
        <f t="shared" si="92"/>
        <v>206</v>
      </c>
      <c r="R98" s="105">
        <f t="shared" si="93"/>
        <v>183.11111111111111</v>
      </c>
      <c r="S98" s="105">
        <f t="shared" si="94"/>
        <v>164.8</v>
      </c>
      <c r="T98" s="105">
        <f t="shared" si="95"/>
        <v>149.81818181818181</v>
      </c>
      <c r="U98" s="105">
        <f t="shared" si="96"/>
        <v>137.33333333333331</v>
      </c>
      <c r="V98" s="105">
        <f t="shared" si="97"/>
        <v>126.76923076923077</v>
      </c>
      <c r="W98" s="105">
        <f t="shared" si="98"/>
        <v>117.71428571428571</v>
      </c>
      <c r="X98" s="105">
        <f t="shared" si="99"/>
        <v>109.86666666666666</v>
      </c>
      <c r="Y98" s="105">
        <f t="shared" si="100"/>
        <v>103</v>
      </c>
      <c r="AA98" s="121"/>
      <c r="AB98" s="120"/>
      <c r="AC98" s="120"/>
      <c r="AD98" s="120"/>
      <c r="AE98" s="105">
        <f t="shared" si="102"/>
        <v>164.8</v>
      </c>
      <c r="AF98" s="105">
        <f t="shared" si="103"/>
        <v>137.33333333333331</v>
      </c>
      <c r="AG98" s="105">
        <f t="shared" si="104"/>
        <v>117.71428571428571</v>
      </c>
      <c r="AH98" s="105">
        <f t="shared" si="105"/>
        <v>103</v>
      </c>
      <c r="AI98" s="105">
        <f t="shared" si="106"/>
        <v>91.555555555555557</v>
      </c>
      <c r="AJ98" s="105">
        <f t="shared" si="107"/>
        <v>82.4</v>
      </c>
      <c r="AK98" s="105">
        <f t="shared" si="108"/>
        <v>74.909090909090907</v>
      </c>
      <c r="AL98" s="105">
        <f t="shared" si="109"/>
        <v>68.666666666666657</v>
      </c>
      <c r="AM98" s="105">
        <f t="shared" si="110"/>
        <v>63.384615384615387</v>
      </c>
      <c r="AN98" s="105">
        <f t="shared" si="111"/>
        <v>58.857142857142854</v>
      </c>
      <c r="AO98" s="105">
        <f t="shared" si="112"/>
        <v>54.93333333333333</v>
      </c>
      <c r="AP98" s="105">
        <f t="shared" si="113"/>
        <v>51.5</v>
      </c>
      <c r="AQ98" s="121"/>
      <c r="AR98" s="120"/>
      <c r="AS98" s="105">
        <f t="shared" si="115"/>
        <v>137.33333333333331</v>
      </c>
      <c r="AT98" s="105">
        <f t="shared" si="116"/>
        <v>103</v>
      </c>
      <c r="AU98" s="105">
        <f t="shared" si="117"/>
        <v>82.4</v>
      </c>
      <c r="AV98" s="105">
        <f t="shared" si="118"/>
        <v>68.666666666666657</v>
      </c>
      <c r="AW98" s="105">
        <f t="shared" si="119"/>
        <v>58.857142857142854</v>
      </c>
      <c r="AX98" s="105">
        <f t="shared" si="120"/>
        <v>51.5</v>
      </c>
      <c r="AY98" s="105">
        <f t="shared" si="121"/>
        <v>45.777777777777779</v>
      </c>
      <c r="AZ98" s="105">
        <f t="shared" si="122"/>
        <v>41.2</v>
      </c>
      <c r="BA98" s="105">
        <f t="shared" si="123"/>
        <v>37.454545454545453</v>
      </c>
      <c r="BB98" s="105">
        <f t="shared" si="124"/>
        <v>34.333333333333329</v>
      </c>
      <c r="BC98" s="105">
        <f t="shared" si="125"/>
        <v>31.692307692307693</v>
      </c>
      <c r="BD98" s="105">
        <f t="shared" si="126"/>
        <v>29.428571428571427</v>
      </c>
      <c r="BE98" s="105">
        <f t="shared" si="127"/>
        <v>27.466666666666665</v>
      </c>
      <c r="BF98" s="110">
        <f t="shared" si="128"/>
        <v>25.75</v>
      </c>
      <c r="BG98" s="120"/>
      <c r="BH98" s="105">
        <f t="shared" si="129"/>
        <v>137.33333333333334</v>
      </c>
      <c r="BI98" s="105">
        <f t="shared" si="130"/>
        <v>91.555555555555543</v>
      </c>
      <c r="BJ98" s="105">
        <f t="shared" si="131"/>
        <v>68.666666666666671</v>
      </c>
      <c r="BK98" s="105">
        <f t="shared" si="132"/>
        <v>54.933333333333337</v>
      </c>
      <c r="BL98" s="105">
        <f t="shared" si="133"/>
        <v>45.777777777777771</v>
      </c>
      <c r="BM98" s="105">
        <f t="shared" si="134"/>
        <v>39.238095238095234</v>
      </c>
      <c r="BN98" s="105">
        <f t="shared" si="135"/>
        <v>34.333333333333336</v>
      </c>
      <c r="BO98" s="105">
        <f t="shared" si="136"/>
        <v>30.518518518518519</v>
      </c>
      <c r="BP98" s="105">
        <f t="shared" si="137"/>
        <v>27.466666666666669</v>
      </c>
      <c r="BQ98" s="105">
        <f t="shared" si="138"/>
        <v>24.969696969696969</v>
      </c>
      <c r="BR98" s="105">
        <f t="shared" si="139"/>
        <v>22.888888888888886</v>
      </c>
      <c r="BS98" s="105">
        <f t="shared" si="140"/>
        <v>21.128205128205128</v>
      </c>
      <c r="BT98" s="105">
        <f t="shared" si="141"/>
        <v>19.619047619047617</v>
      </c>
      <c r="BU98" s="105">
        <f t="shared" si="142"/>
        <v>18.31111111111111</v>
      </c>
      <c r="BV98" s="105">
        <f t="shared" si="143"/>
        <v>17.166666666666668</v>
      </c>
      <c r="BW98" s="121"/>
      <c r="BX98" s="105">
        <f t="shared" si="145"/>
        <v>103</v>
      </c>
      <c r="BY98" s="105">
        <f t="shared" si="146"/>
        <v>68.666666666666657</v>
      </c>
      <c r="BZ98" s="105">
        <f t="shared" si="147"/>
        <v>51.5</v>
      </c>
      <c r="CA98" s="105">
        <f t="shared" si="148"/>
        <v>41.2</v>
      </c>
      <c r="CB98" s="105">
        <f t="shared" si="149"/>
        <v>34.333333333333329</v>
      </c>
      <c r="CC98" s="105">
        <f t="shared" si="150"/>
        <v>29.428571428571427</v>
      </c>
      <c r="CD98" s="105">
        <f t="shared" si="151"/>
        <v>25.75</v>
      </c>
      <c r="CE98" s="105">
        <f t="shared" si="152"/>
        <v>22.888888888888889</v>
      </c>
      <c r="CF98" s="105">
        <f t="shared" si="153"/>
        <v>20.6</v>
      </c>
      <c r="CG98" s="105">
        <f t="shared" si="154"/>
        <v>18.727272727272727</v>
      </c>
      <c r="CH98" s="105">
        <f t="shared" si="155"/>
        <v>17.166666666666664</v>
      </c>
      <c r="CI98" s="105">
        <f t="shared" si="156"/>
        <v>15.846153846153847</v>
      </c>
      <c r="CJ98" s="105">
        <f t="shared" si="157"/>
        <v>14.714285714285714</v>
      </c>
      <c r="CK98" s="105">
        <f t="shared" si="158"/>
        <v>13.733333333333333</v>
      </c>
      <c r="CL98" s="105">
        <f t="shared" si="159"/>
        <v>12.875</v>
      </c>
    </row>
    <row r="99" spans="9:90">
      <c r="I99" s="105">
        <v>104</v>
      </c>
      <c r="J99" s="105">
        <f t="shared" si="85"/>
        <v>1664</v>
      </c>
      <c r="K99" s="105">
        <f t="shared" si="86"/>
        <v>832</v>
      </c>
      <c r="L99" s="105">
        <f t="shared" si="87"/>
        <v>554.66666666666663</v>
      </c>
      <c r="M99" s="105">
        <f t="shared" si="88"/>
        <v>416</v>
      </c>
      <c r="N99" s="105">
        <f t="shared" si="89"/>
        <v>332.8</v>
      </c>
      <c r="O99" s="105">
        <f t="shared" si="90"/>
        <v>277.33333333333331</v>
      </c>
      <c r="P99" s="105">
        <f t="shared" si="91"/>
        <v>237.71428571428569</v>
      </c>
      <c r="Q99" s="105">
        <f t="shared" si="92"/>
        <v>208</v>
      </c>
      <c r="R99" s="105">
        <f t="shared" si="93"/>
        <v>184.88888888888889</v>
      </c>
      <c r="S99" s="105">
        <f t="shared" si="94"/>
        <v>166.4</v>
      </c>
      <c r="T99" s="105">
        <f t="shared" si="95"/>
        <v>151.27272727272728</v>
      </c>
      <c r="U99" s="105">
        <f t="shared" si="96"/>
        <v>138.66666666666666</v>
      </c>
      <c r="V99" s="105">
        <f t="shared" si="97"/>
        <v>128</v>
      </c>
      <c r="W99" s="105">
        <f t="shared" si="98"/>
        <v>118.85714285714285</v>
      </c>
      <c r="X99" s="105">
        <f t="shared" si="99"/>
        <v>110.93333333333334</v>
      </c>
      <c r="Y99" s="105">
        <f t="shared" si="100"/>
        <v>104</v>
      </c>
      <c r="AA99" s="121"/>
      <c r="AB99" s="120"/>
      <c r="AC99" s="120"/>
      <c r="AD99" s="120"/>
      <c r="AE99" s="105">
        <f t="shared" si="102"/>
        <v>166.4</v>
      </c>
      <c r="AF99" s="105">
        <f t="shared" si="103"/>
        <v>138.66666666666666</v>
      </c>
      <c r="AG99" s="105">
        <f t="shared" si="104"/>
        <v>118.85714285714285</v>
      </c>
      <c r="AH99" s="105">
        <f t="shared" si="105"/>
        <v>104</v>
      </c>
      <c r="AI99" s="105">
        <f t="shared" si="106"/>
        <v>92.444444444444443</v>
      </c>
      <c r="AJ99" s="105">
        <f t="shared" si="107"/>
        <v>83.2</v>
      </c>
      <c r="AK99" s="105">
        <f t="shared" si="108"/>
        <v>75.63636363636364</v>
      </c>
      <c r="AL99" s="105">
        <f t="shared" si="109"/>
        <v>69.333333333333329</v>
      </c>
      <c r="AM99" s="105">
        <f t="shared" si="110"/>
        <v>64</v>
      </c>
      <c r="AN99" s="105">
        <f t="shared" si="111"/>
        <v>59.428571428571423</v>
      </c>
      <c r="AO99" s="105">
        <f t="shared" si="112"/>
        <v>55.466666666666669</v>
      </c>
      <c r="AP99" s="105">
        <f t="shared" si="113"/>
        <v>52</v>
      </c>
      <c r="AQ99" s="121"/>
      <c r="AR99" s="120"/>
      <c r="AS99" s="105">
        <f t="shared" si="115"/>
        <v>138.66666666666666</v>
      </c>
      <c r="AT99" s="105">
        <f t="shared" si="116"/>
        <v>104</v>
      </c>
      <c r="AU99" s="105">
        <f t="shared" si="117"/>
        <v>83.2</v>
      </c>
      <c r="AV99" s="105">
        <f t="shared" si="118"/>
        <v>69.333333333333329</v>
      </c>
      <c r="AW99" s="105">
        <f t="shared" si="119"/>
        <v>59.428571428571423</v>
      </c>
      <c r="AX99" s="105">
        <f t="shared" si="120"/>
        <v>52</v>
      </c>
      <c r="AY99" s="105">
        <f t="shared" si="121"/>
        <v>46.222222222222221</v>
      </c>
      <c r="AZ99" s="105">
        <f t="shared" si="122"/>
        <v>41.6</v>
      </c>
      <c r="BA99" s="105">
        <f t="shared" si="123"/>
        <v>37.81818181818182</v>
      </c>
      <c r="BB99" s="105">
        <f t="shared" si="124"/>
        <v>34.666666666666664</v>
      </c>
      <c r="BC99" s="105">
        <f t="shared" si="125"/>
        <v>32</v>
      </c>
      <c r="BD99" s="105">
        <f t="shared" si="126"/>
        <v>29.714285714285712</v>
      </c>
      <c r="BE99" s="105">
        <f t="shared" si="127"/>
        <v>27.733333333333334</v>
      </c>
      <c r="BF99" s="110">
        <f t="shared" si="128"/>
        <v>26</v>
      </c>
      <c r="BG99" s="120"/>
      <c r="BH99" s="105">
        <f t="shared" si="129"/>
        <v>138.66666666666666</v>
      </c>
      <c r="BI99" s="105">
        <f t="shared" si="130"/>
        <v>92.444444444444443</v>
      </c>
      <c r="BJ99" s="105">
        <f t="shared" si="131"/>
        <v>69.333333333333329</v>
      </c>
      <c r="BK99" s="105">
        <f t="shared" si="132"/>
        <v>55.466666666666669</v>
      </c>
      <c r="BL99" s="105">
        <f t="shared" si="133"/>
        <v>46.222222222222221</v>
      </c>
      <c r="BM99" s="105">
        <f t="shared" si="134"/>
        <v>39.619047619047613</v>
      </c>
      <c r="BN99" s="105">
        <f t="shared" si="135"/>
        <v>34.666666666666664</v>
      </c>
      <c r="BO99" s="105">
        <f t="shared" si="136"/>
        <v>30.814814814814813</v>
      </c>
      <c r="BP99" s="105">
        <f t="shared" si="137"/>
        <v>27.733333333333334</v>
      </c>
      <c r="BQ99" s="105">
        <f t="shared" si="138"/>
        <v>25.212121212121215</v>
      </c>
      <c r="BR99" s="105">
        <f t="shared" si="139"/>
        <v>23.111111111111111</v>
      </c>
      <c r="BS99" s="105">
        <f t="shared" si="140"/>
        <v>21.333333333333332</v>
      </c>
      <c r="BT99" s="105">
        <f t="shared" si="141"/>
        <v>19.809523809523807</v>
      </c>
      <c r="BU99" s="105">
        <f t="shared" si="142"/>
        <v>18.488888888888891</v>
      </c>
      <c r="BV99" s="105">
        <f t="shared" si="143"/>
        <v>17.333333333333332</v>
      </c>
      <c r="BW99" s="121"/>
      <c r="BX99" s="105">
        <f t="shared" si="145"/>
        <v>104</v>
      </c>
      <c r="BY99" s="105">
        <f t="shared" si="146"/>
        <v>69.333333333333329</v>
      </c>
      <c r="BZ99" s="105">
        <f t="shared" si="147"/>
        <v>52</v>
      </c>
      <c r="CA99" s="105">
        <f t="shared" si="148"/>
        <v>41.6</v>
      </c>
      <c r="CB99" s="105">
        <f t="shared" si="149"/>
        <v>34.666666666666664</v>
      </c>
      <c r="CC99" s="105">
        <f t="shared" si="150"/>
        <v>29.714285714285712</v>
      </c>
      <c r="CD99" s="105">
        <f t="shared" si="151"/>
        <v>26</v>
      </c>
      <c r="CE99" s="105">
        <f t="shared" si="152"/>
        <v>23.111111111111111</v>
      </c>
      <c r="CF99" s="105">
        <f t="shared" si="153"/>
        <v>20.8</v>
      </c>
      <c r="CG99" s="105">
        <f t="shared" si="154"/>
        <v>18.90909090909091</v>
      </c>
      <c r="CH99" s="105">
        <f t="shared" si="155"/>
        <v>17.333333333333332</v>
      </c>
      <c r="CI99" s="105">
        <f t="shared" si="156"/>
        <v>16</v>
      </c>
      <c r="CJ99" s="105">
        <f t="shared" si="157"/>
        <v>14.857142857142856</v>
      </c>
      <c r="CK99" s="105">
        <f t="shared" si="158"/>
        <v>13.866666666666667</v>
      </c>
      <c r="CL99" s="105">
        <f t="shared" si="159"/>
        <v>13</v>
      </c>
    </row>
    <row r="100" spans="9:90">
      <c r="I100" s="105">
        <v>105</v>
      </c>
      <c r="J100" s="105">
        <f t="shared" si="85"/>
        <v>1680</v>
      </c>
      <c r="K100" s="105">
        <f t="shared" si="86"/>
        <v>840</v>
      </c>
      <c r="L100" s="105">
        <f t="shared" si="87"/>
        <v>560</v>
      </c>
      <c r="M100" s="105">
        <f t="shared" si="88"/>
        <v>420</v>
      </c>
      <c r="N100" s="105">
        <f t="shared" si="89"/>
        <v>336</v>
      </c>
      <c r="O100" s="105">
        <f t="shared" si="90"/>
        <v>280</v>
      </c>
      <c r="P100" s="105">
        <f t="shared" si="91"/>
        <v>240</v>
      </c>
      <c r="Q100" s="105">
        <f t="shared" si="92"/>
        <v>210</v>
      </c>
      <c r="R100" s="105">
        <f t="shared" si="93"/>
        <v>186.66666666666666</v>
      </c>
      <c r="S100" s="105">
        <f t="shared" si="94"/>
        <v>168</v>
      </c>
      <c r="T100" s="105">
        <f t="shared" si="95"/>
        <v>152.72727272727272</v>
      </c>
      <c r="U100" s="105">
        <f t="shared" si="96"/>
        <v>140</v>
      </c>
      <c r="V100" s="105">
        <f t="shared" si="97"/>
        <v>129.23076923076923</v>
      </c>
      <c r="W100" s="105">
        <f t="shared" si="98"/>
        <v>120</v>
      </c>
      <c r="X100" s="105">
        <f t="shared" si="99"/>
        <v>112</v>
      </c>
      <c r="Y100" s="105">
        <f t="shared" si="100"/>
        <v>105</v>
      </c>
      <c r="AA100" s="121"/>
      <c r="AB100" s="120"/>
      <c r="AC100" s="120"/>
      <c r="AD100" s="120"/>
      <c r="AE100" s="105">
        <f t="shared" si="102"/>
        <v>168</v>
      </c>
      <c r="AF100" s="105">
        <f t="shared" si="103"/>
        <v>140</v>
      </c>
      <c r="AG100" s="105">
        <f t="shared" si="104"/>
        <v>120</v>
      </c>
      <c r="AH100" s="105">
        <f t="shared" si="105"/>
        <v>105</v>
      </c>
      <c r="AI100" s="105">
        <f t="shared" si="106"/>
        <v>93.333333333333329</v>
      </c>
      <c r="AJ100" s="105">
        <f t="shared" si="107"/>
        <v>84</v>
      </c>
      <c r="AK100" s="105">
        <f t="shared" si="108"/>
        <v>76.36363636363636</v>
      </c>
      <c r="AL100" s="105">
        <f t="shared" si="109"/>
        <v>70</v>
      </c>
      <c r="AM100" s="105">
        <f t="shared" si="110"/>
        <v>64.615384615384613</v>
      </c>
      <c r="AN100" s="105">
        <f t="shared" si="111"/>
        <v>60</v>
      </c>
      <c r="AO100" s="105">
        <f t="shared" si="112"/>
        <v>56</v>
      </c>
      <c r="AP100" s="105">
        <f t="shared" si="113"/>
        <v>52.5</v>
      </c>
      <c r="AQ100" s="121"/>
      <c r="AR100" s="120"/>
      <c r="AS100" s="105">
        <f t="shared" si="115"/>
        <v>140</v>
      </c>
      <c r="AT100" s="105">
        <f t="shared" si="116"/>
        <v>105</v>
      </c>
      <c r="AU100" s="105">
        <f t="shared" si="117"/>
        <v>84</v>
      </c>
      <c r="AV100" s="105">
        <f t="shared" si="118"/>
        <v>70</v>
      </c>
      <c r="AW100" s="105">
        <f t="shared" si="119"/>
        <v>60</v>
      </c>
      <c r="AX100" s="105">
        <f t="shared" si="120"/>
        <v>52.5</v>
      </c>
      <c r="AY100" s="105">
        <f t="shared" si="121"/>
        <v>46.666666666666664</v>
      </c>
      <c r="AZ100" s="105">
        <f t="shared" si="122"/>
        <v>42</v>
      </c>
      <c r="BA100" s="105">
        <f t="shared" si="123"/>
        <v>38.18181818181818</v>
      </c>
      <c r="BB100" s="105">
        <f t="shared" si="124"/>
        <v>35</v>
      </c>
      <c r="BC100" s="105">
        <f t="shared" si="125"/>
        <v>32.307692307692307</v>
      </c>
      <c r="BD100" s="105">
        <f t="shared" si="126"/>
        <v>30</v>
      </c>
      <c r="BE100" s="105">
        <f t="shared" si="127"/>
        <v>28</v>
      </c>
      <c r="BF100" s="110">
        <f t="shared" si="128"/>
        <v>26.25</v>
      </c>
      <c r="BG100" s="120"/>
      <c r="BH100" s="105">
        <f t="shared" si="129"/>
        <v>140</v>
      </c>
      <c r="BI100" s="105">
        <f t="shared" si="130"/>
        <v>93.333333333333329</v>
      </c>
      <c r="BJ100" s="105">
        <f t="shared" si="131"/>
        <v>70</v>
      </c>
      <c r="BK100" s="105">
        <f t="shared" si="132"/>
        <v>56</v>
      </c>
      <c r="BL100" s="105">
        <f t="shared" si="133"/>
        <v>46.666666666666664</v>
      </c>
      <c r="BM100" s="105">
        <f t="shared" si="134"/>
        <v>40</v>
      </c>
      <c r="BN100" s="105">
        <f t="shared" si="135"/>
        <v>35</v>
      </c>
      <c r="BO100" s="105">
        <f t="shared" si="136"/>
        <v>31.111111111111111</v>
      </c>
      <c r="BP100" s="105">
        <f t="shared" si="137"/>
        <v>28</v>
      </c>
      <c r="BQ100" s="105">
        <f t="shared" si="138"/>
        <v>25.454545454545453</v>
      </c>
      <c r="BR100" s="105">
        <f t="shared" si="139"/>
        <v>23.333333333333332</v>
      </c>
      <c r="BS100" s="105">
        <f t="shared" si="140"/>
        <v>21.538461538461537</v>
      </c>
      <c r="BT100" s="105">
        <f t="shared" si="141"/>
        <v>20</v>
      </c>
      <c r="BU100" s="105">
        <f t="shared" si="142"/>
        <v>18.666666666666668</v>
      </c>
      <c r="BV100" s="105">
        <f t="shared" si="143"/>
        <v>17.5</v>
      </c>
      <c r="BW100" s="121"/>
      <c r="BX100" s="105">
        <f t="shared" si="145"/>
        <v>105</v>
      </c>
      <c r="BY100" s="105">
        <f t="shared" si="146"/>
        <v>70</v>
      </c>
      <c r="BZ100" s="105">
        <f t="shared" si="147"/>
        <v>52.5</v>
      </c>
      <c r="CA100" s="105">
        <f t="shared" si="148"/>
        <v>42</v>
      </c>
      <c r="CB100" s="105">
        <f t="shared" si="149"/>
        <v>35</v>
      </c>
      <c r="CC100" s="105">
        <f t="shared" si="150"/>
        <v>30</v>
      </c>
      <c r="CD100" s="105">
        <f t="shared" si="151"/>
        <v>26.25</v>
      </c>
      <c r="CE100" s="105">
        <f t="shared" si="152"/>
        <v>23.333333333333332</v>
      </c>
      <c r="CF100" s="105">
        <f t="shared" si="153"/>
        <v>21</v>
      </c>
      <c r="CG100" s="105">
        <f t="shared" si="154"/>
        <v>19.09090909090909</v>
      </c>
      <c r="CH100" s="105">
        <f t="shared" si="155"/>
        <v>17.5</v>
      </c>
      <c r="CI100" s="105">
        <f t="shared" si="156"/>
        <v>16.153846153846153</v>
      </c>
      <c r="CJ100" s="105">
        <f t="shared" si="157"/>
        <v>15</v>
      </c>
      <c r="CK100" s="105">
        <f t="shared" si="158"/>
        <v>14</v>
      </c>
      <c r="CL100" s="105">
        <f t="shared" si="159"/>
        <v>13.125</v>
      </c>
    </row>
    <row r="101" spans="9:90">
      <c r="I101" s="105">
        <v>106</v>
      </c>
      <c r="J101" s="105">
        <f t="shared" si="85"/>
        <v>1696</v>
      </c>
      <c r="K101" s="105">
        <f t="shared" si="86"/>
        <v>848</v>
      </c>
      <c r="L101" s="105">
        <f t="shared" si="87"/>
        <v>565.33333333333326</v>
      </c>
      <c r="M101" s="105">
        <f t="shared" si="88"/>
        <v>424</v>
      </c>
      <c r="N101" s="105">
        <f t="shared" si="89"/>
        <v>339.20000000000005</v>
      </c>
      <c r="O101" s="105">
        <f t="shared" si="90"/>
        <v>282.66666666666663</v>
      </c>
      <c r="P101" s="105">
        <f t="shared" si="91"/>
        <v>242.28571428571428</v>
      </c>
      <c r="Q101" s="105">
        <f t="shared" si="92"/>
        <v>212</v>
      </c>
      <c r="R101" s="105">
        <f t="shared" si="93"/>
        <v>188.44444444444443</v>
      </c>
      <c r="S101" s="105">
        <f t="shared" si="94"/>
        <v>169.60000000000002</v>
      </c>
      <c r="T101" s="105">
        <f t="shared" si="95"/>
        <v>154.18181818181819</v>
      </c>
      <c r="U101" s="105">
        <f t="shared" si="96"/>
        <v>141.33333333333331</v>
      </c>
      <c r="V101" s="105">
        <f t="shared" si="97"/>
        <v>130.46153846153848</v>
      </c>
      <c r="W101" s="105">
        <f t="shared" si="98"/>
        <v>121.14285714285714</v>
      </c>
      <c r="X101" s="105">
        <f t="shared" si="99"/>
        <v>113.06666666666666</v>
      </c>
      <c r="Y101" s="105">
        <f t="shared" si="100"/>
        <v>106</v>
      </c>
      <c r="AA101" s="121"/>
      <c r="AB101" s="120"/>
      <c r="AC101" s="120"/>
      <c r="AD101" s="120"/>
      <c r="AE101" s="105">
        <f t="shared" si="102"/>
        <v>169.60000000000002</v>
      </c>
      <c r="AF101" s="105">
        <f t="shared" si="103"/>
        <v>141.33333333333331</v>
      </c>
      <c r="AG101" s="105">
        <f t="shared" si="104"/>
        <v>121.14285714285714</v>
      </c>
      <c r="AH101" s="105">
        <f t="shared" si="105"/>
        <v>106</v>
      </c>
      <c r="AI101" s="105">
        <f t="shared" si="106"/>
        <v>94.222222222222214</v>
      </c>
      <c r="AJ101" s="105">
        <f t="shared" si="107"/>
        <v>84.800000000000011</v>
      </c>
      <c r="AK101" s="105">
        <f t="shared" si="108"/>
        <v>77.090909090909093</v>
      </c>
      <c r="AL101" s="105">
        <f t="shared" si="109"/>
        <v>70.666666666666657</v>
      </c>
      <c r="AM101" s="105">
        <f t="shared" si="110"/>
        <v>65.230769230769241</v>
      </c>
      <c r="AN101" s="105">
        <f t="shared" si="111"/>
        <v>60.571428571428569</v>
      </c>
      <c r="AO101" s="105">
        <f t="shared" si="112"/>
        <v>56.533333333333331</v>
      </c>
      <c r="AP101" s="105">
        <f t="shared" si="113"/>
        <v>53</v>
      </c>
      <c r="AQ101" s="121"/>
      <c r="AR101" s="120"/>
      <c r="AS101" s="105">
        <f t="shared" si="115"/>
        <v>141.33333333333331</v>
      </c>
      <c r="AT101" s="105">
        <f t="shared" si="116"/>
        <v>106</v>
      </c>
      <c r="AU101" s="105">
        <f t="shared" si="117"/>
        <v>84.800000000000011</v>
      </c>
      <c r="AV101" s="105">
        <f t="shared" si="118"/>
        <v>70.666666666666657</v>
      </c>
      <c r="AW101" s="105">
        <f t="shared" si="119"/>
        <v>60.571428571428569</v>
      </c>
      <c r="AX101" s="105">
        <f t="shared" si="120"/>
        <v>53</v>
      </c>
      <c r="AY101" s="105">
        <f t="shared" si="121"/>
        <v>47.111111111111107</v>
      </c>
      <c r="AZ101" s="105">
        <f t="shared" si="122"/>
        <v>42.400000000000006</v>
      </c>
      <c r="BA101" s="105">
        <f t="shared" si="123"/>
        <v>38.545454545454547</v>
      </c>
      <c r="BB101" s="105">
        <f t="shared" si="124"/>
        <v>35.333333333333329</v>
      </c>
      <c r="BC101" s="105">
        <f t="shared" si="125"/>
        <v>32.61538461538462</v>
      </c>
      <c r="BD101" s="105">
        <f t="shared" si="126"/>
        <v>30.285714285714285</v>
      </c>
      <c r="BE101" s="105">
        <f t="shared" si="127"/>
        <v>28.266666666666666</v>
      </c>
      <c r="BF101" s="110">
        <f t="shared" si="128"/>
        <v>26.5</v>
      </c>
      <c r="BG101" s="120"/>
      <c r="BH101" s="105">
        <f t="shared" si="129"/>
        <v>141.33333333333334</v>
      </c>
      <c r="BI101" s="105">
        <f t="shared" si="130"/>
        <v>94.222222222222214</v>
      </c>
      <c r="BJ101" s="105">
        <f t="shared" si="131"/>
        <v>70.666666666666671</v>
      </c>
      <c r="BK101" s="105">
        <f t="shared" si="132"/>
        <v>56.533333333333339</v>
      </c>
      <c r="BL101" s="105">
        <f t="shared" si="133"/>
        <v>47.111111111111107</v>
      </c>
      <c r="BM101" s="105">
        <f t="shared" si="134"/>
        <v>40.38095238095238</v>
      </c>
      <c r="BN101" s="105">
        <f t="shared" si="135"/>
        <v>35.333333333333336</v>
      </c>
      <c r="BO101" s="105">
        <f t="shared" si="136"/>
        <v>31.407407407407405</v>
      </c>
      <c r="BP101" s="105">
        <f t="shared" si="137"/>
        <v>28.266666666666669</v>
      </c>
      <c r="BQ101" s="105">
        <f t="shared" si="138"/>
        <v>25.696969696969699</v>
      </c>
      <c r="BR101" s="105">
        <f t="shared" si="139"/>
        <v>23.555555555555554</v>
      </c>
      <c r="BS101" s="105">
        <f t="shared" si="140"/>
        <v>21.743589743589748</v>
      </c>
      <c r="BT101" s="105">
        <f t="shared" si="141"/>
        <v>20.19047619047619</v>
      </c>
      <c r="BU101" s="105">
        <f t="shared" si="142"/>
        <v>18.844444444444445</v>
      </c>
      <c r="BV101" s="105">
        <f t="shared" si="143"/>
        <v>17.666666666666668</v>
      </c>
      <c r="BW101" s="121"/>
      <c r="BX101" s="105">
        <f t="shared" si="145"/>
        <v>106</v>
      </c>
      <c r="BY101" s="105">
        <f t="shared" si="146"/>
        <v>70.666666666666657</v>
      </c>
      <c r="BZ101" s="105">
        <f t="shared" si="147"/>
        <v>53</v>
      </c>
      <c r="CA101" s="105">
        <f t="shared" si="148"/>
        <v>42.400000000000006</v>
      </c>
      <c r="CB101" s="105">
        <f t="shared" si="149"/>
        <v>35.333333333333329</v>
      </c>
      <c r="CC101" s="105">
        <f t="shared" si="150"/>
        <v>30.285714285714285</v>
      </c>
      <c r="CD101" s="105">
        <f t="shared" si="151"/>
        <v>26.5</v>
      </c>
      <c r="CE101" s="105">
        <f t="shared" si="152"/>
        <v>23.555555555555554</v>
      </c>
      <c r="CF101" s="105">
        <f t="shared" si="153"/>
        <v>21.200000000000003</v>
      </c>
      <c r="CG101" s="105">
        <f t="shared" si="154"/>
        <v>19.272727272727273</v>
      </c>
      <c r="CH101" s="105">
        <f t="shared" si="155"/>
        <v>17.666666666666664</v>
      </c>
      <c r="CI101" s="105">
        <f t="shared" si="156"/>
        <v>16.30769230769231</v>
      </c>
      <c r="CJ101" s="105">
        <f t="shared" si="157"/>
        <v>15.142857142857142</v>
      </c>
      <c r="CK101" s="105">
        <f t="shared" si="158"/>
        <v>14.133333333333333</v>
      </c>
      <c r="CL101" s="105">
        <f t="shared" si="159"/>
        <v>13.25</v>
      </c>
    </row>
    <row r="102" spans="9:90">
      <c r="I102" s="105">
        <v>107</v>
      </c>
      <c r="J102" s="105">
        <f t="shared" si="85"/>
        <v>1712</v>
      </c>
      <c r="K102" s="105">
        <f t="shared" si="86"/>
        <v>856</v>
      </c>
      <c r="L102" s="105">
        <f t="shared" si="87"/>
        <v>570.66666666666663</v>
      </c>
      <c r="M102" s="105">
        <f t="shared" si="88"/>
        <v>428</v>
      </c>
      <c r="N102" s="105">
        <f t="shared" si="89"/>
        <v>342.40000000000003</v>
      </c>
      <c r="O102" s="105">
        <f t="shared" si="90"/>
        <v>285.33333333333331</v>
      </c>
      <c r="P102" s="105">
        <f t="shared" si="91"/>
        <v>244.57142857142856</v>
      </c>
      <c r="Q102" s="105">
        <f t="shared" si="92"/>
        <v>214</v>
      </c>
      <c r="R102" s="105">
        <f t="shared" si="93"/>
        <v>190.2222222222222</v>
      </c>
      <c r="S102" s="105">
        <f t="shared" si="94"/>
        <v>171.20000000000002</v>
      </c>
      <c r="T102" s="105">
        <f t="shared" si="95"/>
        <v>155.63636363636365</v>
      </c>
      <c r="U102" s="105">
        <f t="shared" si="96"/>
        <v>142.66666666666666</v>
      </c>
      <c r="V102" s="105">
        <f t="shared" si="97"/>
        <v>131.69230769230771</v>
      </c>
      <c r="W102" s="105">
        <f t="shared" si="98"/>
        <v>122.28571428571428</v>
      </c>
      <c r="X102" s="105">
        <f t="shared" si="99"/>
        <v>114.13333333333333</v>
      </c>
      <c r="Y102" s="105">
        <f t="shared" si="100"/>
        <v>107</v>
      </c>
      <c r="AA102" s="121"/>
      <c r="AB102" s="120"/>
      <c r="AC102" s="120"/>
      <c r="AD102" s="120"/>
      <c r="AE102" s="120"/>
      <c r="AF102" s="105">
        <f t="shared" si="103"/>
        <v>142.66666666666666</v>
      </c>
      <c r="AG102" s="105">
        <f t="shared" si="104"/>
        <v>122.28571428571428</v>
      </c>
      <c r="AH102" s="105">
        <f t="shared" si="105"/>
        <v>107</v>
      </c>
      <c r="AI102" s="105">
        <f t="shared" si="106"/>
        <v>95.1111111111111</v>
      </c>
      <c r="AJ102" s="105">
        <f t="shared" si="107"/>
        <v>85.600000000000009</v>
      </c>
      <c r="AK102" s="105">
        <f t="shared" si="108"/>
        <v>77.818181818181827</v>
      </c>
      <c r="AL102" s="105">
        <f t="shared" si="109"/>
        <v>71.333333333333329</v>
      </c>
      <c r="AM102" s="105">
        <f t="shared" si="110"/>
        <v>65.846153846153854</v>
      </c>
      <c r="AN102" s="105">
        <f t="shared" si="111"/>
        <v>61.142857142857139</v>
      </c>
      <c r="AO102" s="105">
        <f t="shared" si="112"/>
        <v>57.066666666666663</v>
      </c>
      <c r="AP102" s="105">
        <f t="shared" si="113"/>
        <v>53.5</v>
      </c>
      <c r="AQ102" s="121"/>
      <c r="AR102" s="120"/>
      <c r="AS102" s="105">
        <f t="shared" si="115"/>
        <v>142.66666666666666</v>
      </c>
      <c r="AT102" s="105">
        <f t="shared" si="116"/>
        <v>107</v>
      </c>
      <c r="AU102" s="105">
        <f t="shared" si="117"/>
        <v>85.600000000000009</v>
      </c>
      <c r="AV102" s="105">
        <f t="shared" si="118"/>
        <v>71.333333333333329</v>
      </c>
      <c r="AW102" s="105">
        <f t="shared" si="119"/>
        <v>61.142857142857139</v>
      </c>
      <c r="AX102" s="105">
        <f t="shared" si="120"/>
        <v>53.5</v>
      </c>
      <c r="AY102" s="105">
        <f t="shared" si="121"/>
        <v>47.55555555555555</v>
      </c>
      <c r="AZ102" s="105">
        <f t="shared" si="122"/>
        <v>42.800000000000004</v>
      </c>
      <c r="BA102" s="105">
        <f t="shared" si="123"/>
        <v>38.909090909090914</v>
      </c>
      <c r="BB102" s="105">
        <f t="shared" si="124"/>
        <v>35.666666666666664</v>
      </c>
      <c r="BC102" s="105">
        <f t="shared" si="125"/>
        <v>32.923076923076927</v>
      </c>
      <c r="BD102" s="105">
        <f t="shared" si="126"/>
        <v>30.571428571428569</v>
      </c>
      <c r="BE102" s="105">
        <f t="shared" si="127"/>
        <v>28.533333333333331</v>
      </c>
      <c r="BF102" s="110">
        <f t="shared" si="128"/>
        <v>26.75</v>
      </c>
      <c r="BG102" s="120"/>
      <c r="BH102" s="105">
        <f t="shared" si="129"/>
        <v>142.66666666666666</v>
      </c>
      <c r="BI102" s="105">
        <f t="shared" si="130"/>
        <v>95.1111111111111</v>
      </c>
      <c r="BJ102" s="105">
        <f t="shared" si="131"/>
        <v>71.333333333333329</v>
      </c>
      <c r="BK102" s="105">
        <f t="shared" si="132"/>
        <v>57.06666666666667</v>
      </c>
      <c r="BL102" s="105">
        <f t="shared" si="133"/>
        <v>47.55555555555555</v>
      </c>
      <c r="BM102" s="105">
        <f t="shared" si="134"/>
        <v>40.761904761904759</v>
      </c>
      <c r="BN102" s="105">
        <f t="shared" si="135"/>
        <v>35.666666666666664</v>
      </c>
      <c r="BO102" s="105">
        <f t="shared" si="136"/>
        <v>31.703703703703699</v>
      </c>
      <c r="BP102" s="105">
        <f t="shared" si="137"/>
        <v>28.533333333333335</v>
      </c>
      <c r="BQ102" s="105">
        <f t="shared" si="138"/>
        <v>25.939393939393941</v>
      </c>
      <c r="BR102" s="105">
        <f t="shared" si="139"/>
        <v>23.777777777777775</v>
      </c>
      <c r="BS102" s="105">
        <f t="shared" si="140"/>
        <v>21.948717948717952</v>
      </c>
      <c r="BT102" s="105">
        <f t="shared" si="141"/>
        <v>20.38095238095238</v>
      </c>
      <c r="BU102" s="105">
        <f t="shared" si="142"/>
        <v>19.022222222222222</v>
      </c>
      <c r="BV102" s="105">
        <f t="shared" si="143"/>
        <v>17.833333333333332</v>
      </c>
      <c r="BW102" s="121"/>
      <c r="BX102" s="105">
        <f t="shared" si="145"/>
        <v>107</v>
      </c>
      <c r="BY102" s="105">
        <f t="shared" si="146"/>
        <v>71.333333333333329</v>
      </c>
      <c r="BZ102" s="105">
        <f t="shared" si="147"/>
        <v>53.5</v>
      </c>
      <c r="CA102" s="105">
        <f t="shared" si="148"/>
        <v>42.800000000000004</v>
      </c>
      <c r="CB102" s="105">
        <f t="shared" si="149"/>
        <v>35.666666666666664</v>
      </c>
      <c r="CC102" s="105">
        <f t="shared" si="150"/>
        <v>30.571428571428569</v>
      </c>
      <c r="CD102" s="105">
        <f t="shared" si="151"/>
        <v>26.75</v>
      </c>
      <c r="CE102" s="105">
        <f t="shared" si="152"/>
        <v>23.777777777777775</v>
      </c>
      <c r="CF102" s="105">
        <f t="shared" si="153"/>
        <v>21.400000000000002</v>
      </c>
      <c r="CG102" s="105">
        <f t="shared" si="154"/>
        <v>19.454545454545457</v>
      </c>
      <c r="CH102" s="105">
        <f t="shared" si="155"/>
        <v>17.833333333333332</v>
      </c>
      <c r="CI102" s="105">
        <f t="shared" si="156"/>
        <v>16.461538461538463</v>
      </c>
      <c r="CJ102" s="105">
        <f t="shared" si="157"/>
        <v>15.285714285714285</v>
      </c>
      <c r="CK102" s="105">
        <f t="shared" si="158"/>
        <v>14.266666666666666</v>
      </c>
      <c r="CL102" s="105">
        <f t="shared" si="159"/>
        <v>13.375</v>
      </c>
    </row>
    <row r="103" spans="9:90">
      <c r="I103" s="105">
        <v>108</v>
      </c>
      <c r="J103" s="105">
        <f t="shared" si="85"/>
        <v>1728</v>
      </c>
      <c r="K103" s="105">
        <f t="shared" si="86"/>
        <v>864</v>
      </c>
      <c r="L103" s="105">
        <f t="shared" si="87"/>
        <v>576</v>
      </c>
      <c r="M103" s="105">
        <f t="shared" si="88"/>
        <v>432</v>
      </c>
      <c r="N103" s="105">
        <f t="shared" si="89"/>
        <v>345.6</v>
      </c>
      <c r="O103" s="105">
        <f t="shared" si="90"/>
        <v>288</v>
      </c>
      <c r="P103" s="105">
        <f t="shared" si="91"/>
        <v>246.85714285714283</v>
      </c>
      <c r="Q103" s="105">
        <f t="shared" si="92"/>
        <v>216</v>
      </c>
      <c r="R103" s="105">
        <f t="shared" si="93"/>
        <v>192</v>
      </c>
      <c r="S103" s="105">
        <f t="shared" si="94"/>
        <v>172.8</v>
      </c>
      <c r="T103" s="105">
        <f t="shared" si="95"/>
        <v>157.09090909090909</v>
      </c>
      <c r="U103" s="105">
        <f t="shared" si="96"/>
        <v>144</v>
      </c>
      <c r="V103" s="105">
        <f t="shared" si="97"/>
        <v>132.92307692307693</v>
      </c>
      <c r="W103" s="105">
        <f t="shared" si="98"/>
        <v>123.42857142857142</v>
      </c>
      <c r="X103" s="105">
        <f t="shared" si="99"/>
        <v>115.2</v>
      </c>
      <c r="Y103" s="105">
        <f t="shared" si="100"/>
        <v>108</v>
      </c>
      <c r="AA103" s="121"/>
      <c r="AB103" s="120"/>
      <c r="AC103" s="120"/>
      <c r="AD103" s="120"/>
      <c r="AE103" s="120"/>
      <c r="AF103" s="105">
        <f t="shared" si="103"/>
        <v>144</v>
      </c>
      <c r="AG103" s="105">
        <f t="shared" si="104"/>
        <v>123.42857142857142</v>
      </c>
      <c r="AH103" s="105">
        <f t="shared" si="105"/>
        <v>108</v>
      </c>
      <c r="AI103" s="105">
        <f t="shared" si="106"/>
        <v>96</v>
      </c>
      <c r="AJ103" s="105">
        <f t="shared" si="107"/>
        <v>86.4</v>
      </c>
      <c r="AK103" s="105">
        <f t="shared" si="108"/>
        <v>78.545454545454547</v>
      </c>
      <c r="AL103" s="105">
        <f t="shared" si="109"/>
        <v>72</v>
      </c>
      <c r="AM103" s="105">
        <f t="shared" si="110"/>
        <v>66.461538461538467</v>
      </c>
      <c r="AN103" s="105">
        <f t="shared" si="111"/>
        <v>61.714285714285708</v>
      </c>
      <c r="AO103" s="105">
        <f t="shared" si="112"/>
        <v>57.6</v>
      </c>
      <c r="AP103" s="105">
        <f t="shared" si="113"/>
        <v>54</v>
      </c>
      <c r="AQ103" s="121"/>
      <c r="AR103" s="120"/>
      <c r="AS103" s="105">
        <f t="shared" si="115"/>
        <v>144</v>
      </c>
      <c r="AT103" s="105">
        <f t="shared" si="116"/>
        <v>108</v>
      </c>
      <c r="AU103" s="105">
        <f t="shared" si="117"/>
        <v>86.4</v>
      </c>
      <c r="AV103" s="105">
        <f t="shared" si="118"/>
        <v>72</v>
      </c>
      <c r="AW103" s="105">
        <f t="shared" si="119"/>
        <v>61.714285714285708</v>
      </c>
      <c r="AX103" s="105">
        <f t="shared" si="120"/>
        <v>54</v>
      </c>
      <c r="AY103" s="105">
        <f t="shared" si="121"/>
        <v>48</v>
      </c>
      <c r="AZ103" s="105">
        <f t="shared" si="122"/>
        <v>43.2</v>
      </c>
      <c r="BA103" s="105">
        <f t="shared" si="123"/>
        <v>39.272727272727273</v>
      </c>
      <c r="BB103" s="105">
        <f t="shared" si="124"/>
        <v>36</v>
      </c>
      <c r="BC103" s="105">
        <f t="shared" si="125"/>
        <v>33.230769230769234</v>
      </c>
      <c r="BD103" s="105">
        <f t="shared" si="126"/>
        <v>30.857142857142854</v>
      </c>
      <c r="BE103" s="105">
        <f t="shared" si="127"/>
        <v>28.8</v>
      </c>
      <c r="BF103" s="110">
        <f t="shared" si="128"/>
        <v>27</v>
      </c>
      <c r="BG103" s="120"/>
      <c r="BH103" s="105">
        <f t="shared" si="129"/>
        <v>144</v>
      </c>
      <c r="BI103" s="105">
        <f t="shared" si="130"/>
        <v>96</v>
      </c>
      <c r="BJ103" s="105">
        <f t="shared" si="131"/>
        <v>72</v>
      </c>
      <c r="BK103" s="105">
        <f t="shared" si="132"/>
        <v>57.6</v>
      </c>
      <c r="BL103" s="105">
        <f t="shared" si="133"/>
        <v>48</v>
      </c>
      <c r="BM103" s="105">
        <f t="shared" si="134"/>
        <v>41.142857142857139</v>
      </c>
      <c r="BN103" s="105">
        <f t="shared" si="135"/>
        <v>36</v>
      </c>
      <c r="BO103" s="105">
        <f t="shared" si="136"/>
        <v>32</v>
      </c>
      <c r="BP103" s="105">
        <f t="shared" si="137"/>
        <v>28.8</v>
      </c>
      <c r="BQ103" s="105">
        <f t="shared" si="138"/>
        <v>26.181818181818183</v>
      </c>
      <c r="BR103" s="105">
        <f t="shared" si="139"/>
        <v>24</v>
      </c>
      <c r="BS103" s="105">
        <f t="shared" si="140"/>
        <v>22.153846153846157</v>
      </c>
      <c r="BT103" s="105">
        <f t="shared" si="141"/>
        <v>20.571428571428569</v>
      </c>
      <c r="BU103" s="105">
        <f t="shared" si="142"/>
        <v>19.2</v>
      </c>
      <c r="BV103" s="105">
        <f t="shared" si="143"/>
        <v>18</v>
      </c>
      <c r="BW103" s="121"/>
      <c r="BX103" s="105">
        <f t="shared" si="145"/>
        <v>108</v>
      </c>
      <c r="BY103" s="105">
        <f t="shared" si="146"/>
        <v>72</v>
      </c>
      <c r="BZ103" s="105">
        <f t="shared" si="147"/>
        <v>54</v>
      </c>
      <c r="CA103" s="105">
        <f t="shared" si="148"/>
        <v>43.2</v>
      </c>
      <c r="CB103" s="105">
        <f t="shared" si="149"/>
        <v>36</v>
      </c>
      <c r="CC103" s="105">
        <f t="shared" si="150"/>
        <v>30.857142857142854</v>
      </c>
      <c r="CD103" s="105">
        <f t="shared" si="151"/>
        <v>27</v>
      </c>
      <c r="CE103" s="105">
        <f t="shared" si="152"/>
        <v>24</v>
      </c>
      <c r="CF103" s="105">
        <f t="shared" si="153"/>
        <v>21.6</v>
      </c>
      <c r="CG103" s="105">
        <f t="shared" si="154"/>
        <v>19.636363636363637</v>
      </c>
      <c r="CH103" s="105">
        <f t="shared" si="155"/>
        <v>18</v>
      </c>
      <c r="CI103" s="105">
        <f t="shared" si="156"/>
        <v>16.615384615384617</v>
      </c>
      <c r="CJ103" s="105">
        <f t="shared" si="157"/>
        <v>15.428571428571427</v>
      </c>
      <c r="CK103" s="105">
        <f t="shared" si="158"/>
        <v>14.4</v>
      </c>
      <c r="CL103" s="105">
        <f t="shared" si="159"/>
        <v>13.5</v>
      </c>
    </row>
    <row r="104" spans="9:90">
      <c r="I104" s="105">
        <v>109</v>
      </c>
      <c r="J104" s="105">
        <f t="shared" si="85"/>
        <v>1744</v>
      </c>
      <c r="K104" s="105">
        <f t="shared" si="86"/>
        <v>872</v>
      </c>
      <c r="L104" s="105">
        <f t="shared" si="87"/>
        <v>581.33333333333326</v>
      </c>
      <c r="M104" s="105">
        <f t="shared" si="88"/>
        <v>436</v>
      </c>
      <c r="N104" s="105">
        <f t="shared" si="89"/>
        <v>348.8</v>
      </c>
      <c r="O104" s="105">
        <f t="shared" si="90"/>
        <v>290.66666666666663</v>
      </c>
      <c r="P104" s="105">
        <f t="shared" si="91"/>
        <v>249.14285714285714</v>
      </c>
      <c r="Q104" s="105">
        <f t="shared" si="92"/>
        <v>218</v>
      </c>
      <c r="R104" s="105">
        <f t="shared" si="93"/>
        <v>193.77777777777777</v>
      </c>
      <c r="S104" s="105">
        <f t="shared" si="94"/>
        <v>174.4</v>
      </c>
      <c r="T104" s="105">
        <f t="shared" si="95"/>
        <v>158.54545454545456</v>
      </c>
      <c r="U104" s="105">
        <f t="shared" si="96"/>
        <v>145.33333333333331</v>
      </c>
      <c r="V104" s="105">
        <f t="shared" si="97"/>
        <v>134.15384615384616</v>
      </c>
      <c r="W104" s="105">
        <f t="shared" si="98"/>
        <v>124.57142857142857</v>
      </c>
      <c r="X104" s="105">
        <f t="shared" si="99"/>
        <v>116.26666666666667</v>
      </c>
      <c r="Y104" s="105">
        <f t="shared" si="100"/>
        <v>109</v>
      </c>
      <c r="AA104" s="121"/>
      <c r="AB104" s="120"/>
      <c r="AC104" s="120"/>
      <c r="AD104" s="120"/>
      <c r="AE104" s="120"/>
      <c r="AF104" s="105">
        <f t="shared" si="103"/>
        <v>145.33333333333331</v>
      </c>
      <c r="AG104" s="105">
        <f t="shared" si="104"/>
        <v>124.57142857142857</v>
      </c>
      <c r="AH104" s="105">
        <f t="shared" si="105"/>
        <v>109</v>
      </c>
      <c r="AI104" s="105">
        <f t="shared" si="106"/>
        <v>96.888888888888886</v>
      </c>
      <c r="AJ104" s="105">
        <f t="shared" si="107"/>
        <v>87.2</v>
      </c>
      <c r="AK104" s="105">
        <f t="shared" si="108"/>
        <v>79.27272727272728</v>
      </c>
      <c r="AL104" s="105">
        <f t="shared" si="109"/>
        <v>72.666666666666657</v>
      </c>
      <c r="AM104" s="105">
        <f t="shared" si="110"/>
        <v>67.07692307692308</v>
      </c>
      <c r="AN104" s="105">
        <f t="shared" si="111"/>
        <v>62.285714285714285</v>
      </c>
      <c r="AO104" s="105">
        <f t="shared" si="112"/>
        <v>58.133333333333333</v>
      </c>
      <c r="AP104" s="105">
        <f t="shared" si="113"/>
        <v>54.5</v>
      </c>
      <c r="AQ104" s="121"/>
      <c r="AR104" s="120"/>
      <c r="AS104" s="105">
        <f t="shared" si="115"/>
        <v>145.33333333333331</v>
      </c>
      <c r="AT104" s="105">
        <f t="shared" si="116"/>
        <v>109</v>
      </c>
      <c r="AU104" s="105">
        <f t="shared" si="117"/>
        <v>87.2</v>
      </c>
      <c r="AV104" s="105">
        <f t="shared" si="118"/>
        <v>72.666666666666657</v>
      </c>
      <c r="AW104" s="105">
        <f t="shared" si="119"/>
        <v>62.285714285714285</v>
      </c>
      <c r="AX104" s="105">
        <f t="shared" si="120"/>
        <v>54.5</v>
      </c>
      <c r="AY104" s="105">
        <f t="shared" si="121"/>
        <v>48.444444444444443</v>
      </c>
      <c r="AZ104" s="105">
        <f t="shared" si="122"/>
        <v>43.6</v>
      </c>
      <c r="BA104" s="105">
        <f t="shared" si="123"/>
        <v>39.63636363636364</v>
      </c>
      <c r="BB104" s="105">
        <f t="shared" si="124"/>
        <v>36.333333333333329</v>
      </c>
      <c r="BC104" s="105">
        <f t="shared" si="125"/>
        <v>33.53846153846154</v>
      </c>
      <c r="BD104" s="105">
        <f t="shared" si="126"/>
        <v>31.142857142857142</v>
      </c>
      <c r="BE104" s="105">
        <f t="shared" si="127"/>
        <v>29.066666666666666</v>
      </c>
      <c r="BF104" s="110">
        <f t="shared" si="128"/>
        <v>27.25</v>
      </c>
      <c r="BG104" s="120"/>
      <c r="BH104" s="105">
        <f t="shared" si="129"/>
        <v>145.33333333333334</v>
      </c>
      <c r="BI104" s="105">
        <f t="shared" si="130"/>
        <v>96.888888888888872</v>
      </c>
      <c r="BJ104" s="105">
        <f t="shared" si="131"/>
        <v>72.666666666666671</v>
      </c>
      <c r="BK104" s="105">
        <f t="shared" si="132"/>
        <v>58.133333333333333</v>
      </c>
      <c r="BL104" s="105">
        <f t="shared" si="133"/>
        <v>48.444444444444436</v>
      </c>
      <c r="BM104" s="105">
        <f t="shared" si="134"/>
        <v>41.523809523809526</v>
      </c>
      <c r="BN104" s="105">
        <f t="shared" si="135"/>
        <v>36.333333333333336</v>
      </c>
      <c r="BO104" s="105">
        <f t="shared" si="136"/>
        <v>32.296296296296298</v>
      </c>
      <c r="BP104" s="105">
        <f t="shared" si="137"/>
        <v>29.066666666666666</v>
      </c>
      <c r="BQ104" s="105">
        <f t="shared" si="138"/>
        <v>26.424242424242426</v>
      </c>
      <c r="BR104" s="105">
        <f t="shared" si="139"/>
        <v>24.222222222222218</v>
      </c>
      <c r="BS104" s="105">
        <f t="shared" si="140"/>
        <v>22.358974358974361</v>
      </c>
      <c r="BT104" s="105">
        <f t="shared" si="141"/>
        <v>20.761904761904763</v>
      </c>
      <c r="BU104" s="105">
        <f t="shared" si="142"/>
        <v>19.377777777777776</v>
      </c>
      <c r="BV104" s="105">
        <f t="shared" si="143"/>
        <v>18.166666666666668</v>
      </c>
      <c r="BW104" s="121"/>
      <c r="BX104" s="105">
        <f t="shared" si="145"/>
        <v>109</v>
      </c>
      <c r="BY104" s="105">
        <f t="shared" si="146"/>
        <v>72.666666666666657</v>
      </c>
      <c r="BZ104" s="105">
        <f t="shared" si="147"/>
        <v>54.5</v>
      </c>
      <c r="CA104" s="105">
        <f t="shared" si="148"/>
        <v>43.6</v>
      </c>
      <c r="CB104" s="105">
        <f t="shared" si="149"/>
        <v>36.333333333333329</v>
      </c>
      <c r="CC104" s="105">
        <f t="shared" si="150"/>
        <v>31.142857142857142</v>
      </c>
      <c r="CD104" s="105">
        <f t="shared" si="151"/>
        <v>27.25</v>
      </c>
      <c r="CE104" s="105">
        <f t="shared" si="152"/>
        <v>24.222222222222221</v>
      </c>
      <c r="CF104" s="105">
        <f t="shared" si="153"/>
        <v>21.8</v>
      </c>
      <c r="CG104" s="105">
        <f t="shared" si="154"/>
        <v>19.81818181818182</v>
      </c>
      <c r="CH104" s="105">
        <f t="shared" si="155"/>
        <v>18.166666666666664</v>
      </c>
      <c r="CI104" s="105">
        <f t="shared" si="156"/>
        <v>16.76923076923077</v>
      </c>
      <c r="CJ104" s="105">
        <f t="shared" si="157"/>
        <v>15.571428571428571</v>
      </c>
      <c r="CK104" s="105">
        <f t="shared" si="158"/>
        <v>14.533333333333333</v>
      </c>
      <c r="CL104" s="105">
        <f t="shared" si="159"/>
        <v>13.625</v>
      </c>
    </row>
    <row r="105" spans="9:90">
      <c r="I105" s="105">
        <v>110</v>
      </c>
      <c r="J105" s="105">
        <f t="shared" si="85"/>
        <v>1760</v>
      </c>
      <c r="K105" s="105">
        <f t="shared" si="86"/>
        <v>880</v>
      </c>
      <c r="L105" s="105">
        <f t="shared" si="87"/>
        <v>586.66666666666663</v>
      </c>
      <c r="M105" s="105">
        <f t="shared" si="88"/>
        <v>440</v>
      </c>
      <c r="N105" s="105">
        <f t="shared" si="89"/>
        <v>352</v>
      </c>
      <c r="O105" s="105">
        <f t="shared" si="90"/>
        <v>293.33333333333331</v>
      </c>
      <c r="P105" s="105">
        <f t="shared" si="91"/>
        <v>251.42857142857142</v>
      </c>
      <c r="Q105" s="105">
        <f t="shared" si="92"/>
        <v>220</v>
      </c>
      <c r="R105" s="105">
        <f t="shared" si="93"/>
        <v>195.55555555555554</v>
      </c>
      <c r="S105" s="105">
        <f t="shared" si="94"/>
        <v>176</v>
      </c>
      <c r="T105" s="105">
        <f t="shared" si="95"/>
        <v>160</v>
      </c>
      <c r="U105" s="105">
        <f t="shared" si="96"/>
        <v>146.66666666666666</v>
      </c>
      <c r="V105" s="105">
        <f t="shared" si="97"/>
        <v>135.38461538461539</v>
      </c>
      <c r="W105" s="105">
        <f t="shared" si="98"/>
        <v>125.71428571428571</v>
      </c>
      <c r="X105" s="105">
        <f t="shared" si="99"/>
        <v>117.33333333333333</v>
      </c>
      <c r="Y105" s="105">
        <f t="shared" si="100"/>
        <v>110</v>
      </c>
      <c r="AA105" s="121"/>
      <c r="AB105" s="120"/>
      <c r="AC105" s="120"/>
      <c r="AD105" s="120"/>
      <c r="AE105" s="120"/>
      <c r="AF105" s="105">
        <f t="shared" si="103"/>
        <v>146.66666666666666</v>
      </c>
      <c r="AG105" s="105">
        <f t="shared" si="104"/>
        <v>125.71428571428571</v>
      </c>
      <c r="AH105" s="105">
        <f t="shared" si="105"/>
        <v>110</v>
      </c>
      <c r="AI105" s="105">
        <f t="shared" si="106"/>
        <v>97.777777777777771</v>
      </c>
      <c r="AJ105" s="105">
        <f t="shared" si="107"/>
        <v>88</v>
      </c>
      <c r="AK105" s="105">
        <f t="shared" si="108"/>
        <v>80</v>
      </c>
      <c r="AL105" s="105">
        <f t="shared" si="109"/>
        <v>73.333333333333329</v>
      </c>
      <c r="AM105" s="105">
        <f t="shared" si="110"/>
        <v>67.692307692307693</v>
      </c>
      <c r="AN105" s="105">
        <f t="shared" si="111"/>
        <v>62.857142857142854</v>
      </c>
      <c r="AO105" s="105">
        <f t="shared" si="112"/>
        <v>58.666666666666664</v>
      </c>
      <c r="AP105" s="105">
        <f t="shared" si="113"/>
        <v>55</v>
      </c>
      <c r="AQ105" s="121"/>
      <c r="AR105" s="120"/>
      <c r="AS105" s="105">
        <f t="shared" si="115"/>
        <v>146.66666666666666</v>
      </c>
      <c r="AT105" s="105">
        <f t="shared" si="116"/>
        <v>110</v>
      </c>
      <c r="AU105" s="105">
        <f t="shared" si="117"/>
        <v>88</v>
      </c>
      <c r="AV105" s="105">
        <f t="shared" si="118"/>
        <v>73.333333333333329</v>
      </c>
      <c r="AW105" s="105">
        <f t="shared" si="119"/>
        <v>62.857142857142854</v>
      </c>
      <c r="AX105" s="105">
        <f t="shared" si="120"/>
        <v>55</v>
      </c>
      <c r="AY105" s="105">
        <f t="shared" si="121"/>
        <v>48.888888888888886</v>
      </c>
      <c r="AZ105" s="105">
        <f t="shared" si="122"/>
        <v>44</v>
      </c>
      <c r="BA105" s="105">
        <f t="shared" si="123"/>
        <v>40</v>
      </c>
      <c r="BB105" s="105">
        <f t="shared" si="124"/>
        <v>36.666666666666664</v>
      </c>
      <c r="BC105" s="105">
        <f t="shared" si="125"/>
        <v>33.846153846153847</v>
      </c>
      <c r="BD105" s="105">
        <f t="shared" si="126"/>
        <v>31.428571428571427</v>
      </c>
      <c r="BE105" s="105">
        <f t="shared" si="127"/>
        <v>29.333333333333332</v>
      </c>
      <c r="BF105" s="110">
        <f t="shared" si="128"/>
        <v>27.5</v>
      </c>
      <c r="BG105" s="120"/>
      <c r="BH105" s="105">
        <f t="shared" si="129"/>
        <v>146.66666666666666</v>
      </c>
      <c r="BI105" s="105">
        <f t="shared" si="130"/>
        <v>97.777777777777771</v>
      </c>
      <c r="BJ105" s="105">
        <f t="shared" si="131"/>
        <v>73.333333333333329</v>
      </c>
      <c r="BK105" s="105">
        <f t="shared" si="132"/>
        <v>58.666666666666664</v>
      </c>
      <c r="BL105" s="105">
        <f t="shared" si="133"/>
        <v>48.888888888888886</v>
      </c>
      <c r="BM105" s="105">
        <f t="shared" si="134"/>
        <v>41.904761904761905</v>
      </c>
      <c r="BN105" s="105">
        <f t="shared" si="135"/>
        <v>36.666666666666664</v>
      </c>
      <c r="BO105" s="105">
        <f t="shared" si="136"/>
        <v>32.592592592592588</v>
      </c>
      <c r="BP105" s="105">
        <f t="shared" si="137"/>
        <v>29.333333333333332</v>
      </c>
      <c r="BQ105" s="105">
        <f t="shared" si="138"/>
        <v>26.666666666666668</v>
      </c>
      <c r="BR105" s="105">
        <f t="shared" si="139"/>
        <v>24.444444444444443</v>
      </c>
      <c r="BS105" s="105">
        <f t="shared" si="140"/>
        <v>22.564102564102566</v>
      </c>
      <c r="BT105" s="105">
        <f t="shared" si="141"/>
        <v>20.952380952380953</v>
      </c>
      <c r="BU105" s="105">
        <f t="shared" si="142"/>
        <v>19.555555555555554</v>
      </c>
      <c r="BV105" s="105">
        <f t="shared" si="143"/>
        <v>18.333333333333332</v>
      </c>
      <c r="BW105" s="121"/>
      <c r="BX105" s="105">
        <f t="shared" si="145"/>
        <v>110</v>
      </c>
      <c r="BY105" s="105">
        <f t="shared" si="146"/>
        <v>73.333333333333329</v>
      </c>
      <c r="BZ105" s="105">
        <f t="shared" si="147"/>
        <v>55</v>
      </c>
      <c r="CA105" s="105">
        <f t="shared" si="148"/>
        <v>44</v>
      </c>
      <c r="CB105" s="105">
        <f t="shared" si="149"/>
        <v>36.666666666666664</v>
      </c>
      <c r="CC105" s="105">
        <f t="shared" si="150"/>
        <v>31.428571428571427</v>
      </c>
      <c r="CD105" s="105">
        <f t="shared" si="151"/>
        <v>27.5</v>
      </c>
      <c r="CE105" s="105">
        <f t="shared" si="152"/>
        <v>24.444444444444443</v>
      </c>
      <c r="CF105" s="105">
        <f t="shared" si="153"/>
        <v>22</v>
      </c>
      <c r="CG105" s="105">
        <f t="shared" si="154"/>
        <v>20</v>
      </c>
      <c r="CH105" s="105">
        <f t="shared" si="155"/>
        <v>18.333333333333332</v>
      </c>
      <c r="CI105" s="105">
        <f t="shared" si="156"/>
        <v>16.923076923076923</v>
      </c>
      <c r="CJ105" s="105">
        <f t="shared" si="157"/>
        <v>15.714285714285714</v>
      </c>
      <c r="CK105" s="105">
        <f t="shared" si="158"/>
        <v>14.666666666666666</v>
      </c>
      <c r="CL105" s="105">
        <f t="shared" si="159"/>
        <v>13.75</v>
      </c>
    </row>
    <row r="106" spans="9:90">
      <c r="I106" s="105">
        <v>111</v>
      </c>
      <c r="J106" s="105">
        <f t="shared" si="85"/>
        <v>1776</v>
      </c>
      <c r="K106" s="105">
        <f t="shared" si="86"/>
        <v>888</v>
      </c>
      <c r="L106" s="105">
        <f t="shared" si="87"/>
        <v>592</v>
      </c>
      <c r="M106" s="105">
        <f t="shared" si="88"/>
        <v>444</v>
      </c>
      <c r="N106" s="105">
        <f t="shared" si="89"/>
        <v>355.20000000000005</v>
      </c>
      <c r="O106" s="105">
        <f t="shared" si="90"/>
        <v>296</v>
      </c>
      <c r="P106" s="105">
        <f t="shared" si="91"/>
        <v>253.71428571428569</v>
      </c>
      <c r="Q106" s="105">
        <f t="shared" si="92"/>
        <v>222</v>
      </c>
      <c r="R106" s="105">
        <f t="shared" si="93"/>
        <v>197.33333333333331</v>
      </c>
      <c r="S106" s="105">
        <f t="shared" si="94"/>
        <v>177.60000000000002</v>
      </c>
      <c r="T106" s="105">
        <f t="shared" si="95"/>
        <v>161.45454545454547</v>
      </c>
      <c r="U106" s="105">
        <f t="shared" si="96"/>
        <v>148</v>
      </c>
      <c r="V106" s="105">
        <f t="shared" si="97"/>
        <v>136.61538461538461</v>
      </c>
      <c r="W106" s="105">
        <f t="shared" si="98"/>
        <v>126.85714285714285</v>
      </c>
      <c r="X106" s="105">
        <f t="shared" si="99"/>
        <v>118.39999999999999</v>
      </c>
      <c r="Y106" s="105">
        <f t="shared" si="100"/>
        <v>111</v>
      </c>
      <c r="AA106" s="121"/>
      <c r="AB106" s="120"/>
      <c r="AC106" s="120"/>
      <c r="AD106" s="120"/>
      <c r="AE106" s="120"/>
      <c r="AF106" s="105">
        <f t="shared" si="103"/>
        <v>148</v>
      </c>
      <c r="AG106" s="105">
        <f t="shared" si="104"/>
        <v>126.85714285714285</v>
      </c>
      <c r="AH106" s="105">
        <f t="shared" si="105"/>
        <v>111</v>
      </c>
      <c r="AI106" s="105">
        <f t="shared" si="106"/>
        <v>98.666666666666657</v>
      </c>
      <c r="AJ106" s="105">
        <f t="shared" si="107"/>
        <v>88.800000000000011</v>
      </c>
      <c r="AK106" s="105">
        <f t="shared" si="108"/>
        <v>80.727272727272734</v>
      </c>
      <c r="AL106" s="105">
        <f t="shared" si="109"/>
        <v>74</v>
      </c>
      <c r="AM106" s="105">
        <f t="shared" si="110"/>
        <v>68.307692307692307</v>
      </c>
      <c r="AN106" s="105">
        <f t="shared" si="111"/>
        <v>63.428571428571423</v>
      </c>
      <c r="AO106" s="105">
        <f t="shared" si="112"/>
        <v>59.199999999999996</v>
      </c>
      <c r="AP106" s="105">
        <f t="shared" si="113"/>
        <v>55.5</v>
      </c>
      <c r="AQ106" s="121"/>
      <c r="AR106" s="120"/>
      <c r="AS106" s="105">
        <f t="shared" si="115"/>
        <v>148</v>
      </c>
      <c r="AT106" s="105">
        <f t="shared" si="116"/>
        <v>111</v>
      </c>
      <c r="AU106" s="105">
        <f t="shared" si="117"/>
        <v>88.800000000000011</v>
      </c>
      <c r="AV106" s="105">
        <f t="shared" si="118"/>
        <v>74</v>
      </c>
      <c r="AW106" s="105">
        <f t="shared" si="119"/>
        <v>63.428571428571423</v>
      </c>
      <c r="AX106" s="105">
        <f t="shared" si="120"/>
        <v>55.5</v>
      </c>
      <c r="AY106" s="105">
        <f t="shared" si="121"/>
        <v>49.333333333333329</v>
      </c>
      <c r="AZ106" s="105">
        <f t="shared" si="122"/>
        <v>44.400000000000006</v>
      </c>
      <c r="BA106" s="105">
        <f t="shared" si="123"/>
        <v>40.363636363636367</v>
      </c>
      <c r="BB106" s="105">
        <f t="shared" si="124"/>
        <v>37</v>
      </c>
      <c r="BC106" s="105">
        <f t="shared" si="125"/>
        <v>34.153846153846153</v>
      </c>
      <c r="BD106" s="105">
        <f t="shared" si="126"/>
        <v>31.714285714285712</v>
      </c>
      <c r="BE106" s="105">
        <f t="shared" si="127"/>
        <v>29.599999999999998</v>
      </c>
      <c r="BF106" s="110">
        <f t="shared" si="128"/>
        <v>27.75</v>
      </c>
      <c r="BG106" s="120"/>
      <c r="BH106" s="105">
        <f t="shared" si="129"/>
        <v>148</v>
      </c>
      <c r="BI106" s="105">
        <f t="shared" si="130"/>
        <v>98.666666666666671</v>
      </c>
      <c r="BJ106" s="105">
        <f t="shared" si="131"/>
        <v>74</v>
      </c>
      <c r="BK106" s="105">
        <f t="shared" si="132"/>
        <v>59.20000000000001</v>
      </c>
      <c r="BL106" s="105">
        <f t="shared" si="133"/>
        <v>49.333333333333336</v>
      </c>
      <c r="BM106" s="105">
        <f t="shared" si="134"/>
        <v>42.285714285714285</v>
      </c>
      <c r="BN106" s="105">
        <f t="shared" si="135"/>
        <v>37</v>
      </c>
      <c r="BO106" s="105">
        <f t="shared" si="136"/>
        <v>32.888888888888886</v>
      </c>
      <c r="BP106" s="105">
        <f t="shared" si="137"/>
        <v>29.600000000000005</v>
      </c>
      <c r="BQ106" s="105">
        <f t="shared" si="138"/>
        <v>26.90909090909091</v>
      </c>
      <c r="BR106" s="105">
        <f t="shared" si="139"/>
        <v>24.666666666666668</v>
      </c>
      <c r="BS106" s="105">
        <f t="shared" si="140"/>
        <v>22.76923076923077</v>
      </c>
      <c r="BT106" s="105">
        <f t="shared" si="141"/>
        <v>21.142857142857142</v>
      </c>
      <c r="BU106" s="105">
        <f t="shared" si="142"/>
        <v>19.733333333333331</v>
      </c>
      <c r="BV106" s="105">
        <f t="shared" si="143"/>
        <v>18.5</v>
      </c>
      <c r="BW106" s="121"/>
      <c r="BX106" s="105">
        <f t="shared" si="145"/>
        <v>111</v>
      </c>
      <c r="BY106" s="105">
        <f t="shared" si="146"/>
        <v>74</v>
      </c>
      <c r="BZ106" s="105">
        <f t="shared" si="147"/>
        <v>55.5</v>
      </c>
      <c r="CA106" s="105">
        <f t="shared" si="148"/>
        <v>44.400000000000006</v>
      </c>
      <c r="CB106" s="105">
        <f t="shared" si="149"/>
        <v>37</v>
      </c>
      <c r="CC106" s="105">
        <f t="shared" si="150"/>
        <v>31.714285714285712</v>
      </c>
      <c r="CD106" s="105">
        <f t="shared" si="151"/>
        <v>27.75</v>
      </c>
      <c r="CE106" s="105">
        <f t="shared" si="152"/>
        <v>24.666666666666664</v>
      </c>
      <c r="CF106" s="105">
        <f t="shared" si="153"/>
        <v>22.200000000000003</v>
      </c>
      <c r="CG106" s="105">
        <f t="shared" si="154"/>
        <v>20.181818181818183</v>
      </c>
      <c r="CH106" s="105">
        <f t="shared" si="155"/>
        <v>18.5</v>
      </c>
      <c r="CI106" s="105">
        <f t="shared" si="156"/>
        <v>17.076923076923077</v>
      </c>
      <c r="CJ106" s="105">
        <f t="shared" si="157"/>
        <v>15.857142857142856</v>
      </c>
      <c r="CK106" s="105">
        <f t="shared" si="158"/>
        <v>14.799999999999999</v>
      </c>
      <c r="CL106" s="105">
        <f t="shared" si="159"/>
        <v>13.875</v>
      </c>
    </row>
    <row r="107" spans="9:90">
      <c r="I107" s="105">
        <v>112</v>
      </c>
      <c r="J107" s="105">
        <f t="shared" si="85"/>
        <v>1792</v>
      </c>
      <c r="K107" s="105">
        <f t="shared" si="86"/>
        <v>896</v>
      </c>
      <c r="L107" s="105">
        <f t="shared" si="87"/>
        <v>597.33333333333326</v>
      </c>
      <c r="M107" s="105">
        <f t="shared" si="88"/>
        <v>448</v>
      </c>
      <c r="N107" s="105">
        <f t="shared" si="89"/>
        <v>358.40000000000003</v>
      </c>
      <c r="O107" s="105">
        <f t="shared" si="90"/>
        <v>298.66666666666663</v>
      </c>
      <c r="P107" s="105">
        <f t="shared" si="91"/>
        <v>256</v>
      </c>
      <c r="Q107" s="105">
        <f t="shared" si="92"/>
        <v>224</v>
      </c>
      <c r="R107" s="105">
        <f t="shared" si="93"/>
        <v>199.11111111111109</v>
      </c>
      <c r="S107" s="105">
        <f t="shared" si="94"/>
        <v>179.20000000000002</v>
      </c>
      <c r="T107" s="105">
        <f t="shared" si="95"/>
        <v>162.90909090909091</v>
      </c>
      <c r="U107" s="105">
        <f t="shared" si="96"/>
        <v>149.33333333333331</v>
      </c>
      <c r="V107" s="105">
        <f t="shared" si="97"/>
        <v>137.84615384615387</v>
      </c>
      <c r="W107" s="105">
        <f t="shared" si="98"/>
        <v>128</v>
      </c>
      <c r="X107" s="105">
        <f t="shared" si="99"/>
        <v>119.46666666666667</v>
      </c>
      <c r="Y107" s="105">
        <f t="shared" si="100"/>
        <v>112</v>
      </c>
      <c r="AA107" s="121"/>
      <c r="AB107" s="120"/>
      <c r="AC107" s="120"/>
      <c r="AD107" s="120"/>
      <c r="AE107" s="120"/>
      <c r="AF107" s="105">
        <f t="shared" si="103"/>
        <v>149.33333333333331</v>
      </c>
      <c r="AG107" s="105">
        <f t="shared" si="104"/>
        <v>128</v>
      </c>
      <c r="AH107" s="105">
        <f t="shared" si="105"/>
        <v>112</v>
      </c>
      <c r="AI107" s="105">
        <f t="shared" si="106"/>
        <v>99.555555555555543</v>
      </c>
      <c r="AJ107" s="105">
        <f t="shared" si="107"/>
        <v>89.600000000000009</v>
      </c>
      <c r="AK107" s="105">
        <f t="shared" si="108"/>
        <v>81.454545454545453</v>
      </c>
      <c r="AL107" s="105">
        <f t="shared" si="109"/>
        <v>74.666666666666657</v>
      </c>
      <c r="AM107" s="105">
        <f t="shared" si="110"/>
        <v>68.923076923076934</v>
      </c>
      <c r="AN107" s="105">
        <f t="shared" si="111"/>
        <v>64</v>
      </c>
      <c r="AO107" s="105">
        <f t="shared" si="112"/>
        <v>59.733333333333334</v>
      </c>
      <c r="AP107" s="105">
        <f t="shared" si="113"/>
        <v>56</v>
      </c>
      <c r="AQ107" s="121"/>
      <c r="AR107" s="120"/>
      <c r="AS107" s="105">
        <f t="shared" si="115"/>
        <v>149.33333333333331</v>
      </c>
      <c r="AT107" s="105">
        <f t="shared" si="116"/>
        <v>112</v>
      </c>
      <c r="AU107" s="105">
        <f t="shared" si="117"/>
        <v>89.600000000000009</v>
      </c>
      <c r="AV107" s="105">
        <f t="shared" si="118"/>
        <v>74.666666666666657</v>
      </c>
      <c r="AW107" s="105">
        <f t="shared" si="119"/>
        <v>64</v>
      </c>
      <c r="AX107" s="105">
        <f t="shared" si="120"/>
        <v>56</v>
      </c>
      <c r="AY107" s="105">
        <f t="shared" si="121"/>
        <v>49.777777777777771</v>
      </c>
      <c r="AZ107" s="105">
        <f t="shared" si="122"/>
        <v>44.800000000000004</v>
      </c>
      <c r="BA107" s="105">
        <f t="shared" si="123"/>
        <v>40.727272727272727</v>
      </c>
      <c r="BB107" s="105">
        <f t="shared" si="124"/>
        <v>37.333333333333329</v>
      </c>
      <c r="BC107" s="105">
        <f t="shared" si="125"/>
        <v>34.461538461538467</v>
      </c>
      <c r="BD107" s="105">
        <f t="shared" si="126"/>
        <v>32</v>
      </c>
      <c r="BE107" s="105">
        <f t="shared" si="127"/>
        <v>29.866666666666667</v>
      </c>
      <c r="BF107" s="110">
        <f t="shared" si="128"/>
        <v>28</v>
      </c>
      <c r="BG107" s="120"/>
      <c r="BH107" s="105">
        <f t="shared" si="129"/>
        <v>149.33333333333334</v>
      </c>
      <c r="BI107" s="105">
        <f t="shared" si="130"/>
        <v>99.555555555555543</v>
      </c>
      <c r="BJ107" s="105">
        <f t="shared" si="131"/>
        <v>74.666666666666671</v>
      </c>
      <c r="BK107" s="105">
        <f t="shared" si="132"/>
        <v>59.733333333333341</v>
      </c>
      <c r="BL107" s="105">
        <f t="shared" si="133"/>
        <v>49.777777777777771</v>
      </c>
      <c r="BM107" s="105">
        <f t="shared" si="134"/>
        <v>42.666666666666664</v>
      </c>
      <c r="BN107" s="105">
        <f t="shared" si="135"/>
        <v>37.333333333333336</v>
      </c>
      <c r="BO107" s="105">
        <f t="shared" si="136"/>
        <v>33.185185185185183</v>
      </c>
      <c r="BP107" s="105">
        <f t="shared" si="137"/>
        <v>29.866666666666671</v>
      </c>
      <c r="BQ107" s="105">
        <f t="shared" si="138"/>
        <v>27.151515151515152</v>
      </c>
      <c r="BR107" s="105">
        <f t="shared" si="139"/>
        <v>24.888888888888886</v>
      </c>
      <c r="BS107" s="105">
        <f t="shared" si="140"/>
        <v>22.974358974358978</v>
      </c>
      <c r="BT107" s="105">
        <f t="shared" si="141"/>
        <v>21.333333333333332</v>
      </c>
      <c r="BU107" s="105">
        <f t="shared" si="142"/>
        <v>19.911111111111111</v>
      </c>
      <c r="BV107" s="105">
        <f t="shared" si="143"/>
        <v>18.666666666666668</v>
      </c>
      <c r="BW107" s="121"/>
      <c r="BX107" s="105">
        <f t="shared" si="145"/>
        <v>112</v>
      </c>
      <c r="BY107" s="105">
        <f t="shared" si="146"/>
        <v>74.666666666666657</v>
      </c>
      <c r="BZ107" s="105">
        <f t="shared" si="147"/>
        <v>56</v>
      </c>
      <c r="CA107" s="105">
        <f t="shared" si="148"/>
        <v>44.800000000000004</v>
      </c>
      <c r="CB107" s="105">
        <f t="shared" si="149"/>
        <v>37.333333333333329</v>
      </c>
      <c r="CC107" s="105">
        <f t="shared" si="150"/>
        <v>32</v>
      </c>
      <c r="CD107" s="105">
        <f t="shared" si="151"/>
        <v>28</v>
      </c>
      <c r="CE107" s="105">
        <f t="shared" si="152"/>
        <v>24.888888888888886</v>
      </c>
      <c r="CF107" s="105">
        <f t="shared" si="153"/>
        <v>22.400000000000002</v>
      </c>
      <c r="CG107" s="105">
        <f t="shared" si="154"/>
        <v>20.363636363636363</v>
      </c>
      <c r="CH107" s="105">
        <f t="shared" si="155"/>
        <v>18.666666666666664</v>
      </c>
      <c r="CI107" s="105">
        <f t="shared" si="156"/>
        <v>17.230769230769234</v>
      </c>
      <c r="CJ107" s="105">
        <f t="shared" si="157"/>
        <v>16</v>
      </c>
      <c r="CK107" s="105">
        <f t="shared" si="158"/>
        <v>14.933333333333334</v>
      </c>
      <c r="CL107" s="105">
        <f t="shared" si="159"/>
        <v>14</v>
      </c>
    </row>
    <row r="108" spans="9:90">
      <c r="I108" s="105">
        <v>113</v>
      </c>
      <c r="J108" s="105">
        <f t="shared" si="85"/>
        <v>1808</v>
      </c>
      <c r="K108" s="105">
        <f t="shared" si="86"/>
        <v>904</v>
      </c>
      <c r="L108" s="105">
        <f t="shared" si="87"/>
        <v>602.66666666666663</v>
      </c>
      <c r="M108" s="105">
        <f t="shared" si="88"/>
        <v>452</v>
      </c>
      <c r="N108" s="105">
        <f t="shared" si="89"/>
        <v>361.6</v>
      </c>
      <c r="O108" s="105">
        <f t="shared" si="90"/>
        <v>301.33333333333331</v>
      </c>
      <c r="P108" s="105">
        <f t="shared" si="91"/>
        <v>258.28571428571428</v>
      </c>
      <c r="Q108" s="105">
        <f t="shared" si="92"/>
        <v>226</v>
      </c>
      <c r="R108" s="105">
        <f t="shared" si="93"/>
        <v>200.88888888888889</v>
      </c>
      <c r="S108" s="105">
        <f t="shared" si="94"/>
        <v>180.8</v>
      </c>
      <c r="T108" s="105">
        <f t="shared" si="95"/>
        <v>164.36363636363637</v>
      </c>
      <c r="U108" s="105">
        <f t="shared" si="96"/>
        <v>150.66666666666666</v>
      </c>
      <c r="V108" s="105">
        <f t="shared" si="97"/>
        <v>139.07692307692309</v>
      </c>
      <c r="W108" s="105">
        <f t="shared" si="98"/>
        <v>129.14285714285714</v>
      </c>
      <c r="X108" s="105">
        <f t="shared" si="99"/>
        <v>120.53333333333333</v>
      </c>
      <c r="Y108" s="105">
        <f t="shared" si="100"/>
        <v>113</v>
      </c>
      <c r="AA108" s="121"/>
      <c r="AB108" s="120"/>
      <c r="AC108" s="120"/>
      <c r="AD108" s="120"/>
      <c r="AE108" s="120"/>
      <c r="AF108" s="105">
        <f t="shared" si="103"/>
        <v>150.66666666666666</v>
      </c>
      <c r="AG108" s="105">
        <f t="shared" si="104"/>
        <v>129.14285714285714</v>
      </c>
      <c r="AH108" s="105">
        <f t="shared" si="105"/>
        <v>113</v>
      </c>
      <c r="AI108" s="105">
        <f t="shared" si="106"/>
        <v>100.44444444444444</v>
      </c>
      <c r="AJ108" s="105">
        <f t="shared" si="107"/>
        <v>90.4</v>
      </c>
      <c r="AK108" s="105">
        <f t="shared" si="108"/>
        <v>82.181818181818187</v>
      </c>
      <c r="AL108" s="105">
        <f t="shared" si="109"/>
        <v>75.333333333333329</v>
      </c>
      <c r="AM108" s="105">
        <f t="shared" si="110"/>
        <v>69.538461538461547</v>
      </c>
      <c r="AN108" s="105">
        <f t="shared" si="111"/>
        <v>64.571428571428569</v>
      </c>
      <c r="AO108" s="105">
        <f t="shared" si="112"/>
        <v>60.266666666666666</v>
      </c>
      <c r="AP108" s="105">
        <f t="shared" si="113"/>
        <v>56.5</v>
      </c>
      <c r="AQ108" s="121"/>
      <c r="AR108" s="120"/>
      <c r="AS108" s="105">
        <f t="shared" si="115"/>
        <v>150.66666666666666</v>
      </c>
      <c r="AT108" s="105">
        <f t="shared" si="116"/>
        <v>113</v>
      </c>
      <c r="AU108" s="105">
        <f t="shared" si="117"/>
        <v>90.4</v>
      </c>
      <c r="AV108" s="105">
        <f t="shared" si="118"/>
        <v>75.333333333333329</v>
      </c>
      <c r="AW108" s="105">
        <f t="shared" si="119"/>
        <v>64.571428571428569</v>
      </c>
      <c r="AX108" s="105">
        <f t="shared" si="120"/>
        <v>56.5</v>
      </c>
      <c r="AY108" s="105">
        <f t="shared" si="121"/>
        <v>50.222222222222221</v>
      </c>
      <c r="AZ108" s="105">
        <f t="shared" si="122"/>
        <v>45.2</v>
      </c>
      <c r="BA108" s="105">
        <f t="shared" si="123"/>
        <v>41.090909090909093</v>
      </c>
      <c r="BB108" s="105">
        <f t="shared" si="124"/>
        <v>37.666666666666664</v>
      </c>
      <c r="BC108" s="105">
        <f t="shared" si="125"/>
        <v>34.769230769230774</v>
      </c>
      <c r="BD108" s="105">
        <f t="shared" si="126"/>
        <v>32.285714285714285</v>
      </c>
      <c r="BE108" s="105">
        <f t="shared" si="127"/>
        <v>30.133333333333333</v>
      </c>
      <c r="BF108" s="110">
        <f t="shared" si="128"/>
        <v>28.25</v>
      </c>
      <c r="BG108" s="120"/>
      <c r="BH108" s="105">
        <f t="shared" si="129"/>
        <v>150.66666666666666</v>
      </c>
      <c r="BI108" s="105">
        <f t="shared" si="130"/>
        <v>100.44444444444444</v>
      </c>
      <c r="BJ108" s="105">
        <f t="shared" si="131"/>
        <v>75.333333333333329</v>
      </c>
      <c r="BK108" s="105">
        <f t="shared" si="132"/>
        <v>60.266666666666673</v>
      </c>
      <c r="BL108" s="105">
        <f t="shared" si="133"/>
        <v>50.222222222222221</v>
      </c>
      <c r="BM108" s="105">
        <f t="shared" si="134"/>
        <v>43.047619047619044</v>
      </c>
      <c r="BN108" s="105">
        <f t="shared" si="135"/>
        <v>37.666666666666664</v>
      </c>
      <c r="BO108" s="105">
        <f t="shared" si="136"/>
        <v>33.481481481481481</v>
      </c>
      <c r="BP108" s="105">
        <f t="shared" si="137"/>
        <v>30.133333333333336</v>
      </c>
      <c r="BQ108" s="105">
        <f t="shared" si="138"/>
        <v>27.393939393939394</v>
      </c>
      <c r="BR108" s="105">
        <f t="shared" si="139"/>
        <v>25.111111111111111</v>
      </c>
      <c r="BS108" s="105">
        <f t="shared" si="140"/>
        <v>23.179487179487182</v>
      </c>
      <c r="BT108" s="105">
        <f t="shared" si="141"/>
        <v>21.523809523809522</v>
      </c>
      <c r="BU108" s="105">
        <f t="shared" si="142"/>
        <v>20.088888888888889</v>
      </c>
      <c r="BV108" s="105">
        <f t="shared" si="143"/>
        <v>18.833333333333332</v>
      </c>
      <c r="BW108" s="121"/>
      <c r="BX108" s="105">
        <f t="shared" si="145"/>
        <v>113</v>
      </c>
      <c r="BY108" s="105">
        <f t="shared" si="146"/>
        <v>75.333333333333329</v>
      </c>
      <c r="BZ108" s="105">
        <f t="shared" si="147"/>
        <v>56.5</v>
      </c>
      <c r="CA108" s="105">
        <f t="shared" si="148"/>
        <v>45.2</v>
      </c>
      <c r="CB108" s="105">
        <f t="shared" si="149"/>
        <v>37.666666666666664</v>
      </c>
      <c r="CC108" s="105">
        <f t="shared" si="150"/>
        <v>32.285714285714285</v>
      </c>
      <c r="CD108" s="105">
        <f t="shared" si="151"/>
        <v>28.25</v>
      </c>
      <c r="CE108" s="105">
        <f t="shared" si="152"/>
        <v>25.111111111111111</v>
      </c>
      <c r="CF108" s="105">
        <f t="shared" si="153"/>
        <v>22.6</v>
      </c>
      <c r="CG108" s="105">
        <f t="shared" si="154"/>
        <v>20.545454545454547</v>
      </c>
      <c r="CH108" s="105">
        <f t="shared" si="155"/>
        <v>18.833333333333332</v>
      </c>
      <c r="CI108" s="105">
        <f t="shared" si="156"/>
        <v>17.384615384615387</v>
      </c>
      <c r="CJ108" s="105">
        <f t="shared" si="157"/>
        <v>16.142857142857142</v>
      </c>
      <c r="CK108" s="105">
        <f t="shared" si="158"/>
        <v>15.066666666666666</v>
      </c>
      <c r="CL108" s="105">
        <f t="shared" si="159"/>
        <v>14.125</v>
      </c>
    </row>
    <row r="109" spans="9:90">
      <c r="I109" s="105">
        <v>114</v>
      </c>
      <c r="J109" s="105">
        <f t="shared" si="85"/>
        <v>1824</v>
      </c>
      <c r="K109" s="105">
        <f t="shared" si="86"/>
        <v>912</v>
      </c>
      <c r="L109" s="105">
        <f t="shared" si="87"/>
        <v>608</v>
      </c>
      <c r="M109" s="105">
        <f t="shared" si="88"/>
        <v>456</v>
      </c>
      <c r="N109" s="105">
        <f t="shared" si="89"/>
        <v>364.8</v>
      </c>
      <c r="O109" s="105">
        <f t="shared" si="90"/>
        <v>304</v>
      </c>
      <c r="P109" s="105">
        <f t="shared" si="91"/>
        <v>260.57142857142856</v>
      </c>
      <c r="Q109" s="105">
        <f t="shared" si="92"/>
        <v>228</v>
      </c>
      <c r="R109" s="105">
        <f t="shared" si="93"/>
        <v>202.66666666666666</v>
      </c>
      <c r="S109" s="105">
        <f t="shared" si="94"/>
        <v>182.4</v>
      </c>
      <c r="T109" s="105">
        <f t="shared" si="95"/>
        <v>165.81818181818181</v>
      </c>
      <c r="U109" s="105">
        <f t="shared" si="96"/>
        <v>152</v>
      </c>
      <c r="V109" s="105">
        <f t="shared" si="97"/>
        <v>140.30769230769232</v>
      </c>
      <c r="W109" s="105">
        <f t="shared" si="98"/>
        <v>130.28571428571428</v>
      </c>
      <c r="X109" s="105">
        <f t="shared" si="99"/>
        <v>121.6</v>
      </c>
      <c r="Y109" s="105">
        <f t="shared" si="100"/>
        <v>114</v>
      </c>
      <c r="AA109" s="121"/>
      <c r="AB109" s="120"/>
      <c r="AC109" s="120"/>
      <c r="AD109" s="120"/>
      <c r="AE109" s="120"/>
      <c r="AF109" s="105">
        <f t="shared" si="103"/>
        <v>152</v>
      </c>
      <c r="AG109" s="105">
        <f t="shared" si="104"/>
        <v>130.28571428571428</v>
      </c>
      <c r="AH109" s="105">
        <f t="shared" si="105"/>
        <v>114</v>
      </c>
      <c r="AI109" s="105">
        <f t="shared" si="106"/>
        <v>101.33333333333333</v>
      </c>
      <c r="AJ109" s="105">
        <f t="shared" si="107"/>
        <v>91.2</v>
      </c>
      <c r="AK109" s="105">
        <f t="shared" si="108"/>
        <v>82.909090909090907</v>
      </c>
      <c r="AL109" s="105">
        <f t="shared" si="109"/>
        <v>76</v>
      </c>
      <c r="AM109" s="105">
        <f t="shared" si="110"/>
        <v>70.15384615384616</v>
      </c>
      <c r="AN109" s="105">
        <f t="shared" si="111"/>
        <v>65.142857142857139</v>
      </c>
      <c r="AO109" s="105">
        <f t="shared" si="112"/>
        <v>60.8</v>
      </c>
      <c r="AP109" s="105">
        <f t="shared" si="113"/>
        <v>57</v>
      </c>
      <c r="AQ109" s="121"/>
      <c r="AR109" s="120"/>
      <c r="AS109" s="105">
        <f t="shared" si="115"/>
        <v>152</v>
      </c>
      <c r="AT109" s="105">
        <f t="shared" si="116"/>
        <v>114</v>
      </c>
      <c r="AU109" s="105">
        <f t="shared" si="117"/>
        <v>91.2</v>
      </c>
      <c r="AV109" s="105">
        <f t="shared" si="118"/>
        <v>76</v>
      </c>
      <c r="AW109" s="105">
        <f t="shared" si="119"/>
        <v>65.142857142857139</v>
      </c>
      <c r="AX109" s="105">
        <f t="shared" si="120"/>
        <v>57</v>
      </c>
      <c r="AY109" s="105">
        <f t="shared" si="121"/>
        <v>50.666666666666664</v>
      </c>
      <c r="AZ109" s="105">
        <f t="shared" si="122"/>
        <v>45.6</v>
      </c>
      <c r="BA109" s="105">
        <f t="shared" si="123"/>
        <v>41.454545454545453</v>
      </c>
      <c r="BB109" s="105">
        <f t="shared" si="124"/>
        <v>38</v>
      </c>
      <c r="BC109" s="105">
        <f t="shared" si="125"/>
        <v>35.07692307692308</v>
      </c>
      <c r="BD109" s="105">
        <f t="shared" si="126"/>
        <v>32.571428571428569</v>
      </c>
      <c r="BE109" s="105">
        <f t="shared" si="127"/>
        <v>30.4</v>
      </c>
      <c r="BF109" s="110">
        <f t="shared" si="128"/>
        <v>28.5</v>
      </c>
      <c r="BG109" s="120"/>
      <c r="BH109" s="105">
        <f t="shared" si="129"/>
        <v>152</v>
      </c>
      <c r="BI109" s="105">
        <f t="shared" si="130"/>
        <v>101.33333333333333</v>
      </c>
      <c r="BJ109" s="105">
        <f t="shared" si="131"/>
        <v>76</v>
      </c>
      <c r="BK109" s="105">
        <f t="shared" si="132"/>
        <v>60.800000000000004</v>
      </c>
      <c r="BL109" s="105">
        <f t="shared" si="133"/>
        <v>50.666666666666664</v>
      </c>
      <c r="BM109" s="105">
        <f t="shared" si="134"/>
        <v>43.428571428571423</v>
      </c>
      <c r="BN109" s="105">
        <f t="shared" si="135"/>
        <v>38</v>
      </c>
      <c r="BO109" s="105">
        <f t="shared" si="136"/>
        <v>33.777777777777779</v>
      </c>
      <c r="BP109" s="105">
        <f t="shared" si="137"/>
        <v>30.400000000000002</v>
      </c>
      <c r="BQ109" s="105">
        <f t="shared" si="138"/>
        <v>27.636363636363637</v>
      </c>
      <c r="BR109" s="105">
        <f t="shared" si="139"/>
        <v>25.333333333333332</v>
      </c>
      <c r="BS109" s="105">
        <f t="shared" si="140"/>
        <v>23.384615384615387</v>
      </c>
      <c r="BT109" s="105">
        <f t="shared" si="141"/>
        <v>21.714285714285712</v>
      </c>
      <c r="BU109" s="105">
        <f t="shared" si="142"/>
        <v>20.266666666666666</v>
      </c>
      <c r="BV109" s="105">
        <f t="shared" si="143"/>
        <v>19</v>
      </c>
      <c r="BW109" s="121"/>
      <c r="BX109" s="105">
        <f t="shared" si="145"/>
        <v>114</v>
      </c>
      <c r="BY109" s="105">
        <f t="shared" si="146"/>
        <v>76</v>
      </c>
      <c r="BZ109" s="105">
        <f t="shared" si="147"/>
        <v>57</v>
      </c>
      <c r="CA109" s="105">
        <f t="shared" si="148"/>
        <v>45.6</v>
      </c>
      <c r="CB109" s="105">
        <f t="shared" si="149"/>
        <v>38</v>
      </c>
      <c r="CC109" s="105">
        <f t="shared" si="150"/>
        <v>32.571428571428569</v>
      </c>
      <c r="CD109" s="105">
        <f t="shared" si="151"/>
        <v>28.5</v>
      </c>
      <c r="CE109" s="105">
        <f t="shared" si="152"/>
        <v>25.333333333333332</v>
      </c>
      <c r="CF109" s="105">
        <f t="shared" si="153"/>
        <v>22.8</v>
      </c>
      <c r="CG109" s="105">
        <f t="shared" si="154"/>
        <v>20.727272727272727</v>
      </c>
      <c r="CH109" s="105">
        <f t="shared" si="155"/>
        <v>19</v>
      </c>
      <c r="CI109" s="105">
        <f t="shared" si="156"/>
        <v>17.53846153846154</v>
      </c>
      <c r="CJ109" s="105">
        <f t="shared" si="157"/>
        <v>16.285714285714285</v>
      </c>
      <c r="CK109" s="105">
        <f t="shared" si="158"/>
        <v>15.2</v>
      </c>
      <c r="CL109" s="105">
        <f t="shared" si="159"/>
        <v>14.25</v>
      </c>
    </row>
    <row r="110" spans="9:90">
      <c r="I110" s="105">
        <v>115</v>
      </c>
      <c r="J110" s="105">
        <f t="shared" si="85"/>
        <v>1840</v>
      </c>
      <c r="K110" s="105">
        <f t="shared" si="86"/>
        <v>920</v>
      </c>
      <c r="L110" s="105">
        <f t="shared" si="87"/>
        <v>613.33333333333326</v>
      </c>
      <c r="M110" s="105">
        <f t="shared" si="88"/>
        <v>460</v>
      </c>
      <c r="N110" s="105">
        <f t="shared" si="89"/>
        <v>368</v>
      </c>
      <c r="O110" s="105">
        <f t="shared" si="90"/>
        <v>306.66666666666663</v>
      </c>
      <c r="P110" s="105">
        <f t="shared" si="91"/>
        <v>262.85714285714283</v>
      </c>
      <c r="Q110" s="105">
        <f t="shared" si="92"/>
        <v>230</v>
      </c>
      <c r="R110" s="105">
        <f t="shared" si="93"/>
        <v>204.44444444444443</v>
      </c>
      <c r="S110" s="105">
        <f t="shared" si="94"/>
        <v>184</v>
      </c>
      <c r="T110" s="105">
        <f t="shared" si="95"/>
        <v>167.27272727272728</v>
      </c>
      <c r="U110" s="105">
        <f t="shared" si="96"/>
        <v>153.33333333333331</v>
      </c>
      <c r="V110" s="105">
        <f t="shared" si="97"/>
        <v>141.53846153846155</v>
      </c>
      <c r="W110" s="105">
        <f t="shared" si="98"/>
        <v>131.42857142857142</v>
      </c>
      <c r="X110" s="105">
        <f t="shared" si="99"/>
        <v>122.66666666666667</v>
      </c>
      <c r="Y110" s="105">
        <f t="shared" si="100"/>
        <v>115</v>
      </c>
      <c r="AA110" s="121"/>
      <c r="AB110" s="120"/>
      <c r="AC110" s="120"/>
      <c r="AD110" s="120"/>
      <c r="AE110" s="120"/>
      <c r="AF110" s="105">
        <f t="shared" si="103"/>
        <v>153.33333333333331</v>
      </c>
      <c r="AG110" s="105">
        <f t="shared" si="104"/>
        <v>131.42857142857142</v>
      </c>
      <c r="AH110" s="105">
        <f t="shared" si="105"/>
        <v>115</v>
      </c>
      <c r="AI110" s="105">
        <f t="shared" si="106"/>
        <v>102.22222222222221</v>
      </c>
      <c r="AJ110" s="105">
        <f t="shared" si="107"/>
        <v>92</v>
      </c>
      <c r="AK110" s="105">
        <f t="shared" si="108"/>
        <v>83.63636363636364</v>
      </c>
      <c r="AL110" s="105">
        <f t="shared" si="109"/>
        <v>76.666666666666657</v>
      </c>
      <c r="AM110" s="105">
        <f t="shared" si="110"/>
        <v>70.769230769230774</v>
      </c>
      <c r="AN110" s="105">
        <f t="shared" si="111"/>
        <v>65.714285714285708</v>
      </c>
      <c r="AO110" s="105">
        <f t="shared" si="112"/>
        <v>61.333333333333336</v>
      </c>
      <c r="AP110" s="105">
        <f t="shared" si="113"/>
        <v>57.5</v>
      </c>
      <c r="AQ110" s="121"/>
      <c r="AR110" s="120"/>
      <c r="AS110" s="105">
        <f t="shared" si="115"/>
        <v>153.33333333333331</v>
      </c>
      <c r="AT110" s="105">
        <f t="shared" si="116"/>
        <v>115</v>
      </c>
      <c r="AU110" s="105">
        <f t="shared" si="117"/>
        <v>92</v>
      </c>
      <c r="AV110" s="105">
        <f t="shared" si="118"/>
        <v>76.666666666666657</v>
      </c>
      <c r="AW110" s="105">
        <f t="shared" si="119"/>
        <v>65.714285714285708</v>
      </c>
      <c r="AX110" s="105">
        <f t="shared" si="120"/>
        <v>57.5</v>
      </c>
      <c r="AY110" s="105">
        <f t="shared" si="121"/>
        <v>51.111111111111107</v>
      </c>
      <c r="AZ110" s="105">
        <f t="shared" si="122"/>
        <v>46</v>
      </c>
      <c r="BA110" s="105">
        <f t="shared" si="123"/>
        <v>41.81818181818182</v>
      </c>
      <c r="BB110" s="105">
        <f t="shared" si="124"/>
        <v>38.333333333333329</v>
      </c>
      <c r="BC110" s="105">
        <f t="shared" si="125"/>
        <v>35.384615384615387</v>
      </c>
      <c r="BD110" s="105">
        <f t="shared" si="126"/>
        <v>32.857142857142854</v>
      </c>
      <c r="BE110" s="105">
        <f t="shared" si="127"/>
        <v>30.666666666666668</v>
      </c>
      <c r="BF110" s="110">
        <f t="shared" si="128"/>
        <v>28.75</v>
      </c>
      <c r="BG110" s="120"/>
      <c r="BH110" s="105">
        <f t="shared" si="129"/>
        <v>153.33333333333334</v>
      </c>
      <c r="BI110" s="105">
        <f t="shared" si="130"/>
        <v>102.22222222222221</v>
      </c>
      <c r="BJ110" s="105">
        <f t="shared" si="131"/>
        <v>76.666666666666671</v>
      </c>
      <c r="BK110" s="105">
        <f t="shared" si="132"/>
        <v>61.333333333333336</v>
      </c>
      <c r="BL110" s="105">
        <f t="shared" si="133"/>
        <v>51.111111111111107</v>
      </c>
      <c r="BM110" s="105">
        <f t="shared" si="134"/>
        <v>43.809523809523803</v>
      </c>
      <c r="BN110" s="105">
        <f t="shared" si="135"/>
        <v>38.333333333333336</v>
      </c>
      <c r="BO110" s="105">
        <f t="shared" si="136"/>
        <v>34.074074074074069</v>
      </c>
      <c r="BP110" s="105">
        <f t="shared" si="137"/>
        <v>30.666666666666668</v>
      </c>
      <c r="BQ110" s="105">
        <f t="shared" si="138"/>
        <v>27.878787878787879</v>
      </c>
      <c r="BR110" s="105">
        <f t="shared" si="139"/>
        <v>25.555555555555554</v>
      </c>
      <c r="BS110" s="105">
        <f t="shared" si="140"/>
        <v>23.589743589743591</v>
      </c>
      <c r="BT110" s="105">
        <f t="shared" si="141"/>
        <v>21.904761904761902</v>
      </c>
      <c r="BU110" s="105">
        <f t="shared" si="142"/>
        <v>20.444444444444446</v>
      </c>
      <c r="BV110" s="105">
        <f t="shared" si="143"/>
        <v>19.166666666666668</v>
      </c>
      <c r="BW110" s="121"/>
      <c r="BX110" s="105">
        <f t="shared" si="145"/>
        <v>115</v>
      </c>
      <c r="BY110" s="105">
        <f t="shared" si="146"/>
        <v>76.666666666666657</v>
      </c>
      <c r="BZ110" s="105">
        <f t="shared" si="147"/>
        <v>57.5</v>
      </c>
      <c r="CA110" s="105">
        <f t="shared" si="148"/>
        <v>46</v>
      </c>
      <c r="CB110" s="105">
        <f t="shared" si="149"/>
        <v>38.333333333333329</v>
      </c>
      <c r="CC110" s="105">
        <f t="shared" si="150"/>
        <v>32.857142857142854</v>
      </c>
      <c r="CD110" s="105">
        <f t="shared" si="151"/>
        <v>28.75</v>
      </c>
      <c r="CE110" s="105">
        <f t="shared" si="152"/>
        <v>25.555555555555554</v>
      </c>
      <c r="CF110" s="105">
        <f t="shared" si="153"/>
        <v>23</v>
      </c>
      <c r="CG110" s="105">
        <f t="shared" si="154"/>
        <v>20.90909090909091</v>
      </c>
      <c r="CH110" s="105">
        <f t="shared" si="155"/>
        <v>19.166666666666664</v>
      </c>
      <c r="CI110" s="105">
        <f t="shared" si="156"/>
        <v>17.692307692307693</v>
      </c>
      <c r="CJ110" s="105">
        <f t="shared" si="157"/>
        <v>16.428571428571427</v>
      </c>
      <c r="CK110" s="105">
        <f t="shared" si="158"/>
        <v>15.333333333333334</v>
      </c>
      <c r="CL110" s="105">
        <f t="shared" si="159"/>
        <v>14.375</v>
      </c>
    </row>
    <row r="111" spans="9:90">
      <c r="I111" s="105">
        <v>116</v>
      </c>
      <c r="J111" s="105">
        <f t="shared" si="85"/>
        <v>1856</v>
      </c>
      <c r="K111" s="105">
        <f t="shared" si="86"/>
        <v>928</v>
      </c>
      <c r="L111" s="105">
        <f t="shared" si="87"/>
        <v>618.66666666666663</v>
      </c>
      <c r="M111" s="105">
        <f t="shared" si="88"/>
        <v>464</v>
      </c>
      <c r="N111" s="105">
        <f t="shared" si="89"/>
        <v>371.20000000000005</v>
      </c>
      <c r="O111" s="105">
        <f t="shared" si="90"/>
        <v>309.33333333333331</v>
      </c>
      <c r="P111" s="105">
        <f t="shared" si="91"/>
        <v>265.14285714285711</v>
      </c>
      <c r="Q111" s="105">
        <f t="shared" si="92"/>
        <v>232</v>
      </c>
      <c r="R111" s="105">
        <f t="shared" si="93"/>
        <v>206.2222222222222</v>
      </c>
      <c r="S111" s="105">
        <f t="shared" si="94"/>
        <v>185.60000000000002</v>
      </c>
      <c r="T111" s="105">
        <f t="shared" si="95"/>
        <v>168.72727272727272</v>
      </c>
      <c r="U111" s="105">
        <f t="shared" si="96"/>
        <v>154.66666666666666</v>
      </c>
      <c r="V111" s="105">
        <f t="shared" si="97"/>
        <v>142.76923076923077</v>
      </c>
      <c r="W111" s="105">
        <f t="shared" si="98"/>
        <v>132.57142857142856</v>
      </c>
      <c r="X111" s="105">
        <f t="shared" si="99"/>
        <v>123.73333333333333</v>
      </c>
      <c r="Y111" s="105">
        <f t="shared" si="100"/>
        <v>116</v>
      </c>
      <c r="AA111" s="121"/>
      <c r="AB111" s="120"/>
      <c r="AC111" s="120"/>
      <c r="AD111" s="120"/>
      <c r="AE111" s="120"/>
      <c r="AF111" s="105">
        <f t="shared" si="103"/>
        <v>154.66666666666666</v>
      </c>
      <c r="AG111" s="105">
        <f t="shared" si="104"/>
        <v>132.57142857142856</v>
      </c>
      <c r="AH111" s="105">
        <f t="shared" si="105"/>
        <v>116</v>
      </c>
      <c r="AI111" s="105">
        <f t="shared" si="106"/>
        <v>103.1111111111111</v>
      </c>
      <c r="AJ111" s="105">
        <f t="shared" si="107"/>
        <v>92.800000000000011</v>
      </c>
      <c r="AK111" s="105">
        <f t="shared" si="108"/>
        <v>84.36363636363636</v>
      </c>
      <c r="AL111" s="105">
        <f t="shared" si="109"/>
        <v>77.333333333333329</v>
      </c>
      <c r="AM111" s="105">
        <f t="shared" si="110"/>
        <v>71.384615384615387</v>
      </c>
      <c r="AN111" s="105">
        <f t="shared" si="111"/>
        <v>66.285714285714278</v>
      </c>
      <c r="AO111" s="105">
        <f t="shared" si="112"/>
        <v>61.866666666666667</v>
      </c>
      <c r="AP111" s="105">
        <f t="shared" si="113"/>
        <v>58</v>
      </c>
      <c r="AQ111" s="121"/>
      <c r="AR111" s="120"/>
      <c r="AS111" s="105">
        <f t="shared" si="115"/>
        <v>154.66666666666666</v>
      </c>
      <c r="AT111" s="105">
        <f t="shared" si="116"/>
        <v>116</v>
      </c>
      <c r="AU111" s="105">
        <f t="shared" si="117"/>
        <v>92.800000000000011</v>
      </c>
      <c r="AV111" s="105">
        <f t="shared" si="118"/>
        <v>77.333333333333329</v>
      </c>
      <c r="AW111" s="105">
        <f t="shared" si="119"/>
        <v>66.285714285714278</v>
      </c>
      <c r="AX111" s="105">
        <f t="shared" si="120"/>
        <v>58</v>
      </c>
      <c r="AY111" s="105">
        <f t="shared" si="121"/>
        <v>51.55555555555555</v>
      </c>
      <c r="AZ111" s="105">
        <f t="shared" si="122"/>
        <v>46.400000000000006</v>
      </c>
      <c r="BA111" s="105">
        <f t="shared" si="123"/>
        <v>42.18181818181818</v>
      </c>
      <c r="BB111" s="105">
        <f t="shared" si="124"/>
        <v>38.666666666666664</v>
      </c>
      <c r="BC111" s="105">
        <f t="shared" si="125"/>
        <v>35.692307692307693</v>
      </c>
      <c r="BD111" s="105">
        <f t="shared" si="126"/>
        <v>33.142857142857139</v>
      </c>
      <c r="BE111" s="105">
        <f t="shared" si="127"/>
        <v>30.933333333333334</v>
      </c>
      <c r="BF111" s="110">
        <f t="shared" si="128"/>
        <v>29</v>
      </c>
      <c r="BG111" s="120"/>
      <c r="BH111" s="105">
        <f t="shared" si="129"/>
        <v>154.66666666666666</v>
      </c>
      <c r="BI111" s="105">
        <f t="shared" si="130"/>
        <v>103.1111111111111</v>
      </c>
      <c r="BJ111" s="105">
        <f t="shared" si="131"/>
        <v>77.333333333333329</v>
      </c>
      <c r="BK111" s="105">
        <f t="shared" si="132"/>
        <v>61.866666666666674</v>
      </c>
      <c r="BL111" s="105">
        <f t="shared" si="133"/>
        <v>51.55555555555555</v>
      </c>
      <c r="BM111" s="105">
        <f t="shared" si="134"/>
        <v>44.190476190476183</v>
      </c>
      <c r="BN111" s="105">
        <f t="shared" si="135"/>
        <v>38.666666666666664</v>
      </c>
      <c r="BO111" s="105">
        <f t="shared" si="136"/>
        <v>34.370370370370367</v>
      </c>
      <c r="BP111" s="105">
        <f t="shared" si="137"/>
        <v>30.933333333333337</v>
      </c>
      <c r="BQ111" s="105">
        <f t="shared" si="138"/>
        <v>28.121212121212121</v>
      </c>
      <c r="BR111" s="105">
        <f t="shared" si="139"/>
        <v>25.777777777777775</v>
      </c>
      <c r="BS111" s="105">
        <f t="shared" si="140"/>
        <v>23.794871794871796</v>
      </c>
      <c r="BT111" s="105">
        <f t="shared" si="141"/>
        <v>22.095238095238091</v>
      </c>
      <c r="BU111" s="105">
        <f t="shared" si="142"/>
        <v>20.622222222222224</v>
      </c>
      <c r="BV111" s="105">
        <f t="shared" si="143"/>
        <v>19.333333333333332</v>
      </c>
      <c r="BW111" s="121"/>
      <c r="BX111" s="105">
        <f t="shared" si="145"/>
        <v>116</v>
      </c>
      <c r="BY111" s="105">
        <f t="shared" si="146"/>
        <v>77.333333333333329</v>
      </c>
      <c r="BZ111" s="105">
        <f t="shared" si="147"/>
        <v>58</v>
      </c>
      <c r="CA111" s="105">
        <f t="shared" si="148"/>
        <v>46.400000000000006</v>
      </c>
      <c r="CB111" s="105">
        <f t="shared" si="149"/>
        <v>38.666666666666664</v>
      </c>
      <c r="CC111" s="105">
        <f t="shared" si="150"/>
        <v>33.142857142857139</v>
      </c>
      <c r="CD111" s="105">
        <f t="shared" si="151"/>
        <v>29</v>
      </c>
      <c r="CE111" s="105">
        <f t="shared" si="152"/>
        <v>25.777777777777775</v>
      </c>
      <c r="CF111" s="105">
        <f t="shared" si="153"/>
        <v>23.200000000000003</v>
      </c>
      <c r="CG111" s="105">
        <f t="shared" si="154"/>
        <v>21.09090909090909</v>
      </c>
      <c r="CH111" s="105">
        <f t="shared" si="155"/>
        <v>19.333333333333332</v>
      </c>
      <c r="CI111" s="105">
        <f t="shared" si="156"/>
        <v>17.846153846153847</v>
      </c>
      <c r="CJ111" s="105">
        <f t="shared" si="157"/>
        <v>16.571428571428569</v>
      </c>
      <c r="CK111" s="105">
        <f t="shared" si="158"/>
        <v>15.466666666666667</v>
      </c>
      <c r="CL111" s="105">
        <f t="shared" si="159"/>
        <v>14.5</v>
      </c>
    </row>
    <row r="112" spans="9:90">
      <c r="I112" s="105">
        <v>117</v>
      </c>
      <c r="J112" s="105">
        <f t="shared" si="85"/>
        <v>1872</v>
      </c>
      <c r="K112" s="105">
        <f t="shared" si="86"/>
        <v>936</v>
      </c>
      <c r="L112" s="105">
        <f t="shared" si="87"/>
        <v>624</v>
      </c>
      <c r="M112" s="105">
        <f t="shared" si="88"/>
        <v>468</v>
      </c>
      <c r="N112" s="105">
        <f t="shared" si="89"/>
        <v>374.40000000000003</v>
      </c>
      <c r="O112" s="105">
        <f t="shared" si="90"/>
        <v>312</v>
      </c>
      <c r="P112" s="105">
        <f t="shared" si="91"/>
        <v>267.42857142857139</v>
      </c>
      <c r="Q112" s="105">
        <f t="shared" si="92"/>
        <v>234</v>
      </c>
      <c r="R112" s="105">
        <f t="shared" si="93"/>
        <v>208</v>
      </c>
      <c r="S112" s="105">
        <f t="shared" si="94"/>
        <v>187.20000000000002</v>
      </c>
      <c r="T112" s="105">
        <f t="shared" si="95"/>
        <v>170.18181818181819</v>
      </c>
      <c r="U112" s="105">
        <f t="shared" si="96"/>
        <v>156</v>
      </c>
      <c r="V112" s="105">
        <f t="shared" si="97"/>
        <v>144</v>
      </c>
      <c r="W112" s="105">
        <f t="shared" si="98"/>
        <v>133.71428571428569</v>
      </c>
      <c r="X112" s="105">
        <f t="shared" si="99"/>
        <v>124.8</v>
      </c>
      <c r="Y112" s="105">
        <f t="shared" si="100"/>
        <v>117</v>
      </c>
      <c r="AA112" s="121"/>
      <c r="AB112" s="120"/>
      <c r="AC112" s="120"/>
      <c r="AD112" s="120"/>
      <c r="AE112" s="120"/>
      <c r="AF112" s="105">
        <f t="shared" si="103"/>
        <v>156</v>
      </c>
      <c r="AG112" s="105">
        <f t="shared" si="104"/>
        <v>133.71428571428569</v>
      </c>
      <c r="AH112" s="105">
        <f t="shared" si="105"/>
        <v>117</v>
      </c>
      <c r="AI112" s="105">
        <f t="shared" si="106"/>
        <v>104</v>
      </c>
      <c r="AJ112" s="105">
        <f t="shared" si="107"/>
        <v>93.600000000000009</v>
      </c>
      <c r="AK112" s="105">
        <f t="shared" si="108"/>
        <v>85.090909090909093</v>
      </c>
      <c r="AL112" s="105">
        <f t="shared" si="109"/>
        <v>78</v>
      </c>
      <c r="AM112" s="105">
        <f t="shared" si="110"/>
        <v>72</v>
      </c>
      <c r="AN112" s="105">
        <f t="shared" si="111"/>
        <v>66.857142857142847</v>
      </c>
      <c r="AO112" s="105">
        <f t="shared" si="112"/>
        <v>62.4</v>
      </c>
      <c r="AP112" s="105">
        <f t="shared" si="113"/>
        <v>58.5</v>
      </c>
      <c r="AQ112" s="121"/>
      <c r="AR112" s="120"/>
      <c r="AS112" s="105">
        <f t="shared" si="115"/>
        <v>156</v>
      </c>
      <c r="AT112" s="105">
        <f t="shared" si="116"/>
        <v>117</v>
      </c>
      <c r="AU112" s="105">
        <f t="shared" si="117"/>
        <v>93.600000000000009</v>
      </c>
      <c r="AV112" s="105">
        <f t="shared" si="118"/>
        <v>78</v>
      </c>
      <c r="AW112" s="105">
        <f t="shared" si="119"/>
        <v>66.857142857142847</v>
      </c>
      <c r="AX112" s="105">
        <f t="shared" si="120"/>
        <v>58.5</v>
      </c>
      <c r="AY112" s="105">
        <f t="shared" si="121"/>
        <v>52</v>
      </c>
      <c r="AZ112" s="105">
        <f t="shared" si="122"/>
        <v>46.800000000000004</v>
      </c>
      <c r="BA112" s="105">
        <f t="shared" si="123"/>
        <v>42.545454545454547</v>
      </c>
      <c r="BB112" s="105">
        <f t="shared" si="124"/>
        <v>39</v>
      </c>
      <c r="BC112" s="105">
        <f t="shared" si="125"/>
        <v>36</v>
      </c>
      <c r="BD112" s="105">
        <f t="shared" si="126"/>
        <v>33.428571428571423</v>
      </c>
      <c r="BE112" s="105">
        <f t="shared" si="127"/>
        <v>31.2</v>
      </c>
      <c r="BF112" s="110">
        <f t="shared" si="128"/>
        <v>29.25</v>
      </c>
      <c r="BG112" s="120"/>
      <c r="BH112" s="105">
        <f t="shared" si="129"/>
        <v>156</v>
      </c>
      <c r="BI112" s="105">
        <f t="shared" si="130"/>
        <v>104</v>
      </c>
      <c r="BJ112" s="105">
        <f t="shared" si="131"/>
        <v>78</v>
      </c>
      <c r="BK112" s="105">
        <f t="shared" si="132"/>
        <v>62.400000000000006</v>
      </c>
      <c r="BL112" s="105">
        <f t="shared" si="133"/>
        <v>52</v>
      </c>
      <c r="BM112" s="105">
        <f t="shared" si="134"/>
        <v>44.571428571428562</v>
      </c>
      <c r="BN112" s="105">
        <f t="shared" si="135"/>
        <v>39</v>
      </c>
      <c r="BO112" s="105">
        <f t="shared" si="136"/>
        <v>34.666666666666664</v>
      </c>
      <c r="BP112" s="105">
        <f t="shared" si="137"/>
        <v>31.200000000000003</v>
      </c>
      <c r="BQ112" s="105">
        <f t="shared" si="138"/>
        <v>28.363636363636363</v>
      </c>
      <c r="BR112" s="105">
        <f t="shared" si="139"/>
        <v>26</v>
      </c>
      <c r="BS112" s="105">
        <f t="shared" si="140"/>
        <v>24</v>
      </c>
      <c r="BT112" s="105">
        <f t="shared" si="141"/>
        <v>22.285714285714281</v>
      </c>
      <c r="BU112" s="105">
        <f t="shared" si="142"/>
        <v>20.8</v>
      </c>
      <c r="BV112" s="105">
        <f t="shared" si="143"/>
        <v>19.5</v>
      </c>
      <c r="BW112" s="121"/>
      <c r="BX112" s="105">
        <f t="shared" si="145"/>
        <v>117</v>
      </c>
      <c r="BY112" s="105">
        <f t="shared" si="146"/>
        <v>78</v>
      </c>
      <c r="BZ112" s="105">
        <f t="shared" si="147"/>
        <v>58.5</v>
      </c>
      <c r="CA112" s="105">
        <f t="shared" si="148"/>
        <v>46.800000000000004</v>
      </c>
      <c r="CB112" s="105">
        <f t="shared" si="149"/>
        <v>39</v>
      </c>
      <c r="CC112" s="105">
        <f t="shared" si="150"/>
        <v>33.428571428571423</v>
      </c>
      <c r="CD112" s="105">
        <f t="shared" si="151"/>
        <v>29.25</v>
      </c>
      <c r="CE112" s="105">
        <f t="shared" si="152"/>
        <v>26</v>
      </c>
      <c r="CF112" s="105">
        <f t="shared" si="153"/>
        <v>23.400000000000002</v>
      </c>
      <c r="CG112" s="105">
        <f t="shared" si="154"/>
        <v>21.272727272727273</v>
      </c>
      <c r="CH112" s="105">
        <f t="shared" si="155"/>
        <v>19.5</v>
      </c>
      <c r="CI112" s="105">
        <f t="shared" si="156"/>
        <v>18</v>
      </c>
      <c r="CJ112" s="105">
        <f t="shared" si="157"/>
        <v>16.714285714285712</v>
      </c>
      <c r="CK112" s="105">
        <f t="shared" si="158"/>
        <v>15.6</v>
      </c>
      <c r="CL112" s="105">
        <f t="shared" si="159"/>
        <v>14.625</v>
      </c>
    </row>
    <row r="113" spans="9:90">
      <c r="I113" s="105">
        <v>118</v>
      </c>
      <c r="J113" s="105">
        <f t="shared" si="85"/>
        <v>1888</v>
      </c>
      <c r="K113" s="105">
        <f t="shared" si="86"/>
        <v>944</v>
      </c>
      <c r="L113" s="105">
        <f t="shared" si="87"/>
        <v>629.33333333333326</v>
      </c>
      <c r="M113" s="105">
        <f t="shared" si="88"/>
        <v>472</v>
      </c>
      <c r="N113" s="105">
        <f t="shared" si="89"/>
        <v>377.6</v>
      </c>
      <c r="O113" s="105">
        <f t="shared" si="90"/>
        <v>314.66666666666663</v>
      </c>
      <c r="P113" s="105">
        <f t="shared" si="91"/>
        <v>269.71428571428572</v>
      </c>
      <c r="Q113" s="105">
        <f t="shared" si="92"/>
        <v>236</v>
      </c>
      <c r="R113" s="105">
        <f t="shared" si="93"/>
        <v>209.77777777777777</v>
      </c>
      <c r="S113" s="105">
        <f t="shared" si="94"/>
        <v>188.8</v>
      </c>
      <c r="T113" s="105">
        <f t="shared" si="95"/>
        <v>171.63636363636365</v>
      </c>
      <c r="U113" s="105">
        <f t="shared" si="96"/>
        <v>157.33333333333331</v>
      </c>
      <c r="V113" s="105">
        <f t="shared" si="97"/>
        <v>145.23076923076923</v>
      </c>
      <c r="W113" s="105">
        <f t="shared" si="98"/>
        <v>134.85714285714286</v>
      </c>
      <c r="X113" s="105">
        <f t="shared" si="99"/>
        <v>125.86666666666666</v>
      </c>
      <c r="Y113" s="105">
        <f t="shared" si="100"/>
        <v>118</v>
      </c>
      <c r="AA113" s="121"/>
      <c r="AB113" s="120"/>
      <c r="AC113" s="120"/>
      <c r="AD113" s="120"/>
      <c r="AE113" s="120"/>
      <c r="AF113" s="105">
        <f t="shared" si="103"/>
        <v>157.33333333333331</v>
      </c>
      <c r="AG113" s="105">
        <f t="shared" si="104"/>
        <v>134.85714285714286</v>
      </c>
      <c r="AH113" s="105">
        <f t="shared" si="105"/>
        <v>118</v>
      </c>
      <c r="AI113" s="105">
        <f t="shared" si="106"/>
        <v>104.88888888888889</v>
      </c>
      <c r="AJ113" s="105">
        <f t="shared" si="107"/>
        <v>94.4</v>
      </c>
      <c r="AK113" s="105">
        <f t="shared" si="108"/>
        <v>85.818181818181827</v>
      </c>
      <c r="AL113" s="105">
        <f t="shared" si="109"/>
        <v>78.666666666666657</v>
      </c>
      <c r="AM113" s="105">
        <f t="shared" si="110"/>
        <v>72.615384615384613</v>
      </c>
      <c r="AN113" s="105">
        <f t="shared" si="111"/>
        <v>67.428571428571431</v>
      </c>
      <c r="AO113" s="105">
        <f t="shared" si="112"/>
        <v>62.93333333333333</v>
      </c>
      <c r="AP113" s="105">
        <f t="shared" si="113"/>
        <v>59</v>
      </c>
      <c r="AQ113" s="121"/>
      <c r="AR113" s="120"/>
      <c r="AS113" s="105">
        <f t="shared" si="115"/>
        <v>157.33333333333331</v>
      </c>
      <c r="AT113" s="105">
        <f t="shared" si="116"/>
        <v>118</v>
      </c>
      <c r="AU113" s="105">
        <f t="shared" si="117"/>
        <v>94.4</v>
      </c>
      <c r="AV113" s="105">
        <f t="shared" si="118"/>
        <v>78.666666666666657</v>
      </c>
      <c r="AW113" s="105">
        <f t="shared" si="119"/>
        <v>67.428571428571431</v>
      </c>
      <c r="AX113" s="105">
        <f t="shared" si="120"/>
        <v>59</v>
      </c>
      <c r="AY113" s="105">
        <f t="shared" si="121"/>
        <v>52.444444444444443</v>
      </c>
      <c r="AZ113" s="105">
        <f t="shared" si="122"/>
        <v>47.2</v>
      </c>
      <c r="BA113" s="105">
        <f t="shared" si="123"/>
        <v>42.909090909090914</v>
      </c>
      <c r="BB113" s="105">
        <f t="shared" si="124"/>
        <v>39.333333333333329</v>
      </c>
      <c r="BC113" s="105">
        <f t="shared" si="125"/>
        <v>36.307692307692307</v>
      </c>
      <c r="BD113" s="105">
        <f t="shared" si="126"/>
        <v>33.714285714285715</v>
      </c>
      <c r="BE113" s="105">
        <f t="shared" si="127"/>
        <v>31.466666666666665</v>
      </c>
      <c r="BF113" s="110">
        <f t="shared" si="128"/>
        <v>29.5</v>
      </c>
      <c r="BG113" s="120"/>
      <c r="BH113" s="105">
        <f t="shared" si="129"/>
        <v>157.33333333333334</v>
      </c>
      <c r="BI113" s="105">
        <f t="shared" si="130"/>
        <v>104.88888888888887</v>
      </c>
      <c r="BJ113" s="105">
        <f t="shared" si="131"/>
        <v>78.666666666666671</v>
      </c>
      <c r="BK113" s="105">
        <f t="shared" si="132"/>
        <v>62.933333333333337</v>
      </c>
      <c r="BL113" s="105">
        <f t="shared" si="133"/>
        <v>52.444444444444436</v>
      </c>
      <c r="BM113" s="105">
        <f t="shared" si="134"/>
        <v>44.952380952380956</v>
      </c>
      <c r="BN113" s="105">
        <f t="shared" si="135"/>
        <v>39.333333333333336</v>
      </c>
      <c r="BO113" s="105">
        <f t="shared" si="136"/>
        <v>34.962962962962962</v>
      </c>
      <c r="BP113" s="105">
        <f t="shared" si="137"/>
        <v>31.466666666666669</v>
      </c>
      <c r="BQ113" s="105">
        <f t="shared" si="138"/>
        <v>28.606060606060609</v>
      </c>
      <c r="BR113" s="105">
        <f t="shared" si="139"/>
        <v>26.222222222222218</v>
      </c>
      <c r="BS113" s="105">
        <f t="shared" si="140"/>
        <v>24.205128205128204</v>
      </c>
      <c r="BT113" s="105">
        <f t="shared" si="141"/>
        <v>22.476190476190478</v>
      </c>
      <c r="BU113" s="105">
        <f t="shared" si="142"/>
        <v>20.977777777777778</v>
      </c>
      <c r="BV113" s="105">
        <f t="shared" si="143"/>
        <v>19.666666666666668</v>
      </c>
      <c r="BW113" s="121"/>
      <c r="BX113" s="105">
        <f t="shared" si="145"/>
        <v>118</v>
      </c>
      <c r="BY113" s="105">
        <f t="shared" si="146"/>
        <v>78.666666666666657</v>
      </c>
      <c r="BZ113" s="105">
        <f t="shared" si="147"/>
        <v>59</v>
      </c>
      <c r="CA113" s="105">
        <f t="shared" si="148"/>
        <v>47.2</v>
      </c>
      <c r="CB113" s="105">
        <f t="shared" si="149"/>
        <v>39.333333333333329</v>
      </c>
      <c r="CC113" s="105">
        <f t="shared" si="150"/>
        <v>33.714285714285715</v>
      </c>
      <c r="CD113" s="105">
        <f t="shared" si="151"/>
        <v>29.5</v>
      </c>
      <c r="CE113" s="105">
        <f t="shared" si="152"/>
        <v>26.222222222222221</v>
      </c>
      <c r="CF113" s="105">
        <f t="shared" si="153"/>
        <v>23.6</v>
      </c>
      <c r="CG113" s="105">
        <f t="shared" si="154"/>
        <v>21.454545454545457</v>
      </c>
      <c r="CH113" s="105">
        <f t="shared" si="155"/>
        <v>19.666666666666664</v>
      </c>
      <c r="CI113" s="105">
        <f t="shared" si="156"/>
        <v>18.153846153846153</v>
      </c>
      <c r="CJ113" s="105">
        <f t="shared" si="157"/>
        <v>16.857142857142858</v>
      </c>
      <c r="CK113" s="105">
        <f t="shared" si="158"/>
        <v>15.733333333333333</v>
      </c>
      <c r="CL113" s="105">
        <f t="shared" si="159"/>
        <v>14.75</v>
      </c>
    </row>
    <row r="114" spans="9:90">
      <c r="I114" s="105">
        <v>119</v>
      </c>
      <c r="J114" s="105">
        <f t="shared" si="85"/>
        <v>1904</v>
      </c>
      <c r="K114" s="105">
        <f t="shared" si="86"/>
        <v>952</v>
      </c>
      <c r="L114" s="105">
        <f t="shared" si="87"/>
        <v>634.66666666666663</v>
      </c>
      <c r="M114" s="105">
        <f t="shared" si="88"/>
        <v>476</v>
      </c>
      <c r="N114" s="105">
        <f t="shared" si="89"/>
        <v>380.8</v>
      </c>
      <c r="O114" s="105">
        <f t="shared" si="90"/>
        <v>317.33333333333331</v>
      </c>
      <c r="P114" s="105">
        <f t="shared" si="91"/>
        <v>272</v>
      </c>
      <c r="Q114" s="105">
        <f t="shared" si="92"/>
        <v>238</v>
      </c>
      <c r="R114" s="105">
        <f t="shared" si="93"/>
        <v>211.55555555555554</v>
      </c>
      <c r="S114" s="105">
        <f t="shared" si="94"/>
        <v>190.4</v>
      </c>
      <c r="T114" s="105">
        <f t="shared" si="95"/>
        <v>173.09090909090909</v>
      </c>
      <c r="U114" s="105">
        <f t="shared" si="96"/>
        <v>158.66666666666666</v>
      </c>
      <c r="V114" s="105">
        <f t="shared" si="97"/>
        <v>146.46153846153848</v>
      </c>
      <c r="W114" s="105">
        <f t="shared" si="98"/>
        <v>136</v>
      </c>
      <c r="X114" s="105">
        <f t="shared" si="99"/>
        <v>126.93333333333334</v>
      </c>
      <c r="Y114" s="105">
        <f t="shared" si="100"/>
        <v>119</v>
      </c>
      <c r="AA114" s="121"/>
      <c r="AB114" s="120"/>
      <c r="AC114" s="120"/>
      <c r="AD114" s="120"/>
      <c r="AE114" s="120"/>
      <c r="AF114" s="105">
        <f t="shared" si="103"/>
        <v>158.66666666666666</v>
      </c>
      <c r="AG114" s="105">
        <f t="shared" si="104"/>
        <v>136</v>
      </c>
      <c r="AH114" s="105">
        <f t="shared" si="105"/>
        <v>119</v>
      </c>
      <c r="AI114" s="105">
        <f t="shared" si="106"/>
        <v>105.77777777777777</v>
      </c>
      <c r="AJ114" s="105">
        <f t="shared" si="107"/>
        <v>95.2</v>
      </c>
      <c r="AK114" s="105">
        <f t="shared" si="108"/>
        <v>86.545454545454547</v>
      </c>
      <c r="AL114" s="105">
        <f t="shared" si="109"/>
        <v>79.333333333333329</v>
      </c>
      <c r="AM114" s="105">
        <f t="shared" si="110"/>
        <v>73.230769230769241</v>
      </c>
      <c r="AN114" s="105">
        <f t="shared" si="111"/>
        <v>68</v>
      </c>
      <c r="AO114" s="105">
        <f t="shared" si="112"/>
        <v>63.466666666666669</v>
      </c>
      <c r="AP114" s="105">
        <f t="shared" si="113"/>
        <v>59.5</v>
      </c>
      <c r="AQ114" s="121"/>
      <c r="AR114" s="120"/>
      <c r="AS114" s="105">
        <f t="shared" si="115"/>
        <v>158.66666666666666</v>
      </c>
      <c r="AT114" s="105">
        <f t="shared" si="116"/>
        <v>119</v>
      </c>
      <c r="AU114" s="105">
        <f t="shared" si="117"/>
        <v>95.2</v>
      </c>
      <c r="AV114" s="105">
        <f t="shared" si="118"/>
        <v>79.333333333333329</v>
      </c>
      <c r="AW114" s="105">
        <f t="shared" si="119"/>
        <v>68</v>
      </c>
      <c r="AX114" s="105">
        <f t="shared" si="120"/>
        <v>59.5</v>
      </c>
      <c r="AY114" s="105">
        <f t="shared" si="121"/>
        <v>52.888888888888886</v>
      </c>
      <c r="AZ114" s="105">
        <f t="shared" si="122"/>
        <v>47.6</v>
      </c>
      <c r="BA114" s="105">
        <f t="shared" si="123"/>
        <v>43.272727272727273</v>
      </c>
      <c r="BB114" s="105">
        <f t="shared" si="124"/>
        <v>39.666666666666664</v>
      </c>
      <c r="BC114" s="105">
        <f t="shared" si="125"/>
        <v>36.61538461538462</v>
      </c>
      <c r="BD114" s="105">
        <f t="shared" si="126"/>
        <v>34</v>
      </c>
      <c r="BE114" s="105">
        <f t="shared" si="127"/>
        <v>31.733333333333334</v>
      </c>
      <c r="BF114" s="110">
        <f t="shared" si="128"/>
        <v>29.75</v>
      </c>
      <c r="BG114" s="120"/>
      <c r="BH114" s="105">
        <f t="shared" si="129"/>
        <v>158.66666666666666</v>
      </c>
      <c r="BI114" s="105">
        <f t="shared" si="130"/>
        <v>105.77777777777777</v>
      </c>
      <c r="BJ114" s="105">
        <f t="shared" si="131"/>
        <v>79.333333333333329</v>
      </c>
      <c r="BK114" s="105">
        <f t="shared" si="132"/>
        <v>63.466666666666669</v>
      </c>
      <c r="BL114" s="105">
        <f t="shared" si="133"/>
        <v>52.888888888888886</v>
      </c>
      <c r="BM114" s="105">
        <f t="shared" si="134"/>
        <v>45.333333333333336</v>
      </c>
      <c r="BN114" s="105">
        <f t="shared" si="135"/>
        <v>39.666666666666664</v>
      </c>
      <c r="BO114" s="105">
        <f t="shared" si="136"/>
        <v>35.25925925925926</v>
      </c>
      <c r="BP114" s="105">
        <f t="shared" si="137"/>
        <v>31.733333333333334</v>
      </c>
      <c r="BQ114" s="105">
        <f t="shared" si="138"/>
        <v>28.848484848484848</v>
      </c>
      <c r="BR114" s="105">
        <f t="shared" si="139"/>
        <v>26.444444444444443</v>
      </c>
      <c r="BS114" s="105">
        <f t="shared" si="140"/>
        <v>24.410256410256412</v>
      </c>
      <c r="BT114" s="105">
        <f t="shared" si="141"/>
        <v>22.666666666666668</v>
      </c>
      <c r="BU114" s="105">
        <f t="shared" si="142"/>
        <v>21.155555555555555</v>
      </c>
      <c r="BV114" s="105">
        <f t="shared" si="143"/>
        <v>19.833333333333332</v>
      </c>
      <c r="BW114" s="121"/>
      <c r="BX114" s="105">
        <f t="shared" si="145"/>
        <v>119</v>
      </c>
      <c r="BY114" s="105">
        <f t="shared" si="146"/>
        <v>79.333333333333329</v>
      </c>
      <c r="BZ114" s="105">
        <f t="shared" si="147"/>
        <v>59.5</v>
      </c>
      <c r="CA114" s="105">
        <f t="shared" si="148"/>
        <v>47.6</v>
      </c>
      <c r="CB114" s="105">
        <f t="shared" si="149"/>
        <v>39.666666666666664</v>
      </c>
      <c r="CC114" s="105">
        <f t="shared" si="150"/>
        <v>34</v>
      </c>
      <c r="CD114" s="105">
        <f t="shared" si="151"/>
        <v>29.75</v>
      </c>
      <c r="CE114" s="105">
        <f t="shared" si="152"/>
        <v>26.444444444444443</v>
      </c>
      <c r="CF114" s="105">
        <f t="shared" si="153"/>
        <v>23.8</v>
      </c>
      <c r="CG114" s="105">
        <f t="shared" si="154"/>
        <v>21.636363636363637</v>
      </c>
      <c r="CH114" s="105">
        <f t="shared" si="155"/>
        <v>19.833333333333332</v>
      </c>
      <c r="CI114" s="105">
        <f t="shared" si="156"/>
        <v>18.30769230769231</v>
      </c>
      <c r="CJ114" s="105">
        <f t="shared" si="157"/>
        <v>17</v>
      </c>
      <c r="CK114" s="105">
        <f t="shared" si="158"/>
        <v>15.866666666666667</v>
      </c>
      <c r="CL114" s="105">
        <f t="shared" si="159"/>
        <v>14.875</v>
      </c>
    </row>
    <row r="115" spans="9:90">
      <c r="I115" s="105">
        <v>120</v>
      </c>
      <c r="J115" s="105">
        <f t="shared" si="85"/>
        <v>1920</v>
      </c>
      <c r="K115" s="105">
        <f t="shared" si="86"/>
        <v>960</v>
      </c>
      <c r="L115" s="105">
        <f t="shared" si="87"/>
        <v>640</v>
      </c>
      <c r="M115" s="105">
        <f t="shared" si="88"/>
        <v>480</v>
      </c>
      <c r="N115" s="105">
        <f t="shared" si="89"/>
        <v>384</v>
      </c>
      <c r="O115" s="105">
        <f t="shared" si="90"/>
        <v>320</v>
      </c>
      <c r="P115" s="105">
        <f t="shared" si="91"/>
        <v>274.28571428571428</v>
      </c>
      <c r="Q115" s="105">
        <f t="shared" si="92"/>
        <v>240</v>
      </c>
      <c r="R115" s="105">
        <f t="shared" si="93"/>
        <v>213.33333333333331</v>
      </c>
      <c r="S115" s="105">
        <f t="shared" si="94"/>
        <v>192</v>
      </c>
      <c r="T115" s="105">
        <f t="shared" si="95"/>
        <v>174.54545454545456</v>
      </c>
      <c r="U115" s="105">
        <f t="shared" si="96"/>
        <v>160</v>
      </c>
      <c r="V115" s="105">
        <f t="shared" si="97"/>
        <v>147.69230769230771</v>
      </c>
      <c r="W115" s="105">
        <f t="shared" si="98"/>
        <v>137.14285714285714</v>
      </c>
      <c r="X115" s="105">
        <f t="shared" si="99"/>
        <v>128</v>
      </c>
      <c r="Y115" s="105">
        <f t="shared" si="100"/>
        <v>120</v>
      </c>
      <c r="AA115" s="121"/>
      <c r="AB115" s="120"/>
      <c r="AC115" s="120"/>
      <c r="AD115" s="120"/>
      <c r="AE115" s="120"/>
      <c r="AF115" s="105">
        <f t="shared" si="103"/>
        <v>160</v>
      </c>
      <c r="AG115" s="105">
        <f t="shared" si="104"/>
        <v>137.14285714285714</v>
      </c>
      <c r="AH115" s="105">
        <f t="shared" si="105"/>
        <v>120</v>
      </c>
      <c r="AI115" s="105">
        <f t="shared" si="106"/>
        <v>106.66666666666666</v>
      </c>
      <c r="AJ115" s="105">
        <f t="shared" si="107"/>
        <v>96</v>
      </c>
      <c r="AK115" s="105">
        <f t="shared" si="108"/>
        <v>87.27272727272728</v>
      </c>
      <c r="AL115" s="105">
        <f t="shared" si="109"/>
        <v>80</v>
      </c>
      <c r="AM115" s="105">
        <f t="shared" si="110"/>
        <v>73.846153846153854</v>
      </c>
      <c r="AN115" s="105">
        <f t="shared" si="111"/>
        <v>68.571428571428569</v>
      </c>
      <c r="AO115" s="105">
        <f t="shared" si="112"/>
        <v>64</v>
      </c>
      <c r="AP115" s="105">
        <f t="shared" si="113"/>
        <v>60</v>
      </c>
      <c r="AQ115" s="121"/>
      <c r="AR115" s="120"/>
      <c r="AS115" s="105">
        <f t="shared" si="115"/>
        <v>160</v>
      </c>
      <c r="AT115" s="105">
        <f t="shared" si="116"/>
        <v>120</v>
      </c>
      <c r="AU115" s="105">
        <f t="shared" si="117"/>
        <v>96</v>
      </c>
      <c r="AV115" s="105">
        <f t="shared" si="118"/>
        <v>80</v>
      </c>
      <c r="AW115" s="105">
        <f t="shared" si="119"/>
        <v>68.571428571428569</v>
      </c>
      <c r="AX115" s="105">
        <f t="shared" si="120"/>
        <v>60</v>
      </c>
      <c r="AY115" s="105">
        <f t="shared" si="121"/>
        <v>53.333333333333329</v>
      </c>
      <c r="AZ115" s="105">
        <f t="shared" si="122"/>
        <v>48</v>
      </c>
      <c r="BA115" s="105">
        <f t="shared" si="123"/>
        <v>43.63636363636364</v>
      </c>
      <c r="BB115" s="105">
        <f t="shared" si="124"/>
        <v>40</v>
      </c>
      <c r="BC115" s="105">
        <f t="shared" si="125"/>
        <v>36.923076923076927</v>
      </c>
      <c r="BD115" s="105">
        <f t="shared" si="126"/>
        <v>34.285714285714285</v>
      </c>
      <c r="BE115" s="105">
        <f t="shared" si="127"/>
        <v>32</v>
      </c>
      <c r="BF115" s="110">
        <f t="shared" si="128"/>
        <v>30</v>
      </c>
      <c r="BG115" s="120"/>
      <c r="BH115" s="105">
        <f t="shared" si="129"/>
        <v>160</v>
      </c>
      <c r="BI115" s="105">
        <f t="shared" si="130"/>
        <v>106.66666666666667</v>
      </c>
      <c r="BJ115" s="105">
        <f t="shared" si="131"/>
        <v>80</v>
      </c>
      <c r="BK115" s="105">
        <f t="shared" si="132"/>
        <v>64</v>
      </c>
      <c r="BL115" s="105">
        <f t="shared" si="133"/>
        <v>53.333333333333336</v>
      </c>
      <c r="BM115" s="105">
        <f t="shared" si="134"/>
        <v>45.714285714285715</v>
      </c>
      <c r="BN115" s="105">
        <f t="shared" si="135"/>
        <v>40</v>
      </c>
      <c r="BO115" s="105">
        <f t="shared" si="136"/>
        <v>35.55555555555555</v>
      </c>
      <c r="BP115" s="105">
        <f t="shared" si="137"/>
        <v>32</v>
      </c>
      <c r="BQ115" s="105">
        <f t="shared" si="138"/>
        <v>29.090909090909093</v>
      </c>
      <c r="BR115" s="105">
        <f t="shared" si="139"/>
        <v>26.666666666666668</v>
      </c>
      <c r="BS115" s="105">
        <f t="shared" si="140"/>
        <v>24.615384615384617</v>
      </c>
      <c r="BT115" s="105">
        <f t="shared" si="141"/>
        <v>22.857142857142858</v>
      </c>
      <c r="BU115" s="105">
        <f t="shared" si="142"/>
        <v>21.333333333333332</v>
      </c>
      <c r="BV115" s="105">
        <f t="shared" si="143"/>
        <v>20</v>
      </c>
      <c r="BW115" s="121"/>
      <c r="BX115" s="105">
        <f t="shared" si="145"/>
        <v>120</v>
      </c>
      <c r="BY115" s="105">
        <f t="shared" si="146"/>
        <v>80</v>
      </c>
      <c r="BZ115" s="105">
        <f t="shared" si="147"/>
        <v>60</v>
      </c>
      <c r="CA115" s="105">
        <f t="shared" si="148"/>
        <v>48</v>
      </c>
      <c r="CB115" s="105">
        <f t="shared" si="149"/>
        <v>40</v>
      </c>
      <c r="CC115" s="105">
        <f t="shared" si="150"/>
        <v>34.285714285714285</v>
      </c>
      <c r="CD115" s="105">
        <f t="shared" si="151"/>
        <v>30</v>
      </c>
      <c r="CE115" s="105">
        <f t="shared" si="152"/>
        <v>26.666666666666664</v>
      </c>
      <c r="CF115" s="105">
        <f t="shared" si="153"/>
        <v>24</v>
      </c>
      <c r="CG115" s="105">
        <f t="shared" si="154"/>
        <v>21.81818181818182</v>
      </c>
      <c r="CH115" s="105">
        <f t="shared" si="155"/>
        <v>20</v>
      </c>
      <c r="CI115" s="105">
        <f t="shared" si="156"/>
        <v>18.461538461538463</v>
      </c>
      <c r="CJ115" s="105">
        <f t="shared" si="157"/>
        <v>17.142857142857142</v>
      </c>
      <c r="CK115" s="105">
        <f t="shared" si="158"/>
        <v>16</v>
      </c>
      <c r="CL115" s="105">
        <f t="shared" si="159"/>
        <v>15</v>
      </c>
    </row>
    <row r="116" spans="9:90">
      <c r="I116" s="105">
        <v>121</v>
      </c>
      <c r="J116" s="105">
        <f t="shared" si="85"/>
        <v>1936</v>
      </c>
      <c r="K116" s="105">
        <f t="shared" si="86"/>
        <v>968</v>
      </c>
      <c r="L116" s="105">
        <f t="shared" si="87"/>
        <v>645.33333333333326</v>
      </c>
      <c r="M116" s="105">
        <f t="shared" si="88"/>
        <v>484</v>
      </c>
      <c r="N116" s="105">
        <f t="shared" si="89"/>
        <v>387.20000000000005</v>
      </c>
      <c r="O116" s="105">
        <f t="shared" si="90"/>
        <v>322.66666666666663</v>
      </c>
      <c r="P116" s="105">
        <f t="shared" si="91"/>
        <v>276.57142857142856</v>
      </c>
      <c r="Q116" s="105">
        <f t="shared" si="92"/>
        <v>242</v>
      </c>
      <c r="R116" s="105">
        <f t="shared" si="93"/>
        <v>215.11111111111109</v>
      </c>
      <c r="S116" s="105">
        <f t="shared" si="94"/>
        <v>193.60000000000002</v>
      </c>
      <c r="T116" s="105">
        <f t="shared" si="95"/>
        <v>176</v>
      </c>
      <c r="U116" s="105">
        <f t="shared" si="96"/>
        <v>161.33333333333331</v>
      </c>
      <c r="V116" s="105">
        <f t="shared" si="97"/>
        <v>148.92307692307693</v>
      </c>
      <c r="W116" s="105">
        <f t="shared" si="98"/>
        <v>138.28571428571428</v>
      </c>
      <c r="X116" s="105">
        <f t="shared" si="99"/>
        <v>129.06666666666666</v>
      </c>
      <c r="Y116" s="105">
        <f t="shared" si="100"/>
        <v>121</v>
      </c>
      <c r="AA116" s="121"/>
      <c r="AB116" s="120"/>
      <c r="AC116" s="120"/>
      <c r="AD116" s="120"/>
      <c r="AE116" s="120"/>
      <c r="AF116" s="105">
        <f t="shared" si="103"/>
        <v>161.33333333333331</v>
      </c>
      <c r="AG116" s="105">
        <f t="shared" si="104"/>
        <v>138.28571428571428</v>
      </c>
      <c r="AH116" s="105">
        <f t="shared" si="105"/>
        <v>121</v>
      </c>
      <c r="AI116" s="105">
        <f t="shared" si="106"/>
        <v>107.55555555555554</v>
      </c>
      <c r="AJ116" s="105">
        <f t="shared" si="107"/>
        <v>96.800000000000011</v>
      </c>
      <c r="AK116" s="105">
        <f t="shared" si="108"/>
        <v>88</v>
      </c>
      <c r="AL116" s="105">
        <f t="shared" si="109"/>
        <v>80.666666666666657</v>
      </c>
      <c r="AM116" s="105">
        <f t="shared" si="110"/>
        <v>74.461538461538467</v>
      </c>
      <c r="AN116" s="105">
        <f t="shared" si="111"/>
        <v>69.142857142857139</v>
      </c>
      <c r="AO116" s="105">
        <f t="shared" si="112"/>
        <v>64.533333333333331</v>
      </c>
      <c r="AP116" s="105">
        <f t="shared" si="113"/>
        <v>60.5</v>
      </c>
      <c r="AQ116" s="121"/>
      <c r="AR116" s="120"/>
      <c r="AS116" s="105">
        <f t="shared" si="115"/>
        <v>161.33333333333331</v>
      </c>
      <c r="AT116" s="105">
        <f t="shared" si="116"/>
        <v>121</v>
      </c>
      <c r="AU116" s="105">
        <f t="shared" si="117"/>
        <v>96.800000000000011</v>
      </c>
      <c r="AV116" s="105">
        <f t="shared" si="118"/>
        <v>80.666666666666657</v>
      </c>
      <c r="AW116" s="105">
        <f t="shared" si="119"/>
        <v>69.142857142857139</v>
      </c>
      <c r="AX116" s="105">
        <f t="shared" si="120"/>
        <v>60.5</v>
      </c>
      <c r="AY116" s="105">
        <f t="shared" si="121"/>
        <v>53.777777777777771</v>
      </c>
      <c r="AZ116" s="105">
        <f t="shared" si="122"/>
        <v>48.400000000000006</v>
      </c>
      <c r="BA116" s="105">
        <f t="shared" si="123"/>
        <v>44</v>
      </c>
      <c r="BB116" s="105">
        <f t="shared" si="124"/>
        <v>40.333333333333329</v>
      </c>
      <c r="BC116" s="105">
        <f t="shared" si="125"/>
        <v>37.230769230769234</v>
      </c>
      <c r="BD116" s="105">
        <f t="shared" si="126"/>
        <v>34.571428571428569</v>
      </c>
      <c r="BE116" s="105">
        <f t="shared" si="127"/>
        <v>32.266666666666666</v>
      </c>
      <c r="BF116" s="110">
        <f t="shared" si="128"/>
        <v>30.25</v>
      </c>
      <c r="BG116" s="120"/>
      <c r="BH116" s="105">
        <f t="shared" si="129"/>
        <v>161.33333333333334</v>
      </c>
      <c r="BI116" s="105">
        <f t="shared" si="130"/>
        <v>107.55555555555554</v>
      </c>
      <c r="BJ116" s="105">
        <f t="shared" si="131"/>
        <v>80.666666666666671</v>
      </c>
      <c r="BK116" s="105">
        <f t="shared" si="132"/>
        <v>64.533333333333346</v>
      </c>
      <c r="BL116" s="105">
        <f t="shared" si="133"/>
        <v>53.777777777777771</v>
      </c>
      <c r="BM116" s="105">
        <f t="shared" si="134"/>
        <v>46.095238095238095</v>
      </c>
      <c r="BN116" s="105">
        <f t="shared" si="135"/>
        <v>40.333333333333336</v>
      </c>
      <c r="BO116" s="105">
        <f t="shared" si="136"/>
        <v>35.851851851851848</v>
      </c>
      <c r="BP116" s="105">
        <f t="shared" si="137"/>
        <v>32.266666666666673</v>
      </c>
      <c r="BQ116" s="105">
        <f t="shared" si="138"/>
        <v>29.333333333333332</v>
      </c>
      <c r="BR116" s="105">
        <f t="shared" si="139"/>
        <v>26.888888888888886</v>
      </c>
      <c r="BS116" s="105">
        <f t="shared" si="140"/>
        <v>24.820512820512821</v>
      </c>
      <c r="BT116" s="105">
        <f t="shared" si="141"/>
        <v>23.047619047619047</v>
      </c>
      <c r="BU116" s="105">
        <f t="shared" si="142"/>
        <v>21.511111111111109</v>
      </c>
      <c r="BV116" s="105">
        <f t="shared" si="143"/>
        <v>20.166666666666668</v>
      </c>
      <c r="BW116" s="121"/>
      <c r="BX116" s="105">
        <f t="shared" si="145"/>
        <v>121</v>
      </c>
      <c r="BY116" s="105">
        <f t="shared" si="146"/>
        <v>80.666666666666657</v>
      </c>
      <c r="BZ116" s="105">
        <f t="shared" si="147"/>
        <v>60.5</v>
      </c>
      <c r="CA116" s="105">
        <f t="shared" si="148"/>
        <v>48.400000000000006</v>
      </c>
      <c r="CB116" s="105">
        <f t="shared" si="149"/>
        <v>40.333333333333329</v>
      </c>
      <c r="CC116" s="105">
        <f t="shared" si="150"/>
        <v>34.571428571428569</v>
      </c>
      <c r="CD116" s="105">
        <f t="shared" si="151"/>
        <v>30.25</v>
      </c>
      <c r="CE116" s="105">
        <f t="shared" si="152"/>
        <v>26.888888888888886</v>
      </c>
      <c r="CF116" s="105">
        <f t="shared" si="153"/>
        <v>24.200000000000003</v>
      </c>
      <c r="CG116" s="105">
        <f t="shared" si="154"/>
        <v>22</v>
      </c>
      <c r="CH116" s="105">
        <f t="shared" si="155"/>
        <v>20.166666666666664</v>
      </c>
      <c r="CI116" s="105">
        <f t="shared" si="156"/>
        <v>18.615384615384617</v>
      </c>
      <c r="CJ116" s="105">
        <f t="shared" si="157"/>
        <v>17.285714285714285</v>
      </c>
      <c r="CK116" s="105">
        <f t="shared" si="158"/>
        <v>16.133333333333333</v>
      </c>
      <c r="CL116" s="105">
        <f t="shared" si="159"/>
        <v>15.125</v>
      </c>
    </row>
    <row r="117" spans="9:90">
      <c r="I117" s="105">
        <v>122</v>
      </c>
      <c r="J117" s="105">
        <f t="shared" si="85"/>
        <v>1952</v>
      </c>
      <c r="K117" s="105">
        <f t="shared" si="86"/>
        <v>976</v>
      </c>
      <c r="L117" s="105">
        <f t="shared" si="87"/>
        <v>650.66666666666663</v>
      </c>
      <c r="M117" s="105">
        <f t="shared" si="88"/>
        <v>488</v>
      </c>
      <c r="N117" s="105">
        <f t="shared" si="89"/>
        <v>390.40000000000003</v>
      </c>
      <c r="O117" s="105">
        <f t="shared" si="90"/>
        <v>325.33333333333331</v>
      </c>
      <c r="P117" s="105">
        <f t="shared" si="91"/>
        <v>278.85714285714283</v>
      </c>
      <c r="Q117" s="105">
        <f t="shared" si="92"/>
        <v>244</v>
      </c>
      <c r="R117" s="105">
        <f t="shared" si="93"/>
        <v>216.88888888888889</v>
      </c>
      <c r="S117" s="105">
        <f t="shared" si="94"/>
        <v>195.20000000000002</v>
      </c>
      <c r="T117" s="105">
        <f t="shared" si="95"/>
        <v>177.45454545454547</v>
      </c>
      <c r="U117" s="105">
        <f t="shared" si="96"/>
        <v>162.66666666666666</v>
      </c>
      <c r="V117" s="105">
        <f t="shared" si="97"/>
        <v>150.15384615384616</v>
      </c>
      <c r="W117" s="105">
        <f t="shared" si="98"/>
        <v>139.42857142857142</v>
      </c>
      <c r="X117" s="105">
        <f t="shared" si="99"/>
        <v>130.13333333333333</v>
      </c>
      <c r="Y117" s="105">
        <f t="shared" si="100"/>
        <v>122</v>
      </c>
      <c r="AA117" s="121"/>
      <c r="AB117" s="120"/>
      <c r="AC117" s="120"/>
      <c r="AD117" s="120"/>
      <c r="AE117" s="120"/>
      <c r="AF117" s="105">
        <f t="shared" si="103"/>
        <v>162.66666666666666</v>
      </c>
      <c r="AG117" s="105">
        <f t="shared" si="104"/>
        <v>139.42857142857142</v>
      </c>
      <c r="AH117" s="105">
        <f t="shared" si="105"/>
        <v>122</v>
      </c>
      <c r="AI117" s="105">
        <f t="shared" si="106"/>
        <v>108.44444444444444</v>
      </c>
      <c r="AJ117" s="105">
        <f t="shared" si="107"/>
        <v>97.600000000000009</v>
      </c>
      <c r="AK117" s="105">
        <f t="shared" si="108"/>
        <v>88.727272727272734</v>
      </c>
      <c r="AL117" s="105">
        <f t="shared" si="109"/>
        <v>81.333333333333329</v>
      </c>
      <c r="AM117" s="105">
        <f t="shared" si="110"/>
        <v>75.07692307692308</v>
      </c>
      <c r="AN117" s="105">
        <f t="shared" si="111"/>
        <v>69.714285714285708</v>
      </c>
      <c r="AO117" s="105">
        <f t="shared" si="112"/>
        <v>65.066666666666663</v>
      </c>
      <c r="AP117" s="105">
        <f t="shared" si="113"/>
        <v>61</v>
      </c>
      <c r="AQ117" s="121"/>
      <c r="AR117" s="120"/>
      <c r="AS117" s="105">
        <f t="shared" si="115"/>
        <v>162.66666666666666</v>
      </c>
      <c r="AT117" s="105">
        <f t="shared" si="116"/>
        <v>122</v>
      </c>
      <c r="AU117" s="105">
        <f t="shared" si="117"/>
        <v>97.600000000000009</v>
      </c>
      <c r="AV117" s="105">
        <f t="shared" si="118"/>
        <v>81.333333333333329</v>
      </c>
      <c r="AW117" s="105">
        <f t="shared" si="119"/>
        <v>69.714285714285708</v>
      </c>
      <c r="AX117" s="105">
        <f t="shared" si="120"/>
        <v>61</v>
      </c>
      <c r="AY117" s="105">
        <f t="shared" si="121"/>
        <v>54.222222222222221</v>
      </c>
      <c r="AZ117" s="105">
        <f t="shared" si="122"/>
        <v>48.800000000000004</v>
      </c>
      <c r="BA117" s="105">
        <f t="shared" si="123"/>
        <v>44.363636363636367</v>
      </c>
      <c r="BB117" s="105">
        <f t="shared" si="124"/>
        <v>40.666666666666664</v>
      </c>
      <c r="BC117" s="105">
        <f t="shared" si="125"/>
        <v>37.53846153846154</v>
      </c>
      <c r="BD117" s="105">
        <f t="shared" si="126"/>
        <v>34.857142857142854</v>
      </c>
      <c r="BE117" s="105">
        <f t="shared" si="127"/>
        <v>32.533333333333331</v>
      </c>
      <c r="BF117" s="110">
        <f t="shared" si="128"/>
        <v>30.5</v>
      </c>
      <c r="BG117" s="120"/>
      <c r="BH117" s="105">
        <f t="shared" si="129"/>
        <v>162.66666666666666</v>
      </c>
      <c r="BI117" s="105">
        <f t="shared" si="130"/>
        <v>108.44444444444444</v>
      </c>
      <c r="BJ117" s="105">
        <f t="shared" si="131"/>
        <v>81.333333333333329</v>
      </c>
      <c r="BK117" s="105">
        <f t="shared" si="132"/>
        <v>65.066666666666677</v>
      </c>
      <c r="BL117" s="105">
        <f t="shared" si="133"/>
        <v>54.222222222222221</v>
      </c>
      <c r="BM117" s="105">
        <f t="shared" si="134"/>
        <v>46.476190476190474</v>
      </c>
      <c r="BN117" s="105">
        <f t="shared" si="135"/>
        <v>40.666666666666664</v>
      </c>
      <c r="BO117" s="105">
        <f t="shared" si="136"/>
        <v>36.148148148148145</v>
      </c>
      <c r="BP117" s="105">
        <f t="shared" si="137"/>
        <v>32.533333333333339</v>
      </c>
      <c r="BQ117" s="105">
        <f t="shared" si="138"/>
        <v>29.575757575757578</v>
      </c>
      <c r="BR117" s="105">
        <f t="shared" si="139"/>
        <v>27.111111111111111</v>
      </c>
      <c r="BS117" s="105">
        <f t="shared" si="140"/>
        <v>25.025641025641026</v>
      </c>
      <c r="BT117" s="105">
        <f t="shared" si="141"/>
        <v>23.238095238095237</v>
      </c>
      <c r="BU117" s="105">
        <f t="shared" si="142"/>
        <v>21.688888888888886</v>
      </c>
      <c r="BV117" s="105">
        <f t="shared" si="143"/>
        <v>20.333333333333332</v>
      </c>
      <c r="BW117" s="121"/>
      <c r="BX117" s="105">
        <f t="shared" si="145"/>
        <v>122</v>
      </c>
      <c r="BY117" s="105">
        <f t="shared" si="146"/>
        <v>81.333333333333329</v>
      </c>
      <c r="BZ117" s="105">
        <f t="shared" si="147"/>
        <v>61</v>
      </c>
      <c r="CA117" s="105">
        <f t="shared" si="148"/>
        <v>48.800000000000004</v>
      </c>
      <c r="CB117" s="105">
        <f t="shared" si="149"/>
        <v>40.666666666666664</v>
      </c>
      <c r="CC117" s="105">
        <f t="shared" si="150"/>
        <v>34.857142857142854</v>
      </c>
      <c r="CD117" s="105">
        <f t="shared" si="151"/>
        <v>30.5</v>
      </c>
      <c r="CE117" s="105">
        <f t="shared" si="152"/>
        <v>27.111111111111111</v>
      </c>
      <c r="CF117" s="105">
        <f t="shared" si="153"/>
        <v>24.400000000000002</v>
      </c>
      <c r="CG117" s="105">
        <f t="shared" si="154"/>
        <v>22.181818181818183</v>
      </c>
      <c r="CH117" s="105">
        <f t="shared" si="155"/>
        <v>20.333333333333332</v>
      </c>
      <c r="CI117" s="105">
        <f t="shared" si="156"/>
        <v>18.76923076923077</v>
      </c>
      <c r="CJ117" s="105">
        <f t="shared" si="157"/>
        <v>17.428571428571427</v>
      </c>
      <c r="CK117" s="105">
        <f t="shared" si="158"/>
        <v>16.266666666666666</v>
      </c>
      <c r="CL117" s="105">
        <f t="shared" si="159"/>
        <v>15.25</v>
      </c>
    </row>
    <row r="118" spans="9:90">
      <c r="I118" s="105">
        <v>123</v>
      </c>
      <c r="J118" s="105">
        <f t="shared" si="85"/>
        <v>1968</v>
      </c>
      <c r="K118" s="105">
        <f t="shared" si="86"/>
        <v>984</v>
      </c>
      <c r="L118" s="105">
        <f t="shared" si="87"/>
        <v>656</v>
      </c>
      <c r="M118" s="105">
        <f t="shared" si="88"/>
        <v>492</v>
      </c>
      <c r="N118" s="105">
        <f t="shared" si="89"/>
        <v>393.6</v>
      </c>
      <c r="O118" s="105">
        <f t="shared" si="90"/>
        <v>328</v>
      </c>
      <c r="P118" s="105">
        <f t="shared" si="91"/>
        <v>281.14285714285711</v>
      </c>
      <c r="Q118" s="105">
        <f t="shared" si="92"/>
        <v>246</v>
      </c>
      <c r="R118" s="105">
        <f t="shared" si="93"/>
        <v>218.66666666666666</v>
      </c>
      <c r="S118" s="105">
        <f t="shared" si="94"/>
        <v>196.8</v>
      </c>
      <c r="T118" s="105">
        <f t="shared" si="95"/>
        <v>178.90909090909091</v>
      </c>
      <c r="U118" s="105">
        <f t="shared" si="96"/>
        <v>164</v>
      </c>
      <c r="V118" s="105">
        <f t="shared" si="97"/>
        <v>151.38461538461539</v>
      </c>
      <c r="W118" s="105">
        <f t="shared" si="98"/>
        <v>140.57142857142856</v>
      </c>
      <c r="X118" s="105">
        <f t="shared" si="99"/>
        <v>131.19999999999999</v>
      </c>
      <c r="Y118" s="105">
        <f t="shared" si="100"/>
        <v>123</v>
      </c>
      <c r="AA118" s="121"/>
      <c r="AB118" s="120"/>
      <c r="AC118" s="120"/>
      <c r="AD118" s="120"/>
      <c r="AE118" s="120"/>
      <c r="AF118" s="105">
        <f t="shared" si="103"/>
        <v>164</v>
      </c>
      <c r="AG118" s="105">
        <f t="shared" si="104"/>
        <v>140.57142857142856</v>
      </c>
      <c r="AH118" s="105">
        <f t="shared" si="105"/>
        <v>123</v>
      </c>
      <c r="AI118" s="105">
        <f t="shared" si="106"/>
        <v>109.33333333333333</v>
      </c>
      <c r="AJ118" s="105">
        <f t="shared" si="107"/>
        <v>98.4</v>
      </c>
      <c r="AK118" s="105">
        <f t="shared" si="108"/>
        <v>89.454545454545453</v>
      </c>
      <c r="AL118" s="105">
        <f t="shared" si="109"/>
        <v>82</v>
      </c>
      <c r="AM118" s="105">
        <f t="shared" si="110"/>
        <v>75.692307692307693</v>
      </c>
      <c r="AN118" s="105">
        <f t="shared" si="111"/>
        <v>70.285714285714278</v>
      </c>
      <c r="AO118" s="105">
        <f t="shared" si="112"/>
        <v>65.599999999999994</v>
      </c>
      <c r="AP118" s="105">
        <f t="shared" si="113"/>
        <v>61.5</v>
      </c>
      <c r="AQ118" s="121"/>
      <c r="AR118" s="120"/>
      <c r="AS118" s="105">
        <f t="shared" si="115"/>
        <v>164</v>
      </c>
      <c r="AT118" s="105">
        <f t="shared" si="116"/>
        <v>123</v>
      </c>
      <c r="AU118" s="105">
        <f t="shared" si="117"/>
        <v>98.4</v>
      </c>
      <c r="AV118" s="105">
        <f t="shared" si="118"/>
        <v>82</v>
      </c>
      <c r="AW118" s="105">
        <f t="shared" si="119"/>
        <v>70.285714285714278</v>
      </c>
      <c r="AX118" s="105">
        <f t="shared" si="120"/>
        <v>61.5</v>
      </c>
      <c r="AY118" s="105">
        <f t="shared" si="121"/>
        <v>54.666666666666664</v>
      </c>
      <c r="AZ118" s="105">
        <f t="shared" si="122"/>
        <v>49.2</v>
      </c>
      <c r="BA118" s="105">
        <f t="shared" si="123"/>
        <v>44.727272727272727</v>
      </c>
      <c r="BB118" s="105">
        <f t="shared" si="124"/>
        <v>41</v>
      </c>
      <c r="BC118" s="105">
        <f t="shared" si="125"/>
        <v>37.846153846153847</v>
      </c>
      <c r="BD118" s="105">
        <f t="shared" si="126"/>
        <v>35.142857142857139</v>
      </c>
      <c r="BE118" s="105">
        <f t="shared" si="127"/>
        <v>32.799999999999997</v>
      </c>
      <c r="BF118" s="110">
        <f t="shared" si="128"/>
        <v>30.75</v>
      </c>
      <c r="BG118" s="120"/>
      <c r="BH118" s="105">
        <f t="shared" si="129"/>
        <v>164</v>
      </c>
      <c r="BI118" s="105">
        <f t="shared" si="130"/>
        <v>109.33333333333333</v>
      </c>
      <c r="BJ118" s="105">
        <f t="shared" si="131"/>
        <v>82</v>
      </c>
      <c r="BK118" s="105">
        <f t="shared" si="132"/>
        <v>65.600000000000009</v>
      </c>
      <c r="BL118" s="105">
        <f t="shared" si="133"/>
        <v>54.666666666666664</v>
      </c>
      <c r="BM118" s="105">
        <f t="shared" si="134"/>
        <v>46.857142857142854</v>
      </c>
      <c r="BN118" s="105">
        <f t="shared" si="135"/>
        <v>41</v>
      </c>
      <c r="BO118" s="105">
        <f t="shared" si="136"/>
        <v>36.444444444444443</v>
      </c>
      <c r="BP118" s="105">
        <f t="shared" si="137"/>
        <v>32.800000000000004</v>
      </c>
      <c r="BQ118" s="105">
        <f t="shared" si="138"/>
        <v>29.818181818181817</v>
      </c>
      <c r="BR118" s="105">
        <f t="shared" si="139"/>
        <v>27.333333333333332</v>
      </c>
      <c r="BS118" s="105">
        <f t="shared" si="140"/>
        <v>25.23076923076923</v>
      </c>
      <c r="BT118" s="105">
        <f t="shared" si="141"/>
        <v>23.428571428571427</v>
      </c>
      <c r="BU118" s="105">
        <f t="shared" si="142"/>
        <v>21.866666666666664</v>
      </c>
      <c r="BV118" s="105">
        <f t="shared" si="143"/>
        <v>20.5</v>
      </c>
      <c r="BW118" s="121"/>
      <c r="BX118" s="105">
        <f t="shared" si="145"/>
        <v>123</v>
      </c>
      <c r="BY118" s="105">
        <f t="shared" si="146"/>
        <v>82</v>
      </c>
      <c r="BZ118" s="105">
        <f t="shared" si="147"/>
        <v>61.5</v>
      </c>
      <c r="CA118" s="105">
        <f t="shared" si="148"/>
        <v>49.2</v>
      </c>
      <c r="CB118" s="105">
        <f t="shared" si="149"/>
        <v>41</v>
      </c>
      <c r="CC118" s="105">
        <f t="shared" si="150"/>
        <v>35.142857142857139</v>
      </c>
      <c r="CD118" s="105">
        <f t="shared" si="151"/>
        <v>30.75</v>
      </c>
      <c r="CE118" s="105">
        <f t="shared" si="152"/>
        <v>27.333333333333332</v>
      </c>
      <c r="CF118" s="105">
        <f t="shared" si="153"/>
        <v>24.6</v>
      </c>
      <c r="CG118" s="105">
        <f t="shared" si="154"/>
        <v>22.363636363636363</v>
      </c>
      <c r="CH118" s="105">
        <f t="shared" si="155"/>
        <v>20.5</v>
      </c>
      <c r="CI118" s="105">
        <f t="shared" si="156"/>
        <v>18.923076923076923</v>
      </c>
      <c r="CJ118" s="105">
        <f t="shared" si="157"/>
        <v>17.571428571428569</v>
      </c>
      <c r="CK118" s="105">
        <f t="shared" si="158"/>
        <v>16.399999999999999</v>
      </c>
      <c r="CL118" s="105">
        <f t="shared" si="159"/>
        <v>15.375</v>
      </c>
    </row>
    <row r="119" spans="9:90">
      <c r="I119" s="105">
        <v>124</v>
      </c>
      <c r="J119" s="105">
        <f t="shared" si="85"/>
        <v>1984</v>
      </c>
      <c r="K119" s="105">
        <f t="shared" si="86"/>
        <v>992</v>
      </c>
      <c r="L119" s="105">
        <f t="shared" si="87"/>
        <v>661.33333333333326</v>
      </c>
      <c r="M119" s="105">
        <f t="shared" si="88"/>
        <v>496</v>
      </c>
      <c r="N119" s="105">
        <f t="shared" si="89"/>
        <v>396.8</v>
      </c>
      <c r="O119" s="105">
        <f t="shared" si="90"/>
        <v>330.66666666666663</v>
      </c>
      <c r="P119" s="105">
        <f t="shared" si="91"/>
        <v>283.42857142857139</v>
      </c>
      <c r="Q119" s="105">
        <f t="shared" si="92"/>
        <v>248</v>
      </c>
      <c r="R119" s="105">
        <f t="shared" si="93"/>
        <v>220.44444444444443</v>
      </c>
      <c r="S119" s="105">
        <f t="shared" si="94"/>
        <v>198.4</v>
      </c>
      <c r="T119" s="105">
        <f t="shared" si="95"/>
        <v>180.36363636363637</v>
      </c>
      <c r="U119" s="105">
        <f t="shared" si="96"/>
        <v>165.33333333333331</v>
      </c>
      <c r="V119" s="105">
        <f t="shared" si="97"/>
        <v>152.61538461538461</v>
      </c>
      <c r="W119" s="105">
        <f t="shared" si="98"/>
        <v>141.71428571428569</v>
      </c>
      <c r="X119" s="105">
        <f t="shared" si="99"/>
        <v>132.26666666666665</v>
      </c>
      <c r="Y119" s="105">
        <f t="shared" si="100"/>
        <v>124</v>
      </c>
      <c r="AA119" s="121"/>
      <c r="AB119" s="120"/>
      <c r="AC119" s="120"/>
      <c r="AD119" s="120"/>
      <c r="AE119" s="120"/>
      <c r="AF119" s="105">
        <f t="shared" si="103"/>
        <v>165.33333333333331</v>
      </c>
      <c r="AG119" s="105">
        <f t="shared" si="104"/>
        <v>141.71428571428569</v>
      </c>
      <c r="AH119" s="105">
        <f t="shared" si="105"/>
        <v>124</v>
      </c>
      <c r="AI119" s="105">
        <f t="shared" si="106"/>
        <v>110.22222222222221</v>
      </c>
      <c r="AJ119" s="105">
        <f t="shared" si="107"/>
        <v>99.2</v>
      </c>
      <c r="AK119" s="105">
        <f t="shared" si="108"/>
        <v>90.181818181818187</v>
      </c>
      <c r="AL119" s="105">
        <f t="shared" si="109"/>
        <v>82.666666666666657</v>
      </c>
      <c r="AM119" s="105">
        <f t="shared" si="110"/>
        <v>76.307692307692307</v>
      </c>
      <c r="AN119" s="105">
        <f t="shared" si="111"/>
        <v>70.857142857142847</v>
      </c>
      <c r="AO119" s="105">
        <f t="shared" si="112"/>
        <v>66.133333333333326</v>
      </c>
      <c r="AP119" s="105">
        <f t="shared" si="113"/>
        <v>62</v>
      </c>
      <c r="AQ119" s="121"/>
      <c r="AR119" s="120"/>
      <c r="AS119" s="105">
        <f t="shared" si="115"/>
        <v>165.33333333333331</v>
      </c>
      <c r="AT119" s="105">
        <f t="shared" si="116"/>
        <v>124</v>
      </c>
      <c r="AU119" s="105">
        <f t="shared" si="117"/>
        <v>99.2</v>
      </c>
      <c r="AV119" s="105">
        <f t="shared" si="118"/>
        <v>82.666666666666657</v>
      </c>
      <c r="AW119" s="105">
        <f t="shared" si="119"/>
        <v>70.857142857142847</v>
      </c>
      <c r="AX119" s="105">
        <f t="shared" si="120"/>
        <v>62</v>
      </c>
      <c r="AY119" s="105">
        <f t="shared" si="121"/>
        <v>55.111111111111107</v>
      </c>
      <c r="AZ119" s="105">
        <f t="shared" si="122"/>
        <v>49.6</v>
      </c>
      <c r="BA119" s="105">
        <f t="shared" si="123"/>
        <v>45.090909090909093</v>
      </c>
      <c r="BB119" s="105">
        <f t="shared" si="124"/>
        <v>41.333333333333329</v>
      </c>
      <c r="BC119" s="105">
        <f t="shared" si="125"/>
        <v>38.153846153846153</v>
      </c>
      <c r="BD119" s="105">
        <f t="shared" si="126"/>
        <v>35.428571428571423</v>
      </c>
      <c r="BE119" s="105">
        <f t="shared" si="127"/>
        <v>33.066666666666663</v>
      </c>
      <c r="BF119" s="110">
        <f t="shared" si="128"/>
        <v>31</v>
      </c>
      <c r="BG119" s="120"/>
      <c r="BH119" s="105">
        <f t="shared" si="129"/>
        <v>165.33333333333334</v>
      </c>
      <c r="BI119" s="105">
        <f t="shared" si="130"/>
        <v>110.22222222222221</v>
      </c>
      <c r="BJ119" s="105">
        <f t="shared" si="131"/>
        <v>82.666666666666671</v>
      </c>
      <c r="BK119" s="105">
        <f t="shared" si="132"/>
        <v>66.13333333333334</v>
      </c>
      <c r="BL119" s="105">
        <f t="shared" si="133"/>
        <v>55.111111111111107</v>
      </c>
      <c r="BM119" s="105">
        <f t="shared" si="134"/>
        <v>47.238095238095234</v>
      </c>
      <c r="BN119" s="105">
        <f t="shared" si="135"/>
        <v>41.333333333333336</v>
      </c>
      <c r="BO119" s="105">
        <f t="shared" si="136"/>
        <v>36.74074074074074</v>
      </c>
      <c r="BP119" s="105">
        <f t="shared" si="137"/>
        <v>33.06666666666667</v>
      </c>
      <c r="BQ119" s="105">
        <f t="shared" si="138"/>
        <v>30.060606060606062</v>
      </c>
      <c r="BR119" s="105">
        <f t="shared" si="139"/>
        <v>27.555555555555554</v>
      </c>
      <c r="BS119" s="105">
        <f t="shared" si="140"/>
        <v>25.435897435897434</v>
      </c>
      <c r="BT119" s="105">
        <f t="shared" si="141"/>
        <v>23.619047619047617</v>
      </c>
      <c r="BU119" s="105">
        <f t="shared" si="142"/>
        <v>22.044444444444441</v>
      </c>
      <c r="BV119" s="105">
        <f t="shared" si="143"/>
        <v>20.666666666666668</v>
      </c>
      <c r="BW119" s="121"/>
      <c r="BX119" s="105">
        <f t="shared" si="145"/>
        <v>124</v>
      </c>
      <c r="BY119" s="105">
        <f t="shared" si="146"/>
        <v>82.666666666666657</v>
      </c>
      <c r="BZ119" s="105">
        <f t="shared" si="147"/>
        <v>62</v>
      </c>
      <c r="CA119" s="105">
        <f t="shared" si="148"/>
        <v>49.6</v>
      </c>
      <c r="CB119" s="105">
        <f t="shared" si="149"/>
        <v>41.333333333333329</v>
      </c>
      <c r="CC119" s="105">
        <f t="shared" si="150"/>
        <v>35.428571428571423</v>
      </c>
      <c r="CD119" s="105">
        <f t="shared" si="151"/>
        <v>31</v>
      </c>
      <c r="CE119" s="105">
        <f t="shared" si="152"/>
        <v>27.555555555555554</v>
      </c>
      <c r="CF119" s="105">
        <f t="shared" si="153"/>
        <v>24.8</v>
      </c>
      <c r="CG119" s="105">
        <f t="shared" si="154"/>
        <v>22.545454545454547</v>
      </c>
      <c r="CH119" s="105">
        <f t="shared" si="155"/>
        <v>20.666666666666664</v>
      </c>
      <c r="CI119" s="105">
        <f t="shared" si="156"/>
        <v>19.076923076923077</v>
      </c>
      <c r="CJ119" s="105">
        <f t="shared" si="157"/>
        <v>17.714285714285712</v>
      </c>
      <c r="CK119" s="105">
        <f t="shared" si="158"/>
        <v>16.533333333333331</v>
      </c>
      <c r="CL119" s="105">
        <f t="shared" si="159"/>
        <v>15.5</v>
      </c>
    </row>
    <row r="120" spans="9:90">
      <c r="I120" s="105">
        <v>125</v>
      </c>
      <c r="J120" s="105">
        <f t="shared" si="85"/>
        <v>2000</v>
      </c>
      <c r="K120" s="105">
        <f t="shared" si="86"/>
        <v>1000</v>
      </c>
      <c r="L120" s="105">
        <f t="shared" si="87"/>
        <v>666.66666666666663</v>
      </c>
      <c r="M120" s="105">
        <f t="shared" si="88"/>
        <v>500</v>
      </c>
      <c r="N120" s="105">
        <f t="shared" si="89"/>
        <v>400</v>
      </c>
      <c r="O120" s="105">
        <f t="shared" si="90"/>
        <v>333.33333333333331</v>
      </c>
      <c r="P120" s="105">
        <f t="shared" si="91"/>
        <v>285.71428571428572</v>
      </c>
      <c r="Q120" s="105">
        <f t="shared" si="92"/>
        <v>250</v>
      </c>
      <c r="R120" s="105">
        <f t="shared" si="93"/>
        <v>222.2222222222222</v>
      </c>
      <c r="S120" s="105">
        <f t="shared" si="94"/>
        <v>200</v>
      </c>
      <c r="T120" s="105">
        <f t="shared" si="95"/>
        <v>181.81818181818181</v>
      </c>
      <c r="U120" s="105">
        <f t="shared" si="96"/>
        <v>166.66666666666666</v>
      </c>
      <c r="V120" s="105">
        <f t="shared" si="97"/>
        <v>153.84615384615387</v>
      </c>
      <c r="W120" s="105">
        <f t="shared" si="98"/>
        <v>142.85714285714286</v>
      </c>
      <c r="X120" s="105">
        <f t="shared" si="99"/>
        <v>133.33333333333334</v>
      </c>
      <c r="Y120" s="105">
        <f t="shared" si="100"/>
        <v>125</v>
      </c>
      <c r="AA120" s="121"/>
      <c r="AB120" s="120"/>
      <c r="AC120" s="120"/>
      <c r="AD120" s="120"/>
      <c r="AE120" s="120"/>
      <c r="AF120" s="105">
        <f t="shared" si="103"/>
        <v>166.66666666666666</v>
      </c>
      <c r="AG120" s="105">
        <f t="shared" si="104"/>
        <v>142.85714285714286</v>
      </c>
      <c r="AH120" s="105">
        <f t="shared" si="105"/>
        <v>125</v>
      </c>
      <c r="AI120" s="105">
        <f t="shared" si="106"/>
        <v>111.1111111111111</v>
      </c>
      <c r="AJ120" s="105">
        <f t="shared" si="107"/>
        <v>100</v>
      </c>
      <c r="AK120" s="105">
        <f t="shared" si="108"/>
        <v>90.909090909090907</v>
      </c>
      <c r="AL120" s="105">
        <f t="shared" si="109"/>
        <v>83.333333333333329</v>
      </c>
      <c r="AM120" s="105">
        <f t="shared" si="110"/>
        <v>76.923076923076934</v>
      </c>
      <c r="AN120" s="105">
        <f t="shared" si="111"/>
        <v>71.428571428571431</v>
      </c>
      <c r="AO120" s="105">
        <f t="shared" si="112"/>
        <v>66.666666666666671</v>
      </c>
      <c r="AP120" s="105">
        <f t="shared" si="113"/>
        <v>62.5</v>
      </c>
      <c r="AQ120" s="121"/>
      <c r="AR120" s="120"/>
      <c r="AS120" s="105">
        <f t="shared" si="115"/>
        <v>166.66666666666666</v>
      </c>
      <c r="AT120" s="105">
        <f t="shared" si="116"/>
        <v>125</v>
      </c>
      <c r="AU120" s="105">
        <f t="shared" si="117"/>
        <v>100</v>
      </c>
      <c r="AV120" s="105">
        <f t="shared" si="118"/>
        <v>83.333333333333329</v>
      </c>
      <c r="AW120" s="105">
        <f t="shared" si="119"/>
        <v>71.428571428571431</v>
      </c>
      <c r="AX120" s="105">
        <f t="shared" si="120"/>
        <v>62.5</v>
      </c>
      <c r="AY120" s="105">
        <f t="shared" si="121"/>
        <v>55.55555555555555</v>
      </c>
      <c r="AZ120" s="105">
        <f t="shared" si="122"/>
        <v>50</v>
      </c>
      <c r="BA120" s="105">
        <f t="shared" si="123"/>
        <v>45.454545454545453</v>
      </c>
      <c r="BB120" s="105">
        <f t="shared" si="124"/>
        <v>41.666666666666664</v>
      </c>
      <c r="BC120" s="105">
        <f t="shared" si="125"/>
        <v>38.461538461538467</v>
      </c>
      <c r="BD120" s="105">
        <f t="shared" si="126"/>
        <v>35.714285714285715</v>
      </c>
      <c r="BE120" s="105">
        <f t="shared" si="127"/>
        <v>33.333333333333336</v>
      </c>
      <c r="BF120" s="110">
        <f t="shared" si="128"/>
        <v>31.25</v>
      </c>
      <c r="BG120" s="120"/>
      <c r="BH120" s="105">
        <f t="shared" si="129"/>
        <v>166.66666666666666</v>
      </c>
      <c r="BI120" s="105">
        <f t="shared" si="130"/>
        <v>111.1111111111111</v>
      </c>
      <c r="BJ120" s="105">
        <f t="shared" si="131"/>
        <v>83.333333333333329</v>
      </c>
      <c r="BK120" s="105">
        <f t="shared" si="132"/>
        <v>66.666666666666671</v>
      </c>
      <c r="BL120" s="105">
        <f t="shared" si="133"/>
        <v>55.55555555555555</v>
      </c>
      <c r="BM120" s="105">
        <f t="shared" si="134"/>
        <v>47.61904761904762</v>
      </c>
      <c r="BN120" s="105">
        <f t="shared" si="135"/>
        <v>41.666666666666664</v>
      </c>
      <c r="BO120" s="105">
        <f t="shared" si="136"/>
        <v>37.037037037037031</v>
      </c>
      <c r="BP120" s="105">
        <f t="shared" si="137"/>
        <v>33.333333333333336</v>
      </c>
      <c r="BQ120" s="105">
        <f t="shared" si="138"/>
        <v>30.303030303030301</v>
      </c>
      <c r="BR120" s="105">
        <f t="shared" si="139"/>
        <v>27.777777777777775</v>
      </c>
      <c r="BS120" s="105">
        <f t="shared" si="140"/>
        <v>25.641025641025646</v>
      </c>
      <c r="BT120" s="105">
        <f t="shared" si="141"/>
        <v>23.80952380952381</v>
      </c>
      <c r="BU120" s="105">
        <f t="shared" si="142"/>
        <v>22.222222222222225</v>
      </c>
      <c r="BV120" s="105">
        <f t="shared" si="143"/>
        <v>20.833333333333332</v>
      </c>
      <c r="BW120" s="121"/>
      <c r="BX120" s="105">
        <f t="shared" si="145"/>
        <v>125</v>
      </c>
      <c r="BY120" s="105">
        <f t="shared" si="146"/>
        <v>83.333333333333329</v>
      </c>
      <c r="BZ120" s="105">
        <f t="shared" si="147"/>
        <v>62.5</v>
      </c>
      <c r="CA120" s="105">
        <f t="shared" si="148"/>
        <v>50</v>
      </c>
      <c r="CB120" s="105">
        <f t="shared" si="149"/>
        <v>41.666666666666664</v>
      </c>
      <c r="CC120" s="105">
        <f t="shared" si="150"/>
        <v>35.714285714285715</v>
      </c>
      <c r="CD120" s="105">
        <f t="shared" si="151"/>
        <v>31.25</v>
      </c>
      <c r="CE120" s="105">
        <f t="shared" si="152"/>
        <v>27.777777777777775</v>
      </c>
      <c r="CF120" s="105">
        <f t="shared" si="153"/>
        <v>25</v>
      </c>
      <c r="CG120" s="105">
        <f t="shared" si="154"/>
        <v>22.727272727272727</v>
      </c>
      <c r="CH120" s="105">
        <f t="shared" si="155"/>
        <v>20.833333333333332</v>
      </c>
      <c r="CI120" s="105">
        <f t="shared" si="156"/>
        <v>19.230769230769234</v>
      </c>
      <c r="CJ120" s="105">
        <f t="shared" si="157"/>
        <v>17.857142857142858</v>
      </c>
      <c r="CK120" s="105">
        <f t="shared" si="158"/>
        <v>16.666666666666668</v>
      </c>
      <c r="CL120" s="105">
        <f t="shared" si="159"/>
        <v>15.625</v>
      </c>
    </row>
    <row r="121" spans="9:90">
      <c r="I121" s="105">
        <v>126</v>
      </c>
      <c r="J121" s="105">
        <f t="shared" si="85"/>
        <v>2016</v>
      </c>
      <c r="K121" s="105">
        <f t="shared" si="86"/>
        <v>1008</v>
      </c>
      <c r="L121" s="105">
        <f t="shared" si="87"/>
        <v>672</v>
      </c>
      <c r="M121" s="105">
        <f t="shared" si="88"/>
        <v>504</v>
      </c>
      <c r="N121" s="105">
        <f t="shared" si="89"/>
        <v>403.20000000000005</v>
      </c>
      <c r="O121" s="105">
        <f t="shared" si="90"/>
        <v>336</v>
      </c>
      <c r="P121" s="105">
        <f t="shared" si="91"/>
        <v>288</v>
      </c>
      <c r="Q121" s="105">
        <f t="shared" si="92"/>
        <v>252</v>
      </c>
      <c r="R121" s="105">
        <f t="shared" si="93"/>
        <v>224</v>
      </c>
      <c r="S121" s="105">
        <f t="shared" si="94"/>
        <v>201.60000000000002</v>
      </c>
      <c r="T121" s="105">
        <f t="shared" si="95"/>
        <v>183.27272727272728</v>
      </c>
      <c r="U121" s="105">
        <f t="shared" si="96"/>
        <v>168</v>
      </c>
      <c r="V121" s="105">
        <f t="shared" si="97"/>
        <v>155.07692307692309</v>
      </c>
      <c r="W121" s="105">
        <f t="shared" si="98"/>
        <v>144</v>
      </c>
      <c r="X121" s="105">
        <f t="shared" si="99"/>
        <v>134.4</v>
      </c>
      <c r="Y121" s="105">
        <f t="shared" si="100"/>
        <v>126</v>
      </c>
      <c r="AA121" s="121"/>
      <c r="AB121" s="120"/>
      <c r="AC121" s="120"/>
      <c r="AD121" s="120"/>
      <c r="AE121" s="120"/>
      <c r="AF121" s="105">
        <f t="shared" si="103"/>
        <v>168</v>
      </c>
      <c r="AG121" s="105">
        <f t="shared" si="104"/>
        <v>144</v>
      </c>
      <c r="AH121" s="105">
        <f t="shared" si="105"/>
        <v>126</v>
      </c>
      <c r="AI121" s="105">
        <f t="shared" si="106"/>
        <v>112</v>
      </c>
      <c r="AJ121" s="105">
        <f t="shared" si="107"/>
        <v>100.80000000000001</v>
      </c>
      <c r="AK121" s="105">
        <f t="shared" si="108"/>
        <v>91.63636363636364</v>
      </c>
      <c r="AL121" s="105">
        <f t="shared" si="109"/>
        <v>84</v>
      </c>
      <c r="AM121" s="105">
        <f t="shared" si="110"/>
        <v>77.538461538461547</v>
      </c>
      <c r="AN121" s="105">
        <f t="shared" si="111"/>
        <v>72</v>
      </c>
      <c r="AO121" s="105">
        <f t="shared" si="112"/>
        <v>67.2</v>
      </c>
      <c r="AP121" s="105">
        <f t="shared" si="113"/>
        <v>63</v>
      </c>
      <c r="AQ121" s="121"/>
      <c r="AR121" s="120"/>
      <c r="AS121" s="105">
        <f t="shared" si="115"/>
        <v>168</v>
      </c>
      <c r="AT121" s="105">
        <f t="shared" si="116"/>
        <v>126</v>
      </c>
      <c r="AU121" s="105">
        <f t="shared" si="117"/>
        <v>100.80000000000001</v>
      </c>
      <c r="AV121" s="105">
        <f t="shared" si="118"/>
        <v>84</v>
      </c>
      <c r="AW121" s="105">
        <f t="shared" si="119"/>
        <v>72</v>
      </c>
      <c r="AX121" s="105">
        <f t="shared" si="120"/>
        <v>63</v>
      </c>
      <c r="AY121" s="105">
        <f t="shared" si="121"/>
        <v>56</v>
      </c>
      <c r="AZ121" s="105">
        <f t="shared" si="122"/>
        <v>50.400000000000006</v>
      </c>
      <c r="BA121" s="105">
        <f t="shared" si="123"/>
        <v>45.81818181818182</v>
      </c>
      <c r="BB121" s="105">
        <f t="shared" si="124"/>
        <v>42</v>
      </c>
      <c r="BC121" s="105">
        <f t="shared" si="125"/>
        <v>38.769230769230774</v>
      </c>
      <c r="BD121" s="105">
        <f t="shared" si="126"/>
        <v>36</v>
      </c>
      <c r="BE121" s="105">
        <f t="shared" si="127"/>
        <v>33.6</v>
      </c>
      <c r="BF121" s="110">
        <f t="shared" si="128"/>
        <v>31.5</v>
      </c>
      <c r="BG121" s="120"/>
      <c r="BH121" s="105">
        <f t="shared" si="129"/>
        <v>168</v>
      </c>
      <c r="BI121" s="105">
        <f t="shared" si="130"/>
        <v>112</v>
      </c>
      <c r="BJ121" s="105">
        <f t="shared" si="131"/>
        <v>84</v>
      </c>
      <c r="BK121" s="105">
        <f t="shared" si="132"/>
        <v>67.2</v>
      </c>
      <c r="BL121" s="105">
        <f t="shared" si="133"/>
        <v>56</v>
      </c>
      <c r="BM121" s="105">
        <f t="shared" si="134"/>
        <v>48</v>
      </c>
      <c r="BN121" s="105">
        <f t="shared" si="135"/>
        <v>42</v>
      </c>
      <c r="BO121" s="105">
        <f t="shared" si="136"/>
        <v>37.333333333333336</v>
      </c>
      <c r="BP121" s="105">
        <f t="shared" si="137"/>
        <v>33.6</v>
      </c>
      <c r="BQ121" s="105">
        <f t="shared" si="138"/>
        <v>30.545454545454547</v>
      </c>
      <c r="BR121" s="105">
        <f t="shared" si="139"/>
        <v>28</v>
      </c>
      <c r="BS121" s="105">
        <f t="shared" si="140"/>
        <v>25.84615384615385</v>
      </c>
      <c r="BT121" s="105">
        <f t="shared" si="141"/>
        <v>24</v>
      </c>
      <c r="BU121" s="105">
        <f t="shared" si="142"/>
        <v>22.400000000000002</v>
      </c>
      <c r="BV121" s="105">
        <f t="shared" si="143"/>
        <v>21</v>
      </c>
      <c r="BW121" s="121"/>
      <c r="BX121" s="105">
        <f t="shared" si="145"/>
        <v>126</v>
      </c>
      <c r="BY121" s="105">
        <f t="shared" si="146"/>
        <v>84</v>
      </c>
      <c r="BZ121" s="105">
        <f t="shared" si="147"/>
        <v>63</v>
      </c>
      <c r="CA121" s="105">
        <f t="shared" si="148"/>
        <v>50.400000000000006</v>
      </c>
      <c r="CB121" s="105">
        <f t="shared" si="149"/>
        <v>42</v>
      </c>
      <c r="CC121" s="105">
        <f t="shared" si="150"/>
        <v>36</v>
      </c>
      <c r="CD121" s="105">
        <f t="shared" si="151"/>
        <v>31.5</v>
      </c>
      <c r="CE121" s="105">
        <f t="shared" si="152"/>
        <v>28</v>
      </c>
      <c r="CF121" s="105">
        <f t="shared" si="153"/>
        <v>25.200000000000003</v>
      </c>
      <c r="CG121" s="105">
        <f t="shared" si="154"/>
        <v>22.90909090909091</v>
      </c>
      <c r="CH121" s="105">
        <f t="shared" si="155"/>
        <v>21</v>
      </c>
      <c r="CI121" s="105">
        <f t="shared" si="156"/>
        <v>19.384615384615387</v>
      </c>
      <c r="CJ121" s="105">
        <f t="shared" si="157"/>
        <v>18</v>
      </c>
      <c r="CK121" s="105">
        <f t="shared" si="158"/>
        <v>16.8</v>
      </c>
      <c r="CL121" s="105">
        <f t="shared" si="159"/>
        <v>15.75</v>
      </c>
    </row>
    <row r="122" spans="9:90">
      <c r="I122" s="105">
        <v>127</v>
      </c>
      <c r="J122" s="105">
        <f t="shared" si="85"/>
        <v>2032</v>
      </c>
      <c r="K122" s="105">
        <f t="shared" si="86"/>
        <v>1016</v>
      </c>
      <c r="L122" s="105">
        <f t="shared" si="87"/>
        <v>677.33333333333326</v>
      </c>
      <c r="M122" s="105">
        <f t="shared" si="88"/>
        <v>508</v>
      </c>
      <c r="N122" s="105">
        <f t="shared" si="89"/>
        <v>406.40000000000003</v>
      </c>
      <c r="O122" s="105">
        <f t="shared" si="90"/>
        <v>338.66666666666663</v>
      </c>
      <c r="P122" s="105">
        <f t="shared" si="91"/>
        <v>290.28571428571428</v>
      </c>
      <c r="Q122" s="105">
        <f t="shared" si="92"/>
        <v>254</v>
      </c>
      <c r="R122" s="105">
        <f t="shared" si="93"/>
        <v>225.77777777777777</v>
      </c>
      <c r="S122" s="105">
        <f t="shared" si="94"/>
        <v>203.20000000000002</v>
      </c>
      <c r="T122" s="105">
        <f t="shared" si="95"/>
        <v>184.72727272727272</v>
      </c>
      <c r="U122" s="105">
        <f t="shared" si="96"/>
        <v>169.33333333333331</v>
      </c>
      <c r="V122" s="105">
        <f t="shared" si="97"/>
        <v>156.30769230769232</v>
      </c>
      <c r="W122" s="105">
        <f t="shared" si="98"/>
        <v>145.14285714285714</v>
      </c>
      <c r="X122" s="105">
        <f t="shared" si="99"/>
        <v>135.46666666666667</v>
      </c>
      <c r="Y122" s="105">
        <f t="shared" si="100"/>
        <v>127</v>
      </c>
      <c r="AA122" s="121"/>
      <c r="AB122" s="120"/>
      <c r="AC122" s="120"/>
      <c r="AD122" s="120"/>
      <c r="AE122" s="120"/>
      <c r="AF122" s="105">
        <f t="shared" si="103"/>
        <v>169.33333333333331</v>
      </c>
      <c r="AG122" s="105">
        <f t="shared" si="104"/>
        <v>145.14285714285714</v>
      </c>
      <c r="AH122" s="105">
        <f t="shared" si="105"/>
        <v>127</v>
      </c>
      <c r="AI122" s="105">
        <f t="shared" si="106"/>
        <v>112.88888888888889</v>
      </c>
      <c r="AJ122" s="105">
        <f t="shared" si="107"/>
        <v>101.60000000000001</v>
      </c>
      <c r="AK122" s="105">
        <f t="shared" si="108"/>
        <v>92.36363636363636</v>
      </c>
      <c r="AL122" s="105">
        <f t="shared" si="109"/>
        <v>84.666666666666657</v>
      </c>
      <c r="AM122" s="105">
        <f t="shared" si="110"/>
        <v>78.15384615384616</v>
      </c>
      <c r="AN122" s="105">
        <f t="shared" si="111"/>
        <v>72.571428571428569</v>
      </c>
      <c r="AO122" s="105">
        <f t="shared" si="112"/>
        <v>67.733333333333334</v>
      </c>
      <c r="AP122" s="105">
        <f t="shared" si="113"/>
        <v>63.5</v>
      </c>
      <c r="AQ122" s="121"/>
      <c r="AR122" s="120"/>
      <c r="AS122" s="105">
        <f t="shared" si="115"/>
        <v>169.33333333333331</v>
      </c>
      <c r="AT122" s="105">
        <f t="shared" si="116"/>
        <v>127</v>
      </c>
      <c r="AU122" s="105">
        <f t="shared" si="117"/>
        <v>101.60000000000001</v>
      </c>
      <c r="AV122" s="105">
        <f t="shared" si="118"/>
        <v>84.666666666666657</v>
      </c>
      <c r="AW122" s="105">
        <f t="shared" si="119"/>
        <v>72.571428571428569</v>
      </c>
      <c r="AX122" s="105">
        <f t="shared" si="120"/>
        <v>63.5</v>
      </c>
      <c r="AY122" s="105">
        <f t="shared" si="121"/>
        <v>56.444444444444443</v>
      </c>
      <c r="AZ122" s="105">
        <f t="shared" si="122"/>
        <v>50.800000000000004</v>
      </c>
      <c r="BA122" s="105">
        <f t="shared" si="123"/>
        <v>46.18181818181818</v>
      </c>
      <c r="BB122" s="105">
        <f t="shared" si="124"/>
        <v>42.333333333333329</v>
      </c>
      <c r="BC122" s="105">
        <f t="shared" si="125"/>
        <v>39.07692307692308</v>
      </c>
      <c r="BD122" s="105">
        <f t="shared" si="126"/>
        <v>36.285714285714285</v>
      </c>
      <c r="BE122" s="105">
        <f t="shared" si="127"/>
        <v>33.866666666666667</v>
      </c>
      <c r="BF122" s="110">
        <f t="shared" si="128"/>
        <v>31.75</v>
      </c>
      <c r="BG122" s="120"/>
      <c r="BH122" s="105">
        <f t="shared" si="129"/>
        <v>169.33333333333334</v>
      </c>
      <c r="BI122" s="105">
        <f t="shared" si="130"/>
        <v>112.88888888888887</v>
      </c>
      <c r="BJ122" s="105">
        <f t="shared" si="131"/>
        <v>84.666666666666671</v>
      </c>
      <c r="BK122" s="105">
        <f t="shared" si="132"/>
        <v>67.733333333333334</v>
      </c>
      <c r="BL122" s="105">
        <f t="shared" si="133"/>
        <v>56.444444444444436</v>
      </c>
      <c r="BM122" s="105">
        <f t="shared" si="134"/>
        <v>48.38095238095238</v>
      </c>
      <c r="BN122" s="105">
        <f t="shared" si="135"/>
        <v>42.333333333333336</v>
      </c>
      <c r="BO122" s="105">
        <f t="shared" si="136"/>
        <v>37.629629629629626</v>
      </c>
      <c r="BP122" s="105">
        <f t="shared" si="137"/>
        <v>33.866666666666667</v>
      </c>
      <c r="BQ122" s="105">
        <f t="shared" si="138"/>
        <v>30.787878787878785</v>
      </c>
      <c r="BR122" s="105">
        <f t="shared" si="139"/>
        <v>28.222222222222218</v>
      </c>
      <c r="BS122" s="105">
        <f t="shared" si="140"/>
        <v>26.051282051282055</v>
      </c>
      <c r="BT122" s="105">
        <f t="shared" si="141"/>
        <v>24.19047619047619</v>
      </c>
      <c r="BU122" s="105">
        <f t="shared" si="142"/>
        <v>22.577777777777779</v>
      </c>
      <c r="BV122" s="105">
        <f t="shared" si="143"/>
        <v>21.166666666666668</v>
      </c>
      <c r="BW122" s="121"/>
      <c r="BX122" s="105">
        <f t="shared" si="145"/>
        <v>127</v>
      </c>
      <c r="BY122" s="105">
        <f t="shared" si="146"/>
        <v>84.666666666666657</v>
      </c>
      <c r="BZ122" s="105">
        <f t="shared" si="147"/>
        <v>63.5</v>
      </c>
      <c r="CA122" s="105">
        <f t="shared" si="148"/>
        <v>50.800000000000004</v>
      </c>
      <c r="CB122" s="105">
        <f t="shared" si="149"/>
        <v>42.333333333333329</v>
      </c>
      <c r="CC122" s="105">
        <f t="shared" si="150"/>
        <v>36.285714285714285</v>
      </c>
      <c r="CD122" s="105">
        <f t="shared" si="151"/>
        <v>31.75</v>
      </c>
      <c r="CE122" s="105">
        <f t="shared" si="152"/>
        <v>28.222222222222221</v>
      </c>
      <c r="CF122" s="105">
        <f t="shared" si="153"/>
        <v>25.400000000000002</v>
      </c>
      <c r="CG122" s="105">
        <f t="shared" si="154"/>
        <v>23.09090909090909</v>
      </c>
      <c r="CH122" s="105">
        <f t="shared" si="155"/>
        <v>21.166666666666664</v>
      </c>
      <c r="CI122" s="105">
        <f t="shared" si="156"/>
        <v>19.53846153846154</v>
      </c>
      <c r="CJ122" s="105">
        <f t="shared" si="157"/>
        <v>18.142857142857142</v>
      </c>
      <c r="CK122" s="105">
        <f t="shared" si="158"/>
        <v>16.933333333333334</v>
      </c>
      <c r="CL122" s="105">
        <f t="shared" si="159"/>
        <v>15.875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4666-FD46-443C-8099-9032ADDA45BD}">
  <dimension ref="A1:BM123"/>
  <sheetViews>
    <sheetView topLeftCell="A73" workbookViewId="0">
      <selection activeCell="M93" sqref="M93"/>
    </sheetView>
  </sheetViews>
  <sheetFormatPr defaultRowHeight="16.899999999999999"/>
  <sheetData>
    <row r="1" spans="1:65">
      <c r="A1" t="s">
        <v>336</v>
      </c>
      <c r="B1" t="s">
        <v>337</v>
      </c>
    </row>
    <row r="2" spans="1:65">
      <c r="A2" t="s">
        <v>335</v>
      </c>
      <c r="B2">
        <v>4</v>
      </c>
      <c r="C2" s="108">
        <v>1</v>
      </c>
      <c r="D2" s="108">
        <v>2</v>
      </c>
      <c r="E2" s="108">
        <v>4</v>
      </c>
      <c r="F2" s="108">
        <v>8</v>
      </c>
      <c r="G2" s="108">
        <v>16</v>
      </c>
    </row>
    <row r="3" spans="1:65">
      <c r="B3" s="111">
        <v>1</v>
      </c>
      <c r="C3" s="111">
        <v>2</v>
      </c>
      <c r="D3" s="111">
        <v>3</v>
      </c>
      <c r="E3" s="111">
        <v>4</v>
      </c>
      <c r="F3" s="111">
        <v>5</v>
      </c>
      <c r="G3" s="111">
        <v>6</v>
      </c>
      <c r="H3" s="111">
        <v>7</v>
      </c>
      <c r="I3" s="111">
        <v>8</v>
      </c>
      <c r="J3" s="111">
        <v>9</v>
      </c>
      <c r="K3" s="111">
        <v>10</v>
      </c>
      <c r="L3" s="111">
        <v>11</v>
      </c>
      <c r="M3" s="111">
        <v>12</v>
      </c>
      <c r="N3" s="111">
        <v>13</v>
      </c>
      <c r="O3" s="111">
        <v>14</v>
      </c>
      <c r="P3" s="111">
        <v>15</v>
      </c>
      <c r="Q3" s="111">
        <v>16</v>
      </c>
      <c r="R3" s="114">
        <v>1</v>
      </c>
      <c r="S3" s="115">
        <v>2</v>
      </c>
      <c r="T3" s="115">
        <v>3</v>
      </c>
      <c r="U3" s="115">
        <v>4</v>
      </c>
      <c r="V3" s="115">
        <v>5</v>
      </c>
      <c r="W3" s="115">
        <v>6</v>
      </c>
      <c r="X3" s="115">
        <v>7</v>
      </c>
      <c r="Y3" s="115">
        <v>8</v>
      </c>
      <c r="Z3" s="115">
        <v>9</v>
      </c>
      <c r="AA3" s="115">
        <v>10</v>
      </c>
      <c r="AB3" s="115">
        <v>11</v>
      </c>
      <c r="AC3" s="115">
        <v>12</v>
      </c>
      <c r="AD3" s="115">
        <v>13</v>
      </c>
      <c r="AE3" s="115">
        <v>14</v>
      </c>
      <c r="AF3" s="115">
        <v>15</v>
      </c>
      <c r="AG3" s="116">
        <v>16</v>
      </c>
      <c r="AH3" s="112">
        <v>1</v>
      </c>
      <c r="AI3" s="112">
        <v>2</v>
      </c>
      <c r="AJ3" s="112">
        <v>3</v>
      </c>
      <c r="AK3" s="112">
        <v>4</v>
      </c>
      <c r="AL3" s="112">
        <v>5</v>
      </c>
      <c r="AM3" s="112">
        <v>6</v>
      </c>
      <c r="AN3" s="112">
        <v>7</v>
      </c>
      <c r="AO3" s="112">
        <v>8</v>
      </c>
      <c r="AP3" s="112">
        <v>9</v>
      </c>
      <c r="AQ3" s="112">
        <v>10</v>
      </c>
      <c r="AR3" s="112">
        <v>11</v>
      </c>
      <c r="AS3" s="112">
        <v>12</v>
      </c>
      <c r="AT3" s="112">
        <v>13</v>
      </c>
      <c r="AU3" s="112">
        <v>14</v>
      </c>
      <c r="AV3" s="112">
        <v>15</v>
      </c>
      <c r="AW3" s="112">
        <v>16</v>
      </c>
      <c r="AX3" s="119">
        <v>1</v>
      </c>
      <c r="AY3" s="113">
        <v>2</v>
      </c>
      <c r="AZ3" s="113">
        <v>3</v>
      </c>
      <c r="BA3" s="113">
        <v>4</v>
      </c>
      <c r="BB3" s="113">
        <v>5</v>
      </c>
      <c r="BC3" s="113">
        <v>6</v>
      </c>
      <c r="BD3" s="113">
        <v>7</v>
      </c>
      <c r="BE3" s="113">
        <v>8</v>
      </c>
      <c r="BF3" s="113">
        <v>9</v>
      </c>
      <c r="BG3" s="113">
        <v>10</v>
      </c>
      <c r="BH3" s="113">
        <v>11</v>
      </c>
      <c r="BI3" s="113">
        <v>12</v>
      </c>
      <c r="BJ3" s="113">
        <v>13</v>
      </c>
      <c r="BK3" s="113">
        <v>14</v>
      </c>
      <c r="BL3" s="113">
        <v>15</v>
      </c>
      <c r="BM3" s="113">
        <v>16</v>
      </c>
    </row>
    <row r="4" spans="1:65">
      <c r="B4">
        <f>SYSCLK!AA3/$B$2</f>
        <v>16</v>
      </c>
      <c r="C4">
        <f>SYSCLK!AB3/$B$2</f>
        <v>8</v>
      </c>
      <c r="D4">
        <f>SYSCLK!AC3/$B$2</f>
        <v>5.333333333333333</v>
      </c>
      <c r="E4">
        <f>SYSCLK!AD3/$B$2</f>
        <v>4</v>
      </c>
      <c r="F4">
        <f>SYSCLK!AE3/$B$2</f>
        <v>3.2</v>
      </c>
      <c r="G4">
        <f>SYSCLK!AF3/$B$2</f>
        <v>2.6666666666666665</v>
      </c>
      <c r="H4">
        <f>SYSCLK!AG3/$B$2</f>
        <v>2.2857142857142856</v>
      </c>
      <c r="I4">
        <f>SYSCLK!AH3/$B$2</f>
        <v>2</v>
      </c>
      <c r="J4">
        <f>SYSCLK!AI3/$B$2</f>
        <v>1.7777777777777777</v>
      </c>
      <c r="K4">
        <f>SYSCLK!AJ3/$B$2</f>
        <v>1.6</v>
      </c>
      <c r="L4">
        <f>SYSCLK!AK3/$B$2</f>
        <v>1.4545454545454546</v>
      </c>
      <c r="M4">
        <f>SYSCLK!AL3/$B$2</f>
        <v>1.3333333333333333</v>
      </c>
      <c r="N4">
        <f>SYSCLK!AM3/$B$2</f>
        <v>1.2307692307692308</v>
      </c>
      <c r="O4">
        <f>SYSCLK!AN3/$B$2</f>
        <v>1.1428571428571428</v>
      </c>
      <c r="P4">
        <f>SYSCLK!AO3/$B$2</f>
        <v>1.0666666666666667</v>
      </c>
      <c r="Q4">
        <f>SYSCLK!AP3/$B$2</f>
        <v>1</v>
      </c>
      <c r="R4" s="117">
        <f>SYSCLK!AQ3/$B$2</f>
        <v>8</v>
      </c>
      <c r="S4">
        <f>SYSCLK!AR3/$B$2</f>
        <v>4</v>
      </c>
      <c r="T4">
        <f>SYSCLK!AS3/$B$2</f>
        <v>2.6666666666666665</v>
      </c>
      <c r="U4">
        <f>SYSCLK!AT3/$B$2</f>
        <v>2</v>
      </c>
      <c r="V4">
        <f>SYSCLK!AU3/$B$2</f>
        <v>1.6</v>
      </c>
      <c r="W4">
        <f>SYSCLK!AV3/$B$2</f>
        <v>1.3333333333333333</v>
      </c>
      <c r="X4">
        <f>SYSCLK!AW3/$B$2</f>
        <v>1.1428571428571428</v>
      </c>
      <c r="Y4">
        <f>SYSCLK!AX3/$B$2</f>
        <v>1</v>
      </c>
      <c r="Z4">
        <f>SYSCLK!AY3/$B$2</f>
        <v>0.88888888888888884</v>
      </c>
      <c r="AA4">
        <f>SYSCLK!AZ3/$B$2</f>
        <v>0.8</v>
      </c>
      <c r="AB4">
        <f>SYSCLK!BA3/$B$2</f>
        <v>0.72727272727272729</v>
      </c>
      <c r="AC4">
        <f>SYSCLK!BB3/$B$2</f>
        <v>0.66666666666666663</v>
      </c>
      <c r="AD4">
        <f>SYSCLK!BC3/$B$2</f>
        <v>0.61538461538461542</v>
      </c>
      <c r="AE4">
        <f>SYSCLK!BD3/$B$2</f>
        <v>0.5714285714285714</v>
      </c>
      <c r="AF4">
        <f>SYSCLK!BE3/$B$2</f>
        <v>0.53333333333333333</v>
      </c>
      <c r="AG4" s="118">
        <f>SYSCLK!BF3/$B$2</f>
        <v>0.5</v>
      </c>
      <c r="AH4">
        <f>SYSCLK!BG3/$B$2</f>
        <v>5.333333333333333</v>
      </c>
      <c r="AI4">
        <f>SYSCLK!BH3/$B$2</f>
        <v>2.6666666666666665</v>
      </c>
      <c r="AJ4">
        <f>SYSCLK!BI3/$B$2</f>
        <v>1.7777777777777777</v>
      </c>
      <c r="AK4">
        <f>SYSCLK!BJ3/$B$2</f>
        <v>1.3333333333333333</v>
      </c>
      <c r="AL4">
        <f>SYSCLK!BK3/$B$2</f>
        <v>1.0666666666666667</v>
      </c>
      <c r="AM4">
        <f>SYSCLK!BL3/$B$2</f>
        <v>0.88888888888888884</v>
      </c>
      <c r="AN4">
        <f>SYSCLK!BM3/$B$2</f>
        <v>0.76190476190476186</v>
      </c>
      <c r="AO4">
        <f>SYSCLK!BN3/$B$2</f>
        <v>0.66666666666666663</v>
      </c>
      <c r="AP4">
        <f>SYSCLK!BO3/$B$2</f>
        <v>0.59259259259259256</v>
      </c>
      <c r="AQ4">
        <f>SYSCLK!BP3/$B$2</f>
        <v>0.53333333333333333</v>
      </c>
      <c r="AR4">
        <f>SYSCLK!BQ3/$B$2</f>
        <v>0.48484848484848486</v>
      </c>
      <c r="AS4">
        <f>SYSCLK!BR3/$B$2</f>
        <v>0.44444444444444442</v>
      </c>
      <c r="AT4">
        <f>SYSCLK!BS3/$B$2</f>
        <v>0.4102564102564103</v>
      </c>
      <c r="AU4">
        <f>SYSCLK!BT3/$B$2</f>
        <v>0.38095238095238093</v>
      </c>
      <c r="AV4">
        <f>SYSCLK!BU3/$B$2</f>
        <v>0.35555555555555557</v>
      </c>
      <c r="AW4">
        <f>SYSCLK!BV3/$B$2</f>
        <v>0.33333333333333331</v>
      </c>
      <c r="AX4" s="117">
        <f>SYSCLK!BW3/$B$2</f>
        <v>4</v>
      </c>
      <c r="AY4">
        <f>SYSCLK!BX3/$B$2</f>
        <v>2</v>
      </c>
      <c r="AZ4">
        <f>SYSCLK!BY3/$B$2</f>
        <v>1.3333333333333333</v>
      </c>
      <c r="BA4">
        <f>SYSCLK!BZ3/$B$2</f>
        <v>1</v>
      </c>
      <c r="BB4">
        <f>SYSCLK!CA3/$B$2</f>
        <v>0.8</v>
      </c>
      <c r="BC4">
        <f>SYSCLK!CB3/$B$2</f>
        <v>0.66666666666666663</v>
      </c>
      <c r="BD4">
        <f>SYSCLK!CC3/$B$2</f>
        <v>0.5714285714285714</v>
      </c>
      <c r="BE4">
        <f>SYSCLK!CD3/$B$2</f>
        <v>0.5</v>
      </c>
      <c r="BF4">
        <f>SYSCLK!CE3/$B$2</f>
        <v>0.44444444444444442</v>
      </c>
      <c r="BG4">
        <f>SYSCLK!CF3/$B$2</f>
        <v>0.4</v>
      </c>
      <c r="BH4">
        <f>SYSCLK!CG3/$B$2</f>
        <v>0.36363636363636365</v>
      </c>
      <c r="BI4">
        <f>SYSCLK!CH3/$B$2</f>
        <v>0.33333333333333331</v>
      </c>
      <c r="BJ4">
        <f>SYSCLK!CI3/$B$2</f>
        <v>0.30769230769230771</v>
      </c>
      <c r="BK4">
        <f>SYSCLK!CJ3/$B$2</f>
        <v>0.2857142857142857</v>
      </c>
      <c r="BL4">
        <f>SYSCLK!CK3/$B$2</f>
        <v>0.26666666666666666</v>
      </c>
      <c r="BM4">
        <f>SYSCLK!CL3/$B$2</f>
        <v>0.25</v>
      </c>
    </row>
    <row r="5" spans="1:65">
      <c r="B5">
        <f>SYSCLK!AA4/$B$2</f>
        <v>18</v>
      </c>
      <c r="C5">
        <f>SYSCLK!AB4/$B$2</f>
        <v>9</v>
      </c>
      <c r="D5">
        <f>SYSCLK!AC4/$B$2</f>
        <v>6</v>
      </c>
      <c r="E5">
        <f>SYSCLK!AD4/$B$2</f>
        <v>4.5</v>
      </c>
      <c r="F5">
        <f>SYSCLK!AE4/$B$2</f>
        <v>3.6</v>
      </c>
      <c r="G5">
        <f>SYSCLK!AF4/$B$2</f>
        <v>3</v>
      </c>
      <c r="H5">
        <f>SYSCLK!AG4/$B$2</f>
        <v>2.5714285714285712</v>
      </c>
      <c r="I5">
        <f>SYSCLK!AH4/$B$2</f>
        <v>2.25</v>
      </c>
      <c r="J5">
        <f>SYSCLK!AI4/$B$2</f>
        <v>2</v>
      </c>
      <c r="K5">
        <f>SYSCLK!AJ4/$B$2</f>
        <v>1.8</v>
      </c>
      <c r="L5">
        <f>SYSCLK!AK4/$B$2</f>
        <v>1.6363636363636365</v>
      </c>
      <c r="M5">
        <f>SYSCLK!AL4/$B$2</f>
        <v>1.5</v>
      </c>
      <c r="N5">
        <f>SYSCLK!AM4/$B$2</f>
        <v>1.3846153846153846</v>
      </c>
      <c r="O5">
        <f>SYSCLK!AN4/$B$2</f>
        <v>1.2857142857142856</v>
      </c>
      <c r="P5">
        <f>SYSCLK!AO4/$B$2</f>
        <v>1.2</v>
      </c>
      <c r="Q5">
        <f>SYSCLK!AP4/$B$2</f>
        <v>1.125</v>
      </c>
      <c r="R5" s="117">
        <f>SYSCLK!AQ4/$B$2</f>
        <v>9</v>
      </c>
      <c r="S5">
        <f>SYSCLK!AR4/$B$2</f>
        <v>4.5</v>
      </c>
      <c r="T5">
        <f>SYSCLK!AS4/$B$2</f>
        <v>3</v>
      </c>
      <c r="U5">
        <f>SYSCLK!AT4/$B$2</f>
        <v>2.25</v>
      </c>
      <c r="V5">
        <f>SYSCLK!AU4/$B$2</f>
        <v>1.8</v>
      </c>
      <c r="W5">
        <f>SYSCLK!AV4/$B$2</f>
        <v>1.5</v>
      </c>
      <c r="X5">
        <f>SYSCLK!AW4/$B$2</f>
        <v>1.2857142857142856</v>
      </c>
      <c r="Y5">
        <f>SYSCLK!AX4/$B$2</f>
        <v>1.125</v>
      </c>
      <c r="Z5">
        <f>SYSCLK!AY4/$B$2</f>
        <v>1</v>
      </c>
      <c r="AA5">
        <f>SYSCLK!AZ4/$B$2</f>
        <v>0.9</v>
      </c>
      <c r="AB5">
        <f>SYSCLK!BA4/$B$2</f>
        <v>0.81818181818181823</v>
      </c>
      <c r="AC5">
        <f>SYSCLK!BB4/$B$2</f>
        <v>0.75</v>
      </c>
      <c r="AD5">
        <f>SYSCLK!BC4/$B$2</f>
        <v>0.69230769230769229</v>
      </c>
      <c r="AE5">
        <f>SYSCLK!BD4/$B$2</f>
        <v>0.64285714285714279</v>
      </c>
      <c r="AF5">
        <f>SYSCLK!BE4/$B$2</f>
        <v>0.6</v>
      </c>
      <c r="AG5" s="118">
        <f>SYSCLK!BF4/$B$2</f>
        <v>0.5625</v>
      </c>
      <c r="AH5">
        <f>SYSCLK!BG4/$B$2</f>
        <v>6</v>
      </c>
      <c r="AI5">
        <f>SYSCLK!BH4/$B$2</f>
        <v>3</v>
      </c>
      <c r="AJ5">
        <f>SYSCLK!BI4/$B$2</f>
        <v>2</v>
      </c>
      <c r="AK5">
        <f>SYSCLK!BJ4/$B$2</f>
        <v>1.5</v>
      </c>
      <c r="AL5">
        <f>SYSCLK!BK4/$B$2</f>
        <v>1.2</v>
      </c>
      <c r="AM5">
        <f>SYSCLK!BL4/$B$2</f>
        <v>1</v>
      </c>
      <c r="AN5">
        <f>SYSCLK!BM4/$B$2</f>
        <v>0.8571428571428571</v>
      </c>
      <c r="AO5">
        <f>SYSCLK!BN4/$B$2</f>
        <v>0.75</v>
      </c>
      <c r="AP5">
        <f>SYSCLK!BO4/$B$2</f>
        <v>0.66666666666666663</v>
      </c>
      <c r="AQ5">
        <f>SYSCLK!BP4/$B$2</f>
        <v>0.6</v>
      </c>
      <c r="AR5">
        <f>SYSCLK!BQ4/$B$2</f>
        <v>0.54545454545454553</v>
      </c>
      <c r="AS5">
        <f>SYSCLK!BR4/$B$2</f>
        <v>0.5</v>
      </c>
      <c r="AT5">
        <f>SYSCLK!BS4/$B$2</f>
        <v>0.46153846153846151</v>
      </c>
      <c r="AU5">
        <f>SYSCLK!BT4/$B$2</f>
        <v>0.42857142857142855</v>
      </c>
      <c r="AV5">
        <f>SYSCLK!BU4/$B$2</f>
        <v>0.39999999999999997</v>
      </c>
      <c r="AW5">
        <f>SYSCLK!BV4/$B$2</f>
        <v>0.375</v>
      </c>
      <c r="AX5" s="117">
        <f>SYSCLK!BW4/$B$2</f>
        <v>4.5</v>
      </c>
      <c r="AY5">
        <f>SYSCLK!BX4/$B$2</f>
        <v>2.25</v>
      </c>
      <c r="AZ5">
        <f>SYSCLK!BY4/$B$2</f>
        <v>1.5</v>
      </c>
      <c r="BA5">
        <f>SYSCLK!BZ4/$B$2</f>
        <v>1.125</v>
      </c>
      <c r="BB5">
        <f>SYSCLK!CA4/$B$2</f>
        <v>0.9</v>
      </c>
      <c r="BC5">
        <f>SYSCLK!CB4/$B$2</f>
        <v>0.75</v>
      </c>
      <c r="BD5">
        <f>SYSCLK!CC4/$B$2</f>
        <v>0.64285714285714279</v>
      </c>
      <c r="BE5">
        <f>SYSCLK!CD4/$B$2</f>
        <v>0.5625</v>
      </c>
      <c r="BF5">
        <f>SYSCLK!CE4/$B$2</f>
        <v>0.5</v>
      </c>
      <c r="BG5">
        <f>SYSCLK!CF4/$B$2</f>
        <v>0.45</v>
      </c>
      <c r="BH5">
        <f>SYSCLK!CG4/$B$2</f>
        <v>0.40909090909090912</v>
      </c>
      <c r="BI5">
        <f>SYSCLK!CH4/$B$2</f>
        <v>0.375</v>
      </c>
      <c r="BJ5">
        <f>SYSCLK!CI4/$B$2</f>
        <v>0.34615384615384615</v>
      </c>
      <c r="BK5">
        <f>SYSCLK!CJ4/$B$2</f>
        <v>0.3214285714285714</v>
      </c>
      <c r="BL5">
        <f>SYSCLK!CK4/$B$2</f>
        <v>0.3</v>
      </c>
      <c r="BM5">
        <f>SYSCLK!CL4/$B$2</f>
        <v>0.28125</v>
      </c>
    </row>
    <row r="6" spans="1:65">
      <c r="B6">
        <f>SYSCLK!AA5/$B$2</f>
        <v>20</v>
      </c>
      <c r="C6">
        <f>SYSCLK!AB5/$B$2</f>
        <v>10</v>
      </c>
      <c r="D6">
        <f>SYSCLK!AC5/$B$2</f>
        <v>6.6666666666666661</v>
      </c>
      <c r="E6">
        <f>SYSCLK!AD5/$B$2</f>
        <v>5</v>
      </c>
      <c r="F6">
        <f>SYSCLK!AE5/$B$2</f>
        <v>4</v>
      </c>
      <c r="G6">
        <f>SYSCLK!AF5/$B$2</f>
        <v>3.333333333333333</v>
      </c>
      <c r="H6">
        <f>SYSCLK!AG5/$B$2</f>
        <v>2.8571428571428568</v>
      </c>
      <c r="I6">
        <f>SYSCLK!AH5/$B$2</f>
        <v>2.5</v>
      </c>
      <c r="J6">
        <f>SYSCLK!AI5/$B$2</f>
        <v>2.2222222222222223</v>
      </c>
      <c r="K6">
        <f>SYSCLK!AJ5/$B$2</f>
        <v>2</v>
      </c>
      <c r="L6">
        <f>SYSCLK!AK5/$B$2</f>
        <v>1.8181818181818183</v>
      </c>
      <c r="M6">
        <f>SYSCLK!AL5/$B$2</f>
        <v>1.6666666666666665</v>
      </c>
      <c r="N6">
        <f>SYSCLK!AM5/$B$2</f>
        <v>1.5384615384615385</v>
      </c>
      <c r="O6">
        <f>SYSCLK!AN5/$B$2</f>
        <v>1.4285714285714284</v>
      </c>
      <c r="P6">
        <f>SYSCLK!AO5/$B$2</f>
        <v>1.3333333333333333</v>
      </c>
      <c r="Q6">
        <f>SYSCLK!AP5/$B$2</f>
        <v>1.25</v>
      </c>
      <c r="R6" s="117">
        <f>SYSCLK!AQ5/$B$2</f>
        <v>10</v>
      </c>
      <c r="S6">
        <f>SYSCLK!AR5/$B$2</f>
        <v>5</v>
      </c>
      <c r="T6">
        <f>SYSCLK!AS5/$B$2</f>
        <v>3.333333333333333</v>
      </c>
      <c r="U6">
        <f>SYSCLK!AT5/$B$2</f>
        <v>2.5</v>
      </c>
      <c r="V6">
        <f>SYSCLK!AU5/$B$2</f>
        <v>2</v>
      </c>
      <c r="W6">
        <f>SYSCLK!AV5/$B$2</f>
        <v>1.6666666666666665</v>
      </c>
      <c r="X6">
        <f>SYSCLK!AW5/$B$2</f>
        <v>1.4285714285714284</v>
      </c>
      <c r="Y6">
        <f>SYSCLK!AX5/$B$2</f>
        <v>1.25</v>
      </c>
      <c r="Z6">
        <f>SYSCLK!AY5/$B$2</f>
        <v>1.1111111111111112</v>
      </c>
      <c r="AA6">
        <f>SYSCLK!AZ5/$B$2</f>
        <v>1</v>
      </c>
      <c r="AB6">
        <f>SYSCLK!BA5/$B$2</f>
        <v>0.90909090909090917</v>
      </c>
      <c r="AC6">
        <f>SYSCLK!BB5/$B$2</f>
        <v>0.83333333333333326</v>
      </c>
      <c r="AD6">
        <f>SYSCLK!BC5/$B$2</f>
        <v>0.76923076923076927</v>
      </c>
      <c r="AE6">
        <f>SYSCLK!BD5/$B$2</f>
        <v>0.71428571428571419</v>
      </c>
      <c r="AF6">
        <f>SYSCLK!BE5/$B$2</f>
        <v>0.66666666666666663</v>
      </c>
      <c r="AG6" s="118">
        <f>SYSCLK!BF5/$B$2</f>
        <v>0.625</v>
      </c>
      <c r="AH6">
        <f>SYSCLK!BG5/$B$2</f>
        <v>6.666666666666667</v>
      </c>
      <c r="AI6">
        <f>SYSCLK!BH5/$B$2</f>
        <v>3.3333333333333335</v>
      </c>
      <c r="AJ6">
        <f>SYSCLK!BI5/$B$2</f>
        <v>2.2222222222222219</v>
      </c>
      <c r="AK6">
        <f>SYSCLK!BJ5/$B$2</f>
        <v>1.6666666666666667</v>
      </c>
      <c r="AL6">
        <f>SYSCLK!BK5/$B$2</f>
        <v>1.3333333333333333</v>
      </c>
      <c r="AM6">
        <f>SYSCLK!BL5/$B$2</f>
        <v>1.1111111111111109</v>
      </c>
      <c r="AN6">
        <f>SYSCLK!BM5/$B$2</f>
        <v>0.95238095238095222</v>
      </c>
      <c r="AO6">
        <f>SYSCLK!BN5/$B$2</f>
        <v>0.83333333333333337</v>
      </c>
      <c r="AP6">
        <f>SYSCLK!BO5/$B$2</f>
        <v>0.74074074074074081</v>
      </c>
      <c r="AQ6">
        <f>SYSCLK!BP5/$B$2</f>
        <v>0.66666666666666663</v>
      </c>
      <c r="AR6">
        <f>SYSCLK!BQ5/$B$2</f>
        <v>0.60606060606060608</v>
      </c>
      <c r="AS6">
        <f>SYSCLK!BR5/$B$2</f>
        <v>0.55555555555555547</v>
      </c>
      <c r="AT6">
        <f>SYSCLK!BS5/$B$2</f>
        <v>0.51282051282051289</v>
      </c>
      <c r="AU6">
        <f>SYSCLK!BT5/$B$2</f>
        <v>0.47619047619047611</v>
      </c>
      <c r="AV6">
        <f>SYSCLK!BU5/$B$2</f>
        <v>0.44444444444444442</v>
      </c>
      <c r="AW6">
        <f>SYSCLK!BV5/$B$2</f>
        <v>0.41666666666666669</v>
      </c>
      <c r="AX6" s="117">
        <f>SYSCLK!BW5/$B$2</f>
        <v>5</v>
      </c>
      <c r="AY6">
        <f>SYSCLK!BX5/$B$2</f>
        <v>2.5</v>
      </c>
      <c r="AZ6">
        <f>SYSCLK!BY5/$B$2</f>
        <v>1.6666666666666665</v>
      </c>
      <c r="BA6">
        <f>SYSCLK!BZ5/$B$2</f>
        <v>1.25</v>
      </c>
      <c r="BB6">
        <f>SYSCLK!CA5/$B$2</f>
        <v>1</v>
      </c>
      <c r="BC6">
        <f>SYSCLK!CB5/$B$2</f>
        <v>0.83333333333333326</v>
      </c>
      <c r="BD6">
        <f>SYSCLK!CC5/$B$2</f>
        <v>0.71428571428571419</v>
      </c>
      <c r="BE6">
        <f>SYSCLK!CD5/$B$2</f>
        <v>0.625</v>
      </c>
      <c r="BF6">
        <f>SYSCLK!CE5/$B$2</f>
        <v>0.55555555555555558</v>
      </c>
      <c r="BG6">
        <f>SYSCLK!CF5/$B$2</f>
        <v>0.5</v>
      </c>
      <c r="BH6">
        <f>SYSCLK!CG5/$B$2</f>
        <v>0.45454545454545459</v>
      </c>
      <c r="BI6">
        <f>SYSCLK!CH5/$B$2</f>
        <v>0.41666666666666663</v>
      </c>
      <c r="BJ6">
        <f>SYSCLK!CI5/$B$2</f>
        <v>0.38461538461538464</v>
      </c>
      <c r="BK6">
        <f>SYSCLK!CJ5/$B$2</f>
        <v>0.3571428571428571</v>
      </c>
      <c r="BL6">
        <f>SYSCLK!CK5/$B$2</f>
        <v>0.33333333333333331</v>
      </c>
      <c r="BM6">
        <f>SYSCLK!CL5/$B$2</f>
        <v>0.3125</v>
      </c>
    </row>
    <row r="7" spans="1:65">
      <c r="B7">
        <f>SYSCLK!AA6/$B$2</f>
        <v>22</v>
      </c>
      <c r="C7">
        <f>SYSCLK!AB6/$B$2</f>
        <v>11</v>
      </c>
      <c r="D7">
        <f>SYSCLK!AC6/$B$2</f>
        <v>7.333333333333333</v>
      </c>
      <c r="E7">
        <f>SYSCLK!AD6/$B$2</f>
        <v>5.5</v>
      </c>
      <c r="F7">
        <f>SYSCLK!AE6/$B$2</f>
        <v>4.4000000000000004</v>
      </c>
      <c r="G7">
        <f>SYSCLK!AF6/$B$2</f>
        <v>3.6666666666666665</v>
      </c>
      <c r="H7">
        <f>SYSCLK!AG6/$B$2</f>
        <v>3.1428571428571428</v>
      </c>
      <c r="I7">
        <f>SYSCLK!AH6/$B$2</f>
        <v>2.75</v>
      </c>
      <c r="J7">
        <f>SYSCLK!AI6/$B$2</f>
        <v>2.4444444444444442</v>
      </c>
      <c r="K7">
        <f>SYSCLK!AJ6/$B$2</f>
        <v>2.2000000000000002</v>
      </c>
      <c r="L7">
        <f>SYSCLK!AK6/$B$2</f>
        <v>2</v>
      </c>
      <c r="M7">
        <f>SYSCLK!AL6/$B$2</f>
        <v>1.8333333333333333</v>
      </c>
      <c r="N7">
        <f>SYSCLK!AM6/$B$2</f>
        <v>1.6923076923076925</v>
      </c>
      <c r="O7">
        <f>SYSCLK!AN6/$B$2</f>
        <v>1.5714285714285714</v>
      </c>
      <c r="P7">
        <f>SYSCLK!AO6/$B$2</f>
        <v>1.4666666666666666</v>
      </c>
      <c r="Q7">
        <f>SYSCLK!AP6/$B$2</f>
        <v>1.375</v>
      </c>
      <c r="R7" s="117">
        <f>SYSCLK!AQ6/$B$2</f>
        <v>11</v>
      </c>
      <c r="S7">
        <f>SYSCLK!AR6/$B$2</f>
        <v>5.5</v>
      </c>
      <c r="T7">
        <f>SYSCLK!AS6/$B$2</f>
        <v>3.6666666666666665</v>
      </c>
      <c r="U7">
        <f>SYSCLK!AT6/$B$2</f>
        <v>2.75</v>
      </c>
      <c r="V7">
        <f>SYSCLK!AU6/$B$2</f>
        <v>2.2000000000000002</v>
      </c>
      <c r="W7">
        <f>SYSCLK!AV6/$B$2</f>
        <v>1.8333333333333333</v>
      </c>
      <c r="X7">
        <f>SYSCLK!AW6/$B$2</f>
        <v>1.5714285714285714</v>
      </c>
      <c r="Y7">
        <f>SYSCLK!AX6/$B$2</f>
        <v>1.375</v>
      </c>
      <c r="Z7">
        <f>SYSCLK!AY6/$B$2</f>
        <v>1.2222222222222221</v>
      </c>
      <c r="AA7">
        <f>SYSCLK!AZ6/$B$2</f>
        <v>1.1000000000000001</v>
      </c>
      <c r="AB7">
        <f>SYSCLK!BA6/$B$2</f>
        <v>1</v>
      </c>
      <c r="AC7">
        <f>SYSCLK!BB6/$B$2</f>
        <v>0.91666666666666663</v>
      </c>
      <c r="AD7">
        <f>SYSCLK!BC6/$B$2</f>
        <v>0.84615384615384626</v>
      </c>
      <c r="AE7">
        <f>SYSCLK!BD6/$B$2</f>
        <v>0.7857142857142857</v>
      </c>
      <c r="AF7">
        <f>SYSCLK!BE6/$B$2</f>
        <v>0.73333333333333328</v>
      </c>
      <c r="AG7" s="118">
        <f>SYSCLK!BF6/$B$2</f>
        <v>0.6875</v>
      </c>
      <c r="AH7">
        <f>SYSCLK!BG6/$B$2</f>
        <v>7.333333333333333</v>
      </c>
      <c r="AI7">
        <f>SYSCLK!BH6/$B$2</f>
        <v>3.6666666666666665</v>
      </c>
      <c r="AJ7">
        <f>SYSCLK!BI6/$B$2</f>
        <v>2.4444444444444442</v>
      </c>
      <c r="AK7">
        <f>SYSCLK!BJ6/$B$2</f>
        <v>1.8333333333333333</v>
      </c>
      <c r="AL7">
        <f>SYSCLK!BK6/$B$2</f>
        <v>1.4666666666666668</v>
      </c>
      <c r="AM7">
        <f>SYSCLK!BL6/$B$2</f>
        <v>1.2222222222222221</v>
      </c>
      <c r="AN7">
        <f>SYSCLK!BM6/$B$2</f>
        <v>1.0476190476190477</v>
      </c>
      <c r="AO7">
        <f>SYSCLK!BN6/$B$2</f>
        <v>0.91666666666666663</v>
      </c>
      <c r="AP7">
        <f>SYSCLK!BO6/$B$2</f>
        <v>0.81481481481481477</v>
      </c>
      <c r="AQ7">
        <f>SYSCLK!BP6/$B$2</f>
        <v>0.73333333333333339</v>
      </c>
      <c r="AR7">
        <f>SYSCLK!BQ6/$B$2</f>
        <v>0.66666666666666663</v>
      </c>
      <c r="AS7">
        <f>SYSCLK!BR6/$B$2</f>
        <v>0.61111111111111105</v>
      </c>
      <c r="AT7">
        <f>SYSCLK!BS6/$B$2</f>
        <v>0.56410256410256421</v>
      </c>
      <c r="AU7">
        <f>SYSCLK!BT6/$B$2</f>
        <v>0.52380952380952384</v>
      </c>
      <c r="AV7">
        <f>SYSCLK!BU6/$B$2</f>
        <v>0.48888888888888887</v>
      </c>
      <c r="AW7">
        <f>SYSCLK!BV6/$B$2</f>
        <v>0.45833333333333331</v>
      </c>
      <c r="AX7" s="117">
        <f>SYSCLK!BW6/$B$2</f>
        <v>5.5</v>
      </c>
      <c r="AY7">
        <f>SYSCLK!BX6/$B$2</f>
        <v>2.75</v>
      </c>
      <c r="AZ7">
        <f>SYSCLK!BY6/$B$2</f>
        <v>1.8333333333333333</v>
      </c>
      <c r="BA7">
        <f>SYSCLK!BZ6/$B$2</f>
        <v>1.375</v>
      </c>
      <c r="BB7">
        <f>SYSCLK!CA6/$B$2</f>
        <v>1.1000000000000001</v>
      </c>
      <c r="BC7">
        <f>SYSCLK!CB6/$B$2</f>
        <v>0.91666666666666663</v>
      </c>
      <c r="BD7">
        <f>SYSCLK!CC6/$B$2</f>
        <v>0.7857142857142857</v>
      </c>
      <c r="BE7">
        <f>SYSCLK!CD6/$B$2</f>
        <v>0.6875</v>
      </c>
      <c r="BF7">
        <f>SYSCLK!CE6/$B$2</f>
        <v>0.61111111111111105</v>
      </c>
      <c r="BG7">
        <f>SYSCLK!CF6/$B$2</f>
        <v>0.55000000000000004</v>
      </c>
      <c r="BH7">
        <f>SYSCLK!CG6/$B$2</f>
        <v>0.5</v>
      </c>
      <c r="BI7">
        <f>SYSCLK!CH6/$B$2</f>
        <v>0.45833333333333331</v>
      </c>
      <c r="BJ7">
        <f>SYSCLK!CI6/$B$2</f>
        <v>0.42307692307692313</v>
      </c>
      <c r="BK7">
        <f>SYSCLK!CJ6/$B$2</f>
        <v>0.39285714285714285</v>
      </c>
      <c r="BL7">
        <f>SYSCLK!CK6/$B$2</f>
        <v>0.36666666666666664</v>
      </c>
      <c r="BM7">
        <f>SYSCLK!CL6/$B$2</f>
        <v>0.34375</v>
      </c>
    </row>
    <row r="8" spans="1:65">
      <c r="B8">
        <f>SYSCLK!AA7/$B$2</f>
        <v>24</v>
      </c>
      <c r="C8">
        <f>SYSCLK!AB7/$B$2</f>
        <v>12</v>
      </c>
      <c r="D8">
        <f>SYSCLK!AC7/$B$2</f>
        <v>8</v>
      </c>
      <c r="E8">
        <f>SYSCLK!AD7/$B$2</f>
        <v>6</v>
      </c>
      <c r="F8">
        <f>SYSCLK!AE7/$B$2</f>
        <v>4.8000000000000007</v>
      </c>
      <c r="G8">
        <f>SYSCLK!AF7/$B$2</f>
        <v>4</v>
      </c>
      <c r="H8">
        <f>SYSCLK!AG7/$B$2</f>
        <v>3.4285714285714284</v>
      </c>
      <c r="I8">
        <f>SYSCLK!AH7/$B$2</f>
        <v>3</v>
      </c>
      <c r="J8">
        <f>SYSCLK!AI7/$B$2</f>
        <v>2.6666666666666665</v>
      </c>
      <c r="K8">
        <f>SYSCLK!AJ7/$B$2</f>
        <v>2.4000000000000004</v>
      </c>
      <c r="L8">
        <f>SYSCLK!AK7/$B$2</f>
        <v>2.1818181818181817</v>
      </c>
      <c r="M8">
        <f>SYSCLK!AL7/$B$2</f>
        <v>2</v>
      </c>
      <c r="N8">
        <f>SYSCLK!AM7/$B$2</f>
        <v>1.8461538461538463</v>
      </c>
      <c r="O8">
        <f>SYSCLK!AN7/$B$2</f>
        <v>1.7142857142857142</v>
      </c>
      <c r="P8">
        <f>SYSCLK!AO7/$B$2</f>
        <v>1.6</v>
      </c>
      <c r="Q8">
        <f>SYSCLK!AP7/$B$2</f>
        <v>1.5</v>
      </c>
      <c r="R8" s="117">
        <f>SYSCLK!AQ7/$B$2</f>
        <v>12</v>
      </c>
      <c r="S8">
        <f>SYSCLK!AR7/$B$2</f>
        <v>6</v>
      </c>
      <c r="T8">
        <f>SYSCLK!AS7/$B$2</f>
        <v>4</v>
      </c>
      <c r="U8">
        <f>SYSCLK!AT7/$B$2</f>
        <v>3</v>
      </c>
      <c r="V8">
        <f>SYSCLK!AU7/$B$2</f>
        <v>2.4000000000000004</v>
      </c>
      <c r="W8">
        <f>SYSCLK!AV7/$B$2</f>
        <v>2</v>
      </c>
      <c r="X8">
        <f>SYSCLK!AW7/$B$2</f>
        <v>1.7142857142857142</v>
      </c>
      <c r="Y8">
        <f>SYSCLK!AX7/$B$2</f>
        <v>1.5</v>
      </c>
      <c r="Z8">
        <f>SYSCLK!AY7/$B$2</f>
        <v>1.3333333333333333</v>
      </c>
      <c r="AA8">
        <f>SYSCLK!AZ7/$B$2</f>
        <v>1.2000000000000002</v>
      </c>
      <c r="AB8">
        <f>SYSCLK!BA7/$B$2</f>
        <v>1.0909090909090908</v>
      </c>
      <c r="AC8">
        <f>SYSCLK!BB7/$B$2</f>
        <v>1</v>
      </c>
      <c r="AD8">
        <f>SYSCLK!BC7/$B$2</f>
        <v>0.92307692307692313</v>
      </c>
      <c r="AE8">
        <f>SYSCLK!BD7/$B$2</f>
        <v>0.8571428571428571</v>
      </c>
      <c r="AF8">
        <f>SYSCLK!BE7/$B$2</f>
        <v>0.8</v>
      </c>
      <c r="AG8" s="118">
        <f>SYSCLK!BF7/$B$2</f>
        <v>0.75</v>
      </c>
      <c r="AH8">
        <f>SYSCLK!BG7/$B$2</f>
        <v>8</v>
      </c>
      <c r="AI8">
        <f>SYSCLK!BH7/$B$2</f>
        <v>4</v>
      </c>
      <c r="AJ8">
        <f>SYSCLK!BI7/$B$2</f>
        <v>2.6666666666666665</v>
      </c>
      <c r="AK8">
        <f>SYSCLK!BJ7/$B$2</f>
        <v>2</v>
      </c>
      <c r="AL8">
        <f>SYSCLK!BK7/$B$2</f>
        <v>1.6000000000000003</v>
      </c>
      <c r="AM8">
        <f>SYSCLK!BL7/$B$2</f>
        <v>1.3333333333333333</v>
      </c>
      <c r="AN8">
        <f>SYSCLK!BM7/$B$2</f>
        <v>1.1428571428571428</v>
      </c>
      <c r="AO8">
        <f>SYSCLK!BN7/$B$2</f>
        <v>1</v>
      </c>
      <c r="AP8">
        <f>SYSCLK!BO7/$B$2</f>
        <v>0.88888888888888884</v>
      </c>
      <c r="AQ8">
        <f>SYSCLK!BP7/$B$2</f>
        <v>0.80000000000000016</v>
      </c>
      <c r="AR8">
        <f>SYSCLK!BQ7/$B$2</f>
        <v>0.72727272727272718</v>
      </c>
      <c r="AS8">
        <f>SYSCLK!BR7/$B$2</f>
        <v>0.66666666666666663</v>
      </c>
      <c r="AT8">
        <f>SYSCLK!BS7/$B$2</f>
        <v>0.61538461538461542</v>
      </c>
      <c r="AU8">
        <f>SYSCLK!BT7/$B$2</f>
        <v>0.5714285714285714</v>
      </c>
      <c r="AV8">
        <f>SYSCLK!BU7/$B$2</f>
        <v>0.53333333333333333</v>
      </c>
      <c r="AW8">
        <f>SYSCLK!BV7/$B$2</f>
        <v>0.5</v>
      </c>
      <c r="AX8" s="117">
        <f>SYSCLK!BW7/$B$2</f>
        <v>6</v>
      </c>
      <c r="AY8">
        <f>SYSCLK!BX7/$B$2</f>
        <v>3</v>
      </c>
      <c r="AZ8">
        <f>SYSCLK!BY7/$B$2</f>
        <v>2</v>
      </c>
      <c r="BA8">
        <f>SYSCLK!BZ7/$B$2</f>
        <v>1.5</v>
      </c>
      <c r="BB8">
        <f>SYSCLK!CA7/$B$2</f>
        <v>1.2000000000000002</v>
      </c>
      <c r="BC8">
        <f>SYSCLK!CB7/$B$2</f>
        <v>1</v>
      </c>
      <c r="BD8">
        <f>SYSCLK!CC7/$B$2</f>
        <v>0.8571428571428571</v>
      </c>
      <c r="BE8">
        <f>SYSCLK!CD7/$B$2</f>
        <v>0.75</v>
      </c>
      <c r="BF8">
        <f>SYSCLK!CE7/$B$2</f>
        <v>0.66666666666666663</v>
      </c>
      <c r="BG8">
        <f>SYSCLK!CF7/$B$2</f>
        <v>0.60000000000000009</v>
      </c>
      <c r="BH8">
        <f>SYSCLK!CG7/$B$2</f>
        <v>0.54545454545454541</v>
      </c>
      <c r="BI8">
        <f>SYSCLK!CH7/$B$2</f>
        <v>0.5</v>
      </c>
      <c r="BJ8">
        <f>SYSCLK!CI7/$B$2</f>
        <v>0.46153846153846156</v>
      </c>
      <c r="BK8">
        <f>SYSCLK!CJ7/$B$2</f>
        <v>0.42857142857142855</v>
      </c>
      <c r="BL8">
        <f>SYSCLK!CK7/$B$2</f>
        <v>0.4</v>
      </c>
      <c r="BM8">
        <f>SYSCLK!CL7/$B$2</f>
        <v>0.375</v>
      </c>
    </row>
    <row r="9" spans="1:65">
      <c r="B9">
        <f>SYSCLK!AA8/$B$2</f>
        <v>26</v>
      </c>
      <c r="C9">
        <f>SYSCLK!AB8/$B$2</f>
        <v>13</v>
      </c>
      <c r="D9">
        <f>SYSCLK!AC8/$B$2</f>
        <v>8.6666666666666661</v>
      </c>
      <c r="E9">
        <f>SYSCLK!AD8/$B$2</f>
        <v>6.5</v>
      </c>
      <c r="F9">
        <f>SYSCLK!AE8/$B$2</f>
        <v>5.2</v>
      </c>
      <c r="G9">
        <f>SYSCLK!AF8/$B$2</f>
        <v>4.333333333333333</v>
      </c>
      <c r="H9">
        <f>SYSCLK!AG8/$B$2</f>
        <v>3.714285714285714</v>
      </c>
      <c r="I9">
        <f>SYSCLK!AH8/$B$2</f>
        <v>3.25</v>
      </c>
      <c r="J9">
        <f>SYSCLK!AI8/$B$2</f>
        <v>2.8888888888888888</v>
      </c>
      <c r="K9">
        <f>SYSCLK!AJ8/$B$2</f>
        <v>2.6</v>
      </c>
      <c r="L9">
        <f>SYSCLK!AK8/$B$2</f>
        <v>2.3636363636363638</v>
      </c>
      <c r="M9">
        <f>SYSCLK!AL8/$B$2</f>
        <v>2.1666666666666665</v>
      </c>
      <c r="N9">
        <f>SYSCLK!AM8/$B$2</f>
        <v>2</v>
      </c>
      <c r="O9">
        <f>SYSCLK!AN8/$B$2</f>
        <v>1.857142857142857</v>
      </c>
      <c r="P9">
        <f>SYSCLK!AO8/$B$2</f>
        <v>1.7333333333333334</v>
      </c>
      <c r="Q9">
        <f>SYSCLK!AP8/$B$2</f>
        <v>1.625</v>
      </c>
      <c r="R9" s="117">
        <f>SYSCLK!AQ8/$B$2</f>
        <v>13</v>
      </c>
      <c r="S9">
        <f>SYSCLK!AR8/$B$2</f>
        <v>6.5</v>
      </c>
      <c r="T9">
        <f>SYSCLK!AS8/$B$2</f>
        <v>4.333333333333333</v>
      </c>
      <c r="U9">
        <f>SYSCLK!AT8/$B$2</f>
        <v>3.25</v>
      </c>
      <c r="V9">
        <f>SYSCLK!AU8/$B$2</f>
        <v>2.6</v>
      </c>
      <c r="W9">
        <f>SYSCLK!AV8/$B$2</f>
        <v>2.1666666666666665</v>
      </c>
      <c r="X9">
        <f>SYSCLK!AW8/$B$2</f>
        <v>1.857142857142857</v>
      </c>
      <c r="Y9">
        <f>SYSCLK!AX8/$B$2</f>
        <v>1.625</v>
      </c>
      <c r="Z9">
        <f>SYSCLK!AY8/$B$2</f>
        <v>1.4444444444444444</v>
      </c>
      <c r="AA9">
        <f>SYSCLK!AZ8/$B$2</f>
        <v>1.3</v>
      </c>
      <c r="AB9">
        <f>SYSCLK!BA8/$B$2</f>
        <v>1.1818181818181819</v>
      </c>
      <c r="AC9">
        <f>SYSCLK!BB8/$B$2</f>
        <v>1.0833333333333333</v>
      </c>
      <c r="AD9">
        <f>SYSCLK!BC8/$B$2</f>
        <v>1</v>
      </c>
      <c r="AE9">
        <f>SYSCLK!BD8/$B$2</f>
        <v>0.92857142857142849</v>
      </c>
      <c r="AF9">
        <f>SYSCLK!BE8/$B$2</f>
        <v>0.8666666666666667</v>
      </c>
      <c r="AG9" s="118">
        <f>SYSCLK!BF8/$B$2</f>
        <v>0.8125</v>
      </c>
      <c r="AH9">
        <f>SYSCLK!BG8/$B$2</f>
        <v>8.6666666666666661</v>
      </c>
      <c r="AI9">
        <f>SYSCLK!BH8/$B$2</f>
        <v>4.333333333333333</v>
      </c>
      <c r="AJ9">
        <f>SYSCLK!BI8/$B$2</f>
        <v>2.8888888888888888</v>
      </c>
      <c r="AK9">
        <f>SYSCLK!BJ8/$B$2</f>
        <v>2.1666666666666665</v>
      </c>
      <c r="AL9">
        <f>SYSCLK!BK8/$B$2</f>
        <v>1.7333333333333334</v>
      </c>
      <c r="AM9">
        <f>SYSCLK!BL8/$B$2</f>
        <v>1.4444444444444444</v>
      </c>
      <c r="AN9">
        <f>SYSCLK!BM8/$B$2</f>
        <v>1.2380952380952379</v>
      </c>
      <c r="AO9">
        <f>SYSCLK!BN8/$B$2</f>
        <v>1.0833333333333333</v>
      </c>
      <c r="AP9">
        <f>SYSCLK!BO8/$B$2</f>
        <v>0.96296296296296291</v>
      </c>
      <c r="AQ9">
        <f>SYSCLK!BP8/$B$2</f>
        <v>0.8666666666666667</v>
      </c>
      <c r="AR9">
        <f>SYSCLK!BQ8/$B$2</f>
        <v>0.78787878787878796</v>
      </c>
      <c r="AS9">
        <f>SYSCLK!BR8/$B$2</f>
        <v>0.72222222222222221</v>
      </c>
      <c r="AT9">
        <f>SYSCLK!BS8/$B$2</f>
        <v>0.66666666666666663</v>
      </c>
      <c r="AU9">
        <f>SYSCLK!BT8/$B$2</f>
        <v>0.61904761904761896</v>
      </c>
      <c r="AV9">
        <f>SYSCLK!BU8/$B$2</f>
        <v>0.57777777777777783</v>
      </c>
      <c r="AW9">
        <f>SYSCLK!BV8/$B$2</f>
        <v>0.54166666666666663</v>
      </c>
      <c r="AX9" s="117">
        <f>SYSCLK!BW8/$B$2</f>
        <v>6.5</v>
      </c>
      <c r="AY9">
        <f>SYSCLK!BX8/$B$2</f>
        <v>3.25</v>
      </c>
      <c r="AZ9">
        <f>SYSCLK!BY8/$B$2</f>
        <v>2.1666666666666665</v>
      </c>
      <c r="BA9">
        <f>SYSCLK!BZ8/$B$2</f>
        <v>1.625</v>
      </c>
      <c r="BB9">
        <f>SYSCLK!CA8/$B$2</f>
        <v>1.3</v>
      </c>
      <c r="BC9">
        <f>SYSCLK!CB8/$B$2</f>
        <v>1.0833333333333333</v>
      </c>
      <c r="BD9">
        <f>SYSCLK!CC8/$B$2</f>
        <v>0.92857142857142849</v>
      </c>
      <c r="BE9">
        <f>SYSCLK!CD8/$B$2</f>
        <v>0.8125</v>
      </c>
      <c r="BF9">
        <f>SYSCLK!CE8/$B$2</f>
        <v>0.72222222222222221</v>
      </c>
      <c r="BG9">
        <f>SYSCLK!CF8/$B$2</f>
        <v>0.65</v>
      </c>
      <c r="BH9">
        <f>SYSCLK!CG8/$B$2</f>
        <v>0.59090909090909094</v>
      </c>
      <c r="BI9">
        <f>SYSCLK!CH8/$B$2</f>
        <v>0.54166666666666663</v>
      </c>
      <c r="BJ9">
        <f>SYSCLK!CI8/$B$2</f>
        <v>0.5</v>
      </c>
      <c r="BK9">
        <f>SYSCLK!CJ8/$B$2</f>
        <v>0.46428571428571425</v>
      </c>
      <c r="BL9">
        <f>SYSCLK!CK8/$B$2</f>
        <v>0.43333333333333335</v>
      </c>
      <c r="BM9">
        <f>SYSCLK!CL8/$B$2</f>
        <v>0.40625</v>
      </c>
    </row>
    <row r="10" spans="1:65">
      <c r="B10">
        <f>SYSCLK!AA9/$B$2</f>
        <v>28</v>
      </c>
      <c r="C10">
        <f>SYSCLK!AB9/$B$2</f>
        <v>14</v>
      </c>
      <c r="D10">
        <f>SYSCLK!AC9/$B$2</f>
        <v>9.3333333333333321</v>
      </c>
      <c r="E10">
        <f>SYSCLK!AD9/$B$2</f>
        <v>7</v>
      </c>
      <c r="F10">
        <f>SYSCLK!AE9/$B$2</f>
        <v>5.6000000000000005</v>
      </c>
      <c r="G10">
        <f>SYSCLK!AF9/$B$2</f>
        <v>4.6666666666666661</v>
      </c>
      <c r="H10">
        <f>SYSCLK!AG9/$B$2</f>
        <v>4</v>
      </c>
      <c r="I10">
        <f>SYSCLK!AH9/$B$2</f>
        <v>3.5</v>
      </c>
      <c r="J10">
        <f>SYSCLK!AI9/$B$2</f>
        <v>3.1111111111111107</v>
      </c>
      <c r="K10">
        <f>SYSCLK!AJ9/$B$2</f>
        <v>2.8000000000000003</v>
      </c>
      <c r="L10">
        <f>SYSCLK!AK9/$B$2</f>
        <v>2.5454545454545454</v>
      </c>
      <c r="M10">
        <f>SYSCLK!AL9/$B$2</f>
        <v>2.333333333333333</v>
      </c>
      <c r="N10">
        <f>SYSCLK!AM9/$B$2</f>
        <v>2.1538461538461542</v>
      </c>
      <c r="O10">
        <f>SYSCLK!AN9/$B$2</f>
        <v>2</v>
      </c>
      <c r="P10">
        <f>SYSCLK!AO9/$B$2</f>
        <v>1.8666666666666667</v>
      </c>
      <c r="Q10">
        <f>SYSCLK!AP9/$B$2</f>
        <v>1.75</v>
      </c>
      <c r="R10" s="117">
        <f>SYSCLK!AQ9/$B$2</f>
        <v>14</v>
      </c>
      <c r="S10">
        <f>SYSCLK!AR9/$B$2</f>
        <v>7</v>
      </c>
      <c r="T10">
        <f>SYSCLK!AS9/$B$2</f>
        <v>4.6666666666666661</v>
      </c>
      <c r="U10">
        <f>SYSCLK!AT9/$B$2</f>
        <v>3.5</v>
      </c>
      <c r="V10">
        <f>SYSCLK!AU9/$B$2</f>
        <v>2.8000000000000003</v>
      </c>
      <c r="W10">
        <f>SYSCLK!AV9/$B$2</f>
        <v>2.333333333333333</v>
      </c>
      <c r="X10">
        <f>SYSCLK!AW9/$B$2</f>
        <v>2</v>
      </c>
      <c r="Y10">
        <f>SYSCLK!AX9/$B$2</f>
        <v>1.75</v>
      </c>
      <c r="Z10">
        <f>SYSCLK!AY9/$B$2</f>
        <v>1.5555555555555554</v>
      </c>
      <c r="AA10">
        <f>SYSCLK!AZ9/$B$2</f>
        <v>1.4000000000000001</v>
      </c>
      <c r="AB10">
        <f>SYSCLK!BA9/$B$2</f>
        <v>1.2727272727272727</v>
      </c>
      <c r="AC10">
        <f>SYSCLK!BB9/$B$2</f>
        <v>1.1666666666666665</v>
      </c>
      <c r="AD10">
        <f>SYSCLK!BC9/$B$2</f>
        <v>1.0769230769230771</v>
      </c>
      <c r="AE10">
        <f>SYSCLK!BD9/$B$2</f>
        <v>1</v>
      </c>
      <c r="AF10">
        <f>SYSCLK!BE9/$B$2</f>
        <v>0.93333333333333335</v>
      </c>
      <c r="AG10" s="118">
        <f>SYSCLK!BF9/$B$2</f>
        <v>0.875</v>
      </c>
      <c r="AH10">
        <f>SYSCLK!BG9/$B$2</f>
        <v>9.3333333333333339</v>
      </c>
      <c r="AI10">
        <f>SYSCLK!BH9/$B$2</f>
        <v>4.666666666666667</v>
      </c>
      <c r="AJ10">
        <f>SYSCLK!BI9/$B$2</f>
        <v>3.1111111111111107</v>
      </c>
      <c r="AK10">
        <f>SYSCLK!BJ9/$B$2</f>
        <v>2.3333333333333335</v>
      </c>
      <c r="AL10">
        <f>SYSCLK!BK9/$B$2</f>
        <v>1.8666666666666669</v>
      </c>
      <c r="AM10">
        <f>SYSCLK!BL9/$B$2</f>
        <v>1.5555555555555554</v>
      </c>
      <c r="AN10">
        <f>SYSCLK!BM9/$B$2</f>
        <v>1.3333333333333333</v>
      </c>
      <c r="AO10">
        <f>SYSCLK!BN9/$B$2</f>
        <v>1.1666666666666667</v>
      </c>
      <c r="AP10">
        <f>SYSCLK!BO9/$B$2</f>
        <v>1.037037037037037</v>
      </c>
      <c r="AQ10">
        <f>SYSCLK!BP9/$B$2</f>
        <v>0.93333333333333346</v>
      </c>
      <c r="AR10">
        <f>SYSCLK!BQ9/$B$2</f>
        <v>0.84848484848484851</v>
      </c>
      <c r="AS10">
        <f>SYSCLK!BR9/$B$2</f>
        <v>0.77777777777777768</v>
      </c>
      <c r="AT10">
        <f>SYSCLK!BS9/$B$2</f>
        <v>0.71794871794871806</v>
      </c>
      <c r="AU10">
        <f>SYSCLK!BT9/$B$2</f>
        <v>0.66666666666666663</v>
      </c>
      <c r="AV10">
        <f>SYSCLK!BU9/$B$2</f>
        <v>0.62222222222222223</v>
      </c>
      <c r="AW10">
        <f>SYSCLK!BV9/$B$2</f>
        <v>0.58333333333333337</v>
      </c>
      <c r="AX10" s="117">
        <f>SYSCLK!BW9/$B$2</f>
        <v>7</v>
      </c>
      <c r="AY10">
        <f>SYSCLK!BX9/$B$2</f>
        <v>3.5</v>
      </c>
      <c r="AZ10">
        <f>SYSCLK!BY9/$B$2</f>
        <v>2.333333333333333</v>
      </c>
      <c r="BA10">
        <f>SYSCLK!BZ9/$B$2</f>
        <v>1.75</v>
      </c>
      <c r="BB10">
        <f>SYSCLK!CA9/$B$2</f>
        <v>1.4000000000000001</v>
      </c>
      <c r="BC10">
        <f>SYSCLK!CB9/$B$2</f>
        <v>1.1666666666666665</v>
      </c>
      <c r="BD10">
        <f>SYSCLK!CC9/$B$2</f>
        <v>1</v>
      </c>
      <c r="BE10">
        <f>SYSCLK!CD9/$B$2</f>
        <v>0.875</v>
      </c>
      <c r="BF10">
        <f>SYSCLK!CE9/$B$2</f>
        <v>0.77777777777777768</v>
      </c>
      <c r="BG10">
        <f>SYSCLK!CF9/$B$2</f>
        <v>0.70000000000000007</v>
      </c>
      <c r="BH10">
        <f>SYSCLK!CG9/$B$2</f>
        <v>0.63636363636363635</v>
      </c>
      <c r="BI10">
        <f>SYSCLK!CH9/$B$2</f>
        <v>0.58333333333333326</v>
      </c>
      <c r="BJ10">
        <f>SYSCLK!CI9/$B$2</f>
        <v>0.53846153846153855</v>
      </c>
      <c r="BK10">
        <f>SYSCLK!CJ9/$B$2</f>
        <v>0.5</v>
      </c>
      <c r="BL10">
        <f>SYSCLK!CK9/$B$2</f>
        <v>0.46666666666666667</v>
      </c>
      <c r="BM10">
        <f>SYSCLK!CL9/$B$2</f>
        <v>0.4375</v>
      </c>
    </row>
    <row r="11" spans="1:65">
      <c r="B11">
        <f>SYSCLK!AA10/$B$2</f>
        <v>30</v>
      </c>
      <c r="C11">
        <f>SYSCLK!AB10/$B$2</f>
        <v>15</v>
      </c>
      <c r="D11">
        <f>SYSCLK!AC10/$B$2</f>
        <v>10</v>
      </c>
      <c r="E11">
        <f>SYSCLK!AD10/$B$2</f>
        <v>7.5</v>
      </c>
      <c r="F11">
        <f>SYSCLK!AE10/$B$2</f>
        <v>6</v>
      </c>
      <c r="G11">
        <f>SYSCLK!AF10/$B$2</f>
        <v>5</v>
      </c>
      <c r="H11">
        <f>SYSCLK!AG10/$B$2</f>
        <v>4.2857142857142856</v>
      </c>
      <c r="I11">
        <f>SYSCLK!AH10/$B$2</f>
        <v>3.75</v>
      </c>
      <c r="J11">
        <f>SYSCLK!AI10/$B$2</f>
        <v>3.333333333333333</v>
      </c>
      <c r="K11">
        <f>SYSCLK!AJ10/$B$2</f>
        <v>3</v>
      </c>
      <c r="L11">
        <f>SYSCLK!AK10/$B$2</f>
        <v>2.7272727272727275</v>
      </c>
      <c r="M11">
        <f>SYSCLK!AL10/$B$2</f>
        <v>2.5</v>
      </c>
      <c r="N11">
        <f>SYSCLK!AM10/$B$2</f>
        <v>2.3076923076923079</v>
      </c>
      <c r="O11">
        <f>SYSCLK!AN10/$B$2</f>
        <v>2.1428571428571428</v>
      </c>
      <c r="P11">
        <f>SYSCLK!AO10/$B$2</f>
        <v>2</v>
      </c>
      <c r="Q11">
        <f>SYSCLK!AP10/$B$2</f>
        <v>1.875</v>
      </c>
      <c r="R11" s="117">
        <f>SYSCLK!AQ10/$B$2</f>
        <v>15</v>
      </c>
      <c r="S11">
        <f>SYSCLK!AR10/$B$2</f>
        <v>7.5</v>
      </c>
      <c r="T11">
        <f>SYSCLK!AS10/$B$2</f>
        <v>5</v>
      </c>
      <c r="U11">
        <f>SYSCLK!AT10/$B$2</f>
        <v>3.75</v>
      </c>
      <c r="V11">
        <f>SYSCLK!AU10/$B$2</f>
        <v>3</v>
      </c>
      <c r="W11">
        <f>SYSCLK!AV10/$B$2</f>
        <v>2.5</v>
      </c>
      <c r="X11">
        <f>SYSCLK!AW10/$B$2</f>
        <v>2.1428571428571428</v>
      </c>
      <c r="Y11">
        <f>SYSCLK!AX10/$B$2</f>
        <v>1.875</v>
      </c>
      <c r="Z11">
        <f>SYSCLK!AY10/$B$2</f>
        <v>1.6666666666666665</v>
      </c>
      <c r="AA11">
        <f>SYSCLK!AZ10/$B$2</f>
        <v>1.5</v>
      </c>
      <c r="AB11">
        <f>SYSCLK!BA10/$B$2</f>
        <v>1.3636363636363638</v>
      </c>
      <c r="AC11">
        <f>SYSCLK!BB10/$B$2</f>
        <v>1.25</v>
      </c>
      <c r="AD11">
        <f>SYSCLK!BC10/$B$2</f>
        <v>1.153846153846154</v>
      </c>
      <c r="AE11">
        <f>SYSCLK!BD10/$B$2</f>
        <v>1.0714285714285714</v>
      </c>
      <c r="AF11">
        <f>SYSCLK!BE10/$B$2</f>
        <v>1</v>
      </c>
      <c r="AG11" s="118">
        <f>SYSCLK!BF10/$B$2</f>
        <v>0.9375</v>
      </c>
      <c r="AH11">
        <f>SYSCLK!BG10/$B$2</f>
        <v>10</v>
      </c>
      <c r="AI11">
        <f>SYSCLK!BH10/$B$2</f>
        <v>5</v>
      </c>
      <c r="AJ11">
        <f>SYSCLK!BI10/$B$2</f>
        <v>3.3333333333333335</v>
      </c>
      <c r="AK11">
        <f>SYSCLK!BJ10/$B$2</f>
        <v>2.5</v>
      </c>
      <c r="AL11">
        <f>SYSCLK!BK10/$B$2</f>
        <v>2</v>
      </c>
      <c r="AM11">
        <f>SYSCLK!BL10/$B$2</f>
        <v>1.6666666666666667</v>
      </c>
      <c r="AN11">
        <f>SYSCLK!BM10/$B$2</f>
        <v>1.4285714285714286</v>
      </c>
      <c r="AO11">
        <f>SYSCLK!BN10/$B$2</f>
        <v>1.25</v>
      </c>
      <c r="AP11">
        <f>SYSCLK!BO10/$B$2</f>
        <v>1.1111111111111109</v>
      </c>
      <c r="AQ11">
        <f>SYSCLK!BP10/$B$2</f>
        <v>1</v>
      </c>
      <c r="AR11">
        <f>SYSCLK!BQ10/$B$2</f>
        <v>0.90909090909090917</v>
      </c>
      <c r="AS11">
        <f>SYSCLK!BR10/$B$2</f>
        <v>0.83333333333333337</v>
      </c>
      <c r="AT11">
        <f>SYSCLK!BS10/$B$2</f>
        <v>0.76923076923076927</v>
      </c>
      <c r="AU11">
        <f>SYSCLK!BT10/$B$2</f>
        <v>0.7142857142857143</v>
      </c>
      <c r="AV11">
        <f>SYSCLK!BU10/$B$2</f>
        <v>0.66666666666666663</v>
      </c>
      <c r="AW11">
        <f>SYSCLK!BV10/$B$2</f>
        <v>0.625</v>
      </c>
      <c r="AX11" s="117">
        <f>SYSCLK!BW10/$B$2</f>
        <v>7.5</v>
      </c>
      <c r="AY11">
        <f>SYSCLK!BX10/$B$2</f>
        <v>3.75</v>
      </c>
      <c r="AZ11">
        <f>SYSCLK!BY10/$B$2</f>
        <v>2.5</v>
      </c>
      <c r="BA11">
        <f>SYSCLK!BZ10/$B$2</f>
        <v>1.875</v>
      </c>
      <c r="BB11">
        <f>SYSCLK!CA10/$B$2</f>
        <v>1.5</v>
      </c>
      <c r="BC11">
        <f>SYSCLK!CB10/$B$2</f>
        <v>1.25</v>
      </c>
      <c r="BD11">
        <f>SYSCLK!CC10/$B$2</f>
        <v>1.0714285714285714</v>
      </c>
      <c r="BE11">
        <f>SYSCLK!CD10/$B$2</f>
        <v>0.9375</v>
      </c>
      <c r="BF11">
        <f>SYSCLK!CE10/$B$2</f>
        <v>0.83333333333333326</v>
      </c>
      <c r="BG11">
        <f>SYSCLK!CF10/$B$2</f>
        <v>0.75</v>
      </c>
      <c r="BH11">
        <f>SYSCLK!CG10/$B$2</f>
        <v>0.68181818181818188</v>
      </c>
      <c r="BI11">
        <f>SYSCLK!CH10/$B$2</f>
        <v>0.625</v>
      </c>
      <c r="BJ11">
        <f>SYSCLK!CI10/$B$2</f>
        <v>0.57692307692307698</v>
      </c>
      <c r="BK11">
        <f>SYSCLK!CJ10/$B$2</f>
        <v>0.5357142857142857</v>
      </c>
      <c r="BL11">
        <f>SYSCLK!CK10/$B$2</f>
        <v>0.5</v>
      </c>
      <c r="BM11">
        <f>SYSCLK!CL10/$B$2</f>
        <v>0.46875</v>
      </c>
    </row>
    <row r="12" spans="1:65">
      <c r="B12">
        <f>SYSCLK!AA11/$B$2</f>
        <v>32</v>
      </c>
      <c r="C12">
        <f>SYSCLK!AB11/$B$2</f>
        <v>16</v>
      </c>
      <c r="D12">
        <f>SYSCLK!AC11/$B$2</f>
        <v>10.666666666666666</v>
      </c>
      <c r="E12">
        <f>SYSCLK!AD11/$B$2</f>
        <v>8</v>
      </c>
      <c r="F12">
        <f>SYSCLK!AE11/$B$2</f>
        <v>6.4</v>
      </c>
      <c r="G12">
        <f>SYSCLK!AF11/$B$2</f>
        <v>5.333333333333333</v>
      </c>
      <c r="H12">
        <f>SYSCLK!AG11/$B$2</f>
        <v>4.5714285714285712</v>
      </c>
      <c r="I12">
        <f>SYSCLK!AH11/$B$2</f>
        <v>4</v>
      </c>
      <c r="J12">
        <f>SYSCLK!AI11/$B$2</f>
        <v>3.5555555555555554</v>
      </c>
      <c r="K12">
        <f>SYSCLK!AJ11/$B$2</f>
        <v>3.2</v>
      </c>
      <c r="L12">
        <f>SYSCLK!AK11/$B$2</f>
        <v>2.9090909090909092</v>
      </c>
      <c r="M12">
        <f>SYSCLK!AL11/$B$2</f>
        <v>2.6666666666666665</v>
      </c>
      <c r="N12">
        <f>SYSCLK!AM11/$B$2</f>
        <v>2.4615384615384617</v>
      </c>
      <c r="O12">
        <f>SYSCLK!AN11/$B$2</f>
        <v>2.2857142857142856</v>
      </c>
      <c r="P12">
        <f>SYSCLK!AO11/$B$2</f>
        <v>2.1333333333333333</v>
      </c>
      <c r="Q12">
        <f>SYSCLK!AP11/$B$2</f>
        <v>2</v>
      </c>
      <c r="R12" s="117">
        <f>SYSCLK!AQ11/$B$2</f>
        <v>16</v>
      </c>
      <c r="S12">
        <f>SYSCLK!AR11/$B$2</f>
        <v>8</v>
      </c>
      <c r="T12">
        <f>SYSCLK!AS11/$B$2</f>
        <v>5.333333333333333</v>
      </c>
      <c r="U12">
        <f>SYSCLK!AT11/$B$2</f>
        <v>4</v>
      </c>
      <c r="V12">
        <f>SYSCLK!AU11/$B$2</f>
        <v>3.2</v>
      </c>
      <c r="W12">
        <f>SYSCLK!AV11/$B$2</f>
        <v>2.6666666666666665</v>
      </c>
      <c r="X12">
        <f>SYSCLK!AW11/$B$2</f>
        <v>2.2857142857142856</v>
      </c>
      <c r="Y12">
        <f>SYSCLK!AX11/$B$2</f>
        <v>2</v>
      </c>
      <c r="Z12">
        <f>SYSCLK!AY11/$B$2</f>
        <v>1.7777777777777777</v>
      </c>
      <c r="AA12">
        <f>SYSCLK!AZ11/$B$2</f>
        <v>1.6</v>
      </c>
      <c r="AB12">
        <f>SYSCLK!BA11/$B$2</f>
        <v>1.4545454545454546</v>
      </c>
      <c r="AC12">
        <f>SYSCLK!BB11/$B$2</f>
        <v>1.3333333333333333</v>
      </c>
      <c r="AD12">
        <f>SYSCLK!BC11/$B$2</f>
        <v>1.2307692307692308</v>
      </c>
      <c r="AE12">
        <f>SYSCLK!BD11/$B$2</f>
        <v>1.1428571428571428</v>
      </c>
      <c r="AF12">
        <f>SYSCLK!BE11/$B$2</f>
        <v>1.0666666666666667</v>
      </c>
      <c r="AG12" s="118">
        <f>SYSCLK!BF11/$B$2</f>
        <v>1</v>
      </c>
      <c r="AH12">
        <f>SYSCLK!BG11/$B$2</f>
        <v>10.666666666666666</v>
      </c>
      <c r="AI12">
        <f>SYSCLK!BH11/$B$2</f>
        <v>5.333333333333333</v>
      </c>
      <c r="AJ12">
        <f>SYSCLK!BI11/$B$2</f>
        <v>3.5555555555555554</v>
      </c>
      <c r="AK12">
        <f>SYSCLK!BJ11/$B$2</f>
        <v>2.6666666666666665</v>
      </c>
      <c r="AL12">
        <f>SYSCLK!BK11/$B$2</f>
        <v>2.1333333333333333</v>
      </c>
      <c r="AM12">
        <f>SYSCLK!BL11/$B$2</f>
        <v>1.7777777777777777</v>
      </c>
      <c r="AN12">
        <f>SYSCLK!BM11/$B$2</f>
        <v>1.5238095238095237</v>
      </c>
      <c r="AO12">
        <f>SYSCLK!BN11/$B$2</f>
        <v>1.3333333333333333</v>
      </c>
      <c r="AP12">
        <f>SYSCLK!BO11/$B$2</f>
        <v>1.1851851851851851</v>
      </c>
      <c r="AQ12">
        <f>SYSCLK!BP11/$B$2</f>
        <v>1.0666666666666667</v>
      </c>
      <c r="AR12">
        <f>SYSCLK!BQ11/$B$2</f>
        <v>0.96969696969696972</v>
      </c>
      <c r="AS12">
        <f>SYSCLK!BR11/$B$2</f>
        <v>0.88888888888888884</v>
      </c>
      <c r="AT12">
        <f>SYSCLK!BS11/$B$2</f>
        <v>0.8205128205128206</v>
      </c>
      <c r="AU12">
        <f>SYSCLK!BT11/$B$2</f>
        <v>0.76190476190476186</v>
      </c>
      <c r="AV12">
        <f>SYSCLK!BU11/$B$2</f>
        <v>0.71111111111111114</v>
      </c>
      <c r="AW12">
        <f>SYSCLK!BV11/$B$2</f>
        <v>0.66666666666666663</v>
      </c>
      <c r="AX12" s="117">
        <f>SYSCLK!BW11/$B$2</f>
        <v>8</v>
      </c>
      <c r="AY12">
        <f>SYSCLK!BX11/$B$2</f>
        <v>4</v>
      </c>
      <c r="AZ12">
        <f>SYSCLK!BY11/$B$2</f>
        <v>2.6666666666666665</v>
      </c>
      <c r="BA12">
        <f>SYSCLK!BZ11/$B$2</f>
        <v>2</v>
      </c>
      <c r="BB12">
        <f>SYSCLK!CA11/$B$2</f>
        <v>1.6</v>
      </c>
      <c r="BC12">
        <f>SYSCLK!CB11/$B$2</f>
        <v>1.3333333333333333</v>
      </c>
      <c r="BD12">
        <f>SYSCLK!CC11/$B$2</f>
        <v>1.1428571428571428</v>
      </c>
      <c r="BE12">
        <f>SYSCLK!CD11/$B$2</f>
        <v>1</v>
      </c>
      <c r="BF12">
        <f>SYSCLK!CE11/$B$2</f>
        <v>0.88888888888888884</v>
      </c>
      <c r="BG12">
        <f>SYSCLK!CF11/$B$2</f>
        <v>0.8</v>
      </c>
      <c r="BH12">
        <f>SYSCLK!CG11/$B$2</f>
        <v>0.72727272727272729</v>
      </c>
      <c r="BI12">
        <f>SYSCLK!CH11/$B$2</f>
        <v>0.66666666666666663</v>
      </c>
      <c r="BJ12">
        <f>SYSCLK!CI11/$B$2</f>
        <v>0.61538461538461542</v>
      </c>
      <c r="BK12">
        <f>SYSCLK!CJ11/$B$2</f>
        <v>0.5714285714285714</v>
      </c>
      <c r="BL12">
        <f>SYSCLK!CK11/$B$2</f>
        <v>0.53333333333333333</v>
      </c>
      <c r="BM12">
        <f>SYSCLK!CL11/$B$2</f>
        <v>0.5</v>
      </c>
    </row>
    <row r="13" spans="1:65">
      <c r="B13">
        <f>SYSCLK!AA12/$B$2</f>
        <v>34</v>
      </c>
      <c r="C13">
        <f>SYSCLK!AB12/$B$2</f>
        <v>17</v>
      </c>
      <c r="D13">
        <f>SYSCLK!AC12/$B$2</f>
        <v>11.333333333333332</v>
      </c>
      <c r="E13">
        <f>SYSCLK!AD12/$B$2</f>
        <v>8.5</v>
      </c>
      <c r="F13">
        <f>SYSCLK!AE12/$B$2</f>
        <v>6.8000000000000007</v>
      </c>
      <c r="G13">
        <f>SYSCLK!AF12/$B$2</f>
        <v>5.6666666666666661</v>
      </c>
      <c r="H13">
        <f>SYSCLK!AG12/$B$2</f>
        <v>4.8571428571428568</v>
      </c>
      <c r="I13">
        <f>SYSCLK!AH12/$B$2</f>
        <v>4.25</v>
      </c>
      <c r="J13">
        <f>SYSCLK!AI12/$B$2</f>
        <v>3.7777777777777777</v>
      </c>
      <c r="K13">
        <f>SYSCLK!AJ12/$B$2</f>
        <v>3.4000000000000004</v>
      </c>
      <c r="L13">
        <f>SYSCLK!AK12/$B$2</f>
        <v>3.0909090909090908</v>
      </c>
      <c r="M13">
        <f>SYSCLK!AL12/$B$2</f>
        <v>2.833333333333333</v>
      </c>
      <c r="N13">
        <f>SYSCLK!AM12/$B$2</f>
        <v>2.6153846153846154</v>
      </c>
      <c r="O13">
        <f>SYSCLK!AN12/$B$2</f>
        <v>2.4285714285714284</v>
      </c>
      <c r="P13">
        <f>SYSCLK!AO12/$B$2</f>
        <v>2.2666666666666666</v>
      </c>
      <c r="Q13">
        <f>SYSCLK!AP12/$B$2</f>
        <v>2.125</v>
      </c>
      <c r="R13" s="117">
        <f>SYSCLK!AQ12/$B$2</f>
        <v>17</v>
      </c>
      <c r="S13">
        <f>SYSCLK!AR12/$B$2</f>
        <v>8.5</v>
      </c>
      <c r="T13">
        <f>SYSCLK!AS12/$B$2</f>
        <v>5.6666666666666661</v>
      </c>
      <c r="U13">
        <f>SYSCLK!AT12/$B$2</f>
        <v>4.25</v>
      </c>
      <c r="V13">
        <f>SYSCLK!AU12/$B$2</f>
        <v>3.4000000000000004</v>
      </c>
      <c r="W13">
        <f>SYSCLK!AV12/$B$2</f>
        <v>2.833333333333333</v>
      </c>
      <c r="X13">
        <f>SYSCLK!AW12/$B$2</f>
        <v>2.4285714285714284</v>
      </c>
      <c r="Y13">
        <f>SYSCLK!AX12/$B$2</f>
        <v>2.125</v>
      </c>
      <c r="Z13">
        <f>SYSCLK!AY12/$B$2</f>
        <v>1.8888888888888888</v>
      </c>
      <c r="AA13">
        <f>SYSCLK!AZ12/$B$2</f>
        <v>1.7000000000000002</v>
      </c>
      <c r="AB13">
        <f>SYSCLK!BA12/$B$2</f>
        <v>1.5454545454545454</v>
      </c>
      <c r="AC13">
        <f>SYSCLK!BB12/$B$2</f>
        <v>1.4166666666666665</v>
      </c>
      <c r="AD13">
        <f>SYSCLK!BC12/$B$2</f>
        <v>1.3076923076923077</v>
      </c>
      <c r="AE13">
        <f>SYSCLK!BD12/$B$2</f>
        <v>1.2142857142857142</v>
      </c>
      <c r="AF13">
        <f>SYSCLK!BE12/$B$2</f>
        <v>1.1333333333333333</v>
      </c>
      <c r="AG13" s="118">
        <f>SYSCLK!BF12/$B$2</f>
        <v>1.0625</v>
      </c>
      <c r="AH13">
        <f>SYSCLK!BG12/$B$2</f>
        <v>11.333333333333334</v>
      </c>
      <c r="AI13">
        <f>SYSCLK!BH12/$B$2</f>
        <v>5.666666666666667</v>
      </c>
      <c r="AJ13">
        <f>SYSCLK!BI12/$B$2</f>
        <v>3.7777777777777772</v>
      </c>
      <c r="AK13">
        <f>SYSCLK!BJ12/$B$2</f>
        <v>2.8333333333333335</v>
      </c>
      <c r="AL13">
        <f>SYSCLK!BK12/$B$2</f>
        <v>2.2666666666666671</v>
      </c>
      <c r="AM13">
        <f>SYSCLK!BL12/$B$2</f>
        <v>1.8888888888888886</v>
      </c>
      <c r="AN13">
        <f>SYSCLK!BM12/$B$2</f>
        <v>1.6190476190476188</v>
      </c>
      <c r="AO13">
        <f>SYSCLK!BN12/$B$2</f>
        <v>1.4166666666666667</v>
      </c>
      <c r="AP13">
        <f>SYSCLK!BO12/$B$2</f>
        <v>1.2592592592592593</v>
      </c>
      <c r="AQ13">
        <f>SYSCLK!BP12/$B$2</f>
        <v>1.1333333333333335</v>
      </c>
      <c r="AR13">
        <f>SYSCLK!BQ12/$B$2</f>
        <v>1.0303030303030303</v>
      </c>
      <c r="AS13">
        <f>SYSCLK!BR12/$B$2</f>
        <v>0.94444444444444431</v>
      </c>
      <c r="AT13">
        <f>SYSCLK!BS12/$B$2</f>
        <v>0.87179487179487181</v>
      </c>
      <c r="AU13">
        <f>SYSCLK!BT12/$B$2</f>
        <v>0.80952380952380942</v>
      </c>
      <c r="AV13">
        <f>SYSCLK!BU12/$B$2</f>
        <v>0.75555555555555554</v>
      </c>
      <c r="AW13">
        <f>SYSCLK!BV12/$B$2</f>
        <v>0.70833333333333337</v>
      </c>
      <c r="AX13" s="117">
        <f>SYSCLK!BW12/$B$2</f>
        <v>8.5</v>
      </c>
      <c r="AY13">
        <f>SYSCLK!BX12/$B$2</f>
        <v>4.25</v>
      </c>
      <c r="AZ13">
        <f>SYSCLK!BY12/$B$2</f>
        <v>2.833333333333333</v>
      </c>
      <c r="BA13">
        <f>SYSCLK!BZ12/$B$2</f>
        <v>2.125</v>
      </c>
      <c r="BB13">
        <f>SYSCLK!CA12/$B$2</f>
        <v>1.7000000000000002</v>
      </c>
      <c r="BC13">
        <f>SYSCLK!CB12/$B$2</f>
        <v>1.4166666666666665</v>
      </c>
      <c r="BD13">
        <f>SYSCLK!CC12/$B$2</f>
        <v>1.2142857142857142</v>
      </c>
      <c r="BE13">
        <f>SYSCLK!CD12/$B$2</f>
        <v>1.0625</v>
      </c>
      <c r="BF13">
        <f>SYSCLK!CE12/$B$2</f>
        <v>0.94444444444444442</v>
      </c>
      <c r="BG13">
        <f>SYSCLK!CF12/$B$2</f>
        <v>0.85000000000000009</v>
      </c>
      <c r="BH13">
        <f>SYSCLK!CG12/$B$2</f>
        <v>0.77272727272727271</v>
      </c>
      <c r="BI13">
        <f>SYSCLK!CH12/$B$2</f>
        <v>0.70833333333333326</v>
      </c>
      <c r="BJ13">
        <f>SYSCLK!CI12/$B$2</f>
        <v>0.65384615384615385</v>
      </c>
      <c r="BK13">
        <f>SYSCLK!CJ12/$B$2</f>
        <v>0.6071428571428571</v>
      </c>
      <c r="BL13">
        <f>SYSCLK!CK12/$B$2</f>
        <v>0.56666666666666665</v>
      </c>
      <c r="BM13">
        <f>SYSCLK!CL12/$B$2</f>
        <v>0.53125</v>
      </c>
    </row>
    <row r="14" spans="1:65">
      <c r="B14">
        <f>SYSCLK!AA13/$B$2</f>
        <v>36</v>
      </c>
      <c r="C14">
        <f>SYSCLK!AB13/$B$2</f>
        <v>18</v>
      </c>
      <c r="D14">
        <f>SYSCLK!AC13/$B$2</f>
        <v>12</v>
      </c>
      <c r="E14">
        <f>SYSCLK!AD13/$B$2</f>
        <v>9</v>
      </c>
      <c r="F14">
        <f>SYSCLK!AE13/$B$2</f>
        <v>7.2</v>
      </c>
      <c r="G14">
        <f>SYSCLK!AF13/$B$2</f>
        <v>6</v>
      </c>
      <c r="H14">
        <f>SYSCLK!AG13/$B$2</f>
        <v>5.1428571428571423</v>
      </c>
      <c r="I14">
        <f>SYSCLK!AH13/$B$2</f>
        <v>4.5</v>
      </c>
      <c r="J14">
        <f>SYSCLK!AI13/$B$2</f>
        <v>4</v>
      </c>
      <c r="K14">
        <f>SYSCLK!AJ13/$B$2</f>
        <v>3.6</v>
      </c>
      <c r="L14">
        <f>SYSCLK!AK13/$B$2</f>
        <v>3.2727272727272729</v>
      </c>
      <c r="M14">
        <f>SYSCLK!AL13/$B$2</f>
        <v>3</v>
      </c>
      <c r="N14">
        <f>SYSCLK!AM13/$B$2</f>
        <v>2.7692307692307692</v>
      </c>
      <c r="O14">
        <f>SYSCLK!AN13/$B$2</f>
        <v>2.5714285714285712</v>
      </c>
      <c r="P14">
        <f>SYSCLK!AO13/$B$2</f>
        <v>2.4</v>
      </c>
      <c r="Q14">
        <f>SYSCLK!AP13/$B$2</f>
        <v>2.25</v>
      </c>
      <c r="R14" s="117">
        <f>SYSCLK!AQ13/$B$2</f>
        <v>18</v>
      </c>
      <c r="S14">
        <f>SYSCLK!AR13/$B$2</f>
        <v>9</v>
      </c>
      <c r="T14">
        <f>SYSCLK!AS13/$B$2</f>
        <v>6</v>
      </c>
      <c r="U14">
        <f>SYSCLK!AT13/$B$2</f>
        <v>4.5</v>
      </c>
      <c r="V14">
        <f>SYSCLK!AU13/$B$2</f>
        <v>3.6</v>
      </c>
      <c r="W14">
        <f>SYSCLK!AV13/$B$2</f>
        <v>3</v>
      </c>
      <c r="X14">
        <f>SYSCLK!AW13/$B$2</f>
        <v>2.5714285714285712</v>
      </c>
      <c r="Y14">
        <f>SYSCLK!AX13/$B$2</f>
        <v>2.25</v>
      </c>
      <c r="Z14">
        <f>SYSCLK!AY13/$B$2</f>
        <v>2</v>
      </c>
      <c r="AA14">
        <f>SYSCLK!AZ13/$B$2</f>
        <v>1.8</v>
      </c>
      <c r="AB14">
        <f>SYSCLK!BA13/$B$2</f>
        <v>1.6363636363636365</v>
      </c>
      <c r="AC14">
        <f>SYSCLK!BB13/$B$2</f>
        <v>1.5</v>
      </c>
      <c r="AD14">
        <f>SYSCLK!BC13/$B$2</f>
        <v>1.3846153846153846</v>
      </c>
      <c r="AE14">
        <f>SYSCLK!BD13/$B$2</f>
        <v>1.2857142857142856</v>
      </c>
      <c r="AF14">
        <f>SYSCLK!BE13/$B$2</f>
        <v>1.2</v>
      </c>
      <c r="AG14" s="118">
        <f>SYSCLK!BF13/$B$2</f>
        <v>1.125</v>
      </c>
      <c r="AH14">
        <f>SYSCLK!BG13/$B$2</f>
        <v>12</v>
      </c>
      <c r="AI14">
        <f>SYSCLK!BH13/$B$2</f>
        <v>6</v>
      </c>
      <c r="AJ14">
        <f>SYSCLK!BI13/$B$2</f>
        <v>4</v>
      </c>
      <c r="AK14">
        <f>SYSCLK!BJ13/$B$2</f>
        <v>3</v>
      </c>
      <c r="AL14">
        <f>SYSCLK!BK13/$B$2</f>
        <v>2.4</v>
      </c>
      <c r="AM14">
        <f>SYSCLK!BL13/$B$2</f>
        <v>2</v>
      </c>
      <c r="AN14">
        <f>SYSCLK!BM13/$B$2</f>
        <v>1.7142857142857142</v>
      </c>
      <c r="AO14">
        <f>SYSCLK!BN13/$B$2</f>
        <v>1.5</v>
      </c>
      <c r="AP14">
        <f>SYSCLK!BO13/$B$2</f>
        <v>1.3333333333333333</v>
      </c>
      <c r="AQ14">
        <f>SYSCLK!BP13/$B$2</f>
        <v>1.2</v>
      </c>
      <c r="AR14">
        <f>SYSCLK!BQ13/$B$2</f>
        <v>1.0909090909090911</v>
      </c>
      <c r="AS14">
        <f>SYSCLK!BR13/$B$2</f>
        <v>1</v>
      </c>
      <c r="AT14">
        <f>SYSCLK!BS13/$B$2</f>
        <v>0.92307692307692302</v>
      </c>
      <c r="AU14">
        <f>SYSCLK!BT13/$B$2</f>
        <v>0.8571428571428571</v>
      </c>
      <c r="AV14">
        <f>SYSCLK!BU13/$B$2</f>
        <v>0.79999999999999993</v>
      </c>
      <c r="AW14">
        <f>SYSCLK!BV13/$B$2</f>
        <v>0.75</v>
      </c>
      <c r="AX14" s="117">
        <f>SYSCLK!BW13/$B$2</f>
        <v>9</v>
      </c>
      <c r="AY14">
        <f>SYSCLK!BX13/$B$2</f>
        <v>4.5</v>
      </c>
      <c r="AZ14">
        <f>SYSCLK!BY13/$B$2</f>
        <v>3</v>
      </c>
      <c r="BA14">
        <f>SYSCLK!BZ13/$B$2</f>
        <v>2.25</v>
      </c>
      <c r="BB14">
        <f>SYSCLK!CA13/$B$2</f>
        <v>1.8</v>
      </c>
      <c r="BC14">
        <f>SYSCLK!CB13/$B$2</f>
        <v>1.5</v>
      </c>
      <c r="BD14">
        <f>SYSCLK!CC13/$B$2</f>
        <v>1.2857142857142856</v>
      </c>
      <c r="BE14">
        <f>SYSCLK!CD13/$B$2</f>
        <v>1.125</v>
      </c>
      <c r="BF14">
        <f>SYSCLK!CE13/$B$2</f>
        <v>1</v>
      </c>
      <c r="BG14">
        <f>SYSCLK!CF13/$B$2</f>
        <v>0.9</v>
      </c>
      <c r="BH14">
        <f>SYSCLK!CG13/$B$2</f>
        <v>0.81818181818181823</v>
      </c>
      <c r="BI14">
        <f>SYSCLK!CH13/$B$2</f>
        <v>0.75</v>
      </c>
      <c r="BJ14">
        <f>SYSCLK!CI13/$B$2</f>
        <v>0.69230769230769229</v>
      </c>
      <c r="BK14">
        <f>SYSCLK!CJ13/$B$2</f>
        <v>0.64285714285714279</v>
      </c>
      <c r="BL14">
        <f>SYSCLK!CK13/$B$2</f>
        <v>0.6</v>
      </c>
      <c r="BM14">
        <f>SYSCLK!CL13/$B$2</f>
        <v>0.5625</v>
      </c>
    </row>
    <row r="15" spans="1:65">
      <c r="B15">
        <f>SYSCLK!AA14/$B$2</f>
        <v>38</v>
      </c>
      <c r="C15">
        <f>SYSCLK!AB14/$B$2</f>
        <v>19</v>
      </c>
      <c r="D15">
        <f>SYSCLK!AC14/$B$2</f>
        <v>12.666666666666666</v>
      </c>
      <c r="E15">
        <f>SYSCLK!AD14/$B$2</f>
        <v>9.5</v>
      </c>
      <c r="F15">
        <f>SYSCLK!AE14/$B$2</f>
        <v>7.6000000000000005</v>
      </c>
      <c r="G15">
        <f>SYSCLK!AF14/$B$2</f>
        <v>6.333333333333333</v>
      </c>
      <c r="H15">
        <f>SYSCLK!AG14/$B$2</f>
        <v>5.4285714285714279</v>
      </c>
      <c r="I15">
        <f>SYSCLK!AH14/$B$2</f>
        <v>4.75</v>
      </c>
      <c r="J15">
        <f>SYSCLK!AI14/$B$2</f>
        <v>4.2222222222222223</v>
      </c>
      <c r="K15">
        <f>SYSCLK!AJ14/$B$2</f>
        <v>3.8000000000000003</v>
      </c>
      <c r="L15">
        <f>SYSCLK!AK14/$B$2</f>
        <v>3.4545454545454546</v>
      </c>
      <c r="M15">
        <f>SYSCLK!AL14/$B$2</f>
        <v>3.1666666666666665</v>
      </c>
      <c r="N15">
        <f>SYSCLK!AM14/$B$2</f>
        <v>2.9230769230769234</v>
      </c>
      <c r="O15">
        <f>SYSCLK!AN14/$B$2</f>
        <v>2.714285714285714</v>
      </c>
      <c r="P15">
        <f>SYSCLK!AO14/$B$2</f>
        <v>2.5333333333333332</v>
      </c>
      <c r="Q15">
        <f>SYSCLK!AP14/$B$2</f>
        <v>2.375</v>
      </c>
      <c r="R15" s="117">
        <f>SYSCLK!AQ14/$B$2</f>
        <v>19</v>
      </c>
      <c r="S15">
        <f>SYSCLK!AR14/$B$2</f>
        <v>9.5</v>
      </c>
      <c r="T15">
        <f>SYSCLK!AS14/$B$2</f>
        <v>6.333333333333333</v>
      </c>
      <c r="U15">
        <f>SYSCLK!AT14/$B$2</f>
        <v>4.75</v>
      </c>
      <c r="V15">
        <f>SYSCLK!AU14/$B$2</f>
        <v>3.8000000000000003</v>
      </c>
      <c r="W15">
        <f>SYSCLK!AV14/$B$2</f>
        <v>3.1666666666666665</v>
      </c>
      <c r="X15">
        <f>SYSCLK!AW14/$B$2</f>
        <v>2.714285714285714</v>
      </c>
      <c r="Y15">
        <f>SYSCLK!AX14/$B$2</f>
        <v>2.375</v>
      </c>
      <c r="Z15">
        <f>SYSCLK!AY14/$B$2</f>
        <v>2.1111111111111112</v>
      </c>
      <c r="AA15">
        <f>SYSCLK!AZ14/$B$2</f>
        <v>1.9000000000000001</v>
      </c>
      <c r="AB15">
        <f>SYSCLK!BA14/$B$2</f>
        <v>1.7272727272727273</v>
      </c>
      <c r="AC15">
        <f>SYSCLK!BB14/$B$2</f>
        <v>1.5833333333333333</v>
      </c>
      <c r="AD15">
        <f>SYSCLK!BC14/$B$2</f>
        <v>1.4615384615384617</v>
      </c>
      <c r="AE15">
        <f>SYSCLK!BD14/$B$2</f>
        <v>1.357142857142857</v>
      </c>
      <c r="AF15">
        <f>SYSCLK!BE14/$B$2</f>
        <v>1.2666666666666666</v>
      </c>
      <c r="AG15" s="118">
        <f>SYSCLK!BF14/$B$2</f>
        <v>1.1875</v>
      </c>
      <c r="AH15">
        <f>SYSCLK!BG14/$B$2</f>
        <v>12.666666666666666</v>
      </c>
      <c r="AI15">
        <f>SYSCLK!BH14/$B$2</f>
        <v>6.333333333333333</v>
      </c>
      <c r="AJ15">
        <f>SYSCLK!BI14/$B$2</f>
        <v>4.2222222222222223</v>
      </c>
      <c r="AK15">
        <f>SYSCLK!BJ14/$B$2</f>
        <v>3.1666666666666665</v>
      </c>
      <c r="AL15">
        <f>SYSCLK!BK14/$B$2</f>
        <v>2.5333333333333337</v>
      </c>
      <c r="AM15">
        <f>SYSCLK!BL14/$B$2</f>
        <v>2.1111111111111112</v>
      </c>
      <c r="AN15">
        <f>SYSCLK!BM14/$B$2</f>
        <v>1.8095238095238093</v>
      </c>
      <c r="AO15">
        <f>SYSCLK!BN14/$B$2</f>
        <v>1.5833333333333333</v>
      </c>
      <c r="AP15">
        <f>SYSCLK!BO14/$B$2</f>
        <v>1.4074074074074074</v>
      </c>
      <c r="AQ15">
        <f>SYSCLK!BP14/$B$2</f>
        <v>1.2666666666666668</v>
      </c>
      <c r="AR15">
        <f>SYSCLK!BQ14/$B$2</f>
        <v>1.1515151515151516</v>
      </c>
      <c r="AS15">
        <f>SYSCLK!BR14/$B$2</f>
        <v>1.0555555555555556</v>
      </c>
      <c r="AT15">
        <f>SYSCLK!BS14/$B$2</f>
        <v>0.97435897435897445</v>
      </c>
      <c r="AU15">
        <f>SYSCLK!BT14/$B$2</f>
        <v>0.90476190476190466</v>
      </c>
      <c r="AV15">
        <f>SYSCLK!BU14/$B$2</f>
        <v>0.84444444444444444</v>
      </c>
      <c r="AW15">
        <f>SYSCLK!BV14/$B$2</f>
        <v>0.79166666666666663</v>
      </c>
      <c r="AX15" s="117">
        <f>SYSCLK!BW14/$B$2</f>
        <v>9.5</v>
      </c>
      <c r="AY15">
        <f>SYSCLK!BX14/$B$2</f>
        <v>4.75</v>
      </c>
      <c r="AZ15">
        <f>SYSCLK!BY14/$B$2</f>
        <v>3.1666666666666665</v>
      </c>
      <c r="BA15">
        <f>SYSCLK!BZ14/$B$2</f>
        <v>2.375</v>
      </c>
      <c r="BB15">
        <f>SYSCLK!CA14/$B$2</f>
        <v>1.9000000000000001</v>
      </c>
      <c r="BC15">
        <f>SYSCLK!CB14/$B$2</f>
        <v>1.5833333333333333</v>
      </c>
      <c r="BD15">
        <f>SYSCLK!CC14/$B$2</f>
        <v>1.357142857142857</v>
      </c>
      <c r="BE15">
        <f>SYSCLK!CD14/$B$2</f>
        <v>1.1875</v>
      </c>
      <c r="BF15">
        <f>SYSCLK!CE14/$B$2</f>
        <v>1.0555555555555556</v>
      </c>
      <c r="BG15">
        <f>SYSCLK!CF14/$B$2</f>
        <v>0.95000000000000007</v>
      </c>
      <c r="BH15">
        <f>SYSCLK!CG14/$B$2</f>
        <v>0.86363636363636365</v>
      </c>
      <c r="BI15">
        <f>SYSCLK!CH14/$B$2</f>
        <v>0.79166666666666663</v>
      </c>
      <c r="BJ15">
        <f>SYSCLK!CI14/$B$2</f>
        <v>0.73076923076923084</v>
      </c>
      <c r="BK15">
        <f>SYSCLK!CJ14/$B$2</f>
        <v>0.67857142857142849</v>
      </c>
      <c r="BL15">
        <f>SYSCLK!CK14/$B$2</f>
        <v>0.6333333333333333</v>
      </c>
      <c r="BM15">
        <f>SYSCLK!CL14/$B$2</f>
        <v>0.59375</v>
      </c>
    </row>
    <row r="16" spans="1:65">
      <c r="B16">
        <f>SYSCLK!AA15/$B$2</f>
        <v>40</v>
      </c>
      <c r="C16">
        <f>SYSCLK!AB15/$B$2</f>
        <v>20</v>
      </c>
      <c r="D16">
        <f>SYSCLK!AC15/$B$2</f>
        <v>13.333333333333332</v>
      </c>
      <c r="E16">
        <f>SYSCLK!AD15/$B$2</f>
        <v>10</v>
      </c>
      <c r="F16">
        <f>SYSCLK!AE15/$B$2</f>
        <v>8</v>
      </c>
      <c r="G16">
        <f>SYSCLK!AF15/$B$2</f>
        <v>6.6666666666666661</v>
      </c>
      <c r="H16">
        <f>SYSCLK!AG15/$B$2</f>
        <v>5.7142857142857135</v>
      </c>
      <c r="I16">
        <f>SYSCLK!AH15/$B$2</f>
        <v>5</v>
      </c>
      <c r="J16">
        <f>SYSCLK!AI15/$B$2</f>
        <v>4.4444444444444446</v>
      </c>
      <c r="K16">
        <f>SYSCLK!AJ15/$B$2</f>
        <v>4</v>
      </c>
      <c r="L16">
        <f>SYSCLK!AK15/$B$2</f>
        <v>3.6363636363636367</v>
      </c>
      <c r="M16">
        <f>SYSCLK!AL15/$B$2</f>
        <v>3.333333333333333</v>
      </c>
      <c r="N16">
        <f>SYSCLK!AM15/$B$2</f>
        <v>3.0769230769230771</v>
      </c>
      <c r="O16">
        <f>SYSCLK!AN15/$B$2</f>
        <v>2.8571428571428568</v>
      </c>
      <c r="P16">
        <f>SYSCLK!AO15/$B$2</f>
        <v>2.6666666666666665</v>
      </c>
      <c r="Q16">
        <f>SYSCLK!AP15/$B$2</f>
        <v>2.5</v>
      </c>
      <c r="R16" s="117">
        <f>SYSCLK!AQ15/$B$2</f>
        <v>20</v>
      </c>
      <c r="S16">
        <f>SYSCLK!AR15/$B$2</f>
        <v>10</v>
      </c>
      <c r="T16">
        <f>SYSCLK!AS15/$B$2</f>
        <v>6.6666666666666661</v>
      </c>
      <c r="U16">
        <f>SYSCLK!AT15/$B$2</f>
        <v>5</v>
      </c>
      <c r="V16">
        <f>SYSCLK!AU15/$B$2</f>
        <v>4</v>
      </c>
      <c r="W16">
        <f>SYSCLK!AV15/$B$2</f>
        <v>3.333333333333333</v>
      </c>
      <c r="X16">
        <f>SYSCLK!AW15/$B$2</f>
        <v>2.8571428571428568</v>
      </c>
      <c r="Y16">
        <f>SYSCLK!AX15/$B$2</f>
        <v>2.5</v>
      </c>
      <c r="Z16">
        <f>SYSCLK!AY15/$B$2</f>
        <v>2.2222222222222223</v>
      </c>
      <c r="AA16">
        <f>SYSCLK!AZ15/$B$2</f>
        <v>2</v>
      </c>
      <c r="AB16">
        <f>SYSCLK!BA15/$B$2</f>
        <v>1.8181818181818183</v>
      </c>
      <c r="AC16">
        <f>SYSCLK!BB15/$B$2</f>
        <v>1.6666666666666665</v>
      </c>
      <c r="AD16">
        <f>SYSCLK!BC15/$B$2</f>
        <v>1.5384615384615385</v>
      </c>
      <c r="AE16">
        <f>SYSCLK!BD15/$B$2</f>
        <v>1.4285714285714284</v>
      </c>
      <c r="AF16">
        <f>SYSCLK!BE15/$B$2</f>
        <v>1.3333333333333333</v>
      </c>
      <c r="AG16" s="118">
        <f>SYSCLK!BF15/$B$2</f>
        <v>1.25</v>
      </c>
      <c r="AH16">
        <f>SYSCLK!BG15/$B$2</f>
        <v>13.333333333333334</v>
      </c>
      <c r="AI16">
        <f>SYSCLK!BH15/$B$2</f>
        <v>6.666666666666667</v>
      </c>
      <c r="AJ16">
        <f>SYSCLK!BI15/$B$2</f>
        <v>4.4444444444444438</v>
      </c>
      <c r="AK16">
        <f>SYSCLK!BJ15/$B$2</f>
        <v>3.3333333333333335</v>
      </c>
      <c r="AL16">
        <f>SYSCLK!BK15/$B$2</f>
        <v>2.6666666666666665</v>
      </c>
      <c r="AM16">
        <f>SYSCLK!BL15/$B$2</f>
        <v>2.2222222222222219</v>
      </c>
      <c r="AN16">
        <f>SYSCLK!BM15/$B$2</f>
        <v>1.9047619047619044</v>
      </c>
      <c r="AO16">
        <f>SYSCLK!BN15/$B$2</f>
        <v>1.6666666666666667</v>
      </c>
      <c r="AP16">
        <f>SYSCLK!BO15/$B$2</f>
        <v>1.4814814814814816</v>
      </c>
      <c r="AQ16">
        <f>SYSCLK!BP15/$B$2</f>
        <v>1.3333333333333333</v>
      </c>
      <c r="AR16">
        <f>SYSCLK!BQ15/$B$2</f>
        <v>1.2121212121212122</v>
      </c>
      <c r="AS16">
        <f>SYSCLK!BR15/$B$2</f>
        <v>1.1111111111111109</v>
      </c>
      <c r="AT16">
        <f>SYSCLK!BS15/$B$2</f>
        <v>1.0256410256410258</v>
      </c>
      <c r="AU16">
        <f>SYSCLK!BT15/$B$2</f>
        <v>0.95238095238095222</v>
      </c>
      <c r="AV16">
        <f>SYSCLK!BU15/$B$2</f>
        <v>0.88888888888888884</v>
      </c>
      <c r="AW16">
        <f>SYSCLK!BV15/$B$2</f>
        <v>0.83333333333333337</v>
      </c>
      <c r="AX16" s="117">
        <f>SYSCLK!BW15/$B$2</f>
        <v>10</v>
      </c>
      <c r="AY16">
        <f>SYSCLK!BX15/$B$2</f>
        <v>5</v>
      </c>
      <c r="AZ16">
        <f>SYSCLK!BY15/$B$2</f>
        <v>3.333333333333333</v>
      </c>
      <c r="BA16">
        <f>SYSCLK!BZ15/$B$2</f>
        <v>2.5</v>
      </c>
      <c r="BB16">
        <f>SYSCLK!CA15/$B$2</f>
        <v>2</v>
      </c>
      <c r="BC16">
        <f>SYSCLK!CB15/$B$2</f>
        <v>1.6666666666666665</v>
      </c>
      <c r="BD16">
        <f>SYSCLK!CC15/$B$2</f>
        <v>1.4285714285714284</v>
      </c>
      <c r="BE16">
        <f>SYSCLK!CD15/$B$2</f>
        <v>1.25</v>
      </c>
      <c r="BF16">
        <f>SYSCLK!CE15/$B$2</f>
        <v>1.1111111111111112</v>
      </c>
      <c r="BG16">
        <f>SYSCLK!CF15/$B$2</f>
        <v>1</v>
      </c>
      <c r="BH16">
        <f>SYSCLK!CG15/$B$2</f>
        <v>0.90909090909090917</v>
      </c>
      <c r="BI16">
        <f>SYSCLK!CH15/$B$2</f>
        <v>0.83333333333333326</v>
      </c>
      <c r="BJ16">
        <f>SYSCLK!CI15/$B$2</f>
        <v>0.76923076923076927</v>
      </c>
      <c r="BK16">
        <f>SYSCLK!CJ15/$B$2</f>
        <v>0.71428571428571419</v>
      </c>
      <c r="BL16">
        <f>SYSCLK!CK15/$B$2</f>
        <v>0.66666666666666663</v>
      </c>
      <c r="BM16">
        <f>SYSCLK!CL15/$B$2</f>
        <v>0.625</v>
      </c>
    </row>
    <row r="17" spans="2:65">
      <c r="B17">
        <f>SYSCLK!AA16/$B$2</f>
        <v>42</v>
      </c>
      <c r="C17">
        <f>SYSCLK!AB16/$B$2</f>
        <v>21</v>
      </c>
      <c r="D17">
        <f>SYSCLK!AC16/$B$2</f>
        <v>14</v>
      </c>
      <c r="E17">
        <f>SYSCLK!AD16/$B$2</f>
        <v>10.5</v>
      </c>
      <c r="F17">
        <f>SYSCLK!AE16/$B$2</f>
        <v>8.4</v>
      </c>
      <c r="G17">
        <f>SYSCLK!AF16/$B$2</f>
        <v>7</v>
      </c>
      <c r="H17">
        <f>SYSCLK!AG16/$B$2</f>
        <v>6</v>
      </c>
      <c r="I17">
        <f>SYSCLK!AH16/$B$2</f>
        <v>5.25</v>
      </c>
      <c r="J17">
        <f>SYSCLK!AI16/$B$2</f>
        <v>4.6666666666666661</v>
      </c>
      <c r="K17">
        <f>SYSCLK!AJ16/$B$2</f>
        <v>4.2</v>
      </c>
      <c r="L17">
        <f>SYSCLK!AK16/$B$2</f>
        <v>3.8181818181818183</v>
      </c>
      <c r="M17">
        <f>SYSCLK!AL16/$B$2</f>
        <v>3.5</v>
      </c>
      <c r="N17">
        <f>SYSCLK!AM16/$B$2</f>
        <v>3.2307692307692308</v>
      </c>
      <c r="O17">
        <f>SYSCLK!AN16/$B$2</f>
        <v>3</v>
      </c>
      <c r="P17">
        <f>SYSCLK!AO16/$B$2</f>
        <v>2.8</v>
      </c>
      <c r="Q17">
        <f>SYSCLK!AP16/$B$2</f>
        <v>2.625</v>
      </c>
      <c r="R17" s="117">
        <f>SYSCLK!AQ16/$B$2</f>
        <v>21</v>
      </c>
      <c r="S17">
        <f>SYSCLK!AR16/$B$2</f>
        <v>10.5</v>
      </c>
      <c r="T17">
        <f>SYSCLK!AS16/$B$2</f>
        <v>7</v>
      </c>
      <c r="U17">
        <f>SYSCLK!AT16/$B$2</f>
        <v>5.25</v>
      </c>
      <c r="V17">
        <f>SYSCLK!AU16/$B$2</f>
        <v>4.2</v>
      </c>
      <c r="W17">
        <f>SYSCLK!AV16/$B$2</f>
        <v>3.5</v>
      </c>
      <c r="X17">
        <f>SYSCLK!AW16/$B$2</f>
        <v>3</v>
      </c>
      <c r="Y17">
        <f>SYSCLK!AX16/$B$2</f>
        <v>2.625</v>
      </c>
      <c r="Z17">
        <f>SYSCLK!AY16/$B$2</f>
        <v>2.333333333333333</v>
      </c>
      <c r="AA17">
        <f>SYSCLK!AZ16/$B$2</f>
        <v>2.1</v>
      </c>
      <c r="AB17">
        <f>SYSCLK!BA16/$B$2</f>
        <v>1.9090909090909092</v>
      </c>
      <c r="AC17">
        <f>SYSCLK!BB16/$B$2</f>
        <v>1.75</v>
      </c>
      <c r="AD17">
        <f>SYSCLK!BC16/$B$2</f>
        <v>1.6153846153846154</v>
      </c>
      <c r="AE17">
        <f>SYSCLK!BD16/$B$2</f>
        <v>1.5</v>
      </c>
      <c r="AF17">
        <f>SYSCLK!BE16/$B$2</f>
        <v>1.4</v>
      </c>
      <c r="AG17" s="118">
        <f>SYSCLK!BF16/$B$2</f>
        <v>1.3125</v>
      </c>
      <c r="AH17">
        <f>SYSCLK!BG16/$B$2</f>
        <v>14</v>
      </c>
      <c r="AI17">
        <f>SYSCLK!BH16/$B$2</f>
        <v>7</v>
      </c>
      <c r="AJ17">
        <f>SYSCLK!BI16/$B$2</f>
        <v>4.666666666666667</v>
      </c>
      <c r="AK17">
        <f>SYSCLK!BJ16/$B$2</f>
        <v>3.5</v>
      </c>
      <c r="AL17">
        <f>SYSCLK!BK16/$B$2</f>
        <v>2.8000000000000003</v>
      </c>
      <c r="AM17">
        <f>SYSCLK!BL16/$B$2</f>
        <v>2.3333333333333335</v>
      </c>
      <c r="AN17">
        <f>SYSCLK!BM16/$B$2</f>
        <v>2</v>
      </c>
      <c r="AO17">
        <f>SYSCLK!BN16/$B$2</f>
        <v>1.75</v>
      </c>
      <c r="AP17">
        <f>SYSCLK!BO16/$B$2</f>
        <v>1.5555555555555554</v>
      </c>
      <c r="AQ17">
        <f>SYSCLK!BP16/$B$2</f>
        <v>1.4000000000000001</v>
      </c>
      <c r="AR17">
        <f>SYSCLK!BQ16/$B$2</f>
        <v>1.2727272727272727</v>
      </c>
      <c r="AS17">
        <f>SYSCLK!BR16/$B$2</f>
        <v>1.1666666666666667</v>
      </c>
      <c r="AT17">
        <f>SYSCLK!BS16/$B$2</f>
        <v>1.0769230769230769</v>
      </c>
      <c r="AU17">
        <f>SYSCLK!BT16/$B$2</f>
        <v>1</v>
      </c>
      <c r="AV17">
        <f>SYSCLK!BU16/$B$2</f>
        <v>0.93333333333333324</v>
      </c>
      <c r="AW17">
        <f>SYSCLK!BV16/$B$2</f>
        <v>0.875</v>
      </c>
      <c r="AX17" s="117">
        <f>SYSCLK!BW16/$B$2</f>
        <v>10.5</v>
      </c>
      <c r="AY17">
        <f>SYSCLK!BX16/$B$2</f>
        <v>5.25</v>
      </c>
      <c r="AZ17">
        <f>SYSCLK!BY16/$B$2</f>
        <v>3.5</v>
      </c>
      <c r="BA17">
        <f>SYSCLK!BZ16/$B$2</f>
        <v>2.625</v>
      </c>
      <c r="BB17">
        <f>SYSCLK!CA16/$B$2</f>
        <v>2.1</v>
      </c>
      <c r="BC17">
        <f>SYSCLK!CB16/$B$2</f>
        <v>1.75</v>
      </c>
      <c r="BD17">
        <f>SYSCLK!CC16/$B$2</f>
        <v>1.5</v>
      </c>
      <c r="BE17">
        <f>SYSCLK!CD16/$B$2</f>
        <v>1.3125</v>
      </c>
      <c r="BF17">
        <f>SYSCLK!CE16/$B$2</f>
        <v>1.1666666666666665</v>
      </c>
      <c r="BG17">
        <f>SYSCLK!CF16/$B$2</f>
        <v>1.05</v>
      </c>
      <c r="BH17">
        <f>SYSCLK!CG16/$B$2</f>
        <v>0.95454545454545459</v>
      </c>
      <c r="BI17">
        <f>SYSCLK!CH16/$B$2</f>
        <v>0.875</v>
      </c>
      <c r="BJ17">
        <f>SYSCLK!CI16/$B$2</f>
        <v>0.80769230769230771</v>
      </c>
      <c r="BK17">
        <f>SYSCLK!CJ16/$B$2</f>
        <v>0.75</v>
      </c>
      <c r="BL17">
        <f>SYSCLK!CK16/$B$2</f>
        <v>0.7</v>
      </c>
      <c r="BM17">
        <f>SYSCLK!CL16/$B$2</f>
        <v>0.65625</v>
      </c>
    </row>
    <row r="18" spans="2:65">
      <c r="B18">
        <f>SYSCLK!AA17/$B$2</f>
        <v>0</v>
      </c>
      <c r="C18">
        <f>SYSCLK!AB17/$B$2</f>
        <v>22</v>
      </c>
      <c r="D18">
        <f>SYSCLK!AC17/$B$2</f>
        <v>14.666666666666666</v>
      </c>
      <c r="E18">
        <f>SYSCLK!AD17/$B$2</f>
        <v>11</v>
      </c>
      <c r="F18">
        <f>SYSCLK!AE17/$B$2</f>
        <v>8.8000000000000007</v>
      </c>
      <c r="G18">
        <f>SYSCLK!AF17/$B$2</f>
        <v>7.333333333333333</v>
      </c>
      <c r="H18">
        <f>SYSCLK!AG17/$B$2</f>
        <v>6.2857142857142856</v>
      </c>
      <c r="I18">
        <f>SYSCLK!AH17/$B$2</f>
        <v>5.5</v>
      </c>
      <c r="J18">
        <f>SYSCLK!AI17/$B$2</f>
        <v>4.8888888888888884</v>
      </c>
      <c r="K18">
        <f>SYSCLK!AJ17/$B$2</f>
        <v>4.4000000000000004</v>
      </c>
      <c r="L18">
        <f>SYSCLK!AK17/$B$2</f>
        <v>4</v>
      </c>
      <c r="M18">
        <f>SYSCLK!AL17/$B$2</f>
        <v>3.6666666666666665</v>
      </c>
      <c r="N18">
        <f>SYSCLK!AM17/$B$2</f>
        <v>3.384615384615385</v>
      </c>
      <c r="O18">
        <f>SYSCLK!AN17/$B$2</f>
        <v>3.1428571428571428</v>
      </c>
      <c r="P18">
        <f>SYSCLK!AO17/$B$2</f>
        <v>2.9333333333333331</v>
      </c>
      <c r="Q18">
        <f>SYSCLK!AP17/$B$2</f>
        <v>2.75</v>
      </c>
      <c r="R18" s="117">
        <f>SYSCLK!AQ17/$B$2</f>
        <v>22</v>
      </c>
      <c r="S18">
        <f>SYSCLK!AR17/$B$2</f>
        <v>11</v>
      </c>
      <c r="T18">
        <f>SYSCLK!AS17/$B$2</f>
        <v>7.333333333333333</v>
      </c>
      <c r="U18">
        <f>SYSCLK!AT17/$B$2</f>
        <v>5.5</v>
      </c>
      <c r="V18">
        <f>SYSCLK!AU17/$B$2</f>
        <v>4.4000000000000004</v>
      </c>
      <c r="W18">
        <f>SYSCLK!AV17/$B$2</f>
        <v>3.6666666666666665</v>
      </c>
      <c r="X18">
        <f>SYSCLK!AW17/$B$2</f>
        <v>3.1428571428571428</v>
      </c>
      <c r="Y18">
        <f>SYSCLK!AX17/$B$2</f>
        <v>2.75</v>
      </c>
      <c r="Z18">
        <f>SYSCLK!AY17/$B$2</f>
        <v>2.4444444444444442</v>
      </c>
      <c r="AA18">
        <f>SYSCLK!AZ17/$B$2</f>
        <v>2.2000000000000002</v>
      </c>
      <c r="AB18">
        <f>SYSCLK!BA17/$B$2</f>
        <v>2</v>
      </c>
      <c r="AC18">
        <f>SYSCLK!BB17/$B$2</f>
        <v>1.8333333333333333</v>
      </c>
      <c r="AD18">
        <f>SYSCLK!BC17/$B$2</f>
        <v>1.6923076923076925</v>
      </c>
      <c r="AE18">
        <f>SYSCLK!BD17/$B$2</f>
        <v>1.5714285714285714</v>
      </c>
      <c r="AF18">
        <f>SYSCLK!BE17/$B$2</f>
        <v>1.4666666666666666</v>
      </c>
      <c r="AG18" s="118">
        <f>SYSCLK!BF17/$B$2</f>
        <v>1.375</v>
      </c>
      <c r="AH18">
        <f>SYSCLK!BG17/$B$2</f>
        <v>14.666666666666666</v>
      </c>
      <c r="AI18">
        <f>SYSCLK!BH17/$B$2</f>
        <v>7.333333333333333</v>
      </c>
      <c r="AJ18">
        <f>SYSCLK!BI17/$B$2</f>
        <v>4.8888888888888884</v>
      </c>
      <c r="AK18">
        <f>SYSCLK!BJ17/$B$2</f>
        <v>3.6666666666666665</v>
      </c>
      <c r="AL18">
        <f>SYSCLK!BK17/$B$2</f>
        <v>2.9333333333333336</v>
      </c>
      <c r="AM18">
        <f>SYSCLK!BL17/$B$2</f>
        <v>2.4444444444444442</v>
      </c>
      <c r="AN18">
        <f>SYSCLK!BM17/$B$2</f>
        <v>2.0952380952380953</v>
      </c>
      <c r="AO18">
        <f>SYSCLK!BN17/$B$2</f>
        <v>1.8333333333333333</v>
      </c>
      <c r="AP18">
        <f>SYSCLK!BO17/$B$2</f>
        <v>1.6296296296296295</v>
      </c>
      <c r="AQ18">
        <f>SYSCLK!BP17/$B$2</f>
        <v>1.4666666666666668</v>
      </c>
      <c r="AR18">
        <f>SYSCLK!BQ17/$B$2</f>
        <v>1.3333333333333333</v>
      </c>
      <c r="AS18">
        <f>SYSCLK!BR17/$B$2</f>
        <v>1.2222222222222221</v>
      </c>
      <c r="AT18">
        <f>SYSCLK!BS17/$B$2</f>
        <v>1.1282051282051284</v>
      </c>
      <c r="AU18">
        <f>SYSCLK!BT17/$B$2</f>
        <v>1.0476190476190477</v>
      </c>
      <c r="AV18">
        <f>SYSCLK!BU17/$B$2</f>
        <v>0.97777777777777775</v>
      </c>
      <c r="AW18">
        <f>SYSCLK!BV17/$B$2</f>
        <v>0.91666666666666663</v>
      </c>
      <c r="AX18" s="117">
        <f>SYSCLK!BW17/$B$2</f>
        <v>11</v>
      </c>
      <c r="AY18">
        <f>SYSCLK!BX17/$B$2</f>
        <v>5.5</v>
      </c>
      <c r="AZ18">
        <f>SYSCLK!BY17/$B$2</f>
        <v>3.6666666666666665</v>
      </c>
      <c r="BA18">
        <f>SYSCLK!BZ17/$B$2</f>
        <v>2.75</v>
      </c>
      <c r="BB18">
        <f>SYSCLK!CA17/$B$2</f>
        <v>2.2000000000000002</v>
      </c>
      <c r="BC18">
        <f>SYSCLK!CB17/$B$2</f>
        <v>1.8333333333333333</v>
      </c>
      <c r="BD18">
        <f>SYSCLK!CC17/$B$2</f>
        <v>1.5714285714285714</v>
      </c>
      <c r="BE18">
        <f>SYSCLK!CD17/$B$2</f>
        <v>1.375</v>
      </c>
      <c r="BF18">
        <f>SYSCLK!CE17/$B$2</f>
        <v>1.2222222222222221</v>
      </c>
      <c r="BG18">
        <f>SYSCLK!CF17/$B$2</f>
        <v>1.1000000000000001</v>
      </c>
      <c r="BH18">
        <f>SYSCLK!CG17/$B$2</f>
        <v>1</v>
      </c>
      <c r="BI18">
        <f>SYSCLK!CH17/$B$2</f>
        <v>0.91666666666666663</v>
      </c>
      <c r="BJ18">
        <f>SYSCLK!CI17/$B$2</f>
        <v>0.84615384615384626</v>
      </c>
      <c r="BK18">
        <f>SYSCLK!CJ17/$B$2</f>
        <v>0.7857142857142857</v>
      </c>
      <c r="BL18">
        <f>SYSCLK!CK17/$B$2</f>
        <v>0.73333333333333328</v>
      </c>
      <c r="BM18">
        <f>SYSCLK!CL17/$B$2</f>
        <v>0.6875</v>
      </c>
    </row>
    <row r="19" spans="2:65">
      <c r="B19">
        <f>SYSCLK!AA18/$B$2</f>
        <v>0</v>
      </c>
      <c r="C19">
        <f>SYSCLK!AB18/$B$2</f>
        <v>23</v>
      </c>
      <c r="D19">
        <f>SYSCLK!AC18/$B$2</f>
        <v>15.333333333333332</v>
      </c>
      <c r="E19">
        <f>SYSCLK!AD18/$B$2</f>
        <v>11.5</v>
      </c>
      <c r="F19">
        <f>SYSCLK!AE18/$B$2</f>
        <v>9.2000000000000011</v>
      </c>
      <c r="G19">
        <f>SYSCLK!AF18/$B$2</f>
        <v>7.6666666666666661</v>
      </c>
      <c r="H19">
        <f>SYSCLK!AG18/$B$2</f>
        <v>6.5714285714285712</v>
      </c>
      <c r="I19">
        <f>SYSCLK!AH18/$B$2</f>
        <v>5.75</v>
      </c>
      <c r="J19">
        <f>SYSCLK!AI18/$B$2</f>
        <v>5.1111111111111107</v>
      </c>
      <c r="K19">
        <f>SYSCLK!AJ18/$B$2</f>
        <v>4.6000000000000005</v>
      </c>
      <c r="L19">
        <f>SYSCLK!AK18/$B$2</f>
        <v>4.1818181818181817</v>
      </c>
      <c r="M19">
        <f>SYSCLK!AL18/$B$2</f>
        <v>3.833333333333333</v>
      </c>
      <c r="N19">
        <f>SYSCLK!AM18/$B$2</f>
        <v>3.5384615384615388</v>
      </c>
      <c r="O19">
        <f>SYSCLK!AN18/$B$2</f>
        <v>3.2857142857142856</v>
      </c>
      <c r="P19">
        <f>SYSCLK!AO18/$B$2</f>
        <v>3.0666666666666664</v>
      </c>
      <c r="Q19">
        <f>SYSCLK!AP18/$B$2</f>
        <v>2.875</v>
      </c>
      <c r="R19" s="117">
        <f>SYSCLK!AQ18/$B$2</f>
        <v>23</v>
      </c>
      <c r="S19">
        <f>SYSCLK!AR18/$B$2</f>
        <v>11.5</v>
      </c>
      <c r="T19">
        <f>SYSCLK!AS18/$B$2</f>
        <v>7.6666666666666661</v>
      </c>
      <c r="U19">
        <f>SYSCLK!AT18/$B$2</f>
        <v>5.75</v>
      </c>
      <c r="V19">
        <f>SYSCLK!AU18/$B$2</f>
        <v>4.6000000000000005</v>
      </c>
      <c r="W19">
        <f>SYSCLK!AV18/$B$2</f>
        <v>3.833333333333333</v>
      </c>
      <c r="X19">
        <f>SYSCLK!AW18/$B$2</f>
        <v>3.2857142857142856</v>
      </c>
      <c r="Y19">
        <f>SYSCLK!AX18/$B$2</f>
        <v>2.875</v>
      </c>
      <c r="Z19">
        <f>SYSCLK!AY18/$B$2</f>
        <v>2.5555555555555554</v>
      </c>
      <c r="AA19">
        <f>SYSCLK!AZ18/$B$2</f>
        <v>2.3000000000000003</v>
      </c>
      <c r="AB19">
        <f>SYSCLK!BA18/$B$2</f>
        <v>2.0909090909090908</v>
      </c>
      <c r="AC19">
        <f>SYSCLK!BB18/$B$2</f>
        <v>1.9166666666666665</v>
      </c>
      <c r="AD19">
        <f>SYSCLK!BC18/$B$2</f>
        <v>1.7692307692307694</v>
      </c>
      <c r="AE19">
        <f>SYSCLK!BD18/$B$2</f>
        <v>1.6428571428571428</v>
      </c>
      <c r="AF19">
        <f>SYSCLK!BE18/$B$2</f>
        <v>1.5333333333333332</v>
      </c>
      <c r="AG19" s="118">
        <f>SYSCLK!BF18/$B$2</f>
        <v>1.4375</v>
      </c>
      <c r="AH19">
        <f>SYSCLK!BG18/$B$2</f>
        <v>15.333333333333334</v>
      </c>
      <c r="AI19">
        <f>SYSCLK!BH18/$B$2</f>
        <v>7.666666666666667</v>
      </c>
      <c r="AJ19">
        <f>SYSCLK!BI18/$B$2</f>
        <v>5.1111111111111107</v>
      </c>
      <c r="AK19">
        <f>SYSCLK!BJ18/$B$2</f>
        <v>3.8333333333333335</v>
      </c>
      <c r="AL19">
        <f>SYSCLK!BK18/$B$2</f>
        <v>3.0666666666666669</v>
      </c>
      <c r="AM19">
        <f>SYSCLK!BL18/$B$2</f>
        <v>2.5555555555555554</v>
      </c>
      <c r="AN19">
        <f>SYSCLK!BM18/$B$2</f>
        <v>2.1904761904761902</v>
      </c>
      <c r="AO19">
        <f>SYSCLK!BN18/$B$2</f>
        <v>1.9166666666666667</v>
      </c>
      <c r="AP19">
        <f>SYSCLK!BO18/$B$2</f>
        <v>1.7037037037037035</v>
      </c>
      <c r="AQ19">
        <f>SYSCLK!BP18/$B$2</f>
        <v>1.5333333333333334</v>
      </c>
      <c r="AR19">
        <f>SYSCLK!BQ18/$B$2</f>
        <v>1.3939393939393938</v>
      </c>
      <c r="AS19">
        <f>SYSCLK!BR18/$B$2</f>
        <v>1.2777777777777777</v>
      </c>
      <c r="AT19">
        <f>SYSCLK!BS18/$B$2</f>
        <v>1.1794871794871795</v>
      </c>
      <c r="AU19">
        <f>SYSCLK!BT18/$B$2</f>
        <v>1.0952380952380951</v>
      </c>
      <c r="AV19">
        <f>SYSCLK!BU18/$B$2</f>
        <v>1.0222222222222221</v>
      </c>
      <c r="AW19">
        <f>SYSCLK!BV18/$B$2</f>
        <v>0.95833333333333337</v>
      </c>
      <c r="AX19" s="117">
        <f>SYSCLK!BW18/$B$2</f>
        <v>11.5</v>
      </c>
      <c r="AY19">
        <f>SYSCLK!BX18/$B$2</f>
        <v>5.75</v>
      </c>
      <c r="AZ19">
        <f>SYSCLK!BY18/$B$2</f>
        <v>3.833333333333333</v>
      </c>
      <c r="BA19">
        <f>SYSCLK!BZ18/$B$2</f>
        <v>2.875</v>
      </c>
      <c r="BB19">
        <f>SYSCLK!CA18/$B$2</f>
        <v>2.3000000000000003</v>
      </c>
      <c r="BC19">
        <f>SYSCLK!CB18/$B$2</f>
        <v>1.9166666666666665</v>
      </c>
      <c r="BD19">
        <f>SYSCLK!CC18/$B$2</f>
        <v>1.6428571428571428</v>
      </c>
      <c r="BE19">
        <f>SYSCLK!CD18/$B$2</f>
        <v>1.4375</v>
      </c>
      <c r="BF19">
        <f>SYSCLK!CE18/$B$2</f>
        <v>1.2777777777777777</v>
      </c>
      <c r="BG19">
        <f>SYSCLK!CF18/$B$2</f>
        <v>1.1500000000000001</v>
      </c>
      <c r="BH19">
        <f>SYSCLK!CG18/$B$2</f>
        <v>1.0454545454545454</v>
      </c>
      <c r="BI19">
        <f>SYSCLK!CH18/$B$2</f>
        <v>0.95833333333333326</v>
      </c>
      <c r="BJ19">
        <f>SYSCLK!CI18/$B$2</f>
        <v>0.88461538461538469</v>
      </c>
      <c r="BK19">
        <f>SYSCLK!CJ18/$B$2</f>
        <v>0.8214285714285714</v>
      </c>
      <c r="BL19">
        <f>SYSCLK!CK18/$B$2</f>
        <v>0.76666666666666661</v>
      </c>
      <c r="BM19">
        <f>SYSCLK!CL18/$B$2</f>
        <v>0.71875</v>
      </c>
    </row>
    <row r="20" spans="2:65">
      <c r="B20">
        <f>SYSCLK!AA19/$B$2</f>
        <v>0</v>
      </c>
      <c r="C20">
        <f>SYSCLK!AB19/$B$2</f>
        <v>24</v>
      </c>
      <c r="D20">
        <f>SYSCLK!AC19/$B$2</f>
        <v>16</v>
      </c>
      <c r="E20">
        <f>SYSCLK!AD19/$B$2</f>
        <v>12</v>
      </c>
      <c r="F20">
        <f>SYSCLK!AE19/$B$2</f>
        <v>9.6000000000000014</v>
      </c>
      <c r="G20">
        <f>SYSCLK!AF19/$B$2</f>
        <v>8</v>
      </c>
      <c r="H20">
        <f>SYSCLK!AG19/$B$2</f>
        <v>6.8571428571428568</v>
      </c>
      <c r="I20">
        <f>SYSCLK!AH19/$B$2</f>
        <v>6</v>
      </c>
      <c r="J20">
        <f>SYSCLK!AI19/$B$2</f>
        <v>5.333333333333333</v>
      </c>
      <c r="K20">
        <f>SYSCLK!AJ19/$B$2</f>
        <v>4.8000000000000007</v>
      </c>
      <c r="L20">
        <f>SYSCLK!AK19/$B$2</f>
        <v>4.3636363636363633</v>
      </c>
      <c r="M20">
        <f>SYSCLK!AL19/$B$2</f>
        <v>4</v>
      </c>
      <c r="N20">
        <f>SYSCLK!AM19/$B$2</f>
        <v>3.6923076923076925</v>
      </c>
      <c r="O20">
        <f>SYSCLK!AN19/$B$2</f>
        <v>3.4285714285714284</v>
      </c>
      <c r="P20">
        <f>SYSCLK!AO19/$B$2</f>
        <v>3.2</v>
      </c>
      <c r="Q20">
        <f>SYSCLK!AP19/$B$2</f>
        <v>3</v>
      </c>
      <c r="R20" s="117">
        <f>SYSCLK!AQ19/$B$2</f>
        <v>24</v>
      </c>
      <c r="S20">
        <f>SYSCLK!AR19/$B$2</f>
        <v>12</v>
      </c>
      <c r="T20">
        <f>SYSCLK!AS19/$B$2</f>
        <v>8</v>
      </c>
      <c r="U20">
        <f>SYSCLK!AT19/$B$2</f>
        <v>6</v>
      </c>
      <c r="V20">
        <f>SYSCLK!AU19/$B$2</f>
        <v>4.8000000000000007</v>
      </c>
      <c r="W20">
        <f>SYSCLK!AV19/$B$2</f>
        <v>4</v>
      </c>
      <c r="X20">
        <f>SYSCLK!AW19/$B$2</f>
        <v>3.4285714285714284</v>
      </c>
      <c r="Y20">
        <f>SYSCLK!AX19/$B$2</f>
        <v>3</v>
      </c>
      <c r="Z20">
        <f>SYSCLK!AY19/$B$2</f>
        <v>2.6666666666666665</v>
      </c>
      <c r="AA20">
        <f>SYSCLK!AZ19/$B$2</f>
        <v>2.4000000000000004</v>
      </c>
      <c r="AB20">
        <f>SYSCLK!BA19/$B$2</f>
        <v>2.1818181818181817</v>
      </c>
      <c r="AC20">
        <f>SYSCLK!BB19/$B$2</f>
        <v>2</v>
      </c>
      <c r="AD20">
        <f>SYSCLK!BC19/$B$2</f>
        <v>1.8461538461538463</v>
      </c>
      <c r="AE20">
        <f>SYSCLK!BD19/$B$2</f>
        <v>1.7142857142857142</v>
      </c>
      <c r="AF20">
        <f>SYSCLK!BE19/$B$2</f>
        <v>1.6</v>
      </c>
      <c r="AG20" s="118">
        <f>SYSCLK!BF19/$B$2</f>
        <v>1.5</v>
      </c>
      <c r="AH20">
        <f>SYSCLK!BG19/$B$2</f>
        <v>16</v>
      </c>
      <c r="AI20">
        <f>SYSCLK!BH19/$B$2</f>
        <v>8</v>
      </c>
      <c r="AJ20">
        <f>SYSCLK!BI19/$B$2</f>
        <v>5.333333333333333</v>
      </c>
      <c r="AK20">
        <f>SYSCLK!BJ19/$B$2</f>
        <v>4</v>
      </c>
      <c r="AL20">
        <f>SYSCLK!BK19/$B$2</f>
        <v>3.2000000000000006</v>
      </c>
      <c r="AM20">
        <f>SYSCLK!BL19/$B$2</f>
        <v>2.6666666666666665</v>
      </c>
      <c r="AN20">
        <f>SYSCLK!BM19/$B$2</f>
        <v>2.2857142857142856</v>
      </c>
      <c r="AO20">
        <f>SYSCLK!BN19/$B$2</f>
        <v>2</v>
      </c>
      <c r="AP20">
        <f>SYSCLK!BO19/$B$2</f>
        <v>1.7777777777777777</v>
      </c>
      <c r="AQ20">
        <f>SYSCLK!BP19/$B$2</f>
        <v>1.6000000000000003</v>
      </c>
      <c r="AR20">
        <f>SYSCLK!BQ19/$B$2</f>
        <v>1.4545454545454544</v>
      </c>
      <c r="AS20">
        <f>SYSCLK!BR19/$B$2</f>
        <v>1.3333333333333333</v>
      </c>
      <c r="AT20">
        <f>SYSCLK!BS19/$B$2</f>
        <v>1.2307692307692308</v>
      </c>
      <c r="AU20">
        <f>SYSCLK!BT19/$B$2</f>
        <v>1.1428571428571428</v>
      </c>
      <c r="AV20">
        <f>SYSCLK!BU19/$B$2</f>
        <v>1.0666666666666667</v>
      </c>
      <c r="AW20">
        <f>SYSCLK!BV19/$B$2</f>
        <v>1</v>
      </c>
      <c r="AX20" s="117">
        <f>SYSCLK!BW19/$B$2</f>
        <v>12</v>
      </c>
      <c r="AY20">
        <f>SYSCLK!BX19/$B$2</f>
        <v>6</v>
      </c>
      <c r="AZ20">
        <f>SYSCLK!BY19/$B$2</f>
        <v>4</v>
      </c>
      <c r="BA20">
        <f>SYSCLK!BZ19/$B$2</f>
        <v>3</v>
      </c>
      <c r="BB20">
        <f>SYSCLK!CA19/$B$2</f>
        <v>2.4000000000000004</v>
      </c>
      <c r="BC20">
        <f>SYSCLK!CB19/$B$2</f>
        <v>2</v>
      </c>
      <c r="BD20">
        <f>SYSCLK!CC19/$B$2</f>
        <v>1.7142857142857142</v>
      </c>
      <c r="BE20">
        <f>SYSCLK!CD19/$B$2</f>
        <v>1.5</v>
      </c>
      <c r="BF20">
        <f>SYSCLK!CE19/$B$2</f>
        <v>1.3333333333333333</v>
      </c>
      <c r="BG20">
        <f>SYSCLK!CF19/$B$2</f>
        <v>1.2000000000000002</v>
      </c>
      <c r="BH20">
        <f>SYSCLK!CG19/$B$2</f>
        <v>1.0909090909090908</v>
      </c>
      <c r="BI20">
        <f>SYSCLK!CH19/$B$2</f>
        <v>1</v>
      </c>
      <c r="BJ20">
        <f>SYSCLK!CI19/$B$2</f>
        <v>0.92307692307692313</v>
      </c>
      <c r="BK20">
        <f>SYSCLK!CJ19/$B$2</f>
        <v>0.8571428571428571</v>
      </c>
      <c r="BL20">
        <f>SYSCLK!CK19/$B$2</f>
        <v>0.8</v>
      </c>
      <c r="BM20">
        <f>SYSCLK!CL19/$B$2</f>
        <v>0.75</v>
      </c>
    </row>
    <row r="21" spans="2:65">
      <c r="B21">
        <f>SYSCLK!AA20/$B$2</f>
        <v>0</v>
      </c>
      <c r="C21">
        <f>SYSCLK!AB20/$B$2</f>
        <v>25</v>
      </c>
      <c r="D21">
        <f>SYSCLK!AC20/$B$2</f>
        <v>16.666666666666664</v>
      </c>
      <c r="E21">
        <f>SYSCLK!AD20/$B$2</f>
        <v>12.5</v>
      </c>
      <c r="F21">
        <f>SYSCLK!AE20/$B$2</f>
        <v>10</v>
      </c>
      <c r="G21">
        <f>SYSCLK!AF20/$B$2</f>
        <v>8.3333333333333321</v>
      </c>
      <c r="H21">
        <f>SYSCLK!AG20/$B$2</f>
        <v>7.1428571428571423</v>
      </c>
      <c r="I21">
        <f>SYSCLK!AH20/$B$2</f>
        <v>6.25</v>
      </c>
      <c r="J21">
        <f>SYSCLK!AI20/$B$2</f>
        <v>5.5555555555555554</v>
      </c>
      <c r="K21">
        <f>SYSCLK!AJ20/$B$2</f>
        <v>5</v>
      </c>
      <c r="L21">
        <f>SYSCLK!AK20/$B$2</f>
        <v>4.5454545454545459</v>
      </c>
      <c r="M21">
        <f>SYSCLK!AL20/$B$2</f>
        <v>4.1666666666666661</v>
      </c>
      <c r="N21">
        <f>SYSCLK!AM20/$B$2</f>
        <v>3.8461538461538463</v>
      </c>
      <c r="O21">
        <f>SYSCLK!AN20/$B$2</f>
        <v>3.5714285714285712</v>
      </c>
      <c r="P21">
        <f>SYSCLK!AO20/$B$2</f>
        <v>3.3333333333333335</v>
      </c>
      <c r="Q21">
        <f>SYSCLK!AP20/$B$2</f>
        <v>3.125</v>
      </c>
      <c r="R21" s="117">
        <f>SYSCLK!AQ20/$B$2</f>
        <v>25</v>
      </c>
      <c r="S21">
        <f>SYSCLK!AR20/$B$2</f>
        <v>12.5</v>
      </c>
      <c r="T21">
        <f>SYSCLK!AS20/$B$2</f>
        <v>8.3333333333333321</v>
      </c>
      <c r="U21">
        <f>SYSCLK!AT20/$B$2</f>
        <v>6.25</v>
      </c>
      <c r="V21">
        <f>SYSCLK!AU20/$B$2</f>
        <v>5</v>
      </c>
      <c r="W21">
        <f>SYSCLK!AV20/$B$2</f>
        <v>4.1666666666666661</v>
      </c>
      <c r="X21">
        <f>SYSCLK!AW20/$B$2</f>
        <v>3.5714285714285712</v>
      </c>
      <c r="Y21">
        <f>SYSCLK!AX20/$B$2</f>
        <v>3.125</v>
      </c>
      <c r="Z21">
        <f>SYSCLK!AY20/$B$2</f>
        <v>2.7777777777777777</v>
      </c>
      <c r="AA21">
        <f>SYSCLK!AZ20/$B$2</f>
        <v>2.5</v>
      </c>
      <c r="AB21">
        <f>SYSCLK!BA20/$B$2</f>
        <v>2.2727272727272729</v>
      </c>
      <c r="AC21">
        <f>SYSCLK!BB20/$B$2</f>
        <v>2.083333333333333</v>
      </c>
      <c r="AD21">
        <f>SYSCLK!BC20/$B$2</f>
        <v>1.9230769230769231</v>
      </c>
      <c r="AE21">
        <f>SYSCLK!BD20/$B$2</f>
        <v>1.7857142857142856</v>
      </c>
      <c r="AF21">
        <f>SYSCLK!BE20/$B$2</f>
        <v>1.6666666666666667</v>
      </c>
      <c r="AG21" s="118">
        <f>SYSCLK!BF20/$B$2</f>
        <v>1.5625</v>
      </c>
      <c r="AH21">
        <f>SYSCLK!BG20/$B$2</f>
        <v>16.666666666666668</v>
      </c>
      <c r="AI21">
        <f>SYSCLK!BH20/$B$2</f>
        <v>8.3333333333333339</v>
      </c>
      <c r="AJ21">
        <f>SYSCLK!BI20/$B$2</f>
        <v>5.5555555555555545</v>
      </c>
      <c r="AK21">
        <f>SYSCLK!BJ20/$B$2</f>
        <v>4.166666666666667</v>
      </c>
      <c r="AL21">
        <f>SYSCLK!BK20/$B$2</f>
        <v>3.3333333333333335</v>
      </c>
      <c r="AM21">
        <f>SYSCLK!BL20/$B$2</f>
        <v>2.7777777777777772</v>
      </c>
      <c r="AN21">
        <f>SYSCLK!BM20/$B$2</f>
        <v>2.3809523809523809</v>
      </c>
      <c r="AO21">
        <f>SYSCLK!BN20/$B$2</f>
        <v>2.0833333333333335</v>
      </c>
      <c r="AP21">
        <f>SYSCLK!BO20/$B$2</f>
        <v>1.8518518518518519</v>
      </c>
      <c r="AQ21">
        <f>SYSCLK!BP20/$B$2</f>
        <v>1.6666666666666667</v>
      </c>
      <c r="AR21">
        <f>SYSCLK!BQ20/$B$2</f>
        <v>1.5151515151515154</v>
      </c>
      <c r="AS21">
        <f>SYSCLK!BR20/$B$2</f>
        <v>1.3888888888888886</v>
      </c>
      <c r="AT21">
        <f>SYSCLK!BS20/$B$2</f>
        <v>1.2820512820512822</v>
      </c>
      <c r="AU21">
        <f>SYSCLK!BT20/$B$2</f>
        <v>1.1904761904761905</v>
      </c>
      <c r="AV21">
        <f>SYSCLK!BU20/$B$2</f>
        <v>1.1111111111111112</v>
      </c>
      <c r="AW21">
        <f>SYSCLK!BV20/$B$2</f>
        <v>1.0416666666666667</v>
      </c>
      <c r="AX21" s="117">
        <f>SYSCLK!BW20/$B$2</f>
        <v>12.5</v>
      </c>
      <c r="AY21">
        <f>SYSCLK!BX20/$B$2</f>
        <v>6.25</v>
      </c>
      <c r="AZ21">
        <f>SYSCLK!BY20/$B$2</f>
        <v>4.1666666666666661</v>
      </c>
      <c r="BA21">
        <f>SYSCLK!BZ20/$B$2</f>
        <v>3.125</v>
      </c>
      <c r="BB21">
        <f>SYSCLK!CA20/$B$2</f>
        <v>2.5</v>
      </c>
      <c r="BC21">
        <f>SYSCLK!CB20/$B$2</f>
        <v>2.083333333333333</v>
      </c>
      <c r="BD21">
        <f>SYSCLK!CC20/$B$2</f>
        <v>1.7857142857142856</v>
      </c>
      <c r="BE21">
        <f>SYSCLK!CD20/$B$2</f>
        <v>1.5625</v>
      </c>
      <c r="BF21">
        <f>SYSCLK!CE20/$B$2</f>
        <v>1.3888888888888888</v>
      </c>
      <c r="BG21">
        <f>SYSCLK!CF20/$B$2</f>
        <v>1.25</v>
      </c>
      <c r="BH21">
        <f>SYSCLK!CG20/$B$2</f>
        <v>1.1363636363636365</v>
      </c>
      <c r="BI21">
        <f>SYSCLK!CH20/$B$2</f>
        <v>1.0416666666666665</v>
      </c>
      <c r="BJ21">
        <f>SYSCLK!CI20/$B$2</f>
        <v>0.96153846153846156</v>
      </c>
      <c r="BK21">
        <f>SYSCLK!CJ20/$B$2</f>
        <v>0.89285714285714279</v>
      </c>
      <c r="BL21">
        <f>SYSCLK!CK20/$B$2</f>
        <v>0.83333333333333337</v>
      </c>
      <c r="BM21">
        <f>SYSCLK!CL20/$B$2</f>
        <v>0.78125</v>
      </c>
    </row>
    <row r="22" spans="2:65">
      <c r="B22">
        <f>SYSCLK!AA21/$B$2</f>
        <v>0</v>
      </c>
      <c r="C22">
        <f>SYSCLK!AB21/$B$2</f>
        <v>26</v>
      </c>
      <c r="D22">
        <f>SYSCLK!AC21/$B$2</f>
        <v>17.333333333333332</v>
      </c>
      <c r="E22">
        <f>SYSCLK!AD21/$B$2</f>
        <v>13</v>
      </c>
      <c r="F22">
        <f>SYSCLK!AE21/$B$2</f>
        <v>10.4</v>
      </c>
      <c r="G22">
        <f>SYSCLK!AF21/$B$2</f>
        <v>8.6666666666666661</v>
      </c>
      <c r="H22">
        <f>SYSCLK!AG21/$B$2</f>
        <v>7.4285714285714279</v>
      </c>
      <c r="I22">
        <f>SYSCLK!AH21/$B$2</f>
        <v>6.5</v>
      </c>
      <c r="J22">
        <f>SYSCLK!AI21/$B$2</f>
        <v>5.7777777777777777</v>
      </c>
      <c r="K22">
        <f>SYSCLK!AJ21/$B$2</f>
        <v>5.2</v>
      </c>
      <c r="L22">
        <f>SYSCLK!AK21/$B$2</f>
        <v>4.7272727272727275</v>
      </c>
      <c r="M22">
        <f>SYSCLK!AL21/$B$2</f>
        <v>4.333333333333333</v>
      </c>
      <c r="N22">
        <f>SYSCLK!AM21/$B$2</f>
        <v>4</v>
      </c>
      <c r="O22">
        <f>SYSCLK!AN21/$B$2</f>
        <v>3.714285714285714</v>
      </c>
      <c r="P22">
        <f>SYSCLK!AO21/$B$2</f>
        <v>3.4666666666666668</v>
      </c>
      <c r="Q22">
        <f>SYSCLK!AP21/$B$2</f>
        <v>3.25</v>
      </c>
      <c r="R22" s="117">
        <f>SYSCLK!AQ21/$B$2</f>
        <v>26</v>
      </c>
      <c r="S22">
        <f>SYSCLK!AR21/$B$2</f>
        <v>13</v>
      </c>
      <c r="T22">
        <f>SYSCLK!AS21/$B$2</f>
        <v>8.6666666666666661</v>
      </c>
      <c r="U22">
        <f>SYSCLK!AT21/$B$2</f>
        <v>6.5</v>
      </c>
      <c r="V22">
        <f>SYSCLK!AU21/$B$2</f>
        <v>5.2</v>
      </c>
      <c r="W22">
        <f>SYSCLK!AV21/$B$2</f>
        <v>4.333333333333333</v>
      </c>
      <c r="X22">
        <f>SYSCLK!AW21/$B$2</f>
        <v>3.714285714285714</v>
      </c>
      <c r="Y22">
        <f>SYSCLK!AX21/$B$2</f>
        <v>3.25</v>
      </c>
      <c r="Z22">
        <f>SYSCLK!AY21/$B$2</f>
        <v>2.8888888888888888</v>
      </c>
      <c r="AA22">
        <f>SYSCLK!AZ21/$B$2</f>
        <v>2.6</v>
      </c>
      <c r="AB22">
        <f>SYSCLK!BA21/$B$2</f>
        <v>2.3636363636363638</v>
      </c>
      <c r="AC22">
        <f>SYSCLK!BB21/$B$2</f>
        <v>2.1666666666666665</v>
      </c>
      <c r="AD22">
        <f>SYSCLK!BC21/$B$2</f>
        <v>2</v>
      </c>
      <c r="AE22">
        <f>SYSCLK!BD21/$B$2</f>
        <v>1.857142857142857</v>
      </c>
      <c r="AF22">
        <f>SYSCLK!BE21/$B$2</f>
        <v>1.7333333333333334</v>
      </c>
      <c r="AG22" s="118">
        <f>SYSCLK!BF21/$B$2</f>
        <v>1.625</v>
      </c>
      <c r="AH22">
        <f>SYSCLK!BG21/$B$2</f>
        <v>17.333333333333332</v>
      </c>
      <c r="AI22">
        <f>SYSCLK!BH21/$B$2</f>
        <v>8.6666666666666661</v>
      </c>
      <c r="AJ22">
        <f>SYSCLK!BI21/$B$2</f>
        <v>5.7777777777777777</v>
      </c>
      <c r="AK22">
        <f>SYSCLK!BJ21/$B$2</f>
        <v>4.333333333333333</v>
      </c>
      <c r="AL22">
        <f>SYSCLK!BK21/$B$2</f>
        <v>3.4666666666666668</v>
      </c>
      <c r="AM22">
        <f>SYSCLK!BL21/$B$2</f>
        <v>2.8888888888888888</v>
      </c>
      <c r="AN22">
        <f>SYSCLK!BM21/$B$2</f>
        <v>2.4761904761904758</v>
      </c>
      <c r="AO22">
        <f>SYSCLK!BN21/$B$2</f>
        <v>2.1666666666666665</v>
      </c>
      <c r="AP22">
        <f>SYSCLK!BO21/$B$2</f>
        <v>1.9259259259259258</v>
      </c>
      <c r="AQ22">
        <f>SYSCLK!BP21/$B$2</f>
        <v>1.7333333333333334</v>
      </c>
      <c r="AR22">
        <f>SYSCLK!BQ21/$B$2</f>
        <v>1.5757575757575759</v>
      </c>
      <c r="AS22">
        <f>SYSCLK!BR21/$B$2</f>
        <v>1.4444444444444444</v>
      </c>
      <c r="AT22">
        <f>SYSCLK!BS21/$B$2</f>
        <v>1.3333333333333333</v>
      </c>
      <c r="AU22">
        <f>SYSCLK!BT21/$B$2</f>
        <v>1.2380952380952379</v>
      </c>
      <c r="AV22">
        <f>SYSCLK!BU21/$B$2</f>
        <v>1.1555555555555557</v>
      </c>
      <c r="AW22">
        <f>SYSCLK!BV21/$B$2</f>
        <v>1.0833333333333333</v>
      </c>
      <c r="AX22" s="117">
        <f>SYSCLK!BW21/$B$2</f>
        <v>13</v>
      </c>
      <c r="AY22">
        <f>SYSCLK!BX21/$B$2</f>
        <v>6.5</v>
      </c>
      <c r="AZ22">
        <f>SYSCLK!BY21/$B$2</f>
        <v>4.333333333333333</v>
      </c>
      <c r="BA22">
        <f>SYSCLK!BZ21/$B$2</f>
        <v>3.25</v>
      </c>
      <c r="BB22">
        <f>SYSCLK!CA21/$B$2</f>
        <v>2.6</v>
      </c>
      <c r="BC22">
        <f>SYSCLK!CB21/$B$2</f>
        <v>2.1666666666666665</v>
      </c>
      <c r="BD22">
        <f>SYSCLK!CC21/$B$2</f>
        <v>1.857142857142857</v>
      </c>
      <c r="BE22">
        <f>SYSCLK!CD21/$B$2</f>
        <v>1.625</v>
      </c>
      <c r="BF22">
        <f>SYSCLK!CE21/$B$2</f>
        <v>1.4444444444444444</v>
      </c>
      <c r="BG22">
        <f>SYSCLK!CF21/$B$2</f>
        <v>1.3</v>
      </c>
      <c r="BH22">
        <f>SYSCLK!CG21/$B$2</f>
        <v>1.1818181818181819</v>
      </c>
      <c r="BI22">
        <f>SYSCLK!CH21/$B$2</f>
        <v>1.0833333333333333</v>
      </c>
      <c r="BJ22">
        <f>SYSCLK!CI21/$B$2</f>
        <v>1</v>
      </c>
      <c r="BK22">
        <f>SYSCLK!CJ21/$B$2</f>
        <v>0.92857142857142849</v>
      </c>
      <c r="BL22">
        <f>SYSCLK!CK21/$B$2</f>
        <v>0.8666666666666667</v>
      </c>
      <c r="BM22">
        <f>SYSCLK!CL21/$B$2</f>
        <v>0.8125</v>
      </c>
    </row>
    <row r="23" spans="2:65">
      <c r="B23">
        <f>SYSCLK!AA22/$B$2</f>
        <v>0</v>
      </c>
      <c r="C23">
        <f>SYSCLK!AB22/$B$2</f>
        <v>27</v>
      </c>
      <c r="D23">
        <f>SYSCLK!AC22/$B$2</f>
        <v>18</v>
      </c>
      <c r="E23">
        <f>SYSCLK!AD22/$B$2</f>
        <v>13.5</v>
      </c>
      <c r="F23">
        <f>SYSCLK!AE22/$B$2</f>
        <v>10.8</v>
      </c>
      <c r="G23">
        <f>SYSCLK!AF22/$B$2</f>
        <v>9</v>
      </c>
      <c r="H23">
        <f>SYSCLK!AG22/$B$2</f>
        <v>7.7142857142857135</v>
      </c>
      <c r="I23">
        <f>SYSCLK!AH22/$B$2</f>
        <v>6.75</v>
      </c>
      <c r="J23">
        <f>SYSCLK!AI22/$B$2</f>
        <v>6</v>
      </c>
      <c r="K23">
        <f>SYSCLK!AJ22/$B$2</f>
        <v>5.4</v>
      </c>
      <c r="L23">
        <f>SYSCLK!AK22/$B$2</f>
        <v>4.9090909090909092</v>
      </c>
      <c r="M23">
        <f>SYSCLK!AL22/$B$2</f>
        <v>4.5</v>
      </c>
      <c r="N23">
        <f>SYSCLK!AM22/$B$2</f>
        <v>4.1538461538461542</v>
      </c>
      <c r="O23">
        <f>SYSCLK!AN22/$B$2</f>
        <v>3.8571428571428568</v>
      </c>
      <c r="P23">
        <f>SYSCLK!AO22/$B$2</f>
        <v>3.6</v>
      </c>
      <c r="Q23">
        <f>SYSCLK!AP22/$B$2</f>
        <v>3.375</v>
      </c>
      <c r="R23" s="117">
        <f>SYSCLK!AQ22/$B$2</f>
        <v>27</v>
      </c>
      <c r="S23">
        <f>SYSCLK!AR22/$B$2</f>
        <v>13.5</v>
      </c>
      <c r="T23">
        <f>SYSCLK!AS22/$B$2</f>
        <v>9</v>
      </c>
      <c r="U23">
        <f>SYSCLK!AT22/$B$2</f>
        <v>6.75</v>
      </c>
      <c r="V23">
        <f>SYSCLK!AU22/$B$2</f>
        <v>5.4</v>
      </c>
      <c r="W23">
        <f>SYSCLK!AV22/$B$2</f>
        <v>4.5</v>
      </c>
      <c r="X23">
        <f>SYSCLK!AW22/$B$2</f>
        <v>3.8571428571428568</v>
      </c>
      <c r="Y23">
        <f>SYSCLK!AX22/$B$2</f>
        <v>3.375</v>
      </c>
      <c r="Z23">
        <f>SYSCLK!AY22/$B$2</f>
        <v>3</v>
      </c>
      <c r="AA23">
        <f>SYSCLK!AZ22/$B$2</f>
        <v>2.7</v>
      </c>
      <c r="AB23">
        <f>SYSCLK!BA22/$B$2</f>
        <v>2.4545454545454546</v>
      </c>
      <c r="AC23">
        <f>SYSCLK!BB22/$B$2</f>
        <v>2.25</v>
      </c>
      <c r="AD23">
        <f>SYSCLK!BC22/$B$2</f>
        <v>2.0769230769230771</v>
      </c>
      <c r="AE23">
        <f>SYSCLK!BD22/$B$2</f>
        <v>1.9285714285714284</v>
      </c>
      <c r="AF23">
        <f>SYSCLK!BE22/$B$2</f>
        <v>1.8</v>
      </c>
      <c r="AG23" s="118">
        <f>SYSCLK!BF22/$B$2</f>
        <v>1.6875</v>
      </c>
      <c r="AH23">
        <f>SYSCLK!BG22/$B$2</f>
        <v>18</v>
      </c>
      <c r="AI23">
        <f>SYSCLK!BH22/$B$2</f>
        <v>9</v>
      </c>
      <c r="AJ23">
        <f>SYSCLK!BI22/$B$2</f>
        <v>6</v>
      </c>
      <c r="AK23">
        <f>SYSCLK!BJ22/$B$2</f>
        <v>4.5</v>
      </c>
      <c r="AL23">
        <f>SYSCLK!BK22/$B$2</f>
        <v>3.6</v>
      </c>
      <c r="AM23">
        <f>SYSCLK!BL22/$B$2</f>
        <v>3</v>
      </c>
      <c r="AN23">
        <f>SYSCLK!BM22/$B$2</f>
        <v>2.5714285714285712</v>
      </c>
      <c r="AO23">
        <f>SYSCLK!BN22/$B$2</f>
        <v>2.25</v>
      </c>
      <c r="AP23">
        <f>SYSCLK!BO22/$B$2</f>
        <v>2</v>
      </c>
      <c r="AQ23">
        <f>SYSCLK!BP22/$B$2</f>
        <v>1.8</v>
      </c>
      <c r="AR23">
        <f>SYSCLK!BQ22/$B$2</f>
        <v>1.6363636363636365</v>
      </c>
      <c r="AS23">
        <f>SYSCLK!BR22/$B$2</f>
        <v>1.5</v>
      </c>
      <c r="AT23">
        <f>SYSCLK!BS22/$B$2</f>
        <v>1.3846153846153848</v>
      </c>
      <c r="AU23">
        <f>SYSCLK!BT22/$B$2</f>
        <v>1.2857142857142856</v>
      </c>
      <c r="AV23">
        <f>SYSCLK!BU22/$B$2</f>
        <v>1.2</v>
      </c>
      <c r="AW23">
        <f>SYSCLK!BV22/$B$2</f>
        <v>1.125</v>
      </c>
      <c r="AX23" s="117">
        <f>SYSCLK!BW22/$B$2</f>
        <v>13.5</v>
      </c>
      <c r="AY23">
        <f>SYSCLK!BX22/$B$2</f>
        <v>6.75</v>
      </c>
      <c r="AZ23">
        <f>SYSCLK!BY22/$B$2</f>
        <v>4.5</v>
      </c>
      <c r="BA23">
        <f>SYSCLK!BZ22/$B$2</f>
        <v>3.375</v>
      </c>
      <c r="BB23">
        <f>SYSCLK!CA22/$B$2</f>
        <v>2.7</v>
      </c>
      <c r="BC23">
        <f>SYSCLK!CB22/$B$2</f>
        <v>2.25</v>
      </c>
      <c r="BD23">
        <f>SYSCLK!CC22/$B$2</f>
        <v>1.9285714285714284</v>
      </c>
      <c r="BE23">
        <f>SYSCLK!CD22/$B$2</f>
        <v>1.6875</v>
      </c>
      <c r="BF23">
        <f>SYSCLK!CE22/$B$2</f>
        <v>1.5</v>
      </c>
      <c r="BG23">
        <f>SYSCLK!CF22/$B$2</f>
        <v>1.35</v>
      </c>
      <c r="BH23">
        <f>SYSCLK!CG22/$B$2</f>
        <v>1.2272727272727273</v>
      </c>
      <c r="BI23">
        <f>SYSCLK!CH22/$B$2</f>
        <v>1.125</v>
      </c>
      <c r="BJ23">
        <f>SYSCLK!CI22/$B$2</f>
        <v>1.0384615384615385</v>
      </c>
      <c r="BK23">
        <f>SYSCLK!CJ22/$B$2</f>
        <v>0.96428571428571419</v>
      </c>
      <c r="BL23">
        <f>SYSCLK!CK22/$B$2</f>
        <v>0.9</v>
      </c>
      <c r="BM23">
        <f>SYSCLK!CL22/$B$2</f>
        <v>0.84375</v>
      </c>
    </row>
    <row r="24" spans="2:65">
      <c r="B24">
        <f>SYSCLK!AA23/$B$2</f>
        <v>0</v>
      </c>
      <c r="C24">
        <f>SYSCLK!AB23/$B$2</f>
        <v>28</v>
      </c>
      <c r="D24">
        <f>SYSCLK!AC23/$B$2</f>
        <v>18.666666666666664</v>
      </c>
      <c r="E24">
        <f>SYSCLK!AD23/$B$2</f>
        <v>14</v>
      </c>
      <c r="F24">
        <f>SYSCLK!AE23/$B$2</f>
        <v>11.200000000000001</v>
      </c>
      <c r="G24">
        <f>SYSCLK!AF23/$B$2</f>
        <v>9.3333333333333321</v>
      </c>
      <c r="H24">
        <f>SYSCLK!AG23/$B$2</f>
        <v>8</v>
      </c>
      <c r="I24">
        <f>SYSCLK!AH23/$B$2</f>
        <v>7</v>
      </c>
      <c r="J24">
        <f>SYSCLK!AI23/$B$2</f>
        <v>6.2222222222222214</v>
      </c>
      <c r="K24">
        <f>SYSCLK!AJ23/$B$2</f>
        <v>5.6000000000000005</v>
      </c>
      <c r="L24">
        <f>SYSCLK!AK23/$B$2</f>
        <v>5.0909090909090908</v>
      </c>
      <c r="M24">
        <f>SYSCLK!AL23/$B$2</f>
        <v>4.6666666666666661</v>
      </c>
      <c r="N24">
        <f>SYSCLK!AM23/$B$2</f>
        <v>4.3076923076923084</v>
      </c>
      <c r="O24">
        <f>SYSCLK!AN23/$B$2</f>
        <v>4</v>
      </c>
      <c r="P24">
        <f>SYSCLK!AO23/$B$2</f>
        <v>3.7333333333333334</v>
      </c>
      <c r="Q24">
        <f>SYSCLK!AP23/$B$2</f>
        <v>3.5</v>
      </c>
      <c r="R24" s="117">
        <f>SYSCLK!AQ23/$B$2</f>
        <v>28</v>
      </c>
      <c r="S24">
        <f>SYSCLK!AR23/$B$2</f>
        <v>14</v>
      </c>
      <c r="T24">
        <f>SYSCLK!AS23/$B$2</f>
        <v>9.3333333333333321</v>
      </c>
      <c r="U24">
        <f>SYSCLK!AT23/$B$2</f>
        <v>7</v>
      </c>
      <c r="V24">
        <f>SYSCLK!AU23/$B$2</f>
        <v>5.6000000000000005</v>
      </c>
      <c r="W24">
        <f>SYSCLK!AV23/$B$2</f>
        <v>4.6666666666666661</v>
      </c>
      <c r="X24">
        <f>SYSCLK!AW23/$B$2</f>
        <v>4</v>
      </c>
      <c r="Y24">
        <f>SYSCLK!AX23/$B$2</f>
        <v>3.5</v>
      </c>
      <c r="Z24">
        <f>SYSCLK!AY23/$B$2</f>
        <v>3.1111111111111107</v>
      </c>
      <c r="AA24">
        <f>SYSCLK!AZ23/$B$2</f>
        <v>2.8000000000000003</v>
      </c>
      <c r="AB24">
        <f>SYSCLK!BA23/$B$2</f>
        <v>2.5454545454545454</v>
      </c>
      <c r="AC24">
        <f>SYSCLK!BB23/$B$2</f>
        <v>2.333333333333333</v>
      </c>
      <c r="AD24">
        <f>SYSCLK!BC23/$B$2</f>
        <v>2.1538461538461542</v>
      </c>
      <c r="AE24">
        <f>SYSCLK!BD23/$B$2</f>
        <v>2</v>
      </c>
      <c r="AF24">
        <f>SYSCLK!BE23/$B$2</f>
        <v>1.8666666666666667</v>
      </c>
      <c r="AG24" s="118">
        <f>SYSCLK!BF23/$B$2</f>
        <v>1.75</v>
      </c>
      <c r="AH24">
        <f>SYSCLK!BG23/$B$2</f>
        <v>18.666666666666668</v>
      </c>
      <c r="AI24">
        <f>SYSCLK!BH23/$B$2</f>
        <v>9.3333333333333339</v>
      </c>
      <c r="AJ24">
        <f>SYSCLK!BI23/$B$2</f>
        <v>6.2222222222222214</v>
      </c>
      <c r="AK24">
        <f>SYSCLK!BJ23/$B$2</f>
        <v>4.666666666666667</v>
      </c>
      <c r="AL24">
        <f>SYSCLK!BK23/$B$2</f>
        <v>3.7333333333333338</v>
      </c>
      <c r="AM24">
        <f>SYSCLK!BL23/$B$2</f>
        <v>3.1111111111111107</v>
      </c>
      <c r="AN24">
        <f>SYSCLK!BM23/$B$2</f>
        <v>2.6666666666666665</v>
      </c>
      <c r="AO24">
        <f>SYSCLK!BN23/$B$2</f>
        <v>2.3333333333333335</v>
      </c>
      <c r="AP24">
        <f>SYSCLK!BO23/$B$2</f>
        <v>2.074074074074074</v>
      </c>
      <c r="AQ24">
        <f>SYSCLK!BP23/$B$2</f>
        <v>1.8666666666666669</v>
      </c>
      <c r="AR24">
        <f>SYSCLK!BQ23/$B$2</f>
        <v>1.696969696969697</v>
      </c>
      <c r="AS24">
        <f>SYSCLK!BR23/$B$2</f>
        <v>1.5555555555555554</v>
      </c>
      <c r="AT24">
        <f>SYSCLK!BS23/$B$2</f>
        <v>1.4358974358974361</v>
      </c>
      <c r="AU24">
        <f>SYSCLK!BT23/$B$2</f>
        <v>1.3333333333333333</v>
      </c>
      <c r="AV24">
        <f>SYSCLK!BU23/$B$2</f>
        <v>1.2444444444444445</v>
      </c>
      <c r="AW24">
        <f>SYSCLK!BV23/$B$2</f>
        <v>1.1666666666666667</v>
      </c>
      <c r="AX24" s="117">
        <f>SYSCLK!BW23/$B$2</f>
        <v>14</v>
      </c>
      <c r="AY24">
        <f>SYSCLK!BX23/$B$2</f>
        <v>7</v>
      </c>
      <c r="AZ24">
        <f>SYSCLK!BY23/$B$2</f>
        <v>4.6666666666666661</v>
      </c>
      <c r="BA24">
        <f>SYSCLK!BZ23/$B$2</f>
        <v>3.5</v>
      </c>
      <c r="BB24">
        <f>SYSCLK!CA23/$B$2</f>
        <v>2.8000000000000003</v>
      </c>
      <c r="BC24">
        <f>SYSCLK!CB23/$B$2</f>
        <v>2.333333333333333</v>
      </c>
      <c r="BD24">
        <f>SYSCLK!CC23/$B$2</f>
        <v>2</v>
      </c>
      <c r="BE24">
        <f>SYSCLK!CD23/$B$2</f>
        <v>1.75</v>
      </c>
      <c r="BF24">
        <f>SYSCLK!CE23/$B$2</f>
        <v>1.5555555555555554</v>
      </c>
      <c r="BG24">
        <f>SYSCLK!CF23/$B$2</f>
        <v>1.4000000000000001</v>
      </c>
      <c r="BH24">
        <f>SYSCLK!CG23/$B$2</f>
        <v>1.2727272727272727</v>
      </c>
      <c r="BI24">
        <f>SYSCLK!CH23/$B$2</f>
        <v>1.1666666666666665</v>
      </c>
      <c r="BJ24">
        <f>SYSCLK!CI23/$B$2</f>
        <v>1.0769230769230771</v>
      </c>
      <c r="BK24">
        <f>SYSCLK!CJ23/$B$2</f>
        <v>1</v>
      </c>
      <c r="BL24">
        <f>SYSCLK!CK23/$B$2</f>
        <v>0.93333333333333335</v>
      </c>
      <c r="BM24">
        <f>SYSCLK!CL23/$B$2</f>
        <v>0.875</v>
      </c>
    </row>
    <row r="25" spans="2:65">
      <c r="B25">
        <f>SYSCLK!AA24/$B$2</f>
        <v>0</v>
      </c>
      <c r="C25">
        <f>SYSCLK!AB24/$B$2</f>
        <v>29</v>
      </c>
      <c r="D25">
        <f>SYSCLK!AC24/$B$2</f>
        <v>19.333333333333332</v>
      </c>
      <c r="E25">
        <f>SYSCLK!AD24/$B$2</f>
        <v>14.5</v>
      </c>
      <c r="F25">
        <f>SYSCLK!AE24/$B$2</f>
        <v>11.600000000000001</v>
      </c>
      <c r="G25">
        <f>SYSCLK!AF24/$B$2</f>
        <v>9.6666666666666661</v>
      </c>
      <c r="H25">
        <f>SYSCLK!AG24/$B$2</f>
        <v>8.2857142857142847</v>
      </c>
      <c r="I25">
        <f>SYSCLK!AH24/$B$2</f>
        <v>7.25</v>
      </c>
      <c r="J25">
        <f>SYSCLK!AI24/$B$2</f>
        <v>6.4444444444444438</v>
      </c>
      <c r="K25">
        <f>SYSCLK!AJ24/$B$2</f>
        <v>5.8000000000000007</v>
      </c>
      <c r="L25">
        <f>SYSCLK!AK24/$B$2</f>
        <v>5.2727272727272725</v>
      </c>
      <c r="M25">
        <f>SYSCLK!AL24/$B$2</f>
        <v>4.833333333333333</v>
      </c>
      <c r="N25">
        <f>SYSCLK!AM24/$B$2</f>
        <v>4.4615384615384617</v>
      </c>
      <c r="O25">
        <f>SYSCLK!AN24/$B$2</f>
        <v>4.1428571428571423</v>
      </c>
      <c r="P25">
        <f>SYSCLK!AO24/$B$2</f>
        <v>3.8666666666666667</v>
      </c>
      <c r="Q25">
        <f>SYSCLK!AP24/$B$2</f>
        <v>3.625</v>
      </c>
      <c r="R25" s="117">
        <f>SYSCLK!AQ24/$B$2</f>
        <v>29</v>
      </c>
      <c r="S25">
        <f>SYSCLK!AR24/$B$2</f>
        <v>14.5</v>
      </c>
      <c r="T25">
        <f>SYSCLK!AS24/$B$2</f>
        <v>9.6666666666666661</v>
      </c>
      <c r="U25">
        <f>SYSCLK!AT24/$B$2</f>
        <v>7.25</v>
      </c>
      <c r="V25">
        <f>SYSCLK!AU24/$B$2</f>
        <v>5.8000000000000007</v>
      </c>
      <c r="W25">
        <f>SYSCLK!AV24/$B$2</f>
        <v>4.833333333333333</v>
      </c>
      <c r="X25">
        <f>SYSCLK!AW24/$B$2</f>
        <v>4.1428571428571423</v>
      </c>
      <c r="Y25">
        <f>SYSCLK!AX24/$B$2</f>
        <v>3.625</v>
      </c>
      <c r="Z25">
        <f>SYSCLK!AY24/$B$2</f>
        <v>3.2222222222222219</v>
      </c>
      <c r="AA25">
        <f>SYSCLK!AZ24/$B$2</f>
        <v>2.9000000000000004</v>
      </c>
      <c r="AB25">
        <f>SYSCLK!BA24/$B$2</f>
        <v>2.6363636363636362</v>
      </c>
      <c r="AC25">
        <f>SYSCLK!BB24/$B$2</f>
        <v>2.4166666666666665</v>
      </c>
      <c r="AD25">
        <f>SYSCLK!BC24/$B$2</f>
        <v>2.2307692307692308</v>
      </c>
      <c r="AE25">
        <f>SYSCLK!BD24/$B$2</f>
        <v>2.0714285714285712</v>
      </c>
      <c r="AF25">
        <f>SYSCLK!BE24/$B$2</f>
        <v>1.9333333333333333</v>
      </c>
      <c r="AG25" s="118">
        <f>SYSCLK!BF24/$B$2</f>
        <v>1.8125</v>
      </c>
      <c r="AH25">
        <f>SYSCLK!BG24/$B$2</f>
        <v>19.333333333333332</v>
      </c>
      <c r="AI25">
        <f>SYSCLK!BH24/$B$2</f>
        <v>9.6666666666666661</v>
      </c>
      <c r="AJ25">
        <f>SYSCLK!BI24/$B$2</f>
        <v>6.4444444444444438</v>
      </c>
      <c r="AK25">
        <f>SYSCLK!BJ24/$B$2</f>
        <v>4.833333333333333</v>
      </c>
      <c r="AL25">
        <f>SYSCLK!BK24/$B$2</f>
        <v>3.8666666666666671</v>
      </c>
      <c r="AM25">
        <f>SYSCLK!BL24/$B$2</f>
        <v>3.2222222222222219</v>
      </c>
      <c r="AN25">
        <f>SYSCLK!BM24/$B$2</f>
        <v>2.7619047619047614</v>
      </c>
      <c r="AO25">
        <f>SYSCLK!BN24/$B$2</f>
        <v>2.4166666666666665</v>
      </c>
      <c r="AP25">
        <f>SYSCLK!BO24/$B$2</f>
        <v>2.1481481481481479</v>
      </c>
      <c r="AQ25">
        <f>SYSCLK!BP24/$B$2</f>
        <v>1.9333333333333336</v>
      </c>
      <c r="AR25">
        <f>SYSCLK!BQ24/$B$2</f>
        <v>1.7575757575757576</v>
      </c>
      <c r="AS25">
        <f>SYSCLK!BR24/$B$2</f>
        <v>1.6111111111111109</v>
      </c>
      <c r="AT25">
        <f>SYSCLK!BS24/$B$2</f>
        <v>1.4871794871794872</v>
      </c>
      <c r="AU25">
        <f>SYSCLK!BT24/$B$2</f>
        <v>1.3809523809523807</v>
      </c>
      <c r="AV25">
        <f>SYSCLK!BU24/$B$2</f>
        <v>1.288888888888889</v>
      </c>
      <c r="AW25">
        <f>SYSCLK!BV24/$B$2</f>
        <v>1.2083333333333333</v>
      </c>
      <c r="AX25" s="117">
        <f>SYSCLK!BW24/$B$2</f>
        <v>14.5</v>
      </c>
      <c r="AY25">
        <f>SYSCLK!BX24/$B$2</f>
        <v>7.25</v>
      </c>
      <c r="AZ25">
        <f>SYSCLK!BY24/$B$2</f>
        <v>4.833333333333333</v>
      </c>
      <c r="BA25">
        <f>SYSCLK!BZ24/$B$2</f>
        <v>3.625</v>
      </c>
      <c r="BB25">
        <f>SYSCLK!CA24/$B$2</f>
        <v>2.9000000000000004</v>
      </c>
      <c r="BC25">
        <f>SYSCLK!CB24/$B$2</f>
        <v>2.4166666666666665</v>
      </c>
      <c r="BD25">
        <f>SYSCLK!CC24/$B$2</f>
        <v>2.0714285714285712</v>
      </c>
      <c r="BE25">
        <f>SYSCLK!CD24/$B$2</f>
        <v>1.8125</v>
      </c>
      <c r="BF25">
        <f>SYSCLK!CE24/$B$2</f>
        <v>1.6111111111111109</v>
      </c>
      <c r="BG25">
        <f>SYSCLK!CF24/$B$2</f>
        <v>1.4500000000000002</v>
      </c>
      <c r="BH25">
        <f>SYSCLK!CG24/$B$2</f>
        <v>1.3181818181818181</v>
      </c>
      <c r="BI25">
        <f>SYSCLK!CH24/$B$2</f>
        <v>1.2083333333333333</v>
      </c>
      <c r="BJ25">
        <f>SYSCLK!CI24/$B$2</f>
        <v>1.1153846153846154</v>
      </c>
      <c r="BK25">
        <f>SYSCLK!CJ24/$B$2</f>
        <v>1.0357142857142856</v>
      </c>
      <c r="BL25">
        <f>SYSCLK!CK24/$B$2</f>
        <v>0.96666666666666667</v>
      </c>
      <c r="BM25">
        <f>SYSCLK!CL24/$B$2</f>
        <v>0.90625</v>
      </c>
    </row>
    <row r="26" spans="2:65">
      <c r="B26">
        <f>SYSCLK!AA25/$B$2</f>
        <v>0</v>
      </c>
      <c r="C26">
        <f>SYSCLK!AB25/$B$2</f>
        <v>30</v>
      </c>
      <c r="D26">
        <f>SYSCLK!AC25/$B$2</f>
        <v>20</v>
      </c>
      <c r="E26">
        <f>SYSCLK!AD25/$B$2</f>
        <v>15</v>
      </c>
      <c r="F26">
        <f>SYSCLK!AE25/$B$2</f>
        <v>12</v>
      </c>
      <c r="G26">
        <f>SYSCLK!AF25/$B$2</f>
        <v>10</v>
      </c>
      <c r="H26">
        <f>SYSCLK!AG25/$B$2</f>
        <v>8.5714285714285712</v>
      </c>
      <c r="I26">
        <f>SYSCLK!AH25/$B$2</f>
        <v>7.5</v>
      </c>
      <c r="J26">
        <f>SYSCLK!AI25/$B$2</f>
        <v>6.6666666666666661</v>
      </c>
      <c r="K26">
        <f>SYSCLK!AJ25/$B$2</f>
        <v>6</v>
      </c>
      <c r="L26">
        <f>SYSCLK!AK25/$B$2</f>
        <v>5.454545454545455</v>
      </c>
      <c r="M26">
        <f>SYSCLK!AL25/$B$2</f>
        <v>5</v>
      </c>
      <c r="N26">
        <f>SYSCLK!AM25/$B$2</f>
        <v>4.6153846153846159</v>
      </c>
      <c r="O26">
        <f>SYSCLK!AN25/$B$2</f>
        <v>4.2857142857142856</v>
      </c>
      <c r="P26">
        <f>SYSCLK!AO25/$B$2</f>
        <v>4</v>
      </c>
      <c r="Q26">
        <f>SYSCLK!AP25/$B$2</f>
        <v>3.75</v>
      </c>
      <c r="R26" s="117">
        <f>SYSCLK!AQ25/$B$2</f>
        <v>30</v>
      </c>
      <c r="S26">
        <f>SYSCLK!AR25/$B$2</f>
        <v>15</v>
      </c>
      <c r="T26">
        <f>SYSCLK!AS25/$B$2</f>
        <v>10</v>
      </c>
      <c r="U26">
        <f>SYSCLK!AT25/$B$2</f>
        <v>7.5</v>
      </c>
      <c r="V26">
        <f>SYSCLK!AU25/$B$2</f>
        <v>6</v>
      </c>
      <c r="W26">
        <f>SYSCLK!AV25/$B$2</f>
        <v>5</v>
      </c>
      <c r="X26">
        <f>SYSCLK!AW25/$B$2</f>
        <v>4.2857142857142856</v>
      </c>
      <c r="Y26">
        <f>SYSCLK!AX25/$B$2</f>
        <v>3.75</v>
      </c>
      <c r="Z26">
        <f>SYSCLK!AY25/$B$2</f>
        <v>3.333333333333333</v>
      </c>
      <c r="AA26">
        <f>SYSCLK!AZ25/$B$2</f>
        <v>3</v>
      </c>
      <c r="AB26">
        <f>SYSCLK!BA25/$B$2</f>
        <v>2.7272727272727275</v>
      </c>
      <c r="AC26">
        <f>SYSCLK!BB25/$B$2</f>
        <v>2.5</v>
      </c>
      <c r="AD26">
        <f>SYSCLK!BC25/$B$2</f>
        <v>2.3076923076923079</v>
      </c>
      <c r="AE26">
        <f>SYSCLK!BD25/$B$2</f>
        <v>2.1428571428571428</v>
      </c>
      <c r="AF26">
        <f>SYSCLK!BE25/$B$2</f>
        <v>2</v>
      </c>
      <c r="AG26" s="118">
        <f>SYSCLK!BF25/$B$2</f>
        <v>1.875</v>
      </c>
      <c r="AH26">
        <f>SYSCLK!BG25/$B$2</f>
        <v>20</v>
      </c>
      <c r="AI26">
        <f>SYSCLK!BH25/$B$2</f>
        <v>10</v>
      </c>
      <c r="AJ26">
        <f>SYSCLK!BI25/$B$2</f>
        <v>6.666666666666667</v>
      </c>
      <c r="AK26">
        <f>SYSCLK!BJ25/$B$2</f>
        <v>5</v>
      </c>
      <c r="AL26">
        <f>SYSCLK!BK25/$B$2</f>
        <v>4</v>
      </c>
      <c r="AM26">
        <f>SYSCLK!BL25/$B$2</f>
        <v>3.3333333333333335</v>
      </c>
      <c r="AN26">
        <f>SYSCLK!BM25/$B$2</f>
        <v>2.8571428571428572</v>
      </c>
      <c r="AO26">
        <f>SYSCLK!BN25/$B$2</f>
        <v>2.5</v>
      </c>
      <c r="AP26">
        <f>SYSCLK!BO25/$B$2</f>
        <v>2.2222222222222219</v>
      </c>
      <c r="AQ26">
        <f>SYSCLK!BP25/$B$2</f>
        <v>2</v>
      </c>
      <c r="AR26">
        <f>SYSCLK!BQ25/$B$2</f>
        <v>1.8181818181818183</v>
      </c>
      <c r="AS26">
        <f>SYSCLK!BR25/$B$2</f>
        <v>1.6666666666666667</v>
      </c>
      <c r="AT26">
        <f>SYSCLK!BS25/$B$2</f>
        <v>1.5384615384615385</v>
      </c>
      <c r="AU26">
        <f>SYSCLK!BT25/$B$2</f>
        <v>1.4285714285714286</v>
      </c>
      <c r="AV26">
        <f>SYSCLK!BU25/$B$2</f>
        <v>1.3333333333333333</v>
      </c>
      <c r="AW26">
        <f>SYSCLK!BV25/$B$2</f>
        <v>1.25</v>
      </c>
      <c r="AX26" s="117">
        <f>SYSCLK!BW25/$B$2</f>
        <v>15</v>
      </c>
      <c r="AY26">
        <f>SYSCLK!BX25/$B$2</f>
        <v>7.5</v>
      </c>
      <c r="AZ26">
        <f>SYSCLK!BY25/$B$2</f>
        <v>5</v>
      </c>
      <c r="BA26">
        <f>SYSCLK!BZ25/$B$2</f>
        <v>3.75</v>
      </c>
      <c r="BB26">
        <f>SYSCLK!CA25/$B$2</f>
        <v>3</v>
      </c>
      <c r="BC26">
        <f>SYSCLK!CB25/$B$2</f>
        <v>2.5</v>
      </c>
      <c r="BD26">
        <f>SYSCLK!CC25/$B$2</f>
        <v>2.1428571428571428</v>
      </c>
      <c r="BE26">
        <f>SYSCLK!CD25/$B$2</f>
        <v>1.875</v>
      </c>
      <c r="BF26">
        <f>SYSCLK!CE25/$B$2</f>
        <v>1.6666666666666665</v>
      </c>
      <c r="BG26">
        <f>SYSCLK!CF25/$B$2</f>
        <v>1.5</v>
      </c>
      <c r="BH26">
        <f>SYSCLK!CG25/$B$2</f>
        <v>1.3636363636363638</v>
      </c>
      <c r="BI26">
        <f>SYSCLK!CH25/$B$2</f>
        <v>1.25</v>
      </c>
      <c r="BJ26">
        <f>SYSCLK!CI25/$B$2</f>
        <v>1.153846153846154</v>
      </c>
      <c r="BK26">
        <f>SYSCLK!CJ25/$B$2</f>
        <v>1.0714285714285714</v>
      </c>
      <c r="BL26">
        <f>SYSCLK!CK25/$B$2</f>
        <v>1</v>
      </c>
      <c r="BM26">
        <f>SYSCLK!CL25/$B$2</f>
        <v>0.9375</v>
      </c>
    </row>
    <row r="27" spans="2:65">
      <c r="B27">
        <f>SYSCLK!AA26/$B$2</f>
        <v>0</v>
      </c>
      <c r="C27">
        <f>SYSCLK!AB26/$B$2</f>
        <v>31</v>
      </c>
      <c r="D27">
        <f>SYSCLK!AC26/$B$2</f>
        <v>20.666666666666664</v>
      </c>
      <c r="E27">
        <f>SYSCLK!AD26/$B$2</f>
        <v>15.5</v>
      </c>
      <c r="F27">
        <f>SYSCLK!AE26/$B$2</f>
        <v>12.4</v>
      </c>
      <c r="G27">
        <f>SYSCLK!AF26/$B$2</f>
        <v>10.333333333333332</v>
      </c>
      <c r="H27">
        <f>SYSCLK!AG26/$B$2</f>
        <v>8.8571428571428559</v>
      </c>
      <c r="I27">
        <f>SYSCLK!AH26/$B$2</f>
        <v>7.75</v>
      </c>
      <c r="J27">
        <f>SYSCLK!AI26/$B$2</f>
        <v>6.8888888888888884</v>
      </c>
      <c r="K27">
        <f>SYSCLK!AJ26/$B$2</f>
        <v>6.2</v>
      </c>
      <c r="L27">
        <f>SYSCLK!AK26/$B$2</f>
        <v>5.6363636363636367</v>
      </c>
      <c r="M27">
        <f>SYSCLK!AL26/$B$2</f>
        <v>5.1666666666666661</v>
      </c>
      <c r="N27">
        <f>SYSCLK!AM26/$B$2</f>
        <v>4.7692307692307692</v>
      </c>
      <c r="O27">
        <f>SYSCLK!AN26/$B$2</f>
        <v>4.4285714285714279</v>
      </c>
      <c r="P27">
        <f>SYSCLK!AO26/$B$2</f>
        <v>4.1333333333333329</v>
      </c>
      <c r="Q27">
        <f>SYSCLK!AP26/$B$2</f>
        <v>3.875</v>
      </c>
      <c r="R27" s="117">
        <f>SYSCLK!AQ26/$B$2</f>
        <v>31</v>
      </c>
      <c r="S27">
        <f>SYSCLK!AR26/$B$2</f>
        <v>15.5</v>
      </c>
      <c r="T27">
        <f>SYSCLK!AS26/$B$2</f>
        <v>10.333333333333332</v>
      </c>
      <c r="U27">
        <f>SYSCLK!AT26/$B$2</f>
        <v>7.75</v>
      </c>
      <c r="V27">
        <f>SYSCLK!AU26/$B$2</f>
        <v>6.2</v>
      </c>
      <c r="W27">
        <f>SYSCLK!AV26/$B$2</f>
        <v>5.1666666666666661</v>
      </c>
      <c r="X27">
        <f>SYSCLK!AW26/$B$2</f>
        <v>4.4285714285714279</v>
      </c>
      <c r="Y27">
        <f>SYSCLK!AX26/$B$2</f>
        <v>3.875</v>
      </c>
      <c r="Z27">
        <f>SYSCLK!AY26/$B$2</f>
        <v>3.4444444444444442</v>
      </c>
      <c r="AA27">
        <f>SYSCLK!AZ26/$B$2</f>
        <v>3.1</v>
      </c>
      <c r="AB27">
        <f>SYSCLK!BA26/$B$2</f>
        <v>2.8181818181818183</v>
      </c>
      <c r="AC27">
        <f>SYSCLK!BB26/$B$2</f>
        <v>2.583333333333333</v>
      </c>
      <c r="AD27">
        <f>SYSCLK!BC26/$B$2</f>
        <v>2.3846153846153846</v>
      </c>
      <c r="AE27">
        <f>SYSCLK!BD26/$B$2</f>
        <v>2.214285714285714</v>
      </c>
      <c r="AF27">
        <f>SYSCLK!BE26/$B$2</f>
        <v>2.0666666666666664</v>
      </c>
      <c r="AG27" s="118">
        <f>SYSCLK!BF26/$B$2</f>
        <v>1.9375</v>
      </c>
      <c r="AH27">
        <f>SYSCLK!BG26/$B$2</f>
        <v>20.666666666666668</v>
      </c>
      <c r="AI27">
        <f>SYSCLK!BH26/$B$2</f>
        <v>10.333333333333334</v>
      </c>
      <c r="AJ27">
        <f>SYSCLK!BI26/$B$2</f>
        <v>6.8888888888888884</v>
      </c>
      <c r="AK27">
        <f>SYSCLK!BJ26/$B$2</f>
        <v>5.166666666666667</v>
      </c>
      <c r="AL27">
        <f>SYSCLK!BK26/$B$2</f>
        <v>4.1333333333333337</v>
      </c>
      <c r="AM27">
        <f>SYSCLK!BL26/$B$2</f>
        <v>3.4444444444444442</v>
      </c>
      <c r="AN27">
        <f>SYSCLK!BM26/$B$2</f>
        <v>2.9523809523809521</v>
      </c>
      <c r="AO27">
        <f>SYSCLK!BN26/$B$2</f>
        <v>2.5833333333333335</v>
      </c>
      <c r="AP27">
        <f>SYSCLK!BO26/$B$2</f>
        <v>2.2962962962962963</v>
      </c>
      <c r="AQ27">
        <f>SYSCLK!BP26/$B$2</f>
        <v>2.0666666666666669</v>
      </c>
      <c r="AR27">
        <f>SYSCLK!BQ26/$B$2</f>
        <v>1.8787878787878789</v>
      </c>
      <c r="AS27">
        <f>SYSCLK!BR26/$B$2</f>
        <v>1.7222222222222221</v>
      </c>
      <c r="AT27">
        <f>SYSCLK!BS26/$B$2</f>
        <v>1.5897435897435896</v>
      </c>
      <c r="AU27">
        <f>SYSCLK!BT26/$B$2</f>
        <v>1.4761904761904761</v>
      </c>
      <c r="AV27">
        <f>SYSCLK!BU26/$B$2</f>
        <v>1.3777777777777775</v>
      </c>
      <c r="AW27">
        <f>SYSCLK!BV26/$B$2</f>
        <v>1.2916666666666667</v>
      </c>
      <c r="AX27" s="117">
        <f>SYSCLK!BW26/$B$2</f>
        <v>15.5</v>
      </c>
      <c r="AY27">
        <f>SYSCLK!BX26/$B$2</f>
        <v>7.75</v>
      </c>
      <c r="AZ27">
        <f>SYSCLK!BY26/$B$2</f>
        <v>5.1666666666666661</v>
      </c>
      <c r="BA27">
        <f>SYSCLK!BZ26/$B$2</f>
        <v>3.875</v>
      </c>
      <c r="BB27">
        <f>SYSCLK!CA26/$B$2</f>
        <v>3.1</v>
      </c>
      <c r="BC27">
        <f>SYSCLK!CB26/$B$2</f>
        <v>2.583333333333333</v>
      </c>
      <c r="BD27">
        <f>SYSCLK!CC26/$B$2</f>
        <v>2.214285714285714</v>
      </c>
      <c r="BE27">
        <f>SYSCLK!CD26/$B$2</f>
        <v>1.9375</v>
      </c>
      <c r="BF27">
        <f>SYSCLK!CE26/$B$2</f>
        <v>1.7222222222222221</v>
      </c>
      <c r="BG27">
        <f>SYSCLK!CF26/$B$2</f>
        <v>1.55</v>
      </c>
      <c r="BH27">
        <f>SYSCLK!CG26/$B$2</f>
        <v>1.4090909090909092</v>
      </c>
      <c r="BI27">
        <f>SYSCLK!CH26/$B$2</f>
        <v>1.2916666666666665</v>
      </c>
      <c r="BJ27">
        <f>SYSCLK!CI26/$B$2</f>
        <v>1.1923076923076923</v>
      </c>
      <c r="BK27">
        <f>SYSCLK!CJ26/$B$2</f>
        <v>1.107142857142857</v>
      </c>
      <c r="BL27">
        <f>SYSCLK!CK26/$B$2</f>
        <v>1.0333333333333332</v>
      </c>
      <c r="BM27">
        <f>SYSCLK!CL26/$B$2</f>
        <v>0.96875</v>
      </c>
    </row>
    <row r="28" spans="2:65">
      <c r="B28">
        <f>SYSCLK!AA27/$B$2</f>
        <v>0</v>
      </c>
      <c r="C28">
        <f>SYSCLK!AB27/$B$2</f>
        <v>32</v>
      </c>
      <c r="D28">
        <f>SYSCLK!AC27/$B$2</f>
        <v>21.333333333333332</v>
      </c>
      <c r="E28">
        <f>SYSCLK!AD27/$B$2</f>
        <v>16</v>
      </c>
      <c r="F28">
        <f>SYSCLK!AE27/$B$2</f>
        <v>12.8</v>
      </c>
      <c r="G28">
        <f>SYSCLK!AF27/$B$2</f>
        <v>10.666666666666666</v>
      </c>
      <c r="H28">
        <f>SYSCLK!AG27/$B$2</f>
        <v>9.1428571428571423</v>
      </c>
      <c r="I28">
        <f>SYSCLK!AH27/$B$2</f>
        <v>8</v>
      </c>
      <c r="J28">
        <f>SYSCLK!AI27/$B$2</f>
        <v>7.1111111111111107</v>
      </c>
      <c r="K28">
        <f>SYSCLK!AJ27/$B$2</f>
        <v>6.4</v>
      </c>
      <c r="L28">
        <f>SYSCLK!AK27/$B$2</f>
        <v>5.8181818181818183</v>
      </c>
      <c r="M28">
        <f>SYSCLK!AL27/$B$2</f>
        <v>5.333333333333333</v>
      </c>
      <c r="N28">
        <f>SYSCLK!AM27/$B$2</f>
        <v>4.9230769230769234</v>
      </c>
      <c r="O28">
        <f>SYSCLK!AN27/$B$2</f>
        <v>4.5714285714285712</v>
      </c>
      <c r="P28">
        <f>SYSCLK!AO27/$B$2</f>
        <v>4.2666666666666666</v>
      </c>
      <c r="Q28">
        <f>SYSCLK!AP27/$B$2</f>
        <v>4</v>
      </c>
      <c r="R28" s="117">
        <f>SYSCLK!AQ27/$B$2</f>
        <v>32</v>
      </c>
      <c r="S28">
        <f>SYSCLK!AR27/$B$2</f>
        <v>16</v>
      </c>
      <c r="T28">
        <f>SYSCLK!AS27/$B$2</f>
        <v>10.666666666666666</v>
      </c>
      <c r="U28">
        <f>SYSCLK!AT27/$B$2</f>
        <v>8</v>
      </c>
      <c r="V28">
        <f>SYSCLK!AU27/$B$2</f>
        <v>6.4</v>
      </c>
      <c r="W28">
        <f>SYSCLK!AV27/$B$2</f>
        <v>5.333333333333333</v>
      </c>
      <c r="X28">
        <f>SYSCLK!AW27/$B$2</f>
        <v>4.5714285714285712</v>
      </c>
      <c r="Y28">
        <f>SYSCLK!AX27/$B$2</f>
        <v>4</v>
      </c>
      <c r="Z28">
        <f>SYSCLK!AY27/$B$2</f>
        <v>3.5555555555555554</v>
      </c>
      <c r="AA28">
        <f>SYSCLK!AZ27/$B$2</f>
        <v>3.2</v>
      </c>
      <c r="AB28">
        <f>SYSCLK!BA27/$B$2</f>
        <v>2.9090909090909092</v>
      </c>
      <c r="AC28">
        <f>SYSCLK!BB27/$B$2</f>
        <v>2.6666666666666665</v>
      </c>
      <c r="AD28">
        <f>SYSCLK!BC27/$B$2</f>
        <v>2.4615384615384617</v>
      </c>
      <c r="AE28">
        <f>SYSCLK!BD27/$B$2</f>
        <v>2.2857142857142856</v>
      </c>
      <c r="AF28">
        <f>SYSCLK!BE27/$B$2</f>
        <v>2.1333333333333333</v>
      </c>
      <c r="AG28" s="118">
        <f>SYSCLK!BF27/$B$2</f>
        <v>2</v>
      </c>
      <c r="AH28">
        <f>SYSCLK!BG27/$B$2</f>
        <v>21.333333333333332</v>
      </c>
      <c r="AI28">
        <f>SYSCLK!BH27/$B$2</f>
        <v>10.666666666666666</v>
      </c>
      <c r="AJ28">
        <f>SYSCLK!BI27/$B$2</f>
        <v>7.1111111111111107</v>
      </c>
      <c r="AK28">
        <f>SYSCLK!BJ27/$B$2</f>
        <v>5.333333333333333</v>
      </c>
      <c r="AL28">
        <f>SYSCLK!BK27/$B$2</f>
        <v>4.2666666666666666</v>
      </c>
      <c r="AM28">
        <f>SYSCLK!BL27/$B$2</f>
        <v>3.5555555555555554</v>
      </c>
      <c r="AN28">
        <f>SYSCLK!BM27/$B$2</f>
        <v>3.0476190476190474</v>
      </c>
      <c r="AO28">
        <f>SYSCLK!BN27/$B$2</f>
        <v>2.6666666666666665</v>
      </c>
      <c r="AP28">
        <f>SYSCLK!BO27/$B$2</f>
        <v>2.3703703703703702</v>
      </c>
      <c r="AQ28">
        <f>SYSCLK!BP27/$B$2</f>
        <v>2.1333333333333333</v>
      </c>
      <c r="AR28">
        <f>SYSCLK!BQ27/$B$2</f>
        <v>1.9393939393939394</v>
      </c>
      <c r="AS28">
        <f>SYSCLK!BR27/$B$2</f>
        <v>1.7777777777777777</v>
      </c>
      <c r="AT28">
        <f>SYSCLK!BS27/$B$2</f>
        <v>1.6410256410256412</v>
      </c>
      <c r="AU28">
        <f>SYSCLK!BT27/$B$2</f>
        <v>1.5238095238095237</v>
      </c>
      <c r="AV28">
        <f>SYSCLK!BU27/$B$2</f>
        <v>1.4222222222222223</v>
      </c>
      <c r="AW28">
        <f>SYSCLK!BV27/$B$2</f>
        <v>1.3333333333333333</v>
      </c>
      <c r="AX28" s="117">
        <f>SYSCLK!BW27/$B$2</f>
        <v>16</v>
      </c>
      <c r="AY28">
        <f>SYSCLK!BX27/$B$2</f>
        <v>8</v>
      </c>
      <c r="AZ28">
        <f>SYSCLK!BY27/$B$2</f>
        <v>5.333333333333333</v>
      </c>
      <c r="BA28">
        <f>SYSCLK!BZ27/$B$2</f>
        <v>4</v>
      </c>
      <c r="BB28">
        <f>SYSCLK!CA27/$B$2</f>
        <v>3.2</v>
      </c>
      <c r="BC28">
        <f>SYSCLK!CB27/$B$2</f>
        <v>2.6666666666666665</v>
      </c>
      <c r="BD28">
        <f>SYSCLK!CC27/$B$2</f>
        <v>2.2857142857142856</v>
      </c>
      <c r="BE28">
        <f>SYSCLK!CD27/$B$2</f>
        <v>2</v>
      </c>
      <c r="BF28">
        <f>SYSCLK!CE27/$B$2</f>
        <v>1.7777777777777777</v>
      </c>
      <c r="BG28">
        <f>SYSCLK!CF27/$B$2</f>
        <v>1.6</v>
      </c>
      <c r="BH28">
        <f>SYSCLK!CG27/$B$2</f>
        <v>1.4545454545454546</v>
      </c>
      <c r="BI28">
        <f>SYSCLK!CH27/$B$2</f>
        <v>1.3333333333333333</v>
      </c>
      <c r="BJ28">
        <f>SYSCLK!CI27/$B$2</f>
        <v>1.2307692307692308</v>
      </c>
      <c r="BK28">
        <f>SYSCLK!CJ27/$B$2</f>
        <v>1.1428571428571428</v>
      </c>
      <c r="BL28">
        <f>SYSCLK!CK27/$B$2</f>
        <v>1.0666666666666667</v>
      </c>
      <c r="BM28">
        <f>SYSCLK!CL27/$B$2</f>
        <v>1</v>
      </c>
    </row>
    <row r="29" spans="2:65">
      <c r="B29">
        <f>SYSCLK!AA28/$B$2</f>
        <v>0</v>
      </c>
      <c r="C29">
        <f>SYSCLK!AB28/$B$2</f>
        <v>33</v>
      </c>
      <c r="D29">
        <f>SYSCLK!AC28/$B$2</f>
        <v>22</v>
      </c>
      <c r="E29">
        <f>SYSCLK!AD28/$B$2</f>
        <v>16.5</v>
      </c>
      <c r="F29">
        <f>SYSCLK!AE28/$B$2</f>
        <v>13.200000000000001</v>
      </c>
      <c r="G29">
        <f>SYSCLK!AF28/$B$2</f>
        <v>11</v>
      </c>
      <c r="H29">
        <f>SYSCLK!AG28/$B$2</f>
        <v>9.4285714285714288</v>
      </c>
      <c r="I29">
        <f>SYSCLK!AH28/$B$2</f>
        <v>8.25</v>
      </c>
      <c r="J29">
        <f>SYSCLK!AI28/$B$2</f>
        <v>7.333333333333333</v>
      </c>
      <c r="K29">
        <f>SYSCLK!AJ28/$B$2</f>
        <v>6.6000000000000005</v>
      </c>
      <c r="L29">
        <f>SYSCLK!AK28/$B$2</f>
        <v>6</v>
      </c>
      <c r="M29">
        <f>SYSCLK!AL28/$B$2</f>
        <v>5.5</v>
      </c>
      <c r="N29">
        <f>SYSCLK!AM28/$B$2</f>
        <v>5.0769230769230775</v>
      </c>
      <c r="O29">
        <f>SYSCLK!AN28/$B$2</f>
        <v>4.7142857142857144</v>
      </c>
      <c r="P29">
        <f>SYSCLK!AO28/$B$2</f>
        <v>4.4000000000000004</v>
      </c>
      <c r="Q29">
        <f>SYSCLK!AP28/$B$2</f>
        <v>4.125</v>
      </c>
      <c r="R29" s="117">
        <f>SYSCLK!AQ28/$B$2</f>
        <v>33</v>
      </c>
      <c r="S29">
        <f>SYSCLK!AR28/$B$2</f>
        <v>16.5</v>
      </c>
      <c r="T29">
        <f>SYSCLK!AS28/$B$2</f>
        <v>11</v>
      </c>
      <c r="U29">
        <f>SYSCLK!AT28/$B$2</f>
        <v>8.25</v>
      </c>
      <c r="V29">
        <f>SYSCLK!AU28/$B$2</f>
        <v>6.6000000000000005</v>
      </c>
      <c r="W29">
        <f>SYSCLK!AV28/$B$2</f>
        <v>5.5</v>
      </c>
      <c r="X29">
        <f>SYSCLK!AW28/$B$2</f>
        <v>4.7142857142857144</v>
      </c>
      <c r="Y29">
        <f>SYSCLK!AX28/$B$2</f>
        <v>4.125</v>
      </c>
      <c r="Z29">
        <f>SYSCLK!AY28/$B$2</f>
        <v>3.6666666666666665</v>
      </c>
      <c r="AA29">
        <f>SYSCLK!AZ28/$B$2</f>
        <v>3.3000000000000003</v>
      </c>
      <c r="AB29">
        <f>SYSCLK!BA28/$B$2</f>
        <v>3</v>
      </c>
      <c r="AC29">
        <f>SYSCLK!BB28/$B$2</f>
        <v>2.75</v>
      </c>
      <c r="AD29">
        <f>SYSCLK!BC28/$B$2</f>
        <v>2.5384615384615388</v>
      </c>
      <c r="AE29">
        <f>SYSCLK!BD28/$B$2</f>
        <v>2.3571428571428572</v>
      </c>
      <c r="AF29">
        <f>SYSCLK!BE28/$B$2</f>
        <v>2.2000000000000002</v>
      </c>
      <c r="AG29" s="118">
        <f>SYSCLK!BF28/$B$2</f>
        <v>2.0625</v>
      </c>
      <c r="AH29">
        <f>SYSCLK!BG28/$B$2</f>
        <v>22</v>
      </c>
      <c r="AI29">
        <f>SYSCLK!BH28/$B$2</f>
        <v>11</v>
      </c>
      <c r="AJ29">
        <f>SYSCLK!BI28/$B$2</f>
        <v>7.333333333333333</v>
      </c>
      <c r="AK29">
        <f>SYSCLK!BJ28/$B$2</f>
        <v>5.5</v>
      </c>
      <c r="AL29">
        <f>SYSCLK!BK28/$B$2</f>
        <v>4.4000000000000004</v>
      </c>
      <c r="AM29">
        <f>SYSCLK!BL28/$B$2</f>
        <v>3.6666666666666665</v>
      </c>
      <c r="AN29">
        <f>SYSCLK!BM28/$B$2</f>
        <v>3.1428571428571428</v>
      </c>
      <c r="AO29">
        <f>SYSCLK!BN28/$B$2</f>
        <v>2.75</v>
      </c>
      <c r="AP29">
        <f>SYSCLK!BO28/$B$2</f>
        <v>2.4444444444444442</v>
      </c>
      <c r="AQ29">
        <f>SYSCLK!BP28/$B$2</f>
        <v>2.2000000000000002</v>
      </c>
      <c r="AR29">
        <f>SYSCLK!BQ28/$B$2</f>
        <v>2</v>
      </c>
      <c r="AS29">
        <f>SYSCLK!BR28/$B$2</f>
        <v>1.8333333333333333</v>
      </c>
      <c r="AT29">
        <f>SYSCLK!BS28/$B$2</f>
        <v>1.6923076923076925</v>
      </c>
      <c r="AU29">
        <f>SYSCLK!BT28/$B$2</f>
        <v>1.5714285714285714</v>
      </c>
      <c r="AV29">
        <f>SYSCLK!BU28/$B$2</f>
        <v>1.4666666666666668</v>
      </c>
      <c r="AW29">
        <f>SYSCLK!BV28/$B$2</f>
        <v>1.375</v>
      </c>
      <c r="AX29" s="117">
        <f>SYSCLK!BW28/$B$2</f>
        <v>16.5</v>
      </c>
      <c r="AY29">
        <f>SYSCLK!BX28/$B$2</f>
        <v>8.25</v>
      </c>
      <c r="AZ29">
        <f>SYSCLK!BY28/$B$2</f>
        <v>5.5</v>
      </c>
      <c r="BA29">
        <f>SYSCLK!BZ28/$B$2</f>
        <v>4.125</v>
      </c>
      <c r="BB29">
        <f>SYSCLK!CA28/$B$2</f>
        <v>3.3000000000000003</v>
      </c>
      <c r="BC29">
        <f>SYSCLK!CB28/$B$2</f>
        <v>2.75</v>
      </c>
      <c r="BD29">
        <f>SYSCLK!CC28/$B$2</f>
        <v>2.3571428571428572</v>
      </c>
      <c r="BE29">
        <f>SYSCLK!CD28/$B$2</f>
        <v>2.0625</v>
      </c>
      <c r="BF29">
        <f>SYSCLK!CE28/$B$2</f>
        <v>1.8333333333333333</v>
      </c>
      <c r="BG29">
        <f>SYSCLK!CF28/$B$2</f>
        <v>1.6500000000000001</v>
      </c>
      <c r="BH29">
        <f>SYSCLK!CG28/$B$2</f>
        <v>1.5</v>
      </c>
      <c r="BI29">
        <f>SYSCLK!CH28/$B$2</f>
        <v>1.375</v>
      </c>
      <c r="BJ29">
        <f>SYSCLK!CI28/$B$2</f>
        <v>1.2692307692307694</v>
      </c>
      <c r="BK29">
        <f>SYSCLK!CJ28/$B$2</f>
        <v>1.1785714285714286</v>
      </c>
      <c r="BL29">
        <f>SYSCLK!CK28/$B$2</f>
        <v>1.1000000000000001</v>
      </c>
      <c r="BM29">
        <f>SYSCLK!CL28/$B$2</f>
        <v>1.03125</v>
      </c>
    </row>
    <row r="30" spans="2:65">
      <c r="B30">
        <f>SYSCLK!AA29/$B$2</f>
        <v>0</v>
      </c>
      <c r="C30">
        <f>SYSCLK!AB29/$B$2</f>
        <v>34</v>
      </c>
      <c r="D30">
        <f>SYSCLK!AC29/$B$2</f>
        <v>22.666666666666664</v>
      </c>
      <c r="E30">
        <f>SYSCLK!AD29/$B$2</f>
        <v>17</v>
      </c>
      <c r="F30">
        <f>SYSCLK!AE29/$B$2</f>
        <v>13.600000000000001</v>
      </c>
      <c r="G30">
        <f>SYSCLK!AF29/$B$2</f>
        <v>11.333333333333332</v>
      </c>
      <c r="H30">
        <f>SYSCLK!AG29/$B$2</f>
        <v>9.7142857142857135</v>
      </c>
      <c r="I30">
        <f>SYSCLK!AH29/$B$2</f>
        <v>8.5</v>
      </c>
      <c r="J30">
        <f>SYSCLK!AI29/$B$2</f>
        <v>7.5555555555555554</v>
      </c>
      <c r="K30">
        <f>SYSCLK!AJ29/$B$2</f>
        <v>6.8000000000000007</v>
      </c>
      <c r="L30">
        <f>SYSCLK!AK29/$B$2</f>
        <v>6.1818181818181817</v>
      </c>
      <c r="M30">
        <f>SYSCLK!AL29/$B$2</f>
        <v>5.6666666666666661</v>
      </c>
      <c r="N30">
        <f>SYSCLK!AM29/$B$2</f>
        <v>5.2307692307692308</v>
      </c>
      <c r="O30">
        <f>SYSCLK!AN29/$B$2</f>
        <v>4.8571428571428568</v>
      </c>
      <c r="P30">
        <f>SYSCLK!AO29/$B$2</f>
        <v>4.5333333333333332</v>
      </c>
      <c r="Q30">
        <f>SYSCLK!AP29/$B$2</f>
        <v>4.25</v>
      </c>
      <c r="R30" s="117">
        <f>SYSCLK!AQ29/$B$2</f>
        <v>34</v>
      </c>
      <c r="S30">
        <f>SYSCLK!AR29/$B$2</f>
        <v>17</v>
      </c>
      <c r="T30">
        <f>SYSCLK!AS29/$B$2</f>
        <v>11.333333333333332</v>
      </c>
      <c r="U30">
        <f>SYSCLK!AT29/$B$2</f>
        <v>8.5</v>
      </c>
      <c r="V30">
        <f>SYSCLK!AU29/$B$2</f>
        <v>6.8000000000000007</v>
      </c>
      <c r="W30">
        <f>SYSCLK!AV29/$B$2</f>
        <v>5.6666666666666661</v>
      </c>
      <c r="X30">
        <f>SYSCLK!AW29/$B$2</f>
        <v>4.8571428571428568</v>
      </c>
      <c r="Y30">
        <f>SYSCLK!AX29/$B$2</f>
        <v>4.25</v>
      </c>
      <c r="Z30">
        <f>SYSCLK!AY29/$B$2</f>
        <v>3.7777777777777777</v>
      </c>
      <c r="AA30">
        <f>SYSCLK!AZ29/$B$2</f>
        <v>3.4000000000000004</v>
      </c>
      <c r="AB30">
        <f>SYSCLK!BA29/$B$2</f>
        <v>3.0909090909090908</v>
      </c>
      <c r="AC30">
        <f>SYSCLK!BB29/$B$2</f>
        <v>2.833333333333333</v>
      </c>
      <c r="AD30">
        <f>SYSCLK!BC29/$B$2</f>
        <v>2.6153846153846154</v>
      </c>
      <c r="AE30">
        <f>SYSCLK!BD29/$B$2</f>
        <v>2.4285714285714284</v>
      </c>
      <c r="AF30">
        <f>SYSCLK!BE29/$B$2</f>
        <v>2.2666666666666666</v>
      </c>
      <c r="AG30" s="118">
        <f>SYSCLK!BF29/$B$2</f>
        <v>2.125</v>
      </c>
      <c r="AH30">
        <f>SYSCLK!BG29/$B$2</f>
        <v>22.666666666666668</v>
      </c>
      <c r="AI30">
        <f>SYSCLK!BH29/$B$2</f>
        <v>11.333333333333334</v>
      </c>
      <c r="AJ30">
        <f>SYSCLK!BI29/$B$2</f>
        <v>7.5555555555555545</v>
      </c>
      <c r="AK30">
        <f>SYSCLK!BJ29/$B$2</f>
        <v>5.666666666666667</v>
      </c>
      <c r="AL30">
        <f>SYSCLK!BK29/$B$2</f>
        <v>4.5333333333333341</v>
      </c>
      <c r="AM30">
        <f>SYSCLK!BL29/$B$2</f>
        <v>3.7777777777777772</v>
      </c>
      <c r="AN30">
        <f>SYSCLK!BM29/$B$2</f>
        <v>3.2380952380952377</v>
      </c>
      <c r="AO30">
        <f>SYSCLK!BN29/$B$2</f>
        <v>2.8333333333333335</v>
      </c>
      <c r="AP30">
        <f>SYSCLK!BO29/$B$2</f>
        <v>2.5185185185185186</v>
      </c>
      <c r="AQ30">
        <f>SYSCLK!BP29/$B$2</f>
        <v>2.2666666666666671</v>
      </c>
      <c r="AR30">
        <f>SYSCLK!BQ29/$B$2</f>
        <v>2.0606060606060606</v>
      </c>
      <c r="AS30">
        <f>SYSCLK!BR29/$B$2</f>
        <v>1.8888888888888886</v>
      </c>
      <c r="AT30">
        <f>SYSCLK!BS29/$B$2</f>
        <v>1.7435897435897436</v>
      </c>
      <c r="AU30">
        <f>SYSCLK!BT29/$B$2</f>
        <v>1.6190476190476188</v>
      </c>
      <c r="AV30">
        <f>SYSCLK!BU29/$B$2</f>
        <v>1.5111111111111111</v>
      </c>
      <c r="AW30">
        <f>SYSCLK!BV29/$B$2</f>
        <v>1.4166666666666667</v>
      </c>
      <c r="AX30" s="117">
        <f>SYSCLK!BW29/$B$2</f>
        <v>17</v>
      </c>
      <c r="AY30">
        <f>SYSCLK!BX29/$B$2</f>
        <v>8.5</v>
      </c>
      <c r="AZ30">
        <f>SYSCLK!BY29/$B$2</f>
        <v>5.6666666666666661</v>
      </c>
      <c r="BA30">
        <f>SYSCLK!BZ29/$B$2</f>
        <v>4.25</v>
      </c>
      <c r="BB30">
        <f>SYSCLK!CA29/$B$2</f>
        <v>3.4000000000000004</v>
      </c>
      <c r="BC30">
        <f>SYSCLK!CB29/$B$2</f>
        <v>2.833333333333333</v>
      </c>
      <c r="BD30">
        <f>SYSCLK!CC29/$B$2</f>
        <v>2.4285714285714284</v>
      </c>
      <c r="BE30">
        <f>SYSCLK!CD29/$B$2</f>
        <v>2.125</v>
      </c>
      <c r="BF30">
        <f>SYSCLK!CE29/$B$2</f>
        <v>1.8888888888888888</v>
      </c>
      <c r="BG30">
        <f>SYSCLK!CF29/$B$2</f>
        <v>1.7000000000000002</v>
      </c>
      <c r="BH30">
        <f>SYSCLK!CG29/$B$2</f>
        <v>1.5454545454545454</v>
      </c>
      <c r="BI30">
        <f>SYSCLK!CH29/$B$2</f>
        <v>1.4166666666666665</v>
      </c>
      <c r="BJ30">
        <f>SYSCLK!CI29/$B$2</f>
        <v>1.3076923076923077</v>
      </c>
      <c r="BK30">
        <f>SYSCLK!CJ29/$B$2</f>
        <v>1.2142857142857142</v>
      </c>
      <c r="BL30">
        <f>SYSCLK!CK29/$B$2</f>
        <v>1.1333333333333333</v>
      </c>
      <c r="BM30">
        <f>SYSCLK!CL29/$B$2</f>
        <v>1.0625</v>
      </c>
    </row>
    <row r="31" spans="2:65">
      <c r="B31">
        <f>SYSCLK!AA30/$B$2</f>
        <v>0</v>
      </c>
      <c r="C31">
        <f>SYSCLK!AB30/$B$2</f>
        <v>35</v>
      </c>
      <c r="D31">
        <f>SYSCLK!AC30/$B$2</f>
        <v>23.333333333333332</v>
      </c>
      <c r="E31">
        <f>SYSCLK!AD30/$B$2</f>
        <v>17.5</v>
      </c>
      <c r="F31">
        <f>SYSCLK!AE30/$B$2</f>
        <v>14</v>
      </c>
      <c r="G31">
        <f>SYSCLK!AF30/$B$2</f>
        <v>11.666666666666666</v>
      </c>
      <c r="H31">
        <f>SYSCLK!AG30/$B$2</f>
        <v>10</v>
      </c>
      <c r="I31">
        <f>SYSCLK!AH30/$B$2</f>
        <v>8.75</v>
      </c>
      <c r="J31">
        <f>SYSCLK!AI30/$B$2</f>
        <v>7.7777777777777777</v>
      </c>
      <c r="K31">
        <f>SYSCLK!AJ30/$B$2</f>
        <v>7</v>
      </c>
      <c r="L31">
        <f>SYSCLK!AK30/$B$2</f>
        <v>6.3636363636363642</v>
      </c>
      <c r="M31">
        <f>SYSCLK!AL30/$B$2</f>
        <v>5.833333333333333</v>
      </c>
      <c r="N31">
        <f>SYSCLK!AM30/$B$2</f>
        <v>5.384615384615385</v>
      </c>
      <c r="O31">
        <f>SYSCLK!AN30/$B$2</f>
        <v>5</v>
      </c>
      <c r="P31">
        <f>SYSCLK!AO30/$B$2</f>
        <v>4.666666666666667</v>
      </c>
      <c r="Q31">
        <f>SYSCLK!AP30/$B$2</f>
        <v>4.375</v>
      </c>
      <c r="R31" s="117">
        <f>SYSCLK!AQ30/$B$2</f>
        <v>35</v>
      </c>
      <c r="S31">
        <f>SYSCLK!AR30/$B$2</f>
        <v>17.5</v>
      </c>
      <c r="T31">
        <f>SYSCLK!AS30/$B$2</f>
        <v>11.666666666666666</v>
      </c>
      <c r="U31">
        <f>SYSCLK!AT30/$B$2</f>
        <v>8.75</v>
      </c>
      <c r="V31">
        <f>SYSCLK!AU30/$B$2</f>
        <v>7</v>
      </c>
      <c r="W31">
        <f>SYSCLK!AV30/$B$2</f>
        <v>5.833333333333333</v>
      </c>
      <c r="X31">
        <f>SYSCLK!AW30/$B$2</f>
        <v>5</v>
      </c>
      <c r="Y31">
        <f>SYSCLK!AX30/$B$2</f>
        <v>4.375</v>
      </c>
      <c r="Z31">
        <f>SYSCLK!AY30/$B$2</f>
        <v>3.8888888888888888</v>
      </c>
      <c r="AA31">
        <f>SYSCLK!AZ30/$B$2</f>
        <v>3.5</v>
      </c>
      <c r="AB31">
        <f>SYSCLK!BA30/$B$2</f>
        <v>3.1818181818181821</v>
      </c>
      <c r="AC31">
        <f>SYSCLK!BB30/$B$2</f>
        <v>2.9166666666666665</v>
      </c>
      <c r="AD31">
        <f>SYSCLK!BC30/$B$2</f>
        <v>2.6923076923076925</v>
      </c>
      <c r="AE31">
        <f>SYSCLK!BD30/$B$2</f>
        <v>2.5</v>
      </c>
      <c r="AF31">
        <f>SYSCLK!BE30/$B$2</f>
        <v>2.3333333333333335</v>
      </c>
      <c r="AG31" s="118">
        <f>SYSCLK!BF30/$B$2</f>
        <v>2.1875</v>
      </c>
      <c r="AH31">
        <f>SYSCLK!BG30/$B$2</f>
        <v>23.333333333333332</v>
      </c>
      <c r="AI31">
        <f>SYSCLK!BH30/$B$2</f>
        <v>11.666666666666666</v>
      </c>
      <c r="AJ31">
        <f>SYSCLK!BI30/$B$2</f>
        <v>7.7777777777777777</v>
      </c>
      <c r="AK31">
        <f>SYSCLK!BJ30/$B$2</f>
        <v>5.833333333333333</v>
      </c>
      <c r="AL31">
        <f>SYSCLK!BK30/$B$2</f>
        <v>4.666666666666667</v>
      </c>
      <c r="AM31">
        <f>SYSCLK!BL30/$B$2</f>
        <v>3.8888888888888888</v>
      </c>
      <c r="AN31">
        <f>SYSCLK!BM30/$B$2</f>
        <v>3.3333333333333335</v>
      </c>
      <c r="AO31">
        <f>SYSCLK!BN30/$B$2</f>
        <v>2.9166666666666665</v>
      </c>
      <c r="AP31">
        <f>SYSCLK!BO30/$B$2</f>
        <v>2.5925925925925926</v>
      </c>
      <c r="AQ31">
        <f>SYSCLK!BP30/$B$2</f>
        <v>2.3333333333333335</v>
      </c>
      <c r="AR31">
        <f>SYSCLK!BQ30/$B$2</f>
        <v>2.1212121212121215</v>
      </c>
      <c r="AS31">
        <f>SYSCLK!BR30/$B$2</f>
        <v>1.9444444444444444</v>
      </c>
      <c r="AT31">
        <f>SYSCLK!BS30/$B$2</f>
        <v>1.7948717948717949</v>
      </c>
      <c r="AU31">
        <f>SYSCLK!BT30/$B$2</f>
        <v>1.6666666666666667</v>
      </c>
      <c r="AV31">
        <f>SYSCLK!BU30/$B$2</f>
        <v>1.5555555555555556</v>
      </c>
      <c r="AW31">
        <f>SYSCLK!BV30/$B$2</f>
        <v>1.4583333333333333</v>
      </c>
      <c r="AX31" s="117">
        <f>SYSCLK!BW30/$B$2</f>
        <v>17.5</v>
      </c>
      <c r="AY31">
        <f>SYSCLK!BX30/$B$2</f>
        <v>8.75</v>
      </c>
      <c r="AZ31">
        <f>SYSCLK!BY30/$B$2</f>
        <v>5.833333333333333</v>
      </c>
      <c r="BA31">
        <f>SYSCLK!BZ30/$B$2</f>
        <v>4.375</v>
      </c>
      <c r="BB31">
        <f>SYSCLK!CA30/$B$2</f>
        <v>3.5</v>
      </c>
      <c r="BC31">
        <f>SYSCLK!CB30/$B$2</f>
        <v>2.9166666666666665</v>
      </c>
      <c r="BD31">
        <f>SYSCLK!CC30/$B$2</f>
        <v>2.5</v>
      </c>
      <c r="BE31">
        <f>SYSCLK!CD30/$B$2</f>
        <v>2.1875</v>
      </c>
      <c r="BF31">
        <f>SYSCLK!CE30/$B$2</f>
        <v>1.9444444444444444</v>
      </c>
      <c r="BG31">
        <f>SYSCLK!CF30/$B$2</f>
        <v>1.75</v>
      </c>
      <c r="BH31">
        <f>SYSCLK!CG30/$B$2</f>
        <v>1.5909090909090911</v>
      </c>
      <c r="BI31">
        <f>SYSCLK!CH30/$B$2</f>
        <v>1.4583333333333333</v>
      </c>
      <c r="BJ31">
        <f>SYSCLK!CI30/$B$2</f>
        <v>1.3461538461538463</v>
      </c>
      <c r="BK31">
        <f>SYSCLK!CJ30/$B$2</f>
        <v>1.25</v>
      </c>
      <c r="BL31">
        <f>SYSCLK!CK30/$B$2</f>
        <v>1.1666666666666667</v>
      </c>
      <c r="BM31">
        <f>SYSCLK!CL30/$B$2</f>
        <v>1.09375</v>
      </c>
    </row>
    <row r="32" spans="2:65">
      <c r="B32">
        <f>SYSCLK!AA31/$B$2</f>
        <v>0</v>
      </c>
      <c r="C32">
        <f>SYSCLK!AB31/$B$2</f>
        <v>36</v>
      </c>
      <c r="D32">
        <f>SYSCLK!AC31/$B$2</f>
        <v>24</v>
      </c>
      <c r="E32">
        <f>SYSCLK!AD31/$B$2</f>
        <v>18</v>
      </c>
      <c r="F32">
        <f>SYSCLK!AE31/$B$2</f>
        <v>14.4</v>
      </c>
      <c r="G32">
        <f>SYSCLK!AF31/$B$2</f>
        <v>12</v>
      </c>
      <c r="H32">
        <f>SYSCLK!AG31/$B$2</f>
        <v>10.285714285714285</v>
      </c>
      <c r="I32">
        <f>SYSCLK!AH31/$B$2</f>
        <v>9</v>
      </c>
      <c r="J32">
        <f>SYSCLK!AI31/$B$2</f>
        <v>8</v>
      </c>
      <c r="K32">
        <f>SYSCLK!AJ31/$B$2</f>
        <v>7.2</v>
      </c>
      <c r="L32">
        <f>SYSCLK!AK31/$B$2</f>
        <v>6.5454545454545459</v>
      </c>
      <c r="M32">
        <f>SYSCLK!AL31/$B$2</f>
        <v>6</v>
      </c>
      <c r="N32">
        <f>SYSCLK!AM31/$B$2</f>
        <v>5.5384615384615383</v>
      </c>
      <c r="O32">
        <f>SYSCLK!AN31/$B$2</f>
        <v>5.1428571428571423</v>
      </c>
      <c r="P32">
        <f>SYSCLK!AO31/$B$2</f>
        <v>4.8</v>
      </c>
      <c r="Q32">
        <f>SYSCLK!AP31/$B$2</f>
        <v>4.5</v>
      </c>
      <c r="R32" s="117">
        <f>SYSCLK!AQ31/$B$2</f>
        <v>36</v>
      </c>
      <c r="S32">
        <f>SYSCLK!AR31/$B$2</f>
        <v>18</v>
      </c>
      <c r="T32">
        <f>SYSCLK!AS31/$B$2</f>
        <v>12</v>
      </c>
      <c r="U32">
        <f>SYSCLK!AT31/$B$2</f>
        <v>9</v>
      </c>
      <c r="V32">
        <f>SYSCLK!AU31/$B$2</f>
        <v>7.2</v>
      </c>
      <c r="W32">
        <f>SYSCLK!AV31/$B$2</f>
        <v>6</v>
      </c>
      <c r="X32">
        <f>SYSCLK!AW31/$B$2</f>
        <v>5.1428571428571423</v>
      </c>
      <c r="Y32">
        <f>SYSCLK!AX31/$B$2</f>
        <v>4.5</v>
      </c>
      <c r="Z32">
        <f>SYSCLK!AY31/$B$2</f>
        <v>4</v>
      </c>
      <c r="AA32">
        <f>SYSCLK!AZ31/$B$2</f>
        <v>3.6</v>
      </c>
      <c r="AB32">
        <f>SYSCLK!BA31/$B$2</f>
        <v>3.2727272727272729</v>
      </c>
      <c r="AC32">
        <f>SYSCLK!BB31/$B$2</f>
        <v>3</v>
      </c>
      <c r="AD32">
        <f>SYSCLK!BC31/$B$2</f>
        <v>2.7692307692307692</v>
      </c>
      <c r="AE32">
        <f>SYSCLK!BD31/$B$2</f>
        <v>2.5714285714285712</v>
      </c>
      <c r="AF32">
        <f>SYSCLK!BE31/$B$2</f>
        <v>2.4</v>
      </c>
      <c r="AG32" s="118">
        <f>SYSCLK!BF31/$B$2</f>
        <v>2.25</v>
      </c>
      <c r="AH32">
        <f>SYSCLK!BG31/$B$2</f>
        <v>24</v>
      </c>
      <c r="AI32">
        <f>SYSCLK!BH31/$B$2</f>
        <v>12</v>
      </c>
      <c r="AJ32">
        <f>SYSCLK!BI31/$B$2</f>
        <v>8</v>
      </c>
      <c r="AK32">
        <f>SYSCLK!BJ31/$B$2</f>
        <v>6</v>
      </c>
      <c r="AL32">
        <f>SYSCLK!BK31/$B$2</f>
        <v>4.8</v>
      </c>
      <c r="AM32">
        <f>SYSCLK!BL31/$B$2</f>
        <v>4</v>
      </c>
      <c r="AN32">
        <f>SYSCLK!BM31/$B$2</f>
        <v>3.4285714285714284</v>
      </c>
      <c r="AO32">
        <f>SYSCLK!BN31/$B$2</f>
        <v>3</v>
      </c>
      <c r="AP32">
        <f>SYSCLK!BO31/$B$2</f>
        <v>2.6666666666666665</v>
      </c>
      <c r="AQ32">
        <f>SYSCLK!BP31/$B$2</f>
        <v>2.4</v>
      </c>
      <c r="AR32">
        <f>SYSCLK!BQ31/$B$2</f>
        <v>2.1818181818181821</v>
      </c>
      <c r="AS32">
        <f>SYSCLK!BR31/$B$2</f>
        <v>2</v>
      </c>
      <c r="AT32">
        <f>SYSCLK!BS31/$B$2</f>
        <v>1.846153846153846</v>
      </c>
      <c r="AU32">
        <f>SYSCLK!BT31/$B$2</f>
        <v>1.7142857142857142</v>
      </c>
      <c r="AV32">
        <f>SYSCLK!BU31/$B$2</f>
        <v>1.5999999999999999</v>
      </c>
      <c r="AW32">
        <f>SYSCLK!BV31/$B$2</f>
        <v>1.5</v>
      </c>
      <c r="AX32" s="117">
        <f>SYSCLK!BW31/$B$2</f>
        <v>18</v>
      </c>
      <c r="AY32">
        <f>SYSCLK!BX31/$B$2</f>
        <v>9</v>
      </c>
      <c r="AZ32">
        <f>SYSCLK!BY31/$B$2</f>
        <v>6</v>
      </c>
      <c r="BA32">
        <f>SYSCLK!BZ31/$B$2</f>
        <v>4.5</v>
      </c>
      <c r="BB32">
        <f>SYSCLK!CA31/$B$2</f>
        <v>3.6</v>
      </c>
      <c r="BC32">
        <f>SYSCLK!CB31/$B$2</f>
        <v>3</v>
      </c>
      <c r="BD32">
        <f>SYSCLK!CC31/$B$2</f>
        <v>2.5714285714285712</v>
      </c>
      <c r="BE32">
        <f>SYSCLK!CD31/$B$2</f>
        <v>2.25</v>
      </c>
      <c r="BF32">
        <f>SYSCLK!CE31/$B$2</f>
        <v>2</v>
      </c>
      <c r="BG32">
        <f>SYSCLK!CF31/$B$2</f>
        <v>1.8</v>
      </c>
      <c r="BH32">
        <f>SYSCLK!CG31/$B$2</f>
        <v>1.6363636363636365</v>
      </c>
      <c r="BI32">
        <f>SYSCLK!CH31/$B$2</f>
        <v>1.5</v>
      </c>
      <c r="BJ32">
        <f>SYSCLK!CI31/$B$2</f>
        <v>1.3846153846153846</v>
      </c>
      <c r="BK32">
        <f>SYSCLK!CJ31/$B$2</f>
        <v>1.2857142857142856</v>
      </c>
      <c r="BL32">
        <f>SYSCLK!CK31/$B$2</f>
        <v>1.2</v>
      </c>
      <c r="BM32">
        <f>SYSCLK!CL31/$B$2</f>
        <v>1.125</v>
      </c>
    </row>
    <row r="33" spans="2:65">
      <c r="B33">
        <f>SYSCLK!AA32/$B$2</f>
        <v>0</v>
      </c>
      <c r="C33">
        <f>SYSCLK!AB32/$B$2</f>
        <v>37</v>
      </c>
      <c r="D33">
        <f>SYSCLK!AC32/$B$2</f>
        <v>24.666666666666664</v>
      </c>
      <c r="E33">
        <f>SYSCLK!AD32/$B$2</f>
        <v>18.5</v>
      </c>
      <c r="F33">
        <f>SYSCLK!AE32/$B$2</f>
        <v>14.8</v>
      </c>
      <c r="G33">
        <f>SYSCLK!AF32/$B$2</f>
        <v>12.333333333333332</v>
      </c>
      <c r="H33">
        <f>SYSCLK!AG32/$B$2</f>
        <v>10.571428571428571</v>
      </c>
      <c r="I33">
        <f>SYSCLK!AH32/$B$2</f>
        <v>9.25</v>
      </c>
      <c r="J33">
        <f>SYSCLK!AI32/$B$2</f>
        <v>8.2222222222222214</v>
      </c>
      <c r="K33">
        <f>SYSCLK!AJ32/$B$2</f>
        <v>7.4</v>
      </c>
      <c r="L33">
        <f>SYSCLK!AK32/$B$2</f>
        <v>6.7272727272727275</v>
      </c>
      <c r="M33">
        <f>SYSCLK!AL32/$B$2</f>
        <v>6.1666666666666661</v>
      </c>
      <c r="N33">
        <f>SYSCLK!AM32/$B$2</f>
        <v>5.6923076923076925</v>
      </c>
      <c r="O33">
        <f>SYSCLK!AN32/$B$2</f>
        <v>5.2857142857142856</v>
      </c>
      <c r="P33">
        <f>SYSCLK!AO32/$B$2</f>
        <v>4.9333333333333336</v>
      </c>
      <c r="Q33">
        <f>SYSCLK!AP32/$B$2</f>
        <v>4.625</v>
      </c>
      <c r="R33" s="117">
        <f>SYSCLK!AQ32/$B$2</f>
        <v>37</v>
      </c>
      <c r="S33">
        <f>SYSCLK!AR32/$B$2</f>
        <v>18.5</v>
      </c>
      <c r="T33">
        <f>SYSCLK!AS32/$B$2</f>
        <v>12.333333333333332</v>
      </c>
      <c r="U33">
        <f>SYSCLK!AT32/$B$2</f>
        <v>9.25</v>
      </c>
      <c r="V33">
        <f>SYSCLK!AU32/$B$2</f>
        <v>7.4</v>
      </c>
      <c r="W33">
        <f>SYSCLK!AV32/$B$2</f>
        <v>6.1666666666666661</v>
      </c>
      <c r="X33">
        <f>SYSCLK!AW32/$B$2</f>
        <v>5.2857142857142856</v>
      </c>
      <c r="Y33">
        <f>SYSCLK!AX32/$B$2</f>
        <v>4.625</v>
      </c>
      <c r="Z33">
        <f>SYSCLK!AY32/$B$2</f>
        <v>4.1111111111111107</v>
      </c>
      <c r="AA33">
        <f>SYSCLK!AZ32/$B$2</f>
        <v>3.7</v>
      </c>
      <c r="AB33">
        <f>SYSCLK!BA32/$B$2</f>
        <v>3.3636363636363638</v>
      </c>
      <c r="AC33">
        <f>SYSCLK!BB32/$B$2</f>
        <v>3.083333333333333</v>
      </c>
      <c r="AD33">
        <f>SYSCLK!BC32/$B$2</f>
        <v>2.8461538461538463</v>
      </c>
      <c r="AE33">
        <f>SYSCLK!BD32/$B$2</f>
        <v>2.6428571428571428</v>
      </c>
      <c r="AF33">
        <f>SYSCLK!BE32/$B$2</f>
        <v>2.4666666666666668</v>
      </c>
      <c r="AG33" s="118">
        <f>SYSCLK!BF32/$B$2</f>
        <v>2.3125</v>
      </c>
      <c r="AH33">
        <f>SYSCLK!BG32/$B$2</f>
        <v>24.666666666666668</v>
      </c>
      <c r="AI33">
        <f>SYSCLK!BH32/$B$2</f>
        <v>12.333333333333334</v>
      </c>
      <c r="AJ33">
        <f>SYSCLK!BI32/$B$2</f>
        <v>8.2222222222222214</v>
      </c>
      <c r="AK33">
        <f>SYSCLK!BJ32/$B$2</f>
        <v>6.166666666666667</v>
      </c>
      <c r="AL33">
        <f>SYSCLK!BK32/$B$2</f>
        <v>4.9333333333333336</v>
      </c>
      <c r="AM33">
        <f>SYSCLK!BL32/$B$2</f>
        <v>4.1111111111111107</v>
      </c>
      <c r="AN33">
        <f>SYSCLK!BM32/$B$2</f>
        <v>3.5238095238095237</v>
      </c>
      <c r="AO33">
        <f>SYSCLK!BN32/$B$2</f>
        <v>3.0833333333333335</v>
      </c>
      <c r="AP33">
        <f>SYSCLK!BO32/$B$2</f>
        <v>2.7407407407407405</v>
      </c>
      <c r="AQ33">
        <f>SYSCLK!BP32/$B$2</f>
        <v>2.4666666666666668</v>
      </c>
      <c r="AR33">
        <f>SYSCLK!BQ32/$B$2</f>
        <v>2.2424242424242427</v>
      </c>
      <c r="AS33">
        <f>SYSCLK!BR32/$B$2</f>
        <v>2.0555555555555554</v>
      </c>
      <c r="AT33">
        <f>SYSCLK!BS32/$B$2</f>
        <v>1.8974358974358976</v>
      </c>
      <c r="AU33">
        <f>SYSCLK!BT32/$B$2</f>
        <v>1.7619047619047619</v>
      </c>
      <c r="AV33">
        <f>SYSCLK!BU32/$B$2</f>
        <v>1.6444444444444446</v>
      </c>
      <c r="AW33">
        <f>SYSCLK!BV32/$B$2</f>
        <v>1.5416666666666667</v>
      </c>
      <c r="AX33" s="117">
        <f>SYSCLK!BW32/$B$2</f>
        <v>18.5</v>
      </c>
      <c r="AY33">
        <f>SYSCLK!BX32/$B$2</f>
        <v>9.25</v>
      </c>
      <c r="AZ33">
        <f>SYSCLK!BY32/$B$2</f>
        <v>6.1666666666666661</v>
      </c>
      <c r="BA33">
        <f>SYSCLK!BZ32/$B$2</f>
        <v>4.625</v>
      </c>
      <c r="BB33">
        <f>SYSCLK!CA32/$B$2</f>
        <v>3.7</v>
      </c>
      <c r="BC33">
        <f>SYSCLK!CB32/$B$2</f>
        <v>3.083333333333333</v>
      </c>
      <c r="BD33">
        <f>SYSCLK!CC32/$B$2</f>
        <v>2.6428571428571428</v>
      </c>
      <c r="BE33">
        <f>SYSCLK!CD32/$B$2</f>
        <v>2.3125</v>
      </c>
      <c r="BF33">
        <f>SYSCLK!CE32/$B$2</f>
        <v>2.0555555555555554</v>
      </c>
      <c r="BG33">
        <f>SYSCLK!CF32/$B$2</f>
        <v>1.85</v>
      </c>
      <c r="BH33">
        <f>SYSCLK!CG32/$B$2</f>
        <v>1.6818181818181819</v>
      </c>
      <c r="BI33">
        <f>SYSCLK!CH32/$B$2</f>
        <v>1.5416666666666665</v>
      </c>
      <c r="BJ33">
        <f>SYSCLK!CI32/$B$2</f>
        <v>1.4230769230769231</v>
      </c>
      <c r="BK33">
        <f>SYSCLK!CJ32/$B$2</f>
        <v>1.3214285714285714</v>
      </c>
      <c r="BL33">
        <f>SYSCLK!CK32/$B$2</f>
        <v>1.2333333333333334</v>
      </c>
      <c r="BM33">
        <f>SYSCLK!CL32/$B$2</f>
        <v>1.15625</v>
      </c>
    </row>
    <row r="34" spans="2:65">
      <c r="B34">
        <f>SYSCLK!AA33/$B$2</f>
        <v>0</v>
      </c>
      <c r="C34">
        <f>SYSCLK!AB33/$B$2</f>
        <v>38</v>
      </c>
      <c r="D34">
        <f>SYSCLK!AC33/$B$2</f>
        <v>25.333333333333332</v>
      </c>
      <c r="E34">
        <f>SYSCLK!AD33/$B$2</f>
        <v>19</v>
      </c>
      <c r="F34">
        <f>SYSCLK!AE33/$B$2</f>
        <v>15.200000000000001</v>
      </c>
      <c r="G34">
        <f>SYSCLK!AF33/$B$2</f>
        <v>12.666666666666666</v>
      </c>
      <c r="H34">
        <f>SYSCLK!AG33/$B$2</f>
        <v>10.857142857142856</v>
      </c>
      <c r="I34">
        <f>SYSCLK!AH33/$B$2</f>
        <v>9.5</v>
      </c>
      <c r="J34">
        <f>SYSCLK!AI33/$B$2</f>
        <v>8.4444444444444446</v>
      </c>
      <c r="K34">
        <f>SYSCLK!AJ33/$B$2</f>
        <v>7.6000000000000005</v>
      </c>
      <c r="L34">
        <f>SYSCLK!AK33/$B$2</f>
        <v>6.9090909090909092</v>
      </c>
      <c r="M34">
        <f>SYSCLK!AL33/$B$2</f>
        <v>6.333333333333333</v>
      </c>
      <c r="N34">
        <f>SYSCLK!AM33/$B$2</f>
        <v>5.8461538461538467</v>
      </c>
      <c r="O34">
        <f>SYSCLK!AN33/$B$2</f>
        <v>5.4285714285714279</v>
      </c>
      <c r="P34">
        <f>SYSCLK!AO33/$B$2</f>
        <v>5.0666666666666664</v>
      </c>
      <c r="Q34">
        <f>SYSCLK!AP33/$B$2</f>
        <v>4.75</v>
      </c>
      <c r="R34" s="117">
        <f>SYSCLK!AQ33/$B$2</f>
        <v>38</v>
      </c>
      <c r="S34">
        <f>SYSCLK!AR33/$B$2</f>
        <v>19</v>
      </c>
      <c r="T34">
        <f>SYSCLK!AS33/$B$2</f>
        <v>12.666666666666666</v>
      </c>
      <c r="U34">
        <f>SYSCLK!AT33/$B$2</f>
        <v>9.5</v>
      </c>
      <c r="V34">
        <f>SYSCLK!AU33/$B$2</f>
        <v>7.6000000000000005</v>
      </c>
      <c r="W34">
        <f>SYSCLK!AV33/$B$2</f>
        <v>6.333333333333333</v>
      </c>
      <c r="X34">
        <f>SYSCLK!AW33/$B$2</f>
        <v>5.4285714285714279</v>
      </c>
      <c r="Y34">
        <f>SYSCLK!AX33/$B$2</f>
        <v>4.75</v>
      </c>
      <c r="Z34">
        <f>SYSCLK!AY33/$B$2</f>
        <v>4.2222222222222223</v>
      </c>
      <c r="AA34">
        <f>SYSCLK!AZ33/$B$2</f>
        <v>3.8000000000000003</v>
      </c>
      <c r="AB34">
        <f>SYSCLK!BA33/$B$2</f>
        <v>3.4545454545454546</v>
      </c>
      <c r="AC34">
        <f>SYSCLK!BB33/$B$2</f>
        <v>3.1666666666666665</v>
      </c>
      <c r="AD34">
        <f>SYSCLK!BC33/$B$2</f>
        <v>2.9230769230769234</v>
      </c>
      <c r="AE34">
        <f>SYSCLK!BD33/$B$2</f>
        <v>2.714285714285714</v>
      </c>
      <c r="AF34">
        <f>SYSCLK!BE33/$B$2</f>
        <v>2.5333333333333332</v>
      </c>
      <c r="AG34" s="118">
        <f>SYSCLK!BF33/$B$2</f>
        <v>2.375</v>
      </c>
      <c r="AH34">
        <f>SYSCLK!BG33/$B$2</f>
        <v>25.333333333333332</v>
      </c>
      <c r="AI34">
        <f>SYSCLK!BH33/$B$2</f>
        <v>12.666666666666666</v>
      </c>
      <c r="AJ34">
        <f>SYSCLK!BI33/$B$2</f>
        <v>8.4444444444444446</v>
      </c>
      <c r="AK34">
        <f>SYSCLK!BJ33/$B$2</f>
        <v>6.333333333333333</v>
      </c>
      <c r="AL34">
        <f>SYSCLK!BK33/$B$2</f>
        <v>5.0666666666666673</v>
      </c>
      <c r="AM34">
        <f>SYSCLK!BL33/$B$2</f>
        <v>4.2222222222222223</v>
      </c>
      <c r="AN34">
        <f>SYSCLK!BM33/$B$2</f>
        <v>3.6190476190476186</v>
      </c>
      <c r="AO34">
        <f>SYSCLK!BN33/$B$2</f>
        <v>3.1666666666666665</v>
      </c>
      <c r="AP34">
        <f>SYSCLK!BO33/$B$2</f>
        <v>2.8148148148148149</v>
      </c>
      <c r="AQ34">
        <f>SYSCLK!BP33/$B$2</f>
        <v>2.5333333333333337</v>
      </c>
      <c r="AR34">
        <f>SYSCLK!BQ33/$B$2</f>
        <v>2.3030303030303032</v>
      </c>
      <c r="AS34">
        <f>SYSCLK!BR33/$B$2</f>
        <v>2.1111111111111112</v>
      </c>
      <c r="AT34">
        <f>SYSCLK!BS33/$B$2</f>
        <v>1.9487179487179489</v>
      </c>
      <c r="AU34">
        <f>SYSCLK!BT33/$B$2</f>
        <v>1.8095238095238093</v>
      </c>
      <c r="AV34">
        <f>SYSCLK!BU33/$B$2</f>
        <v>1.6888888888888889</v>
      </c>
      <c r="AW34">
        <f>SYSCLK!BV33/$B$2</f>
        <v>1.5833333333333333</v>
      </c>
      <c r="AX34" s="117">
        <f>SYSCLK!BW33/$B$2</f>
        <v>19</v>
      </c>
      <c r="AY34">
        <f>SYSCLK!BX33/$B$2</f>
        <v>9.5</v>
      </c>
      <c r="AZ34">
        <f>SYSCLK!BY33/$B$2</f>
        <v>6.333333333333333</v>
      </c>
      <c r="BA34">
        <f>SYSCLK!BZ33/$B$2</f>
        <v>4.75</v>
      </c>
      <c r="BB34">
        <f>SYSCLK!CA33/$B$2</f>
        <v>3.8000000000000003</v>
      </c>
      <c r="BC34">
        <f>SYSCLK!CB33/$B$2</f>
        <v>3.1666666666666665</v>
      </c>
      <c r="BD34">
        <f>SYSCLK!CC33/$B$2</f>
        <v>2.714285714285714</v>
      </c>
      <c r="BE34">
        <f>SYSCLK!CD33/$B$2</f>
        <v>2.375</v>
      </c>
      <c r="BF34">
        <f>SYSCLK!CE33/$B$2</f>
        <v>2.1111111111111112</v>
      </c>
      <c r="BG34">
        <f>SYSCLK!CF33/$B$2</f>
        <v>1.9000000000000001</v>
      </c>
      <c r="BH34">
        <f>SYSCLK!CG33/$B$2</f>
        <v>1.7272727272727273</v>
      </c>
      <c r="BI34">
        <f>SYSCLK!CH33/$B$2</f>
        <v>1.5833333333333333</v>
      </c>
      <c r="BJ34">
        <f>SYSCLK!CI33/$B$2</f>
        <v>1.4615384615384617</v>
      </c>
      <c r="BK34">
        <f>SYSCLK!CJ33/$B$2</f>
        <v>1.357142857142857</v>
      </c>
      <c r="BL34">
        <f>SYSCLK!CK33/$B$2</f>
        <v>1.2666666666666666</v>
      </c>
      <c r="BM34">
        <f>SYSCLK!CL33/$B$2</f>
        <v>1.1875</v>
      </c>
    </row>
    <row r="35" spans="2:65">
      <c r="B35">
        <f>SYSCLK!AA34/$B$2</f>
        <v>0</v>
      </c>
      <c r="C35">
        <f>SYSCLK!AB34/$B$2</f>
        <v>39</v>
      </c>
      <c r="D35">
        <f>SYSCLK!AC34/$B$2</f>
        <v>26</v>
      </c>
      <c r="E35">
        <f>SYSCLK!AD34/$B$2</f>
        <v>19.5</v>
      </c>
      <c r="F35">
        <f>SYSCLK!AE34/$B$2</f>
        <v>15.600000000000001</v>
      </c>
      <c r="G35">
        <f>SYSCLK!AF34/$B$2</f>
        <v>13</v>
      </c>
      <c r="H35">
        <f>SYSCLK!AG34/$B$2</f>
        <v>11.142857142857142</v>
      </c>
      <c r="I35">
        <f>SYSCLK!AH34/$B$2</f>
        <v>9.75</v>
      </c>
      <c r="J35">
        <f>SYSCLK!AI34/$B$2</f>
        <v>8.6666666666666661</v>
      </c>
      <c r="K35">
        <f>SYSCLK!AJ34/$B$2</f>
        <v>7.8000000000000007</v>
      </c>
      <c r="L35">
        <f>SYSCLK!AK34/$B$2</f>
        <v>7.0909090909090908</v>
      </c>
      <c r="M35">
        <f>SYSCLK!AL34/$B$2</f>
        <v>6.5</v>
      </c>
      <c r="N35">
        <f>SYSCLK!AM34/$B$2</f>
        <v>6</v>
      </c>
      <c r="O35">
        <f>SYSCLK!AN34/$B$2</f>
        <v>5.5714285714285712</v>
      </c>
      <c r="P35">
        <f>SYSCLK!AO34/$B$2</f>
        <v>5.2</v>
      </c>
      <c r="Q35">
        <f>SYSCLK!AP34/$B$2</f>
        <v>4.875</v>
      </c>
      <c r="R35" s="117">
        <f>SYSCLK!AQ34/$B$2</f>
        <v>39</v>
      </c>
      <c r="S35">
        <f>SYSCLK!AR34/$B$2</f>
        <v>19.5</v>
      </c>
      <c r="T35">
        <f>SYSCLK!AS34/$B$2</f>
        <v>13</v>
      </c>
      <c r="U35">
        <f>SYSCLK!AT34/$B$2</f>
        <v>9.75</v>
      </c>
      <c r="V35">
        <f>SYSCLK!AU34/$B$2</f>
        <v>7.8000000000000007</v>
      </c>
      <c r="W35">
        <f>SYSCLK!AV34/$B$2</f>
        <v>6.5</v>
      </c>
      <c r="X35">
        <f>SYSCLK!AW34/$B$2</f>
        <v>5.5714285714285712</v>
      </c>
      <c r="Y35">
        <f>SYSCLK!AX34/$B$2</f>
        <v>4.875</v>
      </c>
      <c r="Z35">
        <f>SYSCLK!AY34/$B$2</f>
        <v>4.333333333333333</v>
      </c>
      <c r="AA35">
        <f>SYSCLK!AZ34/$B$2</f>
        <v>3.9000000000000004</v>
      </c>
      <c r="AB35">
        <f>SYSCLK!BA34/$B$2</f>
        <v>3.5454545454545454</v>
      </c>
      <c r="AC35">
        <f>SYSCLK!BB34/$B$2</f>
        <v>3.25</v>
      </c>
      <c r="AD35">
        <f>SYSCLK!BC34/$B$2</f>
        <v>3</v>
      </c>
      <c r="AE35">
        <f>SYSCLK!BD34/$B$2</f>
        <v>2.7857142857142856</v>
      </c>
      <c r="AF35">
        <f>SYSCLK!BE34/$B$2</f>
        <v>2.6</v>
      </c>
      <c r="AG35" s="118">
        <f>SYSCLK!BF34/$B$2</f>
        <v>2.4375</v>
      </c>
      <c r="AH35">
        <f>SYSCLK!BG34/$B$2</f>
        <v>26</v>
      </c>
      <c r="AI35">
        <f>SYSCLK!BH34/$B$2</f>
        <v>13</v>
      </c>
      <c r="AJ35">
        <f>SYSCLK!BI34/$B$2</f>
        <v>8.6666666666666661</v>
      </c>
      <c r="AK35">
        <f>SYSCLK!BJ34/$B$2</f>
        <v>6.5</v>
      </c>
      <c r="AL35">
        <f>SYSCLK!BK34/$B$2</f>
        <v>5.2</v>
      </c>
      <c r="AM35">
        <f>SYSCLK!BL34/$B$2</f>
        <v>4.333333333333333</v>
      </c>
      <c r="AN35">
        <f>SYSCLK!BM34/$B$2</f>
        <v>3.714285714285714</v>
      </c>
      <c r="AO35">
        <f>SYSCLK!BN34/$B$2</f>
        <v>3.25</v>
      </c>
      <c r="AP35">
        <f>SYSCLK!BO34/$B$2</f>
        <v>2.8888888888888888</v>
      </c>
      <c r="AQ35">
        <f>SYSCLK!BP34/$B$2</f>
        <v>2.6</v>
      </c>
      <c r="AR35">
        <f>SYSCLK!BQ34/$B$2</f>
        <v>2.3636363636363638</v>
      </c>
      <c r="AS35">
        <f>SYSCLK!BR34/$B$2</f>
        <v>2.1666666666666665</v>
      </c>
      <c r="AT35">
        <f>SYSCLK!BS34/$B$2</f>
        <v>2</v>
      </c>
      <c r="AU35">
        <f>SYSCLK!BT34/$B$2</f>
        <v>1.857142857142857</v>
      </c>
      <c r="AV35">
        <f>SYSCLK!BU34/$B$2</f>
        <v>1.7333333333333334</v>
      </c>
      <c r="AW35">
        <f>SYSCLK!BV34/$B$2</f>
        <v>1.625</v>
      </c>
      <c r="AX35" s="117">
        <f>SYSCLK!BW34/$B$2</f>
        <v>19.5</v>
      </c>
      <c r="AY35">
        <f>SYSCLK!BX34/$B$2</f>
        <v>9.75</v>
      </c>
      <c r="AZ35">
        <f>SYSCLK!BY34/$B$2</f>
        <v>6.5</v>
      </c>
      <c r="BA35">
        <f>SYSCLK!BZ34/$B$2</f>
        <v>4.875</v>
      </c>
      <c r="BB35">
        <f>SYSCLK!CA34/$B$2</f>
        <v>3.9000000000000004</v>
      </c>
      <c r="BC35">
        <f>SYSCLK!CB34/$B$2</f>
        <v>3.25</v>
      </c>
      <c r="BD35">
        <f>SYSCLK!CC34/$B$2</f>
        <v>2.7857142857142856</v>
      </c>
      <c r="BE35">
        <f>SYSCLK!CD34/$B$2</f>
        <v>2.4375</v>
      </c>
      <c r="BF35">
        <f>SYSCLK!CE34/$B$2</f>
        <v>2.1666666666666665</v>
      </c>
      <c r="BG35">
        <f>SYSCLK!CF34/$B$2</f>
        <v>1.9500000000000002</v>
      </c>
      <c r="BH35">
        <f>SYSCLK!CG34/$B$2</f>
        <v>1.7727272727272727</v>
      </c>
      <c r="BI35">
        <f>SYSCLK!CH34/$B$2</f>
        <v>1.625</v>
      </c>
      <c r="BJ35">
        <f>SYSCLK!CI34/$B$2</f>
        <v>1.5</v>
      </c>
      <c r="BK35">
        <f>SYSCLK!CJ34/$B$2</f>
        <v>1.3928571428571428</v>
      </c>
      <c r="BL35">
        <f>SYSCLK!CK34/$B$2</f>
        <v>1.3</v>
      </c>
      <c r="BM35">
        <f>SYSCLK!CL34/$B$2</f>
        <v>1.21875</v>
      </c>
    </row>
    <row r="36" spans="2:65">
      <c r="B36">
        <f>SYSCLK!AA35/$B$2</f>
        <v>0</v>
      </c>
      <c r="C36">
        <f>SYSCLK!AB35/$B$2</f>
        <v>40</v>
      </c>
      <c r="D36">
        <f>SYSCLK!AC35/$B$2</f>
        <v>26.666666666666664</v>
      </c>
      <c r="E36">
        <f>SYSCLK!AD35/$B$2</f>
        <v>20</v>
      </c>
      <c r="F36">
        <f>SYSCLK!AE35/$B$2</f>
        <v>16</v>
      </c>
      <c r="G36">
        <f>SYSCLK!AF35/$B$2</f>
        <v>13.333333333333332</v>
      </c>
      <c r="H36">
        <f>SYSCLK!AG35/$B$2</f>
        <v>11.428571428571427</v>
      </c>
      <c r="I36">
        <f>SYSCLK!AH35/$B$2</f>
        <v>10</v>
      </c>
      <c r="J36">
        <f>SYSCLK!AI35/$B$2</f>
        <v>8.8888888888888893</v>
      </c>
      <c r="K36">
        <f>SYSCLK!AJ35/$B$2</f>
        <v>8</v>
      </c>
      <c r="L36">
        <f>SYSCLK!AK35/$B$2</f>
        <v>7.2727272727272734</v>
      </c>
      <c r="M36">
        <f>SYSCLK!AL35/$B$2</f>
        <v>6.6666666666666661</v>
      </c>
      <c r="N36">
        <f>SYSCLK!AM35/$B$2</f>
        <v>6.1538461538461542</v>
      </c>
      <c r="O36">
        <f>SYSCLK!AN35/$B$2</f>
        <v>5.7142857142857135</v>
      </c>
      <c r="P36">
        <f>SYSCLK!AO35/$B$2</f>
        <v>5.333333333333333</v>
      </c>
      <c r="Q36">
        <f>SYSCLK!AP35/$B$2</f>
        <v>5</v>
      </c>
      <c r="R36" s="117">
        <f>SYSCLK!AQ35/$B$2</f>
        <v>40</v>
      </c>
      <c r="S36">
        <f>SYSCLK!AR35/$B$2</f>
        <v>20</v>
      </c>
      <c r="T36">
        <f>SYSCLK!AS35/$B$2</f>
        <v>13.333333333333332</v>
      </c>
      <c r="U36">
        <f>SYSCLK!AT35/$B$2</f>
        <v>10</v>
      </c>
      <c r="V36">
        <f>SYSCLK!AU35/$B$2</f>
        <v>8</v>
      </c>
      <c r="W36">
        <f>SYSCLK!AV35/$B$2</f>
        <v>6.6666666666666661</v>
      </c>
      <c r="X36">
        <f>SYSCLK!AW35/$B$2</f>
        <v>5.7142857142857135</v>
      </c>
      <c r="Y36">
        <f>SYSCLK!AX35/$B$2</f>
        <v>5</v>
      </c>
      <c r="Z36">
        <f>SYSCLK!AY35/$B$2</f>
        <v>4.4444444444444446</v>
      </c>
      <c r="AA36">
        <f>SYSCLK!AZ35/$B$2</f>
        <v>4</v>
      </c>
      <c r="AB36">
        <f>SYSCLK!BA35/$B$2</f>
        <v>3.6363636363636367</v>
      </c>
      <c r="AC36">
        <f>SYSCLK!BB35/$B$2</f>
        <v>3.333333333333333</v>
      </c>
      <c r="AD36">
        <f>SYSCLK!BC35/$B$2</f>
        <v>3.0769230769230771</v>
      </c>
      <c r="AE36">
        <f>SYSCLK!BD35/$B$2</f>
        <v>2.8571428571428568</v>
      </c>
      <c r="AF36">
        <f>SYSCLK!BE35/$B$2</f>
        <v>2.6666666666666665</v>
      </c>
      <c r="AG36" s="118">
        <f>SYSCLK!BF35/$B$2</f>
        <v>2.5</v>
      </c>
      <c r="AH36">
        <f>SYSCLK!BG35/$B$2</f>
        <v>26.666666666666668</v>
      </c>
      <c r="AI36">
        <f>SYSCLK!BH35/$B$2</f>
        <v>13.333333333333334</v>
      </c>
      <c r="AJ36">
        <f>SYSCLK!BI35/$B$2</f>
        <v>8.8888888888888875</v>
      </c>
      <c r="AK36">
        <f>SYSCLK!BJ35/$B$2</f>
        <v>6.666666666666667</v>
      </c>
      <c r="AL36">
        <f>SYSCLK!BK35/$B$2</f>
        <v>5.333333333333333</v>
      </c>
      <c r="AM36">
        <f>SYSCLK!BL35/$B$2</f>
        <v>4.4444444444444438</v>
      </c>
      <c r="AN36">
        <f>SYSCLK!BM35/$B$2</f>
        <v>3.8095238095238089</v>
      </c>
      <c r="AO36">
        <f>SYSCLK!BN35/$B$2</f>
        <v>3.3333333333333335</v>
      </c>
      <c r="AP36">
        <f>SYSCLK!BO35/$B$2</f>
        <v>2.9629629629629632</v>
      </c>
      <c r="AQ36">
        <f>SYSCLK!BP35/$B$2</f>
        <v>2.6666666666666665</v>
      </c>
      <c r="AR36">
        <f>SYSCLK!BQ35/$B$2</f>
        <v>2.4242424242424243</v>
      </c>
      <c r="AS36">
        <f>SYSCLK!BR35/$B$2</f>
        <v>2.2222222222222219</v>
      </c>
      <c r="AT36">
        <f>SYSCLK!BS35/$B$2</f>
        <v>2.0512820512820515</v>
      </c>
      <c r="AU36">
        <f>SYSCLK!BT35/$B$2</f>
        <v>1.9047619047619044</v>
      </c>
      <c r="AV36">
        <f>SYSCLK!BU35/$B$2</f>
        <v>1.7777777777777777</v>
      </c>
      <c r="AW36">
        <f>SYSCLK!BV35/$B$2</f>
        <v>1.6666666666666667</v>
      </c>
      <c r="AX36" s="117">
        <f>SYSCLK!BW35/$B$2</f>
        <v>20</v>
      </c>
      <c r="AY36">
        <f>SYSCLK!BX35/$B$2</f>
        <v>10</v>
      </c>
      <c r="AZ36">
        <f>SYSCLK!BY35/$B$2</f>
        <v>6.6666666666666661</v>
      </c>
      <c r="BA36">
        <f>SYSCLK!BZ35/$B$2</f>
        <v>5</v>
      </c>
      <c r="BB36">
        <f>SYSCLK!CA35/$B$2</f>
        <v>4</v>
      </c>
      <c r="BC36">
        <f>SYSCLK!CB35/$B$2</f>
        <v>3.333333333333333</v>
      </c>
      <c r="BD36">
        <f>SYSCLK!CC35/$B$2</f>
        <v>2.8571428571428568</v>
      </c>
      <c r="BE36">
        <f>SYSCLK!CD35/$B$2</f>
        <v>2.5</v>
      </c>
      <c r="BF36">
        <f>SYSCLK!CE35/$B$2</f>
        <v>2.2222222222222223</v>
      </c>
      <c r="BG36">
        <f>SYSCLK!CF35/$B$2</f>
        <v>2</v>
      </c>
      <c r="BH36">
        <f>SYSCLK!CG35/$B$2</f>
        <v>1.8181818181818183</v>
      </c>
      <c r="BI36">
        <f>SYSCLK!CH35/$B$2</f>
        <v>1.6666666666666665</v>
      </c>
      <c r="BJ36">
        <f>SYSCLK!CI35/$B$2</f>
        <v>1.5384615384615385</v>
      </c>
      <c r="BK36">
        <f>SYSCLK!CJ35/$B$2</f>
        <v>1.4285714285714284</v>
      </c>
      <c r="BL36">
        <f>SYSCLK!CK35/$B$2</f>
        <v>1.3333333333333333</v>
      </c>
      <c r="BM36">
        <f>SYSCLK!CL35/$B$2</f>
        <v>1.25</v>
      </c>
    </row>
    <row r="37" spans="2:65">
      <c r="B37">
        <f>SYSCLK!AA36/$B$2</f>
        <v>0</v>
      </c>
      <c r="C37">
        <f>SYSCLK!AB36/$B$2</f>
        <v>41</v>
      </c>
      <c r="D37">
        <f>SYSCLK!AC36/$B$2</f>
        <v>27.333333333333332</v>
      </c>
      <c r="E37">
        <f>SYSCLK!AD36/$B$2</f>
        <v>20.5</v>
      </c>
      <c r="F37">
        <f>SYSCLK!AE36/$B$2</f>
        <v>16.400000000000002</v>
      </c>
      <c r="G37">
        <f>SYSCLK!AF36/$B$2</f>
        <v>13.666666666666666</v>
      </c>
      <c r="H37">
        <f>SYSCLK!AG36/$B$2</f>
        <v>11.714285714285714</v>
      </c>
      <c r="I37">
        <f>SYSCLK!AH36/$B$2</f>
        <v>10.25</v>
      </c>
      <c r="J37">
        <f>SYSCLK!AI36/$B$2</f>
        <v>9.1111111111111107</v>
      </c>
      <c r="K37">
        <f>SYSCLK!AJ36/$B$2</f>
        <v>8.2000000000000011</v>
      </c>
      <c r="L37">
        <f>SYSCLK!AK36/$B$2</f>
        <v>7.454545454545455</v>
      </c>
      <c r="M37">
        <f>SYSCLK!AL36/$B$2</f>
        <v>6.833333333333333</v>
      </c>
      <c r="N37">
        <f>SYSCLK!AM36/$B$2</f>
        <v>6.3076923076923084</v>
      </c>
      <c r="O37">
        <f>SYSCLK!AN36/$B$2</f>
        <v>5.8571428571428568</v>
      </c>
      <c r="P37">
        <f>SYSCLK!AO36/$B$2</f>
        <v>5.4666666666666668</v>
      </c>
      <c r="Q37">
        <f>SYSCLK!AP36/$B$2</f>
        <v>5.125</v>
      </c>
      <c r="R37" s="117">
        <f>SYSCLK!AQ36/$B$2</f>
        <v>41</v>
      </c>
      <c r="S37">
        <f>SYSCLK!AR36/$B$2</f>
        <v>20.5</v>
      </c>
      <c r="T37">
        <f>SYSCLK!AS36/$B$2</f>
        <v>13.666666666666666</v>
      </c>
      <c r="U37">
        <f>SYSCLK!AT36/$B$2</f>
        <v>10.25</v>
      </c>
      <c r="V37">
        <f>SYSCLK!AU36/$B$2</f>
        <v>8.2000000000000011</v>
      </c>
      <c r="W37">
        <f>SYSCLK!AV36/$B$2</f>
        <v>6.833333333333333</v>
      </c>
      <c r="X37">
        <f>SYSCLK!AW36/$B$2</f>
        <v>5.8571428571428568</v>
      </c>
      <c r="Y37">
        <f>SYSCLK!AX36/$B$2</f>
        <v>5.125</v>
      </c>
      <c r="Z37">
        <f>SYSCLK!AY36/$B$2</f>
        <v>4.5555555555555554</v>
      </c>
      <c r="AA37">
        <f>SYSCLK!AZ36/$B$2</f>
        <v>4.1000000000000005</v>
      </c>
      <c r="AB37">
        <f>SYSCLK!BA36/$B$2</f>
        <v>3.7272727272727275</v>
      </c>
      <c r="AC37">
        <f>SYSCLK!BB36/$B$2</f>
        <v>3.4166666666666665</v>
      </c>
      <c r="AD37">
        <f>SYSCLK!BC36/$B$2</f>
        <v>3.1538461538461542</v>
      </c>
      <c r="AE37">
        <f>SYSCLK!BD36/$B$2</f>
        <v>2.9285714285714284</v>
      </c>
      <c r="AF37">
        <f>SYSCLK!BE36/$B$2</f>
        <v>2.7333333333333334</v>
      </c>
      <c r="AG37" s="118">
        <f>SYSCLK!BF36/$B$2</f>
        <v>2.5625</v>
      </c>
      <c r="AH37">
        <f>SYSCLK!BG36/$B$2</f>
        <v>27.333333333333332</v>
      </c>
      <c r="AI37">
        <f>SYSCLK!BH36/$B$2</f>
        <v>13.666666666666666</v>
      </c>
      <c r="AJ37">
        <f>SYSCLK!BI36/$B$2</f>
        <v>9.1111111111111107</v>
      </c>
      <c r="AK37">
        <f>SYSCLK!BJ36/$B$2</f>
        <v>6.833333333333333</v>
      </c>
      <c r="AL37">
        <f>SYSCLK!BK36/$B$2</f>
        <v>5.4666666666666677</v>
      </c>
      <c r="AM37">
        <f>SYSCLK!BL36/$B$2</f>
        <v>4.5555555555555554</v>
      </c>
      <c r="AN37">
        <f>SYSCLK!BM36/$B$2</f>
        <v>3.9047619047619047</v>
      </c>
      <c r="AO37">
        <f>SYSCLK!BN36/$B$2</f>
        <v>3.4166666666666665</v>
      </c>
      <c r="AP37">
        <f>SYSCLK!BO36/$B$2</f>
        <v>3.0370370370370368</v>
      </c>
      <c r="AQ37">
        <f>SYSCLK!BP36/$B$2</f>
        <v>2.7333333333333338</v>
      </c>
      <c r="AR37">
        <f>SYSCLK!BQ36/$B$2</f>
        <v>2.4848484848484849</v>
      </c>
      <c r="AS37">
        <f>SYSCLK!BR36/$B$2</f>
        <v>2.2777777777777777</v>
      </c>
      <c r="AT37">
        <f>SYSCLK!BS36/$B$2</f>
        <v>2.1025641025641026</v>
      </c>
      <c r="AU37">
        <f>SYSCLK!BT36/$B$2</f>
        <v>1.9523809523809523</v>
      </c>
      <c r="AV37">
        <f>SYSCLK!BU36/$B$2</f>
        <v>1.8222222222222222</v>
      </c>
      <c r="AW37">
        <f>SYSCLK!BV36/$B$2</f>
        <v>1.7083333333333333</v>
      </c>
      <c r="AX37" s="117">
        <f>SYSCLK!BW36/$B$2</f>
        <v>20.5</v>
      </c>
      <c r="AY37">
        <f>SYSCLK!BX36/$B$2</f>
        <v>10.25</v>
      </c>
      <c r="AZ37">
        <f>SYSCLK!BY36/$B$2</f>
        <v>6.833333333333333</v>
      </c>
      <c r="BA37">
        <f>SYSCLK!BZ36/$B$2</f>
        <v>5.125</v>
      </c>
      <c r="BB37">
        <f>SYSCLK!CA36/$B$2</f>
        <v>4.1000000000000005</v>
      </c>
      <c r="BC37">
        <f>SYSCLK!CB36/$B$2</f>
        <v>3.4166666666666665</v>
      </c>
      <c r="BD37">
        <f>SYSCLK!CC36/$B$2</f>
        <v>2.9285714285714284</v>
      </c>
      <c r="BE37">
        <f>SYSCLK!CD36/$B$2</f>
        <v>2.5625</v>
      </c>
      <c r="BF37">
        <f>SYSCLK!CE36/$B$2</f>
        <v>2.2777777777777777</v>
      </c>
      <c r="BG37">
        <f>SYSCLK!CF36/$B$2</f>
        <v>2.0500000000000003</v>
      </c>
      <c r="BH37">
        <f>SYSCLK!CG36/$B$2</f>
        <v>1.8636363636363638</v>
      </c>
      <c r="BI37">
        <f>SYSCLK!CH36/$B$2</f>
        <v>1.7083333333333333</v>
      </c>
      <c r="BJ37">
        <f>SYSCLK!CI36/$B$2</f>
        <v>1.5769230769230771</v>
      </c>
      <c r="BK37">
        <f>SYSCLK!CJ36/$B$2</f>
        <v>1.4642857142857142</v>
      </c>
      <c r="BL37">
        <f>SYSCLK!CK36/$B$2</f>
        <v>1.3666666666666667</v>
      </c>
      <c r="BM37">
        <f>SYSCLK!CL36/$B$2</f>
        <v>1.28125</v>
      </c>
    </row>
    <row r="38" spans="2:65">
      <c r="B38">
        <f>SYSCLK!AA37/$B$2</f>
        <v>0</v>
      </c>
      <c r="C38">
        <f>SYSCLK!AB37/$B$2</f>
        <v>42</v>
      </c>
      <c r="D38">
        <f>SYSCLK!AC37/$B$2</f>
        <v>28</v>
      </c>
      <c r="E38">
        <f>SYSCLK!AD37/$B$2</f>
        <v>21</v>
      </c>
      <c r="F38">
        <f>SYSCLK!AE37/$B$2</f>
        <v>16.8</v>
      </c>
      <c r="G38">
        <f>SYSCLK!AF37/$B$2</f>
        <v>14</v>
      </c>
      <c r="H38">
        <f>SYSCLK!AG37/$B$2</f>
        <v>12</v>
      </c>
      <c r="I38">
        <f>SYSCLK!AH37/$B$2</f>
        <v>10.5</v>
      </c>
      <c r="J38">
        <f>SYSCLK!AI37/$B$2</f>
        <v>9.3333333333333321</v>
      </c>
      <c r="K38">
        <f>SYSCLK!AJ37/$B$2</f>
        <v>8.4</v>
      </c>
      <c r="L38">
        <f>SYSCLK!AK37/$B$2</f>
        <v>7.6363636363636367</v>
      </c>
      <c r="M38">
        <f>SYSCLK!AL37/$B$2</f>
        <v>7</v>
      </c>
      <c r="N38">
        <f>SYSCLK!AM37/$B$2</f>
        <v>6.4615384615384617</v>
      </c>
      <c r="O38">
        <f>SYSCLK!AN37/$B$2</f>
        <v>6</v>
      </c>
      <c r="P38">
        <f>SYSCLK!AO37/$B$2</f>
        <v>5.6</v>
      </c>
      <c r="Q38">
        <f>SYSCLK!AP37/$B$2</f>
        <v>5.25</v>
      </c>
      <c r="R38" s="117">
        <f>SYSCLK!AQ37/$B$2</f>
        <v>42</v>
      </c>
      <c r="S38">
        <f>SYSCLK!AR37/$B$2</f>
        <v>21</v>
      </c>
      <c r="T38">
        <f>SYSCLK!AS37/$B$2</f>
        <v>14</v>
      </c>
      <c r="U38">
        <f>SYSCLK!AT37/$B$2</f>
        <v>10.5</v>
      </c>
      <c r="V38">
        <f>SYSCLK!AU37/$B$2</f>
        <v>8.4</v>
      </c>
      <c r="W38">
        <f>SYSCLK!AV37/$B$2</f>
        <v>7</v>
      </c>
      <c r="X38">
        <f>SYSCLK!AW37/$B$2</f>
        <v>6</v>
      </c>
      <c r="Y38">
        <f>SYSCLK!AX37/$B$2</f>
        <v>5.25</v>
      </c>
      <c r="Z38">
        <f>SYSCLK!AY37/$B$2</f>
        <v>4.6666666666666661</v>
      </c>
      <c r="AA38">
        <f>SYSCLK!AZ37/$B$2</f>
        <v>4.2</v>
      </c>
      <c r="AB38">
        <f>SYSCLK!BA37/$B$2</f>
        <v>3.8181818181818183</v>
      </c>
      <c r="AC38">
        <f>SYSCLK!BB37/$B$2</f>
        <v>3.5</v>
      </c>
      <c r="AD38">
        <f>SYSCLK!BC37/$B$2</f>
        <v>3.2307692307692308</v>
      </c>
      <c r="AE38">
        <f>SYSCLK!BD37/$B$2</f>
        <v>3</v>
      </c>
      <c r="AF38">
        <f>SYSCLK!BE37/$B$2</f>
        <v>2.8</v>
      </c>
      <c r="AG38" s="118">
        <f>SYSCLK!BF37/$B$2</f>
        <v>2.625</v>
      </c>
      <c r="AH38">
        <f>SYSCLK!BG37/$B$2</f>
        <v>28</v>
      </c>
      <c r="AI38">
        <f>SYSCLK!BH37/$B$2</f>
        <v>14</v>
      </c>
      <c r="AJ38">
        <f>SYSCLK!BI37/$B$2</f>
        <v>9.3333333333333339</v>
      </c>
      <c r="AK38">
        <f>SYSCLK!BJ37/$B$2</f>
        <v>7</v>
      </c>
      <c r="AL38">
        <f>SYSCLK!BK37/$B$2</f>
        <v>5.6000000000000005</v>
      </c>
      <c r="AM38">
        <f>SYSCLK!BL37/$B$2</f>
        <v>4.666666666666667</v>
      </c>
      <c r="AN38">
        <f>SYSCLK!BM37/$B$2</f>
        <v>4</v>
      </c>
      <c r="AO38">
        <f>SYSCLK!BN37/$B$2</f>
        <v>3.5</v>
      </c>
      <c r="AP38">
        <f>SYSCLK!BO37/$B$2</f>
        <v>3.1111111111111107</v>
      </c>
      <c r="AQ38">
        <f>SYSCLK!BP37/$B$2</f>
        <v>2.8000000000000003</v>
      </c>
      <c r="AR38">
        <f>SYSCLK!BQ37/$B$2</f>
        <v>2.5454545454545454</v>
      </c>
      <c r="AS38">
        <f>SYSCLK!BR37/$B$2</f>
        <v>2.3333333333333335</v>
      </c>
      <c r="AT38">
        <f>SYSCLK!BS37/$B$2</f>
        <v>2.1538461538461537</v>
      </c>
      <c r="AU38">
        <f>SYSCLK!BT37/$B$2</f>
        <v>2</v>
      </c>
      <c r="AV38">
        <f>SYSCLK!BU37/$B$2</f>
        <v>1.8666666666666665</v>
      </c>
      <c r="AW38">
        <f>SYSCLK!BV37/$B$2</f>
        <v>1.75</v>
      </c>
      <c r="AX38" s="117">
        <f>SYSCLK!BW37/$B$2</f>
        <v>21</v>
      </c>
      <c r="AY38">
        <f>SYSCLK!BX37/$B$2</f>
        <v>10.5</v>
      </c>
      <c r="AZ38">
        <f>SYSCLK!BY37/$B$2</f>
        <v>7</v>
      </c>
      <c r="BA38">
        <f>SYSCLK!BZ37/$B$2</f>
        <v>5.25</v>
      </c>
      <c r="BB38">
        <f>SYSCLK!CA37/$B$2</f>
        <v>4.2</v>
      </c>
      <c r="BC38">
        <f>SYSCLK!CB37/$B$2</f>
        <v>3.5</v>
      </c>
      <c r="BD38">
        <f>SYSCLK!CC37/$B$2</f>
        <v>3</v>
      </c>
      <c r="BE38">
        <f>SYSCLK!CD37/$B$2</f>
        <v>2.625</v>
      </c>
      <c r="BF38">
        <f>SYSCLK!CE37/$B$2</f>
        <v>2.333333333333333</v>
      </c>
      <c r="BG38">
        <f>SYSCLK!CF37/$B$2</f>
        <v>2.1</v>
      </c>
      <c r="BH38">
        <f>SYSCLK!CG37/$B$2</f>
        <v>1.9090909090909092</v>
      </c>
      <c r="BI38">
        <f>SYSCLK!CH37/$B$2</f>
        <v>1.75</v>
      </c>
      <c r="BJ38">
        <f>SYSCLK!CI37/$B$2</f>
        <v>1.6153846153846154</v>
      </c>
      <c r="BK38">
        <f>SYSCLK!CJ37/$B$2</f>
        <v>1.5</v>
      </c>
      <c r="BL38">
        <f>SYSCLK!CK37/$B$2</f>
        <v>1.4</v>
      </c>
      <c r="BM38">
        <f>SYSCLK!CL37/$B$2</f>
        <v>1.3125</v>
      </c>
    </row>
    <row r="39" spans="2:65">
      <c r="B39">
        <f>SYSCLK!AA38/$B$2</f>
        <v>0</v>
      </c>
      <c r="C39">
        <f>SYSCLK!AB38/$B$2</f>
        <v>0</v>
      </c>
      <c r="D39">
        <f>SYSCLK!AC38/$B$2</f>
        <v>28.666666666666664</v>
      </c>
      <c r="E39">
        <f>SYSCLK!AD38/$B$2</f>
        <v>21.5</v>
      </c>
      <c r="F39">
        <f>SYSCLK!AE38/$B$2</f>
        <v>17.2</v>
      </c>
      <c r="G39">
        <f>SYSCLK!AF38/$B$2</f>
        <v>14.333333333333332</v>
      </c>
      <c r="H39">
        <f>SYSCLK!AG38/$B$2</f>
        <v>12.285714285714285</v>
      </c>
      <c r="I39">
        <f>SYSCLK!AH38/$B$2</f>
        <v>10.75</v>
      </c>
      <c r="J39">
        <f>SYSCLK!AI38/$B$2</f>
        <v>9.5555555555555554</v>
      </c>
      <c r="K39">
        <f>SYSCLK!AJ38/$B$2</f>
        <v>8.6</v>
      </c>
      <c r="L39">
        <f>SYSCLK!AK38/$B$2</f>
        <v>7.8181818181818183</v>
      </c>
      <c r="M39">
        <f>SYSCLK!AL38/$B$2</f>
        <v>7.1666666666666661</v>
      </c>
      <c r="N39">
        <f>SYSCLK!AM38/$B$2</f>
        <v>6.6153846153846159</v>
      </c>
      <c r="O39">
        <f>SYSCLK!AN38/$B$2</f>
        <v>6.1428571428571423</v>
      </c>
      <c r="P39">
        <f>SYSCLK!AO38/$B$2</f>
        <v>5.7333333333333334</v>
      </c>
      <c r="Q39">
        <f>SYSCLK!AP38/$B$2</f>
        <v>5.375</v>
      </c>
      <c r="R39" s="117">
        <f>SYSCLK!AQ38/$B$2</f>
        <v>0</v>
      </c>
      <c r="S39">
        <f>SYSCLK!AR38/$B$2</f>
        <v>21.5</v>
      </c>
      <c r="T39">
        <f>SYSCLK!AS38/$B$2</f>
        <v>14.333333333333332</v>
      </c>
      <c r="U39">
        <f>SYSCLK!AT38/$B$2</f>
        <v>10.75</v>
      </c>
      <c r="V39">
        <f>SYSCLK!AU38/$B$2</f>
        <v>8.6</v>
      </c>
      <c r="W39">
        <f>SYSCLK!AV38/$B$2</f>
        <v>7.1666666666666661</v>
      </c>
      <c r="X39">
        <f>SYSCLK!AW38/$B$2</f>
        <v>6.1428571428571423</v>
      </c>
      <c r="Y39">
        <f>SYSCLK!AX38/$B$2</f>
        <v>5.375</v>
      </c>
      <c r="Z39">
        <f>SYSCLK!AY38/$B$2</f>
        <v>4.7777777777777777</v>
      </c>
      <c r="AA39">
        <f>SYSCLK!AZ38/$B$2</f>
        <v>4.3</v>
      </c>
      <c r="AB39">
        <f>SYSCLK!BA38/$B$2</f>
        <v>3.9090909090909092</v>
      </c>
      <c r="AC39">
        <f>SYSCLK!BB38/$B$2</f>
        <v>3.583333333333333</v>
      </c>
      <c r="AD39">
        <f>SYSCLK!BC38/$B$2</f>
        <v>3.3076923076923079</v>
      </c>
      <c r="AE39">
        <f>SYSCLK!BD38/$B$2</f>
        <v>3.0714285714285712</v>
      </c>
      <c r="AF39">
        <f>SYSCLK!BE38/$B$2</f>
        <v>2.8666666666666667</v>
      </c>
      <c r="AG39" s="118">
        <f>SYSCLK!BF38/$B$2</f>
        <v>2.6875</v>
      </c>
      <c r="AH39">
        <f>SYSCLK!BG38/$B$2</f>
        <v>28.666666666666668</v>
      </c>
      <c r="AI39">
        <f>SYSCLK!BH38/$B$2</f>
        <v>14.333333333333334</v>
      </c>
      <c r="AJ39">
        <f>SYSCLK!BI38/$B$2</f>
        <v>9.5555555555555554</v>
      </c>
      <c r="AK39">
        <f>SYSCLK!BJ38/$B$2</f>
        <v>7.166666666666667</v>
      </c>
      <c r="AL39">
        <f>SYSCLK!BK38/$B$2</f>
        <v>5.7333333333333334</v>
      </c>
      <c r="AM39">
        <f>SYSCLK!BL38/$B$2</f>
        <v>4.7777777777777777</v>
      </c>
      <c r="AN39">
        <f>SYSCLK!BM38/$B$2</f>
        <v>4.0952380952380949</v>
      </c>
      <c r="AO39">
        <f>SYSCLK!BN38/$B$2</f>
        <v>3.5833333333333335</v>
      </c>
      <c r="AP39">
        <f>SYSCLK!BO38/$B$2</f>
        <v>3.1851851851851851</v>
      </c>
      <c r="AQ39">
        <f>SYSCLK!BP38/$B$2</f>
        <v>2.8666666666666667</v>
      </c>
      <c r="AR39">
        <f>SYSCLK!BQ38/$B$2</f>
        <v>2.606060606060606</v>
      </c>
      <c r="AS39">
        <f>SYSCLK!BR38/$B$2</f>
        <v>2.3888888888888888</v>
      </c>
      <c r="AT39">
        <f>SYSCLK!BS38/$B$2</f>
        <v>2.2051282051282053</v>
      </c>
      <c r="AU39">
        <f>SYSCLK!BT38/$B$2</f>
        <v>2.0476190476190474</v>
      </c>
      <c r="AV39">
        <f>SYSCLK!BU38/$B$2</f>
        <v>1.9111111111111112</v>
      </c>
      <c r="AW39">
        <f>SYSCLK!BV38/$B$2</f>
        <v>1.7916666666666667</v>
      </c>
      <c r="AX39" s="117">
        <f>SYSCLK!BW38/$B$2</f>
        <v>21.5</v>
      </c>
      <c r="AY39">
        <f>SYSCLK!BX38/$B$2</f>
        <v>10.75</v>
      </c>
      <c r="AZ39">
        <f>SYSCLK!BY38/$B$2</f>
        <v>7.1666666666666661</v>
      </c>
      <c r="BA39">
        <f>SYSCLK!BZ38/$B$2</f>
        <v>5.375</v>
      </c>
      <c r="BB39">
        <f>SYSCLK!CA38/$B$2</f>
        <v>4.3</v>
      </c>
      <c r="BC39">
        <f>SYSCLK!CB38/$B$2</f>
        <v>3.583333333333333</v>
      </c>
      <c r="BD39">
        <f>SYSCLK!CC38/$B$2</f>
        <v>3.0714285714285712</v>
      </c>
      <c r="BE39">
        <f>SYSCLK!CD38/$B$2</f>
        <v>2.6875</v>
      </c>
      <c r="BF39">
        <f>SYSCLK!CE38/$B$2</f>
        <v>2.3888888888888888</v>
      </c>
      <c r="BG39">
        <f>SYSCLK!CF38/$B$2</f>
        <v>2.15</v>
      </c>
      <c r="BH39">
        <f>SYSCLK!CG38/$B$2</f>
        <v>1.9545454545454546</v>
      </c>
      <c r="BI39">
        <f>SYSCLK!CH38/$B$2</f>
        <v>1.7916666666666665</v>
      </c>
      <c r="BJ39">
        <f>SYSCLK!CI38/$B$2</f>
        <v>1.653846153846154</v>
      </c>
      <c r="BK39">
        <f>SYSCLK!CJ38/$B$2</f>
        <v>1.5357142857142856</v>
      </c>
      <c r="BL39">
        <f>SYSCLK!CK38/$B$2</f>
        <v>1.4333333333333333</v>
      </c>
      <c r="BM39">
        <f>SYSCLK!CL38/$B$2</f>
        <v>1.34375</v>
      </c>
    </row>
    <row r="40" spans="2:65">
      <c r="B40">
        <f>SYSCLK!AA39/$B$2</f>
        <v>0</v>
      </c>
      <c r="C40">
        <f>SYSCLK!AB39/$B$2</f>
        <v>0</v>
      </c>
      <c r="D40">
        <f>SYSCLK!AC39/$B$2</f>
        <v>29.333333333333332</v>
      </c>
      <c r="E40">
        <f>SYSCLK!AD39/$B$2</f>
        <v>22</v>
      </c>
      <c r="F40">
        <f>SYSCLK!AE39/$B$2</f>
        <v>17.600000000000001</v>
      </c>
      <c r="G40">
        <f>SYSCLK!AF39/$B$2</f>
        <v>14.666666666666666</v>
      </c>
      <c r="H40">
        <f>SYSCLK!AG39/$B$2</f>
        <v>12.571428571428571</v>
      </c>
      <c r="I40">
        <f>SYSCLK!AH39/$B$2</f>
        <v>11</v>
      </c>
      <c r="J40">
        <f>SYSCLK!AI39/$B$2</f>
        <v>9.7777777777777768</v>
      </c>
      <c r="K40">
        <f>SYSCLK!AJ39/$B$2</f>
        <v>8.8000000000000007</v>
      </c>
      <c r="L40">
        <f>SYSCLK!AK39/$B$2</f>
        <v>8</v>
      </c>
      <c r="M40">
        <f>SYSCLK!AL39/$B$2</f>
        <v>7.333333333333333</v>
      </c>
      <c r="N40">
        <f>SYSCLK!AM39/$B$2</f>
        <v>6.7692307692307701</v>
      </c>
      <c r="O40">
        <f>SYSCLK!AN39/$B$2</f>
        <v>6.2857142857142856</v>
      </c>
      <c r="P40">
        <f>SYSCLK!AO39/$B$2</f>
        <v>5.8666666666666663</v>
      </c>
      <c r="Q40">
        <f>SYSCLK!AP39/$B$2</f>
        <v>5.5</v>
      </c>
      <c r="R40" s="117">
        <f>SYSCLK!AQ39/$B$2</f>
        <v>0</v>
      </c>
      <c r="S40">
        <f>SYSCLK!AR39/$B$2</f>
        <v>22</v>
      </c>
      <c r="T40">
        <f>SYSCLK!AS39/$B$2</f>
        <v>14.666666666666666</v>
      </c>
      <c r="U40">
        <f>SYSCLK!AT39/$B$2</f>
        <v>11</v>
      </c>
      <c r="V40">
        <f>SYSCLK!AU39/$B$2</f>
        <v>8.8000000000000007</v>
      </c>
      <c r="W40">
        <f>SYSCLK!AV39/$B$2</f>
        <v>7.333333333333333</v>
      </c>
      <c r="X40">
        <f>SYSCLK!AW39/$B$2</f>
        <v>6.2857142857142856</v>
      </c>
      <c r="Y40">
        <f>SYSCLK!AX39/$B$2</f>
        <v>5.5</v>
      </c>
      <c r="Z40">
        <f>SYSCLK!AY39/$B$2</f>
        <v>4.8888888888888884</v>
      </c>
      <c r="AA40">
        <f>SYSCLK!AZ39/$B$2</f>
        <v>4.4000000000000004</v>
      </c>
      <c r="AB40">
        <f>SYSCLK!BA39/$B$2</f>
        <v>4</v>
      </c>
      <c r="AC40">
        <f>SYSCLK!BB39/$B$2</f>
        <v>3.6666666666666665</v>
      </c>
      <c r="AD40">
        <f>SYSCLK!BC39/$B$2</f>
        <v>3.384615384615385</v>
      </c>
      <c r="AE40">
        <f>SYSCLK!BD39/$B$2</f>
        <v>3.1428571428571428</v>
      </c>
      <c r="AF40">
        <f>SYSCLK!BE39/$B$2</f>
        <v>2.9333333333333331</v>
      </c>
      <c r="AG40" s="118">
        <f>SYSCLK!BF39/$B$2</f>
        <v>2.75</v>
      </c>
      <c r="AH40">
        <f>SYSCLK!BG39/$B$2</f>
        <v>29.333333333333332</v>
      </c>
      <c r="AI40">
        <f>SYSCLK!BH39/$B$2</f>
        <v>14.666666666666666</v>
      </c>
      <c r="AJ40">
        <f>SYSCLK!BI39/$B$2</f>
        <v>9.7777777777777768</v>
      </c>
      <c r="AK40">
        <f>SYSCLK!BJ39/$B$2</f>
        <v>7.333333333333333</v>
      </c>
      <c r="AL40">
        <f>SYSCLK!BK39/$B$2</f>
        <v>5.8666666666666671</v>
      </c>
      <c r="AM40">
        <f>SYSCLK!BL39/$B$2</f>
        <v>4.8888888888888884</v>
      </c>
      <c r="AN40">
        <f>SYSCLK!BM39/$B$2</f>
        <v>4.1904761904761907</v>
      </c>
      <c r="AO40">
        <f>SYSCLK!BN39/$B$2</f>
        <v>3.6666666666666665</v>
      </c>
      <c r="AP40">
        <f>SYSCLK!BO39/$B$2</f>
        <v>3.2592592592592591</v>
      </c>
      <c r="AQ40">
        <f>SYSCLK!BP39/$B$2</f>
        <v>2.9333333333333336</v>
      </c>
      <c r="AR40">
        <f>SYSCLK!BQ39/$B$2</f>
        <v>2.6666666666666665</v>
      </c>
      <c r="AS40">
        <f>SYSCLK!BR39/$B$2</f>
        <v>2.4444444444444442</v>
      </c>
      <c r="AT40">
        <f>SYSCLK!BS39/$B$2</f>
        <v>2.2564102564102568</v>
      </c>
      <c r="AU40">
        <f>SYSCLK!BT39/$B$2</f>
        <v>2.0952380952380953</v>
      </c>
      <c r="AV40">
        <f>SYSCLK!BU39/$B$2</f>
        <v>1.9555555555555555</v>
      </c>
      <c r="AW40">
        <f>SYSCLK!BV39/$B$2</f>
        <v>1.8333333333333333</v>
      </c>
      <c r="AX40" s="117">
        <f>SYSCLK!BW39/$B$2</f>
        <v>22</v>
      </c>
      <c r="AY40">
        <f>SYSCLK!BX39/$B$2</f>
        <v>11</v>
      </c>
      <c r="AZ40">
        <f>SYSCLK!BY39/$B$2</f>
        <v>7.333333333333333</v>
      </c>
      <c r="BA40">
        <f>SYSCLK!BZ39/$B$2</f>
        <v>5.5</v>
      </c>
      <c r="BB40">
        <f>SYSCLK!CA39/$B$2</f>
        <v>4.4000000000000004</v>
      </c>
      <c r="BC40">
        <f>SYSCLK!CB39/$B$2</f>
        <v>3.6666666666666665</v>
      </c>
      <c r="BD40">
        <f>SYSCLK!CC39/$B$2</f>
        <v>3.1428571428571428</v>
      </c>
      <c r="BE40">
        <f>SYSCLK!CD39/$B$2</f>
        <v>2.75</v>
      </c>
      <c r="BF40">
        <f>SYSCLK!CE39/$B$2</f>
        <v>2.4444444444444442</v>
      </c>
      <c r="BG40">
        <f>SYSCLK!CF39/$B$2</f>
        <v>2.2000000000000002</v>
      </c>
      <c r="BH40">
        <f>SYSCLK!CG39/$B$2</f>
        <v>2</v>
      </c>
      <c r="BI40">
        <f>SYSCLK!CH39/$B$2</f>
        <v>1.8333333333333333</v>
      </c>
      <c r="BJ40">
        <f>SYSCLK!CI39/$B$2</f>
        <v>1.6923076923076925</v>
      </c>
      <c r="BK40">
        <f>SYSCLK!CJ39/$B$2</f>
        <v>1.5714285714285714</v>
      </c>
      <c r="BL40">
        <f>SYSCLK!CK39/$B$2</f>
        <v>1.4666666666666666</v>
      </c>
      <c r="BM40">
        <f>SYSCLK!CL39/$B$2</f>
        <v>1.375</v>
      </c>
    </row>
    <row r="41" spans="2:65">
      <c r="B41">
        <f>SYSCLK!AA40/$B$2</f>
        <v>0</v>
      </c>
      <c r="C41">
        <f>SYSCLK!AB40/$B$2</f>
        <v>0</v>
      </c>
      <c r="D41">
        <f>SYSCLK!AC40/$B$2</f>
        <v>30</v>
      </c>
      <c r="E41">
        <f>SYSCLK!AD40/$B$2</f>
        <v>22.5</v>
      </c>
      <c r="F41">
        <f>SYSCLK!AE40/$B$2</f>
        <v>18</v>
      </c>
      <c r="G41">
        <f>SYSCLK!AF40/$B$2</f>
        <v>15</v>
      </c>
      <c r="H41">
        <f>SYSCLK!AG40/$B$2</f>
        <v>12.857142857142856</v>
      </c>
      <c r="I41">
        <f>SYSCLK!AH40/$B$2</f>
        <v>11.25</v>
      </c>
      <c r="J41">
        <f>SYSCLK!AI40/$B$2</f>
        <v>10</v>
      </c>
      <c r="K41">
        <f>SYSCLK!AJ40/$B$2</f>
        <v>9</v>
      </c>
      <c r="L41">
        <f>SYSCLK!AK40/$B$2</f>
        <v>8.1818181818181817</v>
      </c>
      <c r="M41">
        <f>SYSCLK!AL40/$B$2</f>
        <v>7.5</v>
      </c>
      <c r="N41">
        <f>SYSCLK!AM40/$B$2</f>
        <v>6.9230769230769234</v>
      </c>
      <c r="O41">
        <f>SYSCLK!AN40/$B$2</f>
        <v>6.4285714285714279</v>
      </c>
      <c r="P41">
        <f>SYSCLK!AO40/$B$2</f>
        <v>6</v>
      </c>
      <c r="Q41">
        <f>SYSCLK!AP40/$B$2</f>
        <v>5.625</v>
      </c>
      <c r="R41" s="117">
        <f>SYSCLK!AQ40/$B$2</f>
        <v>0</v>
      </c>
      <c r="S41">
        <f>SYSCLK!AR40/$B$2</f>
        <v>22.5</v>
      </c>
      <c r="T41">
        <f>SYSCLK!AS40/$B$2</f>
        <v>15</v>
      </c>
      <c r="U41">
        <f>SYSCLK!AT40/$B$2</f>
        <v>11.25</v>
      </c>
      <c r="V41">
        <f>SYSCLK!AU40/$B$2</f>
        <v>9</v>
      </c>
      <c r="W41">
        <f>SYSCLK!AV40/$B$2</f>
        <v>7.5</v>
      </c>
      <c r="X41">
        <f>SYSCLK!AW40/$B$2</f>
        <v>6.4285714285714279</v>
      </c>
      <c r="Y41">
        <f>SYSCLK!AX40/$B$2</f>
        <v>5.625</v>
      </c>
      <c r="Z41">
        <f>SYSCLK!AY40/$B$2</f>
        <v>5</v>
      </c>
      <c r="AA41">
        <f>SYSCLK!AZ40/$B$2</f>
        <v>4.5</v>
      </c>
      <c r="AB41">
        <f>SYSCLK!BA40/$B$2</f>
        <v>4.0909090909090908</v>
      </c>
      <c r="AC41">
        <f>SYSCLK!BB40/$B$2</f>
        <v>3.75</v>
      </c>
      <c r="AD41">
        <f>SYSCLK!BC40/$B$2</f>
        <v>3.4615384615384617</v>
      </c>
      <c r="AE41">
        <f>SYSCLK!BD40/$B$2</f>
        <v>3.214285714285714</v>
      </c>
      <c r="AF41">
        <f>SYSCLK!BE40/$B$2</f>
        <v>3</v>
      </c>
      <c r="AG41" s="118">
        <f>SYSCLK!BF40/$B$2</f>
        <v>2.8125</v>
      </c>
      <c r="AH41">
        <f>SYSCLK!BG40/$B$2</f>
        <v>30</v>
      </c>
      <c r="AI41">
        <f>SYSCLK!BH40/$B$2</f>
        <v>15</v>
      </c>
      <c r="AJ41">
        <f>SYSCLK!BI40/$B$2</f>
        <v>10</v>
      </c>
      <c r="AK41">
        <f>SYSCLK!BJ40/$B$2</f>
        <v>7.5</v>
      </c>
      <c r="AL41">
        <f>SYSCLK!BK40/$B$2</f>
        <v>6</v>
      </c>
      <c r="AM41">
        <f>SYSCLK!BL40/$B$2</f>
        <v>5</v>
      </c>
      <c r="AN41">
        <f>SYSCLK!BM40/$B$2</f>
        <v>4.2857142857142856</v>
      </c>
      <c r="AO41">
        <f>SYSCLK!BN40/$B$2</f>
        <v>3.75</v>
      </c>
      <c r="AP41">
        <f>SYSCLK!BO40/$B$2</f>
        <v>3.3333333333333335</v>
      </c>
      <c r="AQ41">
        <f>SYSCLK!BP40/$B$2</f>
        <v>3</v>
      </c>
      <c r="AR41">
        <f>SYSCLK!BQ40/$B$2</f>
        <v>2.7272727272727271</v>
      </c>
      <c r="AS41">
        <f>SYSCLK!BR40/$B$2</f>
        <v>2.5</v>
      </c>
      <c r="AT41">
        <f>SYSCLK!BS40/$B$2</f>
        <v>2.3076923076923079</v>
      </c>
      <c r="AU41">
        <f>SYSCLK!BT40/$B$2</f>
        <v>2.1428571428571428</v>
      </c>
      <c r="AV41">
        <f>SYSCLK!BU40/$B$2</f>
        <v>2</v>
      </c>
      <c r="AW41">
        <f>SYSCLK!BV40/$B$2</f>
        <v>1.875</v>
      </c>
      <c r="AX41" s="117">
        <f>SYSCLK!BW40/$B$2</f>
        <v>22.5</v>
      </c>
      <c r="AY41">
        <f>SYSCLK!BX40/$B$2</f>
        <v>11.25</v>
      </c>
      <c r="AZ41">
        <f>SYSCLK!BY40/$B$2</f>
        <v>7.5</v>
      </c>
      <c r="BA41">
        <f>SYSCLK!BZ40/$B$2</f>
        <v>5.625</v>
      </c>
      <c r="BB41">
        <f>SYSCLK!CA40/$B$2</f>
        <v>4.5</v>
      </c>
      <c r="BC41">
        <f>SYSCLK!CB40/$B$2</f>
        <v>3.75</v>
      </c>
      <c r="BD41">
        <f>SYSCLK!CC40/$B$2</f>
        <v>3.214285714285714</v>
      </c>
      <c r="BE41">
        <f>SYSCLK!CD40/$B$2</f>
        <v>2.8125</v>
      </c>
      <c r="BF41">
        <f>SYSCLK!CE40/$B$2</f>
        <v>2.5</v>
      </c>
      <c r="BG41">
        <f>SYSCLK!CF40/$B$2</f>
        <v>2.25</v>
      </c>
      <c r="BH41">
        <f>SYSCLK!CG40/$B$2</f>
        <v>2.0454545454545454</v>
      </c>
      <c r="BI41">
        <f>SYSCLK!CH40/$B$2</f>
        <v>1.875</v>
      </c>
      <c r="BJ41">
        <f>SYSCLK!CI40/$B$2</f>
        <v>1.7307692307692308</v>
      </c>
      <c r="BK41">
        <f>SYSCLK!CJ40/$B$2</f>
        <v>1.607142857142857</v>
      </c>
      <c r="BL41">
        <f>SYSCLK!CK40/$B$2</f>
        <v>1.5</v>
      </c>
      <c r="BM41">
        <f>SYSCLK!CL40/$B$2</f>
        <v>1.40625</v>
      </c>
    </row>
    <row r="42" spans="2:65">
      <c r="B42">
        <f>SYSCLK!AA41/$B$2</f>
        <v>0</v>
      </c>
      <c r="C42">
        <f>SYSCLK!AB41/$B$2</f>
        <v>0</v>
      </c>
      <c r="D42">
        <f>SYSCLK!AC41/$B$2</f>
        <v>30.666666666666664</v>
      </c>
      <c r="E42">
        <f>SYSCLK!AD41/$B$2</f>
        <v>23</v>
      </c>
      <c r="F42">
        <f>SYSCLK!AE41/$B$2</f>
        <v>18.400000000000002</v>
      </c>
      <c r="G42">
        <f>SYSCLK!AF41/$B$2</f>
        <v>15.333333333333332</v>
      </c>
      <c r="H42">
        <f>SYSCLK!AG41/$B$2</f>
        <v>13.142857142857142</v>
      </c>
      <c r="I42">
        <f>SYSCLK!AH41/$B$2</f>
        <v>11.5</v>
      </c>
      <c r="J42">
        <f>SYSCLK!AI41/$B$2</f>
        <v>10.222222222222221</v>
      </c>
      <c r="K42">
        <f>SYSCLK!AJ41/$B$2</f>
        <v>9.2000000000000011</v>
      </c>
      <c r="L42">
        <f>SYSCLK!AK41/$B$2</f>
        <v>8.3636363636363633</v>
      </c>
      <c r="M42">
        <f>SYSCLK!AL41/$B$2</f>
        <v>7.6666666666666661</v>
      </c>
      <c r="N42">
        <f>SYSCLK!AM41/$B$2</f>
        <v>7.0769230769230775</v>
      </c>
      <c r="O42">
        <f>SYSCLK!AN41/$B$2</f>
        <v>6.5714285714285712</v>
      </c>
      <c r="P42">
        <f>SYSCLK!AO41/$B$2</f>
        <v>6.1333333333333329</v>
      </c>
      <c r="Q42">
        <f>SYSCLK!AP41/$B$2</f>
        <v>5.75</v>
      </c>
      <c r="R42" s="117">
        <f>SYSCLK!AQ41/$B$2</f>
        <v>0</v>
      </c>
      <c r="S42">
        <f>SYSCLK!AR41/$B$2</f>
        <v>23</v>
      </c>
      <c r="T42">
        <f>SYSCLK!AS41/$B$2</f>
        <v>15.333333333333332</v>
      </c>
      <c r="U42">
        <f>SYSCLK!AT41/$B$2</f>
        <v>11.5</v>
      </c>
      <c r="V42">
        <f>SYSCLK!AU41/$B$2</f>
        <v>9.2000000000000011</v>
      </c>
      <c r="W42">
        <f>SYSCLK!AV41/$B$2</f>
        <v>7.6666666666666661</v>
      </c>
      <c r="X42">
        <f>SYSCLK!AW41/$B$2</f>
        <v>6.5714285714285712</v>
      </c>
      <c r="Y42">
        <f>SYSCLK!AX41/$B$2</f>
        <v>5.75</v>
      </c>
      <c r="Z42">
        <f>SYSCLK!AY41/$B$2</f>
        <v>5.1111111111111107</v>
      </c>
      <c r="AA42">
        <f>SYSCLK!AZ41/$B$2</f>
        <v>4.6000000000000005</v>
      </c>
      <c r="AB42">
        <f>SYSCLK!BA41/$B$2</f>
        <v>4.1818181818181817</v>
      </c>
      <c r="AC42">
        <f>SYSCLK!BB41/$B$2</f>
        <v>3.833333333333333</v>
      </c>
      <c r="AD42">
        <f>SYSCLK!BC41/$B$2</f>
        <v>3.5384615384615388</v>
      </c>
      <c r="AE42">
        <f>SYSCLK!BD41/$B$2</f>
        <v>3.2857142857142856</v>
      </c>
      <c r="AF42">
        <f>SYSCLK!BE41/$B$2</f>
        <v>3.0666666666666664</v>
      </c>
      <c r="AG42" s="118">
        <f>SYSCLK!BF41/$B$2</f>
        <v>2.875</v>
      </c>
      <c r="AH42">
        <f>SYSCLK!BG41/$B$2</f>
        <v>30.666666666666668</v>
      </c>
      <c r="AI42">
        <f>SYSCLK!BH41/$B$2</f>
        <v>15.333333333333334</v>
      </c>
      <c r="AJ42">
        <f>SYSCLK!BI41/$B$2</f>
        <v>10.222222222222221</v>
      </c>
      <c r="AK42">
        <f>SYSCLK!BJ41/$B$2</f>
        <v>7.666666666666667</v>
      </c>
      <c r="AL42">
        <f>SYSCLK!BK41/$B$2</f>
        <v>6.1333333333333337</v>
      </c>
      <c r="AM42">
        <f>SYSCLK!BL41/$B$2</f>
        <v>5.1111111111111107</v>
      </c>
      <c r="AN42">
        <f>SYSCLK!BM41/$B$2</f>
        <v>4.3809523809523805</v>
      </c>
      <c r="AO42">
        <f>SYSCLK!BN41/$B$2</f>
        <v>3.8333333333333335</v>
      </c>
      <c r="AP42">
        <f>SYSCLK!BO41/$B$2</f>
        <v>3.407407407407407</v>
      </c>
      <c r="AQ42">
        <f>SYSCLK!BP41/$B$2</f>
        <v>3.0666666666666669</v>
      </c>
      <c r="AR42">
        <f>SYSCLK!BQ41/$B$2</f>
        <v>2.7878787878787876</v>
      </c>
      <c r="AS42">
        <f>SYSCLK!BR41/$B$2</f>
        <v>2.5555555555555554</v>
      </c>
      <c r="AT42">
        <f>SYSCLK!BS41/$B$2</f>
        <v>2.358974358974359</v>
      </c>
      <c r="AU42">
        <f>SYSCLK!BT41/$B$2</f>
        <v>2.1904761904761902</v>
      </c>
      <c r="AV42">
        <f>SYSCLK!BU41/$B$2</f>
        <v>2.0444444444444443</v>
      </c>
      <c r="AW42">
        <f>SYSCLK!BV41/$B$2</f>
        <v>1.9166666666666667</v>
      </c>
      <c r="AX42" s="117">
        <f>SYSCLK!BW41/$B$2</f>
        <v>23</v>
      </c>
      <c r="AY42">
        <f>SYSCLK!BX41/$B$2</f>
        <v>11.5</v>
      </c>
      <c r="AZ42">
        <f>SYSCLK!BY41/$B$2</f>
        <v>7.6666666666666661</v>
      </c>
      <c r="BA42">
        <f>SYSCLK!BZ41/$B$2</f>
        <v>5.75</v>
      </c>
      <c r="BB42">
        <f>SYSCLK!CA41/$B$2</f>
        <v>4.6000000000000005</v>
      </c>
      <c r="BC42">
        <f>SYSCLK!CB41/$B$2</f>
        <v>3.833333333333333</v>
      </c>
      <c r="BD42">
        <f>SYSCLK!CC41/$B$2</f>
        <v>3.2857142857142856</v>
      </c>
      <c r="BE42">
        <f>SYSCLK!CD41/$B$2</f>
        <v>2.875</v>
      </c>
      <c r="BF42">
        <f>SYSCLK!CE41/$B$2</f>
        <v>2.5555555555555554</v>
      </c>
      <c r="BG42">
        <f>SYSCLK!CF41/$B$2</f>
        <v>2.3000000000000003</v>
      </c>
      <c r="BH42">
        <f>SYSCLK!CG41/$B$2</f>
        <v>2.0909090909090908</v>
      </c>
      <c r="BI42">
        <f>SYSCLK!CH41/$B$2</f>
        <v>1.9166666666666665</v>
      </c>
      <c r="BJ42">
        <f>SYSCLK!CI41/$B$2</f>
        <v>1.7692307692307694</v>
      </c>
      <c r="BK42">
        <f>SYSCLK!CJ41/$B$2</f>
        <v>1.6428571428571428</v>
      </c>
      <c r="BL42">
        <f>SYSCLK!CK41/$B$2</f>
        <v>1.5333333333333332</v>
      </c>
      <c r="BM42">
        <f>SYSCLK!CL41/$B$2</f>
        <v>1.4375</v>
      </c>
    </row>
    <row r="43" spans="2:65">
      <c r="B43">
        <f>SYSCLK!AA42/$B$2</f>
        <v>0</v>
      </c>
      <c r="C43">
        <f>SYSCLK!AB42/$B$2</f>
        <v>0</v>
      </c>
      <c r="D43">
        <f>SYSCLK!AC42/$B$2</f>
        <v>31.333333333333332</v>
      </c>
      <c r="E43">
        <f>SYSCLK!AD42/$B$2</f>
        <v>23.5</v>
      </c>
      <c r="F43">
        <f>SYSCLK!AE42/$B$2</f>
        <v>18.8</v>
      </c>
      <c r="G43">
        <f>SYSCLK!AF42/$B$2</f>
        <v>15.666666666666666</v>
      </c>
      <c r="H43">
        <f>SYSCLK!AG42/$B$2</f>
        <v>13.428571428571427</v>
      </c>
      <c r="I43">
        <f>SYSCLK!AH42/$B$2</f>
        <v>11.75</v>
      </c>
      <c r="J43">
        <f>SYSCLK!AI42/$B$2</f>
        <v>10.444444444444445</v>
      </c>
      <c r="K43">
        <f>SYSCLK!AJ42/$B$2</f>
        <v>9.4</v>
      </c>
      <c r="L43">
        <f>SYSCLK!AK42/$B$2</f>
        <v>8.545454545454545</v>
      </c>
      <c r="M43">
        <f>SYSCLK!AL42/$B$2</f>
        <v>7.833333333333333</v>
      </c>
      <c r="N43">
        <f>SYSCLK!AM42/$B$2</f>
        <v>7.2307692307692308</v>
      </c>
      <c r="O43">
        <f>SYSCLK!AN42/$B$2</f>
        <v>6.7142857142857135</v>
      </c>
      <c r="P43">
        <f>SYSCLK!AO42/$B$2</f>
        <v>6.2666666666666666</v>
      </c>
      <c r="Q43">
        <f>SYSCLK!AP42/$B$2</f>
        <v>5.875</v>
      </c>
      <c r="R43" s="117">
        <f>SYSCLK!AQ42/$B$2</f>
        <v>0</v>
      </c>
      <c r="S43">
        <f>SYSCLK!AR42/$B$2</f>
        <v>23.5</v>
      </c>
      <c r="T43">
        <f>SYSCLK!AS42/$B$2</f>
        <v>15.666666666666666</v>
      </c>
      <c r="U43">
        <f>SYSCLK!AT42/$B$2</f>
        <v>11.75</v>
      </c>
      <c r="V43">
        <f>SYSCLK!AU42/$B$2</f>
        <v>9.4</v>
      </c>
      <c r="W43">
        <f>SYSCLK!AV42/$B$2</f>
        <v>7.833333333333333</v>
      </c>
      <c r="X43">
        <f>SYSCLK!AW42/$B$2</f>
        <v>6.7142857142857135</v>
      </c>
      <c r="Y43">
        <f>SYSCLK!AX42/$B$2</f>
        <v>5.875</v>
      </c>
      <c r="Z43">
        <f>SYSCLK!AY42/$B$2</f>
        <v>5.2222222222222223</v>
      </c>
      <c r="AA43">
        <f>SYSCLK!AZ42/$B$2</f>
        <v>4.7</v>
      </c>
      <c r="AB43">
        <f>SYSCLK!BA42/$B$2</f>
        <v>4.2727272727272725</v>
      </c>
      <c r="AC43">
        <f>SYSCLK!BB42/$B$2</f>
        <v>3.9166666666666665</v>
      </c>
      <c r="AD43">
        <f>SYSCLK!BC42/$B$2</f>
        <v>3.6153846153846154</v>
      </c>
      <c r="AE43">
        <f>SYSCLK!BD42/$B$2</f>
        <v>3.3571428571428568</v>
      </c>
      <c r="AF43">
        <f>SYSCLK!BE42/$B$2</f>
        <v>3.1333333333333333</v>
      </c>
      <c r="AG43" s="118">
        <f>SYSCLK!BF42/$B$2</f>
        <v>2.9375</v>
      </c>
      <c r="AH43">
        <f>SYSCLK!BG42/$B$2</f>
        <v>31.333333333333332</v>
      </c>
      <c r="AI43">
        <f>SYSCLK!BH42/$B$2</f>
        <v>15.666666666666666</v>
      </c>
      <c r="AJ43">
        <f>SYSCLK!BI42/$B$2</f>
        <v>10.444444444444445</v>
      </c>
      <c r="AK43">
        <f>SYSCLK!BJ42/$B$2</f>
        <v>7.833333333333333</v>
      </c>
      <c r="AL43">
        <f>SYSCLK!BK42/$B$2</f>
        <v>6.2666666666666666</v>
      </c>
      <c r="AM43">
        <f>SYSCLK!BL42/$B$2</f>
        <v>5.2222222222222223</v>
      </c>
      <c r="AN43">
        <f>SYSCLK!BM42/$B$2</f>
        <v>4.4761904761904754</v>
      </c>
      <c r="AO43">
        <f>SYSCLK!BN42/$B$2</f>
        <v>3.9166666666666665</v>
      </c>
      <c r="AP43">
        <f>SYSCLK!BO42/$B$2</f>
        <v>3.4814814814814814</v>
      </c>
      <c r="AQ43">
        <f>SYSCLK!BP42/$B$2</f>
        <v>3.1333333333333333</v>
      </c>
      <c r="AR43">
        <f>SYSCLK!BQ42/$B$2</f>
        <v>2.8484848484848482</v>
      </c>
      <c r="AS43">
        <f>SYSCLK!BR42/$B$2</f>
        <v>2.6111111111111112</v>
      </c>
      <c r="AT43">
        <f>SYSCLK!BS42/$B$2</f>
        <v>2.4102564102564101</v>
      </c>
      <c r="AU43">
        <f>SYSCLK!BT42/$B$2</f>
        <v>2.2380952380952377</v>
      </c>
      <c r="AV43">
        <f>SYSCLK!BU42/$B$2</f>
        <v>2.088888888888889</v>
      </c>
      <c r="AW43">
        <f>SYSCLK!BV42/$B$2</f>
        <v>1.9583333333333333</v>
      </c>
      <c r="AX43" s="117">
        <f>SYSCLK!BW42/$B$2</f>
        <v>23.5</v>
      </c>
      <c r="AY43">
        <f>SYSCLK!BX42/$B$2</f>
        <v>11.75</v>
      </c>
      <c r="AZ43">
        <f>SYSCLK!BY42/$B$2</f>
        <v>7.833333333333333</v>
      </c>
      <c r="BA43">
        <f>SYSCLK!BZ42/$B$2</f>
        <v>5.875</v>
      </c>
      <c r="BB43">
        <f>SYSCLK!CA42/$B$2</f>
        <v>4.7</v>
      </c>
      <c r="BC43">
        <f>SYSCLK!CB42/$B$2</f>
        <v>3.9166666666666665</v>
      </c>
      <c r="BD43">
        <f>SYSCLK!CC42/$B$2</f>
        <v>3.3571428571428568</v>
      </c>
      <c r="BE43">
        <f>SYSCLK!CD42/$B$2</f>
        <v>2.9375</v>
      </c>
      <c r="BF43">
        <f>SYSCLK!CE42/$B$2</f>
        <v>2.6111111111111112</v>
      </c>
      <c r="BG43">
        <f>SYSCLK!CF42/$B$2</f>
        <v>2.35</v>
      </c>
      <c r="BH43">
        <f>SYSCLK!CG42/$B$2</f>
        <v>2.1363636363636362</v>
      </c>
      <c r="BI43">
        <f>SYSCLK!CH42/$B$2</f>
        <v>1.9583333333333333</v>
      </c>
      <c r="BJ43">
        <f>SYSCLK!CI42/$B$2</f>
        <v>1.8076923076923077</v>
      </c>
      <c r="BK43">
        <f>SYSCLK!CJ42/$B$2</f>
        <v>1.6785714285714284</v>
      </c>
      <c r="BL43">
        <f>SYSCLK!CK42/$B$2</f>
        <v>1.5666666666666667</v>
      </c>
      <c r="BM43">
        <f>SYSCLK!CL42/$B$2</f>
        <v>1.46875</v>
      </c>
    </row>
    <row r="44" spans="2:65">
      <c r="B44">
        <f>SYSCLK!AA43/$B$2</f>
        <v>0</v>
      </c>
      <c r="C44">
        <f>SYSCLK!AB43/$B$2</f>
        <v>0</v>
      </c>
      <c r="D44">
        <f>SYSCLK!AC43/$B$2</f>
        <v>32</v>
      </c>
      <c r="E44">
        <f>SYSCLK!AD43/$B$2</f>
        <v>24</v>
      </c>
      <c r="F44">
        <f>SYSCLK!AE43/$B$2</f>
        <v>19.200000000000003</v>
      </c>
      <c r="G44">
        <f>SYSCLK!AF43/$B$2</f>
        <v>16</v>
      </c>
      <c r="H44">
        <f>SYSCLK!AG43/$B$2</f>
        <v>13.714285714285714</v>
      </c>
      <c r="I44">
        <f>SYSCLK!AH43/$B$2</f>
        <v>12</v>
      </c>
      <c r="J44">
        <f>SYSCLK!AI43/$B$2</f>
        <v>10.666666666666666</v>
      </c>
      <c r="K44">
        <f>SYSCLK!AJ43/$B$2</f>
        <v>9.6000000000000014</v>
      </c>
      <c r="L44">
        <f>SYSCLK!AK43/$B$2</f>
        <v>8.7272727272727266</v>
      </c>
      <c r="M44">
        <f>SYSCLK!AL43/$B$2</f>
        <v>8</v>
      </c>
      <c r="N44">
        <f>SYSCLK!AM43/$B$2</f>
        <v>7.384615384615385</v>
      </c>
      <c r="O44">
        <f>SYSCLK!AN43/$B$2</f>
        <v>6.8571428571428568</v>
      </c>
      <c r="P44">
        <f>SYSCLK!AO43/$B$2</f>
        <v>6.4</v>
      </c>
      <c r="Q44">
        <f>SYSCLK!AP43/$B$2</f>
        <v>6</v>
      </c>
      <c r="R44" s="117">
        <f>SYSCLK!AQ43/$B$2</f>
        <v>0</v>
      </c>
      <c r="S44">
        <f>SYSCLK!AR43/$B$2</f>
        <v>24</v>
      </c>
      <c r="T44">
        <f>SYSCLK!AS43/$B$2</f>
        <v>16</v>
      </c>
      <c r="U44">
        <f>SYSCLK!AT43/$B$2</f>
        <v>12</v>
      </c>
      <c r="V44">
        <f>SYSCLK!AU43/$B$2</f>
        <v>9.6000000000000014</v>
      </c>
      <c r="W44">
        <f>SYSCLK!AV43/$B$2</f>
        <v>8</v>
      </c>
      <c r="X44">
        <f>SYSCLK!AW43/$B$2</f>
        <v>6.8571428571428568</v>
      </c>
      <c r="Y44">
        <f>SYSCLK!AX43/$B$2</f>
        <v>6</v>
      </c>
      <c r="Z44">
        <f>SYSCLK!AY43/$B$2</f>
        <v>5.333333333333333</v>
      </c>
      <c r="AA44">
        <f>SYSCLK!AZ43/$B$2</f>
        <v>4.8000000000000007</v>
      </c>
      <c r="AB44">
        <f>SYSCLK!BA43/$B$2</f>
        <v>4.3636363636363633</v>
      </c>
      <c r="AC44">
        <f>SYSCLK!BB43/$B$2</f>
        <v>4</v>
      </c>
      <c r="AD44">
        <f>SYSCLK!BC43/$B$2</f>
        <v>3.6923076923076925</v>
      </c>
      <c r="AE44">
        <f>SYSCLK!BD43/$B$2</f>
        <v>3.4285714285714284</v>
      </c>
      <c r="AF44">
        <f>SYSCLK!BE43/$B$2</f>
        <v>3.2</v>
      </c>
      <c r="AG44" s="118">
        <f>SYSCLK!BF43/$B$2</f>
        <v>3</v>
      </c>
      <c r="AH44">
        <f>SYSCLK!BG43/$B$2</f>
        <v>32</v>
      </c>
      <c r="AI44">
        <f>SYSCLK!BH43/$B$2</f>
        <v>16</v>
      </c>
      <c r="AJ44">
        <f>SYSCLK!BI43/$B$2</f>
        <v>10.666666666666666</v>
      </c>
      <c r="AK44">
        <f>SYSCLK!BJ43/$B$2</f>
        <v>8</v>
      </c>
      <c r="AL44">
        <f>SYSCLK!BK43/$B$2</f>
        <v>6.4000000000000012</v>
      </c>
      <c r="AM44">
        <f>SYSCLK!BL43/$B$2</f>
        <v>5.333333333333333</v>
      </c>
      <c r="AN44">
        <f>SYSCLK!BM43/$B$2</f>
        <v>4.5714285714285712</v>
      </c>
      <c r="AO44">
        <f>SYSCLK!BN43/$B$2</f>
        <v>4</v>
      </c>
      <c r="AP44">
        <f>SYSCLK!BO43/$B$2</f>
        <v>3.5555555555555554</v>
      </c>
      <c r="AQ44">
        <f>SYSCLK!BP43/$B$2</f>
        <v>3.2000000000000006</v>
      </c>
      <c r="AR44">
        <f>SYSCLK!BQ43/$B$2</f>
        <v>2.9090909090909087</v>
      </c>
      <c r="AS44">
        <f>SYSCLK!BR43/$B$2</f>
        <v>2.6666666666666665</v>
      </c>
      <c r="AT44">
        <f>SYSCLK!BS43/$B$2</f>
        <v>2.4615384615384617</v>
      </c>
      <c r="AU44">
        <f>SYSCLK!BT43/$B$2</f>
        <v>2.2857142857142856</v>
      </c>
      <c r="AV44">
        <f>SYSCLK!BU43/$B$2</f>
        <v>2.1333333333333333</v>
      </c>
      <c r="AW44">
        <f>SYSCLK!BV43/$B$2</f>
        <v>2</v>
      </c>
      <c r="AX44" s="117">
        <f>SYSCLK!BW43/$B$2</f>
        <v>24</v>
      </c>
      <c r="AY44">
        <f>SYSCLK!BX43/$B$2</f>
        <v>12</v>
      </c>
      <c r="AZ44">
        <f>SYSCLK!BY43/$B$2</f>
        <v>8</v>
      </c>
      <c r="BA44">
        <f>SYSCLK!BZ43/$B$2</f>
        <v>6</v>
      </c>
      <c r="BB44">
        <f>SYSCLK!CA43/$B$2</f>
        <v>4.8000000000000007</v>
      </c>
      <c r="BC44">
        <f>SYSCLK!CB43/$B$2</f>
        <v>4</v>
      </c>
      <c r="BD44">
        <f>SYSCLK!CC43/$B$2</f>
        <v>3.4285714285714284</v>
      </c>
      <c r="BE44">
        <f>SYSCLK!CD43/$B$2</f>
        <v>3</v>
      </c>
      <c r="BF44">
        <f>SYSCLK!CE43/$B$2</f>
        <v>2.6666666666666665</v>
      </c>
      <c r="BG44">
        <f>SYSCLK!CF43/$B$2</f>
        <v>2.4000000000000004</v>
      </c>
      <c r="BH44">
        <f>SYSCLK!CG43/$B$2</f>
        <v>2.1818181818181817</v>
      </c>
      <c r="BI44">
        <f>SYSCLK!CH43/$B$2</f>
        <v>2</v>
      </c>
      <c r="BJ44">
        <f>SYSCLK!CI43/$B$2</f>
        <v>1.8461538461538463</v>
      </c>
      <c r="BK44">
        <f>SYSCLK!CJ43/$B$2</f>
        <v>1.7142857142857142</v>
      </c>
      <c r="BL44">
        <f>SYSCLK!CK43/$B$2</f>
        <v>1.6</v>
      </c>
      <c r="BM44">
        <f>SYSCLK!CL43/$B$2</f>
        <v>1.5</v>
      </c>
    </row>
    <row r="45" spans="2:65">
      <c r="B45">
        <f>SYSCLK!AA44/$B$2</f>
        <v>0</v>
      </c>
      <c r="C45">
        <f>SYSCLK!AB44/$B$2</f>
        <v>0</v>
      </c>
      <c r="D45">
        <f>SYSCLK!AC44/$B$2</f>
        <v>32.666666666666664</v>
      </c>
      <c r="E45">
        <f>SYSCLK!AD44/$B$2</f>
        <v>24.5</v>
      </c>
      <c r="F45">
        <f>SYSCLK!AE44/$B$2</f>
        <v>19.600000000000001</v>
      </c>
      <c r="G45">
        <f>SYSCLK!AF44/$B$2</f>
        <v>16.333333333333332</v>
      </c>
      <c r="H45">
        <f>SYSCLK!AG44/$B$2</f>
        <v>14</v>
      </c>
      <c r="I45">
        <f>SYSCLK!AH44/$B$2</f>
        <v>12.25</v>
      </c>
      <c r="J45">
        <f>SYSCLK!AI44/$B$2</f>
        <v>10.888888888888888</v>
      </c>
      <c r="K45">
        <f>SYSCLK!AJ44/$B$2</f>
        <v>9.8000000000000007</v>
      </c>
      <c r="L45">
        <f>SYSCLK!AK44/$B$2</f>
        <v>8.9090909090909101</v>
      </c>
      <c r="M45">
        <f>SYSCLK!AL44/$B$2</f>
        <v>8.1666666666666661</v>
      </c>
      <c r="N45">
        <f>SYSCLK!AM44/$B$2</f>
        <v>7.5384615384615392</v>
      </c>
      <c r="O45">
        <f>SYSCLK!AN44/$B$2</f>
        <v>7</v>
      </c>
      <c r="P45">
        <f>SYSCLK!AO44/$B$2</f>
        <v>6.5333333333333332</v>
      </c>
      <c r="Q45">
        <f>SYSCLK!AP44/$B$2</f>
        <v>6.125</v>
      </c>
      <c r="R45" s="117">
        <f>SYSCLK!AQ44/$B$2</f>
        <v>0</v>
      </c>
      <c r="S45">
        <f>SYSCLK!AR44/$B$2</f>
        <v>24.5</v>
      </c>
      <c r="T45">
        <f>SYSCLK!AS44/$B$2</f>
        <v>16.333333333333332</v>
      </c>
      <c r="U45">
        <f>SYSCLK!AT44/$B$2</f>
        <v>12.25</v>
      </c>
      <c r="V45">
        <f>SYSCLK!AU44/$B$2</f>
        <v>9.8000000000000007</v>
      </c>
      <c r="W45">
        <f>SYSCLK!AV44/$B$2</f>
        <v>8.1666666666666661</v>
      </c>
      <c r="X45">
        <f>SYSCLK!AW44/$B$2</f>
        <v>7</v>
      </c>
      <c r="Y45">
        <f>SYSCLK!AX44/$B$2</f>
        <v>6.125</v>
      </c>
      <c r="Z45">
        <f>SYSCLK!AY44/$B$2</f>
        <v>5.4444444444444438</v>
      </c>
      <c r="AA45">
        <f>SYSCLK!AZ44/$B$2</f>
        <v>4.9000000000000004</v>
      </c>
      <c r="AB45">
        <f>SYSCLK!BA44/$B$2</f>
        <v>4.454545454545455</v>
      </c>
      <c r="AC45">
        <f>SYSCLK!BB44/$B$2</f>
        <v>4.083333333333333</v>
      </c>
      <c r="AD45">
        <f>SYSCLK!BC44/$B$2</f>
        <v>3.7692307692307696</v>
      </c>
      <c r="AE45">
        <f>SYSCLK!BD44/$B$2</f>
        <v>3.5</v>
      </c>
      <c r="AF45">
        <f>SYSCLK!BE44/$B$2</f>
        <v>3.2666666666666666</v>
      </c>
      <c r="AG45" s="118">
        <f>SYSCLK!BF44/$B$2</f>
        <v>3.0625</v>
      </c>
      <c r="AH45">
        <f>SYSCLK!BG44/$B$2</f>
        <v>32.666666666666664</v>
      </c>
      <c r="AI45">
        <f>SYSCLK!BH44/$B$2</f>
        <v>16.333333333333332</v>
      </c>
      <c r="AJ45">
        <f>SYSCLK!BI44/$B$2</f>
        <v>10.888888888888888</v>
      </c>
      <c r="AK45">
        <f>SYSCLK!BJ44/$B$2</f>
        <v>8.1666666666666661</v>
      </c>
      <c r="AL45">
        <f>SYSCLK!BK44/$B$2</f>
        <v>6.5333333333333341</v>
      </c>
      <c r="AM45">
        <f>SYSCLK!BL44/$B$2</f>
        <v>5.4444444444444438</v>
      </c>
      <c r="AN45">
        <f>SYSCLK!BM44/$B$2</f>
        <v>4.666666666666667</v>
      </c>
      <c r="AO45">
        <f>SYSCLK!BN44/$B$2</f>
        <v>4.083333333333333</v>
      </c>
      <c r="AP45">
        <f>SYSCLK!BO44/$B$2</f>
        <v>3.6296296296296293</v>
      </c>
      <c r="AQ45">
        <f>SYSCLK!BP44/$B$2</f>
        <v>3.2666666666666671</v>
      </c>
      <c r="AR45">
        <f>SYSCLK!BQ44/$B$2</f>
        <v>2.9696969696969702</v>
      </c>
      <c r="AS45">
        <f>SYSCLK!BR44/$B$2</f>
        <v>2.7222222222222219</v>
      </c>
      <c r="AT45">
        <f>SYSCLK!BS44/$B$2</f>
        <v>2.5128205128205132</v>
      </c>
      <c r="AU45">
        <f>SYSCLK!BT44/$B$2</f>
        <v>2.3333333333333335</v>
      </c>
      <c r="AV45">
        <f>SYSCLK!BU44/$B$2</f>
        <v>2.1777777777777776</v>
      </c>
      <c r="AW45">
        <f>SYSCLK!BV44/$B$2</f>
        <v>2.0416666666666665</v>
      </c>
      <c r="AX45" s="117">
        <f>SYSCLK!BW44/$B$2</f>
        <v>24.5</v>
      </c>
      <c r="AY45">
        <f>SYSCLK!BX44/$B$2</f>
        <v>12.25</v>
      </c>
      <c r="AZ45">
        <f>SYSCLK!BY44/$B$2</f>
        <v>8.1666666666666661</v>
      </c>
      <c r="BA45">
        <f>SYSCLK!BZ44/$B$2</f>
        <v>6.125</v>
      </c>
      <c r="BB45">
        <f>SYSCLK!CA44/$B$2</f>
        <v>4.9000000000000004</v>
      </c>
      <c r="BC45">
        <f>SYSCLK!CB44/$B$2</f>
        <v>4.083333333333333</v>
      </c>
      <c r="BD45">
        <f>SYSCLK!CC44/$B$2</f>
        <v>3.5</v>
      </c>
      <c r="BE45">
        <f>SYSCLK!CD44/$B$2</f>
        <v>3.0625</v>
      </c>
      <c r="BF45">
        <f>SYSCLK!CE44/$B$2</f>
        <v>2.7222222222222219</v>
      </c>
      <c r="BG45">
        <f>SYSCLK!CF44/$B$2</f>
        <v>2.4500000000000002</v>
      </c>
      <c r="BH45">
        <f>SYSCLK!CG44/$B$2</f>
        <v>2.2272727272727275</v>
      </c>
      <c r="BI45">
        <f>SYSCLK!CH44/$B$2</f>
        <v>2.0416666666666665</v>
      </c>
      <c r="BJ45">
        <f>SYSCLK!CI44/$B$2</f>
        <v>1.8846153846153848</v>
      </c>
      <c r="BK45">
        <f>SYSCLK!CJ44/$B$2</f>
        <v>1.75</v>
      </c>
      <c r="BL45">
        <f>SYSCLK!CK44/$B$2</f>
        <v>1.6333333333333333</v>
      </c>
      <c r="BM45">
        <f>SYSCLK!CL44/$B$2</f>
        <v>1.53125</v>
      </c>
    </row>
    <row r="46" spans="2:65">
      <c r="B46">
        <f>SYSCLK!AA45/$B$2</f>
        <v>0</v>
      </c>
      <c r="C46">
        <f>SYSCLK!AB45/$B$2</f>
        <v>0</v>
      </c>
      <c r="D46">
        <f>SYSCLK!AC45/$B$2</f>
        <v>33.333333333333329</v>
      </c>
      <c r="E46">
        <f>SYSCLK!AD45/$B$2</f>
        <v>25</v>
      </c>
      <c r="F46">
        <f>SYSCLK!AE45/$B$2</f>
        <v>20</v>
      </c>
      <c r="G46">
        <f>SYSCLK!AF45/$B$2</f>
        <v>16.666666666666664</v>
      </c>
      <c r="H46">
        <f>SYSCLK!AG45/$B$2</f>
        <v>14.285714285714285</v>
      </c>
      <c r="I46">
        <f>SYSCLK!AH45/$B$2</f>
        <v>12.5</v>
      </c>
      <c r="J46">
        <f>SYSCLK!AI45/$B$2</f>
        <v>11.111111111111111</v>
      </c>
      <c r="K46">
        <f>SYSCLK!AJ45/$B$2</f>
        <v>10</v>
      </c>
      <c r="L46">
        <f>SYSCLK!AK45/$B$2</f>
        <v>9.0909090909090917</v>
      </c>
      <c r="M46">
        <f>SYSCLK!AL45/$B$2</f>
        <v>8.3333333333333321</v>
      </c>
      <c r="N46">
        <f>SYSCLK!AM45/$B$2</f>
        <v>7.6923076923076925</v>
      </c>
      <c r="O46">
        <f>SYSCLK!AN45/$B$2</f>
        <v>7.1428571428571423</v>
      </c>
      <c r="P46">
        <f>SYSCLK!AO45/$B$2</f>
        <v>6.666666666666667</v>
      </c>
      <c r="Q46">
        <f>SYSCLK!AP45/$B$2</f>
        <v>6.25</v>
      </c>
      <c r="R46" s="117">
        <f>SYSCLK!AQ45/$B$2</f>
        <v>0</v>
      </c>
      <c r="S46">
        <f>SYSCLK!AR45/$B$2</f>
        <v>25</v>
      </c>
      <c r="T46">
        <f>SYSCLK!AS45/$B$2</f>
        <v>16.666666666666664</v>
      </c>
      <c r="U46">
        <f>SYSCLK!AT45/$B$2</f>
        <v>12.5</v>
      </c>
      <c r="V46">
        <f>SYSCLK!AU45/$B$2</f>
        <v>10</v>
      </c>
      <c r="W46">
        <f>SYSCLK!AV45/$B$2</f>
        <v>8.3333333333333321</v>
      </c>
      <c r="X46">
        <f>SYSCLK!AW45/$B$2</f>
        <v>7.1428571428571423</v>
      </c>
      <c r="Y46">
        <f>SYSCLK!AX45/$B$2</f>
        <v>6.25</v>
      </c>
      <c r="Z46">
        <f>SYSCLK!AY45/$B$2</f>
        <v>5.5555555555555554</v>
      </c>
      <c r="AA46">
        <f>SYSCLK!AZ45/$B$2</f>
        <v>5</v>
      </c>
      <c r="AB46">
        <f>SYSCLK!BA45/$B$2</f>
        <v>4.5454545454545459</v>
      </c>
      <c r="AC46">
        <f>SYSCLK!BB45/$B$2</f>
        <v>4.1666666666666661</v>
      </c>
      <c r="AD46">
        <f>SYSCLK!BC45/$B$2</f>
        <v>3.8461538461538463</v>
      </c>
      <c r="AE46">
        <f>SYSCLK!BD45/$B$2</f>
        <v>3.5714285714285712</v>
      </c>
      <c r="AF46">
        <f>SYSCLK!BE45/$B$2</f>
        <v>3.3333333333333335</v>
      </c>
      <c r="AG46" s="118">
        <f>SYSCLK!BF45/$B$2</f>
        <v>3.125</v>
      </c>
      <c r="AH46">
        <f>SYSCLK!BG45/$B$2</f>
        <v>33.333333333333336</v>
      </c>
      <c r="AI46">
        <f>SYSCLK!BH45/$B$2</f>
        <v>16.666666666666668</v>
      </c>
      <c r="AJ46">
        <f>SYSCLK!BI45/$B$2</f>
        <v>11.111111111111109</v>
      </c>
      <c r="AK46">
        <f>SYSCLK!BJ45/$B$2</f>
        <v>8.3333333333333339</v>
      </c>
      <c r="AL46">
        <f>SYSCLK!BK45/$B$2</f>
        <v>6.666666666666667</v>
      </c>
      <c r="AM46">
        <f>SYSCLK!BL45/$B$2</f>
        <v>5.5555555555555545</v>
      </c>
      <c r="AN46">
        <f>SYSCLK!BM45/$B$2</f>
        <v>4.7619047619047619</v>
      </c>
      <c r="AO46">
        <f>SYSCLK!BN45/$B$2</f>
        <v>4.166666666666667</v>
      </c>
      <c r="AP46">
        <f>SYSCLK!BO45/$B$2</f>
        <v>3.7037037037037037</v>
      </c>
      <c r="AQ46">
        <f>SYSCLK!BP45/$B$2</f>
        <v>3.3333333333333335</v>
      </c>
      <c r="AR46">
        <f>SYSCLK!BQ45/$B$2</f>
        <v>3.0303030303030307</v>
      </c>
      <c r="AS46">
        <f>SYSCLK!BR45/$B$2</f>
        <v>2.7777777777777772</v>
      </c>
      <c r="AT46">
        <f>SYSCLK!BS45/$B$2</f>
        <v>2.5641025641025643</v>
      </c>
      <c r="AU46">
        <f>SYSCLK!BT45/$B$2</f>
        <v>2.3809523809523809</v>
      </c>
      <c r="AV46">
        <f>SYSCLK!BU45/$B$2</f>
        <v>2.2222222222222223</v>
      </c>
      <c r="AW46">
        <f>SYSCLK!BV45/$B$2</f>
        <v>2.0833333333333335</v>
      </c>
      <c r="AX46" s="117">
        <f>SYSCLK!BW45/$B$2</f>
        <v>25</v>
      </c>
      <c r="AY46">
        <f>SYSCLK!BX45/$B$2</f>
        <v>12.5</v>
      </c>
      <c r="AZ46">
        <f>SYSCLK!BY45/$B$2</f>
        <v>8.3333333333333321</v>
      </c>
      <c r="BA46">
        <f>SYSCLK!BZ45/$B$2</f>
        <v>6.25</v>
      </c>
      <c r="BB46">
        <f>SYSCLK!CA45/$B$2</f>
        <v>5</v>
      </c>
      <c r="BC46">
        <f>SYSCLK!CB45/$B$2</f>
        <v>4.1666666666666661</v>
      </c>
      <c r="BD46">
        <f>SYSCLK!CC45/$B$2</f>
        <v>3.5714285714285712</v>
      </c>
      <c r="BE46">
        <f>SYSCLK!CD45/$B$2</f>
        <v>3.125</v>
      </c>
      <c r="BF46">
        <f>SYSCLK!CE45/$B$2</f>
        <v>2.7777777777777777</v>
      </c>
      <c r="BG46">
        <f>SYSCLK!CF45/$B$2</f>
        <v>2.5</v>
      </c>
      <c r="BH46">
        <f>SYSCLK!CG45/$B$2</f>
        <v>2.2727272727272729</v>
      </c>
      <c r="BI46">
        <f>SYSCLK!CH45/$B$2</f>
        <v>2.083333333333333</v>
      </c>
      <c r="BJ46">
        <f>SYSCLK!CI45/$B$2</f>
        <v>1.9230769230769231</v>
      </c>
      <c r="BK46">
        <f>SYSCLK!CJ45/$B$2</f>
        <v>1.7857142857142856</v>
      </c>
      <c r="BL46">
        <f>SYSCLK!CK45/$B$2</f>
        <v>1.6666666666666667</v>
      </c>
      <c r="BM46">
        <f>SYSCLK!CL45/$B$2</f>
        <v>1.5625</v>
      </c>
    </row>
    <row r="47" spans="2:65">
      <c r="B47">
        <f>SYSCLK!AA46/$B$2</f>
        <v>0</v>
      </c>
      <c r="C47">
        <f>SYSCLK!AB46/$B$2</f>
        <v>0</v>
      </c>
      <c r="D47">
        <f>SYSCLK!AC46/$B$2</f>
        <v>34</v>
      </c>
      <c r="E47">
        <f>SYSCLK!AD46/$B$2</f>
        <v>25.5</v>
      </c>
      <c r="F47">
        <f>SYSCLK!AE46/$B$2</f>
        <v>20.400000000000002</v>
      </c>
      <c r="G47">
        <f>SYSCLK!AF46/$B$2</f>
        <v>17</v>
      </c>
      <c r="H47">
        <f>SYSCLK!AG46/$B$2</f>
        <v>14.571428571428571</v>
      </c>
      <c r="I47">
        <f>SYSCLK!AH46/$B$2</f>
        <v>12.75</v>
      </c>
      <c r="J47">
        <f>SYSCLK!AI46/$B$2</f>
        <v>11.333333333333332</v>
      </c>
      <c r="K47">
        <f>SYSCLK!AJ46/$B$2</f>
        <v>10.200000000000001</v>
      </c>
      <c r="L47">
        <f>SYSCLK!AK46/$B$2</f>
        <v>9.2727272727272734</v>
      </c>
      <c r="M47">
        <f>SYSCLK!AL46/$B$2</f>
        <v>8.5</v>
      </c>
      <c r="N47">
        <f>SYSCLK!AM46/$B$2</f>
        <v>7.8461538461538467</v>
      </c>
      <c r="O47">
        <f>SYSCLK!AN46/$B$2</f>
        <v>7.2857142857142856</v>
      </c>
      <c r="P47">
        <f>SYSCLK!AO46/$B$2</f>
        <v>6.8</v>
      </c>
      <c r="Q47">
        <f>SYSCLK!AP46/$B$2</f>
        <v>6.375</v>
      </c>
      <c r="R47" s="117">
        <f>SYSCLK!AQ46/$B$2</f>
        <v>0</v>
      </c>
      <c r="S47">
        <f>SYSCLK!AR46/$B$2</f>
        <v>25.5</v>
      </c>
      <c r="T47">
        <f>SYSCLK!AS46/$B$2</f>
        <v>17</v>
      </c>
      <c r="U47">
        <f>SYSCLK!AT46/$B$2</f>
        <v>12.75</v>
      </c>
      <c r="V47">
        <f>SYSCLK!AU46/$B$2</f>
        <v>10.200000000000001</v>
      </c>
      <c r="W47">
        <f>SYSCLK!AV46/$B$2</f>
        <v>8.5</v>
      </c>
      <c r="X47">
        <f>SYSCLK!AW46/$B$2</f>
        <v>7.2857142857142856</v>
      </c>
      <c r="Y47">
        <f>SYSCLK!AX46/$B$2</f>
        <v>6.375</v>
      </c>
      <c r="Z47">
        <f>SYSCLK!AY46/$B$2</f>
        <v>5.6666666666666661</v>
      </c>
      <c r="AA47">
        <f>SYSCLK!AZ46/$B$2</f>
        <v>5.1000000000000005</v>
      </c>
      <c r="AB47">
        <f>SYSCLK!BA46/$B$2</f>
        <v>4.6363636363636367</v>
      </c>
      <c r="AC47">
        <f>SYSCLK!BB46/$B$2</f>
        <v>4.25</v>
      </c>
      <c r="AD47">
        <f>SYSCLK!BC46/$B$2</f>
        <v>3.9230769230769234</v>
      </c>
      <c r="AE47">
        <f>SYSCLK!BD46/$B$2</f>
        <v>3.6428571428571428</v>
      </c>
      <c r="AF47">
        <f>SYSCLK!BE46/$B$2</f>
        <v>3.4</v>
      </c>
      <c r="AG47" s="118">
        <f>SYSCLK!BF46/$B$2</f>
        <v>3.1875</v>
      </c>
      <c r="AH47">
        <f>SYSCLK!BG46/$B$2</f>
        <v>34</v>
      </c>
      <c r="AI47">
        <f>SYSCLK!BH46/$B$2</f>
        <v>17</v>
      </c>
      <c r="AJ47">
        <f>SYSCLK!BI46/$B$2</f>
        <v>11.333333333333334</v>
      </c>
      <c r="AK47">
        <f>SYSCLK!BJ46/$B$2</f>
        <v>8.5</v>
      </c>
      <c r="AL47">
        <f>SYSCLK!BK46/$B$2</f>
        <v>6.8000000000000007</v>
      </c>
      <c r="AM47">
        <f>SYSCLK!BL46/$B$2</f>
        <v>5.666666666666667</v>
      </c>
      <c r="AN47">
        <f>SYSCLK!BM46/$B$2</f>
        <v>4.8571428571428568</v>
      </c>
      <c r="AO47">
        <f>SYSCLK!BN46/$B$2</f>
        <v>4.25</v>
      </c>
      <c r="AP47">
        <f>SYSCLK!BO46/$B$2</f>
        <v>3.7777777777777772</v>
      </c>
      <c r="AQ47">
        <f>SYSCLK!BP46/$B$2</f>
        <v>3.4000000000000004</v>
      </c>
      <c r="AR47">
        <f>SYSCLK!BQ46/$B$2</f>
        <v>3.0909090909090913</v>
      </c>
      <c r="AS47">
        <f>SYSCLK!BR46/$B$2</f>
        <v>2.8333333333333335</v>
      </c>
      <c r="AT47">
        <f>SYSCLK!BS46/$B$2</f>
        <v>2.6153846153846154</v>
      </c>
      <c r="AU47">
        <f>SYSCLK!BT46/$B$2</f>
        <v>2.4285714285714284</v>
      </c>
      <c r="AV47">
        <f>SYSCLK!BU46/$B$2</f>
        <v>2.2666666666666666</v>
      </c>
      <c r="AW47">
        <f>SYSCLK!BV46/$B$2</f>
        <v>2.125</v>
      </c>
      <c r="AX47" s="117">
        <f>SYSCLK!BW46/$B$2</f>
        <v>25.5</v>
      </c>
      <c r="AY47">
        <f>SYSCLK!BX46/$B$2</f>
        <v>12.75</v>
      </c>
      <c r="AZ47">
        <f>SYSCLK!BY46/$B$2</f>
        <v>8.5</v>
      </c>
      <c r="BA47">
        <f>SYSCLK!BZ46/$B$2</f>
        <v>6.375</v>
      </c>
      <c r="BB47">
        <f>SYSCLK!CA46/$B$2</f>
        <v>5.1000000000000005</v>
      </c>
      <c r="BC47">
        <f>SYSCLK!CB46/$B$2</f>
        <v>4.25</v>
      </c>
      <c r="BD47">
        <f>SYSCLK!CC46/$B$2</f>
        <v>3.6428571428571428</v>
      </c>
      <c r="BE47">
        <f>SYSCLK!CD46/$B$2</f>
        <v>3.1875</v>
      </c>
      <c r="BF47">
        <f>SYSCLK!CE46/$B$2</f>
        <v>2.833333333333333</v>
      </c>
      <c r="BG47">
        <f>SYSCLK!CF46/$B$2</f>
        <v>2.5500000000000003</v>
      </c>
      <c r="BH47">
        <f>SYSCLK!CG46/$B$2</f>
        <v>2.3181818181818183</v>
      </c>
      <c r="BI47">
        <f>SYSCLK!CH46/$B$2</f>
        <v>2.125</v>
      </c>
      <c r="BJ47">
        <f>SYSCLK!CI46/$B$2</f>
        <v>1.9615384615384617</v>
      </c>
      <c r="BK47">
        <f>SYSCLK!CJ46/$B$2</f>
        <v>1.8214285714285714</v>
      </c>
      <c r="BL47">
        <f>SYSCLK!CK46/$B$2</f>
        <v>1.7</v>
      </c>
      <c r="BM47">
        <f>SYSCLK!CL46/$B$2</f>
        <v>1.59375</v>
      </c>
    </row>
    <row r="48" spans="2:65">
      <c r="B48">
        <f>SYSCLK!AA47/$B$2</f>
        <v>0</v>
      </c>
      <c r="C48">
        <f>SYSCLK!AB47/$B$2</f>
        <v>0</v>
      </c>
      <c r="D48">
        <f>SYSCLK!AC47/$B$2</f>
        <v>34.666666666666664</v>
      </c>
      <c r="E48">
        <f>SYSCLK!AD47/$B$2</f>
        <v>26</v>
      </c>
      <c r="F48">
        <f>SYSCLK!AE47/$B$2</f>
        <v>20.8</v>
      </c>
      <c r="G48">
        <f>SYSCLK!AF47/$B$2</f>
        <v>17.333333333333332</v>
      </c>
      <c r="H48">
        <f>SYSCLK!AG47/$B$2</f>
        <v>14.857142857142856</v>
      </c>
      <c r="I48">
        <f>SYSCLK!AH47/$B$2</f>
        <v>13</v>
      </c>
      <c r="J48">
        <f>SYSCLK!AI47/$B$2</f>
        <v>11.555555555555555</v>
      </c>
      <c r="K48">
        <f>SYSCLK!AJ47/$B$2</f>
        <v>10.4</v>
      </c>
      <c r="L48">
        <f>SYSCLK!AK47/$B$2</f>
        <v>9.454545454545455</v>
      </c>
      <c r="M48">
        <f>SYSCLK!AL47/$B$2</f>
        <v>8.6666666666666661</v>
      </c>
      <c r="N48">
        <f>SYSCLK!AM47/$B$2</f>
        <v>8</v>
      </c>
      <c r="O48">
        <f>SYSCLK!AN47/$B$2</f>
        <v>7.4285714285714279</v>
      </c>
      <c r="P48">
        <f>SYSCLK!AO47/$B$2</f>
        <v>6.9333333333333336</v>
      </c>
      <c r="Q48">
        <f>SYSCLK!AP47/$B$2</f>
        <v>6.5</v>
      </c>
      <c r="R48" s="117">
        <f>SYSCLK!AQ47/$B$2</f>
        <v>0</v>
      </c>
      <c r="S48">
        <f>SYSCLK!AR47/$B$2</f>
        <v>26</v>
      </c>
      <c r="T48">
        <f>SYSCLK!AS47/$B$2</f>
        <v>17.333333333333332</v>
      </c>
      <c r="U48">
        <f>SYSCLK!AT47/$B$2</f>
        <v>13</v>
      </c>
      <c r="V48">
        <f>SYSCLK!AU47/$B$2</f>
        <v>10.4</v>
      </c>
      <c r="W48">
        <f>SYSCLK!AV47/$B$2</f>
        <v>8.6666666666666661</v>
      </c>
      <c r="X48">
        <f>SYSCLK!AW47/$B$2</f>
        <v>7.4285714285714279</v>
      </c>
      <c r="Y48">
        <f>SYSCLK!AX47/$B$2</f>
        <v>6.5</v>
      </c>
      <c r="Z48">
        <f>SYSCLK!AY47/$B$2</f>
        <v>5.7777777777777777</v>
      </c>
      <c r="AA48">
        <f>SYSCLK!AZ47/$B$2</f>
        <v>5.2</v>
      </c>
      <c r="AB48">
        <f>SYSCLK!BA47/$B$2</f>
        <v>4.7272727272727275</v>
      </c>
      <c r="AC48">
        <f>SYSCLK!BB47/$B$2</f>
        <v>4.333333333333333</v>
      </c>
      <c r="AD48">
        <f>SYSCLK!BC47/$B$2</f>
        <v>4</v>
      </c>
      <c r="AE48">
        <f>SYSCLK!BD47/$B$2</f>
        <v>3.714285714285714</v>
      </c>
      <c r="AF48">
        <f>SYSCLK!BE47/$B$2</f>
        <v>3.4666666666666668</v>
      </c>
      <c r="AG48" s="118">
        <f>SYSCLK!BF47/$B$2</f>
        <v>3.25</v>
      </c>
      <c r="AH48">
        <f>SYSCLK!BG47/$B$2</f>
        <v>34.666666666666664</v>
      </c>
      <c r="AI48">
        <f>SYSCLK!BH47/$B$2</f>
        <v>17.333333333333332</v>
      </c>
      <c r="AJ48">
        <f>SYSCLK!BI47/$B$2</f>
        <v>11.555555555555555</v>
      </c>
      <c r="AK48">
        <f>SYSCLK!BJ47/$B$2</f>
        <v>8.6666666666666661</v>
      </c>
      <c r="AL48">
        <f>SYSCLK!BK47/$B$2</f>
        <v>6.9333333333333336</v>
      </c>
      <c r="AM48">
        <f>SYSCLK!BL47/$B$2</f>
        <v>5.7777777777777777</v>
      </c>
      <c r="AN48">
        <f>SYSCLK!BM47/$B$2</f>
        <v>4.9523809523809517</v>
      </c>
      <c r="AO48">
        <f>SYSCLK!BN47/$B$2</f>
        <v>4.333333333333333</v>
      </c>
      <c r="AP48">
        <f>SYSCLK!BO47/$B$2</f>
        <v>3.8518518518518516</v>
      </c>
      <c r="AQ48">
        <f>SYSCLK!BP47/$B$2</f>
        <v>3.4666666666666668</v>
      </c>
      <c r="AR48">
        <f>SYSCLK!BQ47/$B$2</f>
        <v>3.1515151515151518</v>
      </c>
      <c r="AS48">
        <f>SYSCLK!BR47/$B$2</f>
        <v>2.8888888888888888</v>
      </c>
      <c r="AT48">
        <f>SYSCLK!BS47/$B$2</f>
        <v>2.6666666666666665</v>
      </c>
      <c r="AU48">
        <f>SYSCLK!BT47/$B$2</f>
        <v>2.4761904761904758</v>
      </c>
      <c r="AV48">
        <f>SYSCLK!BU47/$B$2</f>
        <v>2.3111111111111113</v>
      </c>
      <c r="AW48">
        <f>SYSCLK!BV47/$B$2</f>
        <v>2.1666666666666665</v>
      </c>
      <c r="AX48" s="117">
        <f>SYSCLK!BW47/$B$2</f>
        <v>26</v>
      </c>
      <c r="AY48">
        <f>SYSCLK!BX47/$B$2</f>
        <v>13</v>
      </c>
      <c r="AZ48">
        <f>SYSCLK!BY47/$B$2</f>
        <v>8.6666666666666661</v>
      </c>
      <c r="BA48">
        <f>SYSCLK!BZ47/$B$2</f>
        <v>6.5</v>
      </c>
      <c r="BB48">
        <f>SYSCLK!CA47/$B$2</f>
        <v>5.2</v>
      </c>
      <c r="BC48">
        <f>SYSCLK!CB47/$B$2</f>
        <v>4.333333333333333</v>
      </c>
      <c r="BD48">
        <f>SYSCLK!CC47/$B$2</f>
        <v>3.714285714285714</v>
      </c>
      <c r="BE48">
        <f>SYSCLK!CD47/$B$2</f>
        <v>3.25</v>
      </c>
      <c r="BF48">
        <f>SYSCLK!CE47/$B$2</f>
        <v>2.8888888888888888</v>
      </c>
      <c r="BG48">
        <f>SYSCLK!CF47/$B$2</f>
        <v>2.6</v>
      </c>
      <c r="BH48">
        <f>SYSCLK!CG47/$B$2</f>
        <v>2.3636363636363638</v>
      </c>
      <c r="BI48">
        <f>SYSCLK!CH47/$B$2</f>
        <v>2.1666666666666665</v>
      </c>
      <c r="BJ48">
        <f>SYSCLK!CI47/$B$2</f>
        <v>2</v>
      </c>
      <c r="BK48">
        <f>SYSCLK!CJ47/$B$2</f>
        <v>1.857142857142857</v>
      </c>
      <c r="BL48">
        <f>SYSCLK!CK47/$B$2</f>
        <v>1.7333333333333334</v>
      </c>
      <c r="BM48">
        <f>SYSCLK!CL47/$B$2</f>
        <v>1.625</v>
      </c>
    </row>
    <row r="49" spans="2:65">
      <c r="B49">
        <f>SYSCLK!AA48/$B$2</f>
        <v>0</v>
      </c>
      <c r="C49">
        <f>SYSCLK!AB48/$B$2</f>
        <v>0</v>
      </c>
      <c r="D49">
        <f>SYSCLK!AC48/$B$2</f>
        <v>35.333333333333329</v>
      </c>
      <c r="E49">
        <f>SYSCLK!AD48/$B$2</f>
        <v>26.5</v>
      </c>
      <c r="F49">
        <f>SYSCLK!AE48/$B$2</f>
        <v>21.200000000000003</v>
      </c>
      <c r="G49">
        <f>SYSCLK!AF48/$B$2</f>
        <v>17.666666666666664</v>
      </c>
      <c r="H49">
        <f>SYSCLK!AG48/$B$2</f>
        <v>15.142857142857142</v>
      </c>
      <c r="I49">
        <f>SYSCLK!AH48/$B$2</f>
        <v>13.25</v>
      </c>
      <c r="J49">
        <f>SYSCLK!AI48/$B$2</f>
        <v>11.777777777777777</v>
      </c>
      <c r="K49">
        <f>SYSCLK!AJ48/$B$2</f>
        <v>10.600000000000001</v>
      </c>
      <c r="L49">
        <f>SYSCLK!AK48/$B$2</f>
        <v>9.6363636363636367</v>
      </c>
      <c r="M49">
        <f>SYSCLK!AL48/$B$2</f>
        <v>8.8333333333333321</v>
      </c>
      <c r="N49">
        <f>SYSCLK!AM48/$B$2</f>
        <v>8.1538461538461551</v>
      </c>
      <c r="O49">
        <f>SYSCLK!AN48/$B$2</f>
        <v>7.5714285714285712</v>
      </c>
      <c r="P49">
        <f>SYSCLK!AO48/$B$2</f>
        <v>7.0666666666666664</v>
      </c>
      <c r="Q49">
        <f>SYSCLK!AP48/$B$2</f>
        <v>6.625</v>
      </c>
      <c r="R49" s="117">
        <f>SYSCLK!AQ48/$B$2</f>
        <v>0</v>
      </c>
      <c r="S49">
        <f>SYSCLK!AR48/$B$2</f>
        <v>26.5</v>
      </c>
      <c r="T49">
        <f>SYSCLK!AS48/$B$2</f>
        <v>17.666666666666664</v>
      </c>
      <c r="U49">
        <f>SYSCLK!AT48/$B$2</f>
        <v>13.25</v>
      </c>
      <c r="V49">
        <f>SYSCLK!AU48/$B$2</f>
        <v>10.600000000000001</v>
      </c>
      <c r="W49">
        <f>SYSCLK!AV48/$B$2</f>
        <v>8.8333333333333321</v>
      </c>
      <c r="X49">
        <f>SYSCLK!AW48/$B$2</f>
        <v>7.5714285714285712</v>
      </c>
      <c r="Y49">
        <f>SYSCLK!AX48/$B$2</f>
        <v>6.625</v>
      </c>
      <c r="Z49">
        <f>SYSCLK!AY48/$B$2</f>
        <v>5.8888888888888884</v>
      </c>
      <c r="AA49">
        <f>SYSCLK!AZ48/$B$2</f>
        <v>5.3000000000000007</v>
      </c>
      <c r="AB49">
        <f>SYSCLK!BA48/$B$2</f>
        <v>4.8181818181818183</v>
      </c>
      <c r="AC49">
        <f>SYSCLK!BB48/$B$2</f>
        <v>4.4166666666666661</v>
      </c>
      <c r="AD49">
        <f>SYSCLK!BC48/$B$2</f>
        <v>4.0769230769230775</v>
      </c>
      <c r="AE49">
        <f>SYSCLK!BD48/$B$2</f>
        <v>3.7857142857142856</v>
      </c>
      <c r="AF49">
        <f>SYSCLK!BE48/$B$2</f>
        <v>3.5333333333333332</v>
      </c>
      <c r="AG49" s="118">
        <f>SYSCLK!BF48/$B$2</f>
        <v>3.3125</v>
      </c>
      <c r="AH49">
        <f>SYSCLK!BG48/$B$2</f>
        <v>35.333333333333336</v>
      </c>
      <c r="AI49">
        <f>SYSCLK!BH48/$B$2</f>
        <v>17.666666666666668</v>
      </c>
      <c r="AJ49">
        <f>SYSCLK!BI48/$B$2</f>
        <v>11.777777777777777</v>
      </c>
      <c r="AK49">
        <f>SYSCLK!BJ48/$B$2</f>
        <v>8.8333333333333339</v>
      </c>
      <c r="AL49">
        <f>SYSCLK!BK48/$B$2</f>
        <v>7.0666666666666673</v>
      </c>
      <c r="AM49">
        <f>SYSCLK!BL48/$B$2</f>
        <v>5.8888888888888884</v>
      </c>
      <c r="AN49">
        <f>SYSCLK!BM48/$B$2</f>
        <v>5.0476190476190474</v>
      </c>
      <c r="AO49">
        <f>SYSCLK!BN48/$B$2</f>
        <v>4.416666666666667</v>
      </c>
      <c r="AP49">
        <f>SYSCLK!BO48/$B$2</f>
        <v>3.9259259259259256</v>
      </c>
      <c r="AQ49">
        <f>SYSCLK!BP48/$B$2</f>
        <v>3.5333333333333337</v>
      </c>
      <c r="AR49">
        <f>SYSCLK!BQ48/$B$2</f>
        <v>3.2121212121212124</v>
      </c>
      <c r="AS49">
        <f>SYSCLK!BR48/$B$2</f>
        <v>2.9444444444444442</v>
      </c>
      <c r="AT49">
        <f>SYSCLK!BS48/$B$2</f>
        <v>2.7179487179487185</v>
      </c>
      <c r="AU49">
        <f>SYSCLK!BT48/$B$2</f>
        <v>2.5238095238095237</v>
      </c>
      <c r="AV49">
        <f>SYSCLK!BU48/$B$2</f>
        <v>2.3555555555555556</v>
      </c>
      <c r="AW49">
        <f>SYSCLK!BV48/$B$2</f>
        <v>2.2083333333333335</v>
      </c>
      <c r="AX49" s="117">
        <f>SYSCLK!BW48/$B$2</f>
        <v>26.5</v>
      </c>
      <c r="AY49">
        <f>SYSCLK!BX48/$B$2</f>
        <v>13.25</v>
      </c>
      <c r="AZ49">
        <f>SYSCLK!BY48/$B$2</f>
        <v>8.8333333333333321</v>
      </c>
      <c r="BA49">
        <f>SYSCLK!BZ48/$B$2</f>
        <v>6.625</v>
      </c>
      <c r="BB49">
        <f>SYSCLK!CA48/$B$2</f>
        <v>5.3000000000000007</v>
      </c>
      <c r="BC49">
        <f>SYSCLK!CB48/$B$2</f>
        <v>4.4166666666666661</v>
      </c>
      <c r="BD49">
        <f>SYSCLK!CC48/$B$2</f>
        <v>3.7857142857142856</v>
      </c>
      <c r="BE49">
        <f>SYSCLK!CD48/$B$2</f>
        <v>3.3125</v>
      </c>
      <c r="BF49">
        <f>SYSCLK!CE48/$B$2</f>
        <v>2.9444444444444442</v>
      </c>
      <c r="BG49">
        <f>SYSCLK!CF48/$B$2</f>
        <v>2.6500000000000004</v>
      </c>
      <c r="BH49">
        <f>SYSCLK!CG48/$B$2</f>
        <v>2.4090909090909092</v>
      </c>
      <c r="BI49">
        <f>SYSCLK!CH48/$B$2</f>
        <v>2.208333333333333</v>
      </c>
      <c r="BJ49">
        <f>SYSCLK!CI48/$B$2</f>
        <v>2.0384615384615388</v>
      </c>
      <c r="BK49">
        <f>SYSCLK!CJ48/$B$2</f>
        <v>1.8928571428571428</v>
      </c>
      <c r="BL49">
        <f>SYSCLK!CK48/$B$2</f>
        <v>1.7666666666666666</v>
      </c>
      <c r="BM49">
        <f>SYSCLK!CL48/$B$2</f>
        <v>1.65625</v>
      </c>
    </row>
    <row r="50" spans="2:65">
      <c r="B50">
        <f>SYSCLK!AA49/$B$2</f>
        <v>0</v>
      </c>
      <c r="C50">
        <f>SYSCLK!AB49/$B$2</f>
        <v>0</v>
      </c>
      <c r="D50">
        <f>SYSCLK!AC49/$B$2</f>
        <v>36</v>
      </c>
      <c r="E50">
        <f>SYSCLK!AD49/$B$2</f>
        <v>27</v>
      </c>
      <c r="F50">
        <f>SYSCLK!AE49/$B$2</f>
        <v>21.6</v>
      </c>
      <c r="G50">
        <f>SYSCLK!AF49/$B$2</f>
        <v>18</v>
      </c>
      <c r="H50">
        <f>SYSCLK!AG49/$B$2</f>
        <v>15.428571428571427</v>
      </c>
      <c r="I50">
        <f>SYSCLK!AH49/$B$2</f>
        <v>13.5</v>
      </c>
      <c r="J50">
        <f>SYSCLK!AI49/$B$2</f>
        <v>12</v>
      </c>
      <c r="K50">
        <f>SYSCLK!AJ49/$B$2</f>
        <v>10.8</v>
      </c>
      <c r="L50">
        <f>SYSCLK!AK49/$B$2</f>
        <v>9.8181818181818183</v>
      </c>
      <c r="M50">
        <f>SYSCLK!AL49/$B$2</f>
        <v>9</v>
      </c>
      <c r="N50">
        <f>SYSCLK!AM49/$B$2</f>
        <v>8.3076923076923084</v>
      </c>
      <c r="O50">
        <f>SYSCLK!AN49/$B$2</f>
        <v>7.7142857142857135</v>
      </c>
      <c r="P50">
        <f>SYSCLK!AO49/$B$2</f>
        <v>7.2</v>
      </c>
      <c r="Q50">
        <f>SYSCLK!AP49/$B$2</f>
        <v>6.75</v>
      </c>
      <c r="R50" s="117">
        <f>SYSCLK!AQ49/$B$2</f>
        <v>0</v>
      </c>
      <c r="S50">
        <f>SYSCLK!AR49/$B$2</f>
        <v>27</v>
      </c>
      <c r="T50">
        <f>SYSCLK!AS49/$B$2</f>
        <v>18</v>
      </c>
      <c r="U50">
        <f>SYSCLK!AT49/$B$2</f>
        <v>13.5</v>
      </c>
      <c r="V50">
        <f>SYSCLK!AU49/$B$2</f>
        <v>10.8</v>
      </c>
      <c r="W50">
        <f>SYSCLK!AV49/$B$2</f>
        <v>9</v>
      </c>
      <c r="X50">
        <f>SYSCLK!AW49/$B$2</f>
        <v>7.7142857142857135</v>
      </c>
      <c r="Y50">
        <f>SYSCLK!AX49/$B$2</f>
        <v>6.75</v>
      </c>
      <c r="Z50">
        <f>SYSCLK!AY49/$B$2</f>
        <v>6</v>
      </c>
      <c r="AA50">
        <f>SYSCLK!AZ49/$B$2</f>
        <v>5.4</v>
      </c>
      <c r="AB50">
        <f>SYSCLK!BA49/$B$2</f>
        <v>4.9090909090909092</v>
      </c>
      <c r="AC50">
        <f>SYSCLK!BB49/$B$2</f>
        <v>4.5</v>
      </c>
      <c r="AD50">
        <f>SYSCLK!BC49/$B$2</f>
        <v>4.1538461538461542</v>
      </c>
      <c r="AE50">
        <f>SYSCLK!BD49/$B$2</f>
        <v>3.8571428571428568</v>
      </c>
      <c r="AF50">
        <f>SYSCLK!BE49/$B$2</f>
        <v>3.6</v>
      </c>
      <c r="AG50" s="118">
        <f>SYSCLK!BF49/$B$2</f>
        <v>3.375</v>
      </c>
      <c r="AH50">
        <f>SYSCLK!BG49/$B$2</f>
        <v>36</v>
      </c>
      <c r="AI50">
        <f>SYSCLK!BH49/$B$2</f>
        <v>18</v>
      </c>
      <c r="AJ50">
        <f>SYSCLK!BI49/$B$2</f>
        <v>12</v>
      </c>
      <c r="AK50">
        <f>SYSCLK!BJ49/$B$2</f>
        <v>9</v>
      </c>
      <c r="AL50">
        <f>SYSCLK!BK49/$B$2</f>
        <v>7.2</v>
      </c>
      <c r="AM50">
        <f>SYSCLK!BL49/$B$2</f>
        <v>6</v>
      </c>
      <c r="AN50">
        <f>SYSCLK!BM49/$B$2</f>
        <v>5.1428571428571423</v>
      </c>
      <c r="AO50">
        <f>SYSCLK!BN49/$B$2</f>
        <v>4.5</v>
      </c>
      <c r="AP50">
        <f>SYSCLK!BO49/$B$2</f>
        <v>4</v>
      </c>
      <c r="AQ50">
        <f>SYSCLK!BP49/$B$2</f>
        <v>3.6</v>
      </c>
      <c r="AR50">
        <f>SYSCLK!BQ49/$B$2</f>
        <v>3.2727272727272729</v>
      </c>
      <c r="AS50">
        <f>SYSCLK!BR49/$B$2</f>
        <v>3</v>
      </c>
      <c r="AT50">
        <f>SYSCLK!BS49/$B$2</f>
        <v>2.7692307692307696</v>
      </c>
      <c r="AU50">
        <f>SYSCLK!BT49/$B$2</f>
        <v>2.5714285714285712</v>
      </c>
      <c r="AV50">
        <f>SYSCLK!BU49/$B$2</f>
        <v>2.4</v>
      </c>
      <c r="AW50">
        <f>SYSCLK!BV49/$B$2</f>
        <v>2.25</v>
      </c>
      <c r="AX50" s="117">
        <f>SYSCLK!BW49/$B$2</f>
        <v>27</v>
      </c>
      <c r="AY50">
        <f>SYSCLK!BX49/$B$2</f>
        <v>13.5</v>
      </c>
      <c r="AZ50">
        <f>SYSCLK!BY49/$B$2</f>
        <v>9</v>
      </c>
      <c r="BA50">
        <f>SYSCLK!BZ49/$B$2</f>
        <v>6.75</v>
      </c>
      <c r="BB50">
        <f>SYSCLK!CA49/$B$2</f>
        <v>5.4</v>
      </c>
      <c r="BC50">
        <f>SYSCLK!CB49/$B$2</f>
        <v>4.5</v>
      </c>
      <c r="BD50">
        <f>SYSCLK!CC49/$B$2</f>
        <v>3.8571428571428568</v>
      </c>
      <c r="BE50">
        <f>SYSCLK!CD49/$B$2</f>
        <v>3.375</v>
      </c>
      <c r="BF50">
        <f>SYSCLK!CE49/$B$2</f>
        <v>3</v>
      </c>
      <c r="BG50">
        <f>SYSCLK!CF49/$B$2</f>
        <v>2.7</v>
      </c>
      <c r="BH50">
        <f>SYSCLK!CG49/$B$2</f>
        <v>2.4545454545454546</v>
      </c>
      <c r="BI50">
        <f>SYSCLK!CH49/$B$2</f>
        <v>2.25</v>
      </c>
      <c r="BJ50">
        <f>SYSCLK!CI49/$B$2</f>
        <v>2.0769230769230771</v>
      </c>
      <c r="BK50">
        <f>SYSCLK!CJ49/$B$2</f>
        <v>1.9285714285714284</v>
      </c>
      <c r="BL50">
        <f>SYSCLK!CK49/$B$2</f>
        <v>1.8</v>
      </c>
      <c r="BM50">
        <f>SYSCLK!CL49/$B$2</f>
        <v>1.6875</v>
      </c>
    </row>
    <row r="51" spans="2:65">
      <c r="B51">
        <f>SYSCLK!AA50/$B$2</f>
        <v>0</v>
      </c>
      <c r="C51">
        <f>SYSCLK!AB50/$B$2</f>
        <v>0</v>
      </c>
      <c r="D51">
        <f>SYSCLK!AC50/$B$2</f>
        <v>36.666666666666664</v>
      </c>
      <c r="E51">
        <f>SYSCLK!AD50/$B$2</f>
        <v>27.5</v>
      </c>
      <c r="F51">
        <f>SYSCLK!AE50/$B$2</f>
        <v>22</v>
      </c>
      <c r="G51">
        <f>SYSCLK!AF50/$B$2</f>
        <v>18.333333333333332</v>
      </c>
      <c r="H51">
        <f>SYSCLK!AG50/$B$2</f>
        <v>15.714285714285714</v>
      </c>
      <c r="I51">
        <f>SYSCLK!AH50/$B$2</f>
        <v>13.75</v>
      </c>
      <c r="J51">
        <f>SYSCLK!AI50/$B$2</f>
        <v>12.222222222222221</v>
      </c>
      <c r="K51">
        <f>SYSCLK!AJ50/$B$2</f>
        <v>11</v>
      </c>
      <c r="L51">
        <f>SYSCLK!AK50/$B$2</f>
        <v>10</v>
      </c>
      <c r="M51">
        <f>SYSCLK!AL50/$B$2</f>
        <v>9.1666666666666661</v>
      </c>
      <c r="N51">
        <f>SYSCLK!AM50/$B$2</f>
        <v>8.4615384615384617</v>
      </c>
      <c r="O51">
        <f>SYSCLK!AN50/$B$2</f>
        <v>7.8571428571428568</v>
      </c>
      <c r="P51">
        <f>SYSCLK!AO50/$B$2</f>
        <v>7.333333333333333</v>
      </c>
      <c r="Q51">
        <f>SYSCLK!AP50/$B$2</f>
        <v>6.875</v>
      </c>
      <c r="R51" s="117">
        <f>SYSCLK!AQ50/$B$2</f>
        <v>0</v>
      </c>
      <c r="S51">
        <f>SYSCLK!AR50/$B$2</f>
        <v>27.5</v>
      </c>
      <c r="T51">
        <f>SYSCLK!AS50/$B$2</f>
        <v>18.333333333333332</v>
      </c>
      <c r="U51">
        <f>SYSCLK!AT50/$B$2</f>
        <v>13.75</v>
      </c>
      <c r="V51">
        <f>SYSCLK!AU50/$B$2</f>
        <v>11</v>
      </c>
      <c r="W51">
        <f>SYSCLK!AV50/$B$2</f>
        <v>9.1666666666666661</v>
      </c>
      <c r="X51">
        <f>SYSCLK!AW50/$B$2</f>
        <v>7.8571428571428568</v>
      </c>
      <c r="Y51">
        <f>SYSCLK!AX50/$B$2</f>
        <v>6.875</v>
      </c>
      <c r="Z51">
        <f>SYSCLK!AY50/$B$2</f>
        <v>6.1111111111111107</v>
      </c>
      <c r="AA51">
        <f>SYSCLK!AZ50/$B$2</f>
        <v>5.5</v>
      </c>
      <c r="AB51">
        <f>SYSCLK!BA50/$B$2</f>
        <v>5</v>
      </c>
      <c r="AC51">
        <f>SYSCLK!BB50/$B$2</f>
        <v>4.583333333333333</v>
      </c>
      <c r="AD51">
        <f>SYSCLK!BC50/$B$2</f>
        <v>4.2307692307692308</v>
      </c>
      <c r="AE51">
        <f>SYSCLK!BD50/$B$2</f>
        <v>3.9285714285714284</v>
      </c>
      <c r="AF51">
        <f>SYSCLK!BE50/$B$2</f>
        <v>3.6666666666666665</v>
      </c>
      <c r="AG51" s="118">
        <f>SYSCLK!BF50/$B$2</f>
        <v>3.4375</v>
      </c>
      <c r="AH51">
        <f>SYSCLK!BG50/$B$2</f>
        <v>36.666666666666664</v>
      </c>
      <c r="AI51">
        <f>SYSCLK!BH50/$B$2</f>
        <v>18.333333333333332</v>
      </c>
      <c r="AJ51">
        <f>SYSCLK!BI50/$B$2</f>
        <v>12.222222222222221</v>
      </c>
      <c r="AK51">
        <f>SYSCLK!BJ50/$B$2</f>
        <v>9.1666666666666661</v>
      </c>
      <c r="AL51">
        <f>SYSCLK!BK50/$B$2</f>
        <v>7.333333333333333</v>
      </c>
      <c r="AM51">
        <f>SYSCLK!BL50/$B$2</f>
        <v>6.1111111111111107</v>
      </c>
      <c r="AN51">
        <f>SYSCLK!BM50/$B$2</f>
        <v>5.2380952380952381</v>
      </c>
      <c r="AO51">
        <f>SYSCLK!BN50/$B$2</f>
        <v>4.583333333333333</v>
      </c>
      <c r="AP51">
        <f>SYSCLK!BO50/$B$2</f>
        <v>4.0740740740740735</v>
      </c>
      <c r="AQ51">
        <f>SYSCLK!BP50/$B$2</f>
        <v>3.6666666666666665</v>
      </c>
      <c r="AR51">
        <f>SYSCLK!BQ50/$B$2</f>
        <v>3.3333333333333335</v>
      </c>
      <c r="AS51">
        <f>SYSCLK!BR50/$B$2</f>
        <v>3.0555555555555554</v>
      </c>
      <c r="AT51">
        <f>SYSCLK!BS50/$B$2</f>
        <v>2.8205128205128207</v>
      </c>
      <c r="AU51">
        <f>SYSCLK!BT50/$B$2</f>
        <v>2.6190476190476191</v>
      </c>
      <c r="AV51">
        <f>SYSCLK!BU50/$B$2</f>
        <v>2.4444444444444442</v>
      </c>
      <c r="AW51">
        <f>SYSCLK!BV50/$B$2</f>
        <v>2.2916666666666665</v>
      </c>
      <c r="AX51" s="117">
        <f>SYSCLK!BW50/$B$2</f>
        <v>27.5</v>
      </c>
      <c r="AY51">
        <f>SYSCLK!BX50/$B$2</f>
        <v>13.75</v>
      </c>
      <c r="AZ51">
        <f>SYSCLK!BY50/$B$2</f>
        <v>9.1666666666666661</v>
      </c>
      <c r="BA51">
        <f>SYSCLK!BZ50/$B$2</f>
        <v>6.875</v>
      </c>
      <c r="BB51">
        <f>SYSCLK!CA50/$B$2</f>
        <v>5.5</v>
      </c>
      <c r="BC51">
        <f>SYSCLK!CB50/$B$2</f>
        <v>4.583333333333333</v>
      </c>
      <c r="BD51">
        <f>SYSCLK!CC50/$B$2</f>
        <v>3.9285714285714284</v>
      </c>
      <c r="BE51">
        <f>SYSCLK!CD50/$B$2</f>
        <v>3.4375</v>
      </c>
      <c r="BF51">
        <f>SYSCLK!CE50/$B$2</f>
        <v>3.0555555555555554</v>
      </c>
      <c r="BG51">
        <f>SYSCLK!CF50/$B$2</f>
        <v>2.75</v>
      </c>
      <c r="BH51">
        <f>SYSCLK!CG50/$B$2</f>
        <v>2.5</v>
      </c>
      <c r="BI51">
        <f>SYSCLK!CH50/$B$2</f>
        <v>2.2916666666666665</v>
      </c>
      <c r="BJ51">
        <f>SYSCLK!CI50/$B$2</f>
        <v>2.1153846153846154</v>
      </c>
      <c r="BK51">
        <f>SYSCLK!CJ50/$B$2</f>
        <v>1.9642857142857142</v>
      </c>
      <c r="BL51">
        <f>SYSCLK!CK50/$B$2</f>
        <v>1.8333333333333333</v>
      </c>
      <c r="BM51">
        <f>SYSCLK!CL50/$B$2</f>
        <v>1.71875</v>
      </c>
    </row>
    <row r="52" spans="2:65">
      <c r="B52">
        <f>SYSCLK!AA51/$B$2</f>
        <v>0</v>
      </c>
      <c r="C52">
        <f>SYSCLK!AB51/$B$2</f>
        <v>0</v>
      </c>
      <c r="D52">
        <f>SYSCLK!AC51/$B$2</f>
        <v>37.333333333333329</v>
      </c>
      <c r="E52">
        <f>SYSCLK!AD51/$B$2</f>
        <v>28</v>
      </c>
      <c r="F52">
        <f>SYSCLK!AE51/$B$2</f>
        <v>22.400000000000002</v>
      </c>
      <c r="G52">
        <f>SYSCLK!AF51/$B$2</f>
        <v>18.666666666666664</v>
      </c>
      <c r="H52">
        <f>SYSCLK!AG51/$B$2</f>
        <v>16</v>
      </c>
      <c r="I52">
        <f>SYSCLK!AH51/$B$2</f>
        <v>14</v>
      </c>
      <c r="J52">
        <f>SYSCLK!AI51/$B$2</f>
        <v>12.444444444444443</v>
      </c>
      <c r="K52">
        <f>SYSCLK!AJ51/$B$2</f>
        <v>11.200000000000001</v>
      </c>
      <c r="L52">
        <f>SYSCLK!AK51/$B$2</f>
        <v>10.181818181818182</v>
      </c>
      <c r="M52">
        <f>SYSCLK!AL51/$B$2</f>
        <v>9.3333333333333321</v>
      </c>
      <c r="N52">
        <f>SYSCLK!AM51/$B$2</f>
        <v>8.6153846153846168</v>
      </c>
      <c r="O52">
        <f>SYSCLK!AN51/$B$2</f>
        <v>8</v>
      </c>
      <c r="P52">
        <f>SYSCLK!AO51/$B$2</f>
        <v>7.4666666666666668</v>
      </c>
      <c r="Q52">
        <f>SYSCLK!AP51/$B$2</f>
        <v>7</v>
      </c>
      <c r="R52" s="117">
        <f>SYSCLK!AQ51/$B$2</f>
        <v>0</v>
      </c>
      <c r="S52">
        <f>SYSCLK!AR51/$B$2</f>
        <v>28</v>
      </c>
      <c r="T52">
        <f>SYSCLK!AS51/$B$2</f>
        <v>18.666666666666664</v>
      </c>
      <c r="U52">
        <f>SYSCLK!AT51/$B$2</f>
        <v>14</v>
      </c>
      <c r="V52">
        <f>SYSCLK!AU51/$B$2</f>
        <v>11.200000000000001</v>
      </c>
      <c r="W52">
        <f>SYSCLK!AV51/$B$2</f>
        <v>9.3333333333333321</v>
      </c>
      <c r="X52">
        <f>SYSCLK!AW51/$B$2</f>
        <v>8</v>
      </c>
      <c r="Y52">
        <f>SYSCLK!AX51/$B$2</f>
        <v>7</v>
      </c>
      <c r="Z52">
        <f>SYSCLK!AY51/$B$2</f>
        <v>6.2222222222222214</v>
      </c>
      <c r="AA52">
        <f>SYSCLK!AZ51/$B$2</f>
        <v>5.6000000000000005</v>
      </c>
      <c r="AB52">
        <f>SYSCLK!BA51/$B$2</f>
        <v>5.0909090909090908</v>
      </c>
      <c r="AC52">
        <f>SYSCLK!BB51/$B$2</f>
        <v>4.6666666666666661</v>
      </c>
      <c r="AD52">
        <f>SYSCLK!BC51/$B$2</f>
        <v>4.3076923076923084</v>
      </c>
      <c r="AE52">
        <f>SYSCLK!BD51/$B$2</f>
        <v>4</v>
      </c>
      <c r="AF52">
        <f>SYSCLK!BE51/$B$2</f>
        <v>3.7333333333333334</v>
      </c>
      <c r="AG52" s="118">
        <f>SYSCLK!BF51/$B$2</f>
        <v>3.5</v>
      </c>
      <c r="AH52">
        <f>SYSCLK!BG51/$B$2</f>
        <v>37.333333333333336</v>
      </c>
      <c r="AI52">
        <f>SYSCLK!BH51/$B$2</f>
        <v>18.666666666666668</v>
      </c>
      <c r="AJ52">
        <f>SYSCLK!BI51/$B$2</f>
        <v>12.444444444444443</v>
      </c>
      <c r="AK52">
        <f>SYSCLK!BJ51/$B$2</f>
        <v>9.3333333333333339</v>
      </c>
      <c r="AL52">
        <f>SYSCLK!BK51/$B$2</f>
        <v>7.4666666666666677</v>
      </c>
      <c r="AM52">
        <f>SYSCLK!BL51/$B$2</f>
        <v>6.2222222222222214</v>
      </c>
      <c r="AN52">
        <f>SYSCLK!BM51/$B$2</f>
        <v>5.333333333333333</v>
      </c>
      <c r="AO52">
        <f>SYSCLK!BN51/$B$2</f>
        <v>4.666666666666667</v>
      </c>
      <c r="AP52">
        <f>SYSCLK!BO51/$B$2</f>
        <v>4.1481481481481479</v>
      </c>
      <c r="AQ52">
        <f>SYSCLK!BP51/$B$2</f>
        <v>3.7333333333333338</v>
      </c>
      <c r="AR52">
        <f>SYSCLK!BQ51/$B$2</f>
        <v>3.393939393939394</v>
      </c>
      <c r="AS52">
        <f>SYSCLK!BR51/$B$2</f>
        <v>3.1111111111111107</v>
      </c>
      <c r="AT52">
        <f>SYSCLK!BS51/$B$2</f>
        <v>2.8717948717948723</v>
      </c>
      <c r="AU52">
        <f>SYSCLK!BT51/$B$2</f>
        <v>2.6666666666666665</v>
      </c>
      <c r="AV52">
        <f>SYSCLK!BU51/$B$2</f>
        <v>2.4888888888888889</v>
      </c>
      <c r="AW52">
        <f>SYSCLK!BV51/$B$2</f>
        <v>2.3333333333333335</v>
      </c>
      <c r="AX52" s="117">
        <f>SYSCLK!BW51/$B$2</f>
        <v>28</v>
      </c>
      <c r="AY52">
        <f>SYSCLK!BX51/$B$2</f>
        <v>14</v>
      </c>
      <c r="AZ52">
        <f>SYSCLK!BY51/$B$2</f>
        <v>9.3333333333333321</v>
      </c>
      <c r="BA52">
        <f>SYSCLK!BZ51/$B$2</f>
        <v>7</v>
      </c>
      <c r="BB52">
        <f>SYSCLK!CA51/$B$2</f>
        <v>5.6000000000000005</v>
      </c>
      <c r="BC52">
        <f>SYSCLK!CB51/$B$2</f>
        <v>4.6666666666666661</v>
      </c>
      <c r="BD52">
        <f>SYSCLK!CC51/$B$2</f>
        <v>4</v>
      </c>
      <c r="BE52">
        <f>SYSCLK!CD51/$B$2</f>
        <v>3.5</v>
      </c>
      <c r="BF52">
        <f>SYSCLK!CE51/$B$2</f>
        <v>3.1111111111111107</v>
      </c>
      <c r="BG52">
        <f>SYSCLK!CF51/$B$2</f>
        <v>2.8000000000000003</v>
      </c>
      <c r="BH52">
        <f>SYSCLK!CG51/$B$2</f>
        <v>2.5454545454545454</v>
      </c>
      <c r="BI52">
        <f>SYSCLK!CH51/$B$2</f>
        <v>2.333333333333333</v>
      </c>
      <c r="BJ52">
        <f>SYSCLK!CI51/$B$2</f>
        <v>2.1538461538461542</v>
      </c>
      <c r="BK52">
        <f>SYSCLK!CJ51/$B$2</f>
        <v>2</v>
      </c>
      <c r="BL52">
        <f>SYSCLK!CK51/$B$2</f>
        <v>1.8666666666666667</v>
      </c>
      <c r="BM52">
        <f>SYSCLK!CL51/$B$2</f>
        <v>1.75</v>
      </c>
    </row>
    <row r="53" spans="2:65">
      <c r="B53">
        <f>SYSCLK!AA52/$B$2</f>
        <v>0</v>
      </c>
      <c r="C53">
        <f>SYSCLK!AB52/$B$2</f>
        <v>0</v>
      </c>
      <c r="D53">
        <f>SYSCLK!AC52/$B$2</f>
        <v>38</v>
      </c>
      <c r="E53">
        <f>SYSCLK!AD52/$B$2</f>
        <v>28.5</v>
      </c>
      <c r="F53">
        <f>SYSCLK!AE52/$B$2</f>
        <v>22.8</v>
      </c>
      <c r="G53">
        <f>SYSCLK!AF52/$B$2</f>
        <v>19</v>
      </c>
      <c r="H53">
        <f>SYSCLK!AG52/$B$2</f>
        <v>16.285714285714285</v>
      </c>
      <c r="I53">
        <f>SYSCLK!AH52/$B$2</f>
        <v>14.25</v>
      </c>
      <c r="J53">
        <f>SYSCLK!AI52/$B$2</f>
        <v>12.666666666666666</v>
      </c>
      <c r="K53">
        <f>SYSCLK!AJ52/$B$2</f>
        <v>11.4</v>
      </c>
      <c r="L53">
        <f>SYSCLK!AK52/$B$2</f>
        <v>10.363636363636363</v>
      </c>
      <c r="M53">
        <f>SYSCLK!AL52/$B$2</f>
        <v>9.5</v>
      </c>
      <c r="N53">
        <f>SYSCLK!AM52/$B$2</f>
        <v>8.7692307692307701</v>
      </c>
      <c r="O53">
        <f>SYSCLK!AN52/$B$2</f>
        <v>8.1428571428571423</v>
      </c>
      <c r="P53">
        <f>SYSCLK!AO52/$B$2</f>
        <v>7.6</v>
      </c>
      <c r="Q53">
        <f>SYSCLK!AP52/$B$2</f>
        <v>7.125</v>
      </c>
      <c r="R53" s="117">
        <f>SYSCLK!AQ52/$B$2</f>
        <v>0</v>
      </c>
      <c r="S53">
        <f>SYSCLK!AR52/$B$2</f>
        <v>28.5</v>
      </c>
      <c r="T53">
        <f>SYSCLK!AS52/$B$2</f>
        <v>19</v>
      </c>
      <c r="U53">
        <f>SYSCLK!AT52/$B$2</f>
        <v>14.25</v>
      </c>
      <c r="V53">
        <f>SYSCLK!AU52/$B$2</f>
        <v>11.4</v>
      </c>
      <c r="W53">
        <f>SYSCLK!AV52/$B$2</f>
        <v>9.5</v>
      </c>
      <c r="X53">
        <f>SYSCLK!AW52/$B$2</f>
        <v>8.1428571428571423</v>
      </c>
      <c r="Y53">
        <f>SYSCLK!AX52/$B$2</f>
        <v>7.125</v>
      </c>
      <c r="Z53">
        <f>SYSCLK!AY52/$B$2</f>
        <v>6.333333333333333</v>
      </c>
      <c r="AA53">
        <f>SYSCLK!AZ52/$B$2</f>
        <v>5.7</v>
      </c>
      <c r="AB53">
        <f>SYSCLK!BA52/$B$2</f>
        <v>5.1818181818181817</v>
      </c>
      <c r="AC53">
        <f>SYSCLK!BB52/$B$2</f>
        <v>4.75</v>
      </c>
      <c r="AD53">
        <f>SYSCLK!BC52/$B$2</f>
        <v>4.384615384615385</v>
      </c>
      <c r="AE53">
        <f>SYSCLK!BD52/$B$2</f>
        <v>4.0714285714285712</v>
      </c>
      <c r="AF53">
        <f>SYSCLK!BE52/$B$2</f>
        <v>3.8</v>
      </c>
      <c r="AG53" s="118">
        <f>SYSCLK!BF52/$B$2</f>
        <v>3.5625</v>
      </c>
      <c r="AH53">
        <f>SYSCLK!BG52/$B$2</f>
        <v>38</v>
      </c>
      <c r="AI53">
        <f>SYSCLK!BH52/$B$2</f>
        <v>19</v>
      </c>
      <c r="AJ53">
        <f>SYSCLK!BI52/$B$2</f>
        <v>12.666666666666666</v>
      </c>
      <c r="AK53">
        <f>SYSCLK!BJ52/$B$2</f>
        <v>9.5</v>
      </c>
      <c r="AL53">
        <f>SYSCLK!BK52/$B$2</f>
        <v>7.6000000000000005</v>
      </c>
      <c r="AM53">
        <f>SYSCLK!BL52/$B$2</f>
        <v>6.333333333333333</v>
      </c>
      <c r="AN53">
        <f>SYSCLK!BM52/$B$2</f>
        <v>5.4285714285714279</v>
      </c>
      <c r="AO53">
        <f>SYSCLK!BN52/$B$2</f>
        <v>4.75</v>
      </c>
      <c r="AP53">
        <f>SYSCLK!BO52/$B$2</f>
        <v>4.2222222222222223</v>
      </c>
      <c r="AQ53">
        <f>SYSCLK!BP52/$B$2</f>
        <v>3.8000000000000003</v>
      </c>
      <c r="AR53">
        <f>SYSCLK!BQ52/$B$2</f>
        <v>3.4545454545454546</v>
      </c>
      <c r="AS53">
        <f>SYSCLK!BR52/$B$2</f>
        <v>3.1666666666666665</v>
      </c>
      <c r="AT53">
        <f>SYSCLK!BS52/$B$2</f>
        <v>2.9230769230769234</v>
      </c>
      <c r="AU53">
        <f>SYSCLK!BT52/$B$2</f>
        <v>2.714285714285714</v>
      </c>
      <c r="AV53">
        <f>SYSCLK!BU52/$B$2</f>
        <v>2.5333333333333332</v>
      </c>
      <c r="AW53">
        <f>SYSCLK!BV52/$B$2</f>
        <v>2.375</v>
      </c>
      <c r="AX53" s="117">
        <f>SYSCLK!BW52/$B$2</f>
        <v>28.5</v>
      </c>
      <c r="AY53">
        <f>SYSCLK!BX52/$B$2</f>
        <v>14.25</v>
      </c>
      <c r="AZ53">
        <f>SYSCLK!BY52/$B$2</f>
        <v>9.5</v>
      </c>
      <c r="BA53">
        <f>SYSCLK!BZ52/$B$2</f>
        <v>7.125</v>
      </c>
      <c r="BB53">
        <f>SYSCLK!CA52/$B$2</f>
        <v>5.7</v>
      </c>
      <c r="BC53">
        <f>SYSCLK!CB52/$B$2</f>
        <v>4.75</v>
      </c>
      <c r="BD53">
        <f>SYSCLK!CC52/$B$2</f>
        <v>4.0714285714285712</v>
      </c>
      <c r="BE53">
        <f>SYSCLK!CD52/$B$2</f>
        <v>3.5625</v>
      </c>
      <c r="BF53">
        <f>SYSCLK!CE52/$B$2</f>
        <v>3.1666666666666665</v>
      </c>
      <c r="BG53">
        <f>SYSCLK!CF52/$B$2</f>
        <v>2.85</v>
      </c>
      <c r="BH53">
        <f>SYSCLK!CG52/$B$2</f>
        <v>2.5909090909090908</v>
      </c>
      <c r="BI53">
        <f>SYSCLK!CH52/$B$2</f>
        <v>2.375</v>
      </c>
      <c r="BJ53">
        <f>SYSCLK!CI52/$B$2</f>
        <v>2.1923076923076925</v>
      </c>
      <c r="BK53">
        <f>SYSCLK!CJ52/$B$2</f>
        <v>2.0357142857142856</v>
      </c>
      <c r="BL53">
        <f>SYSCLK!CK52/$B$2</f>
        <v>1.9</v>
      </c>
      <c r="BM53">
        <f>SYSCLK!CL52/$B$2</f>
        <v>1.78125</v>
      </c>
    </row>
    <row r="54" spans="2:65">
      <c r="B54">
        <f>SYSCLK!AA53/$B$2</f>
        <v>0</v>
      </c>
      <c r="C54">
        <f>SYSCLK!AB53/$B$2</f>
        <v>0</v>
      </c>
      <c r="D54">
        <f>SYSCLK!AC53/$B$2</f>
        <v>38.666666666666664</v>
      </c>
      <c r="E54">
        <f>SYSCLK!AD53/$B$2</f>
        <v>29</v>
      </c>
      <c r="F54">
        <f>SYSCLK!AE53/$B$2</f>
        <v>23.200000000000003</v>
      </c>
      <c r="G54">
        <f>SYSCLK!AF53/$B$2</f>
        <v>19.333333333333332</v>
      </c>
      <c r="H54">
        <f>SYSCLK!AG53/$B$2</f>
        <v>16.571428571428569</v>
      </c>
      <c r="I54">
        <f>SYSCLK!AH53/$B$2</f>
        <v>14.5</v>
      </c>
      <c r="J54">
        <f>SYSCLK!AI53/$B$2</f>
        <v>12.888888888888888</v>
      </c>
      <c r="K54">
        <f>SYSCLK!AJ53/$B$2</f>
        <v>11.600000000000001</v>
      </c>
      <c r="L54">
        <f>SYSCLK!AK53/$B$2</f>
        <v>10.545454545454545</v>
      </c>
      <c r="M54">
        <f>SYSCLK!AL53/$B$2</f>
        <v>9.6666666666666661</v>
      </c>
      <c r="N54">
        <f>SYSCLK!AM53/$B$2</f>
        <v>8.9230769230769234</v>
      </c>
      <c r="O54">
        <f>SYSCLK!AN53/$B$2</f>
        <v>8.2857142857142847</v>
      </c>
      <c r="P54">
        <f>SYSCLK!AO53/$B$2</f>
        <v>7.7333333333333334</v>
      </c>
      <c r="Q54">
        <f>SYSCLK!AP53/$B$2</f>
        <v>7.25</v>
      </c>
      <c r="R54" s="117">
        <f>SYSCLK!AQ53/$B$2</f>
        <v>0</v>
      </c>
      <c r="S54">
        <f>SYSCLK!AR53/$B$2</f>
        <v>29</v>
      </c>
      <c r="T54">
        <f>SYSCLK!AS53/$B$2</f>
        <v>19.333333333333332</v>
      </c>
      <c r="U54">
        <f>SYSCLK!AT53/$B$2</f>
        <v>14.5</v>
      </c>
      <c r="V54">
        <f>SYSCLK!AU53/$B$2</f>
        <v>11.600000000000001</v>
      </c>
      <c r="W54">
        <f>SYSCLK!AV53/$B$2</f>
        <v>9.6666666666666661</v>
      </c>
      <c r="X54">
        <f>SYSCLK!AW53/$B$2</f>
        <v>8.2857142857142847</v>
      </c>
      <c r="Y54">
        <f>SYSCLK!AX53/$B$2</f>
        <v>7.25</v>
      </c>
      <c r="Z54">
        <f>SYSCLK!AY53/$B$2</f>
        <v>6.4444444444444438</v>
      </c>
      <c r="AA54">
        <f>SYSCLK!AZ53/$B$2</f>
        <v>5.8000000000000007</v>
      </c>
      <c r="AB54">
        <f>SYSCLK!BA53/$B$2</f>
        <v>5.2727272727272725</v>
      </c>
      <c r="AC54">
        <f>SYSCLK!BB53/$B$2</f>
        <v>4.833333333333333</v>
      </c>
      <c r="AD54">
        <f>SYSCLK!BC53/$B$2</f>
        <v>4.4615384615384617</v>
      </c>
      <c r="AE54">
        <f>SYSCLK!BD53/$B$2</f>
        <v>4.1428571428571423</v>
      </c>
      <c r="AF54">
        <f>SYSCLK!BE53/$B$2</f>
        <v>3.8666666666666667</v>
      </c>
      <c r="AG54" s="118">
        <f>SYSCLK!BF53/$B$2</f>
        <v>3.625</v>
      </c>
      <c r="AH54">
        <f>SYSCLK!BG53/$B$2</f>
        <v>38.666666666666664</v>
      </c>
      <c r="AI54">
        <f>SYSCLK!BH53/$B$2</f>
        <v>19.333333333333332</v>
      </c>
      <c r="AJ54">
        <f>SYSCLK!BI53/$B$2</f>
        <v>12.888888888888888</v>
      </c>
      <c r="AK54">
        <f>SYSCLK!BJ53/$B$2</f>
        <v>9.6666666666666661</v>
      </c>
      <c r="AL54">
        <f>SYSCLK!BK53/$B$2</f>
        <v>7.7333333333333343</v>
      </c>
      <c r="AM54">
        <f>SYSCLK!BL53/$B$2</f>
        <v>6.4444444444444438</v>
      </c>
      <c r="AN54">
        <f>SYSCLK!BM53/$B$2</f>
        <v>5.5238095238095228</v>
      </c>
      <c r="AO54">
        <f>SYSCLK!BN53/$B$2</f>
        <v>4.833333333333333</v>
      </c>
      <c r="AP54">
        <f>SYSCLK!BO53/$B$2</f>
        <v>4.2962962962962958</v>
      </c>
      <c r="AQ54">
        <f>SYSCLK!BP53/$B$2</f>
        <v>3.8666666666666671</v>
      </c>
      <c r="AR54">
        <f>SYSCLK!BQ53/$B$2</f>
        <v>3.5151515151515151</v>
      </c>
      <c r="AS54">
        <f>SYSCLK!BR53/$B$2</f>
        <v>3.2222222222222219</v>
      </c>
      <c r="AT54">
        <f>SYSCLK!BS53/$B$2</f>
        <v>2.9743589743589745</v>
      </c>
      <c r="AU54">
        <f>SYSCLK!BT53/$B$2</f>
        <v>2.7619047619047614</v>
      </c>
      <c r="AV54">
        <f>SYSCLK!BU53/$B$2</f>
        <v>2.5777777777777779</v>
      </c>
      <c r="AW54">
        <f>SYSCLK!BV53/$B$2</f>
        <v>2.4166666666666665</v>
      </c>
      <c r="AX54" s="117">
        <f>SYSCLK!BW53/$B$2</f>
        <v>29</v>
      </c>
      <c r="AY54">
        <f>SYSCLK!BX53/$B$2</f>
        <v>14.5</v>
      </c>
      <c r="AZ54">
        <f>SYSCLK!BY53/$B$2</f>
        <v>9.6666666666666661</v>
      </c>
      <c r="BA54">
        <f>SYSCLK!BZ53/$B$2</f>
        <v>7.25</v>
      </c>
      <c r="BB54">
        <f>SYSCLK!CA53/$B$2</f>
        <v>5.8000000000000007</v>
      </c>
      <c r="BC54">
        <f>SYSCLK!CB53/$B$2</f>
        <v>4.833333333333333</v>
      </c>
      <c r="BD54">
        <f>SYSCLK!CC53/$B$2</f>
        <v>4.1428571428571423</v>
      </c>
      <c r="BE54">
        <f>SYSCLK!CD53/$B$2</f>
        <v>3.625</v>
      </c>
      <c r="BF54">
        <f>SYSCLK!CE53/$B$2</f>
        <v>3.2222222222222219</v>
      </c>
      <c r="BG54">
        <f>SYSCLK!CF53/$B$2</f>
        <v>2.9000000000000004</v>
      </c>
      <c r="BH54">
        <f>SYSCLK!CG53/$B$2</f>
        <v>2.6363636363636362</v>
      </c>
      <c r="BI54">
        <f>SYSCLK!CH53/$B$2</f>
        <v>2.4166666666666665</v>
      </c>
      <c r="BJ54">
        <f>SYSCLK!CI53/$B$2</f>
        <v>2.2307692307692308</v>
      </c>
      <c r="BK54">
        <f>SYSCLK!CJ53/$B$2</f>
        <v>2.0714285714285712</v>
      </c>
      <c r="BL54">
        <f>SYSCLK!CK53/$B$2</f>
        <v>1.9333333333333333</v>
      </c>
      <c r="BM54">
        <f>SYSCLK!CL53/$B$2</f>
        <v>1.8125</v>
      </c>
    </row>
    <row r="55" spans="2:65">
      <c r="B55">
        <f>SYSCLK!AA54/$B$2</f>
        <v>0</v>
      </c>
      <c r="C55">
        <f>SYSCLK!AB54/$B$2</f>
        <v>0</v>
      </c>
      <c r="D55">
        <f>SYSCLK!AC54/$B$2</f>
        <v>39.333333333333329</v>
      </c>
      <c r="E55">
        <f>SYSCLK!AD54/$B$2</f>
        <v>29.5</v>
      </c>
      <c r="F55">
        <f>SYSCLK!AE54/$B$2</f>
        <v>23.6</v>
      </c>
      <c r="G55">
        <f>SYSCLK!AF54/$B$2</f>
        <v>19.666666666666664</v>
      </c>
      <c r="H55">
        <f>SYSCLK!AG54/$B$2</f>
        <v>16.857142857142858</v>
      </c>
      <c r="I55">
        <f>SYSCLK!AH54/$B$2</f>
        <v>14.75</v>
      </c>
      <c r="J55">
        <f>SYSCLK!AI54/$B$2</f>
        <v>13.111111111111111</v>
      </c>
      <c r="K55">
        <f>SYSCLK!AJ54/$B$2</f>
        <v>11.8</v>
      </c>
      <c r="L55">
        <f>SYSCLK!AK54/$B$2</f>
        <v>10.727272727272728</v>
      </c>
      <c r="M55">
        <f>SYSCLK!AL54/$B$2</f>
        <v>9.8333333333333321</v>
      </c>
      <c r="N55">
        <f>SYSCLK!AM54/$B$2</f>
        <v>9.0769230769230766</v>
      </c>
      <c r="O55">
        <f>SYSCLK!AN54/$B$2</f>
        <v>8.4285714285714288</v>
      </c>
      <c r="P55">
        <f>SYSCLK!AO54/$B$2</f>
        <v>7.8666666666666663</v>
      </c>
      <c r="Q55">
        <f>SYSCLK!AP54/$B$2</f>
        <v>7.375</v>
      </c>
      <c r="R55" s="117">
        <f>SYSCLK!AQ54/$B$2</f>
        <v>0</v>
      </c>
      <c r="S55">
        <f>SYSCLK!AR54/$B$2</f>
        <v>29.5</v>
      </c>
      <c r="T55">
        <f>SYSCLK!AS54/$B$2</f>
        <v>19.666666666666664</v>
      </c>
      <c r="U55">
        <f>SYSCLK!AT54/$B$2</f>
        <v>14.75</v>
      </c>
      <c r="V55">
        <f>SYSCLK!AU54/$B$2</f>
        <v>11.8</v>
      </c>
      <c r="W55">
        <f>SYSCLK!AV54/$B$2</f>
        <v>9.8333333333333321</v>
      </c>
      <c r="X55">
        <f>SYSCLK!AW54/$B$2</f>
        <v>8.4285714285714288</v>
      </c>
      <c r="Y55">
        <f>SYSCLK!AX54/$B$2</f>
        <v>7.375</v>
      </c>
      <c r="Z55">
        <f>SYSCLK!AY54/$B$2</f>
        <v>6.5555555555555554</v>
      </c>
      <c r="AA55">
        <f>SYSCLK!AZ54/$B$2</f>
        <v>5.9</v>
      </c>
      <c r="AB55">
        <f>SYSCLK!BA54/$B$2</f>
        <v>5.3636363636363642</v>
      </c>
      <c r="AC55">
        <f>SYSCLK!BB54/$B$2</f>
        <v>4.9166666666666661</v>
      </c>
      <c r="AD55">
        <f>SYSCLK!BC54/$B$2</f>
        <v>4.5384615384615383</v>
      </c>
      <c r="AE55">
        <f>SYSCLK!BD54/$B$2</f>
        <v>4.2142857142857144</v>
      </c>
      <c r="AF55">
        <f>SYSCLK!BE54/$B$2</f>
        <v>3.9333333333333331</v>
      </c>
      <c r="AG55" s="118">
        <f>SYSCLK!BF54/$B$2</f>
        <v>3.6875</v>
      </c>
      <c r="AH55">
        <f>SYSCLK!BG54/$B$2</f>
        <v>39.333333333333336</v>
      </c>
      <c r="AI55">
        <f>SYSCLK!BH54/$B$2</f>
        <v>19.666666666666668</v>
      </c>
      <c r="AJ55">
        <f>SYSCLK!BI54/$B$2</f>
        <v>13.111111111111109</v>
      </c>
      <c r="AK55">
        <f>SYSCLK!BJ54/$B$2</f>
        <v>9.8333333333333339</v>
      </c>
      <c r="AL55">
        <f>SYSCLK!BK54/$B$2</f>
        <v>7.8666666666666671</v>
      </c>
      <c r="AM55">
        <f>SYSCLK!BL54/$B$2</f>
        <v>6.5555555555555545</v>
      </c>
      <c r="AN55">
        <f>SYSCLK!BM54/$B$2</f>
        <v>5.6190476190476195</v>
      </c>
      <c r="AO55">
        <f>SYSCLK!BN54/$B$2</f>
        <v>4.916666666666667</v>
      </c>
      <c r="AP55">
        <f>SYSCLK!BO54/$B$2</f>
        <v>4.3703703703703702</v>
      </c>
      <c r="AQ55">
        <f>SYSCLK!BP54/$B$2</f>
        <v>3.9333333333333336</v>
      </c>
      <c r="AR55">
        <f>SYSCLK!BQ54/$B$2</f>
        <v>3.5757575757575761</v>
      </c>
      <c r="AS55">
        <f>SYSCLK!BR54/$B$2</f>
        <v>3.2777777777777772</v>
      </c>
      <c r="AT55">
        <f>SYSCLK!BS54/$B$2</f>
        <v>3.0256410256410255</v>
      </c>
      <c r="AU55">
        <f>SYSCLK!BT54/$B$2</f>
        <v>2.8095238095238098</v>
      </c>
      <c r="AV55">
        <f>SYSCLK!BU54/$B$2</f>
        <v>2.6222222222222222</v>
      </c>
      <c r="AW55">
        <f>SYSCLK!BV54/$B$2</f>
        <v>2.4583333333333335</v>
      </c>
      <c r="AX55" s="117">
        <f>SYSCLK!BW54/$B$2</f>
        <v>29.5</v>
      </c>
      <c r="AY55">
        <f>SYSCLK!BX54/$B$2</f>
        <v>14.75</v>
      </c>
      <c r="AZ55">
        <f>SYSCLK!BY54/$B$2</f>
        <v>9.8333333333333321</v>
      </c>
      <c r="BA55">
        <f>SYSCLK!BZ54/$B$2</f>
        <v>7.375</v>
      </c>
      <c r="BB55">
        <f>SYSCLK!CA54/$B$2</f>
        <v>5.9</v>
      </c>
      <c r="BC55">
        <f>SYSCLK!CB54/$B$2</f>
        <v>4.9166666666666661</v>
      </c>
      <c r="BD55">
        <f>SYSCLK!CC54/$B$2</f>
        <v>4.2142857142857144</v>
      </c>
      <c r="BE55">
        <f>SYSCLK!CD54/$B$2</f>
        <v>3.6875</v>
      </c>
      <c r="BF55">
        <f>SYSCLK!CE54/$B$2</f>
        <v>3.2777777777777777</v>
      </c>
      <c r="BG55">
        <f>SYSCLK!CF54/$B$2</f>
        <v>2.95</v>
      </c>
      <c r="BH55">
        <f>SYSCLK!CG54/$B$2</f>
        <v>2.6818181818181821</v>
      </c>
      <c r="BI55">
        <f>SYSCLK!CH54/$B$2</f>
        <v>2.458333333333333</v>
      </c>
      <c r="BJ55">
        <f>SYSCLK!CI54/$B$2</f>
        <v>2.2692307692307692</v>
      </c>
      <c r="BK55">
        <f>SYSCLK!CJ54/$B$2</f>
        <v>2.1071428571428572</v>
      </c>
      <c r="BL55">
        <f>SYSCLK!CK54/$B$2</f>
        <v>1.9666666666666666</v>
      </c>
      <c r="BM55">
        <f>SYSCLK!CL54/$B$2</f>
        <v>1.84375</v>
      </c>
    </row>
    <row r="56" spans="2:65">
      <c r="B56">
        <f>SYSCLK!AA55/$B$2</f>
        <v>0</v>
      </c>
      <c r="C56">
        <f>SYSCLK!AB55/$B$2</f>
        <v>0</v>
      </c>
      <c r="D56">
        <f>SYSCLK!AC55/$B$2</f>
        <v>40</v>
      </c>
      <c r="E56">
        <f>SYSCLK!AD55/$B$2</f>
        <v>30</v>
      </c>
      <c r="F56">
        <f>SYSCLK!AE55/$B$2</f>
        <v>24</v>
      </c>
      <c r="G56">
        <f>SYSCLK!AF55/$B$2</f>
        <v>20</v>
      </c>
      <c r="H56">
        <f>SYSCLK!AG55/$B$2</f>
        <v>17.142857142857142</v>
      </c>
      <c r="I56">
        <f>SYSCLK!AH55/$B$2</f>
        <v>15</v>
      </c>
      <c r="J56">
        <f>SYSCLK!AI55/$B$2</f>
        <v>13.333333333333332</v>
      </c>
      <c r="K56">
        <f>SYSCLK!AJ55/$B$2</f>
        <v>12</v>
      </c>
      <c r="L56">
        <f>SYSCLK!AK55/$B$2</f>
        <v>10.90909090909091</v>
      </c>
      <c r="M56">
        <f>SYSCLK!AL55/$B$2</f>
        <v>10</v>
      </c>
      <c r="N56">
        <f>SYSCLK!AM55/$B$2</f>
        <v>9.2307692307692317</v>
      </c>
      <c r="O56">
        <f>SYSCLK!AN55/$B$2</f>
        <v>8.5714285714285712</v>
      </c>
      <c r="P56">
        <f>SYSCLK!AO55/$B$2</f>
        <v>8</v>
      </c>
      <c r="Q56">
        <f>SYSCLK!AP55/$B$2</f>
        <v>7.5</v>
      </c>
      <c r="R56" s="117">
        <f>SYSCLK!AQ55/$B$2</f>
        <v>0</v>
      </c>
      <c r="S56">
        <f>SYSCLK!AR55/$B$2</f>
        <v>30</v>
      </c>
      <c r="T56">
        <f>SYSCLK!AS55/$B$2</f>
        <v>20</v>
      </c>
      <c r="U56">
        <f>SYSCLK!AT55/$B$2</f>
        <v>15</v>
      </c>
      <c r="V56">
        <f>SYSCLK!AU55/$B$2</f>
        <v>12</v>
      </c>
      <c r="W56">
        <f>SYSCLK!AV55/$B$2</f>
        <v>10</v>
      </c>
      <c r="X56">
        <f>SYSCLK!AW55/$B$2</f>
        <v>8.5714285714285712</v>
      </c>
      <c r="Y56">
        <f>SYSCLK!AX55/$B$2</f>
        <v>7.5</v>
      </c>
      <c r="Z56">
        <f>SYSCLK!AY55/$B$2</f>
        <v>6.6666666666666661</v>
      </c>
      <c r="AA56">
        <f>SYSCLK!AZ55/$B$2</f>
        <v>6</v>
      </c>
      <c r="AB56">
        <f>SYSCLK!BA55/$B$2</f>
        <v>5.454545454545455</v>
      </c>
      <c r="AC56">
        <f>SYSCLK!BB55/$B$2</f>
        <v>5</v>
      </c>
      <c r="AD56">
        <f>SYSCLK!BC55/$B$2</f>
        <v>4.6153846153846159</v>
      </c>
      <c r="AE56">
        <f>SYSCLK!BD55/$B$2</f>
        <v>4.2857142857142856</v>
      </c>
      <c r="AF56">
        <f>SYSCLK!BE55/$B$2</f>
        <v>4</v>
      </c>
      <c r="AG56" s="118">
        <f>SYSCLK!BF55/$B$2</f>
        <v>3.75</v>
      </c>
      <c r="AH56">
        <f>SYSCLK!BG55/$B$2</f>
        <v>40</v>
      </c>
      <c r="AI56">
        <f>SYSCLK!BH55/$B$2</f>
        <v>20</v>
      </c>
      <c r="AJ56">
        <f>SYSCLK!BI55/$B$2</f>
        <v>13.333333333333334</v>
      </c>
      <c r="AK56">
        <f>SYSCLK!BJ55/$B$2</f>
        <v>10</v>
      </c>
      <c r="AL56">
        <f>SYSCLK!BK55/$B$2</f>
        <v>8</v>
      </c>
      <c r="AM56">
        <f>SYSCLK!BL55/$B$2</f>
        <v>6.666666666666667</v>
      </c>
      <c r="AN56">
        <f>SYSCLK!BM55/$B$2</f>
        <v>5.7142857142857144</v>
      </c>
      <c r="AO56">
        <f>SYSCLK!BN55/$B$2</f>
        <v>5</v>
      </c>
      <c r="AP56">
        <f>SYSCLK!BO55/$B$2</f>
        <v>4.4444444444444438</v>
      </c>
      <c r="AQ56">
        <f>SYSCLK!BP55/$B$2</f>
        <v>4</v>
      </c>
      <c r="AR56">
        <f>SYSCLK!BQ55/$B$2</f>
        <v>3.6363636363636367</v>
      </c>
      <c r="AS56">
        <f>SYSCLK!BR55/$B$2</f>
        <v>3.3333333333333335</v>
      </c>
      <c r="AT56">
        <f>SYSCLK!BS55/$B$2</f>
        <v>3.0769230769230771</v>
      </c>
      <c r="AU56">
        <f>SYSCLK!BT55/$B$2</f>
        <v>2.8571428571428572</v>
      </c>
      <c r="AV56">
        <f>SYSCLK!BU55/$B$2</f>
        <v>2.6666666666666665</v>
      </c>
      <c r="AW56">
        <f>SYSCLK!BV55/$B$2</f>
        <v>2.5</v>
      </c>
      <c r="AX56" s="117">
        <f>SYSCLK!BW55/$B$2</f>
        <v>30</v>
      </c>
      <c r="AY56">
        <f>SYSCLK!BX55/$B$2</f>
        <v>15</v>
      </c>
      <c r="AZ56">
        <f>SYSCLK!BY55/$B$2</f>
        <v>10</v>
      </c>
      <c r="BA56">
        <f>SYSCLK!BZ55/$B$2</f>
        <v>7.5</v>
      </c>
      <c r="BB56">
        <f>SYSCLK!CA55/$B$2</f>
        <v>6</v>
      </c>
      <c r="BC56">
        <f>SYSCLK!CB55/$B$2</f>
        <v>5</v>
      </c>
      <c r="BD56">
        <f>SYSCLK!CC55/$B$2</f>
        <v>4.2857142857142856</v>
      </c>
      <c r="BE56">
        <f>SYSCLK!CD55/$B$2</f>
        <v>3.75</v>
      </c>
      <c r="BF56">
        <f>SYSCLK!CE55/$B$2</f>
        <v>3.333333333333333</v>
      </c>
      <c r="BG56">
        <f>SYSCLK!CF55/$B$2</f>
        <v>3</v>
      </c>
      <c r="BH56">
        <f>SYSCLK!CG55/$B$2</f>
        <v>2.7272727272727275</v>
      </c>
      <c r="BI56">
        <f>SYSCLK!CH55/$B$2</f>
        <v>2.5</v>
      </c>
      <c r="BJ56">
        <f>SYSCLK!CI55/$B$2</f>
        <v>2.3076923076923079</v>
      </c>
      <c r="BK56">
        <f>SYSCLK!CJ55/$B$2</f>
        <v>2.1428571428571428</v>
      </c>
      <c r="BL56">
        <f>SYSCLK!CK55/$B$2</f>
        <v>2</v>
      </c>
      <c r="BM56">
        <f>SYSCLK!CL55/$B$2</f>
        <v>1.875</v>
      </c>
    </row>
    <row r="57" spans="2:65">
      <c r="B57">
        <f>SYSCLK!AA56/$B$2</f>
        <v>0</v>
      </c>
      <c r="C57">
        <f>SYSCLK!AB56/$B$2</f>
        <v>0</v>
      </c>
      <c r="D57">
        <f>SYSCLK!AC56/$B$2</f>
        <v>40.666666666666664</v>
      </c>
      <c r="E57">
        <f>SYSCLK!AD56/$B$2</f>
        <v>30.5</v>
      </c>
      <c r="F57">
        <f>SYSCLK!AE56/$B$2</f>
        <v>24.400000000000002</v>
      </c>
      <c r="G57">
        <f>SYSCLK!AF56/$B$2</f>
        <v>20.333333333333332</v>
      </c>
      <c r="H57">
        <f>SYSCLK!AG56/$B$2</f>
        <v>17.428571428571427</v>
      </c>
      <c r="I57">
        <f>SYSCLK!AH56/$B$2</f>
        <v>15.25</v>
      </c>
      <c r="J57">
        <f>SYSCLK!AI56/$B$2</f>
        <v>13.555555555555555</v>
      </c>
      <c r="K57">
        <f>SYSCLK!AJ56/$B$2</f>
        <v>12.200000000000001</v>
      </c>
      <c r="L57">
        <f>SYSCLK!AK56/$B$2</f>
        <v>11.090909090909092</v>
      </c>
      <c r="M57">
        <f>SYSCLK!AL56/$B$2</f>
        <v>10.166666666666666</v>
      </c>
      <c r="N57">
        <f>SYSCLK!AM56/$B$2</f>
        <v>9.384615384615385</v>
      </c>
      <c r="O57">
        <f>SYSCLK!AN56/$B$2</f>
        <v>8.7142857142857135</v>
      </c>
      <c r="P57">
        <f>SYSCLK!AO56/$B$2</f>
        <v>8.1333333333333329</v>
      </c>
      <c r="Q57">
        <f>SYSCLK!AP56/$B$2</f>
        <v>7.625</v>
      </c>
      <c r="R57" s="117">
        <f>SYSCLK!AQ56/$B$2</f>
        <v>0</v>
      </c>
      <c r="S57">
        <f>SYSCLK!AR56/$B$2</f>
        <v>30.5</v>
      </c>
      <c r="T57">
        <f>SYSCLK!AS56/$B$2</f>
        <v>20.333333333333332</v>
      </c>
      <c r="U57">
        <f>SYSCLK!AT56/$B$2</f>
        <v>15.25</v>
      </c>
      <c r="V57">
        <f>SYSCLK!AU56/$B$2</f>
        <v>12.200000000000001</v>
      </c>
      <c r="W57">
        <f>SYSCLK!AV56/$B$2</f>
        <v>10.166666666666666</v>
      </c>
      <c r="X57">
        <f>SYSCLK!AW56/$B$2</f>
        <v>8.7142857142857135</v>
      </c>
      <c r="Y57">
        <f>SYSCLK!AX56/$B$2</f>
        <v>7.625</v>
      </c>
      <c r="Z57">
        <f>SYSCLK!AY56/$B$2</f>
        <v>6.7777777777777777</v>
      </c>
      <c r="AA57">
        <f>SYSCLK!AZ56/$B$2</f>
        <v>6.1000000000000005</v>
      </c>
      <c r="AB57">
        <f>SYSCLK!BA56/$B$2</f>
        <v>5.5454545454545459</v>
      </c>
      <c r="AC57">
        <f>SYSCLK!BB56/$B$2</f>
        <v>5.083333333333333</v>
      </c>
      <c r="AD57">
        <f>SYSCLK!BC56/$B$2</f>
        <v>4.6923076923076925</v>
      </c>
      <c r="AE57">
        <f>SYSCLK!BD56/$B$2</f>
        <v>4.3571428571428568</v>
      </c>
      <c r="AF57">
        <f>SYSCLK!BE56/$B$2</f>
        <v>4.0666666666666664</v>
      </c>
      <c r="AG57" s="118">
        <f>SYSCLK!BF56/$B$2</f>
        <v>3.8125</v>
      </c>
      <c r="AH57">
        <f>SYSCLK!BG56/$B$2</f>
        <v>40.666666666666664</v>
      </c>
      <c r="AI57">
        <f>SYSCLK!BH56/$B$2</f>
        <v>20.333333333333332</v>
      </c>
      <c r="AJ57">
        <f>SYSCLK!BI56/$B$2</f>
        <v>13.555555555555555</v>
      </c>
      <c r="AK57">
        <f>SYSCLK!BJ56/$B$2</f>
        <v>10.166666666666666</v>
      </c>
      <c r="AL57">
        <f>SYSCLK!BK56/$B$2</f>
        <v>8.1333333333333346</v>
      </c>
      <c r="AM57">
        <f>SYSCLK!BL56/$B$2</f>
        <v>6.7777777777777777</v>
      </c>
      <c r="AN57">
        <f>SYSCLK!BM56/$B$2</f>
        <v>5.8095238095238093</v>
      </c>
      <c r="AO57">
        <f>SYSCLK!BN56/$B$2</f>
        <v>5.083333333333333</v>
      </c>
      <c r="AP57">
        <f>SYSCLK!BO56/$B$2</f>
        <v>4.5185185185185182</v>
      </c>
      <c r="AQ57">
        <f>SYSCLK!BP56/$B$2</f>
        <v>4.0666666666666673</v>
      </c>
      <c r="AR57">
        <f>SYSCLK!BQ56/$B$2</f>
        <v>3.6969696969696972</v>
      </c>
      <c r="AS57">
        <f>SYSCLK!BR56/$B$2</f>
        <v>3.3888888888888888</v>
      </c>
      <c r="AT57">
        <f>SYSCLK!BS56/$B$2</f>
        <v>3.1282051282051282</v>
      </c>
      <c r="AU57">
        <f>SYSCLK!BT56/$B$2</f>
        <v>2.9047619047619047</v>
      </c>
      <c r="AV57">
        <f>SYSCLK!BU56/$B$2</f>
        <v>2.7111111111111108</v>
      </c>
      <c r="AW57">
        <f>SYSCLK!BV56/$B$2</f>
        <v>2.5416666666666665</v>
      </c>
      <c r="AX57" s="117">
        <f>SYSCLK!BW56/$B$2</f>
        <v>30.5</v>
      </c>
      <c r="AY57">
        <f>SYSCLK!BX56/$B$2</f>
        <v>15.25</v>
      </c>
      <c r="AZ57">
        <f>SYSCLK!BY56/$B$2</f>
        <v>10.166666666666666</v>
      </c>
      <c r="BA57">
        <f>SYSCLK!BZ56/$B$2</f>
        <v>7.625</v>
      </c>
      <c r="BB57">
        <f>SYSCLK!CA56/$B$2</f>
        <v>6.1000000000000005</v>
      </c>
      <c r="BC57">
        <f>SYSCLK!CB56/$B$2</f>
        <v>5.083333333333333</v>
      </c>
      <c r="BD57">
        <f>SYSCLK!CC56/$B$2</f>
        <v>4.3571428571428568</v>
      </c>
      <c r="BE57">
        <f>SYSCLK!CD56/$B$2</f>
        <v>3.8125</v>
      </c>
      <c r="BF57">
        <f>SYSCLK!CE56/$B$2</f>
        <v>3.3888888888888888</v>
      </c>
      <c r="BG57">
        <f>SYSCLK!CF56/$B$2</f>
        <v>3.0500000000000003</v>
      </c>
      <c r="BH57">
        <f>SYSCLK!CG56/$B$2</f>
        <v>2.7727272727272729</v>
      </c>
      <c r="BI57">
        <f>SYSCLK!CH56/$B$2</f>
        <v>2.5416666666666665</v>
      </c>
      <c r="BJ57">
        <f>SYSCLK!CI56/$B$2</f>
        <v>2.3461538461538463</v>
      </c>
      <c r="BK57">
        <f>SYSCLK!CJ56/$B$2</f>
        <v>2.1785714285714284</v>
      </c>
      <c r="BL57">
        <f>SYSCLK!CK56/$B$2</f>
        <v>2.0333333333333332</v>
      </c>
      <c r="BM57">
        <f>SYSCLK!CL56/$B$2</f>
        <v>1.90625</v>
      </c>
    </row>
    <row r="58" spans="2:65">
      <c r="B58">
        <f>SYSCLK!AA57/$B$2</f>
        <v>0</v>
      </c>
      <c r="C58">
        <f>SYSCLK!AB57/$B$2</f>
        <v>0</v>
      </c>
      <c r="D58">
        <f>SYSCLK!AC57/$B$2</f>
        <v>41.333333333333329</v>
      </c>
      <c r="E58">
        <f>SYSCLK!AD57/$B$2</f>
        <v>31</v>
      </c>
      <c r="F58">
        <f>SYSCLK!AE57/$B$2</f>
        <v>24.8</v>
      </c>
      <c r="G58">
        <f>SYSCLK!AF57/$B$2</f>
        <v>20.666666666666664</v>
      </c>
      <c r="H58">
        <f>SYSCLK!AG57/$B$2</f>
        <v>17.714285714285712</v>
      </c>
      <c r="I58">
        <f>SYSCLK!AH57/$B$2</f>
        <v>15.5</v>
      </c>
      <c r="J58">
        <f>SYSCLK!AI57/$B$2</f>
        <v>13.777777777777777</v>
      </c>
      <c r="K58">
        <f>SYSCLK!AJ57/$B$2</f>
        <v>12.4</v>
      </c>
      <c r="L58">
        <f>SYSCLK!AK57/$B$2</f>
        <v>11.272727272727273</v>
      </c>
      <c r="M58">
        <f>SYSCLK!AL57/$B$2</f>
        <v>10.333333333333332</v>
      </c>
      <c r="N58">
        <f>SYSCLK!AM57/$B$2</f>
        <v>9.5384615384615383</v>
      </c>
      <c r="O58">
        <f>SYSCLK!AN57/$B$2</f>
        <v>8.8571428571428559</v>
      </c>
      <c r="P58">
        <f>SYSCLK!AO57/$B$2</f>
        <v>8.2666666666666657</v>
      </c>
      <c r="Q58">
        <f>SYSCLK!AP57/$B$2</f>
        <v>7.75</v>
      </c>
      <c r="R58" s="117">
        <f>SYSCLK!AQ57/$B$2</f>
        <v>0</v>
      </c>
      <c r="S58">
        <f>SYSCLK!AR57/$B$2</f>
        <v>31</v>
      </c>
      <c r="T58">
        <f>SYSCLK!AS57/$B$2</f>
        <v>20.666666666666664</v>
      </c>
      <c r="U58">
        <f>SYSCLK!AT57/$B$2</f>
        <v>15.5</v>
      </c>
      <c r="V58">
        <f>SYSCLK!AU57/$B$2</f>
        <v>12.4</v>
      </c>
      <c r="W58">
        <f>SYSCLK!AV57/$B$2</f>
        <v>10.333333333333332</v>
      </c>
      <c r="X58">
        <f>SYSCLK!AW57/$B$2</f>
        <v>8.8571428571428559</v>
      </c>
      <c r="Y58">
        <f>SYSCLK!AX57/$B$2</f>
        <v>7.75</v>
      </c>
      <c r="Z58">
        <f>SYSCLK!AY57/$B$2</f>
        <v>6.8888888888888884</v>
      </c>
      <c r="AA58">
        <f>SYSCLK!AZ57/$B$2</f>
        <v>6.2</v>
      </c>
      <c r="AB58">
        <f>SYSCLK!BA57/$B$2</f>
        <v>5.6363636363636367</v>
      </c>
      <c r="AC58">
        <f>SYSCLK!BB57/$B$2</f>
        <v>5.1666666666666661</v>
      </c>
      <c r="AD58">
        <f>SYSCLK!BC57/$B$2</f>
        <v>4.7692307692307692</v>
      </c>
      <c r="AE58">
        <f>SYSCLK!BD57/$B$2</f>
        <v>4.4285714285714279</v>
      </c>
      <c r="AF58">
        <f>SYSCLK!BE57/$B$2</f>
        <v>4.1333333333333329</v>
      </c>
      <c r="AG58" s="118">
        <f>SYSCLK!BF57/$B$2</f>
        <v>3.875</v>
      </c>
      <c r="AH58">
        <f>SYSCLK!BG57/$B$2</f>
        <v>41.333333333333336</v>
      </c>
      <c r="AI58">
        <f>SYSCLK!BH57/$B$2</f>
        <v>20.666666666666668</v>
      </c>
      <c r="AJ58">
        <f>SYSCLK!BI57/$B$2</f>
        <v>13.777777777777777</v>
      </c>
      <c r="AK58">
        <f>SYSCLK!BJ57/$B$2</f>
        <v>10.333333333333334</v>
      </c>
      <c r="AL58">
        <f>SYSCLK!BK57/$B$2</f>
        <v>8.2666666666666675</v>
      </c>
      <c r="AM58">
        <f>SYSCLK!BL57/$B$2</f>
        <v>6.8888888888888884</v>
      </c>
      <c r="AN58">
        <f>SYSCLK!BM57/$B$2</f>
        <v>5.9047619047619042</v>
      </c>
      <c r="AO58">
        <f>SYSCLK!BN57/$B$2</f>
        <v>5.166666666666667</v>
      </c>
      <c r="AP58">
        <f>SYSCLK!BO57/$B$2</f>
        <v>4.5925925925925926</v>
      </c>
      <c r="AQ58">
        <f>SYSCLK!BP57/$B$2</f>
        <v>4.1333333333333337</v>
      </c>
      <c r="AR58">
        <f>SYSCLK!BQ57/$B$2</f>
        <v>3.7575757575757578</v>
      </c>
      <c r="AS58">
        <f>SYSCLK!BR57/$B$2</f>
        <v>3.4444444444444442</v>
      </c>
      <c r="AT58">
        <f>SYSCLK!BS57/$B$2</f>
        <v>3.1794871794871793</v>
      </c>
      <c r="AU58">
        <f>SYSCLK!BT57/$B$2</f>
        <v>2.9523809523809521</v>
      </c>
      <c r="AV58">
        <f>SYSCLK!BU57/$B$2</f>
        <v>2.7555555555555551</v>
      </c>
      <c r="AW58">
        <f>SYSCLK!BV57/$B$2</f>
        <v>2.5833333333333335</v>
      </c>
      <c r="AX58" s="117">
        <f>SYSCLK!BW57/$B$2</f>
        <v>31</v>
      </c>
      <c r="AY58">
        <f>SYSCLK!BX57/$B$2</f>
        <v>15.5</v>
      </c>
      <c r="AZ58">
        <f>SYSCLK!BY57/$B$2</f>
        <v>10.333333333333332</v>
      </c>
      <c r="BA58">
        <f>SYSCLK!BZ57/$B$2</f>
        <v>7.75</v>
      </c>
      <c r="BB58">
        <f>SYSCLK!CA57/$B$2</f>
        <v>6.2</v>
      </c>
      <c r="BC58">
        <f>SYSCLK!CB57/$B$2</f>
        <v>5.1666666666666661</v>
      </c>
      <c r="BD58">
        <f>SYSCLK!CC57/$B$2</f>
        <v>4.4285714285714279</v>
      </c>
      <c r="BE58">
        <f>SYSCLK!CD57/$B$2</f>
        <v>3.875</v>
      </c>
      <c r="BF58">
        <f>SYSCLK!CE57/$B$2</f>
        <v>3.4444444444444442</v>
      </c>
      <c r="BG58">
        <f>SYSCLK!CF57/$B$2</f>
        <v>3.1</v>
      </c>
      <c r="BH58">
        <f>SYSCLK!CG57/$B$2</f>
        <v>2.8181818181818183</v>
      </c>
      <c r="BI58">
        <f>SYSCLK!CH57/$B$2</f>
        <v>2.583333333333333</v>
      </c>
      <c r="BJ58">
        <f>SYSCLK!CI57/$B$2</f>
        <v>2.3846153846153846</v>
      </c>
      <c r="BK58">
        <f>SYSCLK!CJ57/$B$2</f>
        <v>2.214285714285714</v>
      </c>
      <c r="BL58">
        <f>SYSCLK!CK57/$B$2</f>
        <v>2.0666666666666664</v>
      </c>
      <c r="BM58">
        <f>SYSCLK!CL57/$B$2</f>
        <v>1.9375</v>
      </c>
    </row>
    <row r="59" spans="2:65">
      <c r="B59">
        <f>SYSCLK!AA58/$B$2</f>
        <v>0</v>
      </c>
      <c r="C59">
        <f>SYSCLK!AB58/$B$2</f>
        <v>0</v>
      </c>
      <c r="D59">
        <f>SYSCLK!AC58/$B$2</f>
        <v>42</v>
      </c>
      <c r="E59">
        <f>SYSCLK!AD58/$B$2</f>
        <v>31.5</v>
      </c>
      <c r="F59">
        <f>SYSCLK!AE58/$B$2</f>
        <v>25.200000000000003</v>
      </c>
      <c r="G59">
        <f>SYSCLK!AF58/$B$2</f>
        <v>21</v>
      </c>
      <c r="H59">
        <f>SYSCLK!AG58/$B$2</f>
        <v>18</v>
      </c>
      <c r="I59">
        <f>SYSCLK!AH58/$B$2</f>
        <v>15.75</v>
      </c>
      <c r="J59">
        <f>SYSCLK!AI58/$B$2</f>
        <v>14</v>
      </c>
      <c r="K59">
        <f>SYSCLK!AJ58/$B$2</f>
        <v>12.600000000000001</v>
      </c>
      <c r="L59">
        <f>SYSCLK!AK58/$B$2</f>
        <v>11.454545454545455</v>
      </c>
      <c r="M59">
        <f>SYSCLK!AL58/$B$2</f>
        <v>10.5</v>
      </c>
      <c r="N59">
        <f>SYSCLK!AM58/$B$2</f>
        <v>9.6923076923076934</v>
      </c>
      <c r="O59">
        <f>SYSCLK!AN58/$B$2</f>
        <v>9</v>
      </c>
      <c r="P59">
        <f>SYSCLK!AO58/$B$2</f>
        <v>8.4</v>
      </c>
      <c r="Q59">
        <f>SYSCLK!AP58/$B$2</f>
        <v>7.875</v>
      </c>
      <c r="R59" s="117">
        <f>SYSCLK!AQ58/$B$2</f>
        <v>0</v>
      </c>
      <c r="S59">
        <f>SYSCLK!AR58/$B$2</f>
        <v>31.5</v>
      </c>
      <c r="T59">
        <f>SYSCLK!AS58/$B$2</f>
        <v>21</v>
      </c>
      <c r="U59">
        <f>SYSCLK!AT58/$B$2</f>
        <v>15.75</v>
      </c>
      <c r="V59">
        <f>SYSCLK!AU58/$B$2</f>
        <v>12.600000000000001</v>
      </c>
      <c r="W59">
        <f>SYSCLK!AV58/$B$2</f>
        <v>10.5</v>
      </c>
      <c r="X59">
        <f>SYSCLK!AW58/$B$2</f>
        <v>9</v>
      </c>
      <c r="Y59">
        <f>SYSCLK!AX58/$B$2</f>
        <v>7.875</v>
      </c>
      <c r="Z59">
        <f>SYSCLK!AY58/$B$2</f>
        <v>7</v>
      </c>
      <c r="AA59">
        <f>SYSCLK!AZ58/$B$2</f>
        <v>6.3000000000000007</v>
      </c>
      <c r="AB59">
        <f>SYSCLK!BA58/$B$2</f>
        <v>5.7272727272727275</v>
      </c>
      <c r="AC59">
        <f>SYSCLK!BB58/$B$2</f>
        <v>5.25</v>
      </c>
      <c r="AD59">
        <f>SYSCLK!BC58/$B$2</f>
        <v>4.8461538461538467</v>
      </c>
      <c r="AE59">
        <f>SYSCLK!BD58/$B$2</f>
        <v>4.5</v>
      </c>
      <c r="AF59">
        <f>SYSCLK!BE58/$B$2</f>
        <v>4.2</v>
      </c>
      <c r="AG59" s="118">
        <f>SYSCLK!BF58/$B$2</f>
        <v>3.9375</v>
      </c>
      <c r="AH59">
        <f>SYSCLK!BG58/$B$2</f>
        <v>42</v>
      </c>
      <c r="AI59">
        <f>SYSCLK!BH58/$B$2</f>
        <v>21</v>
      </c>
      <c r="AJ59">
        <f>SYSCLK!BI58/$B$2</f>
        <v>14</v>
      </c>
      <c r="AK59">
        <f>SYSCLK!BJ58/$B$2</f>
        <v>10.5</v>
      </c>
      <c r="AL59">
        <f>SYSCLK!BK58/$B$2</f>
        <v>8.4</v>
      </c>
      <c r="AM59">
        <f>SYSCLK!BL58/$B$2</f>
        <v>7</v>
      </c>
      <c r="AN59">
        <f>SYSCLK!BM58/$B$2</f>
        <v>6</v>
      </c>
      <c r="AO59">
        <f>SYSCLK!BN58/$B$2</f>
        <v>5.25</v>
      </c>
      <c r="AP59">
        <f>SYSCLK!BO58/$B$2</f>
        <v>4.666666666666667</v>
      </c>
      <c r="AQ59">
        <f>SYSCLK!BP58/$B$2</f>
        <v>4.2</v>
      </c>
      <c r="AR59">
        <f>SYSCLK!BQ58/$B$2</f>
        <v>3.8181818181818183</v>
      </c>
      <c r="AS59">
        <f>SYSCLK!BR58/$B$2</f>
        <v>3.5</v>
      </c>
      <c r="AT59">
        <f>SYSCLK!BS58/$B$2</f>
        <v>3.2307692307692313</v>
      </c>
      <c r="AU59">
        <f>SYSCLK!BT58/$B$2</f>
        <v>3</v>
      </c>
      <c r="AV59">
        <f>SYSCLK!BU58/$B$2</f>
        <v>2.8000000000000003</v>
      </c>
      <c r="AW59">
        <f>SYSCLK!BV58/$B$2</f>
        <v>2.625</v>
      </c>
      <c r="AX59" s="117">
        <f>SYSCLK!BW58/$B$2</f>
        <v>31.5</v>
      </c>
      <c r="AY59">
        <f>SYSCLK!BX58/$B$2</f>
        <v>15.75</v>
      </c>
      <c r="AZ59">
        <f>SYSCLK!BY58/$B$2</f>
        <v>10.5</v>
      </c>
      <c r="BA59">
        <f>SYSCLK!BZ58/$B$2</f>
        <v>7.875</v>
      </c>
      <c r="BB59">
        <f>SYSCLK!CA58/$B$2</f>
        <v>6.3000000000000007</v>
      </c>
      <c r="BC59">
        <f>SYSCLK!CB58/$B$2</f>
        <v>5.25</v>
      </c>
      <c r="BD59">
        <f>SYSCLK!CC58/$B$2</f>
        <v>4.5</v>
      </c>
      <c r="BE59">
        <f>SYSCLK!CD58/$B$2</f>
        <v>3.9375</v>
      </c>
      <c r="BF59">
        <f>SYSCLK!CE58/$B$2</f>
        <v>3.5</v>
      </c>
      <c r="BG59">
        <f>SYSCLK!CF58/$B$2</f>
        <v>3.1500000000000004</v>
      </c>
      <c r="BH59">
        <f>SYSCLK!CG58/$B$2</f>
        <v>2.8636363636363638</v>
      </c>
      <c r="BI59">
        <f>SYSCLK!CH58/$B$2</f>
        <v>2.625</v>
      </c>
      <c r="BJ59">
        <f>SYSCLK!CI58/$B$2</f>
        <v>2.4230769230769234</v>
      </c>
      <c r="BK59">
        <f>SYSCLK!CJ58/$B$2</f>
        <v>2.25</v>
      </c>
      <c r="BL59">
        <f>SYSCLK!CK58/$B$2</f>
        <v>2.1</v>
      </c>
      <c r="BM59">
        <f>SYSCLK!CL58/$B$2</f>
        <v>1.96875</v>
      </c>
    </row>
    <row r="60" spans="2:65">
      <c r="B60">
        <f>SYSCLK!AA59/$B$2</f>
        <v>0</v>
      </c>
      <c r="C60">
        <f>SYSCLK!AB59/$B$2</f>
        <v>0</v>
      </c>
      <c r="D60">
        <f>SYSCLK!AC59/$B$2</f>
        <v>0</v>
      </c>
      <c r="E60">
        <f>SYSCLK!AD59/$B$2</f>
        <v>32</v>
      </c>
      <c r="F60">
        <f>SYSCLK!AE59/$B$2</f>
        <v>25.6</v>
      </c>
      <c r="G60">
        <f>SYSCLK!AF59/$B$2</f>
        <v>21.333333333333332</v>
      </c>
      <c r="H60">
        <f>SYSCLK!AG59/$B$2</f>
        <v>18.285714285714285</v>
      </c>
      <c r="I60">
        <f>SYSCLK!AH59/$B$2</f>
        <v>16</v>
      </c>
      <c r="J60">
        <f>SYSCLK!AI59/$B$2</f>
        <v>14.222222222222221</v>
      </c>
      <c r="K60">
        <f>SYSCLK!AJ59/$B$2</f>
        <v>12.8</v>
      </c>
      <c r="L60">
        <f>SYSCLK!AK59/$B$2</f>
        <v>11.636363636363637</v>
      </c>
      <c r="M60">
        <f>SYSCLK!AL59/$B$2</f>
        <v>10.666666666666666</v>
      </c>
      <c r="N60">
        <f>SYSCLK!AM59/$B$2</f>
        <v>9.8461538461538467</v>
      </c>
      <c r="O60">
        <f>SYSCLK!AN59/$B$2</f>
        <v>9.1428571428571423</v>
      </c>
      <c r="P60">
        <f>SYSCLK!AO59/$B$2</f>
        <v>8.5333333333333332</v>
      </c>
      <c r="Q60">
        <f>SYSCLK!AP59/$B$2</f>
        <v>8</v>
      </c>
      <c r="R60" s="117">
        <f>SYSCLK!AQ59/$B$2</f>
        <v>0</v>
      </c>
      <c r="S60">
        <f>SYSCLK!AR59/$B$2</f>
        <v>32</v>
      </c>
      <c r="T60">
        <f>SYSCLK!AS59/$B$2</f>
        <v>21.333333333333332</v>
      </c>
      <c r="U60">
        <f>SYSCLK!AT59/$B$2</f>
        <v>16</v>
      </c>
      <c r="V60">
        <f>SYSCLK!AU59/$B$2</f>
        <v>12.8</v>
      </c>
      <c r="W60">
        <f>SYSCLK!AV59/$B$2</f>
        <v>10.666666666666666</v>
      </c>
      <c r="X60">
        <f>SYSCLK!AW59/$B$2</f>
        <v>9.1428571428571423</v>
      </c>
      <c r="Y60">
        <f>SYSCLK!AX59/$B$2</f>
        <v>8</v>
      </c>
      <c r="Z60">
        <f>SYSCLK!AY59/$B$2</f>
        <v>7.1111111111111107</v>
      </c>
      <c r="AA60">
        <f>SYSCLK!AZ59/$B$2</f>
        <v>6.4</v>
      </c>
      <c r="AB60">
        <f>SYSCLK!BA59/$B$2</f>
        <v>5.8181818181818183</v>
      </c>
      <c r="AC60">
        <f>SYSCLK!BB59/$B$2</f>
        <v>5.333333333333333</v>
      </c>
      <c r="AD60">
        <f>SYSCLK!BC59/$B$2</f>
        <v>4.9230769230769234</v>
      </c>
      <c r="AE60">
        <f>SYSCLK!BD59/$B$2</f>
        <v>4.5714285714285712</v>
      </c>
      <c r="AF60">
        <f>SYSCLK!BE59/$B$2</f>
        <v>4.2666666666666666</v>
      </c>
      <c r="AG60" s="118">
        <f>SYSCLK!BF59/$B$2</f>
        <v>4</v>
      </c>
      <c r="AH60">
        <f>SYSCLK!BG59/$B$2</f>
        <v>0</v>
      </c>
      <c r="AI60">
        <f>SYSCLK!BH59/$B$2</f>
        <v>21.333333333333332</v>
      </c>
      <c r="AJ60">
        <f>SYSCLK!BI59/$B$2</f>
        <v>14.222222222222221</v>
      </c>
      <c r="AK60">
        <f>SYSCLK!BJ59/$B$2</f>
        <v>10.666666666666666</v>
      </c>
      <c r="AL60">
        <f>SYSCLK!BK59/$B$2</f>
        <v>8.5333333333333332</v>
      </c>
      <c r="AM60">
        <f>SYSCLK!BL59/$B$2</f>
        <v>7.1111111111111107</v>
      </c>
      <c r="AN60">
        <f>SYSCLK!BM59/$B$2</f>
        <v>6.0952380952380949</v>
      </c>
      <c r="AO60">
        <f>SYSCLK!BN59/$B$2</f>
        <v>5.333333333333333</v>
      </c>
      <c r="AP60">
        <f>SYSCLK!BO59/$B$2</f>
        <v>4.7407407407407405</v>
      </c>
      <c r="AQ60">
        <f>SYSCLK!BP59/$B$2</f>
        <v>4.2666666666666666</v>
      </c>
      <c r="AR60">
        <f>SYSCLK!BQ59/$B$2</f>
        <v>3.8787878787878789</v>
      </c>
      <c r="AS60">
        <f>SYSCLK!BR59/$B$2</f>
        <v>3.5555555555555554</v>
      </c>
      <c r="AT60">
        <f>SYSCLK!BS59/$B$2</f>
        <v>3.2820512820512824</v>
      </c>
      <c r="AU60">
        <f>SYSCLK!BT59/$B$2</f>
        <v>3.0476190476190474</v>
      </c>
      <c r="AV60">
        <f>SYSCLK!BU59/$B$2</f>
        <v>2.8444444444444446</v>
      </c>
      <c r="AW60">
        <f>SYSCLK!BV59/$B$2</f>
        <v>2.6666666666666665</v>
      </c>
      <c r="AX60" s="117">
        <f>SYSCLK!BW59/$B$2</f>
        <v>32</v>
      </c>
      <c r="AY60">
        <f>SYSCLK!BX59/$B$2</f>
        <v>16</v>
      </c>
      <c r="AZ60">
        <f>SYSCLK!BY59/$B$2</f>
        <v>10.666666666666666</v>
      </c>
      <c r="BA60">
        <f>SYSCLK!BZ59/$B$2</f>
        <v>8</v>
      </c>
      <c r="BB60">
        <f>SYSCLK!CA59/$B$2</f>
        <v>6.4</v>
      </c>
      <c r="BC60">
        <f>SYSCLK!CB59/$B$2</f>
        <v>5.333333333333333</v>
      </c>
      <c r="BD60">
        <f>SYSCLK!CC59/$B$2</f>
        <v>4.5714285714285712</v>
      </c>
      <c r="BE60">
        <f>SYSCLK!CD59/$B$2</f>
        <v>4</v>
      </c>
      <c r="BF60">
        <f>SYSCLK!CE59/$B$2</f>
        <v>3.5555555555555554</v>
      </c>
      <c r="BG60">
        <f>SYSCLK!CF59/$B$2</f>
        <v>3.2</v>
      </c>
      <c r="BH60">
        <f>SYSCLK!CG59/$B$2</f>
        <v>2.9090909090909092</v>
      </c>
      <c r="BI60">
        <f>SYSCLK!CH59/$B$2</f>
        <v>2.6666666666666665</v>
      </c>
      <c r="BJ60">
        <f>SYSCLK!CI59/$B$2</f>
        <v>2.4615384615384617</v>
      </c>
      <c r="BK60">
        <f>SYSCLK!CJ59/$B$2</f>
        <v>2.2857142857142856</v>
      </c>
      <c r="BL60">
        <f>SYSCLK!CK59/$B$2</f>
        <v>2.1333333333333333</v>
      </c>
      <c r="BM60">
        <f>SYSCLK!CL59/$B$2</f>
        <v>2</v>
      </c>
    </row>
    <row r="61" spans="2:65">
      <c r="B61">
        <f>SYSCLK!AA60/$B$2</f>
        <v>0</v>
      </c>
      <c r="C61">
        <f>SYSCLK!AB60/$B$2</f>
        <v>0</v>
      </c>
      <c r="D61">
        <f>SYSCLK!AC60/$B$2</f>
        <v>0</v>
      </c>
      <c r="E61">
        <f>SYSCLK!AD60/$B$2</f>
        <v>32.5</v>
      </c>
      <c r="F61">
        <f>SYSCLK!AE60/$B$2</f>
        <v>26</v>
      </c>
      <c r="G61">
        <f>SYSCLK!AF60/$B$2</f>
        <v>21.666666666666664</v>
      </c>
      <c r="H61">
        <f>SYSCLK!AG60/$B$2</f>
        <v>18.571428571428569</v>
      </c>
      <c r="I61">
        <f>SYSCLK!AH60/$B$2</f>
        <v>16.25</v>
      </c>
      <c r="J61">
        <f>SYSCLK!AI60/$B$2</f>
        <v>14.444444444444443</v>
      </c>
      <c r="K61">
        <f>SYSCLK!AJ60/$B$2</f>
        <v>13</v>
      </c>
      <c r="L61">
        <f>SYSCLK!AK60/$B$2</f>
        <v>11.818181818181818</v>
      </c>
      <c r="M61">
        <f>SYSCLK!AL60/$B$2</f>
        <v>10.833333333333332</v>
      </c>
      <c r="N61">
        <f>SYSCLK!AM60/$B$2</f>
        <v>10</v>
      </c>
      <c r="O61">
        <f>SYSCLK!AN60/$B$2</f>
        <v>9.2857142857142847</v>
      </c>
      <c r="P61">
        <f>SYSCLK!AO60/$B$2</f>
        <v>8.6666666666666661</v>
      </c>
      <c r="Q61">
        <f>SYSCLK!AP60/$B$2</f>
        <v>8.125</v>
      </c>
      <c r="R61" s="117">
        <f>SYSCLK!AQ60/$B$2</f>
        <v>0</v>
      </c>
      <c r="S61">
        <f>SYSCLK!AR60/$B$2</f>
        <v>32.5</v>
      </c>
      <c r="T61">
        <f>SYSCLK!AS60/$B$2</f>
        <v>21.666666666666664</v>
      </c>
      <c r="U61">
        <f>SYSCLK!AT60/$B$2</f>
        <v>16.25</v>
      </c>
      <c r="V61">
        <f>SYSCLK!AU60/$B$2</f>
        <v>13</v>
      </c>
      <c r="W61">
        <f>SYSCLK!AV60/$B$2</f>
        <v>10.833333333333332</v>
      </c>
      <c r="X61">
        <f>SYSCLK!AW60/$B$2</f>
        <v>9.2857142857142847</v>
      </c>
      <c r="Y61">
        <f>SYSCLK!AX60/$B$2</f>
        <v>8.125</v>
      </c>
      <c r="Z61">
        <f>SYSCLK!AY60/$B$2</f>
        <v>7.2222222222222214</v>
      </c>
      <c r="AA61">
        <f>SYSCLK!AZ60/$B$2</f>
        <v>6.5</v>
      </c>
      <c r="AB61">
        <f>SYSCLK!BA60/$B$2</f>
        <v>5.9090909090909092</v>
      </c>
      <c r="AC61">
        <f>SYSCLK!BB60/$B$2</f>
        <v>5.4166666666666661</v>
      </c>
      <c r="AD61">
        <f>SYSCLK!BC60/$B$2</f>
        <v>5</v>
      </c>
      <c r="AE61">
        <f>SYSCLK!BD60/$B$2</f>
        <v>4.6428571428571423</v>
      </c>
      <c r="AF61">
        <f>SYSCLK!BE60/$B$2</f>
        <v>4.333333333333333</v>
      </c>
      <c r="AG61" s="118">
        <f>SYSCLK!BF60/$B$2</f>
        <v>4.0625</v>
      </c>
      <c r="AH61">
        <f>SYSCLK!BG60/$B$2</f>
        <v>0</v>
      </c>
      <c r="AI61">
        <f>SYSCLK!BH60/$B$2</f>
        <v>21.666666666666668</v>
      </c>
      <c r="AJ61">
        <f>SYSCLK!BI60/$B$2</f>
        <v>14.444444444444443</v>
      </c>
      <c r="AK61">
        <f>SYSCLK!BJ60/$B$2</f>
        <v>10.833333333333334</v>
      </c>
      <c r="AL61">
        <f>SYSCLK!BK60/$B$2</f>
        <v>8.6666666666666661</v>
      </c>
      <c r="AM61">
        <f>SYSCLK!BL60/$B$2</f>
        <v>7.2222222222222214</v>
      </c>
      <c r="AN61">
        <f>SYSCLK!BM60/$B$2</f>
        <v>6.1904761904761898</v>
      </c>
      <c r="AO61">
        <f>SYSCLK!BN60/$B$2</f>
        <v>5.416666666666667</v>
      </c>
      <c r="AP61">
        <f>SYSCLK!BO60/$B$2</f>
        <v>4.814814814814814</v>
      </c>
      <c r="AQ61">
        <f>SYSCLK!BP60/$B$2</f>
        <v>4.333333333333333</v>
      </c>
      <c r="AR61">
        <f>SYSCLK!BQ60/$B$2</f>
        <v>3.9393939393939394</v>
      </c>
      <c r="AS61">
        <f>SYSCLK!BR60/$B$2</f>
        <v>3.6111111111111107</v>
      </c>
      <c r="AT61">
        <f>SYSCLK!BS60/$B$2</f>
        <v>3.3333333333333335</v>
      </c>
      <c r="AU61">
        <f>SYSCLK!BT60/$B$2</f>
        <v>3.0952380952380949</v>
      </c>
      <c r="AV61">
        <f>SYSCLK!BU60/$B$2</f>
        <v>2.8888888888888888</v>
      </c>
      <c r="AW61">
        <f>SYSCLK!BV60/$B$2</f>
        <v>2.7083333333333335</v>
      </c>
      <c r="AX61" s="117">
        <f>SYSCLK!BW60/$B$2</f>
        <v>32.5</v>
      </c>
      <c r="AY61">
        <f>SYSCLK!BX60/$B$2</f>
        <v>16.25</v>
      </c>
      <c r="AZ61">
        <f>SYSCLK!BY60/$B$2</f>
        <v>10.833333333333332</v>
      </c>
      <c r="BA61">
        <f>SYSCLK!BZ60/$B$2</f>
        <v>8.125</v>
      </c>
      <c r="BB61">
        <f>SYSCLK!CA60/$B$2</f>
        <v>6.5</v>
      </c>
      <c r="BC61">
        <f>SYSCLK!CB60/$B$2</f>
        <v>5.4166666666666661</v>
      </c>
      <c r="BD61">
        <f>SYSCLK!CC60/$B$2</f>
        <v>4.6428571428571423</v>
      </c>
      <c r="BE61">
        <f>SYSCLK!CD60/$B$2</f>
        <v>4.0625</v>
      </c>
      <c r="BF61">
        <f>SYSCLK!CE60/$B$2</f>
        <v>3.6111111111111107</v>
      </c>
      <c r="BG61">
        <f>SYSCLK!CF60/$B$2</f>
        <v>3.25</v>
      </c>
      <c r="BH61">
        <f>SYSCLK!CG60/$B$2</f>
        <v>2.9545454545454546</v>
      </c>
      <c r="BI61">
        <f>SYSCLK!CH60/$B$2</f>
        <v>2.708333333333333</v>
      </c>
      <c r="BJ61">
        <f>SYSCLK!CI60/$B$2</f>
        <v>2.5</v>
      </c>
      <c r="BK61">
        <f>SYSCLK!CJ60/$B$2</f>
        <v>2.3214285714285712</v>
      </c>
      <c r="BL61">
        <f>SYSCLK!CK60/$B$2</f>
        <v>2.1666666666666665</v>
      </c>
      <c r="BM61">
        <f>SYSCLK!CL60/$B$2</f>
        <v>2.03125</v>
      </c>
    </row>
    <row r="62" spans="2:65">
      <c r="B62">
        <f>SYSCLK!AA61/$B$2</f>
        <v>0</v>
      </c>
      <c r="C62">
        <f>SYSCLK!AB61/$B$2</f>
        <v>0</v>
      </c>
      <c r="D62">
        <f>SYSCLK!AC61/$B$2</f>
        <v>0</v>
      </c>
      <c r="E62">
        <f>SYSCLK!AD61/$B$2</f>
        <v>33</v>
      </c>
      <c r="F62">
        <f>SYSCLK!AE61/$B$2</f>
        <v>26.400000000000002</v>
      </c>
      <c r="G62">
        <f>SYSCLK!AF61/$B$2</f>
        <v>22</v>
      </c>
      <c r="H62">
        <f>SYSCLK!AG61/$B$2</f>
        <v>18.857142857142858</v>
      </c>
      <c r="I62">
        <f>SYSCLK!AH61/$B$2</f>
        <v>16.5</v>
      </c>
      <c r="J62">
        <f>SYSCLK!AI61/$B$2</f>
        <v>14.666666666666666</v>
      </c>
      <c r="K62">
        <f>SYSCLK!AJ61/$B$2</f>
        <v>13.200000000000001</v>
      </c>
      <c r="L62">
        <f>SYSCLK!AK61/$B$2</f>
        <v>12</v>
      </c>
      <c r="M62">
        <f>SYSCLK!AL61/$B$2</f>
        <v>11</v>
      </c>
      <c r="N62">
        <f>SYSCLK!AM61/$B$2</f>
        <v>10.153846153846155</v>
      </c>
      <c r="O62">
        <f>SYSCLK!AN61/$B$2</f>
        <v>9.4285714285714288</v>
      </c>
      <c r="P62">
        <f>SYSCLK!AO61/$B$2</f>
        <v>8.8000000000000007</v>
      </c>
      <c r="Q62">
        <f>SYSCLK!AP61/$B$2</f>
        <v>8.25</v>
      </c>
      <c r="R62" s="117">
        <f>SYSCLK!AQ61/$B$2</f>
        <v>0</v>
      </c>
      <c r="S62">
        <f>SYSCLK!AR61/$B$2</f>
        <v>33</v>
      </c>
      <c r="T62">
        <f>SYSCLK!AS61/$B$2</f>
        <v>22</v>
      </c>
      <c r="U62">
        <f>SYSCLK!AT61/$B$2</f>
        <v>16.5</v>
      </c>
      <c r="V62">
        <f>SYSCLK!AU61/$B$2</f>
        <v>13.200000000000001</v>
      </c>
      <c r="W62">
        <f>SYSCLK!AV61/$B$2</f>
        <v>11</v>
      </c>
      <c r="X62">
        <f>SYSCLK!AW61/$B$2</f>
        <v>9.4285714285714288</v>
      </c>
      <c r="Y62">
        <f>SYSCLK!AX61/$B$2</f>
        <v>8.25</v>
      </c>
      <c r="Z62">
        <f>SYSCLK!AY61/$B$2</f>
        <v>7.333333333333333</v>
      </c>
      <c r="AA62">
        <f>SYSCLK!AZ61/$B$2</f>
        <v>6.6000000000000005</v>
      </c>
      <c r="AB62">
        <f>SYSCLK!BA61/$B$2</f>
        <v>6</v>
      </c>
      <c r="AC62">
        <f>SYSCLK!BB61/$B$2</f>
        <v>5.5</v>
      </c>
      <c r="AD62">
        <f>SYSCLK!BC61/$B$2</f>
        <v>5.0769230769230775</v>
      </c>
      <c r="AE62">
        <f>SYSCLK!BD61/$B$2</f>
        <v>4.7142857142857144</v>
      </c>
      <c r="AF62">
        <f>SYSCLK!BE61/$B$2</f>
        <v>4.4000000000000004</v>
      </c>
      <c r="AG62" s="118">
        <f>SYSCLK!BF61/$B$2</f>
        <v>4.125</v>
      </c>
      <c r="AH62">
        <f>SYSCLK!BG61/$B$2</f>
        <v>0</v>
      </c>
      <c r="AI62">
        <f>SYSCLK!BH61/$B$2</f>
        <v>22</v>
      </c>
      <c r="AJ62">
        <f>SYSCLK!BI61/$B$2</f>
        <v>14.666666666666666</v>
      </c>
      <c r="AK62">
        <f>SYSCLK!BJ61/$B$2</f>
        <v>11</v>
      </c>
      <c r="AL62">
        <f>SYSCLK!BK61/$B$2</f>
        <v>8.8000000000000007</v>
      </c>
      <c r="AM62">
        <f>SYSCLK!BL61/$B$2</f>
        <v>7.333333333333333</v>
      </c>
      <c r="AN62">
        <f>SYSCLK!BM61/$B$2</f>
        <v>6.2857142857142856</v>
      </c>
      <c r="AO62">
        <f>SYSCLK!BN61/$B$2</f>
        <v>5.5</v>
      </c>
      <c r="AP62">
        <f>SYSCLK!BO61/$B$2</f>
        <v>4.8888888888888884</v>
      </c>
      <c r="AQ62">
        <f>SYSCLK!BP61/$B$2</f>
        <v>4.4000000000000004</v>
      </c>
      <c r="AR62">
        <f>SYSCLK!BQ61/$B$2</f>
        <v>4</v>
      </c>
      <c r="AS62">
        <f>SYSCLK!BR61/$B$2</f>
        <v>3.6666666666666665</v>
      </c>
      <c r="AT62">
        <f>SYSCLK!BS61/$B$2</f>
        <v>3.384615384615385</v>
      </c>
      <c r="AU62">
        <f>SYSCLK!BT61/$B$2</f>
        <v>3.1428571428571428</v>
      </c>
      <c r="AV62">
        <f>SYSCLK!BU61/$B$2</f>
        <v>2.9333333333333336</v>
      </c>
      <c r="AW62">
        <f>SYSCLK!BV61/$B$2</f>
        <v>2.75</v>
      </c>
      <c r="AX62" s="117">
        <f>SYSCLK!BW61/$B$2</f>
        <v>33</v>
      </c>
      <c r="AY62">
        <f>SYSCLK!BX61/$B$2</f>
        <v>16.5</v>
      </c>
      <c r="AZ62">
        <f>SYSCLK!BY61/$B$2</f>
        <v>11</v>
      </c>
      <c r="BA62">
        <f>SYSCLK!BZ61/$B$2</f>
        <v>8.25</v>
      </c>
      <c r="BB62">
        <f>SYSCLK!CA61/$B$2</f>
        <v>6.6000000000000005</v>
      </c>
      <c r="BC62">
        <f>SYSCLK!CB61/$B$2</f>
        <v>5.5</v>
      </c>
      <c r="BD62">
        <f>SYSCLK!CC61/$B$2</f>
        <v>4.7142857142857144</v>
      </c>
      <c r="BE62">
        <f>SYSCLK!CD61/$B$2</f>
        <v>4.125</v>
      </c>
      <c r="BF62">
        <f>SYSCLK!CE61/$B$2</f>
        <v>3.6666666666666665</v>
      </c>
      <c r="BG62">
        <f>SYSCLK!CF61/$B$2</f>
        <v>3.3000000000000003</v>
      </c>
      <c r="BH62">
        <f>SYSCLK!CG61/$B$2</f>
        <v>3</v>
      </c>
      <c r="BI62">
        <f>SYSCLK!CH61/$B$2</f>
        <v>2.75</v>
      </c>
      <c r="BJ62">
        <f>SYSCLK!CI61/$B$2</f>
        <v>2.5384615384615388</v>
      </c>
      <c r="BK62">
        <f>SYSCLK!CJ61/$B$2</f>
        <v>2.3571428571428572</v>
      </c>
      <c r="BL62">
        <f>SYSCLK!CK61/$B$2</f>
        <v>2.2000000000000002</v>
      </c>
      <c r="BM62">
        <f>SYSCLK!CL61/$B$2</f>
        <v>2.0625</v>
      </c>
    </row>
    <row r="63" spans="2:65">
      <c r="B63">
        <f>SYSCLK!AA62/$B$2</f>
        <v>0</v>
      </c>
      <c r="C63">
        <f>SYSCLK!AB62/$B$2</f>
        <v>0</v>
      </c>
      <c r="D63">
        <f>SYSCLK!AC62/$B$2</f>
        <v>0</v>
      </c>
      <c r="E63">
        <f>SYSCLK!AD62/$B$2</f>
        <v>33.5</v>
      </c>
      <c r="F63">
        <f>SYSCLK!AE62/$B$2</f>
        <v>26.8</v>
      </c>
      <c r="G63">
        <f>SYSCLK!AF62/$B$2</f>
        <v>22.333333333333332</v>
      </c>
      <c r="H63">
        <f>SYSCLK!AG62/$B$2</f>
        <v>19.142857142857142</v>
      </c>
      <c r="I63">
        <f>SYSCLK!AH62/$B$2</f>
        <v>16.75</v>
      </c>
      <c r="J63">
        <f>SYSCLK!AI62/$B$2</f>
        <v>14.888888888888888</v>
      </c>
      <c r="K63">
        <f>SYSCLK!AJ62/$B$2</f>
        <v>13.4</v>
      </c>
      <c r="L63">
        <f>SYSCLK!AK62/$B$2</f>
        <v>12.181818181818182</v>
      </c>
      <c r="M63">
        <f>SYSCLK!AL62/$B$2</f>
        <v>11.166666666666666</v>
      </c>
      <c r="N63">
        <f>SYSCLK!AM62/$B$2</f>
        <v>10.307692307692308</v>
      </c>
      <c r="O63">
        <f>SYSCLK!AN62/$B$2</f>
        <v>9.5714285714285712</v>
      </c>
      <c r="P63">
        <f>SYSCLK!AO62/$B$2</f>
        <v>8.9333333333333336</v>
      </c>
      <c r="Q63">
        <f>SYSCLK!AP62/$B$2</f>
        <v>8.375</v>
      </c>
      <c r="R63" s="117">
        <f>SYSCLK!AQ62/$B$2</f>
        <v>0</v>
      </c>
      <c r="S63">
        <f>SYSCLK!AR62/$B$2</f>
        <v>33.5</v>
      </c>
      <c r="T63">
        <f>SYSCLK!AS62/$B$2</f>
        <v>22.333333333333332</v>
      </c>
      <c r="U63">
        <f>SYSCLK!AT62/$B$2</f>
        <v>16.75</v>
      </c>
      <c r="V63">
        <f>SYSCLK!AU62/$B$2</f>
        <v>13.4</v>
      </c>
      <c r="W63">
        <f>SYSCLK!AV62/$B$2</f>
        <v>11.166666666666666</v>
      </c>
      <c r="X63">
        <f>SYSCLK!AW62/$B$2</f>
        <v>9.5714285714285712</v>
      </c>
      <c r="Y63">
        <f>SYSCLK!AX62/$B$2</f>
        <v>8.375</v>
      </c>
      <c r="Z63">
        <f>SYSCLK!AY62/$B$2</f>
        <v>7.4444444444444438</v>
      </c>
      <c r="AA63">
        <f>SYSCLK!AZ62/$B$2</f>
        <v>6.7</v>
      </c>
      <c r="AB63">
        <f>SYSCLK!BA62/$B$2</f>
        <v>6.0909090909090908</v>
      </c>
      <c r="AC63">
        <f>SYSCLK!BB62/$B$2</f>
        <v>5.583333333333333</v>
      </c>
      <c r="AD63">
        <f>SYSCLK!BC62/$B$2</f>
        <v>5.1538461538461542</v>
      </c>
      <c r="AE63">
        <f>SYSCLK!BD62/$B$2</f>
        <v>4.7857142857142856</v>
      </c>
      <c r="AF63">
        <f>SYSCLK!BE62/$B$2</f>
        <v>4.4666666666666668</v>
      </c>
      <c r="AG63" s="118">
        <f>SYSCLK!BF62/$B$2</f>
        <v>4.1875</v>
      </c>
      <c r="AH63">
        <f>SYSCLK!BG62/$B$2</f>
        <v>0</v>
      </c>
      <c r="AI63">
        <f>SYSCLK!BH62/$B$2</f>
        <v>22.333333333333332</v>
      </c>
      <c r="AJ63">
        <f>SYSCLK!BI62/$B$2</f>
        <v>14.888888888888888</v>
      </c>
      <c r="AK63">
        <f>SYSCLK!BJ62/$B$2</f>
        <v>11.166666666666666</v>
      </c>
      <c r="AL63">
        <f>SYSCLK!BK62/$B$2</f>
        <v>8.9333333333333336</v>
      </c>
      <c r="AM63">
        <f>SYSCLK!BL62/$B$2</f>
        <v>7.4444444444444438</v>
      </c>
      <c r="AN63">
        <f>SYSCLK!BM62/$B$2</f>
        <v>6.3809523809523805</v>
      </c>
      <c r="AO63">
        <f>SYSCLK!BN62/$B$2</f>
        <v>5.583333333333333</v>
      </c>
      <c r="AP63">
        <f>SYSCLK!BO62/$B$2</f>
        <v>4.9629629629629628</v>
      </c>
      <c r="AQ63">
        <f>SYSCLK!BP62/$B$2</f>
        <v>4.4666666666666668</v>
      </c>
      <c r="AR63">
        <f>SYSCLK!BQ62/$B$2</f>
        <v>4.0606060606060606</v>
      </c>
      <c r="AS63">
        <f>SYSCLK!BR62/$B$2</f>
        <v>3.7222222222222219</v>
      </c>
      <c r="AT63">
        <f>SYSCLK!BS62/$B$2</f>
        <v>3.4358974358974361</v>
      </c>
      <c r="AU63">
        <f>SYSCLK!BT62/$B$2</f>
        <v>3.1904761904761902</v>
      </c>
      <c r="AV63">
        <f>SYSCLK!BU62/$B$2</f>
        <v>2.9777777777777779</v>
      </c>
      <c r="AW63">
        <f>SYSCLK!BV62/$B$2</f>
        <v>2.7916666666666665</v>
      </c>
      <c r="AX63" s="117">
        <f>SYSCLK!BW62/$B$2</f>
        <v>33.5</v>
      </c>
      <c r="AY63">
        <f>SYSCLK!BX62/$B$2</f>
        <v>16.75</v>
      </c>
      <c r="AZ63">
        <f>SYSCLK!BY62/$B$2</f>
        <v>11.166666666666666</v>
      </c>
      <c r="BA63">
        <f>SYSCLK!BZ62/$B$2</f>
        <v>8.375</v>
      </c>
      <c r="BB63">
        <f>SYSCLK!CA62/$B$2</f>
        <v>6.7</v>
      </c>
      <c r="BC63">
        <f>SYSCLK!CB62/$B$2</f>
        <v>5.583333333333333</v>
      </c>
      <c r="BD63">
        <f>SYSCLK!CC62/$B$2</f>
        <v>4.7857142857142856</v>
      </c>
      <c r="BE63">
        <f>SYSCLK!CD62/$B$2</f>
        <v>4.1875</v>
      </c>
      <c r="BF63">
        <f>SYSCLK!CE62/$B$2</f>
        <v>3.7222222222222219</v>
      </c>
      <c r="BG63">
        <f>SYSCLK!CF62/$B$2</f>
        <v>3.35</v>
      </c>
      <c r="BH63">
        <f>SYSCLK!CG62/$B$2</f>
        <v>3.0454545454545454</v>
      </c>
      <c r="BI63">
        <f>SYSCLK!CH62/$B$2</f>
        <v>2.7916666666666665</v>
      </c>
      <c r="BJ63">
        <f>SYSCLK!CI62/$B$2</f>
        <v>2.5769230769230771</v>
      </c>
      <c r="BK63">
        <f>SYSCLK!CJ62/$B$2</f>
        <v>2.3928571428571428</v>
      </c>
      <c r="BL63">
        <f>SYSCLK!CK62/$B$2</f>
        <v>2.2333333333333334</v>
      </c>
      <c r="BM63">
        <f>SYSCLK!CL62/$B$2</f>
        <v>2.09375</v>
      </c>
    </row>
    <row r="64" spans="2:65">
      <c r="B64">
        <f>SYSCLK!AA63/$B$2</f>
        <v>0</v>
      </c>
      <c r="C64">
        <f>SYSCLK!AB63/$B$2</f>
        <v>0</v>
      </c>
      <c r="D64">
        <f>SYSCLK!AC63/$B$2</f>
        <v>0</v>
      </c>
      <c r="E64">
        <f>SYSCLK!AD63/$B$2</f>
        <v>34</v>
      </c>
      <c r="F64">
        <f>SYSCLK!AE63/$B$2</f>
        <v>27.200000000000003</v>
      </c>
      <c r="G64">
        <f>SYSCLK!AF63/$B$2</f>
        <v>22.666666666666664</v>
      </c>
      <c r="H64">
        <f>SYSCLK!AG63/$B$2</f>
        <v>19.428571428571427</v>
      </c>
      <c r="I64">
        <f>SYSCLK!AH63/$B$2</f>
        <v>17</v>
      </c>
      <c r="J64">
        <f>SYSCLK!AI63/$B$2</f>
        <v>15.111111111111111</v>
      </c>
      <c r="K64">
        <f>SYSCLK!AJ63/$B$2</f>
        <v>13.600000000000001</v>
      </c>
      <c r="L64">
        <f>SYSCLK!AK63/$B$2</f>
        <v>12.363636363636363</v>
      </c>
      <c r="M64">
        <f>SYSCLK!AL63/$B$2</f>
        <v>11.333333333333332</v>
      </c>
      <c r="N64">
        <f>SYSCLK!AM63/$B$2</f>
        <v>10.461538461538462</v>
      </c>
      <c r="O64">
        <f>SYSCLK!AN63/$B$2</f>
        <v>9.7142857142857135</v>
      </c>
      <c r="P64">
        <f>SYSCLK!AO63/$B$2</f>
        <v>9.0666666666666664</v>
      </c>
      <c r="Q64">
        <f>SYSCLK!AP63/$B$2</f>
        <v>8.5</v>
      </c>
      <c r="R64" s="117">
        <f>SYSCLK!AQ63/$B$2</f>
        <v>0</v>
      </c>
      <c r="S64">
        <f>SYSCLK!AR63/$B$2</f>
        <v>34</v>
      </c>
      <c r="T64">
        <f>SYSCLK!AS63/$B$2</f>
        <v>22.666666666666664</v>
      </c>
      <c r="U64">
        <f>SYSCLK!AT63/$B$2</f>
        <v>17</v>
      </c>
      <c r="V64">
        <f>SYSCLK!AU63/$B$2</f>
        <v>13.600000000000001</v>
      </c>
      <c r="W64">
        <f>SYSCLK!AV63/$B$2</f>
        <v>11.333333333333332</v>
      </c>
      <c r="X64">
        <f>SYSCLK!AW63/$B$2</f>
        <v>9.7142857142857135</v>
      </c>
      <c r="Y64">
        <f>SYSCLK!AX63/$B$2</f>
        <v>8.5</v>
      </c>
      <c r="Z64">
        <f>SYSCLK!AY63/$B$2</f>
        <v>7.5555555555555554</v>
      </c>
      <c r="AA64">
        <f>SYSCLK!AZ63/$B$2</f>
        <v>6.8000000000000007</v>
      </c>
      <c r="AB64">
        <f>SYSCLK!BA63/$B$2</f>
        <v>6.1818181818181817</v>
      </c>
      <c r="AC64">
        <f>SYSCLK!BB63/$B$2</f>
        <v>5.6666666666666661</v>
      </c>
      <c r="AD64">
        <f>SYSCLK!BC63/$B$2</f>
        <v>5.2307692307692308</v>
      </c>
      <c r="AE64">
        <f>SYSCLK!BD63/$B$2</f>
        <v>4.8571428571428568</v>
      </c>
      <c r="AF64">
        <f>SYSCLK!BE63/$B$2</f>
        <v>4.5333333333333332</v>
      </c>
      <c r="AG64" s="118">
        <f>SYSCLK!BF63/$B$2</f>
        <v>4.25</v>
      </c>
      <c r="AH64">
        <f>SYSCLK!BG63/$B$2</f>
        <v>0</v>
      </c>
      <c r="AI64">
        <f>SYSCLK!BH63/$B$2</f>
        <v>22.666666666666668</v>
      </c>
      <c r="AJ64">
        <f>SYSCLK!BI63/$B$2</f>
        <v>15.111111111111109</v>
      </c>
      <c r="AK64">
        <f>SYSCLK!BJ63/$B$2</f>
        <v>11.333333333333334</v>
      </c>
      <c r="AL64">
        <f>SYSCLK!BK63/$B$2</f>
        <v>9.0666666666666682</v>
      </c>
      <c r="AM64">
        <f>SYSCLK!BL63/$B$2</f>
        <v>7.5555555555555545</v>
      </c>
      <c r="AN64">
        <f>SYSCLK!BM63/$B$2</f>
        <v>6.4761904761904754</v>
      </c>
      <c r="AO64">
        <f>SYSCLK!BN63/$B$2</f>
        <v>5.666666666666667</v>
      </c>
      <c r="AP64">
        <f>SYSCLK!BO63/$B$2</f>
        <v>5.0370370370370372</v>
      </c>
      <c r="AQ64">
        <f>SYSCLK!BP63/$B$2</f>
        <v>4.5333333333333341</v>
      </c>
      <c r="AR64">
        <f>SYSCLK!BQ63/$B$2</f>
        <v>4.1212121212121211</v>
      </c>
      <c r="AS64">
        <f>SYSCLK!BR63/$B$2</f>
        <v>3.7777777777777772</v>
      </c>
      <c r="AT64">
        <f>SYSCLK!BS63/$B$2</f>
        <v>3.4871794871794872</v>
      </c>
      <c r="AU64">
        <f>SYSCLK!BT63/$B$2</f>
        <v>3.2380952380952377</v>
      </c>
      <c r="AV64">
        <f>SYSCLK!BU63/$B$2</f>
        <v>3.0222222222222221</v>
      </c>
      <c r="AW64">
        <f>SYSCLK!BV63/$B$2</f>
        <v>2.8333333333333335</v>
      </c>
      <c r="AX64" s="117">
        <f>SYSCLK!BW63/$B$2</f>
        <v>34</v>
      </c>
      <c r="AY64">
        <f>SYSCLK!BX63/$B$2</f>
        <v>17</v>
      </c>
      <c r="AZ64">
        <f>SYSCLK!BY63/$B$2</f>
        <v>11.333333333333332</v>
      </c>
      <c r="BA64">
        <f>SYSCLK!BZ63/$B$2</f>
        <v>8.5</v>
      </c>
      <c r="BB64">
        <f>SYSCLK!CA63/$B$2</f>
        <v>6.8000000000000007</v>
      </c>
      <c r="BC64">
        <f>SYSCLK!CB63/$B$2</f>
        <v>5.6666666666666661</v>
      </c>
      <c r="BD64">
        <f>SYSCLK!CC63/$B$2</f>
        <v>4.8571428571428568</v>
      </c>
      <c r="BE64">
        <f>SYSCLK!CD63/$B$2</f>
        <v>4.25</v>
      </c>
      <c r="BF64">
        <f>SYSCLK!CE63/$B$2</f>
        <v>3.7777777777777777</v>
      </c>
      <c r="BG64">
        <f>SYSCLK!CF63/$B$2</f>
        <v>3.4000000000000004</v>
      </c>
      <c r="BH64">
        <f>SYSCLK!CG63/$B$2</f>
        <v>3.0909090909090908</v>
      </c>
      <c r="BI64">
        <f>SYSCLK!CH63/$B$2</f>
        <v>2.833333333333333</v>
      </c>
      <c r="BJ64">
        <f>SYSCLK!CI63/$B$2</f>
        <v>2.6153846153846154</v>
      </c>
      <c r="BK64">
        <f>SYSCLK!CJ63/$B$2</f>
        <v>2.4285714285714284</v>
      </c>
      <c r="BL64">
        <f>SYSCLK!CK63/$B$2</f>
        <v>2.2666666666666666</v>
      </c>
      <c r="BM64">
        <f>SYSCLK!CL63/$B$2</f>
        <v>2.125</v>
      </c>
    </row>
    <row r="65" spans="2:65">
      <c r="B65">
        <f>SYSCLK!AA64/$B$2</f>
        <v>0</v>
      </c>
      <c r="C65">
        <f>SYSCLK!AB64/$B$2</f>
        <v>0</v>
      </c>
      <c r="D65">
        <f>SYSCLK!AC64/$B$2</f>
        <v>0</v>
      </c>
      <c r="E65">
        <f>SYSCLK!AD64/$B$2</f>
        <v>34.5</v>
      </c>
      <c r="F65">
        <f>SYSCLK!AE64/$B$2</f>
        <v>27.6</v>
      </c>
      <c r="G65">
        <f>SYSCLK!AF64/$B$2</f>
        <v>23</v>
      </c>
      <c r="H65">
        <f>SYSCLK!AG64/$B$2</f>
        <v>19.714285714285712</v>
      </c>
      <c r="I65">
        <f>SYSCLK!AH64/$B$2</f>
        <v>17.25</v>
      </c>
      <c r="J65">
        <f>SYSCLK!AI64/$B$2</f>
        <v>15.333333333333332</v>
      </c>
      <c r="K65">
        <f>SYSCLK!AJ64/$B$2</f>
        <v>13.8</v>
      </c>
      <c r="L65">
        <f>SYSCLK!AK64/$B$2</f>
        <v>12.545454545454545</v>
      </c>
      <c r="M65">
        <f>SYSCLK!AL64/$B$2</f>
        <v>11.5</v>
      </c>
      <c r="N65">
        <f>SYSCLK!AM64/$B$2</f>
        <v>10.615384615384617</v>
      </c>
      <c r="O65">
        <f>SYSCLK!AN64/$B$2</f>
        <v>9.8571428571428559</v>
      </c>
      <c r="P65">
        <f>SYSCLK!AO64/$B$2</f>
        <v>9.1999999999999993</v>
      </c>
      <c r="Q65">
        <f>SYSCLK!AP64/$B$2</f>
        <v>8.625</v>
      </c>
      <c r="R65" s="117">
        <f>SYSCLK!AQ64/$B$2</f>
        <v>0</v>
      </c>
      <c r="S65">
        <f>SYSCLK!AR64/$B$2</f>
        <v>34.5</v>
      </c>
      <c r="T65">
        <f>SYSCLK!AS64/$B$2</f>
        <v>23</v>
      </c>
      <c r="U65">
        <f>SYSCLK!AT64/$B$2</f>
        <v>17.25</v>
      </c>
      <c r="V65">
        <f>SYSCLK!AU64/$B$2</f>
        <v>13.8</v>
      </c>
      <c r="W65">
        <f>SYSCLK!AV64/$B$2</f>
        <v>11.5</v>
      </c>
      <c r="X65">
        <f>SYSCLK!AW64/$B$2</f>
        <v>9.8571428571428559</v>
      </c>
      <c r="Y65">
        <f>SYSCLK!AX64/$B$2</f>
        <v>8.625</v>
      </c>
      <c r="Z65">
        <f>SYSCLK!AY64/$B$2</f>
        <v>7.6666666666666661</v>
      </c>
      <c r="AA65">
        <f>SYSCLK!AZ64/$B$2</f>
        <v>6.9</v>
      </c>
      <c r="AB65">
        <f>SYSCLK!BA64/$B$2</f>
        <v>6.2727272727272725</v>
      </c>
      <c r="AC65">
        <f>SYSCLK!BB64/$B$2</f>
        <v>5.75</v>
      </c>
      <c r="AD65">
        <f>SYSCLK!BC64/$B$2</f>
        <v>5.3076923076923084</v>
      </c>
      <c r="AE65">
        <f>SYSCLK!BD64/$B$2</f>
        <v>4.9285714285714279</v>
      </c>
      <c r="AF65">
        <f>SYSCLK!BE64/$B$2</f>
        <v>4.5999999999999996</v>
      </c>
      <c r="AG65" s="118">
        <f>SYSCLK!BF64/$B$2</f>
        <v>4.3125</v>
      </c>
      <c r="AH65">
        <f>SYSCLK!BG64/$B$2</f>
        <v>0</v>
      </c>
      <c r="AI65">
        <f>SYSCLK!BH64/$B$2</f>
        <v>23</v>
      </c>
      <c r="AJ65">
        <f>SYSCLK!BI64/$B$2</f>
        <v>15.333333333333334</v>
      </c>
      <c r="AK65">
        <f>SYSCLK!BJ64/$B$2</f>
        <v>11.5</v>
      </c>
      <c r="AL65">
        <f>SYSCLK!BK64/$B$2</f>
        <v>9.2000000000000011</v>
      </c>
      <c r="AM65">
        <f>SYSCLK!BL64/$B$2</f>
        <v>7.666666666666667</v>
      </c>
      <c r="AN65">
        <f>SYSCLK!BM64/$B$2</f>
        <v>6.5714285714285703</v>
      </c>
      <c r="AO65">
        <f>SYSCLK!BN64/$B$2</f>
        <v>5.75</v>
      </c>
      <c r="AP65">
        <f>SYSCLK!BO64/$B$2</f>
        <v>5.1111111111111107</v>
      </c>
      <c r="AQ65">
        <f>SYSCLK!BP64/$B$2</f>
        <v>4.6000000000000005</v>
      </c>
      <c r="AR65">
        <f>SYSCLK!BQ64/$B$2</f>
        <v>4.1818181818181817</v>
      </c>
      <c r="AS65">
        <f>SYSCLK!BR64/$B$2</f>
        <v>3.8333333333333335</v>
      </c>
      <c r="AT65">
        <f>SYSCLK!BS64/$B$2</f>
        <v>3.5384615384615388</v>
      </c>
      <c r="AU65">
        <f>SYSCLK!BT64/$B$2</f>
        <v>3.2857142857142851</v>
      </c>
      <c r="AV65">
        <f>SYSCLK!BU64/$B$2</f>
        <v>3.0666666666666664</v>
      </c>
      <c r="AW65">
        <f>SYSCLK!BV64/$B$2</f>
        <v>2.875</v>
      </c>
      <c r="AX65" s="117">
        <f>SYSCLK!BW64/$B$2</f>
        <v>34.5</v>
      </c>
      <c r="AY65">
        <f>SYSCLK!BX64/$B$2</f>
        <v>17.25</v>
      </c>
      <c r="AZ65">
        <f>SYSCLK!BY64/$B$2</f>
        <v>11.5</v>
      </c>
      <c r="BA65">
        <f>SYSCLK!BZ64/$B$2</f>
        <v>8.625</v>
      </c>
      <c r="BB65">
        <f>SYSCLK!CA64/$B$2</f>
        <v>6.9</v>
      </c>
      <c r="BC65">
        <f>SYSCLK!CB64/$B$2</f>
        <v>5.75</v>
      </c>
      <c r="BD65">
        <f>SYSCLK!CC64/$B$2</f>
        <v>4.9285714285714279</v>
      </c>
      <c r="BE65">
        <f>SYSCLK!CD64/$B$2</f>
        <v>4.3125</v>
      </c>
      <c r="BF65">
        <f>SYSCLK!CE64/$B$2</f>
        <v>3.833333333333333</v>
      </c>
      <c r="BG65">
        <f>SYSCLK!CF64/$B$2</f>
        <v>3.45</v>
      </c>
      <c r="BH65">
        <f>SYSCLK!CG64/$B$2</f>
        <v>3.1363636363636362</v>
      </c>
      <c r="BI65">
        <f>SYSCLK!CH64/$B$2</f>
        <v>2.875</v>
      </c>
      <c r="BJ65">
        <f>SYSCLK!CI64/$B$2</f>
        <v>2.6538461538461542</v>
      </c>
      <c r="BK65">
        <f>SYSCLK!CJ64/$B$2</f>
        <v>2.464285714285714</v>
      </c>
      <c r="BL65">
        <f>SYSCLK!CK64/$B$2</f>
        <v>2.2999999999999998</v>
      </c>
      <c r="BM65">
        <f>SYSCLK!CL64/$B$2</f>
        <v>2.15625</v>
      </c>
    </row>
    <row r="66" spans="2:65">
      <c r="B66">
        <f>SYSCLK!AA65/$B$2</f>
        <v>0</v>
      </c>
      <c r="C66">
        <f>SYSCLK!AB65/$B$2</f>
        <v>0</v>
      </c>
      <c r="D66">
        <f>SYSCLK!AC65/$B$2</f>
        <v>0</v>
      </c>
      <c r="E66">
        <f>SYSCLK!AD65/$B$2</f>
        <v>35</v>
      </c>
      <c r="F66">
        <f>SYSCLK!AE65/$B$2</f>
        <v>28</v>
      </c>
      <c r="G66">
        <f>SYSCLK!AF65/$B$2</f>
        <v>23.333333333333332</v>
      </c>
      <c r="H66">
        <f>SYSCLK!AG65/$B$2</f>
        <v>20</v>
      </c>
      <c r="I66">
        <f>SYSCLK!AH65/$B$2</f>
        <v>17.5</v>
      </c>
      <c r="J66">
        <f>SYSCLK!AI65/$B$2</f>
        <v>15.555555555555555</v>
      </c>
      <c r="K66">
        <f>SYSCLK!AJ65/$B$2</f>
        <v>14</v>
      </c>
      <c r="L66">
        <f>SYSCLK!AK65/$B$2</f>
        <v>12.727272727272728</v>
      </c>
      <c r="M66">
        <f>SYSCLK!AL65/$B$2</f>
        <v>11.666666666666666</v>
      </c>
      <c r="N66">
        <f>SYSCLK!AM65/$B$2</f>
        <v>10.76923076923077</v>
      </c>
      <c r="O66">
        <f>SYSCLK!AN65/$B$2</f>
        <v>10</v>
      </c>
      <c r="P66">
        <f>SYSCLK!AO65/$B$2</f>
        <v>9.3333333333333339</v>
      </c>
      <c r="Q66">
        <f>SYSCLK!AP65/$B$2</f>
        <v>8.75</v>
      </c>
      <c r="R66" s="117">
        <f>SYSCLK!AQ65/$B$2</f>
        <v>0</v>
      </c>
      <c r="S66">
        <f>SYSCLK!AR65/$B$2</f>
        <v>35</v>
      </c>
      <c r="T66">
        <f>SYSCLK!AS65/$B$2</f>
        <v>23.333333333333332</v>
      </c>
      <c r="U66">
        <f>SYSCLK!AT65/$B$2</f>
        <v>17.5</v>
      </c>
      <c r="V66">
        <f>SYSCLK!AU65/$B$2</f>
        <v>14</v>
      </c>
      <c r="W66">
        <f>SYSCLK!AV65/$B$2</f>
        <v>11.666666666666666</v>
      </c>
      <c r="X66">
        <f>SYSCLK!AW65/$B$2</f>
        <v>10</v>
      </c>
      <c r="Y66">
        <f>SYSCLK!AX65/$B$2</f>
        <v>8.75</v>
      </c>
      <c r="Z66">
        <f>SYSCLK!AY65/$B$2</f>
        <v>7.7777777777777777</v>
      </c>
      <c r="AA66">
        <f>SYSCLK!AZ65/$B$2</f>
        <v>7</v>
      </c>
      <c r="AB66">
        <f>SYSCLK!BA65/$B$2</f>
        <v>6.3636363636363642</v>
      </c>
      <c r="AC66">
        <f>SYSCLK!BB65/$B$2</f>
        <v>5.833333333333333</v>
      </c>
      <c r="AD66">
        <f>SYSCLK!BC65/$B$2</f>
        <v>5.384615384615385</v>
      </c>
      <c r="AE66">
        <f>SYSCLK!BD65/$B$2</f>
        <v>5</v>
      </c>
      <c r="AF66">
        <f>SYSCLK!BE65/$B$2</f>
        <v>4.666666666666667</v>
      </c>
      <c r="AG66" s="118">
        <f>SYSCLK!BF65/$B$2</f>
        <v>4.375</v>
      </c>
      <c r="AH66">
        <f>SYSCLK!BG65/$B$2</f>
        <v>0</v>
      </c>
      <c r="AI66">
        <f>SYSCLK!BH65/$B$2</f>
        <v>23.333333333333332</v>
      </c>
      <c r="AJ66">
        <f>SYSCLK!BI65/$B$2</f>
        <v>15.555555555555555</v>
      </c>
      <c r="AK66">
        <f>SYSCLK!BJ65/$B$2</f>
        <v>11.666666666666666</v>
      </c>
      <c r="AL66">
        <f>SYSCLK!BK65/$B$2</f>
        <v>9.3333333333333339</v>
      </c>
      <c r="AM66">
        <f>SYSCLK!BL65/$B$2</f>
        <v>7.7777777777777777</v>
      </c>
      <c r="AN66">
        <f>SYSCLK!BM65/$B$2</f>
        <v>6.666666666666667</v>
      </c>
      <c r="AO66">
        <f>SYSCLK!BN65/$B$2</f>
        <v>5.833333333333333</v>
      </c>
      <c r="AP66">
        <f>SYSCLK!BO65/$B$2</f>
        <v>5.1851851851851851</v>
      </c>
      <c r="AQ66">
        <f>SYSCLK!BP65/$B$2</f>
        <v>4.666666666666667</v>
      </c>
      <c r="AR66">
        <f>SYSCLK!BQ65/$B$2</f>
        <v>4.2424242424242431</v>
      </c>
      <c r="AS66">
        <f>SYSCLK!BR65/$B$2</f>
        <v>3.8888888888888888</v>
      </c>
      <c r="AT66">
        <f>SYSCLK!BS65/$B$2</f>
        <v>3.5897435897435899</v>
      </c>
      <c r="AU66">
        <f>SYSCLK!BT65/$B$2</f>
        <v>3.3333333333333335</v>
      </c>
      <c r="AV66">
        <f>SYSCLK!BU65/$B$2</f>
        <v>3.1111111111111112</v>
      </c>
      <c r="AW66">
        <f>SYSCLK!BV65/$B$2</f>
        <v>2.9166666666666665</v>
      </c>
      <c r="AX66" s="117">
        <f>SYSCLK!BW65/$B$2</f>
        <v>35</v>
      </c>
      <c r="AY66">
        <f>SYSCLK!BX65/$B$2</f>
        <v>17.5</v>
      </c>
      <c r="AZ66">
        <f>SYSCLK!BY65/$B$2</f>
        <v>11.666666666666666</v>
      </c>
      <c r="BA66">
        <f>SYSCLK!BZ65/$B$2</f>
        <v>8.75</v>
      </c>
      <c r="BB66">
        <f>SYSCLK!CA65/$B$2</f>
        <v>7</v>
      </c>
      <c r="BC66">
        <f>SYSCLK!CB65/$B$2</f>
        <v>5.833333333333333</v>
      </c>
      <c r="BD66">
        <f>SYSCLK!CC65/$B$2</f>
        <v>5</v>
      </c>
      <c r="BE66">
        <f>SYSCLK!CD65/$B$2</f>
        <v>4.375</v>
      </c>
      <c r="BF66">
        <f>SYSCLK!CE65/$B$2</f>
        <v>3.8888888888888888</v>
      </c>
      <c r="BG66">
        <f>SYSCLK!CF65/$B$2</f>
        <v>3.5</v>
      </c>
      <c r="BH66">
        <f>SYSCLK!CG65/$B$2</f>
        <v>3.1818181818181821</v>
      </c>
      <c r="BI66">
        <f>SYSCLK!CH65/$B$2</f>
        <v>2.9166666666666665</v>
      </c>
      <c r="BJ66">
        <f>SYSCLK!CI65/$B$2</f>
        <v>2.6923076923076925</v>
      </c>
      <c r="BK66">
        <f>SYSCLK!CJ65/$B$2</f>
        <v>2.5</v>
      </c>
      <c r="BL66">
        <f>SYSCLK!CK65/$B$2</f>
        <v>2.3333333333333335</v>
      </c>
      <c r="BM66">
        <f>SYSCLK!CL65/$B$2</f>
        <v>2.1875</v>
      </c>
    </row>
    <row r="67" spans="2:65">
      <c r="B67">
        <f>SYSCLK!AA66/$B$2</f>
        <v>0</v>
      </c>
      <c r="C67">
        <f>SYSCLK!AB66/$B$2</f>
        <v>0</v>
      </c>
      <c r="D67">
        <f>SYSCLK!AC66/$B$2</f>
        <v>0</v>
      </c>
      <c r="E67">
        <f>SYSCLK!AD66/$B$2</f>
        <v>35.5</v>
      </c>
      <c r="F67">
        <f>SYSCLK!AE66/$B$2</f>
        <v>28.400000000000002</v>
      </c>
      <c r="G67">
        <f>SYSCLK!AF66/$B$2</f>
        <v>23.666666666666664</v>
      </c>
      <c r="H67">
        <f>SYSCLK!AG66/$B$2</f>
        <v>20.285714285714285</v>
      </c>
      <c r="I67">
        <f>SYSCLK!AH66/$B$2</f>
        <v>17.75</v>
      </c>
      <c r="J67">
        <f>SYSCLK!AI66/$B$2</f>
        <v>15.777777777777777</v>
      </c>
      <c r="K67">
        <f>SYSCLK!AJ66/$B$2</f>
        <v>14.200000000000001</v>
      </c>
      <c r="L67">
        <f>SYSCLK!AK66/$B$2</f>
        <v>12.90909090909091</v>
      </c>
      <c r="M67">
        <f>SYSCLK!AL66/$B$2</f>
        <v>11.833333333333332</v>
      </c>
      <c r="N67">
        <f>SYSCLK!AM66/$B$2</f>
        <v>10.923076923076923</v>
      </c>
      <c r="O67">
        <f>SYSCLK!AN66/$B$2</f>
        <v>10.142857142857142</v>
      </c>
      <c r="P67">
        <f>SYSCLK!AO66/$B$2</f>
        <v>9.4666666666666668</v>
      </c>
      <c r="Q67">
        <f>SYSCLK!AP66/$B$2</f>
        <v>8.875</v>
      </c>
      <c r="R67" s="117">
        <f>SYSCLK!AQ66/$B$2</f>
        <v>0</v>
      </c>
      <c r="S67">
        <f>SYSCLK!AR66/$B$2</f>
        <v>35.5</v>
      </c>
      <c r="T67">
        <f>SYSCLK!AS66/$B$2</f>
        <v>23.666666666666664</v>
      </c>
      <c r="U67">
        <f>SYSCLK!AT66/$B$2</f>
        <v>17.75</v>
      </c>
      <c r="V67">
        <f>SYSCLK!AU66/$B$2</f>
        <v>14.200000000000001</v>
      </c>
      <c r="W67">
        <f>SYSCLK!AV66/$B$2</f>
        <v>11.833333333333332</v>
      </c>
      <c r="X67">
        <f>SYSCLK!AW66/$B$2</f>
        <v>10.142857142857142</v>
      </c>
      <c r="Y67">
        <f>SYSCLK!AX66/$B$2</f>
        <v>8.875</v>
      </c>
      <c r="Z67">
        <f>SYSCLK!AY66/$B$2</f>
        <v>7.8888888888888884</v>
      </c>
      <c r="AA67">
        <f>SYSCLK!AZ66/$B$2</f>
        <v>7.1000000000000005</v>
      </c>
      <c r="AB67">
        <f>SYSCLK!BA66/$B$2</f>
        <v>6.454545454545455</v>
      </c>
      <c r="AC67">
        <f>SYSCLK!BB66/$B$2</f>
        <v>5.9166666666666661</v>
      </c>
      <c r="AD67">
        <f>SYSCLK!BC66/$B$2</f>
        <v>5.4615384615384617</v>
      </c>
      <c r="AE67">
        <f>SYSCLK!BD66/$B$2</f>
        <v>5.0714285714285712</v>
      </c>
      <c r="AF67">
        <f>SYSCLK!BE66/$B$2</f>
        <v>4.7333333333333334</v>
      </c>
      <c r="AG67" s="118">
        <f>SYSCLK!BF66/$B$2</f>
        <v>4.4375</v>
      </c>
      <c r="AH67">
        <f>SYSCLK!BG66/$B$2</f>
        <v>0</v>
      </c>
      <c r="AI67">
        <f>SYSCLK!BH66/$B$2</f>
        <v>23.666666666666668</v>
      </c>
      <c r="AJ67">
        <f>SYSCLK!BI66/$B$2</f>
        <v>15.777777777777777</v>
      </c>
      <c r="AK67">
        <f>SYSCLK!BJ66/$B$2</f>
        <v>11.833333333333334</v>
      </c>
      <c r="AL67">
        <f>SYSCLK!BK66/$B$2</f>
        <v>9.4666666666666668</v>
      </c>
      <c r="AM67">
        <f>SYSCLK!BL66/$B$2</f>
        <v>7.8888888888888884</v>
      </c>
      <c r="AN67">
        <f>SYSCLK!BM66/$B$2</f>
        <v>6.7619047619047619</v>
      </c>
      <c r="AO67">
        <f>SYSCLK!BN66/$B$2</f>
        <v>5.916666666666667</v>
      </c>
      <c r="AP67">
        <f>SYSCLK!BO66/$B$2</f>
        <v>5.2592592592592586</v>
      </c>
      <c r="AQ67">
        <f>SYSCLK!BP66/$B$2</f>
        <v>4.7333333333333334</v>
      </c>
      <c r="AR67">
        <f>SYSCLK!BQ66/$B$2</f>
        <v>4.3030303030303036</v>
      </c>
      <c r="AS67">
        <f>SYSCLK!BR66/$B$2</f>
        <v>3.9444444444444442</v>
      </c>
      <c r="AT67">
        <f>SYSCLK!BS66/$B$2</f>
        <v>3.641025641025641</v>
      </c>
      <c r="AU67">
        <f>SYSCLK!BT66/$B$2</f>
        <v>3.3809523809523809</v>
      </c>
      <c r="AV67">
        <f>SYSCLK!BU66/$B$2</f>
        <v>3.1555555555555554</v>
      </c>
      <c r="AW67">
        <f>SYSCLK!BV66/$B$2</f>
        <v>2.9583333333333335</v>
      </c>
      <c r="AX67" s="117">
        <f>SYSCLK!BW66/$B$2</f>
        <v>35.5</v>
      </c>
      <c r="AY67">
        <f>SYSCLK!BX66/$B$2</f>
        <v>17.75</v>
      </c>
      <c r="AZ67">
        <f>SYSCLK!BY66/$B$2</f>
        <v>11.833333333333332</v>
      </c>
      <c r="BA67">
        <f>SYSCLK!BZ66/$B$2</f>
        <v>8.875</v>
      </c>
      <c r="BB67">
        <f>SYSCLK!CA66/$B$2</f>
        <v>7.1000000000000005</v>
      </c>
      <c r="BC67">
        <f>SYSCLK!CB66/$B$2</f>
        <v>5.9166666666666661</v>
      </c>
      <c r="BD67">
        <f>SYSCLK!CC66/$B$2</f>
        <v>5.0714285714285712</v>
      </c>
      <c r="BE67">
        <f>SYSCLK!CD66/$B$2</f>
        <v>4.4375</v>
      </c>
      <c r="BF67">
        <f>SYSCLK!CE66/$B$2</f>
        <v>3.9444444444444442</v>
      </c>
      <c r="BG67">
        <f>SYSCLK!CF66/$B$2</f>
        <v>3.5500000000000003</v>
      </c>
      <c r="BH67">
        <f>SYSCLK!CG66/$B$2</f>
        <v>3.2272727272727275</v>
      </c>
      <c r="BI67">
        <f>SYSCLK!CH66/$B$2</f>
        <v>2.958333333333333</v>
      </c>
      <c r="BJ67">
        <f>SYSCLK!CI66/$B$2</f>
        <v>2.7307692307692308</v>
      </c>
      <c r="BK67">
        <f>SYSCLK!CJ66/$B$2</f>
        <v>2.5357142857142856</v>
      </c>
      <c r="BL67">
        <f>SYSCLK!CK66/$B$2</f>
        <v>2.3666666666666667</v>
      </c>
      <c r="BM67">
        <f>SYSCLK!CL66/$B$2</f>
        <v>2.21875</v>
      </c>
    </row>
    <row r="68" spans="2:65">
      <c r="B68">
        <f>SYSCLK!AA67/$B$2</f>
        <v>0</v>
      </c>
      <c r="C68">
        <f>SYSCLK!AB67/$B$2</f>
        <v>0</v>
      </c>
      <c r="D68">
        <f>SYSCLK!AC67/$B$2</f>
        <v>0</v>
      </c>
      <c r="E68">
        <f>SYSCLK!AD67/$B$2</f>
        <v>36</v>
      </c>
      <c r="F68">
        <f>SYSCLK!AE67/$B$2</f>
        <v>28.8</v>
      </c>
      <c r="G68">
        <f>SYSCLK!AF67/$B$2</f>
        <v>24</v>
      </c>
      <c r="H68">
        <f>SYSCLK!AG67/$B$2</f>
        <v>20.571428571428569</v>
      </c>
      <c r="I68">
        <f>SYSCLK!AH67/$B$2</f>
        <v>18</v>
      </c>
      <c r="J68">
        <f>SYSCLK!AI67/$B$2</f>
        <v>16</v>
      </c>
      <c r="K68">
        <f>SYSCLK!AJ67/$B$2</f>
        <v>14.4</v>
      </c>
      <c r="L68">
        <f>SYSCLK!AK67/$B$2</f>
        <v>13.090909090909092</v>
      </c>
      <c r="M68">
        <f>SYSCLK!AL67/$B$2</f>
        <v>12</v>
      </c>
      <c r="N68">
        <f>SYSCLK!AM67/$B$2</f>
        <v>11.076923076923077</v>
      </c>
      <c r="O68">
        <f>SYSCLK!AN67/$B$2</f>
        <v>10.285714285714285</v>
      </c>
      <c r="P68">
        <f>SYSCLK!AO67/$B$2</f>
        <v>9.6</v>
      </c>
      <c r="Q68">
        <f>SYSCLK!AP67/$B$2</f>
        <v>9</v>
      </c>
      <c r="R68" s="117">
        <f>SYSCLK!AQ67/$B$2</f>
        <v>0</v>
      </c>
      <c r="S68">
        <f>SYSCLK!AR67/$B$2</f>
        <v>36</v>
      </c>
      <c r="T68">
        <f>SYSCLK!AS67/$B$2</f>
        <v>24</v>
      </c>
      <c r="U68">
        <f>SYSCLK!AT67/$B$2</f>
        <v>18</v>
      </c>
      <c r="V68">
        <f>SYSCLK!AU67/$B$2</f>
        <v>14.4</v>
      </c>
      <c r="W68">
        <f>SYSCLK!AV67/$B$2</f>
        <v>12</v>
      </c>
      <c r="X68">
        <f>SYSCLK!AW67/$B$2</f>
        <v>10.285714285714285</v>
      </c>
      <c r="Y68">
        <f>SYSCLK!AX67/$B$2</f>
        <v>9</v>
      </c>
      <c r="Z68">
        <f>SYSCLK!AY67/$B$2</f>
        <v>8</v>
      </c>
      <c r="AA68">
        <f>SYSCLK!AZ67/$B$2</f>
        <v>7.2</v>
      </c>
      <c r="AB68">
        <f>SYSCLK!BA67/$B$2</f>
        <v>6.5454545454545459</v>
      </c>
      <c r="AC68">
        <f>SYSCLK!BB67/$B$2</f>
        <v>6</v>
      </c>
      <c r="AD68">
        <f>SYSCLK!BC67/$B$2</f>
        <v>5.5384615384615383</v>
      </c>
      <c r="AE68">
        <f>SYSCLK!BD67/$B$2</f>
        <v>5.1428571428571423</v>
      </c>
      <c r="AF68">
        <f>SYSCLK!BE67/$B$2</f>
        <v>4.8</v>
      </c>
      <c r="AG68" s="118">
        <f>SYSCLK!BF67/$B$2</f>
        <v>4.5</v>
      </c>
      <c r="AH68">
        <f>SYSCLK!BG67/$B$2</f>
        <v>0</v>
      </c>
      <c r="AI68">
        <f>SYSCLK!BH67/$B$2</f>
        <v>24</v>
      </c>
      <c r="AJ68">
        <f>SYSCLK!BI67/$B$2</f>
        <v>16</v>
      </c>
      <c r="AK68">
        <f>SYSCLK!BJ67/$B$2</f>
        <v>12</v>
      </c>
      <c r="AL68">
        <f>SYSCLK!BK67/$B$2</f>
        <v>9.6</v>
      </c>
      <c r="AM68">
        <f>SYSCLK!BL67/$B$2</f>
        <v>8</v>
      </c>
      <c r="AN68">
        <f>SYSCLK!BM67/$B$2</f>
        <v>6.8571428571428568</v>
      </c>
      <c r="AO68">
        <f>SYSCLK!BN67/$B$2</f>
        <v>6</v>
      </c>
      <c r="AP68">
        <f>SYSCLK!BO67/$B$2</f>
        <v>5.333333333333333</v>
      </c>
      <c r="AQ68">
        <f>SYSCLK!BP67/$B$2</f>
        <v>4.8</v>
      </c>
      <c r="AR68">
        <f>SYSCLK!BQ67/$B$2</f>
        <v>4.3636363636363642</v>
      </c>
      <c r="AS68">
        <f>SYSCLK!BR67/$B$2</f>
        <v>4</v>
      </c>
      <c r="AT68">
        <f>SYSCLK!BS67/$B$2</f>
        <v>3.6923076923076921</v>
      </c>
      <c r="AU68">
        <f>SYSCLK!BT67/$B$2</f>
        <v>3.4285714285714284</v>
      </c>
      <c r="AV68">
        <f>SYSCLK!BU67/$B$2</f>
        <v>3.1999999999999997</v>
      </c>
      <c r="AW68">
        <f>SYSCLK!BV67/$B$2</f>
        <v>3</v>
      </c>
      <c r="AX68" s="117">
        <f>SYSCLK!BW67/$B$2</f>
        <v>36</v>
      </c>
      <c r="AY68">
        <f>SYSCLK!BX67/$B$2</f>
        <v>18</v>
      </c>
      <c r="AZ68">
        <f>SYSCLK!BY67/$B$2</f>
        <v>12</v>
      </c>
      <c r="BA68">
        <f>SYSCLK!BZ67/$B$2</f>
        <v>9</v>
      </c>
      <c r="BB68">
        <f>SYSCLK!CA67/$B$2</f>
        <v>7.2</v>
      </c>
      <c r="BC68">
        <f>SYSCLK!CB67/$B$2</f>
        <v>6</v>
      </c>
      <c r="BD68">
        <f>SYSCLK!CC67/$B$2</f>
        <v>5.1428571428571423</v>
      </c>
      <c r="BE68">
        <f>SYSCLK!CD67/$B$2</f>
        <v>4.5</v>
      </c>
      <c r="BF68">
        <f>SYSCLK!CE67/$B$2</f>
        <v>4</v>
      </c>
      <c r="BG68">
        <f>SYSCLK!CF67/$B$2</f>
        <v>3.6</v>
      </c>
      <c r="BH68">
        <f>SYSCLK!CG67/$B$2</f>
        <v>3.2727272727272729</v>
      </c>
      <c r="BI68">
        <f>SYSCLK!CH67/$B$2</f>
        <v>3</v>
      </c>
      <c r="BJ68">
        <f>SYSCLK!CI67/$B$2</f>
        <v>2.7692307692307692</v>
      </c>
      <c r="BK68">
        <f>SYSCLK!CJ67/$B$2</f>
        <v>2.5714285714285712</v>
      </c>
      <c r="BL68">
        <f>SYSCLK!CK67/$B$2</f>
        <v>2.4</v>
      </c>
      <c r="BM68">
        <f>SYSCLK!CL67/$B$2</f>
        <v>2.25</v>
      </c>
    </row>
    <row r="69" spans="2:65">
      <c r="B69">
        <f>SYSCLK!AA68/$B$2</f>
        <v>0</v>
      </c>
      <c r="C69">
        <f>SYSCLK!AB68/$B$2</f>
        <v>0</v>
      </c>
      <c r="D69">
        <f>SYSCLK!AC68/$B$2</f>
        <v>0</v>
      </c>
      <c r="E69">
        <f>SYSCLK!AD68/$B$2</f>
        <v>36.5</v>
      </c>
      <c r="F69">
        <f>SYSCLK!AE68/$B$2</f>
        <v>29.200000000000003</v>
      </c>
      <c r="G69">
        <f>SYSCLK!AF68/$B$2</f>
        <v>24.333333333333332</v>
      </c>
      <c r="H69">
        <f>SYSCLK!AG68/$B$2</f>
        <v>20.857142857142858</v>
      </c>
      <c r="I69">
        <f>SYSCLK!AH68/$B$2</f>
        <v>18.25</v>
      </c>
      <c r="J69">
        <f>SYSCLK!AI68/$B$2</f>
        <v>16.222222222222221</v>
      </c>
      <c r="K69">
        <f>SYSCLK!AJ68/$B$2</f>
        <v>14.600000000000001</v>
      </c>
      <c r="L69">
        <f>SYSCLK!AK68/$B$2</f>
        <v>13.272727272727273</v>
      </c>
      <c r="M69">
        <f>SYSCLK!AL68/$B$2</f>
        <v>12.166666666666666</v>
      </c>
      <c r="N69">
        <f>SYSCLK!AM68/$B$2</f>
        <v>11.230769230769232</v>
      </c>
      <c r="O69">
        <f>SYSCLK!AN68/$B$2</f>
        <v>10.428571428571429</v>
      </c>
      <c r="P69">
        <f>SYSCLK!AO68/$B$2</f>
        <v>9.7333333333333325</v>
      </c>
      <c r="Q69">
        <f>SYSCLK!AP68/$B$2</f>
        <v>9.125</v>
      </c>
      <c r="R69" s="117">
        <f>SYSCLK!AQ68/$B$2</f>
        <v>0</v>
      </c>
      <c r="S69">
        <f>SYSCLK!AR68/$B$2</f>
        <v>36.5</v>
      </c>
      <c r="T69">
        <f>SYSCLK!AS68/$B$2</f>
        <v>24.333333333333332</v>
      </c>
      <c r="U69">
        <f>SYSCLK!AT68/$B$2</f>
        <v>18.25</v>
      </c>
      <c r="V69">
        <f>SYSCLK!AU68/$B$2</f>
        <v>14.600000000000001</v>
      </c>
      <c r="W69">
        <f>SYSCLK!AV68/$B$2</f>
        <v>12.166666666666666</v>
      </c>
      <c r="X69">
        <f>SYSCLK!AW68/$B$2</f>
        <v>10.428571428571429</v>
      </c>
      <c r="Y69">
        <f>SYSCLK!AX68/$B$2</f>
        <v>9.125</v>
      </c>
      <c r="Z69">
        <f>SYSCLK!AY68/$B$2</f>
        <v>8.1111111111111107</v>
      </c>
      <c r="AA69">
        <f>SYSCLK!AZ68/$B$2</f>
        <v>7.3000000000000007</v>
      </c>
      <c r="AB69">
        <f>SYSCLK!BA68/$B$2</f>
        <v>6.6363636363636367</v>
      </c>
      <c r="AC69">
        <f>SYSCLK!BB68/$B$2</f>
        <v>6.083333333333333</v>
      </c>
      <c r="AD69">
        <f>SYSCLK!BC68/$B$2</f>
        <v>5.6153846153846159</v>
      </c>
      <c r="AE69">
        <f>SYSCLK!BD68/$B$2</f>
        <v>5.2142857142857144</v>
      </c>
      <c r="AF69">
        <f>SYSCLK!BE68/$B$2</f>
        <v>4.8666666666666663</v>
      </c>
      <c r="AG69" s="118">
        <f>SYSCLK!BF68/$B$2</f>
        <v>4.5625</v>
      </c>
      <c r="AH69">
        <f>SYSCLK!BG68/$B$2</f>
        <v>0</v>
      </c>
      <c r="AI69">
        <f>SYSCLK!BH68/$B$2</f>
        <v>24.333333333333332</v>
      </c>
      <c r="AJ69">
        <f>SYSCLK!BI68/$B$2</f>
        <v>16.222222222222221</v>
      </c>
      <c r="AK69">
        <f>SYSCLK!BJ68/$B$2</f>
        <v>12.166666666666666</v>
      </c>
      <c r="AL69">
        <f>SYSCLK!BK68/$B$2</f>
        <v>9.7333333333333343</v>
      </c>
      <c r="AM69">
        <f>SYSCLK!BL68/$B$2</f>
        <v>8.1111111111111107</v>
      </c>
      <c r="AN69">
        <f>SYSCLK!BM68/$B$2</f>
        <v>6.9523809523809526</v>
      </c>
      <c r="AO69">
        <f>SYSCLK!BN68/$B$2</f>
        <v>6.083333333333333</v>
      </c>
      <c r="AP69">
        <f>SYSCLK!BO68/$B$2</f>
        <v>5.4074074074074074</v>
      </c>
      <c r="AQ69">
        <f>SYSCLK!BP68/$B$2</f>
        <v>4.8666666666666671</v>
      </c>
      <c r="AR69">
        <f>SYSCLK!BQ68/$B$2</f>
        <v>4.4242424242424248</v>
      </c>
      <c r="AS69">
        <f>SYSCLK!BR68/$B$2</f>
        <v>4.0555555555555554</v>
      </c>
      <c r="AT69">
        <f>SYSCLK!BS68/$B$2</f>
        <v>3.7435897435897441</v>
      </c>
      <c r="AU69">
        <f>SYSCLK!BT68/$B$2</f>
        <v>3.4761904761904763</v>
      </c>
      <c r="AV69">
        <f>SYSCLK!BU68/$B$2</f>
        <v>3.244444444444444</v>
      </c>
      <c r="AW69">
        <f>SYSCLK!BV68/$B$2</f>
        <v>3.0416666666666665</v>
      </c>
      <c r="AX69" s="117">
        <f>SYSCLK!BW68/$B$2</f>
        <v>36.5</v>
      </c>
      <c r="AY69">
        <f>SYSCLK!BX68/$B$2</f>
        <v>18.25</v>
      </c>
      <c r="AZ69">
        <f>SYSCLK!BY68/$B$2</f>
        <v>12.166666666666666</v>
      </c>
      <c r="BA69">
        <f>SYSCLK!BZ68/$B$2</f>
        <v>9.125</v>
      </c>
      <c r="BB69">
        <f>SYSCLK!CA68/$B$2</f>
        <v>7.3000000000000007</v>
      </c>
      <c r="BC69">
        <f>SYSCLK!CB68/$B$2</f>
        <v>6.083333333333333</v>
      </c>
      <c r="BD69">
        <f>SYSCLK!CC68/$B$2</f>
        <v>5.2142857142857144</v>
      </c>
      <c r="BE69">
        <f>SYSCLK!CD68/$B$2</f>
        <v>4.5625</v>
      </c>
      <c r="BF69">
        <f>SYSCLK!CE68/$B$2</f>
        <v>4.0555555555555554</v>
      </c>
      <c r="BG69">
        <f>SYSCLK!CF68/$B$2</f>
        <v>3.6500000000000004</v>
      </c>
      <c r="BH69">
        <f>SYSCLK!CG68/$B$2</f>
        <v>3.3181818181818183</v>
      </c>
      <c r="BI69">
        <f>SYSCLK!CH68/$B$2</f>
        <v>3.0416666666666665</v>
      </c>
      <c r="BJ69">
        <f>SYSCLK!CI68/$B$2</f>
        <v>2.8076923076923079</v>
      </c>
      <c r="BK69">
        <f>SYSCLK!CJ68/$B$2</f>
        <v>2.6071428571428572</v>
      </c>
      <c r="BL69">
        <f>SYSCLK!CK68/$B$2</f>
        <v>2.4333333333333331</v>
      </c>
      <c r="BM69">
        <f>SYSCLK!CL68/$B$2</f>
        <v>2.28125</v>
      </c>
    </row>
    <row r="70" spans="2:65">
      <c r="B70">
        <f>SYSCLK!AA69/$B$2</f>
        <v>0</v>
      </c>
      <c r="C70">
        <f>SYSCLK!AB69/$B$2</f>
        <v>0</v>
      </c>
      <c r="D70">
        <f>SYSCLK!AC69/$B$2</f>
        <v>0</v>
      </c>
      <c r="E70">
        <f>SYSCLK!AD69/$B$2</f>
        <v>37</v>
      </c>
      <c r="F70">
        <f>SYSCLK!AE69/$B$2</f>
        <v>29.6</v>
      </c>
      <c r="G70">
        <f>SYSCLK!AF69/$B$2</f>
        <v>24.666666666666664</v>
      </c>
      <c r="H70">
        <f>SYSCLK!AG69/$B$2</f>
        <v>21.142857142857142</v>
      </c>
      <c r="I70">
        <f>SYSCLK!AH69/$B$2</f>
        <v>18.5</v>
      </c>
      <c r="J70">
        <f>SYSCLK!AI69/$B$2</f>
        <v>16.444444444444443</v>
      </c>
      <c r="K70">
        <f>SYSCLK!AJ69/$B$2</f>
        <v>14.8</v>
      </c>
      <c r="L70">
        <f>SYSCLK!AK69/$B$2</f>
        <v>13.454545454545455</v>
      </c>
      <c r="M70">
        <f>SYSCLK!AL69/$B$2</f>
        <v>12.333333333333332</v>
      </c>
      <c r="N70">
        <f>SYSCLK!AM69/$B$2</f>
        <v>11.384615384615385</v>
      </c>
      <c r="O70">
        <f>SYSCLK!AN69/$B$2</f>
        <v>10.571428571428571</v>
      </c>
      <c r="P70">
        <f>SYSCLK!AO69/$B$2</f>
        <v>9.8666666666666671</v>
      </c>
      <c r="Q70">
        <f>SYSCLK!AP69/$B$2</f>
        <v>9.25</v>
      </c>
      <c r="R70" s="117">
        <f>SYSCLK!AQ69/$B$2</f>
        <v>0</v>
      </c>
      <c r="S70">
        <f>SYSCLK!AR69/$B$2</f>
        <v>37</v>
      </c>
      <c r="T70">
        <f>SYSCLK!AS69/$B$2</f>
        <v>24.666666666666664</v>
      </c>
      <c r="U70">
        <f>SYSCLK!AT69/$B$2</f>
        <v>18.5</v>
      </c>
      <c r="V70">
        <f>SYSCLK!AU69/$B$2</f>
        <v>14.8</v>
      </c>
      <c r="W70">
        <f>SYSCLK!AV69/$B$2</f>
        <v>12.333333333333332</v>
      </c>
      <c r="X70">
        <f>SYSCLK!AW69/$B$2</f>
        <v>10.571428571428571</v>
      </c>
      <c r="Y70">
        <f>SYSCLK!AX69/$B$2</f>
        <v>9.25</v>
      </c>
      <c r="Z70">
        <f>SYSCLK!AY69/$B$2</f>
        <v>8.2222222222222214</v>
      </c>
      <c r="AA70">
        <f>SYSCLK!AZ69/$B$2</f>
        <v>7.4</v>
      </c>
      <c r="AB70">
        <f>SYSCLK!BA69/$B$2</f>
        <v>6.7272727272727275</v>
      </c>
      <c r="AC70">
        <f>SYSCLK!BB69/$B$2</f>
        <v>6.1666666666666661</v>
      </c>
      <c r="AD70">
        <f>SYSCLK!BC69/$B$2</f>
        <v>5.6923076923076925</v>
      </c>
      <c r="AE70">
        <f>SYSCLK!BD69/$B$2</f>
        <v>5.2857142857142856</v>
      </c>
      <c r="AF70">
        <f>SYSCLK!BE69/$B$2</f>
        <v>4.9333333333333336</v>
      </c>
      <c r="AG70" s="118">
        <f>SYSCLK!BF69/$B$2</f>
        <v>4.625</v>
      </c>
      <c r="AH70">
        <f>SYSCLK!BG69/$B$2</f>
        <v>0</v>
      </c>
      <c r="AI70">
        <f>SYSCLK!BH69/$B$2</f>
        <v>24.666666666666668</v>
      </c>
      <c r="AJ70">
        <f>SYSCLK!BI69/$B$2</f>
        <v>16.444444444444443</v>
      </c>
      <c r="AK70">
        <f>SYSCLK!BJ69/$B$2</f>
        <v>12.333333333333334</v>
      </c>
      <c r="AL70">
        <f>SYSCLK!BK69/$B$2</f>
        <v>9.8666666666666671</v>
      </c>
      <c r="AM70">
        <f>SYSCLK!BL69/$B$2</f>
        <v>8.2222222222222214</v>
      </c>
      <c r="AN70">
        <f>SYSCLK!BM69/$B$2</f>
        <v>7.0476190476190474</v>
      </c>
      <c r="AO70">
        <f>SYSCLK!BN69/$B$2</f>
        <v>6.166666666666667</v>
      </c>
      <c r="AP70">
        <f>SYSCLK!BO69/$B$2</f>
        <v>5.481481481481481</v>
      </c>
      <c r="AQ70">
        <f>SYSCLK!BP69/$B$2</f>
        <v>4.9333333333333336</v>
      </c>
      <c r="AR70">
        <f>SYSCLK!BQ69/$B$2</f>
        <v>4.4848484848484853</v>
      </c>
      <c r="AS70">
        <f>SYSCLK!BR69/$B$2</f>
        <v>4.1111111111111107</v>
      </c>
      <c r="AT70">
        <f>SYSCLK!BS69/$B$2</f>
        <v>3.7948717948717952</v>
      </c>
      <c r="AU70">
        <f>SYSCLK!BT69/$B$2</f>
        <v>3.5238095238095237</v>
      </c>
      <c r="AV70">
        <f>SYSCLK!BU69/$B$2</f>
        <v>3.2888888888888892</v>
      </c>
      <c r="AW70">
        <f>SYSCLK!BV69/$B$2</f>
        <v>3.0833333333333335</v>
      </c>
      <c r="AX70" s="117">
        <f>SYSCLK!BW69/$B$2</f>
        <v>37</v>
      </c>
      <c r="AY70">
        <f>SYSCLK!BX69/$B$2</f>
        <v>18.5</v>
      </c>
      <c r="AZ70">
        <f>SYSCLK!BY69/$B$2</f>
        <v>12.333333333333332</v>
      </c>
      <c r="BA70">
        <f>SYSCLK!BZ69/$B$2</f>
        <v>9.25</v>
      </c>
      <c r="BB70">
        <f>SYSCLK!CA69/$B$2</f>
        <v>7.4</v>
      </c>
      <c r="BC70">
        <f>SYSCLK!CB69/$B$2</f>
        <v>6.1666666666666661</v>
      </c>
      <c r="BD70">
        <f>SYSCLK!CC69/$B$2</f>
        <v>5.2857142857142856</v>
      </c>
      <c r="BE70">
        <f>SYSCLK!CD69/$B$2</f>
        <v>4.625</v>
      </c>
      <c r="BF70">
        <f>SYSCLK!CE69/$B$2</f>
        <v>4.1111111111111107</v>
      </c>
      <c r="BG70">
        <f>SYSCLK!CF69/$B$2</f>
        <v>3.7</v>
      </c>
      <c r="BH70">
        <f>SYSCLK!CG69/$B$2</f>
        <v>3.3636363636363638</v>
      </c>
      <c r="BI70">
        <f>SYSCLK!CH69/$B$2</f>
        <v>3.083333333333333</v>
      </c>
      <c r="BJ70">
        <f>SYSCLK!CI69/$B$2</f>
        <v>2.8461538461538463</v>
      </c>
      <c r="BK70">
        <f>SYSCLK!CJ69/$B$2</f>
        <v>2.6428571428571428</v>
      </c>
      <c r="BL70">
        <f>SYSCLK!CK69/$B$2</f>
        <v>2.4666666666666668</v>
      </c>
      <c r="BM70">
        <f>SYSCLK!CL69/$B$2</f>
        <v>2.3125</v>
      </c>
    </row>
    <row r="71" spans="2:65">
      <c r="B71">
        <f>SYSCLK!AA70/$B$2</f>
        <v>0</v>
      </c>
      <c r="C71">
        <f>SYSCLK!AB70/$B$2</f>
        <v>0</v>
      </c>
      <c r="D71">
        <f>SYSCLK!AC70/$B$2</f>
        <v>0</v>
      </c>
      <c r="E71">
        <f>SYSCLK!AD70/$B$2</f>
        <v>37.5</v>
      </c>
      <c r="F71">
        <f>SYSCLK!AE70/$B$2</f>
        <v>30</v>
      </c>
      <c r="G71">
        <f>SYSCLK!AF70/$B$2</f>
        <v>25</v>
      </c>
      <c r="H71">
        <f>SYSCLK!AG70/$B$2</f>
        <v>21.428571428571427</v>
      </c>
      <c r="I71">
        <f>SYSCLK!AH70/$B$2</f>
        <v>18.75</v>
      </c>
      <c r="J71">
        <f>SYSCLK!AI70/$B$2</f>
        <v>16.666666666666664</v>
      </c>
      <c r="K71">
        <f>SYSCLK!AJ70/$B$2</f>
        <v>15</v>
      </c>
      <c r="L71">
        <f>SYSCLK!AK70/$B$2</f>
        <v>13.636363636363637</v>
      </c>
      <c r="M71">
        <f>SYSCLK!AL70/$B$2</f>
        <v>12.5</v>
      </c>
      <c r="N71">
        <f>SYSCLK!AM70/$B$2</f>
        <v>11.538461538461538</v>
      </c>
      <c r="O71">
        <f>SYSCLK!AN70/$B$2</f>
        <v>10.714285714285714</v>
      </c>
      <c r="P71">
        <f>SYSCLK!AO70/$B$2</f>
        <v>10</v>
      </c>
      <c r="Q71">
        <f>SYSCLK!AP70/$B$2</f>
        <v>9.375</v>
      </c>
      <c r="R71" s="117">
        <f>SYSCLK!AQ70/$B$2</f>
        <v>0</v>
      </c>
      <c r="S71">
        <f>SYSCLK!AR70/$B$2</f>
        <v>37.5</v>
      </c>
      <c r="T71">
        <f>SYSCLK!AS70/$B$2</f>
        <v>25</v>
      </c>
      <c r="U71">
        <f>SYSCLK!AT70/$B$2</f>
        <v>18.75</v>
      </c>
      <c r="V71">
        <f>SYSCLK!AU70/$B$2</f>
        <v>15</v>
      </c>
      <c r="W71">
        <f>SYSCLK!AV70/$B$2</f>
        <v>12.5</v>
      </c>
      <c r="X71">
        <f>SYSCLK!AW70/$B$2</f>
        <v>10.714285714285714</v>
      </c>
      <c r="Y71">
        <f>SYSCLK!AX70/$B$2</f>
        <v>9.375</v>
      </c>
      <c r="Z71">
        <f>SYSCLK!AY70/$B$2</f>
        <v>8.3333333333333321</v>
      </c>
      <c r="AA71">
        <f>SYSCLK!AZ70/$B$2</f>
        <v>7.5</v>
      </c>
      <c r="AB71">
        <f>SYSCLK!BA70/$B$2</f>
        <v>6.8181818181818183</v>
      </c>
      <c r="AC71">
        <f>SYSCLK!BB70/$B$2</f>
        <v>6.25</v>
      </c>
      <c r="AD71">
        <f>SYSCLK!BC70/$B$2</f>
        <v>5.7692307692307692</v>
      </c>
      <c r="AE71">
        <f>SYSCLK!BD70/$B$2</f>
        <v>5.3571428571428568</v>
      </c>
      <c r="AF71">
        <f>SYSCLK!BE70/$B$2</f>
        <v>5</v>
      </c>
      <c r="AG71" s="118">
        <f>SYSCLK!BF70/$B$2</f>
        <v>4.6875</v>
      </c>
      <c r="AH71">
        <f>SYSCLK!BG70/$B$2</f>
        <v>0</v>
      </c>
      <c r="AI71">
        <f>SYSCLK!BH70/$B$2</f>
        <v>25</v>
      </c>
      <c r="AJ71">
        <f>SYSCLK!BI70/$B$2</f>
        <v>16.666666666666668</v>
      </c>
      <c r="AK71">
        <f>SYSCLK!BJ70/$B$2</f>
        <v>12.5</v>
      </c>
      <c r="AL71">
        <f>SYSCLK!BK70/$B$2</f>
        <v>10</v>
      </c>
      <c r="AM71">
        <f>SYSCLK!BL70/$B$2</f>
        <v>8.3333333333333339</v>
      </c>
      <c r="AN71">
        <f>SYSCLK!BM70/$B$2</f>
        <v>7.1428571428571423</v>
      </c>
      <c r="AO71">
        <f>SYSCLK!BN70/$B$2</f>
        <v>6.25</v>
      </c>
      <c r="AP71">
        <f>SYSCLK!BO70/$B$2</f>
        <v>5.5555555555555545</v>
      </c>
      <c r="AQ71">
        <f>SYSCLK!BP70/$B$2</f>
        <v>5</v>
      </c>
      <c r="AR71">
        <f>SYSCLK!BQ70/$B$2</f>
        <v>4.5454545454545459</v>
      </c>
      <c r="AS71">
        <f>SYSCLK!BR70/$B$2</f>
        <v>4.166666666666667</v>
      </c>
      <c r="AT71">
        <f>SYSCLK!BS70/$B$2</f>
        <v>3.8461538461538463</v>
      </c>
      <c r="AU71">
        <f>SYSCLK!BT70/$B$2</f>
        <v>3.5714285714285712</v>
      </c>
      <c r="AV71">
        <f>SYSCLK!BU70/$B$2</f>
        <v>3.3333333333333335</v>
      </c>
      <c r="AW71">
        <f>SYSCLK!BV70/$B$2</f>
        <v>3.125</v>
      </c>
      <c r="AX71" s="117">
        <f>SYSCLK!BW70/$B$2</f>
        <v>37.5</v>
      </c>
      <c r="AY71">
        <f>SYSCLK!BX70/$B$2</f>
        <v>18.75</v>
      </c>
      <c r="AZ71">
        <f>SYSCLK!BY70/$B$2</f>
        <v>12.5</v>
      </c>
      <c r="BA71">
        <f>SYSCLK!BZ70/$B$2</f>
        <v>9.375</v>
      </c>
      <c r="BB71">
        <f>SYSCLK!CA70/$B$2</f>
        <v>7.5</v>
      </c>
      <c r="BC71">
        <f>SYSCLK!CB70/$B$2</f>
        <v>6.25</v>
      </c>
      <c r="BD71">
        <f>SYSCLK!CC70/$B$2</f>
        <v>5.3571428571428568</v>
      </c>
      <c r="BE71">
        <f>SYSCLK!CD70/$B$2</f>
        <v>4.6875</v>
      </c>
      <c r="BF71">
        <f>SYSCLK!CE70/$B$2</f>
        <v>4.1666666666666661</v>
      </c>
      <c r="BG71">
        <f>SYSCLK!CF70/$B$2</f>
        <v>3.75</v>
      </c>
      <c r="BH71">
        <f>SYSCLK!CG70/$B$2</f>
        <v>3.4090909090909092</v>
      </c>
      <c r="BI71">
        <f>SYSCLK!CH70/$B$2</f>
        <v>3.125</v>
      </c>
      <c r="BJ71">
        <f>SYSCLK!CI70/$B$2</f>
        <v>2.8846153846153846</v>
      </c>
      <c r="BK71">
        <f>SYSCLK!CJ70/$B$2</f>
        <v>2.6785714285714284</v>
      </c>
      <c r="BL71">
        <f>SYSCLK!CK70/$B$2</f>
        <v>2.5</v>
      </c>
      <c r="BM71">
        <f>SYSCLK!CL70/$B$2</f>
        <v>2.34375</v>
      </c>
    </row>
    <row r="72" spans="2:65">
      <c r="B72">
        <f>SYSCLK!AA71/$B$2</f>
        <v>0</v>
      </c>
      <c r="C72">
        <f>SYSCLK!AB71/$B$2</f>
        <v>0</v>
      </c>
      <c r="D72">
        <f>SYSCLK!AC71/$B$2</f>
        <v>0</v>
      </c>
      <c r="E72">
        <f>SYSCLK!AD71/$B$2</f>
        <v>38</v>
      </c>
      <c r="F72">
        <f>SYSCLK!AE71/$B$2</f>
        <v>30.400000000000002</v>
      </c>
      <c r="G72">
        <f>SYSCLK!AF71/$B$2</f>
        <v>25.333333333333332</v>
      </c>
      <c r="H72">
        <f>SYSCLK!AG71/$B$2</f>
        <v>21.714285714285712</v>
      </c>
      <c r="I72">
        <f>SYSCLK!AH71/$B$2</f>
        <v>19</v>
      </c>
      <c r="J72">
        <f>SYSCLK!AI71/$B$2</f>
        <v>16.888888888888889</v>
      </c>
      <c r="K72">
        <f>SYSCLK!AJ71/$B$2</f>
        <v>15.200000000000001</v>
      </c>
      <c r="L72">
        <f>SYSCLK!AK71/$B$2</f>
        <v>13.818181818181818</v>
      </c>
      <c r="M72">
        <f>SYSCLK!AL71/$B$2</f>
        <v>12.666666666666666</v>
      </c>
      <c r="N72">
        <f>SYSCLK!AM71/$B$2</f>
        <v>11.692307692307693</v>
      </c>
      <c r="O72">
        <f>SYSCLK!AN71/$B$2</f>
        <v>10.857142857142856</v>
      </c>
      <c r="P72">
        <f>SYSCLK!AO71/$B$2</f>
        <v>10.133333333333333</v>
      </c>
      <c r="Q72">
        <f>SYSCLK!AP71/$B$2</f>
        <v>9.5</v>
      </c>
      <c r="R72" s="117">
        <f>SYSCLK!AQ71/$B$2</f>
        <v>0</v>
      </c>
      <c r="S72">
        <f>SYSCLK!AR71/$B$2</f>
        <v>38</v>
      </c>
      <c r="T72">
        <f>SYSCLK!AS71/$B$2</f>
        <v>25.333333333333332</v>
      </c>
      <c r="U72">
        <f>SYSCLK!AT71/$B$2</f>
        <v>19</v>
      </c>
      <c r="V72">
        <f>SYSCLK!AU71/$B$2</f>
        <v>15.200000000000001</v>
      </c>
      <c r="W72">
        <f>SYSCLK!AV71/$B$2</f>
        <v>12.666666666666666</v>
      </c>
      <c r="X72">
        <f>SYSCLK!AW71/$B$2</f>
        <v>10.857142857142856</v>
      </c>
      <c r="Y72">
        <f>SYSCLK!AX71/$B$2</f>
        <v>9.5</v>
      </c>
      <c r="Z72">
        <f>SYSCLK!AY71/$B$2</f>
        <v>8.4444444444444446</v>
      </c>
      <c r="AA72">
        <f>SYSCLK!AZ71/$B$2</f>
        <v>7.6000000000000005</v>
      </c>
      <c r="AB72">
        <f>SYSCLK!BA71/$B$2</f>
        <v>6.9090909090909092</v>
      </c>
      <c r="AC72">
        <f>SYSCLK!BB71/$B$2</f>
        <v>6.333333333333333</v>
      </c>
      <c r="AD72">
        <f>SYSCLK!BC71/$B$2</f>
        <v>5.8461538461538467</v>
      </c>
      <c r="AE72">
        <f>SYSCLK!BD71/$B$2</f>
        <v>5.4285714285714279</v>
      </c>
      <c r="AF72">
        <f>SYSCLK!BE71/$B$2</f>
        <v>5.0666666666666664</v>
      </c>
      <c r="AG72" s="118">
        <f>SYSCLK!BF71/$B$2</f>
        <v>4.75</v>
      </c>
      <c r="AH72">
        <f>SYSCLK!BG71/$B$2</f>
        <v>0</v>
      </c>
      <c r="AI72">
        <f>SYSCLK!BH71/$B$2</f>
        <v>25.333333333333332</v>
      </c>
      <c r="AJ72">
        <f>SYSCLK!BI71/$B$2</f>
        <v>16.888888888888889</v>
      </c>
      <c r="AK72">
        <f>SYSCLK!BJ71/$B$2</f>
        <v>12.666666666666666</v>
      </c>
      <c r="AL72">
        <f>SYSCLK!BK71/$B$2</f>
        <v>10.133333333333335</v>
      </c>
      <c r="AM72">
        <f>SYSCLK!BL71/$B$2</f>
        <v>8.4444444444444446</v>
      </c>
      <c r="AN72">
        <f>SYSCLK!BM71/$B$2</f>
        <v>7.2380952380952372</v>
      </c>
      <c r="AO72">
        <f>SYSCLK!BN71/$B$2</f>
        <v>6.333333333333333</v>
      </c>
      <c r="AP72">
        <f>SYSCLK!BO71/$B$2</f>
        <v>5.6296296296296298</v>
      </c>
      <c r="AQ72">
        <f>SYSCLK!BP71/$B$2</f>
        <v>5.0666666666666673</v>
      </c>
      <c r="AR72">
        <f>SYSCLK!BQ71/$B$2</f>
        <v>4.6060606060606064</v>
      </c>
      <c r="AS72">
        <f>SYSCLK!BR71/$B$2</f>
        <v>4.2222222222222223</v>
      </c>
      <c r="AT72">
        <f>SYSCLK!BS71/$B$2</f>
        <v>3.8974358974358978</v>
      </c>
      <c r="AU72">
        <f>SYSCLK!BT71/$B$2</f>
        <v>3.6190476190476186</v>
      </c>
      <c r="AV72">
        <f>SYSCLK!BU71/$B$2</f>
        <v>3.3777777777777778</v>
      </c>
      <c r="AW72">
        <f>SYSCLK!BV71/$B$2</f>
        <v>3.1666666666666665</v>
      </c>
      <c r="AX72" s="117">
        <f>SYSCLK!BW71/$B$2</f>
        <v>38</v>
      </c>
      <c r="AY72">
        <f>SYSCLK!BX71/$B$2</f>
        <v>19</v>
      </c>
      <c r="AZ72">
        <f>SYSCLK!BY71/$B$2</f>
        <v>12.666666666666666</v>
      </c>
      <c r="BA72">
        <f>SYSCLK!BZ71/$B$2</f>
        <v>9.5</v>
      </c>
      <c r="BB72">
        <f>SYSCLK!CA71/$B$2</f>
        <v>7.6000000000000005</v>
      </c>
      <c r="BC72">
        <f>SYSCLK!CB71/$B$2</f>
        <v>6.333333333333333</v>
      </c>
      <c r="BD72">
        <f>SYSCLK!CC71/$B$2</f>
        <v>5.4285714285714279</v>
      </c>
      <c r="BE72">
        <f>SYSCLK!CD71/$B$2</f>
        <v>4.75</v>
      </c>
      <c r="BF72">
        <f>SYSCLK!CE71/$B$2</f>
        <v>4.2222222222222223</v>
      </c>
      <c r="BG72">
        <f>SYSCLK!CF71/$B$2</f>
        <v>3.8000000000000003</v>
      </c>
      <c r="BH72">
        <f>SYSCLK!CG71/$B$2</f>
        <v>3.4545454545454546</v>
      </c>
      <c r="BI72">
        <f>SYSCLK!CH71/$B$2</f>
        <v>3.1666666666666665</v>
      </c>
      <c r="BJ72">
        <f>SYSCLK!CI71/$B$2</f>
        <v>2.9230769230769234</v>
      </c>
      <c r="BK72">
        <f>SYSCLK!CJ71/$B$2</f>
        <v>2.714285714285714</v>
      </c>
      <c r="BL72">
        <f>SYSCLK!CK71/$B$2</f>
        <v>2.5333333333333332</v>
      </c>
      <c r="BM72">
        <f>SYSCLK!CL71/$B$2</f>
        <v>2.375</v>
      </c>
    </row>
    <row r="73" spans="2:65">
      <c r="B73">
        <f>SYSCLK!AA72/$B$2</f>
        <v>0</v>
      </c>
      <c r="C73">
        <f>SYSCLK!AB72/$B$2</f>
        <v>0</v>
      </c>
      <c r="D73">
        <f>SYSCLK!AC72/$B$2</f>
        <v>0</v>
      </c>
      <c r="E73">
        <f>SYSCLK!AD72/$B$2</f>
        <v>38.5</v>
      </c>
      <c r="F73">
        <f>SYSCLK!AE72/$B$2</f>
        <v>30.8</v>
      </c>
      <c r="G73">
        <f>SYSCLK!AF72/$B$2</f>
        <v>25.666666666666664</v>
      </c>
      <c r="H73">
        <f>SYSCLK!AG72/$B$2</f>
        <v>22</v>
      </c>
      <c r="I73">
        <f>SYSCLK!AH72/$B$2</f>
        <v>19.25</v>
      </c>
      <c r="J73">
        <f>SYSCLK!AI72/$B$2</f>
        <v>17.111111111111111</v>
      </c>
      <c r="K73">
        <f>SYSCLK!AJ72/$B$2</f>
        <v>15.4</v>
      </c>
      <c r="L73">
        <f>SYSCLK!AK72/$B$2</f>
        <v>14</v>
      </c>
      <c r="M73">
        <f>SYSCLK!AL72/$B$2</f>
        <v>12.833333333333332</v>
      </c>
      <c r="N73">
        <f>SYSCLK!AM72/$B$2</f>
        <v>11.846153846153847</v>
      </c>
      <c r="O73">
        <f>SYSCLK!AN72/$B$2</f>
        <v>11</v>
      </c>
      <c r="P73">
        <f>SYSCLK!AO72/$B$2</f>
        <v>10.266666666666666</v>
      </c>
      <c r="Q73">
        <f>SYSCLK!AP72/$B$2</f>
        <v>9.625</v>
      </c>
      <c r="R73" s="117">
        <f>SYSCLK!AQ72/$B$2</f>
        <v>0</v>
      </c>
      <c r="S73">
        <f>SYSCLK!AR72/$B$2</f>
        <v>38.5</v>
      </c>
      <c r="T73">
        <f>SYSCLK!AS72/$B$2</f>
        <v>25.666666666666664</v>
      </c>
      <c r="U73">
        <f>SYSCLK!AT72/$B$2</f>
        <v>19.25</v>
      </c>
      <c r="V73">
        <f>SYSCLK!AU72/$B$2</f>
        <v>15.4</v>
      </c>
      <c r="W73">
        <f>SYSCLK!AV72/$B$2</f>
        <v>12.833333333333332</v>
      </c>
      <c r="X73">
        <f>SYSCLK!AW72/$B$2</f>
        <v>11</v>
      </c>
      <c r="Y73">
        <f>SYSCLK!AX72/$B$2</f>
        <v>9.625</v>
      </c>
      <c r="Z73">
        <f>SYSCLK!AY72/$B$2</f>
        <v>8.5555555555555554</v>
      </c>
      <c r="AA73">
        <f>SYSCLK!AZ72/$B$2</f>
        <v>7.7</v>
      </c>
      <c r="AB73">
        <f>SYSCLK!BA72/$B$2</f>
        <v>7</v>
      </c>
      <c r="AC73">
        <f>SYSCLK!BB72/$B$2</f>
        <v>6.4166666666666661</v>
      </c>
      <c r="AD73">
        <f>SYSCLK!BC72/$B$2</f>
        <v>5.9230769230769234</v>
      </c>
      <c r="AE73">
        <f>SYSCLK!BD72/$B$2</f>
        <v>5.5</v>
      </c>
      <c r="AF73">
        <f>SYSCLK!BE72/$B$2</f>
        <v>5.1333333333333329</v>
      </c>
      <c r="AG73" s="118">
        <f>SYSCLK!BF72/$B$2</f>
        <v>4.8125</v>
      </c>
      <c r="AH73">
        <f>SYSCLK!BG72/$B$2</f>
        <v>0</v>
      </c>
      <c r="AI73">
        <f>SYSCLK!BH72/$B$2</f>
        <v>25.666666666666668</v>
      </c>
      <c r="AJ73">
        <f>SYSCLK!BI72/$B$2</f>
        <v>17.111111111111111</v>
      </c>
      <c r="AK73">
        <f>SYSCLK!BJ72/$B$2</f>
        <v>12.833333333333334</v>
      </c>
      <c r="AL73">
        <f>SYSCLK!BK72/$B$2</f>
        <v>10.266666666666667</v>
      </c>
      <c r="AM73">
        <f>SYSCLK!BL72/$B$2</f>
        <v>8.5555555555555554</v>
      </c>
      <c r="AN73">
        <f>SYSCLK!BM72/$B$2</f>
        <v>7.333333333333333</v>
      </c>
      <c r="AO73">
        <f>SYSCLK!BN72/$B$2</f>
        <v>6.416666666666667</v>
      </c>
      <c r="AP73">
        <f>SYSCLK!BO72/$B$2</f>
        <v>5.7037037037037033</v>
      </c>
      <c r="AQ73">
        <f>SYSCLK!BP72/$B$2</f>
        <v>5.1333333333333337</v>
      </c>
      <c r="AR73">
        <f>SYSCLK!BQ72/$B$2</f>
        <v>4.666666666666667</v>
      </c>
      <c r="AS73">
        <f>SYSCLK!BR72/$B$2</f>
        <v>4.2777777777777777</v>
      </c>
      <c r="AT73">
        <f>SYSCLK!BS72/$B$2</f>
        <v>3.9487179487179489</v>
      </c>
      <c r="AU73">
        <f>SYSCLK!BT72/$B$2</f>
        <v>3.6666666666666665</v>
      </c>
      <c r="AV73">
        <f>SYSCLK!BU72/$B$2</f>
        <v>3.4222222222222221</v>
      </c>
      <c r="AW73">
        <f>SYSCLK!BV72/$B$2</f>
        <v>3.2083333333333335</v>
      </c>
      <c r="AX73" s="117">
        <f>SYSCLK!BW72/$B$2</f>
        <v>38.5</v>
      </c>
      <c r="AY73">
        <f>SYSCLK!BX72/$B$2</f>
        <v>19.25</v>
      </c>
      <c r="AZ73">
        <f>SYSCLK!BY72/$B$2</f>
        <v>12.833333333333332</v>
      </c>
      <c r="BA73">
        <f>SYSCLK!BZ72/$B$2</f>
        <v>9.625</v>
      </c>
      <c r="BB73">
        <f>SYSCLK!CA72/$B$2</f>
        <v>7.7</v>
      </c>
      <c r="BC73">
        <f>SYSCLK!CB72/$B$2</f>
        <v>6.4166666666666661</v>
      </c>
      <c r="BD73">
        <f>SYSCLK!CC72/$B$2</f>
        <v>5.5</v>
      </c>
      <c r="BE73">
        <f>SYSCLK!CD72/$B$2</f>
        <v>4.8125</v>
      </c>
      <c r="BF73">
        <f>SYSCLK!CE72/$B$2</f>
        <v>4.2777777777777777</v>
      </c>
      <c r="BG73">
        <f>SYSCLK!CF72/$B$2</f>
        <v>3.85</v>
      </c>
      <c r="BH73">
        <f>SYSCLK!CG72/$B$2</f>
        <v>3.5</v>
      </c>
      <c r="BI73">
        <f>SYSCLK!CH72/$B$2</f>
        <v>3.208333333333333</v>
      </c>
      <c r="BJ73">
        <f>SYSCLK!CI72/$B$2</f>
        <v>2.9615384615384617</v>
      </c>
      <c r="BK73">
        <f>SYSCLK!CJ72/$B$2</f>
        <v>2.75</v>
      </c>
      <c r="BL73">
        <f>SYSCLK!CK72/$B$2</f>
        <v>2.5666666666666664</v>
      </c>
      <c r="BM73">
        <f>SYSCLK!CL72/$B$2</f>
        <v>2.40625</v>
      </c>
    </row>
    <row r="74" spans="2:65">
      <c r="B74">
        <f>SYSCLK!AA73/$B$2</f>
        <v>0</v>
      </c>
      <c r="C74">
        <f>SYSCLK!AB73/$B$2</f>
        <v>0</v>
      </c>
      <c r="D74">
        <f>SYSCLK!AC73/$B$2</f>
        <v>0</v>
      </c>
      <c r="E74">
        <f>SYSCLK!AD73/$B$2</f>
        <v>39</v>
      </c>
      <c r="F74">
        <f>SYSCLK!AE73/$B$2</f>
        <v>31.200000000000003</v>
      </c>
      <c r="G74">
        <f>SYSCLK!AF73/$B$2</f>
        <v>26</v>
      </c>
      <c r="H74">
        <f>SYSCLK!AG73/$B$2</f>
        <v>22.285714285714285</v>
      </c>
      <c r="I74">
        <f>SYSCLK!AH73/$B$2</f>
        <v>19.5</v>
      </c>
      <c r="J74">
        <f>SYSCLK!AI73/$B$2</f>
        <v>17.333333333333332</v>
      </c>
      <c r="K74">
        <f>SYSCLK!AJ73/$B$2</f>
        <v>15.600000000000001</v>
      </c>
      <c r="L74">
        <f>SYSCLK!AK73/$B$2</f>
        <v>14.181818181818182</v>
      </c>
      <c r="M74">
        <f>SYSCLK!AL73/$B$2</f>
        <v>13</v>
      </c>
      <c r="N74">
        <f>SYSCLK!AM73/$B$2</f>
        <v>12</v>
      </c>
      <c r="O74">
        <f>SYSCLK!AN73/$B$2</f>
        <v>11.142857142857142</v>
      </c>
      <c r="P74">
        <f>SYSCLK!AO73/$B$2</f>
        <v>10.4</v>
      </c>
      <c r="Q74">
        <f>SYSCLK!AP73/$B$2</f>
        <v>9.75</v>
      </c>
      <c r="R74" s="117">
        <f>SYSCLK!AQ73/$B$2</f>
        <v>0</v>
      </c>
      <c r="S74">
        <f>SYSCLK!AR73/$B$2</f>
        <v>39</v>
      </c>
      <c r="T74">
        <f>SYSCLK!AS73/$B$2</f>
        <v>26</v>
      </c>
      <c r="U74">
        <f>SYSCLK!AT73/$B$2</f>
        <v>19.5</v>
      </c>
      <c r="V74">
        <f>SYSCLK!AU73/$B$2</f>
        <v>15.600000000000001</v>
      </c>
      <c r="W74">
        <f>SYSCLK!AV73/$B$2</f>
        <v>13</v>
      </c>
      <c r="X74">
        <f>SYSCLK!AW73/$B$2</f>
        <v>11.142857142857142</v>
      </c>
      <c r="Y74">
        <f>SYSCLK!AX73/$B$2</f>
        <v>9.75</v>
      </c>
      <c r="Z74">
        <f>SYSCLK!AY73/$B$2</f>
        <v>8.6666666666666661</v>
      </c>
      <c r="AA74">
        <f>SYSCLK!AZ73/$B$2</f>
        <v>7.8000000000000007</v>
      </c>
      <c r="AB74">
        <f>SYSCLK!BA73/$B$2</f>
        <v>7.0909090909090908</v>
      </c>
      <c r="AC74">
        <f>SYSCLK!BB73/$B$2</f>
        <v>6.5</v>
      </c>
      <c r="AD74">
        <f>SYSCLK!BC73/$B$2</f>
        <v>6</v>
      </c>
      <c r="AE74">
        <f>SYSCLK!BD73/$B$2</f>
        <v>5.5714285714285712</v>
      </c>
      <c r="AF74">
        <f>SYSCLK!BE73/$B$2</f>
        <v>5.2</v>
      </c>
      <c r="AG74" s="118">
        <f>SYSCLK!BF73/$B$2</f>
        <v>4.875</v>
      </c>
      <c r="AH74">
        <f>SYSCLK!BG73/$B$2</f>
        <v>0</v>
      </c>
      <c r="AI74">
        <f>SYSCLK!BH73/$B$2</f>
        <v>26</v>
      </c>
      <c r="AJ74">
        <f>SYSCLK!BI73/$B$2</f>
        <v>17.333333333333332</v>
      </c>
      <c r="AK74">
        <f>SYSCLK!BJ73/$B$2</f>
        <v>13</v>
      </c>
      <c r="AL74">
        <f>SYSCLK!BK73/$B$2</f>
        <v>10.4</v>
      </c>
      <c r="AM74">
        <f>SYSCLK!BL73/$B$2</f>
        <v>8.6666666666666661</v>
      </c>
      <c r="AN74">
        <f>SYSCLK!BM73/$B$2</f>
        <v>7.4285714285714279</v>
      </c>
      <c r="AO74">
        <f>SYSCLK!BN73/$B$2</f>
        <v>6.5</v>
      </c>
      <c r="AP74">
        <f>SYSCLK!BO73/$B$2</f>
        <v>5.7777777777777777</v>
      </c>
      <c r="AQ74">
        <f>SYSCLK!BP73/$B$2</f>
        <v>5.2</v>
      </c>
      <c r="AR74">
        <f>SYSCLK!BQ73/$B$2</f>
        <v>4.7272727272727275</v>
      </c>
      <c r="AS74">
        <f>SYSCLK!BR73/$B$2</f>
        <v>4.333333333333333</v>
      </c>
      <c r="AT74">
        <f>SYSCLK!BS73/$B$2</f>
        <v>4</v>
      </c>
      <c r="AU74">
        <f>SYSCLK!BT73/$B$2</f>
        <v>3.714285714285714</v>
      </c>
      <c r="AV74">
        <f>SYSCLK!BU73/$B$2</f>
        <v>3.4666666666666668</v>
      </c>
      <c r="AW74">
        <f>SYSCLK!BV73/$B$2</f>
        <v>3.25</v>
      </c>
      <c r="AX74" s="117">
        <f>SYSCLK!BW73/$B$2</f>
        <v>39</v>
      </c>
      <c r="AY74">
        <f>SYSCLK!BX73/$B$2</f>
        <v>19.5</v>
      </c>
      <c r="AZ74">
        <f>SYSCLK!BY73/$B$2</f>
        <v>13</v>
      </c>
      <c r="BA74">
        <f>SYSCLK!BZ73/$B$2</f>
        <v>9.75</v>
      </c>
      <c r="BB74">
        <f>SYSCLK!CA73/$B$2</f>
        <v>7.8000000000000007</v>
      </c>
      <c r="BC74">
        <f>SYSCLK!CB73/$B$2</f>
        <v>6.5</v>
      </c>
      <c r="BD74">
        <f>SYSCLK!CC73/$B$2</f>
        <v>5.5714285714285712</v>
      </c>
      <c r="BE74">
        <f>SYSCLK!CD73/$B$2</f>
        <v>4.875</v>
      </c>
      <c r="BF74">
        <f>SYSCLK!CE73/$B$2</f>
        <v>4.333333333333333</v>
      </c>
      <c r="BG74">
        <f>SYSCLK!CF73/$B$2</f>
        <v>3.9000000000000004</v>
      </c>
      <c r="BH74">
        <f>SYSCLK!CG73/$B$2</f>
        <v>3.5454545454545454</v>
      </c>
      <c r="BI74">
        <f>SYSCLK!CH73/$B$2</f>
        <v>3.25</v>
      </c>
      <c r="BJ74">
        <f>SYSCLK!CI73/$B$2</f>
        <v>3</v>
      </c>
      <c r="BK74">
        <f>SYSCLK!CJ73/$B$2</f>
        <v>2.7857142857142856</v>
      </c>
      <c r="BL74">
        <f>SYSCLK!CK73/$B$2</f>
        <v>2.6</v>
      </c>
      <c r="BM74">
        <f>SYSCLK!CL73/$B$2</f>
        <v>2.4375</v>
      </c>
    </row>
    <row r="75" spans="2:65">
      <c r="B75">
        <f>SYSCLK!AA74/$B$2</f>
        <v>0</v>
      </c>
      <c r="C75">
        <f>SYSCLK!AB74/$B$2</f>
        <v>0</v>
      </c>
      <c r="D75">
        <f>SYSCLK!AC74/$B$2</f>
        <v>0</v>
      </c>
      <c r="E75">
        <f>SYSCLK!AD74/$B$2</f>
        <v>39.5</v>
      </c>
      <c r="F75">
        <f>SYSCLK!AE74/$B$2</f>
        <v>31.6</v>
      </c>
      <c r="G75">
        <f>SYSCLK!AF74/$B$2</f>
        <v>26.333333333333332</v>
      </c>
      <c r="H75">
        <f>SYSCLK!AG74/$B$2</f>
        <v>22.571428571428569</v>
      </c>
      <c r="I75">
        <f>SYSCLK!AH74/$B$2</f>
        <v>19.75</v>
      </c>
      <c r="J75">
        <f>SYSCLK!AI74/$B$2</f>
        <v>17.555555555555554</v>
      </c>
      <c r="K75">
        <f>SYSCLK!AJ74/$B$2</f>
        <v>15.8</v>
      </c>
      <c r="L75">
        <f>SYSCLK!AK74/$B$2</f>
        <v>14.363636363636363</v>
      </c>
      <c r="M75">
        <f>SYSCLK!AL74/$B$2</f>
        <v>13.166666666666666</v>
      </c>
      <c r="N75">
        <f>SYSCLK!AM74/$B$2</f>
        <v>12.153846153846155</v>
      </c>
      <c r="O75">
        <f>SYSCLK!AN74/$B$2</f>
        <v>11.285714285714285</v>
      </c>
      <c r="P75">
        <f>SYSCLK!AO74/$B$2</f>
        <v>10.533333333333333</v>
      </c>
      <c r="Q75">
        <f>SYSCLK!AP74/$B$2</f>
        <v>9.875</v>
      </c>
      <c r="R75" s="117">
        <f>SYSCLK!AQ74/$B$2</f>
        <v>0</v>
      </c>
      <c r="S75">
        <f>SYSCLK!AR74/$B$2</f>
        <v>39.5</v>
      </c>
      <c r="T75">
        <f>SYSCLK!AS74/$B$2</f>
        <v>26.333333333333332</v>
      </c>
      <c r="U75">
        <f>SYSCLK!AT74/$B$2</f>
        <v>19.75</v>
      </c>
      <c r="V75">
        <f>SYSCLK!AU74/$B$2</f>
        <v>15.8</v>
      </c>
      <c r="W75">
        <f>SYSCLK!AV74/$B$2</f>
        <v>13.166666666666666</v>
      </c>
      <c r="X75">
        <f>SYSCLK!AW74/$B$2</f>
        <v>11.285714285714285</v>
      </c>
      <c r="Y75">
        <f>SYSCLK!AX74/$B$2</f>
        <v>9.875</v>
      </c>
      <c r="Z75">
        <f>SYSCLK!AY74/$B$2</f>
        <v>8.7777777777777768</v>
      </c>
      <c r="AA75">
        <f>SYSCLK!AZ74/$B$2</f>
        <v>7.9</v>
      </c>
      <c r="AB75">
        <f>SYSCLK!BA74/$B$2</f>
        <v>7.1818181818181817</v>
      </c>
      <c r="AC75">
        <f>SYSCLK!BB74/$B$2</f>
        <v>6.583333333333333</v>
      </c>
      <c r="AD75">
        <f>SYSCLK!BC74/$B$2</f>
        <v>6.0769230769230775</v>
      </c>
      <c r="AE75">
        <f>SYSCLK!BD74/$B$2</f>
        <v>5.6428571428571423</v>
      </c>
      <c r="AF75">
        <f>SYSCLK!BE74/$B$2</f>
        <v>5.2666666666666666</v>
      </c>
      <c r="AG75" s="118">
        <f>SYSCLK!BF74/$B$2</f>
        <v>4.9375</v>
      </c>
      <c r="AH75">
        <f>SYSCLK!BG74/$B$2</f>
        <v>0</v>
      </c>
      <c r="AI75">
        <f>SYSCLK!BH74/$B$2</f>
        <v>26.333333333333332</v>
      </c>
      <c r="AJ75">
        <f>SYSCLK!BI74/$B$2</f>
        <v>17.555555555555554</v>
      </c>
      <c r="AK75">
        <f>SYSCLK!BJ74/$B$2</f>
        <v>13.166666666666666</v>
      </c>
      <c r="AL75">
        <f>SYSCLK!BK74/$B$2</f>
        <v>10.533333333333333</v>
      </c>
      <c r="AM75">
        <f>SYSCLK!BL74/$B$2</f>
        <v>8.7777777777777768</v>
      </c>
      <c r="AN75">
        <f>SYSCLK!BM74/$B$2</f>
        <v>7.5238095238095228</v>
      </c>
      <c r="AO75">
        <f>SYSCLK!BN74/$B$2</f>
        <v>6.583333333333333</v>
      </c>
      <c r="AP75">
        <f>SYSCLK!BO74/$B$2</f>
        <v>5.8518518518518512</v>
      </c>
      <c r="AQ75">
        <f>SYSCLK!BP74/$B$2</f>
        <v>5.2666666666666666</v>
      </c>
      <c r="AR75">
        <f>SYSCLK!BQ74/$B$2</f>
        <v>4.7878787878787881</v>
      </c>
      <c r="AS75">
        <f>SYSCLK!BR74/$B$2</f>
        <v>4.3888888888888884</v>
      </c>
      <c r="AT75">
        <f>SYSCLK!BS74/$B$2</f>
        <v>4.051282051282052</v>
      </c>
      <c r="AU75">
        <f>SYSCLK!BT74/$B$2</f>
        <v>3.7619047619047614</v>
      </c>
      <c r="AV75">
        <f>SYSCLK!BU74/$B$2</f>
        <v>3.5111111111111111</v>
      </c>
      <c r="AW75">
        <f>SYSCLK!BV74/$B$2</f>
        <v>3.2916666666666665</v>
      </c>
      <c r="AX75" s="117">
        <f>SYSCLK!BW74/$B$2</f>
        <v>39.5</v>
      </c>
      <c r="AY75">
        <f>SYSCLK!BX74/$B$2</f>
        <v>19.75</v>
      </c>
      <c r="AZ75">
        <f>SYSCLK!BY74/$B$2</f>
        <v>13.166666666666666</v>
      </c>
      <c r="BA75">
        <f>SYSCLK!BZ74/$B$2</f>
        <v>9.875</v>
      </c>
      <c r="BB75">
        <f>SYSCLK!CA74/$B$2</f>
        <v>7.9</v>
      </c>
      <c r="BC75">
        <f>SYSCLK!CB74/$B$2</f>
        <v>6.583333333333333</v>
      </c>
      <c r="BD75">
        <f>SYSCLK!CC74/$B$2</f>
        <v>5.6428571428571423</v>
      </c>
      <c r="BE75">
        <f>SYSCLK!CD74/$B$2</f>
        <v>4.9375</v>
      </c>
      <c r="BF75">
        <f>SYSCLK!CE74/$B$2</f>
        <v>4.3888888888888884</v>
      </c>
      <c r="BG75">
        <f>SYSCLK!CF74/$B$2</f>
        <v>3.95</v>
      </c>
      <c r="BH75">
        <f>SYSCLK!CG74/$B$2</f>
        <v>3.5909090909090908</v>
      </c>
      <c r="BI75">
        <f>SYSCLK!CH74/$B$2</f>
        <v>3.2916666666666665</v>
      </c>
      <c r="BJ75">
        <f>SYSCLK!CI74/$B$2</f>
        <v>3.0384615384615388</v>
      </c>
      <c r="BK75">
        <f>SYSCLK!CJ74/$B$2</f>
        <v>2.8214285714285712</v>
      </c>
      <c r="BL75">
        <f>SYSCLK!CK74/$B$2</f>
        <v>2.6333333333333333</v>
      </c>
      <c r="BM75">
        <f>SYSCLK!CL74/$B$2</f>
        <v>2.46875</v>
      </c>
    </row>
    <row r="76" spans="2:65">
      <c r="B76">
        <f>SYSCLK!AA75/$B$2</f>
        <v>0</v>
      </c>
      <c r="C76">
        <f>SYSCLK!AB75/$B$2</f>
        <v>0</v>
      </c>
      <c r="D76">
        <f>SYSCLK!AC75/$B$2</f>
        <v>0</v>
      </c>
      <c r="E76">
        <f>SYSCLK!AD75/$B$2</f>
        <v>40</v>
      </c>
      <c r="F76">
        <f>SYSCLK!AE75/$B$2</f>
        <v>32</v>
      </c>
      <c r="G76">
        <f>SYSCLK!AF75/$B$2</f>
        <v>26.666666666666664</v>
      </c>
      <c r="H76">
        <f>SYSCLK!AG75/$B$2</f>
        <v>22.857142857142854</v>
      </c>
      <c r="I76">
        <f>SYSCLK!AH75/$B$2</f>
        <v>20</v>
      </c>
      <c r="J76">
        <f>SYSCLK!AI75/$B$2</f>
        <v>17.777777777777779</v>
      </c>
      <c r="K76">
        <f>SYSCLK!AJ75/$B$2</f>
        <v>16</v>
      </c>
      <c r="L76">
        <f>SYSCLK!AK75/$B$2</f>
        <v>14.545454545454547</v>
      </c>
      <c r="M76">
        <f>SYSCLK!AL75/$B$2</f>
        <v>13.333333333333332</v>
      </c>
      <c r="N76">
        <f>SYSCLK!AM75/$B$2</f>
        <v>12.307692307692308</v>
      </c>
      <c r="O76">
        <f>SYSCLK!AN75/$B$2</f>
        <v>11.428571428571427</v>
      </c>
      <c r="P76">
        <f>SYSCLK!AO75/$B$2</f>
        <v>10.666666666666666</v>
      </c>
      <c r="Q76">
        <f>SYSCLK!AP75/$B$2</f>
        <v>10</v>
      </c>
      <c r="R76" s="117">
        <f>SYSCLK!AQ75/$B$2</f>
        <v>0</v>
      </c>
      <c r="S76">
        <f>SYSCLK!AR75/$B$2</f>
        <v>40</v>
      </c>
      <c r="T76">
        <f>SYSCLK!AS75/$B$2</f>
        <v>26.666666666666664</v>
      </c>
      <c r="U76">
        <f>SYSCLK!AT75/$B$2</f>
        <v>20</v>
      </c>
      <c r="V76">
        <f>SYSCLK!AU75/$B$2</f>
        <v>16</v>
      </c>
      <c r="W76">
        <f>SYSCLK!AV75/$B$2</f>
        <v>13.333333333333332</v>
      </c>
      <c r="X76">
        <f>SYSCLK!AW75/$B$2</f>
        <v>11.428571428571427</v>
      </c>
      <c r="Y76">
        <f>SYSCLK!AX75/$B$2</f>
        <v>10</v>
      </c>
      <c r="Z76">
        <f>SYSCLK!AY75/$B$2</f>
        <v>8.8888888888888893</v>
      </c>
      <c r="AA76">
        <f>SYSCLK!AZ75/$B$2</f>
        <v>8</v>
      </c>
      <c r="AB76">
        <f>SYSCLK!BA75/$B$2</f>
        <v>7.2727272727272734</v>
      </c>
      <c r="AC76">
        <f>SYSCLK!BB75/$B$2</f>
        <v>6.6666666666666661</v>
      </c>
      <c r="AD76">
        <f>SYSCLK!BC75/$B$2</f>
        <v>6.1538461538461542</v>
      </c>
      <c r="AE76">
        <f>SYSCLK!BD75/$B$2</f>
        <v>5.7142857142857135</v>
      </c>
      <c r="AF76">
        <f>SYSCLK!BE75/$B$2</f>
        <v>5.333333333333333</v>
      </c>
      <c r="AG76" s="118">
        <f>SYSCLK!BF75/$B$2</f>
        <v>5</v>
      </c>
      <c r="AH76">
        <f>SYSCLK!BG75/$B$2</f>
        <v>0</v>
      </c>
      <c r="AI76">
        <f>SYSCLK!BH75/$B$2</f>
        <v>26.666666666666668</v>
      </c>
      <c r="AJ76">
        <f>SYSCLK!BI75/$B$2</f>
        <v>17.777777777777775</v>
      </c>
      <c r="AK76">
        <f>SYSCLK!BJ75/$B$2</f>
        <v>13.333333333333334</v>
      </c>
      <c r="AL76">
        <f>SYSCLK!BK75/$B$2</f>
        <v>10.666666666666666</v>
      </c>
      <c r="AM76">
        <f>SYSCLK!BL75/$B$2</f>
        <v>8.8888888888888875</v>
      </c>
      <c r="AN76">
        <f>SYSCLK!BM75/$B$2</f>
        <v>7.6190476190476177</v>
      </c>
      <c r="AO76">
        <f>SYSCLK!BN75/$B$2</f>
        <v>6.666666666666667</v>
      </c>
      <c r="AP76">
        <f>SYSCLK!BO75/$B$2</f>
        <v>5.9259259259259265</v>
      </c>
      <c r="AQ76">
        <f>SYSCLK!BP75/$B$2</f>
        <v>5.333333333333333</v>
      </c>
      <c r="AR76">
        <f>SYSCLK!BQ75/$B$2</f>
        <v>4.8484848484848486</v>
      </c>
      <c r="AS76">
        <f>SYSCLK!BR75/$B$2</f>
        <v>4.4444444444444438</v>
      </c>
      <c r="AT76">
        <f>SYSCLK!BS75/$B$2</f>
        <v>4.1025641025641031</v>
      </c>
      <c r="AU76">
        <f>SYSCLK!BT75/$B$2</f>
        <v>3.8095238095238089</v>
      </c>
      <c r="AV76">
        <f>SYSCLK!BU75/$B$2</f>
        <v>3.5555555555555554</v>
      </c>
      <c r="AW76">
        <f>SYSCLK!BV75/$B$2</f>
        <v>3.3333333333333335</v>
      </c>
      <c r="AX76" s="117">
        <f>SYSCLK!BW75/$B$2</f>
        <v>40</v>
      </c>
      <c r="AY76">
        <f>SYSCLK!BX75/$B$2</f>
        <v>20</v>
      </c>
      <c r="AZ76">
        <f>SYSCLK!BY75/$B$2</f>
        <v>13.333333333333332</v>
      </c>
      <c r="BA76">
        <f>SYSCLK!BZ75/$B$2</f>
        <v>10</v>
      </c>
      <c r="BB76">
        <f>SYSCLK!CA75/$B$2</f>
        <v>8</v>
      </c>
      <c r="BC76">
        <f>SYSCLK!CB75/$B$2</f>
        <v>6.6666666666666661</v>
      </c>
      <c r="BD76">
        <f>SYSCLK!CC75/$B$2</f>
        <v>5.7142857142857135</v>
      </c>
      <c r="BE76">
        <f>SYSCLK!CD75/$B$2</f>
        <v>5</v>
      </c>
      <c r="BF76">
        <f>SYSCLK!CE75/$B$2</f>
        <v>4.4444444444444446</v>
      </c>
      <c r="BG76">
        <f>SYSCLK!CF75/$B$2</f>
        <v>4</v>
      </c>
      <c r="BH76">
        <f>SYSCLK!CG75/$B$2</f>
        <v>3.6363636363636367</v>
      </c>
      <c r="BI76">
        <f>SYSCLK!CH75/$B$2</f>
        <v>3.333333333333333</v>
      </c>
      <c r="BJ76">
        <f>SYSCLK!CI75/$B$2</f>
        <v>3.0769230769230771</v>
      </c>
      <c r="BK76">
        <f>SYSCLK!CJ75/$B$2</f>
        <v>2.8571428571428568</v>
      </c>
      <c r="BL76">
        <f>SYSCLK!CK75/$B$2</f>
        <v>2.6666666666666665</v>
      </c>
      <c r="BM76">
        <f>SYSCLK!CL75/$B$2</f>
        <v>2.5</v>
      </c>
    </row>
    <row r="77" spans="2:65">
      <c r="B77">
        <f>SYSCLK!AA76/$B$2</f>
        <v>0</v>
      </c>
      <c r="C77">
        <f>SYSCLK!AB76/$B$2</f>
        <v>0</v>
      </c>
      <c r="D77">
        <f>SYSCLK!AC76/$B$2</f>
        <v>0</v>
      </c>
      <c r="E77">
        <f>SYSCLK!AD76/$B$2</f>
        <v>40.5</v>
      </c>
      <c r="F77">
        <f>SYSCLK!AE76/$B$2</f>
        <v>32.4</v>
      </c>
      <c r="G77">
        <f>SYSCLK!AF76/$B$2</f>
        <v>27</v>
      </c>
      <c r="H77">
        <f>SYSCLK!AG76/$B$2</f>
        <v>23.142857142857142</v>
      </c>
      <c r="I77">
        <f>SYSCLK!AH76/$B$2</f>
        <v>20.25</v>
      </c>
      <c r="J77">
        <f>SYSCLK!AI76/$B$2</f>
        <v>18</v>
      </c>
      <c r="K77">
        <f>SYSCLK!AJ76/$B$2</f>
        <v>16.2</v>
      </c>
      <c r="L77">
        <f>SYSCLK!AK76/$B$2</f>
        <v>14.727272727272728</v>
      </c>
      <c r="M77">
        <f>SYSCLK!AL76/$B$2</f>
        <v>13.5</v>
      </c>
      <c r="N77">
        <f>SYSCLK!AM76/$B$2</f>
        <v>12.461538461538462</v>
      </c>
      <c r="O77">
        <f>SYSCLK!AN76/$B$2</f>
        <v>11.571428571428571</v>
      </c>
      <c r="P77">
        <f>SYSCLK!AO76/$B$2</f>
        <v>10.8</v>
      </c>
      <c r="Q77">
        <f>SYSCLK!AP76/$B$2</f>
        <v>10.125</v>
      </c>
      <c r="R77" s="117">
        <f>SYSCLK!AQ76/$B$2</f>
        <v>0</v>
      </c>
      <c r="S77">
        <f>SYSCLK!AR76/$B$2</f>
        <v>40.5</v>
      </c>
      <c r="T77">
        <f>SYSCLK!AS76/$B$2</f>
        <v>27</v>
      </c>
      <c r="U77">
        <f>SYSCLK!AT76/$B$2</f>
        <v>20.25</v>
      </c>
      <c r="V77">
        <f>SYSCLK!AU76/$B$2</f>
        <v>16.2</v>
      </c>
      <c r="W77">
        <f>SYSCLK!AV76/$B$2</f>
        <v>13.5</v>
      </c>
      <c r="X77">
        <f>SYSCLK!AW76/$B$2</f>
        <v>11.571428571428571</v>
      </c>
      <c r="Y77">
        <f>SYSCLK!AX76/$B$2</f>
        <v>10.125</v>
      </c>
      <c r="Z77">
        <f>SYSCLK!AY76/$B$2</f>
        <v>9</v>
      </c>
      <c r="AA77">
        <f>SYSCLK!AZ76/$B$2</f>
        <v>8.1</v>
      </c>
      <c r="AB77">
        <f>SYSCLK!BA76/$B$2</f>
        <v>7.3636363636363642</v>
      </c>
      <c r="AC77">
        <f>SYSCLK!BB76/$B$2</f>
        <v>6.75</v>
      </c>
      <c r="AD77">
        <f>SYSCLK!BC76/$B$2</f>
        <v>6.2307692307692308</v>
      </c>
      <c r="AE77">
        <f>SYSCLK!BD76/$B$2</f>
        <v>5.7857142857142856</v>
      </c>
      <c r="AF77">
        <f>SYSCLK!BE76/$B$2</f>
        <v>5.4</v>
      </c>
      <c r="AG77" s="118">
        <f>SYSCLK!BF76/$B$2</f>
        <v>5.0625</v>
      </c>
      <c r="AH77">
        <f>SYSCLK!BG76/$B$2</f>
        <v>0</v>
      </c>
      <c r="AI77">
        <f>SYSCLK!BH76/$B$2</f>
        <v>27</v>
      </c>
      <c r="AJ77">
        <f>SYSCLK!BI76/$B$2</f>
        <v>18</v>
      </c>
      <c r="AK77">
        <f>SYSCLK!BJ76/$B$2</f>
        <v>13.5</v>
      </c>
      <c r="AL77">
        <f>SYSCLK!BK76/$B$2</f>
        <v>10.799999999999999</v>
      </c>
      <c r="AM77">
        <f>SYSCLK!BL76/$B$2</f>
        <v>9</v>
      </c>
      <c r="AN77">
        <f>SYSCLK!BM76/$B$2</f>
        <v>7.7142857142857144</v>
      </c>
      <c r="AO77">
        <f>SYSCLK!BN76/$B$2</f>
        <v>6.75</v>
      </c>
      <c r="AP77">
        <f>SYSCLK!BO76/$B$2</f>
        <v>6</v>
      </c>
      <c r="AQ77">
        <f>SYSCLK!BP76/$B$2</f>
        <v>5.3999999999999995</v>
      </c>
      <c r="AR77">
        <f>SYSCLK!BQ76/$B$2</f>
        <v>4.9090909090909092</v>
      </c>
      <c r="AS77">
        <f>SYSCLK!BR76/$B$2</f>
        <v>4.5</v>
      </c>
      <c r="AT77">
        <f>SYSCLK!BS76/$B$2</f>
        <v>4.1538461538461542</v>
      </c>
      <c r="AU77">
        <f>SYSCLK!BT76/$B$2</f>
        <v>3.8571428571428572</v>
      </c>
      <c r="AV77">
        <f>SYSCLK!BU76/$B$2</f>
        <v>3.6</v>
      </c>
      <c r="AW77">
        <f>SYSCLK!BV76/$B$2</f>
        <v>3.375</v>
      </c>
      <c r="AX77" s="117">
        <f>SYSCLK!BW76/$B$2</f>
        <v>40.5</v>
      </c>
      <c r="AY77">
        <f>SYSCLK!BX76/$B$2</f>
        <v>20.25</v>
      </c>
      <c r="AZ77">
        <f>SYSCLK!BY76/$B$2</f>
        <v>13.5</v>
      </c>
      <c r="BA77">
        <f>SYSCLK!BZ76/$B$2</f>
        <v>10.125</v>
      </c>
      <c r="BB77">
        <f>SYSCLK!CA76/$B$2</f>
        <v>8.1</v>
      </c>
      <c r="BC77">
        <f>SYSCLK!CB76/$B$2</f>
        <v>6.75</v>
      </c>
      <c r="BD77">
        <f>SYSCLK!CC76/$B$2</f>
        <v>5.7857142857142856</v>
      </c>
      <c r="BE77">
        <f>SYSCLK!CD76/$B$2</f>
        <v>5.0625</v>
      </c>
      <c r="BF77">
        <f>SYSCLK!CE76/$B$2</f>
        <v>4.5</v>
      </c>
      <c r="BG77">
        <f>SYSCLK!CF76/$B$2</f>
        <v>4.05</v>
      </c>
      <c r="BH77">
        <f>SYSCLK!CG76/$B$2</f>
        <v>3.6818181818181821</v>
      </c>
      <c r="BI77">
        <f>SYSCLK!CH76/$B$2</f>
        <v>3.375</v>
      </c>
      <c r="BJ77">
        <f>SYSCLK!CI76/$B$2</f>
        <v>3.1153846153846154</v>
      </c>
      <c r="BK77">
        <f>SYSCLK!CJ76/$B$2</f>
        <v>2.8928571428571428</v>
      </c>
      <c r="BL77">
        <f>SYSCLK!CK76/$B$2</f>
        <v>2.7</v>
      </c>
      <c r="BM77">
        <f>SYSCLK!CL76/$B$2</f>
        <v>2.53125</v>
      </c>
    </row>
    <row r="78" spans="2:65">
      <c r="B78">
        <f>SYSCLK!AA77/$B$2</f>
        <v>0</v>
      </c>
      <c r="C78">
        <f>SYSCLK!AB77/$B$2</f>
        <v>0</v>
      </c>
      <c r="D78">
        <f>SYSCLK!AC77/$B$2</f>
        <v>0</v>
      </c>
      <c r="E78">
        <f>SYSCLK!AD77/$B$2</f>
        <v>41</v>
      </c>
      <c r="F78">
        <f>SYSCLK!AE77/$B$2</f>
        <v>32.800000000000004</v>
      </c>
      <c r="G78">
        <f>SYSCLK!AF77/$B$2</f>
        <v>27.333333333333332</v>
      </c>
      <c r="H78">
        <f>SYSCLK!AG77/$B$2</f>
        <v>23.428571428571427</v>
      </c>
      <c r="I78">
        <f>SYSCLK!AH77/$B$2</f>
        <v>20.5</v>
      </c>
      <c r="J78">
        <f>SYSCLK!AI77/$B$2</f>
        <v>18.222222222222221</v>
      </c>
      <c r="K78">
        <f>SYSCLK!AJ77/$B$2</f>
        <v>16.400000000000002</v>
      </c>
      <c r="L78">
        <f>SYSCLK!AK77/$B$2</f>
        <v>14.90909090909091</v>
      </c>
      <c r="M78">
        <f>SYSCLK!AL77/$B$2</f>
        <v>13.666666666666666</v>
      </c>
      <c r="N78">
        <f>SYSCLK!AM77/$B$2</f>
        <v>12.615384615384617</v>
      </c>
      <c r="O78">
        <f>SYSCLK!AN77/$B$2</f>
        <v>11.714285714285714</v>
      </c>
      <c r="P78">
        <f>SYSCLK!AO77/$B$2</f>
        <v>10.933333333333334</v>
      </c>
      <c r="Q78">
        <f>SYSCLK!AP77/$B$2</f>
        <v>10.25</v>
      </c>
      <c r="R78" s="117">
        <f>SYSCLK!AQ77/$B$2</f>
        <v>0</v>
      </c>
      <c r="S78">
        <f>SYSCLK!AR77/$B$2</f>
        <v>41</v>
      </c>
      <c r="T78">
        <f>SYSCLK!AS77/$B$2</f>
        <v>27.333333333333332</v>
      </c>
      <c r="U78">
        <f>SYSCLK!AT77/$B$2</f>
        <v>20.5</v>
      </c>
      <c r="V78">
        <f>SYSCLK!AU77/$B$2</f>
        <v>16.400000000000002</v>
      </c>
      <c r="W78">
        <f>SYSCLK!AV77/$B$2</f>
        <v>13.666666666666666</v>
      </c>
      <c r="X78">
        <f>SYSCLK!AW77/$B$2</f>
        <v>11.714285714285714</v>
      </c>
      <c r="Y78">
        <f>SYSCLK!AX77/$B$2</f>
        <v>10.25</v>
      </c>
      <c r="Z78">
        <f>SYSCLK!AY77/$B$2</f>
        <v>9.1111111111111107</v>
      </c>
      <c r="AA78">
        <f>SYSCLK!AZ77/$B$2</f>
        <v>8.2000000000000011</v>
      </c>
      <c r="AB78">
        <f>SYSCLK!BA77/$B$2</f>
        <v>7.454545454545455</v>
      </c>
      <c r="AC78">
        <f>SYSCLK!BB77/$B$2</f>
        <v>6.833333333333333</v>
      </c>
      <c r="AD78">
        <f>SYSCLK!BC77/$B$2</f>
        <v>6.3076923076923084</v>
      </c>
      <c r="AE78">
        <f>SYSCLK!BD77/$B$2</f>
        <v>5.8571428571428568</v>
      </c>
      <c r="AF78">
        <f>SYSCLK!BE77/$B$2</f>
        <v>5.4666666666666668</v>
      </c>
      <c r="AG78" s="118">
        <f>SYSCLK!BF77/$B$2</f>
        <v>5.125</v>
      </c>
      <c r="AH78">
        <f>SYSCLK!BG77/$B$2</f>
        <v>0</v>
      </c>
      <c r="AI78">
        <f>SYSCLK!BH77/$B$2</f>
        <v>27.333333333333332</v>
      </c>
      <c r="AJ78">
        <f>SYSCLK!BI77/$B$2</f>
        <v>18.222222222222221</v>
      </c>
      <c r="AK78">
        <f>SYSCLK!BJ77/$B$2</f>
        <v>13.666666666666666</v>
      </c>
      <c r="AL78">
        <f>SYSCLK!BK77/$B$2</f>
        <v>10.933333333333335</v>
      </c>
      <c r="AM78">
        <f>SYSCLK!BL77/$B$2</f>
        <v>9.1111111111111107</v>
      </c>
      <c r="AN78">
        <f>SYSCLK!BM77/$B$2</f>
        <v>7.8095238095238093</v>
      </c>
      <c r="AO78">
        <f>SYSCLK!BN77/$B$2</f>
        <v>6.833333333333333</v>
      </c>
      <c r="AP78">
        <f>SYSCLK!BO77/$B$2</f>
        <v>6.0740740740740735</v>
      </c>
      <c r="AQ78">
        <f>SYSCLK!BP77/$B$2</f>
        <v>5.4666666666666677</v>
      </c>
      <c r="AR78">
        <f>SYSCLK!BQ77/$B$2</f>
        <v>4.9696969696969697</v>
      </c>
      <c r="AS78">
        <f>SYSCLK!BR77/$B$2</f>
        <v>4.5555555555555554</v>
      </c>
      <c r="AT78">
        <f>SYSCLK!BS77/$B$2</f>
        <v>4.2051282051282053</v>
      </c>
      <c r="AU78">
        <f>SYSCLK!BT77/$B$2</f>
        <v>3.9047619047619047</v>
      </c>
      <c r="AV78">
        <f>SYSCLK!BU77/$B$2</f>
        <v>3.6444444444444444</v>
      </c>
      <c r="AW78">
        <f>SYSCLK!BV77/$B$2</f>
        <v>3.4166666666666665</v>
      </c>
      <c r="AX78" s="117">
        <f>SYSCLK!BW77/$B$2</f>
        <v>41</v>
      </c>
      <c r="AY78">
        <f>SYSCLK!BX77/$B$2</f>
        <v>20.5</v>
      </c>
      <c r="AZ78">
        <f>SYSCLK!BY77/$B$2</f>
        <v>13.666666666666666</v>
      </c>
      <c r="BA78">
        <f>SYSCLK!BZ77/$B$2</f>
        <v>10.25</v>
      </c>
      <c r="BB78">
        <f>SYSCLK!CA77/$B$2</f>
        <v>8.2000000000000011</v>
      </c>
      <c r="BC78">
        <f>SYSCLK!CB77/$B$2</f>
        <v>6.833333333333333</v>
      </c>
      <c r="BD78">
        <f>SYSCLK!CC77/$B$2</f>
        <v>5.8571428571428568</v>
      </c>
      <c r="BE78">
        <f>SYSCLK!CD77/$B$2</f>
        <v>5.125</v>
      </c>
      <c r="BF78">
        <f>SYSCLK!CE77/$B$2</f>
        <v>4.5555555555555554</v>
      </c>
      <c r="BG78">
        <f>SYSCLK!CF77/$B$2</f>
        <v>4.1000000000000005</v>
      </c>
      <c r="BH78">
        <f>SYSCLK!CG77/$B$2</f>
        <v>3.7272727272727275</v>
      </c>
      <c r="BI78">
        <f>SYSCLK!CH77/$B$2</f>
        <v>3.4166666666666665</v>
      </c>
      <c r="BJ78">
        <f>SYSCLK!CI77/$B$2</f>
        <v>3.1538461538461542</v>
      </c>
      <c r="BK78">
        <f>SYSCLK!CJ77/$B$2</f>
        <v>2.9285714285714284</v>
      </c>
      <c r="BL78">
        <f>SYSCLK!CK77/$B$2</f>
        <v>2.7333333333333334</v>
      </c>
      <c r="BM78">
        <f>SYSCLK!CL77/$B$2</f>
        <v>2.5625</v>
      </c>
    </row>
    <row r="79" spans="2:65">
      <c r="B79">
        <f>SYSCLK!AA78/$B$2</f>
        <v>0</v>
      </c>
      <c r="C79">
        <f>SYSCLK!AB78/$B$2</f>
        <v>0</v>
      </c>
      <c r="D79">
        <f>SYSCLK!AC78/$B$2</f>
        <v>0</v>
      </c>
      <c r="E79">
        <f>SYSCLK!AD78/$B$2</f>
        <v>41.5</v>
      </c>
      <c r="F79">
        <f>SYSCLK!AE78/$B$2</f>
        <v>33.200000000000003</v>
      </c>
      <c r="G79">
        <f>SYSCLK!AF78/$B$2</f>
        <v>27.666666666666664</v>
      </c>
      <c r="H79">
        <f>SYSCLK!AG78/$B$2</f>
        <v>23.714285714285712</v>
      </c>
      <c r="I79">
        <f>SYSCLK!AH78/$B$2</f>
        <v>20.75</v>
      </c>
      <c r="J79">
        <f>SYSCLK!AI78/$B$2</f>
        <v>18.444444444444443</v>
      </c>
      <c r="K79">
        <f>SYSCLK!AJ78/$B$2</f>
        <v>16.600000000000001</v>
      </c>
      <c r="L79">
        <f>SYSCLK!AK78/$B$2</f>
        <v>15.090909090909092</v>
      </c>
      <c r="M79">
        <f>SYSCLK!AL78/$B$2</f>
        <v>13.833333333333332</v>
      </c>
      <c r="N79">
        <f>SYSCLK!AM78/$B$2</f>
        <v>12.76923076923077</v>
      </c>
      <c r="O79">
        <f>SYSCLK!AN78/$B$2</f>
        <v>11.857142857142856</v>
      </c>
      <c r="P79">
        <f>SYSCLK!AO78/$B$2</f>
        <v>11.066666666666666</v>
      </c>
      <c r="Q79">
        <f>SYSCLK!AP78/$B$2</f>
        <v>10.375</v>
      </c>
      <c r="R79" s="117">
        <f>SYSCLK!AQ78/$B$2</f>
        <v>0</v>
      </c>
      <c r="S79">
        <f>SYSCLK!AR78/$B$2</f>
        <v>41.5</v>
      </c>
      <c r="T79">
        <f>SYSCLK!AS78/$B$2</f>
        <v>27.666666666666664</v>
      </c>
      <c r="U79">
        <f>SYSCLK!AT78/$B$2</f>
        <v>20.75</v>
      </c>
      <c r="V79">
        <f>SYSCLK!AU78/$B$2</f>
        <v>16.600000000000001</v>
      </c>
      <c r="W79">
        <f>SYSCLK!AV78/$B$2</f>
        <v>13.833333333333332</v>
      </c>
      <c r="X79">
        <f>SYSCLK!AW78/$B$2</f>
        <v>11.857142857142856</v>
      </c>
      <c r="Y79">
        <f>SYSCLK!AX78/$B$2</f>
        <v>10.375</v>
      </c>
      <c r="Z79">
        <f>SYSCLK!AY78/$B$2</f>
        <v>9.2222222222222214</v>
      </c>
      <c r="AA79">
        <f>SYSCLK!AZ78/$B$2</f>
        <v>8.3000000000000007</v>
      </c>
      <c r="AB79">
        <f>SYSCLK!BA78/$B$2</f>
        <v>7.5454545454545459</v>
      </c>
      <c r="AC79">
        <f>SYSCLK!BB78/$B$2</f>
        <v>6.9166666666666661</v>
      </c>
      <c r="AD79">
        <f>SYSCLK!BC78/$B$2</f>
        <v>6.384615384615385</v>
      </c>
      <c r="AE79">
        <f>SYSCLK!BD78/$B$2</f>
        <v>5.9285714285714279</v>
      </c>
      <c r="AF79">
        <f>SYSCLK!BE78/$B$2</f>
        <v>5.5333333333333332</v>
      </c>
      <c r="AG79" s="118">
        <f>SYSCLK!BF78/$B$2</f>
        <v>5.1875</v>
      </c>
      <c r="AH79">
        <f>SYSCLK!BG78/$B$2</f>
        <v>0</v>
      </c>
      <c r="AI79">
        <f>SYSCLK!BH78/$B$2</f>
        <v>27.666666666666668</v>
      </c>
      <c r="AJ79">
        <f>SYSCLK!BI78/$B$2</f>
        <v>18.444444444444443</v>
      </c>
      <c r="AK79">
        <f>SYSCLK!BJ78/$B$2</f>
        <v>13.833333333333334</v>
      </c>
      <c r="AL79">
        <f>SYSCLK!BK78/$B$2</f>
        <v>11.066666666666668</v>
      </c>
      <c r="AM79">
        <f>SYSCLK!BL78/$B$2</f>
        <v>9.2222222222222214</v>
      </c>
      <c r="AN79">
        <f>SYSCLK!BM78/$B$2</f>
        <v>7.9047619047619042</v>
      </c>
      <c r="AO79">
        <f>SYSCLK!BN78/$B$2</f>
        <v>6.916666666666667</v>
      </c>
      <c r="AP79">
        <f>SYSCLK!BO78/$B$2</f>
        <v>6.1481481481481479</v>
      </c>
      <c r="AQ79">
        <f>SYSCLK!BP78/$B$2</f>
        <v>5.5333333333333341</v>
      </c>
      <c r="AR79">
        <f>SYSCLK!BQ78/$B$2</f>
        <v>5.0303030303030303</v>
      </c>
      <c r="AS79">
        <f>SYSCLK!BR78/$B$2</f>
        <v>4.6111111111111107</v>
      </c>
      <c r="AT79">
        <f>SYSCLK!BS78/$B$2</f>
        <v>4.2564102564102564</v>
      </c>
      <c r="AU79">
        <f>SYSCLK!BT78/$B$2</f>
        <v>3.9523809523809521</v>
      </c>
      <c r="AV79">
        <f>SYSCLK!BU78/$B$2</f>
        <v>3.6888888888888887</v>
      </c>
      <c r="AW79">
        <f>SYSCLK!BV78/$B$2</f>
        <v>3.4583333333333335</v>
      </c>
      <c r="AX79" s="117">
        <f>SYSCLK!BW78/$B$2</f>
        <v>41.5</v>
      </c>
      <c r="AY79">
        <f>SYSCLK!BX78/$B$2</f>
        <v>20.75</v>
      </c>
      <c r="AZ79">
        <f>SYSCLK!BY78/$B$2</f>
        <v>13.833333333333332</v>
      </c>
      <c r="BA79">
        <f>SYSCLK!BZ78/$B$2</f>
        <v>10.375</v>
      </c>
      <c r="BB79">
        <f>SYSCLK!CA78/$B$2</f>
        <v>8.3000000000000007</v>
      </c>
      <c r="BC79">
        <f>SYSCLK!CB78/$B$2</f>
        <v>6.9166666666666661</v>
      </c>
      <c r="BD79">
        <f>SYSCLK!CC78/$B$2</f>
        <v>5.9285714285714279</v>
      </c>
      <c r="BE79">
        <f>SYSCLK!CD78/$B$2</f>
        <v>5.1875</v>
      </c>
      <c r="BF79">
        <f>SYSCLK!CE78/$B$2</f>
        <v>4.6111111111111107</v>
      </c>
      <c r="BG79">
        <f>SYSCLK!CF78/$B$2</f>
        <v>4.1500000000000004</v>
      </c>
      <c r="BH79">
        <f>SYSCLK!CG78/$B$2</f>
        <v>3.7727272727272729</v>
      </c>
      <c r="BI79">
        <f>SYSCLK!CH78/$B$2</f>
        <v>3.458333333333333</v>
      </c>
      <c r="BJ79">
        <f>SYSCLK!CI78/$B$2</f>
        <v>3.1923076923076925</v>
      </c>
      <c r="BK79">
        <f>SYSCLK!CJ78/$B$2</f>
        <v>2.964285714285714</v>
      </c>
      <c r="BL79">
        <f>SYSCLK!CK78/$B$2</f>
        <v>2.7666666666666666</v>
      </c>
      <c r="BM79">
        <f>SYSCLK!CL78/$B$2</f>
        <v>2.59375</v>
      </c>
    </row>
    <row r="80" spans="2:65">
      <c r="B80">
        <f>SYSCLK!AA79/$B$2</f>
        <v>0</v>
      </c>
      <c r="C80">
        <f>SYSCLK!AB79/$B$2</f>
        <v>0</v>
      </c>
      <c r="D80">
        <f>SYSCLK!AC79/$B$2</f>
        <v>0</v>
      </c>
      <c r="E80">
        <f>SYSCLK!AD79/$B$2</f>
        <v>42</v>
      </c>
      <c r="F80">
        <f>SYSCLK!AE79/$B$2</f>
        <v>33.6</v>
      </c>
      <c r="G80">
        <f>SYSCLK!AF79/$B$2</f>
        <v>28</v>
      </c>
      <c r="H80">
        <f>SYSCLK!AG79/$B$2</f>
        <v>24</v>
      </c>
      <c r="I80">
        <f>SYSCLK!AH79/$B$2</f>
        <v>21</v>
      </c>
      <c r="J80">
        <f>SYSCLK!AI79/$B$2</f>
        <v>18.666666666666664</v>
      </c>
      <c r="K80">
        <f>SYSCLK!AJ79/$B$2</f>
        <v>16.8</v>
      </c>
      <c r="L80">
        <f>SYSCLK!AK79/$B$2</f>
        <v>15.272727272727273</v>
      </c>
      <c r="M80">
        <f>SYSCLK!AL79/$B$2</f>
        <v>14</v>
      </c>
      <c r="N80">
        <f>SYSCLK!AM79/$B$2</f>
        <v>12.923076923076923</v>
      </c>
      <c r="O80">
        <f>SYSCLK!AN79/$B$2</f>
        <v>12</v>
      </c>
      <c r="P80">
        <f>SYSCLK!AO79/$B$2</f>
        <v>11.2</v>
      </c>
      <c r="Q80">
        <f>SYSCLK!AP79/$B$2</f>
        <v>10.5</v>
      </c>
      <c r="R80" s="117">
        <f>SYSCLK!AQ79/$B$2</f>
        <v>0</v>
      </c>
      <c r="S80">
        <f>SYSCLK!AR79/$B$2</f>
        <v>42</v>
      </c>
      <c r="T80">
        <f>SYSCLK!AS79/$B$2</f>
        <v>28</v>
      </c>
      <c r="U80">
        <f>SYSCLK!AT79/$B$2</f>
        <v>21</v>
      </c>
      <c r="V80">
        <f>SYSCLK!AU79/$B$2</f>
        <v>16.8</v>
      </c>
      <c r="W80">
        <f>SYSCLK!AV79/$B$2</f>
        <v>14</v>
      </c>
      <c r="X80">
        <f>SYSCLK!AW79/$B$2</f>
        <v>12</v>
      </c>
      <c r="Y80">
        <f>SYSCLK!AX79/$B$2</f>
        <v>10.5</v>
      </c>
      <c r="Z80">
        <f>SYSCLK!AY79/$B$2</f>
        <v>9.3333333333333321</v>
      </c>
      <c r="AA80">
        <f>SYSCLK!AZ79/$B$2</f>
        <v>8.4</v>
      </c>
      <c r="AB80">
        <f>SYSCLK!BA79/$B$2</f>
        <v>7.6363636363636367</v>
      </c>
      <c r="AC80">
        <f>SYSCLK!BB79/$B$2</f>
        <v>7</v>
      </c>
      <c r="AD80">
        <f>SYSCLK!BC79/$B$2</f>
        <v>6.4615384615384617</v>
      </c>
      <c r="AE80">
        <f>SYSCLK!BD79/$B$2</f>
        <v>6</v>
      </c>
      <c r="AF80">
        <f>SYSCLK!BE79/$B$2</f>
        <v>5.6</v>
      </c>
      <c r="AG80" s="118">
        <f>SYSCLK!BF79/$B$2</f>
        <v>5.25</v>
      </c>
      <c r="AH80">
        <f>SYSCLK!BG79/$B$2</f>
        <v>0</v>
      </c>
      <c r="AI80">
        <f>SYSCLK!BH79/$B$2</f>
        <v>28</v>
      </c>
      <c r="AJ80">
        <f>SYSCLK!BI79/$B$2</f>
        <v>18.666666666666668</v>
      </c>
      <c r="AK80">
        <f>SYSCLK!BJ79/$B$2</f>
        <v>14</v>
      </c>
      <c r="AL80">
        <f>SYSCLK!BK79/$B$2</f>
        <v>11.200000000000001</v>
      </c>
      <c r="AM80">
        <f>SYSCLK!BL79/$B$2</f>
        <v>9.3333333333333339</v>
      </c>
      <c r="AN80">
        <f>SYSCLK!BM79/$B$2</f>
        <v>8</v>
      </c>
      <c r="AO80">
        <f>SYSCLK!BN79/$B$2</f>
        <v>7</v>
      </c>
      <c r="AP80">
        <f>SYSCLK!BO79/$B$2</f>
        <v>6.2222222222222214</v>
      </c>
      <c r="AQ80">
        <f>SYSCLK!BP79/$B$2</f>
        <v>5.6000000000000005</v>
      </c>
      <c r="AR80">
        <f>SYSCLK!BQ79/$B$2</f>
        <v>5.0909090909090908</v>
      </c>
      <c r="AS80">
        <f>SYSCLK!BR79/$B$2</f>
        <v>4.666666666666667</v>
      </c>
      <c r="AT80">
        <f>SYSCLK!BS79/$B$2</f>
        <v>4.3076923076923075</v>
      </c>
      <c r="AU80">
        <f>SYSCLK!BT79/$B$2</f>
        <v>4</v>
      </c>
      <c r="AV80">
        <f>SYSCLK!BU79/$B$2</f>
        <v>3.7333333333333329</v>
      </c>
      <c r="AW80">
        <f>SYSCLK!BV79/$B$2</f>
        <v>3.5</v>
      </c>
      <c r="AX80" s="117">
        <f>SYSCLK!BW79/$B$2</f>
        <v>42</v>
      </c>
      <c r="AY80">
        <f>SYSCLK!BX79/$B$2</f>
        <v>21</v>
      </c>
      <c r="AZ80">
        <f>SYSCLK!BY79/$B$2</f>
        <v>14</v>
      </c>
      <c r="BA80">
        <f>SYSCLK!BZ79/$B$2</f>
        <v>10.5</v>
      </c>
      <c r="BB80">
        <f>SYSCLK!CA79/$B$2</f>
        <v>8.4</v>
      </c>
      <c r="BC80">
        <f>SYSCLK!CB79/$B$2</f>
        <v>7</v>
      </c>
      <c r="BD80">
        <f>SYSCLK!CC79/$B$2</f>
        <v>6</v>
      </c>
      <c r="BE80">
        <f>SYSCLK!CD79/$B$2</f>
        <v>5.25</v>
      </c>
      <c r="BF80">
        <f>SYSCLK!CE79/$B$2</f>
        <v>4.6666666666666661</v>
      </c>
      <c r="BG80">
        <f>SYSCLK!CF79/$B$2</f>
        <v>4.2</v>
      </c>
      <c r="BH80">
        <f>SYSCLK!CG79/$B$2</f>
        <v>3.8181818181818183</v>
      </c>
      <c r="BI80">
        <f>SYSCLK!CH79/$B$2</f>
        <v>3.5</v>
      </c>
      <c r="BJ80">
        <f>SYSCLK!CI79/$B$2</f>
        <v>3.2307692307692308</v>
      </c>
      <c r="BK80">
        <f>SYSCLK!CJ79/$B$2</f>
        <v>3</v>
      </c>
      <c r="BL80">
        <f>SYSCLK!CK79/$B$2</f>
        <v>2.8</v>
      </c>
      <c r="BM80">
        <f>SYSCLK!CL79/$B$2</f>
        <v>2.625</v>
      </c>
    </row>
    <row r="81" spans="2:65">
      <c r="B81">
        <f>SYSCLK!AA80/$B$2</f>
        <v>0</v>
      </c>
      <c r="C81">
        <f>SYSCLK!AB80/$B$2</f>
        <v>0</v>
      </c>
      <c r="D81">
        <f>SYSCLK!AC80/$B$2</f>
        <v>0</v>
      </c>
      <c r="E81">
        <f>SYSCLK!AD80/$B$2</f>
        <v>42.5</v>
      </c>
      <c r="F81">
        <f>SYSCLK!AE80/$B$2</f>
        <v>34</v>
      </c>
      <c r="G81">
        <f>SYSCLK!AF80/$B$2</f>
        <v>28.333333333333332</v>
      </c>
      <c r="H81">
        <f>SYSCLK!AG80/$B$2</f>
        <v>24.285714285714285</v>
      </c>
      <c r="I81">
        <f>SYSCLK!AH80/$B$2</f>
        <v>21.25</v>
      </c>
      <c r="J81">
        <f>SYSCLK!AI80/$B$2</f>
        <v>18.888888888888889</v>
      </c>
      <c r="K81">
        <f>SYSCLK!AJ80/$B$2</f>
        <v>17</v>
      </c>
      <c r="L81">
        <f>SYSCLK!AK80/$B$2</f>
        <v>15.454545454545455</v>
      </c>
      <c r="M81">
        <f>SYSCLK!AL80/$B$2</f>
        <v>14.166666666666666</v>
      </c>
      <c r="N81">
        <f>SYSCLK!AM80/$B$2</f>
        <v>13.076923076923078</v>
      </c>
      <c r="O81">
        <f>SYSCLK!AN80/$B$2</f>
        <v>12.142857142857142</v>
      </c>
      <c r="P81">
        <f>SYSCLK!AO80/$B$2</f>
        <v>11.333333333333334</v>
      </c>
      <c r="Q81">
        <f>SYSCLK!AP80/$B$2</f>
        <v>10.625</v>
      </c>
      <c r="R81" s="117">
        <f>SYSCLK!AQ80/$B$2</f>
        <v>0</v>
      </c>
      <c r="S81">
        <f>SYSCLK!AR80/$B$2</f>
        <v>42.5</v>
      </c>
      <c r="T81">
        <f>SYSCLK!AS80/$B$2</f>
        <v>28.333333333333332</v>
      </c>
      <c r="U81">
        <f>SYSCLK!AT80/$B$2</f>
        <v>21.25</v>
      </c>
      <c r="V81">
        <f>SYSCLK!AU80/$B$2</f>
        <v>17</v>
      </c>
      <c r="W81">
        <f>SYSCLK!AV80/$B$2</f>
        <v>14.166666666666666</v>
      </c>
      <c r="X81">
        <f>SYSCLK!AW80/$B$2</f>
        <v>12.142857142857142</v>
      </c>
      <c r="Y81">
        <f>SYSCLK!AX80/$B$2</f>
        <v>10.625</v>
      </c>
      <c r="Z81">
        <f>SYSCLK!AY80/$B$2</f>
        <v>9.4444444444444446</v>
      </c>
      <c r="AA81">
        <f>SYSCLK!AZ80/$B$2</f>
        <v>8.5</v>
      </c>
      <c r="AB81">
        <f>SYSCLK!BA80/$B$2</f>
        <v>7.7272727272727275</v>
      </c>
      <c r="AC81">
        <f>SYSCLK!BB80/$B$2</f>
        <v>7.083333333333333</v>
      </c>
      <c r="AD81">
        <f>SYSCLK!BC80/$B$2</f>
        <v>6.5384615384615392</v>
      </c>
      <c r="AE81">
        <f>SYSCLK!BD80/$B$2</f>
        <v>6.0714285714285712</v>
      </c>
      <c r="AF81">
        <f>SYSCLK!BE80/$B$2</f>
        <v>5.666666666666667</v>
      </c>
      <c r="AG81" s="118">
        <f>SYSCLK!BF80/$B$2</f>
        <v>5.3125</v>
      </c>
      <c r="AH81">
        <f>SYSCLK!BG80/$B$2</f>
        <v>0</v>
      </c>
      <c r="AI81">
        <f>SYSCLK!BH80/$B$2</f>
        <v>28.333333333333332</v>
      </c>
      <c r="AJ81">
        <f>SYSCLK!BI80/$B$2</f>
        <v>18.888888888888889</v>
      </c>
      <c r="AK81">
        <f>SYSCLK!BJ80/$B$2</f>
        <v>14.166666666666666</v>
      </c>
      <c r="AL81">
        <f>SYSCLK!BK80/$B$2</f>
        <v>11.333333333333334</v>
      </c>
      <c r="AM81">
        <f>SYSCLK!BL80/$B$2</f>
        <v>9.4444444444444446</v>
      </c>
      <c r="AN81">
        <f>SYSCLK!BM80/$B$2</f>
        <v>8.0952380952380949</v>
      </c>
      <c r="AO81">
        <f>SYSCLK!BN80/$B$2</f>
        <v>7.083333333333333</v>
      </c>
      <c r="AP81">
        <f>SYSCLK!BO80/$B$2</f>
        <v>6.2962962962962967</v>
      </c>
      <c r="AQ81">
        <f>SYSCLK!BP80/$B$2</f>
        <v>5.666666666666667</v>
      </c>
      <c r="AR81">
        <f>SYSCLK!BQ80/$B$2</f>
        <v>5.1515151515151514</v>
      </c>
      <c r="AS81">
        <f>SYSCLK!BR80/$B$2</f>
        <v>4.7222222222222223</v>
      </c>
      <c r="AT81">
        <f>SYSCLK!BS80/$B$2</f>
        <v>4.3589743589743595</v>
      </c>
      <c r="AU81">
        <f>SYSCLK!BT80/$B$2</f>
        <v>4.0476190476190474</v>
      </c>
      <c r="AV81">
        <f>SYSCLK!BU80/$B$2</f>
        <v>3.7777777777777781</v>
      </c>
      <c r="AW81">
        <f>SYSCLK!BV80/$B$2</f>
        <v>3.5416666666666665</v>
      </c>
      <c r="AX81" s="117">
        <f>SYSCLK!BW80/$B$2</f>
        <v>42.5</v>
      </c>
      <c r="AY81">
        <f>SYSCLK!BX80/$B$2</f>
        <v>21.25</v>
      </c>
      <c r="AZ81">
        <f>SYSCLK!BY80/$B$2</f>
        <v>14.166666666666666</v>
      </c>
      <c r="BA81">
        <f>SYSCLK!BZ80/$B$2</f>
        <v>10.625</v>
      </c>
      <c r="BB81">
        <f>SYSCLK!CA80/$B$2</f>
        <v>8.5</v>
      </c>
      <c r="BC81">
        <f>SYSCLK!CB80/$B$2</f>
        <v>7.083333333333333</v>
      </c>
      <c r="BD81">
        <f>SYSCLK!CC80/$B$2</f>
        <v>6.0714285714285712</v>
      </c>
      <c r="BE81">
        <f>SYSCLK!CD80/$B$2</f>
        <v>5.3125</v>
      </c>
      <c r="BF81">
        <f>SYSCLK!CE80/$B$2</f>
        <v>4.7222222222222223</v>
      </c>
      <c r="BG81">
        <f>SYSCLK!CF80/$B$2</f>
        <v>4.25</v>
      </c>
      <c r="BH81">
        <f>SYSCLK!CG80/$B$2</f>
        <v>3.8636363636363638</v>
      </c>
      <c r="BI81">
        <f>SYSCLK!CH80/$B$2</f>
        <v>3.5416666666666665</v>
      </c>
      <c r="BJ81">
        <f>SYSCLK!CI80/$B$2</f>
        <v>3.2692307692307696</v>
      </c>
      <c r="BK81">
        <f>SYSCLK!CJ80/$B$2</f>
        <v>3.0357142857142856</v>
      </c>
      <c r="BL81">
        <f>SYSCLK!CK80/$B$2</f>
        <v>2.8333333333333335</v>
      </c>
      <c r="BM81">
        <f>SYSCLK!CL80/$B$2</f>
        <v>2.65625</v>
      </c>
    </row>
    <row r="82" spans="2:65">
      <c r="B82">
        <f>SYSCLK!AA81/$B$2</f>
        <v>0</v>
      </c>
      <c r="C82">
        <f>SYSCLK!AB81/$B$2</f>
        <v>0</v>
      </c>
      <c r="D82">
        <f>SYSCLK!AC81/$B$2</f>
        <v>0</v>
      </c>
      <c r="E82">
        <f>SYSCLK!AD81/$B$2</f>
        <v>0</v>
      </c>
      <c r="F82">
        <f>SYSCLK!AE81/$B$2</f>
        <v>34.4</v>
      </c>
      <c r="G82">
        <f>SYSCLK!AF81/$B$2</f>
        <v>28.666666666666664</v>
      </c>
      <c r="H82">
        <f>SYSCLK!AG81/$B$2</f>
        <v>24.571428571428569</v>
      </c>
      <c r="I82">
        <f>SYSCLK!AH81/$B$2</f>
        <v>21.5</v>
      </c>
      <c r="J82">
        <f>SYSCLK!AI81/$B$2</f>
        <v>19.111111111111111</v>
      </c>
      <c r="K82">
        <f>SYSCLK!AJ81/$B$2</f>
        <v>17.2</v>
      </c>
      <c r="L82">
        <f>SYSCLK!AK81/$B$2</f>
        <v>15.636363636363637</v>
      </c>
      <c r="M82">
        <f>SYSCLK!AL81/$B$2</f>
        <v>14.333333333333332</v>
      </c>
      <c r="N82">
        <f>SYSCLK!AM81/$B$2</f>
        <v>13.230769230769232</v>
      </c>
      <c r="O82">
        <f>SYSCLK!AN81/$B$2</f>
        <v>12.285714285714285</v>
      </c>
      <c r="P82">
        <f>SYSCLK!AO81/$B$2</f>
        <v>11.466666666666667</v>
      </c>
      <c r="Q82">
        <f>SYSCLK!AP81/$B$2</f>
        <v>10.75</v>
      </c>
      <c r="R82" s="117">
        <f>SYSCLK!AQ81/$B$2</f>
        <v>0</v>
      </c>
      <c r="S82">
        <f>SYSCLK!AR81/$B$2</f>
        <v>0</v>
      </c>
      <c r="T82">
        <f>SYSCLK!AS81/$B$2</f>
        <v>28.666666666666664</v>
      </c>
      <c r="U82">
        <f>SYSCLK!AT81/$B$2</f>
        <v>21.5</v>
      </c>
      <c r="V82">
        <f>SYSCLK!AU81/$B$2</f>
        <v>17.2</v>
      </c>
      <c r="W82">
        <f>SYSCLK!AV81/$B$2</f>
        <v>14.333333333333332</v>
      </c>
      <c r="X82">
        <f>SYSCLK!AW81/$B$2</f>
        <v>12.285714285714285</v>
      </c>
      <c r="Y82">
        <f>SYSCLK!AX81/$B$2</f>
        <v>10.75</v>
      </c>
      <c r="Z82">
        <f>SYSCLK!AY81/$B$2</f>
        <v>9.5555555555555554</v>
      </c>
      <c r="AA82">
        <f>SYSCLK!AZ81/$B$2</f>
        <v>8.6</v>
      </c>
      <c r="AB82">
        <f>SYSCLK!BA81/$B$2</f>
        <v>7.8181818181818183</v>
      </c>
      <c r="AC82">
        <f>SYSCLK!BB81/$B$2</f>
        <v>7.1666666666666661</v>
      </c>
      <c r="AD82">
        <f>SYSCLK!BC81/$B$2</f>
        <v>6.6153846153846159</v>
      </c>
      <c r="AE82">
        <f>SYSCLK!BD81/$B$2</f>
        <v>6.1428571428571423</v>
      </c>
      <c r="AF82">
        <f>SYSCLK!BE81/$B$2</f>
        <v>5.7333333333333334</v>
      </c>
      <c r="AG82" s="118">
        <f>SYSCLK!BF81/$B$2</f>
        <v>5.375</v>
      </c>
      <c r="AH82">
        <f>SYSCLK!BG81/$B$2</f>
        <v>0</v>
      </c>
      <c r="AI82">
        <f>SYSCLK!BH81/$B$2</f>
        <v>28.666666666666668</v>
      </c>
      <c r="AJ82">
        <f>SYSCLK!BI81/$B$2</f>
        <v>19.111111111111111</v>
      </c>
      <c r="AK82">
        <f>SYSCLK!BJ81/$B$2</f>
        <v>14.333333333333334</v>
      </c>
      <c r="AL82">
        <f>SYSCLK!BK81/$B$2</f>
        <v>11.466666666666667</v>
      </c>
      <c r="AM82">
        <f>SYSCLK!BL81/$B$2</f>
        <v>9.5555555555555554</v>
      </c>
      <c r="AN82">
        <f>SYSCLK!BM81/$B$2</f>
        <v>8.1904761904761898</v>
      </c>
      <c r="AO82">
        <f>SYSCLK!BN81/$B$2</f>
        <v>7.166666666666667</v>
      </c>
      <c r="AP82">
        <f>SYSCLK!BO81/$B$2</f>
        <v>6.3703703703703702</v>
      </c>
      <c r="AQ82">
        <f>SYSCLK!BP81/$B$2</f>
        <v>5.7333333333333334</v>
      </c>
      <c r="AR82">
        <f>SYSCLK!BQ81/$B$2</f>
        <v>5.2121212121212119</v>
      </c>
      <c r="AS82">
        <f>SYSCLK!BR81/$B$2</f>
        <v>4.7777777777777777</v>
      </c>
      <c r="AT82">
        <f>SYSCLK!BS81/$B$2</f>
        <v>4.4102564102564106</v>
      </c>
      <c r="AU82">
        <f>SYSCLK!BT81/$B$2</f>
        <v>4.0952380952380949</v>
      </c>
      <c r="AV82">
        <f>SYSCLK!BU81/$B$2</f>
        <v>3.8222222222222224</v>
      </c>
      <c r="AW82">
        <f>SYSCLK!BV81/$B$2</f>
        <v>3.5833333333333335</v>
      </c>
      <c r="AX82" s="117">
        <f>SYSCLK!BW81/$B$2</f>
        <v>0</v>
      </c>
      <c r="AY82">
        <f>SYSCLK!BX81/$B$2</f>
        <v>21.5</v>
      </c>
      <c r="AZ82">
        <f>SYSCLK!BY81/$B$2</f>
        <v>14.333333333333332</v>
      </c>
      <c r="BA82">
        <f>SYSCLK!BZ81/$B$2</f>
        <v>10.75</v>
      </c>
      <c r="BB82">
        <f>SYSCLK!CA81/$B$2</f>
        <v>8.6</v>
      </c>
      <c r="BC82">
        <f>SYSCLK!CB81/$B$2</f>
        <v>7.1666666666666661</v>
      </c>
      <c r="BD82">
        <f>SYSCLK!CC81/$B$2</f>
        <v>6.1428571428571423</v>
      </c>
      <c r="BE82">
        <f>SYSCLK!CD81/$B$2</f>
        <v>5.375</v>
      </c>
      <c r="BF82">
        <f>SYSCLK!CE81/$B$2</f>
        <v>4.7777777777777777</v>
      </c>
      <c r="BG82">
        <f>SYSCLK!CF81/$B$2</f>
        <v>4.3</v>
      </c>
      <c r="BH82">
        <f>SYSCLK!CG81/$B$2</f>
        <v>3.9090909090909092</v>
      </c>
      <c r="BI82">
        <f>SYSCLK!CH81/$B$2</f>
        <v>3.583333333333333</v>
      </c>
      <c r="BJ82">
        <f>SYSCLK!CI81/$B$2</f>
        <v>3.3076923076923079</v>
      </c>
      <c r="BK82">
        <f>SYSCLK!CJ81/$B$2</f>
        <v>3.0714285714285712</v>
      </c>
      <c r="BL82">
        <f>SYSCLK!CK81/$B$2</f>
        <v>2.8666666666666667</v>
      </c>
      <c r="BM82">
        <f>SYSCLK!CL81/$B$2</f>
        <v>2.6875</v>
      </c>
    </row>
    <row r="83" spans="2:65">
      <c r="B83">
        <f>SYSCLK!AA82/$B$2</f>
        <v>0</v>
      </c>
      <c r="C83">
        <f>SYSCLK!AB82/$B$2</f>
        <v>0</v>
      </c>
      <c r="D83">
        <f>SYSCLK!AC82/$B$2</f>
        <v>0</v>
      </c>
      <c r="E83">
        <f>SYSCLK!AD82/$B$2</f>
        <v>0</v>
      </c>
      <c r="F83">
        <f>SYSCLK!AE82/$B$2</f>
        <v>34.800000000000004</v>
      </c>
      <c r="G83">
        <f>SYSCLK!AF82/$B$2</f>
        <v>29</v>
      </c>
      <c r="H83">
        <f>SYSCLK!AG82/$B$2</f>
        <v>24.857142857142854</v>
      </c>
      <c r="I83">
        <f>SYSCLK!AH82/$B$2</f>
        <v>21.75</v>
      </c>
      <c r="J83">
        <f>SYSCLK!AI82/$B$2</f>
        <v>19.333333333333332</v>
      </c>
      <c r="K83">
        <f>SYSCLK!AJ82/$B$2</f>
        <v>17.400000000000002</v>
      </c>
      <c r="L83">
        <f>SYSCLK!AK82/$B$2</f>
        <v>15.818181818181818</v>
      </c>
      <c r="M83">
        <f>SYSCLK!AL82/$B$2</f>
        <v>14.5</v>
      </c>
      <c r="N83">
        <f>SYSCLK!AM82/$B$2</f>
        <v>13.384615384615385</v>
      </c>
      <c r="O83">
        <f>SYSCLK!AN82/$B$2</f>
        <v>12.428571428571427</v>
      </c>
      <c r="P83">
        <f>SYSCLK!AO82/$B$2</f>
        <v>11.6</v>
      </c>
      <c r="Q83">
        <f>SYSCLK!AP82/$B$2</f>
        <v>10.875</v>
      </c>
      <c r="R83" s="117">
        <f>SYSCLK!AQ82/$B$2</f>
        <v>0</v>
      </c>
      <c r="S83">
        <f>SYSCLK!AR82/$B$2</f>
        <v>0</v>
      </c>
      <c r="T83">
        <f>SYSCLK!AS82/$B$2</f>
        <v>29</v>
      </c>
      <c r="U83">
        <f>SYSCLK!AT82/$B$2</f>
        <v>21.75</v>
      </c>
      <c r="V83">
        <f>SYSCLK!AU82/$B$2</f>
        <v>17.400000000000002</v>
      </c>
      <c r="W83">
        <f>SYSCLK!AV82/$B$2</f>
        <v>14.5</v>
      </c>
      <c r="X83">
        <f>SYSCLK!AW82/$B$2</f>
        <v>12.428571428571427</v>
      </c>
      <c r="Y83">
        <f>SYSCLK!AX82/$B$2</f>
        <v>10.875</v>
      </c>
      <c r="Z83">
        <f>SYSCLK!AY82/$B$2</f>
        <v>9.6666666666666661</v>
      </c>
      <c r="AA83">
        <f>SYSCLK!AZ82/$B$2</f>
        <v>8.7000000000000011</v>
      </c>
      <c r="AB83">
        <f>SYSCLK!BA82/$B$2</f>
        <v>7.9090909090909092</v>
      </c>
      <c r="AC83">
        <f>SYSCLK!BB82/$B$2</f>
        <v>7.25</v>
      </c>
      <c r="AD83">
        <f>SYSCLK!BC82/$B$2</f>
        <v>6.6923076923076925</v>
      </c>
      <c r="AE83">
        <f>SYSCLK!BD82/$B$2</f>
        <v>6.2142857142857135</v>
      </c>
      <c r="AF83">
        <f>SYSCLK!BE82/$B$2</f>
        <v>5.8</v>
      </c>
      <c r="AG83" s="118">
        <f>SYSCLK!BF82/$B$2</f>
        <v>5.4375</v>
      </c>
      <c r="AH83">
        <f>SYSCLK!BG82/$B$2</f>
        <v>0</v>
      </c>
      <c r="AI83">
        <f>SYSCLK!BH82/$B$2</f>
        <v>29</v>
      </c>
      <c r="AJ83">
        <f>SYSCLK!BI82/$B$2</f>
        <v>19.333333333333332</v>
      </c>
      <c r="AK83">
        <f>SYSCLK!BJ82/$B$2</f>
        <v>14.5</v>
      </c>
      <c r="AL83">
        <f>SYSCLK!BK82/$B$2</f>
        <v>11.600000000000001</v>
      </c>
      <c r="AM83">
        <f>SYSCLK!BL82/$B$2</f>
        <v>9.6666666666666661</v>
      </c>
      <c r="AN83">
        <f>SYSCLK!BM82/$B$2</f>
        <v>8.2857142857142847</v>
      </c>
      <c r="AO83">
        <f>SYSCLK!BN82/$B$2</f>
        <v>7.25</v>
      </c>
      <c r="AP83">
        <f>SYSCLK!BO82/$B$2</f>
        <v>6.4444444444444438</v>
      </c>
      <c r="AQ83">
        <f>SYSCLK!BP82/$B$2</f>
        <v>5.8000000000000007</v>
      </c>
      <c r="AR83">
        <f>SYSCLK!BQ82/$B$2</f>
        <v>5.2727272727272725</v>
      </c>
      <c r="AS83">
        <f>SYSCLK!BR82/$B$2</f>
        <v>4.833333333333333</v>
      </c>
      <c r="AT83">
        <f>SYSCLK!BS82/$B$2</f>
        <v>4.4615384615384617</v>
      </c>
      <c r="AU83">
        <f>SYSCLK!BT82/$B$2</f>
        <v>4.1428571428571423</v>
      </c>
      <c r="AV83">
        <f>SYSCLK!BU82/$B$2</f>
        <v>3.8666666666666667</v>
      </c>
      <c r="AW83">
        <f>SYSCLK!BV82/$B$2</f>
        <v>3.625</v>
      </c>
      <c r="AX83" s="117">
        <f>SYSCLK!BW82/$B$2</f>
        <v>0</v>
      </c>
      <c r="AY83">
        <f>SYSCLK!BX82/$B$2</f>
        <v>21.75</v>
      </c>
      <c r="AZ83">
        <f>SYSCLK!BY82/$B$2</f>
        <v>14.5</v>
      </c>
      <c r="BA83">
        <f>SYSCLK!BZ82/$B$2</f>
        <v>10.875</v>
      </c>
      <c r="BB83">
        <f>SYSCLK!CA82/$B$2</f>
        <v>8.7000000000000011</v>
      </c>
      <c r="BC83">
        <f>SYSCLK!CB82/$B$2</f>
        <v>7.25</v>
      </c>
      <c r="BD83">
        <f>SYSCLK!CC82/$B$2</f>
        <v>6.2142857142857135</v>
      </c>
      <c r="BE83">
        <f>SYSCLK!CD82/$B$2</f>
        <v>5.4375</v>
      </c>
      <c r="BF83">
        <f>SYSCLK!CE82/$B$2</f>
        <v>4.833333333333333</v>
      </c>
      <c r="BG83">
        <f>SYSCLK!CF82/$B$2</f>
        <v>4.3500000000000005</v>
      </c>
      <c r="BH83">
        <f>SYSCLK!CG82/$B$2</f>
        <v>3.9545454545454546</v>
      </c>
      <c r="BI83">
        <f>SYSCLK!CH82/$B$2</f>
        <v>3.625</v>
      </c>
      <c r="BJ83">
        <f>SYSCLK!CI82/$B$2</f>
        <v>3.3461538461538463</v>
      </c>
      <c r="BK83">
        <f>SYSCLK!CJ82/$B$2</f>
        <v>3.1071428571428568</v>
      </c>
      <c r="BL83">
        <f>SYSCLK!CK82/$B$2</f>
        <v>2.9</v>
      </c>
      <c r="BM83">
        <f>SYSCLK!CL82/$B$2</f>
        <v>2.71875</v>
      </c>
    </row>
    <row r="84" spans="2:65">
      <c r="B84">
        <f>SYSCLK!AA83/$B$2</f>
        <v>0</v>
      </c>
      <c r="C84">
        <f>SYSCLK!AB83/$B$2</f>
        <v>0</v>
      </c>
      <c r="D84">
        <f>SYSCLK!AC83/$B$2</f>
        <v>0</v>
      </c>
      <c r="E84">
        <f>SYSCLK!AD83/$B$2</f>
        <v>0</v>
      </c>
      <c r="F84">
        <f>SYSCLK!AE83/$B$2</f>
        <v>35.200000000000003</v>
      </c>
      <c r="G84">
        <f>SYSCLK!AF83/$B$2</f>
        <v>29.333333333333332</v>
      </c>
      <c r="H84">
        <f>SYSCLK!AG83/$B$2</f>
        <v>25.142857142857142</v>
      </c>
      <c r="I84">
        <f>SYSCLK!AH83/$B$2</f>
        <v>22</v>
      </c>
      <c r="J84">
        <f>SYSCLK!AI83/$B$2</f>
        <v>19.555555555555554</v>
      </c>
      <c r="K84">
        <f>SYSCLK!AJ83/$B$2</f>
        <v>17.600000000000001</v>
      </c>
      <c r="L84">
        <f>SYSCLK!AK83/$B$2</f>
        <v>16</v>
      </c>
      <c r="M84">
        <f>SYSCLK!AL83/$B$2</f>
        <v>14.666666666666666</v>
      </c>
      <c r="N84">
        <f>SYSCLK!AM83/$B$2</f>
        <v>13.53846153846154</v>
      </c>
      <c r="O84">
        <f>SYSCLK!AN83/$B$2</f>
        <v>12.571428571428571</v>
      </c>
      <c r="P84">
        <f>SYSCLK!AO83/$B$2</f>
        <v>11.733333333333333</v>
      </c>
      <c r="Q84">
        <f>SYSCLK!AP83/$B$2</f>
        <v>11</v>
      </c>
      <c r="R84" s="117">
        <f>SYSCLK!AQ83/$B$2</f>
        <v>0</v>
      </c>
      <c r="S84">
        <f>SYSCLK!AR83/$B$2</f>
        <v>0</v>
      </c>
      <c r="T84">
        <f>SYSCLK!AS83/$B$2</f>
        <v>29.333333333333332</v>
      </c>
      <c r="U84">
        <f>SYSCLK!AT83/$B$2</f>
        <v>22</v>
      </c>
      <c r="V84">
        <f>SYSCLK!AU83/$B$2</f>
        <v>17.600000000000001</v>
      </c>
      <c r="W84">
        <f>SYSCLK!AV83/$B$2</f>
        <v>14.666666666666666</v>
      </c>
      <c r="X84">
        <f>SYSCLK!AW83/$B$2</f>
        <v>12.571428571428571</v>
      </c>
      <c r="Y84">
        <f>SYSCLK!AX83/$B$2</f>
        <v>11</v>
      </c>
      <c r="Z84">
        <f>SYSCLK!AY83/$B$2</f>
        <v>9.7777777777777768</v>
      </c>
      <c r="AA84">
        <f>SYSCLK!AZ83/$B$2</f>
        <v>8.8000000000000007</v>
      </c>
      <c r="AB84">
        <f>SYSCLK!BA83/$B$2</f>
        <v>8</v>
      </c>
      <c r="AC84">
        <f>SYSCLK!BB83/$B$2</f>
        <v>7.333333333333333</v>
      </c>
      <c r="AD84">
        <f>SYSCLK!BC83/$B$2</f>
        <v>6.7692307692307701</v>
      </c>
      <c r="AE84">
        <f>SYSCLK!BD83/$B$2</f>
        <v>6.2857142857142856</v>
      </c>
      <c r="AF84">
        <f>SYSCLK!BE83/$B$2</f>
        <v>5.8666666666666663</v>
      </c>
      <c r="AG84" s="118">
        <f>SYSCLK!BF83/$B$2</f>
        <v>5.5</v>
      </c>
      <c r="AH84">
        <f>SYSCLK!BG83/$B$2</f>
        <v>0</v>
      </c>
      <c r="AI84">
        <f>SYSCLK!BH83/$B$2</f>
        <v>29.333333333333332</v>
      </c>
      <c r="AJ84">
        <f>SYSCLK!BI83/$B$2</f>
        <v>19.555555555555554</v>
      </c>
      <c r="AK84">
        <f>SYSCLK!BJ83/$B$2</f>
        <v>14.666666666666666</v>
      </c>
      <c r="AL84">
        <f>SYSCLK!BK83/$B$2</f>
        <v>11.733333333333334</v>
      </c>
      <c r="AM84">
        <f>SYSCLK!BL83/$B$2</f>
        <v>9.7777777777777768</v>
      </c>
      <c r="AN84">
        <f>SYSCLK!BM83/$B$2</f>
        <v>8.3809523809523814</v>
      </c>
      <c r="AO84">
        <f>SYSCLK!BN83/$B$2</f>
        <v>7.333333333333333</v>
      </c>
      <c r="AP84">
        <f>SYSCLK!BO83/$B$2</f>
        <v>6.5185185185185182</v>
      </c>
      <c r="AQ84">
        <f>SYSCLK!BP83/$B$2</f>
        <v>5.8666666666666671</v>
      </c>
      <c r="AR84">
        <f>SYSCLK!BQ83/$B$2</f>
        <v>5.333333333333333</v>
      </c>
      <c r="AS84">
        <f>SYSCLK!BR83/$B$2</f>
        <v>4.8888888888888884</v>
      </c>
      <c r="AT84">
        <f>SYSCLK!BS83/$B$2</f>
        <v>4.5128205128205137</v>
      </c>
      <c r="AU84">
        <f>SYSCLK!BT83/$B$2</f>
        <v>4.1904761904761907</v>
      </c>
      <c r="AV84">
        <f>SYSCLK!BU83/$B$2</f>
        <v>3.911111111111111</v>
      </c>
      <c r="AW84">
        <f>SYSCLK!BV83/$B$2</f>
        <v>3.6666666666666665</v>
      </c>
      <c r="AX84" s="117">
        <f>SYSCLK!BW83/$B$2</f>
        <v>0</v>
      </c>
      <c r="AY84">
        <f>SYSCLK!BX83/$B$2</f>
        <v>22</v>
      </c>
      <c r="AZ84">
        <f>SYSCLK!BY83/$B$2</f>
        <v>14.666666666666666</v>
      </c>
      <c r="BA84">
        <f>SYSCLK!BZ83/$B$2</f>
        <v>11</v>
      </c>
      <c r="BB84">
        <f>SYSCLK!CA83/$B$2</f>
        <v>8.8000000000000007</v>
      </c>
      <c r="BC84">
        <f>SYSCLK!CB83/$B$2</f>
        <v>7.333333333333333</v>
      </c>
      <c r="BD84">
        <f>SYSCLK!CC83/$B$2</f>
        <v>6.2857142857142856</v>
      </c>
      <c r="BE84">
        <f>SYSCLK!CD83/$B$2</f>
        <v>5.5</v>
      </c>
      <c r="BF84">
        <f>SYSCLK!CE83/$B$2</f>
        <v>4.8888888888888884</v>
      </c>
      <c r="BG84">
        <f>SYSCLK!CF83/$B$2</f>
        <v>4.4000000000000004</v>
      </c>
      <c r="BH84">
        <f>SYSCLK!CG83/$B$2</f>
        <v>4</v>
      </c>
      <c r="BI84">
        <f>SYSCLK!CH83/$B$2</f>
        <v>3.6666666666666665</v>
      </c>
      <c r="BJ84">
        <f>SYSCLK!CI83/$B$2</f>
        <v>3.384615384615385</v>
      </c>
      <c r="BK84">
        <f>SYSCLK!CJ83/$B$2</f>
        <v>3.1428571428571428</v>
      </c>
      <c r="BL84">
        <f>SYSCLK!CK83/$B$2</f>
        <v>2.9333333333333331</v>
      </c>
      <c r="BM84">
        <f>SYSCLK!CL83/$B$2</f>
        <v>2.75</v>
      </c>
    </row>
    <row r="85" spans="2:65">
      <c r="B85">
        <f>SYSCLK!AA84/$B$2</f>
        <v>0</v>
      </c>
      <c r="C85">
        <f>SYSCLK!AB84/$B$2</f>
        <v>0</v>
      </c>
      <c r="D85">
        <f>SYSCLK!AC84/$B$2</f>
        <v>0</v>
      </c>
      <c r="E85">
        <f>SYSCLK!AD84/$B$2</f>
        <v>0</v>
      </c>
      <c r="F85">
        <f>SYSCLK!AE84/$B$2</f>
        <v>35.6</v>
      </c>
      <c r="G85">
        <f>SYSCLK!AF84/$B$2</f>
        <v>29.666666666666664</v>
      </c>
      <c r="H85">
        <f>SYSCLK!AG84/$B$2</f>
        <v>25.428571428571427</v>
      </c>
      <c r="I85">
        <f>SYSCLK!AH84/$B$2</f>
        <v>22.25</v>
      </c>
      <c r="J85">
        <f>SYSCLK!AI84/$B$2</f>
        <v>19.777777777777775</v>
      </c>
      <c r="K85">
        <f>SYSCLK!AJ84/$B$2</f>
        <v>17.8</v>
      </c>
      <c r="L85">
        <f>SYSCLK!AK84/$B$2</f>
        <v>16.181818181818183</v>
      </c>
      <c r="M85">
        <f>SYSCLK!AL84/$B$2</f>
        <v>14.833333333333332</v>
      </c>
      <c r="N85">
        <f>SYSCLK!AM84/$B$2</f>
        <v>13.692307692307693</v>
      </c>
      <c r="O85">
        <f>SYSCLK!AN84/$B$2</f>
        <v>12.714285714285714</v>
      </c>
      <c r="P85">
        <f>SYSCLK!AO84/$B$2</f>
        <v>11.866666666666667</v>
      </c>
      <c r="Q85">
        <f>SYSCLK!AP84/$B$2</f>
        <v>11.125</v>
      </c>
      <c r="R85" s="117">
        <f>SYSCLK!AQ84/$B$2</f>
        <v>0</v>
      </c>
      <c r="S85">
        <f>SYSCLK!AR84/$B$2</f>
        <v>0</v>
      </c>
      <c r="T85">
        <f>SYSCLK!AS84/$B$2</f>
        <v>29.666666666666664</v>
      </c>
      <c r="U85">
        <f>SYSCLK!AT84/$B$2</f>
        <v>22.25</v>
      </c>
      <c r="V85">
        <f>SYSCLK!AU84/$B$2</f>
        <v>17.8</v>
      </c>
      <c r="W85">
        <f>SYSCLK!AV84/$B$2</f>
        <v>14.833333333333332</v>
      </c>
      <c r="X85">
        <f>SYSCLK!AW84/$B$2</f>
        <v>12.714285714285714</v>
      </c>
      <c r="Y85">
        <f>SYSCLK!AX84/$B$2</f>
        <v>11.125</v>
      </c>
      <c r="Z85">
        <f>SYSCLK!AY84/$B$2</f>
        <v>9.8888888888888875</v>
      </c>
      <c r="AA85">
        <f>SYSCLK!AZ84/$B$2</f>
        <v>8.9</v>
      </c>
      <c r="AB85">
        <f>SYSCLK!BA84/$B$2</f>
        <v>8.0909090909090917</v>
      </c>
      <c r="AC85">
        <f>SYSCLK!BB84/$B$2</f>
        <v>7.4166666666666661</v>
      </c>
      <c r="AD85">
        <f>SYSCLK!BC84/$B$2</f>
        <v>6.8461538461538467</v>
      </c>
      <c r="AE85">
        <f>SYSCLK!BD84/$B$2</f>
        <v>6.3571428571428568</v>
      </c>
      <c r="AF85">
        <f>SYSCLK!BE84/$B$2</f>
        <v>5.9333333333333336</v>
      </c>
      <c r="AG85" s="118">
        <f>SYSCLK!BF84/$B$2</f>
        <v>5.5625</v>
      </c>
      <c r="AH85">
        <f>SYSCLK!BG84/$B$2</f>
        <v>0</v>
      </c>
      <c r="AI85">
        <f>SYSCLK!BH84/$B$2</f>
        <v>29.666666666666668</v>
      </c>
      <c r="AJ85">
        <f>SYSCLK!BI84/$B$2</f>
        <v>19.777777777777775</v>
      </c>
      <c r="AK85">
        <f>SYSCLK!BJ84/$B$2</f>
        <v>14.833333333333334</v>
      </c>
      <c r="AL85">
        <f>SYSCLK!BK84/$B$2</f>
        <v>11.866666666666667</v>
      </c>
      <c r="AM85">
        <f>SYSCLK!BL84/$B$2</f>
        <v>9.8888888888888875</v>
      </c>
      <c r="AN85">
        <f>SYSCLK!BM84/$B$2</f>
        <v>8.4761904761904763</v>
      </c>
      <c r="AO85">
        <f>SYSCLK!BN84/$B$2</f>
        <v>7.416666666666667</v>
      </c>
      <c r="AP85">
        <f>SYSCLK!BO84/$B$2</f>
        <v>6.5925925925925917</v>
      </c>
      <c r="AQ85">
        <f>SYSCLK!BP84/$B$2</f>
        <v>5.9333333333333336</v>
      </c>
      <c r="AR85">
        <f>SYSCLK!BQ84/$B$2</f>
        <v>5.3939393939393945</v>
      </c>
      <c r="AS85">
        <f>SYSCLK!BR84/$B$2</f>
        <v>4.9444444444444438</v>
      </c>
      <c r="AT85">
        <f>SYSCLK!BS84/$B$2</f>
        <v>4.5641025641025648</v>
      </c>
      <c r="AU85">
        <f>SYSCLK!BT84/$B$2</f>
        <v>4.2380952380952381</v>
      </c>
      <c r="AV85">
        <f>SYSCLK!BU84/$B$2</f>
        <v>3.9555555555555557</v>
      </c>
      <c r="AW85">
        <f>SYSCLK!BV84/$B$2</f>
        <v>3.7083333333333335</v>
      </c>
      <c r="AX85" s="117">
        <f>SYSCLK!BW84/$B$2</f>
        <v>0</v>
      </c>
      <c r="AY85">
        <f>SYSCLK!BX84/$B$2</f>
        <v>22.25</v>
      </c>
      <c r="AZ85">
        <f>SYSCLK!BY84/$B$2</f>
        <v>14.833333333333332</v>
      </c>
      <c r="BA85">
        <f>SYSCLK!BZ84/$B$2</f>
        <v>11.125</v>
      </c>
      <c r="BB85">
        <f>SYSCLK!CA84/$B$2</f>
        <v>8.9</v>
      </c>
      <c r="BC85">
        <f>SYSCLK!CB84/$B$2</f>
        <v>7.4166666666666661</v>
      </c>
      <c r="BD85">
        <f>SYSCLK!CC84/$B$2</f>
        <v>6.3571428571428568</v>
      </c>
      <c r="BE85">
        <f>SYSCLK!CD84/$B$2</f>
        <v>5.5625</v>
      </c>
      <c r="BF85">
        <f>SYSCLK!CE84/$B$2</f>
        <v>4.9444444444444438</v>
      </c>
      <c r="BG85">
        <f>SYSCLK!CF84/$B$2</f>
        <v>4.45</v>
      </c>
      <c r="BH85">
        <f>SYSCLK!CG84/$B$2</f>
        <v>4.0454545454545459</v>
      </c>
      <c r="BI85">
        <f>SYSCLK!CH84/$B$2</f>
        <v>3.708333333333333</v>
      </c>
      <c r="BJ85">
        <f>SYSCLK!CI84/$B$2</f>
        <v>3.4230769230769234</v>
      </c>
      <c r="BK85">
        <f>SYSCLK!CJ84/$B$2</f>
        <v>3.1785714285714284</v>
      </c>
      <c r="BL85">
        <f>SYSCLK!CK84/$B$2</f>
        <v>2.9666666666666668</v>
      </c>
      <c r="BM85">
        <f>SYSCLK!CL84/$B$2</f>
        <v>2.78125</v>
      </c>
    </row>
    <row r="86" spans="2:65">
      <c r="B86">
        <f>SYSCLK!AA85/$B$2</f>
        <v>0</v>
      </c>
      <c r="C86">
        <f>SYSCLK!AB85/$B$2</f>
        <v>0</v>
      </c>
      <c r="D86">
        <f>SYSCLK!AC85/$B$2</f>
        <v>0</v>
      </c>
      <c r="E86">
        <f>SYSCLK!AD85/$B$2</f>
        <v>0</v>
      </c>
      <c r="F86">
        <f>SYSCLK!AE85/$B$2</f>
        <v>36</v>
      </c>
      <c r="G86">
        <f>SYSCLK!AF85/$B$2</f>
        <v>30</v>
      </c>
      <c r="H86">
        <f>SYSCLK!AG85/$B$2</f>
        <v>25.714285714285712</v>
      </c>
      <c r="I86">
        <f>SYSCLK!AH85/$B$2</f>
        <v>22.5</v>
      </c>
      <c r="J86">
        <f>SYSCLK!AI85/$B$2</f>
        <v>20</v>
      </c>
      <c r="K86">
        <f>SYSCLK!AJ85/$B$2</f>
        <v>18</v>
      </c>
      <c r="L86">
        <f>SYSCLK!AK85/$B$2</f>
        <v>16.363636363636363</v>
      </c>
      <c r="M86">
        <f>SYSCLK!AL85/$B$2</f>
        <v>15</v>
      </c>
      <c r="N86">
        <f>SYSCLK!AM85/$B$2</f>
        <v>13.846153846153847</v>
      </c>
      <c r="O86">
        <f>SYSCLK!AN85/$B$2</f>
        <v>12.857142857142856</v>
      </c>
      <c r="P86">
        <f>SYSCLK!AO85/$B$2</f>
        <v>12</v>
      </c>
      <c r="Q86">
        <f>SYSCLK!AP85/$B$2</f>
        <v>11.25</v>
      </c>
      <c r="R86" s="117">
        <f>SYSCLK!AQ85/$B$2</f>
        <v>0</v>
      </c>
      <c r="S86">
        <f>SYSCLK!AR85/$B$2</f>
        <v>0</v>
      </c>
      <c r="T86">
        <f>SYSCLK!AS85/$B$2</f>
        <v>30</v>
      </c>
      <c r="U86">
        <f>SYSCLK!AT85/$B$2</f>
        <v>22.5</v>
      </c>
      <c r="V86">
        <f>SYSCLK!AU85/$B$2</f>
        <v>18</v>
      </c>
      <c r="W86">
        <f>SYSCLK!AV85/$B$2</f>
        <v>15</v>
      </c>
      <c r="X86">
        <f>SYSCLK!AW85/$B$2</f>
        <v>12.857142857142856</v>
      </c>
      <c r="Y86">
        <f>SYSCLK!AX85/$B$2</f>
        <v>11.25</v>
      </c>
      <c r="Z86">
        <f>SYSCLK!AY85/$B$2</f>
        <v>10</v>
      </c>
      <c r="AA86">
        <f>SYSCLK!AZ85/$B$2</f>
        <v>9</v>
      </c>
      <c r="AB86">
        <f>SYSCLK!BA85/$B$2</f>
        <v>8.1818181818181817</v>
      </c>
      <c r="AC86">
        <f>SYSCLK!BB85/$B$2</f>
        <v>7.5</v>
      </c>
      <c r="AD86">
        <f>SYSCLK!BC85/$B$2</f>
        <v>6.9230769230769234</v>
      </c>
      <c r="AE86">
        <f>SYSCLK!BD85/$B$2</f>
        <v>6.4285714285714279</v>
      </c>
      <c r="AF86">
        <f>SYSCLK!BE85/$B$2</f>
        <v>6</v>
      </c>
      <c r="AG86" s="118">
        <f>SYSCLK!BF85/$B$2</f>
        <v>5.625</v>
      </c>
      <c r="AH86">
        <f>SYSCLK!BG85/$B$2</f>
        <v>0</v>
      </c>
      <c r="AI86">
        <f>SYSCLK!BH85/$B$2</f>
        <v>30</v>
      </c>
      <c r="AJ86">
        <f>SYSCLK!BI85/$B$2</f>
        <v>20</v>
      </c>
      <c r="AK86">
        <f>SYSCLK!BJ85/$B$2</f>
        <v>15</v>
      </c>
      <c r="AL86">
        <f>SYSCLK!BK85/$B$2</f>
        <v>12</v>
      </c>
      <c r="AM86">
        <f>SYSCLK!BL85/$B$2</f>
        <v>10</v>
      </c>
      <c r="AN86">
        <f>SYSCLK!BM85/$B$2</f>
        <v>8.5714285714285712</v>
      </c>
      <c r="AO86">
        <f>SYSCLK!BN85/$B$2</f>
        <v>7.5</v>
      </c>
      <c r="AP86">
        <f>SYSCLK!BO85/$B$2</f>
        <v>6.666666666666667</v>
      </c>
      <c r="AQ86">
        <f>SYSCLK!BP85/$B$2</f>
        <v>6</v>
      </c>
      <c r="AR86">
        <f>SYSCLK!BQ85/$B$2</f>
        <v>5.4545454545454541</v>
      </c>
      <c r="AS86">
        <f>SYSCLK!BR85/$B$2</f>
        <v>5</v>
      </c>
      <c r="AT86">
        <f>SYSCLK!BS85/$B$2</f>
        <v>4.6153846153846159</v>
      </c>
      <c r="AU86">
        <f>SYSCLK!BT85/$B$2</f>
        <v>4.2857142857142856</v>
      </c>
      <c r="AV86">
        <f>SYSCLK!BU85/$B$2</f>
        <v>4</v>
      </c>
      <c r="AW86">
        <f>SYSCLK!BV85/$B$2</f>
        <v>3.75</v>
      </c>
      <c r="AX86" s="117">
        <f>SYSCLK!BW85/$B$2</f>
        <v>0</v>
      </c>
      <c r="AY86">
        <f>SYSCLK!BX85/$B$2</f>
        <v>22.5</v>
      </c>
      <c r="AZ86">
        <f>SYSCLK!BY85/$B$2</f>
        <v>15</v>
      </c>
      <c r="BA86">
        <f>SYSCLK!BZ85/$B$2</f>
        <v>11.25</v>
      </c>
      <c r="BB86">
        <f>SYSCLK!CA85/$B$2</f>
        <v>9</v>
      </c>
      <c r="BC86">
        <f>SYSCLK!CB85/$B$2</f>
        <v>7.5</v>
      </c>
      <c r="BD86">
        <f>SYSCLK!CC85/$B$2</f>
        <v>6.4285714285714279</v>
      </c>
      <c r="BE86">
        <f>SYSCLK!CD85/$B$2</f>
        <v>5.625</v>
      </c>
      <c r="BF86">
        <f>SYSCLK!CE85/$B$2</f>
        <v>5</v>
      </c>
      <c r="BG86">
        <f>SYSCLK!CF85/$B$2</f>
        <v>4.5</v>
      </c>
      <c r="BH86">
        <f>SYSCLK!CG85/$B$2</f>
        <v>4.0909090909090908</v>
      </c>
      <c r="BI86">
        <f>SYSCLK!CH85/$B$2</f>
        <v>3.75</v>
      </c>
      <c r="BJ86">
        <f>SYSCLK!CI85/$B$2</f>
        <v>3.4615384615384617</v>
      </c>
      <c r="BK86">
        <f>SYSCLK!CJ85/$B$2</f>
        <v>3.214285714285714</v>
      </c>
      <c r="BL86">
        <f>SYSCLK!CK85/$B$2</f>
        <v>3</v>
      </c>
      <c r="BM86">
        <f>SYSCLK!CL85/$B$2</f>
        <v>2.8125</v>
      </c>
    </row>
    <row r="87" spans="2:65">
      <c r="B87">
        <f>SYSCLK!AA86/$B$2</f>
        <v>0</v>
      </c>
      <c r="C87">
        <f>SYSCLK!AB86/$B$2</f>
        <v>0</v>
      </c>
      <c r="D87">
        <f>SYSCLK!AC86/$B$2</f>
        <v>0</v>
      </c>
      <c r="E87">
        <f>SYSCLK!AD86/$B$2</f>
        <v>0</v>
      </c>
      <c r="F87">
        <f>SYSCLK!AE86/$B$2</f>
        <v>36.4</v>
      </c>
      <c r="G87">
        <f>SYSCLK!AF86/$B$2</f>
        <v>30.333333333333332</v>
      </c>
      <c r="H87">
        <f>SYSCLK!AG86/$B$2</f>
        <v>26</v>
      </c>
      <c r="I87">
        <f>SYSCLK!AH86/$B$2</f>
        <v>22.75</v>
      </c>
      <c r="J87">
        <f>SYSCLK!AI86/$B$2</f>
        <v>20.222222222222221</v>
      </c>
      <c r="K87">
        <f>SYSCLK!AJ86/$B$2</f>
        <v>18.2</v>
      </c>
      <c r="L87">
        <f>SYSCLK!AK86/$B$2</f>
        <v>16.545454545454547</v>
      </c>
      <c r="M87">
        <f>SYSCLK!AL86/$B$2</f>
        <v>15.166666666666666</v>
      </c>
      <c r="N87">
        <f>SYSCLK!AM86/$B$2</f>
        <v>14</v>
      </c>
      <c r="O87">
        <f>SYSCLK!AN86/$B$2</f>
        <v>13</v>
      </c>
      <c r="P87">
        <f>SYSCLK!AO86/$B$2</f>
        <v>12.133333333333333</v>
      </c>
      <c r="Q87">
        <f>SYSCLK!AP86/$B$2</f>
        <v>11.375</v>
      </c>
      <c r="R87" s="117">
        <f>SYSCLK!AQ86/$B$2</f>
        <v>0</v>
      </c>
      <c r="S87">
        <f>SYSCLK!AR86/$B$2</f>
        <v>0</v>
      </c>
      <c r="T87">
        <f>SYSCLK!AS86/$B$2</f>
        <v>30.333333333333332</v>
      </c>
      <c r="U87">
        <f>SYSCLK!AT86/$B$2</f>
        <v>22.75</v>
      </c>
      <c r="V87">
        <f>SYSCLK!AU86/$B$2</f>
        <v>18.2</v>
      </c>
      <c r="W87">
        <f>SYSCLK!AV86/$B$2</f>
        <v>15.166666666666666</v>
      </c>
      <c r="X87">
        <f>SYSCLK!AW86/$B$2</f>
        <v>13</v>
      </c>
      <c r="Y87">
        <f>SYSCLK!AX86/$B$2</f>
        <v>11.375</v>
      </c>
      <c r="Z87">
        <f>SYSCLK!AY86/$B$2</f>
        <v>10.111111111111111</v>
      </c>
      <c r="AA87">
        <f>SYSCLK!AZ86/$B$2</f>
        <v>9.1</v>
      </c>
      <c r="AB87">
        <f>SYSCLK!BA86/$B$2</f>
        <v>8.2727272727272734</v>
      </c>
      <c r="AC87">
        <f>SYSCLK!BB86/$B$2</f>
        <v>7.583333333333333</v>
      </c>
      <c r="AD87">
        <f>SYSCLK!BC86/$B$2</f>
        <v>7</v>
      </c>
      <c r="AE87">
        <f>SYSCLK!BD86/$B$2</f>
        <v>6.5</v>
      </c>
      <c r="AF87">
        <f>SYSCLK!BE86/$B$2</f>
        <v>6.0666666666666664</v>
      </c>
      <c r="AG87" s="118">
        <f>SYSCLK!BF86/$B$2</f>
        <v>5.6875</v>
      </c>
      <c r="AH87">
        <f>SYSCLK!BG86/$B$2</f>
        <v>0</v>
      </c>
      <c r="AI87">
        <f>SYSCLK!BH86/$B$2</f>
        <v>30.333333333333332</v>
      </c>
      <c r="AJ87">
        <f>SYSCLK!BI86/$B$2</f>
        <v>20.222222222222221</v>
      </c>
      <c r="AK87">
        <f>SYSCLK!BJ86/$B$2</f>
        <v>15.166666666666666</v>
      </c>
      <c r="AL87">
        <f>SYSCLK!BK86/$B$2</f>
        <v>12.133333333333333</v>
      </c>
      <c r="AM87">
        <f>SYSCLK!BL86/$B$2</f>
        <v>10.111111111111111</v>
      </c>
      <c r="AN87">
        <f>SYSCLK!BM86/$B$2</f>
        <v>8.6666666666666661</v>
      </c>
      <c r="AO87">
        <f>SYSCLK!BN86/$B$2</f>
        <v>7.583333333333333</v>
      </c>
      <c r="AP87">
        <f>SYSCLK!BO86/$B$2</f>
        <v>6.7407407407407405</v>
      </c>
      <c r="AQ87">
        <f>SYSCLK!BP86/$B$2</f>
        <v>6.0666666666666664</v>
      </c>
      <c r="AR87">
        <f>SYSCLK!BQ86/$B$2</f>
        <v>5.5151515151515156</v>
      </c>
      <c r="AS87">
        <f>SYSCLK!BR86/$B$2</f>
        <v>5.0555555555555554</v>
      </c>
      <c r="AT87">
        <f>SYSCLK!BS86/$B$2</f>
        <v>4.666666666666667</v>
      </c>
      <c r="AU87">
        <f>SYSCLK!BT86/$B$2</f>
        <v>4.333333333333333</v>
      </c>
      <c r="AV87">
        <f>SYSCLK!BU86/$B$2</f>
        <v>4.0444444444444443</v>
      </c>
      <c r="AW87">
        <f>SYSCLK!BV86/$B$2</f>
        <v>3.7916666666666665</v>
      </c>
      <c r="AX87" s="117">
        <f>SYSCLK!BW86/$B$2</f>
        <v>0</v>
      </c>
      <c r="AY87">
        <f>SYSCLK!BX86/$B$2</f>
        <v>22.75</v>
      </c>
      <c r="AZ87">
        <f>SYSCLK!BY86/$B$2</f>
        <v>15.166666666666666</v>
      </c>
      <c r="BA87">
        <f>SYSCLK!BZ86/$B$2</f>
        <v>11.375</v>
      </c>
      <c r="BB87">
        <f>SYSCLK!CA86/$B$2</f>
        <v>9.1</v>
      </c>
      <c r="BC87">
        <f>SYSCLK!CB86/$B$2</f>
        <v>7.583333333333333</v>
      </c>
      <c r="BD87">
        <f>SYSCLK!CC86/$B$2</f>
        <v>6.5</v>
      </c>
      <c r="BE87">
        <f>SYSCLK!CD86/$B$2</f>
        <v>5.6875</v>
      </c>
      <c r="BF87">
        <f>SYSCLK!CE86/$B$2</f>
        <v>5.0555555555555554</v>
      </c>
      <c r="BG87">
        <f>SYSCLK!CF86/$B$2</f>
        <v>4.55</v>
      </c>
      <c r="BH87">
        <f>SYSCLK!CG86/$B$2</f>
        <v>4.1363636363636367</v>
      </c>
      <c r="BI87">
        <f>SYSCLK!CH86/$B$2</f>
        <v>3.7916666666666665</v>
      </c>
      <c r="BJ87">
        <f>SYSCLK!CI86/$B$2</f>
        <v>3.5</v>
      </c>
      <c r="BK87">
        <f>SYSCLK!CJ86/$B$2</f>
        <v>3.25</v>
      </c>
      <c r="BL87">
        <f>SYSCLK!CK86/$B$2</f>
        <v>3.0333333333333332</v>
      </c>
      <c r="BM87">
        <f>SYSCLK!CL86/$B$2</f>
        <v>2.84375</v>
      </c>
    </row>
    <row r="88" spans="2:65">
      <c r="B88">
        <f>SYSCLK!AA87/$B$2</f>
        <v>0</v>
      </c>
      <c r="C88">
        <f>SYSCLK!AB87/$B$2</f>
        <v>0</v>
      </c>
      <c r="D88">
        <f>SYSCLK!AC87/$B$2</f>
        <v>0</v>
      </c>
      <c r="E88">
        <f>SYSCLK!AD87/$B$2</f>
        <v>0</v>
      </c>
      <c r="F88">
        <f>SYSCLK!AE87/$B$2</f>
        <v>36.800000000000004</v>
      </c>
      <c r="G88">
        <f>SYSCLK!AF87/$B$2</f>
        <v>30.666666666666664</v>
      </c>
      <c r="H88">
        <f>SYSCLK!AG87/$B$2</f>
        <v>26.285714285714285</v>
      </c>
      <c r="I88">
        <f>SYSCLK!AH87/$B$2</f>
        <v>23</v>
      </c>
      <c r="J88">
        <f>SYSCLK!AI87/$B$2</f>
        <v>20.444444444444443</v>
      </c>
      <c r="K88">
        <f>SYSCLK!AJ87/$B$2</f>
        <v>18.400000000000002</v>
      </c>
      <c r="L88">
        <f>SYSCLK!AK87/$B$2</f>
        <v>16.727272727272727</v>
      </c>
      <c r="M88">
        <f>SYSCLK!AL87/$B$2</f>
        <v>15.333333333333332</v>
      </c>
      <c r="N88">
        <f>SYSCLK!AM87/$B$2</f>
        <v>14.153846153846155</v>
      </c>
      <c r="O88">
        <f>SYSCLK!AN87/$B$2</f>
        <v>13.142857142857142</v>
      </c>
      <c r="P88">
        <f>SYSCLK!AO87/$B$2</f>
        <v>12.266666666666666</v>
      </c>
      <c r="Q88">
        <f>SYSCLK!AP87/$B$2</f>
        <v>11.5</v>
      </c>
      <c r="R88" s="117">
        <f>SYSCLK!AQ87/$B$2</f>
        <v>0</v>
      </c>
      <c r="S88">
        <f>SYSCLK!AR87/$B$2</f>
        <v>0</v>
      </c>
      <c r="T88">
        <f>SYSCLK!AS87/$B$2</f>
        <v>30.666666666666664</v>
      </c>
      <c r="U88">
        <f>SYSCLK!AT87/$B$2</f>
        <v>23</v>
      </c>
      <c r="V88">
        <f>SYSCLK!AU87/$B$2</f>
        <v>18.400000000000002</v>
      </c>
      <c r="W88">
        <f>SYSCLK!AV87/$B$2</f>
        <v>15.333333333333332</v>
      </c>
      <c r="X88">
        <f>SYSCLK!AW87/$B$2</f>
        <v>13.142857142857142</v>
      </c>
      <c r="Y88">
        <f>SYSCLK!AX87/$B$2</f>
        <v>11.5</v>
      </c>
      <c r="Z88">
        <f>SYSCLK!AY87/$B$2</f>
        <v>10.222222222222221</v>
      </c>
      <c r="AA88">
        <f>SYSCLK!AZ87/$B$2</f>
        <v>9.2000000000000011</v>
      </c>
      <c r="AB88">
        <f>SYSCLK!BA87/$B$2</f>
        <v>8.3636363636363633</v>
      </c>
      <c r="AC88">
        <f>SYSCLK!BB87/$B$2</f>
        <v>7.6666666666666661</v>
      </c>
      <c r="AD88">
        <f>SYSCLK!BC87/$B$2</f>
        <v>7.0769230769230775</v>
      </c>
      <c r="AE88">
        <f>SYSCLK!BD87/$B$2</f>
        <v>6.5714285714285712</v>
      </c>
      <c r="AF88">
        <f>SYSCLK!BE87/$B$2</f>
        <v>6.1333333333333329</v>
      </c>
      <c r="AG88" s="118">
        <f>SYSCLK!BF87/$B$2</f>
        <v>5.75</v>
      </c>
      <c r="AH88">
        <f>SYSCLK!BG87/$B$2</f>
        <v>0</v>
      </c>
      <c r="AI88">
        <f>SYSCLK!BH87/$B$2</f>
        <v>30.666666666666668</v>
      </c>
      <c r="AJ88">
        <f>SYSCLK!BI87/$B$2</f>
        <v>20.444444444444443</v>
      </c>
      <c r="AK88">
        <f>SYSCLK!BJ87/$B$2</f>
        <v>15.333333333333334</v>
      </c>
      <c r="AL88">
        <f>SYSCLK!BK87/$B$2</f>
        <v>12.266666666666667</v>
      </c>
      <c r="AM88">
        <f>SYSCLK!BL87/$B$2</f>
        <v>10.222222222222221</v>
      </c>
      <c r="AN88">
        <f>SYSCLK!BM87/$B$2</f>
        <v>8.761904761904761</v>
      </c>
      <c r="AO88">
        <f>SYSCLK!BN87/$B$2</f>
        <v>7.666666666666667</v>
      </c>
      <c r="AP88">
        <f>SYSCLK!BO87/$B$2</f>
        <v>6.814814814814814</v>
      </c>
      <c r="AQ88">
        <f>SYSCLK!BP87/$B$2</f>
        <v>6.1333333333333337</v>
      </c>
      <c r="AR88">
        <f>SYSCLK!BQ87/$B$2</f>
        <v>5.5757575757575752</v>
      </c>
      <c r="AS88">
        <f>SYSCLK!BR87/$B$2</f>
        <v>5.1111111111111107</v>
      </c>
      <c r="AT88">
        <f>SYSCLK!BS87/$B$2</f>
        <v>4.7179487179487181</v>
      </c>
      <c r="AU88">
        <f>SYSCLK!BT87/$B$2</f>
        <v>4.3809523809523805</v>
      </c>
      <c r="AV88">
        <f>SYSCLK!BU87/$B$2</f>
        <v>4.0888888888888886</v>
      </c>
      <c r="AW88">
        <f>SYSCLK!BV87/$B$2</f>
        <v>3.8333333333333335</v>
      </c>
      <c r="AX88" s="117">
        <f>SYSCLK!BW87/$B$2</f>
        <v>0</v>
      </c>
      <c r="AY88">
        <f>SYSCLK!BX87/$B$2</f>
        <v>23</v>
      </c>
      <c r="AZ88">
        <f>SYSCLK!BY87/$B$2</f>
        <v>15.333333333333332</v>
      </c>
      <c r="BA88">
        <f>SYSCLK!BZ87/$B$2</f>
        <v>11.5</v>
      </c>
      <c r="BB88">
        <f>SYSCLK!CA87/$B$2</f>
        <v>9.2000000000000011</v>
      </c>
      <c r="BC88">
        <f>SYSCLK!CB87/$B$2</f>
        <v>7.6666666666666661</v>
      </c>
      <c r="BD88">
        <f>SYSCLK!CC87/$B$2</f>
        <v>6.5714285714285712</v>
      </c>
      <c r="BE88">
        <f>SYSCLK!CD87/$B$2</f>
        <v>5.75</v>
      </c>
      <c r="BF88">
        <f>SYSCLK!CE87/$B$2</f>
        <v>5.1111111111111107</v>
      </c>
      <c r="BG88">
        <f>SYSCLK!CF87/$B$2</f>
        <v>4.6000000000000005</v>
      </c>
      <c r="BH88">
        <f>SYSCLK!CG87/$B$2</f>
        <v>4.1818181818181817</v>
      </c>
      <c r="BI88">
        <f>SYSCLK!CH87/$B$2</f>
        <v>3.833333333333333</v>
      </c>
      <c r="BJ88">
        <f>SYSCLK!CI87/$B$2</f>
        <v>3.5384615384615388</v>
      </c>
      <c r="BK88">
        <f>SYSCLK!CJ87/$B$2</f>
        <v>3.2857142857142856</v>
      </c>
      <c r="BL88">
        <f>SYSCLK!CK87/$B$2</f>
        <v>3.0666666666666664</v>
      </c>
      <c r="BM88">
        <f>SYSCLK!CL87/$B$2</f>
        <v>2.875</v>
      </c>
    </row>
    <row r="89" spans="2:65">
      <c r="B89">
        <f>SYSCLK!AA88/$B$2</f>
        <v>0</v>
      </c>
      <c r="C89">
        <f>SYSCLK!AB88/$B$2</f>
        <v>0</v>
      </c>
      <c r="D89">
        <f>SYSCLK!AC88/$B$2</f>
        <v>0</v>
      </c>
      <c r="E89">
        <f>SYSCLK!AD88/$B$2</f>
        <v>0</v>
      </c>
      <c r="F89">
        <f>SYSCLK!AE88/$B$2</f>
        <v>37.200000000000003</v>
      </c>
      <c r="G89">
        <f>SYSCLK!AF88/$B$2</f>
        <v>31</v>
      </c>
      <c r="H89">
        <f>SYSCLK!AG88/$B$2</f>
        <v>26.571428571428569</v>
      </c>
      <c r="I89">
        <f>SYSCLK!AH88/$B$2</f>
        <v>23.25</v>
      </c>
      <c r="J89">
        <f>SYSCLK!AI88/$B$2</f>
        <v>20.666666666666664</v>
      </c>
      <c r="K89">
        <f>SYSCLK!AJ88/$B$2</f>
        <v>18.600000000000001</v>
      </c>
      <c r="L89">
        <f>SYSCLK!AK88/$B$2</f>
        <v>16.90909090909091</v>
      </c>
      <c r="M89">
        <f>SYSCLK!AL88/$B$2</f>
        <v>15.5</v>
      </c>
      <c r="N89">
        <f>SYSCLK!AM88/$B$2</f>
        <v>14.307692307692308</v>
      </c>
      <c r="O89">
        <f>SYSCLK!AN88/$B$2</f>
        <v>13.285714285714285</v>
      </c>
      <c r="P89">
        <f>SYSCLK!AO88/$B$2</f>
        <v>12.4</v>
      </c>
      <c r="Q89">
        <f>SYSCLK!AP88/$B$2</f>
        <v>11.625</v>
      </c>
      <c r="R89" s="117">
        <f>SYSCLK!AQ88/$B$2</f>
        <v>0</v>
      </c>
      <c r="S89">
        <f>SYSCLK!AR88/$B$2</f>
        <v>0</v>
      </c>
      <c r="T89">
        <f>SYSCLK!AS88/$B$2</f>
        <v>31</v>
      </c>
      <c r="U89">
        <f>SYSCLK!AT88/$B$2</f>
        <v>23.25</v>
      </c>
      <c r="V89">
        <f>SYSCLK!AU88/$B$2</f>
        <v>18.600000000000001</v>
      </c>
      <c r="W89">
        <f>SYSCLK!AV88/$B$2</f>
        <v>15.5</v>
      </c>
      <c r="X89">
        <f>SYSCLK!AW88/$B$2</f>
        <v>13.285714285714285</v>
      </c>
      <c r="Y89">
        <f>SYSCLK!AX88/$B$2</f>
        <v>11.625</v>
      </c>
      <c r="Z89">
        <f>SYSCLK!AY88/$B$2</f>
        <v>10.333333333333332</v>
      </c>
      <c r="AA89">
        <f>SYSCLK!AZ88/$B$2</f>
        <v>9.3000000000000007</v>
      </c>
      <c r="AB89">
        <f>SYSCLK!BA88/$B$2</f>
        <v>8.454545454545455</v>
      </c>
      <c r="AC89">
        <f>SYSCLK!BB88/$B$2</f>
        <v>7.75</v>
      </c>
      <c r="AD89">
        <f>SYSCLK!BC88/$B$2</f>
        <v>7.1538461538461542</v>
      </c>
      <c r="AE89">
        <f>SYSCLK!BD88/$B$2</f>
        <v>6.6428571428571423</v>
      </c>
      <c r="AF89">
        <f>SYSCLK!BE88/$B$2</f>
        <v>6.2</v>
      </c>
      <c r="AG89" s="118">
        <f>SYSCLK!BF88/$B$2</f>
        <v>5.8125</v>
      </c>
      <c r="AH89">
        <f>SYSCLK!BG88/$B$2</f>
        <v>0</v>
      </c>
      <c r="AI89">
        <f>SYSCLK!BH88/$B$2</f>
        <v>31</v>
      </c>
      <c r="AJ89">
        <f>SYSCLK!BI88/$B$2</f>
        <v>20.666666666666668</v>
      </c>
      <c r="AK89">
        <f>SYSCLK!BJ88/$B$2</f>
        <v>15.5</v>
      </c>
      <c r="AL89">
        <f>SYSCLK!BK88/$B$2</f>
        <v>12.4</v>
      </c>
      <c r="AM89">
        <f>SYSCLK!BL88/$B$2</f>
        <v>10.333333333333334</v>
      </c>
      <c r="AN89">
        <f>SYSCLK!BM88/$B$2</f>
        <v>8.8571428571428559</v>
      </c>
      <c r="AO89">
        <f>SYSCLK!BN88/$B$2</f>
        <v>7.75</v>
      </c>
      <c r="AP89">
        <f>SYSCLK!BO88/$B$2</f>
        <v>6.8888888888888884</v>
      </c>
      <c r="AQ89">
        <f>SYSCLK!BP88/$B$2</f>
        <v>6.2</v>
      </c>
      <c r="AR89">
        <f>SYSCLK!BQ88/$B$2</f>
        <v>5.6363636363636367</v>
      </c>
      <c r="AS89">
        <f>SYSCLK!BR88/$B$2</f>
        <v>5.166666666666667</v>
      </c>
      <c r="AT89">
        <f>SYSCLK!BS88/$B$2</f>
        <v>4.7692307692307692</v>
      </c>
      <c r="AU89">
        <f>SYSCLK!BT88/$B$2</f>
        <v>4.4285714285714279</v>
      </c>
      <c r="AV89">
        <f>SYSCLK!BU88/$B$2</f>
        <v>4.1333333333333337</v>
      </c>
      <c r="AW89">
        <f>SYSCLK!BV88/$B$2</f>
        <v>3.875</v>
      </c>
      <c r="AX89" s="117">
        <f>SYSCLK!BW88/$B$2</f>
        <v>0</v>
      </c>
      <c r="AY89">
        <f>SYSCLK!BX88/$B$2</f>
        <v>23.25</v>
      </c>
      <c r="AZ89">
        <f>SYSCLK!BY88/$B$2</f>
        <v>15.5</v>
      </c>
      <c r="BA89">
        <f>SYSCLK!BZ88/$B$2</f>
        <v>11.625</v>
      </c>
      <c r="BB89">
        <f>SYSCLK!CA88/$B$2</f>
        <v>9.3000000000000007</v>
      </c>
      <c r="BC89">
        <f>SYSCLK!CB88/$B$2</f>
        <v>7.75</v>
      </c>
      <c r="BD89">
        <f>SYSCLK!CC88/$B$2</f>
        <v>6.6428571428571423</v>
      </c>
      <c r="BE89">
        <f>SYSCLK!CD88/$B$2</f>
        <v>5.8125</v>
      </c>
      <c r="BF89">
        <f>SYSCLK!CE88/$B$2</f>
        <v>5.1666666666666661</v>
      </c>
      <c r="BG89">
        <f>SYSCLK!CF88/$B$2</f>
        <v>4.6500000000000004</v>
      </c>
      <c r="BH89">
        <f>SYSCLK!CG88/$B$2</f>
        <v>4.2272727272727275</v>
      </c>
      <c r="BI89">
        <f>SYSCLK!CH88/$B$2</f>
        <v>3.875</v>
      </c>
      <c r="BJ89">
        <f>SYSCLK!CI88/$B$2</f>
        <v>3.5769230769230771</v>
      </c>
      <c r="BK89">
        <f>SYSCLK!CJ88/$B$2</f>
        <v>3.3214285714285712</v>
      </c>
      <c r="BL89">
        <f>SYSCLK!CK88/$B$2</f>
        <v>3.1</v>
      </c>
      <c r="BM89">
        <f>SYSCLK!CL88/$B$2</f>
        <v>2.90625</v>
      </c>
    </row>
    <row r="90" spans="2:65">
      <c r="B90">
        <f>SYSCLK!AA89/$B$2</f>
        <v>0</v>
      </c>
      <c r="C90">
        <f>SYSCLK!AB89/$B$2</f>
        <v>0</v>
      </c>
      <c r="D90">
        <f>SYSCLK!AC89/$B$2</f>
        <v>0</v>
      </c>
      <c r="E90">
        <f>SYSCLK!AD89/$B$2</f>
        <v>0</v>
      </c>
      <c r="F90">
        <f>SYSCLK!AE89/$B$2</f>
        <v>37.6</v>
      </c>
      <c r="G90">
        <f>SYSCLK!AF89/$B$2</f>
        <v>31.333333333333332</v>
      </c>
      <c r="H90">
        <f>SYSCLK!AG89/$B$2</f>
        <v>26.857142857142854</v>
      </c>
      <c r="I90">
        <f>SYSCLK!AH89/$B$2</f>
        <v>23.5</v>
      </c>
      <c r="J90">
        <f>SYSCLK!AI89/$B$2</f>
        <v>20.888888888888889</v>
      </c>
      <c r="K90">
        <f>SYSCLK!AJ89/$B$2</f>
        <v>18.8</v>
      </c>
      <c r="L90">
        <f>SYSCLK!AK89/$B$2</f>
        <v>17.09090909090909</v>
      </c>
      <c r="M90">
        <f>SYSCLK!AL89/$B$2</f>
        <v>15.666666666666666</v>
      </c>
      <c r="N90">
        <f>SYSCLK!AM89/$B$2</f>
        <v>14.461538461538462</v>
      </c>
      <c r="O90">
        <f>SYSCLK!AN89/$B$2</f>
        <v>13.428571428571427</v>
      </c>
      <c r="P90">
        <f>SYSCLK!AO89/$B$2</f>
        <v>12.533333333333333</v>
      </c>
      <c r="Q90">
        <f>SYSCLK!AP89/$B$2</f>
        <v>11.75</v>
      </c>
      <c r="R90" s="117">
        <f>SYSCLK!AQ89/$B$2</f>
        <v>0</v>
      </c>
      <c r="S90">
        <f>SYSCLK!AR89/$B$2</f>
        <v>0</v>
      </c>
      <c r="T90">
        <f>SYSCLK!AS89/$B$2</f>
        <v>31.333333333333332</v>
      </c>
      <c r="U90">
        <f>SYSCLK!AT89/$B$2</f>
        <v>23.5</v>
      </c>
      <c r="V90">
        <f>SYSCLK!AU89/$B$2</f>
        <v>18.8</v>
      </c>
      <c r="W90">
        <f>SYSCLK!AV89/$B$2</f>
        <v>15.666666666666666</v>
      </c>
      <c r="X90">
        <f>SYSCLK!AW89/$B$2</f>
        <v>13.428571428571427</v>
      </c>
      <c r="Y90">
        <f>SYSCLK!AX89/$B$2</f>
        <v>11.75</v>
      </c>
      <c r="Z90">
        <f>SYSCLK!AY89/$B$2</f>
        <v>10.444444444444445</v>
      </c>
      <c r="AA90">
        <f>SYSCLK!AZ89/$B$2</f>
        <v>9.4</v>
      </c>
      <c r="AB90">
        <f>SYSCLK!BA89/$B$2</f>
        <v>8.545454545454545</v>
      </c>
      <c r="AC90">
        <f>SYSCLK!BB89/$B$2</f>
        <v>7.833333333333333</v>
      </c>
      <c r="AD90">
        <f>SYSCLK!BC89/$B$2</f>
        <v>7.2307692307692308</v>
      </c>
      <c r="AE90">
        <f>SYSCLK!BD89/$B$2</f>
        <v>6.7142857142857135</v>
      </c>
      <c r="AF90">
        <f>SYSCLK!BE89/$B$2</f>
        <v>6.2666666666666666</v>
      </c>
      <c r="AG90" s="118">
        <f>SYSCLK!BF89/$B$2</f>
        <v>5.875</v>
      </c>
      <c r="AH90">
        <f>SYSCLK!BG89/$B$2</f>
        <v>0</v>
      </c>
      <c r="AI90">
        <f>SYSCLK!BH89/$B$2</f>
        <v>31.333333333333332</v>
      </c>
      <c r="AJ90">
        <f>SYSCLK!BI89/$B$2</f>
        <v>20.888888888888889</v>
      </c>
      <c r="AK90">
        <f>SYSCLK!BJ89/$B$2</f>
        <v>15.666666666666666</v>
      </c>
      <c r="AL90">
        <f>SYSCLK!BK89/$B$2</f>
        <v>12.533333333333333</v>
      </c>
      <c r="AM90">
        <f>SYSCLK!BL89/$B$2</f>
        <v>10.444444444444445</v>
      </c>
      <c r="AN90">
        <f>SYSCLK!BM89/$B$2</f>
        <v>8.9523809523809508</v>
      </c>
      <c r="AO90">
        <f>SYSCLK!BN89/$B$2</f>
        <v>7.833333333333333</v>
      </c>
      <c r="AP90">
        <f>SYSCLK!BO89/$B$2</f>
        <v>6.9629629629629628</v>
      </c>
      <c r="AQ90">
        <f>SYSCLK!BP89/$B$2</f>
        <v>6.2666666666666666</v>
      </c>
      <c r="AR90">
        <f>SYSCLK!BQ89/$B$2</f>
        <v>5.6969696969696964</v>
      </c>
      <c r="AS90">
        <f>SYSCLK!BR89/$B$2</f>
        <v>5.2222222222222223</v>
      </c>
      <c r="AT90">
        <f>SYSCLK!BS89/$B$2</f>
        <v>4.8205128205128203</v>
      </c>
      <c r="AU90">
        <f>SYSCLK!BT89/$B$2</f>
        <v>4.4761904761904754</v>
      </c>
      <c r="AV90">
        <f>SYSCLK!BU89/$B$2</f>
        <v>4.177777777777778</v>
      </c>
      <c r="AW90">
        <f>SYSCLK!BV89/$B$2</f>
        <v>3.9166666666666665</v>
      </c>
      <c r="AX90" s="117">
        <f>SYSCLK!BW89/$B$2</f>
        <v>0</v>
      </c>
      <c r="AY90">
        <f>SYSCLK!BX89/$B$2</f>
        <v>23.5</v>
      </c>
      <c r="AZ90">
        <f>SYSCLK!BY89/$B$2</f>
        <v>15.666666666666666</v>
      </c>
      <c r="BA90">
        <f>SYSCLK!BZ89/$B$2</f>
        <v>11.75</v>
      </c>
      <c r="BB90">
        <f>SYSCLK!CA89/$B$2</f>
        <v>9.4</v>
      </c>
      <c r="BC90">
        <f>SYSCLK!CB89/$B$2</f>
        <v>7.833333333333333</v>
      </c>
      <c r="BD90">
        <f>SYSCLK!CC89/$B$2</f>
        <v>6.7142857142857135</v>
      </c>
      <c r="BE90">
        <f>SYSCLK!CD89/$B$2</f>
        <v>5.875</v>
      </c>
      <c r="BF90">
        <f>SYSCLK!CE89/$B$2</f>
        <v>5.2222222222222223</v>
      </c>
      <c r="BG90">
        <f>SYSCLK!CF89/$B$2</f>
        <v>4.7</v>
      </c>
      <c r="BH90">
        <f>SYSCLK!CG89/$B$2</f>
        <v>4.2727272727272725</v>
      </c>
      <c r="BI90">
        <f>SYSCLK!CH89/$B$2</f>
        <v>3.9166666666666665</v>
      </c>
      <c r="BJ90">
        <f>SYSCLK!CI89/$B$2</f>
        <v>3.6153846153846154</v>
      </c>
      <c r="BK90">
        <f>SYSCLK!CJ89/$B$2</f>
        <v>3.3571428571428568</v>
      </c>
      <c r="BL90">
        <f>SYSCLK!CK89/$B$2</f>
        <v>3.1333333333333333</v>
      </c>
      <c r="BM90">
        <f>SYSCLK!CL89/$B$2</f>
        <v>2.9375</v>
      </c>
    </row>
    <row r="91" spans="2:65">
      <c r="B91">
        <f>SYSCLK!AA90/$B$2</f>
        <v>0</v>
      </c>
      <c r="C91">
        <f>SYSCLK!AB90/$B$2</f>
        <v>0</v>
      </c>
      <c r="D91">
        <f>SYSCLK!AC90/$B$2</f>
        <v>0</v>
      </c>
      <c r="E91">
        <f>SYSCLK!AD90/$B$2</f>
        <v>0</v>
      </c>
      <c r="F91">
        <f>SYSCLK!AE90/$B$2</f>
        <v>38</v>
      </c>
      <c r="G91">
        <f>SYSCLK!AF90/$B$2</f>
        <v>31.666666666666664</v>
      </c>
      <c r="H91">
        <f>SYSCLK!AG90/$B$2</f>
        <v>27.142857142857142</v>
      </c>
      <c r="I91">
        <f>SYSCLK!AH90/$B$2</f>
        <v>23.75</v>
      </c>
      <c r="J91">
        <f>SYSCLK!AI90/$B$2</f>
        <v>21.111111111111111</v>
      </c>
      <c r="K91">
        <f>SYSCLK!AJ90/$B$2</f>
        <v>19</v>
      </c>
      <c r="L91">
        <f>SYSCLK!AK90/$B$2</f>
        <v>17.272727272727273</v>
      </c>
      <c r="M91">
        <f>SYSCLK!AL90/$B$2</f>
        <v>15.833333333333332</v>
      </c>
      <c r="N91">
        <f>SYSCLK!AM90/$B$2</f>
        <v>14.615384615384617</v>
      </c>
      <c r="O91">
        <f>SYSCLK!AN90/$B$2</f>
        <v>13.571428571428571</v>
      </c>
      <c r="P91">
        <f>SYSCLK!AO90/$B$2</f>
        <v>12.666666666666666</v>
      </c>
      <c r="Q91">
        <f>SYSCLK!AP90/$B$2</f>
        <v>11.875</v>
      </c>
      <c r="R91" s="117">
        <f>SYSCLK!AQ90/$B$2</f>
        <v>0</v>
      </c>
      <c r="S91">
        <f>SYSCLK!AR90/$B$2</f>
        <v>0</v>
      </c>
      <c r="T91">
        <f>SYSCLK!AS90/$B$2</f>
        <v>31.666666666666664</v>
      </c>
      <c r="U91">
        <f>SYSCLK!AT90/$B$2</f>
        <v>23.75</v>
      </c>
      <c r="V91">
        <f>SYSCLK!AU90/$B$2</f>
        <v>19</v>
      </c>
      <c r="W91">
        <f>SYSCLK!AV90/$B$2</f>
        <v>15.833333333333332</v>
      </c>
      <c r="X91">
        <f>SYSCLK!AW90/$B$2</f>
        <v>13.571428571428571</v>
      </c>
      <c r="Y91">
        <f>SYSCLK!AX90/$B$2</f>
        <v>11.875</v>
      </c>
      <c r="Z91">
        <f>SYSCLK!AY90/$B$2</f>
        <v>10.555555555555555</v>
      </c>
      <c r="AA91">
        <f>SYSCLK!AZ90/$B$2</f>
        <v>9.5</v>
      </c>
      <c r="AB91">
        <f>SYSCLK!BA90/$B$2</f>
        <v>8.6363636363636367</v>
      </c>
      <c r="AC91">
        <f>SYSCLK!BB90/$B$2</f>
        <v>7.9166666666666661</v>
      </c>
      <c r="AD91">
        <f>SYSCLK!BC90/$B$2</f>
        <v>7.3076923076923084</v>
      </c>
      <c r="AE91">
        <f>SYSCLK!BD90/$B$2</f>
        <v>6.7857142857142856</v>
      </c>
      <c r="AF91">
        <f>SYSCLK!BE90/$B$2</f>
        <v>6.333333333333333</v>
      </c>
      <c r="AG91" s="118">
        <f>SYSCLK!BF90/$B$2</f>
        <v>5.9375</v>
      </c>
      <c r="AH91">
        <f>SYSCLK!BG90/$B$2</f>
        <v>0</v>
      </c>
      <c r="AI91">
        <f>SYSCLK!BH90/$B$2</f>
        <v>31.666666666666668</v>
      </c>
      <c r="AJ91">
        <f>SYSCLK!BI90/$B$2</f>
        <v>21.111111111111111</v>
      </c>
      <c r="AK91">
        <f>SYSCLK!BJ90/$B$2</f>
        <v>15.833333333333334</v>
      </c>
      <c r="AL91">
        <f>SYSCLK!BK90/$B$2</f>
        <v>12.666666666666666</v>
      </c>
      <c r="AM91">
        <f>SYSCLK!BL90/$B$2</f>
        <v>10.555555555555555</v>
      </c>
      <c r="AN91">
        <f>SYSCLK!BM90/$B$2</f>
        <v>9.0476190476190474</v>
      </c>
      <c r="AO91">
        <f>SYSCLK!BN90/$B$2</f>
        <v>7.916666666666667</v>
      </c>
      <c r="AP91">
        <f>SYSCLK!BO90/$B$2</f>
        <v>7.0370370370370372</v>
      </c>
      <c r="AQ91">
        <f>SYSCLK!BP90/$B$2</f>
        <v>6.333333333333333</v>
      </c>
      <c r="AR91">
        <f>SYSCLK!BQ90/$B$2</f>
        <v>5.7575757575757578</v>
      </c>
      <c r="AS91">
        <f>SYSCLK!BR90/$B$2</f>
        <v>5.2777777777777777</v>
      </c>
      <c r="AT91">
        <f>SYSCLK!BS90/$B$2</f>
        <v>4.8717948717948723</v>
      </c>
      <c r="AU91">
        <f>SYSCLK!BT90/$B$2</f>
        <v>4.5238095238095237</v>
      </c>
      <c r="AV91">
        <f>SYSCLK!BU90/$B$2</f>
        <v>4.2222222222222223</v>
      </c>
      <c r="AW91">
        <f>SYSCLK!BV90/$B$2</f>
        <v>3.9583333333333335</v>
      </c>
      <c r="AX91" s="117">
        <f>SYSCLK!BW90/$B$2</f>
        <v>0</v>
      </c>
      <c r="AY91">
        <f>SYSCLK!BX90/$B$2</f>
        <v>23.75</v>
      </c>
      <c r="AZ91">
        <f>SYSCLK!BY90/$B$2</f>
        <v>15.833333333333332</v>
      </c>
      <c r="BA91">
        <f>SYSCLK!BZ90/$B$2</f>
        <v>11.875</v>
      </c>
      <c r="BB91">
        <f>SYSCLK!CA90/$B$2</f>
        <v>9.5</v>
      </c>
      <c r="BC91">
        <f>SYSCLK!CB90/$B$2</f>
        <v>7.9166666666666661</v>
      </c>
      <c r="BD91">
        <f>SYSCLK!CC90/$B$2</f>
        <v>6.7857142857142856</v>
      </c>
      <c r="BE91">
        <f>SYSCLK!CD90/$B$2</f>
        <v>5.9375</v>
      </c>
      <c r="BF91">
        <f>SYSCLK!CE90/$B$2</f>
        <v>5.2777777777777777</v>
      </c>
      <c r="BG91">
        <f>SYSCLK!CF90/$B$2</f>
        <v>4.75</v>
      </c>
      <c r="BH91">
        <f>SYSCLK!CG90/$B$2</f>
        <v>4.3181818181818183</v>
      </c>
      <c r="BI91">
        <f>SYSCLK!CH90/$B$2</f>
        <v>3.958333333333333</v>
      </c>
      <c r="BJ91">
        <f>SYSCLK!CI90/$B$2</f>
        <v>3.6538461538461542</v>
      </c>
      <c r="BK91">
        <f>SYSCLK!CJ90/$B$2</f>
        <v>3.3928571428571428</v>
      </c>
      <c r="BL91">
        <f>SYSCLK!CK90/$B$2</f>
        <v>3.1666666666666665</v>
      </c>
      <c r="BM91">
        <f>SYSCLK!CL90/$B$2</f>
        <v>2.96875</v>
      </c>
    </row>
    <row r="92" spans="2:65">
      <c r="B92">
        <f>SYSCLK!AA91/$B$2</f>
        <v>0</v>
      </c>
      <c r="C92">
        <f>SYSCLK!AB91/$B$2</f>
        <v>0</v>
      </c>
      <c r="D92">
        <f>SYSCLK!AC91/$B$2</f>
        <v>0</v>
      </c>
      <c r="E92">
        <f>SYSCLK!AD91/$B$2</f>
        <v>0</v>
      </c>
      <c r="F92">
        <f>SYSCLK!AE91/$B$2</f>
        <v>38.400000000000006</v>
      </c>
      <c r="G92">
        <f>SYSCLK!AF91/$B$2</f>
        <v>32</v>
      </c>
      <c r="H92">
        <f>SYSCLK!AG91/$B$2</f>
        <v>27.428571428571427</v>
      </c>
      <c r="I92">
        <f>SYSCLK!AH91/$B$2</f>
        <v>24</v>
      </c>
      <c r="J92">
        <f>SYSCLK!AI91/$B$2</f>
        <v>21.333333333333332</v>
      </c>
      <c r="K92">
        <f>SYSCLK!AJ91/$B$2</f>
        <v>19.200000000000003</v>
      </c>
      <c r="L92">
        <f>SYSCLK!AK91/$B$2</f>
        <v>17.454545454545453</v>
      </c>
      <c r="M92">
        <f>SYSCLK!AL91/$B$2</f>
        <v>16</v>
      </c>
      <c r="N92">
        <f>SYSCLK!AM91/$B$2</f>
        <v>14.76923076923077</v>
      </c>
      <c r="O92">
        <f>SYSCLK!AN91/$B$2</f>
        <v>13.714285714285714</v>
      </c>
      <c r="P92">
        <f>SYSCLK!AO91/$B$2</f>
        <v>12.8</v>
      </c>
      <c r="Q92">
        <f>SYSCLK!AP91/$B$2</f>
        <v>12</v>
      </c>
      <c r="R92" s="117">
        <f>SYSCLK!AQ91/$B$2</f>
        <v>0</v>
      </c>
      <c r="S92">
        <f>SYSCLK!AR91/$B$2</f>
        <v>0</v>
      </c>
      <c r="T92">
        <f>SYSCLK!AS91/$B$2</f>
        <v>32</v>
      </c>
      <c r="U92">
        <f>SYSCLK!AT91/$B$2</f>
        <v>24</v>
      </c>
      <c r="V92">
        <f>SYSCLK!AU91/$B$2</f>
        <v>19.200000000000003</v>
      </c>
      <c r="W92">
        <f>SYSCLK!AV91/$B$2</f>
        <v>16</v>
      </c>
      <c r="X92">
        <f>SYSCLK!AW91/$B$2</f>
        <v>13.714285714285714</v>
      </c>
      <c r="Y92">
        <f>SYSCLK!AX91/$B$2</f>
        <v>12</v>
      </c>
      <c r="Z92">
        <f>SYSCLK!AY91/$B$2</f>
        <v>10.666666666666666</v>
      </c>
      <c r="AA92">
        <f>SYSCLK!AZ91/$B$2</f>
        <v>9.6000000000000014</v>
      </c>
      <c r="AB92">
        <f>SYSCLK!BA91/$B$2</f>
        <v>8.7272727272727266</v>
      </c>
      <c r="AC92">
        <f>SYSCLK!BB91/$B$2</f>
        <v>8</v>
      </c>
      <c r="AD92">
        <f>SYSCLK!BC91/$B$2</f>
        <v>7.384615384615385</v>
      </c>
      <c r="AE92">
        <f>SYSCLK!BD91/$B$2</f>
        <v>6.8571428571428568</v>
      </c>
      <c r="AF92">
        <f>SYSCLK!BE91/$B$2</f>
        <v>6.4</v>
      </c>
      <c r="AG92" s="118">
        <f>SYSCLK!BF91/$B$2</f>
        <v>6</v>
      </c>
      <c r="AH92">
        <f>SYSCLK!BG91/$B$2</f>
        <v>0</v>
      </c>
      <c r="AI92">
        <f>SYSCLK!BH91/$B$2</f>
        <v>32</v>
      </c>
      <c r="AJ92">
        <f>SYSCLK!BI91/$B$2</f>
        <v>21.333333333333332</v>
      </c>
      <c r="AK92">
        <f>SYSCLK!BJ91/$B$2</f>
        <v>16</v>
      </c>
      <c r="AL92">
        <f>SYSCLK!BK91/$B$2</f>
        <v>12.800000000000002</v>
      </c>
      <c r="AM92">
        <f>SYSCLK!BL91/$B$2</f>
        <v>10.666666666666666</v>
      </c>
      <c r="AN92">
        <f>SYSCLK!BM91/$B$2</f>
        <v>9.1428571428571423</v>
      </c>
      <c r="AO92">
        <f>SYSCLK!BN91/$B$2</f>
        <v>8</v>
      </c>
      <c r="AP92">
        <f>SYSCLK!BO91/$B$2</f>
        <v>7.1111111111111107</v>
      </c>
      <c r="AQ92">
        <f>SYSCLK!BP91/$B$2</f>
        <v>6.4000000000000012</v>
      </c>
      <c r="AR92">
        <f>SYSCLK!BQ91/$B$2</f>
        <v>5.8181818181818175</v>
      </c>
      <c r="AS92">
        <f>SYSCLK!BR91/$B$2</f>
        <v>5.333333333333333</v>
      </c>
      <c r="AT92">
        <f>SYSCLK!BS91/$B$2</f>
        <v>4.9230769230769234</v>
      </c>
      <c r="AU92">
        <f>SYSCLK!BT91/$B$2</f>
        <v>4.5714285714285712</v>
      </c>
      <c r="AV92">
        <f>SYSCLK!BU91/$B$2</f>
        <v>4.2666666666666666</v>
      </c>
      <c r="AW92">
        <f>SYSCLK!BV91/$B$2</f>
        <v>4</v>
      </c>
      <c r="AX92" s="117">
        <f>SYSCLK!BW91/$B$2</f>
        <v>0</v>
      </c>
      <c r="AY92">
        <f>SYSCLK!BX91/$B$2</f>
        <v>24</v>
      </c>
      <c r="AZ92">
        <f>SYSCLK!BY91/$B$2</f>
        <v>16</v>
      </c>
      <c r="BA92">
        <f>SYSCLK!BZ91/$B$2</f>
        <v>12</v>
      </c>
      <c r="BB92">
        <f>SYSCLK!CA91/$B$2</f>
        <v>9.6000000000000014</v>
      </c>
      <c r="BC92">
        <f>SYSCLK!CB91/$B$2</f>
        <v>8</v>
      </c>
      <c r="BD92">
        <f>SYSCLK!CC91/$B$2</f>
        <v>6.8571428571428568</v>
      </c>
      <c r="BE92">
        <f>SYSCLK!CD91/$B$2</f>
        <v>6</v>
      </c>
      <c r="BF92">
        <f>SYSCLK!CE91/$B$2</f>
        <v>5.333333333333333</v>
      </c>
      <c r="BG92">
        <f>SYSCLK!CF91/$B$2</f>
        <v>4.8000000000000007</v>
      </c>
      <c r="BH92">
        <f>SYSCLK!CG91/$B$2</f>
        <v>4.3636363636363633</v>
      </c>
      <c r="BI92">
        <f>SYSCLK!CH91/$B$2</f>
        <v>4</v>
      </c>
      <c r="BJ92">
        <f>SYSCLK!CI91/$B$2</f>
        <v>3.6923076923076925</v>
      </c>
      <c r="BK92">
        <f>SYSCLK!CJ91/$B$2</f>
        <v>3.4285714285714284</v>
      </c>
      <c r="BL92">
        <f>SYSCLK!CK91/$B$2</f>
        <v>3.2</v>
      </c>
      <c r="BM92">
        <f>SYSCLK!CL91/$B$2</f>
        <v>3</v>
      </c>
    </row>
    <row r="93" spans="2:65">
      <c r="B93">
        <f>SYSCLK!AA92/$B$2</f>
        <v>0</v>
      </c>
      <c r="C93">
        <f>SYSCLK!AB92/$B$2</f>
        <v>0</v>
      </c>
      <c r="D93">
        <f>SYSCLK!AC92/$B$2</f>
        <v>0</v>
      </c>
      <c r="E93">
        <f>SYSCLK!AD92/$B$2</f>
        <v>0</v>
      </c>
      <c r="F93">
        <f>SYSCLK!AE92/$B$2</f>
        <v>38.800000000000004</v>
      </c>
      <c r="G93">
        <f>SYSCLK!AF92/$B$2</f>
        <v>32.333333333333329</v>
      </c>
      <c r="H93">
        <f>SYSCLK!AG92/$B$2</f>
        <v>27.714285714285712</v>
      </c>
      <c r="I93">
        <f>SYSCLK!AH92/$B$2</f>
        <v>24.25</v>
      </c>
      <c r="J93">
        <f>SYSCLK!AI92/$B$2</f>
        <v>21.555555555555554</v>
      </c>
      <c r="K93">
        <f>SYSCLK!AJ92/$B$2</f>
        <v>19.400000000000002</v>
      </c>
      <c r="L93">
        <f>SYSCLK!AK92/$B$2</f>
        <v>17.636363636363637</v>
      </c>
      <c r="M93">
        <f>SYSCLK!AL92/$B$2</f>
        <v>16.166666666666664</v>
      </c>
      <c r="N93">
        <f>SYSCLK!AM92/$B$2</f>
        <v>14.923076923076923</v>
      </c>
      <c r="O93">
        <f>SYSCLK!AN92/$B$2</f>
        <v>13.857142857142856</v>
      </c>
      <c r="P93">
        <f>SYSCLK!AO92/$B$2</f>
        <v>12.933333333333334</v>
      </c>
      <c r="Q93">
        <f>SYSCLK!AP92/$B$2</f>
        <v>12.125</v>
      </c>
      <c r="R93" s="117">
        <f>SYSCLK!AQ92/$B$2</f>
        <v>0</v>
      </c>
      <c r="S93">
        <f>SYSCLK!AR92/$B$2</f>
        <v>0</v>
      </c>
      <c r="T93">
        <f>SYSCLK!AS92/$B$2</f>
        <v>32.333333333333329</v>
      </c>
      <c r="U93">
        <f>SYSCLK!AT92/$B$2</f>
        <v>24.25</v>
      </c>
      <c r="V93">
        <f>SYSCLK!AU92/$B$2</f>
        <v>19.400000000000002</v>
      </c>
      <c r="W93">
        <f>SYSCLK!AV92/$B$2</f>
        <v>16.166666666666664</v>
      </c>
      <c r="X93">
        <f>SYSCLK!AW92/$B$2</f>
        <v>13.857142857142856</v>
      </c>
      <c r="Y93">
        <f>SYSCLK!AX92/$B$2</f>
        <v>12.125</v>
      </c>
      <c r="Z93">
        <f>SYSCLK!AY92/$B$2</f>
        <v>10.777777777777777</v>
      </c>
      <c r="AA93">
        <f>SYSCLK!AZ92/$B$2</f>
        <v>9.7000000000000011</v>
      </c>
      <c r="AB93">
        <f>SYSCLK!BA92/$B$2</f>
        <v>8.8181818181818183</v>
      </c>
      <c r="AC93">
        <f>SYSCLK!BB92/$B$2</f>
        <v>8.0833333333333321</v>
      </c>
      <c r="AD93">
        <f>SYSCLK!BC92/$B$2</f>
        <v>7.4615384615384617</v>
      </c>
      <c r="AE93">
        <f>SYSCLK!BD92/$B$2</f>
        <v>6.9285714285714279</v>
      </c>
      <c r="AF93">
        <f>SYSCLK!BE92/$B$2</f>
        <v>6.4666666666666668</v>
      </c>
      <c r="AG93" s="118">
        <f>SYSCLK!BF92/$B$2</f>
        <v>6.0625</v>
      </c>
      <c r="AH93">
        <f>SYSCLK!BG92/$B$2</f>
        <v>0</v>
      </c>
      <c r="AI93">
        <f>SYSCLK!BH92/$B$2</f>
        <v>32.333333333333336</v>
      </c>
      <c r="AJ93">
        <f>SYSCLK!BI92/$B$2</f>
        <v>21.555555555555554</v>
      </c>
      <c r="AK93">
        <f>SYSCLK!BJ92/$B$2</f>
        <v>16.166666666666668</v>
      </c>
      <c r="AL93">
        <f>SYSCLK!BK92/$B$2</f>
        <v>12.933333333333335</v>
      </c>
      <c r="AM93">
        <f>SYSCLK!BL92/$B$2</f>
        <v>10.777777777777777</v>
      </c>
      <c r="AN93">
        <f>SYSCLK!BM92/$B$2</f>
        <v>9.2380952380952372</v>
      </c>
      <c r="AO93">
        <f>SYSCLK!BN92/$B$2</f>
        <v>8.0833333333333339</v>
      </c>
      <c r="AP93">
        <f>SYSCLK!BO92/$B$2</f>
        <v>7.1851851851851842</v>
      </c>
      <c r="AQ93">
        <f>SYSCLK!BP92/$B$2</f>
        <v>6.4666666666666677</v>
      </c>
      <c r="AR93">
        <f>SYSCLK!BQ92/$B$2</f>
        <v>5.8787878787878789</v>
      </c>
      <c r="AS93">
        <f>SYSCLK!BR92/$B$2</f>
        <v>5.3888888888888884</v>
      </c>
      <c r="AT93">
        <f>SYSCLK!BS92/$B$2</f>
        <v>4.9743589743589745</v>
      </c>
      <c r="AU93">
        <f>SYSCLK!BT92/$B$2</f>
        <v>4.6190476190476186</v>
      </c>
      <c r="AV93">
        <f>SYSCLK!BU92/$B$2</f>
        <v>4.3111111111111109</v>
      </c>
      <c r="AW93">
        <f>SYSCLK!BV92/$B$2</f>
        <v>4.041666666666667</v>
      </c>
      <c r="AX93" s="117">
        <f>SYSCLK!BW92/$B$2</f>
        <v>0</v>
      </c>
      <c r="AY93">
        <f>SYSCLK!BX92/$B$2</f>
        <v>24.25</v>
      </c>
      <c r="AZ93">
        <f>SYSCLK!BY92/$B$2</f>
        <v>16.166666666666664</v>
      </c>
      <c r="BA93">
        <f>SYSCLK!BZ92/$B$2</f>
        <v>12.125</v>
      </c>
      <c r="BB93">
        <f>SYSCLK!CA92/$B$2</f>
        <v>9.7000000000000011</v>
      </c>
      <c r="BC93">
        <f>SYSCLK!CB92/$B$2</f>
        <v>8.0833333333333321</v>
      </c>
      <c r="BD93">
        <f>SYSCLK!CC92/$B$2</f>
        <v>6.9285714285714279</v>
      </c>
      <c r="BE93">
        <f>SYSCLK!CD92/$B$2</f>
        <v>6.0625</v>
      </c>
      <c r="BF93">
        <f>SYSCLK!CE92/$B$2</f>
        <v>5.3888888888888884</v>
      </c>
      <c r="BG93">
        <f>SYSCLK!CF92/$B$2</f>
        <v>4.8500000000000005</v>
      </c>
      <c r="BH93">
        <f>SYSCLK!CG92/$B$2</f>
        <v>4.4090909090909092</v>
      </c>
      <c r="BI93">
        <f>SYSCLK!CH92/$B$2</f>
        <v>4.0416666666666661</v>
      </c>
      <c r="BJ93">
        <f>SYSCLK!CI92/$B$2</f>
        <v>3.7307692307692308</v>
      </c>
      <c r="BK93">
        <f>SYSCLK!CJ92/$B$2</f>
        <v>3.464285714285714</v>
      </c>
      <c r="BL93">
        <f>SYSCLK!CK92/$B$2</f>
        <v>3.2333333333333334</v>
      </c>
      <c r="BM93">
        <f>SYSCLK!CL92/$B$2</f>
        <v>3.03125</v>
      </c>
    </row>
    <row r="94" spans="2:65">
      <c r="B94">
        <f>SYSCLK!AA93/$B$2</f>
        <v>0</v>
      </c>
      <c r="C94">
        <f>SYSCLK!AB93/$B$2</f>
        <v>0</v>
      </c>
      <c r="D94">
        <f>SYSCLK!AC93/$B$2</f>
        <v>0</v>
      </c>
      <c r="E94">
        <f>SYSCLK!AD93/$B$2</f>
        <v>0</v>
      </c>
      <c r="F94">
        <f>SYSCLK!AE93/$B$2</f>
        <v>39.200000000000003</v>
      </c>
      <c r="G94">
        <f>SYSCLK!AF93/$B$2</f>
        <v>32.666666666666664</v>
      </c>
      <c r="H94">
        <f>SYSCLK!AG93/$B$2</f>
        <v>28</v>
      </c>
      <c r="I94">
        <f>SYSCLK!AH93/$B$2</f>
        <v>24.5</v>
      </c>
      <c r="J94">
        <f>SYSCLK!AI93/$B$2</f>
        <v>21.777777777777775</v>
      </c>
      <c r="K94">
        <f>SYSCLK!AJ93/$B$2</f>
        <v>19.600000000000001</v>
      </c>
      <c r="L94">
        <f>SYSCLK!AK93/$B$2</f>
        <v>17.81818181818182</v>
      </c>
      <c r="M94">
        <f>SYSCLK!AL93/$B$2</f>
        <v>16.333333333333332</v>
      </c>
      <c r="N94">
        <f>SYSCLK!AM93/$B$2</f>
        <v>15.076923076923078</v>
      </c>
      <c r="O94">
        <f>SYSCLK!AN93/$B$2</f>
        <v>14</v>
      </c>
      <c r="P94">
        <f>SYSCLK!AO93/$B$2</f>
        <v>13.066666666666666</v>
      </c>
      <c r="Q94">
        <f>SYSCLK!AP93/$B$2</f>
        <v>12.25</v>
      </c>
      <c r="R94" s="117">
        <f>SYSCLK!AQ93/$B$2</f>
        <v>0</v>
      </c>
      <c r="S94">
        <f>SYSCLK!AR93/$B$2</f>
        <v>0</v>
      </c>
      <c r="T94">
        <f>SYSCLK!AS93/$B$2</f>
        <v>32.666666666666664</v>
      </c>
      <c r="U94">
        <f>SYSCLK!AT93/$B$2</f>
        <v>24.5</v>
      </c>
      <c r="V94">
        <f>SYSCLK!AU93/$B$2</f>
        <v>19.600000000000001</v>
      </c>
      <c r="W94">
        <f>SYSCLK!AV93/$B$2</f>
        <v>16.333333333333332</v>
      </c>
      <c r="X94">
        <f>SYSCLK!AW93/$B$2</f>
        <v>14</v>
      </c>
      <c r="Y94">
        <f>SYSCLK!AX93/$B$2</f>
        <v>12.25</v>
      </c>
      <c r="Z94">
        <f>SYSCLK!AY93/$B$2</f>
        <v>10.888888888888888</v>
      </c>
      <c r="AA94">
        <f>SYSCLK!AZ93/$B$2</f>
        <v>9.8000000000000007</v>
      </c>
      <c r="AB94">
        <f>SYSCLK!BA93/$B$2</f>
        <v>8.9090909090909101</v>
      </c>
      <c r="AC94">
        <f>SYSCLK!BB93/$B$2</f>
        <v>8.1666666666666661</v>
      </c>
      <c r="AD94">
        <f>SYSCLK!BC93/$B$2</f>
        <v>7.5384615384615392</v>
      </c>
      <c r="AE94">
        <f>SYSCLK!BD93/$B$2</f>
        <v>7</v>
      </c>
      <c r="AF94">
        <f>SYSCLK!BE93/$B$2</f>
        <v>6.5333333333333332</v>
      </c>
      <c r="AG94" s="118">
        <f>SYSCLK!BF93/$B$2</f>
        <v>6.125</v>
      </c>
      <c r="AH94">
        <f>SYSCLK!BG93/$B$2</f>
        <v>0</v>
      </c>
      <c r="AI94">
        <f>SYSCLK!BH93/$B$2</f>
        <v>32.666666666666664</v>
      </c>
      <c r="AJ94">
        <f>SYSCLK!BI93/$B$2</f>
        <v>21.777777777777775</v>
      </c>
      <c r="AK94">
        <f>SYSCLK!BJ93/$B$2</f>
        <v>16.333333333333332</v>
      </c>
      <c r="AL94">
        <f>SYSCLK!BK93/$B$2</f>
        <v>13.066666666666668</v>
      </c>
      <c r="AM94">
        <f>SYSCLK!BL93/$B$2</f>
        <v>10.888888888888888</v>
      </c>
      <c r="AN94">
        <f>SYSCLK!BM93/$B$2</f>
        <v>9.3333333333333339</v>
      </c>
      <c r="AO94">
        <f>SYSCLK!BN93/$B$2</f>
        <v>8.1666666666666661</v>
      </c>
      <c r="AP94">
        <f>SYSCLK!BO93/$B$2</f>
        <v>7.2592592592592586</v>
      </c>
      <c r="AQ94">
        <f>SYSCLK!BP93/$B$2</f>
        <v>6.5333333333333341</v>
      </c>
      <c r="AR94">
        <f>SYSCLK!BQ93/$B$2</f>
        <v>5.9393939393939403</v>
      </c>
      <c r="AS94">
        <f>SYSCLK!BR93/$B$2</f>
        <v>5.4444444444444438</v>
      </c>
      <c r="AT94">
        <f>SYSCLK!BS93/$B$2</f>
        <v>5.0256410256410264</v>
      </c>
      <c r="AU94">
        <f>SYSCLK!BT93/$B$2</f>
        <v>4.666666666666667</v>
      </c>
      <c r="AV94">
        <f>SYSCLK!BU93/$B$2</f>
        <v>4.3555555555555552</v>
      </c>
      <c r="AW94">
        <f>SYSCLK!BV93/$B$2</f>
        <v>4.083333333333333</v>
      </c>
      <c r="AX94" s="117">
        <f>SYSCLK!BW93/$B$2</f>
        <v>0</v>
      </c>
      <c r="AY94">
        <f>SYSCLK!BX93/$B$2</f>
        <v>24.5</v>
      </c>
      <c r="AZ94">
        <f>SYSCLK!BY93/$B$2</f>
        <v>16.333333333333332</v>
      </c>
      <c r="BA94">
        <f>SYSCLK!BZ93/$B$2</f>
        <v>12.25</v>
      </c>
      <c r="BB94">
        <f>SYSCLK!CA93/$B$2</f>
        <v>9.8000000000000007</v>
      </c>
      <c r="BC94">
        <f>SYSCLK!CB93/$B$2</f>
        <v>8.1666666666666661</v>
      </c>
      <c r="BD94">
        <f>SYSCLK!CC93/$B$2</f>
        <v>7</v>
      </c>
      <c r="BE94">
        <f>SYSCLK!CD93/$B$2</f>
        <v>6.125</v>
      </c>
      <c r="BF94">
        <f>SYSCLK!CE93/$B$2</f>
        <v>5.4444444444444438</v>
      </c>
      <c r="BG94">
        <f>SYSCLK!CF93/$B$2</f>
        <v>4.9000000000000004</v>
      </c>
      <c r="BH94">
        <f>SYSCLK!CG93/$B$2</f>
        <v>4.454545454545455</v>
      </c>
      <c r="BI94">
        <f>SYSCLK!CH93/$B$2</f>
        <v>4.083333333333333</v>
      </c>
      <c r="BJ94">
        <f>SYSCLK!CI93/$B$2</f>
        <v>3.7692307692307696</v>
      </c>
      <c r="BK94">
        <f>SYSCLK!CJ93/$B$2</f>
        <v>3.5</v>
      </c>
      <c r="BL94">
        <f>SYSCLK!CK93/$B$2</f>
        <v>3.2666666666666666</v>
      </c>
      <c r="BM94">
        <f>SYSCLK!CL93/$B$2</f>
        <v>3.0625</v>
      </c>
    </row>
    <row r="95" spans="2:65">
      <c r="B95">
        <f>SYSCLK!AA94/$B$2</f>
        <v>0</v>
      </c>
      <c r="C95">
        <f>SYSCLK!AB94/$B$2</f>
        <v>0</v>
      </c>
      <c r="D95">
        <f>SYSCLK!AC94/$B$2</f>
        <v>0</v>
      </c>
      <c r="E95">
        <f>SYSCLK!AD94/$B$2</f>
        <v>0</v>
      </c>
      <c r="F95">
        <f>SYSCLK!AE94/$B$2</f>
        <v>39.6</v>
      </c>
      <c r="G95">
        <f>SYSCLK!AF94/$B$2</f>
        <v>33</v>
      </c>
      <c r="H95">
        <f>SYSCLK!AG94/$B$2</f>
        <v>28.285714285714285</v>
      </c>
      <c r="I95">
        <f>SYSCLK!AH94/$B$2</f>
        <v>24.75</v>
      </c>
      <c r="J95">
        <f>SYSCLK!AI94/$B$2</f>
        <v>22</v>
      </c>
      <c r="K95">
        <f>SYSCLK!AJ94/$B$2</f>
        <v>19.8</v>
      </c>
      <c r="L95">
        <f>SYSCLK!AK94/$B$2</f>
        <v>18</v>
      </c>
      <c r="M95">
        <f>SYSCLK!AL94/$B$2</f>
        <v>16.5</v>
      </c>
      <c r="N95">
        <f>SYSCLK!AM94/$B$2</f>
        <v>15.230769230769232</v>
      </c>
      <c r="O95">
        <f>SYSCLK!AN94/$B$2</f>
        <v>14.142857142857142</v>
      </c>
      <c r="P95">
        <f>SYSCLK!AO94/$B$2</f>
        <v>13.2</v>
      </c>
      <c r="Q95">
        <f>SYSCLK!AP94/$B$2</f>
        <v>12.375</v>
      </c>
      <c r="R95" s="117">
        <f>SYSCLK!AQ94/$B$2</f>
        <v>0</v>
      </c>
      <c r="S95">
        <f>SYSCLK!AR94/$B$2</f>
        <v>0</v>
      </c>
      <c r="T95">
        <f>SYSCLK!AS94/$B$2</f>
        <v>33</v>
      </c>
      <c r="U95">
        <f>SYSCLK!AT94/$B$2</f>
        <v>24.75</v>
      </c>
      <c r="V95">
        <f>SYSCLK!AU94/$B$2</f>
        <v>19.8</v>
      </c>
      <c r="W95">
        <f>SYSCLK!AV94/$B$2</f>
        <v>16.5</v>
      </c>
      <c r="X95">
        <f>SYSCLK!AW94/$B$2</f>
        <v>14.142857142857142</v>
      </c>
      <c r="Y95">
        <f>SYSCLK!AX94/$B$2</f>
        <v>12.375</v>
      </c>
      <c r="Z95">
        <f>SYSCLK!AY94/$B$2</f>
        <v>11</v>
      </c>
      <c r="AA95">
        <f>SYSCLK!AZ94/$B$2</f>
        <v>9.9</v>
      </c>
      <c r="AB95">
        <f>SYSCLK!BA94/$B$2</f>
        <v>9</v>
      </c>
      <c r="AC95">
        <f>SYSCLK!BB94/$B$2</f>
        <v>8.25</v>
      </c>
      <c r="AD95">
        <f>SYSCLK!BC94/$B$2</f>
        <v>7.6153846153846159</v>
      </c>
      <c r="AE95">
        <f>SYSCLK!BD94/$B$2</f>
        <v>7.0714285714285712</v>
      </c>
      <c r="AF95">
        <f>SYSCLK!BE94/$B$2</f>
        <v>6.6</v>
      </c>
      <c r="AG95" s="118">
        <f>SYSCLK!BF94/$B$2</f>
        <v>6.1875</v>
      </c>
      <c r="AH95">
        <f>SYSCLK!BG94/$B$2</f>
        <v>0</v>
      </c>
      <c r="AI95">
        <f>SYSCLK!BH94/$B$2</f>
        <v>33</v>
      </c>
      <c r="AJ95">
        <f>SYSCLK!BI94/$B$2</f>
        <v>22</v>
      </c>
      <c r="AK95">
        <f>SYSCLK!BJ94/$B$2</f>
        <v>16.5</v>
      </c>
      <c r="AL95">
        <f>SYSCLK!BK94/$B$2</f>
        <v>13.200000000000001</v>
      </c>
      <c r="AM95">
        <f>SYSCLK!BL94/$B$2</f>
        <v>11</v>
      </c>
      <c r="AN95">
        <f>SYSCLK!BM94/$B$2</f>
        <v>9.4285714285714288</v>
      </c>
      <c r="AO95">
        <f>SYSCLK!BN94/$B$2</f>
        <v>8.25</v>
      </c>
      <c r="AP95">
        <f>SYSCLK!BO94/$B$2</f>
        <v>7.333333333333333</v>
      </c>
      <c r="AQ95">
        <f>SYSCLK!BP94/$B$2</f>
        <v>6.6000000000000005</v>
      </c>
      <c r="AR95">
        <f>SYSCLK!BQ94/$B$2</f>
        <v>6</v>
      </c>
      <c r="AS95">
        <f>SYSCLK!BR94/$B$2</f>
        <v>5.5</v>
      </c>
      <c r="AT95">
        <f>SYSCLK!BS94/$B$2</f>
        <v>5.0769230769230775</v>
      </c>
      <c r="AU95">
        <f>SYSCLK!BT94/$B$2</f>
        <v>4.7142857142857144</v>
      </c>
      <c r="AV95">
        <f>SYSCLK!BU94/$B$2</f>
        <v>4.3999999999999995</v>
      </c>
      <c r="AW95">
        <f>SYSCLK!BV94/$B$2</f>
        <v>4.125</v>
      </c>
      <c r="AX95" s="117">
        <f>SYSCLK!BW94/$B$2</f>
        <v>0</v>
      </c>
      <c r="AY95">
        <f>SYSCLK!BX94/$B$2</f>
        <v>24.75</v>
      </c>
      <c r="AZ95">
        <f>SYSCLK!BY94/$B$2</f>
        <v>16.5</v>
      </c>
      <c r="BA95">
        <f>SYSCLK!BZ94/$B$2</f>
        <v>12.375</v>
      </c>
      <c r="BB95">
        <f>SYSCLK!CA94/$B$2</f>
        <v>9.9</v>
      </c>
      <c r="BC95">
        <f>SYSCLK!CB94/$B$2</f>
        <v>8.25</v>
      </c>
      <c r="BD95">
        <f>SYSCLK!CC94/$B$2</f>
        <v>7.0714285714285712</v>
      </c>
      <c r="BE95">
        <f>SYSCLK!CD94/$B$2</f>
        <v>6.1875</v>
      </c>
      <c r="BF95">
        <f>SYSCLK!CE94/$B$2</f>
        <v>5.5</v>
      </c>
      <c r="BG95">
        <f>SYSCLK!CF94/$B$2</f>
        <v>4.95</v>
      </c>
      <c r="BH95">
        <f>SYSCLK!CG94/$B$2</f>
        <v>4.5</v>
      </c>
      <c r="BI95">
        <f>SYSCLK!CH94/$B$2</f>
        <v>4.125</v>
      </c>
      <c r="BJ95">
        <f>SYSCLK!CI94/$B$2</f>
        <v>3.8076923076923079</v>
      </c>
      <c r="BK95">
        <f>SYSCLK!CJ94/$B$2</f>
        <v>3.5357142857142856</v>
      </c>
      <c r="BL95">
        <f>SYSCLK!CK94/$B$2</f>
        <v>3.3</v>
      </c>
      <c r="BM95">
        <f>SYSCLK!CL94/$B$2</f>
        <v>3.09375</v>
      </c>
    </row>
    <row r="96" spans="2:65">
      <c r="B96">
        <f>SYSCLK!AA95/$B$2</f>
        <v>0</v>
      </c>
      <c r="C96">
        <f>SYSCLK!AB95/$B$2</f>
        <v>0</v>
      </c>
      <c r="D96">
        <f>SYSCLK!AC95/$B$2</f>
        <v>0</v>
      </c>
      <c r="E96">
        <f>SYSCLK!AD95/$B$2</f>
        <v>0</v>
      </c>
      <c r="F96">
        <f>SYSCLK!AE95/$B$2</f>
        <v>40</v>
      </c>
      <c r="G96">
        <f>SYSCLK!AF95/$B$2</f>
        <v>33.333333333333329</v>
      </c>
      <c r="H96">
        <f>SYSCLK!AG95/$B$2</f>
        <v>28.571428571428569</v>
      </c>
      <c r="I96">
        <f>SYSCLK!AH95/$B$2</f>
        <v>25</v>
      </c>
      <c r="J96">
        <f>SYSCLK!AI95/$B$2</f>
        <v>22.222222222222221</v>
      </c>
      <c r="K96">
        <f>SYSCLK!AJ95/$B$2</f>
        <v>20</v>
      </c>
      <c r="L96">
        <f>SYSCLK!AK95/$B$2</f>
        <v>18.181818181818183</v>
      </c>
      <c r="M96">
        <f>SYSCLK!AL95/$B$2</f>
        <v>16.666666666666664</v>
      </c>
      <c r="N96">
        <f>SYSCLK!AM95/$B$2</f>
        <v>15.384615384615385</v>
      </c>
      <c r="O96">
        <f>SYSCLK!AN95/$B$2</f>
        <v>14.285714285714285</v>
      </c>
      <c r="P96">
        <f>SYSCLK!AO95/$B$2</f>
        <v>13.333333333333334</v>
      </c>
      <c r="Q96">
        <f>SYSCLK!AP95/$B$2</f>
        <v>12.5</v>
      </c>
      <c r="R96" s="117">
        <f>SYSCLK!AQ95/$B$2</f>
        <v>0</v>
      </c>
      <c r="S96">
        <f>SYSCLK!AR95/$B$2</f>
        <v>0</v>
      </c>
      <c r="T96">
        <f>SYSCLK!AS95/$B$2</f>
        <v>33.333333333333329</v>
      </c>
      <c r="U96">
        <f>SYSCLK!AT95/$B$2</f>
        <v>25</v>
      </c>
      <c r="V96">
        <f>SYSCLK!AU95/$B$2</f>
        <v>20</v>
      </c>
      <c r="W96">
        <f>SYSCLK!AV95/$B$2</f>
        <v>16.666666666666664</v>
      </c>
      <c r="X96">
        <f>SYSCLK!AW95/$B$2</f>
        <v>14.285714285714285</v>
      </c>
      <c r="Y96">
        <f>SYSCLK!AX95/$B$2</f>
        <v>12.5</v>
      </c>
      <c r="Z96">
        <f>SYSCLK!AY95/$B$2</f>
        <v>11.111111111111111</v>
      </c>
      <c r="AA96">
        <f>SYSCLK!AZ95/$B$2</f>
        <v>10</v>
      </c>
      <c r="AB96">
        <f>SYSCLK!BA95/$B$2</f>
        <v>9.0909090909090917</v>
      </c>
      <c r="AC96">
        <f>SYSCLK!BB95/$B$2</f>
        <v>8.3333333333333321</v>
      </c>
      <c r="AD96">
        <f>SYSCLK!BC95/$B$2</f>
        <v>7.6923076923076925</v>
      </c>
      <c r="AE96">
        <f>SYSCLK!BD95/$B$2</f>
        <v>7.1428571428571423</v>
      </c>
      <c r="AF96">
        <f>SYSCLK!BE95/$B$2</f>
        <v>6.666666666666667</v>
      </c>
      <c r="AG96" s="118">
        <f>SYSCLK!BF95/$B$2</f>
        <v>6.25</v>
      </c>
      <c r="AH96">
        <f>SYSCLK!BG95/$B$2</f>
        <v>0</v>
      </c>
      <c r="AI96">
        <f>SYSCLK!BH95/$B$2</f>
        <v>33.333333333333336</v>
      </c>
      <c r="AJ96">
        <f>SYSCLK!BI95/$B$2</f>
        <v>22.222222222222218</v>
      </c>
      <c r="AK96">
        <f>SYSCLK!BJ95/$B$2</f>
        <v>16.666666666666668</v>
      </c>
      <c r="AL96">
        <f>SYSCLK!BK95/$B$2</f>
        <v>13.333333333333334</v>
      </c>
      <c r="AM96">
        <f>SYSCLK!BL95/$B$2</f>
        <v>11.111111111111109</v>
      </c>
      <c r="AN96">
        <f>SYSCLK!BM95/$B$2</f>
        <v>9.5238095238095237</v>
      </c>
      <c r="AO96">
        <f>SYSCLK!BN95/$B$2</f>
        <v>8.3333333333333339</v>
      </c>
      <c r="AP96">
        <f>SYSCLK!BO95/$B$2</f>
        <v>7.4074074074074074</v>
      </c>
      <c r="AQ96">
        <f>SYSCLK!BP95/$B$2</f>
        <v>6.666666666666667</v>
      </c>
      <c r="AR96">
        <f>SYSCLK!BQ95/$B$2</f>
        <v>6.0606060606060614</v>
      </c>
      <c r="AS96">
        <f>SYSCLK!BR95/$B$2</f>
        <v>5.5555555555555545</v>
      </c>
      <c r="AT96">
        <f>SYSCLK!BS95/$B$2</f>
        <v>5.1282051282051286</v>
      </c>
      <c r="AU96">
        <f>SYSCLK!BT95/$B$2</f>
        <v>4.7619047619047619</v>
      </c>
      <c r="AV96">
        <f>SYSCLK!BU95/$B$2</f>
        <v>4.4444444444444446</v>
      </c>
      <c r="AW96">
        <f>SYSCLK!BV95/$B$2</f>
        <v>4.166666666666667</v>
      </c>
      <c r="AX96" s="117">
        <f>SYSCLK!BW95/$B$2</f>
        <v>0</v>
      </c>
      <c r="AY96">
        <f>SYSCLK!BX95/$B$2</f>
        <v>25</v>
      </c>
      <c r="AZ96">
        <f>SYSCLK!BY95/$B$2</f>
        <v>16.666666666666664</v>
      </c>
      <c r="BA96">
        <f>SYSCLK!BZ95/$B$2</f>
        <v>12.5</v>
      </c>
      <c r="BB96">
        <f>SYSCLK!CA95/$B$2</f>
        <v>10</v>
      </c>
      <c r="BC96">
        <f>SYSCLK!CB95/$B$2</f>
        <v>8.3333333333333321</v>
      </c>
      <c r="BD96">
        <f>SYSCLK!CC95/$B$2</f>
        <v>7.1428571428571423</v>
      </c>
      <c r="BE96">
        <f>SYSCLK!CD95/$B$2</f>
        <v>6.25</v>
      </c>
      <c r="BF96">
        <f>SYSCLK!CE95/$B$2</f>
        <v>5.5555555555555554</v>
      </c>
      <c r="BG96">
        <f>SYSCLK!CF95/$B$2</f>
        <v>5</v>
      </c>
      <c r="BH96">
        <f>SYSCLK!CG95/$B$2</f>
        <v>4.5454545454545459</v>
      </c>
      <c r="BI96">
        <f>SYSCLK!CH95/$B$2</f>
        <v>4.1666666666666661</v>
      </c>
      <c r="BJ96">
        <f>SYSCLK!CI95/$B$2</f>
        <v>3.8461538461538463</v>
      </c>
      <c r="BK96">
        <f>SYSCLK!CJ95/$B$2</f>
        <v>3.5714285714285712</v>
      </c>
      <c r="BL96">
        <f>SYSCLK!CK95/$B$2</f>
        <v>3.3333333333333335</v>
      </c>
      <c r="BM96">
        <f>SYSCLK!CL95/$B$2</f>
        <v>3.125</v>
      </c>
    </row>
    <row r="97" spans="2:65">
      <c r="B97">
        <f>SYSCLK!AA96/$B$2</f>
        <v>0</v>
      </c>
      <c r="C97">
        <f>SYSCLK!AB96/$B$2</f>
        <v>0</v>
      </c>
      <c r="D97">
        <f>SYSCLK!AC96/$B$2</f>
        <v>0</v>
      </c>
      <c r="E97">
        <f>SYSCLK!AD96/$B$2</f>
        <v>0</v>
      </c>
      <c r="F97">
        <f>SYSCLK!AE96/$B$2</f>
        <v>40.400000000000006</v>
      </c>
      <c r="G97">
        <f>SYSCLK!AF96/$B$2</f>
        <v>33.666666666666664</v>
      </c>
      <c r="H97">
        <f>SYSCLK!AG96/$B$2</f>
        <v>28.857142857142854</v>
      </c>
      <c r="I97">
        <f>SYSCLK!AH96/$B$2</f>
        <v>25.25</v>
      </c>
      <c r="J97">
        <f>SYSCLK!AI96/$B$2</f>
        <v>22.444444444444443</v>
      </c>
      <c r="K97">
        <f>SYSCLK!AJ96/$B$2</f>
        <v>20.200000000000003</v>
      </c>
      <c r="L97">
        <f>SYSCLK!AK96/$B$2</f>
        <v>18.363636363636363</v>
      </c>
      <c r="M97">
        <f>SYSCLK!AL96/$B$2</f>
        <v>16.833333333333332</v>
      </c>
      <c r="N97">
        <f>SYSCLK!AM96/$B$2</f>
        <v>15.53846153846154</v>
      </c>
      <c r="O97">
        <f>SYSCLK!AN96/$B$2</f>
        <v>14.428571428571427</v>
      </c>
      <c r="P97">
        <f>SYSCLK!AO96/$B$2</f>
        <v>13.466666666666667</v>
      </c>
      <c r="Q97">
        <f>SYSCLK!AP96/$B$2</f>
        <v>12.625</v>
      </c>
      <c r="R97" s="117">
        <f>SYSCLK!AQ96/$B$2</f>
        <v>0</v>
      </c>
      <c r="S97">
        <f>SYSCLK!AR96/$B$2</f>
        <v>0</v>
      </c>
      <c r="T97">
        <f>SYSCLK!AS96/$B$2</f>
        <v>33.666666666666664</v>
      </c>
      <c r="U97">
        <f>SYSCLK!AT96/$B$2</f>
        <v>25.25</v>
      </c>
      <c r="V97">
        <f>SYSCLK!AU96/$B$2</f>
        <v>20.200000000000003</v>
      </c>
      <c r="W97">
        <f>SYSCLK!AV96/$B$2</f>
        <v>16.833333333333332</v>
      </c>
      <c r="X97">
        <f>SYSCLK!AW96/$B$2</f>
        <v>14.428571428571427</v>
      </c>
      <c r="Y97">
        <f>SYSCLK!AX96/$B$2</f>
        <v>12.625</v>
      </c>
      <c r="Z97">
        <f>SYSCLK!AY96/$B$2</f>
        <v>11.222222222222221</v>
      </c>
      <c r="AA97">
        <f>SYSCLK!AZ96/$B$2</f>
        <v>10.100000000000001</v>
      </c>
      <c r="AB97">
        <f>SYSCLK!BA96/$B$2</f>
        <v>9.1818181818181817</v>
      </c>
      <c r="AC97">
        <f>SYSCLK!BB96/$B$2</f>
        <v>8.4166666666666661</v>
      </c>
      <c r="AD97">
        <f>SYSCLK!BC96/$B$2</f>
        <v>7.7692307692307701</v>
      </c>
      <c r="AE97">
        <f>SYSCLK!BD96/$B$2</f>
        <v>7.2142857142857135</v>
      </c>
      <c r="AF97">
        <f>SYSCLK!BE96/$B$2</f>
        <v>6.7333333333333334</v>
      </c>
      <c r="AG97" s="118">
        <f>SYSCLK!BF96/$B$2</f>
        <v>6.3125</v>
      </c>
      <c r="AH97">
        <f>SYSCLK!BG96/$B$2</f>
        <v>0</v>
      </c>
      <c r="AI97">
        <f>SYSCLK!BH96/$B$2</f>
        <v>33.666666666666664</v>
      </c>
      <c r="AJ97">
        <f>SYSCLK!BI96/$B$2</f>
        <v>22.444444444444443</v>
      </c>
      <c r="AK97">
        <f>SYSCLK!BJ96/$B$2</f>
        <v>16.833333333333332</v>
      </c>
      <c r="AL97">
        <f>SYSCLK!BK96/$B$2</f>
        <v>13.466666666666669</v>
      </c>
      <c r="AM97">
        <f>SYSCLK!BL96/$B$2</f>
        <v>11.222222222222221</v>
      </c>
      <c r="AN97">
        <f>SYSCLK!BM96/$B$2</f>
        <v>9.6190476190476186</v>
      </c>
      <c r="AO97">
        <f>SYSCLK!BN96/$B$2</f>
        <v>8.4166666666666661</v>
      </c>
      <c r="AP97">
        <f>SYSCLK!BO96/$B$2</f>
        <v>7.481481481481481</v>
      </c>
      <c r="AQ97">
        <f>SYSCLK!BP96/$B$2</f>
        <v>6.7333333333333343</v>
      </c>
      <c r="AR97">
        <f>SYSCLK!BQ96/$B$2</f>
        <v>6.1212121212121211</v>
      </c>
      <c r="AS97">
        <f>SYSCLK!BR96/$B$2</f>
        <v>5.6111111111111107</v>
      </c>
      <c r="AT97">
        <f>SYSCLK!BS96/$B$2</f>
        <v>5.1794871794871797</v>
      </c>
      <c r="AU97">
        <f>SYSCLK!BT96/$B$2</f>
        <v>4.8095238095238093</v>
      </c>
      <c r="AV97">
        <f>SYSCLK!BU96/$B$2</f>
        <v>4.4888888888888889</v>
      </c>
      <c r="AW97">
        <f>SYSCLK!BV96/$B$2</f>
        <v>4.208333333333333</v>
      </c>
      <c r="AX97" s="117">
        <f>SYSCLK!BW96/$B$2</f>
        <v>0</v>
      </c>
      <c r="AY97">
        <f>SYSCLK!BX96/$B$2</f>
        <v>25.25</v>
      </c>
      <c r="AZ97">
        <f>SYSCLK!BY96/$B$2</f>
        <v>16.833333333333332</v>
      </c>
      <c r="BA97">
        <f>SYSCLK!BZ96/$B$2</f>
        <v>12.625</v>
      </c>
      <c r="BB97">
        <f>SYSCLK!CA96/$B$2</f>
        <v>10.100000000000001</v>
      </c>
      <c r="BC97">
        <f>SYSCLK!CB96/$B$2</f>
        <v>8.4166666666666661</v>
      </c>
      <c r="BD97">
        <f>SYSCLK!CC96/$B$2</f>
        <v>7.2142857142857135</v>
      </c>
      <c r="BE97">
        <f>SYSCLK!CD96/$B$2</f>
        <v>6.3125</v>
      </c>
      <c r="BF97">
        <f>SYSCLK!CE96/$B$2</f>
        <v>5.6111111111111107</v>
      </c>
      <c r="BG97">
        <f>SYSCLK!CF96/$B$2</f>
        <v>5.0500000000000007</v>
      </c>
      <c r="BH97">
        <f>SYSCLK!CG96/$B$2</f>
        <v>4.5909090909090908</v>
      </c>
      <c r="BI97">
        <f>SYSCLK!CH96/$B$2</f>
        <v>4.208333333333333</v>
      </c>
      <c r="BJ97">
        <f>SYSCLK!CI96/$B$2</f>
        <v>3.884615384615385</v>
      </c>
      <c r="BK97">
        <f>SYSCLK!CJ96/$B$2</f>
        <v>3.6071428571428568</v>
      </c>
      <c r="BL97">
        <f>SYSCLK!CK96/$B$2</f>
        <v>3.3666666666666667</v>
      </c>
      <c r="BM97">
        <f>SYSCLK!CL96/$B$2</f>
        <v>3.15625</v>
      </c>
    </row>
    <row r="98" spans="2:65">
      <c r="B98">
        <f>SYSCLK!AA97/$B$2</f>
        <v>0</v>
      </c>
      <c r="C98">
        <f>SYSCLK!AB97/$B$2</f>
        <v>0</v>
      </c>
      <c r="D98">
        <f>SYSCLK!AC97/$B$2</f>
        <v>0</v>
      </c>
      <c r="E98">
        <f>SYSCLK!AD97/$B$2</f>
        <v>0</v>
      </c>
      <c r="F98">
        <f>SYSCLK!AE97/$B$2</f>
        <v>40.800000000000004</v>
      </c>
      <c r="G98">
        <f>SYSCLK!AF97/$B$2</f>
        <v>34</v>
      </c>
      <c r="H98">
        <f>SYSCLK!AG97/$B$2</f>
        <v>29.142857142857142</v>
      </c>
      <c r="I98">
        <f>SYSCLK!AH97/$B$2</f>
        <v>25.5</v>
      </c>
      <c r="J98">
        <f>SYSCLK!AI97/$B$2</f>
        <v>22.666666666666664</v>
      </c>
      <c r="K98">
        <f>SYSCLK!AJ97/$B$2</f>
        <v>20.400000000000002</v>
      </c>
      <c r="L98">
        <f>SYSCLK!AK97/$B$2</f>
        <v>18.545454545454547</v>
      </c>
      <c r="M98">
        <f>SYSCLK!AL97/$B$2</f>
        <v>17</v>
      </c>
      <c r="N98">
        <f>SYSCLK!AM97/$B$2</f>
        <v>15.692307692307693</v>
      </c>
      <c r="O98">
        <f>SYSCLK!AN97/$B$2</f>
        <v>14.571428571428571</v>
      </c>
      <c r="P98">
        <f>SYSCLK!AO97/$B$2</f>
        <v>13.6</v>
      </c>
      <c r="Q98">
        <f>SYSCLK!AP97/$B$2</f>
        <v>12.75</v>
      </c>
      <c r="R98" s="117">
        <f>SYSCLK!AQ97/$B$2</f>
        <v>0</v>
      </c>
      <c r="S98">
        <f>SYSCLK!AR97/$B$2</f>
        <v>0</v>
      </c>
      <c r="T98">
        <f>SYSCLK!AS97/$B$2</f>
        <v>34</v>
      </c>
      <c r="U98">
        <f>SYSCLK!AT97/$B$2</f>
        <v>25.5</v>
      </c>
      <c r="V98">
        <f>SYSCLK!AU97/$B$2</f>
        <v>20.400000000000002</v>
      </c>
      <c r="W98">
        <f>SYSCLK!AV97/$B$2</f>
        <v>17</v>
      </c>
      <c r="X98">
        <f>SYSCLK!AW97/$B$2</f>
        <v>14.571428571428571</v>
      </c>
      <c r="Y98">
        <f>SYSCLK!AX97/$B$2</f>
        <v>12.75</v>
      </c>
      <c r="Z98">
        <f>SYSCLK!AY97/$B$2</f>
        <v>11.333333333333332</v>
      </c>
      <c r="AA98">
        <f>SYSCLK!AZ97/$B$2</f>
        <v>10.200000000000001</v>
      </c>
      <c r="AB98">
        <f>SYSCLK!BA97/$B$2</f>
        <v>9.2727272727272734</v>
      </c>
      <c r="AC98">
        <f>SYSCLK!BB97/$B$2</f>
        <v>8.5</v>
      </c>
      <c r="AD98">
        <f>SYSCLK!BC97/$B$2</f>
        <v>7.8461538461538467</v>
      </c>
      <c r="AE98">
        <f>SYSCLK!BD97/$B$2</f>
        <v>7.2857142857142856</v>
      </c>
      <c r="AF98">
        <f>SYSCLK!BE97/$B$2</f>
        <v>6.8</v>
      </c>
      <c r="AG98" s="118">
        <f>SYSCLK!BF97/$B$2</f>
        <v>6.375</v>
      </c>
      <c r="AH98">
        <f>SYSCLK!BG97/$B$2</f>
        <v>0</v>
      </c>
      <c r="AI98">
        <f>SYSCLK!BH97/$B$2</f>
        <v>34</v>
      </c>
      <c r="AJ98">
        <f>SYSCLK!BI97/$B$2</f>
        <v>22.666666666666668</v>
      </c>
      <c r="AK98">
        <f>SYSCLK!BJ97/$B$2</f>
        <v>17</v>
      </c>
      <c r="AL98">
        <f>SYSCLK!BK97/$B$2</f>
        <v>13.600000000000001</v>
      </c>
      <c r="AM98">
        <f>SYSCLK!BL97/$B$2</f>
        <v>11.333333333333334</v>
      </c>
      <c r="AN98">
        <f>SYSCLK!BM97/$B$2</f>
        <v>9.7142857142857135</v>
      </c>
      <c r="AO98">
        <f>SYSCLK!BN97/$B$2</f>
        <v>8.5</v>
      </c>
      <c r="AP98">
        <f>SYSCLK!BO97/$B$2</f>
        <v>7.5555555555555545</v>
      </c>
      <c r="AQ98">
        <f>SYSCLK!BP97/$B$2</f>
        <v>6.8000000000000007</v>
      </c>
      <c r="AR98">
        <f>SYSCLK!BQ97/$B$2</f>
        <v>6.1818181818181825</v>
      </c>
      <c r="AS98">
        <f>SYSCLK!BR97/$B$2</f>
        <v>5.666666666666667</v>
      </c>
      <c r="AT98">
        <f>SYSCLK!BS97/$B$2</f>
        <v>5.2307692307692308</v>
      </c>
      <c r="AU98">
        <f>SYSCLK!BT97/$B$2</f>
        <v>4.8571428571428568</v>
      </c>
      <c r="AV98">
        <f>SYSCLK!BU97/$B$2</f>
        <v>4.5333333333333332</v>
      </c>
      <c r="AW98">
        <f>SYSCLK!BV97/$B$2</f>
        <v>4.25</v>
      </c>
      <c r="AX98" s="117">
        <f>SYSCLK!BW97/$B$2</f>
        <v>0</v>
      </c>
      <c r="AY98">
        <f>SYSCLK!BX97/$B$2</f>
        <v>25.5</v>
      </c>
      <c r="AZ98">
        <f>SYSCLK!BY97/$B$2</f>
        <v>17</v>
      </c>
      <c r="BA98">
        <f>SYSCLK!BZ97/$B$2</f>
        <v>12.75</v>
      </c>
      <c r="BB98">
        <f>SYSCLK!CA97/$B$2</f>
        <v>10.200000000000001</v>
      </c>
      <c r="BC98">
        <f>SYSCLK!CB97/$B$2</f>
        <v>8.5</v>
      </c>
      <c r="BD98">
        <f>SYSCLK!CC97/$B$2</f>
        <v>7.2857142857142856</v>
      </c>
      <c r="BE98">
        <f>SYSCLK!CD97/$B$2</f>
        <v>6.375</v>
      </c>
      <c r="BF98">
        <f>SYSCLK!CE97/$B$2</f>
        <v>5.6666666666666661</v>
      </c>
      <c r="BG98">
        <f>SYSCLK!CF97/$B$2</f>
        <v>5.1000000000000005</v>
      </c>
      <c r="BH98">
        <f>SYSCLK!CG97/$B$2</f>
        <v>4.6363636363636367</v>
      </c>
      <c r="BI98">
        <f>SYSCLK!CH97/$B$2</f>
        <v>4.25</v>
      </c>
      <c r="BJ98">
        <f>SYSCLK!CI97/$B$2</f>
        <v>3.9230769230769234</v>
      </c>
      <c r="BK98">
        <f>SYSCLK!CJ97/$B$2</f>
        <v>3.6428571428571428</v>
      </c>
      <c r="BL98">
        <f>SYSCLK!CK97/$B$2</f>
        <v>3.4</v>
      </c>
      <c r="BM98">
        <f>SYSCLK!CL97/$B$2</f>
        <v>3.1875</v>
      </c>
    </row>
    <row r="99" spans="2:65">
      <c r="B99">
        <f>SYSCLK!AA98/$B$2</f>
        <v>0</v>
      </c>
      <c r="C99">
        <f>SYSCLK!AB98/$B$2</f>
        <v>0</v>
      </c>
      <c r="D99">
        <f>SYSCLK!AC98/$B$2</f>
        <v>0</v>
      </c>
      <c r="E99">
        <f>SYSCLK!AD98/$B$2</f>
        <v>0</v>
      </c>
      <c r="F99">
        <f>SYSCLK!AE98/$B$2</f>
        <v>41.2</v>
      </c>
      <c r="G99">
        <f>SYSCLK!AF98/$B$2</f>
        <v>34.333333333333329</v>
      </c>
      <c r="H99">
        <f>SYSCLK!AG98/$B$2</f>
        <v>29.428571428571427</v>
      </c>
      <c r="I99">
        <f>SYSCLK!AH98/$B$2</f>
        <v>25.75</v>
      </c>
      <c r="J99">
        <f>SYSCLK!AI98/$B$2</f>
        <v>22.888888888888889</v>
      </c>
      <c r="K99">
        <f>SYSCLK!AJ98/$B$2</f>
        <v>20.6</v>
      </c>
      <c r="L99">
        <f>SYSCLK!AK98/$B$2</f>
        <v>18.727272727272727</v>
      </c>
      <c r="M99">
        <f>SYSCLK!AL98/$B$2</f>
        <v>17.166666666666664</v>
      </c>
      <c r="N99">
        <f>SYSCLK!AM98/$B$2</f>
        <v>15.846153846153847</v>
      </c>
      <c r="O99">
        <f>SYSCLK!AN98/$B$2</f>
        <v>14.714285714285714</v>
      </c>
      <c r="P99">
        <f>SYSCLK!AO98/$B$2</f>
        <v>13.733333333333333</v>
      </c>
      <c r="Q99">
        <f>SYSCLK!AP98/$B$2</f>
        <v>12.875</v>
      </c>
      <c r="R99" s="117">
        <f>SYSCLK!AQ98/$B$2</f>
        <v>0</v>
      </c>
      <c r="S99">
        <f>SYSCLK!AR98/$B$2</f>
        <v>0</v>
      </c>
      <c r="T99">
        <f>SYSCLK!AS98/$B$2</f>
        <v>34.333333333333329</v>
      </c>
      <c r="U99">
        <f>SYSCLK!AT98/$B$2</f>
        <v>25.75</v>
      </c>
      <c r="V99">
        <f>SYSCLK!AU98/$B$2</f>
        <v>20.6</v>
      </c>
      <c r="W99">
        <f>SYSCLK!AV98/$B$2</f>
        <v>17.166666666666664</v>
      </c>
      <c r="X99">
        <f>SYSCLK!AW98/$B$2</f>
        <v>14.714285714285714</v>
      </c>
      <c r="Y99">
        <f>SYSCLK!AX98/$B$2</f>
        <v>12.875</v>
      </c>
      <c r="Z99">
        <f>SYSCLK!AY98/$B$2</f>
        <v>11.444444444444445</v>
      </c>
      <c r="AA99">
        <f>SYSCLK!AZ98/$B$2</f>
        <v>10.3</v>
      </c>
      <c r="AB99">
        <f>SYSCLK!BA98/$B$2</f>
        <v>9.3636363636363633</v>
      </c>
      <c r="AC99">
        <f>SYSCLK!BB98/$B$2</f>
        <v>8.5833333333333321</v>
      </c>
      <c r="AD99">
        <f>SYSCLK!BC98/$B$2</f>
        <v>7.9230769230769234</v>
      </c>
      <c r="AE99">
        <f>SYSCLK!BD98/$B$2</f>
        <v>7.3571428571428568</v>
      </c>
      <c r="AF99">
        <f>SYSCLK!BE98/$B$2</f>
        <v>6.8666666666666663</v>
      </c>
      <c r="AG99" s="118">
        <f>SYSCLK!BF98/$B$2</f>
        <v>6.4375</v>
      </c>
      <c r="AH99">
        <f>SYSCLK!BG98/$B$2</f>
        <v>0</v>
      </c>
      <c r="AI99">
        <f>SYSCLK!BH98/$B$2</f>
        <v>34.333333333333336</v>
      </c>
      <c r="AJ99">
        <f>SYSCLK!BI98/$B$2</f>
        <v>22.888888888888886</v>
      </c>
      <c r="AK99">
        <f>SYSCLK!BJ98/$B$2</f>
        <v>17.166666666666668</v>
      </c>
      <c r="AL99">
        <f>SYSCLK!BK98/$B$2</f>
        <v>13.733333333333334</v>
      </c>
      <c r="AM99">
        <f>SYSCLK!BL98/$B$2</f>
        <v>11.444444444444443</v>
      </c>
      <c r="AN99">
        <f>SYSCLK!BM98/$B$2</f>
        <v>9.8095238095238084</v>
      </c>
      <c r="AO99">
        <f>SYSCLK!BN98/$B$2</f>
        <v>8.5833333333333339</v>
      </c>
      <c r="AP99">
        <f>SYSCLK!BO98/$B$2</f>
        <v>7.6296296296296298</v>
      </c>
      <c r="AQ99">
        <f>SYSCLK!BP98/$B$2</f>
        <v>6.8666666666666671</v>
      </c>
      <c r="AR99">
        <f>SYSCLK!BQ98/$B$2</f>
        <v>6.2424242424242422</v>
      </c>
      <c r="AS99">
        <f>SYSCLK!BR98/$B$2</f>
        <v>5.7222222222222214</v>
      </c>
      <c r="AT99">
        <f>SYSCLK!BS98/$B$2</f>
        <v>5.2820512820512819</v>
      </c>
      <c r="AU99">
        <f>SYSCLK!BT98/$B$2</f>
        <v>4.9047619047619042</v>
      </c>
      <c r="AV99">
        <f>SYSCLK!BU98/$B$2</f>
        <v>4.5777777777777775</v>
      </c>
      <c r="AW99">
        <f>SYSCLK!BV98/$B$2</f>
        <v>4.291666666666667</v>
      </c>
      <c r="AX99" s="117">
        <f>SYSCLK!BW98/$B$2</f>
        <v>0</v>
      </c>
      <c r="AY99">
        <f>SYSCLK!BX98/$B$2</f>
        <v>25.75</v>
      </c>
      <c r="AZ99">
        <f>SYSCLK!BY98/$B$2</f>
        <v>17.166666666666664</v>
      </c>
      <c r="BA99">
        <f>SYSCLK!BZ98/$B$2</f>
        <v>12.875</v>
      </c>
      <c r="BB99">
        <f>SYSCLK!CA98/$B$2</f>
        <v>10.3</v>
      </c>
      <c r="BC99">
        <f>SYSCLK!CB98/$B$2</f>
        <v>8.5833333333333321</v>
      </c>
      <c r="BD99">
        <f>SYSCLK!CC98/$B$2</f>
        <v>7.3571428571428568</v>
      </c>
      <c r="BE99">
        <f>SYSCLK!CD98/$B$2</f>
        <v>6.4375</v>
      </c>
      <c r="BF99">
        <f>SYSCLK!CE98/$B$2</f>
        <v>5.7222222222222223</v>
      </c>
      <c r="BG99">
        <f>SYSCLK!CF98/$B$2</f>
        <v>5.15</v>
      </c>
      <c r="BH99">
        <f>SYSCLK!CG98/$B$2</f>
        <v>4.6818181818181817</v>
      </c>
      <c r="BI99">
        <f>SYSCLK!CH98/$B$2</f>
        <v>4.2916666666666661</v>
      </c>
      <c r="BJ99">
        <f>SYSCLK!CI98/$B$2</f>
        <v>3.9615384615384617</v>
      </c>
      <c r="BK99">
        <f>SYSCLK!CJ98/$B$2</f>
        <v>3.6785714285714284</v>
      </c>
      <c r="BL99">
        <f>SYSCLK!CK98/$B$2</f>
        <v>3.4333333333333331</v>
      </c>
      <c r="BM99">
        <f>SYSCLK!CL98/$B$2</f>
        <v>3.21875</v>
      </c>
    </row>
    <row r="100" spans="2:65">
      <c r="B100">
        <f>SYSCLK!AA99/$B$2</f>
        <v>0</v>
      </c>
      <c r="C100">
        <f>SYSCLK!AB99/$B$2</f>
        <v>0</v>
      </c>
      <c r="D100">
        <f>SYSCLK!AC99/$B$2</f>
        <v>0</v>
      </c>
      <c r="E100">
        <f>SYSCLK!AD99/$B$2</f>
        <v>0</v>
      </c>
      <c r="F100">
        <f>SYSCLK!AE99/$B$2</f>
        <v>41.6</v>
      </c>
      <c r="G100">
        <f>SYSCLK!AF99/$B$2</f>
        <v>34.666666666666664</v>
      </c>
      <c r="H100">
        <f>SYSCLK!AG99/$B$2</f>
        <v>29.714285714285712</v>
      </c>
      <c r="I100">
        <f>SYSCLK!AH99/$B$2</f>
        <v>26</v>
      </c>
      <c r="J100">
        <f>SYSCLK!AI99/$B$2</f>
        <v>23.111111111111111</v>
      </c>
      <c r="K100">
        <f>SYSCLK!AJ99/$B$2</f>
        <v>20.8</v>
      </c>
      <c r="L100">
        <f>SYSCLK!AK99/$B$2</f>
        <v>18.90909090909091</v>
      </c>
      <c r="M100">
        <f>SYSCLK!AL99/$B$2</f>
        <v>17.333333333333332</v>
      </c>
      <c r="N100">
        <f>SYSCLK!AM99/$B$2</f>
        <v>16</v>
      </c>
      <c r="O100">
        <f>SYSCLK!AN99/$B$2</f>
        <v>14.857142857142856</v>
      </c>
      <c r="P100">
        <f>SYSCLK!AO99/$B$2</f>
        <v>13.866666666666667</v>
      </c>
      <c r="Q100">
        <f>SYSCLK!AP99/$B$2</f>
        <v>13</v>
      </c>
      <c r="R100" s="117">
        <f>SYSCLK!AQ99/$B$2</f>
        <v>0</v>
      </c>
      <c r="S100">
        <f>SYSCLK!AR99/$B$2</f>
        <v>0</v>
      </c>
      <c r="T100">
        <f>SYSCLK!AS99/$B$2</f>
        <v>34.666666666666664</v>
      </c>
      <c r="U100">
        <f>SYSCLK!AT99/$B$2</f>
        <v>26</v>
      </c>
      <c r="V100">
        <f>SYSCLK!AU99/$B$2</f>
        <v>20.8</v>
      </c>
      <c r="W100">
        <f>SYSCLK!AV99/$B$2</f>
        <v>17.333333333333332</v>
      </c>
      <c r="X100">
        <f>SYSCLK!AW99/$B$2</f>
        <v>14.857142857142856</v>
      </c>
      <c r="Y100">
        <f>SYSCLK!AX99/$B$2</f>
        <v>13</v>
      </c>
      <c r="Z100">
        <f>SYSCLK!AY99/$B$2</f>
        <v>11.555555555555555</v>
      </c>
      <c r="AA100">
        <f>SYSCLK!AZ99/$B$2</f>
        <v>10.4</v>
      </c>
      <c r="AB100">
        <f>SYSCLK!BA99/$B$2</f>
        <v>9.454545454545455</v>
      </c>
      <c r="AC100">
        <f>SYSCLK!BB99/$B$2</f>
        <v>8.6666666666666661</v>
      </c>
      <c r="AD100">
        <f>SYSCLK!BC99/$B$2</f>
        <v>8</v>
      </c>
      <c r="AE100">
        <f>SYSCLK!BD99/$B$2</f>
        <v>7.4285714285714279</v>
      </c>
      <c r="AF100">
        <f>SYSCLK!BE99/$B$2</f>
        <v>6.9333333333333336</v>
      </c>
      <c r="AG100" s="118">
        <f>SYSCLK!BF99/$B$2</f>
        <v>6.5</v>
      </c>
      <c r="AH100">
        <f>SYSCLK!BG99/$B$2</f>
        <v>0</v>
      </c>
      <c r="AI100">
        <f>SYSCLK!BH99/$B$2</f>
        <v>34.666666666666664</v>
      </c>
      <c r="AJ100">
        <f>SYSCLK!BI99/$B$2</f>
        <v>23.111111111111111</v>
      </c>
      <c r="AK100">
        <f>SYSCLK!BJ99/$B$2</f>
        <v>17.333333333333332</v>
      </c>
      <c r="AL100">
        <f>SYSCLK!BK99/$B$2</f>
        <v>13.866666666666667</v>
      </c>
      <c r="AM100">
        <f>SYSCLK!BL99/$B$2</f>
        <v>11.555555555555555</v>
      </c>
      <c r="AN100">
        <f>SYSCLK!BM99/$B$2</f>
        <v>9.9047619047619033</v>
      </c>
      <c r="AO100">
        <f>SYSCLK!BN99/$B$2</f>
        <v>8.6666666666666661</v>
      </c>
      <c r="AP100">
        <f>SYSCLK!BO99/$B$2</f>
        <v>7.7037037037037033</v>
      </c>
      <c r="AQ100">
        <f>SYSCLK!BP99/$B$2</f>
        <v>6.9333333333333336</v>
      </c>
      <c r="AR100">
        <f>SYSCLK!BQ99/$B$2</f>
        <v>6.3030303030303036</v>
      </c>
      <c r="AS100">
        <f>SYSCLK!BR99/$B$2</f>
        <v>5.7777777777777777</v>
      </c>
      <c r="AT100">
        <f>SYSCLK!BS99/$B$2</f>
        <v>5.333333333333333</v>
      </c>
      <c r="AU100">
        <f>SYSCLK!BT99/$B$2</f>
        <v>4.9523809523809517</v>
      </c>
      <c r="AV100">
        <f>SYSCLK!BU99/$B$2</f>
        <v>4.6222222222222227</v>
      </c>
      <c r="AW100">
        <f>SYSCLK!BV99/$B$2</f>
        <v>4.333333333333333</v>
      </c>
      <c r="AX100" s="117">
        <f>SYSCLK!BW99/$B$2</f>
        <v>0</v>
      </c>
      <c r="AY100">
        <f>SYSCLK!BX99/$B$2</f>
        <v>26</v>
      </c>
      <c r="AZ100">
        <f>SYSCLK!BY99/$B$2</f>
        <v>17.333333333333332</v>
      </c>
      <c r="BA100">
        <f>SYSCLK!BZ99/$B$2</f>
        <v>13</v>
      </c>
      <c r="BB100">
        <f>SYSCLK!CA99/$B$2</f>
        <v>10.4</v>
      </c>
      <c r="BC100">
        <f>SYSCLK!CB99/$B$2</f>
        <v>8.6666666666666661</v>
      </c>
      <c r="BD100">
        <f>SYSCLK!CC99/$B$2</f>
        <v>7.4285714285714279</v>
      </c>
      <c r="BE100">
        <f>SYSCLK!CD99/$B$2</f>
        <v>6.5</v>
      </c>
      <c r="BF100">
        <f>SYSCLK!CE99/$B$2</f>
        <v>5.7777777777777777</v>
      </c>
      <c r="BG100">
        <f>SYSCLK!CF99/$B$2</f>
        <v>5.2</v>
      </c>
      <c r="BH100">
        <f>SYSCLK!CG99/$B$2</f>
        <v>4.7272727272727275</v>
      </c>
      <c r="BI100">
        <f>SYSCLK!CH99/$B$2</f>
        <v>4.333333333333333</v>
      </c>
      <c r="BJ100">
        <f>SYSCLK!CI99/$B$2</f>
        <v>4</v>
      </c>
      <c r="BK100">
        <f>SYSCLK!CJ99/$B$2</f>
        <v>3.714285714285714</v>
      </c>
      <c r="BL100">
        <f>SYSCLK!CK99/$B$2</f>
        <v>3.4666666666666668</v>
      </c>
      <c r="BM100">
        <f>SYSCLK!CL99/$B$2</f>
        <v>3.25</v>
      </c>
    </row>
    <row r="101" spans="2:65">
      <c r="B101">
        <f>SYSCLK!AA100/$B$2</f>
        <v>0</v>
      </c>
      <c r="C101">
        <f>SYSCLK!AB100/$B$2</f>
        <v>0</v>
      </c>
      <c r="D101">
        <f>SYSCLK!AC100/$B$2</f>
        <v>0</v>
      </c>
      <c r="E101">
        <f>SYSCLK!AD100/$B$2</f>
        <v>0</v>
      </c>
      <c r="F101">
        <f>SYSCLK!AE100/$B$2</f>
        <v>42</v>
      </c>
      <c r="G101">
        <f>SYSCLK!AF100/$B$2</f>
        <v>35</v>
      </c>
      <c r="H101">
        <f>SYSCLK!AG100/$B$2</f>
        <v>30</v>
      </c>
      <c r="I101">
        <f>SYSCLK!AH100/$B$2</f>
        <v>26.25</v>
      </c>
      <c r="J101">
        <f>SYSCLK!AI100/$B$2</f>
        <v>23.333333333333332</v>
      </c>
      <c r="K101">
        <f>SYSCLK!AJ100/$B$2</f>
        <v>21</v>
      </c>
      <c r="L101">
        <f>SYSCLK!AK100/$B$2</f>
        <v>19.09090909090909</v>
      </c>
      <c r="M101">
        <f>SYSCLK!AL100/$B$2</f>
        <v>17.5</v>
      </c>
      <c r="N101">
        <f>SYSCLK!AM100/$B$2</f>
        <v>16.153846153846153</v>
      </c>
      <c r="O101">
        <f>SYSCLK!AN100/$B$2</f>
        <v>15</v>
      </c>
      <c r="P101">
        <f>SYSCLK!AO100/$B$2</f>
        <v>14</v>
      </c>
      <c r="Q101">
        <f>SYSCLK!AP100/$B$2</f>
        <v>13.125</v>
      </c>
      <c r="R101" s="117">
        <f>SYSCLK!AQ100/$B$2</f>
        <v>0</v>
      </c>
      <c r="S101">
        <f>SYSCLK!AR100/$B$2</f>
        <v>0</v>
      </c>
      <c r="T101">
        <f>SYSCLK!AS100/$B$2</f>
        <v>35</v>
      </c>
      <c r="U101">
        <f>SYSCLK!AT100/$B$2</f>
        <v>26.25</v>
      </c>
      <c r="V101">
        <f>SYSCLK!AU100/$B$2</f>
        <v>21</v>
      </c>
      <c r="W101">
        <f>SYSCLK!AV100/$B$2</f>
        <v>17.5</v>
      </c>
      <c r="X101">
        <f>SYSCLK!AW100/$B$2</f>
        <v>15</v>
      </c>
      <c r="Y101">
        <f>SYSCLK!AX100/$B$2</f>
        <v>13.125</v>
      </c>
      <c r="Z101">
        <f>SYSCLK!AY100/$B$2</f>
        <v>11.666666666666666</v>
      </c>
      <c r="AA101">
        <f>SYSCLK!AZ100/$B$2</f>
        <v>10.5</v>
      </c>
      <c r="AB101">
        <f>SYSCLK!BA100/$B$2</f>
        <v>9.545454545454545</v>
      </c>
      <c r="AC101">
        <f>SYSCLK!BB100/$B$2</f>
        <v>8.75</v>
      </c>
      <c r="AD101">
        <f>SYSCLK!BC100/$B$2</f>
        <v>8.0769230769230766</v>
      </c>
      <c r="AE101">
        <f>SYSCLK!BD100/$B$2</f>
        <v>7.5</v>
      </c>
      <c r="AF101">
        <f>SYSCLK!BE100/$B$2</f>
        <v>7</v>
      </c>
      <c r="AG101" s="118">
        <f>SYSCLK!BF100/$B$2</f>
        <v>6.5625</v>
      </c>
      <c r="AH101">
        <f>SYSCLK!BG100/$B$2</f>
        <v>0</v>
      </c>
      <c r="AI101">
        <f>SYSCLK!BH100/$B$2</f>
        <v>35</v>
      </c>
      <c r="AJ101">
        <f>SYSCLK!BI100/$B$2</f>
        <v>23.333333333333332</v>
      </c>
      <c r="AK101">
        <f>SYSCLK!BJ100/$B$2</f>
        <v>17.5</v>
      </c>
      <c r="AL101">
        <f>SYSCLK!BK100/$B$2</f>
        <v>14</v>
      </c>
      <c r="AM101">
        <f>SYSCLK!BL100/$B$2</f>
        <v>11.666666666666666</v>
      </c>
      <c r="AN101">
        <f>SYSCLK!BM100/$B$2</f>
        <v>10</v>
      </c>
      <c r="AO101">
        <f>SYSCLK!BN100/$B$2</f>
        <v>8.75</v>
      </c>
      <c r="AP101">
        <f>SYSCLK!BO100/$B$2</f>
        <v>7.7777777777777777</v>
      </c>
      <c r="AQ101">
        <f>SYSCLK!BP100/$B$2</f>
        <v>7</v>
      </c>
      <c r="AR101">
        <f>SYSCLK!BQ100/$B$2</f>
        <v>6.3636363636363633</v>
      </c>
      <c r="AS101">
        <f>SYSCLK!BR100/$B$2</f>
        <v>5.833333333333333</v>
      </c>
      <c r="AT101">
        <f>SYSCLK!BS100/$B$2</f>
        <v>5.3846153846153841</v>
      </c>
      <c r="AU101">
        <f>SYSCLK!BT100/$B$2</f>
        <v>5</v>
      </c>
      <c r="AV101">
        <f>SYSCLK!BU100/$B$2</f>
        <v>4.666666666666667</v>
      </c>
      <c r="AW101">
        <f>SYSCLK!BV100/$B$2</f>
        <v>4.375</v>
      </c>
      <c r="AX101" s="117">
        <f>SYSCLK!BW100/$B$2</f>
        <v>0</v>
      </c>
      <c r="AY101">
        <f>SYSCLK!BX100/$B$2</f>
        <v>26.25</v>
      </c>
      <c r="AZ101">
        <f>SYSCLK!BY100/$B$2</f>
        <v>17.5</v>
      </c>
      <c r="BA101">
        <f>SYSCLK!BZ100/$B$2</f>
        <v>13.125</v>
      </c>
      <c r="BB101">
        <f>SYSCLK!CA100/$B$2</f>
        <v>10.5</v>
      </c>
      <c r="BC101">
        <f>SYSCLK!CB100/$B$2</f>
        <v>8.75</v>
      </c>
      <c r="BD101">
        <f>SYSCLK!CC100/$B$2</f>
        <v>7.5</v>
      </c>
      <c r="BE101">
        <f>SYSCLK!CD100/$B$2</f>
        <v>6.5625</v>
      </c>
      <c r="BF101">
        <f>SYSCLK!CE100/$B$2</f>
        <v>5.833333333333333</v>
      </c>
      <c r="BG101">
        <f>SYSCLK!CF100/$B$2</f>
        <v>5.25</v>
      </c>
      <c r="BH101">
        <f>SYSCLK!CG100/$B$2</f>
        <v>4.7727272727272725</v>
      </c>
      <c r="BI101">
        <f>SYSCLK!CH100/$B$2</f>
        <v>4.375</v>
      </c>
      <c r="BJ101">
        <f>SYSCLK!CI100/$B$2</f>
        <v>4.0384615384615383</v>
      </c>
      <c r="BK101">
        <f>SYSCLK!CJ100/$B$2</f>
        <v>3.75</v>
      </c>
      <c r="BL101">
        <f>SYSCLK!CK100/$B$2</f>
        <v>3.5</v>
      </c>
      <c r="BM101">
        <f>SYSCLK!CL100/$B$2</f>
        <v>3.28125</v>
      </c>
    </row>
    <row r="102" spans="2:65">
      <c r="B102">
        <f>SYSCLK!AA101/$B$2</f>
        <v>0</v>
      </c>
      <c r="C102">
        <f>SYSCLK!AB101/$B$2</f>
        <v>0</v>
      </c>
      <c r="D102">
        <f>SYSCLK!AC101/$B$2</f>
        <v>0</v>
      </c>
      <c r="E102">
        <f>SYSCLK!AD101/$B$2</f>
        <v>0</v>
      </c>
      <c r="F102">
        <f>SYSCLK!AE101/$B$2</f>
        <v>42.400000000000006</v>
      </c>
      <c r="G102">
        <f>SYSCLK!AF101/$B$2</f>
        <v>35.333333333333329</v>
      </c>
      <c r="H102">
        <f>SYSCLK!AG101/$B$2</f>
        <v>30.285714285714285</v>
      </c>
      <c r="I102">
        <f>SYSCLK!AH101/$B$2</f>
        <v>26.5</v>
      </c>
      <c r="J102">
        <f>SYSCLK!AI101/$B$2</f>
        <v>23.555555555555554</v>
      </c>
      <c r="K102">
        <f>SYSCLK!AJ101/$B$2</f>
        <v>21.200000000000003</v>
      </c>
      <c r="L102">
        <f>SYSCLK!AK101/$B$2</f>
        <v>19.272727272727273</v>
      </c>
      <c r="M102">
        <f>SYSCLK!AL101/$B$2</f>
        <v>17.666666666666664</v>
      </c>
      <c r="N102">
        <f>SYSCLK!AM101/$B$2</f>
        <v>16.30769230769231</v>
      </c>
      <c r="O102">
        <f>SYSCLK!AN101/$B$2</f>
        <v>15.142857142857142</v>
      </c>
      <c r="P102">
        <f>SYSCLK!AO101/$B$2</f>
        <v>14.133333333333333</v>
      </c>
      <c r="Q102">
        <f>SYSCLK!AP101/$B$2</f>
        <v>13.25</v>
      </c>
      <c r="R102" s="117">
        <f>SYSCLK!AQ101/$B$2</f>
        <v>0</v>
      </c>
      <c r="S102">
        <f>SYSCLK!AR101/$B$2</f>
        <v>0</v>
      </c>
      <c r="T102">
        <f>SYSCLK!AS101/$B$2</f>
        <v>35.333333333333329</v>
      </c>
      <c r="U102">
        <f>SYSCLK!AT101/$B$2</f>
        <v>26.5</v>
      </c>
      <c r="V102">
        <f>SYSCLK!AU101/$B$2</f>
        <v>21.200000000000003</v>
      </c>
      <c r="W102">
        <f>SYSCLK!AV101/$B$2</f>
        <v>17.666666666666664</v>
      </c>
      <c r="X102">
        <f>SYSCLK!AW101/$B$2</f>
        <v>15.142857142857142</v>
      </c>
      <c r="Y102">
        <f>SYSCLK!AX101/$B$2</f>
        <v>13.25</v>
      </c>
      <c r="Z102">
        <f>SYSCLK!AY101/$B$2</f>
        <v>11.777777777777777</v>
      </c>
      <c r="AA102">
        <f>SYSCLK!AZ101/$B$2</f>
        <v>10.600000000000001</v>
      </c>
      <c r="AB102">
        <f>SYSCLK!BA101/$B$2</f>
        <v>9.6363636363636367</v>
      </c>
      <c r="AC102">
        <f>SYSCLK!BB101/$B$2</f>
        <v>8.8333333333333321</v>
      </c>
      <c r="AD102">
        <f>SYSCLK!BC101/$B$2</f>
        <v>8.1538461538461551</v>
      </c>
      <c r="AE102">
        <f>SYSCLK!BD101/$B$2</f>
        <v>7.5714285714285712</v>
      </c>
      <c r="AF102">
        <f>SYSCLK!BE101/$B$2</f>
        <v>7.0666666666666664</v>
      </c>
      <c r="AG102" s="118">
        <f>SYSCLK!BF101/$B$2</f>
        <v>6.625</v>
      </c>
      <c r="AH102">
        <f>SYSCLK!BG101/$B$2</f>
        <v>0</v>
      </c>
      <c r="AI102">
        <f>SYSCLK!BH101/$B$2</f>
        <v>35.333333333333336</v>
      </c>
      <c r="AJ102">
        <f>SYSCLK!BI101/$B$2</f>
        <v>23.555555555555554</v>
      </c>
      <c r="AK102">
        <f>SYSCLK!BJ101/$B$2</f>
        <v>17.666666666666668</v>
      </c>
      <c r="AL102">
        <f>SYSCLK!BK101/$B$2</f>
        <v>14.133333333333335</v>
      </c>
      <c r="AM102">
        <f>SYSCLK!BL101/$B$2</f>
        <v>11.777777777777777</v>
      </c>
      <c r="AN102">
        <f>SYSCLK!BM101/$B$2</f>
        <v>10.095238095238095</v>
      </c>
      <c r="AO102">
        <f>SYSCLK!BN101/$B$2</f>
        <v>8.8333333333333339</v>
      </c>
      <c r="AP102">
        <f>SYSCLK!BO101/$B$2</f>
        <v>7.8518518518518512</v>
      </c>
      <c r="AQ102">
        <f>SYSCLK!BP101/$B$2</f>
        <v>7.0666666666666673</v>
      </c>
      <c r="AR102">
        <f>SYSCLK!BQ101/$B$2</f>
        <v>6.4242424242424248</v>
      </c>
      <c r="AS102">
        <f>SYSCLK!BR101/$B$2</f>
        <v>5.8888888888888884</v>
      </c>
      <c r="AT102">
        <f>SYSCLK!BS101/$B$2</f>
        <v>5.435897435897437</v>
      </c>
      <c r="AU102">
        <f>SYSCLK!BT101/$B$2</f>
        <v>5.0476190476190474</v>
      </c>
      <c r="AV102">
        <f>SYSCLK!BU101/$B$2</f>
        <v>4.7111111111111112</v>
      </c>
      <c r="AW102">
        <f>SYSCLK!BV101/$B$2</f>
        <v>4.416666666666667</v>
      </c>
      <c r="AX102" s="117">
        <f>SYSCLK!BW101/$B$2</f>
        <v>0</v>
      </c>
      <c r="AY102">
        <f>SYSCLK!BX101/$B$2</f>
        <v>26.5</v>
      </c>
      <c r="AZ102">
        <f>SYSCLK!BY101/$B$2</f>
        <v>17.666666666666664</v>
      </c>
      <c r="BA102">
        <f>SYSCLK!BZ101/$B$2</f>
        <v>13.25</v>
      </c>
      <c r="BB102">
        <f>SYSCLK!CA101/$B$2</f>
        <v>10.600000000000001</v>
      </c>
      <c r="BC102">
        <f>SYSCLK!CB101/$B$2</f>
        <v>8.8333333333333321</v>
      </c>
      <c r="BD102">
        <f>SYSCLK!CC101/$B$2</f>
        <v>7.5714285714285712</v>
      </c>
      <c r="BE102">
        <f>SYSCLK!CD101/$B$2</f>
        <v>6.625</v>
      </c>
      <c r="BF102">
        <f>SYSCLK!CE101/$B$2</f>
        <v>5.8888888888888884</v>
      </c>
      <c r="BG102">
        <f>SYSCLK!CF101/$B$2</f>
        <v>5.3000000000000007</v>
      </c>
      <c r="BH102">
        <f>SYSCLK!CG101/$B$2</f>
        <v>4.8181818181818183</v>
      </c>
      <c r="BI102">
        <f>SYSCLK!CH101/$B$2</f>
        <v>4.4166666666666661</v>
      </c>
      <c r="BJ102">
        <f>SYSCLK!CI101/$B$2</f>
        <v>4.0769230769230775</v>
      </c>
      <c r="BK102">
        <f>SYSCLK!CJ101/$B$2</f>
        <v>3.7857142857142856</v>
      </c>
      <c r="BL102">
        <f>SYSCLK!CK101/$B$2</f>
        <v>3.5333333333333332</v>
      </c>
      <c r="BM102">
        <f>SYSCLK!CL101/$B$2</f>
        <v>3.3125</v>
      </c>
    </row>
    <row r="103" spans="2:65">
      <c r="B103">
        <f>SYSCLK!AA102/$B$2</f>
        <v>0</v>
      </c>
      <c r="C103">
        <f>SYSCLK!AB102/$B$2</f>
        <v>0</v>
      </c>
      <c r="D103">
        <f>SYSCLK!AC102/$B$2</f>
        <v>0</v>
      </c>
      <c r="E103">
        <f>SYSCLK!AD102/$B$2</f>
        <v>0</v>
      </c>
      <c r="F103">
        <f>SYSCLK!AE102/$B$2</f>
        <v>0</v>
      </c>
      <c r="G103">
        <f>SYSCLK!AF102/$B$2</f>
        <v>35.666666666666664</v>
      </c>
      <c r="H103">
        <f>SYSCLK!AG102/$B$2</f>
        <v>30.571428571428569</v>
      </c>
      <c r="I103">
        <f>SYSCLK!AH102/$B$2</f>
        <v>26.75</v>
      </c>
      <c r="J103">
        <f>SYSCLK!AI102/$B$2</f>
        <v>23.777777777777775</v>
      </c>
      <c r="K103">
        <f>SYSCLK!AJ102/$B$2</f>
        <v>21.400000000000002</v>
      </c>
      <c r="L103">
        <f>SYSCLK!AK102/$B$2</f>
        <v>19.454545454545457</v>
      </c>
      <c r="M103">
        <f>SYSCLK!AL102/$B$2</f>
        <v>17.833333333333332</v>
      </c>
      <c r="N103">
        <f>SYSCLK!AM102/$B$2</f>
        <v>16.461538461538463</v>
      </c>
      <c r="O103">
        <f>SYSCLK!AN102/$B$2</f>
        <v>15.285714285714285</v>
      </c>
      <c r="P103">
        <f>SYSCLK!AO102/$B$2</f>
        <v>14.266666666666666</v>
      </c>
      <c r="Q103">
        <f>SYSCLK!AP102/$B$2</f>
        <v>13.375</v>
      </c>
      <c r="R103" s="117">
        <f>SYSCLK!AQ102/$B$2</f>
        <v>0</v>
      </c>
      <c r="S103">
        <f>SYSCLK!AR102/$B$2</f>
        <v>0</v>
      </c>
      <c r="T103">
        <f>SYSCLK!AS102/$B$2</f>
        <v>35.666666666666664</v>
      </c>
      <c r="U103">
        <f>SYSCLK!AT102/$B$2</f>
        <v>26.75</v>
      </c>
      <c r="V103">
        <f>SYSCLK!AU102/$B$2</f>
        <v>21.400000000000002</v>
      </c>
      <c r="W103">
        <f>SYSCLK!AV102/$B$2</f>
        <v>17.833333333333332</v>
      </c>
      <c r="X103">
        <f>SYSCLK!AW102/$B$2</f>
        <v>15.285714285714285</v>
      </c>
      <c r="Y103">
        <f>SYSCLK!AX102/$B$2</f>
        <v>13.375</v>
      </c>
      <c r="Z103">
        <f>SYSCLK!AY102/$B$2</f>
        <v>11.888888888888888</v>
      </c>
      <c r="AA103">
        <f>SYSCLK!AZ102/$B$2</f>
        <v>10.700000000000001</v>
      </c>
      <c r="AB103">
        <f>SYSCLK!BA102/$B$2</f>
        <v>9.7272727272727284</v>
      </c>
      <c r="AC103">
        <f>SYSCLK!BB102/$B$2</f>
        <v>8.9166666666666661</v>
      </c>
      <c r="AD103">
        <f>SYSCLK!BC102/$B$2</f>
        <v>8.2307692307692317</v>
      </c>
      <c r="AE103">
        <f>SYSCLK!BD102/$B$2</f>
        <v>7.6428571428571423</v>
      </c>
      <c r="AF103">
        <f>SYSCLK!BE102/$B$2</f>
        <v>7.1333333333333329</v>
      </c>
      <c r="AG103" s="118">
        <f>SYSCLK!BF102/$B$2</f>
        <v>6.6875</v>
      </c>
      <c r="AH103">
        <f>SYSCLK!BG102/$B$2</f>
        <v>0</v>
      </c>
      <c r="AI103">
        <f>SYSCLK!BH102/$B$2</f>
        <v>35.666666666666664</v>
      </c>
      <c r="AJ103">
        <f>SYSCLK!BI102/$B$2</f>
        <v>23.777777777777775</v>
      </c>
      <c r="AK103">
        <f>SYSCLK!BJ102/$B$2</f>
        <v>17.833333333333332</v>
      </c>
      <c r="AL103">
        <f>SYSCLK!BK102/$B$2</f>
        <v>14.266666666666667</v>
      </c>
      <c r="AM103">
        <f>SYSCLK!BL102/$B$2</f>
        <v>11.888888888888888</v>
      </c>
      <c r="AN103">
        <f>SYSCLK!BM102/$B$2</f>
        <v>10.19047619047619</v>
      </c>
      <c r="AO103">
        <f>SYSCLK!BN102/$B$2</f>
        <v>8.9166666666666661</v>
      </c>
      <c r="AP103">
        <f>SYSCLK!BO102/$B$2</f>
        <v>7.9259259259259247</v>
      </c>
      <c r="AQ103">
        <f>SYSCLK!BP102/$B$2</f>
        <v>7.1333333333333337</v>
      </c>
      <c r="AR103">
        <f>SYSCLK!BQ102/$B$2</f>
        <v>6.4848484848484853</v>
      </c>
      <c r="AS103">
        <f>SYSCLK!BR102/$B$2</f>
        <v>5.9444444444444438</v>
      </c>
      <c r="AT103">
        <f>SYSCLK!BS102/$B$2</f>
        <v>5.4871794871794881</v>
      </c>
      <c r="AU103">
        <f>SYSCLK!BT102/$B$2</f>
        <v>5.0952380952380949</v>
      </c>
      <c r="AV103">
        <f>SYSCLK!BU102/$B$2</f>
        <v>4.7555555555555555</v>
      </c>
      <c r="AW103">
        <f>SYSCLK!BV102/$B$2</f>
        <v>4.458333333333333</v>
      </c>
      <c r="AX103" s="117">
        <f>SYSCLK!BW102/$B$2</f>
        <v>0</v>
      </c>
      <c r="AY103">
        <f>SYSCLK!BX102/$B$2</f>
        <v>26.75</v>
      </c>
      <c r="AZ103">
        <f>SYSCLK!BY102/$B$2</f>
        <v>17.833333333333332</v>
      </c>
      <c r="BA103">
        <f>SYSCLK!BZ102/$B$2</f>
        <v>13.375</v>
      </c>
      <c r="BB103">
        <f>SYSCLK!CA102/$B$2</f>
        <v>10.700000000000001</v>
      </c>
      <c r="BC103">
        <f>SYSCLK!CB102/$B$2</f>
        <v>8.9166666666666661</v>
      </c>
      <c r="BD103">
        <f>SYSCLK!CC102/$B$2</f>
        <v>7.6428571428571423</v>
      </c>
      <c r="BE103">
        <f>SYSCLK!CD102/$B$2</f>
        <v>6.6875</v>
      </c>
      <c r="BF103">
        <f>SYSCLK!CE102/$B$2</f>
        <v>5.9444444444444438</v>
      </c>
      <c r="BG103">
        <f>SYSCLK!CF102/$B$2</f>
        <v>5.3500000000000005</v>
      </c>
      <c r="BH103">
        <f>SYSCLK!CG102/$B$2</f>
        <v>4.8636363636363642</v>
      </c>
      <c r="BI103">
        <f>SYSCLK!CH102/$B$2</f>
        <v>4.458333333333333</v>
      </c>
      <c r="BJ103">
        <f>SYSCLK!CI102/$B$2</f>
        <v>4.1153846153846159</v>
      </c>
      <c r="BK103">
        <f>SYSCLK!CJ102/$B$2</f>
        <v>3.8214285714285712</v>
      </c>
      <c r="BL103">
        <f>SYSCLK!CK102/$B$2</f>
        <v>3.5666666666666664</v>
      </c>
      <c r="BM103">
        <f>SYSCLK!CL102/$B$2</f>
        <v>3.34375</v>
      </c>
    </row>
    <row r="104" spans="2:65">
      <c r="B104">
        <f>SYSCLK!AA103/$B$2</f>
        <v>0</v>
      </c>
      <c r="C104">
        <f>SYSCLK!AB103/$B$2</f>
        <v>0</v>
      </c>
      <c r="D104">
        <f>SYSCLK!AC103/$B$2</f>
        <v>0</v>
      </c>
      <c r="E104">
        <f>SYSCLK!AD103/$B$2</f>
        <v>0</v>
      </c>
      <c r="F104">
        <f>SYSCLK!AE103/$B$2</f>
        <v>0</v>
      </c>
      <c r="G104">
        <f>SYSCLK!AF103/$B$2</f>
        <v>36</v>
      </c>
      <c r="H104">
        <f>SYSCLK!AG103/$B$2</f>
        <v>30.857142857142854</v>
      </c>
      <c r="I104">
        <f>SYSCLK!AH103/$B$2</f>
        <v>27</v>
      </c>
      <c r="J104">
        <f>SYSCLK!AI103/$B$2</f>
        <v>24</v>
      </c>
      <c r="K104">
        <f>SYSCLK!AJ103/$B$2</f>
        <v>21.6</v>
      </c>
      <c r="L104">
        <f>SYSCLK!AK103/$B$2</f>
        <v>19.636363636363637</v>
      </c>
      <c r="M104">
        <f>SYSCLK!AL103/$B$2</f>
        <v>18</v>
      </c>
      <c r="N104">
        <f>SYSCLK!AM103/$B$2</f>
        <v>16.615384615384617</v>
      </c>
      <c r="O104">
        <f>SYSCLK!AN103/$B$2</f>
        <v>15.428571428571427</v>
      </c>
      <c r="P104">
        <f>SYSCLK!AO103/$B$2</f>
        <v>14.4</v>
      </c>
      <c r="Q104">
        <f>SYSCLK!AP103/$B$2</f>
        <v>13.5</v>
      </c>
      <c r="R104" s="117">
        <f>SYSCLK!AQ103/$B$2</f>
        <v>0</v>
      </c>
      <c r="S104">
        <f>SYSCLK!AR103/$B$2</f>
        <v>0</v>
      </c>
      <c r="T104">
        <f>SYSCLK!AS103/$B$2</f>
        <v>36</v>
      </c>
      <c r="U104">
        <f>SYSCLK!AT103/$B$2</f>
        <v>27</v>
      </c>
      <c r="V104">
        <f>SYSCLK!AU103/$B$2</f>
        <v>21.6</v>
      </c>
      <c r="W104">
        <f>SYSCLK!AV103/$B$2</f>
        <v>18</v>
      </c>
      <c r="X104">
        <f>SYSCLK!AW103/$B$2</f>
        <v>15.428571428571427</v>
      </c>
      <c r="Y104">
        <f>SYSCLK!AX103/$B$2</f>
        <v>13.5</v>
      </c>
      <c r="Z104">
        <f>SYSCLK!AY103/$B$2</f>
        <v>12</v>
      </c>
      <c r="AA104">
        <f>SYSCLK!AZ103/$B$2</f>
        <v>10.8</v>
      </c>
      <c r="AB104">
        <f>SYSCLK!BA103/$B$2</f>
        <v>9.8181818181818183</v>
      </c>
      <c r="AC104">
        <f>SYSCLK!BB103/$B$2</f>
        <v>9</v>
      </c>
      <c r="AD104">
        <f>SYSCLK!BC103/$B$2</f>
        <v>8.3076923076923084</v>
      </c>
      <c r="AE104">
        <f>SYSCLK!BD103/$B$2</f>
        <v>7.7142857142857135</v>
      </c>
      <c r="AF104">
        <f>SYSCLK!BE103/$B$2</f>
        <v>7.2</v>
      </c>
      <c r="AG104" s="118">
        <f>SYSCLK!BF103/$B$2</f>
        <v>6.75</v>
      </c>
      <c r="AH104">
        <f>SYSCLK!BG103/$B$2</f>
        <v>0</v>
      </c>
      <c r="AI104">
        <f>SYSCLK!BH103/$B$2</f>
        <v>36</v>
      </c>
      <c r="AJ104">
        <f>SYSCLK!BI103/$B$2</f>
        <v>24</v>
      </c>
      <c r="AK104">
        <f>SYSCLK!BJ103/$B$2</f>
        <v>18</v>
      </c>
      <c r="AL104">
        <f>SYSCLK!BK103/$B$2</f>
        <v>14.4</v>
      </c>
      <c r="AM104">
        <f>SYSCLK!BL103/$B$2</f>
        <v>12</v>
      </c>
      <c r="AN104">
        <f>SYSCLK!BM103/$B$2</f>
        <v>10.285714285714285</v>
      </c>
      <c r="AO104">
        <f>SYSCLK!BN103/$B$2</f>
        <v>9</v>
      </c>
      <c r="AP104">
        <f>SYSCLK!BO103/$B$2</f>
        <v>8</v>
      </c>
      <c r="AQ104">
        <f>SYSCLK!BP103/$B$2</f>
        <v>7.2</v>
      </c>
      <c r="AR104">
        <f>SYSCLK!BQ103/$B$2</f>
        <v>6.5454545454545459</v>
      </c>
      <c r="AS104">
        <f>SYSCLK!BR103/$B$2</f>
        <v>6</v>
      </c>
      <c r="AT104">
        <f>SYSCLK!BS103/$B$2</f>
        <v>5.5384615384615392</v>
      </c>
      <c r="AU104">
        <f>SYSCLK!BT103/$B$2</f>
        <v>5.1428571428571423</v>
      </c>
      <c r="AV104">
        <f>SYSCLK!BU103/$B$2</f>
        <v>4.8</v>
      </c>
      <c r="AW104">
        <f>SYSCLK!BV103/$B$2</f>
        <v>4.5</v>
      </c>
      <c r="AX104" s="117">
        <f>SYSCLK!BW103/$B$2</f>
        <v>0</v>
      </c>
      <c r="AY104">
        <f>SYSCLK!BX103/$B$2</f>
        <v>27</v>
      </c>
      <c r="AZ104">
        <f>SYSCLK!BY103/$B$2</f>
        <v>18</v>
      </c>
      <c r="BA104">
        <f>SYSCLK!BZ103/$B$2</f>
        <v>13.5</v>
      </c>
      <c r="BB104">
        <f>SYSCLK!CA103/$B$2</f>
        <v>10.8</v>
      </c>
      <c r="BC104">
        <f>SYSCLK!CB103/$B$2</f>
        <v>9</v>
      </c>
      <c r="BD104">
        <f>SYSCLK!CC103/$B$2</f>
        <v>7.7142857142857135</v>
      </c>
      <c r="BE104">
        <f>SYSCLK!CD103/$B$2</f>
        <v>6.75</v>
      </c>
      <c r="BF104">
        <f>SYSCLK!CE103/$B$2</f>
        <v>6</v>
      </c>
      <c r="BG104">
        <f>SYSCLK!CF103/$B$2</f>
        <v>5.4</v>
      </c>
      <c r="BH104">
        <f>SYSCLK!CG103/$B$2</f>
        <v>4.9090909090909092</v>
      </c>
      <c r="BI104">
        <f>SYSCLK!CH103/$B$2</f>
        <v>4.5</v>
      </c>
      <c r="BJ104">
        <f>SYSCLK!CI103/$B$2</f>
        <v>4.1538461538461542</v>
      </c>
      <c r="BK104">
        <f>SYSCLK!CJ103/$B$2</f>
        <v>3.8571428571428568</v>
      </c>
      <c r="BL104">
        <f>SYSCLK!CK103/$B$2</f>
        <v>3.6</v>
      </c>
      <c r="BM104">
        <f>SYSCLK!CL103/$B$2</f>
        <v>3.375</v>
      </c>
    </row>
    <row r="105" spans="2:65">
      <c r="B105">
        <f>SYSCLK!AA104/$B$2</f>
        <v>0</v>
      </c>
      <c r="C105">
        <f>SYSCLK!AB104/$B$2</f>
        <v>0</v>
      </c>
      <c r="D105">
        <f>SYSCLK!AC104/$B$2</f>
        <v>0</v>
      </c>
      <c r="E105">
        <f>SYSCLK!AD104/$B$2</f>
        <v>0</v>
      </c>
      <c r="F105">
        <f>SYSCLK!AE104/$B$2</f>
        <v>0</v>
      </c>
      <c r="G105">
        <f>SYSCLK!AF104/$B$2</f>
        <v>36.333333333333329</v>
      </c>
      <c r="H105">
        <f>SYSCLK!AG104/$B$2</f>
        <v>31.142857142857142</v>
      </c>
      <c r="I105">
        <f>SYSCLK!AH104/$B$2</f>
        <v>27.25</v>
      </c>
      <c r="J105">
        <f>SYSCLK!AI104/$B$2</f>
        <v>24.222222222222221</v>
      </c>
      <c r="K105">
        <f>SYSCLK!AJ104/$B$2</f>
        <v>21.8</v>
      </c>
      <c r="L105">
        <f>SYSCLK!AK104/$B$2</f>
        <v>19.81818181818182</v>
      </c>
      <c r="M105">
        <f>SYSCLK!AL104/$B$2</f>
        <v>18.166666666666664</v>
      </c>
      <c r="N105">
        <f>SYSCLK!AM104/$B$2</f>
        <v>16.76923076923077</v>
      </c>
      <c r="O105">
        <f>SYSCLK!AN104/$B$2</f>
        <v>15.571428571428571</v>
      </c>
      <c r="P105">
        <f>SYSCLK!AO104/$B$2</f>
        <v>14.533333333333333</v>
      </c>
      <c r="Q105">
        <f>SYSCLK!AP104/$B$2</f>
        <v>13.625</v>
      </c>
      <c r="R105" s="117">
        <f>SYSCLK!AQ104/$B$2</f>
        <v>0</v>
      </c>
      <c r="S105">
        <f>SYSCLK!AR104/$B$2</f>
        <v>0</v>
      </c>
      <c r="T105">
        <f>SYSCLK!AS104/$B$2</f>
        <v>36.333333333333329</v>
      </c>
      <c r="U105">
        <f>SYSCLK!AT104/$B$2</f>
        <v>27.25</v>
      </c>
      <c r="V105">
        <f>SYSCLK!AU104/$B$2</f>
        <v>21.8</v>
      </c>
      <c r="W105">
        <f>SYSCLK!AV104/$B$2</f>
        <v>18.166666666666664</v>
      </c>
      <c r="X105">
        <f>SYSCLK!AW104/$B$2</f>
        <v>15.571428571428571</v>
      </c>
      <c r="Y105">
        <f>SYSCLK!AX104/$B$2</f>
        <v>13.625</v>
      </c>
      <c r="Z105">
        <f>SYSCLK!AY104/$B$2</f>
        <v>12.111111111111111</v>
      </c>
      <c r="AA105">
        <f>SYSCLK!AZ104/$B$2</f>
        <v>10.9</v>
      </c>
      <c r="AB105">
        <f>SYSCLK!BA104/$B$2</f>
        <v>9.9090909090909101</v>
      </c>
      <c r="AC105">
        <f>SYSCLK!BB104/$B$2</f>
        <v>9.0833333333333321</v>
      </c>
      <c r="AD105">
        <f>SYSCLK!BC104/$B$2</f>
        <v>8.384615384615385</v>
      </c>
      <c r="AE105">
        <f>SYSCLK!BD104/$B$2</f>
        <v>7.7857142857142856</v>
      </c>
      <c r="AF105">
        <f>SYSCLK!BE104/$B$2</f>
        <v>7.2666666666666666</v>
      </c>
      <c r="AG105" s="118">
        <f>SYSCLK!BF104/$B$2</f>
        <v>6.8125</v>
      </c>
      <c r="AH105">
        <f>SYSCLK!BG104/$B$2</f>
        <v>0</v>
      </c>
      <c r="AI105">
        <f>SYSCLK!BH104/$B$2</f>
        <v>36.333333333333336</v>
      </c>
      <c r="AJ105">
        <f>SYSCLK!BI104/$B$2</f>
        <v>24.222222222222218</v>
      </c>
      <c r="AK105">
        <f>SYSCLK!BJ104/$B$2</f>
        <v>18.166666666666668</v>
      </c>
      <c r="AL105">
        <f>SYSCLK!BK104/$B$2</f>
        <v>14.533333333333333</v>
      </c>
      <c r="AM105">
        <f>SYSCLK!BL104/$B$2</f>
        <v>12.111111111111109</v>
      </c>
      <c r="AN105">
        <f>SYSCLK!BM104/$B$2</f>
        <v>10.380952380952381</v>
      </c>
      <c r="AO105">
        <f>SYSCLK!BN104/$B$2</f>
        <v>9.0833333333333339</v>
      </c>
      <c r="AP105">
        <f>SYSCLK!BO104/$B$2</f>
        <v>8.0740740740740744</v>
      </c>
      <c r="AQ105">
        <f>SYSCLK!BP104/$B$2</f>
        <v>7.2666666666666666</v>
      </c>
      <c r="AR105">
        <f>SYSCLK!BQ104/$B$2</f>
        <v>6.6060606060606064</v>
      </c>
      <c r="AS105">
        <f>SYSCLK!BR104/$B$2</f>
        <v>6.0555555555555545</v>
      </c>
      <c r="AT105">
        <f>SYSCLK!BS104/$B$2</f>
        <v>5.5897435897435903</v>
      </c>
      <c r="AU105">
        <f>SYSCLK!BT104/$B$2</f>
        <v>5.1904761904761907</v>
      </c>
      <c r="AV105">
        <f>SYSCLK!BU104/$B$2</f>
        <v>4.8444444444444441</v>
      </c>
      <c r="AW105">
        <f>SYSCLK!BV104/$B$2</f>
        <v>4.541666666666667</v>
      </c>
      <c r="AX105" s="117">
        <f>SYSCLK!BW104/$B$2</f>
        <v>0</v>
      </c>
      <c r="AY105">
        <f>SYSCLK!BX104/$B$2</f>
        <v>27.25</v>
      </c>
      <c r="AZ105">
        <f>SYSCLK!BY104/$B$2</f>
        <v>18.166666666666664</v>
      </c>
      <c r="BA105">
        <f>SYSCLK!BZ104/$B$2</f>
        <v>13.625</v>
      </c>
      <c r="BB105">
        <f>SYSCLK!CA104/$B$2</f>
        <v>10.9</v>
      </c>
      <c r="BC105">
        <f>SYSCLK!CB104/$B$2</f>
        <v>9.0833333333333321</v>
      </c>
      <c r="BD105">
        <f>SYSCLK!CC104/$B$2</f>
        <v>7.7857142857142856</v>
      </c>
      <c r="BE105">
        <f>SYSCLK!CD104/$B$2</f>
        <v>6.8125</v>
      </c>
      <c r="BF105">
        <f>SYSCLK!CE104/$B$2</f>
        <v>6.0555555555555554</v>
      </c>
      <c r="BG105">
        <f>SYSCLK!CF104/$B$2</f>
        <v>5.45</v>
      </c>
      <c r="BH105">
        <f>SYSCLK!CG104/$B$2</f>
        <v>4.954545454545455</v>
      </c>
      <c r="BI105">
        <f>SYSCLK!CH104/$B$2</f>
        <v>4.5416666666666661</v>
      </c>
      <c r="BJ105">
        <f>SYSCLK!CI104/$B$2</f>
        <v>4.1923076923076925</v>
      </c>
      <c r="BK105">
        <f>SYSCLK!CJ104/$B$2</f>
        <v>3.8928571428571428</v>
      </c>
      <c r="BL105">
        <f>SYSCLK!CK104/$B$2</f>
        <v>3.6333333333333333</v>
      </c>
      <c r="BM105">
        <f>SYSCLK!CL104/$B$2</f>
        <v>3.40625</v>
      </c>
    </row>
    <row r="106" spans="2:65">
      <c r="B106">
        <f>SYSCLK!AA105/$B$2</f>
        <v>0</v>
      </c>
      <c r="C106">
        <f>SYSCLK!AB105/$B$2</f>
        <v>0</v>
      </c>
      <c r="D106">
        <f>SYSCLK!AC105/$B$2</f>
        <v>0</v>
      </c>
      <c r="E106">
        <f>SYSCLK!AD105/$B$2</f>
        <v>0</v>
      </c>
      <c r="F106">
        <f>SYSCLK!AE105/$B$2</f>
        <v>0</v>
      </c>
      <c r="G106">
        <f>SYSCLK!AF105/$B$2</f>
        <v>36.666666666666664</v>
      </c>
      <c r="H106">
        <f>SYSCLK!AG105/$B$2</f>
        <v>31.428571428571427</v>
      </c>
      <c r="I106">
        <f>SYSCLK!AH105/$B$2</f>
        <v>27.5</v>
      </c>
      <c r="J106">
        <f>SYSCLK!AI105/$B$2</f>
        <v>24.444444444444443</v>
      </c>
      <c r="K106">
        <f>SYSCLK!AJ105/$B$2</f>
        <v>22</v>
      </c>
      <c r="L106">
        <f>SYSCLK!AK105/$B$2</f>
        <v>20</v>
      </c>
      <c r="M106">
        <f>SYSCLK!AL105/$B$2</f>
        <v>18.333333333333332</v>
      </c>
      <c r="N106">
        <f>SYSCLK!AM105/$B$2</f>
        <v>16.923076923076923</v>
      </c>
      <c r="O106">
        <f>SYSCLK!AN105/$B$2</f>
        <v>15.714285714285714</v>
      </c>
      <c r="P106">
        <f>SYSCLK!AO105/$B$2</f>
        <v>14.666666666666666</v>
      </c>
      <c r="Q106">
        <f>SYSCLK!AP105/$B$2</f>
        <v>13.75</v>
      </c>
      <c r="R106" s="117">
        <f>SYSCLK!AQ105/$B$2</f>
        <v>0</v>
      </c>
      <c r="S106">
        <f>SYSCLK!AR105/$B$2</f>
        <v>0</v>
      </c>
      <c r="T106">
        <f>SYSCLK!AS105/$B$2</f>
        <v>36.666666666666664</v>
      </c>
      <c r="U106">
        <f>SYSCLK!AT105/$B$2</f>
        <v>27.5</v>
      </c>
      <c r="V106">
        <f>SYSCLK!AU105/$B$2</f>
        <v>22</v>
      </c>
      <c r="W106">
        <f>SYSCLK!AV105/$B$2</f>
        <v>18.333333333333332</v>
      </c>
      <c r="X106">
        <f>SYSCLK!AW105/$B$2</f>
        <v>15.714285714285714</v>
      </c>
      <c r="Y106">
        <f>SYSCLK!AX105/$B$2</f>
        <v>13.75</v>
      </c>
      <c r="Z106">
        <f>SYSCLK!AY105/$B$2</f>
        <v>12.222222222222221</v>
      </c>
      <c r="AA106">
        <f>SYSCLK!AZ105/$B$2</f>
        <v>11</v>
      </c>
      <c r="AB106">
        <f>SYSCLK!BA105/$B$2</f>
        <v>10</v>
      </c>
      <c r="AC106">
        <f>SYSCLK!BB105/$B$2</f>
        <v>9.1666666666666661</v>
      </c>
      <c r="AD106">
        <f>SYSCLK!BC105/$B$2</f>
        <v>8.4615384615384617</v>
      </c>
      <c r="AE106">
        <f>SYSCLK!BD105/$B$2</f>
        <v>7.8571428571428568</v>
      </c>
      <c r="AF106">
        <f>SYSCLK!BE105/$B$2</f>
        <v>7.333333333333333</v>
      </c>
      <c r="AG106" s="118">
        <f>SYSCLK!BF105/$B$2</f>
        <v>6.875</v>
      </c>
      <c r="AH106">
        <f>SYSCLK!BG105/$B$2</f>
        <v>0</v>
      </c>
      <c r="AI106">
        <f>SYSCLK!BH105/$B$2</f>
        <v>36.666666666666664</v>
      </c>
      <c r="AJ106">
        <f>SYSCLK!BI105/$B$2</f>
        <v>24.444444444444443</v>
      </c>
      <c r="AK106">
        <f>SYSCLK!BJ105/$B$2</f>
        <v>18.333333333333332</v>
      </c>
      <c r="AL106">
        <f>SYSCLK!BK105/$B$2</f>
        <v>14.666666666666666</v>
      </c>
      <c r="AM106">
        <f>SYSCLK!BL105/$B$2</f>
        <v>12.222222222222221</v>
      </c>
      <c r="AN106">
        <f>SYSCLK!BM105/$B$2</f>
        <v>10.476190476190476</v>
      </c>
      <c r="AO106">
        <f>SYSCLK!BN105/$B$2</f>
        <v>9.1666666666666661</v>
      </c>
      <c r="AP106">
        <f>SYSCLK!BO105/$B$2</f>
        <v>8.148148148148147</v>
      </c>
      <c r="AQ106">
        <f>SYSCLK!BP105/$B$2</f>
        <v>7.333333333333333</v>
      </c>
      <c r="AR106">
        <f>SYSCLK!BQ105/$B$2</f>
        <v>6.666666666666667</v>
      </c>
      <c r="AS106">
        <f>SYSCLK!BR105/$B$2</f>
        <v>6.1111111111111107</v>
      </c>
      <c r="AT106">
        <f>SYSCLK!BS105/$B$2</f>
        <v>5.6410256410256414</v>
      </c>
      <c r="AU106">
        <f>SYSCLK!BT105/$B$2</f>
        <v>5.2380952380952381</v>
      </c>
      <c r="AV106">
        <f>SYSCLK!BU105/$B$2</f>
        <v>4.8888888888888884</v>
      </c>
      <c r="AW106">
        <f>SYSCLK!BV105/$B$2</f>
        <v>4.583333333333333</v>
      </c>
      <c r="AX106" s="117">
        <f>SYSCLK!BW105/$B$2</f>
        <v>0</v>
      </c>
      <c r="AY106">
        <f>SYSCLK!BX105/$B$2</f>
        <v>27.5</v>
      </c>
      <c r="AZ106">
        <f>SYSCLK!BY105/$B$2</f>
        <v>18.333333333333332</v>
      </c>
      <c r="BA106">
        <f>SYSCLK!BZ105/$B$2</f>
        <v>13.75</v>
      </c>
      <c r="BB106">
        <f>SYSCLK!CA105/$B$2</f>
        <v>11</v>
      </c>
      <c r="BC106">
        <f>SYSCLK!CB105/$B$2</f>
        <v>9.1666666666666661</v>
      </c>
      <c r="BD106">
        <f>SYSCLK!CC105/$B$2</f>
        <v>7.8571428571428568</v>
      </c>
      <c r="BE106">
        <f>SYSCLK!CD105/$B$2</f>
        <v>6.875</v>
      </c>
      <c r="BF106">
        <f>SYSCLK!CE105/$B$2</f>
        <v>6.1111111111111107</v>
      </c>
      <c r="BG106">
        <f>SYSCLK!CF105/$B$2</f>
        <v>5.5</v>
      </c>
      <c r="BH106">
        <f>SYSCLK!CG105/$B$2</f>
        <v>5</v>
      </c>
      <c r="BI106">
        <f>SYSCLK!CH105/$B$2</f>
        <v>4.583333333333333</v>
      </c>
      <c r="BJ106">
        <f>SYSCLK!CI105/$B$2</f>
        <v>4.2307692307692308</v>
      </c>
      <c r="BK106">
        <f>SYSCLK!CJ105/$B$2</f>
        <v>3.9285714285714284</v>
      </c>
      <c r="BL106">
        <f>SYSCLK!CK105/$B$2</f>
        <v>3.6666666666666665</v>
      </c>
      <c r="BM106">
        <f>SYSCLK!CL105/$B$2</f>
        <v>3.4375</v>
      </c>
    </row>
    <row r="107" spans="2:65">
      <c r="B107">
        <f>SYSCLK!AA106/$B$2</f>
        <v>0</v>
      </c>
      <c r="C107">
        <f>SYSCLK!AB106/$B$2</f>
        <v>0</v>
      </c>
      <c r="D107">
        <f>SYSCLK!AC106/$B$2</f>
        <v>0</v>
      </c>
      <c r="E107">
        <f>SYSCLK!AD106/$B$2</f>
        <v>0</v>
      </c>
      <c r="F107">
        <f>SYSCLK!AE106/$B$2</f>
        <v>0</v>
      </c>
      <c r="G107">
        <f>SYSCLK!AF106/$B$2</f>
        <v>37</v>
      </c>
      <c r="H107">
        <f>SYSCLK!AG106/$B$2</f>
        <v>31.714285714285712</v>
      </c>
      <c r="I107">
        <f>SYSCLK!AH106/$B$2</f>
        <v>27.75</v>
      </c>
      <c r="J107">
        <f>SYSCLK!AI106/$B$2</f>
        <v>24.666666666666664</v>
      </c>
      <c r="K107">
        <f>SYSCLK!AJ106/$B$2</f>
        <v>22.200000000000003</v>
      </c>
      <c r="L107">
        <f>SYSCLK!AK106/$B$2</f>
        <v>20.181818181818183</v>
      </c>
      <c r="M107">
        <f>SYSCLK!AL106/$B$2</f>
        <v>18.5</v>
      </c>
      <c r="N107">
        <f>SYSCLK!AM106/$B$2</f>
        <v>17.076923076923077</v>
      </c>
      <c r="O107">
        <f>SYSCLK!AN106/$B$2</f>
        <v>15.857142857142856</v>
      </c>
      <c r="P107">
        <f>SYSCLK!AO106/$B$2</f>
        <v>14.799999999999999</v>
      </c>
      <c r="Q107">
        <f>SYSCLK!AP106/$B$2</f>
        <v>13.875</v>
      </c>
      <c r="R107" s="117">
        <f>SYSCLK!AQ106/$B$2</f>
        <v>0</v>
      </c>
      <c r="S107">
        <f>SYSCLK!AR106/$B$2</f>
        <v>0</v>
      </c>
      <c r="T107">
        <f>SYSCLK!AS106/$B$2</f>
        <v>37</v>
      </c>
      <c r="U107">
        <f>SYSCLK!AT106/$B$2</f>
        <v>27.75</v>
      </c>
      <c r="V107">
        <f>SYSCLK!AU106/$B$2</f>
        <v>22.200000000000003</v>
      </c>
      <c r="W107">
        <f>SYSCLK!AV106/$B$2</f>
        <v>18.5</v>
      </c>
      <c r="X107">
        <f>SYSCLK!AW106/$B$2</f>
        <v>15.857142857142856</v>
      </c>
      <c r="Y107">
        <f>SYSCLK!AX106/$B$2</f>
        <v>13.875</v>
      </c>
      <c r="Z107">
        <f>SYSCLK!AY106/$B$2</f>
        <v>12.333333333333332</v>
      </c>
      <c r="AA107">
        <f>SYSCLK!AZ106/$B$2</f>
        <v>11.100000000000001</v>
      </c>
      <c r="AB107">
        <f>SYSCLK!BA106/$B$2</f>
        <v>10.090909090909092</v>
      </c>
      <c r="AC107">
        <f>SYSCLK!BB106/$B$2</f>
        <v>9.25</v>
      </c>
      <c r="AD107">
        <f>SYSCLK!BC106/$B$2</f>
        <v>8.5384615384615383</v>
      </c>
      <c r="AE107">
        <f>SYSCLK!BD106/$B$2</f>
        <v>7.9285714285714279</v>
      </c>
      <c r="AF107">
        <f>SYSCLK!BE106/$B$2</f>
        <v>7.3999999999999995</v>
      </c>
      <c r="AG107" s="118">
        <f>SYSCLK!BF106/$B$2</f>
        <v>6.9375</v>
      </c>
      <c r="AH107">
        <f>SYSCLK!BG106/$B$2</f>
        <v>0</v>
      </c>
      <c r="AI107">
        <f>SYSCLK!BH106/$B$2</f>
        <v>37</v>
      </c>
      <c r="AJ107">
        <f>SYSCLK!BI106/$B$2</f>
        <v>24.666666666666668</v>
      </c>
      <c r="AK107">
        <f>SYSCLK!BJ106/$B$2</f>
        <v>18.5</v>
      </c>
      <c r="AL107">
        <f>SYSCLK!BK106/$B$2</f>
        <v>14.800000000000002</v>
      </c>
      <c r="AM107">
        <f>SYSCLK!BL106/$B$2</f>
        <v>12.333333333333334</v>
      </c>
      <c r="AN107">
        <f>SYSCLK!BM106/$B$2</f>
        <v>10.571428571428571</v>
      </c>
      <c r="AO107">
        <f>SYSCLK!BN106/$B$2</f>
        <v>9.25</v>
      </c>
      <c r="AP107">
        <f>SYSCLK!BO106/$B$2</f>
        <v>8.2222222222222214</v>
      </c>
      <c r="AQ107">
        <f>SYSCLK!BP106/$B$2</f>
        <v>7.4000000000000012</v>
      </c>
      <c r="AR107">
        <f>SYSCLK!BQ106/$B$2</f>
        <v>6.7272727272727275</v>
      </c>
      <c r="AS107">
        <f>SYSCLK!BR106/$B$2</f>
        <v>6.166666666666667</v>
      </c>
      <c r="AT107">
        <f>SYSCLK!BS106/$B$2</f>
        <v>5.6923076923076925</v>
      </c>
      <c r="AU107">
        <f>SYSCLK!BT106/$B$2</f>
        <v>5.2857142857142856</v>
      </c>
      <c r="AV107">
        <f>SYSCLK!BU106/$B$2</f>
        <v>4.9333333333333327</v>
      </c>
      <c r="AW107">
        <f>SYSCLK!BV106/$B$2</f>
        <v>4.625</v>
      </c>
      <c r="AX107" s="117">
        <f>SYSCLK!BW106/$B$2</f>
        <v>0</v>
      </c>
      <c r="AY107">
        <f>SYSCLK!BX106/$B$2</f>
        <v>27.75</v>
      </c>
      <c r="AZ107">
        <f>SYSCLK!BY106/$B$2</f>
        <v>18.5</v>
      </c>
      <c r="BA107">
        <f>SYSCLK!BZ106/$B$2</f>
        <v>13.875</v>
      </c>
      <c r="BB107">
        <f>SYSCLK!CA106/$B$2</f>
        <v>11.100000000000001</v>
      </c>
      <c r="BC107">
        <f>SYSCLK!CB106/$B$2</f>
        <v>9.25</v>
      </c>
      <c r="BD107">
        <f>SYSCLK!CC106/$B$2</f>
        <v>7.9285714285714279</v>
      </c>
      <c r="BE107">
        <f>SYSCLK!CD106/$B$2</f>
        <v>6.9375</v>
      </c>
      <c r="BF107">
        <f>SYSCLK!CE106/$B$2</f>
        <v>6.1666666666666661</v>
      </c>
      <c r="BG107">
        <f>SYSCLK!CF106/$B$2</f>
        <v>5.5500000000000007</v>
      </c>
      <c r="BH107">
        <f>SYSCLK!CG106/$B$2</f>
        <v>5.0454545454545459</v>
      </c>
      <c r="BI107">
        <f>SYSCLK!CH106/$B$2</f>
        <v>4.625</v>
      </c>
      <c r="BJ107">
        <f>SYSCLK!CI106/$B$2</f>
        <v>4.2692307692307692</v>
      </c>
      <c r="BK107">
        <f>SYSCLK!CJ106/$B$2</f>
        <v>3.964285714285714</v>
      </c>
      <c r="BL107">
        <f>SYSCLK!CK106/$B$2</f>
        <v>3.6999999999999997</v>
      </c>
      <c r="BM107">
        <f>SYSCLK!CL106/$B$2</f>
        <v>3.46875</v>
      </c>
    </row>
    <row r="108" spans="2:65">
      <c r="B108">
        <f>SYSCLK!AA107/$B$2</f>
        <v>0</v>
      </c>
      <c r="C108">
        <f>SYSCLK!AB107/$B$2</f>
        <v>0</v>
      </c>
      <c r="D108">
        <f>SYSCLK!AC107/$B$2</f>
        <v>0</v>
      </c>
      <c r="E108">
        <f>SYSCLK!AD107/$B$2</f>
        <v>0</v>
      </c>
      <c r="F108">
        <f>SYSCLK!AE107/$B$2</f>
        <v>0</v>
      </c>
      <c r="G108">
        <f>SYSCLK!AF107/$B$2</f>
        <v>37.333333333333329</v>
      </c>
      <c r="H108">
        <f>SYSCLK!AG107/$B$2</f>
        <v>32</v>
      </c>
      <c r="I108">
        <f>SYSCLK!AH107/$B$2</f>
        <v>28</v>
      </c>
      <c r="J108">
        <f>SYSCLK!AI107/$B$2</f>
        <v>24.888888888888886</v>
      </c>
      <c r="K108">
        <f>SYSCLK!AJ107/$B$2</f>
        <v>22.400000000000002</v>
      </c>
      <c r="L108">
        <f>SYSCLK!AK107/$B$2</f>
        <v>20.363636363636363</v>
      </c>
      <c r="M108">
        <f>SYSCLK!AL107/$B$2</f>
        <v>18.666666666666664</v>
      </c>
      <c r="N108">
        <f>SYSCLK!AM107/$B$2</f>
        <v>17.230769230769234</v>
      </c>
      <c r="O108">
        <f>SYSCLK!AN107/$B$2</f>
        <v>16</v>
      </c>
      <c r="P108">
        <f>SYSCLK!AO107/$B$2</f>
        <v>14.933333333333334</v>
      </c>
      <c r="Q108">
        <f>SYSCLK!AP107/$B$2</f>
        <v>14</v>
      </c>
      <c r="R108" s="117">
        <f>SYSCLK!AQ107/$B$2</f>
        <v>0</v>
      </c>
      <c r="S108">
        <f>SYSCLK!AR107/$B$2</f>
        <v>0</v>
      </c>
      <c r="T108">
        <f>SYSCLK!AS107/$B$2</f>
        <v>37.333333333333329</v>
      </c>
      <c r="U108">
        <f>SYSCLK!AT107/$B$2</f>
        <v>28</v>
      </c>
      <c r="V108">
        <f>SYSCLK!AU107/$B$2</f>
        <v>22.400000000000002</v>
      </c>
      <c r="W108">
        <f>SYSCLK!AV107/$B$2</f>
        <v>18.666666666666664</v>
      </c>
      <c r="X108">
        <f>SYSCLK!AW107/$B$2</f>
        <v>16</v>
      </c>
      <c r="Y108">
        <f>SYSCLK!AX107/$B$2</f>
        <v>14</v>
      </c>
      <c r="Z108">
        <f>SYSCLK!AY107/$B$2</f>
        <v>12.444444444444443</v>
      </c>
      <c r="AA108">
        <f>SYSCLK!AZ107/$B$2</f>
        <v>11.200000000000001</v>
      </c>
      <c r="AB108">
        <f>SYSCLK!BA107/$B$2</f>
        <v>10.181818181818182</v>
      </c>
      <c r="AC108">
        <f>SYSCLK!BB107/$B$2</f>
        <v>9.3333333333333321</v>
      </c>
      <c r="AD108">
        <f>SYSCLK!BC107/$B$2</f>
        <v>8.6153846153846168</v>
      </c>
      <c r="AE108">
        <f>SYSCLK!BD107/$B$2</f>
        <v>8</v>
      </c>
      <c r="AF108">
        <f>SYSCLK!BE107/$B$2</f>
        <v>7.4666666666666668</v>
      </c>
      <c r="AG108" s="118">
        <f>SYSCLK!BF107/$B$2</f>
        <v>7</v>
      </c>
      <c r="AH108">
        <f>SYSCLK!BG107/$B$2</f>
        <v>0</v>
      </c>
      <c r="AI108">
        <f>SYSCLK!BH107/$B$2</f>
        <v>37.333333333333336</v>
      </c>
      <c r="AJ108">
        <f>SYSCLK!BI107/$B$2</f>
        <v>24.888888888888886</v>
      </c>
      <c r="AK108">
        <f>SYSCLK!BJ107/$B$2</f>
        <v>18.666666666666668</v>
      </c>
      <c r="AL108">
        <f>SYSCLK!BK107/$B$2</f>
        <v>14.933333333333335</v>
      </c>
      <c r="AM108">
        <f>SYSCLK!BL107/$B$2</f>
        <v>12.444444444444443</v>
      </c>
      <c r="AN108">
        <f>SYSCLK!BM107/$B$2</f>
        <v>10.666666666666666</v>
      </c>
      <c r="AO108">
        <f>SYSCLK!BN107/$B$2</f>
        <v>9.3333333333333339</v>
      </c>
      <c r="AP108">
        <f>SYSCLK!BO107/$B$2</f>
        <v>8.2962962962962958</v>
      </c>
      <c r="AQ108">
        <f>SYSCLK!BP107/$B$2</f>
        <v>7.4666666666666677</v>
      </c>
      <c r="AR108">
        <f>SYSCLK!BQ107/$B$2</f>
        <v>6.7878787878787881</v>
      </c>
      <c r="AS108">
        <f>SYSCLK!BR107/$B$2</f>
        <v>6.2222222222222214</v>
      </c>
      <c r="AT108">
        <f>SYSCLK!BS107/$B$2</f>
        <v>5.7435897435897445</v>
      </c>
      <c r="AU108">
        <f>SYSCLK!BT107/$B$2</f>
        <v>5.333333333333333</v>
      </c>
      <c r="AV108">
        <f>SYSCLK!BU107/$B$2</f>
        <v>4.9777777777777779</v>
      </c>
      <c r="AW108">
        <f>SYSCLK!BV107/$B$2</f>
        <v>4.666666666666667</v>
      </c>
      <c r="AX108" s="117">
        <f>SYSCLK!BW107/$B$2</f>
        <v>0</v>
      </c>
      <c r="AY108">
        <f>SYSCLK!BX107/$B$2</f>
        <v>28</v>
      </c>
      <c r="AZ108">
        <f>SYSCLK!BY107/$B$2</f>
        <v>18.666666666666664</v>
      </c>
      <c r="BA108">
        <f>SYSCLK!BZ107/$B$2</f>
        <v>14</v>
      </c>
      <c r="BB108">
        <f>SYSCLK!CA107/$B$2</f>
        <v>11.200000000000001</v>
      </c>
      <c r="BC108">
        <f>SYSCLK!CB107/$B$2</f>
        <v>9.3333333333333321</v>
      </c>
      <c r="BD108">
        <f>SYSCLK!CC107/$B$2</f>
        <v>8</v>
      </c>
      <c r="BE108">
        <f>SYSCLK!CD107/$B$2</f>
        <v>7</v>
      </c>
      <c r="BF108">
        <f>SYSCLK!CE107/$B$2</f>
        <v>6.2222222222222214</v>
      </c>
      <c r="BG108">
        <f>SYSCLK!CF107/$B$2</f>
        <v>5.6000000000000005</v>
      </c>
      <c r="BH108">
        <f>SYSCLK!CG107/$B$2</f>
        <v>5.0909090909090908</v>
      </c>
      <c r="BI108">
        <f>SYSCLK!CH107/$B$2</f>
        <v>4.6666666666666661</v>
      </c>
      <c r="BJ108">
        <f>SYSCLK!CI107/$B$2</f>
        <v>4.3076923076923084</v>
      </c>
      <c r="BK108">
        <f>SYSCLK!CJ107/$B$2</f>
        <v>4</v>
      </c>
      <c r="BL108">
        <f>SYSCLK!CK107/$B$2</f>
        <v>3.7333333333333334</v>
      </c>
      <c r="BM108">
        <f>SYSCLK!CL107/$B$2</f>
        <v>3.5</v>
      </c>
    </row>
    <row r="109" spans="2:65">
      <c r="B109">
        <f>SYSCLK!AA108/$B$2</f>
        <v>0</v>
      </c>
      <c r="C109">
        <f>SYSCLK!AB108/$B$2</f>
        <v>0</v>
      </c>
      <c r="D109">
        <f>SYSCLK!AC108/$B$2</f>
        <v>0</v>
      </c>
      <c r="E109">
        <f>SYSCLK!AD108/$B$2</f>
        <v>0</v>
      </c>
      <c r="F109">
        <f>SYSCLK!AE108/$B$2</f>
        <v>0</v>
      </c>
      <c r="G109">
        <f>SYSCLK!AF108/$B$2</f>
        <v>37.666666666666664</v>
      </c>
      <c r="H109">
        <f>SYSCLK!AG108/$B$2</f>
        <v>32.285714285714285</v>
      </c>
      <c r="I109">
        <f>SYSCLK!AH108/$B$2</f>
        <v>28.25</v>
      </c>
      <c r="J109">
        <f>SYSCLK!AI108/$B$2</f>
        <v>25.111111111111111</v>
      </c>
      <c r="K109">
        <f>SYSCLK!AJ108/$B$2</f>
        <v>22.6</v>
      </c>
      <c r="L109">
        <f>SYSCLK!AK108/$B$2</f>
        <v>20.545454545454547</v>
      </c>
      <c r="M109">
        <f>SYSCLK!AL108/$B$2</f>
        <v>18.833333333333332</v>
      </c>
      <c r="N109">
        <f>SYSCLK!AM108/$B$2</f>
        <v>17.384615384615387</v>
      </c>
      <c r="O109">
        <f>SYSCLK!AN108/$B$2</f>
        <v>16.142857142857142</v>
      </c>
      <c r="P109">
        <f>SYSCLK!AO108/$B$2</f>
        <v>15.066666666666666</v>
      </c>
      <c r="Q109">
        <f>SYSCLK!AP108/$B$2</f>
        <v>14.125</v>
      </c>
      <c r="R109" s="117">
        <f>SYSCLK!AQ108/$B$2</f>
        <v>0</v>
      </c>
      <c r="S109">
        <f>SYSCLK!AR108/$B$2</f>
        <v>0</v>
      </c>
      <c r="T109">
        <f>SYSCLK!AS108/$B$2</f>
        <v>37.666666666666664</v>
      </c>
      <c r="U109">
        <f>SYSCLK!AT108/$B$2</f>
        <v>28.25</v>
      </c>
      <c r="V109">
        <f>SYSCLK!AU108/$B$2</f>
        <v>22.6</v>
      </c>
      <c r="W109">
        <f>SYSCLK!AV108/$B$2</f>
        <v>18.833333333333332</v>
      </c>
      <c r="X109">
        <f>SYSCLK!AW108/$B$2</f>
        <v>16.142857142857142</v>
      </c>
      <c r="Y109">
        <f>SYSCLK!AX108/$B$2</f>
        <v>14.125</v>
      </c>
      <c r="Z109">
        <f>SYSCLK!AY108/$B$2</f>
        <v>12.555555555555555</v>
      </c>
      <c r="AA109">
        <f>SYSCLK!AZ108/$B$2</f>
        <v>11.3</v>
      </c>
      <c r="AB109">
        <f>SYSCLK!BA108/$B$2</f>
        <v>10.272727272727273</v>
      </c>
      <c r="AC109">
        <f>SYSCLK!BB108/$B$2</f>
        <v>9.4166666666666661</v>
      </c>
      <c r="AD109">
        <f>SYSCLK!BC108/$B$2</f>
        <v>8.6923076923076934</v>
      </c>
      <c r="AE109">
        <f>SYSCLK!BD108/$B$2</f>
        <v>8.0714285714285712</v>
      </c>
      <c r="AF109">
        <f>SYSCLK!BE108/$B$2</f>
        <v>7.5333333333333332</v>
      </c>
      <c r="AG109" s="118">
        <f>SYSCLK!BF108/$B$2</f>
        <v>7.0625</v>
      </c>
      <c r="AH109">
        <f>SYSCLK!BG108/$B$2</f>
        <v>0</v>
      </c>
      <c r="AI109">
        <f>SYSCLK!BH108/$B$2</f>
        <v>37.666666666666664</v>
      </c>
      <c r="AJ109">
        <f>SYSCLK!BI108/$B$2</f>
        <v>25.111111111111111</v>
      </c>
      <c r="AK109">
        <f>SYSCLK!BJ108/$B$2</f>
        <v>18.833333333333332</v>
      </c>
      <c r="AL109">
        <f>SYSCLK!BK108/$B$2</f>
        <v>15.066666666666668</v>
      </c>
      <c r="AM109">
        <f>SYSCLK!BL108/$B$2</f>
        <v>12.555555555555555</v>
      </c>
      <c r="AN109">
        <f>SYSCLK!BM108/$B$2</f>
        <v>10.761904761904761</v>
      </c>
      <c r="AO109">
        <f>SYSCLK!BN108/$B$2</f>
        <v>9.4166666666666661</v>
      </c>
      <c r="AP109">
        <f>SYSCLK!BO108/$B$2</f>
        <v>8.3703703703703702</v>
      </c>
      <c r="AQ109">
        <f>SYSCLK!BP108/$B$2</f>
        <v>7.5333333333333341</v>
      </c>
      <c r="AR109">
        <f>SYSCLK!BQ108/$B$2</f>
        <v>6.8484848484848486</v>
      </c>
      <c r="AS109">
        <f>SYSCLK!BR108/$B$2</f>
        <v>6.2777777777777777</v>
      </c>
      <c r="AT109">
        <f>SYSCLK!BS108/$B$2</f>
        <v>5.7948717948717956</v>
      </c>
      <c r="AU109">
        <f>SYSCLK!BT108/$B$2</f>
        <v>5.3809523809523805</v>
      </c>
      <c r="AV109">
        <f>SYSCLK!BU108/$B$2</f>
        <v>5.0222222222222221</v>
      </c>
      <c r="AW109">
        <f>SYSCLK!BV108/$B$2</f>
        <v>4.708333333333333</v>
      </c>
      <c r="AX109" s="117">
        <f>SYSCLK!BW108/$B$2</f>
        <v>0</v>
      </c>
      <c r="AY109">
        <f>SYSCLK!BX108/$B$2</f>
        <v>28.25</v>
      </c>
      <c r="AZ109">
        <f>SYSCLK!BY108/$B$2</f>
        <v>18.833333333333332</v>
      </c>
      <c r="BA109">
        <f>SYSCLK!BZ108/$B$2</f>
        <v>14.125</v>
      </c>
      <c r="BB109">
        <f>SYSCLK!CA108/$B$2</f>
        <v>11.3</v>
      </c>
      <c r="BC109">
        <f>SYSCLK!CB108/$B$2</f>
        <v>9.4166666666666661</v>
      </c>
      <c r="BD109">
        <f>SYSCLK!CC108/$B$2</f>
        <v>8.0714285714285712</v>
      </c>
      <c r="BE109">
        <f>SYSCLK!CD108/$B$2</f>
        <v>7.0625</v>
      </c>
      <c r="BF109">
        <f>SYSCLK!CE108/$B$2</f>
        <v>6.2777777777777777</v>
      </c>
      <c r="BG109">
        <f>SYSCLK!CF108/$B$2</f>
        <v>5.65</v>
      </c>
      <c r="BH109">
        <f>SYSCLK!CG108/$B$2</f>
        <v>5.1363636363636367</v>
      </c>
      <c r="BI109">
        <f>SYSCLK!CH108/$B$2</f>
        <v>4.708333333333333</v>
      </c>
      <c r="BJ109">
        <f>SYSCLK!CI108/$B$2</f>
        <v>4.3461538461538467</v>
      </c>
      <c r="BK109">
        <f>SYSCLK!CJ108/$B$2</f>
        <v>4.0357142857142856</v>
      </c>
      <c r="BL109">
        <f>SYSCLK!CK108/$B$2</f>
        <v>3.7666666666666666</v>
      </c>
      <c r="BM109">
        <f>SYSCLK!CL108/$B$2</f>
        <v>3.53125</v>
      </c>
    </row>
    <row r="110" spans="2:65">
      <c r="B110">
        <f>SYSCLK!AA109/$B$2</f>
        <v>0</v>
      </c>
      <c r="C110">
        <f>SYSCLK!AB109/$B$2</f>
        <v>0</v>
      </c>
      <c r="D110">
        <f>SYSCLK!AC109/$B$2</f>
        <v>0</v>
      </c>
      <c r="E110">
        <f>SYSCLK!AD109/$B$2</f>
        <v>0</v>
      </c>
      <c r="F110">
        <f>SYSCLK!AE109/$B$2</f>
        <v>0</v>
      </c>
      <c r="G110">
        <f>SYSCLK!AF109/$B$2</f>
        <v>38</v>
      </c>
      <c r="H110">
        <f>SYSCLK!AG109/$B$2</f>
        <v>32.571428571428569</v>
      </c>
      <c r="I110">
        <f>SYSCLK!AH109/$B$2</f>
        <v>28.5</v>
      </c>
      <c r="J110">
        <f>SYSCLK!AI109/$B$2</f>
        <v>25.333333333333332</v>
      </c>
      <c r="K110">
        <f>SYSCLK!AJ109/$B$2</f>
        <v>22.8</v>
      </c>
      <c r="L110">
        <f>SYSCLK!AK109/$B$2</f>
        <v>20.727272727272727</v>
      </c>
      <c r="M110">
        <f>SYSCLK!AL109/$B$2</f>
        <v>19</v>
      </c>
      <c r="N110">
        <f>SYSCLK!AM109/$B$2</f>
        <v>17.53846153846154</v>
      </c>
      <c r="O110">
        <f>SYSCLK!AN109/$B$2</f>
        <v>16.285714285714285</v>
      </c>
      <c r="P110">
        <f>SYSCLK!AO109/$B$2</f>
        <v>15.2</v>
      </c>
      <c r="Q110">
        <f>SYSCLK!AP109/$B$2</f>
        <v>14.25</v>
      </c>
      <c r="R110" s="117">
        <f>SYSCLK!AQ109/$B$2</f>
        <v>0</v>
      </c>
      <c r="S110">
        <f>SYSCLK!AR109/$B$2</f>
        <v>0</v>
      </c>
      <c r="T110">
        <f>SYSCLK!AS109/$B$2</f>
        <v>38</v>
      </c>
      <c r="U110">
        <f>SYSCLK!AT109/$B$2</f>
        <v>28.5</v>
      </c>
      <c r="V110">
        <f>SYSCLK!AU109/$B$2</f>
        <v>22.8</v>
      </c>
      <c r="W110">
        <f>SYSCLK!AV109/$B$2</f>
        <v>19</v>
      </c>
      <c r="X110">
        <f>SYSCLK!AW109/$B$2</f>
        <v>16.285714285714285</v>
      </c>
      <c r="Y110">
        <f>SYSCLK!AX109/$B$2</f>
        <v>14.25</v>
      </c>
      <c r="Z110">
        <f>SYSCLK!AY109/$B$2</f>
        <v>12.666666666666666</v>
      </c>
      <c r="AA110">
        <f>SYSCLK!AZ109/$B$2</f>
        <v>11.4</v>
      </c>
      <c r="AB110">
        <f>SYSCLK!BA109/$B$2</f>
        <v>10.363636363636363</v>
      </c>
      <c r="AC110">
        <f>SYSCLK!BB109/$B$2</f>
        <v>9.5</v>
      </c>
      <c r="AD110">
        <f>SYSCLK!BC109/$B$2</f>
        <v>8.7692307692307701</v>
      </c>
      <c r="AE110">
        <f>SYSCLK!BD109/$B$2</f>
        <v>8.1428571428571423</v>
      </c>
      <c r="AF110">
        <f>SYSCLK!BE109/$B$2</f>
        <v>7.6</v>
      </c>
      <c r="AG110" s="118">
        <f>SYSCLK!BF109/$B$2</f>
        <v>7.125</v>
      </c>
      <c r="AH110">
        <f>SYSCLK!BG109/$B$2</f>
        <v>0</v>
      </c>
      <c r="AI110">
        <f>SYSCLK!BH109/$B$2</f>
        <v>38</v>
      </c>
      <c r="AJ110">
        <f>SYSCLK!BI109/$B$2</f>
        <v>25.333333333333332</v>
      </c>
      <c r="AK110">
        <f>SYSCLK!BJ109/$B$2</f>
        <v>19</v>
      </c>
      <c r="AL110">
        <f>SYSCLK!BK109/$B$2</f>
        <v>15.200000000000001</v>
      </c>
      <c r="AM110">
        <f>SYSCLK!BL109/$B$2</f>
        <v>12.666666666666666</v>
      </c>
      <c r="AN110">
        <f>SYSCLK!BM109/$B$2</f>
        <v>10.857142857142856</v>
      </c>
      <c r="AO110">
        <f>SYSCLK!BN109/$B$2</f>
        <v>9.5</v>
      </c>
      <c r="AP110">
        <f>SYSCLK!BO109/$B$2</f>
        <v>8.4444444444444446</v>
      </c>
      <c r="AQ110">
        <f>SYSCLK!BP109/$B$2</f>
        <v>7.6000000000000005</v>
      </c>
      <c r="AR110">
        <f>SYSCLK!BQ109/$B$2</f>
        <v>6.9090909090909092</v>
      </c>
      <c r="AS110">
        <f>SYSCLK!BR109/$B$2</f>
        <v>6.333333333333333</v>
      </c>
      <c r="AT110">
        <f>SYSCLK!BS109/$B$2</f>
        <v>5.8461538461538467</v>
      </c>
      <c r="AU110">
        <f>SYSCLK!BT109/$B$2</f>
        <v>5.4285714285714279</v>
      </c>
      <c r="AV110">
        <f>SYSCLK!BU109/$B$2</f>
        <v>5.0666666666666664</v>
      </c>
      <c r="AW110">
        <f>SYSCLK!BV109/$B$2</f>
        <v>4.75</v>
      </c>
      <c r="AX110" s="117">
        <f>SYSCLK!BW109/$B$2</f>
        <v>0</v>
      </c>
      <c r="AY110">
        <f>SYSCLK!BX109/$B$2</f>
        <v>28.5</v>
      </c>
      <c r="AZ110">
        <f>SYSCLK!BY109/$B$2</f>
        <v>19</v>
      </c>
      <c r="BA110">
        <f>SYSCLK!BZ109/$B$2</f>
        <v>14.25</v>
      </c>
      <c r="BB110">
        <f>SYSCLK!CA109/$B$2</f>
        <v>11.4</v>
      </c>
      <c r="BC110">
        <f>SYSCLK!CB109/$B$2</f>
        <v>9.5</v>
      </c>
      <c r="BD110">
        <f>SYSCLK!CC109/$B$2</f>
        <v>8.1428571428571423</v>
      </c>
      <c r="BE110">
        <f>SYSCLK!CD109/$B$2</f>
        <v>7.125</v>
      </c>
      <c r="BF110">
        <f>SYSCLK!CE109/$B$2</f>
        <v>6.333333333333333</v>
      </c>
      <c r="BG110">
        <f>SYSCLK!CF109/$B$2</f>
        <v>5.7</v>
      </c>
      <c r="BH110">
        <f>SYSCLK!CG109/$B$2</f>
        <v>5.1818181818181817</v>
      </c>
      <c r="BI110">
        <f>SYSCLK!CH109/$B$2</f>
        <v>4.75</v>
      </c>
      <c r="BJ110">
        <f>SYSCLK!CI109/$B$2</f>
        <v>4.384615384615385</v>
      </c>
      <c r="BK110">
        <f>SYSCLK!CJ109/$B$2</f>
        <v>4.0714285714285712</v>
      </c>
      <c r="BL110">
        <f>SYSCLK!CK109/$B$2</f>
        <v>3.8</v>
      </c>
      <c r="BM110">
        <f>SYSCLK!CL109/$B$2</f>
        <v>3.5625</v>
      </c>
    </row>
    <row r="111" spans="2:65">
      <c r="B111">
        <f>SYSCLK!AA110/$B$2</f>
        <v>0</v>
      </c>
      <c r="C111">
        <f>SYSCLK!AB110/$B$2</f>
        <v>0</v>
      </c>
      <c r="D111">
        <f>SYSCLK!AC110/$B$2</f>
        <v>0</v>
      </c>
      <c r="E111">
        <f>SYSCLK!AD110/$B$2</f>
        <v>0</v>
      </c>
      <c r="F111">
        <f>SYSCLK!AE110/$B$2</f>
        <v>0</v>
      </c>
      <c r="G111">
        <f>SYSCLK!AF110/$B$2</f>
        <v>38.333333333333329</v>
      </c>
      <c r="H111">
        <f>SYSCLK!AG110/$B$2</f>
        <v>32.857142857142854</v>
      </c>
      <c r="I111">
        <f>SYSCLK!AH110/$B$2</f>
        <v>28.75</v>
      </c>
      <c r="J111">
        <f>SYSCLK!AI110/$B$2</f>
        <v>25.555555555555554</v>
      </c>
      <c r="K111">
        <f>SYSCLK!AJ110/$B$2</f>
        <v>23</v>
      </c>
      <c r="L111">
        <f>SYSCLK!AK110/$B$2</f>
        <v>20.90909090909091</v>
      </c>
      <c r="M111">
        <f>SYSCLK!AL110/$B$2</f>
        <v>19.166666666666664</v>
      </c>
      <c r="N111">
        <f>SYSCLK!AM110/$B$2</f>
        <v>17.692307692307693</v>
      </c>
      <c r="O111">
        <f>SYSCLK!AN110/$B$2</f>
        <v>16.428571428571427</v>
      </c>
      <c r="P111">
        <f>SYSCLK!AO110/$B$2</f>
        <v>15.333333333333334</v>
      </c>
      <c r="Q111">
        <f>SYSCLK!AP110/$B$2</f>
        <v>14.375</v>
      </c>
      <c r="R111" s="117">
        <f>SYSCLK!AQ110/$B$2</f>
        <v>0</v>
      </c>
      <c r="S111">
        <f>SYSCLK!AR110/$B$2</f>
        <v>0</v>
      </c>
      <c r="T111">
        <f>SYSCLK!AS110/$B$2</f>
        <v>38.333333333333329</v>
      </c>
      <c r="U111">
        <f>SYSCLK!AT110/$B$2</f>
        <v>28.75</v>
      </c>
      <c r="V111">
        <f>SYSCLK!AU110/$B$2</f>
        <v>23</v>
      </c>
      <c r="W111">
        <f>SYSCLK!AV110/$B$2</f>
        <v>19.166666666666664</v>
      </c>
      <c r="X111">
        <f>SYSCLK!AW110/$B$2</f>
        <v>16.428571428571427</v>
      </c>
      <c r="Y111">
        <f>SYSCLK!AX110/$B$2</f>
        <v>14.375</v>
      </c>
      <c r="Z111">
        <f>SYSCLK!AY110/$B$2</f>
        <v>12.777777777777777</v>
      </c>
      <c r="AA111">
        <f>SYSCLK!AZ110/$B$2</f>
        <v>11.5</v>
      </c>
      <c r="AB111">
        <f>SYSCLK!BA110/$B$2</f>
        <v>10.454545454545455</v>
      </c>
      <c r="AC111">
        <f>SYSCLK!BB110/$B$2</f>
        <v>9.5833333333333321</v>
      </c>
      <c r="AD111">
        <f>SYSCLK!BC110/$B$2</f>
        <v>8.8461538461538467</v>
      </c>
      <c r="AE111">
        <f>SYSCLK!BD110/$B$2</f>
        <v>8.2142857142857135</v>
      </c>
      <c r="AF111">
        <f>SYSCLK!BE110/$B$2</f>
        <v>7.666666666666667</v>
      </c>
      <c r="AG111" s="118">
        <f>SYSCLK!BF110/$B$2</f>
        <v>7.1875</v>
      </c>
      <c r="AH111">
        <f>SYSCLK!BG110/$B$2</f>
        <v>0</v>
      </c>
      <c r="AI111">
        <f>SYSCLK!BH110/$B$2</f>
        <v>38.333333333333336</v>
      </c>
      <c r="AJ111">
        <f>SYSCLK!BI110/$B$2</f>
        <v>25.555555555555554</v>
      </c>
      <c r="AK111">
        <f>SYSCLK!BJ110/$B$2</f>
        <v>19.166666666666668</v>
      </c>
      <c r="AL111">
        <f>SYSCLK!BK110/$B$2</f>
        <v>15.333333333333334</v>
      </c>
      <c r="AM111">
        <f>SYSCLK!BL110/$B$2</f>
        <v>12.777777777777777</v>
      </c>
      <c r="AN111">
        <f>SYSCLK!BM110/$B$2</f>
        <v>10.952380952380951</v>
      </c>
      <c r="AO111">
        <f>SYSCLK!BN110/$B$2</f>
        <v>9.5833333333333339</v>
      </c>
      <c r="AP111">
        <f>SYSCLK!BO110/$B$2</f>
        <v>8.5185185185185173</v>
      </c>
      <c r="AQ111">
        <f>SYSCLK!BP110/$B$2</f>
        <v>7.666666666666667</v>
      </c>
      <c r="AR111">
        <f>SYSCLK!BQ110/$B$2</f>
        <v>6.9696969696969697</v>
      </c>
      <c r="AS111">
        <f>SYSCLK!BR110/$B$2</f>
        <v>6.3888888888888884</v>
      </c>
      <c r="AT111">
        <f>SYSCLK!BS110/$B$2</f>
        <v>5.8974358974358978</v>
      </c>
      <c r="AU111">
        <f>SYSCLK!BT110/$B$2</f>
        <v>5.4761904761904754</v>
      </c>
      <c r="AV111">
        <f>SYSCLK!BU110/$B$2</f>
        <v>5.1111111111111116</v>
      </c>
      <c r="AW111">
        <f>SYSCLK!BV110/$B$2</f>
        <v>4.791666666666667</v>
      </c>
      <c r="AX111" s="117">
        <f>SYSCLK!BW110/$B$2</f>
        <v>0</v>
      </c>
      <c r="AY111">
        <f>SYSCLK!BX110/$B$2</f>
        <v>28.75</v>
      </c>
      <c r="AZ111">
        <f>SYSCLK!BY110/$B$2</f>
        <v>19.166666666666664</v>
      </c>
      <c r="BA111">
        <f>SYSCLK!BZ110/$B$2</f>
        <v>14.375</v>
      </c>
      <c r="BB111">
        <f>SYSCLK!CA110/$B$2</f>
        <v>11.5</v>
      </c>
      <c r="BC111">
        <f>SYSCLK!CB110/$B$2</f>
        <v>9.5833333333333321</v>
      </c>
      <c r="BD111">
        <f>SYSCLK!CC110/$B$2</f>
        <v>8.2142857142857135</v>
      </c>
      <c r="BE111">
        <f>SYSCLK!CD110/$B$2</f>
        <v>7.1875</v>
      </c>
      <c r="BF111">
        <f>SYSCLK!CE110/$B$2</f>
        <v>6.3888888888888884</v>
      </c>
      <c r="BG111">
        <f>SYSCLK!CF110/$B$2</f>
        <v>5.75</v>
      </c>
      <c r="BH111">
        <f>SYSCLK!CG110/$B$2</f>
        <v>5.2272727272727275</v>
      </c>
      <c r="BI111">
        <f>SYSCLK!CH110/$B$2</f>
        <v>4.7916666666666661</v>
      </c>
      <c r="BJ111">
        <f>SYSCLK!CI110/$B$2</f>
        <v>4.4230769230769234</v>
      </c>
      <c r="BK111">
        <f>SYSCLK!CJ110/$B$2</f>
        <v>4.1071428571428568</v>
      </c>
      <c r="BL111">
        <f>SYSCLK!CK110/$B$2</f>
        <v>3.8333333333333335</v>
      </c>
      <c r="BM111">
        <f>SYSCLK!CL110/$B$2</f>
        <v>3.59375</v>
      </c>
    </row>
    <row r="112" spans="2:65">
      <c r="B112">
        <f>SYSCLK!AA111/$B$2</f>
        <v>0</v>
      </c>
      <c r="C112">
        <f>SYSCLK!AB111/$B$2</f>
        <v>0</v>
      </c>
      <c r="D112">
        <f>SYSCLK!AC111/$B$2</f>
        <v>0</v>
      </c>
      <c r="E112">
        <f>SYSCLK!AD111/$B$2</f>
        <v>0</v>
      </c>
      <c r="F112">
        <f>SYSCLK!AE111/$B$2</f>
        <v>0</v>
      </c>
      <c r="G112">
        <f>SYSCLK!AF111/$B$2</f>
        <v>38.666666666666664</v>
      </c>
      <c r="H112">
        <f>SYSCLK!AG111/$B$2</f>
        <v>33.142857142857139</v>
      </c>
      <c r="I112">
        <f>SYSCLK!AH111/$B$2</f>
        <v>29</v>
      </c>
      <c r="J112">
        <f>SYSCLK!AI111/$B$2</f>
        <v>25.777777777777775</v>
      </c>
      <c r="K112">
        <f>SYSCLK!AJ111/$B$2</f>
        <v>23.200000000000003</v>
      </c>
      <c r="L112">
        <f>SYSCLK!AK111/$B$2</f>
        <v>21.09090909090909</v>
      </c>
      <c r="M112">
        <f>SYSCLK!AL111/$B$2</f>
        <v>19.333333333333332</v>
      </c>
      <c r="N112">
        <f>SYSCLK!AM111/$B$2</f>
        <v>17.846153846153847</v>
      </c>
      <c r="O112">
        <f>SYSCLK!AN111/$B$2</f>
        <v>16.571428571428569</v>
      </c>
      <c r="P112">
        <f>SYSCLK!AO111/$B$2</f>
        <v>15.466666666666667</v>
      </c>
      <c r="Q112">
        <f>SYSCLK!AP111/$B$2</f>
        <v>14.5</v>
      </c>
      <c r="R112" s="117">
        <f>SYSCLK!AQ111/$B$2</f>
        <v>0</v>
      </c>
      <c r="S112">
        <f>SYSCLK!AR111/$B$2</f>
        <v>0</v>
      </c>
      <c r="T112">
        <f>SYSCLK!AS111/$B$2</f>
        <v>38.666666666666664</v>
      </c>
      <c r="U112">
        <f>SYSCLK!AT111/$B$2</f>
        <v>29</v>
      </c>
      <c r="V112">
        <f>SYSCLK!AU111/$B$2</f>
        <v>23.200000000000003</v>
      </c>
      <c r="W112">
        <f>SYSCLK!AV111/$B$2</f>
        <v>19.333333333333332</v>
      </c>
      <c r="X112">
        <f>SYSCLK!AW111/$B$2</f>
        <v>16.571428571428569</v>
      </c>
      <c r="Y112">
        <f>SYSCLK!AX111/$B$2</f>
        <v>14.5</v>
      </c>
      <c r="Z112">
        <f>SYSCLK!AY111/$B$2</f>
        <v>12.888888888888888</v>
      </c>
      <c r="AA112">
        <f>SYSCLK!AZ111/$B$2</f>
        <v>11.600000000000001</v>
      </c>
      <c r="AB112">
        <f>SYSCLK!BA111/$B$2</f>
        <v>10.545454545454545</v>
      </c>
      <c r="AC112">
        <f>SYSCLK!BB111/$B$2</f>
        <v>9.6666666666666661</v>
      </c>
      <c r="AD112">
        <f>SYSCLK!BC111/$B$2</f>
        <v>8.9230769230769234</v>
      </c>
      <c r="AE112">
        <f>SYSCLK!BD111/$B$2</f>
        <v>8.2857142857142847</v>
      </c>
      <c r="AF112">
        <f>SYSCLK!BE111/$B$2</f>
        <v>7.7333333333333334</v>
      </c>
      <c r="AG112" s="118">
        <f>SYSCLK!BF111/$B$2</f>
        <v>7.25</v>
      </c>
      <c r="AH112">
        <f>SYSCLK!BG111/$B$2</f>
        <v>0</v>
      </c>
      <c r="AI112">
        <f>SYSCLK!BH111/$B$2</f>
        <v>38.666666666666664</v>
      </c>
      <c r="AJ112">
        <f>SYSCLK!BI111/$B$2</f>
        <v>25.777777777777775</v>
      </c>
      <c r="AK112">
        <f>SYSCLK!BJ111/$B$2</f>
        <v>19.333333333333332</v>
      </c>
      <c r="AL112">
        <f>SYSCLK!BK111/$B$2</f>
        <v>15.466666666666669</v>
      </c>
      <c r="AM112">
        <f>SYSCLK!BL111/$B$2</f>
        <v>12.888888888888888</v>
      </c>
      <c r="AN112">
        <f>SYSCLK!BM111/$B$2</f>
        <v>11.047619047619046</v>
      </c>
      <c r="AO112">
        <f>SYSCLK!BN111/$B$2</f>
        <v>9.6666666666666661</v>
      </c>
      <c r="AP112">
        <f>SYSCLK!BO111/$B$2</f>
        <v>8.5925925925925917</v>
      </c>
      <c r="AQ112">
        <f>SYSCLK!BP111/$B$2</f>
        <v>7.7333333333333343</v>
      </c>
      <c r="AR112">
        <f>SYSCLK!BQ111/$B$2</f>
        <v>7.0303030303030303</v>
      </c>
      <c r="AS112">
        <f>SYSCLK!BR111/$B$2</f>
        <v>6.4444444444444438</v>
      </c>
      <c r="AT112">
        <f>SYSCLK!BS111/$B$2</f>
        <v>5.9487179487179489</v>
      </c>
      <c r="AU112">
        <f>SYSCLK!BT111/$B$2</f>
        <v>5.5238095238095228</v>
      </c>
      <c r="AV112">
        <f>SYSCLK!BU111/$B$2</f>
        <v>5.1555555555555559</v>
      </c>
      <c r="AW112">
        <f>SYSCLK!BV111/$B$2</f>
        <v>4.833333333333333</v>
      </c>
      <c r="AX112" s="117">
        <f>SYSCLK!BW111/$B$2</f>
        <v>0</v>
      </c>
      <c r="AY112">
        <f>SYSCLK!BX111/$B$2</f>
        <v>29</v>
      </c>
      <c r="AZ112">
        <f>SYSCLK!BY111/$B$2</f>
        <v>19.333333333333332</v>
      </c>
      <c r="BA112">
        <f>SYSCLK!BZ111/$B$2</f>
        <v>14.5</v>
      </c>
      <c r="BB112">
        <f>SYSCLK!CA111/$B$2</f>
        <v>11.600000000000001</v>
      </c>
      <c r="BC112">
        <f>SYSCLK!CB111/$B$2</f>
        <v>9.6666666666666661</v>
      </c>
      <c r="BD112">
        <f>SYSCLK!CC111/$B$2</f>
        <v>8.2857142857142847</v>
      </c>
      <c r="BE112">
        <f>SYSCLK!CD111/$B$2</f>
        <v>7.25</v>
      </c>
      <c r="BF112">
        <f>SYSCLK!CE111/$B$2</f>
        <v>6.4444444444444438</v>
      </c>
      <c r="BG112">
        <f>SYSCLK!CF111/$B$2</f>
        <v>5.8000000000000007</v>
      </c>
      <c r="BH112">
        <f>SYSCLK!CG111/$B$2</f>
        <v>5.2727272727272725</v>
      </c>
      <c r="BI112">
        <f>SYSCLK!CH111/$B$2</f>
        <v>4.833333333333333</v>
      </c>
      <c r="BJ112">
        <f>SYSCLK!CI111/$B$2</f>
        <v>4.4615384615384617</v>
      </c>
      <c r="BK112">
        <f>SYSCLK!CJ111/$B$2</f>
        <v>4.1428571428571423</v>
      </c>
      <c r="BL112">
        <f>SYSCLK!CK111/$B$2</f>
        <v>3.8666666666666667</v>
      </c>
      <c r="BM112">
        <f>SYSCLK!CL111/$B$2</f>
        <v>3.625</v>
      </c>
    </row>
    <row r="113" spans="2:65">
      <c r="B113">
        <f>SYSCLK!AA112/$B$2</f>
        <v>0</v>
      </c>
      <c r="C113">
        <f>SYSCLK!AB112/$B$2</f>
        <v>0</v>
      </c>
      <c r="D113">
        <f>SYSCLK!AC112/$B$2</f>
        <v>0</v>
      </c>
      <c r="E113">
        <f>SYSCLK!AD112/$B$2</f>
        <v>0</v>
      </c>
      <c r="F113">
        <f>SYSCLK!AE112/$B$2</f>
        <v>0</v>
      </c>
      <c r="G113">
        <f>SYSCLK!AF112/$B$2</f>
        <v>39</v>
      </c>
      <c r="H113">
        <f>SYSCLK!AG112/$B$2</f>
        <v>33.428571428571423</v>
      </c>
      <c r="I113">
        <f>SYSCLK!AH112/$B$2</f>
        <v>29.25</v>
      </c>
      <c r="J113">
        <f>SYSCLK!AI112/$B$2</f>
        <v>26</v>
      </c>
      <c r="K113">
        <f>SYSCLK!AJ112/$B$2</f>
        <v>23.400000000000002</v>
      </c>
      <c r="L113">
        <f>SYSCLK!AK112/$B$2</f>
        <v>21.272727272727273</v>
      </c>
      <c r="M113">
        <f>SYSCLK!AL112/$B$2</f>
        <v>19.5</v>
      </c>
      <c r="N113">
        <f>SYSCLK!AM112/$B$2</f>
        <v>18</v>
      </c>
      <c r="O113">
        <f>SYSCLK!AN112/$B$2</f>
        <v>16.714285714285712</v>
      </c>
      <c r="P113">
        <f>SYSCLK!AO112/$B$2</f>
        <v>15.6</v>
      </c>
      <c r="Q113">
        <f>SYSCLK!AP112/$B$2</f>
        <v>14.625</v>
      </c>
      <c r="R113" s="117">
        <f>SYSCLK!AQ112/$B$2</f>
        <v>0</v>
      </c>
      <c r="S113">
        <f>SYSCLK!AR112/$B$2</f>
        <v>0</v>
      </c>
      <c r="T113">
        <f>SYSCLK!AS112/$B$2</f>
        <v>39</v>
      </c>
      <c r="U113">
        <f>SYSCLK!AT112/$B$2</f>
        <v>29.25</v>
      </c>
      <c r="V113">
        <f>SYSCLK!AU112/$B$2</f>
        <v>23.400000000000002</v>
      </c>
      <c r="W113">
        <f>SYSCLK!AV112/$B$2</f>
        <v>19.5</v>
      </c>
      <c r="X113">
        <f>SYSCLK!AW112/$B$2</f>
        <v>16.714285714285712</v>
      </c>
      <c r="Y113">
        <f>SYSCLK!AX112/$B$2</f>
        <v>14.625</v>
      </c>
      <c r="Z113">
        <f>SYSCLK!AY112/$B$2</f>
        <v>13</v>
      </c>
      <c r="AA113">
        <f>SYSCLK!AZ112/$B$2</f>
        <v>11.700000000000001</v>
      </c>
      <c r="AB113">
        <f>SYSCLK!BA112/$B$2</f>
        <v>10.636363636363637</v>
      </c>
      <c r="AC113">
        <f>SYSCLK!BB112/$B$2</f>
        <v>9.75</v>
      </c>
      <c r="AD113">
        <f>SYSCLK!BC112/$B$2</f>
        <v>9</v>
      </c>
      <c r="AE113">
        <f>SYSCLK!BD112/$B$2</f>
        <v>8.3571428571428559</v>
      </c>
      <c r="AF113">
        <f>SYSCLK!BE112/$B$2</f>
        <v>7.8</v>
      </c>
      <c r="AG113" s="118">
        <f>SYSCLK!BF112/$B$2</f>
        <v>7.3125</v>
      </c>
      <c r="AH113">
        <f>SYSCLK!BG112/$B$2</f>
        <v>0</v>
      </c>
      <c r="AI113">
        <f>SYSCLK!BH112/$B$2</f>
        <v>39</v>
      </c>
      <c r="AJ113">
        <f>SYSCLK!BI112/$B$2</f>
        <v>26</v>
      </c>
      <c r="AK113">
        <f>SYSCLK!BJ112/$B$2</f>
        <v>19.5</v>
      </c>
      <c r="AL113">
        <f>SYSCLK!BK112/$B$2</f>
        <v>15.600000000000001</v>
      </c>
      <c r="AM113">
        <f>SYSCLK!BL112/$B$2</f>
        <v>13</v>
      </c>
      <c r="AN113">
        <f>SYSCLK!BM112/$B$2</f>
        <v>11.142857142857141</v>
      </c>
      <c r="AO113">
        <f>SYSCLK!BN112/$B$2</f>
        <v>9.75</v>
      </c>
      <c r="AP113">
        <f>SYSCLK!BO112/$B$2</f>
        <v>8.6666666666666661</v>
      </c>
      <c r="AQ113">
        <f>SYSCLK!BP112/$B$2</f>
        <v>7.8000000000000007</v>
      </c>
      <c r="AR113">
        <f>SYSCLK!BQ112/$B$2</f>
        <v>7.0909090909090908</v>
      </c>
      <c r="AS113">
        <f>SYSCLK!BR112/$B$2</f>
        <v>6.5</v>
      </c>
      <c r="AT113">
        <f>SYSCLK!BS112/$B$2</f>
        <v>6</v>
      </c>
      <c r="AU113">
        <f>SYSCLK!BT112/$B$2</f>
        <v>5.5714285714285703</v>
      </c>
      <c r="AV113">
        <f>SYSCLK!BU112/$B$2</f>
        <v>5.2</v>
      </c>
      <c r="AW113">
        <f>SYSCLK!BV112/$B$2</f>
        <v>4.875</v>
      </c>
      <c r="AX113" s="117">
        <f>SYSCLK!BW112/$B$2</f>
        <v>0</v>
      </c>
      <c r="AY113">
        <f>SYSCLK!BX112/$B$2</f>
        <v>29.25</v>
      </c>
      <c r="AZ113">
        <f>SYSCLK!BY112/$B$2</f>
        <v>19.5</v>
      </c>
      <c r="BA113">
        <f>SYSCLK!BZ112/$B$2</f>
        <v>14.625</v>
      </c>
      <c r="BB113">
        <f>SYSCLK!CA112/$B$2</f>
        <v>11.700000000000001</v>
      </c>
      <c r="BC113">
        <f>SYSCLK!CB112/$B$2</f>
        <v>9.75</v>
      </c>
      <c r="BD113">
        <f>SYSCLK!CC112/$B$2</f>
        <v>8.3571428571428559</v>
      </c>
      <c r="BE113">
        <f>SYSCLK!CD112/$B$2</f>
        <v>7.3125</v>
      </c>
      <c r="BF113">
        <f>SYSCLK!CE112/$B$2</f>
        <v>6.5</v>
      </c>
      <c r="BG113">
        <f>SYSCLK!CF112/$B$2</f>
        <v>5.8500000000000005</v>
      </c>
      <c r="BH113">
        <f>SYSCLK!CG112/$B$2</f>
        <v>5.3181818181818183</v>
      </c>
      <c r="BI113">
        <f>SYSCLK!CH112/$B$2</f>
        <v>4.875</v>
      </c>
      <c r="BJ113">
        <f>SYSCLK!CI112/$B$2</f>
        <v>4.5</v>
      </c>
      <c r="BK113">
        <f>SYSCLK!CJ112/$B$2</f>
        <v>4.1785714285714279</v>
      </c>
      <c r="BL113">
        <f>SYSCLK!CK112/$B$2</f>
        <v>3.9</v>
      </c>
      <c r="BM113">
        <f>SYSCLK!CL112/$B$2</f>
        <v>3.65625</v>
      </c>
    </row>
    <row r="114" spans="2:65">
      <c r="B114">
        <f>SYSCLK!AA113/$B$2</f>
        <v>0</v>
      </c>
      <c r="C114">
        <f>SYSCLK!AB113/$B$2</f>
        <v>0</v>
      </c>
      <c r="D114">
        <f>SYSCLK!AC113/$B$2</f>
        <v>0</v>
      </c>
      <c r="E114">
        <f>SYSCLK!AD113/$B$2</f>
        <v>0</v>
      </c>
      <c r="F114">
        <f>SYSCLK!AE113/$B$2</f>
        <v>0</v>
      </c>
      <c r="G114">
        <f>SYSCLK!AF113/$B$2</f>
        <v>39.333333333333329</v>
      </c>
      <c r="H114">
        <f>SYSCLK!AG113/$B$2</f>
        <v>33.714285714285715</v>
      </c>
      <c r="I114">
        <f>SYSCLK!AH113/$B$2</f>
        <v>29.5</v>
      </c>
      <c r="J114">
        <f>SYSCLK!AI113/$B$2</f>
        <v>26.222222222222221</v>
      </c>
      <c r="K114">
        <f>SYSCLK!AJ113/$B$2</f>
        <v>23.6</v>
      </c>
      <c r="L114">
        <f>SYSCLK!AK113/$B$2</f>
        <v>21.454545454545457</v>
      </c>
      <c r="M114">
        <f>SYSCLK!AL113/$B$2</f>
        <v>19.666666666666664</v>
      </c>
      <c r="N114">
        <f>SYSCLK!AM113/$B$2</f>
        <v>18.153846153846153</v>
      </c>
      <c r="O114">
        <f>SYSCLK!AN113/$B$2</f>
        <v>16.857142857142858</v>
      </c>
      <c r="P114">
        <f>SYSCLK!AO113/$B$2</f>
        <v>15.733333333333333</v>
      </c>
      <c r="Q114">
        <f>SYSCLK!AP113/$B$2</f>
        <v>14.75</v>
      </c>
      <c r="R114" s="117">
        <f>SYSCLK!AQ113/$B$2</f>
        <v>0</v>
      </c>
      <c r="S114">
        <f>SYSCLK!AR113/$B$2</f>
        <v>0</v>
      </c>
      <c r="T114">
        <f>SYSCLK!AS113/$B$2</f>
        <v>39.333333333333329</v>
      </c>
      <c r="U114">
        <f>SYSCLK!AT113/$B$2</f>
        <v>29.5</v>
      </c>
      <c r="V114">
        <f>SYSCLK!AU113/$B$2</f>
        <v>23.6</v>
      </c>
      <c r="W114">
        <f>SYSCLK!AV113/$B$2</f>
        <v>19.666666666666664</v>
      </c>
      <c r="X114">
        <f>SYSCLK!AW113/$B$2</f>
        <v>16.857142857142858</v>
      </c>
      <c r="Y114">
        <f>SYSCLK!AX113/$B$2</f>
        <v>14.75</v>
      </c>
      <c r="Z114">
        <f>SYSCLK!AY113/$B$2</f>
        <v>13.111111111111111</v>
      </c>
      <c r="AA114">
        <f>SYSCLK!AZ113/$B$2</f>
        <v>11.8</v>
      </c>
      <c r="AB114">
        <f>SYSCLK!BA113/$B$2</f>
        <v>10.727272727272728</v>
      </c>
      <c r="AC114">
        <f>SYSCLK!BB113/$B$2</f>
        <v>9.8333333333333321</v>
      </c>
      <c r="AD114">
        <f>SYSCLK!BC113/$B$2</f>
        <v>9.0769230769230766</v>
      </c>
      <c r="AE114">
        <f>SYSCLK!BD113/$B$2</f>
        <v>8.4285714285714288</v>
      </c>
      <c r="AF114">
        <f>SYSCLK!BE113/$B$2</f>
        <v>7.8666666666666663</v>
      </c>
      <c r="AG114" s="118">
        <f>SYSCLK!BF113/$B$2</f>
        <v>7.375</v>
      </c>
      <c r="AH114">
        <f>SYSCLK!BG113/$B$2</f>
        <v>0</v>
      </c>
      <c r="AI114">
        <f>SYSCLK!BH113/$B$2</f>
        <v>39.333333333333336</v>
      </c>
      <c r="AJ114">
        <f>SYSCLK!BI113/$B$2</f>
        <v>26.222222222222218</v>
      </c>
      <c r="AK114">
        <f>SYSCLK!BJ113/$B$2</f>
        <v>19.666666666666668</v>
      </c>
      <c r="AL114">
        <f>SYSCLK!BK113/$B$2</f>
        <v>15.733333333333334</v>
      </c>
      <c r="AM114">
        <f>SYSCLK!BL113/$B$2</f>
        <v>13.111111111111109</v>
      </c>
      <c r="AN114">
        <f>SYSCLK!BM113/$B$2</f>
        <v>11.238095238095239</v>
      </c>
      <c r="AO114">
        <f>SYSCLK!BN113/$B$2</f>
        <v>9.8333333333333339</v>
      </c>
      <c r="AP114">
        <f>SYSCLK!BO113/$B$2</f>
        <v>8.7407407407407405</v>
      </c>
      <c r="AQ114">
        <f>SYSCLK!BP113/$B$2</f>
        <v>7.8666666666666671</v>
      </c>
      <c r="AR114">
        <f>SYSCLK!BQ113/$B$2</f>
        <v>7.1515151515151523</v>
      </c>
      <c r="AS114">
        <f>SYSCLK!BR113/$B$2</f>
        <v>6.5555555555555545</v>
      </c>
      <c r="AT114">
        <f>SYSCLK!BS113/$B$2</f>
        <v>6.0512820512820511</v>
      </c>
      <c r="AU114">
        <f>SYSCLK!BT113/$B$2</f>
        <v>5.6190476190476195</v>
      </c>
      <c r="AV114">
        <f>SYSCLK!BU113/$B$2</f>
        <v>5.2444444444444445</v>
      </c>
      <c r="AW114">
        <f>SYSCLK!BV113/$B$2</f>
        <v>4.916666666666667</v>
      </c>
      <c r="AX114" s="117">
        <f>SYSCLK!BW113/$B$2</f>
        <v>0</v>
      </c>
      <c r="AY114">
        <f>SYSCLK!BX113/$B$2</f>
        <v>29.5</v>
      </c>
      <c r="AZ114">
        <f>SYSCLK!BY113/$B$2</f>
        <v>19.666666666666664</v>
      </c>
      <c r="BA114">
        <f>SYSCLK!BZ113/$B$2</f>
        <v>14.75</v>
      </c>
      <c r="BB114">
        <f>SYSCLK!CA113/$B$2</f>
        <v>11.8</v>
      </c>
      <c r="BC114">
        <f>SYSCLK!CB113/$B$2</f>
        <v>9.8333333333333321</v>
      </c>
      <c r="BD114">
        <f>SYSCLK!CC113/$B$2</f>
        <v>8.4285714285714288</v>
      </c>
      <c r="BE114">
        <f>SYSCLK!CD113/$B$2</f>
        <v>7.375</v>
      </c>
      <c r="BF114">
        <f>SYSCLK!CE113/$B$2</f>
        <v>6.5555555555555554</v>
      </c>
      <c r="BG114">
        <f>SYSCLK!CF113/$B$2</f>
        <v>5.9</v>
      </c>
      <c r="BH114">
        <f>SYSCLK!CG113/$B$2</f>
        <v>5.3636363636363642</v>
      </c>
      <c r="BI114">
        <f>SYSCLK!CH113/$B$2</f>
        <v>4.9166666666666661</v>
      </c>
      <c r="BJ114">
        <f>SYSCLK!CI113/$B$2</f>
        <v>4.5384615384615383</v>
      </c>
      <c r="BK114">
        <f>SYSCLK!CJ113/$B$2</f>
        <v>4.2142857142857144</v>
      </c>
      <c r="BL114">
        <f>SYSCLK!CK113/$B$2</f>
        <v>3.9333333333333331</v>
      </c>
      <c r="BM114">
        <f>SYSCLK!CL113/$B$2</f>
        <v>3.6875</v>
      </c>
    </row>
    <row r="115" spans="2:65">
      <c r="B115">
        <f>SYSCLK!AA114/$B$2</f>
        <v>0</v>
      </c>
      <c r="C115">
        <f>SYSCLK!AB114/$B$2</f>
        <v>0</v>
      </c>
      <c r="D115">
        <f>SYSCLK!AC114/$B$2</f>
        <v>0</v>
      </c>
      <c r="E115">
        <f>SYSCLK!AD114/$B$2</f>
        <v>0</v>
      </c>
      <c r="F115">
        <f>SYSCLK!AE114/$B$2</f>
        <v>0</v>
      </c>
      <c r="G115">
        <f>SYSCLK!AF114/$B$2</f>
        <v>39.666666666666664</v>
      </c>
      <c r="H115">
        <f>SYSCLK!AG114/$B$2</f>
        <v>34</v>
      </c>
      <c r="I115">
        <f>SYSCLK!AH114/$B$2</f>
        <v>29.75</v>
      </c>
      <c r="J115">
        <f>SYSCLK!AI114/$B$2</f>
        <v>26.444444444444443</v>
      </c>
      <c r="K115">
        <f>SYSCLK!AJ114/$B$2</f>
        <v>23.8</v>
      </c>
      <c r="L115">
        <f>SYSCLK!AK114/$B$2</f>
        <v>21.636363636363637</v>
      </c>
      <c r="M115">
        <f>SYSCLK!AL114/$B$2</f>
        <v>19.833333333333332</v>
      </c>
      <c r="N115">
        <f>SYSCLK!AM114/$B$2</f>
        <v>18.30769230769231</v>
      </c>
      <c r="O115">
        <f>SYSCLK!AN114/$B$2</f>
        <v>17</v>
      </c>
      <c r="P115">
        <f>SYSCLK!AO114/$B$2</f>
        <v>15.866666666666667</v>
      </c>
      <c r="Q115">
        <f>SYSCLK!AP114/$B$2</f>
        <v>14.875</v>
      </c>
      <c r="R115" s="117">
        <f>SYSCLK!AQ114/$B$2</f>
        <v>0</v>
      </c>
      <c r="S115">
        <f>SYSCLK!AR114/$B$2</f>
        <v>0</v>
      </c>
      <c r="T115">
        <f>SYSCLK!AS114/$B$2</f>
        <v>39.666666666666664</v>
      </c>
      <c r="U115">
        <f>SYSCLK!AT114/$B$2</f>
        <v>29.75</v>
      </c>
      <c r="V115">
        <f>SYSCLK!AU114/$B$2</f>
        <v>23.8</v>
      </c>
      <c r="W115">
        <f>SYSCLK!AV114/$B$2</f>
        <v>19.833333333333332</v>
      </c>
      <c r="X115">
        <f>SYSCLK!AW114/$B$2</f>
        <v>17</v>
      </c>
      <c r="Y115">
        <f>SYSCLK!AX114/$B$2</f>
        <v>14.875</v>
      </c>
      <c r="Z115">
        <f>SYSCLK!AY114/$B$2</f>
        <v>13.222222222222221</v>
      </c>
      <c r="AA115">
        <f>SYSCLK!AZ114/$B$2</f>
        <v>11.9</v>
      </c>
      <c r="AB115">
        <f>SYSCLK!BA114/$B$2</f>
        <v>10.818181818181818</v>
      </c>
      <c r="AC115">
        <f>SYSCLK!BB114/$B$2</f>
        <v>9.9166666666666661</v>
      </c>
      <c r="AD115">
        <f>SYSCLK!BC114/$B$2</f>
        <v>9.1538461538461551</v>
      </c>
      <c r="AE115">
        <f>SYSCLK!BD114/$B$2</f>
        <v>8.5</v>
      </c>
      <c r="AF115">
        <f>SYSCLK!BE114/$B$2</f>
        <v>7.9333333333333336</v>
      </c>
      <c r="AG115" s="118">
        <f>SYSCLK!BF114/$B$2</f>
        <v>7.4375</v>
      </c>
      <c r="AH115">
        <f>SYSCLK!BG114/$B$2</f>
        <v>0</v>
      </c>
      <c r="AI115">
        <f>SYSCLK!BH114/$B$2</f>
        <v>39.666666666666664</v>
      </c>
      <c r="AJ115">
        <f>SYSCLK!BI114/$B$2</f>
        <v>26.444444444444443</v>
      </c>
      <c r="AK115">
        <f>SYSCLK!BJ114/$B$2</f>
        <v>19.833333333333332</v>
      </c>
      <c r="AL115">
        <f>SYSCLK!BK114/$B$2</f>
        <v>15.866666666666667</v>
      </c>
      <c r="AM115">
        <f>SYSCLK!BL114/$B$2</f>
        <v>13.222222222222221</v>
      </c>
      <c r="AN115">
        <f>SYSCLK!BM114/$B$2</f>
        <v>11.333333333333334</v>
      </c>
      <c r="AO115">
        <f>SYSCLK!BN114/$B$2</f>
        <v>9.9166666666666661</v>
      </c>
      <c r="AP115">
        <f>SYSCLK!BO114/$B$2</f>
        <v>8.8148148148148149</v>
      </c>
      <c r="AQ115">
        <f>SYSCLK!BP114/$B$2</f>
        <v>7.9333333333333336</v>
      </c>
      <c r="AR115">
        <f>SYSCLK!BQ114/$B$2</f>
        <v>7.2121212121212119</v>
      </c>
      <c r="AS115">
        <f>SYSCLK!BR114/$B$2</f>
        <v>6.6111111111111107</v>
      </c>
      <c r="AT115">
        <f>SYSCLK!BS114/$B$2</f>
        <v>6.1025641025641031</v>
      </c>
      <c r="AU115">
        <f>SYSCLK!BT114/$B$2</f>
        <v>5.666666666666667</v>
      </c>
      <c r="AV115">
        <f>SYSCLK!BU114/$B$2</f>
        <v>5.2888888888888888</v>
      </c>
      <c r="AW115">
        <f>SYSCLK!BV114/$B$2</f>
        <v>4.958333333333333</v>
      </c>
      <c r="AX115" s="117">
        <f>SYSCLK!BW114/$B$2</f>
        <v>0</v>
      </c>
      <c r="AY115">
        <f>SYSCLK!BX114/$B$2</f>
        <v>29.75</v>
      </c>
      <c r="AZ115">
        <f>SYSCLK!BY114/$B$2</f>
        <v>19.833333333333332</v>
      </c>
      <c r="BA115">
        <f>SYSCLK!BZ114/$B$2</f>
        <v>14.875</v>
      </c>
      <c r="BB115">
        <f>SYSCLK!CA114/$B$2</f>
        <v>11.9</v>
      </c>
      <c r="BC115">
        <f>SYSCLK!CB114/$B$2</f>
        <v>9.9166666666666661</v>
      </c>
      <c r="BD115">
        <f>SYSCLK!CC114/$B$2</f>
        <v>8.5</v>
      </c>
      <c r="BE115">
        <f>SYSCLK!CD114/$B$2</f>
        <v>7.4375</v>
      </c>
      <c r="BF115">
        <f>SYSCLK!CE114/$B$2</f>
        <v>6.6111111111111107</v>
      </c>
      <c r="BG115">
        <f>SYSCLK!CF114/$B$2</f>
        <v>5.95</v>
      </c>
      <c r="BH115">
        <f>SYSCLK!CG114/$B$2</f>
        <v>5.4090909090909092</v>
      </c>
      <c r="BI115">
        <f>SYSCLK!CH114/$B$2</f>
        <v>4.958333333333333</v>
      </c>
      <c r="BJ115">
        <f>SYSCLK!CI114/$B$2</f>
        <v>4.5769230769230775</v>
      </c>
      <c r="BK115">
        <f>SYSCLK!CJ114/$B$2</f>
        <v>4.25</v>
      </c>
      <c r="BL115">
        <f>SYSCLK!CK114/$B$2</f>
        <v>3.9666666666666668</v>
      </c>
      <c r="BM115">
        <f>SYSCLK!CL114/$B$2</f>
        <v>3.71875</v>
      </c>
    </row>
    <row r="116" spans="2:65">
      <c r="B116">
        <f>SYSCLK!AA115/$B$2</f>
        <v>0</v>
      </c>
      <c r="C116">
        <f>SYSCLK!AB115/$B$2</f>
        <v>0</v>
      </c>
      <c r="D116">
        <f>SYSCLK!AC115/$B$2</f>
        <v>0</v>
      </c>
      <c r="E116">
        <f>SYSCLK!AD115/$B$2</f>
        <v>0</v>
      </c>
      <c r="F116">
        <f>SYSCLK!AE115/$B$2</f>
        <v>0</v>
      </c>
      <c r="G116">
        <f>SYSCLK!AF115/$B$2</f>
        <v>40</v>
      </c>
      <c r="H116">
        <f>SYSCLK!AG115/$B$2</f>
        <v>34.285714285714285</v>
      </c>
      <c r="I116">
        <f>SYSCLK!AH115/$B$2</f>
        <v>30</v>
      </c>
      <c r="J116">
        <f>SYSCLK!AI115/$B$2</f>
        <v>26.666666666666664</v>
      </c>
      <c r="K116">
        <f>SYSCLK!AJ115/$B$2</f>
        <v>24</v>
      </c>
      <c r="L116">
        <f>SYSCLK!AK115/$B$2</f>
        <v>21.81818181818182</v>
      </c>
      <c r="M116">
        <f>SYSCLK!AL115/$B$2</f>
        <v>20</v>
      </c>
      <c r="N116">
        <f>SYSCLK!AM115/$B$2</f>
        <v>18.461538461538463</v>
      </c>
      <c r="O116">
        <f>SYSCLK!AN115/$B$2</f>
        <v>17.142857142857142</v>
      </c>
      <c r="P116">
        <f>SYSCLK!AO115/$B$2</f>
        <v>16</v>
      </c>
      <c r="Q116">
        <f>SYSCLK!AP115/$B$2</f>
        <v>15</v>
      </c>
      <c r="R116" s="117">
        <f>SYSCLK!AQ115/$B$2</f>
        <v>0</v>
      </c>
      <c r="S116">
        <f>SYSCLK!AR115/$B$2</f>
        <v>0</v>
      </c>
      <c r="T116">
        <f>SYSCLK!AS115/$B$2</f>
        <v>40</v>
      </c>
      <c r="U116">
        <f>SYSCLK!AT115/$B$2</f>
        <v>30</v>
      </c>
      <c r="V116">
        <f>SYSCLK!AU115/$B$2</f>
        <v>24</v>
      </c>
      <c r="W116">
        <f>SYSCLK!AV115/$B$2</f>
        <v>20</v>
      </c>
      <c r="X116">
        <f>SYSCLK!AW115/$B$2</f>
        <v>17.142857142857142</v>
      </c>
      <c r="Y116">
        <f>SYSCLK!AX115/$B$2</f>
        <v>15</v>
      </c>
      <c r="Z116">
        <f>SYSCLK!AY115/$B$2</f>
        <v>13.333333333333332</v>
      </c>
      <c r="AA116">
        <f>SYSCLK!AZ115/$B$2</f>
        <v>12</v>
      </c>
      <c r="AB116">
        <f>SYSCLK!BA115/$B$2</f>
        <v>10.90909090909091</v>
      </c>
      <c r="AC116">
        <f>SYSCLK!BB115/$B$2</f>
        <v>10</v>
      </c>
      <c r="AD116">
        <f>SYSCLK!BC115/$B$2</f>
        <v>9.2307692307692317</v>
      </c>
      <c r="AE116">
        <f>SYSCLK!BD115/$B$2</f>
        <v>8.5714285714285712</v>
      </c>
      <c r="AF116">
        <f>SYSCLK!BE115/$B$2</f>
        <v>8</v>
      </c>
      <c r="AG116" s="118">
        <f>SYSCLK!BF115/$B$2</f>
        <v>7.5</v>
      </c>
      <c r="AH116">
        <f>SYSCLK!BG115/$B$2</f>
        <v>0</v>
      </c>
      <c r="AI116">
        <f>SYSCLK!BH115/$B$2</f>
        <v>40</v>
      </c>
      <c r="AJ116">
        <f>SYSCLK!BI115/$B$2</f>
        <v>26.666666666666668</v>
      </c>
      <c r="AK116">
        <f>SYSCLK!BJ115/$B$2</f>
        <v>20</v>
      </c>
      <c r="AL116">
        <f>SYSCLK!BK115/$B$2</f>
        <v>16</v>
      </c>
      <c r="AM116">
        <f>SYSCLK!BL115/$B$2</f>
        <v>13.333333333333334</v>
      </c>
      <c r="AN116">
        <f>SYSCLK!BM115/$B$2</f>
        <v>11.428571428571429</v>
      </c>
      <c r="AO116">
        <f>SYSCLK!BN115/$B$2</f>
        <v>10</v>
      </c>
      <c r="AP116">
        <f>SYSCLK!BO115/$B$2</f>
        <v>8.8888888888888875</v>
      </c>
      <c r="AQ116">
        <f>SYSCLK!BP115/$B$2</f>
        <v>8</v>
      </c>
      <c r="AR116">
        <f>SYSCLK!BQ115/$B$2</f>
        <v>7.2727272727272734</v>
      </c>
      <c r="AS116">
        <f>SYSCLK!BR115/$B$2</f>
        <v>6.666666666666667</v>
      </c>
      <c r="AT116">
        <f>SYSCLK!BS115/$B$2</f>
        <v>6.1538461538461542</v>
      </c>
      <c r="AU116">
        <f>SYSCLK!BT115/$B$2</f>
        <v>5.7142857142857144</v>
      </c>
      <c r="AV116">
        <f>SYSCLK!BU115/$B$2</f>
        <v>5.333333333333333</v>
      </c>
      <c r="AW116">
        <f>SYSCLK!BV115/$B$2</f>
        <v>5</v>
      </c>
      <c r="AX116" s="117">
        <f>SYSCLK!BW115/$B$2</f>
        <v>0</v>
      </c>
      <c r="AY116">
        <f>SYSCLK!BX115/$B$2</f>
        <v>30</v>
      </c>
      <c r="AZ116">
        <f>SYSCLK!BY115/$B$2</f>
        <v>20</v>
      </c>
      <c r="BA116">
        <f>SYSCLK!BZ115/$B$2</f>
        <v>15</v>
      </c>
      <c r="BB116">
        <f>SYSCLK!CA115/$B$2</f>
        <v>12</v>
      </c>
      <c r="BC116">
        <f>SYSCLK!CB115/$B$2</f>
        <v>10</v>
      </c>
      <c r="BD116">
        <f>SYSCLK!CC115/$B$2</f>
        <v>8.5714285714285712</v>
      </c>
      <c r="BE116">
        <f>SYSCLK!CD115/$B$2</f>
        <v>7.5</v>
      </c>
      <c r="BF116">
        <f>SYSCLK!CE115/$B$2</f>
        <v>6.6666666666666661</v>
      </c>
      <c r="BG116">
        <f>SYSCLK!CF115/$B$2</f>
        <v>6</v>
      </c>
      <c r="BH116">
        <f>SYSCLK!CG115/$B$2</f>
        <v>5.454545454545455</v>
      </c>
      <c r="BI116">
        <f>SYSCLK!CH115/$B$2</f>
        <v>5</v>
      </c>
      <c r="BJ116">
        <f>SYSCLK!CI115/$B$2</f>
        <v>4.6153846153846159</v>
      </c>
      <c r="BK116">
        <f>SYSCLK!CJ115/$B$2</f>
        <v>4.2857142857142856</v>
      </c>
      <c r="BL116">
        <f>SYSCLK!CK115/$B$2</f>
        <v>4</v>
      </c>
      <c r="BM116">
        <f>SYSCLK!CL115/$B$2</f>
        <v>3.75</v>
      </c>
    </row>
    <row r="117" spans="2:65">
      <c r="B117">
        <f>SYSCLK!AA116/$B$2</f>
        <v>0</v>
      </c>
      <c r="C117">
        <f>SYSCLK!AB116/$B$2</f>
        <v>0</v>
      </c>
      <c r="D117">
        <f>SYSCLK!AC116/$B$2</f>
        <v>0</v>
      </c>
      <c r="E117">
        <f>SYSCLK!AD116/$B$2</f>
        <v>0</v>
      </c>
      <c r="F117">
        <f>SYSCLK!AE116/$B$2</f>
        <v>0</v>
      </c>
      <c r="G117">
        <f>SYSCLK!AF116/$B$2</f>
        <v>40.333333333333329</v>
      </c>
      <c r="H117">
        <f>SYSCLK!AG116/$B$2</f>
        <v>34.571428571428569</v>
      </c>
      <c r="I117">
        <f>SYSCLK!AH116/$B$2</f>
        <v>30.25</v>
      </c>
      <c r="J117">
        <f>SYSCLK!AI116/$B$2</f>
        <v>26.888888888888886</v>
      </c>
      <c r="K117">
        <f>SYSCLK!AJ116/$B$2</f>
        <v>24.200000000000003</v>
      </c>
      <c r="L117">
        <f>SYSCLK!AK116/$B$2</f>
        <v>22</v>
      </c>
      <c r="M117">
        <f>SYSCLK!AL116/$B$2</f>
        <v>20.166666666666664</v>
      </c>
      <c r="N117">
        <f>SYSCLK!AM116/$B$2</f>
        <v>18.615384615384617</v>
      </c>
      <c r="O117">
        <f>SYSCLK!AN116/$B$2</f>
        <v>17.285714285714285</v>
      </c>
      <c r="P117">
        <f>SYSCLK!AO116/$B$2</f>
        <v>16.133333333333333</v>
      </c>
      <c r="Q117">
        <f>SYSCLK!AP116/$B$2</f>
        <v>15.125</v>
      </c>
      <c r="R117" s="117">
        <f>SYSCLK!AQ116/$B$2</f>
        <v>0</v>
      </c>
      <c r="S117">
        <f>SYSCLK!AR116/$B$2</f>
        <v>0</v>
      </c>
      <c r="T117">
        <f>SYSCLK!AS116/$B$2</f>
        <v>40.333333333333329</v>
      </c>
      <c r="U117">
        <f>SYSCLK!AT116/$B$2</f>
        <v>30.25</v>
      </c>
      <c r="V117">
        <f>SYSCLK!AU116/$B$2</f>
        <v>24.200000000000003</v>
      </c>
      <c r="W117">
        <f>SYSCLK!AV116/$B$2</f>
        <v>20.166666666666664</v>
      </c>
      <c r="X117">
        <f>SYSCLK!AW116/$B$2</f>
        <v>17.285714285714285</v>
      </c>
      <c r="Y117">
        <f>SYSCLK!AX116/$B$2</f>
        <v>15.125</v>
      </c>
      <c r="Z117">
        <f>SYSCLK!AY116/$B$2</f>
        <v>13.444444444444443</v>
      </c>
      <c r="AA117">
        <f>SYSCLK!AZ116/$B$2</f>
        <v>12.100000000000001</v>
      </c>
      <c r="AB117">
        <f>SYSCLK!BA116/$B$2</f>
        <v>11</v>
      </c>
      <c r="AC117">
        <f>SYSCLK!BB116/$B$2</f>
        <v>10.083333333333332</v>
      </c>
      <c r="AD117">
        <f>SYSCLK!BC116/$B$2</f>
        <v>9.3076923076923084</v>
      </c>
      <c r="AE117">
        <f>SYSCLK!BD116/$B$2</f>
        <v>8.6428571428571423</v>
      </c>
      <c r="AF117">
        <f>SYSCLK!BE116/$B$2</f>
        <v>8.0666666666666664</v>
      </c>
      <c r="AG117" s="118">
        <f>SYSCLK!BF116/$B$2</f>
        <v>7.5625</v>
      </c>
      <c r="AH117">
        <f>SYSCLK!BG116/$B$2</f>
        <v>0</v>
      </c>
      <c r="AI117">
        <f>SYSCLK!BH116/$B$2</f>
        <v>40.333333333333336</v>
      </c>
      <c r="AJ117">
        <f>SYSCLK!BI116/$B$2</f>
        <v>26.888888888888886</v>
      </c>
      <c r="AK117">
        <f>SYSCLK!BJ116/$B$2</f>
        <v>20.166666666666668</v>
      </c>
      <c r="AL117">
        <f>SYSCLK!BK116/$B$2</f>
        <v>16.133333333333336</v>
      </c>
      <c r="AM117">
        <f>SYSCLK!BL116/$B$2</f>
        <v>13.444444444444443</v>
      </c>
      <c r="AN117">
        <f>SYSCLK!BM116/$B$2</f>
        <v>11.523809523809524</v>
      </c>
      <c r="AO117">
        <f>SYSCLK!BN116/$B$2</f>
        <v>10.083333333333334</v>
      </c>
      <c r="AP117">
        <f>SYSCLK!BO116/$B$2</f>
        <v>8.9629629629629619</v>
      </c>
      <c r="AQ117">
        <f>SYSCLK!BP116/$B$2</f>
        <v>8.0666666666666682</v>
      </c>
      <c r="AR117">
        <f>SYSCLK!BQ116/$B$2</f>
        <v>7.333333333333333</v>
      </c>
      <c r="AS117">
        <f>SYSCLK!BR116/$B$2</f>
        <v>6.7222222222222214</v>
      </c>
      <c r="AT117">
        <f>SYSCLK!BS116/$B$2</f>
        <v>6.2051282051282053</v>
      </c>
      <c r="AU117">
        <f>SYSCLK!BT116/$B$2</f>
        <v>5.7619047619047619</v>
      </c>
      <c r="AV117">
        <f>SYSCLK!BU116/$B$2</f>
        <v>5.3777777777777773</v>
      </c>
      <c r="AW117">
        <f>SYSCLK!BV116/$B$2</f>
        <v>5.041666666666667</v>
      </c>
      <c r="AX117" s="117">
        <f>SYSCLK!BW116/$B$2</f>
        <v>0</v>
      </c>
      <c r="AY117">
        <f>SYSCLK!BX116/$B$2</f>
        <v>30.25</v>
      </c>
      <c r="AZ117">
        <f>SYSCLK!BY116/$B$2</f>
        <v>20.166666666666664</v>
      </c>
      <c r="BA117">
        <f>SYSCLK!BZ116/$B$2</f>
        <v>15.125</v>
      </c>
      <c r="BB117">
        <f>SYSCLK!CA116/$B$2</f>
        <v>12.100000000000001</v>
      </c>
      <c r="BC117">
        <f>SYSCLK!CB116/$B$2</f>
        <v>10.083333333333332</v>
      </c>
      <c r="BD117">
        <f>SYSCLK!CC116/$B$2</f>
        <v>8.6428571428571423</v>
      </c>
      <c r="BE117">
        <f>SYSCLK!CD116/$B$2</f>
        <v>7.5625</v>
      </c>
      <c r="BF117">
        <f>SYSCLK!CE116/$B$2</f>
        <v>6.7222222222222214</v>
      </c>
      <c r="BG117">
        <f>SYSCLK!CF116/$B$2</f>
        <v>6.0500000000000007</v>
      </c>
      <c r="BH117">
        <f>SYSCLK!CG116/$B$2</f>
        <v>5.5</v>
      </c>
      <c r="BI117">
        <f>SYSCLK!CH116/$B$2</f>
        <v>5.0416666666666661</v>
      </c>
      <c r="BJ117">
        <f>SYSCLK!CI116/$B$2</f>
        <v>4.6538461538461542</v>
      </c>
      <c r="BK117">
        <f>SYSCLK!CJ116/$B$2</f>
        <v>4.3214285714285712</v>
      </c>
      <c r="BL117">
        <f>SYSCLK!CK116/$B$2</f>
        <v>4.0333333333333332</v>
      </c>
      <c r="BM117">
        <f>SYSCLK!CL116/$B$2</f>
        <v>3.78125</v>
      </c>
    </row>
    <row r="118" spans="2:65">
      <c r="B118">
        <f>SYSCLK!AA117/$B$2</f>
        <v>0</v>
      </c>
      <c r="C118">
        <f>SYSCLK!AB117/$B$2</f>
        <v>0</v>
      </c>
      <c r="D118">
        <f>SYSCLK!AC117/$B$2</f>
        <v>0</v>
      </c>
      <c r="E118">
        <f>SYSCLK!AD117/$B$2</f>
        <v>0</v>
      </c>
      <c r="F118">
        <f>SYSCLK!AE117/$B$2</f>
        <v>0</v>
      </c>
      <c r="G118">
        <f>SYSCLK!AF117/$B$2</f>
        <v>40.666666666666664</v>
      </c>
      <c r="H118">
        <f>SYSCLK!AG117/$B$2</f>
        <v>34.857142857142854</v>
      </c>
      <c r="I118">
        <f>SYSCLK!AH117/$B$2</f>
        <v>30.5</v>
      </c>
      <c r="J118">
        <f>SYSCLK!AI117/$B$2</f>
        <v>27.111111111111111</v>
      </c>
      <c r="K118">
        <f>SYSCLK!AJ117/$B$2</f>
        <v>24.400000000000002</v>
      </c>
      <c r="L118">
        <f>SYSCLK!AK117/$B$2</f>
        <v>22.181818181818183</v>
      </c>
      <c r="M118">
        <f>SYSCLK!AL117/$B$2</f>
        <v>20.333333333333332</v>
      </c>
      <c r="N118">
        <f>SYSCLK!AM117/$B$2</f>
        <v>18.76923076923077</v>
      </c>
      <c r="O118">
        <f>SYSCLK!AN117/$B$2</f>
        <v>17.428571428571427</v>
      </c>
      <c r="P118">
        <f>SYSCLK!AO117/$B$2</f>
        <v>16.266666666666666</v>
      </c>
      <c r="Q118">
        <f>SYSCLK!AP117/$B$2</f>
        <v>15.25</v>
      </c>
      <c r="R118" s="117">
        <f>SYSCLK!AQ117/$B$2</f>
        <v>0</v>
      </c>
      <c r="S118">
        <f>SYSCLK!AR117/$B$2</f>
        <v>0</v>
      </c>
      <c r="T118">
        <f>SYSCLK!AS117/$B$2</f>
        <v>40.666666666666664</v>
      </c>
      <c r="U118">
        <f>SYSCLK!AT117/$B$2</f>
        <v>30.5</v>
      </c>
      <c r="V118">
        <f>SYSCLK!AU117/$B$2</f>
        <v>24.400000000000002</v>
      </c>
      <c r="W118">
        <f>SYSCLK!AV117/$B$2</f>
        <v>20.333333333333332</v>
      </c>
      <c r="X118">
        <f>SYSCLK!AW117/$B$2</f>
        <v>17.428571428571427</v>
      </c>
      <c r="Y118">
        <f>SYSCLK!AX117/$B$2</f>
        <v>15.25</v>
      </c>
      <c r="Z118">
        <f>SYSCLK!AY117/$B$2</f>
        <v>13.555555555555555</v>
      </c>
      <c r="AA118">
        <f>SYSCLK!AZ117/$B$2</f>
        <v>12.200000000000001</v>
      </c>
      <c r="AB118">
        <f>SYSCLK!BA117/$B$2</f>
        <v>11.090909090909092</v>
      </c>
      <c r="AC118">
        <f>SYSCLK!BB117/$B$2</f>
        <v>10.166666666666666</v>
      </c>
      <c r="AD118">
        <f>SYSCLK!BC117/$B$2</f>
        <v>9.384615384615385</v>
      </c>
      <c r="AE118">
        <f>SYSCLK!BD117/$B$2</f>
        <v>8.7142857142857135</v>
      </c>
      <c r="AF118">
        <f>SYSCLK!BE117/$B$2</f>
        <v>8.1333333333333329</v>
      </c>
      <c r="AG118" s="118">
        <f>SYSCLK!BF117/$B$2</f>
        <v>7.625</v>
      </c>
      <c r="AH118">
        <f>SYSCLK!BG117/$B$2</f>
        <v>0</v>
      </c>
      <c r="AI118">
        <f>SYSCLK!BH117/$B$2</f>
        <v>40.666666666666664</v>
      </c>
      <c r="AJ118">
        <f>SYSCLK!BI117/$B$2</f>
        <v>27.111111111111111</v>
      </c>
      <c r="AK118">
        <f>SYSCLK!BJ117/$B$2</f>
        <v>20.333333333333332</v>
      </c>
      <c r="AL118">
        <f>SYSCLK!BK117/$B$2</f>
        <v>16.266666666666669</v>
      </c>
      <c r="AM118">
        <f>SYSCLK!BL117/$B$2</f>
        <v>13.555555555555555</v>
      </c>
      <c r="AN118">
        <f>SYSCLK!BM117/$B$2</f>
        <v>11.619047619047619</v>
      </c>
      <c r="AO118">
        <f>SYSCLK!BN117/$B$2</f>
        <v>10.166666666666666</v>
      </c>
      <c r="AP118">
        <f>SYSCLK!BO117/$B$2</f>
        <v>9.0370370370370363</v>
      </c>
      <c r="AQ118">
        <f>SYSCLK!BP117/$B$2</f>
        <v>8.1333333333333346</v>
      </c>
      <c r="AR118">
        <f>SYSCLK!BQ117/$B$2</f>
        <v>7.3939393939393945</v>
      </c>
      <c r="AS118">
        <f>SYSCLK!BR117/$B$2</f>
        <v>6.7777777777777777</v>
      </c>
      <c r="AT118">
        <f>SYSCLK!BS117/$B$2</f>
        <v>6.2564102564102564</v>
      </c>
      <c r="AU118">
        <f>SYSCLK!BT117/$B$2</f>
        <v>5.8095238095238093</v>
      </c>
      <c r="AV118">
        <f>SYSCLK!BU117/$B$2</f>
        <v>5.4222222222222216</v>
      </c>
      <c r="AW118">
        <f>SYSCLK!BV117/$B$2</f>
        <v>5.083333333333333</v>
      </c>
      <c r="AX118" s="117">
        <f>SYSCLK!BW117/$B$2</f>
        <v>0</v>
      </c>
      <c r="AY118">
        <f>SYSCLK!BX117/$B$2</f>
        <v>30.5</v>
      </c>
      <c r="AZ118">
        <f>SYSCLK!BY117/$B$2</f>
        <v>20.333333333333332</v>
      </c>
      <c r="BA118">
        <f>SYSCLK!BZ117/$B$2</f>
        <v>15.25</v>
      </c>
      <c r="BB118">
        <f>SYSCLK!CA117/$B$2</f>
        <v>12.200000000000001</v>
      </c>
      <c r="BC118">
        <f>SYSCLK!CB117/$B$2</f>
        <v>10.166666666666666</v>
      </c>
      <c r="BD118">
        <f>SYSCLK!CC117/$B$2</f>
        <v>8.7142857142857135</v>
      </c>
      <c r="BE118">
        <f>SYSCLK!CD117/$B$2</f>
        <v>7.625</v>
      </c>
      <c r="BF118">
        <f>SYSCLK!CE117/$B$2</f>
        <v>6.7777777777777777</v>
      </c>
      <c r="BG118">
        <f>SYSCLK!CF117/$B$2</f>
        <v>6.1000000000000005</v>
      </c>
      <c r="BH118">
        <f>SYSCLK!CG117/$B$2</f>
        <v>5.5454545454545459</v>
      </c>
      <c r="BI118">
        <f>SYSCLK!CH117/$B$2</f>
        <v>5.083333333333333</v>
      </c>
      <c r="BJ118">
        <f>SYSCLK!CI117/$B$2</f>
        <v>4.6923076923076925</v>
      </c>
      <c r="BK118">
        <f>SYSCLK!CJ117/$B$2</f>
        <v>4.3571428571428568</v>
      </c>
      <c r="BL118">
        <f>SYSCLK!CK117/$B$2</f>
        <v>4.0666666666666664</v>
      </c>
      <c r="BM118">
        <f>SYSCLK!CL117/$B$2</f>
        <v>3.8125</v>
      </c>
    </row>
    <row r="119" spans="2:65">
      <c r="B119">
        <f>SYSCLK!AA118/$B$2</f>
        <v>0</v>
      </c>
      <c r="C119">
        <f>SYSCLK!AB118/$B$2</f>
        <v>0</v>
      </c>
      <c r="D119">
        <f>SYSCLK!AC118/$B$2</f>
        <v>0</v>
      </c>
      <c r="E119">
        <f>SYSCLK!AD118/$B$2</f>
        <v>0</v>
      </c>
      <c r="F119">
        <f>SYSCLK!AE118/$B$2</f>
        <v>0</v>
      </c>
      <c r="G119">
        <f>SYSCLK!AF118/$B$2</f>
        <v>41</v>
      </c>
      <c r="H119">
        <f>SYSCLK!AG118/$B$2</f>
        <v>35.142857142857139</v>
      </c>
      <c r="I119">
        <f>SYSCLK!AH118/$B$2</f>
        <v>30.75</v>
      </c>
      <c r="J119">
        <f>SYSCLK!AI118/$B$2</f>
        <v>27.333333333333332</v>
      </c>
      <c r="K119">
        <f>SYSCLK!AJ118/$B$2</f>
        <v>24.6</v>
      </c>
      <c r="L119">
        <f>SYSCLK!AK118/$B$2</f>
        <v>22.363636363636363</v>
      </c>
      <c r="M119">
        <f>SYSCLK!AL118/$B$2</f>
        <v>20.5</v>
      </c>
      <c r="N119">
        <f>SYSCLK!AM118/$B$2</f>
        <v>18.923076923076923</v>
      </c>
      <c r="O119">
        <f>SYSCLK!AN118/$B$2</f>
        <v>17.571428571428569</v>
      </c>
      <c r="P119">
        <f>SYSCLK!AO118/$B$2</f>
        <v>16.399999999999999</v>
      </c>
      <c r="Q119">
        <f>SYSCLK!AP118/$B$2</f>
        <v>15.375</v>
      </c>
      <c r="R119" s="117">
        <f>SYSCLK!AQ118/$B$2</f>
        <v>0</v>
      </c>
      <c r="S119">
        <f>SYSCLK!AR118/$B$2</f>
        <v>0</v>
      </c>
      <c r="T119">
        <f>SYSCLK!AS118/$B$2</f>
        <v>41</v>
      </c>
      <c r="U119">
        <f>SYSCLK!AT118/$B$2</f>
        <v>30.75</v>
      </c>
      <c r="V119">
        <f>SYSCLK!AU118/$B$2</f>
        <v>24.6</v>
      </c>
      <c r="W119">
        <f>SYSCLK!AV118/$B$2</f>
        <v>20.5</v>
      </c>
      <c r="X119">
        <f>SYSCLK!AW118/$B$2</f>
        <v>17.571428571428569</v>
      </c>
      <c r="Y119">
        <f>SYSCLK!AX118/$B$2</f>
        <v>15.375</v>
      </c>
      <c r="Z119">
        <f>SYSCLK!AY118/$B$2</f>
        <v>13.666666666666666</v>
      </c>
      <c r="AA119">
        <f>SYSCLK!AZ118/$B$2</f>
        <v>12.3</v>
      </c>
      <c r="AB119">
        <f>SYSCLK!BA118/$B$2</f>
        <v>11.181818181818182</v>
      </c>
      <c r="AC119">
        <f>SYSCLK!BB118/$B$2</f>
        <v>10.25</v>
      </c>
      <c r="AD119">
        <f>SYSCLK!BC118/$B$2</f>
        <v>9.4615384615384617</v>
      </c>
      <c r="AE119">
        <f>SYSCLK!BD118/$B$2</f>
        <v>8.7857142857142847</v>
      </c>
      <c r="AF119">
        <f>SYSCLK!BE118/$B$2</f>
        <v>8.1999999999999993</v>
      </c>
      <c r="AG119" s="118">
        <f>SYSCLK!BF118/$B$2</f>
        <v>7.6875</v>
      </c>
      <c r="AH119">
        <f>SYSCLK!BG118/$B$2</f>
        <v>0</v>
      </c>
      <c r="AI119">
        <f>SYSCLK!BH118/$B$2</f>
        <v>41</v>
      </c>
      <c r="AJ119">
        <f>SYSCLK!BI118/$B$2</f>
        <v>27.333333333333332</v>
      </c>
      <c r="AK119">
        <f>SYSCLK!BJ118/$B$2</f>
        <v>20.5</v>
      </c>
      <c r="AL119">
        <f>SYSCLK!BK118/$B$2</f>
        <v>16.400000000000002</v>
      </c>
      <c r="AM119">
        <f>SYSCLK!BL118/$B$2</f>
        <v>13.666666666666666</v>
      </c>
      <c r="AN119">
        <f>SYSCLK!BM118/$B$2</f>
        <v>11.714285714285714</v>
      </c>
      <c r="AO119">
        <f>SYSCLK!BN118/$B$2</f>
        <v>10.25</v>
      </c>
      <c r="AP119">
        <f>SYSCLK!BO118/$B$2</f>
        <v>9.1111111111111107</v>
      </c>
      <c r="AQ119">
        <f>SYSCLK!BP118/$B$2</f>
        <v>8.2000000000000011</v>
      </c>
      <c r="AR119">
        <f>SYSCLK!BQ118/$B$2</f>
        <v>7.4545454545454541</v>
      </c>
      <c r="AS119">
        <f>SYSCLK!BR118/$B$2</f>
        <v>6.833333333333333</v>
      </c>
      <c r="AT119">
        <f>SYSCLK!BS118/$B$2</f>
        <v>6.3076923076923075</v>
      </c>
      <c r="AU119">
        <f>SYSCLK!BT118/$B$2</f>
        <v>5.8571428571428568</v>
      </c>
      <c r="AV119">
        <f>SYSCLK!BU118/$B$2</f>
        <v>5.4666666666666659</v>
      </c>
      <c r="AW119">
        <f>SYSCLK!BV118/$B$2</f>
        <v>5.125</v>
      </c>
      <c r="AX119" s="117">
        <f>SYSCLK!BW118/$B$2</f>
        <v>0</v>
      </c>
      <c r="AY119">
        <f>SYSCLK!BX118/$B$2</f>
        <v>30.75</v>
      </c>
      <c r="AZ119">
        <f>SYSCLK!BY118/$B$2</f>
        <v>20.5</v>
      </c>
      <c r="BA119">
        <f>SYSCLK!BZ118/$B$2</f>
        <v>15.375</v>
      </c>
      <c r="BB119">
        <f>SYSCLK!CA118/$B$2</f>
        <v>12.3</v>
      </c>
      <c r="BC119">
        <f>SYSCLK!CB118/$B$2</f>
        <v>10.25</v>
      </c>
      <c r="BD119">
        <f>SYSCLK!CC118/$B$2</f>
        <v>8.7857142857142847</v>
      </c>
      <c r="BE119">
        <f>SYSCLK!CD118/$B$2</f>
        <v>7.6875</v>
      </c>
      <c r="BF119">
        <f>SYSCLK!CE118/$B$2</f>
        <v>6.833333333333333</v>
      </c>
      <c r="BG119">
        <f>SYSCLK!CF118/$B$2</f>
        <v>6.15</v>
      </c>
      <c r="BH119">
        <f>SYSCLK!CG118/$B$2</f>
        <v>5.5909090909090908</v>
      </c>
      <c r="BI119">
        <f>SYSCLK!CH118/$B$2</f>
        <v>5.125</v>
      </c>
      <c r="BJ119">
        <f>SYSCLK!CI118/$B$2</f>
        <v>4.7307692307692308</v>
      </c>
      <c r="BK119">
        <f>SYSCLK!CJ118/$B$2</f>
        <v>4.3928571428571423</v>
      </c>
      <c r="BL119">
        <f>SYSCLK!CK118/$B$2</f>
        <v>4.0999999999999996</v>
      </c>
      <c r="BM119">
        <f>SYSCLK!CL118/$B$2</f>
        <v>3.84375</v>
      </c>
    </row>
    <row r="120" spans="2:65">
      <c r="B120">
        <f>SYSCLK!AA119/$B$2</f>
        <v>0</v>
      </c>
      <c r="C120">
        <f>SYSCLK!AB119/$B$2</f>
        <v>0</v>
      </c>
      <c r="D120">
        <f>SYSCLK!AC119/$B$2</f>
        <v>0</v>
      </c>
      <c r="E120">
        <f>SYSCLK!AD119/$B$2</f>
        <v>0</v>
      </c>
      <c r="F120">
        <f>SYSCLK!AE119/$B$2</f>
        <v>0</v>
      </c>
      <c r="G120">
        <f>SYSCLK!AF119/$B$2</f>
        <v>41.333333333333329</v>
      </c>
      <c r="H120">
        <f>SYSCLK!AG119/$B$2</f>
        <v>35.428571428571423</v>
      </c>
      <c r="I120">
        <f>SYSCLK!AH119/$B$2</f>
        <v>31</v>
      </c>
      <c r="J120">
        <f>SYSCLK!AI119/$B$2</f>
        <v>27.555555555555554</v>
      </c>
      <c r="K120">
        <f>SYSCLK!AJ119/$B$2</f>
        <v>24.8</v>
      </c>
      <c r="L120">
        <f>SYSCLK!AK119/$B$2</f>
        <v>22.545454545454547</v>
      </c>
      <c r="M120">
        <f>SYSCLK!AL119/$B$2</f>
        <v>20.666666666666664</v>
      </c>
      <c r="N120">
        <f>SYSCLK!AM119/$B$2</f>
        <v>19.076923076923077</v>
      </c>
      <c r="O120">
        <f>SYSCLK!AN119/$B$2</f>
        <v>17.714285714285712</v>
      </c>
      <c r="P120">
        <f>SYSCLK!AO119/$B$2</f>
        <v>16.533333333333331</v>
      </c>
      <c r="Q120">
        <f>SYSCLK!AP119/$B$2</f>
        <v>15.5</v>
      </c>
      <c r="R120" s="117">
        <f>SYSCLK!AQ119/$B$2</f>
        <v>0</v>
      </c>
      <c r="S120">
        <f>SYSCLK!AR119/$B$2</f>
        <v>0</v>
      </c>
      <c r="T120">
        <f>SYSCLK!AS119/$B$2</f>
        <v>41.333333333333329</v>
      </c>
      <c r="U120">
        <f>SYSCLK!AT119/$B$2</f>
        <v>31</v>
      </c>
      <c r="V120">
        <f>SYSCLK!AU119/$B$2</f>
        <v>24.8</v>
      </c>
      <c r="W120">
        <f>SYSCLK!AV119/$B$2</f>
        <v>20.666666666666664</v>
      </c>
      <c r="X120">
        <f>SYSCLK!AW119/$B$2</f>
        <v>17.714285714285712</v>
      </c>
      <c r="Y120">
        <f>SYSCLK!AX119/$B$2</f>
        <v>15.5</v>
      </c>
      <c r="Z120">
        <f>SYSCLK!AY119/$B$2</f>
        <v>13.777777777777777</v>
      </c>
      <c r="AA120">
        <f>SYSCLK!AZ119/$B$2</f>
        <v>12.4</v>
      </c>
      <c r="AB120">
        <f>SYSCLK!BA119/$B$2</f>
        <v>11.272727272727273</v>
      </c>
      <c r="AC120">
        <f>SYSCLK!BB119/$B$2</f>
        <v>10.333333333333332</v>
      </c>
      <c r="AD120">
        <f>SYSCLK!BC119/$B$2</f>
        <v>9.5384615384615383</v>
      </c>
      <c r="AE120">
        <f>SYSCLK!BD119/$B$2</f>
        <v>8.8571428571428559</v>
      </c>
      <c r="AF120">
        <f>SYSCLK!BE119/$B$2</f>
        <v>8.2666666666666657</v>
      </c>
      <c r="AG120" s="118">
        <f>SYSCLK!BF119/$B$2</f>
        <v>7.75</v>
      </c>
      <c r="AH120">
        <f>SYSCLK!BG119/$B$2</f>
        <v>0</v>
      </c>
      <c r="AI120">
        <f>SYSCLK!BH119/$B$2</f>
        <v>41.333333333333336</v>
      </c>
      <c r="AJ120">
        <f>SYSCLK!BI119/$B$2</f>
        <v>27.555555555555554</v>
      </c>
      <c r="AK120">
        <f>SYSCLK!BJ119/$B$2</f>
        <v>20.666666666666668</v>
      </c>
      <c r="AL120">
        <f>SYSCLK!BK119/$B$2</f>
        <v>16.533333333333335</v>
      </c>
      <c r="AM120">
        <f>SYSCLK!BL119/$B$2</f>
        <v>13.777777777777777</v>
      </c>
      <c r="AN120">
        <f>SYSCLK!BM119/$B$2</f>
        <v>11.809523809523808</v>
      </c>
      <c r="AO120">
        <f>SYSCLK!BN119/$B$2</f>
        <v>10.333333333333334</v>
      </c>
      <c r="AP120">
        <f>SYSCLK!BO119/$B$2</f>
        <v>9.1851851851851851</v>
      </c>
      <c r="AQ120">
        <f>SYSCLK!BP119/$B$2</f>
        <v>8.2666666666666675</v>
      </c>
      <c r="AR120">
        <f>SYSCLK!BQ119/$B$2</f>
        <v>7.5151515151515156</v>
      </c>
      <c r="AS120">
        <f>SYSCLK!BR119/$B$2</f>
        <v>6.8888888888888884</v>
      </c>
      <c r="AT120">
        <f>SYSCLK!BS119/$B$2</f>
        <v>6.3589743589743586</v>
      </c>
      <c r="AU120">
        <f>SYSCLK!BT119/$B$2</f>
        <v>5.9047619047619042</v>
      </c>
      <c r="AV120">
        <f>SYSCLK!BU119/$B$2</f>
        <v>5.5111111111111102</v>
      </c>
      <c r="AW120">
        <f>SYSCLK!BV119/$B$2</f>
        <v>5.166666666666667</v>
      </c>
      <c r="AX120" s="117">
        <f>SYSCLK!BW119/$B$2</f>
        <v>0</v>
      </c>
      <c r="AY120">
        <f>SYSCLK!BX119/$B$2</f>
        <v>31</v>
      </c>
      <c r="AZ120">
        <f>SYSCLK!BY119/$B$2</f>
        <v>20.666666666666664</v>
      </c>
      <c r="BA120">
        <f>SYSCLK!BZ119/$B$2</f>
        <v>15.5</v>
      </c>
      <c r="BB120">
        <f>SYSCLK!CA119/$B$2</f>
        <v>12.4</v>
      </c>
      <c r="BC120">
        <f>SYSCLK!CB119/$B$2</f>
        <v>10.333333333333332</v>
      </c>
      <c r="BD120">
        <f>SYSCLK!CC119/$B$2</f>
        <v>8.8571428571428559</v>
      </c>
      <c r="BE120">
        <f>SYSCLK!CD119/$B$2</f>
        <v>7.75</v>
      </c>
      <c r="BF120">
        <f>SYSCLK!CE119/$B$2</f>
        <v>6.8888888888888884</v>
      </c>
      <c r="BG120">
        <f>SYSCLK!CF119/$B$2</f>
        <v>6.2</v>
      </c>
      <c r="BH120">
        <f>SYSCLK!CG119/$B$2</f>
        <v>5.6363636363636367</v>
      </c>
      <c r="BI120">
        <f>SYSCLK!CH119/$B$2</f>
        <v>5.1666666666666661</v>
      </c>
      <c r="BJ120">
        <f>SYSCLK!CI119/$B$2</f>
        <v>4.7692307692307692</v>
      </c>
      <c r="BK120">
        <f>SYSCLK!CJ119/$B$2</f>
        <v>4.4285714285714279</v>
      </c>
      <c r="BL120">
        <f>SYSCLK!CK119/$B$2</f>
        <v>4.1333333333333329</v>
      </c>
      <c r="BM120">
        <f>SYSCLK!CL119/$B$2</f>
        <v>3.875</v>
      </c>
    </row>
    <row r="121" spans="2:65">
      <c r="B121">
        <f>SYSCLK!AA120/$B$2</f>
        <v>0</v>
      </c>
      <c r="C121">
        <f>SYSCLK!AB120/$B$2</f>
        <v>0</v>
      </c>
      <c r="D121">
        <f>SYSCLK!AC120/$B$2</f>
        <v>0</v>
      </c>
      <c r="E121">
        <f>SYSCLK!AD120/$B$2</f>
        <v>0</v>
      </c>
      <c r="F121">
        <f>SYSCLK!AE120/$B$2</f>
        <v>0</v>
      </c>
      <c r="G121">
        <f>SYSCLK!AF120/$B$2</f>
        <v>41.666666666666664</v>
      </c>
      <c r="H121">
        <f>SYSCLK!AG120/$B$2</f>
        <v>35.714285714285715</v>
      </c>
      <c r="I121">
        <f>SYSCLK!AH120/$B$2</f>
        <v>31.25</v>
      </c>
      <c r="J121">
        <f>SYSCLK!AI120/$B$2</f>
        <v>27.777777777777775</v>
      </c>
      <c r="K121">
        <f>SYSCLK!AJ120/$B$2</f>
        <v>25</v>
      </c>
      <c r="L121">
        <f>SYSCLK!AK120/$B$2</f>
        <v>22.727272727272727</v>
      </c>
      <c r="M121">
        <f>SYSCLK!AL120/$B$2</f>
        <v>20.833333333333332</v>
      </c>
      <c r="N121">
        <f>SYSCLK!AM120/$B$2</f>
        <v>19.230769230769234</v>
      </c>
      <c r="O121">
        <f>SYSCLK!AN120/$B$2</f>
        <v>17.857142857142858</v>
      </c>
      <c r="P121">
        <f>SYSCLK!AO120/$B$2</f>
        <v>16.666666666666668</v>
      </c>
      <c r="Q121">
        <f>SYSCLK!AP120/$B$2</f>
        <v>15.625</v>
      </c>
      <c r="R121" s="117">
        <f>SYSCLK!AQ120/$B$2</f>
        <v>0</v>
      </c>
      <c r="S121">
        <f>SYSCLK!AR120/$B$2</f>
        <v>0</v>
      </c>
      <c r="T121">
        <f>SYSCLK!AS120/$B$2</f>
        <v>41.666666666666664</v>
      </c>
      <c r="U121">
        <f>SYSCLK!AT120/$B$2</f>
        <v>31.25</v>
      </c>
      <c r="V121">
        <f>SYSCLK!AU120/$B$2</f>
        <v>25</v>
      </c>
      <c r="W121">
        <f>SYSCLK!AV120/$B$2</f>
        <v>20.833333333333332</v>
      </c>
      <c r="X121">
        <f>SYSCLK!AW120/$B$2</f>
        <v>17.857142857142858</v>
      </c>
      <c r="Y121">
        <f>SYSCLK!AX120/$B$2</f>
        <v>15.625</v>
      </c>
      <c r="Z121">
        <f>SYSCLK!AY120/$B$2</f>
        <v>13.888888888888888</v>
      </c>
      <c r="AA121">
        <f>SYSCLK!AZ120/$B$2</f>
        <v>12.5</v>
      </c>
      <c r="AB121">
        <f>SYSCLK!BA120/$B$2</f>
        <v>11.363636363636363</v>
      </c>
      <c r="AC121">
        <f>SYSCLK!BB120/$B$2</f>
        <v>10.416666666666666</v>
      </c>
      <c r="AD121">
        <f>SYSCLK!BC120/$B$2</f>
        <v>9.6153846153846168</v>
      </c>
      <c r="AE121">
        <f>SYSCLK!BD120/$B$2</f>
        <v>8.9285714285714288</v>
      </c>
      <c r="AF121">
        <f>SYSCLK!BE120/$B$2</f>
        <v>8.3333333333333339</v>
      </c>
      <c r="AG121" s="118">
        <f>SYSCLK!BF120/$B$2</f>
        <v>7.8125</v>
      </c>
      <c r="AH121">
        <f>SYSCLK!BG120/$B$2</f>
        <v>0</v>
      </c>
      <c r="AI121">
        <f>SYSCLK!BH120/$B$2</f>
        <v>41.666666666666664</v>
      </c>
      <c r="AJ121">
        <f>SYSCLK!BI120/$B$2</f>
        <v>27.777777777777775</v>
      </c>
      <c r="AK121">
        <f>SYSCLK!BJ120/$B$2</f>
        <v>20.833333333333332</v>
      </c>
      <c r="AL121">
        <f>SYSCLK!BK120/$B$2</f>
        <v>16.666666666666668</v>
      </c>
      <c r="AM121">
        <f>SYSCLK!BL120/$B$2</f>
        <v>13.888888888888888</v>
      </c>
      <c r="AN121">
        <f>SYSCLK!BM120/$B$2</f>
        <v>11.904761904761905</v>
      </c>
      <c r="AO121">
        <f>SYSCLK!BN120/$B$2</f>
        <v>10.416666666666666</v>
      </c>
      <c r="AP121">
        <f>SYSCLK!BO120/$B$2</f>
        <v>9.2592592592592577</v>
      </c>
      <c r="AQ121">
        <f>SYSCLK!BP120/$B$2</f>
        <v>8.3333333333333339</v>
      </c>
      <c r="AR121">
        <f>SYSCLK!BQ120/$B$2</f>
        <v>7.5757575757575752</v>
      </c>
      <c r="AS121">
        <f>SYSCLK!BR120/$B$2</f>
        <v>6.9444444444444438</v>
      </c>
      <c r="AT121">
        <f>SYSCLK!BS120/$B$2</f>
        <v>6.4102564102564115</v>
      </c>
      <c r="AU121">
        <f>SYSCLK!BT120/$B$2</f>
        <v>5.9523809523809526</v>
      </c>
      <c r="AV121">
        <f>SYSCLK!BU120/$B$2</f>
        <v>5.5555555555555562</v>
      </c>
      <c r="AW121">
        <f>SYSCLK!BV120/$B$2</f>
        <v>5.208333333333333</v>
      </c>
      <c r="AX121" s="117">
        <f>SYSCLK!BW120/$B$2</f>
        <v>0</v>
      </c>
      <c r="AY121">
        <f>SYSCLK!BX120/$B$2</f>
        <v>31.25</v>
      </c>
      <c r="AZ121">
        <f>SYSCLK!BY120/$B$2</f>
        <v>20.833333333333332</v>
      </c>
      <c r="BA121">
        <f>SYSCLK!BZ120/$B$2</f>
        <v>15.625</v>
      </c>
      <c r="BB121">
        <f>SYSCLK!CA120/$B$2</f>
        <v>12.5</v>
      </c>
      <c r="BC121">
        <f>SYSCLK!CB120/$B$2</f>
        <v>10.416666666666666</v>
      </c>
      <c r="BD121">
        <f>SYSCLK!CC120/$B$2</f>
        <v>8.9285714285714288</v>
      </c>
      <c r="BE121">
        <f>SYSCLK!CD120/$B$2</f>
        <v>7.8125</v>
      </c>
      <c r="BF121">
        <f>SYSCLK!CE120/$B$2</f>
        <v>6.9444444444444438</v>
      </c>
      <c r="BG121">
        <f>SYSCLK!CF120/$B$2</f>
        <v>6.25</v>
      </c>
      <c r="BH121">
        <f>SYSCLK!CG120/$B$2</f>
        <v>5.6818181818181817</v>
      </c>
      <c r="BI121">
        <f>SYSCLK!CH120/$B$2</f>
        <v>5.208333333333333</v>
      </c>
      <c r="BJ121">
        <f>SYSCLK!CI120/$B$2</f>
        <v>4.8076923076923084</v>
      </c>
      <c r="BK121">
        <f>SYSCLK!CJ120/$B$2</f>
        <v>4.4642857142857144</v>
      </c>
      <c r="BL121">
        <f>SYSCLK!CK120/$B$2</f>
        <v>4.166666666666667</v>
      </c>
      <c r="BM121">
        <f>SYSCLK!CL120/$B$2</f>
        <v>3.90625</v>
      </c>
    </row>
    <row r="122" spans="2:65">
      <c r="B122">
        <f>SYSCLK!AA121/$B$2</f>
        <v>0</v>
      </c>
      <c r="C122">
        <f>SYSCLK!AB121/$B$2</f>
        <v>0</v>
      </c>
      <c r="D122">
        <f>SYSCLK!AC121/$B$2</f>
        <v>0</v>
      </c>
      <c r="E122">
        <f>SYSCLK!AD121/$B$2</f>
        <v>0</v>
      </c>
      <c r="F122">
        <f>SYSCLK!AE121/$B$2</f>
        <v>0</v>
      </c>
      <c r="G122">
        <f>SYSCLK!AF121/$B$2</f>
        <v>42</v>
      </c>
      <c r="H122">
        <f>SYSCLK!AG121/$B$2</f>
        <v>36</v>
      </c>
      <c r="I122">
        <f>SYSCLK!AH121/$B$2</f>
        <v>31.5</v>
      </c>
      <c r="J122">
        <f>SYSCLK!AI121/$B$2</f>
        <v>28</v>
      </c>
      <c r="K122">
        <f>SYSCLK!AJ121/$B$2</f>
        <v>25.200000000000003</v>
      </c>
      <c r="L122">
        <f>SYSCLK!AK121/$B$2</f>
        <v>22.90909090909091</v>
      </c>
      <c r="M122">
        <f>SYSCLK!AL121/$B$2</f>
        <v>21</v>
      </c>
      <c r="N122">
        <f>SYSCLK!AM121/$B$2</f>
        <v>19.384615384615387</v>
      </c>
      <c r="O122">
        <f>SYSCLK!AN121/$B$2</f>
        <v>18</v>
      </c>
      <c r="P122">
        <f>SYSCLK!AO121/$B$2</f>
        <v>16.8</v>
      </c>
      <c r="Q122">
        <f>SYSCLK!AP121/$B$2</f>
        <v>15.75</v>
      </c>
      <c r="R122" s="117">
        <f>SYSCLK!AQ121/$B$2</f>
        <v>0</v>
      </c>
      <c r="S122">
        <f>SYSCLK!AR121/$B$2</f>
        <v>0</v>
      </c>
      <c r="T122">
        <f>SYSCLK!AS121/$B$2</f>
        <v>42</v>
      </c>
      <c r="U122">
        <f>SYSCLK!AT121/$B$2</f>
        <v>31.5</v>
      </c>
      <c r="V122">
        <f>SYSCLK!AU121/$B$2</f>
        <v>25.200000000000003</v>
      </c>
      <c r="W122">
        <f>SYSCLK!AV121/$B$2</f>
        <v>21</v>
      </c>
      <c r="X122">
        <f>SYSCLK!AW121/$B$2</f>
        <v>18</v>
      </c>
      <c r="Y122">
        <f>SYSCLK!AX121/$B$2</f>
        <v>15.75</v>
      </c>
      <c r="Z122">
        <f>SYSCLK!AY121/$B$2</f>
        <v>14</v>
      </c>
      <c r="AA122">
        <f>SYSCLK!AZ121/$B$2</f>
        <v>12.600000000000001</v>
      </c>
      <c r="AB122">
        <f>SYSCLK!BA121/$B$2</f>
        <v>11.454545454545455</v>
      </c>
      <c r="AC122">
        <f>SYSCLK!BB121/$B$2</f>
        <v>10.5</v>
      </c>
      <c r="AD122">
        <f>SYSCLK!BC121/$B$2</f>
        <v>9.6923076923076934</v>
      </c>
      <c r="AE122">
        <f>SYSCLK!BD121/$B$2</f>
        <v>9</v>
      </c>
      <c r="AF122">
        <f>SYSCLK!BE121/$B$2</f>
        <v>8.4</v>
      </c>
      <c r="AG122" s="118">
        <f>SYSCLK!BF121/$B$2</f>
        <v>7.875</v>
      </c>
      <c r="AH122">
        <f>SYSCLK!BG121/$B$2</f>
        <v>0</v>
      </c>
      <c r="AI122">
        <f>SYSCLK!BH121/$B$2</f>
        <v>42</v>
      </c>
      <c r="AJ122">
        <f>SYSCLK!BI121/$B$2</f>
        <v>28</v>
      </c>
      <c r="AK122">
        <f>SYSCLK!BJ121/$B$2</f>
        <v>21</v>
      </c>
      <c r="AL122">
        <f>SYSCLK!BK121/$B$2</f>
        <v>16.8</v>
      </c>
      <c r="AM122">
        <f>SYSCLK!BL121/$B$2</f>
        <v>14</v>
      </c>
      <c r="AN122">
        <f>SYSCLK!BM121/$B$2</f>
        <v>12</v>
      </c>
      <c r="AO122">
        <f>SYSCLK!BN121/$B$2</f>
        <v>10.5</v>
      </c>
      <c r="AP122">
        <f>SYSCLK!BO121/$B$2</f>
        <v>9.3333333333333339</v>
      </c>
      <c r="AQ122">
        <f>SYSCLK!BP121/$B$2</f>
        <v>8.4</v>
      </c>
      <c r="AR122">
        <f>SYSCLK!BQ121/$B$2</f>
        <v>7.6363636363636367</v>
      </c>
      <c r="AS122">
        <f>SYSCLK!BR121/$B$2</f>
        <v>7</v>
      </c>
      <c r="AT122">
        <f>SYSCLK!BS121/$B$2</f>
        <v>6.4615384615384626</v>
      </c>
      <c r="AU122">
        <f>SYSCLK!BT121/$B$2</f>
        <v>6</v>
      </c>
      <c r="AV122">
        <f>SYSCLK!BU121/$B$2</f>
        <v>5.6000000000000005</v>
      </c>
      <c r="AW122">
        <f>SYSCLK!BV121/$B$2</f>
        <v>5.25</v>
      </c>
      <c r="AX122" s="117">
        <f>SYSCLK!BW121/$B$2</f>
        <v>0</v>
      </c>
      <c r="AY122">
        <f>SYSCLK!BX121/$B$2</f>
        <v>31.5</v>
      </c>
      <c r="AZ122">
        <f>SYSCLK!BY121/$B$2</f>
        <v>21</v>
      </c>
      <c r="BA122">
        <f>SYSCLK!BZ121/$B$2</f>
        <v>15.75</v>
      </c>
      <c r="BB122">
        <f>SYSCLK!CA121/$B$2</f>
        <v>12.600000000000001</v>
      </c>
      <c r="BC122">
        <f>SYSCLK!CB121/$B$2</f>
        <v>10.5</v>
      </c>
      <c r="BD122">
        <f>SYSCLK!CC121/$B$2</f>
        <v>9</v>
      </c>
      <c r="BE122">
        <f>SYSCLK!CD121/$B$2</f>
        <v>7.875</v>
      </c>
      <c r="BF122">
        <f>SYSCLK!CE121/$B$2</f>
        <v>7</v>
      </c>
      <c r="BG122">
        <f>SYSCLK!CF121/$B$2</f>
        <v>6.3000000000000007</v>
      </c>
      <c r="BH122">
        <f>SYSCLK!CG121/$B$2</f>
        <v>5.7272727272727275</v>
      </c>
      <c r="BI122">
        <f>SYSCLK!CH121/$B$2</f>
        <v>5.25</v>
      </c>
      <c r="BJ122">
        <f>SYSCLK!CI121/$B$2</f>
        <v>4.8461538461538467</v>
      </c>
      <c r="BK122">
        <f>SYSCLK!CJ121/$B$2</f>
        <v>4.5</v>
      </c>
      <c r="BL122">
        <f>SYSCLK!CK121/$B$2</f>
        <v>4.2</v>
      </c>
      <c r="BM122">
        <f>SYSCLK!CL121/$B$2</f>
        <v>3.9375</v>
      </c>
    </row>
    <row r="123" spans="2:65">
      <c r="B123">
        <f>SYSCLK!AA122/$B$2</f>
        <v>0</v>
      </c>
      <c r="C123">
        <f>SYSCLK!AB122/$B$2</f>
        <v>0</v>
      </c>
      <c r="D123">
        <f>SYSCLK!AC122/$B$2</f>
        <v>0</v>
      </c>
      <c r="E123">
        <f>SYSCLK!AD122/$B$2</f>
        <v>0</v>
      </c>
      <c r="F123">
        <f>SYSCLK!AE122/$B$2</f>
        <v>0</v>
      </c>
      <c r="G123">
        <f>SYSCLK!AF122/$B$2</f>
        <v>42.333333333333329</v>
      </c>
      <c r="H123">
        <f>SYSCLK!AG122/$B$2</f>
        <v>36.285714285714285</v>
      </c>
      <c r="I123">
        <f>SYSCLK!AH122/$B$2</f>
        <v>31.75</v>
      </c>
      <c r="J123">
        <f>SYSCLK!AI122/$B$2</f>
        <v>28.222222222222221</v>
      </c>
      <c r="K123">
        <f>SYSCLK!AJ122/$B$2</f>
        <v>25.400000000000002</v>
      </c>
      <c r="L123">
        <f>SYSCLK!AK122/$B$2</f>
        <v>23.09090909090909</v>
      </c>
      <c r="M123">
        <f>SYSCLK!AL122/$B$2</f>
        <v>21.166666666666664</v>
      </c>
      <c r="N123">
        <f>SYSCLK!AM122/$B$2</f>
        <v>19.53846153846154</v>
      </c>
      <c r="O123">
        <f>SYSCLK!AN122/$B$2</f>
        <v>18.142857142857142</v>
      </c>
      <c r="P123">
        <f>SYSCLK!AO122/$B$2</f>
        <v>16.933333333333334</v>
      </c>
      <c r="Q123">
        <f>SYSCLK!AP122/$B$2</f>
        <v>15.875</v>
      </c>
      <c r="R123" s="117">
        <f>SYSCLK!AQ122/$B$2</f>
        <v>0</v>
      </c>
      <c r="S123">
        <f>SYSCLK!AR122/$B$2</f>
        <v>0</v>
      </c>
      <c r="T123">
        <f>SYSCLK!AS122/$B$2</f>
        <v>42.333333333333329</v>
      </c>
      <c r="U123">
        <f>SYSCLK!AT122/$B$2</f>
        <v>31.75</v>
      </c>
      <c r="V123">
        <f>SYSCLK!AU122/$B$2</f>
        <v>25.400000000000002</v>
      </c>
      <c r="W123">
        <f>SYSCLK!AV122/$B$2</f>
        <v>21.166666666666664</v>
      </c>
      <c r="X123">
        <f>SYSCLK!AW122/$B$2</f>
        <v>18.142857142857142</v>
      </c>
      <c r="Y123">
        <f>SYSCLK!AX122/$B$2</f>
        <v>15.875</v>
      </c>
      <c r="Z123">
        <f>SYSCLK!AY122/$B$2</f>
        <v>14.111111111111111</v>
      </c>
      <c r="AA123">
        <f>SYSCLK!AZ122/$B$2</f>
        <v>12.700000000000001</v>
      </c>
      <c r="AB123">
        <f>SYSCLK!BA122/$B$2</f>
        <v>11.545454545454545</v>
      </c>
      <c r="AC123">
        <f>SYSCLK!BB122/$B$2</f>
        <v>10.583333333333332</v>
      </c>
      <c r="AD123">
        <f>SYSCLK!BC122/$B$2</f>
        <v>9.7692307692307701</v>
      </c>
      <c r="AE123">
        <f>SYSCLK!BD122/$B$2</f>
        <v>9.0714285714285712</v>
      </c>
      <c r="AF123">
        <f>SYSCLK!BE122/$B$2</f>
        <v>8.4666666666666668</v>
      </c>
      <c r="AG123" s="118">
        <f>SYSCLK!BF122/$B$2</f>
        <v>7.9375</v>
      </c>
      <c r="AH123">
        <f>SYSCLK!BG122/$B$2</f>
        <v>0</v>
      </c>
      <c r="AI123">
        <f>SYSCLK!BH122/$B$2</f>
        <v>42.333333333333336</v>
      </c>
      <c r="AJ123">
        <f>SYSCLK!BI122/$B$2</f>
        <v>28.222222222222218</v>
      </c>
      <c r="AK123">
        <f>SYSCLK!BJ122/$B$2</f>
        <v>21.166666666666668</v>
      </c>
      <c r="AL123">
        <f>SYSCLK!BK122/$B$2</f>
        <v>16.933333333333334</v>
      </c>
      <c r="AM123">
        <f>SYSCLK!BL122/$B$2</f>
        <v>14.111111111111109</v>
      </c>
      <c r="AN123">
        <f>SYSCLK!BM122/$B$2</f>
        <v>12.095238095238095</v>
      </c>
      <c r="AO123">
        <f>SYSCLK!BN122/$B$2</f>
        <v>10.583333333333334</v>
      </c>
      <c r="AP123">
        <f>SYSCLK!BO122/$B$2</f>
        <v>9.4074074074074066</v>
      </c>
      <c r="AQ123">
        <f>SYSCLK!BP122/$B$2</f>
        <v>8.4666666666666668</v>
      </c>
      <c r="AR123">
        <f>SYSCLK!BQ122/$B$2</f>
        <v>7.6969696969696964</v>
      </c>
      <c r="AS123">
        <f>SYSCLK!BR122/$B$2</f>
        <v>7.0555555555555545</v>
      </c>
      <c r="AT123">
        <f>SYSCLK!BS122/$B$2</f>
        <v>6.5128205128205137</v>
      </c>
      <c r="AU123">
        <f>SYSCLK!BT122/$B$2</f>
        <v>6.0476190476190474</v>
      </c>
      <c r="AV123">
        <f>SYSCLK!BU122/$B$2</f>
        <v>5.6444444444444448</v>
      </c>
      <c r="AW123">
        <f>SYSCLK!BV122/$B$2</f>
        <v>5.291666666666667</v>
      </c>
      <c r="AX123" s="117">
        <f>SYSCLK!BW122/$B$2</f>
        <v>0</v>
      </c>
      <c r="AY123">
        <f>SYSCLK!BX122/$B$2</f>
        <v>31.75</v>
      </c>
      <c r="AZ123">
        <f>SYSCLK!BY122/$B$2</f>
        <v>21.166666666666664</v>
      </c>
      <c r="BA123">
        <f>SYSCLK!BZ122/$B$2</f>
        <v>15.875</v>
      </c>
      <c r="BB123">
        <f>SYSCLK!CA122/$B$2</f>
        <v>12.700000000000001</v>
      </c>
      <c r="BC123">
        <f>SYSCLK!CB122/$B$2</f>
        <v>10.583333333333332</v>
      </c>
      <c r="BD123">
        <f>SYSCLK!CC122/$B$2</f>
        <v>9.0714285714285712</v>
      </c>
      <c r="BE123">
        <f>SYSCLK!CD122/$B$2</f>
        <v>7.9375</v>
      </c>
      <c r="BF123">
        <f>SYSCLK!CE122/$B$2</f>
        <v>7.0555555555555554</v>
      </c>
      <c r="BG123">
        <f>SYSCLK!CF122/$B$2</f>
        <v>6.3500000000000005</v>
      </c>
      <c r="BH123">
        <f>SYSCLK!CG122/$B$2</f>
        <v>5.7727272727272725</v>
      </c>
      <c r="BI123">
        <f>SYSCLK!CH122/$B$2</f>
        <v>5.2916666666666661</v>
      </c>
      <c r="BJ123">
        <f>SYSCLK!CI122/$B$2</f>
        <v>4.884615384615385</v>
      </c>
      <c r="BK123">
        <f>SYSCLK!CJ122/$B$2</f>
        <v>4.5357142857142856</v>
      </c>
      <c r="BL123">
        <f>SYSCLK!CK122/$B$2</f>
        <v>4.2333333333333334</v>
      </c>
      <c r="BM123">
        <f>SYSCLK!CL122/$B$2</f>
        <v>3.96875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register_한솔55"</vt:lpstr>
      <vt:lpstr>mclk_dual</vt:lpstr>
      <vt:lpstr>line delay</vt:lpstr>
      <vt:lpstr>SYSCLK</vt:lpstr>
      <vt:lpstr>MCO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Jinsu Yun</dc:creator>
  <cp:lastModifiedBy>이 준영</cp:lastModifiedBy>
  <dcterms:created xsi:type="dcterms:W3CDTF">2022-11-14T07:10:11Z</dcterms:created>
  <dcterms:modified xsi:type="dcterms:W3CDTF">2024-11-18T08:58:22Z</dcterms:modified>
</cp:coreProperties>
</file>