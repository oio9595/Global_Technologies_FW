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ing\01_Project\Jig\CQIC_JIG\24_hansol_analyze\Docs\"/>
    </mc:Choice>
  </mc:AlternateContent>
  <xr:revisionPtr revIDLastSave="0" documentId="13_ncr:1_{AE90B437-108A-4AE7-814F-41146AFBB919}" xr6:coauthVersionLast="47" xr6:coauthVersionMax="47" xr10:uidLastSave="{00000000-0000-0000-0000-000000000000}"/>
  <bookViews>
    <workbookView xWindow="43080" yWindow="4095" windowWidth="29040" windowHeight="15720" firstSheet="2" activeTab="5" xr2:uid="{43CCDC16-D249-4882-9F2E-57905317DC36}"/>
  </bookViews>
  <sheets>
    <sheet name="240828 입수시료" sheetId="1" r:id="rId1"/>
    <sheet name="240906 입수시료_vref_4095" sheetId="2" r:id="rId2"/>
    <sheet name="240906 입수시료_vref_3450" sheetId="3" r:id="rId3"/>
    <sheet name="240906 입수시료_vref_with상무님" sheetId="4" r:id="rId4"/>
    <sheet name="Sheet2" sheetId="5" r:id="rId5"/>
    <sheet name="241120 입수시료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2" i="5" l="1"/>
  <c r="D4" i="5"/>
  <c r="D8" i="5" s="1"/>
  <c r="B13" i="5"/>
  <c r="B12" i="5"/>
  <c r="H5" i="5"/>
  <c r="H8" i="5"/>
  <c r="H9" i="5"/>
  <c r="H6" i="5"/>
  <c r="H4" i="5"/>
  <c r="D3" i="5"/>
  <c r="D2" i="5"/>
  <c r="D9" i="5" l="1"/>
  <c r="E9" i="5" s="1"/>
</calcChain>
</file>

<file path=xl/sharedStrings.xml><?xml version="1.0" encoding="utf-8"?>
<sst xmlns="http://schemas.openxmlformats.org/spreadsheetml/2006/main" count="543" uniqueCount="180">
  <si>
    <t>일부 ch 37 ~ 38</t>
    <phoneticPr fontId="1" type="noConversion"/>
  </si>
  <si>
    <t>1ch 39mA (36~38)</t>
    <phoneticPr fontId="1" type="noConversion"/>
  </si>
  <si>
    <t>일부 ch 38, 일부 ch 27 ~ 34</t>
    <phoneticPr fontId="1" type="noConversion"/>
  </si>
  <si>
    <t>일부 ch 36 ~ 38</t>
    <phoneticPr fontId="1" type="noConversion"/>
  </si>
  <si>
    <t>일부 ch 38</t>
    <phoneticPr fontId="1" type="noConversion"/>
  </si>
  <si>
    <t>NDF</t>
    <phoneticPr fontId="1" type="noConversion"/>
  </si>
  <si>
    <t>전 ch 36~37, 1ch 0138</t>
    <phoneticPr fontId="1" type="noConversion"/>
  </si>
  <si>
    <t>전 ch 37, 1ch 0</t>
    <phoneticPr fontId="1" type="noConversion"/>
  </si>
  <si>
    <t>일부 ch 37~38</t>
    <phoneticPr fontId="1" type="noConversion"/>
  </si>
  <si>
    <t>1ch 39mA</t>
    <phoneticPr fontId="1" type="noConversion"/>
  </si>
  <si>
    <t>일부 ch 37~38, 일부 ch 34~35</t>
    <phoneticPr fontId="1" type="noConversion"/>
  </si>
  <si>
    <t>일부 ch 36~37</t>
    <phoneticPr fontId="1" type="noConversion"/>
  </si>
  <si>
    <t>1ch 39</t>
    <phoneticPr fontId="1" type="noConversion"/>
  </si>
  <si>
    <t>일부 ch 36~38</t>
    <phoneticPr fontId="1" type="noConversion"/>
  </si>
  <si>
    <t>전 ch 36~38, 1ch 0</t>
    <phoneticPr fontId="1" type="noConversion"/>
  </si>
  <si>
    <t>1ch 0, 일부 ch 36~38</t>
    <phoneticPr fontId="1" type="noConversion"/>
  </si>
  <si>
    <t>전 ch 35~37, 일부 ch 37~38</t>
    <phoneticPr fontId="1" type="noConversion"/>
  </si>
  <si>
    <t>일부 ch 37~38, 전 ch 36~37</t>
    <phoneticPr fontId="1" type="noConversion"/>
  </si>
  <si>
    <t>일부 ch 0, 일부 ch 38</t>
    <phoneticPr fontId="1" type="noConversion"/>
  </si>
  <si>
    <t>1,2ch 39정상</t>
    <phoneticPr fontId="1" type="noConversion"/>
  </si>
  <si>
    <t>4ch 39정상</t>
    <phoneticPr fontId="1" type="noConversion"/>
  </si>
  <si>
    <t>전 ch 36~37, 일부 0</t>
    <phoneticPr fontId="1" type="noConversion"/>
  </si>
  <si>
    <t>3개 ch 39 정상</t>
    <phoneticPr fontId="1" type="noConversion"/>
  </si>
  <si>
    <t>일부 ch 0</t>
    <phoneticPr fontId="1" type="noConversion"/>
  </si>
  <si>
    <t>전 ch 37~38, 일부 ch 33</t>
    <phoneticPr fontId="1" type="noConversion"/>
  </si>
  <si>
    <t>X</t>
    <phoneticPr fontId="1" type="noConversion"/>
  </si>
  <si>
    <t>전 ch 35~37, 일부 ch 38</t>
    <phoneticPr fontId="1" type="noConversion"/>
  </si>
  <si>
    <t>No</t>
    <phoneticPr fontId="1" type="noConversion"/>
  </si>
  <si>
    <t>IC</t>
    <phoneticPr fontId="1" type="noConversion"/>
  </si>
  <si>
    <t>한솔</t>
    <phoneticPr fontId="1" type="noConversion"/>
  </si>
  <si>
    <t>GT</t>
    <phoneticPr fontId="1" type="noConversion"/>
  </si>
  <si>
    <t>4V</t>
    <phoneticPr fontId="1" type="noConversion"/>
  </si>
  <si>
    <t>0V</t>
    <phoneticPr fontId="1" type="noConversion"/>
  </si>
  <si>
    <t>4.1V</t>
    <phoneticPr fontId="1" type="noConversion"/>
  </si>
  <si>
    <t>패드 떨어짐</t>
    <phoneticPr fontId="1" type="noConversion"/>
  </si>
  <si>
    <t>전 CH 36 ~38</t>
  </si>
  <si>
    <t>일부 CH 38</t>
  </si>
  <si>
    <t>전 CH 37 ~ 38</t>
  </si>
  <si>
    <t>전 CH 35 ~ 36</t>
  </si>
  <si>
    <t>전 CH 36 ~ 38</t>
  </si>
  <si>
    <t>전 CH 36 ~ 37</t>
  </si>
  <si>
    <t>일부 CH 37, 전 CH 37</t>
  </si>
  <si>
    <t>일부 CH 37 ~ 38</t>
  </si>
  <si>
    <t>1개 CH 39 정상</t>
  </si>
  <si>
    <t>일부 CH 27, 1 CH 0</t>
  </si>
  <si>
    <t>전 CH 37</t>
  </si>
  <si>
    <t>일부 CH 34 ~ 35, 전 CH 21 ~ 27</t>
  </si>
  <si>
    <t>일부 CH 37 ~ 38(전 CH)</t>
  </si>
  <si>
    <t>5개 CH 35</t>
  </si>
  <si>
    <t>전 CH 37(일부)</t>
  </si>
  <si>
    <t>정상, 전 CH 36 ~ 38</t>
  </si>
  <si>
    <t>5개 CH 33 ~ 34, 1개 CH 39 정상</t>
  </si>
  <si>
    <t>1개 CH 38, 일부 CH 37 ~ 38</t>
  </si>
  <si>
    <t>2개 CH 0, 일부 CH 37 ~ 38</t>
  </si>
  <si>
    <t>일부 CH 0</t>
  </si>
  <si>
    <t>일부 CH 30 1개 CH 0</t>
  </si>
  <si>
    <t>일부 CH 13, 38, 19</t>
  </si>
  <si>
    <t>4.9V</t>
    <phoneticPr fontId="1" type="noConversion"/>
  </si>
  <si>
    <t>전CH 35 ~ 37</t>
  </si>
  <si>
    <t>일부 50% Dimming</t>
  </si>
  <si>
    <t>전 CH 36</t>
  </si>
  <si>
    <t>3CH 39 정상</t>
  </si>
  <si>
    <t>전 CH 35 ~ 37</t>
  </si>
  <si>
    <t>1CH 39 정상</t>
  </si>
  <si>
    <t>일부CH 38</t>
  </si>
  <si>
    <t>일부 CH 0, 일부 CH 38</t>
  </si>
  <si>
    <t>일부 CH 37 ~ 38, NDF</t>
  </si>
  <si>
    <t>일부 CH 37 ~ 38, 전 CH 36</t>
  </si>
  <si>
    <t>전 CH 35 ~ 36, 정상</t>
  </si>
  <si>
    <t>일부 CH 38, 일부 CH 0</t>
  </si>
  <si>
    <t>일부 CH 0, 전 CH 36 ~ 37</t>
  </si>
  <si>
    <t>전 CH 36 ~ 37, 정상</t>
  </si>
  <si>
    <t>전 CH 37, 3CH 39 정상</t>
  </si>
  <si>
    <t>1CH 0, 전 CH 35 ~ 37</t>
  </si>
  <si>
    <t>전 CH 36 ~ 38, 1CH 24</t>
  </si>
  <si>
    <t>2CH 39 정상, 나머지 37 ~ 38</t>
  </si>
  <si>
    <t>1CH 39 정상, 나머지 38</t>
  </si>
  <si>
    <t>전 CH 36 ~ 37, NDF</t>
  </si>
  <si>
    <t>1CH 39 정상, 나머지 37 ~ 38</t>
  </si>
  <si>
    <t>전 CH 28 ~ 30, 전 CH 36 ~ 38, 
일부 CH 37 ~ 38</t>
    <phoneticPr fontId="1" type="noConversion"/>
  </si>
  <si>
    <t>Note</t>
    <phoneticPr fontId="1" type="noConversion"/>
  </si>
  <si>
    <t>10개 CH 24 나머지 0, 
일부 CH 36 ~ 38</t>
    <phoneticPr fontId="1" type="noConversion"/>
  </si>
  <si>
    <t>1CH 39 정상, 나머지 37 ~ 38, "</t>
    <phoneticPr fontId="1" type="noConversion"/>
  </si>
  <si>
    <t>0695
CH10~50 HIGH</t>
    <phoneticPr fontId="1" type="noConversion"/>
  </si>
  <si>
    <t>1021
CH41 = 0mA</t>
    <phoneticPr fontId="1" type="noConversion"/>
  </si>
  <si>
    <t>1505
CH99 = 0mA</t>
    <phoneticPr fontId="1" type="noConversion"/>
  </si>
  <si>
    <t>1999
50% CH38 NG</t>
    <phoneticPr fontId="1" type="noConversion"/>
  </si>
  <si>
    <t>0990
CH50 = 26mA</t>
    <phoneticPr fontId="1" type="noConversion"/>
  </si>
  <si>
    <t>1948
50% CH84 NG</t>
    <phoneticPr fontId="1" type="noConversion"/>
  </si>
  <si>
    <t>0004
??</t>
    <phoneticPr fontId="1" type="noConversion"/>
  </si>
  <si>
    <t>1051
CH91, 92, 94 = 14mA</t>
    <phoneticPr fontId="1" type="noConversion"/>
  </si>
  <si>
    <t>0925
ALL LOW</t>
    <phoneticPr fontId="1" type="noConversion"/>
  </si>
  <si>
    <t>7738
ALL HIGH</t>
    <phoneticPr fontId="1" type="noConversion"/>
  </si>
  <si>
    <t>1766
ALL LOW</t>
    <phoneticPr fontId="1" type="noConversion"/>
  </si>
  <si>
    <t>0211
ALL LOW</t>
    <phoneticPr fontId="1" type="noConversion"/>
  </si>
  <si>
    <t>1901
ALL LOW</t>
    <phoneticPr fontId="1" type="noConversion"/>
  </si>
  <si>
    <t>0206
ALL LOW</t>
    <phoneticPr fontId="1" type="noConversion"/>
  </si>
  <si>
    <t>0070
ALL LOW</t>
    <phoneticPr fontId="1" type="noConversion"/>
  </si>
  <si>
    <t>0724
ALL LOW</t>
    <phoneticPr fontId="1" type="noConversion"/>
  </si>
  <si>
    <t>7076
ALL LOW</t>
    <phoneticPr fontId="1" type="noConversion"/>
  </si>
  <si>
    <t>1681
ALL LOW</t>
    <phoneticPr fontId="1" type="noConversion"/>
  </si>
  <si>
    <t>2002
ALL LOW</t>
    <phoneticPr fontId="1" type="noConversion"/>
  </si>
  <si>
    <t>7204
ALL LOW</t>
    <phoneticPr fontId="1" type="noConversion"/>
  </si>
  <si>
    <t>0214
ALL LOW</t>
    <phoneticPr fontId="1" type="noConversion"/>
  </si>
  <si>
    <t>0703
ALL LOW</t>
    <phoneticPr fontId="1" type="noConversion"/>
  </si>
  <si>
    <t>1558
CH100 = 26mA</t>
    <phoneticPr fontId="1" type="noConversion"/>
  </si>
  <si>
    <t>mode_1</t>
    <phoneticPr fontId="1" type="noConversion"/>
  </si>
  <si>
    <t>mode_2</t>
    <phoneticPr fontId="1" type="noConversion"/>
  </si>
  <si>
    <t>vref</t>
    <phoneticPr fontId="1" type="noConversion"/>
  </si>
  <si>
    <t>ado_1</t>
    <phoneticPr fontId="1" type="noConversion"/>
  </si>
  <si>
    <t>ado_2</t>
    <phoneticPr fontId="1" type="noConversion"/>
  </si>
  <si>
    <t>ado_3</t>
  </si>
  <si>
    <t>ado_4</t>
  </si>
  <si>
    <t>ado_5</t>
  </si>
  <si>
    <t>ado_6</t>
  </si>
  <si>
    <t>ado_7</t>
  </si>
  <si>
    <t>ado_8</t>
  </si>
  <si>
    <t>ado_9</t>
  </si>
  <si>
    <t>ado_10</t>
  </si>
  <si>
    <t>ado_11</t>
  </si>
  <si>
    <t>ado_12</t>
  </si>
  <si>
    <t>ado_13</t>
  </si>
  <si>
    <t>ado_14</t>
  </si>
  <si>
    <t>ado_15</t>
  </si>
  <si>
    <t>ado_16</t>
  </si>
  <si>
    <t>ado_17</t>
  </si>
  <si>
    <t>ado_18</t>
  </si>
  <si>
    <t>ado_19</t>
  </si>
  <si>
    <t>ado_20</t>
  </si>
  <si>
    <t>ado_21</t>
  </si>
  <si>
    <t>ado_22</t>
  </si>
  <si>
    <t>ado_23</t>
  </si>
  <si>
    <t>ado_24</t>
  </si>
  <si>
    <t>all 0</t>
    <phoneticPr fontId="1" type="noConversion"/>
  </si>
  <si>
    <t>1
otp</t>
    <phoneticPr fontId="1" type="noConversion"/>
  </si>
  <si>
    <t>11
otp</t>
    <phoneticPr fontId="1" type="noConversion"/>
  </si>
  <si>
    <t>13
otp</t>
    <phoneticPr fontId="1" type="noConversion"/>
  </si>
  <si>
    <t>14
otp</t>
    <phoneticPr fontId="1" type="noConversion"/>
  </si>
  <si>
    <t>16
otp</t>
    <phoneticPr fontId="1" type="noConversion"/>
  </si>
  <si>
    <t>19
otp</t>
    <phoneticPr fontId="1" type="noConversion"/>
  </si>
  <si>
    <t>23
otp</t>
    <phoneticPr fontId="1" type="noConversion"/>
  </si>
  <si>
    <t>all0</t>
    <phoneticPr fontId="1" type="noConversion"/>
  </si>
  <si>
    <t>3..79</t>
    <phoneticPr fontId="1" type="noConversion"/>
  </si>
  <si>
    <t>재측정</t>
    <phoneticPr fontId="1" type="noConversion"/>
  </si>
  <si>
    <t>100hz, 128ea, sh=4ea, start1/2=1, sv_period, sh_period</t>
    <phoneticPr fontId="1" type="noConversion"/>
  </si>
  <si>
    <t>불량</t>
    <phoneticPr fontId="1" type="noConversion"/>
  </si>
  <si>
    <t>FT</t>
    <phoneticPr fontId="1" type="noConversion"/>
  </si>
  <si>
    <t>FT 개선(ANA0)</t>
    <phoneticPr fontId="1" type="noConversion"/>
  </si>
  <si>
    <t>FT 개선(ANA192)</t>
    <phoneticPr fontId="1" type="noConversion"/>
  </si>
  <si>
    <t>FT 개선(ANA1023)</t>
    <phoneticPr fontId="1" type="noConversion"/>
  </si>
  <si>
    <t>MHz</t>
    <phoneticPr fontId="1" type="noConversion"/>
  </si>
  <si>
    <t>mclk</t>
    <phoneticPr fontId="1" type="noConversion"/>
  </si>
  <si>
    <t>vsync</t>
    <phoneticPr fontId="1" type="noConversion"/>
  </si>
  <si>
    <t>Hz</t>
    <phoneticPr fontId="1" type="noConversion"/>
  </si>
  <si>
    <t>svsync_period</t>
    <phoneticPr fontId="1" type="noConversion"/>
  </si>
  <si>
    <t>shsync_period</t>
    <phoneticPr fontId="1" type="noConversion"/>
  </si>
  <si>
    <t>start1/2</t>
    <phoneticPr fontId="1" type="noConversion"/>
  </si>
  <si>
    <t>svsync_size</t>
    <phoneticPr fontId="1" type="noConversion"/>
  </si>
  <si>
    <t>shsync_size</t>
    <phoneticPr fontId="1" type="noConversion"/>
  </si>
  <si>
    <t>0x00</t>
    <phoneticPr fontId="1" type="noConversion"/>
  </si>
  <si>
    <t>0x01</t>
    <phoneticPr fontId="1" type="noConversion"/>
  </si>
  <si>
    <t>byte</t>
    <phoneticPr fontId="1" type="noConversion"/>
  </si>
  <si>
    <t>duty</t>
    <phoneticPr fontId="1" type="noConversion"/>
  </si>
  <si>
    <t>ldim</t>
    <phoneticPr fontId="1" type="noConversion"/>
  </si>
  <si>
    <t>16bit 기준</t>
    <phoneticPr fontId="1" type="noConversion"/>
  </si>
  <si>
    <t>ado 누락</t>
    <phoneticPr fontId="1" type="noConversion"/>
  </si>
  <si>
    <t>duty 32에서
ado 이상 출력</t>
    <phoneticPr fontId="1" type="noConversion"/>
  </si>
  <si>
    <t>duty 32/64에서 ado 이상 출력</t>
    <phoneticPr fontId="1" type="noConversion"/>
  </si>
  <si>
    <t>duty 64에서 ado 이상 출력 (0까지 안떨어짐)</t>
    <phoneticPr fontId="1" type="noConversion"/>
  </si>
  <si>
    <t>0710
CH 6 26mA</t>
    <phoneticPr fontId="1" type="noConversion"/>
  </si>
  <si>
    <t>0707
CH 6 26</t>
    <phoneticPr fontId="1" type="noConversion"/>
  </si>
  <si>
    <t>1099
CH51-55, 61-63, 41-45, 81-85, 91-95 0mA</t>
    <phoneticPr fontId="1" type="noConversion"/>
  </si>
  <si>
    <t>0903
ch 51-100 60mA</t>
    <phoneticPr fontId="1" type="noConversion"/>
  </si>
  <si>
    <t>0345</t>
    <phoneticPr fontId="1" type="noConversion"/>
  </si>
  <si>
    <t>1144
ch6-46, 7-47, 8-48 30mA</t>
    <phoneticPr fontId="1" type="noConversion"/>
  </si>
  <si>
    <t>0115
cas9001</t>
    <phoneticPr fontId="1" type="noConversion"/>
  </si>
  <si>
    <t>1678
odo even off ch53 2mA</t>
    <phoneticPr fontId="1" type="noConversion"/>
  </si>
  <si>
    <t>1591
odo even off ch49 2mA</t>
    <phoneticPr fontId="1" type="noConversion"/>
  </si>
  <si>
    <t>x</t>
    <phoneticPr fontId="1" type="noConversion"/>
  </si>
  <si>
    <t>0x30 ~ 0x40 번찌 까지만 값이 읽힘, 나머지는 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</si>
</sst>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1"/>
      <color rgb="FFFF0000"/>
      <name val="맑은 고딕"/>
      <family val="2"/>
      <charset val="129"/>
      <scheme val="minor"/>
    </font>
    <font>
      <sz val="10"/>
      <color rgb="FFFF0000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1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2" fillId="7" borderId="0" xfId="0" applyFont="1" applyFill="1" applyAlignment="1">
      <alignment horizontal="center" vertical="center"/>
    </xf>
    <xf numFmtId="0" fontId="3" fillId="0" borderId="0" xfId="0" applyFont="1">
      <alignment vertical="center"/>
    </xf>
    <xf numFmtId="0" fontId="5" fillId="0" borderId="0" xfId="0" applyFont="1">
      <alignment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 wrapText="1"/>
    </xf>
    <xf numFmtId="0" fontId="2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left" vertical="center"/>
    </xf>
    <xf numFmtId="49" fontId="2" fillId="0" borderId="1" xfId="0" applyNumberFormat="1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0C9B49-F9B8-4C8B-84D4-54307AE0CCEC}">
  <dimension ref="A1:AD172"/>
  <sheetViews>
    <sheetView zoomScale="55" zoomScaleNormal="55" workbookViewId="0"/>
  </sheetViews>
  <sheetFormatPr defaultColWidth="8.5625" defaultRowHeight="15.75" x14ac:dyDescent="0.6"/>
  <cols>
    <col min="1" max="1" width="4" style="2" bestFit="1" customWidth="1"/>
    <col min="2" max="2" width="5.8125" style="2" customWidth="1"/>
    <col min="3" max="3" width="29.0625" style="2" customWidth="1"/>
    <col min="4" max="4" width="11.5625" style="2" customWidth="1"/>
    <col min="5" max="5" width="8.5625" style="2"/>
    <col min="6" max="6" width="4" style="2" customWidth="1"/>
    <col min="7" max="7" width="5.6875" style="2" customWidth="1"/>
    <col min="8" max="8" width="29.0625" style="2" customWidth="1"/>
    <col min="9" max="9" width="11.5" style="2" customWidth="1"/>
    <col min="10" max="10" width="8.5625" style="2"/>
    <col min="11" max="11" width="4" style="2" customWidth="1"/>
    <col min="12" max="12" width="5.8125" style="2" customWidth="1"/>
    <col min="13" max="13" width="29.0625" style="2" customWidth="1"/>
    <col min="14" max="14" width="11.5625" style="2" customWidth="1"/>
    <col min="15" max="15" width="8.5625" style="2"/>
    <col min="16" max="16" width="4" style="2" customWidth="1"/>
    <col min="17" max="17" width="5.8125" style="2" customWidth="1"/>
    <col min="18" max="18" width="29.0625" style="2" customWidth="1"/>
    <col min="19" max="19" width="11.5625" style="2" customWidth="1"/>
    <col min="20" max="20" width="8.5625" style="2"/>
    <col min="21" max="21" width="4" style="2" bestFit="1" customWidth="1"/>
    <col min="22" max="22" width="5.8125" style="2" customWidth="1"/>
    <col min="23" max="23" width="29.0625" style="2" customWidth="1"/>
    <col min="24" max="24" width="11.5625" style="2" customWidth="1"/>
    <col min="25" max="25" width="8.5625" style="2"/>
    <col min="26" max="26" width="4" style="2" customWidth="1"/>
    <col min="27" max="27" width="5.6875" style="2" customWidth="1"/>
    <col min="28" max="28" width="29.0625" style="2" customWidth="1"/>
    <col min="29" max="29" width="11.5" style="2" customWidth="1"/>
    <col min="30" max="16384" width="8.5625" style="2"/>
  </cols>
  <sheetData>
    <row r="1" spans="1:30" x14ac:dyDescent="0.6">
      <c r="A1" s="1" t="s">
        <v>27</v>
      </c>
      <c r="B1" s="1" t="s">
        <v>28</v>
      </c>
      <c r="C1" s="1" t="s">
        <v>29</v>
      </c>
      <c r="D1" s="1" t="s">
        <v>30</v>
      </c>
      <c r="E1" s="1" t="s">
        <v>80</v>
      </c>
      <c r="F1" s="1" t="s">
        <v>27</v>
      </c>
      <c r="G1" s="1" t="s">
        <v>28</v>
      </c>
      <c r="H1" s="1" t="s">
        <v>29</v>
      </c>
      <c r="I1" s="1" t="s">
        <v>30</v>
      </c>
      <c r="J1" s="1" t="s">
        <v>80</v>
      </c>
      <c r="K1" s="1" t="s">
        <v>27</v>
      </c>
      <c r="L1" s="1" t="s">
        <v>28</v>
      </c>
      <c r="M1" s="1" t="s">
        <v>29</v>
      </c>
      <c r="N1" s="1" t="s">
        <v>30</v>
      </c>
      <c r="O1" s="1" t="s">
        <v>80</v>
      </c>
      <c r="P1" s="1" t="s">
        <v>27</v>
      </c>
      <c r="Q1" s="1" t="s">
        <v>28</v>
      </c>
      <c r="R1" s="1" t="s">
        <v>29</v>
      </c>
      <c r="S1" s="1" t="s">
        <v>30</v>
      </c>
      <c r="T1" s="1" t="s">
        <v>80</v>
      </c>
      <c r="U1" s="1" t="s">
        <v>27</v>
      </c>
      <c r="V1" s="1" t="s">
        <v>28</v>
      </c>
      <c r="W1" s="1" t="s">
        <v>29</v>
      </c>
      <c r="X1" s="1" t="s">
        <v>30</v>
      </c>
      <c r="Y1" s="1" t="s">
        <v>80</v>
      </c>
      <c r="Z1" s="1" t="s">
        <v>27</v>
      </c>
      <c r="AA1" s="1" t="s">
        <v>28</v>
      </c>
      <c r="AB1" s="1" t="s">
        <v>29</v>
      </c>
      <c r="AC1" s="1" t="s">
        <v>30</v>
      </c>
      <c r="AD1" s="1" t="s">
        <v>80</v>
      </c>
    </row>
    <row r="2" spans="1:30" ht="35.450000000000003" customHeight="1" x14ac:dyDescent="0.6">
      <c r="A2" s="3">
        <v>1</v>
      </c>
      <c r="B2" s="3"/>
      <c r="C2" s="3" t="s">
        <v>0</v>
      </c>
      <c r="D2" s="3"/>
      <c r="E2" s="3"/>
      <c r="F2" s="3">
        <v>31</v>
      </c>
      <c r="G2" s="3"/>
      <c r="H2" s="3" t="s">
        <v>8</v>
      </c>
      <c r="I2" s="3"/>
      <c r="J2" s="3"/>
      <c r="K2" s="3">
        <v>61</v>
      </c>
      <c r="L2" s="3"/>
      <c r="M2" s="3" t="s">
        <v>8</v>
      </c>
      <c r="N2" s="3"/>
      <c r="O2" s="3"/>
      <c r="P2" s="3">
        <v>91</v>
      </c>
      <c r="Q2" s="3"/>
      <c r="R2" s="3" t="s">
        <v>44</v>
      </c>
      <c r="S2" s="3"/>
      <c r="T2" s="3"/>
      <c r="U2" s="3">
        <v>121</v>
      </c>
      <c r="V2" s="3"/>
      <c r="W2" s="4" t="s">
        <v>79</v>
      </c>
      <c r="X2" s="3" t="s">
        <v>34</v>
      </c>
      <c r="Y2" s="3"/>
      <c r="Z2" s="3">
        <v>151</v>
      </c>
      <c r="AA2" s="3"/>
      <c r="AB2" s="3" t="s">
        <v>42</v>
      </c>
      <c r="AC2" s="3"/>
      <c r="AD2" s="3"/>
    </row>
    <row r="3" spans="1:30" ht="35.450000000000003" customHeight="1" x14ac:dyDescent="0.6">
      <c r="A3" s="3">
        <v>2</v>
      </c>
      <c r="B3" s="3"/>
      <c r="C3" s="3" t="s">
        <v>0</v>
      </c>
      <c r="D3" s="3"/>
      <c r="E3" s="3"/>
      <c r="F3" s="3">
        <v>32</v>
      </c>
      <c r="G3" s="3"/>
      <c r="H3" s="3" t="s">
        <v>9</v>
      </c>
      <c r="I3" s="3"/>
      <c r="J3" s="3"/>
      <c r="K3" s="3">
        <v>62</v>
      </c>
      <c r="L3" s="3"/>
      <c r="M3" s="3" t="s">
        <v>8</v>
      </c>
      <c r="N3" s="3"/>
      <c r="O3" s="3"/>
      <c r="P3" s="3">
        <v>92</v>
      </c>
      <c r="Q3" s="3"/>
      <c r="R3" s="3" t="s">
        <v>36</v>
      </c>
      <c r="S3" s="3"/>
      <c r="T3" s="3"/>
      <c r="U3" s="3">
        <v>122</v>
      </c>
      <c r="V3" s="3"/>
      <c r="W3" s="3" t="s">
        <v>58</v>
      </c>
      <c r="X3" s="3"/>
      <c r="Y3" s="3"/>
      <c r="Z3" s="3">
        <v>152</v>
      </c>
      <c r="AA3" s="3"/>
      <c r="AB3" s="3" t="s">
        <v>42</v>
      </c>
      <c r="AC3" s="3"/>
      <c r="AD3" s="3"/>
    </row>
    <row r="4" spans="1:30" ht="35.450000000000003" customHeight="1" x14ac:dyDescent="0.6">
      <c r="A4" s="3">
        <v>3</v>
      </c>
      <c r="B4" s="3"/>
      <c r="C4" s="3" t="s">
        <v>0</v>
      </c>
      <c r="D4" s="3"/>
      <c r="E4" s="3"/>
      <c r="F4" s="3">
        <v>33</v>
      </c>
      <c r="G4" s="3"/>
      <c r="H4" s="3" t="s">
        <v>10</v>
      </c>
      <c r="I4" s="3"/>
      <c r="J4" s="3"/>
      <c r="K4" s="3">
        <v>63</v>
      </c>
      <c r="L4" s="3"/>
      <c r="M4" s="3" t="s">
        <v>7</v>
      </c>
      <c r="N4" s="3"/>
      <c r="O4" s="3"/>
      <c r="P4" s="3">
        <v>93</v>
      </c>
      <c r="Q4" s="3"/>
      <c r="R4" s="3" t="s">
        <v>45</v>
      </c>
      <c r="S4" s="3"/>
      <c r="T4" s="3"/>
      <c r="U4" s="3">
        <v>123</v>
      </c>
      <c r="V4" s="3"/>
      <c r="W4" s="3" t="s">
        <v>42</v>
      </c>
      <c r="X4" s="3"/>
      <c r="Y4" s="3"/>
      <c r="Z4" s="3">
        <v>153</v>
      </c>
      <c r="AA4" s="3"/>
      <c r="AB4" s="3" t="s">
        <v>62</v>
      </c>
      <c r="AC4" s="3"/>
      <c r="AD4" s="3"/>
    </row>
    <row r="5" spans="1:30" ht="35.450000000000003" customHeight="1" x14ac:dyDescent="0.6">
      <c r="A5" s="3">
        <v>4</v>
      </c>
      <c r="B5" s="3"/>
      <c r="C5" s="3" t="s">
        <v>0</v>
      </c>
      <c r="D5" s="3"/>
      <c r="E5" s="3"/>
      <c r="F5" s="3">
        <v>34</v>
      </c>
      <c r="G5" s="3"/>
      <c r="H5" s="3" t="s">
        <v>8</v>
      </c>
      <c r="I5" s="3"/>
      <c r="J5" s="3"/>
      <c r="K5" s="3">
        <v>64</v>
      </c>
      <c r="L5" s="3"/>
      <c r="M5" s="3"/>
      <c r="N5" s="3"/>
      <c r="O5" s="3"/>
      <c r="P5" s="3">
        <v>94</v>
      </c>
      <c r="Q5" s="3"/>
      <c r="R5" s="3" t="s">
        <v>39</v>
      </c>
      <c r="S5" s="3"/>
      <c r="T5" s="3"/>
      <c r="U5" s="3">
        <v>124</v>
      </c>
      <c r="V5" s="3"/>
      <c r="W5" s="3" t="s">
        <v>40</v>
      </c>
      <c r="X5" s="3"/>
      <c r="Y5" s="3"/>
      <c r="Z5" s="3">
        <v>154</v>
      </c>
      <c r="AA5" s="3"/>
      <c r="AB5" s="3" t="s">
        <v>37</v>
      </c>
      <c r="AC5" s="3"/>
      <c r="AD5" s="3"/>
    </row>
    <row r="6" spans="1:30" ht="35.450000000000003" customHeight="1" x14ac:dyDescent="0.6">
      <c r="A6" s="3">
        <v>5</v>
      </c>
      <c r="B6" s="3"/>
      <c r="C6" s="3" t="s">
        <v>0</v>
      </c>
      <c r="D6" s="3" t="s">
        <v>31</v>
      </c>
      <c r="E6" s="3"/>
      <c r="F6" s="3">
        <v>35</v>
      </c>
      <c r="G6" s="3"/>
      <c r="H6" s="3" t="s">
        <v>11</v>
      </c>
      <c r="I6" s="3"/>
      <c r="J6" s="3"/>
      <c r="K6" s="3">
        <v>65</v>
      </c>
      <c r="L6" s="3"/>
      <c r="M6" s="3" t="s">
        <v>8</v>
      </c>
      <c r="N6" s="3" t="s">
        <v>31</v>
      </c>
      <c r="O6" s="3"/>
      <c r="P6" s="3">
        <v>95</v>
      </c>
      <c r="Q6" s="3"/>
      <c r="R6" s="3" t="s">
        <v>46</v>
      </c>
      <c r="S6" s="3"/>
      <c r="T6" s="3"/>
      <c r="U6" s="3">
        <v>125</v>
      </c>
      <c r="V6" s="3"/>
      <c r="W6" s="3" t="s">
        <v>59</v>
      </c>
      <c r="X6" s="3"/>
      <c r="Y6" s="3"/>
      <c r="Z6" s="3">
        <v>155</v>
      </c>
      <c r="AA6" s="3"/>
      <c r="AB6" s="3" t="s">
        <v>70</v>
      </c>
      <c r="AC6" s="3"/>
      <c r="AD6" s="3"/>
    </row>
    <row r="7" spans="1:30" ht="35.450000000000003" customHeight="1" x14ac:dyDescent="0.6">
      <c r="A7" s="3">
        <v>6</v>
      </c>
      <c r="B7" s="3"/>
      <c r="C7" s="3" t="s">
        <v>0</v>
      </c>
      <c r="D7" s="3"/>
      <c r="E7" s="3"/>
      <c r="F7" s="3">
        <v>36</v>
      </c>
      <c r="G7" s="3"/>
      <c r="H7" s="3" t="s">
        <v>8</v>
      </c>
      <c r="I7" s="3"/>
      <c r="J7" s="3"/>
      <c r="K7" s="3">
        <v>66</v>
      </c>
      <c r="L7" s="3"/>
      <c r="M7" s="3" t="s">
        <v>22</v>
      </c>
      <c r="N7" s="3"/>
      <c r="O7" s="3"/>
      <c r="P7" s="3">
        <v>96</v>
      </c>
      <c r="Q7" s="3"/>
      <c r="R7" s="3" t="s">
        <v>40</v>
      </c>
      <c r="S7" s="3"/>
      <c r="T7" s="3"/>
      <c r="U7" s="3">
        <v>126</v>
      </c>
      <c r="V7" s="3"/>
      <c r="W7" s="3" t="s">
        <v>42</v>
      </c>
      <c r="X7" s="3"/>
      <c r="Y7" s="3"/>
      <c r="Z7" s="3">
        <v>156</v>
      </c>
      <c r="AA7" s="3"/>
      <c r="AB7" s="3" t="s">
        <v>36</v>
      </c>
      <c r="AC7" s="3"/>
      <c r="AD7" s="3"/>
    </row>
    <row r="8" spans="1:30" ht="35.450000000000003" customHeight="1" x14ac:dyDescent="0.6">
      <c r="A8" s="3">
        <v>7</v>
      </c>
      <c r="B8" s="3"/>
      <c r="C8" s="3" t="s">
        <v>0</v>
      </c>
      <c r="D8" s="3"/>
      <c r="E8" s="3"/>
      <c r="F8" s="3">
        <v>37</v>
      </c>
      <c r="G8" s="3"/>
      <c r="H8" s="3" t="s">
        <v>12</v>
      </c>
      <c r="I8" s="3"/>
      <c r="J8" s="3"/>
      <c r="K8" s="3">
        <v>67</v>
      </c>
      <c r="L8" s="3"/>
      <c r="M8" s="3" t="s">
        <v>23</v>
      </c>
      <c r="N8" s="3"/>
      <c r="O8" s="3"/>
      <c r="P8" s="3">
        <v>97</v>
      </c>
      <c r="Q8" s="3"/>
      <c r="R8" s="3" t="s">
        <v>40</v>
      </c>
      <c r="S8" s="3"/>
      <c r="T8" s="3"/>
      <c r="U8" s="3">
        <v>127</v>
      </c>
      <c r="V8" s="3"/>
      <c r="W8" s="3" t="s">
        <v>42</v>
      </c>
      <c r="X8" s="3"/>
      <c r="Y8" s="3"/>
      <c r="Z8" s="3">
        <v>157</v>
      </c>
      <c r="AA8" s="3"/>
      <c r="AB8" s="3" t="s">
        <v>71</v>
      </c>
      <c r="AC8" s="3"/>
      <c r="AD8" s="3"/>
    </row>
    <row r="9" spans="1:30" ht="35.450000000000003" customHeight="1" x14ac:dyDescent="0.6">
      <c r="A9" s="3">
        <v>8</v>
      </c>
      <c r="B9" s="3"/>
      <c r="C9" s="3" t="s">
        <v>0</v>
      </c>
      <c r="D9" s="3"/>
      <c r="E9" s="3"/>
      <c r="F9" s="3">
        <v>38</v>
      </c>
      <c r="G9" s="3"/>
      <c r="H9" s="3" t="s">
        <v>13</v>
      </c>
      <c r="I9" s="3"/>
      <c r="J9" s="3"/>
      <c r="K9" s="3">
        <v>68</v>
      </c>
      <c r="L9" s="3"/>
      <c r="M9" s="3" t="s">
        <v>22</v>
      </c>
      <c r="N9" s="3"/>
      <c r="O9" s="3"/>
      <c r="P9" s="3">
        <v>98</v>
      </c>
      <c r="Q9" s="3"/>
      <c r="R9" s="3" t="s">
        <v>42</v>
      </c>
      <c r="S9" s="3"/>
      <c r="T9" s="3"/>
      <c r="U9" s="3">
        <v>128</v>
      </c>
      <c r="V9" s="3"/>
      <c r="W9" s="3" t="s">
        <v>42</v>
      </c>
      <c r="X9" s="3"/>
      <c r="Y9" s="3"/>
      <c r="Z9" s="3">
        <v>158</v>
      </c>
      <c r="AA9" s="3"/>
      <c r="AB9" s="3" t="s">
        <v>72</v>
      </c>
      <c r="AC9" s="3"/>
      <c r="AD9" s="3"/>
    </row>
    <row r="10" spans="1:30" ht="35.450000000000003" customHeight="1" x14ac:dyDescent="0.6">
      <c r="A10" s="3">
        <v>9</v>
      </c>
      <c r="B10" s="3"/>
      <c r="C10" s="3" t="s">
        <v>0</v>
      </c>
      <c r="D10" s="3"/>
      <c r="E10" s="3"/>
      <c r="F10" s="3">
        <v>39</v>
      </c>
      <c r="G10" s="3"/>
      <c r="H10" s="3" t="s">
        <v>8</v>
      </c>
      <c r="I10" s="3"/>
      <c r="J10" s="3"/>
      <c r="K10" s="3">
        <v>69</v>
      </c>
      <c r="L10" s="3"/>
      <c r="M10" s="3" t="s">
        <v>8</v>
      </c>
      <c r="N10" s="3"/>
      <c r="O10" s="3"/>
      <c r="P10" s="3">
        <v>99</v>
      </c>
      <c r="Q10" s="3"/>
      <c r="R10" s="3" t="s">
        <v>38</v>
      </c>
      <c r="S10" s="3"/>
      <c r="T10" s="3"/>
      <c r="U10" s="3">
        <v>129</v>
      </c>
      <c r="V10" s="3"/>
      <c r="W10" s="3" t="s">
        <v>36</v>
      </c>
      <c r="X10" s="3"/>
      <c r="Y10" s="3"/>
      <c r="Z10" s="3">
        <v>159</v>
      </c>
      <c r="AA10" s="3"/>
      <c r="AB10" s="3" t="s">
        <v>73</v>
      </c>
      <c r="AC10" s="3"/>
      <c r="AD10" s="3"/>
    </row>
    <row r="11" spans="1:30" ht="35.450000000000003" customHeight="1" x14ac:dyDescent="0.6">
      <c r="A11" s="3">
        <v>10</v>
      </c>
      <c r="B11" s="3"/>
      <c r="C11" s="3" t="s">
        <v>0</v>
      </c>
      <c r="D11" s="3" t="s">
        <v>32</v>
      </c>
      <c r="E11" s="3"/>
      <c r="F11" s="3">
        <v>40</v>
      </c>
      <c r="G11" s="3"/>
      <c r="H11" s="3" t="s">
        <v>25</v>
      </c>
      <c r="I11" s="3"/>
      <c r="J11" s="3"/>
      <c r="K11" s="3">
        <v>70</v>
      </c>
      <c r="L11" s="3"/>
      <c r="M11" s="3" t="s">
        <v>8</v>
      </c>
      <c r="N11" s="3"/>
      <c r="O11" s="3"/>
      <c r="P11" s="3">
        <v>100</v>
      </c>
      <c r="Q11" s="3"/>
      <c r="R11" s="3" t="s">
        <v>37</v>
      </c>
      <c r="S11" s="3"/>
      <c r="T11" s="3"/>
      <c r="U11" s="3">
        <v>130</v>
      </c>
      <c r="V11" s="3"/>
      <c r="W11" s="3" t="s">
        <v>45</v>
      </c>
      <c r="X11" s="3"/>
      <c r="Y11" s="3"/>
      <c r="Z11" s="3">
        <v>160</v>
      </c>
      <c r="AA11" s="3"/>
      <c r="AB11" s="3" t="s">
        <v>45</v>
      </c>
      <c r="AC11" s="3"/>
      <c r="AD11" s="3"/>
    </row>
    <row r="12" spans="1:30" ht="35.450000000000003" customHeight="1" x14ac:dyDescent="0.6">
      <c r="A12" s="3">
        <v>11</v>
      </c>
      <c r="B12" s="3"/>
      <c r="C12" s="3" t="s">
        <v>0</v>
      </c>
      <c r="D12" s="3"/>
      <c r="E12" s="3"/>
      <c r="F12" s="3">
        <v>41</v>
      </c>
      <c r="G12" s="3"/>
      <c r="H12" s="3" t="s">
        <v>14</v>
      </c>
      <c r="I12" s="3"/>
      <c r="J12" s="3"/>
      <c r="K12" s="3">
        <v>71</v>
      </c>
      <c r="L12" s="3"/>
      <c r="M12" s="3" t="s">
        <v>24</v>
      </c>
      <c r="N12" s="3"/>
      <c r="O12" s="3"/>
      <c r="P12" s="3">
        <v>101</v>
      </c>
      <c r="Q12" s="3"/>
      <c r="R12" s="3" t="s">
        <v>40</v>
      </c>
      <c r="S12" s="3"/>
      <c r="T12" s="3"/>
      <c r="U12" s="3">
        <v>131</v>
      </c>
      <c r="V12" s="3"/>
      <c r="W12" s="3" t="s">
        <v>37</v>
      </c>
      <c r="X12" s="3"/>
      <c r="Y12" s="3"/>
      <c r="Z12" s="3">
        <v>161</v>
      </c>
      <c r="AA12" s="3"/>
      <c r="AB12" s="3" t="s">
        <v>74</v>
      </c>
      <c r="AC12" s="3"/>
      <c r="AD12" s="3"/>
    </row>
    <row r="13" spans="1:30" ht="35.450000000000003" customHeight="1" x14ac:dyDescent="0.6">
      <c r="A13" s="3">
        <v>12</v>
      </c>
      <c r="B13" s="3"/>
      <c r="C13" s="3" t="s">
        <v>0</v>
      </c>
      <c r="D13" s="3"/>
      <c r="E13" s="3"/>
      <c r="F13" s="3">
        <v>42</v>
      </c>
      <c r="G13" s="3"/>
      <c r="H13" s="3" t="s">
        <v>15</v>
      </c>
      <c r="I13" s="3"/>
      <c r="J13" s="3"/>
      <c r="K13" s="3">
        <v>72</v>
      </c>
      <c r="L13" s="3"/>
      <c r="M13" s="3" t="s">
        <v>35</v>
      </c>
      <c r="N13" s="3"/>
      <c r="O13" s="3"/>
      <c r="P13" s="3">
        <v>102</v>
      </c>
      <c r="Q13" s="3"/>
      <c r="R13" s="3" t="s">
        <v>47</v>
      </c>
      <c r="S13" s="3"/>
      <c r="T13" s="3"/>
      <c r="U13" s="3">
        <v>132</v>
      </c>
      <c r="V13" s="3"/>
      <c r="W13" s="3" t="s">
        <v>60</v>
      </c>
      <c r="X13" s="3"/>
      <c r="Y13" s="3"/>
      <c r="Z13" s="3">
        <v>162</v>
      </c>
      <c r="AA13" s="3"/>
      <c r="AB13" s="3" t="s">
        <v>42</v>
      </c>
      <c r="AC13" s="3"/>
      <c r="AD13" s="3"/>
    </row>
    <row r="14" spans="1:30" ht="35.450000000000003" customHeight="1" x14ac:dyDescent="0.6">
      <c r="A14" s="3">
        <v>13</v>
      </c>
      <c r="B14" s="3"/>
      <c r="C14" s="3" t="s">
        <v>0</v>
      </c>
      <c r="D14" s="3" t="s">
        <v>33</v>
      </c>
      <c r="E14" s="3"/>
      <c r="F14" s="3">
        <v>43</v>
      </c>
      <c r="G14" s="3"/>
      <c r="H14" s="3" t="s">
        <v>16</v>
      </c>
      <c r="I14" s="3"/>
      <c r="J14" s="3"/>
      <c r="K14" s="3">
        <v>73</v>
      </c>
      <c r="L14" s="3"/>
      <c r="M14" s="3" t="s">
        <v>36</v>
      </c>
      <c r="N14" s="3"/>
      <c r="O14" s="3"/>
      <c r="P14" s="3">
        <v>103</v>
      </c>
      <c r="Q14" s="3"/>
      <c r="R14" s="3" t="s">
        <v>38</v>
      </c>
      <c r="S14" s="3"/>
      <c r="T14" s="3"/>
      <c r="U14" s="3">
        <v>133</v>
      </c>
      <c r="V14" s="3"/>
      <c r="W14" s="3" t="s">
        <v>36</v>
      </c>
      <c r="X14" s="3"/>
      <c r="Y14" s="3"/>
      <c r="Z14" s="3">
        <v>163</v>
      </c>
      <c r="AA14" s="3"/>
      <c r="AB14" s="3" t="s">
        <v>37</v>
      </c>
      <c r="AC14" s="3"/>
      <c r="AD14" s="3"/>
    </row>
    <row r="15" spans="1:30" ht="35.450000000000003" customHeight="1" x14ac:dyDescent="0.6">
      <c r="A15" s="3">
        <v>14</v>
      </c>
      <c r="B15" s="3"/>
      <c r="C15" s="3" t="s">
        <v>0</v>
      </c>
      <c r="D15" s="3"/>
      <c r="E15" s="3"/>
      <c r="F15" s="3">
        <v>44</v>
      </c>
      <c r="G15" s="3"/>
      <c r="H15" s="3" t="s">
        <v>8</v>
      </c>
      <c r="I15" s="3"/>
      <c r="J15" s="3"/>
      <c r="K15" s="3">
        <v>74</v>
      </c>
      <c r="L15" s="3"/>
      <c r="M15" s="3" t="s">
        <v>37</v>
      </c>
      <c r="N15" s="3"/>
      <c r="O15" s="3"/>
      <c r="P15" s="3">
        <v>104</v>
      </c>
      <c r="Q15" s="3"/>
      <c r="R15" s="3" t="s">
        <v>48</v>
      </c>
      <c r="S15" s="3"/>
      <c r="T15" s="3"/>
      <c r="U15" s="3">
        <v>134</v>
      </c>
      <c r="V15" s="3"/>
      <c r="W15" s="3" t="s">
        <v>36</v>
      </c>
      <c r="X15" s="3"/>
      <c r="Y15" s="3"/>
      <c r="Z15" s="3">
        <v>164</v>
      </c>
      <c r="AA15" s="3"/>
      <c r="AB15" s="3" t="s">
        <v>37</v>
      </c>
      <c r="AC15" s="3"/>
      <c r="AD15" s="3"/>
    </row>
    <row r="16" spans="1:30" ht="35.450000000000003" customHeight="1" x14ac:dyDescent="0.6">
      <c r="A16" s="3">
        <v>15</v>
      </c>
      <c r="B16" s="3"/>
      <c r="C16" s="3" t="s">
        <v>1</v>
      </c>
      <c r="D16" s="3"/>
      <c r="E16" s="3"/>
      <c r="F16" s="3">
        <v>45</v>
      </c>
      <c r="G16" s="3"/>
      <c r="H16" s="3" t="s">
        <v>8</v>
      </c>
      <c r="I16" s="3"/>
      <c r="J16" s="3"/>
      <c r="K16" s="3">
        <v>75</v>
      </c>
      <c r="L16" s="3"/>
      <c r="M16" s="3" t="s">
        <v>38</v>
      </c>
      <c r="N16" s="3"/>
      <c r="O16" s="3"/>
      <c r="P16" s="3">
        <v>105</v>
      </c>
      <c r="Q16" s="3"/>
      <c r="R16" s="3" t="s">
        <v>49</v>
      </c>
      <c r="S16" s="3"/>
      <c r="T16" s="3"/>
      <c r="U16" s="3">
        <v>135</v>
      </c>
      <c r="V16" s="3"/>
      <c r="W16" s="3" t="s">
        <v>61</v>
      </c>
      <c r="X16" s="3"/>
      <c r="Y16" s="3"/>
      <c r="Z16" s="3">
        <v>165</v>
      </c>
      <c r="AA16" s="3"/>
      <c r="AB16" s="3" t="s">
        <v>75</v>
      </c>
      <c r="AC16" s="3"/>
      <c r="AD16" s="3"/>
    </row>
    <row r="17" spans="1:30" ht="35.450000000000003" customHeight="1" x14ac:dyDescent="0.6">
      <c r="A17" s="3">
        <v>16</v>
      </c>
      <c r="B17" s="3"/>
      <c r="C17" s="3" t="s">
        <v>2</v>
      </c>
      <c r="D17" s="3"/>
      <c r="E17" s="3"/>
      <c r="F17" s="3">
        <v>46</v>
      </c>
      <c r="G17" s="3"/>
      <c r="H17" s="3" t="s">
        <v>17</v>
      </c>
      <c r="I17" s="3"/>
      <c r="J17" s="3"/>
      <c r="K17" s="3">
        <v>76</v>
      </c>
      <c r="L17" s="3"/>
      <c r="M17" s="3" t="s">
        <v>39</v>
      </c>
      <c r="N17" s="3"/>
      <c r="O17" s="3"/>
      <c r="P17" s="3">
        <v>106</v>
      </c>
      <c r="Q17" s="3"/>
      <c r="R17" s="3" t="s">
        <v>38</v>
      </c>
      <c r="S17" s="3"/>
      <c r="T17" s="3"/>
      <c r="U17" s="3">
        <v>136</v>
      </c>
      <c r="V17" s="3"/>
      <c r="W17" s="3" t="s">
        <v>62</v>
      </c>
      <c r="X17" s="3"/>
      <c r="Y17" s="3"/>
      <c r="Z17" s="3">
        <v>166</v>
      </c>
      <c r="AA17" s="3"/>
      <c r="AB17" s="3" t="s">
        <v>76</v>
      </c>
      <c r="AC17" s="3"/>
      <c r="AD17" s="3"/>
    </row>
    <row r="18" spans="1:30" ht="35.450000000000003" customHeight="1" x14ac:dyDescent="0.6">
      <c r="A18" s="3">
        <v>17</v>
      </c>
      <c r="B18" s="3"/>
      <c r="C18" s="3" t="s">
        <v>3</v>
      </c>
      <c r="D18" s="3"/>
      <c r="E18" s="3"/>
      <c r="F18" s="3">
        <v>47</v>
      </c>
      <c r="G18" s="3"/>
      <c r="H18" s="3" t="s">
        <v>8</v>
      </c>
      <c r="I18" s="3"/>
      <c r="J18" s="3"/>
      <c r="K18" s="3">
        <v>77</v>
      </c>
      <c r="L18" s="3"/>
      <c r="M18" s="3" t="s">
        <v>40</v>
      </c>
      <c r="N18" s="3"/>
      <c r="O18" s="3"/>
      <c r="P18" s="3">
        <v>107</v>
      </c>
      <c r="Q18" s="3"/>
      <c r="R18" s="3" t="s">
        <v>50</v>
      </c>
      <c r="S18" s="3"/>
      <c r="T18" s="3"/>
      <c r="U18" s="3">
        <v>137</v>
      </c>
      <c r="V18" s="3"/>
      <c r="W18" s="3" t="s">
        <v>63</v>
      </c>
      <c r="X18" s="3"/>
      <c r="Y18" s="3"/>
      <c r="Z18" s="3">
        <v>167</v>
      </c>
      <c r="AA18" s="3"/>
      <c r="AB18" s="3" t="s">
        <v>39</v>
      </c>
      <c r="AC18" s="3"/>
      <c r="AD18" s="3"/>
    </row>
    <row r="19" spans="1:30" ht="35.450000000000003" customHeight="1" x14ac:dyDescent="0.6">
      <c r="A19" s="3">
        <v>18</v>
      </c>
      <c r="B19" s="3"/>
      <c r="C19" s="3" t="s">
        <v>4</v>
      </c>
      <c r="D19" s="3"/>
      <c r="E19" s="3"/>
      <c r="F19" s="3">
        <v>48</v>
      </c>
      <c r="G19" s="3"/>
      <c r="H19" s="3" t="s">
        <v>18</v>
      </c>
      <c r="I19" s="3"/>
      <c r="J19" s="3"/>
      <c r="K19" s="3">
        <v>78</v>
      </c>
      <c r="L19" s="3"/>
      <c r="M19" s="3" t="s">
        <v>40</v>
      </c>
      <c r="N19" s="3" t="s">
        <v>57</v>
      </c>
      <c r="O19" s="3"/>
      <c r="P19" s="3">
        <v>108</v>
      </c>
      <c r="Q19" s="3"/>
      <c r="R19" s="3" t="s">
        <v>51</v>
      </c>
      <c r="S19" s="3"/>
      <c r="T19" s="3"/>
      <c r="U19" s="3">
        <v>138</v>
      </c>
      <c r="V19" s="3"/>
      <c r="W19" s="3" t="s">
        <v>64</v>
      </c>
      <c r="X19" s="3"/>
      <c r="Y19" s="3"/>
      <c r="Z19" s="3">
        <v>168</v>
      </c>
      <c r="AA19" s="3"/>
      <c r="AB19" s="3" t="s">
        <v>82</v>
      </c>
      <c r="AC19" s="3"/>
      <c r="AD19" s="3"/>
    </row>
    <row r="20" spans="1:30" ht="35.450000000000003" customHeight="1" x14ac:dyDescent="0.6">
      <c r="A20" s="3">
        <v>19</v>
      </c>
      <c r="B20" s="3"/>
      <c r="C20" s="3" t="s">
        <v>4</v>
      </c>
      <c r="D20" s="3"/>
      <c r="E20" s="3"/>
      <c r="F20" s="3">
        <v>49</v>
      </c>
      <c r="G20" s="3"/>
      <c r="H20" s="3" t="s">
        <v>8</v>
      </c>
      <c r="I20" s="3"/>
      <c r="J20" s="3"/>
      <c r="K20" s="3">
        <v>79</v>
      </c>
      <c r="L20" s="3"/>
      <c r="M20" s="3" t="s">
        <v>41</v>
      </c>
      <c r="N20" s="3"/>
      <c r="O20" s="3"/>
      <c r="P20" s="3">
        <v>109</v>
      </c>
      <c r="Q20" s="3"/>
      <c r="R20" s="3" t="s">
        <v>52</v>
      </c>
      <c r="S20" s="3"/>
      <c r="T20" s="3"/>
      <c r="U20" s="3">
        <v>139</v>
      </c>
      <c r="V20" s="3"/>
      <c r="W20" s="3" t="s">
        <v>64</v>
      </c>
      <c r="X20" s="3"/>
      <c r="Y20" s="3"/>
      <c r="Z20" s="3">
        <v>169</v>
      </c>
      <c r="AA20" s="3"/>
      <c r="AB20" s="3" t="s">
        <v>77</v>
      </c>
      <c r="AC20" s="3"/>
      <c r="AD20" s="3"/>
    </row>
    <row r="21" spans="1:30" ht="35.450000000000003" customHeight="1" x14ac:dyDescent="0.6">
      <c r="A21" s="3">
        <v>20</v>
      </c>
      <c r="B21" s="3"/>
      <c r="C21" s="3" t="s">
        <v>5</v>
      </c>
      <c r="D21" s="3"/>
      <c r="E21" s="3"/>
      <c r="F21" s="3">
        <v>50</v>
      </c>
      <c r="G21" s="3"/>
      <c r="H21" s="3" t="s">
        <v>8</v>
      </c>
      <c r="I21" s="3"/>
      <c r="J21" s="3"/>
      <c r="K21" s="3">
        <v>80</v>
      </c>
      <c r="L21" s="3"/>
      <c r="M21" s="3" t="s">
        <v>42</v>
      </c>
      <c r="N21" s="3"/>
      <c r="O21" s="3"/>
      <c r="P21" s="3">
        <v>110</v>
      </c>
      <c r="Q21" s="3"/>
      <c r="R21" s="3" t="s">
        <v>53</v>
      </c>
      <c r="S21" s="3"/>
      <c r="T21" s="3"/>
      <c r="U21" s="3">
        <v>140</v>
      </c>
      <c r="V21" s="3"/>
      <c r="W21" s="3" t="s">
        <v>65</v>
      </c>
      <c r="X21" s="3"/>
      <c r="Y21" s="3"/>
      <c r="Z21" s="3">
        <v>170</v>
      </c>
      <c r="AA21" s="3"/>
      <c r="AB21" s="3" t="s">
        <v>78</v>
      </c>
      <c r="AC21" s="3"/>
      <c r="AD21" s="3"/>
    </row>
    <row r="22" spans="1:30" ht="35.450000000000003" customHeight="1" x14ac:dyDescent="0.6">
      <c r="A22" s="3">
        <v>21</v>
      </c>
      <c r="B22" s="3"/>
      <c r="C22" s="3" t="s">
        <v>0</v>
      </c>
      <c r="D22" s="3"/>
      <c r="E22" s="3"/>
      <c r="F22" s="3">
        <v>51</v>
      </c>
      <c r="G22" s="3"/>
      <c r="H22" s="3" t="s">
        <v>19</v>
      </c>
      <c r="I22" s="3"/>
      <c r="J22" s="3"/>
      <c r="K22" s="3">
        <v>81</v>
      </c>
      <c r="L22" s="3"/>
      <c r="M22" s="3" t="s">
        <v>42</v>
      </c>
      <c r="N22" s="3"/>
      <c r="O22" s="3"/>
      <c r="P22" s="3">
        <v>111</v>
      </c>
      <c r="Q22" s="3"/>
      <c r="R22" s="4" t="s">
        <v>81</v>
      </c>
      <c r="S22" s="3" t="s">
        <v>34</v>
      </c>
      <c r="T22" s="3"/>
      <c r="U22" s="3">
        <v>141</v>
      </c>
      <c r="V22" s="3"/>
      <c r="W22" s="3" t="s">
        <v>42</v>
      </c>
      <c r="X22" s="3"/>
      <c r="Y22" s="3"/>
      <c r="Z22" s="3">
        <v>171</v>
      </c>
      <c r="AA22" s="3"/>
      <c r="AB22" s="3" t="s">
        <v>36</v>
      </c>
      <c r="AC22" s="3"/>
      <c r="AD22" s="3"/>
    </row>
    <row r="23" spans="1:30" ht="35.450000000000003" customHeight="1" x14ac:dyDescent="0.6">
      <c r="A23" s="3">
        <v>22</v>
      </c>
      <c r="B23" s="3"/>
      <c r="C23" s="3" t="s">
        <v>6</v>
      </c>
      <c r="D23" s="3"/>
      <c r="E23" s="3"/>
      <c r="F23" s="3">
        <v>52</v>
      </c>
      <c r="G23" s="3"/>
      <c r="H23" s="3" t="s">
        <v>8</v>
      </c>
      <c r="I23" s="3"/>
      <c r="J23" s="3"/>
      <c r="K23" s="3">
        <v>82</v>
      </c>
      <c r="L23" s="3"/>
      <c r="M23" s="3" t="s">
        <v>42</v>
      </c>
      <c r="N23" s="3"/>
      <c r="O23" s="3"/>
      <c r="P23" s="3">
        <v>112</v>
      </c>
      <c r="Q23" s="3"/>
      <c r="R23" s="3" t="s">
        <v>45</v>
      </c>
      <c r="S23" s="3"/>
      <c r="T23" s="3"/>
      <c r="U23" s="3">
        <v>142</v>
      </c>
      <c r="V23" s="3"/>
      <c r="W23" s="3" t="s">
        <v>66</v>
      </c>
      <c r="X23" s="3"/>
      <c r="Y23" s="3"/>
      <c r="Z23" s="3">
        <v>172</v>
      </c>
      <c r="AA23" s="3"/>
      <c r="AB23" s="3"/>
      <c r="AC23" s="3"/>
      <c r="AD23" s="3"/>
    </row>
    <row r="24" spans="1:30" ht="35.450000000000003" customHeight="1" x14ac:dyDescent="0.6">
      <c r="A24" s="3">
        <v>23</v>
      </c>
      <c r="B24" s="3"/>
      <c r="C24" s="3" t="s">
        <v>0</v>
      </c>
      <c r="D24" s="3"/>
      <c r="E24" s="3"/>
      <c r="F24" s="3">
        <v>53</v>
      </c>
      <c r="G24" s="3"/>
      <c r="H24" s="3" t="s">
        <v>20</v>
      </c>
      <c r="I24" s="3"/>
      <c r="J24" s="3"/>
      <c r="K24" s="3">
        <v>83</v>
      </c>
      <c r="L24" s="3"/>
      <c r="M24" s="3" t="s">
        <v>36</v>
      </c>
      <c r="N24" s="3"/>
      <c r="O24" s="3"/>
      <c r="P24" s="3">
        <v>113</v>
      </c>
      <c r="Q24" s="3"/>
      <c r="R24" s="3" t="s">
        <v>36</v>
      </c>
      <c r="S24" s="3"/>
      <c r="T24" s="3"/>
      <c r="U24" s="3">
        <v>143</v>
      </c>
      <c r="V24" s="3"/>
      <c r="W24" s="3" t="s">
        <v>67</v>
      </c>
      <c r="X24" s="3"/>
      <c r="Y24" s="3"/>
      <c r="Z24" s="3">
        <v>173</v>
      </c>
      <c r="AA24" s="3"/>
      <c r="AB24" s="3"/>
      <c r="AC24" s="3"/>
      <c r="AD24" s="3"/>
    </row>
    <row r="25" spans="1:30" ht="35.450000000000003" customHeight="1" x14ac:dyDescent="0.6">
      <c r="A25" s="3">
        <v>24</v>
      </c>
      <c r="B25" s="3"/>
      <c r="C25" s="3" t="s">
        <v>0</v>
      </c>
      <c r="D25" s="3"/>
      <c r="E25" s="3"/>
      <c r="F25" s="3">
        <v>54</v>
      </c>
      <c r="G25" s="3"/>
      <c r="H25" s="3" t="s">
        <v>21</v>
      </c>
      <c r="I25" s="3"/>
      <c r="J25" s="3"/>
      <c r="K25" s="3">
        <v>84</v>
      </c>
      <c r="L25" s="3"/>
      <c r="M25" s="3" t="s">
        <v>43</v>
      </c>
      <c r="N25" s="3"/>
      <c r="O25" s="3"/>
      <c r="P25" s="3">
        <v>114</v>
      </c>
      <c r="Q25" s="3"/>
      <c r="R25" s="3" t="s">
        <v>54</v>
      </c>
      <c r="S25" s="3"/>
      <c r="T25" s="3"/>
      <c r="U25" s="3">
        <v>144</v>
      </c>
      <c r="V25" s="3"/>
      <c r="W25" s="3" t="s">
        <v>40</v>
      </c>
      <c r="X25" s="3"/>
      <c r="Y25" s="3"/>
      <c r="Z25" s="3">
        <v>174</v>
      </c>
      <c r="AA25" s="3"/>
      <c r="AB25" s="3"/>
      <c r="AC25" s="3"/>
      <c r="AD25" s="3"/>
    </row>
    <row r="26" spans="1:30" ht="35.450000000000003" customHeight="1" x14ac:dyDescent="0.6">
      <c r="A26" s="3">
        <v>25</v>
      </c>
      <c r="B26" s="3"/>
      <c r="C26" s="3" t="s">
        <v>0</v>
      </c>
      <c r="D26" s="3"/>
      <c r="E26" s="3"/>
      <c r="F26" s="3">
        <v>55</v>
      </c>
      <c r="G26" s="3"/>
      <c r="H26" s="3" t="s">
        <v>8</v>
      </c>
      <c r="I26" s="3"/>
      <c r="J26" s="3"/>
      <c r="K26" s="3">
        <v>85</v>
      </c>
      <c r="L26" s="3"/>
      <c r="M26" s="3" t="s">
        <v>42</v>
      </c>
      <c r="N26" s="3"/>
      <c r="O26" s="3"/>
      <c r="P26" s="3">
        <v>115</v>
      </c>
      <c r="Q26" s="3"/>
      <c r="R26" s="3" t="s">
        <v>55</v>
      </c>
      <c r="S26" s="3"/>
      <c r="T26" s="3"/>
      <c r="U26" s="3">
        <v>145</v>
      </c>
      <c r="V26" s="3"/>
      <c r="W26" s="3" t="s">
        <v>36</v>
      </c>
      <c r="X26" s="3"/>
      <c r="Y26" s="3"/>
      <c r="Z26" s="3">
        <v>175</v>
      </c>
      <c r="AA26" s="3"/>
      <c r="AB26" s="3"/>
      <c r="AC26" s="3"/>
      <c r="AD26" s="3"/>
    </row>
    <row r="27" spans="1:30" ht="35.450000000000003" customHeight="1" x14ac:dyDescent="0.6">
      <c r="A27" s="3">
        <v>26</v>
      </c>
      <c r="B27" s="3"/>
      <c r="C27" s="3" t="s">
        <v>7</v>
      </c>
      <c r="D27" s="3"/>
      <c r="E27" s="3"/>
      <c r="F27" s="3">
        <v>56</v>
      </c>
      <c r="G27" s="3"/>
      <c r="H27" s="3" t="s">
        <v>8</v>
      </c>
      <c r="I27" s="3" t="s">
        <v>34</v>
      </c>
      <c r="J27" s="3"/>
      <c r="K27" s="3">
        <v>86</v>
      </c>
      <c r="L27" s="3"/>
      <c r="M27" s="3" t="s">
        <v>36</v>
      </c>
      <c r="N27" s="3"/>
      <c r="O27" s="3"/>
      <c r="P27" s="3">
        <v>116</v>
      </c>
      <c r="Q27" s="3"/>
      <c r="R27" s="3" t="s">
        <v>36</v>
      </c>
      <c r="S27" s="3"/>
      <c r="T27" s="3"/>
      <c r="U27" s="3">
        <v>146</v>
      </c>
      <c r="V27" s="3"/>
      <c r="W27" s="3" t="s">
        <v>68</v>
      </c>
      <c r="X27" s="3"/>
      <c r="Y27" s="3"/>
      <c r="Z27" s="3">
        <v>176</v>
      </c>
      <c r="AA27" s="3"/>
      <c r="AB27" s="3"/>
      <c r="AC27" s="3"/>
      <c r="AD27" s="3"/>
    </row>
    <row r="28" spans="1:30" ht="35.450000000000003" customHeight="1" x14ac:dyDescent="0.6">
      <c r="A28" s="3">
        <v>27</v>
      </c>
      <c r="B28" s="3"/>
      <c r="C28" s="3" t="s">
        <v>8</v>
      </c>
      <c r="D28" s="3" t="s">
        <v>33</v>
      </c>
      <c r="E28" s="3"/>
      <c r="F28" s="3">
        <v>57</v>
      </c>
      <c r="G28" s="3"/>
      <c r="H28" s="3" t="s">
        <v>26</v>
      </c>
      <c r="I28" s="3"/>
      <c r="J28" s="3"/>
      <c r="K28" s="3">
        <v>87</v>
      </c>
      <c r="L28" s="3"/>
      <c r="M28" s="3" t="s">
        <v>42</v>
      </c>
      <c r="N28" s="3"/>
      <c r="O28" s="3"/>
      <c r="P28" s="3">
        <v>117</v>
      </c>
      <c r="Q28" s="3"/>
      <c r="R28" s="3" t="s">
        <v>36</v>
      </c>
      <c r="S28" s="3"/>
      <c r="T28" s="3"/>
      <c r="U28" s="3">
        <v>147</v>
      </c>
      <c r="V28" s="3"/>
      <c r="W28" s="3" t="s">
        <v>45</v>
      </c>
      <c r="X28" s="3"/>
      <c r="Y28" s="3"/>
      <c r="Z28" s="3">
        <v>177</v>
      </c>
      <c r="AA28" s="3"/>
      <c r="AB28" s="3"/>
      <c r="AC28" s="3"/>
      <c r="AD28" s="3"/>
    </row>
    <row r="29" spans="1:30" ht="35.450000000000003" customHeight="1" x14ac:dyDescent="0.6">
      <c r="A29" s="3">
        <v>28</v>
      </c>
      <c r="B29" s="3"/>
      <c r="C29" s="3" t="s">
        <v>8</v>
      </c>
      <c r="D29" s="3"/>
      <c r="E29" s="3"/>
      <c r="F29" s="3">
        <v>58</v>
      </c>
      <c r="G29" s="3"/>
      <c r="H29" s="3" t="s">
        <v>4</v>
      </c>
      <c r="I29" s="3"/>
      <c r="J29" s="3"/>
      <c r="K29" s="3">
        <v>88</v>
      </c>
      <c r="L29" s="3"/>
      <c r="M29" s="3" t="s">
        <v>40</v>
      </c>
      <c r="N29" s="3"/>
      <c r="O29" s="3"/>
      <c r="P29" s="3">
        <v>118</v>
      </c>
      <c r="Q29" s="3"/>
      <c r="R29" s="3" t="s">
        <v>56</v>
      </c>
      <c r="S29" s="3"/>
      <c r="T29" s="3"/>
      <c r="U29" s="3">
        <v>148</v>
      </c>
      <c r="V29" s="3"/>
      <c r="W29" s="3" t="s">
        <v>36</v>
      </c>
      <c r="X29" s="3"/>
      <c r="Y29" s="3"/>
      <c r="Z29" s="3">
        <v>178</v>
      </c>
      <c r="AA29" s="3"/>
      <c r="AB29" s="3"/>
      <c r="AC29" s="3"/>
      <c r="AD29" s="3"/>
    </row>
    <row r="30" spans="1:30" ht="35.450000000000003" customHeight="1" x14ac:dyDescent="0.6">
      <c r="A30" s="3">
        <v>29</v>
      </c>
      <c r="B30" s="3"/>
      <c r="C30" s="3" t="s">
        <v>8</v>
      </c>
      <c r="D30" s="3"/>
      <c r="E30" s="3"/>
      <c r="F30" s="3">
        <v>59</v>
      </c>
      <c r="G30" s="3"/>
      <c r="H30" s="3" t="s">
        <v>8</v>
      </c>
      <c r="I30" s="3"/>
      <c r="J30" s="3"/>
      <c r="K30" s="3">
        <v>89</v>
      </c>
      <c r="L30" s="3"/>
      <c r="M30" s="3" t="s">
        <v>39</v>
      </c>
      <c r="N30" s="3"/>
      <c r="O30" s="3"/>
      <c r="P30" s="3">
        <v>119</v>
      </c>
      <c r="Q30" s="3"/>
      <c r="R30" s="3" t="s">
        <v>39</v>
      </c>
      <c r="S30" s="3"/>
      <c r="T30" s="3"/>
      <c r="U30" s="3">
        <v>149</v>
      </c>
      <c r="V30" s="3"/>
      <c r="W30" s="3" t="s">
        <v>69</v>
      </c>
      <c r="X30" s="3"/>
      <c r="Y30" s="3"/>
      <c r="Z30" s="3">
        <v>179</v>
      </c>
      <c r="AA30" s="3"/>
      <c r="AB30" s="3"/>
      <c r="AC30" s="3"/>
      <c r="AD30" s="3"/>
    </row>
    <row r="31" spans="1:30" ht="35.450000000000003" customHeight="1" x14ac:dyDescent="0.6">
      <c r="A31" s="3">
        <v>30</v>
      </c>
      <c r="B31" s="3"/>
      <c r="C31" s="3" t="s">
        <v>8</v>
      </c>
      <c r="D31" s="3"/>
      <c r="E31" s="3"/>
      <c r="F31" s="3">
        <v>60</v>
      </c>
      <c r="G31" s="3"/>
      <c r="H31" s="3" t="s">
        <v>13</v>
      </c>
      <c r="I31" s="3"/>
      <c r="J31" s="3"/>
      <c r="K31" s="3">
        <v>90</v>
      </c>
      <c r="L31" s="3"/>
      <c r="M31" s="3" t="s">
        <v>36</v>
      </c>
      <c r="N31" s="3"/>
      <c r="O31" s="3"/>
      <c r="P31" s="3">
        <v>120</v>
      </c>
      <c r="Q31" s="3"/>
      <c r="R31" s="3" t="s">
        <v>37</v>
      </c>
      <c r="S31" s="3"/>
      <c r="T31" s="3"/>
      <c r="U31" s="3">
        <v>150</v>
      </c>
      <c r="V31" s="3"/>
      <c r="W31" s="3" t="s">
        <v>36</v>
      </c>
      <c r="X31" s="3"/>
      <c r="Y31" s="3"/>
      <c r="Z31" s="3">
        <v>180</v>
      </c>
      <c r="AA31" s="3"/>
      <c r="AB31" s="3"/>
      <c r="AC31" s="3"/>
      <c r="AD31" s="3"/>
    </row>
    <row r="32" spans="1:30" ht="35.450000000000003" customHeight="1" x14ac:dyDescent="0.6"/>
    <row r="33" s="2" customFormat="1" ht="35.450000000000003" customHeight="1" x14ac:dyDescent="0.6"/>
    <row r="34" s="2" customFormat="1" ht="35.450000000000003" customHeight="1" x14ac:dyDescent="0.6"/>
    <row r="35" s="2" customFormat="1" ht="35.450000000000003" customHeight="1" x14ac:dyDescent="0.6"/>
    <row r="36" s="2" customFormat="1" ht="35.450000000000003" customHeight="1" x14ac:dyDescent="0.6"/>
    <row r="37" s="2" customFormat="1" ht="35.450000000000003" customHeight="1" x14ac:dyDescent="0.6"/>
    <row r="38" s="2" customFormat="1" ht="35.450000000000003" customHeight="1" x14ac:dyDescent="0.6"/>
    <row r="39" s="2" customFormat="1" ht="35.450000000000003" customHeight="1" x14ac:dyDescent="0.6"/>
    <row r="40" s="2" customFormat="1" ht="35.450000000000003" customHeight="1" x14ac:dyDescent="0.6"/>
    <row r="41" s="2" customFormat="1" ht="35.450000000000003" customHeight="1" x14ac:dyDescent="0.6"/>
    <row r="42" s="2" customFormat="1" ht="35.450000000000003" customHeight="1" x14ac:dyDescent="0.6"/>
    <row r="43" s="2" customFormat="1" ht="35.450000000000003" customHeight="1" x14ac:dyDescent="0.6"/>
    <row r="44" s="2" customFormat="1" ht="35.450000000000003" customHeight="1" x14ac:dyDescent="0.6"/>
    <row r="45" s="2" customFormat="1" ht="35.450000000000003" customHeight="1" x14ac:dyDescent="0.6"/>
    <row r="46" s="2" customFormat="1" ht="35.450000000000003" customHeight="1" x14ac:dyDescent="0.6"/>
    <row r="47" s="2" customFormat="1" ht="35.450000000000003" customHeight="1" x14ac:dyDescent="0.6"/>
    <row r="48" s="2" customFormat="1" ht="35.450000000000003" customHeight="1" x14ac:dyDescent="0.6"/>
    <row r="49" s="2" customFormat="1" ht="35.450000000000003" customHeight="1" x14ac:dyDescent="0.6"/>
    <row r="50" s="2" customFormat="1" ht="35.450000000000003" customHeight="1" x14ac:dyDescent="0.6"/>
    <row r="51" s="2" customFormat="1" ht="35.450000000000003" customHeight="1" x14ac:dyDescent="0.6"/>
    <row r="52" s="2" customFormat="1" ht="35.450000000000003" customHeight="1" x14ac:dyDescent="0.6"/>
    <row r="53" s="2" customFormat="1" ht="35.450000000000003" customHeight="1" x14ac:dyDescent="0.6"/>
    <row r="54" s="2" customFormat="1" ht="35.450000000000003" customHeight="1" x14ac:dyDescent="0.6"/>
    <row r="55" s="2" customFormat="1" ht="35.450000000000003" customHeight="1" x14ac:dyDescent="0.6"/>
    <row r="56" s="2" customFormat="1" ht="35.450000000000003" customHeight="1" x14ac:dyDescent="0.6"/>
    <row r="57" s="2" customFormat="1" ht="35.450000000000003" customHeight="1" x14ac:dyDescent="0.6"/>
    <row r="58" s="2" customFormat="1" ht="35.450000000000003" customHeight="1" x14ac:dyDescent="0.6"/>
    <row r="59" s="2" customFormat="1" ht="35.450000000000003" customHeight="1" x14ac:dyDescent="0.6"/>
    <row r="60" s="2" customFormat="1" ht="35.450000000000003" customHeight="1" x14ac:dyDescent="0.6"/>
    <row r="61" s="2" customFormat="1" ht="35.450000000000003" customHeight="1" x14ac:dyDescent="0.6"/>
    <row r="62" s="2" customFormat="1" ht="35.450000000000003" customHeight="1" x14ac:dyDescent="0.6"/>
    <row r="63" s="2" customFormat="1" ht="35.450000000000003" customHeight="1" x14ac:dyDescent="0.6"/>
    <row r="64" s="2" customFormat="1" ht="35.450000000000003" customHeight="1" x14ac:dyDescent="0.6"/>
    <row r="65" s="2" customFormat="1" ht="35.450000000000003" customHeight="1" x14ac:dyDescent="0.6"/>
    <row r="66" s="2" customFormat="1" ht="35.450000000000003" customHeight="1" x14ac:dyDescent="0.6"/>
    <row r="67" s="2" customFormat="1" ht="35.450000000000003" customHeight="1" x14ac:dyDescent="0.6"/>
    <row r="68" s="2" customFormat="1" ht="35.450000000000003" customHeight="1" x14ac:dyDescent="0.6"/>
    <row r="69" s="2" customFormat="1" ht="35.450000000000003" customHeight="1" x14ac:dyDescent="0.6"/>
    <row r="70" s="2" customFormat="1" ht="35.450000000000003" customHeight="1" x14ac:dyDescent="0.6"/>
    <row r="71" s="2" customFormat="1" ht="35.450000000000003" customHeight="1" x14ac:dyDescent="0.6"/>
    <row r="72" s="2" customFormat="1" ht="35.450000000000003" customHeight="1" x14ac:dyDescent="0.6"/>
    <row r="73" s="2" customFormat="1" ht="35.450000000000003" customHeight="1" x14ac:dyDescent="0.6"/>
    <row r="74" s="2" customFormat="1" ht="35.450000000000003" customHeight="1" x14ac:dyDescent="0.6"/>
    <row r="75" s="2" customFormat="1" ht="35.450000000000003" customHeight="1" x14ac:dyDescent="0.6"/>
    <row r="76" s="2" customFormat="1" ht="35.450000000000003" customHeight="1" x14ac:dyDescent="0.6"/>
    <row r="77" s="2" customFormat="1" ht="35.450000000000003" customHeight="1" x14ac:dyDescent="0.6"/>
    <row r="78" s="2" customFormat="1" ht="35.450000000000003" customHeight="1" x14ac:dyDescent="0.6"/>
    <row r="79" s="2" customFormat="1" ht="35.450000000000003" customHeight="1" x14ac:dyDescent="0.6"/>
    <row r="80" s="2" customFormat="1" ht="35.450000000000003" customHeight="1" x14ac:dyDescent="0.6"/>
    <row r="81" s="2" customFormat="1" ht="35.450000000000003" customHeight="1" x14ac:dyDescent="0.6"/>
    <row r="82" s="2" customFormat="1" ht="35.450000000000003" customHeight="1" x14ac:dyDescent="0.6"/>
    <row r="83" s="2" customFormat="1" ht="35.450000000000003" customHeight="1" x14ac:dyDescent="0.6"/>
    <row r="84" s="2" customFormat="1" ht="35.450000000000003" customHeight="1" x14ac:dyDescent="0.6"/>
    <row r="85" s="2" customFormat="1" ht="35.450000000000003" customHeight="1" x14ac:dyDescent="0.6"/>
    <row r="86" s="2" customFormat="1" ht="35.450000000000003" customHeight="1" x14ac:dyDescent="0.6"/>
    <row r="87" s="2" customFormat="1" ht="35.450000000000003" customHeight="1" x14ac:dyDescent="0.6"/>
    <row r="88" s="2" customFormat="1" ht="35.450000000000003" customHeight="1" x14ac:dyDescent="0.6"/>
    <row r="89" s="2" customFormat="1" ht="35.450000000000003" customHeight="1" x14ac:dyDescent="0.6"/>
    <row r="90" s="2" customFormat="1" ht="35.450000000000003" customHeight="1" x14ac:dyDescent="0.6"/>
    <row r="91" s="2" customFormat="1" ht="35.450000000000003" customHeight="1" x14ac:dyDescent="0.6"/>
    <row r="92" s="2" customFormat="1" ht="35.450000000000003" customHeight="1" x14ac:dyDescent="0.6"/>
    <row r="93" s="2" customFormat="1" ht="35.450000000000003" customHeight="1" x14ac:dyDescent="0.6"/>
    <row r="94" s="2" customFormat="1" ht="35.450000000000003" customHeight="1" x14ac:dyDescent="0.6"/>
    <row r="95" s="2" customFormat="1" ht="35.450000000000003" customHeight="1" x14ac:dyDescent="0.6"/>
    <row r="96" s="2" customFormat="1" ht="35.450000000000003" customHeight="1" x14ac:dyDescent="0.6"/>
    <row r="97" s="2" customFormat="1" ht="35.450000000000003" customHeight="1" x14ac:dyDescent="0.6"/>
    <row r="98" s="2" customFormat="1" ht="35.450000000000003" customHeight="1" x14ac:dyDescent="0.6"/>
    <row r="99" s="2" customFormat="1" ht="35.450000000000003" customHeight="1" x14ac:dyDescent="0.6"/>
    <row r="100" s="2" customFormat="1" ht="35.450000000000003" customHeight="1" x14ac:dyDescent="0.6"/>
    <row r="101" s="2" customFormat="1" ht="35.450000000000003" customHeight="1" x14ac:dyDescent="0.6"/>
    <row r="102" s="2" customFormat="1" ht="35.450000000000003" customHeight="1" x14ac:dyDescent="0.6"/>
    <row r="103" s="2" customFormat="1" ht="35.450000000000003" customHeight="1" x14ac:dyDescent="0.6"/>
    <row r="104" s="2" customFormat="1" ht="35.450000000000003" customHeight="1" x14ac:dyDescent="0.6"/>
    <row r="105" s="2" customFormat="1" ht="35.450000000000003" customHeight="1" x14ac:dyDescent="0.6"/>
    <row r="106" s="2" customFormat="1" ht="35.450000000000003" customHeight="1" x14ac:dyDescent="0.6"/>
    <row r="107" s="2" customFormat="1" ht="35.450000000000003" customHeight="1" x14ac:dyDescent="0.6"/>
    <row r="108" s="2" customFormat="1" ht="35.450000000000003" customHeight="1" x14ac:dyDescent="0.6"/>
    <row r="109" s="2" customFormat="1" ht="35.450000000000003" customHeight="1" x14ac:dyDescent="0.6"/>
    <row r="110" s="2" customFormat="1" ht="35.450000000000003" customHeight="1" x14ac:dyDescent="0.6"/>
    <row r="111" s="2" customFormat="1" ht="35.450000000000003" customHeight="1" x14ac:dyDescent="0.6"/>
    <row r="112" s="2" customFormat="1" ht="35.450000000000003" customHeight="1" x14ac:dyDescent="0.6"/>
    <row r="113" s="2" customFormat="1" ht="35.450000000000003" customHeight="1" x14ac:dyDescent="0.6"/>
    <row r="114" s="2" customFormat="1" ht="35.450000000000003" customHeight="1" x14ac:dyDescent="0.6"/>
    <row r="115" s="2" customFormat="1" ht="35.450000000000003" customHeight="1" x14ac:dyDescent="0.6"/>
    <row r="116" s="2" customFormat="1" ht="35.450000000000003" customHeight="1" x14ac:dyDescent="0.6"/>
    <row r="117" s="2" customFormat="1" ht="35.450000000000003" customHeight="1" x14ac:dyDescent="0.6"/>
    <row r="118" s="2" customFormat="1" ht="35.450000000000003" customHeight="1" x14ac:dyDescent="0.6"/>
    <row r="119" s="2" customFormat="1" ht="35.450000000000003" customHeight="1" x14ac:dyDescent="0.6"/>
    <row r="120" s="2" customFormat="1" ht="35.450000000000003" customHeight="1" x14ac:dyDescent="0.6"/>
    <row r="121" s="2" customFormat="1" ht="35.450000000000003" customHeight="1" x14ac:dyDescent="0.6"/>
    <row r="122" s="2" customFormat="1" ht="35.450000000000003" customHeight="1" x14ac:dyDescent="0.6"/>
    <row r="123" s="2" customFormat="1" ht="35.450000000000003" customHeight="1" x14ac:dyDescent="0.6"/>
    <row r="124" s="2" customFormat="1" ht="35.450000000000003" customHeight="1" x14ac:dyDescent="0.6"/>
    <row r="125" s="2" customFormat="1" ht="35.450000000000003" customHeight="1" x14ac:dyDescent="0.6"/>
    <row r="126" s="2" customFormat="1" ht="35.450000000000003" customHeight="1" x14ac:dyDescent="0.6"/>
    <row r="127" s="2" customFormat="1" ht="35.450000000000003" customHeight="1" x14ac:dyDescent="0.6"/>
    <row r="128" s="2" customFormat="1" ht="35.450000000000003" customHeight="1" x14ac:dyDescent="0.6"/>
    <row r="129" s="2" customFormat="1" ht="35.450000000000003" customHeight="1" x14ac:dyDescent="0.6"/>
    <row r="130" s="2" customFormat="1" ht="35.450000000000003" customHeight="1" x14ac:dyDescent="0.6"/>
    <row r="131" s="2" customFormat="1" ht="35.450000000000003" customHeight="1" x14ac:dyDescent="0.6"/>
    <row r="132" s="2" customFormat="1" ht="35.450000000000003" customHeight="1" x14ac:dyDescent="0.6"/>
    <row r="133" s="2" customFormat="1" ht="35.450000000000003" customHeight="1" x14ac:dyDescent="0.6"/>
    <row r="134" s="2" customFormat="1" ht="35.450000000000003" customHeight="1" x14ac:dyDescent="0.6"/>
    <row r="135" s="2" customFormat="1" ht="35.450000000000003" customHeight="1" x14ac:dyDescent="0.6"/>
    <row r="136" s="2" customFormat="1" ht="35.450000000000003" customHeight="1" x14ac:dyDescent="0.6"/>
    <row r="137" s="2" customFormat="1" ht="35.450000000000003" customHeight="1" x14ac:dyDescent="0.6"/>
    <row r="138" s="2" customFormat="1" ht="35.450000000000003" customHeight="1" x14ac:dyDescent="0.6"/>
    <row r="139" s="2" customFormat="1" ht="35.450000000000003" customHeight="1" x14ac:dyDescent="0.6"/>
    <row r="140" s="2" customFormat="1" ht="35.450000000000003" customHeight="1" x14ac:dyDescent="0.6"/>
    <row r="141" s="2" customFormat="1" ht="35.450000000000003" customHeight="1" x14ac:dyDescent="0.6"/>
    <row r="142" s="2" customFormat="1" ht="35.450000000000003" customHeight="1" x14ac:dyDescent="0.6"/>
    <row r="143" s="2" customFormat="1" ht="35.450000000000003" customHeight="1" x14ac:dyDescent="0.6"/>
    <row r="144" s="2" customFormat="1" ht="35.450000000000003" customHeight="1" x14ac:dyDescent="0.6"/>
    <row r="145" s="2" customFormat="1" ht="35.450000000000003" customHeight="1" x14ac:dyDescent="0.6"/>
    <row r="146" s="2" customFormat="1" ht="35.450000000000003" customHeight="1" x14ac:dyDescent="0.6"/>
    <row r="147" s="2" customFormat="1" ht="35.450000000000003" customHeight="1" x14ac:dyDescent="0.6"/>
    <row r="148" s="2" customFormat="1" ht="35.450000000000003" customHeight="1" x14ac:dyDescent="0.6"/>
    <row r="149" s="2" customFormat="1" ht="35.450000000000003" customHeight="1" x14ac:dyDescent="0.6"/>
    <row r="150" s="2" customFormat="1" ht="35.450000000000003" customHeight="1" x14ac:dyDescent="0.6"/>
    <row r="151" s="2" customFormat="1" ht="35.450000000000003" customHeight="1" x14ac:dyDescent="0.6"/>
    <row r="152" s="2" customFormat="1" ht="35.450000000000003" customHeight="1" x14ac:dyDescent="0.6"/>
    <row r="153" s="2" customFormat="1" ht="35.450000000000003" customHeight="1" x14ac:dyDescent="0.6"/>
    <row r="154" s="2" customFormat="1" ht="35.450000000000003" customHeight="1" x14ac:dyDescent="0.6"/>
    <row r="155" s="2" customFormat="1" ht="35.450000000000003" customHeight="1" x14ac:dyDescent="0.6"/>
    <row r="156" s="2" customFormat="1" ht="35.450000000000003" customHeight="1" x14ac:dyDescent="0.6"/>
    <row r="157" s="2" customFormat="1" ht="35.450000000000003" customHeight="1" x14ac:dyDescent="0.6"/>
    <row r="158" s="2" customFormat="1" ht="35.450000000000003" customHeight="1" x14ac:dyDescent="0.6"/>
    <row r="159" s="2" customFormat="1" ht="35.450000000000003" customHeight="1" x14ac:dyDescent="0.6"/>
    <row r="160" s="2" customFormat="1" ht="35.450000000000003" customHeight="1" x14ac:dyDescent="0.6"/>
    <row r="161" s="2" customFormat="1" ht="35.450000000000003" customHeight="1" x14ac:dyDescent="0.6"/>
    <row r="162" s="2" customFormat="1" ht="35.450000000000003" customHeight="1" x14ac:dyDescent="0.6"/>
    <row r="163" s="2" customFormat="1" ht="35.450000000000003" customHeight="1" x14ac:dyDescent="0.6"/>
    <row r="164" s="2" customFormat="1" ht="35.450000000000003" customHeight="1" x14ac:dyDescent="0.6"/>
    <row r="165" s="2" customFormat="1" ht="35.450000000000003" customHeight="1" x14ac:dyDescent="0.6"/>
    <row r="166" s="2" customFormat="1" ht="35.450000000000003" customHeight="1" x14ac:dyDescent="0.6"/>
    <row r="167" s="2" customFormat="1" ht="35.450000000000003" customHeight="1" x14ac:dyDescent="0.6"/>
    <row r="168" s="2" customFormat="1" ht="35.450000000000003" customHeight="1" x14ac:dyDescent="0.6"/>
    <row r="169" s="2" customFormat="1" ht="35.450000000000003" customHeight="1" x14ac:dyDescent="0.6"/>
    <row r="170" s="2" customFormat="1" ht="35.450000000000003" customHeight="1" x14ac:dyDescent="0.6"/>
    <row r="171" s="2" customFormat="1" ht="35.450000000000003" customHeight="1" x14ac:dyDescent="0.6"/>
    <row r="172" s="2" customFormat="1" ht="35.450000000000003" customHeight="1" x14ac:dyDescent="0.6"/>
  </sheetData>
  <phoneticPr fontId="1" type="noConversion"/>
  <pageMargins left="0.7" right="0.7" top="0.75" bottom="0.75" header="0.3" footer="0.3"/>
  <pageSetup paperSize="8" orientation="portrait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71E2F5-5E55-4361-9D42-3E2E6EF3AFED}">
  <dimension ref="A1:AH170"/>
  <sheetViews>
    <sheetView zoomScale="98" zoomScaleNormal="98" workbookViewId="0">
      <pane xSplit="1" ySplit="1" topLeftCell="I2" activePane="bottomRight" state="frozen"/>
      <selection pane="topRight" activeCell="B1" sqref="B1"/>
      <selection pane="bottomLeft" activeCell="A2" sqref="A2"/>
      <selection pane="bottomRight" activeCell="AD2" sqref="AD2"/>
    </sheetView>
  </sheetViews>
  <sheetFormatPr defaultColWidth="8.5625" defaultRowHeight="15.75" x14ac:dyDescent="0.6"/>
  <cols>
    <col min="1" max="1" width="4" style="2" bestFit="1" customWidth="1"/>
    <col min="2" max="2" width="5.8125" style="2" customWidth="1"/>
    <col min="3" max="3" width="29.0625" style="2" customWidth="1"/>
    <col min="4" max="30" width="8.4375" style="2" customWidth="1"/>
    <col min="31" max="31" width="8.5625" style="2"/>
    <col min="32" max="32" width="13.1875" style="11" customWidth="1"/>
    <col min="33" max="34" width="12.8125" style="2" bestFit="1" customWidth="1"/>
    <col min="35" max="16384" width="8.5625" style="2"/>
  </cols>
  <sheetData>
    <row r="1" spans="1:34" x14ac:dyDescent="0.6">
      <c r="A1" s="1" t="s">
        <v>27</v>
      </c>
      <c r="B1" s="1" t="s">
        <v>28</v>
      </c>
      <c r="C1" s="1" t="s">
        <v>29</v>
      </c>
      <c r="D1" s="1" t="s">
        <v>108</v>
      </c>
      <c r="E1" s="1" t="s">
        <v>109</v>
      </c>
      <c r="F1" s="1" t="s">
        <v>110</v>
      </c>
      <c r="G1" s="1" t="s">
        <v>111</v>
      </c>
      <c r="H1" s="1" t="s">
        <v>112</v>
      </c>
      <c r="I1" s="1" t="s">
        <v>113</v>
      </c>
      <c r="J1" s="1" t="s">
        <v>114</v>
      </c>
      <c r="K1" s="1" t="s">
        <v>115</v>
      </c>
      <c r="L1" s="1" t="s">
        <v>116</v>
      </c>
      <c r="M1" s="1" t="s">
        <v>117</v>
      </c>
      <c r="N1" s="1" t="s">
        <v>118</v>
      </c>
      <c r="O1" s="1" t="s">
        <v>119</v>
      </c>
      <c r="P1" s="1" t="s">
        <v>120</v>
      </c>
      <c r="Q1" s="1" t="s">
        <v>121</v>
      </c>
      <c r="R1" s="1" t="s">
        <v>122</v>
      </c>
      <c r="S1" s="1" t="s">
        <v>123</v>
      </c>
      <c r="T1" s="1" t="s">
        <v>124</v>
      </c>
      <c r="U1" s="1" t="s">
        <v>125</v>
      </c>
      <c r="V1" s="1" t="s">
        <v>126</v>
      </c>
      <c r="W1" s="1" t="s">
        <v>127</v>
      </c>
      <c r="X1" s="1" t="s">
        <v>128</v>
      </c>
      <c r="Y1" s="1" t="s">
        <v>129</v>
      </c>
      <c r="Z1" s="1" t="s">
        <v>130</v>
      </c>
      <c r="AA1" s="1" t="s">
        <v>131</v>
      </c>
      <c r="AB1" s="1" t="s">
        <v>132</v>
      </c>
      <c r="AC1" s="1" t="s">
        <v>106</v>
      </c>
      <c r="AD1" s="1" t="s">
        <v>107</v>
      </c>
      <c r="AE1" s="2" t="s">
        <v>146</v>
      </c>
      <c r="AF1" s="11" t="s">
        <v>147</v>
      </c>
      <c r="AG1" s="11" t="s">
        <v>148</v>
      </c>
      <c r="AH1" s="11" t="s">
        <v>149</v>
      </c>
    </row>
    <row r="2" spans="1:34" ht="35.450000000000003" customHeight="1" x14ac:dyDescent="0.6">
      <c r="A2" s="3">
        <v>1</v>
      </c>
      <c r="B2" s="3"/>
      <c r="C2" s="4" t="s">
        <v>83</v>
      </c>
      <c r="D2" s="3">
        <v>4.4800000000000004</v>
      </c>
      <c r="E2" s="5">
        <v>0</v>
      </c>
      <c r="F2" s="3">
        <v>4.43</v>
      </c>
      <c r="G2" s="3">
        <v>4.4400000000000004</v>
      </c>
      <c r="H2" s="3">
        <v>4.4400000000000004</v>
      </c>
      <c r="I2" s="3">
        <v>4.46</v>
      </c>
      <c r="J2" s="3">
        <v>4.45</v>
      </c>
      <c r="K2" s="3">
        <v>4.45</v>
      </c>
      <c r="L2" s="3">
        <v>4.4400000000000004</v>
      </c>
      <c r="M2" s="3">
        <v>4.4000000000000004</v>
      </c>
      <c r="N2" s="3">
        <v>4.43</v>
      </c>
      <c r="O2" s="3">
        <v>4.4400000000000004</v>
      </c>
      <c r="P2" s="3">
        <v>4.42</v>
      </c>
      <c r="Q2" s="3"/>
      <c r="R2" s="3">
        <v>4.4400000000000004</v>
      </c>
      <c r="S2" s="3">
        <v>4.47</v>
      </c>
      <c r="T2" s="3">
        <v>4.47</v>
      </c>
      <c r="U2" s="3">
        <v>4.47</v>
      </c>
      <c r="V2" s="3">
        <v>4.45</v>
      </c>
      <c r="W2" s="4">
        <v>4.46</v>
      </c>
      <c r="X2" s="3">
        <v>4.45</v>
      </c>
      <c r="Y2" s="3">
        <v>4.43</v>
      </c>
      <c r="Z2" s="3">
        <v>4.46</v>
      </c>
      <c r="AA2" s="3">
        <v>4.4400000000000004</v>
      </c>
      <c r="AB2" s="3">
        <v>4.45</v>
      </c>
      <c r="AC2" s="3">
        <v>2.36</v>
      </c>
      <c r="AD2" s="3"/>
      <c r="AH2" s="13"/>
    </row>
    <row r="3" spans="1:34" ht="35.450000000000003" customHeight="1" x14ac:dyDescent="0.6">
      <c r="A3" s="7" t="s">
        <v>134</v>
      </c>
      <c r="B3" s="3"/>
      <c r="C3" s="4"/>
      <c r="D3" s="3">
        <v>4.47</v>
      </c>
      <c r="E3" s="5">
        <v>0</v>
      </c>
      <c r="F3" s="3">
        <v>4.41</v>
      </c>
      <c r="G3" s="3">
        <v>4.43</v>
      </c>
      <c r="H3" s="3">
        <v>4.43</v>
      </c>
      <c r="I3" s="3">
        <v>4.45</v>
      </c>
      <c r="J3" s="3">
        <v>4.4400000000000004</v>
      </c>
      <c r="K3" s="3">
        <v>4.4400000000000004</v>
      </c>
      <c r="L3" s="3">
        <v>4.4400000000000004</v>
      </c>
      <c r="M3" s="3">
        <v>4.4000000000000004</v>
      </c>
      <c r="N3" s="3">
        <v>4.42</v>
      </c>
      <c r="O3" s="3">
        <v>4.4400000000000004</v>
      </c>
      <c r="P3" s="3">
        <v>4.42</v>
      </c>
      <c r="Q3" s="3"/>
      <c r="R3" s="3">
        <v>4.43</v>
      </c>
      <c r="S3" s="3">
        <v>4.46</v>
      </c>
      <c r="T3" s="3">
        <v>4.45</v>
      </c>
      <c r="U3" s="3">
        <v>4.46</v>
      </c>
      <c r="V3" s="3">
        <v>4.45</v>
      </c>
      <c r="W3" s="4">
        <v>4.45</v>
      </c>
      <c r="X3" s="3">
        <v>4.4400000000000004</v>
      </c>
      <c r="Y3" s="3">
        <v>4.42</v>
      </c>
      <c r="Z3" s="3">
        <v>4.46</v>
      </c>
      <c r="AA3" s="3">
        <v>4.43</v>
      </c>
      <c r="AB3" s="3">
        <v>4.4400000000000004</v>
      </c>
      <c r="AC3" s="3">
        <v>2.35</v>
      </c>
      <c r="AD3" s="3"/>
      <c r="AH3" s="13"/>
    </row>
    <row r="4" spans="1:34" ht="35.450000000000003" customHeight="1" x14ac:dyDescent="0.6">
      <c r="A4" s="3">
        <v>2</v>
      </c>
      <c r="B4" s="3"/>
      <c r="C4" s="4" t="s">
        <v>84</v>
      </c>
      <c r="D4" s="3">
        <v>4.4800000000000004</v>
      </c>
      <c r="E4" s="3">
        <v>4.45</v>
      </c>
      <c r="F4" s="3">
        <v>4.43</v>
      </c>
      <c r="G4" s="3">
        <v>4.45</v>
      </c>
      <c r="H4" s="3">
        <v>4.45</v>
      </c>
      <c r="I4" s="3">
        <v>4.42</v>
      </c>
      <c r="J4" s="3">
        <v>4.43</v>
      </c>
      <c r="K4" s="3">
        <v>4.4400000000000004</v>
      </c>
      <c r="L4" s="3">
        <v>4.43</v>
      </c>
      <c r="M4" s="3">
        <v>4.43</v>
      </c>
      <c r="N4" s="3">
        <v>4.42</v>
      </c>
      <c r="O4" s="3">
        <v>4.4400000000000004</v>
      </c>
      <c r="P4" s="3">
        <v>4.46</v>
      </c>
      <c r="Q4" s="3"/>
      <c r="R4" s="3">
        <v>4.4800000000000004</v>
      </c>
      <c r="S4" s="3">
        <v>4.46</v>
      </c>
      <c r="T4" s="3">
        <v>4.45</v>
      </c>
      <c r="U4" s="3">
        <v>4.4800000000000004</v>
      </c>
      <c r="V4" s="3">
        <v>4.4800000000000004</v>
      </c>
      <c r="W4" s="3">
        <v>4.49</v>
      </c>
      <c r="X4" s="3">
        <v>4.47</v>
      </c>
      <c r="Y4" s="3">
        <v>4.41</v>
      </c>
      <c r="Z4" s="3">
        <v>4.49</v>
      </c>
      <c r="AA4" s="3">
        <v>4.46</v>
      </c>
      <c r="AB4" s="3">
        <v>4.46</v>
      </c>
      <c r="AC4" s="3">
        <v>2.34</v>
      </c>
      <c r="AD4" s="3"/>
      <c r="AH4" s="13"/>
    </row>
    <row r="5" spans="1:34" ht="35.450000000000003" customHeight="1" x14ac:dyDescent="0.6">
      <c r="A5" s="3">
        <v>3</v>
      </c>
      <c r="B5" s="3"/>
      <c r="C5" s="4" t="s">
        <v>85</v>
      </c>
      <c r="D5" s="3">
        <v>4.4800000000000004</v>
      </c>
      <c r="E5" s="3">
        <v>4.47</v>
      </c>
      <c r="F5" s="3">
        <v>4.45</v>
      </c>
      <c r="G5" s="3">
        <v>4.47</v>
      </c>
      <c r="H5" s="3">
        <v>4.46</v>
      </c>
      <c r="I5" s="3">
        <v>4.47</v>
      </c>
      <c r="J5" s="3">
        <v>4.45</v>
      </c>
      <c r="K5" s="3">
        <v>4.4800000000000004</v>
      </c>
      <c r="L5" s="3">
        <v>4.47</v>
      </c>
      <c r="M5" s="3">
        <v>4.4800000000000004</v>
      </c>
      <c r="N5" s="3">
        <v>4.46</v>
      </c>
      <c r="O5" s="3">
        <v>4.45</v>
      </c>
      <c r="P5" s="3">
        <v>4.47</v>
      </c>
      <c r="Q5" s="3"/>
      <c r="R5" s="3">
        <v>4.45</v>
      </c>
      <c r="S5" s="3">
        <v>4.4800000000000004</v>
      </c>
      <c r="T5" s="3">
        <v>4.4800000000000004</v>
      </c>
      <c r="U5" s="3">
        <v>4.45</v>
      </c>
      <c r="V5" s="3">
        <v>4.47</v>
      </c>
      <c r="W5" s="3">
        <v>4.4800000000000004</v>
      </c>
      <c r="X5" s="3">
        <v>4.47</v>
      </c>
      <c r="Y5" s="3">
        <v>4.45</v>
      </c>
      <c r="Z5" s="3">
        <v>4.45</v>
      </c>
      <c r="AA5" s="3">
        <v>4.45</v>
      </c>
      <c r="AB5" s="3">
        <v>4.46</v>
      </c>
      <c r="AC5" s="3">
        <v>2.38</v>
      </c>
      <c r="AD5" s="3"/>
      <c r="AH5" s="13"/>
    </row>
    <row r="6" spans="1:34" ht="35.450000000000003" customHeight="1" x14ac:dyDescent="0.6">
      <c r="A6" s="3">
        <v>4</v>
      </c>
      <c r="B6" s="3"/>
      <c r="C6" s="4" t="s">
        <v>86</v>
      </c>
      <c r="D6" s="3">
        <v>4.46</v>
      </c>
      <c r="E6" s="3">
        <v>4.46</v>
      </c>
      <c r="F6" s="3">
        <v>4.46</v>
      </c>
      <c r="G6" s="3">
        <v>4.46</v>
      </c>
      <c r="H6" s="3">
        <v>4.46</v>
      </c>
      <c r="I6" s="3">
        <v>4.45</v>
      </c>
      <c r="J6" s="3">
        <v>4.45</v>
      </c>
      <c r="K6" s="3">
        <v>4.46</v>
      </c>
      <c r="L6" s="3">
        <v>4.46</v>
      </c>
      <c r="M6" s="3">
        <v>4.45</v>
      </c>
      <c r="N6" s="3">
        <v>4.45</v>
      </c>
      <c r="O6" s="3">
        <v>4.45</v>
      </c>
      <c r="P6" s="3">
        <v>4.46</v>
      </c>
      <c r="Q6" s="3"/>
      <c r="R6" s="3">
        <v>4.47</v>
      </c>
      <c r="S6" s="3">
        <v>4.4400000000000004</v>
      </c>
      <c r="T6" s="3">
        <v>4.45</v>
      </c>
      <c r="U6" s="3">
        <v>4.46</v>
      </c>
      <c r="V6" s="3">
        <v>4.45</v>
      </c>
      <c r="W6" s="3">
        <v>4.47</v>
      </c>
      <c r="X6" s="3">
        <v>4.47</v>
      </c>
      <c r="Y6" s="3">
        <v>4.46</v>
      </c>
      <c r="Z6" s="3">
        <v>4.4400000000000004</v>
      </c>
      <c r="AA6" s="3">
        <v>4.4000000000000004</v>
      </c>
      <c r="AB6" s="3">
        <v>4.45</v>
      </c>
      <c r="AC6" s="3">
        <v>2.3199999999999998</v>
      </c>
      <c r="AD6" s="3"/>
      <c r="AH6" s="13"/>
    </row>
    <row r="7" spans="1:34" ht="35.450000000000003" customHeight="1" x14ac:dyDescent="0.6">
      <c r="A7" s="3">
        <v>5</v>
      </c>
      <c r="B7" s="3"/>
      <c r="C7" s="4" t="s">
        <v>87</v>
      </c>
      <c r="D7" s="3">
        <v>4.4800000000000004</v>
      </c>
      <c r="E7" s="3">
        <v>4.42</v>
      </c>
      <c r="F7" s="3">
        <v>4.47</v>
      </c>
      <c r="G7" s="3">
        <v>4.45</v>
      </c>
      <c r="H7" s="3">
        <v>4.4400000000000004</v>
      </c>
      <c r="I7" s="3">
        <v>4.45</v>
      </c>
      <c r="J7" s="3">
        <v>4.42</v>
      </c>
      <c r="K7" s="3">
        <v>4.47</v>
      </c>
      <c r="L7" s="3">
        <v>4.42</v>
      </c>
      <c r="M7" s="3">
        <v>4.41</v>
      </c>
      <c r="N7" s="3">
        <v>4.45</v>
      </c>
      <c r="O7" s="3">
        <v>4.47</v>
      </c>
      <c r="P7" s="3">
        <v>4.4400000000000004</v>
      </c>
      <c r="Q7" s="3"/>
      <c r="R7" s="3">
        <v>4.47</v>
      </c>
      <c r="S7" s="3">
        <v>4.47</v>
      </c>
      <c r="T7" s="3">
        <v>4.45</v>
      </c>
      <c r="U7" s="3">
        <v>4.46</v>
      </c>
      <c r="V7" s="3">
        <v>4.4800000000000004</v>
      </c>
      <c r="W7" s="3">
        <v>4.4800000000000004</v>
      </c>
      <c r="X7" s="3">
        <v>4.46</v>
      </c>
      <c r="Y7" s="3">
        <v>4.4400000000000004</v>
      </c>
      <c r="Z7" s="3">
        <v>4.47</v>
      </c>
      <c r="AA7" s="3">
        <v>4.4800000000000004</v>
      </c>
      <c r="AB7" s="3">
        <v>4.46</v>
      </c>
      <c r="AC7" s="3">
        <v>2.33</v>
      </c>
      <c r="AD7" s="3"/>
      <c r="AH7" s="13"/>
    </row>
    <row r="8" spans="1:34" ht="35.450000000000003" customHeight="1" x14ac:dyDescent="0.6">
      <c r="A8" s="3">
        <v>6</v>
      </c>
      <c r="B8" s="3"/>
      <c r="C8" s="4" t="s">
        <v>88</v>
      </c>
      <c r="D8" s="3">
        <v>4.49</v>
      </c>
      <c r="E8" s="3">
        <v>4.4800000000000004</v>
      </c>
      <c r="F8" s="3">
        <v>4.49</v>
      </c>
      <c r="G8" s="3">
        <v>4.49</v>
      </c>
      <c r="H8" s="3">
        <v>4.4800000000000004</v>
      </c>
      <c r="I8" s="3">
        <v>4.46</v>
      </c>
      <c r="J8" s="3">
        <v>4.47</v>
      </c>
      <c r="K8" s="3">
        <v>4.46</v>
      </c>
      <c r="L8" s="3">
        <v>4.45</v>
      </c>
      <c r="M8" s="3">
        <v>4.4800000000000004</v>
      </c>
      <c r="N8" s="3">
        <v>4.46</v>
      </c>
      <c r="O8" s="3">
        <v>4.46</v>
      </c>
      <c r="P8" s="3">
        <v>4.4800000000000004</v>
      </c>
      <c r="Q8" s="3"/>
      <c r="R8" s="3">
        <v>4.49</v>
      </c>
      <c r="S8" s="3">
        <v>4.47</v>
      </c>
      <c r="T8" s="3">
        <v>4.46</v>
      </c>
      <c r="U8" s="3">
        <v>4.49</v>
      </c>
      <c r="V8" s="3">
        <v>4.47</v>
      </c>
      <c r="W8" s="3">
        <v>4.4400000000000004</v>
      </c>
      <c r="X8" s="3">
        <v>4.47</v>
      </c>
      <c r="Y8" s="3">
        <v>4.49</v>
      </c>
      <c r="Z8" s="3">
        <v>4.43</v>
      </c>
      <c r="AA8" s="3">
        <v>4.45</v>
      </c>
      <c r="AB8" s="3">
        <v>4.47</v>
      </c>
      <c r="AC8" s="3">
        <v>2.36</v>
      </c>
      <c r="AD8" s="3"/>
      <c r="AH8" s="13"/>
    </row>
    <row r="9" spans="1:34" ht="35.450000000000003" customHeight="1" x14ac:dyDescent="0.6">
      <c r="A9" s="3">
        <v>7</v>
      </c>
      <c r="B9" s="3"/>
      <c r="C9" s="4" t="s">
        <v>89</v>
      </c>
      <c r="D9" s="3">
        <v>4.5</v>
      </c>
      <c r="E9" s="3">
        <v>4.4800000000000004</v>
      </c>
      <c r="F9" s="3">
        <v>4.49</v>
      </c>
      <c r="G9" s="3">
        <v>4.49</v>
      </c>
      <c r="H9" s="3">
        <v>4.4800000000000004</v>
      </c>
      <c r="I9" s="3">
        <v>4.47</v>
      </c>
      <c r="J9" s="3">
        <v>4.47</v>
      </c>
      <c r="K9" s="3">
        <v>4.4800000000000004</v>
      </c>
      <c r="L9" s="3">
        <v>4.47</v>
      </c>
      <c r="M9" s="3">
        <v>4.4800000000000004</v>
      </c>
      <c r="N9" s="3">
        <v>4.49</v>
      </c>
      <c r="O9" s="3">
        <v>4.47</v>
      </c>
      <c r="P9" s="3">
        <v>4.5</v>
      </c>
      <c r="Q9" s="3"/>
      <c r="R9" s="3">
        <v>4.49</v>
      </c>
      <c r="S9" s="3">
        <v>4.49</v>
      </c>
      <c r="T9" s="3">
        <v>4.47</v>
      </c>
      <c r="U9" s="3">
        <v>4.51</v>
      </c>
      <c r="V9" s="3">
        <v>4.49</v>
      </c>
      <c r="W9" s="3">
        <v>4.5</v>
      </c>
      <c r="X9" s="3">
        <v>4.5</v>
      </c>
      <c r="Y9" s="3">
        <v>4.5</v>
      </c>
      <c r="Z9" s="3">
        <v>4.51</v>
      </c>
      <c r="AA9" s="3">
        <v>4.5</v>
      </c>
      <c r="AB9" s="3">
        <v>4.49</v>
      </c>
      <c r="AC9" s="3">
        <v>2.38</v>
      </c>
      <c r="AD9" s="3"/>
      <c r="AH9" s="13"/>
    </row>
    <row r="10" spans="1:34" ht="35.450000000000003" customHeight="1" x14ac:dyDescent="0.6">
      <c r="A10" s="3">
        <v>8</v>
      </c>
      <c r="B10" s="3"/>
      <c r="C10" s="4" t="s">
        <v>105</v>
      </c>
      <c r="D10" s="3">
        <v>4.4800000000000004</v>
      </c>
      <c r="E10" s="3">
        <v>4.4400000000000004</v>
      </c>
      <c r="F10" s="3">
        <v>4.43</v>
      </c>
      <c r="G10" s="3">
        <v>4.43</v>
      </c>
      <c r="H10" s="3">
        <v>4.45</v>
      </c>
      <c r="I10" s="3">
        <v>4.46</v>
      </c>
      <c r="J10" s="3">
        <v>4.4400000000000004</v>
      </c>
      <c r="K10" s="3">
        <v>4.4400000000000004</v>
      </c>
      <c r="L10" s="3">
        <v>4.45</v>
      </c>
      <c r="M10" s="3">
        <v>4.42</v>
      </c>
      <c r="N10" s="3">
        <v>4.43</v>
      </c>
      <c r="O10" s="3">
        <v>4.4400000000000004</v>
      </c>
      <c r="P10" s="3">
        <v>4.4400000000000004</v>
      </c>
      <c r="Q10" s="3"/>
      <c r="R10" s="3">
        <v>4.4400000000000004</v>
      </c>
      <c r="S10" s="3">
        <v>4.43</v>
      </c>
      <c r="T10" s="3">
        <v>4.49</v>
      </c>
      <c r="U10" s="3">
        <v>4.46</v>
      </c>
      <c r="V10" s="3">
        <v>4.46</v>
      </c>
      <c r="W10" s="3">
        <v>4.45</v>
      </c>
      <c r="X10" s="3">
        <v>4.47</v>
      </c>
      <c r="Y10" s="3">
        <v>4.4800000000000004</v>
      </c>
      <c r="Z10" s="3">
        <v>4.45</v>
      </c>
      <c r="AA10" s="3">
        <v>4.43</v>
      </c>
      <c r="AB10" s="3">
        <v>4.4400000000000004</v>
      </c>
      <c r="AC10" s="3">
        <v>2.38</v>
      </c>
      <c r="AD10" s="3"/>
      <c r="AH10" s="13"/>
    </row>
    <row r="11" spans="1:34" ht="35.450000000000003" customHeight="1" x14ac:dyDescent="0.6">
      <c r="A11" s="3">
        <v>9</v>
      </c>
      <c r="B11" s="3"/>
      <c r="C11" s="4" t="s">
        <v>90</v>
      </c>
      <c r="D11" s="3">
        <v>4.4800000000000004</v>
      </c>
      <c r="E11" s="3">
        <v>4.47</v>
      </c>
      <c r="F11" s="3">
        <v>4.46</v>
      </c>
      <c r="G11" s="3">
        <v>4.45</v>
      </c>
      <c r="H11" s="3">
        <v>4.4400000000000004</v>
      </c>
      <c r="I11" s="3">
        <v>4.43</v>
      </c>
      <c r="J11" s="3">
        <v>4.45</v>
      </c>
      <c r="K11" s="3">
        <v>4.45</v>
      </c>
      <c r="L11" s="3">
        <v>4.43</v>
      </c>
      <c r="M11" s="3">
        <v>4.45</v>
      </c>
      <c r="N11" s="3">
        <v>4.47</v>
      </c>
      <c r="O11" s="3">
        <v>4.45</v>
      </c>
      <c r="P11" s="3">
        <v>4.46</v>
      </c>
      <c r="Q11" s="3"/>
      <c r="R11" s="3">
        <v>4.47</v>
      </c>
      <c r="S11" s="3">
        <v>4.47</v>
      </c>
      <c r="T11" s="3">
        <v>4.49</v>
      </c>
      <c r="U11" s="3">
        <v>4.46</v>
      </c>
      <c r="V11" s="3">
        <v>4.45</v>
      </c>
      <c r="W11" s="3">
        <v>4.46</v>
      </c>
      <c r="X11" s="3">
        <v>4.5</v>
      </c>
      <c r="Y11" s="3">
        <v>4.46</v>
      </c>
      <c r="Z11" s="3">
        <v>4.46</v>
      </c>
      <c r="AA11" s="3">
        <v>4.45</v>
      </c>
      <c r="AB11" s="3">
        <v>4.45</v>
      </c>
      <c r="AC11" s="3">
        <v>2.36</v>
      </c>
      <c r="AD11" s="3"/>
      <c r="AH11" s="13"/>
    </row>
    <row r="12" spans="1:34" ht="35.450000000000003" customHeight="1" x14ac:dyDescent="0.6">
      <c r="A12" s="8">
        <v>10</v>
      </c>
      <c r="B12" s="8"/>
      <c r="C12" s="7" t="s">
        <v>91</v>
      </c>
      <c r="D12" s="3">
        <v>4.4800000000000004</v>
      </c>
      <c r="E12" s="3">
        <v>4.43</v>
      </c>
      <c r="F12" s="3">
        <v>4.4400000000000004</v>
      </c>
      <c r="G12" s="3">
        <v>4.42</v>
      </c>
      <c r="H12" s="3">
        <v>4.43</v>
      </c>
      <c r="I12" s="3">
        <v>4.4000000000000004</v>
      </c>
      <c r="J12" s="3">
        <v>4.4000000000000004</v>
      </c>
      <c r="K12" s="3">
        <v>4.43</v>
      </c>
      <c r="L12" s="3">
        <v>4.4000000000000004</v>
      </c>
      <c r="M12" s="3">
        <v>4.41</v>
      </c>
      <c r="N12" s="3">
        <v>4.43</v>
      </c>
      <c r="O12" s="3">
        <v>4.42</v>
      </c>
      <c r="P12" s="3">
        <v>4.29</v>
      </c>
      <c r="Q12" s="3"/>
      <c r="R12" s="3">
        <v>4.42</v>
      </c>
      <c r="S12" s="3">
        <v>4.43</v>
      </c>
      <c r="T12" s="3">
        <v>4.43</v>
      </c>
      <c r="U12" s="3">
        <v>4.43</v>
      </c>
      <c r="V12" s="3">
        <v>4.46</v>
      </c>
      <c r="W12" s="3">
        <v>4.47</v>
      </c>
      <c r="X12" s="3">
        <v>4.43</v>
      </c>
      <c r="Y12" s="3">
        <v>4.43</v>
      </c>
      <c r="Z12" s="3">
        <v>4.42</v>
      </c>
      <c r="AA12" s="3">
        <v>4.4400000000000004</v>
      </c>
      <c r="AB12" s="3">
        <v>4.4400000000000004</v>
      </c>
      <c r="AC12" s="3">
        <v>2.34</v>
      </c>
      <c r="AD12" s="3"/>
      <c r="AE12" s="2" t="s">
        <v>143</v>
      </c>
    </row>
    <row r="13" spans="1:34" ht="35.450000000000003" customHeight="1" x14ac:dyDescent="0.6">
      <c r="A13" s="8">
        <v>11</v>
      </c>
      <c r="B13" s="8"/>
      <c r="C13" s="7" t="s">
        <v>92</v>
      </c>
      <c r="D13" s="5">
        <v>4.9800000000000004</v>
      </c>
      <c r="E13" s="5">
        <v>4.7699999999999996</v>
      </c>
      <c r="F13" s="5">
        <v>4.96</v>
      </c>
      <c r="G13" s="5">
        <v>4.87</v>
      </c>
      <c r="H13" s="5">
        <v>4.79</v>
      </c>
      <c r="I13" s="5">
        <v>4.9400000000000004</v>
      </c>
      <c r="J13" s="5">
        <v>4.8099999999999996</v>
      </c>
      <c r="K13" s="5">
        <v>4.8099999999999996</v>
      </c>
      <c r="L13" s="5">
        <v>4.93</v>
      </c>
      <c r="M13" s="5">
        <v>4.6500000000000004</v>
      </c>
      <c r="N13" s="5">
        <v>4.96</v>
      </c>
      <c r="O13" s="5">
        <v>4.8099999999999996</v>
      </c>
      <c r="P13" s="5">
        <v>4.8499999999999996</v>
      </c>
      <c r="Q13" s="5"/>
      <c r="R13" s="5">
        <v>4.8099999999999996</v>
      </c>
      <c r="S13" s="5">
        <v>4.78</v>
      </c>
      <c r="T13" s="5">
        <v>4.79</v>
      </c>
      <c r="U13" s="5">
        <v>4.68</v>
      </c>
      <c r="V13" s="5">
        <v>4.9000000000000004</v>
      </c>
      <c r="W13" s="5">
        <v>4.97</v>
      </c>
      <c r="X13" s="5">
        <v>4.8</v>
      </c>
      <c r="Y13" s="5">
        <v>4.8899999999999997</v>
      </c>
      <c r="Z13" s="5">
        <v>4.91</v>
      </c>
      <c r="AA13" s="5">
        <v>4.92</v>
      </c>
      <c r="AB13" s="5">
        <v>4.71</v>
      </c>
      <c r="AC13" s="3">
        <v>2.41</v>
      </c>
      <c r="AD13" s="3"/>
      <c r="AE13" s="12" t="s">
        <v>145</v>
      </c>
    </row>
    <row r="14" spans="1:34" ht="35.450000000000003" customHeight="1" x14ac:dyDescent="0.6">
      <c r="A14" s="7" t="s">
        <v>135</v>
      </c>
      <c r="B14" s="8"/>
      <c r="C14" s="7"/>
      <c r="D14" s="5">
        <v>4.9800000000000004</v>
      </c>
      <c r="E14" s="5">
        <v>4.7699999999999996</v>
      </c>
      <c r="F14" s="5">
        <v>4.96</v>
      </c>
      <c r="G14" s="5">
        <v>4.87</v>
      </c>
      <c r="H14" s="5">
        <v>4.79</v>
      </c>
      <c r="I14" s="5">
        <v>4.9400000000000004</v>
      </c>
      <c r="J14" s="5">
        <v>4.8099999999999996</v>
      </c>
      <c r="K14" s="5">
        <v>4.8099999999999996</v>
      </c>
      <c r="L14" s="5">
        <v>4.92</v>
      </c>
      <c r="M14" s="5">
        <v>4.6500000000000004</v>
      </c>
      <c r="N14" s="5">
        <v>4.96</v>
      </c>
      <c r="O14" s="5">
        <v>4.8099999999999996</v>
      </c>
      <c r="P14" s="5">
        <v>4.84</v>
      </c>
      <c r="Q14" s="5"/>
      <c r="R14" s="5">
        <v>4.8099999999999996</v>
      </c>
      <c r="S14" s="5">
        <v>4.78</v>
      </c>
      <c r="T14" s="5">
        <v>4.8</v>
      </c>
      <c r="U14" s="5">
        <v>4.68</v>
      </c>
      <c r="V14" s="5">
        <v>4.9000000000000004</v>
      </c>
      <c r="W14" s="5">
        <v>4.97</v>
      </c>
      <c r="X14" s="5">
        <v>4.8</v>
      </c>
      <c r="Y14" s="5">
        <v>4.9000000000000004</v>
      </c>
      <c r="Z14" s="5">
        <v>4.91</v>
      </c>
      <c r="AA14" s="5">
        <v>4.93</v>
      </c>
      <c r="AB14" s="5">
        <v>4.71</v>
      </c>
      <c r="AC14" s="3">
        <v>2.41</v>
      </c>
      <c r="AD14" s="3"/>
      <c r="AE14" s="12" t="s">
        <v>145</v>
      </c>
    </row>
    <row r="15" spans="1:34" ht="35.450000000000003" customHeight="1" x14ac:dyDescent="0.6">
      <c r="A15" s="8">
        <v>12</v>
      </c>
      <c r="B15" s="8"/>
      <c r="C15" s="7" t="s">
        <v>93</v>
      </c>
      <c r="D15" s="3">
        <v>4.49</v>
      </c>
      <c r="E15" s="3">
        <v>4.51</v>
      </c>
      <c r="F15" s="3">
        <v>4.4800000000000004</v>
      </c>
      <c r="G15" s="3">
        <v>4.4800000000000004</v>
      </c>
      <c r="H15" s="3">
        <v>4.47</v>
      </c>
      <c r="I15" s="3">
        <v>4.47</v>
      </c>
      <c r="J15" s="3">
        <v>4.47</v>
      </c>
      <c r="K15" s="3">
        <v>4.4800000000000004</v>
      </c>
      <c r="L15" s="3">
        <v>4.47</v>
      </c>
      <c r="M15" s="3">
        <v>4.4800000000000004</v>
      </c>
      <c r="N15" s="3">
        <v>4.47</v>
      </c>
      <c r="O15" s="3">
        <v>4.4800000000000004</v>
      </c>
      <c r="P15" s="3">
        <v>4.4800000000000004</v>
      </c>
      <c r="Q15" s="3"/>
      <c r="R15" s="3">
        <v>4.5</v>
      </c>
      <c r="S15" s="3">
        <v>4.4800000000000004</v>
      </c>
      <c r="T15" s="3">
        <v>4.46</v>
      </c>
      <c r="U15" s="3">
        <v>4.4800000000000004</v>
      </c>
      <c r="V15" s="3">
        <v>4.49</v>
      </c>
      <c r="W15" s="3">
        <v>4.47</v>
      </c>
      <c r="X15" s="3">
        <v>4.4800000000000004</v>
      </c>
      <c r="Y15" s="3">
        <v>4.49</v>
      </c>
      <c r="Z15" s="3">
        <v>4.49</v>
      </c>
      <c r="AA15" s="3">
        <v>4.49</v>
      </c>
      <c r="AB15" s="3">
        <v>4.46</v>
      </c>
      <c r="AC15" s="3">
        <v>2.39</v>
      </c>
      <c r="AD15" s="3"/>
      <c r="AE15" s="2" t="s">
        <v>143</v>
      </c>
    </row>
    <row r="16" spans="1:34" ht="35.450000000000003" customHeight="1" x14ac:dyDescent="0.6">
      <c r="A16" s="9">
        <v>13</v>
      </c>
      <c r="B16" s="8"/>
      <c r="C16" s="7" t="s">
        <v>94</v>
      </c>
      <c r="D16" s="5" t="s">
        <v>133</v>
      </c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3"/>
      <c r="AE16" s="2" t="s">
        <v>143</v>
      </c>
      <c r="AF16" s="11" t="s">
        <v>144</v>
      </c>
    </row>
    <row r="17" spans="1:31" ht="35.450000000000003" customHeight="1" x14ac:dyDescent="0.6">
      <c r="A17" s="10" t="s">
        <v>136</v>
      </c>
      <c r="B17" s="8"/>
      <c r="C17" s="7"/>
      <c r="D17" s="5" t="s">
        <v>133</v>
      </c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3"/>
      <c r="AE17" s="2" t="s">
        <v>143</v>
      </c>
    </row>
    <row r="18" spans="1:31" ht="35.450000000000003" customHeight="1" x14ac:dyDescent="0.6">
      <c r="A18" s="9">
        <v>14</v>
      </c>
      <c r="B18" s="8"/>
      <c r="C18" s="7" t="s">
        <v>95</v>
      </c>
      <c r="D18" s="3">
        <v>4.5</v>
      </c>
      <c r="E18" s="5" t="s">
        <v>133</v>
      </c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3"/>
      <c r="AE18" s="2" t="s">
        <v>143</v>
      </c>
    </row>
    <row r="19" spans="1:31" ht="35.450000000000003" customHeight="1" x14ac:dyDescent="0.6">
      <c r="A19" s="10" t="s">
        <v>137</v>
      </c>
      <c r="B19" s="8"/>
      <c r="C19" s="7"/>
      <c r="D19" s="3">
        <v>4.5</v>
      </c>
      <c r="E19" s="5" t="s">
        <v>133</v>
      </c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3"/>
      <c r="AE19" s="2" t="s">
        <v>143</v>
      </c>
    </row>
    <row r="20" spans="1:31" ht="35.450000000000003" customHeight="1" x14ac:dyDescent="0.6">
      <c r="A20" s="8">
        <v>15</v>
      </c>
      <c r="B20" s="8"/>
      <c r="C20" s="7" t="s">
        <v>96</v>
      </c>
      <c r="D20" s="3">
        <v>4.4800000000000004</v>
      </c>
      <c r="E20" s="3">
        <v>4.49</v>
      </c>
      <c r="F20" s="3">
        <v>4.49</v>
      </c>
      <c r="G20" s="3">
        <v>4.46</v>
      </c>
      <c r="H20" s="3">
        <v>4.4800000000000004</v>
      </c>
      <c r="I20" s="3">
        <v>4.4800000000000004</v>
      </c>
      <c r="J20" s="3">
        <v>4.4800000000000004</v>
      </c>
      <c r="K20" s="3">
        <v>4.47</v>
      </c>
      <c r="L20" s="3">
        <v>4.47</v>
      </c>
      <c r="M20" s="3">
        <v>4.47</v>
      </c>
      <c r="N20" s="3">
        <v>4.4800000000000004</v>
      </c>
      <c r="O20" s="3">
        <v>4.4800000000000004</v>
      </c>
      <c r="P20" s="3">
        <v>4.4800000000000004</v>
      </c>
      <c r="Q20" s="3"/>
      <c r="R20" s="3">
        <v>4.4800000000000004</v>
      </c>
      <c r="S20" s="3">
        <v>4.5</v>
      </c>
      <c r="T20" s="3">
        <v>4.47</v>
      </c>
      <c r="U20" s="3">
        <v>4.46</v>
      </c>
      <c r="V20" s="3">
        <v>4.5</v>
      </c>
      <c r="W20" s="3">
        <v>4.47</v>
      </c>
      <c r="X20" s="3">
        <v>4.4800000000000004</v>
      </c>
      <c r="Y20" s="3">
        <v>4.49</v>
      </c>
      <c r="Z20" s="3">
        <v>4.47</v>
      </c>
      <c r="AA20" s="3">
        <v>4.49</v>
      </c>
      <c r="AB20" s="3">
        <v>4.5</v>
      </c>
      <c r="AC20" s="3">
        <v>2.36</v>
      </c>
      <c r="AD20" s="3"/>
      <c r="AE20" s="2" t="s">
        <v>143</v>
      </c>
    </row>
    <row r="21" spans="1:31" ht="35.450000000000003" customHeight="1" x14ac:dyDescent="0.6">
      <c r="A21" s="8">
        <v>16</v>
      </c>
      <c r="B21" s="8"/>
      <c r="C21" s="7" t="s">
        <v>97</v>
      </c>
      <c r="D21" s="3">
        <v>4.5199999999999996</v>
      </c>
      <c r="E21" s="3">
        <v>4.47</v>
      </c>
      <c r="F21" s="3">
        <v>4.5</v>
      </c>
      <c r="G21" s="3">
        <v>4.47</v>
      </c>
      <c r="H21" s="3">
        <v>4.49</v>
      </c>
      <c r="I21" s="3">
        <v>4.5</v>
      </c>
      <c r="J21" s="3">
        <v>4.49</v>
      </c>
      <c r="K21" s="3">
        <v>4.4400000000000004</v>
      </c>
      <c r="L21" s="3">
        <v>4.4800000000000004</v>
      </c>
      <c r="M21" s="3">
        <v>4.51</v>
      </c>
      <c r="N21" s="3">
        <v>4.4800000000000004</v>
      </c>
      <c r="O21" s="3">
        <v>4.49</v>
      </c>
      <c r="P21" s="3">
        <v>4.4800000000000004</v>
      </c>
      <c r="Q21" s="3"/>
      <c r="R21" s="5">
        <v>1.52</v>
      </c>
      <c r="S21" s="5">
        <v>1.52</v>
      </c>
      <c r="T21" s="5">
        <v>1.51</v>
      </c>
      <c r="U21" s="5">
        <v>1.51</v>
      </c>
      <c r="V21" s="5">
        <v>1.51</v>
      </c>
      <c r="W21" s="5">
        <v>1.5</v>
      </c>
      <c r="X21" s="5">
        <v>1.5</v>
      </c>
      <c r="Y21" s="5">
        <v>1.52</v>
      </c>
      <c r="Z21" s="5">
        <v>1.52</v>
      </c>
      <c r="AA21" s="5">
        <v>1.5</v>
      </c>
      <c r="AB21" s="5">
        <v>1.5</v>
      </c>
      <c r="AC21" s="3">
        <v>2.5499999999999998</v>
      </c>
      <c r="AD21" s="3"/>
      <c r="AE21" s="2" t="s">
        <v>143</v>
      </c>
    </row>
    <row r="22" spans="1:31" ht="35.450000000000003" customHeight="1" x14ac:dyDescent="0.6">
      <c r="A22" s="7" t="s">
        <v>138</v>
      </c>
      <c r="B22" s="8"/>
      <c r="C22" s="7"/>
      <c r="D22" s="3">
        <v>4.51</v>
      </c>
      <c r="E22" s="3">
        <v>4.47</v>
      </c>
      <c r="F22" s="3">
        <v>4.49</v>
      </c>
      <c r="G22" s="3">
        <v>4.46</v>
      </c>
      <c r="H22" s="3">
        <v>4.4800000000000004</v>
      </c>
      <c r="I22" s="3">
        <v>4.49</v>
      </c>
      <c r="J22" s="3">
        <v>4.4800000000000004</v>
      </c>
      <c r="K22" s="3">
        <v>4.43</v>
      </c>
      <c r="L22" s="3">
        <v>4.47</v>
      </c>
      <c r="M22" s="3">
        <v>4.5</v>
      </c>
      <c r="N22" s="3">
        <v>4.47</v>
      </c>
      <c r="O22" s="3">
        <v>4.4800000000000004</v>
      </c>
      <c r="P22" s="3">
        <v>4.47</v>
      </c>
      <c r="Q22" s="3"/>
      <c r="R22" s="5">
        <v>1.52</v>
      </c>
      <c r="S22" s="5">
        <v>1.5</v>
      </c>
      <c r="T22" s="5">
        <v>1.5</v>
      </c>
      <c r="U22" s="5">
        <v>1.51</v>
      </c>
      <c r="V22" s="5">
        <v>1.51</v>
      </c>
      <c r="W22" s="5">
        <v>1.5</v>
      </c>
      <c r="X22" s="5">
        <v>1.5</v>
      </c>
      <c r="Y22" s="5">
        <v>1.52</v>
      </c>
      <c r="Z22" s="5">
        <v>1.51</v>
      </c>
      <c r="AA22" s="5">
        <v>1.5</v>
      </c>
      <c r="AB22" s="5">
        <v>1.5</v>
      </c>
      <c r="AC22" s="3">
        <v>2.52</v>
      </c>
      <c r="AD22" s="3"/>
      <c r="AE22" s="2" t="s">
        <v>143</v>
      </c>
    </row>
    <row r="23" spans="1:31" ht="35.450000000000003" customHeight="1" x14ac:dyDescent="0.6">
      <c r="A23" s="8">
        <v>17</v>
      </c>
      <c r="B23" s="8"/>
      <c r="C23" s="7" t="s">
        <v>98</v>
      </c>
      <c r="D23" s="3">
        <v>4.5</v>
      </c>
      <c r="E23" s="3">
        <v>4.4800000000000004</v>
      </c>
      <c r="F23" s="3">
        <v>4.47</v>
      </c>
      <c r="G23" s="3">
        <v>4.49</v>
      </c>
      <c r="H23" s="3">
        <v>4.47</v>
      </c>
      <c r="I23" s="3">
        <v>4.4800000000000004</v>
      </c>
      <c r="J23" s="3">
        <v>4.4800000000000004</v>
      </c>
      <c r="K23" s="3">
        <v>4.47</v>
      </c>
      <c r="L23" s="3">
        <v>4.47</v>
      </c>
      <c r="M23" s="3">
        <v>4.49</v>
      </c>
      <c r="N23" s="3">
        <v>4.47</v>
      </c>
      <c r="O23" s="3">
        <v>4.49</v>
      </c>
      <c r="P23" s="3">
        <v>4.49</v>
      </c>
      <c r="Q23" s="3"/>
      <c r="R23" s="3">
        <v>4.4800000000000004</v>
      </c>
      <c r="S23" s="3">
        <v>4.47</v>
      </c>
      <c r="T23" s="3">
        <v>4.4800000000000004</v>
      </c>
      <c r="U23" s="3">
        <v>4.4800000000000004</v>
      </c>
      <c r="V23" s="3">
        <v>4.46</v>
      </c>
      <c r="W23" s="3">
        <v>4.46</v>
      </c>
      <c r="X23" s="3">
        <v>4.47</v>
      </c>
      <c r="Y23" s="3">
        <v>4.46</v>
      </c>
      <c r="Z23" s="3">
        <v>4.46</v>
      </c>
      <c r="AA23" s="3">
        <v>4.46</v>
      </c>
      <c r="AB23" s="3">
        <v>4.49</v>
      </c>
      <c r="AC23" s="3">
        <v>2.36</v>
      </c>
      <c r="AD23" s="3"/>
      <c r="AE23" s="2" t="s">
        <v>143</v>
      </c>
    </row>
    <row r="24" spans="1:31" ht="35.450000000000003" customHeight="1" x14ac:dyDescent="0.6">
      <c r="A24" s="8">
        <v>18</v>
      </c>
      <c r="B24" s="8"/>
      <c r="C24" s="7" t="s">
        <v>99</v>
      </c>
      <c r="D24" s="3">
        <v>4.4800000000000004</v>
      </c>
      <c r="E24" s="3">
        <v>4.4800000000000004</v>
      </c>
      <c r="F24" s="3">
        <v>4.4800000000000004</v>
      </c>
      <c r="G24" s="3">
        <v>4.47</v>
      </c>
      <c r="H24" s="3">
        <v>4.47</v>
      </c>
      <c r="I24" s="3">
        <v>4.4400000000000004</v>
      </c>
      <c r="J24" s="3">
        <v>4.49</v>
      </c>
      <c r="K24" s="3">
        <v>4.47</v>
      </c>
      <c r="L24" s="3">
        <v>4.46</v>
      </c>
      <c r="M24" s="3">
        <v>4.47</v>
      </c>
      <c r="N24" s="3">
        <v>4.47</v>
      </c>
      <c r="O24" s="3">
        <v>4.47</v>
      </c>
      <c r="P24" s="3">
        <v>4.47</v>
      </c>
      <c r="Q24" s="3"/>
      <c r="R24" s="3">
        <v>4.4800000000000004</v>
      </c>
      <c r="S24" s="3">
        <v>4.46</v>
      </c>
      <c r="T24" s="3">
        <v>4.46</v>
      </c>
      <c r="U24" s="3">
        <v>4.49</v>
      </c>
      <c r="V24" s="3">
        <v>4.4400000000000004</v>
      </c>
      <c r="W24" s="3">
        <v>4.5</v>
      </c>
      <c r="X24" s="3">
        <v>4.45</v>
      </c>
      <c r="Y24" s="3">
        <v>4.49</v>
      </c>
      <c r="Z24" s="3">
        <v>4.46</v>
      </c>
      <c r="AA24" s="3">
        <v>4.4800000000000004</v>
      </c>
      <c r="AB24" s="3">
        <v>4.47</v>
      </c>
      <c r="AC24" s="3">
        <v>2.38</v>
      </c>
      <c r="AD24" s="3"/>
      <c r="AE24" s="2" t="s">
        <v>143</v>
      </c>
    </row>
    <row r="25" spans="1:31" ht="35.450000000000003" customHeight="1" x14ac:dyDescent="0.6">
      <c r="A25" s="8">
        <v>19</v>
      </c>
      <c r="B25" s="8"/>
      <c r="C25" s="7" t="s">
        <v>100</v>
      </c>
      <c r="D25" s="5" t="s">
        <v>133</v>
      </c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3"/>
      <c r="AE25" s="2" t="s">
        <v>143</v>
      </c>
    </row>
    <row r="26" spans="1:31" ht="35.450000000000003" customHeight="1" x14ac:dyDescent="0.6">
      <c r="A26" s="7" t="s">
        <v>139</v>
      </c>
      <c r="B26" s="8"/>
      <c r="C26" s="7"/>
      <c r="D26" s="3">
        <v>4.49</v>
      </c>
      <c r="E26" s="3">
        <v>4.4400000000000004</v>
      </c>
      <c r="F26" s="3">
        <v>4.46</v>
      </c>
      <c r="G26" s="3">
        <v>4.45</v>
      </c>
      <c r="H26" s="3">
        <v>4.4400000000000004</v>
      </c>
      <c r="I26" s="3">
        <v>4.45</v>
      </c>
      <c r="J26" s="3">
        <v>4.4400000000000004</v>
      </c>
      <c r="K26" s="3">
        <v>4.4400000000000004</v>
      </c>
      <c r="L26" s="3">
        <v>4.46</v>
      </c>
      <c r="M26" s="3">
        <v>4.45</v>
      </c>
      <c r="N26" s="3">
        <v>4.46</v>
      </c>
      <c r="O26" s="3">
        <v>4.46</v>
      </c>
      <c r="P26" s="3">
        <v>4.4400000000000004</v>
      </c>
      <c r="Q26" s="3"/>
      <c r="R26" s="3">
        <v>4.4800000000000004</v>
      </c>
      <c r="S26" s="3">
        <v>4.4400000000000004</v>
      </c>
      <c r="T26" s="3">
        <v>4.46</v>
      </c>
      <c r="U26" s="3">
        <v>4.43</v>
      </c>
      <c r="V26" s="3">
        <v>4.4400000000000004</v>
      </c>
      <c r="W26" s="3">
        <v>4.43</v>
      </c>
      <c r="X26" s="3">
        <v>4.46</v>
      </c>
      <c r="Y26" s="3">
        <v>4.4400000000000004</v>
      </c>
      <c r="Z26" s="3">
        <v>4.46</v>
      </c>
      <c r="AA26" s="3">
        <v>4.46</v>
      </c>
      <c r="AB26" s="3">
        <v>4.45</v>
      </c>
      <c r="AC26" s="3">
        <v>2.38</v>
      </c>
      <c r="AD26" s="3"/>
      <c r="AE26" s="2" t="s">
        <v>143</v>
      </c>
    </row>
    <row r="27" spans="1:31" ht="35.450000000000003" customHeight="1" x14ac:dyDescent="0.6">
      <c r="A27" s="8">
        <v>20</v>
      </c>
      <c r="B27" s="8"/>
      <c r="C27" s="7" t="s">
        <v>101</v>
      </c>
      <c r="D27" s="3">
        <v>4.4800000000000004</v>
      </c>
      <c r="E27" s="3">
        <v>4.46</v>
      </c>
      <c r="F27" s="3">
        <v>4.4400000000000004</v>
      </c>
      <c r="G27" s="3">
        <v>4.45</v>
      </c>
      <c r="H27" s="3">
        <v>4.47</v>
      </c>
      <c r="I27" s="3">
        <v>4.47</v>
      </c>
      <c r="J27" s="3">
        <v>4.45</v>
      </c>
      <c r="K27" s="3">
        <v>4.47</v>
      </c>
      <c r="L27" s="3">
        <v>4.46</v>
      </c>
      <c r="M27" s="3">
        <v>4.45</v>
      </c>
      <c r="N27" s="3">
        <v>4.47</v>
      </c>
      <c r="O27" s="3">
        <v>4.47</v>
      </c>
      <c r="P27" s="3">
        <v>4.4800000000000004</v>
      </c>
      <c r="Q27" s="3"/>
      <c r="R27" s="3">
        <v>4.47</v>
      </c>
      <c r="S27" s="3">
        <v>4.47</v>
      </c>
      <c r="T27" s="3">
        <v>4.4800000000000004</v>
      </c>
      <c r="U27" s="3">
        <v>4.4800000000000004</v>
      </c>
      <c r="V27" s="3">
        <v>4.4800000000000004</v>
      </c>
      <c r="W27" s="3">
        <v>4.49</v>
      </c>
      <c r="X27" s="3">
        <v>4.4800000000000004</v>
      </c>
      <c r="Y27" s="3">
        <v>4.4800000000000004</v>
      </c>
      <c r="Z27" s="3">
        <v>4.46</v>
      </c>
      <c r="AA27" s="3">
        <v>4.4400000000000004</v>
      </c>
      <c r="AB27" s="3">
        <v>4.47</v>
      </c>
      <c r="AC27" s="3">
        <v>2.36</v>
      </c>
      <c r="AD27" s="3"/>
      <c r="AE27" s="2" t="s">
        <v>143</v>
      </c>
    </row>
    <row r="28" spans="1:31" ht="35.450000000000003" customHeight="1" x14ac:dyDescent="0.6">
      <c r="A28" s="8">
        <v>21</v>
      </c>
      <c r="B28" s="8"/>
      <c r="C28" s="7" t="s">
        <v>102</v>
      </c>
      <c r="D28" s="3">
        <v>4.47</v>
      </c>
      <c r="E28" s="3">
        <v>4.47</v>
      </c>
      <c r="F28" s="3">
        <v>4.46</v>
      </c>
      <c r="G28" s="3">
        <v>4.47</v>
      </c>
      <c r="H28" s="3">
        <v>4.47</v>
      </c>
      <c r="I28" s="3">
        <v>4.46</v>
      </c>
      <c r="J28" s="3">
        <v>4.46</v>
      </c>
      <c r="K28" s="3">
        <v>4.4800000000000004</v>
      </c>
      <c r="L28" s="3">
        <v>4.45</v>
      </c>
      <c r="M28" s="3">
        <v>4.45</v>
      </c>
      <c r="N28" s="3">
        <v>4.4400000000000004</v>
      </c>
      <c r="O28" s="3">
        <v>4.4800000000000004</v>
      </c>
      <c r="P28" s="3">
        <v>4.47</v>
      </c>
      <c r="Q28" s="3"/>
      <c r="R28" s="4">
        <v>4.4800000000000004</v>
      </c>
      <c r="S28" s="3">
        <v>4.4400000000000004</v>
      </c>
      <c r="T28" s="3">
        <v>4.4800000000000004</v>
      </c>
      <c r="U28" s="3">
        <v>4.47</v>
      </c>
      <c r="V28" s="3">
        <v>4.4800000000000004</v>
      </c>
      <c r="W28" s="3">
        <v>4.4800000000000004</v>
      </c>
      <c r="X28" s="3">
        <v>4.46</v>
      </c>
      <c r="Y28" s="3">
        <v>4.47</v>
      </c>
      <c r="Z28" s="3">
        <v>4.47</v>
      </c>
      <c r="AA28" s="3">
        <v>4.47</v>
      </c>
      <c r="AB28" s="3">
        <v>4.5</v>
      </c>
      <c r="AC28" s="3">
        <v>2.35</v>
      </c>
      <c r="AD28" s="3"/>
      <c r="AE28" s="2" t="s">
        <v>143</v>
      </c>
    </row>
    <row r="29" spans="1:31" ht="35.450000000000003" customHeight="1" x14ac:dyDescent="0.6">
      <c r="A29" s="8">
        <v>22</v>
      </c>
      <c r="B29" s="8"/>
      <c r="C29" s="7" t="s">
        <v>103</v>
      </c>
      <c r="D29" s="3">
        <v>4.49</v>
      </c>
      <c r="E29" s="3">
        <v>4.4800000000000004</v>
      </c>
      <c r="F29" s="3">
        <v>4.4800000000000004</v>
      </c>
      <c r="G29" s="3">
        <v>4.45</v>
      </c>
      <c r="H29" s="3">
        <v>4.4800000000000004</v>
      </c>
      <c r="I29" s="3">
        <v>4.49</v>
      </c>
      <c r="J29" s="3">
        <v>4.47</v>
      </c>
      <c r="K29" s="3">
        <v>4.47</v>
      </c>
      <c r="L29" s="3">
        <v>4.4800000000000004</v>
      </c>
      <c r="M29" s="3">
        <v>4.47</v>
      </c>
      <c r="N29" s="3">
        <v>4.46</v>
      </c>
      <c r="O29" s="3">
        <v>4.45</v>
      </c>
      <c r="P29" s="3">
        <v>4.47</v>
      </c>
      <c r="Q29" s="3"/>
      <c r="R29" s="3">
        <v>4.4800000000000004</v>
      </c>
      <c r="S29" s="3">
        <v>4.5199999999999996</v>
      </c>
      <c r="T29" s="3">
        <v>4.49</v>
      </c>
      <c r="U29" s="3">
        <v>4.5</v>
      </c>
      <c r="V29" s="3">
        <v>4.49</v>
      </c>
      <c r="W29" s="3">
        <v>4.49</v>
      </c>
      <c r="X29" s="3">
        <v>4.5</v>
      </c>
      <c r="Y29" s="3">
        <v>4.46</v>
      </c>
      <c r="Z29" s="3">
        <v>4.47</v>
      </c>
      <c r="AA29" s="3">
        <v>4.47</v>
      </c>
      <c r="AB29" s="3">
        <v>4.51</v>
      </c>
      <c r="AC29" s="3">
        <v>2.38</v>
      </c>
      <c r="AD29" s="3"/>
      <c r="AE29" s="2" t="s">
        <v>143</v>
      </c>
    </row>
    <row r="30" spans="1:31" ht="35.450000000000003" customHeight="1" x14ac:dyDescent="0.6">
      <c r="A30" s="8">
        <v>23</v>
      </c>
      <c r="B30" s="8"/>
      <c r="C30" s="7" t="s">
        <v>104</v>
      </c>
      <c r="D30" s="3">
        <v>4.4800000000000004</v>
      </c>
      <c r="E30" s="3">
        <v>4.47</v>
      </c>
      <c r="F30" s="3">
        <v>4.49</v>
      </c>
      <c r="G30" s="3">
        <v>4.47</v>
      </c>
      <c r="H30" s="3">
        <v>4.4800000000000004</v>
      </c>
      <c r="I30" s="3">
        <v>4.46</v>
      </c>
      <c r="J30" s="3">
        <v>4.46</v>
      </c>
      <c r="K30" s="3">
        <v>4.4400000000000004</v>
      </c>
      <c r="L30" s="3">
        <v>4.45</v>
      </c>
      <c r="M30" s="3">
        <v>4.43</v>
      </c>
      <c r="N30" s="3">
        <v>4.5</v>
      </c>
      <c r="O30" s="3">
        <v>4.43</v>
      </c>
      <c r="P30" s="6">
        <v>4.46</v>
      </c>
      <c r="Q30" s="5"/>
      <c r="R30" s="5">
        <v>1.54</v>
      </c>
      <c r="S30" s="5">
        <v>1.53</v>
      </c>
      <c r="T30" s="5">
        <v>1.53</v>
      </c>
      <c r="U30" s="5">
        <v>1.54</v>
      </c>
      <c r="V30" s="5">
        <v>1.53</v>
      </c>
      <c r="W30" s="5">
        <v>1.54</v>
      </c>
      <c r="X30" s="5">
        <v>1.53</v>
      </c>
      <c r="Y30" s="5">
        <v>1.53</v>
      </c>
      <c r="Z30" s="5">
        <v>1.54</v>
      </c>
      <c r="AA30" s="5">
        <v>1.54</v>
      </c>
      <c r="AB30" s="5">
        <v>1.53</v>
      </c>
      <c r="AC30" s="3">
        <v>2.48</v>
      </c>
      <c r="AD30" s="3"/>
      <c r="AE30" s="2" t="s">
        <v>143</v>
      </c>
    </row>
    <row r="31" spans="1:31" ht="35.450000000000003" customHeight="1" x14ac:dyDescent="0.6">
      <c r="A31" s="7" t="s">
        <v>140</v>
      </c>
      <c r="B31" s="8"/>
      <c r="C31" s="7" t="s">
        <v>104</v>
      </c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6"/>
      <c r="Q31" s="5"/>
      <c r="R31" s="5">
        <v>1.51</v>
      </c>
      <c r="S31" s="5">
        <v>1.52</v>
      </c>
      <c r="T31" s="5">
        <v>1.52</v>
      </c>
      <c r="U31" s="5">
        <v>1.53</v>
      </c>
      <c r="V31" s="5">
        <v>1.51</v>
      </c>
      <c r="W31" s="5">
        <v>1.53</v>
      </c>
      <c r="X31" s="5">
        <v>1.53</v>
      </c>
      <c r="Y31" s="5">
        <v>1.52</v>
      </c>
      <c r="Z31" s="5">
        <v>1.52</v>
      </c>
      <c r="AA31" s="5">
        <v>1.53</v>
      </c>
      <c r="AB31" s="5">
        <v>1.53</v>
      </c>
      <c r="AC31" s="3">
        <v>2.48</v>
      </c>
      <c r="AD31" s="3"/>
      <c r="AE31" s="2" t="s">
        <v>143</v>
      </c>
    </row>
    <row r="32" spans="1:31" ht="35.450000000000003" customHeight="1" x14ac:dyDescent="0.6"/>
    <row r="33" ht="35.450000000000003" customHeight="1" x14ac:dyDescent="0.6"/>
    <row r="34" ht="35.450000000000003" customHeight="1" x14ac:dyDescent="0.6"/>
    <row r="35" ht="35.450000000000003" customHeight="1" x14ac:dyDescent="0.6"/>
    <row r="36" ht="35.450000000000003" customHeight="1" x14ac:dyDescent="0.6"/>
    <row r="37" ht="35.450000000000003" customHeight="1" x14ac:dyDescent="0.6"/>
    <row r="38" ht="35.450000000000003" customHeight="1" x14ac:dyDescent="0.6"/>
    <row r="39" ht="35.450000000000003" customHeight="1" x14ac:dyDescent="0.6"/>
    <row r="40" ht="35.450000000000003" customHeight="1" x14ac:dyDescent="0.6"/>
    <row r="41" ht="35.450000000000003" customHeight="1" x14ac:dyDescent="0.6"/>
    <row r="42" ht="35.450000000000003" customHeight="1" x14ac:dyDescent="0.6"/>
    <row r="43" ht="35.450000000000003" customHeight="1" x14ac:dyDescent="0.6"/>
    <row r="44" ht="35.450000000000003" customHeight="1" x14ac:dyDescent="0.6"/>
    <row r="45" ht="35.450000000000003" customHeight="1" x14ac:dyDescent="0.6"/>
    <row r="46" ht="35.450000000000003" customHeight="1" x14ac:dyDescent="0.6"/>
    <row r="47" ht="35.450000000000003" customHeight="1" x14ac:dyDescent="0.6"/>
    <row r="48" ht="35.450000000000003" customHeight="1" x14ac:dyDescent="0.6"/>
    <row r="49" ht="35.450000000000003" customHeight="1" x14ac:dyDescent="0.6"/>
    <row r="50" ht="35.450000000000003" customHeight="1" x14ac:dyDescent="0.6"/>
    <row r="51" ht="35.450000000000003" customHeight="1" x14ac:dyDescent="0.6"/>
    <row r="52" ht="35.450000000000003" customHeight="1" x14ac:dyDescent="0.6"/>
    <row r="53" ht="35.450000000000003" customHeight="1" x14ac:dyDescent="0.6"/>
    <row r="54" ht="35.450000000000003" customHeight="1" x14ac:dyDescent="0.6"/>
    <row r="55" ht="35.450000000000003" customHeight="1" x14ac:dyDescent="0.6"/>
    <row r="56" ht="35.450000000000003" customHeight="1" x14ac:dyDescent="0.6"/>
    <row r="57" ht="35.450000000000003" customHeight="1" x14ac:dyDescent="0.6"/>
    <row r="58" ht="35.450000000000003" customHeight="1" x14ac:dyDescent="0.6"/>
    <row r="59" ht="35.450000000000003" customHeight="1" x14ac:dyDescent="0.6"/>
    <row r="60" ht="35.450000000000003" customHeight="1" x14ac:dyDescent="0.6"/>
    <row r="61" ht="35.450000000000003" customHeight="1" x14ac:dyDescent="0.6"/>
    <row r="62" ht="35.450000000000003" customHeight="1" x14ac:dyDescent="0.6"/>
    <row r="63" ht="35.450000000000003" customHeight="1" x14ac:dyDescent="0.6"/>
    <row r="64" ht="35.450000000000003" customHeight="1" x14ac:dyDescent="0.6"/>
    <row r="65" ht="35.450000000000003" customHeight="1" x14ac:dyDescent="0.6"/>
    <row r="66" ht="35.450000000000003" customHeight="1" x14ac:dyDescent="0.6"/>
    <row r="67" ht="35.450000000000003" customHeight="1" x14ac:dyDescent="0.6"/>
    <row r="68" ht="35.450000000000003" customHeight="1" x14ac:dyDescent="0.6"/>
    <row r="69" ht="35.450000000000003" customHeight="1" x14ac:dyDescent="0.6"/>
    <row r="70" ht="35.450000000000003" customHeight="1" x14ac:dyDescent="0.6"/>
    <row r="71" ht="35.450000000000003" customHeight="1" x14ac:dyDescent="0.6"/>
    <row r="72" ht="35.450000000000003" customHeight="1" x14ac:dyDescent="0.6"/>
    <row r="73" ht="35.450000000000003" customHeight="1" x14ac:dyDescent="0.6"/>
    <row r="74" ht="35.450000000000003" customHeight="1" x14ac:dyDescent="0.6"/>
    <row r="75" ht="35.450000000000003" customHeight="1" x14ac:dyDescent="0.6"/>
    <row r="76" ht="35.450000000000003" customHeight="1" x14ac:dyDescent="0.6"/>
    <row r="77" ht="35.450000000000003" customHeight="1" x14ac:dyDescent="0.6"/>
    <row r="78" ht="35.450000000000003" customHeight="1" x14ac:dyDescent="0.6"/>
    <row r="79" ht="35.450000000000003" customHeight="1" x14ac:dyDescent="0.6"/>
    <row r="80" ht="35.450000000000003" customHeight="1" x14ac:dyDescent="0.6"/>
    <row r="81" ht="35.450000000000003" customHeight="1" x14ac:dyDescent="0.6"/>
    <row r="82" ht="35.450000000000003" customHeight="1" x14ac:dyDescent="0.6"/>
    <row r="83" ht="35.450000000000003" customHeight="1" x14ac:dyDescent="0.6"/>
    <row r="84" ht="35.450000000000003" customHeight="1" x14ac:dyDescent="0.6"/>
    <row r="85" ht="35.450000000000003" customHeight="1" x14ac:dyDescent="0.6"/>
    <row r="86" ht="35.450000000000003" customHeight="1" x14ac:dyDescent="0.6"/>
    <row r="87" ht="35.450000000000003" customHeight="1" x14ac:dyDescent="0.6"/>
    <row r="88" ht="35.450000000000003" customHeight="1" x14ac:dyDescent="0.6"/>
    <row r="89" ht="35.450000000000003" customHeight="1" x14ac:dyDescent="0.6"/>
    <row r="90" ht="35.450000000000003" customHeight="1" x14ac:dyDescent="0.6"/>
    <row r="91" ht="35.450000000000003" customHeight="1" x14ac:dyDescent="0.6"/>
    <row r="92" ht="35.450000000000003" customHeight="1" x14ac:dyDescent="0.6"/>
    <row r="93" ht="35.450000000000003" customHeight="1" x14ac:dyDescent="0.6"/>
    <row r="94" ht="35.450000000000003" customHeight="1" x14ac:dyDescent="0.6"/>
    <row r="95" ht="35.450000000000003" customHeight="1" x14ac:dyDescent="0.6"/>
    <row r="96" ht="35.450000000000003" customHeight="1" x14ac:dyDescent="0.6"/>
    <row r="97" ht="35.450000000000003" customHeight="1" x14ac:dyDescent="0.6"/>
    <row r="98" ht="35.450000000000003" customHeight="1" x14ac:dyDescent="0.6"/>
    <row r="99" ht="35.450000000000003" customHeight="1" x14ac:dyDescent="0.6"/>
    <row r="100" ht="35.450000000000003" customHeight="1" x14ac:dyDescent="0.6"/>
    <row r="101" ht="35.450000000000003" customHeight="1" x14ac:dyDescent="0.6"/>
    <row r="102" ht="35.450000000000003" customHeight="1" x14ac:dyDescent="0.6"/>
    <row r="103" ht="35.450000000000003" customHeight="1" x14ac:dyDescent="0.6"/>
    <row r="104" ht="35.450000000000003" customHeight="1" x14ac:dyDescent="0.6"/>
    <row r="105" ht="35.450000000000003" customHeight="1" x14ac:dyDescent="0.6"/>
    <row r="106" ht="35.450000000000003" customHeight="1" x14ac:dyDescent="0.6"/>
    <row r="107" ht="35.450000000000003" customHeight="1" x14ac:dyDescent="0.6"/>
    <row r="108" ht="35.450000000000003" customHeight="1" x14ac:dyDescent="0.6"/>
    <row r="109" ht="35.450000000000003" customHeight="1" x14ac:dyDescent="0.6"/>
    <row r="110" ht="35.450000000000003" customHeight="1" x14ac:dyDescent="0.6"/>
    <row r="111" ht="35.450000000000003" customHeight="1" x14ac:dyDescent="0.6"/>
    <row r="112" ht="35.450000000000003" customHeight="1" x14ac:dyDescent="0.6"/>
    <row r="113" ht="35.450000000000003" customHeight="1" x14ac:dyDescent="0.6"/>
    <row r="114" ht="35.450000000000003" customHeight="1" x14ac:dyDescent="0.6"/>
    <row r="115" ht="35.450000000000003" customHeight="1" x14ac:dyDescent="0.6"/>
    <row r="116" ht="35.450000000000003" customHeight="1" x14ac:dyDescent="0.6"/>
    <row r="117" ht="35.450000000000003" customHeight="1" x14ac:dyDescent="0.6"/>
    <row r="118" ht="35.450000000000003" customHeight="1" x14ac:dyDescent="0.6"/>
    <row r="119" ht="35.450000000000003" customHeight="1" x14ac:dyDescent="0.6"/>
    <row r="120" ht="35.450000000000003" customHeight="1" x14ac:dyDescent="0.6"/>
    <row r="121" ht="35.450000000000003" customHeight="1" x14ac:dyDescent="0.6"/>
    <row r="122" ht="35.450000000000003" customHeight="1" x14ac:dyDescent="0.6"/>
    <row r="123" ht="35.450000000000003" customHeight="1" x14ac:dyDescent="0.6"/>
    <row r="124" ht="35.450000000000003" customHeight="1" x14ac:dyDescent="0.6"/>
    <row r="125" ht="35.450000000000003" customHeight="1" x14ac:dyDescent="0.6"/>
    <row r="126" ht="35.450000000000003" customHeight="1" x14ac:dyDescent="0.6"/>
    <row r="127" ht="35.450000000000003" customHeight="1" x14ac:dyDescent="0.6"/>
    <row r="128" ht="35.450000000000003" customHeight="1" x14ac:dyDescent="0.6"/>
    <row r="129" ht="35.450000000000003" customHeight="1" x14ac:dyDescent="0.6"/>
    <row r="130" ht="35.450000000000003" customHeight="1" x14ac:dyDescent="0.6"/>
    <row r="131" ht="35.450000000000003" customHeight="1" x14ac:dyDescent="0.6"/>
    <row r="132" ht="35.450000000000003" customHeight="1" x14ac:dyDescent="0.6"/>
    <row r="133" ht="35.450000000000003" customHeight="1" x14ac:dyDescent="0.6"/>
    <row r="134" ht="35.450000000000003" customHeight="1" x14ac:dyDescent="0.6"/>
    <row r="135" ht="35.450000000000003" customHeight="1" x14ac:dyDescent="0.6"/>
    <row r="136" ht="35.450000000000003" customHeight="1" x14ac:dyDescent="0.6"/>
    <row r="137" ht="35.450000000000003" customHeight="1" x14ac:dyDescent="0.6"/>
    <row r="138" ht="35.450000000000003" customHeight="1" x14ac:dyDescent="0.6"/>
    <row r="139" ht="35.450000000000003" customHeight="1" x14ac:dyDescent="0.6"/>
    <row r="140" ht="35.450000000000003" customHeight="1" x14ac:dyDescent="0.6"/>
    <row r="141" ht="35.450000000000003" customHeight="1" x14ac:dyDescent="0.6"/>
    <row r="142" ht="35.450000000000003" customHeight="1" x14ac:dyDescent="0.6"/>
    <row r="143" ht="35.450000000000003" customHeight="1" x14ac:dyDescent="0.6"/>
    <row r="144" ht="35.450000000000003" customHeight="1" x14ac:dyDescent="0.6"/>
    <row r="145" ht="35.450000000000003" customHeight="1" x14ac:dyDescent="0.6"/>
    <row r="146" ht="35.450000000000003" customHeight="1" x14ac:dyDescent="0.6"/>
    <row r="147" ht="35.450000000000003" customHeight="1" x14ac:dyDescent="0.6"/>
    <row r="148" ht="35.450000000000003" customHeight="1" x14ac:dyDescent="0.6"/>
    <row r="149" ht="35.450000000000003" customHeight="1" x14ac:dyDescent="0.6"/>
    <row r="150" ht="35.450000000000003" customHeight="1" x14ac:dyDescent="0.6"/>
    <row r="151" ht="35.450000000000003" customHeight="1" x14ac:dyDescent="0.6"/>
    <row r="152" ht="35.450000000000003" customHeight="1" x14ac:dyDescent="0.6"/>
    <row r="153" ht="35.450000000000003" customHeight="1" x14ac:dyDescent="0.6"/>
    <row r="154" ht="35.450000000000003" customHeight="1" x14ac:dyDescent="0.6"/>
    <row r="155" ht="35.450000000000003" customHeight="1" x14ac:dyDescent="0.6"/>
    <row r="156" ht="35.450000000000003" customHeight="1" x14ac:dyDescent="0.6"/>
    <row r="157" ht="35.450000000000003" customHeight="1" x14ac:dyDescent="0.6"/>
    <row r="158" ht="35.450000000000003" customHeight="1" x14ac:dyDescent="0.6"/>
    <row r="159" ht="35.450000000000003" customHeight="1" x14ac:dyDescent="0.6"/>
    <row r="160" ht="35.450000000000003" customHeight="1" x14ac:dyDescent="0.6"/>
    <row r="161" ht="35.450000000000003" customHeight="1" x14ac:dyDescent="0.6"/>
    <row r="162" ht="35.450000000000003" customHeight="1" x14ac:dyDescent="0.6"/>
    <row r="163" ht="35.450000000000003" customHeight="1" x14ac:dyDescent="0.6"/>
    <row r="164" ht="35.450000000000003" customHeight="1" x14ac:dyDescent="0.6"/>
    <row r="165" ht="35.450000000000003" customHeight="1" x14ac:dyDescent="0.6"/>
    <row r="166" ht="35.450000000000003" customHeight="1" x14ac:dyDescent="0.6"/>
    <row r="167" ht="35.450000000000003" customHeight="1" x14ac:dyDescent="0.6"/>
    <row r="168" ht="35.450000000000003" customHeight="1" x14ac:dyDescent="0.6"/>
    <row r="169" ht="35.450000000000003" customHeight="1" x14ac:dyDescent="0.6"/>
    <row r="170" ht="35.450000000000003" customHeight="1" x14ac:dyDescent="0.6"/>
  </sheetData>
  <phoneticPr fontId="1" type="noConversion"/>
  <pageMargins left="0.7" right="0.7" top="0.75" bottom="0.75" header="0.3" footer="0.3"/>
  <pageSetup paperSize="8" orientation="portrait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4DD8D4-2FD6-4295-8DD1-9CE1D1994182}">
  <dimension ref="A1:AD163"/>
  <sheetViews>
    <sheetView zoomScale="106" zoomScaleNormal="106" workbookViewId="0">
      <pane xSplit="1" ySplit="1" topLeftCell="B11" activePane="bottomRight" state="frozen"/>
      <selection pane="topRight" activeCell="B1" sqref="B1"/>
      <selection pane="bottomLeft" activeCell="A2" sqref="A2"/>
      <selection pane="bottomRight" activeCell="A15" sqref="A15:E17"/>
    </sheetView>
  </sheetViews>
  <sheetFormatPr defaultColWidth="8.5625" defaultRowHeight="15.75" x14ac:dyDescent="0.6"/>
  <cols>
    <col min="1" max="1" width="4" style="2" bestFit="1" customWidth="1"/>
    <col min="2" max="2" width="6.6875" style="2" customWidth="1"/>
    <col min="3" max="3" width="29.0625" style="2" customWidth="1"/>
    <col min="4" max="30" width="8.4375" style="2" customWidth="1"/>
    <col min="31" max="16384" width="8.5625" style="2"/>
  </cols>
  <sheetData>
    <row r="1" spans="1:30" x14ac:dyDescent="0.6">
      <c r="A1" s="1" t="s">
        <v>27</v>
      </c>
      <c r="B1" s="1" t="s">
        <v>28</v>
      </c>
      <c r="C1" s="1" t="s">
        <v>29</v>
      </c>
      <c r="D1" s="1" t="s">
        <v>108</v>
      </c>
      <c r="E1" s="1" t="s">
        <v>109</v>
      </c>
      <c r="F1" s="1" t="s">
        <v>110</v>
      </c>
      <c r="G1" s="1" t="s">
        <v>111</v>
      </c>
      <c r="H1" s="1" t="s">
        <v>112</v>
      </c>
      <c r="I1" s="1" t="s">
        <v>113</v>
      </c>
      <c r="J1" s="1" t="s">
        <v>114</v>
      </c>
      <c r="K1" s="1" t="s">
        <v>115</v>
      </c>
      <c r="L1" s="1" t="s">
        <v>116</v>
      </c>
      <c r="M1" s="1" t="s">
        <v>117</v>
      </c>
      <c r="N1" s="1" t="s">
        <v>118</v>
      </c>
      <c r="O1" s="1" t="s">
        <v>119</v>
      </c>
      <c r="P1" s="1" t="s">
        <v>120</v>
      </c>
      <c r="Q1" s="1" t="s">
        <v>121</v>
      </c>
      <c r="R1" s="1" t="s">
        <v>122</v>
      </c>
      <c r="S1" s="1" t="s">
        <v>123</v>
      </c>
      <c r="T1" s="1" t="s">
        <v>124</v>
      </c>
      <c r="U1" s="1" t="s">
        <v>125</v>
      </c>
      <c r="V1" s="1" t="s">
        <v>126</v>
      </c>
      <c r="W1" s="1" t="s">
        <v>127</v>
      </c>
      <c r="X1" s="1" t="s">
        <v>128</v>
      </c>
      <c r="Y1" s="1" t="s">
        <v>129</v>
      </c>
      <c r="Z1" s="1" t="s">
        <v>130</v>
      </c>
      <c r="AA1" s="1" t="s">
        <v>131</v>
      </c>
      <c r="AB1" s="1" t="s">
        <v>132</v>
      </c>
      <c r="AC1" s="1" t="s">
        <v>106</v>
      </c>
      <c r="AD1" s="1" t="s">
        <v>107</v>
      </c>
    </row>
    <row r="2" spans="1:30" ht="35.450000000000003" customHeight="1" x14ac:dyDescent="0.6">
      <c r="A2" s="3">
        <v>1</v>
      </c>
      <c r="B2" s="3"/>
      <c r="C2" s="4" t="s">
        <v>83</v>
      </c>
      <c r="D2" s="3">
        <v>4.47</v>
      </c>
      <c r="E2" s="3">
        <v>3.73</v>
      </c>
      <c r="F2" s="3">
        <v>3.74</v>
      </c>
      <c r="G2" s="3">
        <v>3.76</v>
      </c>
      <c r="H2" s="3">
        <v>3.76</v>
      </c>
      <c r="I2" s="3">
        <v>3.79</v>
      </c>
      <c r="J2" s="3">
        <v>3.78</v>
      </c>
      <c r="K2" s="3">
        <v>3.78</v>
      </c>
      <c r="L2" s="3">
        <v>3.77</v>
      </c>
      <c r="M2" s="3">
        <v>3.75</v>
      </c>
      <c r="N2" s="5">
        <v>4.3099999999999996</v>
      </c>
      <c r="O2" s="3">
        <v>3.78</v>
      </c>
      <c r="P2" s="3">
        <v>3.75</v>
      </c>
      <c r="Q2" s="3">
        <v>3.79</v>
      </c>
      <c r="R2" s="3">
        <v>3.77</v>
      </c>
      <c r="S2" s="3">
        <v>3.78</v>
      </c>
      <c r="T2" s="3">
        <v>3.77</v>
      </c>
      <c r="U2" s="3">
        <v>3.78</v>
      </c>
      <c r="V2" s="3">
        <v>3.75</v>
      </c>
      <c r="W2" s="3">
        <v>3.77</v>
      </c>
      <c r="X2" s="4">
        <v>3.78</v>
      </c>
      <c r="Y2" s="3">
        <v>3.76</v>
      </c>
      <c r="Z2" s="3">
        <v>3.78</v>
      </c>
      <c r="AA2" s="3">
        <v>3.76</v>
      </c>
      <c r="AB2" s="3">
        <v>3.77</v>
      </c>
      <c r="AC2" s="3">
        <v>2.5</v>
      </c>
      <c r="AD2" s="3">
        <v>2.4700000000000002</v>
      </c>
    </row>
    <row r="3" spans="1:30" ht="35.450000000000003" customHeight="1" x14ac:dyDescent="0.6">
      <c r="A3" s="3">
        <v>2</v>
      </c>
      <c r="B3" s="3"/>
      <c r="C3" s="4" t="s">
        <v>84</v>
      </c>
      <c r="D3" s="3">
        <v>4.43</v>
      </c>
      <c r="E3" s="3">
        <v>3.76</v>
      </c>
      <c r="F3" s="3">
        <v>3.76</v>
      </c>
      <c r="G3" s="3">
        <v>3.76</v>
      </c>
      <c r="H3" s="3">
        <v>3.77</v>
      </c>
      <c r="I3" s="3">
        <v>3.74</v>
      </c>
      <c r="J3" s="3">
        <v>3.75</v>
      </c>
      <c r="K3" s="3">
        <v>3.75</v>
      </c>
      <c r="L3" s="3">
        <v>3.74</v>
      </c>
      <c r="M3" s="3">
        <v>3.76</v>
      </c>
      <c r="N3" s="3">
        <v>3.75</v>
      </c>
      <c r="O3" s="3">
        <v>3.75</v>
      </c>
      <c r="P3" s="3">
        <v>3.76</v>
      </c>
      <c r="Q3" s="3">
        <v>3.77</v>
      </c>
      <c r="R3" s="3">
        <v>3.77</v>
      </c>
      <c r="S3" s="3">
        <v>3.77</v>
      </c>
      <c r="T3" s="3">
        <v>3.77</v>
      </c>
      <c r="U3" s="3">
        <v>3.77</v>
      </c>
      <c r="V3" s="3">
        <v>3.78</v>
      </c>
      <c r="W3" s="3">
        <v>3.78</v>
      </c>
      <c r="X3" s="3">
        <v>3.77</v>
      </c>
      <c r="Y3" s="3">
        <v>3.75</v>
      </c>
      <c r="Z3" s="3">
        <v>3.78</v>
      </c>
      <c r="AA3" s="3">
        <v>3.77</v>
      </c>
      <c r="AB3" s="3">
        <v>3.77</v>
      </c>
      <c r="AC3" s="3">
        <v>2.4700000000000002</v>
      </c>
      <c r="AD3" s="3">
        <v>2.48</v>
      </c>
    </row>
    <row r="4" spans="1:30" ht="35.450000000000003" customHeight="1" x14ac:dyDescent="0.6">
      <c r="A4" s="3">
        <v>3</v>
      </c>
      <c r="B4" s="3"/>
      <c r="C4" s="4" t="s">
        <v>85</v>
      </c>
      <c r="D4" s="3">
        <v>4.49</v>
      </c>
      <c r="E4" s="3">
        <v>3.78</v>
      </c>
      <c r="F4" s="3">
        <v>3.77</v>
      </c>
      <c r="G4" s="3">
        <v>3.79</v>
      </c>
      <c r="H4" s="3">
        <v>3.76</v>
      </c>
      <c r="I4" s="3">
        <v>3.77</v>
      </c>
      <c r="J4" s="3">
        <v>3.77</v>
      </c>
      <c r="K4" s="3">
        <v>3.78</v>
      </c>
      <c r="L4" s="3">
        <v>3.76</v>
      </c>
      <c r="M4" s="3">
        <v>3.78</v>
      </c>
      <c r="N4" s="3">
        <v>3.77</v>
      </c>
      <c r="O4" s="3">
        <v>3.77</v>
      </c>
      <c r="P4" s="3">
        <v>3.78</v>
      </c>
      <c r="Q4" s="3">
        <v>3.78</v>
      </c>
      <c r="R4" s="3">
        <v>3.78</v>
      </c>
      <c r="S4" s="3">
        <v>3.78</v>
      </c>
      <c r="T4" s="3">
        <v>3.79</v>
      </c>
      <c r="U4" s="3">
        <v>3.77</v>
      </c>
      <c r="V4" s="3">
        <v>3.77</v>
      </c>
      <c r="W4" s="3">
        <v>3.8</v>
      </c>
      <c r="X4" s="3">
        <v>3.78</v>
      </c>
      <c r="Y4" s="3">
        <v>3.7</v>
      </c>
      <c r="Z4" s="3">
        <v>3.78</v>
      </c>
      <c r="AA4" s="3">
        <v>3.77</v>
      </c>
      <c r="AB4" s="3">
        <v>3.77</v>
      </c>
      <c r="AC4" s="3">
        <v>2.5</v>
      </c>
      <c r="AD4" s="3">
        <v>2.48</v>
      </c>
    </row>
    <row r="5" spans="1:30" ht="35.450000000000003" customHeight="1" x14ac:dyDescent="0.6">
      <c r="A5" s="3">
        <v>4</v>
      </c>
      <c r="B5" s="3"/>
      <c r="C5" s="4" t="s">
        <v>86</v>
      </c>
      <c r="D5" s="3">
        <v>4.47</v>
      </c>
      <c r="E5" s="3">
        <v>3.76</v>
      </c>
      <c r="F5" s="3">
        <v>3.76</v>
      </c>
      <c r="G5" s="3">
        <v>3.75</v>
      </c>
      <c r="H5" s="3">
        <v>3.74</v>
      </c>
      <c r="I5" s="3">
        <v>3.75</v>
      </c>
      <c r="J5" s="3">
        <v>3.76</v>
      </c>
      <c r="K5" s="3">
        <v>3.77</v>
      </c>
      <c r="L5" s="3">
        <v>3.76</v>
      </c>
      <c r="M5" s="3">
        <v>3.76</v>
      </c>
      <c r="N5" s="3">
        <v>3.76</v>
      </c>
      <c r="O5" s="3">
        <v>3.76</v>
      </c>
      <c r="P5" s="3">
        <v>3.75</v>
      </c>
      <c r="Q5" s="3">
        <v>3.76</v>
      </c>
      <c r="R5" s="3">
        <v>3.76</v>
      </c>
      <c r="S5" s="3">
        <v>3.75</v>
      </c>
      <c r="T5" s="3">
        <v>3.75</v>
      </c>
      <c r="U5" s="3">
        <v>3.76</v>
      </c>
      <c r="V5" s="3">
        <v>3.75</v>
      </c>
      <c r="W5" s="3">
        <v>3.76</v>
      </c>
      <c r="X5" s="3">
        <v>3.76</v>
      </c>
      <c r="Y5" s="3">
        <v>3.76</v>
      </c>
      <c r="Z5" s="3">
        <v>3.76</v>
      </c>
      <c r="AA5" s="3">
        <v>3.76</v>
      </c>
      <c r="AB5" s="3">
        <v>3.75</v>
      </c>
      <c r="AC5" s="3">
        <v>2.44</v>
      </c>
      <c r="AD5" s="3">
        <v>2.5</v>
      </c>
    </row>
    <row r="6" spans="1:30" ht="35.450000000000003" customHeight="1" x14ac:dyDescent="0.6">
      <c r="A6" s="3">
        <v>5</v>
      </c>
      <c r="B6" s="3"/>
      <c r="C6" s="4" t="s">
        <v>87</v>
      </c>
      <c r="D6" s="3">
        <v>4.4800000000000004</v>
      </c>
      <c r="E6" s="5" t="s">
        <v>141</v>
      </c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</row>
    <row r="7" spans="1:30" ht="35.450000000000003" customHeight="1" x14ac:dyDescent="0.6">
      <c r="A7" s="3">
        <v>6</v>
      </c>
      <c r="B7" s="3"/>
      <c r="C7" s="4" t="s">
        <v>88</v>
      </c>
      <c r="D7" s="3">
        <v>4.4800000000000004</v>
      </c>
      <c r="E7" s="3">
        <v>3.77</v>
      </c>
      <c r="F7" s="3">
        <v>3.78</v>
      </c>
      <c r="G7" s="3">
        <v>3.78</v>
      </c>
      <c r="H7" s="3">
        <v>3.78</v>
      </c>
      <c r="I7" s="3">
        <v>3.77</v>
      </c>
      <c r="J7" s="3">
        <v>3.77</v>
      </c>
      <c r="K7" s="3">
        <v>3.78</v>
      </c>
      <c r="L7" s="3">
        <v>3.76</v>
      </c>
      <c r="M7" s="3">
        <v>3.77</v>
      </c>
      <c r="N7" s="3">
        <v>3.77</v>
      </c>
      <c r="O7" s="3">
        <v>3.77</v>
      </c>
      <c r="P7" s="3">
        <v>3.77</v>
      </c>
      <c r="Q7" s="3">
        <v>3.78</v>
      </c>
      <c r="R7" s="3">
        <v>3.78</v>
      </c>
      <c r="S7" s="3">
        <v>3.77</v>
      </c>
      <c r="T7" s="3">
        <v>3.77</v>
      </c>
      <c r="U7" s="3">
        <v>3.78</v>
      </c>
      <c r="V7" s="3">
        <v>3.77</v>
      </c>
      <c r="W7" s="3">
        <v>3.77</v>
      </c>
      <c r="X7" s="3">
        <v>3.76</v>
      </c>
      <c r="Y7" s="3">
        <v>3.77</v>
      </c>
      <c r="Z7" s="3">
        <v>3.76</v>
      </c>
      <c r="AA7" s="3">
        <v>3.71</v>
      </c>
      <c r="AB7" s="3">
        <v>3.77</v>
      </c>
      <c r="AC7" s="3">
        <v>2.48</v>
      </c>
      <c r="AD7" s="3">
        <v>2.4700000000000002</v>
      </c>
    </row>
    <row r="8" spans="1:30" ht="35.450000000000003" customHeight="1" x14ac:dyDescent="0.6">
      <c r="A8" s="3">
        <v>7</v>
      </c>
      <c r="B8" s="3"/>
      <c r="C8" s="4" t="s">
        <v>89</v>
      </c>
      <c r="D8" s="3">
        <v>4.5</v>
      </c>
      <c r="E8" s="3">
        <v>3.69</v>
      </c>
      <c r="F8" s="3">
        <v>3.77</v>
      </c>
      <c r="G8" s="3">
        <v>3.78</v>
      </c>
      <c r="H8" s="3">
        <v>3.77</v>
      </c>
      <c r="I8" s="3">
        <v>3.77</v>
      </c>
      <c r="J8" s="3">
        <v>3.77</v>
      </c>
      <c r="K8" s="3">
        <v>3.77</v>
      </c>
      <c r="L8" s="3">
        <v>3.77</v>
      </c>
      <c r="M8" s="3">
        <v>3.77</v>
      </c>
      <c r="N8" s="3">
        <v>3.77</v>
      </c>
      <c r="O8" s="3">
        <v>3.77</v>
      </c>
      <c r="P8" s="3">
        <v>3.78</v>
      </c>
      <c r="Q8" s="3">
        <v>3.78</v>
      </c>
      <c r="R8" s="3">
        <v>3.77</v>
      </c>
      <c r="S8" s="3">
        <v>3.79</v>
      </c>
      <c r="T8" s="3">
        <v>3.77</v>
      </c>
      <c r="U8" s="3">
        <v>3.78</v>
      </c>
      <c r="V8" s="3">
        <v>3.78</v>
      </c>
      <c r="W8" s="3">
        <v>3.78</v>
      </c>
      <c r="X8" s="3">
        <v>3.77</v>
      </c>
      <c r="Y8" s="3">
        <v>3.78</v>
      </c>
      <c r="Z8" s="3">
        <v>3.79</v>
      </c>
      <c r="AA8" s="3">
        <v>3.78</v>
      </c>
      <c r="AB8" s="3">
        <v>3.78</v>
      </c>
      <c r="AC8" s="3">
        <v>2.4900000000000002</v>
      </c>
      <c r="AD8" s="3">
        <v>2.48</v>
      </c>
    </row>
    <row r="9" spans="1:30" ht="35.450000000000003" customHeight="1" x14ac:dyDescent="0.6">
      <c r="A9" s="3">
        <v>8</v>
      </c>
      <c r="B9" s="3"/>
      <c r="C9" s="4" t="s">
        <v>105</v>
      </c>
      <c r="D9" s="3">
        <v>4.4800000000000004</v>
      </c>
      <c r="E9" s="3">
        <v>3.75</v>
      </c>
      <c r="F9" s="3">
        <v>3.76</v>
      </c>
      <c r="G9" s="3">
        <v>3.75</v>
      </c>
      <c r="H9" s="3">
        <v>3.76</v>
      </c>
      <c r="I9" s="3">
        <v>3.76</v>
      </c>
      <c r="J9" s="3">
        <v>3.75</v>
      </c>
      <c r="K9" s="3">
        <v>3.75</v>
      </c>
      <c r="L9" s="3">
        <v>3.76</v>
      </c>
      <c r="M9" s="3">
        <v>3.75</v>
      </c>
      <c r="N9" s="3">
        <v>3.75</v>
      </c>
      <c r="O9" s="3">
        <v>3.75</v>
      </c>
      <c r="P9" s="3">
        <v>3.76</v>
      </c>
      <c r="Q9" s="3">
        <v>3.76</v>
      </c>
      <c r="R9" s="3">
        <v>3.75</v>
      </c>
      <c r="S9" s="3">
        <v>3.75</v>
      </c>
      <c r="T9" s="3">
        <v>3.78</v>
      </c>
      <c r="U9" s="3">
        <v>3.77</v>
      </c>
      <c r="V9" s="3">
        <v>3.76</v>
      </c>
      <c r="W9" s="3">
        <v>3.75</v>
      </c>
      <c r="X9" s="3">
        <v>3.77</v>
      </c>
      <c r="Y9" s="3">
        <v>3.77</v>
      </c>
      <c r="Z9" s="3">
        <v>3.76</v>
      </c>
      <c r="AA9" s="3">
        <v>3.75</v>
      </c>
      <c r="AB9" s="3">
        <v>3.76</v>
      </c>
      <c r="AC9" s="3">
        <v>2.5099999999999998</v>
      </c>
      <c r="AD9" s="3">
        <v>2.4500000000000002</v>
      </c>
    </row>
    <row r="10" spans="1:30" ht="35.450000000000003" customHeight="1" x14ac:dyDescent="0.6">
      <c r="A10" s="3">
        <v>9</v>
      </c>
      <c r="B10" s="3"/>
      <c r="C10" s="4" t="s">
        <v>90</v>
      </c>
      <c r="D10" s="3">
        <v>4.4800000000000004</v>
      </c>
      <c r="E10" s="3">
        <v>3.77</v>
      </c>
      <c r="F10" s="3">
        <v>3.77</v>
      </c>
      <c r="G10" s="3">
        <v>3.77</v>
      </c>
      <c r="H10" s="3">
        <v>3.76</v>
      </c>
      <c r="I10" s="3">
        <v>3.76</v>
      </c>
      <c r="J10" s="3">
        <v>3.76</v>
      </c>
      <c r="K10" s="3">
        <v>3.76</v>
      </c>
      <c r="L10" s="3">
        <v>3.75</v>
      </c>
      <c r="M10" s="3">
        <v>3.77</v>
      </c>
      <c r="N10" s="3">
        <v>3.77</v>
      </c>
      <c r="O10" s="3">
        <v>3.77</v>
      </c>
      <c r="P10" s="3">
        <v>3.76</v>
      </c>
      <c r="Q10" s="3">
        <v>3.76</v>
      </c>
      <c r="R10" s="3">
        <v>3.78</v>
      </c>
      <c r="S10" s="3">
        <v>3.77</v>
      </c>
      <c r="T10" s="3">
        <v>3.77</v>
      </c>
      <c r="U10" s="3">
        <v>3.75</v>
      </c>
      <c r="V10" s="3">
        <v>3.77</v>
      </c>
      <c r="W10" s="3">
        <v>3.77</v>
      </c>
      <c r="X10" s="3">
        <v>3.78</v>
      </c>
      <c r="Y10" s="3">
        <v>3.77</v>
      </c>
      <c r="Z10" s="3">
        <v>3.76</v>
      </c>
      <c r="AA10" s="3">
        <v>3.76</v>
      </c>
      <c r="AB10" s="3">
        <v>3.76</v>
      </c>
      <c r="AC10" s="3">
        <v>2.4900000000000002</v>
      </c>
      <c r="AD10" s="3">
        <v>2.4900000000000002</v>
      </c>
    </row>
    <row r="11" spans="1:30" ht="35.450000000000003" customHeight="1" x14ac:dyDescent="0.6">
      <c r="A11" s="3">
        <v>10</v>
      </c>
      <c r="B11" s="8"/>
      <c r="C11" s="7" t="s">
        <v>91</v>
      </c>
      <c r="D11" s="3">
        <v>4.46</v>
      </c>
      <c r="E11" s="3">
        <v>3.74</v>
      </c>
      <c r="F11" s="3">
        <v>3.74</v>
      </c>
      <c r="G11" s="3">
        <v>3.73</v>
      </c>
      <c r="H11" s="3">
        <v>3.74</v>
      </c>
      <c r="I11" s="3">
        <v>3.73</v>
      </c>
      <c r="J11" s="3">
        <v>3.73</v>
      </c>
      <c r="K11" s="3">
        <v>3.73</v>
      </c>
      <c r="L11" s="3">
        <v>3.73</v>
      </c>
      <c r="M11" s="3">
        <v>3.73</v>
      </c>
      <c r="N11" s="3">
        <v>3.74</v>
      </c>
      <c r="O11" s="3">
        <v>3.74</v>
      </c>
      <c r="P11" s="3">
        <v>3.72</v>
      </c>
      <c r="Q11" s="3">
        <v>3.75</v>
      </c>
      <c r="R11" s="3">
        <v>3.75</v>
      </c>
      <c r="S11" s="3">
        <v>3.75</v>
      </c>
      <c r="T11" s="3">
        <v>3.75</v>
      </c>
      <c r="U11" s="3">
        <v>3.75</v>
      </c>
      <c r="V11" s="3">
        <v>3.75</v>
      </c>
      <c r="W11" s="3">
        <v>3.75</v>
      </c>
      <c r="X11" s="3">
        <v>3.75</v>
      </c>
      <c r="Y11" s="3">
        <v>3.75</v>
      </c>
      <c r="Z11" s="3">
        <v>3.75</v>
      </c>
      <c r="AA11" s="3">
        <v>3.75</v>
      </c>
      <c r="AB11" s="3">
        <v>3.75</v>
      </c>
      <c r="AC11" s="3">
        <v>2.4700000000000002</v>
      </c>
      <c r="AD11" s="3">
        <v>2.4900000000000002</v>
      </c>
    </row>
    <row r="12" spans="1:30" ht="35.450000000000003" customHeight="1" x14ac:dyDescent="0.6">
      <c r="A12" s="3">
        <v>11</v>
      </c>
      <c r="B12" s="8"/>
      <c r="C12" s="7" t="s">
        <v>92</v>
      </c>
      <c r="D12" s="5">
        <v>4.97</v>
      </c>
      <c r="E12" s="5">
        <v>4</v>
      </c>
      <c r="F12" s="5">
        <v>4.16</v>
      </c>
      <c r="G12" s="5">
        <v>4.12</v>
      </c>
      <c r="H12" s="5">
        <v>4.0199999999999996</v>
      </c>
      <c r="I12" s="5">
        <v>4.1500000000000004</v>
      </c>
      <c r="J12" s="5">
        <v>4.0599999999999996</v>
      </c>
      <c r="K12" s="5">
        <v>4.03</v>
      </c>
      <c r="L12" s="5">
        <v>4.1500000000000004</v>
      </c>
      <c r="M12" s="5">
        <v>3.86</v>
      </c>
      <c r="N12" s="5">
        <v>4.33</v>
      </c>
      <c r="O12" s="5">
        <v>4.18</v>
      </c>
      <c r="P12" s="5">
        <v>4.12</v>
      </c>
      <c r="Q12" s="5">
        <v>4.32</v>
      </c>
      <c r="R12" s="5">
        <v>4.03</v>
      </c>
      <c r="S12" s="5">
        <v>3.98</v>
      </c>
      <c r="T12" s="5">
        <v>3.98</v>
      </c>
      <c r="U12" s="5">
        <v>3.95</v>
      </c>
      <c r="V12" s="5">
        <v>4.1100000000000003</v>
      </c>
      <c r="W12" s="5">
        <v>4.1900000000000004</v>
      </c>
      <c r="X12" s="5">
        <v>4.1100000000000003</v>
      </c>
      <c r="Y12" s="5">
        <v>4.09</v>
      </c>
      <c r="Z12" s="5">
        <v>4.1100000000000003</v>
      </c>
      <c r="AA12" s="5">
        <v>4.1399999999999997</v>
      </c>
      <c r="AB12" s="5">
        <v>3.92</v>
      </c>
      <c r="AC12" s="3">
        <v>2.54</v>
      </c>
      <c r="AD12" s="3">
        <v>2.5099999999999998</v>
      </c>
    </row>
    <row r="13" spans="1:30" ht="35.450000000000003" customHeight="1" x14ac:dyDescent="0.6">
      <c r="A13" s="3">
        <v>12</v>
      </c>
      <c r="B13" s="8"/>
      <c r="C13" s="7" t="s">
        <v>93</v>
      </c>
      <c r="D13" s="3">
        <v>4.5</v>
      </c>
      <c r="E13" s="3">
        <v>3.8</v>
      </c>
      <c r="F13" s="3">
        <v>3.78</v>
      </c>
      <c r="G13" s="3">
        <v>3.78</v>
      </c>
      <c r="H13" s="3">
        <v>3.78</v>
      </c>
      <c r="I13" s="3">
        <v>3.78</v>
      </c>
      <c r="J13" s="3">
        <v>3.78</v>
      </c>
      <c r="K13" s="3">
        <v>3.78</v>
      </c>
      <c r="L13" s="3">
        <v>3.79</v>
      </c>
      <c r="M13" s="3">
        <v>3.78</v>
      </c>
      <c r="N13" s="3">
        <v>3.78</v>
      </c>
      <c r="O13" s="3">
        <v>3.78</v>
      </c>
      <c r="P13" s="3">
        <v>3.78</v>
      </c>
      <c r="Q13" s="3">
        <v>3.77</v>
      </c>
      <c r="R13" s="3">
        <v>3.79</v>
      </c>
      <c r="S13" s="3">
        <v>3.79</v>
      </c>
      <c r="T13" s="3">
        <v>3.79</v>
      </c>
      <c r="U13" s="3">
        <v>3.78</v>
      </c>
      <c r="V13" s="3">
        <v>3.78</v>
      </c>
      <c r="W13" s="3">
        <v>3.78</v>
      </c>
      <c r="X13" s="3">
        <v>3.77</v>
      </c>
      <c r="Y13" s="3">
        <v>3.79</v>
      </c>
      <c r="Z13" s="3">
        <v>3.79</v>
      </c>
      <c r="AA13" s="3">
        <v>3.79</v>
      </c>
      <c r="AB13" s="3">
        <v>3.78</v>
      </c>
      <c r="AC13" s="3">
        <v>2.5099999999999998</v>
      </c>
      <c r="AD13" s="3">
        <v>2.4700000000000002</v>
      </c>
    </row>
    <row r="14" spans="1:30" ht="35.450000000000003" customHeight="1" x14ac:dyDescent="0.6">
      <c r="A14" s="3">
        <v>13</v>
      </c>
      <c r="B14" s="8"/>
      <c r="C14" s="7" t="s">
        <v>94</v>
      </c>
      <c r="D14" s="5" t="s">
        <v>141</v>
      </c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</row>
    <row r="15" spans="1:30" ht="35.450000000000003" customHeight="1" x14ac:dyDescent="0.6">
      <c r="A15" s="3">
        <v>14</v>
      </c>
      <c r="B15" s="8"/>
      <c r="C15" s="7" t="s">
        <v>95</v>
      </c>
      <c r="D15" s="3">
        <v>4.49</v>
      </c>
      <c r="E15" s="3">
        <v>3.77</v>
      </c>
      <c r="F15" s="3">
        <v>3.77</v>
      </c>
      <c r="G15" s="3">
        <v>3.77</v>
      </c>
      <c r="H15" s="3">
        <v>3.77</v>
      </c>
      <c r="I15" s="3">
        <v>3.76</v>
      </c>
      <c r="J15" s="3">
        <v>3.76</v>
      </c>
      <c r="K15" s="3">
        <v>3.77</v>
      </c>
      <c r="L15" s="3">
        <v>3.77</v>
      </c>
      <c r="M15" s="3">
        <v>3.77</v>
      </c>
      <c r="N15" s="3">
        <v>3.76</v>
      </c>
      <c r="O15" s="3">
        <v>3.76</v>
      </c>
      <c r="P15" s="3">
        <v>3.77</v>
      </c>
      <c r="Q15" s="3">
        <v>3.77</v>
      </c>
      <c r="R15" s="3">
        <v>3.77</v>
      </c>
      <c r="S15" s="3">
        <v>3.77</v>
      </c>
      <c r="T15" s="3">
        <v>3.77</v>
      </c>
      <c r="U15" s="3">
        <v>3.77</v>
      </c>
      <c r="V15" s="3">
        <v>3.78</v>
      </c>
      <c r="W15" s="3">
        <v>3.78</v>
      </c>
      <c r="X15" s="3">
        <v>3.77</v>
      </c>
      <c r="Y15" s="3">
        <v>3.78</v>
      </c>
      <c r="Z15" s="3">
        <v>3.77</v>
      </c>
      <c r="AA15" s="3">
        <v>3.78</v>
      </c>
      <c r="AB15" s="3">
        <v>3.77</v>
      </c>
      <c r="AC15" s="3">
        <v>2.5099999999999998</v>
      </c>
      <c r="AD15" s="3">
        <v>2.46</v>
      </c>
    </row>
    <row r="16" spans="1:30" ht="35.450000000000003" customHeight="1" x14ac:dyDescent="0.6">
      <c r="A16" s="3">
        <v>15</v>
      </c>
      <c r="B16" s="8"/>
      <c r="C16" s="7" t="s">
        <v>96</v>
      </c>
      <c r="D16" s="3">
        <v>4.49</v>
      </c>
      <c r="E16" s="3">
        <v>3.77</v>
      </c>
      <c r="F16" s="3">
        <v>3.78</v>
      </c>
      <c r="G16" s="3">
        <v>3.76</v>
      </c>
      <c r="H16" s="3">
        <v>3.77</v>
      </c>
      <c r="I16" s="3">
        <v>3.77</v>
      </c>
      <c r="J16" s="3">
        <v>3.78</v>
      </c>
      <c r="K16" s="3">
        <v>3.77</v>
      </c>
      <c r="L16" s="3">
        <v>3.77</v>
      </c>
      <c r="M16" s="3">
        <v>3.77</v>
      </c>
      <c r="N16" s="3">
        <v>3.78</v>
      </c>
      <c r="O16" s="3">
        <v>3.78</v>
      </c>
      <c r="P16" s="3">
        <v>3.78</v>
      </c>
      <c r="Q16" s="3">
        <v>3.78</v>
      </c>
      <c r="R16" s="3">
        <v>3.78</v>
      </c>
      <c r="S16" s="3">
        <v>3.77</v>
      </c>
      <c r="T16" s="3">
        <v>3.79</v>
      </c>
      <c r="U16" s="3">
        <v>3.78</v>
      </c>
      <c r="V16" s="3">
        <v>3.78</v>
      </c>
      <c r="W16" s="3">
        <v>3.77</v>
      </c>
      <c r="X16" s="3">
        <v>3.78</v>
      </c>
      <c r="Y16" s="3">
        <v>3.77</v>
      </c>
      <c r="Z16" s="3">
        <v>3.78</v>
      </c>
      <c r="AA16" s="3">
        <v>3.78</v>
      </c>
      <c r="AB16" s="3">
        <v>3.78</v>
      </c>
      <c r="AC16" s="3">
        <v>2.4700000000000002</v>
      </c>
      <c r="AD16" s="3">
        <v>2.5099999999999998</v>
      </c>
    </row>
    <row r="17" spans="1:30" ht="35.450000000000003" customHeight="1" x14ac:dyDescent="0.6">
      <c r="A17" s="3">
        <v>16</v>
      </c>
      <c r="B17" s="8"/>
      <c r="C17" s="7" t="s">
        <v>97</v>
      </c>
      <c r="D17" s="3">
        <v>4.49</v>
      </c>
      <c r="E17" s="3">
        <v>3.78</v>
      </c>
      <c r="F17" s="3">
        <v>3.79</v>
      </c>
      <c r="G17" s="3">
        <v>3.77</v>
      </c>
      <c r="H17" s="3">
        <v>3.8</v>
      </c>
      <c r="I17" s="3">
        <v>3.79</v>
      </c>
      <c r="J17" s="3">
        <v>3.79</v>
      </c>
      <c r="K17" s="3">
        <v>3.77</v>
      </c>
      <c r="L17" s="3">
        <v>3.78</v>
      </c>
      <c r="M17" s="3">
        <v>3.8</v>
      </c>
      <c r="N17" s="3">
        <v>3.78</v>
      </c>
      <c r="O17" s="3">
        <v>3.79</v>
      </c>
      <c r="P17" s="3">
        <v>3.77</v>
      </c>
      <c r="Q17" s="5" t="s">
        <v>141</v>
      </c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3">
        <v>2.52</v>
      </c>
      <c r="AD17" s="3">
        <v>2.46</v>
      </c>
    </row>
    <row r="18" spans="1:30" ht="35.450000000000003" customHeight="1" x14ac:dyDescent="0.6">
      <c r="A18" s="3">
        <v>17</v>
      </c>
      <c r="B18" s="8"/>
      <c r="C18" s="7" t="s">
        <v>98</v>
      </c>
      <c r="D18" s="3">
        <v>4.47</v>
      </c>
      <c r="E18" s="3">
        <v>3.77</v>
      </c>
      <c r="F18" s="3">
        <v>3.79</v>
      </c>
      <c r="G18" s="3">
        <v>3.78</v>
      </c>
      <c r="H18" s="3">
        <v>3.78</v>
      </c>
      <c r="I18" s="3">
        <v>3.78</v>
      </c>
      <c r="J18" s="3">
        <v>3.79</v>
      </c>
      <c r="K18" s="3">
        <v>3.78</v>
      </c>
      <c r="L18" s="3">
        <v>3.78</v>
      </c>
      <c r="M18" s="3">
        <v>3.78</v>
      </c>
      <c r="N18" s="3">
        <v>3.78</v>
      </c>
      <c r="O18" s="3">
        <v>3.79</v>
      </c>
      <c r="P18" s="3">
        <v>3.78</v>
      </c>
      <c r="Q18" s="3">
        <v>3.77</v>
      </c>
      <c r="R18" s="3">
        <v>3.78</v>
      </c>
      <c r="S18" s="3">
        <v>3.78</v>
      </c>
      <c r="T18" s="3">
        <v>3.78</v>
      </c>
      <c r="U18" s="3">
        <v>3.78</v>
      </c>
      <c r="V18" s="3">
        <v>3.78</v>
      </c>
      <c r="W18" s="3">
        <v>3.77</v>
      </c>
      <c r="X18" s="3">
        <v>3.77</v>
      </c>
      <c r="Y18" s="3">
        <v>3.78</v>
      </c>
      <c r="Z18" s="3">
        <v>3.78</v>
      </c>
      <c r="AA18" s="3">
        <v>3.79</v>
      </c>
      <c r="AB18" s="3">
        <v>3.79</v>
      </c>
      <c r="AC18" s="3">
        <v>2.4900000000000002</v>
      </c>
      <c r="AD18" s="3">
        <v>2.4700000000000002</v>
      </c>
    </row>
    <row r="19" spans="1:30" ht="35.450000000000003" customHeight="1" x14ac:dyDescent="0.6">
      <c r="A19" s="3">
        <v>18</v>
      </c>
      <c r="B19" s="8"/>
      <c r="C19" s="7" t="s">
        <v>99</v>
      </c>
      <c r="D19" s="3">
        <v>4.49</v>
      </c>
      <c r="E19" s="3">
        <v>3.78</v>
      </c>
      <c r="F19" s="3">
        <v>3.77</v>
      </c>
      <c r="G19" s="3">
        <v>3.78</v>
      </c>
      <c r="H19" s="3">
        <v>3.78</v>
      </c>
      <c r="I19" s="3">
        <v>3.78</v>
      </c>
      <c r="J19" s="3">
        <v>3.78</v>
      </c>
      <c r="K19" s="3">
        <v>3.78</v>
      </c>
      <c r="L19" s="3">
        <v>3.77</v>
      </c>
      <c r="M19" s="3">
        <v>3.78</v>
      </c>
      <c r="N19" s="3">
        <v>3.77</v>
      </c>
      <c r="O19" s="3">
        <v>3.78</v>
      </c>
      <c r="P19" s="3">
        <v>3.78</v>
      </c>
      <c r="Q19" s="3">
        <v>3.78</v>
      </c>
      <c r="R19" s="3">
        <v>3.77</v>
      </c>
      <c r="S19" s="3">
        <v>3.78</v>
      </c>
      <c r="T19" s="3">
        <v>3.77</v>
      </c>
      <c r="U19" s="3">
        <v>3.79</v>
      </c>
      <c r="V19" s="3">
        <v>3.77</v>
      </c>
      <c r="W19" s="3">
        <v>3.79</v>
      </c>
      <c r="X19" s="3">
        <v>3.79</v>
      </c>
      <c r="Y19" s="3">
        <v>3.78</v>
      </c>
      <c r="Z19" s="3">
        <v>3.78</v>
      </c>
      <c r="AA19" s="3" t="s">
        <v>142</v>
      </c>
      <c r="AB19" s="3">
        <v>3.79</v>
      </c>
      <c r="AC19" s="3">
        <v>2.5</v>
      </c>
      <c r="AD19" s="3">
        <v>2.46</v>
      </c>
    </row>
    <row r="20" spans="1:30" ht="35.450000000000003" customHeight="1" x14ac:dyDescent="0.6">
      <c r="A20" s="3">
        <v>19</v>
      </c>
      <c r="B20" s="8"/>
      <c r="C20" s="7" t="s">
        <v>100</v>
      </c>
      <c r="D20" s="3">
        <v>4.47</v>
      </c>
      <c r="E20" s="3">
        <v>3.75</v>
      </c>
      <c r="F20" s="3">
        <v>3.75</v>
      </c>
      <c r="G20" s="3">
        <v>3.76</v>
      </c>
      <c r="H20" s="3">
        <v>3.76</v>
      </c>
      <c r="I20" s="3">
        <v>3.76</v>
      </c>
      <c r="J20" s="3">
        <v>3.75</v>
      </c>
      <c r="K20" s="3">
        <v>3.77</v>
      </c>
      <c r="L20" s="3">
        <v>3.76</v>
      </c>
      <c r="M20" s="3">
        <v>3.76</v>
      </c>
      <c r="N20" s="3">
        <v>3.76</v>
      </c>
      <c r="O20" s="3">
        <v>3.75</v>
      </c>
      <c r="P20" s="3">
        <v>3.75</v>
      </c>
      <c r="Q20" s="3">
        <v>3.77</v>
      </c>
      <c r="R20" s="3">
        <v>3.78</v>
      </c>
      <c r="S20" s="3">
        <v>3.75</v>
      </c>
      <c r="T20" s="3">
        <v>3.77</v>
      </c>
      <c r="U20" s="3">
        <v>3.76</v>
      </c>
      <c r="V20" s="3">
        <v>3.76</v>
      </c>
      <c r="W20" s="3">
        <v>3.76</v>
      </c>
      <c r="X20" s="3">
        <v>3.76</v>
      </c>
      <c r="Y20" s="3">
        <v>3.76</v>
      </c>
      <c r="Z20" s="3">
        <v>3.76</v>
      </c>
      <c r="AA20" s="3">
        <v>3.77</v>
      </c>
      <c r="AB20" s="3">
        <v>3.76</v>
      </c>
      <c r="AC20" s="3">
        <v>2.5</v>
      </c>
      <c r="AD20" s="3">
        <v>2.44</v>
      </c>
    </row>
    <row r="21" spans="1:30" ht="35.450000000000003" customHeight="1" x14ac:dyDescent="0.6">
      <c r="A21" s="3">
        <v>20</v>
      </c>
      <c r="B21" s="8"/>
      <c r="C21" s="7" t="s">
        <v>101</v>
      </c>
      <c r="D21" s="3">
        <v>4.4800000000000004</v>
      </c>
      <c r="E21" s="3">
        <v>3.77</v>
      </c>
      <c r="F21" s="3">
        <v>3.77</v>
      </c>
      <c r="G21" s="3">
        <v>3.77</v>
      </c>
      <c r="H21" s="3">
        <v>3.77</v>
      </c>
      <c r="I21" s="3">
        <v>3.78</v>
      </c>
      <c r="J21" s="3">
        <v>3.76</v>
      </c>
      <c r="K21" s="3">
        <v>3.77</v>
      </c>
      <c r="L21" s="3">
        <v>3.78</v>
      </c>
      <c r="M21" s="3">
        <v>3.77</v>
      </c>
      <c r="N21" s="3">
        <v>3.78</v>
      </c>
      <c r="O21" s="3">
        <v>3.77</v>
      </c>
      <c r="P21" s="3">
        <v>3.78</v>
      </c>
      <c r="Q21" s="3">
        <v>3.79</v>
      </c>
      <c r="R21" s="3">
        <v>3.78</v>
      </c>
      <c r="S21" s="3">
        <v>3.77</v>
      </c>
      <c r="T21" s="3">
        <v>3.76</v>
      </c>
      <c r="U21" s="3">
        <v>3.78</v>
      </c>
      <c r="V21" s="3">
        <v>3.77</v>
      </c>
      <c r="W21" s="3">
        <v>3.79</v>
      </c>
      <c r="X21" s="3">
        <v>3.77</v>
      </c>
      <c r="Y21" s="3">
        <v>3.78</v>
      </c>
      <c r="Z21" s="3">
        <v>3.77</v>
      </c>
      <c r="AA21" s="3">
        <v>3.78</v>
      </c>
      <c r="AB21" s="3">
        <v>3.78</v>
      </c>
      <c r="AC21" s="3">
        <v>2.48</v>
      </c>
      <c r="AD21" s="3">
        <v>2.4700000000000002</v>
      </c>
    </row>
    <row r="22" spans="1:30" ht="35.450000000000003" customHeight="1" x14ac:dyDescent="0.6">
      <c r="A22" s="3">
        <v>21</v>
      </c>
      <c r="B22" s="8"/>
      <c r="C22" s="7" t="s">
        <v>102</v>
      </c>
      <c r="D22" s="3">
        <v>4.4800000000000004</v>
      </c>
      <c r="E22" s="3">
        <v>3.78</v>
      </c>
      <c r="F22" s="3">
        <v>3.78</v>
      </c>
      <c r="G22" s="3">
        <v>3.76</v>
      </c>
      <c r="H22" s="3">
        <v>3.77</v>
      </c>
      <c r="I22" s="3">
        <v>3.77</v>
      </c>
      <c r="J22" s="3">
        <v>3.76</v>
      </c>
      <c r="K22" s="3">
        <v>3.78</v>
      </c>
      <c r="L22" s="3">
        <v>3.77</v>
      </c>
      <c r="M22" s="3">
        <v>3.77</v>
      </c>
      <c r="N22" s="3">
        <v>3.77</v>
      </c>
      <c r="O22" s="3">
        <v>3.78</v>
      </c>
      <c r="P22" s="3">
        <v>3.78</v>
      </c>
      <c r="Q22" s="3">
        <v>3.77</v>
      </c>
      <c r="R22" s="4">
        <v>3.77</v>
      </c>
      <c r="S22" s="3">
        <v>3.76</v>
      </c>
      <c r="T22" s="3">
        <v>3.77</v>
      </c>
      <c r="U22" s="3">
        <v>3.77</v>
      </c>
      <c r="V22" s="3">
        <v>3.77</v>
      </c>
      <c r="W22" s="3">
        <v>3.78</v>
      </c>
      <c r="X22" s="3">
        <v>3.77</v>
      </c>
      <c r="Y22" s="3">
        <v>3.77</v>
      </c>
      <c r="Z22" s="3">
        <v>3.77</v>
      </c>
      <c r="AA22" s="3">
        <v>3.77</v>
      </c>
      <c r="AB22" s="3">
        <v>3.79</v>
      </c>
      <c r="AC22" s="3">
        <v>2.4700000000000002</v>
      </c>
      <c r="AD22" s="3">
        <v>2.48</v>
      </c>
    </row>
    <row r="23" spans="1:30" ht="35.450000000000003" customHeight="1" x14ac:dyDescent="0.6">
      <c r="A23" s="3">
        <v>22</v>
      </c>
      <c r="B23" s="8"/>
      <c r="C23" s="7" t="s">
        <v>103</v>
      </c>
      <c r="D23" s="3">
        <v>4.49</v>
      </c>
      <c r="E23" s="3">
        <v>3.78</v>
      </c>
      <c r="F23" s="3">
        <v>3.78</v>
      </c>
      <c r="G23" s="3">
        <v>3.77</v>
      </c>
      <c r="H23" s="3">
        <v>3.78</v>
      </c>
      <c r="I23" s="3">
        <v>3.78</v>
      </c>
      <c r="J23" s="3">
        <v>3.76</v>
      </c>
      <c r="K23" s="3">
        <v>3.78</v>
      </c>
      <c r="L23" s="3">
        <v>3.77</v>
      </c>
      <c r="M23" s="3">
        <v>3.76</v>
      </c>
      <c r="N23" s="3">
        <v>3.77</v>
      </c>
      <c r="O23" s="3">
        <v>3.76</v>
      </c>
      <c r="P23" s="3">
        <v>3.77</v>
      </c>
      <c r="Q23" s="3">
        <v>3.78</v>
      </c>
      <c r="R23" s="3">
        <v>3.77</v>
      </c>
      <c r="S23" s="3">
        <v>3.79</v>
      </c>
      <c r="T23" s="3">
        <v>3.78</v>
      </c>
      <c r="U23" s="3">
        <v>3.79</v>
      </c>
      <c r="V23" s="3">
        <v>3.77</v>
      </c>
      <c r="W23" s="3">
        <v>3.79</v>
      </c>
      <c r="X23" s="3">
        <v>3.79</v>
      </c>
      <c r="Y23" s="3">
        <v>3.77</v>
      </c>
      <c r="Z23" s="3">
        <v>3.77</v>
      </c>
      <c r="AA23" s="3">
        <v>3.77</v>
      </c>
      <c r="AB23" s="3">
        <v>3.78</v>
      </c>
      <c r="AC23" s="3">
        <v>2.48</v>
      </c>
      <c r="AD23" s="3">
        <v>2.4900000000000002</v>
      </c>
    </row>
    <row r="24" spans="1:30" ht="35.450000000000003" customHeight="1" x14ac:dyDescent="0.6">
      <c r="A24" s="3">
        <v>23</v>
      </c>
      <c r="B24" s="8"/>
      <c r="C24" s="7" t="s">
        <v>104</v>
      </c>
      <c r="D24" s="3">
        <v>4.49</v>
      </c>
      <c r="E24" s="3">
        <v>3.78</v>
      </c>
      <c r="F24" s="3">
        <v>3.77</v>
      </c>
      <c r="G24" s="3">
        <v>3.78</v>
      </c>
      <c r="H24" s="3">
        <v>3.78</v>
      </c>
      <c r="I24" s="3">
        <v>3.78</v>
      </c>
      <c r="J24" s="3">
        <v>3.77</v>
      </c>
      <c r="K24" s="3">
        <v>3.76</v>
      </c>
      <c r="L24" s="3">
        <v>3.76</v>
      </c>
      <c r="M24" s="3">
        <v>3.77</v>
      </c>
      <c r="N24" s="3">
        <v>3.77</v>
      </c>
      <c r="O24" s="3">
        <v>3.78</v>
      </c>
      <c r="P24" s="3">
        <v>3.76</v>
      </c>
      <c r="Q24" s="5" t="s">
        <v>141</v>
      </c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3">
        <v>2.4700000000000002</v>
      </c>
      <c r="AD24" s="3">
        <v>2.5</v>
      </c>
    </row>
    <row r="25" spans="1:30" ht="35.450000000000003" customHeight="1" x14ac:dyDescent="0.6"/>
    <row r="26" spans="1:30" ht="35.450000000000003" customHeight="1" x14ac:dyDescent="0.6"/>
    <row r="27" spans="1:30" ht="35.450000000000003" customHeight="1" x14ac:dyDescent="0.6"/>
    <row r="28" spans="1:30" ht="35.450000000000003" customHeight="1" x14ac:dyDescent="0.6"/>
    <row r="29" spans="1:30" ht="35.450000000000003" customHeight="1" x14ac:dyDescent="0.6"/>
    <row r="30" spans="1:30" ht="35.450000000000003" customHeight="1" x14ac:dyDescent="0.6"/>
    <row r="31" spans="1:30" ht="35.450000000000003" customHeight="1" x14ac:dyDescent="0.6"/>
    <row r="32" spans="1:30" ht="35.450000000000003" customHeight="1" x14ac:dyDescent="0.6"/>
    <row r="33" ht="35.450000000000003" customHeight="1" x14ac:dyDescent="0.6"/>
    <row r="34" ht="35.450000000000003" customHeight="1" x14ac:dyDescent="0.6"/>
    <row r="35" ht="35.450000000000003" customHeight="1" x14ac:dyDescent="0.6"/>
    <row r="36" ht="35.450000000000003" customHeight="1" x14ac:dyDescent="0.6"/>
    <row r="37" ht="35.450000000000003" customHeight="1" x14ac:dyDescent="0.6"/>
    <row r="38" ht="35.450000000000003" customHeight="1" x14ac:dyDescent="0.6"/>
    <row r="39" ht="35.450000000000003" customHeight="1" x14ac:dyDescent="0.6"/>
    <row r="40" ht="35.450000000000003" customHeight="1" x14ac:dyDescent="0.6"/>
    <row r="41" ht="35.450000000000003" customHeight="1" x14ac:dyDescent="0.6"/>
    <row r="42" ht="35.450000000000003" customHeight="1" x14ac:dyDescent="0.6"/>
    <row r="43" ht="35.450000000000003" customHeight="1" x14ac:dyDescent="0.6"/>
    <row r="44" ht="35.450000000000003" customHeight="1" x14ac:dyDescent="0.6"/>
    <row r="45" ht="35.450000000000003" customHeight="1" x14ac:dyDescent="0.6"/>
    <row r="46" ht="35.450000000000003" customHeight="1" x14ac:dyDescent="0.6"/>
    <row r="47" ht="35.450000000000003" customHeight="1" x14ac:dyDescent="0.6"/>
    <row r="48" ht="35.450000000000003" customHeight="1" x14ac:dyDescent="0.6"/>
    <row r="49" ht="35.450000000000003" customHeight="1" x14ac:dyDescent="0.6"/>
    <row r="50" ht="35.450000000000003" customHeight="1" x14ac:dyDescent="0.6"/>
    <row r="51" ht="35.450000000000003" customHeight="1" x14ac:dyDescent="0.6"/>
    <row r="52" ht="35.450000000000003" customHeight="1" x14ac:dyDescent="0.6"/>
    <row r="53" ht="35.450000000000003" customHeight="1" x14ac:dyDescent="0.6"/>
    <row r="54" ht="35.450000000000003" customHeight="1" x14ac:dyDescent="0.6"/>
    <row r="55" ht="35.450000000000003" customHeight="1" x14ac:dyDescent="0.6"/>
    <row r="56" ht="35.450000000000003" customHeight="1" x14ac:dyDescent="0.6"/>
    <row r="57" ht="35.450000000000003" customHeight="1" x14ac:dyDescent="0.6"/>
    <row r="58" ht="35.450000000000003" customHeight="1" x14ac:dyDescent="0.6"/>
    <row r="59" ht="35.450000000000003" customHeight="1" x14ac:dyDescent="0.6"/>
    <row r="60" ht="35.450000000000003" customHeight="1" x14ac:dyDescent="0.6"/>
    <row r="61" ht="35.450000000000003" customHeight="1" x14ac:dyDescent="0.6"/>
    <row r="62" ht="35.450000000000003" customHeight="1" x14ac:dyDescent="0.6"/>
    <row r="63" ht="35.450000000000003" customHeight="1" x14ac:dyDescent="0.6"/>
    <row r="64" ht="35.450000000000003" customHeight="1" x14ac:dyDescent="0.6"/>
    <row r="65" ht="35.450000000000003" customHeight="1" x14ac:dyDescent="0.6"/>
    <row r="66" ht="35.450000000000003" customHeight="1" x14ac:dyDescent="0.6"/>
    <row r="67" ht="35.450000000000003" customHeight="1" x14ac:dyDescent="0.6"/>
    <row r="68" ht="35.450000000000003" customHeight="1" x14ac:dyDescent="0.6"/>
    <row r="69" ht="35.450000000000003" customHeight="1" x14ac:dyDescent="0.6"/>
    <row r="70" ht="35.450000000000003" customHeight="1" x14ac:dyDescent="0.6"/>
    <row r="71" ht="35.450000000000003" customHeight="1" x14ac:dyDescent="0.6"/>
    <row r="72" ht="35.450000000000003" customHeight="1" x14ac:dyDescent="0.6"/>
    <row r="73" ht="35.450000000000003" customHeight="1" x14ac:dyDescent="0.6"/>
    <row r="74" ht="35.450000000000003" customHeight="1" x14ac:dyDescent="0.6"/>
    <row r="75" ht="35.450000000000003" customHeight="1" x14ac:dyDescent="0.6"/>
    <row r="76" ht="35.450000000000003" customHeight="1" x14ac:dyDescent="0.6"/>
    <row r="77" ht="35.450000000000003" customHeight="1" x14ac:dyDescent="0.6"/>
    <row r="78" ht="35.450000000000003" customHeight="1" x14ac:dyDescent="0.6"/>
    <row r="79" ht="35.450000000000003" customHeight="1" x14ac:dyDescent="0.6"/>
    <row r="80" ht="35.450000000000003" customHeight="1" x14ac:dyDescent="0.6"/>
    <row r="81" ht="35.450000000000003" customHeight="1" x14ac:dyDescent="0.6"/>
    <row r="82" ht="35.450000000000003" customHeight="1" x14ac:dyDescent="0.6"/>
    <row r="83" ht="35.450000000000003" customHeight="1" x14ac:dyDescent="0.6"/>
    <row r="84" ht="35.450000000000003" customHeight="1" x14ac:dyDescent="0.6"/>
    <row r="85" ht="35.450000000000003" customHeight="1" x14ac:dyDescent="0.6"/>
    <row r="86" ht="35.450000000000003" customHeight="1" x14ac:dyDescent="0.6"/>
    <row r="87" ht="35.450000000000003" customHeight="1" x14ac:dyDescent="0.6"/>
    <row r="88" ht="35.450000000000003" customHeight="1" x14ac:dyDescent="0.6"/>
    <row r="89" ht="35.450000000000003" customHeight="1" x14ac:dyDescent="0.6"/>
    <row r="90" ht="35.450000000000003" customHeight="1" x14ac:dyDescent="0.6"/>
    <row r="91" ht="35.450000000000003" customHeight="1" x14ac:dyDescent="0.6"/>
    <row r="92" ht="35.450000000000003" customHeight="1" x14ac:dyDescent="0.6"/>
    <row r="93" ht="35.450000000000003" customHeight="1" x14ac:dyDescent="0.6"/>
    <row r="94" ht="35.450000000000003" customHeight="1" x14ac:dyDescent="0.6"/>
    <row r="95" ht="35.450000000000003" customHeight="1" x14ac:dyDescent="0.6"/>
    <row r="96" ht="35.450000000000003" customHeight="1" x14ac:dyDescent="0.6"/>
    <row r="97" ht="35.450000000000003" customHeight="1" x14ac:dyDescent="0.6"/>
    <row r="98" ht="35.450000000000003" customHeight="1" x14ac:dyDescent="0.6"/>
    <row r="99" ht="35.450000000000003" customHeight="1" x14ac:dyDescent="0.6"/>
    <row r="100" ht="35.450000000000003" customHeight="1" x14ac:dyDescent="0.6"/>
    <row r="101" ht="35.450000000000003" customHeight="1" x14ac:dyDescent="0.6"/>
    <row r="102" ht="35.450000000000003" customHeight="1" x14ac:dyDescent="0.6"/>
    <row r="103" ht="35.450000000000003" customHeight="1" x14ac:dyDescent="0.6"/>
    <row r="104" ht="35.450000000000003" customHeight="1" x14ac:dyDescent="0.6"/>
    <row r="105" ht="35.450000000000003" customHeight="1" x14ac:dyDescent="0.6"/>
    <row r="106" ht="35.450000000000003" customHeight="1" x14ac:dyDescent="0.6"/>
    <row r="107" ht="35.450000000000003" customHeight="1" x14ac:dyDescent="0.6"/>
    <row r="108" ht="35.450000000000003" customHeight="1" x14ac:dyDescent="0.6"/>
    <row r="109" ht="35.450000000000003" customHeight="1" x14ac:dyDescent="0.6"/>
    <row r="110" ht="35.450000000000003" customHeight="1" x14ac:dyDescent="0.6"/>
    <row r="111" ht="35.450000000000003" customHeight="1" x14ac:dyDescent="0.6"/>
    <row r="112" ht="35.450000000000003" customHeight="1" x14ac:dyDescent="0.6"/>
    <row r="113" ht="35.450000000000003" customHeight="1" x14ac:dyDescent="0.6"/>
    <row r="114" ht="35.450000000000003" customHeight="1" x14ac:dyDescent="0.6"/>
    <row r="115" ht="35.450000000000003" customHeight="1" x14ac:dyDescent="0.6"/>
    <row r="116" ht="35.450000000000003" customHeight="1" x14ac:dyDescent="0.6"/>
    <row r="117" ht="35.450000000000003" customHeight="1" x14ac:dyDescent="0.6"/>
    <row r="118" ht="35.450000000000003" customHeight="1" x14ac:dyDescent="0.6"/>
    <row r="119" ht="35.450000000000003" customHeight="1" x14ac:dyDescent="0.6"/>
    <row r="120" ht="35.450000000000003" customHeight="1" x14ac:dyDescent="0.6"/>
    <row r="121" ht="35.450000000000003" customHeight="1" x14ac:dyDescent="0.6"/>
    <row r="122" ht="35.450000000000003" customHeight="1" x14ac:dyDescent="0.6"/>
    <row r="123" ht="35.450000000000003" customHeight="1" x14ac:dyDescent="0.6"/>
    <row r="124" ht="35.450000000000003" customHeight="1" x14ac:dyDescent="0.6"/>
    <row r="125" ht="35.450000000000003" customHeight="1" x14ac:dyDescent="0.6"/>
    <row r="126" ht="35.450000000000003" customHeight="1" x14ac:dyDescent="0.6"/>
    <row r="127" ht="35.450000000000003" customHeight="1" x14ac:dyDescent="0.6"/>
    <row r="128" ht="35.450000000000003" customHeight="1" x14ac:dyDescent="0.6"/>
    <row r="129" ht="35.450000000000003" customHeight="1" x14ac:dyDescent="0.6"/>
    <row r="130" ht="35.450000000000003" customHeight="1" x14ac:dyDescent="0.6"/>
    <row r="131" ht="35.450000000000003" customHeight="1" x14ac:dyDescent="0.6"/>
    <row r="132" ht="35.450000000000003" customHeight="1" x14ac:dyDescent="0.6"/>
    <row r="133" ht="35.450000000000003" customHeight="1" x14ac:dyDescent="0.6"/>
    <row r="134" ht="35.450000000000003" customHeight="1" x14ac:dyDescent="0.6"/>
    <row r="135" ht="35.450000000000003" customHeight="1" x14ac:dyDescent="0.6"/>
    <row r="136" ht="35.450000000000003" customHeight="1" x14ac:dyDescent="0.6"/>
    <row r="137" ht="35.450000000000003" customHeight="1" x14ac:dyDescent="0.6"/>
    <row r="138" ht="35.450000000000003" customHeight="1" x14ac:dyDescent="0.6"/>
    <row r="139" ht="35.450000000000003" customHeight="1" x14ac:dyDescent="0.6"/>
    <row r="140" ht="35.450000000000003" customHeight="1" x14ac:dyDescent="0.6"/>
    <row r="141" ht="35.450000000000003" customHeight="1" x14ac:dyDescent="0.6"/>
    <row r="142" ht="35.450000000000003" customHeight="1" x14ac:dyDescent="0.6"/>
    <row r="143" ht="35.450000000000003" customHeight="1" x14ac:dyDescent="0.6"/>
    <row r="144" ht="35.450000000000003" customHeight="1" x14ac:dyDescent="0.6"/>
    <row r="145" ht="35.450000000000003" customHeight="1" x14ac:dyDescent="0.6"/>
    <row r="146" ht="35.450000000000003" customHeight="1" x14ac:dyDescent="0.6"/>
    <row r="147" ht="35.450000000000003" customHeight="1" x14ac:dyDescent="0.6"/>
    <row r="148" ht="35.450000000000003" customHeight="1" x14ac:dyDescent="0.6"/>
    <row r="149" ht="35.450000000000003" customHeight="1" x14ac:dyDescent="0.6"/>
    <row r="150" ht="35.450000000000003" customHeight="1" x14ac:dyDescent="0.6"/>
    <row r="151" ht="35.450000000000003" customHeight="1" x14ac:dyDescent="0.6"/>
    <row r="152" ht="35.450000000000003" customHeight="1" x14ac:dyDescent="0.6"/>
    <row r="153" ht="35.450000000000003" customHeight="1" x14ac:dyDescent="0.6"/>
    <row r="154" ht="35.450000000000003" customHeight="1" x14ac:dyDescent="0.6"/>
    <row r="155" ht="35.450000000000003" customHeight="1" x14ac:dyDescent="0.6"/>
    <row r="156" ht="35.450000000000003" customHeight="1" x14ac:dyDescent="0.6"/>
    <row r="157" ht="35.450000000000003" customHeight="1" x14ac:dyDescent="0.6"/>
    <row r="158" ht="35.450000000000003" customHeight="1" x14ac:dyDescent="0.6"/>
    <row r="159" ht="35.450000000000003" customHeight="1" x14ac:dyDescent="0.6"/>
    <row r="160" ht="35.450000000000003" customHeight="1" x14ac:dyDescent="0.6"/>
    <row r="161" ht="35.450000000000003" customHeight="1" x14ac:dyDescent="0.6"/>
    <row r="162" ht="35.450000000000003" customHeight="1" x14ac:dyDescent="0.6"/>
    <row r="163" ht="35.450000000000003" customHeight="1" x14ac:dyDescent="0.6"/>
  </sheetData>
  <phoneticPr fontId="1" type="noConversion"/>
  <pageMargins left="0.7" right="0.7" top="0.75" bottom="0.75" header="0.3" footer="0.3"/>
  <pageSetup paperSize="8" orientation="portrait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92BC8E-D146-47D6-9101-12EB716DFDC0}">
  <dimension ref="A1:AH169"/>
  <sheetViews>
    <sheetView zoomScale="70" zoomScaleNormal="7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ColWidth="8.5625" defaultRowHeight="15.75" x14ac:dyDescent="0.6"/>
  <cols>
    <col min="1" max="1" width="4" style="2" bestFit="1" customWidth="1"/>
    <col min="2" max="2" width="5.8125" style="2" customWidth="1"/>
    <col min="3" max="3" width="29.0625" style="2" customWidth="1"/>
    <col min="4" max="4" width="8.375" style="2" bestFit="1" customWidth="1"/>
    <col min="5" max="5" width="9.8125" style="2" bestFit="1" customWidth="1"/>
    <col min="6" max="6" width="10.875" style="2" bestFit="1" customWidth="1"/>
    <col min="7" max="30" width="8.4375" style="2" customWidth="1"/>
    <col min="31" max="31" width="8.5625" style="2"/>
    <col min="32" max="32" width="13.1875" style="11" customWidth="1"/>
    <col min="33" max="34" width="12.8125" style="2" bestFit="1" customWidth="1"/>
    <col min="35" max="16384" width="8.5625" style="2"/>
  </cols>
  <sheetData>
    <row r="1" spans="1:34" x14ac:dyDescent="0.6">
      <c r="A1" s="1" t="s">
        <v>27</v>
      </c>
      <c r="B1" s="1" t="s">
        <v>28</v>
      </c>
      <c r="C1" s="1" t="s">
        <v>29</v>
      </c>
      <c r="D1" s="1" t="s">
        <v>108</v>
      </c>
      <c r="E1" s="1" t="s">
        <v>109</v>
      </c>
      <c r="F1" s="1" t="s">
        <v>110</v>
      </c>
      <c r="G1" s="1" t="s">
        <v>111</v>
      </c>
      <c r="H1" s="1" t="s">
        <v>112</v>
      </c>
      <c r="I1" s="1" t="s">
        <v>113</v>
      </c>
      <c r="J1" s="1" t="s">
        <v>114</v>
      </c>
      <c r="K1" s="1" t="s">
        <v>115</v>
      </c>
      <c r="L1" s="1" t="s">
        <v>116</v>
      </c>
      <c r="M1" s="1" t="s">
        <v>117</v>
      </c>
      <c r="N1" s="1" t="s">
        <v>118</v>
      </c>
      <c r="O1" s="1" t="s">
        <v>119</v>
      </c>
      <c r="P1" s="1" t="s">
        <v>120</v>
      </c>
      <c r="Q1" s="1" t="s">
        <v>121</v>
      </c>
      <c r="R1" s="1" t="s">
        <v>122</v>
      </c>
      <c r="S1" s="1" t="s">
        <v>123</v>
      </c>
      <c r="T1" s="1" t="s">
        <v>124</v>
      </c>
      <c r="U1" s="1" t="s">
        <v>125</v>
      </c>
      <c r="V1" s="1" t="s">
        <v>126</v>
      </c>
      <c r="W1" s="1" t="s">
        <v>127</v>
      </c>
      <c r="X1" s="1" t="s">
        <v>128</v>
      </c>
      <c r="Y1" s="1" t="s">
        <v>129</v>
      </c>
      <c r="Z1" s="1" t="s">
        <v>130</v>
      </c>
      <c r="AA1" s="1" t="s">
        <v>131</v>
      </c>
      <c r="AB1" s="1" t="s">
        <v>132</v>
      </c>
      <c r="AC1" s="1" t="s">
        <v>106</v>
      </c>
      <c r="AD1" s="1" t="s">
        <v>107</v>
      </c>
      <c r="AE1" s="2" t="s">
        <v>146</v>
      </c>
      <c r="AF1" s="11" t="s">
        <v>147</v>
      </c>
      <c r="AG1" s="11" t="s">
        <v>148</v>
      </c>
      <c r="AH1" s="11" t="s">
        <v>149</v>
      </c>
    </row>
    <row r="2" spans="1:34" ht="35.450000000000003" customHeight="1" x14ac:dyDescent="0.6">
      <c r="A2" s="3">
        <v>1</v>
      </c>
      <c r="B2" s="3"/>
      <c r="C2" s="4" t="s">
        <v>83</v>
      </c>
      <c r="D2" s="3">
        <v>3.7909999999999999</v>
      </c>
      <c r="E2" s="3"/>
      <c r="F2" s="3"/>
      <c r="G2" s="3"/>
      <c r="H2" s="3"/>
      <c r="I2" s="3"/>
      <c r="J2" s="3"/>
      <c r="K2" s="3"/>
      <c r="L2" s="3"/>
      <c r="M2" s="3"/>
      <c r="N2" s="3">
        <v>4.3099999999999996</v>
      </c>
      <c r="O2" s="3"/>
      <c r="P2" s="3"/>
      <c r="Q2" s="3"/>
      <c r="R2" s="3"/>
      <c r="S2" s="3"/>
      <c r="T2" s="3"/>
      <c r="U2" s="3"/>
      <c r="V2" s="3"/>
      <c r="W2" s="4"/>
      <c r="X2" s="3"/>
      <c r="Y2" s="3"/>
      <c r="Z2" s="3"/>
      <c r="AA2" s="3"/>
      <c r="AB2" s="3"/>
      <c r="AC2" s="3"/>
      <c r="AD2" s="3"/>
      <c r="AH2" s="13"/>
    </row>
    <row r="3" spans="1:34" ht="35.450000000000003" customHeight="1" x14ac:dyDescent="0.6">
      <c r="A3" s="3">
        <v>2</v>
      </c>
      <c r="B3" s="3"/>
      <c r="C3" s="4" t="s">
        <v>84</v>
      </c>
      <c r="D3" s="4">
        <v>4.5</v>
      </c>
      <c r="E3" s="3" t="s">
        <v>165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H3" s="13"/>
    </row>
    <row r="4" spans="1:34" ht="35.450000000000003" customHeight="1" x14ac:dyDescent="0.6">
      <c r="A4" s="3">
        <v>3</v>
      </c>
      <c r="B4" s="3"/>
      <c r="C4" s="4" t="s">
        <v>85</v>
      </c>
      <c r="D4" s="4">
        <v>4.5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 t="s">
        <v>165</v>
      </c>
      <c r="Z4" s="3"/>
      <c r="AA4" s="3"/>
      <c r="AB4" s="3"/>
      <c r="AC4" s="3"/>
      <c r="AD4" s="3"/>
      <c r="AH4" s="13"/>
    </row>
    <row r="5" spans="1:34" ht="35.450000000000003" customHeight="1" x14ac:dyDescent="0.6">
      <c r="A5" s="3">
        <v>4</v>
      </c>
      <c r="B5" s="3"/>
      <c r="C5" s="4" t="s">
        <v>86</v>
      </c>
      <c r="D5" s="4"/>
      <c r="E5" s="3"/>
      <c r="F5" s="3"/>
      <c r="G5" s="3"/>
      <c r="H5" s="3"/>
      <c r="I5" s="3"/>
      <c r="J5" s="3"/>
      <c r="L5" s="4" t="s">
        <v>166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H5" s="13"/>
    </row>
    <row r="6" spans="1:34" ht="35.450000000000003" customHeight="1" x14ac:dyDescent="0.6">
      <c r="A6" s="3">
        <v>5</v>
      </c>
      <c r="B6" s="3"/>
      <c r="C6" s="4" t="s">
        <v>87</v>
      </c>
      <c r="D6" s="3"/>
      <c r="E6" s="3"/>
      <c r="F6" s="3"/>
      <c r="G6" s="3"/>
      <c r="H6" s="3"/>
      <c r="I6" s="3"/>
      <c r="J6" s="3"/>
      <c r="K6" s="3"/>
      <c r="L6" s="3"/>
      <c r="M6" s="3"/>
      <c r="N6" s="3" t="s">
        <v>165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H6" s="13"/>
    </row>
    <row r="7" spans="1:34" ht="35.450000000000003" customHeight="1" x14ac:dyDescent="0.6">
      <c r="A7" s="3">
        <v>6</v>
      </c>
      <c r="B7" s="3"/>
      <c r="C7" s="4" t="s">
        <v>88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4" t="s">
        <v>166</v>
      </c>
      <c r="U7" s="3"/>
      <c r="V7" s="3"/>
      <c r="W7" s="3"/>
      <c r="X7" s="3"/>
      <c r="Y7" s="3"/>
      <c r="Z7" s="3"/>
      <c r="AA7" s="3"/>
      <c r="AB7" s="3"/>
      <c r="AC7" s="3"/>
      <c r="AD7" s="3"/>
      <c r="AH7" s="13"/>
    </row>
    <row r="8" spans="1:34" ht="35.450000000000003" customHeight="1" x14ac:dyDescent="0.6">
      <c r="A8" s="3">
        <v>7</v>
      </c>
      <c r="B8" s="3"/>
      <c r="C8" s="4" t="s">
        <v>89</v>
      </c>
      <c r="D8" s="3">
        <v>4.5</v>
      </c>
      <c r="E8" s="3"/>
      <c r="F8" s="3"/>
      <c r="G8" s="3"/>
      <c r="H8" s="3"/>
      <c r="I8" s="3" t="s">
        <v>167</v>
      </c>
      <c r="J8" s="3"/>
      <c r="K8" s="3"/>
      <c r="L8" s="3"/>
      <c r="M8" s="3"/>
      <c r="N8" s="3" t="s">
        <v>167</v>
      </c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H8" s="13"/>
    </row>
    <row r="9" spans="1:34" ht="35.450000000000003" customHeight="1" x14ac:dyDescent="0.6">
      <c r="A9" s="3">
        <v>8</v>
      </c>
      <c r="B9" s="3"/>
      <c r="C9" s="4" t="s">
        <v>105</v>
      </c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 t="s">
        <v>167</v>
      </c>
      <c r="AA9" s="3"/>
      <c r="AB9" s="3"/>
      <c r="AC9" s="3"/>
      <c r="AD9" s="3"/>
      <c r="AH9" s="13"/>
    </row>
    <row r="10" spans="1:34" ht="35.450000000000003" customHeight="1" x14ac:dyDescent="0.6">
      <c r="A10" s="3">
        <v>9</v>
      </c>
      <c r="B10" s="3"/>
      <c r="C10" s="4" t="s">
        <v>90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 t="s">
        <v>168</v>
      </c>
      <c r="R10" s="3" t="s">
        <v>168</v>
      </c>
      <c r="S10" s="3"/>
      <c r="T10" s="3"/>
      <c r="U10" s="3"/>
      <c r="V10" s="3"/>
      <c r="W10" s="3"/>
      <c r="X10" s="3"/>
      <c r="Y10" s="3"/>
      <c r="Z10" s="3" t="s">
        <v>168</v>
      </c>
      <c r="AA10" s="3" t="s">
        <v>168</v>
      </c>
      <c r="AB10" s="3" t="s">
        <v>168</v>
      </c>
      <c r="AC10" s="3"/>
      <c r="AD10" s="3"/>
      <c r="AH10" s="13"/>
    </row>
    <row r="11" spans="1:34" ht="35.450000000000003" customHeight="1" x14ac:dyDescent="0.6">
      <c r="A11" s="8">
        <v>10</v>
      </c>
      <c r="B11" s="8"/>
      <c r="C11" s="7" t="s">
        <v>91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2" t="s">
        <v>143</v>
      </c>
    </row>
    <row r="12" spans="1:34" ht="35.450000000000003" customHeight="1" x14ac:dyDescent="0.6">
      <c r="A12" s="8">
        <v>11</v>
      </c>
      <c r="B12" s="8"/>
      <c r="C12" s="7" t="s">
        <v>92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12" t="s">
        <v>145</v>
      </c>
    </row>
    <row r="13" spans="1:34" ht="35.450000000000003" customHeight="1" x14ac:dyDescent="0.6">
      <c r="A13" s="7" t="s">
        <v>135</v>
      </c>
      <c r="B13" s="8"/>
      <c r="C13" s="7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12" t="s">
        <v>145</v>
      </c>
    </row>
    <row r="14" spans="1:34" ht="35.450000000000003" customHeight="1" x14ac:dyDescent="0.6">
      <c r="A14" s="8">
        <v>12</v>
      </c>
      <c r="B14" s="8"/>
      <c r="C14" s="7" t="s">
        <v>93</v>
      </c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2" t="s">
        <v>143</v>
      </c>
    </row>
    <row r="15" spans="1:34" ht="35.450000000000003" customHeight="1" x14ac:dyDescent="0.6">
      <c r="A15" s="9">
        <v>13</v>
      </c>
      <c r="B15" s="8"/>
      <c r="C15" s="7" t="s">
        <v>94</v>
      </c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2" t="s">
        <v>143</v>
      </c>
      <c r="AF15" s="11" t="s">
        <v>144</v>
      </c>
    </row>
    <row r="16" spans="1:34" ht="35.450000000000003" customHeight="1" x14ac:dyDescent="0.6">
      <c r="A16" s="10" t="s">
        <v>136</v>
      </c>
      <c r="B16" s="8"/>
      <c r="C16" s="7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2" t="s">
        <v>143</v>
      </c>
    </row>
    <row r="17" spans="1:31" ht="35.450000000000003" customHeight="1" x14ac:dyDescent="0.6">
      <c r="A17" s="9">
        <v>14</v>
      </c>
      <c r="B17" s="8"/>
      <c r="C17" s="7" t="s">
        <v>95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2" t="s">
        <v>143</v>
      </c>
    </row>
    <row r="18" spans="1:31" ht="35.450000000000003" customHeight="1" x14ac:dyDescent="0.6">
      <c r="A18" s="10" t="s">
        <v>137</v>
      </c>
      <c r="B18" s="8"/>
      <c r="C18" s="7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2" t="s">
        <v>143</v>
      </c>
    </row>
    <row r="19" spans="1:31" ht="35.450000000000003" customHeight="1" x14ac:dyDescent="0.6">
      <c r="A19" s="8">
        <v>15</v>
      </c>
      <c r="B19" s="8"/>
      <c r="C19" s="7" t="s">
        <v>96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2" t="s">
        <v>143</v>
      </c>
    </row>
    <row r="20" spans="1:31" ht="35.450000000000003" customHeight="1" x14ac:dyDescent="0.6">
      <c r="A20" s="8">
        <v>16</v>
      </c>
      <c r="B20" s="8"/>
      <c r="C20" s="7" t="s">
        <v>97</v>
      </c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2" t="s">
        <v>143</v>
      </c>
    </row>
    <row r="21" spans="1:31" ht="35.450000000000003" customHeight="1" x14ac:dyDescent="0.6">
      <c r="A21" s="7" t="s">
        <v>138</v>
      </c>
      <c r="B21" s="8"/>
      <c r="C21" s="7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2" t="s">
        <v>143</v>
      </c>
    </row>
    <row r="22" spans="1:31" ht="35.450000000000003" customHeight="1" x14ac:dyDescent="0.6">
      <c r="A22" s="8">
        <v>17</v>
      </c>
      <c r="B22" s="8"/>
      <c r="C22" s="7" t="s">
        <v>98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2" t="s">
        <v>143</v>
      </c>
    </row>
    <row r="23" spans="1:31" ht="35.450000000000003" customHeight="1" x14ac:dyDescent="0.6">
      <c r="A23" s="8">
        <v>18</v>
      </c>
      <c r="B23" s="8"/>
      <c r="C23" s="7" t="s">
        <v>99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2" t="s">
        <v>143</v>
      </c>
    </row>
    <row r="24" spans="1:31" ht="35.450000000000003" customHeight="1" x14ac:dyDescent="0.6">
      <c r="A24" s="8">
        <v>19</v>
      </c>
      <c r="B24" s="8"/>
      <c r="C24" s="7" t="s">
        <v>100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2" t="s">
        <v>143</v>
      </c>
    </row>
    <row r="25" spans="1:31" ht="35.450000000000003" customHeight="1" x14ac:dyDescent="0.6">
      <c r="A25" s="7" t="s">
        <v>139</v>
      </c>
      <c r="B25" s="8"/>
      <c r="C25" s="7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2" t="s">
        <v>143</v>
      </c>
    </row>
    <row r="26" spans="1:31" ht="35.450000000000003" customHeight="1" x14ac:dyDescent="0.6">
      <c r="A26" s="8">
        <v>20</v>
      </c>
      <c r="B26" s="8"/>
      <c r="C26" s="7" t="s">
        <v>101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2" t="s">
        <v>143</v>
      </c>
    </row>
    <row r="27" spans="1:31" ht="35.450000000000003" customHeight="1" x14ac:dyDescent="0.6">
      <c r="A27" s="8">
        <v>21</v>
      </c>
      <c r="B27" s="8"/>
      <c r="C27" s="7" t="s">
        <v>102</v>
      </c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4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2" t="s">
        <v>143</v>
      </c>
    </row>
    <row r="28" spans="1:31" ht="35.450000000000003" customHeight="1" x14ac:dyDescent="0.6">
      <c r="A28" s="8">
        <v>22</v>
      </c>
      <c r="B28" s="8"/>
      <c r="C28" s="7" t="s">
        <v>103</v>
      </c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2" t="s">
        <v>143</v>
      </c>
    </row>
    <row r="29" spans="1:31" ht="35.450000000000003" customHeight="1" x14ac:dyDescent="0.6">
      <c r="A29" s="8">
        <v>23</v>
      </c>
      <c r="B29" s="8"/>
      <c r="C29" s="7" t="s">
        <v>104</v>
      </c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2" t="s">
        <v>143</v>
      </c>
    </row>
    <row r="30" spans="1:31" ht="35.450000000000003" customHeight="1" x14ac:dyDescent="0.6">
      <c r="A30" s="7" t="s">
        <v>140</v>
      </c>
      <c r="B30" s="8"/>
      <c r="C30" s="7" t="s">
        <v>104</v>
      </c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2" t="s">
        <v>143</v>
      </c>
    </row>
    <row r="31" spans="1:31" ht="35.450000000000003" customHeight="1" x14ac:dyDescent="0.6"/>
    <row r="32" spans="1:31" ht="35.450000000000003" customHeight="1" x14ac:dyDescent="0.6"/>
    <row r="33" ht="35.450000000000003" customHeight="1" x14ac:dyDescent="0.6"/>
    <row r="34" ht="35.450000000000003" customHeight="1" x14ac:dyDescent="0.6"/>
    <row r="35" ht="35.450000000000003" customHeight="1" x14ac:dyDescent="0.6"/>
    <row r="36" ht="35.450000000000003" customHeight="1" x14ac:dyDescent="0.6"/>
    <row r="37" ht="35.450000000000003" customHeight="1" x14ac:dyDescent="0.6"/>
    <row r="38" ht="35.450000000000003" customHeight="1" x14ac:dyDescent="0.6"/>
    <row r="39" ht="35.450000000000003" customHeight="1" x14ac:dyDescent="0.6"/>
    <row r="40" ht="35.450000000000003" customHeight="1" x14ac:dyDescent="0.6"/>
    <row r="41" ht="35.450000000000003" customHeight="1" x14ac:dyDescent="0.6"/>
    <row r="42" ht="35.450000000000003" customHeight="1" x14ac:dyDescent="0.6"/>
    <row r="43" ht="35.450000000000003" customHeight="1" x14ac:dyDescent="0.6"/>
    <row r="44" ht="35.450000000000003" customHeight="1" x14ac:dyDescent="0.6"/>
    <row r="45" ht="35.450000000000003" customHeight="1" x14ac:dyDescent="0.6"/>
    <row r="46" ht="35.450000000000003" customHeight="1" x14ac:dyDescent="0.6"/>
    <row r="47" ht="35.450000000000003" customHeight="1" x14ac:dyDescent="0.6"/>
    <row r="48" ht="35.450000000000003" customHeight="1" x14ac:dyDescent="0.6"/>
    <row r="49" ht="35.450000000000003" customHeight="1" x14ac:dyDescent="0.6"/>
    <row r="50" ht="35.450000000000003" customHeight="1" x14ac:dyDescent="0.6"/>
    <row r="51" ht="35.450000000000003" customHeight="1" x14ac:dyDescent="0.6"/>
    <row r="52" ht="35.450000000000003" customHeight="1" x14ac:dyDescent="0.6"/>
    <row r="53" ht="35.450000000000003" customHeight="1" x14ac:dyDescent="0.6"/>
    <row r="54" ht="35.450000000000003" customHeight="1" x14ac:dyDescent="0.6"/>
    <row r="55" ht="35.450000000000003" customHeight="1" x14ac:dyDescent="0.6"/>
    <row r="56" ht="35.450000000000003" customHeight="1" x14ac:dyDescent="0.6"/>
    <row r="57" ht="35.450000000000003" customHeight="1" x14ac:dyDescent="0.6"/>
    <row r="58" ht="35.450000000000003" customHeight="1" x14ac:dyDescent="0.6"/>
    <row r="59" ht="35.450000000000003" customHeight="1" x14ac:dyDescent="0.6"/>
    <row r="60" ht="35.450000000000003" customHeight="1" x14ac:dyDescent="0.6"/>
    <row r="61" ht="35.450000000000003" customHeight="1" x14ac:dyDescent="0.6"/>
    <row r="62" ht="35.450000000000003" customHeight="1" x14ac:dyDescent="0.6"/>
    <row r="63" ht="35.450000000000003" customHeight="1" x14ac:dyDescent="0.6"/>
    <row r="64" ht="35.450000000000003" customHeight="1" x14ac:dyDescent="0.6"/>
    <row r="65" ht="35.450000000000003" customHeight="1" x14ac:dyDescent="0.6"/>
    <row r="66" ht="35.450000000000003" customHeight="1" x14ac:dyDescent="0.6"/>
    <row r="67" ht="35.450000000000003" customHeight="1" x14ac:dyDescent="0.6"/>
    <row r="68" ht="35.450000000000003" customHeight="1" x14ac:dyDescent="0.6"/>
    <row r="69" ht="35.450000000000003" customHeight="1" x14ac:dyDescent="0.6"/>
    <row r="70" ht="35.450000000000003" customHeight="1" x14ac:dyDescent="0.6"/>
    <row r="71" ht="35.450000000000003" customHeight="1" x14ac:dyDescent="0.6"/>
    <row r="72" ht="35.450000000000003" customHeight="1" x14ac:dyDescent="0.6"/>
    <row r="73" ht="35.450000000000003" customHeight="1" x14ac:dyDescent="0.6"/>
    <row r="74" ht="35.450000000000003" customHeight="1" x14ac:dyDescent="0.6"/>
    <row r="75" ht="35.450000000000003" customHeight="1" x14ac:dyDescent="0.6"/>
    <row r="76" ht="35.450000000000003" customHeight="1" x14ac:dyDescent="0.6"/>
    <row r="77" ht="35.450000000000003" customHeight="1" x14ac:dyDescent="0.6"/>
    <row r="78" ht="35.450000000000003" customHeight="1" x14ac:dyDescent="0.6"/>
    <row r="79" ht="35.450000000000003" customHeight="1" x14ac:dyDescent="0.6"/>
    <row r="80" ht="35.450000000000003" customHeight="1" x14ac:dyDescent="0.6"/>
    <row r="81" ht="35.450000000000003" customHeight="1" x14ac:dyDescent="0.6"/>
    <row r="82" ht="35.450000000000003" customHeight="1" x14ac:dyDescent="0.6"/>
    <row r="83" ht="35.450000000000003" customHeight="1" x14ac:dyDescent="0.6"/>
    <row r="84" ht="35.450000000000003" customHeight="1" x14ac:dyDescent="0.6"/>
    <row r="85" ht="35.450000000000003" customHeight="1" x14ac:dyDescent="0.6"/>
    <row r="86" ht="35.450000000000003" customHeight="1" x14ac:dyDescent="0.6"/>
    <row r="87" ht="35.450000000000003" customHeight="1" x14ac:dyDescent="0.6"/>
    <row r="88" ht="35.450000000000003" customHeight="1" x14ac:dyDescent="0.6"/>
    <row r="89" ht="35.450000000000003" customHeight="1" x14ac:dyDescent="0.6"/>
    <row r="90" ht="35.450000000000003" customHeight="1" x14ac:dyDescent="0.6"/>
    <row r="91" ht="35.450000000000003" customHeight="1" x14ac:dyDescent="0.6"/>
    <row r="92" ht="35.450000000000003" customHeight="1" x14ac:dyDescent="0.6"/>
    <row r="93" ht="35.450000000000003" customHeight="1" x14ac:dyDescent="0.6"/>
    <row r="94" ht="35.450000000000003" customHeight="1" x14ac:dyDescent="0.6"/>
    <row r="95" ht="35.450000000000003" customHeight="1" x14ac:dyDescent="0.6"/>
    <row r="96" ht="35.450000000000003" customHeight="1" x14ac:dyDescent="0.6"/>
    <row r="97" ht="35.450000000000003" customHeight="1" x14ac:dyDescent="0.6"/>
    <row r="98" ht="35.450000000000003" customHeight="1" x14ac:dyDescent="0.6"/>
    <row r="99" ht="35.450000000000003" customHeight="1" x14ac:dyDescent="0.6"/>
    <row r="100" ht="35.450000000000003" customHeight="1" x14ac:dyDescent="0.6"/>
    <row r="101" ht="35.450000000000003" customHeight="1" x14ac:dyDescent="0.6"/>
    <row r="102" ht="35.450000000000003" customHeight="1" x14ac:dyDescent="0.6"/>
    <row r="103" ht="35.450000000000003" customHeight="1" x14ac:dyDescent="0.6"/>
    <row r="104" ht="35.450000000000003" customHeight="1" x14ac:dyDescent="0.6"/>
    <row r="105" ht="35.450000000000003" customHeight="1" x14ac:dyDescent="0.6"/>
    <row r="106" ht="35.450000000000003" customHeight="1" x14ac:dyDescent="0.6"/>
    <row r="107" ht="35.450000000000003" customHeight="1" x14ac:dyDescent="0.6"/>
    <row r="108" ht="35.450000000000003" customHeight="1" x14ac:dyDescent="0.6"/>
    <row r="109" ht="35.450000000000003" customHeight="1" x14ac:dyDescent="0.6"/>
    <row r="110" ht="35.450000000000003" customHeight="1" x14ac:dyDescent="0.6"/>
    <row r="111" ht="35.450000000000003" customHeight="1" x14ac:dyDescent="0.6"/>
    <row r="112" ht="35.450000000000003" customHeight="1" x14ac:dyDescent="0.6"/>
    <row r="113" ht="35.450000000000003" customHeight="1" x14ac:dyDescent="0.6"/>
    <row r="114" ht="35.450000000000003" customHeight="1" x14ac:dyDescent="0.6"/>
    <row r="115" ht="35.450000000000003" customHeight="1" x14ac:dyDescent="0.6"/>
    <row r="116" ht="35.450000000000003" customHeight="1" x14ac:dyDescent="0.6"/>
    <row r="117" ht="35.450000000000003" customHeight="1" x14ac:dyDescent="0.6"/>
    <row r="118" ht="35.450000000000003" customHeight="1" x14ac:dyDescent="0.6"/>
    <row r="119" ht="35.450000000000003" customHeight="1" x14ac:dyDescent="0.6"/>
    <row r="120" ht="35.450000000000003" customHeight="1" x14ac:dyDescent="0.6"/>
    <row r="121" ht="35.450000000000003" customHeight="1" x14ac:dyDescent="0.6"/>
    <row r="122" ht="35.450000000000003" customHeight="1" x14ac:dyDescent="0.6"/>
    <row r="123" ht="35.450000000000003" customHeight="1" x14ac:dyDescent="0.6"/>
    <row r="124" ht="35.450000000000003" customHeight="1" x14ac:dyDescent="0.6"/>
    <row r="125" ht="35.450000000000003" customHeight="1" x14ac:dyDescent="0.6"/>
    <row r="126" ht="35.450000000000003" customHeight="1" x14ac:dyDescent="0.6"/>
    <row r="127" ht="35.450000000000003" customHeight="1" x14ac:dyDescent="0.6"/>
    <row r="128" ht="35.450000000000003" customHeight="1" x14ac:dyDescent="0.6"/>
    <row r="129" ht="35.450000000000003" customHeight="1" x14ac:dyDescent="0.6"/>
    <row r="130" ht="35.450000000000003" customHeight="1" x14ac:dyDescent="0.6"/>
    <row r="131" ht="35.450000000000003" customHeight="1" x14ac:dyDescent="0.6"/>
    <row r="132" ht="35.450000000000003" customHeight="1" x14ac:dyDescent="0.6"/>
    <row r="133" ht="35.450000000000003" customHeight="1" x14ac:dyDescent="0.6"/>
    <row r="134" ht="35.450000000000003" customHeight="1" x14ac:dyDescent="0.6"/>
    <row r="135" ht="35.450000000000003" customHeight="1" x14ac:dyDescent="0.6"/>
    <row r="136" ht="35.450000000000003" customHeight="1" x14ac:dyDescent="0.6"/>
    <row r="137" ht="35.450000000000003" customHeight="1" x14ac:dyDescent="0.6"/>
    <row r="138" ht="35.450000000000003" customHeight="1" x14ac:dyDescent="0.6"/>
    <row r="139" ht="35.450000000000003" customHeight="1" x14ac:dyDescent="0.6"/>
    <row r="140" ht="35.450000000000003" customHeight="1" x14ac:dyDescent="0.6"/>
    <row r="141" ht="35.450000000000003" customHeight="1" x14ac:dyDescent="0.6"/>
    <row r="142" ht="35.450000000000003" customHeight="1" x14ac:dyDescent="0.6"/>
    <row r="143" ht="35.450000000000003" customHeight="1" x14ac:dyDescent="0.6"/>
    <row r="144" ht="35.450000000000003" customHeight="1" x14ac:dyDescent="0.6"/>
    <row r="145" ht="35.450000000000003" customHeight="1" x14ac:dyDescent="0.6"/>
    <row r="146" ht="35.450000000000003" customHeight="1" x14ac:dyDescent="0.6"/>
    <row r="147" ht="35.450000000000003" customHeight="1" x14ac:dyDescent="0.6"/>
    <row r="148" ht="35.450000000000003" customHeight="1" x14ac:dyDescent="0.6"/>
    <row r="149" ht="35.450000000000003" customHeight="1" x14ac:dyDescent="0.6"/>
    <row r="150" ht="35.450000000000003" customHeight="1" x14ac:dyDescent="0.6"/>
    <row r="151" ht="35.450000000000003" customHeight="1" x14ac:dyDescent="0.6"/>
    <row r="152" ht="35.450000000000003" customHeight="1" x14ac:dyDescent="0.6"/>
    <row r="153" ht="35.450000000000003" customHeight="1" x14ac:dyDescent="0.6"/>
    <row r="154" ht="35.450000000000003" customHeight="1" x14ac:dyDescent="0.6"/>
    <row r="155" ht="35.450000000000003" customHeight="1" x14ac:dyDescent="0.6"/>
    <row r="156" ht="35.450000000000003" customHeight="1" x14ac:dyDescent="0.6"/>
    <row r="157" ht="35.450000000000003" customHeight="1" x14ac:dyDescent="0.6"/>
    <row r="158" ht="35.450000000000003" customHeight="1" x14ac:dyDescent="0.6"/>
    <row r="159" ht="35.450000000000003" customHeight="1" x14ac:dyDescent="0.6"/>
    <row r="160" ht="35.450000000000003" customHeight="1" x14ac:dyDescent="0.6"/>
    <row r="161" ht="35.450000000000003" customHeight="1" x14ac:dyDescent="0.6"/>
    <row r="162" ht="35.450000000000003" customHeight="1" x14ac:dyDescent="0.6"/>
    <row r="163" ht="35.450000000000003" customHeight="1" x14ac:dyDescent="0.6"/>
    <row r="164" ht="35.450000000000003" customHeight="1" x14ac:dyDescent="0.6"/>
    <row r="165" ht="35.450000000000003" customHeight="1" x14ac:dyDescent="0.6"/>
    <row r="166" ht="35.450000000000003" customHeight="1" x14ac:dyDescent="0.6"/>
    <row r="167" ht="35.450000000000003" customHeight="1" x14ac:dyDescent="0.6"/>
    <row r="168" ht="35.450000000000003" customHeight="1" x14ac:dyDescent="0.6"/>
    <row r="169" ht="35.450000000000003" customHeight="1" x14ac:dyDescent="0.6"/>
  </sheetData>
  <phoneticPr fontId="1" type="noConversion"/>
  <pageMargins left="0.7" right="0.7" top="0.75" bottom="0.75" header="0.3" footer="0.3"/>
  <pageSetup paperSize="8" orientation="portrait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1F4C2B-DC38-45D9-BC8F-4C90C7B85580}">
  <dimension ref="A2:I13"/>
  <sheetViews>
    <sheetView zoomScale="85" zoomScaleNormal="85" workbookViewId="0">
      <selection activeCell="G37" sqref="G37:G38"/>
    </sheetView>
  </sheetViews>
  <sheetFormatPr defaultRowHeight="16.899999999999999" x14ac:dyDescent="0.6"/>
  <cols>
    <col min="1" max="1" width="13.3125" bestFit="1" customWidth="1"/>
  </cols>
  <sheetData>
    <row r="2" spans="1:9" x14ac:dyDescent="0.6">
      <c r="A2" t="s">
        <v>151</v>
      </c>
      <c r="B2">
        <v>16.133333333333301</v>
      </c>
      <c r="C2" t="s">
        <v>150</v>
      </c>
      <c r="D2">
        <f>1/B2</f>
        <v>6.1983471074380292E-2</v>
      </c>
    </row>
    <row r="3" spans="1:9" x14ac:dyDescent="0.6">
      <c r="A3" t="s">
        <v>152</v>
      </c>
      <c r="B3">
        <v>100</v>
      </c>
      <c r="C3" t="s">
        <v>153</v>
      </c>
      <c r="D3">
        <f>1/B3*1000000</f>
        <v>10000</v>
      </c>
    </row>
    <row r="4" spans="1:9" x14ac:dyDescent="0.6">
      <c r="A4" s="14" t="s">
        <v>157</v>
      </c>
      <c r="B4" s="15">
        <v>128</v>
      </c>
      <c r="D4">
        <f>D3/B4</f>
        <v>78.125</v>
      </c>
      <c r="H4" t="str">
        <f>DEC2HEX(B4)</f>
        <v>80</v>
      </c>
      <c r="I4" t="s">
        <v>159</v>
      </c>
    </row>
    <row r="5" spans="1:9" x14ac:dyDescent="0.6">
      <c r="A5" s="15" t="s">
        <v>158</v>
      </c>
      <c r="B5" s="15">
        <v>4</v>
      </c>
      <c r="H5" t="str">
        <f>DEC2HEX(B5)</f>
        <v>4</v>
      </c>
      <c r="I5" t="s">
        <v>159</v>
      </c>
    </row>
    <row r="6" spans="1:9" x14ac:dyDescent="0.6">
      <c r="A6" s="15" t="s">
        <v>156</v>
      </c>
      <c r="B6" s="15">
        <v>1</v>
      </c>
      <c r="H6" t="str">
        <f>DEC2HEX(B6)</f>
        <v>1</v>
      </c>
      <c r="I6" t="s">
        <v>160</v>
      </c>
    </row>
    <row r="8" spans="1:9" x14ac:dyDescent="0.6">
      <c r="A8" t="s">
        <v>154</v>
      </c>
      <c r="B8">
        <v>1250</v>
      </c>
      <c r="D8">
        <f>D4/D2</f>
        <v>1260.416666666664</v>
      </c>
      <c r="H8" t="str">
        <f t="shared" ref="H8:H9" si="0">DEC2HEX(B8)</f>
        <v>4E2</v>
      </c>
    </row>
    <row r="9" spans="1:9" x14ac:dyDescent="0.6">
      <c r="A9" t="s">
        <v>155</v>
      </c>
      <c r="B9">
        <v>310</v>
      </c>
      <c r="D9">
        <f>D4/B5</f>
        <v>19.53125</v>
      </c>
      <c r="E9">
        <f>D9/D2</f>
        <v>315.104166666666</v>
      </c>
      <c r="H9" t="str">
        <f t="shared" si="0"/>
        <v>136</v>
      </c>
    </row>
    <row r="12" spans="1:9" x14ac:dyDescent="0.6">
      <c r="A12" t="s">
        <v>162</v>
      </c>
      <c r="B12">
        <f>6*24</f>
        <v>144</v>
      </c>
      <c r="C12" t="s">
        <v>161</v>
      </c>
      <c r="D12">
        <f>B12/2</f>
        <v>72</v>
      </c>
    </row>
    <row r="13" spans="1:9" x14ac:dyDescent="0.6">
      <c r="A13" t="s">
        <v>163</v>
      </c>
      <c r="B13">
        <f>6*24</f>
        <v>144</v>
      </c>
      <c r="C13" t="s">
        <v>164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3A42D8-53D0-47D5-8EEB-4B24C391FEE9}">
  <dimension ref="A2:AG170"/>
  <sheetViews>
    <sheetView tabSelected="1" zoomScale="70" zoomScaleNormal="70" workbookViewId="0">
      <pane xSplit="2" ySplit="2" topLeftCell="C3" activePane="bottomRight" state="frozen"/>
      <selection pane="topRight" activeCell="B1" sqref="B1"/>
      <selection pane="bottomLeft" activeCell="A2" sqref="A2"/>
      <selection pane="bottomRight" activeCell="F15" sqref="F15"/>
    </sheetView>
  </sheetViews>
  <sheetFormatPr defaultColWidth="8.5625" defaultRowHeight="15.75" x14ac:dyDescent="0.6"/>
  <cols>
    <col min="1" max="1" width="2.5625" style="2" customWidth="1"/>
    <col min="2" max="2" width="4" style="2" bestFit="1" customWidth="1"/>
    <col min="3" max="3" width="5.8125" style="2" customWidth="1"/>
    <col min="4" max="4" width="29.0625" style="2" customWidth="1"/>
    <col min="5" max="5" width="8.375" style="2" bestFit="1" customWidth="1"/>
    <col min="6" max="6" width="9.8125" style="2" bestFit="1" customWidth="1"/>
    <col min="7" max="7" width="10.875" style="2" bestFit="1" customWidth="1"/>
    <col min="8" max="31" width="8.4375" style="2" customWidth="1"/>
    <col min="32" max="16384" width="8.5625" style="2"/>
  </cols>
  <sheetData>
    <row r="2" spans="2:33" x14ac:dyDescent="0.6">
      <c r="B2" s="1" t="s">
        <v>27</v>
      </c>
      <c r="C2" s="1" t="s">
        <v>28</v>
      </c>
      <c r="D2" s="1" t="s">
        <v>29</v>
      </c>
      <c r="E2" s="1" t="s">
        <v>108</v>
      </c>
      <c r="F2" s="1" t="s">
        <v>109</v>
      </c>
      <c r="G2" s="1" t="s">
        <v>110</v>
      </c>
      <c r="H2" s="1" t="s">
        <v>111</v>
      </c>
      <c r="I2" s="1" t="s">
        <v>112</v>
      </c>
      <c r="J2" s="1" t="s">
        <v>113</v>
      </c>
      <c r="K2" s="1" t="s">
        <v>114</v>
      </c>
      <c r="L2" s="1" t="s">
        <v>115</v>
      </c>
      <c r="M2" s="1" t="s">
        <v>116</v>
      </c>
      <c r="N2" s="1" t="s">
        <v>117</v>
      </c>
      <c r="O2" s="1" t="s">
        <v>118</v>
      </c>
      <c r="P2" s="1" t="s">
        <v>119</v>
      </c>
      <c r="Q2" s="1" t="s">
        <v>120</v>
      </c>
      <c r="R2" s="1" t="s">
        <v>121</v>
      </c>
      <c r="S2" s="1" t="s">
        <v>122</v>
      </c>
      <c r="T2" s="1" t="s">
        <v>123</v>
      </c>
      <c r="U2" s="1" t="s">
        <v>124</v>
      </c>
      <c r="V2" s="1" t="s">
        <v>125</v>
      </c>
      <c r="W2" s="1" t="s">
        <v>126</v>
      </c>
      <c r="X2" s="1" t="s">
        <v>127</v>
      </c>
      <c r="Y2" s="1" t="s">
        <v>128</v>
      </c>
      <c r="Z2" s="1" t="s">
        <v>129</v>
      </c>
      <c r="AA2" s="1" t="s">
        <v>130</v>
      </c>
      <c r="AB2" s="1" t="s">
        <v>131</v>
      </c>
      <c r="AC2" s="1" t="s">
        <v>132</v>
      </c>
      <c r="AD2" s="1" t="s">
        <v>106</v>
      </c>
      <c r="AE2" s="1" t="s">
        <v>107</v>
      </c>
    </row>
    <row r="3" spans="2:33" ht="35.450000000000003" customHeight="1" x14ac:dyDescent="0.6">
      <c r="B3" s="16">
        <v>1</v>
      </c>
      <c r="C3" s="16"/>
      <c r="D3" s="17" t="s">
        <v>169</v>
      </c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7"/>
      <c r="Y3" s="16"/>
      <c r="Z3" s="16"/>
      <c r="AA3" s="16"/>
      <c r="AB3" s="16"/>
      <c r="AC3" s="16"/>
      <c r="AD3" s="16"/>
      <c r="AE3" s="16"/>
      <c r="AF3" s="18"/>
      <c r="AG3" s="18"/>
    </row>
    <row r="4" spans="2:33" ht="35.450000000000003" customHeight="1" x14ac:dyDescent="0.6">
      <c r="B4" s="16">
        <v>2</v>
      </c>
      <c r="C4" s="16"/>
      <c r="D4" s="17" t="s">
        <v>170</v>
      </c>
      <c r="E4" s="17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E4" s="16"/>
      <c r="AF4" s="18"/>
      <c r="AG4" s="18"/>
    </row>
    <row r="5" spans="2:33" ht="35.450000000000003" customHeight="1" x14ac:dyDescent="0.6">
      <c r="B5" s="16">
        <v>3</v>
      </c>
      <c r="C5" s="16"/>
      <c r="D5" s="17" t="s">
        <v>171</v>
      </c>
      <c r="E5" s="17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8"/>
      <c r="AG5" s="18"/>
    </row>
    <row r="6" spans="2:33" ht="35.450000000000003" customHeight="1" x14ac:dyDescent="0.6">
      <c r="B6" s="16">
        <v>4</v>
      </c>
      <c r="C6" s="16"/>
      <c r="D6" s="17" t="s">
        <v>172</v>
      </c>
      <c r="E6" s="17"/>
      <c r="F6" s="16"/>
      <c r="G6" s="16"/>
      <c r="H6" s="16"/>
      <c r="I6" s="16"/>
      <c r="J6" s="16"/>
      <c r="K6" s="16"/>
      <c r="L6" s="18"/>
      <c r="M6" s="17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  <c r="AF6" s="18"/>
      <c r="AG6" s="18"/>
    </row>
    <row r="7" spans="2:33" ht="35.450000000000003" customHeight="1" x14ac:dyDescent="0.6">
      <c r="B7" s="16">
        <v>5</v>
      </c>
      <c r="C7" s="16"/>
      <c r="D7" s="20" t="s">
        <v>173</v>
      </c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  <c r="AC7" s="16"/>
      <c r="AD7" s="16"/>
      <c r="AE7" s="16"/>
      <c r="AF7" s="18"/>
      <c r="AG7" s="18"/>
    </row>
    <row r="8" spans="2:33" ht="35.450000000000003" customHeight="1" x14ac:dyDescent="0.6">
      <c r="B8" s="16">
        <v>6</v>
      </c>
      <c r="C8" s="16"/>
      <c r="D8" s="17" t="s">
        <v>174</v>
      </c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 t="s">
        <v>178</v>
      </c>
      <c r="R8" s="16"/>
      <c r="S8" s="16"/>
      <c r="T8" s="16"/>
      <c r="U8" s="17"/>
      <c r="V8" s="16"/>
      <c r="W8" s="16"/>
      <c r="X8" s="16"/>
      <c r="Y8" s="16"/>
      <c r="Z8" s="16"/>
      <c r="AA8" s="16"/>
      <c r="AB8" s="16"/>
      <c r="AC8" s="16"/>
      <c r="AD8" s="16"/>
      <c r="AE8" s="16"/>
      <c r="AF8" s="18"/>
      <c r="AG8" s="18"/>
    </row>
    <row r="9" spans="2:33" ht="35.450000000000003" customHeight="1" x14ac:dyDescent="0.6">
      <c r="B9" s="16">
        <v>7</v>
      </c>
      <c r="C9" s="16"/>
      <c r="D9" s="17" t="s">
        <v>175</v>
      </c>
      <c r="E9" s="16" t="s">
        <v>178</v>
      </c>
      <c r="F9" s="16" t="s">
        <v>178</v>
      </c>
      <c r="G9" s="16" t="s">
        <v>178</v>
      </c>
      <c r="H9" s="16" t="s">
        <v>178</v>
      </c>
      <c r="I9" s="16" t="s">
        <v>178</v>
      </c>
      <c r="J9" s="16" t="s">
        <v>178</v>
      </c>
      <c r="K9" s="16" t="s">
        <v>178</v>
      </c>
      <c r="L9" s="16" t="s">
        <v>178</v>
      </c>
      <c r="M9" s="16" t="s">
        <v>178</v>
      </c>
      <c r="N9" s="16" t="s">
        <v>178</v>
      </c>
      <c r="O9" s="16" t="s">
        <v>178</v>
      </c>
      <c r="P9" s="16" t="s">
        <v>178</v>
      </c>
      <c r="Q9" s="16" t="s">
        <v>178</v>
      </c>
      <c r="R9" s="16" t="s">
        <v>178</v>
      </c>
      <c r="S9" s="16" t="s">
        <v>178</v>
      </c>
      <c r="T9" s="16" t="s">
        <v>178</v>
      </c>
      <c r="U9" s="16" t="s">
        <v>178</v>
      </c>
      <c r="V9" s="16" t="s">
        <v>178</v>
      </c>
      <c r="W9" s="16" t="s">
        <v>178</v>
      </c>
      <c r="X9" s="16" t="s">
        <v>178</v>
      </c>
      <c r="Y9" s="16" t="s">
        <v>178</v>
      </c>
      <c r="Z9" s="16" t="s">
        <v>178</v>
      </c>
      <c r="AA9" s="16" t="s">
        <v>178</v>
      </c>
      <c r="AB9" s="16" t="s">
        <v>178</v>
      </c>
      <c r="AC9" s="16" t="s">
        <v>178</v>
      </c>
      <c r="AD9" s="16" t="s">
        <v>178</v>
      </c>
      <c r="AE9" s="16" t="s">
        <v>178</v>
      </c>
      <c r="AF9" s="19" t="s">
        <v>179</v>
      </c>
      <c r="AG9" s="18"/>
    </row>
    <row r="10" spans="2:33" ht="35.450000000000003" customHeight="1" x14ac:dyDescent="0.6">
      <c r="B10" s="16">
        <v>8</v>
      </c>
      <c r="C10" s="16"/>
      <c r="D10" s="17" t="s">
        <v>176</v>
      </c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 t="s">
        <v>178</v>
      </c>
      <c r="R10" s="16"/>
      <c r="S10" s="16"/>
      <c r="T10" s="16" t="s">
        <v>178</v>
      </c>
      <c r="U10" s="16"/>
      <c r="V10" s="16"/>
      <c r="W10" s="16"/>
      <c r="X10" s="16"/>
      <c r="Y10" s="16"/>
      <c r="Z10" s="16"/>
      <c r="AA10" s="16"/>
      <c r="AB10" s="16"/>
      <c r="AC10" s="16"/>
      <c r="AD10" s="16"/>
      <c r="AE10" s="16"/>
      <c r="AF10" s="18"/>
      <c r="AG10" s="18"/>
    </row>
    <row r="11" spans="2:33" ht="35.450000000000003" customHeight="1" x14ac:dyDescent="0.6">
      <c r="B11" s="16">
        <v>9</v>
      </c>
      <c r="C11" s="16"/>
      <c r="D11" s="17" t="s">
        <v>177</v>
      </c>
      <c r="E11" s="16"/>
      <c r="F11" s="16"/>
      <c r="G11" s="16"/>
      <c r="H11" s="16"/>
      <c r="I11" s="16"/>
      <c r="J11" s="16"/>
      <c r="K11" s="16"/>
      <c r="L11" s="16"/>
      <c r="M11" s="16"/>
      <c r="N11" s="16" t="s">
        <v>178</v>
      </c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  <c r="AB11" s="16"/>
      <c r="AC11" s="16"/>
      <c r="AD11" s="16"/>
      <c r="AE11" s="16"/>
      <c r="AF11" s="18"/>
      <c r="AG11" s="18"/>
    </row>
    <row r="12" spans="2:33" ht="35.450000000000003" customHeight="1" x14ac:dyDescent="0.6">
      <c r="AF12" s="18"/>
      <c r="AG12" s="18"/>
    </row>
    <row r="13" spans="2:33" ht="35.450000000000003" customHeight="1" x14ac:dyDescent="0.6">
      <c r="B13" s="16">
        <v>10</v>
      </c>
      <c r="C13" s="16"/>
      <c r="D13" s="17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  <c r="AB13" s="16"/>
      <c r="AC13" s="16"/>
      <c r="AD13" s="16"/>
      <c r="AE13" s="16"/>
      <c r="AF13" s="18"/>
      <c r="AG13" s="18"/>
    </row>
    <row r="14" spans="2:33" ht="35.450000000000003" customHeight="1" x14ac:dyDescent="0.6">
      <c r="B14" s="16">
        <v>11</v>
      </c>
      <c r="C14" s="16"/>
      <c r="D14" s="17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  <c r="AB14" s="16"/>
      <c r="AC14" s="16"/>
      <c r="AD14" s="16"/>
      <c r="AE14" s="16"/>
      <c r="AF14" s="18"/>
      <c r="AG14" s="18"/>
    </row>
    <row r="15" spans="2:33" ht="35.450000000000003" customHeight="1" x14ac:dyDescent="0.6">
      <c r="B15" s="16">
        <v>12</v>
      </c>
      <c r="C15" s="16"/>
      <c r="D15" s="17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  <c r="AB15" s="16"/>
      <c r="AC15" s="16"/>
      <c r="AD15" s="16"/>
      <c r="AE15" s="16"/>
      <c r="AF15" s="18"/>
      <c r="AG15" s="18"/>
    </row>
    <row r="16" spans="2:33" ht="35.450000000000003" customHeight="1" x14ac:dyDescent="0.6">
      <c r="B16" s="16">
        <v>13</v>
      </c>
      <c r="C16" s="16"/>
      <c r="D16" s="17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F16" s="18"/>
      <c r="AG16" s="18"/>
    </row>
    <row r="17" spans="1:33" ht="35.450000000000003" customHeight="1" x14ac:dyDescent="0.6">
      <c r="B17" s="16">
        <v>14</v>
      </c>
      <c r="C17" s="16"/>
      <c r="D17" s="17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6"/>
      <c r="AB17" s="16"/>
      <c r="AC17" s="16"/>
      <c r="AD17" s="16"/>
      <c r="AE17" s="16"/>
      <c r="AF17" s="18"/>
      <c r="AG17" s="18"/>
    </row>
    <row r="18" spans="1:33" s="11" customFormat="1" ht="35.450000000000003" customHeight="1" x14ac:dyDescent="0.6">
      <c r="A18" s="2"/>
      <c r="B18" s="16">
        <v>15</v>
      </c>
      <c r="C18" s="16"/>
      <c r="D18" s="17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6"/>
      <c r="AB18" s="16"/>
      <c r="AC18" s="16"/>
      <c r="AD18" s="16"/>
      <c r="AE18" s="16"/>
      <c r="AF18" s="19"/>
      <c r="AG18" s="19"/>
    </row>
    <row r="19" spans="1:33" s="11" customFormat="1" ht="35.450000000000003" customHeight="1" x14ac:dyDescent="0.6">
      <c r="A19" s="2"/>
      <c r="B19" s="16">
        <v>16</v>
      </c>
      <c r="C19" s="16"/>
      <c r="D19" s="17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  <c r="AB19" s="16"/>
      <c r="AC19" s="16"/>
      <c r="AD19" s="16"/>
      <c r="AE19" s="16"/>
      <c r="AF19" s="19"/>
      <c r="AG19" s="19"/>
    </row>
    <row r="20" spans="1:33" s="11" customFormat="1" ht="35.450000000000003" customHeight="1" x14ac:dyDescent="0.6">
      <c r="A20" s="2"/>
      <c r="B20" s="16">
        <v>17</v>
      </c>
      <c r="C20" s="16"/>
      <c r="D20" s="17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6"/>
      <c r="AD20" s="16"/>
      <c r="AE20" s="16"/>
      <c r="AF20" s="19"/>
      <c r="AG20" s="19"/>
    </row>
    <row r="21" spans="1:33" s="11" customFormat="1" ht="35.450000000000003" customHeight="1" x14ac:dyDescent="0.6">
      <c r="A21" s="2"/>
      <c r="B21" s="16">
        <v>18</v>
      </c>
      <c r="C21" s="16"/>
      <c r="D21" s="17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  <c r="AB21" s="16"/>
      <c r="AC21" s="16"/>
      <c r="AD21" s="16"/>
      <c r="AE21" s="16"/>
      <c r="AF21" s="19"/>
      <c r="AG21" s="19"/>
    </row>
    <row r="22" spans="1:33" s="11" customFormat="1" ht="35.450000000000003" customHeight="1" x14ac:dyDescent="0.6">
      <c r="A22" s="2"/>
      <c r="B22" s="16">
        <v>19</v>
      </c>
      <c r="C22" s="16"/>
      <c r="D22" s="17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  <c r="AB22" s="16"/>
      <c r="AC22" s="16"/>
      <c r="AD22" s="16"/>
      <c r="AE22" s="16"/>
      <c r="AF22" s="19"/>
      <c r="AG22" s="19"/>
    </row>
    <row r="23" spans="1:33" s="11" customFormat="1" ht="35.450000000000003" customHeight="1" x14ac:dyDescent="0.6">
      <c r="A23" s="2"/>
      <c r="B23" s="16">
        <v>20</v>
      </c>
      <c r="C23" s="16"/>
      <c r="D23" s="17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  <c r="AB23" s="16"/>
      <c r="AC23" s="16"/>
      <c r="AD23" s="16"/>
      <c r="AE23" s="16"/>
      <c r="AF23" s="19"/>
      <c r="AG23" s="19"/>
    </row>
    <row r="24" spans="1:33" s="11" customFormat="1" ht="35.450000000000003" customHeight="1" x14ac:dyDescent="0.6">
      <c r="A24" s="2"/>
      <c r="B24" s="16">
        <v>21</v>
      </c>
      <c r="C24" s="16"/>
      <c r="D24" s="17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  <c r="AB24" s="16"/>
      <c r="AC24" s="16"/>
      <c r="AD24" s="16"/>
      <c r="AE24" s="16"/>
      <c r="AF24" s="19"/>
      <c r="AG24" s="19"/>
    </row>
    <row r="25" spans="1:33" s="11" customFormat="1" ht="35.450000000000003" customHeight="1" x14ac:dyDescent="0.6">
      <c r="A25" s="2"/>
      <c r="B25" s="16">
        <v>22</v>
      </c>
      <c r="C25" s="16"/>
      <c r="D25" s="17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6"/>
      <c r="AD25" s="16"/>
      <c r="AE25" s="16"/>
      <c r="AF25" s="19"/>
      <c r="AG25" s="19"/>
    </row>
    <row r="26" spans="1:33" s="11" customFormat="1" ht="35.450000000000003" customHeight="1" x14ac:dyDescent="0.6">
      <c r="A26" s="2"/>
      <c r="B26" s="16">
        <v>23</v>
      </c>
      <c r="C26" s="16"/>
      <c r="D26" s="17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  <c r="AB26" s="16"/>
      <c r="AC26" s="16"/>
      <c r="AD26" s="16"/>
      <c r="AE26" s="16"/>
      <c r="AF26" s="19"/>
      <c r="AG26" s="19"/>
    </row>
    <row r="27" spans="1:33" s="11" customFormat="1" ht="35.450000000000003" customHeight="1" x14ac:dyDescent="0.6">
      <c r="A27" s="2"/>
      <c r="B27" s="16">
        <v>24</v>
      </c>
      <c r="C27" s="16"/>
      <c r="D27" s="17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  <c r="AB27" s="16"/>
      <c r="AC27" s="16"/>
      <c r="AD27" s="16"/>
      <c r="AE27" s="16"/>
      <c r="AF27" s="19"/>
      <c r="AG27" s="19"/>
    </row>
    <row r="28" spans="1:33" s="11" customFormat="1" ht="35.450000000000003" customHeight="1" x14ac:dyDescent="0.6">
      <c r="A28" s="2"/>
      <c r="B28" s="16">
        <v>25</v>
      </c>
      <c r="C28" s="16"/>
      <c r="D28" s="17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6"/>
      <c r="AB28" s="16"/>
      <c r="AC28" s="16"/>
      <c r="AD28" s="16"/>
      <c r="AE28" s="16"/>
      <c r="AF28" s="19"/>
      <c r="AG28" s="19"/>
    </row>
    <row r="29" spans="1:33" s="11" customFormat="1" ht="35.450000000000003" customHeight="1" x14ac:dyDescent="0.6">
      <c r="A29" s="2"/>
      <c r="B29" s="16">
        <v>26</v>
      </c>
      <c r="C29" s="16"/>
      <c r="D29" s="17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7"/>
      <c r="T29" s="16"/>
      <c r="U29" s="16"/>
      <c r="V29" s="16"/>
      <c r="W29" s="16"/>
      <c r="X29" s="16"/>
      <c r="Y29" s="16"/>
      <c r="Z29" s="16"/>
      <c r="AA29" s="16"/>
      <c r="AB29" s="16"/>
      <c r="AC29" s="16"/>
      <c r="AD29" s="16"/>
      <c r="AE29" s="16"/>
      <c r="AF29" s="19"/>
      <c r="AG29" s="19"/>
    </row>
    <row r="30" spans="1:33" s="11" customFormat="1" ht="35.450000000000003" customHeight="1" x14ac:dyDescent="0.6">
      <c r="A30" s="2"/>
      <c r="B30" s="16">
        <v>27</v>
      </c>
      <c r="C30" s="16"/>
      <c r="D30" s="17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16"/>
      <c r="AB30" s="16"/>
      <c r="AC30" s="16"/>
      <c r="AD30" s="16"/>
      <c r="AE30" s="16"/>
      <c r="AF30" s="19"/>
      <c r="AG30" s="19"/>
    </row>
    <row r="31" spans="1:33" s="11" customFormat="1" ht="35.450000000000003" customHeight="1" x14ac:dyDescent="0.6">
      <c r="A31" s="2"/>
      <c r="B31" s="16">
        <v>28</v>
      </c>
      <c r="C31" s="16"/>
      <c r="D31" s="17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6"/>
      <c r="AB31" s="16"/>
      <c r="AC31" s="16"/>
      <c r="AD31" s="16"/>
      <c r="AE31" s="16"/>
      <c r="AF31" s="19"/>
      <c r="AG31" s="19"/>
    </row>
    <row r="32" spans="1:33" s="11" customFormat="1" ht="35.450000000000003" customHeight="1" x14ac:dyDescent="0.6">
      <c r="A32" s="2"/>
      <c r="B32" s="16">
        <v>29</v>
      </c>
      <c r="C32" s="16"/>
      <c r="D32" s="17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16"/>
      <c r="AB32" s="16"/>
      <c r="AC32" s="16"/>
      <c r="AD32" s="16"/>
      <c r="AE32" s="16"/>
      <c r="AF32" s="19"/>
      <c r="AG32" s="19"/>
    </row>
    <row r="33" spans="1:33" s="11" customFormat="1" ht="35.450000000000003" customHeight="1" x14ac:dyDescent="0.6">
      <c r="A33" s="2"/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  <c r="AB33" s="18"/>
      <c r="AC33" s="18"/>
      <c r="AD33" s="18"/>
      <c r="AE33" s="18"/>
      <c r="AF33" s="19"/>
      <c r="AG33" s="19"/>
    </row>
    <row r="34" spans="1:33" ht="35.450000000000003" customHeight="1" x14ac:dyDescent="0.6"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  <c r="AB34" s="18"/>
      <c r="AC34" s="18"/>
      <c r="AD34" s="18"/>
      <c r="AE34" s="18"/>
      <c r="AF34" s="18"/>
      <c r="AG34" s="18"/>
    </row>
    <row r="35" spans="1:33" ht="35.450000000000003" customHeight="1" x14ac:dyDescent="0.6"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  <c r="AB35" s="18"/>
      <c r="AC35" s="18"/>
      <c r="AD35" s="18"/>
      <c r="AE35" s="18"/>
      <c r="AF35" s="18"/>
      <c r="AG35" s="18"/>
    </row>
    <row r="36" spans="1:33" ht="35.450000000000003" customHeight="1" x14ac:dyDescent="0.6"/>
    <row r="37" spans="1:33" ht="35.450000000000003" customHeight="1" x14ac:dyDescent="0.6"/>
    <row r="38" spans="1:33" ht="35.450000000000003" customHeight="1" x14ac:dyDescent="0.6"/>
    <row r="39" spans="1:33" ht="35.450000000000003" customHeight="1" x14ac:dyDescent="0.6"/>
    <row r="40" spans="1:33" ht="35.450000000000003" customHeight="1" x14ac:dyDescent="0.6"/>
    <row r="41" spans="1:33" ht="35.450000000000003" customHeight="1" x14ac:dyDescent="0.6"/>
    <row r="42" spans="1:33" ht="35.450000000000003" customHeight="1" x14ac:dyDescent="0.6"/>
    <row r="43" spans="1:33" ht="35.450000000000003" customHeight="1" x14ac:dyDescent="0.6"/>
    <row r="44" spans="1:33" ht="35.450000000000003" customHeight="1" x14ac:dyDescent="0.6"/>
    <row r="45" spans="1:33" ht="35.450000000000003" customHeight="1" x14ac:dyDescent="0.6"/>
    <row r="46" spans="1:33" ht="35.450000000000003" customHeight="1" x14ac:dyDescent="0.6"/>
    <row r="47" spans="1:33" ht="35.450000000000003" customHeight="1" x14ac:dyDescent="0.6"/>
    <row r="48" spans="1:33" ht="35.450000000000003" customHeight="1" x14ac:dyDescent="0.6"/>
    <row r="49" ht="35.450000000000003" customHeight="1" x14ac:dyDescent="0.6"/>
    <row r="50" ht="35.450000000000003" customHeight="1" x14ac:dyDescent="0.6"/>
    <row r="51" ht="35.450000000000003" customHeight="1" x14ac:dyDescent="0.6"/>
    <row r="52" ht="35.450000000000003" customHeight="1" x14ac:dyDescent="0.6"/>
    <row r="53" ht="35.450000000000003" customHeight="1" x14ac:dyDescent="0.6"/>
    <row r="54" ht="35.450000000000003" customHeight="1" x14ac:dyDescent="0.6"/>
    <row r="55" ht="35.450000000000003" customHeight="1" x14ac:dyDescent="0.6"/>
    <row r="56" ht="35.450000000000003" customHeight="1" x14ac:dyDescent="0.6"/>
    <row r="57" ht="35.450000000000003" customHeight="1" x14ac:dyDescent="0.6"/>
    <row r="58" ht="35.450000000000003" customHeight="1" x14ac:dyDescent="0.6"/>
    <row r="59" ht="35.450000000000003" customHeight="1" x14ac:dyDescent="0.6"/>
    <row r="60" ht="35.450000000000003" customHeight="1" x14ac:dyDescent="0.6"/>
    <row r="61" ht="35.450000000000003" customHeight="1" x14ac:dyDescent="0.6"/>
    <row r="62" ht="35.450000000000003" customHeight="1" x14ac:dyDescent="0.6"/>
    <row r="63" ht="35.450000000000003" customHeight="1" x14ac:dyDescent="0.6"/>
    <row r="64" ht="35.450000000000003" customHeight="1" x14ac:dyDescent="0.6"/>
    <row r="65" ht="35.450000000000003" customHeight="1" x14ac:dyDescent="0.6"/>
    <row r="66" ht="35.450000000000003" customHeight="1" x14ac:dyDescent="0.6"/>
    <row r="67" ht="35.450000000000003" customHeight="1" x14ac:dyDescent="0.6"/>
    <row r="68" ht="35.450000000000003" customHeight="1" x14ac:dyDescent="0.6"/>
    <row r="69" ht="35.450000000000003" customHeight="1" x14ac:dyDescent="0.6"/>
    <row r="70" ht="35.450000000000003" customHeight="1" x14ac:dyDescent="0.6"/>
    <row r="71" ht="35.450000000000003" customHeight="1" x14ac:dyDescent="0.6"/>
    <row r="72" ht="35.450000000000003" customHeight="1" x14ac:dyDescent="0.6"/>
    <row r="73" ht="35.450000000000003" customHeight="1" x14ac:dyDescent="0.6"/>
    <row r="74" ht="35.450000000000003" customHeight="1" x14ac:dyDescent="0.6"/>
    <row r="75" ht="35.450000000000003" customHeight="1" x14ac:dyDescent="0.6"/>
    <row r="76" ht="35.450000000000003" customHeight="1" x14ac:dyDescent="0.6"/>
    <row r="77" ht="35.450000000000003" customHeight="1" x14ac:dyDescent="0.6"/>
    <row r="78" ht="35.450000000000003" customHeight="1" x14ac:dyDescent="0.6"/>
    <row r="79" ht="35.450000000000003" customHeight="1" x14ac:dyDescent="0.6"/>
    <row r="80" ht="35.450000000000003" customHeight="1" x14ac:dyDescent="0.6"/>
    <row r="81" ht="35.450000000000003" customHeight="1" x14ac:dyDescent="0.6"/>
    <row r="82" ht="35.450000000000003" customHeight="1" x14ac:dyDescent="0.6"/>
    <row r="83" ht="35.450000000000003" customHeight="1" x14ac:dyDescent="0.6"/>
    <row r="84" ht="35.450000000000003" customHeight="1" x14ac:dyDescent="0.6"/>
    <row r="85" ht="35.450000000000003" customHeight="1" x14ac:dyDescent="0.6"/>
    <row r="86" ht="35.450000000000003" customHeight="1" x14ac:dyDescent="0.6"/>
    <row r="87" ht="35.450000000000003" customHeight="1" x14ac:dyDescent="0.6"/>
    <row r="88" ht="35.450000000000003" customHeight="1" x14ac:dyDescent="0.6"/>
    <row r="89" ht="35.450000000000003" customHeight="1" x14ac:dyDescent="0.6"/>
    <row r="90" ht="35.450000000000003" customHeight="1" x14ac:dyDescent="0.6"/>
    <row r="91" ht="35.450000000000003" customHeight="1" x14ac:dyDescent="0.6"/>
    <row r="92" ht="35.450000000000003" customHeight="1" x14ac:dyDescent="0.6"/>
    <row r="93" ht="35.450000000000003" customHeight="1" x14ac:dyDescent="0.6"/>
    <row r="94" ht="35.450000000000003" customHeight="1" x14ac:dyDescent="0.6"/>
    <row r="95" ht="35.450000000000003" customHeight="1" x14ac:dyDescent="0.6"/>
    <row r="96" ht="35.450000000000003" customHeight="1" x14ac:dyDescent="0.6"/>
    <row r="97" ht="35.450000000000003" customHeight="1" x14ac:dyDescent="0.6"/>
    <row r="98" ht="35.450000000000003" customHeight="1" x14ac:dyDescent="0.6"/>
    <row r="99" ht="35.450000000000003" customHeight="1" x14ac:dyDescent="0.6"/>
    <row r="100" ht="35.450000000000003" customHeight="1" x14ac:dyDescent="0.6"/>
    <row r="101" ht="35.450000000000003" customHeight="1" x14ac:dyDescent="0.6"/>
    <row r="102" ht="35.450000000000003" customHeight="1" x14ac:dyDescent="0.6"/>
    <row r="103" ht="35.450000000000003" customHeight="1" x14ac:dyDescent="0.6"/>
    <row r="104" ht="35.450000000000003" customHeight="1" x14ac:dyDescent="0.6"/>
    <row r="105" ht="35.450000000000003" customHeight="1" x14ac:dyDescent="0.6"/>
    <row r="106" ht="35.450000000000003" customHeight="1" x14ac:dyDescent="0.6"/>
    <row r="107" ht="35.450000000000003" customHeight="1" x14ac:dyDescent="0.6"/>
    <row r="108" ht="35.450000000000003" customHeight="1" x14ac:dyDescent="0.6"/>
    <row r="109" ht="35.450000000000003" customHeight="1" x14ac:dyDescent="0.6"/>
    <row r="110" ht="35.450000000000003" customHeight="1" x14ac:dyDescent="0.6"/>
    <row r="111" ht="35.450000000000003" customHeight="1" x14ac:dyDescent="0.6"/>
    <row r="112" ht="35.450000000000003" customHeight="1" x14ac:dyDescent="0.6"/>
    <row r="113" ht="35.450000000000003" customHeight="1" x14ac:dyDescent="0.6"/>
    <row r="114" ht="35.450000000000003" customHeight="1" x14ac:dyDescent="0.6"/>
    <row r="115" ht="35.450000000000003" customHeight="1" x14ac:dyDescent="0.6"/>
    <row r="116" ht="35.450000000000003" customHeight="1" x14ac:dyDescent="0.6"/>
    <row r="117" ht="35.450000000000003" customHeight="1" x14ac:dyDescent="0.6"/>
    <row r="118" ht="35.450000000000003" customHeight="1" x14ac:dyDescent="0.6"/>
    <row r="119" ht="35.450000000000003" customHeight="1" x14ac:dyDescent="0.6"/>
    <row r="120" ht="35.450000000000003" customHeight="1" x14ac:dyDescent="0.6"/>
    <row r="121" ht="35.450000000000003" customHeight="1" x14ac:dyDescent="0.6"/>
    <row r="122" ht="35.450000000000003" customHeight="1" x14ac:dyDescent="0.6"/>
    <row r="123" ht="35.450000000000003" customHeight="1" x14ac:dyDescent="0.6"/>
    <row r="124" ht="35.450000000000003" customHeight="1" x14ac:dyDescent="0.6"/>
    <row r="125" ht="35.450000000000003" customHeight="1" x14ac:dyDescent="0.6"/>
    <row r="126" ht="35.450000000000003" customHeight="1" x14ac:dyDescent="0.6"/>
    <row r="127" ht="35.450000000000003" customHeight="1" x14ac:dyDescent="0.6"/>
    <row r="128" ht="35.450000000000003" customHeight="1" x14ac:dyDescent="0.6"/>
    <row r="129" ht="35.450000000000003" customHeight="1" x14ac:dyDescent="0.6"/>
    <row r="130" ht="35.450000000000003" customHeight="1" x14ac:dyDescent="0.6"/>
    <row r="131" ht="35.450000000000003" customHeight="1" x14ac:dyDescent="0.6"/>
    <row r="132" ht="35.450000000000003" customHeight="1" x14ac:dyDescent="0.6"/>
    <row r="133" ht="35.450000000000003" customHeight="1" x14ac:dyDescent="0.6"/>
    <row r="134" ht="35.450000000000003" customHeight="1" x14ac:dyDescent="0.6"/>
    <row r="135" ht="35.450000000000003" customHeight="1" x14ac:dyDescent="0.6"/>
    <row r="136" ht="35.450000000000003" customHeight="1" x14ac:dyDescent="0.6"/>
    <row r="137" ht="35.450000000000003" customHeight="1" x14ac:dyDescent="0.6"/>
    <row r="138" ht="35.450000000000003" customHeight="1" x14ac:dyDescent="0.6"/>
    <row r="139" ht="35.450000000000003" customHeight="1" x14ac:dyDescent="0.6"/>
    <row r="140" ht="35.450000000000003" customHeight="1" x14ac:dyDescent="0.6"/>
    <row r="141" ht="35.450000000000003" customHeight="1" x14ac:dyDescent="0.6"/>
    <row r="142" ht="35.450000000000003" customHeight="1" x14ac:dyDescent="0.6"/>
    <row r="143" ht="35.450000000000003" customHeight="1" x14ac:dyDescent="0.6"/>
    <row r="144" ht="35.450000000000003" customHeight="1" x14ac:dyDescent="0.6"/>
    <row r="145" ht="35.450000000000003" customHeight="1" x14ac:dyDescent="0.6"/>
    <row r="146" ht="35.450000000000003" customHeight="1" x14ac:dyDescent="0.6"/>
    <row r="147" ht="35.450000000000003" customHeight="1" x14ac:dyDescent="0.6"/>
    <row r="148" ht="35.450000000000003" customHeight="1" x14ac:dyDescent="0.6"/>
    <row r="149" ht="35.450000000000003" customHeight="1" x14ac:dyDescent="0.6"/>
    <row r="150" ht="35.450000000000003" customHeight="1" x14ac:dyDescent="0.6"/>
    <row r="151" ht="35.450000000000003" customHeight="1" x14ac:dyDescent="0.6"/>
    <row r="152" ht="35.450000000000003" customHeight="1" x14ac:dyDescent="0.6"/>
    <row r="153" ht="35.450000000000003" customHeight="1" x14ac:dyDescent="0.6"/>
    <row r="154" ht="35.450000000000003" customHeight="1" x14ac:dyDescent="0.6"/>
    <row r="155" ht="35.450000000000003" customHeight="1" x14ac:dyDescent="0.6"/>
    <row r="156" ht="35.450000000000003" customHeight="1" x14ac:dyDescent="0.6"/>
    <row r="157" ht="35.450000000000003" customHeight="1" x14ac:dyDescent="0.6"/>
    <row r="158" ht="35.450000000000003" customHeight="1" x14ac:dyDescent="0.6"/>
    <row r="159" ht="35.450000000000003" customHeight="1" x14ac:dyDescent="0.6"/>
    <row r="160" ht="35.450000000000003" customHeight="1" x14ac:dyDescent="0.6"/>
    <row r="161" ht="35.450000000000003" customHeight="1" x14ac:dyDescent="0.6"/>
    <row r="162" ht="35.450000000000003" customHeight="1" x14ac:dyDescent="0.6"/>
    <row r="163" ht="35.450000000000003" customHeight="1" x14ac:dyDescent="0.6"/>
    <row r="164" ht="35.450000000000003" customHeight="1" x14ac:dyDescent="0.6"/>
    <row r="165" ht="35.450000000000003" customHeight="1" x14ac:dyDescent="0.6"/>
    <row r="166" ht="35.450000000000003" customHeight="1" x14ac:dyDescent="0.6"/>
    <row r="167" ht="35.450000000000003" customHeight="1" x14ac:dyDescent="0.6"/>
    <row r="168" ht="35.450000000000003" customHeight="1" x14ac:dyDescent="0.6"/>
    <row r="169" ht="35.450000000000003" customHeight="1" x14ac:dyDescent="0.6"/>
    <row r="170" ht="35.450000000000003" customHeight="1" x14ac:dyDescent="0.6"/>
  </sheetData>
  <phoneticPr fontId="1" type="noConversion"/>
  <pageMargins left="0.7" right="0.7" top="0.75" bottom="0.75" header="0.3" footer="0.3"/>
  <pageSetup paperSize="8" orientation="portrait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240828 입수시료</vt:lpstr>
      <vt:lpstr>240906 입수시료_vref_4095</vt:lpstr>
      <vt:lpstr>240906 입수시료_vref_3450</vt:lpstr>
      <vt:lpstr>240906 입수시료_vref_with상무님</vt:lpstr>
      <vt:lpstr>Sheet2</vt:lpstr>
      <vt:lpstr>241120 입수시료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 준영</dc:creator>
  <cp:lastModifiedBy>이 준영</cp:lastModifiedBy>
  <cp:lastPrinted>2024-08-30T02:50:55Z</cp:lastPrinted>
  <dcterms:created xsi:type="dcterms:W3CDTF">2024-08-30T01:52:59Z</dcterms:created>
  <dcterms:modified xsi:type="dcterms:W3CDTF">2024-11-20T06:20:40Z</dcterms:modified>
</cp:coreProperties>
</file>