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XD12_JIG\XD12_JIG_ES1\Docs\"/>
    </mc:Choice>
  </mc:AlternateContent>
  <xr:revisionPtr revIDLastSave="0" documentId="13_ncr:1_{A24AD7E4-0181-4B31-9C88-6FE0B0551389}" xr6:coauthVersionLast="47" xr6:coauthVersionMax="47" xr10:uidLastSave="{00000000-0000-0000-0000-000000000000}"/>
  <bookViews>
    <workbookView xWindow="28680" yWindow="-120" windowWidth="29040" windowHeight="15720" tabRatio="783" xr2:uid="{8E6744E9-1CD1-4F75-9FAE-976B6DD9451B}"/>
  </bookViews>
  <sheets>
    <sheet name="serializer_protocol" sheetId="170" r:id="rId1"/>
    <sheet name="Sheet1" sheetId="206" r:id="rId2"/>
    <sheet name="controller_reg" sheetId="180" r:id="rId3"/>
    <sheet name="driver1_reg" sheetId="201" r:id="rId4"/>
    <sheet name="driver2_reg" sheetId="203" r:id="rId5"/>
    <sheet name="driver_pinout_pattern" sheetId="197" r:id="rId6"/>
    <sheet name="driver_thermalpad" sheetId="20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03" l="1"/>
  <c r="B31" i="201"/>
  <c r="B197" i="180" l="1"/>
  <c r="C196" i="180"/>
  <c r="C195" i="180"/>
  <c r="B195" i="180"/>
  <c r="C194" i="180"/>
  <c r="C191" i="180"/>
  <c r="C192" i="180" s="1"/>
  <c r="C189" i="180"/>
  <c r="C190" i="180"/>
  <c r="B33" i="203" l="1"/>
  <c r="B34" i="203" s="1"/>
  <c r="B35" i="203" s="1"/>
  <c r="B36" i="203" s="1"/>
  <c r="B37" i="203" s="1"/>
  <c r="B39" i="203" s="1"/>
  <c r="B40" i="203" s="1"/>
  <c r="B41" i="203" s="1"/>
  <c r="B42" i="203" s="1"/>
  <c r="B43" i="203" s="1"/>
  <c r="B44" i="203" s="1"/>
  <c r="B45" i="203" s="1"/>
  <c r="B46" i="203" s="1"/>
  <c r="B47" i="203" s="1"/>
  <c r="B48" i="203" s="1"/>
  <c r="B49" i="203" s="1"/>
  <c r="B50" i="203" s="1"/>
  <c r="B51" i="203" s="1"/>
  <c r="B52" i="203" s="1"/>
  <c r="B53" i="203" s="1"/>
  <c r="B54" i="203" s="1"/>
  <c r="B55" i="203" s="1"/>
  <c r="B56" i="203" s="1"/>
  <c r="B57" i="203" s="1"/>
  <c r="B58" i="203" s="1"/>
  <c r="B59" i="203" s="1"/>
  <c r="B60" i="203" s="1"/>
  <c r="B61" i="203" s="1"/>
  <c r="B62" i="203" s="1"/>
  <c r="B63" i="203" s="1"/>
  <c r="B64" i="203" s="1"/>
  <c r="B28" i="180"/>
  <c r="B29" i="180" l="1"/>
  <c r="B30" i="180" s="1"/>
  <c r="B31" i="180" s="1"/>
  <c r="B32" i="180" s="1"/>
  <c r="B33" i="180" s="1"/>
  <c r="B34" i="180" s="1"/>
  <c r="B35" i="180" s="1"/>
  <c r="B36" i="180" s="1"/>
  <c r="B37" i="180" s="1"/>
  <c r="B38" i="180" s="1"/>
  <c r="B39" i="180" s="1"/>
  <c r="B40" i="180" s="1"/>
  <c r="B41" i="180" s="1"/>
  <c r="B42" i="180" s="1"/>
  <c r="B43" i="180" s="1"/>
  <c r="B44" i="180" s="1"/>
  <c r="B45" i="180" s="1"/>
  <c r="B46" i="180" s="1"/>
  <c r="B47" i="180" s="1"/>
  <c r="B48" i="180" s="1"/>
  <c r="B49" i="180" s="1"/>
  <c r="B50" i="180" s="1"/>
  <c r="B52" i="180" l="1"/>
  <c r="B53" i="180" s="1"/>
  <c r="B54" i="180" s="1"/>
  <c r="B55" i="180" s="1"/>
  <c r="B56" i="180" s="1"/>
  <c r="B57" i="180" s="1"/>
  <c r="B58" i="180" s="1"/>
  <c r="B60" i="180" s="1"/>
  <c r="B61" i="180" l="1"/>
  <c r="B62" i="180" s="1"/>
  <c r="B63" i="180" s="1"/>
  <c r="B64" i="180" s="1"/>
  <c r="B65" i="180" s="1"/>
  <c r="B66" i="180" s="1"/>
  <c r="B67" i="180" s="1"/>
  <c r="B68" i="180" s="1"/>
  <c r="B69" i="180" s="1"/>
  <c r="B70" i="180" s="1"/>
  <c r="B71" i="180" s="1"/>
  <c r="B72" i="180" s="1"/>
  <c r="B73" i="180" s="1"/>
  <c r="B74" i="180" s="1"/>
  <c r="B75" i="180" s="1"/>
  <c r="B76" i="180" s="1"/>
  <c r="B77" i="180" s="1"/>
  <c r="B78" i="180" s="1"/>
  <c r="B79" i="180" s="1"/>
  <c r="B80" i="180" s="1"/>
  <c r="B81" i="180" s="1"/>
  <c r="B82" i="180" s="1"/>
  <c r="B83" i="180" s="1"/>
  <c r="B84" i="180" s="1"/>
  <c r="B85" i="180" s="1"/>
  <c r="B86" i="180" s="1"/>
  <c r="B87" i="180" s="1"/>
  <c r="B88" i="180" s="1"/>
  <c r="B89" i="180" s="1"/>
  <c r="B90" i="180" s="1"/>
  <c r="B91" i="180" s="1"/>
  <c r="B92" i="180" s="1"/>
  <c r="B93" i="180" s="1"/>
  <c r="B94" i="180" s="1"/>
  <c r="B95" i="180" s="1"/>
  <c r="B96" i="180" s="1"/>
  <c r="B97" i="180" s="1"/>
  <c r="B98" i="180" s="1"/>
  <c r="B99" i="180" s="1"/>
  <c r="B100" i="180" s="1"/>
  <c r="B101" i="180" s="1"/>
  <c r="B102" i="180" s="1"/>
  <c r="B103" i="180" s="1"/>
  <c r="B104" i="180" s="1"/>
  <c r="B105" i="180" s="1"/>
  <c r="B106" i="180" s="1"/>
  <c r="B107" i="180" s="1"/>
  <c r="B108" i="180" s="1"/>
  <c r="B109" i="180" s="1"/>
  <c r="B110" i="180" s="1"/>
  <c r="B111" i="180" s="1"/>
  <c r="B112" i="180" s="1"/>
  <c r="B113" i="180" s="1"/>
  <c r="B114" i="180" s="1"/>
  <c r="B115" i="180" s="1"/>
  <c r="B116" i="180" s="1"/>
  <c r="B117" i="180" s="1"/>
  <c r="B118" i="180" s="1"/>
  <c r="B119" i="180" s="1"/>
  <c r="B120" i="180" s="1"/>
  <c r="B121" i="180" s="1"/>
  <c r="B122" i="180" s="1"/>
  <c r="B123" i="180" s="1"/>
  <c r="B124" i="180" s="1"/>
  <c r="B125" i="180" s="1"/>
  <c r="B126" i="180" s="1"/>
  <c r="B127" i="180" s="1"/>
  <c r="B128" i="180" s="1"/>
  <c r="B129" i="180" s="1"/>
  <c r="B130" i="180" s="1"/>
  <c r="B131" i="180" s="1"/>
  <c r="B132" i="180" s="1"/>
  <c r="B133" i="180" s="1"/>
  <c r="B134" i="180" s="1"/>
  <c r="B135" i="180" s="1"/>
  <c r="B136" i="180" s="1"/>
  <c r="B137" i="180" s="1"/>
  <c r="B138" i="180" s="1"/>
  <c r="B139" i="180" s="1"/>
  <c r="B140" i="180" s="1"/>
  <c r="B141" i="180" s="1"/>
  <c r="B142" i="180" s="1"/>
  <c r="B143" i="180" s="1"/>
  <c r="B144" i="180" s="1"/>
  <c r="B145" i="180" s="1"/>
  <c r="B146" i="180" s="1"/>
  <c r="B147" i="180" s="1"/>
  <c r="B148" i="180" s="1"/>
  <c r="B149" i="180" s="1"/>
  <c r="B150" i="180" s="1"/>
  <c r="B151" i="180" s="1"/>
  <c r="B152" i="180" s="1"/>
  <c r="B153" i="180" s="1"/>
  <c r="B154" i="180" s="1"/>
  <c r="B155" i="180" s="1"/>
  <c r="B156" i="180" s="1"/>
  <c r="B157" i="180" s="1"/>
  <c r="B158" i="180" s="1"/>
  <c r="B159" i="180" s="1"/>
  <c r="B160" i="180" s="1"/>
  <c r="B161" i="180" s="1"/>
  <c r="B162" i="180" s="1"/>
  <c r="B163" i="180" s="1"/>
  <c r="B164" i="180" s="1"/>
  <c r="B165" i="180" s="1"/>
  <c r="B166" i="180" s="1"/>
  <c r="B167" i="180" s="1"/>
  <c r="B168" i="180" s="1"/>
  <c r="B169" i="180" s="1"/>
  <c r="B170" i="180" s="1"/>
  <c r="B171" i="180" s="1"/>
  <c r="B172" i="180" s="1"/>
  <c r="B173" i="180" s="1"/>
  <c r="B174" i="180" s="1"/>
  <c r="B175" i="180" s="1"/>
  <c r="B176" i="180" s="1"/>
  <c r="B177" i="180" s="1"/>
  <c r="B178" i="180" s="1"/>
  <c r="B179" i="180" s="1"/>
  <c r="B180" i="180" s="1"/>
  <c r="B181" i="180" s="1"/>
  <c r="B182" i="180" s="1"/>
  <c r="B183" i="180" s="1"/>
  <c r="B184" i="180" s="1"/>
  <c r="B185" i="180" s="1"/>
  <c r="B186" i="180" s="1"/>
  <c r="B187" i="180" s="1"/>
  <c r="B32" i="201"/>
  <c r="B33" i="201" s="1"/>
  <c r="B34" i="201" s="1"/>
  <c r="B35" i="201" s="1"/>
  <c r="B36" i="201" s="1"/>
  <c r="B38" i="201" s="1"/>
  <c r="B39" i="201" s="1"/>
  <c r="B40" i="201" s="1"/>
  <c r="B41" i="201" s="1"/>
  <c r="B42" i="201" s="1"/>
  <c r="B43" i="201" s="1"/>
  <c r="B44" i="201" s="1"/>
  <c r="B45" i="201" s="1"/>
  <c r="B46" i="201" s="1"/>
  <c r="B47" i="201" s="1"/>
  <c r="B48" i="201" s="1"/>
  <c r="B49" i="201" s="1"/>
  <c r="B50" i="201" s="1"/>
  <c r="B51" i="201" s="1"/>
  <c r="B52" i="201" s="1"/>
  <c r="B53" i="201" s="1"/>
  <c r="B54" i="201" s="1"/>
  <c r="B55" i="201" s="1"/>
  <c r="B56" i="201" s="1"/>
  <c r="B57" i="201" s="1"/>
  <c r="B58" i="201" s="1"/>
  <c r="B59" i="201" s="1"/>
  <c r="B60" i="201" s="1"/>
  <c r="B61" i="201" s="1"/>
  <c r="B62" i="201" s="1"/>
  <c r="B63" i="20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85F32021-D1CD-43B3-BA8A-9907B68D9AF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42668461-6D86-4662-B5B2-2D8A0ECE86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10" authorId="0" shapeId="0" xr:uid="{CF288F19-E75A-4C59-B562-4BF4C464EE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S11" authorId="0" shapeId="0" xr:uid="{CF1EAC1C-E501-4D42-AFB2-2AEB75C4C6F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버그</t>
        </r>
        <r>
          <rPr>
            <sz val="9"/>
            <color indexed="81"/>
            <rFont val="Tahoma"/>
            <family val="2"/>
          </rPr>
          <t>.</t>
        </r>
      </text>
    </comment>
    <comment ref="C12" authorId="0" shapeId="0" xr:uid="{274FB431-654F-4D34-9183-7E60BC6B29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C13" authorId="0" shapeId="0" xr:uid="{5D86BB85-EC2C-4E57-9B09-AD09A518A9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6" authorId="0" shapeId="0" xr:uid="{2E60EB51-F34E-4E1F-BB43-532C783FCF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887AD2B5-BCAD-4518-AA19-E020754A24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21" authorId="0" shapeId="0" xr:uid="{70D48724-DE4E-4D93-8CC5-DAA3EE61BA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bug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C28" authorId="0" shapeId="0" xr:uid="{2D3A2C5A-1389-48D6-97A2-8F3B610493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36" authorId="0" shapeId="0" xr:uid="{F9DF8EFB-8097-45ED-BCA3-EFE9244FF5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50" authorId="0" shapeId="0" xr:uid="{9B9006D9-98D3-4878-97D7-A5DC54BC16F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Q14" authorId="0" shapeId="0" xr:uid="{5DB6BE06-B3F3-4A09-9498-2D5E491EE8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rising edge detection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high
fault readback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 clear</t>
        </r>
      </text>
    </comment>
    <comment ref="I15" authorId="0" shapeId="0" xr:uid="{B395EAFD-F98D-4703-B9F6-C03C3B8930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4mA
'001'  8mA
'010'  16mA
'011'  24mA
'100'  32mA
'101'  64mA</t>
        </r>
      </text>
    </comment>
    <comment ref="M15" authorId="0" shapeId="0" xr:uid="{79768D29-D06B-43FE-A673-07D5B9A4F6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2V
'001'  4V
'010'  7V
'011'  12V
'100'  21V
'101'  24V
'110'  30V
'111'  38V</t>
        </r>
      </text>
    </comment>
    <comment ref="R15" authorId="0" shapeId="0" xr:uid="{00F64351-4CAE-48E0-8594-555D81197F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0.6V
01 : 0.8V
10 : 1.0V
11 : 1.2V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I15" authorId="0" shapeId="0" xr:uid="{D3710C76-D18B-430E-A8E9-DA59008190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4mA
'001'  8mA
'010'  16mA
'011'  24mA
'100'  32mA
'101'  64mA</t>
        </r>
      </text>
    </comment>
    <comment ref="M15" authorId="0" shapeId="0" xr:uid="{7F0A2C7E-0D42-4554-B459-BD609A81480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'000'  2V
'001'  4V
'010'  7V
'011'  12V
'100'  21V
'101'  24V
'110'  30V
'111'  38V</t>
        </r>
      </text>
    </comment>
    <comment ref="R15" authorId="0" shapeId="0" xr:uid="{7E2115F8-14A8-42F2-8D9C-E0D05654F39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0.6V
01 : 0.8V
10 : 1.0V
11 : 1.2V</t>
        </r>
      </text>
    </comment>
  </commentList>
</comments>
</file>

<file path=xl/sharedStrings.xml><?xml version="1.0" encoding="utf-8"?>
<sst xmlns="http://schemas.openxmlformats.org/spreadsheetml/2006/main" count="2187" uniqueCount="931">
  <si>
    <t>fb</t>
    <phoneticPr fontId="1" type="noConversion"/>
  </si>
  <si>
    <t>start</t>
    <phoneticPr fontId="1" type="noConversion"/>
  </si>
  <si>
    <t>address</t>
    <phoneticPr fontId="1" type="noConversion"/>
  </si>
  <si>
    <t>PWM_SIZE</t>
    <phoneticPr fontId="1" type="noConversion"/>
  </si>
  <si>
    <t>PWM_PERIOD</t>
    <phoneticPr fontId="1" type="noConversion"/>
  </si>
  <si>
    <t>DELAY_CH1</t>
    <phoneticPr fontId="1" type="noConversion"/>
  </si>
  <si>
    <t>DELAY_CH2</t>
  </si>
  <si>
    <t>DELAY_CH3</t>
  </si>
  <si>
    <t>DELAY_CH4</t>
  </si>
  <si>
    <t>DELAY_CH5</t>
  </si>
  <si>
    <t>DELAY_CH6</t>
  </si>
  <si>
    <t>register</t>
    <phoneticPr fontId="1" type="noConversion"/>
  </si>
  <si>
    <t>X_SIZE</t>
    <phoneticPr fontId="1" type="noConversion"/>
  </si>
  <si>
    <t>MAX_CURR_VREF</t>
    <phoneticPr fontId="1" type="noConversion"/>
  </si>
  <si>
    <t>0x00</t>
    <phoneticPr fontId="1" type="noConversion"/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</si>
  <si>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</si>
  <si>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</si>
  <si>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</si>
  <si>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</si>
  <si>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</si>
  <si>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</si>
  <si>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</si>
  <si>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</si>
  <si>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</si>
  <si>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  <phoneticPr fontId="1" type="noConversion"/>
  </si>
  <si>
    <t>0x0C</t>
    <phoneticPr fontId="1" type="noConversion"/>
  </si>
  <si>
    <t>0x0B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</si>
  <si>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</si>
  <si>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</si>
  <si>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</si>
  <si>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0x21</t>
  </si>
  <si>
    <t>0x22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</si>
  <si>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</si>
  <si>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</si>
  <si>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</si>
  <si>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</si>
  <si>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</si>
  <si>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</si>
  <si>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</si>
  <si>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</si>
  <si>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</si>
  <si>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  <phoneticPr fontId="1" type="noConversion"/>
  </si>
  <si>
    <t>bit15</t>
  </si>
  <si>
    <t>bit15</t>
    <phoneticPr fontId="1" type="noConversion"/>
  </si>
  <si>
    <t>bit16</t>
  </si>
  <si>
    <t>bit14</t>
  </si>
  <si>
    <t>bit14</t>
    <phoneticPr fontId="1" type="noConversion"/>
  </si>
  <si>
    <t>bit13</t>
  </si>
  <si>
    <t>bit12</t>
  </si>
  <si>
    <t>bit11</t>
  </si>
  <si>
    <t>bit10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</si>
  <si>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</si>
  <si>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</si>
  <si>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</si>
  <si>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</si>
  <si>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</si>
  <si>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</si>
  <si>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</si>
  <si>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</si>
  <si>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</si>
  <si>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</si>
  <si>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ID</t>
    <phoneticPr fontId="1" type="noConversion"/>
  </si>
  <si>
    <t>description</t>
    <phoneticPr fontId="1" type="noConversion"/>
  </si>
  <si>
    <t>0x10</t>
    <phoneticPr fontId="1" type="noConversion"/>
  </si>
  <si>
    <t>access</t>
    <phoneticPr fontId="1" type="noConversion"/>
  </si>
  <si>
    <t>r/w</t>
    <phoneticPr fontId="1" type="noConversion"/>
  </si>
  <si>
    <t>0x23</t>
  </si>
  <si>
    <t>0x26</t>
  </si>
  <si>
    <t>0x3B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</si>
  <si>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</si>
  <si>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</si>
  <si>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</si>
  <si>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TRIM1</t>
    <phoneticPr fontId="1" type="noConversion"/>
  </si>
  <si>
    <t>TRIM2</t>
  </si>
  <si>
    <t>OTP WRITE</t>
    <phoneticPr fontId="1" type="noConversion"/>
  </si>
  <si>
    <t>OTP RD/PROG</t>
    <phoneticPr fontId="1" type="noConversion"/>
  </si>
  <si>
    <t>OSC</t>
    <phoneticPr fontId="1" type="noConversion"/>
  </si>
  <si>
    <t>GAIN1</t>
    <phoneticPr fontId="1" type="noConversion"/>
  </si>
  <si>
    <t>GAIN2</t>
  </si>
  <si>
    <t>GAIN3</t>
  </si>
  <si>
    <t>GAIN4</t>
  </si>
  <si>
    <t>GAIN5</t>
  </si>
  <si>
    <t>GAIN6</t>
  </si>
  <si>
    <t>bit21</t>
  </si>
  <si>
    <t>bit12</t>
    <phoneticPr fontId="1" type="noConversion"/>
  </si>
  <si>
    <t>bit13</t>
    <phoneticPr fontId="1" type="noConversion"/>
  </si>
  <si>
    <t>bit16</t>
    <phoneticPr fontId="1" type="noConversion"/>
  </si>
  <si>
    <t>bit17</t>
    <phoneticPr fontId="1" type="noConversion"/>
  </si>
  <si>
    <t>bit18</t>
    <phoneticPr fontId="1" type="noConversion"/>
  </si>
  <si>
    <t>bit19</t>
    <phoneticPr fontId="1" type="noConversion"/>
  </si>
  <si>
    <t>bit20</t>
    <phoneticPr fontId="1" type="noConversion"/>
  </si>
  <si>
    <t>bit0</t>
    <phoneticPr fontId="1" type="noConversion"/>
  </si>
  <si>
    <t>bit1</t>
    <phoneticPr fontId="1" type="noConversion"/>
  </si>
  <si>
    <t>open</t>
    <phoneticPr fontId="1" type="noConversion"/>
  </si>
  <si>
    <t>short</t>
    <phoneticPr fontId="1" type="noConversion"/>
  </si>
  <si>
    <t>thermal</t>
    <phoneticPr fontId="1" type="noConversion"/>
  </si>
  <si>
    <t>spi</t>
    <phoneticPr fontId="1" type="noConversion"/>
  </si>
  <si>
    <t>default</t>
    <phoneticPr fontId="1" type="noConversion"/>
  </si>
  <si>
    <t>0x0000</t>
  </si>
  <si>
    <t>0x0000</t>
    <phoneticPr fontId="1" type="noConversion"/>
  </si>
  <si>
    <t>GLOBAL WRITE DATA</t>
    <phoneticPr fontId="1" type="noConversion"/>
  </si>
  <si>
    <t>data[11:0]</t>
  </si>
  <si>
    <t>data[11:0]</t>
    <phoneticPr fontId="1" type="noConversion"/>
  </si>
  <si>
    <t>DAISY SIZE 1</t>
    <phoneticPr fontId="1" type="noConversion"/>
  </si>
  <si>
    <t>DAISY SIZE 2</t>
  </si>
  <si>
    <t>DAISY SIZE 3</t>
  </si>
  <si>
    <t>DAISY SIZE 4</t>
  </si>
  <si>
    <t>DAISY SIZE 5</t>
  </si>
  <si>
    <t>DAISY SIZE 6</t>
  </si>
  <si>
    <t>enable</t>
    <phoneticPr fontId="1" type="noConversion"/>
  </si>
  <si>
    <t>CHANNEL ENABLE 2</t>
    <phoneticPr fontId="1" type="noConversion"/>
  </si>
  <si>
    <t>GLOBAL WRITE COMMAND</t>
    <phoneticPr fontId="1" type="noConversion"/>
  </si>
  <si>
    <t>addr [5:0]</t>
    <phoneticPr fontId="1" type="noConversion"/>
  </si>
  <si>
    <t>BLOCK SIZE 1</t>
    <phoneticPr fontId="1" type="noConversion"/>
  </si>
  <si>
    <t>BLOCK SIZE 2</t>
  </si>
  <si>
    <t>BLOCK SIZE 3</t>
  </si>
  <si>
    <t>BLOCK SIZE 4</t>
  </si>
  <si>
    <t>BLOCK SIZE 5</t>
  </si>
  <si>
    <t>BLOCK SIZE 6</t>
  </si>
  <si>
    <t>BLOCK SIZE 7</t>
  </si>
  <si>
    <t>BLOCK SIZE 8</t>
  </si>
  <si>
    <t>BLOCK SIZE 9</t>
  </si>
  <si>
    <t>BLOCK SIZE 10</t>
  </si>
  <si>
    <t>BLOCK SIZE 11</t>
  </si>
  <si>
    <t>BLOCK SIZE 12</t>
  </si>
  <si>
    <t>block_size_ch1 [7:0]</t>
    <phoneticPr fontId="1" type="noConversion"/>
  </si>
  <si>
    <t>block_size_ch2 [7:0]</t>
    <phoneticPr fontId="1" type="noConversion"/>
  </si>
  <si>
    <t>block_size_ch4 [7:0]</t>
    <phoneticPr fontId="1" type="noConversion"/>
  </si>
  <si>
    <t>block_size_ch6 [7:0]</t>
    <phoneticPr fontId="1" type="noConversion"/>
  </si>
  <si>
    <t>block_size_ch8 [7:0]</t>
    <phoneticPr fontId="1" type="noConversion"/>
  </si>
  <si>
    <t>block_size_ch10 [7:0]</t>
    <phoneticPr fontId="1" type="noConversion"/>
  </si>
  <si>
    <t>block_size_ch12 [7:0]</t>
    <phoneticPr fontId="1" type="noConversion"/>
  </si>
  <si>
    <t>block_size_ch14 [7:0]</t>
    <phoneticPr fontId="1" type="noConversion"/>
  </si>
  <si>
    <t>block_size_ch16 [7:0]</t>
    <phoneticPr fontId="1" type="noConversion"/>
  </si>
  <si>
    <t>block_size_ch18 [7:0]</t>
    <phoneticPr fontId="1" type="noConversion"/>
  </si>
  <si>
    <t>block_size_ch20 [7:0]</t>
    <phoneticPr fontId="1" type="noConversion"/>
  </si>
  <si>
    <t>block_size_ch22 [7:0]</t>
    <phoneticPr fontId="1" type="noConversion"/>
  </si>
  <si>
    <t>block_size_ch24 [7:0]</t>
    <phoneticPr fontId="1" type="noConversion"/>
  </si>
  <si>
    <t>block_size_ch23 [7:0]</t>
    <phoneticPr fontId="1" type="noConversion"/>
  </si>
  <si>
    <t>block_size_ch21 [7:0]</t>
    <phoneticPr fontId="1" type="noConversion"/>
  </si>
  <si>
    <t>block_size_ch19 [7:0]</t>
    <phoneticPr fontId="1" type="noConversion"/>
  </si>
  <si>
    <t>block_size_ch17 [7:0]</t>
    <phoneticPr fontId="1" type="noConversion"/>
  </si>
  <si>
    <t>block_size_ch15 [7:0]</t>
    <phoneticPr fontId="1" type="noConversion"/>
  </si>
  <si>
    <t>block_size_ch13 [7:0]</t>
    <phoneticPr fontId="1" type="noConversion"/>
  </si>
  <si>
    <t>block_size_ch11 [7:0]</t>
    <phoneticPr fontId="1" type="noConversion"/>
  </si>
  <si>
    <t>block_size_ch9 [7:0]</t>
    <phoneticPr fontId="1" type="noConversion"/>
  </si>
  <si>
    <t>block_size_ch7 [7:0]</t>
    <phoneticPr fontId="1" type="noConversion"/>
  </si>
  <si>
    <t>block_size_ch5 [7:0]</t>
    <phoneticPr fontId="1" type="noConversion"/>
  </si>
  <si>
    <t>block_size_ch3 [7:0]</t>
    <phoneticPr fontId="1" type="noConversion"/>
  </si>
  <si>
    <t>ch_size [4:0]</t>
    <phoneticPr fontId="1" type="noConversion"/>
  </si>
  <si>
    <t>ch_seg[1:0]</t>
    <phoneticPr fontId="1" type="noConversion"/>
  </si>
  <si>
    <t>bit2</t>
    <phoneticPr fontId="1" type="noConversion"/>
  </si>
  <si>
    <t>bit4</t>
    <phoneticPr fontId="1" type="noConversion"/>
  </si>
  <si>
    <t>bit5</t>
    <phoneticPr fontId="1" type="noConversion"/>
  </si>
  <si>
    <t>bit6</t>
    <phoneticPr fontId="1" type="noConversion"/>
  </si>
  <si>
    <t>bit7</t>
    <phoneticPr fontId="1" type="noConversion"/>
  </si>
  <si>
    <t>bit8</t>
    <phoneticPr fontId="1" type="noConversion"/>
  </si>
  <si>
    <t>bit9</t>
    <phoneticPr fontId="1" type="noConversion"/>
  </si>
  <si>
    <t>bit3</t>
    <phoneticPr fontId="1" type="noConversion"/>
  </si>
  <si>
    <t>fault_ch1 [3:0]</t>
    <phoneticPr fontId="1" type="noConversion"/>
  </si>
  <si>
    <t>GLOBAL FAULT READ DATA1</t>
    <phoneticPr fontId="1" type="noConversion"/>
  </si>
  <si>
    <t>GLOBAL FAULT READ DATA2</t>
    <phoneticPr fontId="1" type="noConversion"/>
  </si>
  <si>
    <t>GLOBAL FAULT READ DATA3</t>
    <phoneticPr fontId="1" type="noConversion"/>
  </si>
  <si>
    <t>GLOBAL FAULT READ DATA4</t>
    <phoneticPr fontId="1" type="noConversion"/>
  </si>
  <si>
    <t>fault_ch5 [3:0]</t>
    <phoneticPr fontId="1" type="noConversion"/>
  </si>
  <si>
    <t>fault_ch9 [3:0]</t>
    <phoneticPr fontId="1" type="noConversion"/>
  </si>
  <si>
    <t>fault_ch13 [3:0]</t>
    <phoneticPr fontId="1" type="noConversion"/>
  </si>
  <si>
    <t>GLOBAL FAULT READ DATA5</t>
    <phoneticPr fontId="1" type="noConversion"/>
  </si>
  <si>
    <t>GLOBAL FAULT READ DATA6</t>
    <phoneticPr fontId="1" type="noConversion"/>
  </si>
  <si>
    <t>fault_ch17 [3:0]</t>
    <phoneticPr fontId="1" type="noConversion"/>
  </si>
  <si>
    <t>fault_ch21 [3:0]</t>
    <phoneticPr fontId="1" type="noConversion"/>
  </si>
  <si>
    <t>fault_ch2 [3:0]</t>
    <phoneticPr fontId="1" type="noConversion"/>
  </si>
  <si>
    <t>fault_ch3 [3:0]</t>
    <phoneticPr fontId="1" type="noConversion"/>
  </si>
  <si>
    <t>fault_ch4 [3:0]</t>
    <phoneticPr fontId="1" type="noConversion"/>
  </si>
  <si>
    <t>fault_ch8 [3:0]</t>
    <phoneticPr fontId="1" type="noConversion"/>
  </si>
  <si>
    <t>fault_ch12 [3:0]</t>
    <phoneticPr fontId="1" type="noConversion"/>
  </si>
  <si>
    <t>fault_ch16 [3:0]</t>
    <phoneticPr fontId="1" type="noConversion"/>
  </si>
  <si>
    <t>fault_ch20 [3:0]</t>
    <phoneticPr fontId="1" type="noConversion"/>
  </si>
  <si>
    <t>fault_ch24 [3:0]</t>
    <phoneticPr fontId="1" type="noConversion"/>
  </si>
  <si>
    <t>fault_ch7 [3:0]</t>
    <phoneticPr fontId="1" type="noConversion"/>
  </si>
  <si>
    <t>fault_ch11 [3:0]</t>
    <phoneticPr fontId="1" type="noConversion"/>
  </si>
  <si>
    <t>fault_ch15 [3:0]</t>
    <phoneticPr fontId="1" type="noConversion"/>
  </si>
  <si>
    <t>fault_ch19 [3:0]</t>
    <phoneticPr fontId="1" type="noConversion"/>
  </si>
  <si>
    <t>fault_ch23 [3:0]</t>
    <phoneticPr fontId="1" type="noConversion"/>
  </si>
  <si>
    <t>fault_ch6 [3:0]</t>
    <phoneticPr fontId="1" type="noConversion"/>
  </si>
  <si>
    <t>fault_ch10 [3:0]</t>
    <phoneticPr fontId="1" type="noConversion"/>
  </si>
  <si>
    <t>fault_ch14 [3:0]</t>
    <phoneticPr fontId="1" type="noConversion"/>
  </si>
  <si>
    <t>fault_ch18 [3:0]</t>
    <phoneticPr fontId="1" type="noConversion"/>
  </si>
  <si>
    <t>fault_ch22 [3:0]</t>
    <phoneticPr fontId="1" type="noConversion"/>
  </si>
  <si>
    <t>LD TRANSFER COMMAND</t>
    <phoneticPr fontId="1" type="noConversion"/>
  </si>
  <si>
    <t>LOCAL READ COMMAND</t>
    <phoneticPr fontId="1" type="noConversion"/>
  </si>
  <si>
    <t>LOCAL WRITE COMMAND</t>
    <phoneticPr fontId="1" type="noConversion"/>
  </si>
  <si>
    <t>sync_doing</t>
    <phoneticPr fontId="1" type="noConversion"/>
  </si>
  <si>
    <t>sync_done</t>
    <phoneticPr fontId="1" type="noConversion"/>
  </si>
  <si>
    <t>fault_doing</t>
    <phoneticPr fontId="1" type="noConversion"/>
  </si>
  <si>
    <t>fault_done</t>
    <phoneticPr fontId="1" type="noConversion"/>
  </si>
  <si>
    <t>ld_doing</t>
    <phoneticPr fontId="1" type="noConversion"/>
  </si>
  <si>
    <t>ld_done</t>
    <phoneticPr fontId="1" type="noConversion"/>
  </si>
  <si>
    <t>glbl_w_doing</t>
    <phoneticPr fontId="1" type="noConversion"/>
  </si>
  <si>
    <t>glbl_w_done</t>
    <phoneticPr fontId="1" type="noConversion"/>
  </si>
  <si>
    <t>fault_auto_doing</t>
    <phoneticPr fontId="1" type="noConversion"/>
  </si>
  <si>
    <t>fault_auto_done</t>
    <phoneticPr fontId="1" type="noConversion"/>
  </si>
  <si>
    <t>local_w_doing</t>
    <phoneticPr fontId="1" type="noConversion"/>
  </si>
  <si>
    <t>local_w_done</t>
    <phoneticPr fontId="1" type="noConversion"/>
  </si>
  <si>
    <t>local_r_doing</t>
    <phoneticPr fontId="1" type="noConversion"/>
  </si>
  <si>
    <t>local_r_done</t>
    <phoneticPr fontId="1" type="noConversion"/>
  </si>
  <si>
    <t>rd_receive_doing</t>
    <phoneticPr fontId="1" type="noConversion"/>
  </si>
  <si>
    <t>rd_receive_done</t>
    <phoneticPr fontId="1" type="noConversion"/>
  </si>
  <si>
    <t>fault_receive_done</t>
    <phoneticPr fontId="1" type="noConversion"/>
  </si>
  <si>
    <t>fault_receive_doing</t>
    <phoneticPr fontId="1" type="noConversion"/>
  </si>
  <si>
    <t>RECEIVE STATUS</t>
    <phoneticPr fontId="1" type="noConversion"/>
  </si>
  <si>
    <t>INTERRUPT ENABLE</t>
    <phoneticPr fontId="1" type="noConversion"/>
  </si>
  <si>
    <t>CHANNEL ENALBE 1</t>
    <phoneticPr fontId="1" type="noConversion"/>
  </si>
  <si>
    <t>INTERRUPT STATUS</t>
    <phoneticPr fontId="1" type="noConversion"/>
  </si>
  <si>
    <t>int_ld_en</t>
    <phoneticPr fontId="1" type="noConversion"/>
  </si>
  <si>
    <t>LD WRITE POINTER</t>
    <phoneticPr fontId="1" type="noConversion"/>
  </si>
  <si>
    <t>LD READ POINTER</t>
    <phoneticPr fontId="1" type="noConversion"/>
  </si>
  <si>
    <t>LD DIFFERENCE POINTER</t>
    <phoneticPr fontId="1" type="noConversion"/>
  </si>
  <si>
    <t>int_ld_sign</t>
    <phoneticPr fontId="1" type="noConversion"/>
  </si>
  <si>
    <t>ld_diff_pointer [5:0]</t>
    <phoneticPr fontId="1" type="noConversion"/>
  </si>
  <si>
    <t>int_fb_en</t>
    <phoneticPr fontId="1" type="noConversion"/>
  </si>
  <si>
    <t>int_open_en</t>
    <phoneticPr fontId="1" type="noConversion"/>
  </si>
  <si>
    <t>int_short_en</t>
    <phoneticPr fontId="1" type="noConversion"/>
  </si>
  <si>
    <t>int_thermal_en</t>
    <phoneticPr fontId="1" type="noConversion"/>
  </si>
  <si>
    <t>RESET</t>
    <phoneticPr fontId="1" type="noConversion"/>
  </si>
  <si>
    <t>rst1</t>
    <phoneticPr fontId="1" type="noConversion"/>
  </si>
  <si>
    <t>rst2</t>
    <phoneticPr fontId="1" type="noConversion"/>
  </si>
  <si>
    <t>command code [2:0]</t>
    <phoneticPr fontId="1" type="noConversion"/>
  </si>
  <si>
    <t>data [11:0]</t>
    <phoneticPr fontId="1" type="noConversion"/>
  </si>
  <si>
    <t>data #1</t>
    <phoneticPr fontId="1" type="noConversion"/>
  </si>
  <si>
    <t>addr #1</t>
    <phoneticPr fontId="1" type="noConversion"/>
  </si>
  <si>
    <t>write cmd #1</t>
    <phoneticPr fontId="1" type="noConversion"/>
  </si>
  <si>
    <t>write cmd #2</t>
    <phoneticPr fontId="1" type="noConversion"/>
  </si>
  <si>
    <t>addr #2</t>
    <phoneticPr fontId="1" type="noConversion"/>
  </si>
  <si>
    <t>data #2</t>
    <phoneticPr fontId="1" type="noConversion"/>
  </si>
  <si>
    <t>write cmd #n</t>
    <phoneticPr fontId="1" type="noConversion"/>
  </si>
  <si>
    <t>addr #n</t>
    <phoneticPr fontId="1" type="noConversion"/>
  </si>
  <si>
    <t>data #n</t>
    <phoneticPr fontId="1" type="noConversion"/>
  </si>
  <si>
    <t>ld cmd #1</t>
    <phoneticPr fontId="1" type="noConversion"/>
  </si>
  <si>
    <t>pam1 #1</t>
    <phoneticPr fontId="1" type="noConversion"/>
  </si>
  <si>
    <t>pwm1 #1</t>
    <phoneticPr fontId="1" type="noConversion"/>
  </si>
  <si>
    <t>pam2 #1</t>
    <phoneticPr fontId="1" type="noConversion"/>
  </si>
  <si>
    <t>pwm8 #1</t>
    <phoneticPr fontId="1" type="noConversion"/>
  </si>
  <si>
    <t>read_in cmd #1</t>
    <phoneticPr fontId="1" type="noConversion"/>
  </si>
  <si>
    <t>read_in cmd #2</t>
    <phoneticPr fontId="1" type="noConversion"/>
  </si>
  <si>
    <t>read_in cmd #n</t>
    <phoneticPr fontId="1" type="noConversion"/>
  </si>
  <si>
    <t>read_out cmd #1</t>
    <phoneticPr fontId="1" type="noConversion"/>
  </si>
  <si>
    <t>id #1</t>
    <phoneticPr fontId="1" type="noConversion"/>
  </si>
  <si>
    <t>id #2</t>
    <phoneticPr fontId="1" type="noConversion"/>
  </si>
  <si>
    <t>read_out cmd #2</t>
    <phoneticPr fontId="1" type="noConversion"/>
  </si>
  <si>
    <t>read_out cmd #n</t>
    <phoneticPr fontId="1" type="noConversion"/>
  </si>
  <si>
    <t>id #n</t>
    <phoneticPr fontId="1" type="noConversion"/>
  </si>
  <si>
    <t>fault read cmd</t>
    <phoneticPr fontId="1" type="noConversion"/>
  </si>
  <si>
    <t>sync gen cmd #1</t>
    <phoneticPr fontId="1" type="noConversion"/>
  </si>
  <si>
    <t>sync gen cmd #2</t>
    <phoneticPr fontId="1" type="noConversion"/>
  </si>
  <si>
    <t>sync gen cmd #n</t>
    <phoneticPr fontId="1" type="noConversion"/>
  </si>
  <si>
    <t>bit11</t>
    <phoneticPr fontId="1" type="noConversion"/>
  </si>
  <si>
    <t>bit10</t>
    <phoneticPr fontId="1" type="noConversion"/>
  </si>
  <si>
    <t>id [4:0]</t>
    <phoneticPr fontId="1" type="noConversion"/>
  </si>
  <si>
    <t>rst1 : all logics reset, auto-cleared
rst2 : ld buffer reset, auto-cleared</t>
    <phoneticPr fontId="1" type="noConversion"/>
  </si>
  <si>
    <t>ld_force</t>
    <phoneticPr fontId="1" type="noConversion"/>
  </si>
  <si>
    <t>CONTROL</t>
    <phoneticPr fontId="1" type="noConversion"/>
  </si>
  <si>
    <t>max_curr_vref [11:0]</t>
    <phoneticPr fontId="1" type="noConversion"/>
  </si>
  <si>
    <t>CURR DIMM THRESHOLD</t>
    <phoneticPr fontId="1" type="noConversion"/>
  </si>
  <si>
    <t>FAULT STATUS</t>
    <phoneticPr fontId="1" type="noConversion"/>
  </si>
  <si>
    <t>FAULT LEVEL</t>
    <phoneticPr fontId="1" type="noConversion"/>
  </si>
  <si>
    <t>0x11</t>
  </si>
  <si>
    <t>0x12</t>
  </si>
  <si>
    <t>0x13</t>
  </si>
  <si>
    <t>0x15</t>
  </si>
  <si>
    <t>0x16</t>
  </si>
  <si>
    <t>0x17</t>
  </si>
  <si>
    <t>otp_pg_access_cycle [11:0]</t>
    <phoneticPr fontId="1" type="noConversion"/>
  </si>
  <si>
    <t>otp_wsel [3:0]</t>
    <phoneticPr fontId="1" type="noConversion"/>
  </si>
  <si>
    <t>otp_pg_start</t>
    <phoneticPr fontId="1" type="noConversion"/>
  </si>
  <si>
    <t>otp_rd_start</t>
    <phoneticPr fontId="1" type="noConversion"/>
  </si>
  <si>
    <t>0x3F</t>
    <phoneticPr fontId="1" type="noConversion"/>
  </si>
  <si>
    <t>0x40</t>
    <phoneticPr fontId="1" type="noConversion"/>
  </si>
  <si>
    <t>0x41</t>
  </si>
  <si>
    <t>0x42</t>
  </si>
  <si>
    <t>0x000</t>
  </si>
  <si>
    <t>0x000</t>
    <phoneticPr fontId="1" type="noConversion"/>
  </si>
  <si>
    <t>(de-serializer)</t>
    <phoneticPr fontId="1" type="noConversion"/>
  </si>
  <si>
    <t>pam2 #2</t>
    <phoneticPr fontId="1" type="noConversion"/>
  </si>
  <si>
    <t>ld cmd #2</t>
    <phoneticPr fontId="1" type="noConversion"/>
  </si>
  <si>
    <t>pam1 #2</t>
    <phoneticPr fontId="1" type="noConversion"/>
  </si>
  <si>
    <t>pwm1 #2</t>
    <phoneticPr fontId="1" type="noConversion"/>
  </si>
  <si>
    <t>pwm8 #n</t>
    <phoneticPr fontId="1" type="noConversion"/>
  </si>
  <si>
    <r>
      <t>ld1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</si>
  <si>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ld2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</si>
  <si>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ld3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</si>
  <si>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r>
      <t>ld8</t>
    </r>
    <r>
      <rPr>
        <sz val="8"/>
        <color theme="1"/>
        <rFont val="맑은 고딕"/>
        <family val="3"/>
        <charset val="129"/>
        <scheme val="minor"/>
      </rPr>
      <t>(16-b)</t>
    </r>
    <r>
      <rPr>
        <sz val="11"/>
        <color theme="1"/>
        <rFont val="맑은 고딕"/>
        <family val="2"/>
        <charset val="129"/>
        <scheme val="minor"/>
      </rPr>
      <t>#1</t>
    </r>
    <phoneticPr fontId="1" type="noConversion"/>
  </si>
  <si>
    <t>sync (auto) gen</t>
    <phoneticPr fontId="1" type="noConversion"/>
  </si>
  <si>
    <t>(serializer)</t>
    <phoneticPr fontId="1" type="noConversion"/>
  </si>
  <si>
    <t>serializer/de-serializer</t>
    <phoneticPr fontId="1" type="noConversion"/>
  </si>
  <si>
    <t>protocol</t>
    <phoneticPr fontId="1" type="noConversion"/>
  </si>
  <si>
    <t>SERIALIZER CLOCK GEN</t>
    <phoneticPr fontId="1" type="noConversion"/>
  </si>
  <si>
    <t>GLOBAL DATA PORT</t>
    <phoneticPr fontId="1" type="noConversion"/>
  </si>
  <si>
    <t>rst3</t>
    <phoneticPr fontId="1" type="noConversion"/>
  </si>
  <si>
    <t>fault_auto_rec_done</t>
    <phoneticPr fontId="1" type="noConversion"/>
  </si>
  <si>
    <t>fault_auto_rec_doing</t>
    <phoneticPr fontId="1" type="noConversion"/>
  </si>
  <si>
    <t>sync_auto_doing</t>
    <phoneticPr fontId="1" type="noConversion"/>
  </si>
  <si>
    <t>sync_auto_done</t>
    <phoneticPr fontId="1" type="noConversion"/>
  </si>
  <si>
    <t>vsync_rst_en1</t>
    <phoneticPr fontId="1" type="noConversion"/>
  </si>
  <si>
    <t>vsync_rst_en2</t>
    <phoneticPr fontId="1" type="noConversion"/>
  </si>
  <si>
    <t>SYNC GEN COMMAND</t>
    <phoneticPr fontId="1" type="noConversion"/>
  </si>
  <si>
    <t>rd_receive_fail</t>
    <phoneticPr fontId="1" type="noConversion"/>
  </si>
  <si>
    <t>fault_auto_rec_fail</t>
    <phoneticPr fontId="1" type="noConversion"/>
  </si>
  <si>
    <t>fault_receive_fail</t>
    <phoneticPr fontId="1" type="noConversion"/>
  </si>
  <si>
    <t>int_fault_rec_fail_en</t>
    <phoneticPr fontId="1" type="noConversion"/>
  </si>
  <si>
    <t>int_fault_auto_rec_fail_en</t>
    <phoneticPr fontId="1" type="noConversion"/>
  </si>
  <si>
    <t>int_rd_rec_fail_en</t>
    <phoneticPr fontId="1" type="noConversion"/>
  </si>
  <si>
    <t>int_fb_source</t>
    <phoneticPr fontId="1" type="noConversion"/>
  </si>
  <si>
    <t>int_ld_source</t>
    <phoneticPr fontId="1" type="noConversion"/>
  </si>
  <si>
    <t>int_open_source</t>
    <phoneticPr fontId="1" type="noConversion"/>
  </si>
  <si>
    <t>int_short_source</t>
    <phoneticPr fontId="1" type="noConversion"/>
  </si>
  <si>
    <t>int_thermal_source</t>
    <phoneticPr fontId="1" type="noConversion"/>
  </si>
  <si>
    <t>int_fault_auto_rec_fail
_source</t>
    <phoneticPr fontId="1" type="noConversion"/>
  </si>
  <si>
    <t>int_fault_rec_fail
_source</t>
    <phoneticPr fontId="1" type="noConversion"/>
  </si>
  <si>
    <t>int_rd_rec_fail
_source</t>
    <phoneticPr fontId="1" type="noConversion"/>
  </si>
  <si>
    <t>ch1_en</t>
    <phoneticPr fontId="1" type="noConversion"/>
  </si>
  <si>
    <t>ch2_en</t>
    <phoneticPr fontId="1" type="noConversion"/>
  </si>
  <si>
    <t>ch3_en</t>
    <phoneticPr fontId="1" type="noConversion"/>
  </si>
  <si>
    <t>ch19_en</t>
    <phoneticPr fontId="1" type="noConversion"/>
  </si>
  <si>
    <t>ch18_en</t>
    <phoneticPr fontId="1" type="noConversion"/>
  </si>
  <si>
    <t>ch17_en</t>
    <phoneticPr fontId="1" type="noConversion"/>
  </si>
  <si>
    <t>ch4_en</t>
    <phoneticPr fontId="1" type="noConversion"/>
  </si>
  <si>
    <t>ch20_en</t>
    <phoneticPr fontId="1" type="noConversion"/>
  </si>
  <si>
    <t>ch5_en</t>
    <phoneticPr fontId="1" type="noConversion"/>
  </si>
  <si>
    <t>ch21_en</t>
    <phoneticPr fontId="1" type="noConversion"/>
  </si>
  <si>
    <t>ch6_en</t>
    <phoneticPr fontId="1" type="noConversion"/>
  </si>
  <si>
    <t>ch22_en</t>
    <phoneticPr fontId="1" type="noConversion"/>
  </si>
  <si>
    <t>ch7_en</t>
    <phoneticPr fontId="1" type="noConversion"/>
  </si>
  <si>
    <t>ch23_en</t>
    <phoneticPr fontId="1" type="noConversion"/>
  </si>
  <si>
    <t>ch8_en</t>
    <phoneticPr fontId="1" type="noConversion"/>
  </si>
  <si>
    <t>ch24_en</t>
    <phoneticPr fontId="1" type="noConversion"/>
  </si>
  <si>
    <t>ch9_en</t>
    <phoneticPr fontId="1" type="noConversion"/>
  </si>
  <si>
    <t>ch10_en</t>
    <phoneticPr fontId="1" type="noConversion"/>
  </si>
  <si>
    <t>ch11_en</t>
    <phoneticPr fontId="1" type="noConversion"/>
  </si>
  <si>
    <t>ch12_en</t>
    <phoneticPr fontId="1" type="noConversion"/>
  </si>
  <si>
    <t>ch13_en</t>
    <phoneticPr fontId="1" type="noConversion"/>
  </si>
  <si>
    <t>ch14_en</t>
    <phoneticPr fontId="1" type="noConversion"/>
  </si>
  <si>
    <t>ch15_en</t>
    <phoneticPr fontId="1" type="noConversion"/>
  </si>
  <si>
    <t>ch16_en</t>
    <phoneticPr fontId="1" type="noConversion"/>
  </si>
  <si>
    <t>0x14</t>
  </si>
  <si>
    <t>0x43</t>
  </si>
  <si>
    <t>0x62</t>
  </si>
  <si>
    <t>0x63</t>
  </si>
  <si>
    <t>0x64</t>
  </si>
  <si>
    <t>0x65</t>
  </si>
  <si>
    <t>0x71</t>
  </si>
  <si>
    <t>0x72</t>
  </si>
  <si>
    <t>0x73</t>
  </si>
  <si>
    <t>0x74</t>
  </si>
  <si>
    <t>0x75</t>
  </si>
  <si>
    <t>0x76</t>
  </si>
  <si>
    <t>0x77</t>
  </si>
  <si>
    <t>0x78</t>
  </si>
  <si>
    <t>0x79</t>
  </si>
  <si>
    <t>0x60</t>
    <phoneticPr fontId="1" type="noConversion"/>
  </si>
  <si>
    <t>0x66</t>
  </si>
  <si>
    <t>0x70</t>
    <phoneticPr fontId="1" type="noConversion"/>
  </si>
  <si>
    <t>0x7A</t>
    <phoneticPr fontId="1" type="noConversion"/>
  </si>
  <si>
    <t>0x7B</t>
    <phoneticPr fontId="1" type="noConversion"/>
  </si>
  <si>
    <t>0x7C</t>
    <phoneticPr fontId="1" type="noConversion"/>
  </si>
  <si>
    <t>0x7D</t>
    <phoneticPr fontId="1" type="noConversion"/>
  </si>
  <si>
    <t>0x7E</t>
    <phoneticPr fontId="1" type="noConversion"/>
  </si>
  <si>
    <t>0x7F</t>
    <phoneticPr fontId="1" type="noConversion"/>
  </si>
  <si>
    <t>0x80</t>
    <phoneticPr fontId="1" type="noConversion"/>
  </si>
  <si>
    <t>0x82</t>
  </si>
  <si>
    <t>0x83</t>
  </si>
  <si>
    <t>0x84</t>
  </si>
  <si>
    <t>0x85</t>
  </si>
  <si>
    <t>0x86</t>
  </si>
  <si>
    <t>0x87</t>
  </si>
  <si>
    <t>0x88</t>
  </si>
  <si>
    <t>0x89</t>
  </si>
  <si>
    <t>0x8A</t>
    <phoneticPr fontId="1" type="noConversion"/>
  </si>
  <si>
    <t>0x8B</t>
    <phoneticPr fontId="1" type="noConversion"/>
  </si>
  <si>
    <t>0x8C</t>
    <phoneticPr fontId="1" type="noConversion"/>
  </si>
  <si>
    <t>0x8D</t>
    <phoneticPr fontId="1" type="noConversion"/>
  </si>
  <si>
    <t>0x8E</t>
    <phoneticPr fontId="1" type="noConversion"/>
  </si>
  <si>
    <t>0x8F</t>
    <phoneticPr fontId="1" type="noConversion"/>
  </si>
  <si>
    <t>0x90</t>
    <phoneticPr fontId="1" type="noConversion"/>
  </si>
  <si>
    <t>0x91</t>
  </si>
  <si>
    <t>0x92</t>
  </si>
  <si>
    <t>0x93</t>
  </si>
  <si>
    <t>0x94</t>
  </si>
  <si>
    <t>0x95</t>
  </si>
  <si>
    <t>0x96</t>
  </si>
  <si>
    <t>0x97</t>
  </si>
  <si>
    <t>0x98</t>
  </si>
  <si>
    <t>0x99</t>
  </si>
  <si>
    <t>0x9A</t>
    <phoneticPr fontId="1" type="noConversion"/>
  </si>
  <si>
    <t>0x9B</t>
    <phoneticPr fontId="1" type="noConversion"/>
  </si>
  <si>
    <t>0x9C</t>
    <phoneticPr fontId="1" type="noConversion"/>
  </si>
  <si>
    <t>0x9D</t>
    <phoneticPr fontId="1" type="noConversion"/>
  </si>
  <si>
    <t>0x9E</t>
    <phoneticPr fontId="1" type="noConversion"/>
  </si>
  <si>
    <t>0x9F</t>
    <phoneticPr fontId="1" type="noConversion"/>
  </si>
  <si>
    <t>0xA0</t>
    <phoneticPr fontId="1" type="noConversion"/>
  </si>
  <si>
    <t>0xA2</t>
  </si>
  <si>
    <t>0xA3</t>
  </si>
  <si>
    <t>0xA4</t>
  </si>
  <si>
    <t>0xA5</t>
  </si>
  <si>
    <t>0xA6</t>
  </si>
  <si>
    <t>0xA7</t>
  </si>
  <si>
    <t>0xA8</t>
  </si>
  <si>
    <t>0xA9</t>
  </si>
  <si>
    <t>0xAA</t>
    <phoneticPr fontId="1" type="noConversion"/>
  </si>
  <si>
    <t>0xAB</t>
    <phoneticPr fontId="1" type="noConversion"/>
  </si>
  <si>
    <t>0xAC</t>
    <phoneticPr fontId="1" type="noConversion"/>
  </si>
  <si>
    <t>0xAD</t>
    <phoneticPr fontId="1" type="noConversion"/>
  </si>
  <si>
    <t>0xAE</t>
    <phoneticPr fontId="1" type="noConversion"/>
  </si>
  <si>
    <t>0xAF</t>
    <phoneticPr fontId="1" type="noConversion"/>
  </si>
  <si>
    <t>0xB0</t>
    <phoneticPr fontId="1" type="noConversion"/>
  </si>
  <si>
    <t>0xB1</t>
  </si>
  <si>
    <t>0xB2</t>
  </si>
  <si>
    <t>0xB3</t>
  </si>
  <si>
    <t>0xB4</t>
  </si>
  <si>
    <t>0xB5</t>
  </si>
  <si>
    <t>0xB6</t>
  </si>
  <si>
    <t>0xB7</t>
  </si>
  <si>
    <t>0xB8</t>
  </si>
  <si>
    <t>0xB9</t>
  </si>
  <si>
    <t>0xBA</t>
    <phoneticPr fontId="1" type="noConversion"/>
  </si>
  <si>
    <t>0xBB</t>
    <phoneticPr fontId="1" type="noConversion"/>
  </si>
  <si>
    <t>0xBC</t>
    <phoneticPr fontId="1" type="noConversion"/>
  </si>
  <si>
    <t>0xBD</t>
    <phoneticPr fontId="1" type="noConversion"/>
  </si>
  <si>
    <t>0xBE</t>
    <phoneticPr fontId="1" type="noConversion"/>
  </si>
  <si>
    <t>0xBF</t>
    <phoneticPr fontId="1" type="noConversion"/>
  </si>
  <si>
    <t>0xC0</t>
    <phoneticPr fontId="1" type="noConversion"/>
  </si>
  <si>
    <t>0xC2</t>
  </si>
  <si>
    <t>0xC3</t>
  </si>
  <si>
    <t>0xC4</t>
  </si>
  <si>
    <t>0xC5</t>
  </si>
  <si>
    <t>0xC6</t>
  </si>
  <si>
    <t>0xC7</t>
  </si>
  <si>
    <t>0xC8</t>
  </si>
  <si>
    <t>0xC9</t>
  </si>
  <si>
    <t>0xCA</t>
    <phoneticPr fontId="1" type="noConversion"/>
  </si>
  <si>
    <t>0xCB</t>
    <phoneticPr fontId="1" type="noConversion"/>
  </si>
  <si>
    <t>0xCC</t>
    <phoneticPr fontId="1" type="noConversion"/>
  </si>
  <si>
    <t>0xCD</t>
    <phoneticPr fontId="1" type="noConversion"/>
  </si>
  <si>
    <t>0xCE</t>
    <phoneticPr fontId="1" type="noConversion"/>
  </si>
  <si>
    <t>0xCF</t>
    <phoneticPr fontId="1" type="noConversion"/>
  </si>
  <si>
    <t>0xD0</t>
    <phoneticPr fontId="1" type="noConversion"/>
  </si>
  <si>
    <t>0xD1</t>
  </si>
  <si>
    <t>0xD2</t>
  </si>
  <si>
    <t>0xD3</t>
  </si>
  <si>
    <t>0xD4</t>
  </si>
  <si>
    <t>0xD5</t>
  </si>
  <si>
    <t>0xD6</t>
  </si>
  <si>
    <t>0xD7</t>
  </si>
  <si>
    <t>0xD8</t>
  </si>
  <si>
    <t>0xD9</t>
  </si>
  <si>
    <t>0xDA</t>
    <phoneticPr fontId="1" type="noConversion"/>
  </si>
  <si>
    <t>0xDB</t>
    <phoneticPr fontId="1" type="noConversion"/>
  </si>
  <si>
    <t>0xDC</t>
    <phoneticPr fontId="1" type="noConversion"/>
  </si>
  <si>
    <t>0xDD</t>
    <phoneticPr fontId="1" type="noConversion"/>
  </si>
  <si>
    <t>0xDE</t>
    <phoneticPr fontId="1" type="noConversion"/>
  </si>
  <si>
    <t>0xDF</t>
    <phoneticPr fontId="1" type="noConversion"/>
  </si>
  <si>
    <t>0x30</t>
    <phoneticPr fontId="1" type="noConversion"/>
  </si>
  <si>
    <t>ld_diff_threshold [5:0]</t>
    <phoneticPr fontId="1" type="noConversion"/>
  </si>
  <si>
    <t>serial_clk_high [3;0]</t>
    <phoneticPr fontId="1" type="noConversion"/>
  </si>
  <si>
    <t>serial_clk_low [3]</t>
    <phoneticPr fontId="1" type="noConversion"/>
  </si>
  <si>
    <t>0x44</t>
  </si>
  <si>
    <t>ch6_en</t>
  </si>
  <si>
    <t>ch5_en</t>
  </si>
  <si>
    <t>ch4_en</t>
  </si>
  <si>
    <t>ch3_en</t>
  </si>
  <si>
    <t>PAM_FIX</t>
    <phoneticPr fontId="1" type="noConversion"/>
  </si>
  <si>
    <t>ld_rd_start_pointer [5:0]</t>
    <phoneticPr fontId="1" type="noConversion"/>
  </si>
  <si>
    <t>LOCAL RW DIFFERENCE POINTER</t>
    <phoneticPr fontId="1" type="noConversion"/>
  </si>
  <si>
    <t>PORT1 LOCAL RW DATA1</t>
    <phoneticPr fontId="1" type="noConversion"/>
  </si>
  <si>
    <t>PORT2 LOCAL RW DATA2</t>
    <phoneticPr fontId="1" type="noConversion"/>
  </si>
  <si>
    <t>PORT2 LOCAL RW DATA1</t>
    <phoneticPr fontId="1" type="noConversion"/>
  </si>
  <si>
    <t>PORT3 LOCAL RW DATA2</t>
    <phoneticPr fontId="1" type="noConversion"/>
  </si>
  <si>
    <t>PORT3 LOCAL RW DATA1</t>
    <phoneticPr fontId="1" type="noConversion"/>
  </si>
  <si>
    <t>PORT4 LOCAL RW DATA1</t>
    <phoneticPr fontId="1" type="noConversion"/>
  </si>
  <si>
    <t>PORT5 LOCAL RW DATA1</t>
    <phoneticPr fontId="1" type="noConversion"/>
  </si>
  <si>
    <t>PORT6 LOCAL RW DATA1</t>
    <phoneticPr fontId="1" type="noConversion"/>
  </si>
  <si>
    <t>PORT7 LOCAL RW DATA1</t>
    <phoneticPr fontId="1" type="noConversion"/>
  </si>
  <si>
    <t>PORT8 LOCAL RW DATA1</t>
    <phoneticPr fontId="1" type="noConversion"/>
  </si>
  <si>
    <t>PORT1 LOCAL RW DATA2</t>
    <phoneticPr fontId="1" type="noConversion"/>
  </si>
  <si>
    <t>PORT4 LOCAL RW DATA2</t>
    <phoneticPr fontId="1" type="noConversion"/>
  </si>
  <si>
    <t>PORT5 LOCAL RW DATA2</t>
    <phoneticPr fontId="1" type="noConversion"/>
  </si>
  <si>
    <t>PORT6 LOCAL RW DATA2</t>
    <phoneticPr fontId="1" type="noConversion"/>
  </si>
  <si>
    <t>PORT7 LOCAL RW DATA2</t>
    <phoneticPr fontId="1" type="noConversion"/>
  </si>
  <si>
    <t>PORT8 LOCAL RW DATA2</t>
    <phoneticPr fontId="1" type="noConversion"/>
  </si>
  <si>
    <t>PORT1 LOCAL RW DATA3</t>
    <phoneticPr fontId="1" type="noConversion"/>
  </si>
  <si>
    <t>PORT2 LOCAL RW DATA3</t>
    <phoneticPr fontId="1" type="noConversion"/>
  </si>
  <si>
    <t>PORT3 LOCAL RW DATA3</t>
    <phoneticPr fontId="1" type="noConversion"/>
  </si>
  <si>
    <t>PORT4 LOCAL RW DATA3</t>
    <phoneticPr fontId="1" type="noConversion"/>
  </si>
  <si>
    <t>PORT5 LOCAL RW DATA3</t>
    <phoneticPr fontId="1" type="noConversion"/>
  </si>
  <si>
    <t>PORT6 LOCAL RW DATA3</t>
    <phoneticPr fontId="1" type="noConversion"/>
  </si>
  <si>
    <t>PORT7 LOCAL RW DATA3</t>
    <phoneticPr fontId="1" type="noConversion"/>
  </si>
  <si>
    <t>PORT8 LOCAL RW DATA3</t>
    <phoneticPr fontId="1" type="noConversion"/>
  </si>
  <si>
    <t>PORT1 LOCAL RW DATA4</t>
    <phoneticPr fontId="1" type="noConversion"/>
  </si>
  <si>
    <t>PORT2 LOCAL RW DATA4</t>
    <phoneticPr fontId="1" type="noConversion"/>
  </si>
  <si>
    <t>PORT3 LOCAL RW DATA4</t>
    <phoneticPr fontId="1" type="noConversion"/>
  </si>
  <si>
    <t>PORT4 LOCAL RW DATA4</t>
    <phoneticPr fontId="1" type="noConversion"/>
  </si>
  <si>
    <t>PORT5 LOCAL RW DATA4</t>
    <phoneticPr fontId="1" type="noConversion"/>
  </si>
  <si>
    <t>PORT6 LOCAL RW DATA4</t>
    <phoneticPr fontId="1" type="noConversion"/>
  </si>
  <si>
    <t>PORT7 LOCAL RW DATA4</t>
    <phoneticPr fontId="1" type="noConversion"/>
  </si>
  <si>
    <t>PORT8 LOCAL RW DATA4</t>
    <phoneticPr fontId="1" type="noConversion"/>
  </si>
  <si>
    <t>PORT1 LOCAL RW DATA5</t>
    <phoneticPr fontId="1" type="noConversion"/>
  </si>
  <si>
    <t>PORT2 LOCAL RW DATA5</t>
    <phoneticPr fontId="1" type="noConversion"/>
  </si>
  <si>
    <t>PORT3 LOCAL RW DATA5</t>
    <phoneticPr fontId="1" type="noConversion"/>
  </si>
  <si>
    <t>PORT4 LOCAL RW DATA5</t>
    <phoneticPr fontId="1" type="noConversion"/>
  </si>
  <si>
    <t>PORT5 LOCAL RW DATA5</t>
    <phoneticPr fontId="1" type="noConversion"/>
  </si>
  <si>
    <t>PORT6 LOCAL RW DATA5</t>
    <phoneticPr fontId="1" type="noConversion"/>
  </si>
  <si>
    <t>PORT7 LOCAL RW DATA5</t>
    <phoneticPr fontId="1" type="noConversion"/>
  </si>
  <si>
    <t>PORT8 LOCAL RW DATA5</t>
    <phoneticPr fontId="1" type="noConversion"/>
  </si>
  <si>
    <t>PORT1 LOCAL RW DATA6</t>
    <phoneticPr fontId="1" type="noConversion"/>
  </si>
  <si>
    <t>PORT2 LOCAL RW DATA6</t>
    <phoneticPr fontId="1" type="noConversion"/>
  </si>
  <si>
    <t>PORT3 LOCAL RW DATA6</t>
    <phoneticPr fontId="1" type="noConversion"/>
  </si>
  <si>
    <t>PORT4 LOCAL RW DATA6</t>
    <phoneticPr fontId="1" type="noConversion"/>
  </si>
  <si>
    <t>PORT5 LOCAL RW DATA6</t>
    <phoneticPr fontId="1" type="noConversion"/>
  </si>
  <si>
    <t>PORT6 LOCAL RW DATA6</t>
    <phoneticPr fontId="1" type="noConversion"/>
  </si>
  <si>
    <t>PORT7 LOCAL RW DATA6</t>
    <phoneticPr fontId="1" type="noConversion"/>
  </si>
  <si>
    <t>PORT8 LOCAL RW DATA6</t>
    <phoneticPr fontId="1" type="noConversion"/>
  </si>
  <si>
    <t>PORT1 LOCAL RW DATA7</t>
    <phoneticPr fontId="1" type="noConversion"/>
  </si>
  <si>
    <t>PORT2 LOCAL RW DATA7</t>
    <phoneticPr fontId="1" type="noConversion"/>
  </si>
  <si>
    <t>PORT3 LOCAL RW DATA7</t>
    <phoneticPr fontId="1" type="noConversion"/>
  </si>
  <si>
    <t>PORT4 LOCAL RW DATA7</t>
    <phoneticPr fontId="1" type="noConversion"/>
  </si>
  <si>
    <t>PORT5 LOCAL RW DATA7</t>
    <phoneticPr fontId="1" type="noConversion"/>
  </si>
  <si>
    <t>PORT6 LOCAL RW DATA7</t>
    <phoneticPr fontId="1" type="noConversion"/>
  </si>
  <si>
    <t>PORT7 LOCAL RW DATA7</t>
    <phoneticPr fontId="1" type="noConversion"/>
  </si>
  <si>
    <t>PORT8 LOCAL RW DATA7</t>
    <phoneticPr fontId="1" type="noConversion"/>
  </si>
  <si>
    <t>PORT1 LOCAL RW DATA8</t>
    <phoneticPr fontId="1" type="noConversion"/>
  </si>
  <si>
    <t>PORT2 LOCAL RW DATA8</t>
    <phoneticPr fontId="1" type="noConversion"/>
  </si>
  <si>
    <t>PORT3 LOCAL RW DATA8</t>
    <phoneticPr fontId="1" type="noConversion"/>
  </si>
  <si>
    <t>PORT4 LOCAL RW DATA8</t>
    <phoneticPr fontId="1" type="noConversion"/>
  </si>
  <si>
    <t>PORT5 LOCAL RW DATA8</t>
    <phoneticPr fontId="1" type="noConversion"/>
  </si>
  <si>
    <t>PORT6 LOCAL RW DATA8</t>
    <phoneticPr fontId="1" type="noConversion"/>
  </si>
  <si>
    <t>PORT7 LOCAL RW DATA8</t>
    <phoneticPr fontId="1" type="noConversion"/>
  </si>
  <si>
    <t>PORT8 LOCAL RW DATA8</t>
    <phoneticPr fontId="1" type="noConversion"/>
  </si>
  <si>
    <t>PORT1 LOCAL RW DATA9</t>
    <phoneticPr fontId="1" type="noConversion"/>
  </si>
  <si>
    <t>PORT2 LOCAL RW DATA9</t>
    <phoneticPr fontId="1" type="noConversion"/>
  </si>
  <si>
    <t>PORT3 LOCAL RW DATA9</t>
    <phoneticPr fontId="1" type="noConversion"/>
  </si>
  <si>
    <t>PORT4 LOCAL RW DATA9</t>
    <phoneticPr fontId="1" type="noConversion"/>
  </si>
  <si>
    <t>PORT5 LOCAL RW DATA9</t>
    <phoneticPr fontId="1" type="noConversion"/>
  </si>
  <si>
    <t>PORT6 LOCAL RW DATA9</t>
    <phoneticPr fontId="1" type="noConversion"/>
  </si>
  <si>
    <t>PORT7 LOCAL RW DATA9</t>
    <phoneticPr fontId="1" type="noConversion"/>
  </si>
  <si>
    <t>PORT8 LOCAL RW DATA9</t>
    <phoneticPr fontId="1" type="noConversion"/>
  </si>
  <si>
    <t>PORT1 LOCAL RW DATA10</t>
    <phoneticPr fontId="1" type="noConversion"/>
  </si>
  <si>
    <t>PORT2 LOCAL RW DATA10</t>
    <phoneticPr fontId="1" type="noConversion"/>
  </si>
  <si>
    <t>PORT3 LOCAL RW DATA10</t>
    <phoneticPr fontId="1" type="noConversion"/>
  </si>
  <si>
    <t>PORT4 LOCAL RW DATA10</t>
    <phoneticPr fontId="1" type="noConversion"/>
  </si>
  <si>
    <t>PORT5 LOCAL RW DATA10</t>
    <phoneticPr fontId="1" type="noConversion"/>
  </si>
  <si>
    <t>PORT6 LOCAL RW DATA10</t>
    <phoneticPr fontId="1" type="noConversion"/>
  </si>
  <si>
    <t>PORT7 LOCAL RW DATA10</t>
    <phoneticPr fontId="1" type="noConversion"/>
  </si>
  <si>
    <t>PORT8 LOCAL RW DATA10</t>
    <phoneticPr fontId="1" type="noConversion"/>
  </si>
  <si>
    <t>PORT1 LOCAL RW DATA11</t>
    <phoneticPr fontId="1" type="noConversion"/>
  </si>
  <si>
    <t>PORT2 LOCAL RW DATA11</t>
    <phoneticPr fontId="1" type="noConversion"/>
  </si>
  <si>
    <t>PORT3 LOCAL RW DATA11</t>
    <phoneticPr fontId="1" type="noConversion"/>
  </si>
  <si>
    <t>PORT4 LOCAL RW DATA11</t>
    <phoneticPr fontId="1" type="noConversion"/>
  </si>
  <si>
    <t>PORT5 LOCAL RW DATA11</t>
    <phoneticPr fontId="1" type="noConversion"/>
  </si>
  <si>
    <t>PORT6 LOCAL RW DATA11</t>
    <phoneticPr fontId="1" type="noConversion"/>
  </si>
  <si>
    <t>PORT7 LOCAL RW DATA11</t>
    <phoneticPr fontId="1" type="noConversion"/>
  </si>
  <si>
    <t>PORT8 LOCAL RW DATA11</t>
    <phoneticPr fontId="1" type="noConversion"/>
  </si>
  <si>
    <t>PORT1 LOCAL RW DATA12</t>
    <phoneticPr fontId="1" type="noConversion"/>
  </si>
  <si>
    <t>PORT2 LOCAL RW DATA12</t>
    <phoneticPr fontId="1" type="noConversion"/>
  </si>
  <si>
    <t>PORT3 LOCAL RW DATA12</t>
    <phoneticPr fontId="1" type="noConversion"/>
  </si>
  <si>
    <t>PORT4 LOCAL RW DATA12</t>
    <phoneticPr fontId="1" type="noConversion"/>
  </si>
  <si>
    <t>PORT5 LOCAL RW DATA12</t>
    <phoneticPr fontId="1" type="noConversion"/>
  </si>
  <si>
    <t>PORT6 LOCAL RW DATA12</t>
    <phoneticPr fontId="1" type="noConversion"/>
  </si>
  <si>
    <t>PORT7 LOCAL RW DATA12</t>
    <phoneticPr fontId="1" type="noConversion"/>
  </si>
  <si>
    <t>PORT8 LOCAL RW DATA12</t>
    <phoneticPr fontId="1" type="noConversion"/>
  </si>
  <si>
    <t>PORT1 LOCAL RW DATA13</t>
    <phoneticPr fontId="1" type="noConversion"/>
  </si>
  <si>
    <t>PORT2 LOCAL RW DATA13</t>
    <phoneticPr fontId="1" type="noConversion"/>
  </si>
  <si>
    <t>PORT3 LOCAL RW DATA13</t>
    <phoneticPr fontId="1" type="noConversion"/>
  </si>
  <si>
    <t>PORT4 LOCAL RW DATA13</t>
    <phoneticPr fontId="1" type="noConversion"/>
  </si>
  <si>
    <t>PORT5 LOCAL RW DATA13</t>
    <phoneticPr fontId="1" type="noConversion"/>
  </si>
  <si>
    <t>PORT6 LOCAL RW DATA13</t>
    <phoneticPr fontId="1" type="noConversion"/>
  </si>
  <si>
    <t>PORT7 LOCAL RW DATA13</t>
    <phoneticPr fontId="1" type="noConversion"/>
  </si>
  <si>
    <t>PORT8 LOCAL RW DATA13</t>
    <phoneticPr fontId="1" type="noConversion"/>
  </si>
  <si>
    <t>PORT1 LOCAL RW DATA14</t>
    <phoneticPr fontId="1" type="noConversion"/>
  </si>
  <si>
    <t>PORT2 LOCAL RW DATA14</t>
    <phoneticPr fontId="1" type="noConversion"/>
  </si>
  <si>
    <t>PORT3 LOCAL RW DATA14</t>
    <phoneticPr fontId="1" type="noConversion"/>
  </si>
  <si>
    <t>PORT4 LOCAL RW DATA14</t>
    <phoneticPr fontId="1" type="noConversion"/>
  </si>
  <si>
    <t>PORT5 LOCAL RW DATA14</t>
    <phoneticPr fontId="1" type="noConversion"/>
  </si>
  <si>
    <t>PORT6 LOCAL RW DATA14</t>
    <phoneticPr fontId="1" type="noConversion"/>
  </si>
  <si>
    <t>PORT7 LOCAL RW DATA14</t>
    <phoneticPr fontId="1" type="noConversion"/>
  </si>
  <si>
    <t>PORT8 LOCAL RW DATA14</t>
    <phoneticPr fontId="1" type="noConversion"/>
  </si>
  <si>
    <t>PORT1 LOCAL RW DATA15</t>
    <phoneticPr fontId="1" type="noConversion"/>
  </si>
  <si>
    <t>PORT2 LOCAL RW DATA15</t>
    <phoneticPr fontId="1" type="noConversion"/>
  </si>
  <si>
    <t>PORT3 LOCAL RW DATA15</t>
    <phoneticPr fontId="1" type="noConversion"/>
  </si>
  <si>
    <t>PORT4 LOCAL RW DATA15</t>
    <phoneticPr fontId="1" type="noConversion"/>
  </si>
  <si>
    <t>PORT5 LOCAL RW DATA15</t>
    <phoneticPr fontId="1" type="noConversion"/>
  </si>
  <si>
    <t>PORT6 LOCAL RW DATA15</t>
    <phoneticPr fontId="1" type="noConversion"/>
  </si>
  <si>
    <t>PORT7 LOCAL RW DATA15</t>
    <phoneticPr fontId="1" type="noConversion"/>
  </si>
  <si>
    <t>PORT8 LOCAL RW DATA15</t>
    <phoneticPr fontId="1" type="noConversion"/>
  </si>
  <si>
    <t>PORT1 LOCAL RW DATA16</t>
    <phoneticPr fontId="1" type="noConversion"/>
  </si>
  <si>
    <t>PORT2 LOCAL RW DATA16</t>
    <phoneticPr fontId="1" type="noConversion"/>
  </si>
  <si>
    <t>PORT3 LOCAL RW DATA16</t>
    <phoneticPr fontId="1" type="noConversion"/>
  </si>
  <si>
    <t>PORT4 LOCAL RW DATA16</t>
    <phoneticPr fontId="1" type="noConversion"/>
  </si>
  <si>
    <t>PORT5 LOCAL RW DATA16</t>
    <phoneticPr fontId="1" type="noConversion"/>
  </si>
  <si>
    <t>PORT6 LOCAL RW DATA16</t>
    <phoneticPr fontId="1" type="noConversion"/>
  </si>
  <si>
    <t>PORT7 LOCAL RW DATA16</t>
    <phoneticPr fontId="1" type="noConversion"/>
  </si>
  <si>
    <t>PORT8 LOCAL RW DATA16</t>
    <phoneticPr fontId="1" type="noConversion"/>
  </si>
  <si>
    <t>0x81</t>
    <phoneticPr fontId="1" type="noConversion"/>
  </si>
  <si>
    <t>0xA1</t>
    <phoneticPr fontId="1" type="noConversion"/>
  </si>
  <si>
    <t>0xC1</t>
    <phoneticPr fontId="1" type="noConversion"/>
  </si>
  <si>
    <t>LOCAL DATA PORT</t>
    <phoneticPr fontId="1" type="noConversion"/>
  </si>
  <si>
    <t>LOCAL READ RECEIVE POINTER</t>
    <phoneticPr fontId="1" type="noConversion"/>
  </si>
  <si>
    <t>LOCAL WRITE TRANSFER POINTER</t>
    <phoneticPr fontId="1" type="noConversion"/>
  </si>
  <si>
    <t>local_wr_transfer_read_pointer [5:0]</t>
    <phoneticPr fontId="1" type="noConversion"/>
  </si>
  <si>
    <t>local_rd_receive_read_pointer [5:0]</t>
    <phoneticPr fontId="1" type="noConversion"/>
  </si>
  <si>
    <t>local_rd_receive_write_pointer [5:0]</t>
    <phoneticPr fontId="1" type="noConversion"/>
  </si>
  <si>
    <t>local_wr_transfer_write_pointer [5:0]</t>
    <phoneticPr fontId="1" type="noConversion"/>
  </si>
  <si>
    <t>local_wr_transfer_diff_pointer [5:0]</t>
    <phoneticPr fontId="1" type="noConversion"/>
  </si>
  <si>
    <t>local_rd_receive_diff_pointer [5:0]</t>
    <phoneticPr fontId="1" type="noConversion"/>
  </si>
  <si>
    <t>LOCAL RW POINTER RESET</t>
    <phoneticPr fontId="1" type="noConversion"/>
  </si>
  <si>
    <t>local_transfer_pointer_rst</t>
    <phoneticPr fontId="1" type="noConversion"/>
  </si>
  <si>
    <t>local_receive_pointer_rst</t>
    <phoneticPr fontId="1" type="noConversion"/>
  </si>
  <si>
    <t>CHANNEL ENABLE</t>
    <phoneticPr fontId="1" type="noConversion"/>
  </si>
  <si>
    <t>ch</t>
    <phoneticPr fontId="1" type="noConversion"/>
  </si>
  <si>
    <t>0x28</t>
    <phoneticPr fontId="1" type="noConversion"/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</si>
  <si>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</si>
  <si>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</si>
  <si>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</si>
  <si>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</si>
  <si>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</si>
  <si>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</si>
  <si>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daisy_size_ch4[4:0]</t>
    <phoneticPr fontId="1" type="noConversion"/>
  </si>
  <si>
    <t>daisy_size_ch7[4:0]</t>
    <phoneticPr fontId="1" type="noConversion"/>
  </si>
  <si>
    <t>daisy_size_ch10[4:0]</t>
    <phoneticPr fontId="1" type="noConversion"/>
  </si>
  <si>
    <t>daisy_size_ch13[4:0]</t>
    <phoneticPr fontId="1" type="noConversion"/>
  </si>
  <si>
    <t>daisy_size_ch16[4:0]</t>
    <phoneticPr fontId="1" type="noConversion"/>
  </si>
  <si>
    <t>daisy_size_ch19[4:0]</t>
    <phoneticPr fontId="1" type="noConversion"/>
  </si>
  <si>
    <t>daisy_size_ch22[4:0]</t>
    <phoneticPr fontId="1" type="noConversion"/>
  </si>
  <si>
    <t>daisy_size_ch2[4:0]</t>
    <phoneticPr fontId="1" type="noConversion"/>
  </si>
  <si>
    <t>daisy_size_ch8[4:0]</t>
    <phoneticPr fontId="1" type="noConversion"/>
  </si>
  <si>
    <t>daisy_size_ch5[4:0]</t>
    <phoneticPr fontId="1" type="noConversion"/>
  </si>
  <si>
    <t>daisy_size_ch11[4:0]</t>
    <phoneticPr fontId="1" type="noConversion"/>
  </si>
  <si>
    <t>daisy_size_ch14[4:0]</t>
    <phoneticPr fontId="1" type="noConversion"/>
  </si>
  <si>
    <t>daisy_size_ch17[4:0]</t>
    <phoneticPr fontId="1" type="noConversion"/>
  </si>
  <si>
    <t>daisy_size_ch20[4:0]</t>
    <phoneticPr fontId="1" type="noConversion"/>
  </si>
  <si>
    <t>daisy_size_ch23[4:0]</t>
    <phoneticPr fontId="1" type="noConversion"/>
  </si>
  <si>
    <t>daisy_size_ch3[4:0]</t>
    <phoneticPr fontId="1" type="noConversion"/>
  </si>
  <si>
    <t>daisy_size_ch6[4:0]</t>
    <phoneticPr fontId="1" type="noConversion"/>
  </si>
  <si>
    <t>daisy_size_ch9[4:0]</t>
    <phoneticPr fontId="1" type="noConversion"/>
  </si>
  <si>
    <t>daisy_size_ch12[4:0]</t>
    <phoneticPr fontId="1" type="noConversion"/>
  </si>
  <si>
    <t>daisy_size_ch15[4:0]</t>
    <phoneticPr fontId="1" type="noConversion"/>
  </si>
  <si>
    <t>daisy_size_ch18[4:0]</t>
    <phoneticPr fontId="1" type="noConversion"/>
  </si>
  <si>
    <t>daisy_size_ch21[4:0]</t>
    <phoneticPr fontId="1" type="noConversion"/>
  </si>
  <si>
    <t>daisy_size_ch24[4:0]</t>
    <phoneticPr fontId="1" type="noConversion"/>
  </si>
  <si>
    <t>0x45</t>
  </si>
  <si>
    <t>0xE0</t>
    <phoneticPr fontId="1" type="noConversion"/>
  </si>
  <si>
    <t>0xE1</t>
  </si>
  <si>
    <t>0xE2</t>
  </si>
  <si>
    <t>0xE3</t>
  </si>
  <si>
    <t>0xE4</t>
  </si>
  <si>
    <t>0xE5</t>
  </si>
  <si>
    <t>0xE6</t>
  </si>
  <si>
    <t>0xE7</t>
  </si>
  <si>
    <t>0xE8</t>
  </si>
  <si>
    <t>0xE9</t>
  </si>
  <si>
    <t>0xEA</t>
    <phoneticPr fontId="1" type="noConversion"/>
  </si>
  <si>
    <t>0xEB</t>
    <phoneticPr fontId="1" type="noConversion"/>
  </si>
  <si>
    <t>0xEC</t>
    <phoneticPr fontId="1" type="noConversion"/>
  </si>
  <si>
    <t>0xED</t>
    <phoneticPr fontId="1" type="noConversion"/>
  </si>
  <si>
    <t>0xEE</t>
    <phoneticPr fontId="1" type="noConversion"/>
  </si>
  <si>
    <t>0xEF</t>
    <phoneticPr fontId="1" type="noConversion"/>
  </si>
  <si>
    <t>0x61</t>
  </si>
  <si>
    <t>int_ld
(= nINT_LD
open-drain out)</t>
    <phoneticPr fontId="1" type="noConversion"/>
  </si>
  <si>
    <t>int_fault
(= nINT_FAULT
open-drain out)</t>
    <phoneticPr fontId="1" type="noConversion"/>
  </si>
  <si>
    <t>DAISY SIZE 7</t>
  </si>
  <si>
    <t>DAISY SIZE 8</t>
  </si>
  <si>
    <t>fault_auto_rd_timer_event [7:0]</t>
    <phoneticPr fontId="1" type="noConversion"/>
  </si>
  <si>
    <t>FAULT AUTO READ EVENT</t>
    <phoneticPr fontId="1" type="noConversion"/>
  </si>
  <si>
    <t>OTP PROTECT</t>
    <phoneticPr fontId="1" type="noConversion"/>
  </si>
  <si>
    <t>0x27</t>
    <phoneticPr fontId="1" type="noConversion"/>
  </si>
  <si>
    <t>OFS_CH1 [10:0]</t>
    <phoneticPr fontId="1" type="noConversion"/>
  </si>
  <si>
    <t>OFS_CH2 [10:0]</t>
    <phoneticPr fontId="1" type="noConversion"/>
  </si>
  <si>
    <t>OFS_CH3 [10:0]</t>
    <phoneticPr fontId="1" type="noConversion"/>
  </si>
  <si>
    <t>OFS_CH4 [10:0]</t>
    <phoneticPr fontId="1" type="noConversion"/>
  </si>
  <si>
    <t>OFS_CH5 [10:0]</t>
    <phoneticPr fontId="1" type="noConversion"/>
  </si>
  <si>
    <t>OFS_CH6 [10:0]</t>
    <phoneticPr fontId="1" type="noConversion"/>
  </si>
  <si>
    <t>OFS_TEMP</t>
    <phoneticPr fontId="1" type="noConversion"/>
  </si>
  <si>
    <t>OFS1</t>
    <phoneticPr fontId="1" type="noConversion"/>
  </si>
  <si>
    <t>0x29</t>
    <phoneticPr fontId="1" type="noConversion"/>
  </si>
  <si>
    <t>OFS2</t>
    <phoneticPr fontId="1" type="noConversion"/>
  </si>
  <si>
    <t>0x31</t>
    <phoneticPr fontId="1" type="noConversion"/>
  </si>
  <si>
    <t>ch12_en</t>
  </si>
  <si>
    <t>ch11_en</t>
  </si>
  <si>
    <t>ch10_en</t>
  </si>
  <si>
    <t>ch9_en</t>
  </si>
  <si>
    <t>ch8_en</t>
  </si>
  <si>
    <t>ch7_en</t>
  </si>
  <si>
    <t>0x46</t>
  </si>
  <si>
    <t>daised_dev_ch_size [4:0]</t>
    <phoneticPr fontId="1" type="noConversion"/>
  </si>
  <si>
    <t>ld [4:0]</t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</si>
  <si>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#1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</si>
  <si>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</si>
  <si>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#n-1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</si>
  <si>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</si>
  <si>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</si>
  <si>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DO </t>
    </r>
    <r>
      <rPr>
        <sz val="11"/>
        <color theme="1"/>
        <rFont val="맑은 고딕"/>
        <family val="3"/>
        <charset val="129"/>
        <scheme val="minor"/>
      </rPr>
      <t>#2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</si>
  <si>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 xml:space="preserve">IO </t>
    </r>
    <r>
      <rPr>
        <sz val="11"/>
        <color theme="1"/>
        <rFont val="맑은 고딕"/>
        <family val="3"/>
        <charset val="129"/>
        <scheme val="minor"/>
      </rPr>
      <t>#2</t>
    </r>
    <phoneticPr fontId="1" type="noConversion"/>
  </si>
  <si>
    <t>fault read cmd#2</t>
    <phoneticPr fontId="1" type="noConversion"/>
  </si>
  <si>
    <t>fault read cmd #n</t>
    <phoneticPr fontId="1" type="noConversion"/>
  </si>
  <si>
    <t>fault read cmd #2</t>
    <phoneticPr fontId="1" type="noConversion"/>
  </si>
  <si>
    <t>fault read cmd #1</t>
    <phoneticPr fontId="1" type="noConversion"/>
  </si>
  <si>
    <t>4'bxxxx</t>
    <phoneticPr fontId="1" type="noConversion"/>
  </si>
  <si>
    <t>d4 | d3</t>
    <phoneticPr fontId="1" type="noConversion"/>
  </si>
  <si>
    <t>d3 | d2</t>
    <phoneticPr fontId="1" type="noConversion"/>
  </si>
  <si>
    <t>d2 | d1</t>
    <phoneticPr fontId="1" type="noConversion"/>
  </si>
  <si>
    <t>bit20</t>
  </si>
  <si>
    <t>bit19</t>
  </si>
  <si>
    <t>bit18</t>
  </si>
  <si>
    <t>bit17</t>
  </si>
  <si>
    <t>pwm [9:0]</t>
    <phoneticPr fontId="1" type="noConversion"/>
  </si>
  <si>
    <t>bit23</t>
  </si>
  <si>
    <t>bit22</t>
  </si>
  <si>
    <t>pam [9:0]</t>
    <phoneticPr fontId="1" type="noConversion"/>
  </si>
  <si>
    <t>data format</t>
    <phoneticPr fontId="1" type="noConversion"/>
  </si>
  <si>
    <t>ld [15:0]</t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</si>
  <si>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#1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</si>
  <si>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</si>
  <si>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#2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</si>
  <si>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IO </t>
    </r>
    <r>
      <rPr>
        <sz val="11"/>
        <rFont val="맑은 고딕"/>
        <family val="3"/>
        <charset val="129"/>
        <scheme val="minor"/>
      </rPr>
      <t>#n</t>
    </r>
    <phoneticPr fontId="1" type="noConversion"/>
  </si>
  <si>
    <r>
      <t>D</t>
    </r>
    <r>
      <rPr>
        <vertAlign val="subscript"/>
        <sz val="11"/>
        <rFont val="맑은 고딕"/>
        <family val="3"/>
        <charset val="129"/>
        <scheme val="minor"/>
      </rPr>
      <t xml:space="preserve">DO </t>
    </r>
    <r>
      <rPr>
        <sz val="11"/>
        <rFont val="맑은 고딕"/>
        <family val="3"/>
        <charset val="129"/>
        <scheme val="minor"/>
      </rPr>
      <t>#n</t>
    </r>
    <phoneticPr fontId="1" type="noConversion"/>
  </si>
  <si>
    <t>DAISIED DEVICE CHANNEL SIZE</t>
    <phoneticPr fontId="1" type="noConversion"/>
  </si>
  <si>
    <t>pam_fix [9:0]</t>
    <phoneticPr fontId="1" type="noConversion"/>
  </si>
  <si>
    <t>SERIAL CLOCK GEN</t>
    <phoneticPr fontId="1" type="noConversion"/>
  </si>
  <si>
    <t>serial_clk_high [3:0]</t>
    <phoneticPr fontId="1" type="noConversion"/>
  </si>
  <si>
    <t>VDD</t>
    <phoneticPr fontId="1" type="noConversion"/>
  </si>
  <si>
    <t>VSS</t>
    <phoneticPr fontId="1" type="noConversion"/>
  </si>
  <si>
    <t>D</t>
    <phoneticPr fontId="1" type="noConversion"/>
  </si>
  <si>
    <t>DELAY_CH7</t>
  </si>
  <si>
    <t>DELAY_CH8</t>
  </si>
  <si>
    <t>DELAY_CH9</t>
  </si>
  <si>
    <t>DELAY_CH10</t>
  </si>
  <si>
    <t>DELAY_CH11</t>
  </si>
  <si>
    <t>DELAY_CH12</t>
  </si>
  <si>
    <t>0x18</t>
    <phoneticPr fontId="1" type="noConversion"/>
  </si>
  <si>
    <t>`</t>
    <phoneticPr fontId="1" type="noConversion"/>
  </si>
  <si>
    <t>GAIN7</t>
  </si>
  <si>
    <t>GAIN8</t>
  </si>
  <si>
    <t>GAIN9</t>
  </si>
  <si>
    <t>GAIN10</t>
  </si>
  <si>
    <t>GAIN11</t>
  </si>
  <si>
    <t>GAIN12</t>
  </si>
  <si>
    <t>OFS3</t>
  </si>
  <si>
    <t>OFS4</t>
  </si>
  <si>
    <t>OFS5</t>
  </si>
  <si>
    <t>OFS6</t>
  </si>
  <si>
    <t>OFS7</t>
  </si>
  <si>
    <t>OFS8</t>
  </si>
  <si>
    <t>OFS9</t>
  </si>
  <si>
    <t>OFS10</t>
  </si>
  <si>
    <t>OFS11</t>
  </si>
  <si>
    <t>OFS12</t>
  </si>
  <si>
    <t>0x20</t>
  </si>
  <si>
    <t>OFS_CH7 [10:0]</t>
    <phoneticPr fontId="1" type="noConversion"/>
  </si>
  <si>
    <t>OFS_CH8 [10:0]</t>
    <phoneticPr fontId="1" type="noConversion"/>
  </si>
  <si>
    <t>OFS_CH9 [10:0]</t>
    <phoneticPr fontId="1" type="noConversion"/>
  </si>
  <si>
    <t>OFS_CH10 [10:0]</t>
    <phoneticPr fontId="1" type="noConversion"/>
  </si>
  <si>
    <t>OFS_CH11 [10:0]</t>
    <phoneticPr fontId="1" type="noConversion"/>
  </si>
  <si>
    <t>OFS_CH12 [10:0]</t>
    <phoneticPr fontId="1" type="noConversion"/>
  </si>
  <si>
    <t>otp_crc_checksum [11:0]</t>
    <phoneticPr fontId="1" type="noConversion"/>
  </si>
  <si>
    <t>0x25</t>
    <phoneticPr fontId="1" type="noConversion"/>
  </si>
  <si>
    <t>0x24</t>
    <phoneticPr fontId="1" type="noConversion"/>
  </si>
  <si>
    <t>OTP CRC</t>
    <phoneticPr fontId="1" type="noConversion"/>
  </si>
  <si>
    <t>rd</t>
    <phoneticPr fontId="1" type="noConversion"/>
  </si>
  <si>
    <t>ld_width [1:0]</t>
    <phoneticPr fontId="1" type="noConversion"/>
  </si>
  <si>
    <t>bit25</t>
  </si>
  <si>
    <t>bit24</t>
  </si>
  <si>
    <t>pwm [11:0]</t>
    <phoneticPr fontId="1" type="noConversion"/>
  </si>
  <si>
    <t>from 1~31 ('0' invalid)</t>
    <phoneticPr fontId="1" type="noConversion"/>
  </si>
  <si>
    <t>feature</t>
    <phoneticPr fontId="1" type="noConversion"/>
  </si>
  <si>
    <t>uploaded on internal vsync</t>
    <phoneticPr fontId="1" type="noConversion"/>
  </si>
  <si>
    <t>executed value = pwm_size+1</t>
    <phoneticPr fontId="1" type="noConversion"/>
  </si>
  <si>
    <t>executed value = x_size+1</t>
    <phoneticPr fontId="1" type="noConversion"/>
  </si>
  <si>
    <t>uploaded on internal vsync
out from the rising edge of vsync</t>
    <phoneticPr fontId="1" type="noConversion"/>
  </si>
  <si>
    <t>default value ? at initial operation</t>
    <phoneticPr fontId="1" type="noConversion"/>
  </si>
  <si>
    <t>dev_max_curr_level [2:0]</t>
    <phoneticPr fontId="1" type="noConversion"/>
  </si>
  <si>
    <t>fb_level</t>
    <phoneticPr fontId="1" type="noConversion"/>
  </si>
  <si>
    <t>short_level [2:0]</t>
    <phoneticPr fontId="1" type="noConversion"/>
  </si>
  <si>
    <t>OSC [9:0]</t>
    <phoneticPr fontId="1" type="noConversion"/>
  </si>
  <si>
    <t>OFS_TEMP [3:0]</t>
    <phoneticPr fontId="1" type="noConversion"/>
  </si>
  <si>
    <t>GAIN_CH1 [7:0]</t>
    <phoneticPr fontId="1" type="noConversion"/>
  </si>
  <si>
    <t>GAIN_CH2 [7:0]</t>
    <phoneticPr fontId="1" type="noConversion"/>
  </si>
  <si>
    <t>GAIN_CH3 [7:0]</t>
    <phoneticPr fontId="1" type="noConversion"/>
  </si>
  <si>
    <t>GAIN_CH4 [7:0]</t>
    <phoneticPr fontId="1" type="noConversion"/>
  </si>
  <si>
    <t>GAIN_CH5 [7:0]</t>
    <phoneticPr fontId="1" type="noConversion"/>
  </si>
  <si>
    <t>GAIN_CH6 [7:0]</t>
    <phoneticPr fontId="1" type="noConversion"/>
  </si>
  <si>
    <t>GAIN_CH7 [7:0]</t>
    <phoneticPr fontId="1" type="noConversion"/>
  </si>
  <si>
    <t>GAIN_CH8 [7:0]</t>
    <phoneticPr fontId="1" type="noConversion"/>
  </si>
  <si>
    <t>GAIN_CH9 [7:0]</t>
    <phoneticPr fontId="1" type="noConversion"/>
  </si>
  <si>
    <t>GAIN_CH10 [7:0]</t>
    <phoneticPr fontId="1" type="noConversion"/>
  </si>
  <si>
    <t>GAIN_CH11 [7:0]</t>
    <phoneticPr fontId="1" type="noConversion"/>
  </si>
  <si>
    <t>GAIN_CH12 [7:0]</t>
    <phoneticPr fontId="1" type="noConversion"/>
  </si>
  <si>
    <t>ro</t>
    <phoneticPr fontId="1" type="noConversion"/>
  </si>
  <si>
    <t>ID GEN COMMAND</t>
    <phoneticPr fontId="1" type="noConversion"/>
  </si>
  <si>
    <t>0x18</t>
  </si>
  <si>
    <t>0x19</t>
  </si>
  <si>
    <t>id_doing</t>
    <phoneticPr fontId="1" type="noConversion"/>
  </si>
  <si>
    <t>id_done</t>
    <phoneticPr fontId="1" type="noConversion"/>
  </si>
  <si>
    <t>id gen</t>
    <phoneticPr fontId="1" type="noConversion"/>
  </si>
  <si>
    <t>wo</t>
    <phoneticPr fontId="1" type="noConversion"/>
  </si>
  <si>
    <t>COMMAND STATUS 1</t>
    <phoneticPr fontId="1" type="noConversion"/>
  </si>
  <si>
    <t>COMMAND STATUS 2</t>
    <phoneticPr fontId="1" type="noConversion"/>
  </si>
  <si>
    <t>FAULT READ COMMAND</t>
    <phoneticPr fontId="1" type="noConversion"/>
  </si>
  <si>
    <t>COMMAND AUTO ENABLE</t>
    <phoneticPr fontId="1" type="noConversion"/>
  </si>
  <si>
    <t>sync auto_en</t>
    <phoneticPr fontId="1" type="noConversion"/>
  </si>
  <si>
    <t>fault auto_en</t>
    <phoneticPr fontId="1" type="noConversion"/>
  </si>
  <si>
    <t>0x04</t>
    <phoneticPr fontId="1" type="noConversion"/>
  </si>
  <si>
    <t>ld_wr_pointer [8:0]</t>
    <phoneticPr fontId="1" type="noConversion"/>
  </si>
  <si>
    <t>ld_rd_pointer [8:0]</t>
    <phoneticPr fontId="1" type="noConversion"/>
  </si>
  <si>
    <t>write command</t>
    <phoneticPr fontId="1" type="noConversion"/>
  </si>
  <si>
    <t>read command</t>
    <phoneticPr fontId="1" type="noConversion"/>
  </si>
  <si>
    <t>read receive format</t>
    <phoneticPr fontId="1" type="noConversion"/>
  </si>
  <si>
    <t>pwm [10:0]</t>
    <phoneticPr fontId="1" type="noConversion"/>
  </si>
  <si>
    <t>ld transfer @ld_width='11'</t>
    <phoneticPr fontId="1" type="noConversion"/>
  </si>
  <si>
    <t>ld transfer @ld_width='10'</t>
    <phoneticPr fontId="1" type="noConversion"/>
  </si>
  <si>
    <t>ld transfer @ld_width='01'</t>
    <phoneticPr fontId="1" type="noConversion"/>
  </si>
  <si>
    <t>ld transfer @ld_width='00'</t>
    <phoneticPr fontId="1" type="noConversion"/>
  </si>
  <si>
    <t>fault (auto) read command</t>
    <phoneticPr fontId="1" type="noConversion"/>
  </si>
  <si>
    <t>fault (auto) receive format</t>
    <phoneticPr fontId="1" type="noConversion"/>
  </si>
  <si>
    <t>(ld_width=00,01,10)</t>
    <phoneticPr fontId="1" type="noConversion"/>
  </si>
  <si>
    <t>(ld_width=11)</t>
    <phoneticPr fontId="1" type="noConversion"/>
  </si>
  <si>
    <t>pwm_size [11:0]</t>
    <phoneticPr fontId="1" type="noConversion"/>
  </si>
  <si>
    <t>pwm_period [11:0]</t>
    <phoneticPr fontId="1" type="noConversion"/>
  </si>
  <si>
    <t>current_dimm1 : pwm data 동안 pam 출력 + 1개 pam 출력
current_dimm2 : pwm data 동안 3FF 출력 + 1개 pam 출력</t>
    <phoneticPr fontId="1" type="noConversion"/>
  </si>
  <si>
    <t>'0' pam always out 0 value</t>
    <phoneticPr fontId="1" type="noConversion"/>
  </si>
  <si>
    <t>x_iteration [5:0]</t>
    <phoneticPr fontId="1" type="noConversion"/>
  </si>
  <si>
    <t>x_iteration : frame_keep
uploaded on internal vsync</t>
    <phoneticPr fontId="1" type="noConversion"/>
  </si>
  <si>
    <t>frame_keep
uploaded on internal vsync</t>
    <phoneticPr fontId="1" type="noConversion"/>
  </si>
  <si>
    <t>reference 14.7456mhz</t>
    <phoneticPr fontId="1" type="noConversion"/>
  </si>
  <si>
    <t>ICTL_GLB[2:0]</t>
    <phoneticPr fontId="1" type="noConversion"/>
  </si>
  <si>
    <t>OFS1_CH1 [7:0]</t>
    <phoneticPr fontId="1" type="noConversion"/>
  </si>
  <si>
    <t>OFS1_CH2 [7:0]</t>
    <phoneticPr fontId="1" type="noConversion"/>
  </si>
  <si>
    <t>OFS1_CH3 [7:0]</t>
    <phoneticPr fontId="1" type="noConversion"/>
  </si>
  <si>
    <t>OFS1_CH4 [7:0]</t>
    <phoneticPr fontId="1" type="noConversion"/>
  </si>
  <si>
    <t>OFS1_CH5 [7:0]</t>
    <phoneticPr fontId="1" type="noConversion"/>
  </si>
  <si>
    <t>OFS1_CH6 [7:0]</t>
    <phoneticPr fontId="1" type="noConversion"/>
  </si>
  <si>
    <t>OFS1_CH7 [7:0]</t>
    <phoneticPr fontId="1" type="noConversion"/>
  </si>
  <si>
    <t>OFS1_CH8 [7:0]</t>
    <phoneticPr fontId="1" type="noConversion"/>
  </si>
  <si>
    <t>OFS1_CH9 [7:0]</t>
    <phoneticPr fontId="1" type="noConversion"/>
  </si>
  <si>
    <t>OFS1_CH10 [7:0]</t>
    <phoneticPr fontId="1" type="noConversion"/>
  </si>
  <si>
    <t>OFS1_CH11 [7:0]</t>
    <phoneticPr fontId="1" type="noConversion"/>
  </si>
  <si>
    <t>OFS1_CH12 [7:0]</t>
    <phoneticPr fontId="1" type="noConversion"/>
  </si>
  <si>
    <t>OFS2_CH1 [7:0]</t>
    <phoneticPr fontId="1" type="noConversion"/>
  </si>
  <si>
    <t>OFS2_CH2 [7:0]</t>
    <phoneticPr fontId="1" type="noConversion"/>
  </si>
  <si>
    <t>OFS2_CH3 [7:0]</t>
    <phoneticPr fontId="1" type="noConversion"/>
  </si>
  <si>
    <t>OFS2_CH4 [7:0]</t>
    <phoneticPr fontId="1" type="noConversion"/>
  </si>
  <si>
    <t>OFS2_CH5 [7:0]</t>
    <phoneticPr fontId="1" type="noConversion"/>
  </si>
  <si>
    <t>OFS2_CH6 [7:0]</t>
    <phoneticPr fontId="1" type="noConversion"/>
  </si>
  <si>
    <t>OFS2_CH7 [7:0]</t>
    <phoneticPr fontId="1" type="noConversion"/>
  </si>
  <si>
    <t>OFS2_CH8 [7:0]</t>
    <phoneticPr fontId="1" type="noConversion"/>
  </si>
  <si>
    <t>OFS2_CH9 [7:0]</t>
    <phoneticPr fontId="1" type="noConversion"/>
  </si>
  <si>
    <t>OFS2_CH10 [7:0]</t>
    <phoneticPr fontId="1" type="noConversion"/>
  </si>
  <si>
    <t>OFS2_CH11 [7:0]</t>
    <phoneticPr fontId="1" type="noConversion"/>
  </si>
  <si>
    <t>OFS2_CH12 [7:0]</t>
    <phoneticPr fontId="1" type="noConversion"/>
  </si>
  <si>
    <t>PAM_FIX1</t>
    <phoneticPr fontId="1" type="noConversion"/>
  </si>
  <si>
    <t>PAM_FIX2</t>
  </si>
  <si>
    <t>delay_ch1 [6:0]</t>
    <phoneticPr fontId="1" type="noConversion"/>
  </si>
  <si>
    <t>delay_ch2 [6:0]</t>
    <phoneticPr fontId="1" type="noConversion"/>
  </si>
  <si>
    <t>delay_ch3 [6:0]</t>
    <phoneticPr fontId="1" type="noConversion"/>
  </si>
  <si>
    <t>delay_ch4 [6:0]</t>
    <phoneticPr fontId="1" type="noConversion"/>
  </si>
  <si>
    <t>delay_ch5 [6:0]</t>
    <phoneticPr fontId="1" type="noConversion"/>
  </si>
  <si>
    <t>delay_ch6 [6:0]</t>
    <phoneticPr fontId="1" type="noConversion"/>
  </si>
  <si>
    <t>delay_ch7 [6:0]</t>
    <phoneticPr fontId="1" type="noConversion"/>
  </si>
  <si>
    <t>delay_ch8 [6:0]</t>
    <phoneticPr fontId="1" type="noConversion"/>
  </si>
  <si>
    <t>delay_ch9 [6:0]</t>
    <phoneticPr fontId="1" type="noConversion"/>
  </si>
  <si>
    <t>OSC_CTL [9:0]</t>
    <phoneticPr fontId="1" type="noConversion"/>
  </si>
  <si>
    <t>VREF_CTL [5:0]</t>
    <phoneticPr fontId="1" type="noConversion"/>
  </si>
  <si>
    <t>x_size [11:0]</t>
    <phoneticPr fontId="1" type="noConversion"/>
  </si>
  <si>
    <t>short_en_level [9:0]</t>
    <phoneticPr fontId="1" type="noConversion"/>
  </si>
  <si>
    <t>0x1A</t>
    <phoneticPr fontId="1" type="noConversion"/>
  </si>
  <si>
    <t>SHORT ENABLE LEVEL</t>
    <phoneticPr fontId="1" type="noConversion"/>
  </si>
  <si>
    <t>short_en_level [11:0]</t>
    <phoneticPr fontId="1" type="noConversion"/>
  </si>
  <si>
    <t>LD CONTROL</t>
    <phoneticPr fontId="1" type="noConversion"/>
  </si>
  <si>
    <t>bit_sel [1:0]</t>
    <phoneticPr fontId="1" type="noConversion"/>
  </si>
  <si>
    <t>clk_sel [2:0]</t>
    <phoneticPr fontId="1" type="noConversion"/>
  </si>
  <si>
    <t>uploaded on internal vsync</t>
  </si>
  <si>
    <t>'0' ld data always out 0 value</t>
    <phoneticPr fontId="1" type="noConversion"/>
  </si>
  <si>
    <t>short : rising edge detection시 high
          fault readback 직후 auto clear</t>
    <phoneticPr fontId="1" type="noConversion"/>
  </si>
  <si>
    <t>high active (bypass out from ANALOG output)</t>
    <phoneticPr fontId="1" type="noConversion"/>
  </si>
  <si>
    <t>0x200</t>
    <phoneticPr fontId="1" type="noConversion"/>
  </si>
  <si>
    <t>0x01F</t>
    <phoneticPr fontId="1" type="noConversion"/>
  </si>
  <si>
    <t>0x400</t>
    <phoneticPr fontId="1" type="noConversion"/>
  </si>
  <si>
    <t>0x080</t>
    <phoneticPr fontId="1" type="noConversion"/>
  </si>
  <si>
    <t>daisy_size_ch1[4:0]</t>
    <phoneticPr fontId="1" type="noConversion"/>
  </si>
  <si>
    <t>delay_ch1 [11:0]</t>
    <phoneticPr fontId="1" type="noConversion"/>
  </si>
  <si>
    <t>delay_ch2 [11:0]</t>
    <phoneticPr fontId="1" type="noConversion"/>
  </si>
  <si>
    <t>delay_ch3 [11:0]</t>
    <phoneticPr fontId="1" type="noConversion"/>
  </si>
  <si>
    <t>delay_ch4 [11:0]</t>
    <phoneticPr fontId="1" type="noConversion"/>
  </si>
  <si>
    <t>delay_ch5 [11:0]</t>
    <phoneticPr fontId="1" type="noConversion"/>
  </si>
  <si>
    <t>delay_ch6 [11:0]</t>
    <phoneticPr fontId="1" type="noConversion"/>
  </si>
  <si>
    <t>delay_ch7 [11:0]</t>
    <phoneticPr fontId="1" type="noConversion"/>
  </si>
  <si>
    <t>delay_ch8 [11:0]</t>
    <phoneticPr fontId="1" type="noConversion"/>
  </si>
  <si>
    <t>delay_ch9 [11:0]</t>
    <phoneticPr fontId="1" type="noConversion"/>
  </si>
  <si>
    <t>delay_ch10 [11:0]</t>
    <phoneticPr fontId="1" type="noConversion"/>
  </si>
  <si>
    <t>delay_ch11 [11:0]</t>
    <phoneticPr fontId="1" type="noConversion"/>
  </si>
  <si>
    <t>delay_ch12 [11:0]</t>
    <phoneticPr fontId="1" type="noConversion"/>
  </si>
  <si>
    <t>bit width 11 --&gt; 12bit ; 2분주 cke 안함</t>
    <phoneticPr fontId="1" type="noConversion"/>
  </si>
  <si>
    <r>
      <t xml:space="preserve">current_dimm1 : pwm data &lt; curr_dimm_th
current_dimm2 : pwm data </t>
    </r>
    <r>
      <rPr>
        <b/>
        <sz val="14"/>
        <rFont val="맑은 고딕"/>
        <family val="3"/>
        <charset val="129"/>
      </rPr>
      <t>≥</t>
    </r>
    <r>
      <rPr>
        <sz val="9.9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>curr_dimm_th
curr_dimm_th = 0 : current_dimm2
curr_dimm_th = FFF : current_dimm1</t>
    </r>
    <phoneticPr fontId="1" type="noConversion"/>
  </si>
  <si>
    <t>serial_clk_low [3:0]</t>
    <phoneticPr fontId="1" type="noConversion"/>
  </si>
  <si>
    <t>chx_short_en = chx_en &amp;&amp; (chx pam[9:0] &gt; short_en_level[9:0])</t>
    <phoneticPr fontId="1" type="noConversion"/>
  </si>
  <si>
    <t>otp_pg_access_cycle [15:12]</t>
    <phoneticPr fontId="1" type="noConversion"/>
  </si>
  <si>
    <t>chx_short_en = chx_en &amp;&amp; (chx ld[15:4] &gt; short_en_level[11:0])</t>
    <phoneticPr fontId="1" type="noConversion"/>
  </si>
  <si>
    <t>DELAY_SIZE</t>
    <phoneticPr fontId="1" type="noConversion"/>
  </si>
  <si>
    <t>delay_size [6:0]</t>
    <phoneticPr fontId="1" type="noConversion"/>
  </si>
  <si>
    <t>DELAY_PERIOD</t>
    <phoneticPr fontId="1" type="noConversion"/>
  </si>
  <si>
    <t>delay_period [11:0]</t>
    <phoneticPr fontId="1" type="noConversion"/>
  </si>
  <si>
    <t>ld_fix [15:12]</t>
    <phoneticPr fontId="1" type="noConversion"/>
  </si>
  <si>
    <t>ld_fix [11:0]</t>
    <phoneticPr fontId="1" type="noConversion"/>
  </si>
  <si>
    <t>ld_force : always the ld_fix [15:0] regardless of vsync</t>
    <phoneticPr fontId="1" type="noConversion"/>
  </si>
  <si>
    <t>curr_dimm_th [11:0]</t>
    <phoneticPr fontId="1" type="noConversion"/>
  </si>
  <si>
    <t>LD START POINTER/TH</t>
    <phoneticPr fontId="1" type="noConversion"/>
  </si>
  <si>
    <t>FAULT AUTO READ INTERVAL</t>
    <phoneticPr fontId="1" type="noConversion"/>
  </si>
  <si>
    <t>fault_auto_rd_interval [16:0]</t>
    <phoneticPr fontId="1" type="noConversion"/>
  </si>
  <si>
    <t>fault_auto_rd_interval [16]</t>
    <phoneticPr fontId="1" type="noConversion"/>
  </si>
  <si>
    <t>test_en</t>
    <phoneticPr fontId="1" type="noConversion"/>
  </si>
  <si>
    <r>
      <rPr>
        <sz val="11"/>
        <color theme="0" tint="-0.249977111117893"/>
        <rFont val="맑은 고딕"/>
        <family val="3"/>
        <charset val="129"/>
        <scheme val="minor"/>
      </rPr>
      <t>ld_force : always the pam_fix regardless of vsync</t>
    </r>
    <r>
      <rPr>
        <sz val="11"/>
        <rFont val="맑은 고딕"/>
        <family val="3"/>
        <charset val="129"/>
        <scheme val="minor"/>
      </rPr>
      <t xml:space="preserve">
ld_width : 00/01/10 pwm data 10/11/12-bit
x_iteration : repeat (x_iteration+1) by (x_size+1)
executed value = x_iteration+1</t>
    </r>
    <phoneticPr fontId="1" type="noConversion"/>
  </si>
  <si>
    <t>test_en=1 : mclk/8 clk out @ Ddio
ld_fix [15:0] always out regardlee a vsync
max_curr_vref [11:0] always out regardless a vsync</t>
    <phoneticPr fontId="1" type="noConversion"/>
  </si>
  <si>
    <t>test_en=1 : mclk/8 clk out @ Ddio
pam_fix [9:0] always out regardlee a vsync
max_curr_vref [11:0] always out regardless a vsync</t>
    <phoneticPr fontId="1" type="noConversion"/>
  </si>
  <si>
    <t>0x5A5/0xA5A = protect enable/disable</t>
    <phoneticPr fontId="1" type="noConversion"/>
  </si>
  <si>
    <t>5A5: protect enable</t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</si>
  <si>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</si>
  <si>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" type="noConversion"/>
  </si>
  <si>
    <t>TEST용 Analog 출력 port</t>
    <phoneticPr fontId="1" type="noConversion"/>
  </si>
  <si>
    <t>TEST용 MCLK/8 clock out port</t>
    <phoneticPr fontId="1" type="noConversion"/>
  </si>
  <si>
    <t>0x058</t>
    <phoneticPr fontId="1" type="noConversion"/>
  </si>
  <si>
    <t>0x200054B0</t>
    <phoneticPr fontId="1" type="noConversion"/>
  </si>
  <si>
    <t>0x20006500</t>
    <phoneticPr fontId="1" type="noConversion"/>
  </si>
  <si>
    <t>0x1050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</si>
</sst>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0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9.9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F1F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9" borderId="2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2" fillId="9" borderId="23" xfId="0" applyFont="1" applyFill="1" applyBorder="1">
      <alignment vertical="center"/>
    </xf>
    <xf numFmtId="0" fontId="2" fillId="9" borderId="21" xfId="0" applyFont="1" applyFill="1" applyBorder="1">
      <alignment vertical="center"/>
    </xf>
    <xf numFmtId="0" fontId="7" fillId="9" borderId="30" xfId="0" applyFont="1" applyFill="1" applyBorder="1" applyAlignment="1">
      <alignment horizontal="center" vertical="center"/>
    </xf>
    <xf numFmtId="0" fontId="2" fillId="9" borderId="31" xfId="0" applyFont="1" applyFill="1" applyBorder="1">
      <alignment vertical="center"/>
    </xf>
    <xf numFmtId="0" fontId="2" fillId="9" borderId="32" xfId="0" applyFont="1" applyFill="1" applyBorder="1">
      <alignment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" fillId="0" borderId="44" xfId="0" applyFont="1" applyBorder="1" applyAlignment="1">
      <alignment vertical="center" wrapText="1"/>
    </xf>
    <xf numFmtId="0" fontId="2" fillId="0" borderId="44" xfId="0" applyFont="1" applyBorder="1">
      <alignment vertical="center"/>
    </xf>
    <xf numFmtId="0" fontId="2" fillId="0" borderId="45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45" xfId="0" quotePrefix="1" applyFont="1" applyBorder="1" applyAlignment="1">
      <alignment horizontal="left" vertical="center" wrapText="1"/>
    </xf>
    <xf numFmtId="176" fontId="2" fillId="0" borderId="45" xfId="0" applyNumberFormat="1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3" fillId="3" borderId="45" xfId="0" applyFont="1" applyFill="1" applyBorder="1" applyAlignment="1">
      <alignment horizontal="left" vertical="center" wrapText="1"/>
    </xf>
    <xf numFmtId="177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FF66FF"/>
      <color rgb="FFFFCCFF"/>
      <color rgb="FF8FE2FF"/>
      <color rgb="FFFFE1FF"/>
      <color rgb="FFFFC1FF"/>
      <color rgb="FF00FFFF"/>
      <color rgb="FFCCFF66"/>
      <color rgb="FFCCFFFF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32084</xdr:colOff>
      <xdr:row>10</xdr:row>
      <xdr:rowOff>16043</xdr:rowOff>
    </xdr:from>
    <xdr:to>
      <xdr:col>55</xdr:col>
      <xdr:colOff>104084</xdr:colOff>
      <xdr:row>10</xdr:row>
      <xdr:rowOff>209875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BDBAFF9C-C1CF-4A53-AD4B-1314C7C1DDCC}"/>
            </a:ext>
          </a:extLst>
        </xdr:cNvPr>
        <xdr:cNvGrpSpPr/>
      </xdr:nvGrpSpPr>
      <xdr:grpSpPr>
        <a:xfrm>
          <a:off x="27166428" y="2159168"/>
          <a:ext cx="72000" cy="193832"/>
          <a:chOff x="8889969" y="717550"/>
          <a:chExt cx="95415" cy="260350"/>
        </a:xfrm>
      </xdr:grpSpPr>
      <xdr:sp macro="" textlink="">
        <xdr:nvSpPr>
          <xdr:cNvPr id="85" name="자유형: 도형 84">
            <a:extLst>
              <a:ext uri="{FF2B5EF4-FFF2-40B4-BE49-F238E27FC236}">
                <a16:creationId xmlns:a16="http://schemas.microsoft.com/office/drawing/2014/main" id="{8AB49A11-521E-362B-1B49-D07B3183F22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F73E19BC-2E50-4166-40F0-E2308C91215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12</xdr:row>
      <xdr:rowOff>40107</xdr:rowOff>
    </xdr:from>
    <xdr:to>
      <xdr:col>55</xdr:col>
      <xdr:colOff>104084</xdr:colOff>
      <xdr:row>13</xdr:row>
      <xdr:rowOff>1328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B2FE4736-7F5E-4A29-A6B8-DEC0CDC47836}"/>
            </a:ext>
          </a:extLst>
        </xdr:cNvPr>
        <xdr:cNvGrpSpPr/>
      </xdr:nvGrpSpPr>
      <xdr:grpSpPr>
        <a:xfrm>
          <a:off x="27166428" y="2623763"/>
          <a:ext cx="72000" cy="199346"/>
          <a:chOff x="8889969" y="717550"/>
          <a:chExt cx="95415" cy="260350"/>
        </a:xfrm>
      </xdr:grpSpPr>
      <xdr:sp macro="" textlink="">
        <xdr:nvSpPr>
          <xdr:cNvPr id="88" name="자유형: 도형 87">
            <a:extLst>
              <a:ext uri="{FF2B5EF4-FFF2-40B4-BE49-F238E27FC236}">
                <a16:creationId xmlns:a16="http://schemas.microsoft.com/office/drawing/2014/main" id="{1B6C7D42-A9D8-BC0F-9FFF-F1AEFBA7894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자유형: 도형 88">
            <a:extLst>
              <a:ext uri="{FF2B5EF4-FFF2-40B4-BE49-F238E27FC236}">
                <a16:creationId xmlns:a16="http://schemas.microsoft.com/office/drawing/2014/main" id="{502CA1DE-364F-0C78-8BA9-FCF5D523C26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14</xdr:row>
      <xdr:rowOff>48128</xdr:rowOff>
    </xdr:from>
    <xdr:to>
      <xdr:col>55</xdr:col>
      <xdr:colOff>96063</xdr:colOff>
      <xdr:row>15</xdr:row>
      <xdr:rowOff>9349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3E573AD4-DC0A-4800-A9DF-D65BAAE98925}"/>
            </a:ext>
          </a:extLst>
        </xdr:cNvPr>
        <xdr:cNvGrpSpPr/>
      </xdr:nvGrpSpPr>
      <xdr:grpSpPr>
        <a:xfrm>
          <a:off x="27158407" y="3084222"/>
          <a:ext cx="72000" cy="199346"/>
          <a:chOff x="8889969" y="717550"/>
          <a:chExt cx="95415" cy="260350"/>
        </a:xfrm>
      </xdr:grpSpPr>
      <xdr:sp macro="" textlink="">
        <xdr:nvSpPr>
          <xdr:cNvPr id="91" name="자유형: 도형 90">
            <a:extLst>
              <a:ext uri="{FF2B5EF4-FFF2-40B4-BE49-F238E27FC236}">
                <a16:creationId xmlns:a16="http://schemas.microsoft.com/office/drawing/2014/main" id="{CC6326E5-028A-7BB8-F2A8-4A48011719B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자유형: 도형 91">
            <a:extLst>
              <a:ext uri="{FF2B5EF4-FFF2-40B4-BE49-F238E27FC236}">
                <a16:creationId xmlns:a16="http://schemas.microsoft.com/office/drawing/2014/main" id="{83DC5B3D-96CC-7D8F-6421-4A09EA6D519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16</xdr:row>
      <xdr:rowOff>32086</xdr:rowOff>
    </xdr:from>
    <xdr:to>
      <xdr:col>55</xdr:col>
      <xdr:colOff>104084</xdr:colOff>
      <xdr:row>17</xdr:row>
      <xdr:rowOff>1328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4125CDB3-7531-4FFA-A1C3-B2231ED72C49}"/>
            </a:ext>
          </a:extLst>
        </xdr:cNvPr>
        <xdr:cNvGrpSpPr/>
      </xdr:nvGrpSpPr>
      <xdr:grpSpPr>
        <a:xfrm>
          <a:off x="27166428" y="3520617"/>
          <a:ext cx="72000" cy="195461"/>
          <a:chOff x="8889969" y="717550"/>
          <a:chExt cx="95415" cy="260350"/>
        </a:xfrm>
      </xdr:grpSpPr>
      <xdr:sp macro="" textlink="">
        <xdr:nvSpPr>
          <xdr:cNvPr id="94" name="자유형: 도형 93">
            <a:extLst>
              <a:ext uri="{FF2B5EF4-FFF2-40B4-BE49-F238E27FC236}">
                <a16:creationId xmlns:a16="http://schemas.microsoft.com/office/drawing/2014/main" id="{A08E0222-7B26-CB8A-876E-227300C916A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자유형: 도형 94">
            <a:extLst>
              <a:ext uri="{FF2B5EF4-FFF2-40B4-BE49-F238E27FC236}">
                <a16:creationId xmlns:a16="http://schemas.microsoft.com/office/drawing/2014/main" id="{B148F5AF-26F6-4819-5897-F40EF80FC7F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18</xdr:row>
      <xdr:rowOff>24065</xdr:rowOff>
    </xdr:from>
    <xdr:to>
      <xdr:col>55</xdr:col>
      <xdr:colOff>96063</xdr:colOff>
      <xdr:row>18</xdr:row>
      <xdr:rowOff>217897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343C0FB5-637C-4680-BB45-0F4D8DC20C9D}"/>
            </a:ext>
          </a:extLst>
        </xdr:cNvPr>
        <xdr:cNvGrpSpPr/>
      </xdr:nvGrpSpPr>
      <xdr:grpSpPr>
        <a:xfrm>
          <a:off x="27158407" y="3953128"/>
          <a:ext cx="72000" cy="193832"/>
          <a:chOff x="8889969" y="717550"/>
          <a:chExt cx="95415" cy="260350"/>
        </a:xfrm>
      </xdr:grpSpPr>
      <xdr:sp macro="" textlink="">
        <xdr:nvSpPr>
          <xdr:cNvPr id="97" name="자유형: 도형 96">
            <a:extLst>
              <a:ext uri="{FF2B5EF4-FFF2-40B4-BE49-F238E27FC236}">
                <a16:creationId xmlns:a16="http://schemas.microsoft.com/office/drawing/2014/main" id="{D82C98F7-90FE-EF95-D729-230C2D3D502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자유형: 도형 97">
            <a:extLst>
              <a:ext uri="{FF2B5EF4-FFF2-40B4-BE49-F238E27FC236}">
                <a16:creationId xmlns:a16="http://schemas.microsoft.com/office/drawing/2014/main" id="{8F837EA2-E6ED-6C95-F519-F6F5F0E78AB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10</xdr:row>
      <xdr:rowOff>25400</xdr:rowOff>
    </xdr:from>
    <xdr:to>
      <xdr:col>63</xdr:col>
      <xdr:colOff>102748</xdr:colOff>
      <xdr:row>10</xdr:row>
      <xdr:rowOff>208538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CEF33D0B-8186-47C0-8B44-D03D7A3E4690}"/>
            </a:ext>
          </a:extLst>
        </xdr:cNvPr>
        <xdr:cNvGrpSpPr/>
      </xdr:nvGrpSpPr>
      <xdr:grpSpPr>
        <a:xfrm>
          <a:off x="30986998" y="2168525"/>
          <a:ext cx="72000" cy="183138"/>
          <a:chOff x="8889969" y="717550"/>
          <a:chExt cx="95415" cy="260350"/>
        </a:xfrm>
      </xdr:grpSpPr>
      <xdr:sp macro="" textlink="">
        <xdr:nvSpPr>
          <xdr:cNvPr id="100" name="자유형: 도형 99">
            <a:extLst>
              <a:ext uri="{FF2B5EF4-FFF2-40B4-BE49-F238E27FC236}">
                <a16:creationId xmlns:a16="http://schemas.microsoft.com/office/drawing/2014/main" id="{0D076EE1-19A5-C232-8F80-E9E8E681B13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1" name="자유형: 도형 100">
            <a:extLst>
              <a:ext uri="{FF2B5EF4-FFF2-40B4-BE49-F238E27FC236}">
                <a16:creationId xmlns:a16="http://schemas.microsoft.com/office/drawing/2014/main" id="{64B0D859-C855-5882-1C23-A2E93F22F24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12</xdr:row>
      <xdr:rowOff>49464</xdr:rowOff>
    </xdr:from>
    <xdr:to>
      <xdr:col>63</xdr:col>
      <xdr:colOff>102748</xdr:colOff>
      <xdr:row>13</xdr:row>
      <xdr:rowOff>10685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677387D3-0AB4-41CF-9705-25531AF96187}"/>
            </a:ext>
          </a:extLst>
        </xdr:cNvPr>
        <xdr:cNvGrpSpPr/>
      </xdr:nvGrpSpPr>
      <xdr:grpSpPr>
        <a:xfrm>
          <a:off x="30986998" y="2633120"/>
          <a:ext cx="72000" cy="199346"/>
          <a:chOff x="8889969" y="717550"/>
          <a:chExt cx="95415" cy="260350"/>
        </a:xfrm>
      </xdr:grpSpPr>
      <xdr:sp macro="" textlink="">
        <xdr:nvSpPr>
          <xdr:cNvPr id="103" name="자유형: 도형 102">
            <a:extLst>
              <a:ext uri="{FF2B5EF4-FFF2-40B4-BE49-F238E27FC236}">
                <a16:creationId xmlns:a16="http://schemas.microsoft.com/office/drawing/2014/main" id="{E63F1966-3173-C004-3CEE-55BBDD9B328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자유형: 도형 103">
            <a:extLst>
              <a:ext uri="{FF2B5EF4-FFF2-40B4-BE49-F238E27FC236}">
                <a16:creationId xmlns:a16="http://schemas.microsoft.com/office/drawing/2014/main" id="{684F9814-9A6D-DA1E-263E-19B09BEDB26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14</xdr:row>
      <xdr:rowOff>57485</xdr:rowOff>
    </xdr:from>
    <xdr:to>
      <xdr:col>63</xdr:col>
      <xdr:colOff>94727</xdr:colOff>
      <xdr:row>15</xdr:row>
      <xdr:rowOff>18706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0B35AAAC-5DF1-4734-B653-E5796EC3C5AB}"/>
            </a:ext>
          </a:extLst>
        </xdr:cNvPr>
        <xdr:cNvGrpSpPr/>
      </xdr:nvGrpSpPr>
      <xdr:grpSpPr>
        <a:xfrm>
          <a:off x="30978977" y="3093579"/>
          <a:ext cx="72000" cy="199346"/>
          <a:chOff x="8889969" y="717550"/>
          <a:chExt cx="95415" cy="260350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59EF2809-F1A4-89D9-AF0B-05482D0808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EDA3505-D41B-66C0-4F38-DFF5EC97B57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16</xdr:row>
      <xdr:rowOff>41443</xdr:rowOff>
    </xdr:from>
    <xdr:to>
      <xdr:col>63</xdr:col>
      <xdr:colOff>102748</xdr:colOff>
      <xdr:row>17</xdr:row>
      <xdr:rowOff>10685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780516B2-C825-4342-9738-530D1C6218A7}"/>
            </a:ext>
          </a:extLst>
        </xdr:cNvPr>
        <xdr:cNvGrpSpPr/>
      </xdr:nvGrpSpPr>
      <xdr:grpSpPr>
        <a:xfrm>
          <a:off x="30986998" y="3529974"/>
          <a:ext cx="72000" cy="195461"/>
          <a:chOff x="8889969" y="717550"/>
          <a:chExt cx="95415" cy="260350"/>
        </a:xfrm>
      </xdr:grpSpPr>
      <xdr:sp macro="" textlink="">
        <xdr:nvSpPr>
          <xdr:cNvPr id="109" name="자유형: 도형 108">
            <a:extLst>
              <a:ext uri="{FF2B5EF4-FFF2-40B4-BE49-F238E27FC236}">
                <a16:creationId xmlns:a16="http://schemas.microsoft.com/office/drawing/2014/main" id="{FB46501A-42AB-ED28-5202-6083896BD9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자유형: 도형 109">
            <a:extLst>
              <a:ext uri="{FF2B5EF4-FFF2-40B4-BE49-F238E27FC236}">
                <a16:creationId xmlns:a16="http://schemas.microsoft.com/office/drawing/2014/main" id="{90C032A3-88E7-5E19-D937-9FACC5BEC8F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18</xdr:row>
      <xdr:rowOff>33422</xdr:rowOff>
    </xdr:from>
    <xdr:to>
      <xdr:col>63</xdr:col>
      <xdr:colOff>94727</xdr:colOff>
      <xdr:row>18</xdr:row>
      <xdr:rowOff>215222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78FE7ADC-EB5F-4B33-99F8-E7434F021D52}"/>
            </a:ext>
          </a:extLst>
        </xdr:cNvPr>
        <xdr:cNvGrpSpPr/>
      </xdr:nvGrpSpPr>
      <xdr:grpSpPr>
        <a:xfrm>
          <a:off x="30978977" y="3962485"/>
          <a:ext cx="72000" cy="181800"/>
          <a:chOff x="8889969" y="717550"/>
          <a:chExt cx="95415" cy="260350"/>
        </a:xfrm>
      </xdr:grpSpPr>
      <xdr:sp macro="" textlink="">
        <xdr:nvSpPr>
          <xdr:cNvPr id="112" name="자유형: 도형 111">
            <a:extLst>
              <a:ext uri="{FF2B5EF4-FFF2-40B4-BE49-F238E27FC236}">
                <a16:creationId xmlns:a16="http://schemas.microsoft.com/office/drawing/2014/main" id="{18B24E0E-BFD0-C37D-C03C-745D0EF7FE1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D3CEE666-323C-F8AA-4AF5-19A7AE8D1D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10</xdr:row>
      <xdr:rowOff>40106</xdr:rowOff>
    </xdr:from>
    <xdr:to>
      <xdr:col>41</xdr:col>
      <xdr:colOff>112106</xdr:colOff>
      <xdr:row>11</xdr:row>
      <xdr:rowOff>9349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9B5AE76F-AFA1-4442-B9EF-DA5C37E92139}"/>
            </a:ext>
          </a:extLst>
        </xdr:cNvPr>
        <xdr:cNvGrpSpPr/>
      </xdr:nvGrpSpPr>
      <xdr:grpSpPr>
        <a:xfrm>
          <a:off x="19744950" y="2183231"/>
          <a:ext cx="72000" cy="195462"/>
          <a:chOff x="8889969" y="717550"/>
          <a:chExt cx="95415" cy="260350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A0B300F-DB5F-3682-B4B0-CC168FBF379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C30FD2CC-63BE-AD0C-468A-5B85904D405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12</xdr:row>
      <xdr:rowOff>64170</xdr:rowOff>
    </xdr:from>
    <xdr:to>
      <xdr:col>41</xdr:col>
      <xdr:colOff>112106</xdr:colOff>
      <xdr:row>13</xdr:row>
      <xdr:rowOff>25391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100F255D-03B1-44F6-BFB5-4E101821AA43}"/>
            </a:ext>
          </a:extLst>
        </xdr:cNvPr>
        <xdr:cNvGrpSpPr/>
      </xdr:nvGrpSpPr>
      <xdr:grpSpPr>
        <a:xfrm>
          <a:off x="19744950" y="2647826"/>
          <a:ext cx="72000" cy="199346"/>
          <a:chOff x="8889969" y="717550"/>
          <a:chExt cx="95415" cy="260350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C57A83D5-A4AC-0056-1AC1-FB86559B557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0AFCAA04-9649-363B-751F-03145B4506C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14</xdr:row>
      <xdr:rowOff>72191</xdr:rowOff>
    </xdr:from>
    <xdr:to>
      <xdr:col>41</xdr:col>
      <xdr:colOff>104085</xdr:colOff>
      <xdr:row>15</xdr:row>
      <xdr:rowOff>33412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DEB64EA2-7ECD-4B21-BB09-75DD04AEF213}"/>
            </a:ext>
          </a:extLst>
        </xdr:cNvPr>
        <xdr:cNvGrpSpPr/>
      </xdr:nvGrpSpPr>
      <xdr:grpSpPr>
        <a:xfrm>
          <a:off x="19736929" y="3108285"/>
          <a:ext cx="72000" cy="199346"/>
          <a:chOff x="8889969" y="717550"/>
          <a:chExt cx="95415" cy="260350"/>
        </a:xfrm>
      </xdr:grpSpPr>
      <xdr:sp macro="" textlink="">
        <xdr:nvSpPr>
          <xdr:cNvPr id="121" name="자유형: 도형 120">
            <a:extLst>
              <a:ext uri="{FF2B5EF4-FFF2-40B4-BE49-F238E27FC236}">
                <a16:creationId xmlns:a16="http://schemas.microsoft.com/office/drawing/2014/main" id="{E0C509B8-BA81-D03E-E516-68EE283ADBC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10E519A0-F016-6988-5245-01E2EB9A796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16</xdr:row>
      <xdr:rowOff>56149</xdr:rowOff>
    </xdr:from>
    <xdr:to>
      <xdr:col>41</xdr:col>
      <xdr:colOff>112106</xdr:colOff>
      <xdr:row>17</xdr:row>
      <xdr:rowOff>25391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88B27361-F245-431D-88F2-1C0D41D38536}"/>
            </a:ext>
          </a:extLst>
        </xdr:cNvPr>
        <xdr:cNvGrpSpPr/>
      </xdr:nvGrpSpPr>
      <xdr:grpSpPr>
        <a:xfrm>
          <a:off x="19744950" y="3544680"/>
          <a:ext cx="72000" cy="195461"/>
          <a:chOff x="8889969" y="717550"/>
          <a:chExt cx="95415" cy="260350"/>
        </a:xfrm>
      </xdr:grpSpPr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F8A9FF0C-6806-0818-ACC8-4907EE320150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자유형: 도형 124">
            <a:extLst>
              <a:ext uri="{FF2B5EF4-FFF2-40B4-BE49-F238E27FC236}">
                <a16:creationId xmlns:a16="http://schemas.microsoft.com/office/drawing/2014/main" id="{59D4279B-070E-9246-1039-2742B08A6C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18</xdr:row>
      <xdr:rowOff>48128</xdr:rowOff>
    </xdr:from>
    <xdr:to>
      <xdr:col>41</xdr:col>
      <xdr:colOff>104085</xdr:colOff>
      <xdr:row>19</xdr:row>
      <xdr:rowOff>9349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C8FA510C-E350-4179-99AC-6971012AE9E9}"/>
            </a:ext>
          </a:extLst>
        </xdr:cNvPr>
        <xdr:cNvGrpSpPr/>
      </xdr:nvGrpSpPr>
      <xdr:grpSpPr>
        <a:xfrm>
          <a:off x="19736929" y="3977191"/>
          <a:ext cx="72000" cy="199346"/>
          <a:chOff x="8889969" y="717550"/>
          <a:chExt cx="95415" cy="260350"/>
        </a:xfrm>
      </xdr:grpSpPr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537F42F4-C771-8374-109C-CC13185CA43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8" name="자유형: 도형 127">
            <a:extLst>
              <a:ext uri="{FF2B5EF4-FFF2-40B4-BE49-F238E27FC236}">
                <a16:creationId xmlns:a16="http://schemas.microsoft.com/office/drawing/2014/main" id="{DFCDBB47-AEAF-F463-4E20-5316EA40554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49</xdr:col>
      <xdr:colOff>647033</xdr:colOff>
      <xdr:row>7</xdr:row>
      <xdr:rowOff>204536</xdr:rowOff>
    </xdr:from>
    <xdr:to>
      <xdr:col>66</xdr:col>
      <xdr:colOff>20053</xdr:colOff>
      <xdr:row>7</xdr:row>
      <xdr:rowOff>204536</xdr:rowOff>
    </xdr:to>
    <xdr:cxnSp macro="">
      <xdr:nvCxnSpPr>
        <xdr:cNvPr id="130" name="직선 화살표 연결선 129">
          <a:extLst>
            <a:ext uri="{FF2B5EF4-FFF2-40B4-BE49-F238E27FC236}">
              <a16:creationId xmlns:a16="http://schemas.microsoft.com/office/drawing/2014/main" id="{DA5C5930-9A15-5579-BF81-6E8957B30464}"/>
            </a:ext>
          </a:extLst>
        </xdr:cNvPr>
        <xdr:cNvCxnSpPr/>
      </xdr:nvCxnSpPr>
      <xdr:spPr>
        <a:xfrm>
          <a:off x="25345191" y="1721852"/>
          <a:ext cx="772828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40106</xdr:colOff>
      <xdr:row>24</xdr:row>
      <xdr:rowOff>40106</xdr:rowOff>
    </xdr:from>
    <xdr:to>
      <xdr:col>41</xdr:col>
      <xdr:colOff>112106</xdr:colOff>
      <xdr:row>25</xdr:row>
      <xdr:rowOff>9349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97BA4A3C-AAD7-4B21-A38D-BFC3756EA256}"/>
            </a:ext>
          </a:extLst>
        </xdr:cNvPr>
        <xdr:cNvGrpSpPr/>
      </xdr:nvGrpSpPr>
      <xdr:grpSpPr>
        <a:xfrm>
          <a:off x="19744950" y="5278856"/>
          <a:ext cx="72000" cy="207368"/>
          <a:chOff x="8889969" y="717550"/>
          <a:chExt cx="95415" cy="260350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15A3C26B-C6E2-45D5-3C81-ED95F5E16F6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자유형: 도형 134">
            <a:extLst>
              <a:ext uri="{FF2B5EF4-FFF2-40B4-BE49-F238E27FC236}">
                <a16:creationId xmlns:a16="http://schemas.microsoft.com/office/drawing/2014/main" id="{1A3B4C9A-5481-BF4D-7B36-D6117D32475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26</xdr:row>
      <xdr:rowOff>64170</xdr:rowOff>
    </xdr:from>
    <xdr:to>
      <xdr:col>41</xdr:col>
      <xdr:colOff>112106</xdr:colOff>
      <xdr:row>27</xdr:row>
      <xdr:rowOff>25391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3DBA3F7-B391-4BF7-A09F-0454B919B8F1}"/>
            </a:ext>
          </a:extLst>
        </xdr:cNvPr>
        <xdr:cNvGrpSpPr/>
      </xdr:nvGrpSpPr>
      <xdr:grpSpPr>
        <a:xfrm>
          <a:off x="19744950" y="5755358"/>
          <a:ext cx="72000" cy="199346"/>
          <a:chOff x="8889969" y="717550"/>
          <a:chExt cx="95415" cy="260350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F01B0BC8-5172-BBBA-C0F1-211D0AB78E4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B3A7567E-9FB4-9FC3-2544-6B34E1B58F4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28</xdr:row>
      <xdr:rowOff>72191</xdr:rowOff>
    </xdr:from>
    <xdr:to>
      <xdr:col>41</xdr:col>
      <xdr:colOff>104085</xdr:colOff>
      <xdr:row>29</xdr:row>
      <xdr:rowOff>33412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54992F61-3CB3-4582-B4DB-4EA3C244A174}"/>
            </a:ext>
          </a:extLst>
        </xdr:cNvPr>
        <xdr:cNvGrpSpPr/>
      </xdr:nvGrpSpPr>
      <xdr:grpSpPr>
        <a:xfrm>
          <a:off x="19736929" y="6215816"/>
          <a:ext cx="72000" cy="187440"/>
          <a:chOff x="8889969" y="717550"/>
          <a:chExt cx="95415" cy="260350"/>
        </a:xfrm>
      </xdr:grpSpPr>
      <xdr:sp macro="" textlink="">
        <xdr:nvSpPr>
          <xdr:cNvPr id="140" name="자유형: 도형 139">
            <a:extLst>
              <a:ext uri="{FF2B5EF4-FFF2-40B4-BE49-F238E27FC236}">
                <a16:creationId xmlns:a16="http://schemas.microsoft.com/office/drawing/2014/main" id="{2E62BF14-79C7-D887-8E9C-9F46E1523A8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1" name="자유형: 도형 140">
            <a:extLst>
              <a:ext uri="{FF2B5EF4-FFF2-40B4-BE49-F238E27FC236}">
                <a16:creationId xmlns:a16="http://schemas.microsoft.com/office/drawing/2014/main" id="{38930777-B000-CBCB-A1EB-3725243396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40106</xdr:colOff>
      <xdr:row>30</xdr:row>
      <xdr:rowOff>56149</xdr:rowOff>
    </xdr:from>
    <xdr:to>
      <xdr:col>41</xdr:col>
      <xdr:colOff>112106</xdr:colOff>
      <xdr:row>31</xdr:row>
      <xdr:rowOff>25391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F9AEBA8F-BF6B-49CB-AFB4-F1D8E7188838}"/>
            </a:ext>
          </a:extLst>
        </xdr:cNvPr>
        <xdr:cNvGrpSpPr/>
      </xdr:nvGrpSpPr>
      <xdr:grpSpPr>
        <a:xfrm>
          <a:off x="19744950" y="6640305"/>
          <a:ext cx="72000" cy="207367"/>
          <a:chOff x="8889969" y="717550"/>
          <a:chExt cx="95415" cy="260350"/>
        </a:xfrm>
      </xdr:grpSpPr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4EDB4603-67E8-93A0-3E9D-138E9A7FB54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4" name="자유형: 도형 143">
            <a:extLst>
              <a:ext uri="{FF2B5EF4-FFF2-40B4-BE49-F238E27FC236}">
                <a16:creationId xmlns:a16="http://schemas.microsoft.com/office/drawing/2014/main" id="{B063D353-828D-9339-A93B-EE9F12DEC4A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32085</xdr:colOff>
      <xdr:row>32</xdr:row>
      <xdr:rowOff>48128</xdr:rowOff>
    </xdr:from>
    <xdr:to>
      <xdr:col>41</xdr:col>
      <xdr:colOff>104085</xdr:colOff>
      <xdr:row>33</xdr:row>
      <xdr:rowOff>9349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EE6CB312-D122-4487-8700-A6A7CBB3BC2D}"/>
            </a:ext>
          </a:extLst>
        </xdr:cNvPr>
        <xdr:cNvGrpSpPr/>
      </xdr:nvGrpSpPr>
      <xdr:grpSpPr>
        <a:xfrm>
          <a:off x="19736929" y="7084722"/>
          <a:ext cx="72000" cy="199346"/>
          <a:chOff x="8889969" y="717550"/>
          <a:chExt cx="95415" cy="260350"/>
        </a:xfrm>
      </xdr:grpSpPr>
      <xdr:sp macro="" textlink="">
        <xdr:nvSpPr>
          <xdr:cNvPr id="146" name="자유형: 도형 145">
            <a:extLst>
              <a:ext uri="{FF2B5EF4-FFF2-40B4-BE49-F238E27FC236}">
                <a16:creationId xmlns:a16="http://schemas.microsoft.com/office/drawing/2014/main" id="{79BD99E8-7BA2-1C41-5681-15061881C7D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7" name="자유형: 도형 146">
            <a:extLst>
              <a:ext uri="{FF2B5EF4-FFF2-40B4-BE49-F238E27FC236}">
                <a16:creationId xmlns:a16="http://schemas.microsoft.com/office/drawing/2014/main" id="{25993952-1F9E-4CC4-9AD9-294E4B955FA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40</xdr:row>
      <xdr:rowOff>28892</xdr:rowOff>
    </xdr:from>
    <xdr:to>
      <xdr:col>35</xdr:col>
      <xdr:colOff>140329</xdr:colOff>
      <xdr:row>40</xdr:row>
      <xdr:rowOff>208835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95C3A3C7-33B7-4905-8010-24B8C3BD30A8}"/>
            </a:ext>
          </a:extLst>
        </xdr:cNvPr>
        <xdr:cNvGrpSpPr/>
      </xdr:nvGrpSpPr>
      <xdr:grpSpPr>
        <a:xfrm>
          <a:off x="16963298" y="8815705"/>
          <a:ext cx="72000" cy="179943"/>
          <a:chOff x="8889969" y="717550"/>
          <a:chExt cx="95415" cy="260350"/>
        </a:xfrm>
      </xdr:grpSpPr>
      <xdr:sp macro="" textlink="">
        <xdr:nvSpPr>
          <xdr:cNvPr id="152" name="자유형: 도형 151">
            <a:extLst>
              <a:ext uri="{FF2B5EF4-FFF2-40B4-BE49-F238E27FC236}">
                <a16:creationId xmlns:a16="http://schemas.microsoft.com/office/drawing/2014/main" id="{A1B38C3D-08BE-D030-3C4D-B4CAAEB336A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6B81FAEA-0243-7423-DA30-DA442098F35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42</xdr:row>
      <xdr:rowOff>36913</xdr:rowOff>
    </xdr:from>
    <xdr:to>
      <xdr:col>35</xdr:col>
      <xdr:colOff>132308</xdr:colOff>
      <xdr:row>42</xdr:row>
      <xdr:rowOff>216856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79F2DE5B-1ED7-4AA5-A817-02D44DBA73BB}"/>
            </a:ext>
          </a:extLst>
        </xdr:cNvPr>
        <xdr:cNvGrpSpPr/>
      </xdr:nvGrpSpPr>
      <xdr:grpSpPr>
        <a:xfrm>
          <a:off x="16955277" y="9264257"/>
          <a:ext cx="72000" cy="179943"/>
          <a:chOff x="8889969" y="717550"/>
          <a:chExt cx="95415" cy="260350"/>
        </a:xfrm>
      </xdr:grpSpPr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4A350B9-D4E4-9A22-6729-2B8EE10E3A27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6" name="자유형: 도형 155">
            <a:extLst>
              <a:ext uri="{FF2B5EF4-FFF2-40B4-BE49-F238E27FC236}">
                <a16:creationId xmlns:a16="http://schemas.microsoft.com/office/drawing/2014/main" id="{7C8FE990-3315-72CA-E730-18A239F423E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68329</xdr:colOff>
      <xdr:row>44</xdr:row>
      <xdr:rowOff>20871</xdr:rowOff>
    </xdr:from>
    <xdr:to>
      <xdr:col>35</xdr:col>
      <xdr:colOff>140329</xdr:colOff>
      <xdr:row>44</xdr:row>
      <xdr:rowOff>208835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6E8C0145-4B1B-4311-9748-58AAFECDCD6A}"/>
            </a:ext>
          </a:extLst>
        </xdr:cNvPr>
        <xdr:cNvGrpSpPr/>
      </xdr:nvGrpSpPr>
      <xdr:grpSpPr>
        <a:xfrm>
          <a:off x="16963298" y="9688746"/>
          <a:ext cx="72000" cy="187964"/>
          <a:chOff x="8889969" y="717550"/>
          <a:chExt cx="95415" cy="260350"/>
        </a:xfrm>
      </xdr:grpSpPr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42EA29F1-6903-E6D7-E55C-F69C3A20A553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9" name="자유형: 도형 158">
            <a:extLst>
              <a:ext uri="{FF2B5EF4-FFF2-40B4-BE49-F238E27FC236}">
                <a16:creationId xmlns:a16="http://schemas.microsoft.com/office/drawing/2014/main" id="{CF847A5D-755B-60DD-FF25-AB87A72D44CF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60308</xdr:colOff>
      <xdr:row>46</xdr:row>
      <xdr:rowOff>12850</xdr:rowOff>
    </xdr:from>
    <xdr:to>
      <xdr:col>35</xdr:col>
      <xdr:colOff>132308</xdr:colOff>
      <xdr:row>46</xdr:row>
      <xdr:rowOff>192793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2352893C-DDBA-452A-BEA3-A1C7936B69C1}"/>
            </a:ext>
          </a:extLst>
        </xdr:cNvPr>
        <xdr:cNvGrpSpPr/>
      </xdr:nvGrpSpPr>
      <xdr:grpSpPr>
        <a:xfrm>
          <a:off x="16955277" y="10121256"/>
          <a:ext cx="72000" cy="179943"/>
          <a:chOff x="8889969" y="717550"/>
          <a:chExt cx="95415" cy="260350"/>
        </a:xfrm>
      </xdr:grpSpPr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6DA8A935-6720-A515-97A8-9D1895204A1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자유형: 도형 161">
            <a:extLst>
              <a:ext uri="{FF2B5EF4-FFF2-40B4-BE49-F238E27FC236}">
                <a16:creationId xmlns:a16="http://schemas.microsoft.com/office/drawing/2014/main" id="{CBA316CE-A477-EDC8-B1AE-06BF454351F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10</xdr:row>
      <xdr:rowOff>24064</xdr:rowOff>
    </xdr:from>
    <xdr:to>
      <xdr:col>73</xdr:col>
      <xdr:colOff>96064</xdr:colOff>
      <xdr:row>10</xdr:row>
      <xdr:rowOff>217896</xdr:rowOff>
    </xdr:to>
    <xdr:grpSp>
      <xdr:nvGrpSpPr>
        <xdr:cNvPr id="247" name="그룹 246">
          <a:extLst>
            <a:ext uri="{FF2B5EF4-FFF2-40B4-BE49-F238E27FC236}">
              <a16:creationId xmlns:a16="http://schemas.microsoft.com/office/drawing/2014/main" id="{91349986-D5CA-416F-825E-73C1A571FAA6}"/>
            </a:ext>
          </a:extLst>
        </xdr:cNvPr>
        <xdr:cNvGrpSpPr/>
      </xdr:nvGrpSpPr>
      <xdr:grpSpPr>
        <a:xfrm>
          <a:off x="36171439" y="2167189"/>
          <a:ext cx="72000" cy="193832"/>
          <a:chOff x="8889969" y="717550"/>
          <a:chExt cx="95415" cy="260350"/>
        </a:xfrm>
      </xdr:grpSpPr>
      <xdr:sp macro="" textlink="">
        <xdr:nvSpPr>
          <xdr:cNvPr id="248" name="자유형: 도형 247">
            <a:extLst>
              <a:ext uri="{FF2B5EF4-FFF2-40B4-BE49-F238E27FC236}">
                <a16:creationId xmlns:a16="http://schemas.microsoft.com/office/drawing/2014/main" id="{FED2514D-B096-0599-DAB2-FC7E27E2370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9" name="자유형: 도형 248">
            <a:extLst>
              <a:ext uri="{FF2B5EF4-FFF2-40B4-BE49-F238E27FC236}">
                <a16:creationId xmlns:a16="http://schemas.microsoft.com/office/drawing/2014/main" id="{EA818C03-C6F3-D35B-E189-75B9223DBBA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12</xdr:row>
      <xdr:rowOff>48128</xdr:rowOff>
    </xdr:from>
    <xdr:to>
      <xdr:col>73</xdr:col>
      <xdr:colOff>96064</xdr:colOff>
      <xdr:row>13</xdr:row>
      <xdr:rowOff>9349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D4835F59-99E3-4978-BCDD-C113D8924170}"/>
            </a:ext>
          </a:extLst>
        </xdr:cNvPr>
        <xdr:cNvGrpSpPr/>
      </xdr:nvGrpSpPr>
      <xdr:grpSpPr>
        <a:xfrm>
          <a:off x="36171439" y="2631784"/>
          <a:ext cx="72000" cy="199346"/>
          <a:chOff x="8889969" y="717550"/>
          <a:chExt cx="95415" cy="260350"/>
        </a:xfrm>
      </xdr:grpSpPr>
      <xdr:sp macro="" textlink="">
        <xdr:nvSpPr>
          <xdr:cNvPr id="251" name="자유형: 도형 250">
            <a:extLst>
              <a:ext uri="{FF2B5EF4-FFF2-40B4-BE49-F238E27FC236}">
                <a16:creationId xmlns:a16="http://schemas.microsoft.com/office/drawing/2014/main" id="{DE89698C-19AA-BC4D-DEFE-2967676719B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95A11E08-77DD-D42E-2B72-FB611E759D3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14</xdr:row>
      <xdr:rowOff>56149</xdr:rowOff>
    </xdr:from>
    <xdr:to>
      <xdr:col>73</xdr:col>
      <xdr:colOff>88043</xdr:colOff>
      <xdr:row>15</xdr:row>
      <xdr:rowOff>17370</xdr:rowOff>
    </xdr:to>
    <xdr:grpSp>
      <xdr:nvGrpSpPr>
        <xdr:cNvPr id="253" name="그룹 252">
          <a:extLst>
            <a:ext uri="{FF2B5EF4-FFF2-40B4-BE49-F238E27FC236}">
              <a16:creationId xmlns:a16="http://schemas.microsoft.com/office/drawing/2014/main" id="{86468936-B411-46E5-8732-C5E084039DC3}"/>
            </a:ext>
          </a:extLst>
        </xdr:cNvPr>
        <xdr:cNvGrpSpPr/>
      </xdr:nvGrpSpPr>
      <xdr:grpSpPr>
        <a:xfrm>
          <a:off x="36163418" y="3092243"/>
          <a:ext cx="72000" cy="199346"/>
          <a:chOff x="8889969" y="717550"/>
          <a:chExt cx="95415" cy="260350"/>
        </a:xfrm>
      </xdr:grpSpPr>
      <xdr:sp macro="" textlink="">
        <xdr:nvSpPr>
          <xdr:cNvPr id="254" name="자유형: 도형 253">
            <a:extLst>
              <a:ext uri="{FF2B5EF4-FFF2-40B4-BE49-F238E27FC236}">
                <a16:creationId xmlns:a16="http://schemas.microsoft.com/office/drawing/2014/main" id="{F8599DBF-844F-5EA9-EEB8-D35AB51CCAE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5" name="자유형: 도형 254">
            <a:extLst>
              <a:ext uri="{FF2B5EF4-FFF2-40B4-BE49-F238E27FC236}">
                <a16:creationId xmlns:a16="http://schemas.microsoft.com/office/drawing/2014/main" id="{531E5D89-4D1E-3E1B-E102-B20D7CE2C63C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24064</xdr:colOff>
      <xdr:row>16</xdr:row>
      <xdr:rowOff>40107</xdr:rowOff>
    </xdr:from>
    <xdr:to>
      <xdr:col>73</xdr:col>
      <xdr:colOff>96064</xdr:colOff>
      <xdr:row>17</xdr:row>
      <xdr:rowOff>9349</xdr:rowOff>
    </xdr:to>
    <xdr:grpSp>
      <xdr:nvGrpSpPr>
        <xdr:cNvPr id="256" name="그룹 255">
          <a:extLst>
            <a:ext uri="{FF2B5EF4-FFF2-40B4-BE49-F238E27FC236}">
              <a16:creationId xmlns:a16="http://schemas.microsoft.com/office/drawing/2014/main" id="{5E734F70-7741-461E-BD4F-D3A26EA53895}"/>
            </a:ext>
          </a:extLst>
        </xdr:cNvPr>
        <xdr:cNvGrpSpPr/>
      </xdr:nvGrpSpPr>
      <xdr:grpSpPr>
        <a:xfrm>
          <a:off x="36171439" y="3528638"/>
          <a:ext cx="72000" cy="195461"/>
          <a:chOff x="8889969" y="717550"/>
          <a:chExt cx="95415" cy="260350"/>
        </a:xfrm>
      </xdr:grpSpPr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9C0CEDD1-3D48-8E87-1470-A4861987626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8" name="자유형: 도형 257">
            <a:extLst>
              <a:ext uri="{FF2B5EF4-FFF2-40B4-BE49-F238E27FC236}">
                <a16:creationId xmlns:a16="http://schemas.microsoft.com/office/drawing/2014/main" id="{EC784183-642E-1CE4-7909-AE6EAD7C40C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16043</xdr:colOff>
      <xdr:row>18</xdr:row>
      <xdr:rowOff>32086</xdr:rowOff>
    </xdr:from>
    <xdr:to>
      <xdr:col>73</xdr:col>
      <xdr:colOff>88043</xdr:colOff>
      <xdr:row>18</xdr:row>
      <xdr:rowOff>225918</xdr:rowOff>
    </xdr:to>
    <xdr:grpSp>
      <xdr:nvGrpSpPr>
        <xdr:cNvPr id="259" name="그룹 258">
          <a:extLst>
            <a:ext uri="{FF2B5EF4-FFF2-40B4-BE49-F238E27FC236}">
              <a16:creationId xmlns:a16="http://schemas.microsoft.com/office/drawing/2014/main" id="{FEDBF8BE-C0A8-4306-A3E0-DFCA01A21B9A}"/>
            </a:ext>
          </a:extLst>
        </xdr:cNvPr>
        <xdr:cNvGrpSpPr/>
      </xdr:nvGrpSpPr>
      <xdr:grpSpPr>
        <a:xfrm>
          <a:off x="36163418" y="3961149"/>
          <a:ext cx="72000" cy="193832"/>
          <a:chOff x="8889969" y="717550"/>
          <a:chExt cx="95415" cy="260350"/>
        </a:xfrm>
      </xdr:grpSpPr>
      <xdr:sp macro="" textlink="">
        <xdr:nvSpPr>
          <xdr:cNvPr id="260" name="자유형: 도형 259">
            <a:extLst>
              <a:ext uri="{FF2B5EF4-FFF2-40B4-BE49-F238E27FC236}">
                <a16:creationId xmlns:a16="http://schemas.microsoft.com/office/drawing/2014/main" id="{5338966F-B0C0-C65C-581A-49A265FCD6C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1" name="자유형: 도형 260">
            <a:extLst>
              <a:ext uri="{FF2B5EF4-FFF2-40B4-BE49-F238E27FC236}">
                <a16:creationId xmlns:a16="http://schemas.microsoft.com/office/drawing/2014/main" id="{B1F0740B-C053-B66E-F3D7-C0803B274E1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24</xdr:row>
      <xdr:rowOff>25400</xdr:rowOff>
    </xdr:from>
    <xdr:to>
      <xdr:col>63</xdr:col>
      <xdr:colOff>102748</xdr:colOff>
      <xdr:row>25</xdr:row>
      <xdr:rowOff>909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C756E1B3-B02C-49C4-9706-905CFB6401A8}"/>
            </a:ext>
          </a:extLst>
        </xdr:cNvPr>
        <xdr:cNvGrpSpPr/>
      </xdr:nvGrpSpPr>
      <xdr:grpSpPr>
        <a:xfrm>
          <a:off x="30986998" y="5264150"/>
          <a:ext cx="72000" cy="213634"/>
          <a:chOff x="8889969" y="717550"/>
          <a:chExt cx="95415" cy="260350"/>
        </a:xfrm>
      </xdr:grpSpPr>
      <xdr:sp macro="" textlink="">
        <xdr:nvSpPr>
          <xdr:cNvPr id="28" name="자유형: 도형 27">
            <a:extLst>
              <a:ext uri="{FF2B5EF4-FFF2-40B4-BE49-F238E27FC236}">
                <a16:creationId xmlns:a16="http://schemas.microsoft.com/office/drawing/2014/main" id="{C47FD119-1732-973D-EAF4-ECC16D34DFF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자유형: 도형 28">
            <a:extLst>
              <a:ext uri="{FF2B5EF4-FFF2-40B4-BE49-F238E27FC236}">
                <a16:creationId xmlns:a16="http://schemas.microsoft.com/office/drawing/2014/main" id="{5667577B-7F87-B51F-7B49-B9512CC0DD4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26</xdr:row>
      <xdr:rowOff>49464</xdr:rowOff>
    </xdr:from>
    <xdr:to>
      <xdr:col>63</xdr:col>
      <xdr:colOff>102748</xdr:colOff>
      <xdr:row>27</xdr:row>
      <xdr:rowOff>10685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471D2254-1BD5-4D44-9432-C166413B49FC}"/>
            </a:ext>
          </a:extLst>
        </xdr:cNvPr>
        <xdr:cNvGrpSpPr/>
      </xdr:nvGrpSpPr>
      <xdr:grpSpPr>
        <a:xfrm>
          <a:off x="30986998" y="5740652"/>
          <a:ext cx="72000" cy="199346"/>
          <a:chOff x="8889969" y="717550"/>
          <a:chExt cx="95415" cy="260350"/>
        </a:xfrm>
      </xdr:grpSpPr>
      <xdr:sp macro="" textlink="">
        <xdr:nvSpPr>
          <xdr:cNvPr id="31" name="자유형: 도형 30">
            <a:extLst>
              <a:ext uri="{FF2B5EF4-FFF2-40B4-BE49-F238E27FC236}">
                <a16:creationId xmlns:a16="http://schemas.microsoft.com/office/drawing/2014/main" id="{D72C224A-27B7-7D03-06E9-5986410070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2724B61A-F0A5-983C-8B25-0901A35D667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28</xdr:row>
      <xdr:rowOff>57485</xdr:rowOff>
    </xdr:from>
    <xdr:to>
      <xdr:col>63</xdr:col>
      <xdr:colOff>94727</xdr:colOff>
      <xdr:row>29</xdr:row>
      <xdr:rowOff>18706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95B0D459-FA77-4A68-AC9A-E2C294A043A3}"/>
            </a:ext>
          </a:extLst>
        </xdr:cNvPr>
        <xdr:cNvGrpSpPr/>
      </xdr:nvGrpSpPr>
      <xdr:grpSpPr>
        <a:xfrm>
          <a:off x="30978977" y="6201110"/>
          <a:ext cx="72000" cy="187440"/>
          <a:chOff x="8889969" y="717550"/>
          <a:chExt cx="95415" cy="260350"/>
        </a:xfrm>
      </xdr:grpSpPr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C4D4A15A-3511-0C6D-EC8A-C6DFB49EFC69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자유형: 도형 34">
            <a:extLst>
              <a:ext uri="{FF2B5EF4-FFF2-40B4-BE49-F238E27FC236}">
                <a16:creationId xmlns:a16="http://schemas.microsoft.com/office/drawing/2014/main" id="{045A2241-7948-4F4C-F675-68E6CBF7C18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30748</xdr:colOff>
      <xdr:row>30</xdr:row>
      <xdr:rowOff>41443</xdr:rowOff>
    </xdr:from>
    <xdr:to>
      <xdr:col>63</xdr:col>
      <xdr:colOff>102748</xdr:colOff>
      <xdr:row>31</xdr:row>
      <xdr:rowOff>10685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C658418-A3E6-42D7-BF95-F2A2992D9D85}"/>
            </a:ext>
          </a:extLst>
        </xdr:cNvPr>
        <xdr:cNvGrpSpPr/>
      </xdr:nvGrpSpPr>
      <xdr:grpSpPr>
        <a:xfrm>
          <a:off x="30986998" y="6625599"/>
          <a:ext cx="72000" cy="207367"/>
          <a:chOff x="8889969" y="717550"/>
          <a:chExt cx="95415" cy="260350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40ED9A7-FDA4-AABB-E6F4-26B9C5E6C2AF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BB80F504-1F98-234D-F7F8-8002E379F3A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63</xdr:col>
      <xdr:colOff>22727</xdr:colOff>
      <xdr:row>32</xdr:row>
      <xdr:rowOff>33422</xdr:rowOff>
    </xdr:from>
    <xdr:to>
      <xdr:col>63</xdr:col>
      <xdr:colOff>94727</xdr:colOff>
      <xdr:row>32</xdr:row>
      <xdr:rowOff>208538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1D15FABB-B5EA-49C3-9F98-FF95C94ABB0A}"/>
            </a:ext>
          </a:extLst>
        </xdr:cNvPr>
        <xdr:cNvGrpSpPr/>
      </xdr:nvGrpSpPr>
      <xdr:grpSpPr>
        <a:xfrm>
          <a:off x="30978977" y="7070016"/>
          <a:ext cx="72000" cy="175116"/>
          <a:chOff x="8889969" y="717550"/>
          <a:chExt cx="95415" cy="260350"/>
        </a:xfrm>
      </xdr:grpSpPr>
      <xdr:sp macro="" textlink="">
        <xdr:nvSpPr>
          <xdr:cNvPr id="41" name="자유형: 도형 40">
            <a:extLst>
              <a:ext uri="{FF2B5EF4-FFF2-40B4-BE49-F238E27FC236}">
                <a16:creationId xmlns:a16="http://schemas.microsoft.com/office/drawing/2014/main" id="{15E21258-6470-6B09-D2AD-03083227E908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6537F9CE-342A-450D-A226-BD20FB3AF0D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51</xdr:col>
      <xdr:colOff>630434</xdr:colOff>
      <xdr:row>8</xdr:row>
      <xdr:rowOff>76736</xdr:rowOff>
    </xdr:from>
    <xdr:ext cx="162352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6BBAC32-1224-40D9-B709-9CDEDEDF5ACE}"/>
            </a:ext>
          </a:extLst>
        </xdr:cNvPr>
        <xdr:cNvSpPr txBox="1"/>
      </xdr:nvSpPr>
      <xdr:spPr>
        <a:xfrm>
          <a:off x="25882267" y="1847680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747290</xdr:colOff>
      <xdr:row>9</xdr:row>
      <xdr:rowOff>62832</xdr:rowOff>
    </xdr:from>
    <xdr:to>
      <xdr:col>57</xdr:col>
      <xdr:colOff>688133</xdr:colOff>
      <xdr:row>9</xdr:row>
      <xdr:rowOff>62832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23E1F180-F8DD-4924-9AF7-C189E64A5B69}"/>
            </a:ext>
          </a:extLst>
        </xdr:cNvPr>
        <xdr:cNvCxnSpPr/>
      </xdr:nvCxnSpPr>
      <xdr:spPr>
        <a:xfrm>
          <a:off x="25935623" y="2053822"/>
          <a:ext cx="309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32084</xdr:colOff>
      <xdr:row>24</xdr:row>
      <xdr:rowOff>16043</xdr:rowOff>
    </xdr:from>
    <xdr:to>
      <xdr:col>55</xdr:col>
      <xdr:colOff>104084</xdr:colOff>
      <xdr:row>24</xdr:row>
      <xdr:rowOff>209875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DD3C4193-AA42-4F44-9E65-34CB7E8AE37C}"/>
            </a:ext>
          </a:extLst>
        </xdr:cNvPr>
        <xdr:cNvGrpSpPr/>
      </xdr:nvGrpSpPr>
      <xdr:grpSpPr>
        <a:xfrm>
          <a:off x="27166428" y="5254793"/>
          <a:ext cx="72000" cy="193832"/>
          <a:chOff x="8889969" y="717550"/>
          <a:chExt cx="95415" cy="260350"/>
        </a:xfrm>
      </xdr:grpSpPr>
      <xdr:sp macro="" textlink="">
        <xdr:nvSpPr>
          <xdr:cNvPr id="60" name="자유형: 도형 59">
            <a:extLst>
              <a:ext uri="{FF2B5EF4-FFF2-40B4-BE49-F238E27FC236}">
                <a16:creationId xmlns:a16="http://schemas.microsoft.com/office/drawing/2014/main" id="{DB2F14B6-BBF5-4B89-C924-692F4477061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51C46C5E-79B2-749A-8A29-F058D6E0FFDE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26</xdr:row>
      <xdr:rowOff>40107</xdr:rowOff>
    </xdr:from>
    <xdr:to>
      <xdr:col>55</xdr:col>
      <xdr:colOff>104084</xdr:colOff>
      <xdr:row>27</xdr:row>
      <xdr:rowOff>1328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5580567D-2BAC-4F9A-B052-ECC38A820003}"/>
            </a:ext>
          </a:extLst>
        </xdr:cNvPr>
        <xdr:cNvGrpSpPr/>
      </xdr:nvGrpSpPr>
      <xdr:grpSpPr>
        <a:xfrm>
          <a:off x="27166428" y="5731295"/>
          <a:ext cx="72000" cy="199346"/>
          <a:chOff x="8889969" y="717550"/>
          <a:chExt cx="95415" cy="260350"/>
        </a:xfrm>
      </xdr:grpSpPr>
      <xdr:sp macro="" textlink="">
        <xdr:nvSpPr>
          <xdr:cNvPr id="132" name="자유형: 도형 131">
            <a:extLst>
              <a:ext uri="{FF2B5EF4-FFF2-40B4-BE49-F238E27FC236}">
                <a16:creationId xmlns:a16="http://schemas.microsoft.com/office/drawing/2014/main" id="{50734698-2F86-4CEA-2566-32819C8BFA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자유형: 도형 162">
            <a:extLst>
              <a:ext uri="{FF2B5EF4-FFF2-40B4-BE49-F238E27FC236}">
                <a16:creationId xmlns:a16="http://schemas.microsoft.com/office/drawing/2014/main" id="{FEDBE08C-8E92-E960-8560-E7AAF9F8F1E2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28</xdr:row>
      <xdr:rowOff>48128</xdr:rowOff>
    </xdr:from>
    <xdr:to>
      <xdr:col>55</xdr:col>
      <xdr:colOff>96063</xdr:colOff>
      <xdr:row>29</xdr:row>
      <xdr:rowOff>9349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9C6BB7E6-0F37-44F1-BD84-C003B65B0576}"/>
            </a:ext>
          </a:extLst>
        </xdr:cNvPr>
        <xdr:cNvGrpSpPr/>
      </xdr:nvGrpSpPr>
      <xdr:grpSpPr>
        <a:xfrm>
          <a:off x="27158407" y="6191753"/>
          <a:ext cx="72000" cy="187440"/>
          <a:chOff x="8889969" y="717550"/>
          <a:chExt cx="95415" cy="260350"/>
        </a:xfrm>
      </xdr:grpSpPr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0056DA0A-2A99-3F1E-D638-2E05AE526EF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자유형: 도형 165">
            <a:extLst>
              <a:ext uri="{FF2B5EF4-FFF2-40B4-BE49-F238E27FC236}">
                <a16:creationId xmlns:a16="http://schemas.microsoft.com/office/drawing/2014/main" id="{08362E08-6D94-B7EE-E48D-A665C3E389E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32084</xdr:colOff>
      <xdr:row>30</xdr:row>
      <xdr:rowOff>32086</xdr:rowOff>
    </xdr:from>
    <xdr:to>
      <xdr:col>55</xdr:col>
      <xdr:colOff>104084</xdr:colOff>
      <xdr:row>31</xdr:row>
      <xdr:rowOff>1328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3C549E2D-D09E-4691-920A-FBAC6D595FBC}"/>
            </a:ext>
          </a:extLst>
        </xdr:cNvPr>
        <xdr:cNvGrpSpPr/>
      </xdr:nvGrpSpPr>
      <xdr:grpSpPr>
        <a:xfrm>
          <a:off x="27166428" y="6616242"/>
          <a:ext cx="72000" cy="207367"/>
          <a:chOff x="8889969" y="717550"/>
          <a:chExt cx="95415" cy="260350"/>
        </a:xfrm>
      </xdr:grpSpPr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CA949D0B-BBEF-1617-FFA8-B7E9632F4371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9" name="자유형: 도형 168">
            <a:extLst>
              <a:ext uri="{FF2B5EF4-FFF2-40B4-BE49-F238E27FC236}">
                <a16:creationId xmlns:a16="http://schemas.microsoft.com/office/drawing/2014/main" id="{EF4FBD98-49A5-276B-652D-2CB871EA25B0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55</xdr:col>
      <xdr:colOff>24063</xdr:colOff>
      <xdr:row>32</xdr:row>
      <xdr:rowOff>24065</xdr:rowOff>
    </xdr:from>
    <xdr:to>
      <xdr:col>55</xdr:col>
      <xdr:colOff>96063</xdr:colOff>
      <xdr:row>33</xdr:row>
      <xdr:rowOff>4002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11335E1B-EF2D-43AA-B9F9-2DBBDEA3AFF3}"/>
            </a:ext>
          </a:extLst>
        </xdr:cNvPr>
        <xdr:cNvGrpSpPr/>
      </xdr:nvGrpSpPr>
      <xdr:grpSpPr>
        <a:xfrm>
          <a:off x="27158407" y="7060659"/>
          <a:ext cx="72000" cy="218062"/>
          <a:chOff x="8889969" y="717550"/>
          <a:chExt cx="95415" cy="260350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1A515BB4-7A7F-0801-4B7F-6F0A9377274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046F5782-686F-1409-F862-0C792F52692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55</xdr:col>
      <xdr:colOff>96031</xdr:colOff>
      <xdr:row>6</xdr:row>
      <xdr:rowOff>215628</xdr:rowOff>
    </xdr:from>
    <xdr:ext cx="1038169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8DB7C15F-B069-4F07-9908-4583047897D9}"/>
            </a:ext>
          </a:extLst>
        </xdr:cNvPr>
        <xdr:cNvSpPr txBox="1"/>
      </xdr:nvSpPr>
      <xdr:spPr>
        <a:xfrm>
          <a:off x="27506864" y="1542072"/>
          <a:ext cx="10381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</a:rPr>
            <a:t>block_size_chx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76</xdr:col>
      <xdr:colOff>0</xdr:colOff>
      <xdr:row>9</xdr:row>
      <xdr:rowOff>125413</xdr:rowOff>
    </xdr:from>
    <xdr:to>
      <xdr:col>76</xdr:col>
      <xdr:colOff>0</xdr:colOff>
      <xdr:row>19</xdr:row>
      <xdr:rowOff>174600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97A281E4-B94A-B782-53BE-E993ED7997F6}"/>
            </a:ext>
          </a:extLst>
        </xdr:cNvPr>
        <xdr:cNvCxnSpPr/>
      </xdr:nvCxnSpPr>
      <xdr:spPr>
        <a:xfrm flipH="1">
          <a:off x="39343542" y="2116403"/>
          <a:ext cx="0" cy="2278301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70</xdr:col>
      <xdr:colOff>1091406</xdr:colOff>
      <xdr:row>19</xdr:row>
      <xdr:rowOff>42995</xdr:rowOff>
    </xdr:from>
    <xdr:ext cx="2992009" cy="5084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5A7CC6-DA40-8DE2-FE1A-E05AEC01F61A}"/>
            </a:ext>
          </a:extLst>
        </xdr:cNvPr>
        <xdr:cNvSpPr txBox="1"/>
      </xdr:nvSpPr>
      <xdr:spPr>
        <a:xfrm>
          <a:off x="35116823" y="4263099"/>
          <a:ext cx="2992009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sync time @ driver-side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(internally gen. a</a:t>
          </a:r>
          <a:r>
            <a:rPr lang="en-US" altLang="ko-KR" sz="1100" baseline="0">
              <a:solidFill>
                <a:sysClr val="windowText" lastClr="000000"/>
              </a:solidFill>
            </a:rPr>
            <a:t> vsync)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44</xdr:col>
      <xdr:colOff>606331</xdr:colOff>
      <xdr:row>23</xdr:row>
      <xdr:rowOff>112450</xdr:rowOff>
    </xdr:from>
    <xdr:to>
      <xdr:col>44</xdr:col>
      <xdr:colOff>606331</xdr:colOff>
      <xdr:row>33</xdr:row>
      <xdr:rowOff>105793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8B670D49-F516-45CF-9507-97D34B503DB0}"/>
            </a:ext>
          </a:extLst>
        </xdr:cNvPr>
        <xdr:cNvCxnSpPr/>
      </xdr:nvCxnSpPr>
      <xdr:spPr>
        <a:xfrm flipH="1">
          <a:off x="22034053" y="5241839"/>
          <a:ext cx="0" cy="2201732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592324</xdr:colOff>
      <xdr:row>32</xdr:row>
      <xdr:rowOff>215239</xdr:rowOff>
    </xdr:from>
    <xdr:ext cx="1976695" cy="50847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E92802-9A11-4AD8-9DE5-D3CF09668767}"/>
            </a:ext>
          </a:extLst>
        </xdr:cNvPr>
        <xdr:cNvSpPr txBox="1"/>
      </xdr:nvSpPr>
      <xdr:spPr>
        <a:xfrm>
          <a:off x="21236439" y="6651229"/>
          <a:ext cx="197669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receive</a:t>
          </a:r>
          <a:r>
            <a:rPr lang="en-US" altLang="ko-KR" sz="1100" baseline="0">
              <a:solidFill>
                <a:sysClr val="windowText" lastClr="000000"/>
              </a:solidFill>
            </a:rPr>
            <a:t> complete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start bit time</a:t>
          </a:r>
          <a:r>
            <a:rPr lang="ko-KR" altLang="en-US" sz="1100" baseline="0">
              <a:solidFill>
                <a:sysClr val="windowText" lastClr="000000"/>
              </a:solidFill>
            </a:rPr>
            <a:t>에서 </a:t>
          </a:r>
          <a:r>
            <a:rPr lang="en-US" altLang="ko-KR" sz="1100" baseline="0">
              <a:solidFill>
                <a:sysClr val="windowText" lastClr="000000"/>
              </a:solidFill>
            </a:rPr>
            <a:t>'0' </a:t>
          </a:r>
          <a:r>
            <a:rPr lang="ko-KR" altLang="en-US" sz="1100" baseline="0">
              <a:solidFill>
                <a:sysClr val="windowText" lastClr="000000"/>
              </a:solidFill>
            </a:rPr>
            <a:t>감지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31</xdr:col>
      <xdr:colOff>259</xdr:colOff>
      <xdr:row>39</xdr:row>
      <xdr:rowOff>112722</xdr:rowOff>
    </xdr:from>
    <xdr:to>
      <xdr:col>31</xdr:col>
      <xdr:colOff>259</xdr:colOff>
      <xdr:row>49</xdr:row>
      <xdr:rowOff>17910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280DD2E-1512-4E36-9CDA-DC8FE4C01D4C}"/>
            </a:ext>
          </a:extLst>
        </xdr:cNvPr>
        <xdr:cNvCxnSpPr/>
      </xdr:nvCxnSpPr>
      <xdr:spPr>
        <a:xfrm flipH="1">
          <a:off x="14301870" y="8755778"/>
          <a:ext cx="0" cy="2092410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258200</xdr:colOff>
      <xdr:row>47</xdr:row>
      <xdr:rowOff>56753</xdr:rowOff>
    </xdr:from>
    <xdr:ext cx="2936445" cy="50847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DC1FBE6-2BDA-4D3A-920B-EFBA05CD56B2}"/>
            </a:ext>
          </a:extLst>
        </xdr:cNvPr>
        <xdr:cNvSpPr txBox="1"/>
      </xdr:nvSpPr>
      <xdr:spPr>
        <a:xfrm>
          <a:off x="14277589" y="10449586"/>
          <a:ext cx="2936445" cy="5084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driving read data out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en-US" altLang="ko-KR" sz="1100">
              <a:solidFill>
                <a:sysClr val="windowText" lastClr="000000"/>
              </a:solidFill>
            </a:rPr>
            <a:t>@ driver-side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id=1 </a:t>
          </a:r>
          <a:r>
            <a:rPr lang="ko-KR" altLang="en-US" sz="1100" baseline="0">
              <a:solidFill>
                <a:sysClr val="windowText" lastClr="000000"/>
              </a:solidFill>
            </a:rPr>
            <a:t>부터 </a:t>
          </a:r>
          <a:r>
            <a:rPr lang="en-US" altLang="ko-KR" sz="1100" baseline="0">
              <a:solidFill>
                <a:sysClr val="windowText" lastClr="000000"/>
              </a:solidFill>
            </a:rPr>
            <a:t>start (dev #n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id = 0) and self driving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34</xdr:col>
      <xdr:colOff>2199</xdr:colOff>
      <xdr:row>11</xdr:row>
      <xdr:rowOff>19845</xdr:rowOff>
    </xdr:from>
    <xdr:to>
      <xdr:col>34</xdr:col>
      <xdr:colOff>2199</xdr:colOff>
      <xdr:row>14</xdr:row>
      <xdr:rowOff>35772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E8FB0540-D278-4636-AF9F-10D6DCF87930}"/>
            </a:ext>
          </a:extLst>
        </xdr:cNvPr>
        <xdr:cNvCxnSpPr/>
      </xdr:nvCxnSpPr>
      <xdr:spPr>
        <a:xfrm>
          <a:off x="17104866" y="2461067"/>
          <a:ext cx="0" cy="686205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1089018</xdr:colOff>
      <xdr:row>13</xdr:row>
      <xdr:rowOff>178593</xdr:rowOff>
    </xdr:from>
    <xdr:to>
      <xdr:col>37</xdr:col>
      <xdr:colOff>249612</xdr:colOff>
      <xdr:row>13</xdr:row>
      <xdr:rowOff>178593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A5C6FB5-5657-483F-91D0-3328CE9EEAB2}"/>
            </a:ext>
          </a:extLst>
        </xdr:cNvPr>
        <xdr:cNvCxnSpPr/>
      </xdr:nvCxnSpPr>
      <xdr:spPr>
        <a:xfrm flipH="1">
          <a:off x="18207560" y="3062551"/>
          <a:ext cx="252000" cy="0"/>
        </a:xfrm>
        <a:prstGeom prst="line">
          <a:avLst/>
        </a:prstGeom>
        <a:ln w="3175">
          <a:solidFill>
            <a:schemeClr val="tx1"/>
          </a:solidFill>
          <a:prstDash val="dash"/>
          <a:head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337341</xdr:colOff>
      <xdr:row>13</xdr:row>
      <xdr:rowOff>36400</xdr:rowOff>
    </xdr:from>
    <xdr:ext cx="1488283" cy="34445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87E2E1-AD47-49F0-92DF-726123DF328C}"/>
            </a:ext>
          </a:extLst>
        </xdr:cNvPr>
        <xdr:cNvSpPr txBox="1"/>
      </xdr:nvSpPr>
      <xdr:spPr>
        <a:xfrm>
          <a:off x="18547289" y="2920358"/>
          <a:ext cx="1488283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dev#1 bypass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dev#2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driving output low</a:t>
          </a:r>
          <a:endParaRPr lang="ko-KR" altLang="ko-KR">
            <a:solidFill>
              <a:sysClr val="windowText" lastClr="000000"/>
            </a:solidFill>
            <a:effectLst/>
          </a:endParaRPr>
        </a:p>
      </xdr:txBody>
    </xdr:sp>
    <xdr:clientData/>
  </xdr:oneCellAnchor>
  <xdr:oneCellAnchor>
    <xdr:from>
      <xdr:col>28</xdr:col>
      <xdr:colOff>30909</xdr:colOff>
      <xdr:row>47</xdr:row>
      <xdr:rowOff>63633</xdr:rowOff>
    </xdr:from>
    <xdr:ext cx="1489126" cy="43678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AC4F501-ED19-4B78-8A03-A5A7642AD096}"/>
            </a:ext>
          </a:extLst>
        </xdr:cNvPr>
        <xdr:cNvSpPr txBox="1"/>
      </xdr:nvSpPr>
      <xdr:spPr>
        <a:xfrm>
          <a:off x="12745020" y="10477633"/>
          <a:ext cx="148912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all dev</a:t>
          </a:r>
          <a:r>
            <a:rPr lang="en-US" altLang="ko-KR" sz="1100" baseline="0">
              <a:solidFill>
                <a:sysClr val="windowText" lastClr="000000"/>
              </a:solidFill>
            </a:rPr>
            <a:t> ready to bypass</a:t>
          </a:r>
        </a:p>
        <a:p>
          <a:pPr algn="r"/>
          <a:r>
            <a:rPr lang="en-US" altLang="ko-KR" sz="1100" baseline="0">
              <a:solidFill>
                <a:sysClr val="windowText" lastClr="000000"/>
              </a:solidFill>
            </a:rPr>
            <a:t>&amp; driving output low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88</xdr:col>
      <xdr:colOff>63058</xdr:colOff>
      <xdr:row>19</xdr:row>
      <xdr:rowOff>22047</xdr:rowOff>
    </xdr:from>
    <xdr:ext cx="4173803" cy="30427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C6765CB-B0D5-49AF-829F-57518C7BB3C9}"/>
            </a:ext>
          </a:extLst>
        </xdr:cNvPr>
        <xdr:cNvSpPr txBox="1"/>
      </xdr:nvSpPr>
      <xdr:spPr>
        <a:xfrm>
          <a:off x="43920391" y="4255380"/>
          <a:ext cx="4173803" cy="304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aseline="0">
              <a:solidFill>
                <a:sysClr val="windowText" lastClr="000000"/>
              </a:solidFill>
            </a:rPr>
            <a:t>re-driving command 4-bit + result 4-bit (</a:t>
          </a:r>
          <a:r>
            <a:rPr lang="ko-KR" altLang="en-US" sz="1100">
              <a:solidFill>
                <a:sysClr val="windowText" lastClr="000000"/>
              </a:solidFill>
            </a:rPr>
            <a:t>수신 </a:t>
          </a:r>
          <a:r>
            <a:rPr lang="en-US" altLang="ko-KR" sz="1100">
              <a:solidFill>
                <a:sysClr val="windowText" lastClr="000000"/>
              </a:solidFill>
            </a:rPr>
            <a:t>4-bit | </a:t>
          </a:r>
          <a:r>
            <a:rPr lang="ko-KR" altLang="en-US" sz="1100">
              <a:solidFill>
                <a:sysClr val="windowText" lastClr="000000"/>
              </a:solidFill>
            </a:rPr>
            <a:t>자신 </a:t>
          </a:r>
          <a:r>
            <a:rPr lang="en-US" altLang="ko-KR" sz="1100">
              <a:solidFill>
                <a:sysClr val="windowText" lastClr="000000"/>
              </a:solidFill>
            </a:rPr>
            <a:t>status 4-bit)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83</xdr:col>
      <xdr:colOff>22922</xdr:colOff>
      <xdr:row>10</xdr:row>
      <xdr:rowOff>25736</xdr:rowOff>
    </xdr:from>
    <xdr:to>
      <xdr:col>83</xdr:col>
      <xdr:colOff>94922</xdr:colOff>
      <xdr:row>10</xdr:row>
      <xdr:rowOff>213218</xdr:rowOff>
    </xdr:to>
    <xdr:grpSp>
      <xdr:nvGrpSpPr>
        <xdr:cNvPr id="177" name="그룹 176">
          <a:extLst>
            <a:ext uri="{FF2B5EF4-FFF2-40B4-BE49-F238E27FC236}">
              <a16:creationId xmlns:a16="http://schemas.microsoft.com/office/drawing/2014/main" id="{B6DC2F8B-14B6-496B-AAB2-870CB6FFAD10}"/>
            </a:ext>
          </a:extLst>
        </xdr:cNvPr>
        <xdr:cNvGrpSpPr/>
      </xdr:nvGrpSpPr>
      <xdr:grpSpPr>
        <a:xfrm>
          <a:off x="41825766" y="2168861"/>
          <a:ext cx="72000" cy="187482"/>
          <a:chOff x="8889969" y="717550"/>
          <a:chExt cx="95415" cy="260350"/>
        </a:xfrm>
      </xdr:grpSpPr>
      <xdr:sp macro="" textlink="">
        <xdr:nvSpPr>
          <xdr:cNvPr id="178" name="자유형: 도형 177">
            <a:extLst>
              <a:ext uri="{FF2B5EF4-FFF2-40B4-BE49-F238E27FC236}">
                <a16:creationId xmlns:a16="http://schemas.microsoft.com/office/drawing/2014/main" id="{D7709087-59CE-B899-9050-C97CDCD135B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DD10E1E8-4B70-7414-8D21-72565FE8035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29802</xdr:colOff>
      <xdr:row>12</xdr:row>
      <xdr:rowOff>52458</xdr:rowOff>
    </xdr:from>
    <xdr:to>
      <xdr:col>83</xdr:col>
      <xdr:colOff>101802</xdr:colOff>
      <xdr:row>13</xdr:row>
      <xdr:rowOff>15045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701B9BE-9EBF-4FD8-BED0-7B648751CDE4}"/>
            </a:ext>
          </a:extLst>
        </xdr:cNvPr>
        <xdr:cNvGrpSpPr/>
      </xdr:nvGrpSpPr>
      <xdr:grpSpPr>
        <a:xfrm>
          <a:off x="41832646" y="2636114"/>
          <a:ext cx="72000" cy="200712"/>
          <a:chOff x="8889969" y="717550"/>
          <a:chExt cx="95415" cy="260350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37313F21-2177-739F-1D4B-7944D6AC4E9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EB4BCAB9-07DA-7493-AF52-CAB3FBA1FAE8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23452</xdr:colOff>
      <xdr:row>14</xdr:row>
      <xdr:rowOff>52722</xdr:rowOff>
    </xdr:from>
    <xdr:to>
      <xdr:col>83</xdr:col>
      <xdr:colOff>95452</xdr:colOff>
      <xdr:row>15</xdr:row>
      <xdr:rowOff>15309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92C9763C-37B3-45F2-BCFF-0E57C5863C4B}"/>
            </a:ext>
          </a:extLst>
        </xdr:cNvPr>
        <xdr:cNvGrpSpPr/>
      </xdr:nvGrpSpPr>
      <xdr:grpSpPr>
        <a:xfrm>
          <a:off x="41826296" y="3088816"/>
          <a:ext cx="72000" cy="200712"/>
          <a:chOff x="8889969" y="717550"/>
          <a:chExt cx="95415" cy="260350"/>
        </a:xfrm>
      </xdr:grpSpPr>
      <xdr:sp macro="" textlink="">
        <xdr:nvSpPr>
          <xdr:cNvPr id="184" name="자유형: 도형 183">
            <a:extLst>
              <a:ext uri="{FF2B5EF4-FFF2-40B4-BE49-F238E27FC236}">
                <a16:creationId xmlns:a16="http://schemas.microsoft.com/office/drawing/2014/main" id="{9B7DBB3B-BDC7-CB91-432A-4A1E3A814F7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0A565A19-AD66-9238-8E01-436AAF3F9DA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17102</xdr:colOff>
      <xdr:row>16</xdr:row>
      <xdr:rowOff>33144</xdr:rowOff>
    </xdr:from>
    <xdr:to>
      <xdr:col>83</xdr:col>
      <xdr:colOff>89102</xdr:colOff>
      <xdr:row>17</xdr:row>
      <xdr:rowOff>2344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C35A0D85-07B0-4C34-AE53-D8E56157E315}"/>
            </a:ext>
          </a:extLst>
        </xdr:cNvPr>
        <xdr:cNvGrpSpPr/>
      </xdr:nvGrpSpPr>
      <xdr:grpSpPr>
        <a:xfrm>
          <a:off x="41819946" y="3521675"/>
          <a:ext cx="72000" cy="195419"/>
          <a:chOff x="8889969" y="717550"/>
          <a:chExt cx="95415" cy="260350"/>
        </a:xfrm>
      </xdr:grpSpPr>
      <xdr:sp macro="" textlink="">
        <xdr:nvSpPr>
          <xdr:cNvPr id="187" name="자유형: 도형 186">
            <a:extLst>
              <a:ext uri="{FF2B5EF4-FFF2-40B4-BE49-F238E27FC236}">
                <a16:creationId xmlns:a16="http://schemas.microsoft.com/office/drawing/2014/main" id="{4A9AC888-7EFC-4C4E-0078-61193F37FD0A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8" name="자유형: 도형 187">
            <a:extLst>
              <a:ext uri="{FF2B5EF4-FFF2-40B4-BE49-F238E27FC236}">
                <a16:creationId xmlns:a16="http://schemas.microsoft.com/office/drawing/2014/main" id="{8976C4C9-370B-F834-0B4E-C7E047DFA9C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83</xdr:col>
      <xdr:colOff>30595</xdr:colOff>
      <xdr:row>18</xdr:row>
      <xdr:rowOff>53252</xdr:rowOff>
    </xdr:from>
    <xdr:to>
      <xdr:col>83</xdr:col>
      <xdr:colOff>102595</xdr:colOff>
      <xdr:row>19</xdr:row>
      <xdr:rowOff>15838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70C2320F-8E2E-4424-ACB3-F1191072571D}"/>
            </a:ext>
          </a:extLst>
        </xdr:cNvPr>
        <xdr:cNvGrpSpPr/>
      </xdr:nvGrpSpPr>
      <xdr:grpSpPr>
        <a:xfrm>
          <a:off x="41833439" y="3982315"/>
          <a:ext cx="72000" cy="200711"/>
          <a:chOff x="8889969" y="717550"/>
          <a:chExt cx="95415" cy="260350"/>
        </a:xfrm>
      </xdr:grpSpPr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655C6A63-CF26-ED14-AD18-1E276C9C7776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1" name="자유형: 도형 190">
            <a:extLst>
              <a:ext uri="{FF2B5EF4-FFF2-40B4-BE49-F238E27FC236}">
                <a16:creationId xmlns:a16="http://schemas.microsoft.com/office/drawing/2014/main" id="{21B00244-0E66-8FF4-B15E-9657483AE66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220495</xdr:colOff>
      <xdr:row>4</xdr:row>
      <xdr:rowOff>182824</xdr:rowOff>
    </xdr:from>
    <xdr:to>
      <xdr:col>43</xdr:col>
      <xdr:colOff>1046152</xdr:colOff>
      <xdr:row>7</xdr:row>
      <xdr:rowOff>199082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BC5999B7-ADDE-FBD2-B8F6-7246881A898E}"/>
            </a:ext>
          </a:extLst>
        </xdr:cNvPr>
        <xdr:cNvGrpSpPr/>
      </xdr:nvGrpSpPr>
      <xdr:grpSpPr>
        <a:xfrm>
          <a:off x="14698495" y="1040074"/>
          <a:ext cx="6373970" cy="659196"/>
          <a:chOff x="14395105" y="606156"/>
          <a:chExt cx="5846574" cy="686536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CF5EDFDB-97F8-3037-47C9-8C490AA9DA39}"/>
              </a:ext>
            </a:extLst>
          </xdr:cNvPr>
          <xdr:cNvSpPr/>
        </xdr:nvSpPr>
        <xdr:spPr>
          <a:xfrm>
            <a:off x="15473510" y="608692"/>
            <a:ext cx="684000" cy="6840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751893E9-3438-FDF2-2AF9-3B31BB2C10F8}"/>
              </a:ext>
            </a:extLst>
          </xdr:cNvPr>
          <xdr:cNvSpPr/>
        </xdr:nvSpPr>
        <xdr:spPr>
          <a:xfrm>
            <a:off x="17189072" y="606156"/>
            <a:ext cx="684000" cy="6840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53E128B9-0895-0571-F6FB-C4B4EABBD04E}"/>
              </a:ext>
            </a:extLst>
          </xdr:cNvPr>
          <xdr:cNvSpPr/>
        </xdr:nvSpPr>
        <xdr:spPr>
          <a:xfrm>
            <a:off x="19100543" y="608692"/>
            <a:ext cx="684000" cy="68400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dev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D110A9FC-0C33-AF98-8655-4412B5601EB4}"/>
              </a:ext>
            </a:extLst>
          </xdr:cNvPr>
          <xdr:cNvCxnSpPr>
            <a:stCxn id="39" idx="3"/>
            <a:endCxn id="11" idx="1"/>
          </xdr:cNvCxnSpPr>
        </xdr:nvCxnSpPr>
        <xdr:spPr>
          <a:xfrm>
            <a:off x="14835884" y="950575"/>
            <a:ext cx="637626" cy="117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66CA42A7-F4A6-9F9C-EA71-F6D15773EE21}"/>
              </a:ext>
            </a:extLst>
          </xdr:cNvPr>
          <xdr:cNvCxnSpPr>
            <a:cxnSpLocks/>
            <a:stCxn id="17" idx="3"/>
          </xdr:cNvCxnSpPr>
        </xdr:nvCxnSpPr>
        <xdr:spPr>
          <a:xfrm>
            <a:off x="19784543" y="950692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E7CB6AE9-478C-D938-98DB-7DBA9DFA913E}"/>
              </a:ext>
            </a:extLst>
          </xdr:cNvPr>
          <xdr:cNvCxnSpPr>
            <a:stCxn id="11" idx="3"/>
            <a:endCxn id="16" idx="1"/>
          </xdr:cNvCxnSpPr>
        </xdr:nvCxnSpPr>
        <xdr:spPr>
          <a:xfrm flipV="1">
            <a:off x="16157510" y="948156"/>
            <a:ext cx="1031562" cy="2536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EDD6A2D0-AA9D-4D4B-14DF-F6582A431D65}"/>
              </a:ext>
            </a:extLst>
          </xdr:cNvPr>
          <xdr:cNvCxnSpPr>
            <a:stCxn id="16" idx="3"/>
          </xdr:cNvCxnSpPr>
        </xdr:nvCxnSpPr>
        <xdr:spPr>
          <a:xfrm flipV="1">
            <a:off x="17873071" y="945444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7586D33-1ACA-1FD1-D9F1-8FA956F64D03}"/>
              </a:ext>
            </a:extLst>
          </xdr:cNvPr>
          <xdr:cNvCxnSpPr/>
        </xdr:nvCxnSpPr>
        <xdr:spPr>
          <a:xfrm>
            <a:off x="18704285" y="945445"/>
            <a:ext cx="396000" cy="0"/>
          </a:xfrm>
          <a:prstGeom prst="straightConnector1">
            <a:avLst/>
          </a:prstGeom>
          <a:ln w="3175">
            <a:solidFill>
              <a:schemeClr val="tx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FC3A9FD-D6CA-DB75-ED59-4AC96F049839}"/>
              </a:ext>
            </a:extLst>
          </xdr:cNvPr>
          <xdr:cNvSpPr txBox="1"/>
        </xdr:nvSpPr>
        <xdr:spPr>
          <a:xfrm>
            <a:off x="14395105" y="859672"/>
            <a:ext cx="440779" cy="181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  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chx</a:t>
            </a:r>
            <a:endParaRPr lang="ko-KR" altLang="en-US" sz="1100" baseline="-25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334D134-B6D6-6B58-C9FE-AD2E6F31DD6B}"/>
              </a:ext>
            </a:extLst>
          </xdr:cNvPr>
          <xdr:cNvSpPr txBox="1"/>
        </xdr:nvSpPr>
        <xdr:spPr>
          <a:xfrm>
            <a:off x="15021278" y="719666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9B4A1EF-4BF5-4BA5-BEAA-8E3545D14FCB}"/>
              </a:ext>
            </a:extLst>
          </xdr:cNvPr>
          <xdr:cNvSpPr txBox="1"/>
        </xdr:nvSpPr>
        <xdr:spPr>
          <a:xfrm>
            <a:off x="18637961" y="716842"/>
            <a:ext cx="533736" cy="2779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02B422C-3799-4229-8B76-82AF056FD4AA}"/>
              </a:ext>
            </a:extLst>
          </xdr:cNvPr>
          <xdr:cNvSpPr txBox="1"/>
        </xdr:nvSpPr>
        <xdr:spPr>
          <a:xfrm>
            <a:off x="16730139" y="721075"/>
            <a:ext cx="4862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IO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623128A4-180B-461D-8D09-4EA9F61E3DA4}"/>
              </a:ext>
            </a:extLst>
          </xdr:cNvPr>
          <xdr:cNvSpPr txBox="1"/>
        </xdr:nvSpPr>
        <xdr:spPr>
          <a:xfrm>
            <a:off x="19721693" y="721077"/>
            <a:ext cx="5199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#n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7A393807-015E-4F09-B5C6-1CC23941C29D}"/>
              </a:ext>
            </a:extLst>
          </xdr:cNvPr>
          <xdr:cNvSpPr txBox="1"/>
        </xdr:nvSpPr>
        <xdr:spPr>
          <a:xfrm>
            <a:off x="17806814" y="718254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#2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1B156792-BC9F-41E4-BF1B-C4C820FE5BAE}"/>
              </a:ext>
            </a:extLst>
          </xdr:cNvPr>
          <xdr:cNvSpPr txBox="1"/>
        </xdr:nvSpPr>
        <xdr:spPr>
          <a:xfrm>
            <a:off x="16089488" y="722488"/>
            <a:ext cx="5175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>
                <a:solidFill>
                  <a:sysClr val="windowText" lastClr="000000"/>
                </a:solidFill>
              </a:rPr>
              <a:t>D</a:t>
            </a:r>
            <a:r>
              <a:rPr lang="en-US" altLang="ko-KR" sz="1100" baseline="-25000">
                <a:solidFill>
                  <a:sysClr val="windowText" lastClr="000000"/>
                </a:solidFill>
              </a:rPr>
              <a:t>DO</a:t>
            </a:r>
            <a:r>
              <a:rPr lang="en-US" altLang="ko-KR" sz="1100">
                <a:solidFill>
                  <a:sysClr val="windowText" lastClr="000000"/>
                </a:solidFill>
              </a:rPr>
              <a:t> #1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10</xdr:row>
      <xdr:rowOff>63575</xdr:rowOff>
    </xdr:from>
    <xdr:to>
      <xdr:col>91</xdr:col>
      <xdr:colOff>87596</xdr:colOff>
      <xdr:row>11</xdr:row>
      <xdr:rowOff>38685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21E1A9A1-848B-4AFE-9AC3-33694D392FA5}"/>
            </a:ext>
          </a:extLst>
        </xdr:cNvPr>
        <xdr:cNvGrpSpPr/>
      </xdr:nvGrpSpPr>
      <xdr:grpSpPr>
        <a:xfrm>
          <a:off x="44855327" y="2206700"/>
          <a:ext cx="59300" cy="201329"/>
          <a:chOff x="8889969" y="717550"/>
          <a:chExt cx="95415" cy="260350"/>
        </a:xfrm>
      </xdr:grpSpPr>
      <xdr:sp macro="" textlink="">
        <xdr:nvSpPr>
          <xdr:cNvPr id="69" name="자유형: 도형 68">
            <a:extLst>
              <a:ext uri="{FF2B5EF4-FFF2-40B4-BE49-F238E27FC236}">
                <a16:creationId xmlns:a16="http://schemas.microsoft.com/office/drawing/2014/main" id="{1840C679-04FA-7DAD-C3F8-B524ADAD4B6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자유형: 도형 69">
            <a:extLst>
              <a:ext uri="{FF2B5EF4-FFF2-40B4-BE49-F238E27FC236}">
                <a16:creationId xmlns:a16="http://schemas.microsoft.com/office/drawing/2014/main" id="{AC104930-D047-1256-5684-0C64C704E424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12</xdr:row>
      <xdr:rowOff>87639</xdr:rowOff>
    </xdr:from>
    <xdr:to>
      <xdr:col>91</xdr:col>
      <xdr:colOff>87596</xdr:colOff>
      <xdr:row>13</xdr:row>
      <xdr:rowOff>48860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CADEF074-0C5A-4DCB-9C52-0BCB80AB3B3A}"/>
            </a:ext>
          </a:extLst>
        </xdr:cNvPr>
        <xdr:cNvGrpSpPr/>
      </xdr:nvGrpSpPr>
      <xdr:grpSpPr>
        <a:xfrm>
          <a:off x="44855327" y="2671295"/>
          <a:ext cx="59300" cy="199346"/>
          <a:chOff x="8889969" y="717550"/>
          <a:chExt cx="95415" cy="260350"/>
        </a:xfrm>
      </xdr:grpSpPr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7F208AA6-0043-E98C-D924-1DD919B0741D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3" name="자유형: 도형 72">
            <a:extLst>
              <a:ext uri="{FF2B5EF4-FFF2-40B4-BE49-F238E27FC236}">
                <a16:creationId xmlns:a16="http://schemas.microsoft.com/office/drawing/2014/main" id="{F22DA9A7-4ED2-1899-94E1-0C12EF77422D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14</xdr:row>
      <xdr:rowOff>95660</xdr:rowOff>
    </xdr:from>
    <xdr:to>
      <xdr:col>91</xdr:col>
      <xdr:colOff>85925</xdr:colOff>
      <xdr:row>15</xdr:row>
      <xdr:rowOff>56881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CEC930CB-EAAF-47E3-8733-6A87D679BEED}"/>
            </a:ext>
          </a:extLst>
        </xdr:cNvPr>
        <xdr:cNvGrpSpPr/>
      </xdr:nvGrpSpPr>
      <xdr:grpSpPr>
        <a:xfrm>
          <a:off x="44847306" y="3131754"/>
          <a:ext cx="65650" cy="199346"/>
          <a:chOff x="8889969" y="717550"/>
          <a:chExt cx="95415" cy="260350"/>
        </a:xfrm>
      </xdr:grpSpPr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677F9DDA-3920-CB94-20C7-F348230C71C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자유형: 도형 75">
            <a:extLst>
              <a:ext uri="{FF2B5EF4-FFF2-40B4-BE49-F238E27FC236}">
                <a16:creationId xmlns:a16="http://schemas.microsoft.com/office/drawing/2014/main" id="{EE256312-5DF3-961E-9279-82D3F90050F3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28296</xdr:colOff>
      <xdr:row>16</xdr:row>
      <xdr:rowOff>79618</xdr:rowOff>
    </xdr:from>
    <xdr:to>
      <xdr:col>91</xdr:col>
      <xdr:colOff>87596</xdr:colOff>
      <xdr:row>17</xdr:row>
      <xdr:rowOff>48860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3F785F82-2B4F-4070-8875-CDAAA0AC6BF0}"/>
            </a:ext>
          </a:extLst>
        </xdr:cNvPr>
        <xdr:cNvGrpSpPr/>
      </xdr:nvGrpSpPr>
      <xdr:grpSpPr>
        <a:xfrm>
          <a:off x="44855327" y="3568149"/>
          <a:ext cx="59300" cy="195461"/>
          <a:chOff x="8889969" y="717550"/>
          <a:chExt cx="95415" cy="260350"/>
        </a:xfrm>
      </xdr:grpSpPr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07B70587-0B3A-58FC-DCC7-D43835244DA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9" name="자유형: 도형 78">
            <a:extLst>
              <a:ext uri="{FF2B5EF4-FFF2-40B4-BE49-F238E27FC236}">
                <a16:creationId xmlns:a16="http://schemas.microsoft.com/office/drawing/2014/main" id="{DAF06EF4-233E-1BF4-C9DD-B90137058A45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91</xdr:col>
      <xdr:colOff>20275</xdr:colOff>
      <xdr:row>18</xdr:row>
      <xdr:rowOff>71597</xdr:rowOff>
    </xdr:from>
    <xdr:to>
      <xdr:col>91</xdr:col>
      <xdr:colOff>85925</xdr:colOff>
      <xdr:row>19</xdr:row>
      <xdr:rowOff>33302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C72C8630-AAA8-4EDB-BECC-F855314E7A75}"/>
            </a:ext>
          </a:extLst>
        </xdr:cNvPr>
        <xdr:cNvGrpSpPr/>
      </xdr:nvGrpSpPr>
      <xdr:grpSpPr>
        <a:xfrm>
          <a:off x="44847306" y="4000660"/>
          <a:ext cx="65650" cy="199830"/>
          <a:chOff x="8889969" y="717550"/>
          <a:chExt cx="95415" cy="260350"/>
        </a:xfrm>
      </xdr:grpSpPr>
      <xdr:sp macro="" textlink="">
        <xdr:nvSpPr>
          <xdr:cNvPr id="81" name="자유형: 도형 80">
            <a:extLst>
              <a:ext uri="{FF2B5EF4-FFF2-40B4-BE49-F238E27FC236}">
                <a16:creationId xmlns:a16="http://schemas.microsoft.com/office/drawing/2014/main" id="{7CF36399-D196-15DF-9D50-51BBF8C23244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자유형: 도형 81">
            <a:extLst>
              <a:ext uri="{FF2B5EF4-FFF2-40B4-BE49-F238E27FC236}">
                <a16:creationId xmlns:a16="http://schemas.microsoft.com/office/drawing/2014/main" id="{9BD5D00F-C440-5FD0-1132-8DDC2C8B75E6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10</xdr:row>
      <xdr:rowOff>39586</xdr:rowOff>
    </xdr:from>
    <xdr:to>
      <xdr:col>87</xdr:col>
      <xdr:colOff>111588</xdr:colOff>
      <xdr:row>11</xdr:row>
      <xdr:rowOff>14696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67A8C87A-C573-449B-8B99-6614B8B09D8F}"/>
            </a:ext>
          </a:extLst>
        </xdr:cNvPr>
        <xdr:cNvGrpSpPr/>
      </xdr:nvGrpSpPr>
      <xdr:grpSpPr>
        <a:xfrm>
          <a:off x="43294994" y="2182711"/>
          <a:ext cx="72000" cy="201329"/>
          <a:chOff x="8889969" y="717550"/>
          <a:chExt cx="95415" cy="260350"/>
        </a:xfrm>
      </xdr:grpSpPr>
      <xdr:sp macro="" textlink="">
        <xdr:nvSpPr>
          <xdr:cNvPr id="131" name="자유형: 도형 130">
            <a:extLst>
              <a:ext uri="{FF2B5EF4-FFF2-40B4-BE49-F238E27FC236}">
                <a16:creationId xmlns:a16="http://schemas.microsoft.com/office/drawing/2014/main" id="{82C00EA1-7B98-0209-E517-DBB4F81D775B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FBBBBE11-82D8-CEF3-7218-EA1311BF1F81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12</xdr:row>
      <xdr:rowOff>63650</xdr:rowOff>
    </xdr:from>
    <xdr:to>
      <xdr:col>87</xdr:col>
      <xdr:colOff>111588</xdr:colOff>
      <xdr:row>13</xdr:row>
      <xdr:rowOff>24871</xdr:rowOff>
    </xdr:to>
    <xdr:grpSp>
      <xdr:nvGrpSpPr>
        <xdr:cNvPr id="175" name="그룹 174">
          <a:extLst>
            <a:ext uri="{FF2B5EF4-FFF2-40B4-BE49-F238E27FC236}">
              <a16:creationId xmlns:a16="http://schemas.microsoft.com/office/drawing/2014/main" id="{6A8A3DF6-3A90-4C7B-83AA-D82BF04F47DA}"/>
            </a:ext>
          </a:extLst>
        </xdr:cNvPr>
        <xdr:cNvGrpSpPr/>
      </xdr:nvGrpSpPr>
      <xdr:grpSpPr>
        <a:xfrm>
          <a:off x="43294994" y="2647306"/>
          <a:ext cx="72000" cy="199346"/>
          <a:chOff x="8889969" y="717550"/>
          <a:chExt cx="95415" cy="260350"/>
        </a:xfrm>
      </xdr:grpSpPr>
      <xdr:sp macro="" textlink="">
        <xdr:nvSpPr>
          <xdr:cNvPr id="192" name="자유형: 도형 191">
            <a:extLst>
              <a:ext uri="{FF2B5EF4-FFF2-40B4-BE49-F238E27FC236}">
                <a16:creationId xmlns:a16="http://schemas.microsoft.com/office/drawing/2014/main" id="{189CF4C5-2B1F-788D-6F5F-FADEF41B849E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3" name="자유형: 도형 192">
            <a:extLst>
              <a:ext uri="{FF2B5EF4-FFF2-40B4-BE49-F238E27FC236}">
                <a16:creationId xmlns:a16="http://schemas.microsoft.com/office/drawing/2014/main" id="{28FE8062-FDEF-20B4-B0BC-F6CC29E2C31B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14</xdr:row>
      <xdr:rowOff>71671</xdr:rowOff>
    </xdr:from>
    <xdr:to>
      <xdr:col>87</xdr:col>
      <xdr:colOff>103567</xdr:colOff>
      <xdr:row>15</xdr:row>
      <xdr:rowOff>32892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49B02F5-FE59-408F-A9AA-20450CD4F603}"/>
            </a:ext>
          </a:extLst>
        </xdr:cNvPr>
        <xdr:cNvGrpSpPr/>
      </xdr:nvGrpSpPr>
      <xdr:grpSpPr>
        <a:xfrm>
          <a:off x="43286973" y="3107765"/>
          <a:ext cx="72000" cy="199346"/>
          <a:chOff x="8889969" y="717550"/>
          <a:chExt cx="95415" cy="260350"/>
        </a:xfrm>
      </xdr:grpSpPr>
      <xdr:sp macro="" textlink="">
        <xdr:nvSpPr>
          <xdr:cNvPr id="195" name="자유형: 도형 194">
            <a:extLst>
              <a:ext uri="{FF2B5EF4-FFF2-40B4-BE49-F238E27FC236}">
                <a16:creationId xmlns:a16="http://schemas.microsoft.com/office/drawing/2014/main" id="{25EEB3C4-641A-014F-8DED-5FBDC0AD1F15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A322D425-0E28-CA98-0396-35AA384AC4E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39588</xdr:colOff>
      <xdr:row>16</xdr:row>
      <xdr:rowOff>55629</xdr:rowOff>
    </xdr:from>
    <xdr:to>
      <xdr:col>87</xdr:col>
      <xdr:colOff>111588</xdr:colOff>
      <xdr:row>17</xdr:row>
      <xdr:rowOff>24871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D34E6306-D150-4390-B3A4-DFB641727846}"/>
            </a:ext>
          </a:extLst>
        </xdr:cNvPr>
        <xdr:cNvGrpSpPr/>
      </xdr:nvGrpSpPr>
      <xdr:grpSpPr>
        <a:xfrm>
          <a:off x="43294994" y="3544160"/>
          <a:ext cx="72000" cy="195461"/>
          <a:chOff x="8889969" y="717550"/>
          <a:chExt cx="95415" cy="260350"/>
        </a:xfrm>
      </xdr:grpSpPr>
      <xdr:sp macro="" textlink="">
        <xdr:nvSpPr>
          <xdr:cNvPr id="198" name="자유형: 도형 197">
            <a:extLst>
              <a:ext uri="{FF2B5EF4-FFF2-40B4-BE49-F238E27FC236}">
                <a16:creationId xmlns:a16="http://schemas.microsoft.com/office/drawing/2014/main" id="{17C7CA96-C46C-DA92-152A-A8403B9F5DC2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9" name="자유형: 도형 198">
            <a:extLst>
              <a:ext uri="{FF2B5EF4-FFF2-40B4-BE49-F238E27FC236}">
                <a16:creationId xmlns:a16="http://schemas.microsoft.com/office/drawing/2014/main" id="{A8606CFA-83C9-A722-C6D2-2E8D88C59DFA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87</xdr:col>
      <xdr:colOff>31567</xdr:colOff>
      <xdr:row>18</xdr:row>
      <xdr:rowOff>47608</xdr:rowOff>
    </xdr:from>
    <xdr:to>
      <xdr:col>87</xdr:col>
      <xdr:colOff>103567</xdr:colOff>
      <xdr:row>19</xdr:row>
      <xdr:rowOff>9313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9C3E37E7-1A39-4AF1-A03C-10D876113E5F}"/>
            </a:ext>
          </a:extLst>
        </xdr:cNvPr>
        <xdr:cNvGrpSpPr/>
      </xdr:nvGrpSpPr>
      <xdr:grpSpPr>
        <a:xfrm>
          <a:off x="43286973" y="3976671"/>
          <a:ext cx="72000" cy="199830"/>
          <a:chOff x="8889969" y="717550"/>
          <a:chExt cx="95415" cy="260350"/>
        </a:xfrm>
      </xdr:grpSpPr>
      <xdr:sp macro="" textlink="">
        <xdr:nvSpPr>
          <xdr:cNvPr id="201" name="자유형: 도형 200">
            <a:extLst>
              <a:ext uri="{FF2B5EF4-FFF2-40B4-BE49-F238E27FC236}">
                <a16:creationId xmlns:a16="http://schemas.microsoft.com/office/drawing/2014/main" id="{A2777B8C-AA65-0625-85B3-E8041422976C}"/>
              </a:ext>
            </a:extLst>
          </xdr:cNvPr>
          <xdr:cNvSpPr/>
        </xdr:nvSpPr>
        <xdr:spPr>
          <a:xfrm>
            <a:off x="8889969" y="72390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2" name="자유형: 도형 201">
            <a:extLst>
              <a:ext uri="{FF2B5EF4-FFF2-40B4-BE49-F238E27FC236}">
                <a16:creationId xmlns:a16="http://schemas.microsoft.com/office/drawing/2014/main" id="{0B3EBB96-F6E3-8F1A-C1C0-AC12992F3F17}"/>
              </a:ext>
            </a:extLst>
          </xdr:cNvPr>
          <xdr:cNvSpPr/>
        </xdr:nvSpPr>
        <xdr:spPr>
          <a:xfrm>
            <a:off x="8928069" y="717550"/>
            <a:ext cx="57315" cy="254000"/>
          </a:xfrm>
          <a:custGeom>
            <a:avLst/>
            <a:gdLst>
              <a:gd name="connsiteX0" fmla="*/ 50831 w 57315"/>
              <a:gd name="connsiteY0" fmla="*/ 0 h 254000"/>
              <a:gd name="connsiteX1" fmla="*/ 31 w 57315"/>
              <a:gd name="connsiteY1" fmla="*/ 107950 h 254000"/>
              <a:gd name="connsiteX2" fmla="*/ 57181 w 57315"/>
              <a:gd name="connsiteY2" fmla="*/ 158750 h 254000"/>
              <a:gd name="connsiteX3" fmla="*/ 12731 w 57315"/>
              <a:gd name="connsiteY3" fmla="*/ 254000 h 254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7315" h="254000">
                <a:moveTo>
                  <a:pt x="50831" y="0"/>
                </a:moveTo>
                <a:cubicBezTo>
                  <a:pt x="24902" y="40746"/>
                  <a:pt x="-1027" y="81492"/>
                  <a:pt x="31" y="107950"/>
                </a:cubicBezTo>
                <a:cubicBezTo>
                  <a:pt x="1089" y="134408"/>
                  <a:pt x="55064" y="134408"/>
                  <a:pt x="57181" y="158750"/>
                </a:cubicBezTo>
                <a:cubicBezTo>
                  <a:pt x="59298" y="183092"/>
                  <a:pt x="36014" y="218546"/>
                  <a:pt x="12731" y="25400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89</xdr:col>
      <xdr:colOff>1763</xdr:colOff>
      <xdr:row>10</xdr:row>
      <xdr:rowOff>77345</xdr:rowOff>
    </xdr:from>
    <xdr:to>
      <xdr:col>89</xdr:col>
      <xdr:colOff>1763</xdr:colOff>
      <xdr:row>20</xdr:row>
      <xdr:rowOff>133587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CB07E3CC-2F1E-462A-8FE5-2AC5E5CDD2EE}"/>
            </a:ext>
          </a:extLst>
        </xdr:cNvPr>
        <xdr:cNvCxnSpPr/>
      </xdr:nvCxnSpPr>
      <xdr:spPr>
        <a:xfrm flipH="1">
          <a:off x="43979041" y="2299845"/>
          <a:ext cx="0" cy="2285798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733179</xdr:colOff>
      <xdr:row>23</xdr:row>
      <xdr:rowOff>64155</xdr:rowOff>
    </xdr:from>
    <xdr:to>
      <xdr:col>57</xdr:col>
      <xdr:colOff>674022</xdr:colOff>
      <xdr:row>23</xdr:row>
      <xdr:rowOff>64155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7ADF9E1-7FE3-4261-8BC7-0380C3658EF4}"/>
            </a:ext>
          </a:extLst>
        </xdr:cNvPr>
        <xdr:cNvCxnSpPr/>
      </xdr:nvCxnSpPr>
      <xdr:spPr>
        <a:xfrm>
          <a:off x="25237123" y="5193544"/>
          <a:ext cx="3101732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51</xdr:col>
      <xdr:colOff>641723</xdr:colOff>
      <xdr:row>22</xdr:row>
      <xdr:rowOff>52746</xdr:rowOff>
    </xdr:from>
    <xdr:ext cx="162352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AACCA7-48D6-4FCF-B3EE-855D2303C6FB}"/>
            </a:ext>
          </a:extLst>
        </xdr:cNvPr>
        <xdr:cNvSpPr txBox="1"/>
      </xdr:nvSpPr>
      <xdr:spPr>
        <a:xfrm>
          <a:off x="25893556" y="4963413"/>
          <a:ext cx="16235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daised_dev_ch_size [4:0]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85</xdr:col>
      <xdr:colOff>1068915</xdr:colOff>
      <xdr:row>10</xdr:row>
      <xdr:rowOff>88457</xdr:rowOff>
    </xdr:from>
    <xdr:to>
      <xdr:col>85</xdr:col>
      <xdr:colOff>1068915</xdr:colOff>
      <xdr:row>20</xdr:row>
      <xdr:rowOff>144699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00490121-DDAA-4076-8C59-5D810DF189C7}"/>
            </a:ext>
          </a:extLst>
        </xdr:cNvPr>
        <xdr:cNvCxnSpPr/>
      </xdr:nvCxnSpPr>
      <xdr:spPr>
        <a:xfrm flipH="1">
          <a:off x="42955103" y="2231582"/>
          <a:ext cx="0" cy="2199367"/>
        </a:xfrm>
        <a:prstGeom prst="line">
          <a:avLst/>
        </a:prstGeom>
        <a:ln w="31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341368</xdr:colOff>
      <xdr:row>8</xdr:row>
      <xdr:rowOff>176389</xdr:rowOff>
    </xdr:from>
    <xdr:to>
      <xdr:col>7</xdr:col>
      <xdr:colOff>3642</xdr:colOff>
      <xdr:row>11</xdr:row>
      <xdr:rowOff>176742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98053B9B-4A50-43C9-AFBB-982E5A4FFA7B}"/>
            </a:ext>
          </a:extLst>
        </xdr:cNvPr>
        <xdr:cNvSpPr/>
      </xdr:nvSpPr>
      <xdr:spPr>
        <a:xfrm rot="5400000">
          <a:off x="3203278" y="7733183"/>
          <a:ext cx="617714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11759</xdr:colOff>
      <xdr:row>19</xdr:row>
      <xdr:rowOff>170507</xdr:rowOff>
    </xdr:from>
    <xdr:to>
      <xdr:col>17</xdr:col>
      <xdr:colOff>344082</xdr:colOff>
      <xdr:row>22</xdr:row>
      <xdr:rowOff>19701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9734C73A-3091-4EF7-BBE6-12D4B4E39F75}"/>
            </a:ext>
          </a:extLst>
        </xdr:cNvPr>
        <xdr:cNvSpPr/>
      </xdr:nvSpPr>
      <xdr:spPr>
        <a:xfrm>
          <a:off x="2998611" y="9677868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346779</xdr:colOff>
      <xdr:row>6</xdr:row>
      <xdr:rowOff>93137</xdr:rowOff>
    </xdr:from>
    <xdr:to>
      <xdr:col>9</xdr:col>
      <xdr:colOff>9052</xdr:colOff>
      <xdr:row>11</xdr:row>
      <xdr:rowOff>170393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81AA1896-B96F-41A5-BA98-6AB092BC1E51}"/>
            </a:ext>
          </a:extLst>
        </xdr:cNvPr>
        <xdr:cNvSpPr/>
      </xdr:nvSpPr>
      <xdr:spPr>
        <a:xfrm rot="5400000">
          <a:off x="3658246" y="7470836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340898</xdr:colOff>
      <xdr:row>6</xdr:row>
      <xdr:rowOff>99017</xdr:rowOff>
    </xdr:from>
    <xdr:to>
      <xdr:col>11</xdr:col>
      <xdr:colOff>3171</xdr:colOff>
      <xdr:row>11</xdr:row>
      <xdr:rowOff>176273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2FC6BB7A-80FF-4E21-BD3F-553F92586692}"/>
            </a:ext>
          </a:extLst>
        </xdr:cNvPr>
        <xdr:cNvSpPr/>
      </xdr:nvSpPr>
      <xdr:spPr>
        <a:xfrm rot="5400000">
          <a:off x="4357921" y="7476716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11</xdr:col>
      <xdr:colOff>346307</xdr:colOff>
      <xdr:row>6</xdr:row>
      <xdr:rowOff>92668</xdr:rowOff>
    </xdr:from>
    <xdr:to>
      <xdr:col>13</xdr:col>
      <xdr:colOff>8581</xdr:colOff>
      <xdr:row>11</xdr:row>
      <xdr:rowOff>169924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1F4A5EB6-E2CB-4664-A695-8379761AE0D9}"/>
            </a:ext>
          </a:extLst>
        </xdr:cNvPr>
        <xdr:cNvSpPr/>
      </xdr:nvSpPr>
      <xdr:spPr>
        <a:xfrm rot="5400000">
          <a:off x="5068886" y="7470367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346307</xdr:colOff>
      <xdr:row>6</xdr:row>
      <xdr:rowOff>92668</xdr:rowOff>
    </xdr:from>
    <xdr:to>
      <xdr:col>15</xdr:col>
      <xdr:colOff>8580</xdr:colOff>
      <xdr:row>11</xdr:row>
      <xdr:rowOff>169924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4937B858-FB74-483F-8228-764D0254F137}"/>
            </a:ext>
          </a:extLst>
        </xdr:cNvPr>
        <xdr:cNvSpPr/>
      </xdr:nvSpPr>
      <xdr:spPr>
        <a:xfrm rot="5400000">
          <a:off x="5774441" y="7470367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15</xdr:col>
      <xdr:colOff>351716</xdr:colOff>
      <xdr:row>6</xdr:row>
      <xdr:rowOff>86319</xdr:rowOff>
    </xdr:from>
    <xdr:to>
      <xdr:col>17</xdr:col>
      <xdr:colOff>13990</xdr:colOff>
      <xdr:row>11</xdr:row>
      <xdr:rowOff>163575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663A36E9-4565-4EAC-AE92-567DDE2E9FE6}"/>
            </a:ext>
          </a:extLst>
        </xdr:cNvPr>
        <xdr:cNvSpPr/>
      </xdr:nvSpPr>
      <xdr:spPr>
        <a:xfrm rot="5400000">
          <a:off x="6485406" y="7464018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5</xdr:col>
      <xdr:colOff>335019</xdr:colOff>
      <xdr:row>42</xdr:row>
      <xdr:rowOff>10821</xdr:rowOff>
    </xdr:from>
    <xdr:to>
      <xdr:col>6</xdr:col>
      <xdr:colOff>350070</xdr:colOff>
      <xdr:row>47</xdr:row>
      <xdr:rowOff>88077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0CD8759-C4AE-479E-859D-1E87201DCC6E}"/>
            </a:ext>
          </a:extLst>
        </xdr:cNvPr>
        <xdr:cNvSpPr/>
      </xdr:nvSpPr>
      <xdr:spPr>
        <a:xfrm rot="5400000">
          <a:off x="2940931" y="14091298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340429</xdr:colOff>
      <xdr:row>42</xdr:row>
      <xdr:rowOff>4472</xdr:rowOff>
    </xdr:from>
    <xdr:to>
      <xdr:col>9</xdr:col>
      <xdr:colOff>2702</xdr:colOff>
      <xdr:row>47</xdr:row>
      <xdr:rowOff>81728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293EB39-8C6A-421A-931C-3E5033F08A4A}"/>
            </a:ext>
          </a:extLst>
        </xdr:cNvPr>
        <xdr:cNvSpPr/>
      </xdr:nvSpPr>
      <xdr:spPr>
        <a:xfrm rot="5400000">
          <a:off x="3651896" y="14084949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334548</xdr:colOff>
      <xdr:row>42</xdr:row>
      <xdr:rowOff>10352</xdr:rowOff>
    </xdr:from>
    <xdr:to>
      <xdr:col>10</xdr:col>
      <xdr:colOff>349599</xdr:colOff>
      <xdr:row>47</xdr:row>
      <xdr:rowOff>87608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6D28F212-05CD-4BC8-911D-DB56589F4255}"/>
            </a:ext>
          </a:extLst>
        </xdr:cNvPr>
        <xdr:cNvSpPr/>
      </xdr:nvSpPr>
      <xdr:spPr>
        <a:xfrm rot="5400000">
          <a:off x="4351571" y="14090829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11</xdr:col>
      <xdr:colOff>339957</xdr:colOff>
      <xdr:row>42</xdr:row>
      <xdr:rowOff>4003</xdr:rowOff>
    </xdr:from>
    <xdr:to>
      <xdr:col>13</xdr:col>
      <xdr:colOff>2231</xdr:colOff>
      <xdr:row>47</xdr:row>
      <xdr:rowOff>81259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A51DE0A4-D231-480E-8270-366832BA4747}"/>
            </a:ext>
          </a:extLst>
        </xdr:cNvPr>
        <xdr:cNvSpPr/>
      </xdr:nvSpPr>
      <xdr:spPr>
        <a:xfrm rot="5400000">
          <a:off x="5062536" y="140844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339957</xdr:colOff>
      <xdr:row>42</xdr:row>
      <xdr:rowOff>4003</xdr:rowOff>
    </xdr:from>
    <xdr:to>
      <xdr:col>15</xdr:col>
      <xdr:colOff>2230</xdr:colOff>
      <xdr:row>47</xdr:row>
      <xdr:rowOff>81259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73E8782F-93A2-486F-B5FE-26641027AEC1}"/>
            </a:ext>
          </a:extLst>
        </xdr:cNvPr>
        <xdr:cNvSpPr/>
      </xdr:nvSpPr>
      <xdr:spPr>
        <a:xfrm rot="5400000">
          <a:off x="5768091" y="140844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15</xdr:col>
      <xdr:colOff>345366</xdr:colOff>
      <xdr:row>41</xdr:row>
      <xdr:rowOff>179922</xdr:rowOff>
    </xdr:from>
    <xdr:to>
      <xdr:col>17</xdr:col>
      <xdr:colOff>7640</xdr:colOff>
      <xdr:row>47</xdr:row>
      <xdr:rowOff>74910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490F3BB8-CEA4-49D5-9B34-7E9122FC02DC}"/>
            </a:ext>
          </a:extLst>
        </xdr:cNvPr>
        <xdr:cNvSpPr/>
      </xdr:nvSpPr>
      <xdr:spPr>
        <a:xfrm rot="5400000">
          <a:off x="6479056" y="14078131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3</xdr:col>
      <xdr:colOff>658048</xdr:colOff>
      <xdr:row>11</xdr:row>
      <xdr:rowOff>181797</xdr:rowOff>
    </xdr:from>
    <xdr:to>
      <xdr:col>19</xdr:col>
      <xdr:colOff>0</xdr:colOff>
      <xdr:row>42</xdr:row>
      <xdr:rowOff>0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96A0B572-B888-40F2-93AD-63A3BE578C37}"/>
            </a:ext>
          </a:extLst>
        </xdr:cNvPr>
        <xdr:cNvSpPr/>
      </xdr:nvSpPr>
      <xdr:spPr>
        <a:xfrm>
          <a:off x="2633604" y="8231010"/>
          <a:ext cx="5292137" cy="546852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11290</xdr:colOff>
      <xdr:row>15</xdr:row>
      <xdr:rowOff>170038</xdr:rowOff>
    </xdr:from>
    <xdr:to>
      <xdr:col>17</xdr:col>
      <xdr:colOff>341019</xdr:colOff>
      <xdr:row>18</xdr:row>
      <xdr:rowOff>19232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A8D3E0AE-2531-406A-B24F-2EC536794AFA}"/>
            </a:ext>
          </a:extLst>
        </xdr:cNvPr>
        <xdr:cNvSpPr/>
      </xdr:nvSpPr>
      <xdr:spPr>
        <a:xfrm>
          <a:off x="2998142" y="8948325"/>
          <a:ext cx="4563062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10820</xdr:colOff>
      <xdr:row>15</xdr:row>
      <xdr:rowOff>175447</xdr:rowOff>
    </xdr:from>
    <xdr:to>
      <xdr:col>22</xdr:col>
      <xdr:colOff>52917</xdr:colOff>
      <xdr:row>18</xdr:row>
      <xdr:rowOff>24641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358BDB1D-ED9C-4330-9E7E-7972369553DC}"/>
            </a:ext>
          </a:extLst>
        </xdr:cNvPr>
        <xdr:cNvSpPr/>
      </xdr:nvSpPr>
      <xdr:spPr>
        <a:xfrm>
          <a:off x="7936561" y="8953734"/>
          <a:ext cx="1782467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98543</xdr:colOff>
      <xdr:row>13</xdr:row>
      <xdr:rowOff>145579</xdr:rowOff>
    </xdr:from>
    <xdr:to>
      <xdr:col>22</xdr:col>
      <xdr:colOff>52917</xdr:colOff>
      <xdr:row>15</xdr:row>
      <xdr:rowOff>177042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6BECE2E6-8057-4AF0-89B3-8C168BCA02A4}"/>
            </a:ext>
          </a:extLst>
        </xdr:cNvPr>
        <xdr:cNvSpPr/>
      </xdr:nvSpPr>
      <xdr:spPr>
        <a:xfrm>
          <a:off x="8447617" y="8559329"/>
          <a:ext cx="1271411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32433</xdr:colOff>
      <xdr:row>11</xdr:row>
      <xdr:rowOff>176285</xdr:rowOff>
    </xdr:from>
    <xdr:to>
      <xdr:col>20</xdr:col>
      <xdr:colOff>475286</xdr:colOff>
      <xdr:row>17</xdr:row>
      <xdr:rowOff>26946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DE7A853B-7B77-4856-AE93-46023E9A6784}"/>
            </a:ext>
          </a:extLst>
        </xdr:cNvPr>
        <xdr:cNvSpPr/>
      </xdr:nvSpPr>
      <xdr:spPr>
        <a:xfrm rot="2032801">
          <a:off x="8381507" y="8225498"/>
          <a:ext cx="442853" cy="944272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180859</xdr:colOff>
      <xdr:row>15</xdr:row>
      <xdr:rowOff>169097</xdr:rowOff>
    </xdr:from>
    <xdr:to>
      <xdr:col>3</xdr:col>
      <xdr:colOff>646289</xdr:colOff>
      <xdr:row>18</xdr:row>
      <xdr:rowOff>18291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3B035813-9131-43C8-AC0B-675360EAB1D7}"/>
            </a:ext>
          </a:extLst>
        </xdr:cNvPr>
        <xdr:cNvSpPr/>
      </xdr:nvSpPr>
      <xdr:spPr>
        <a:xfrm>
          <a:off x="839378" y="8947384"/>
          <a:ext cx="1782467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180387</xdr:colOff>
      <xdr:row>13</xdr:row>
      <xdr:rowOff>139229</xdr:rowOff>
    </xdr:from>
    <xdr:to>
      <xdr:col>3</xdr:col>
      <xdr:colOff>140640</xdr:colOff>
      <xdr:row>15</xdr:row>
      <xdr:rowOff>170692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2FD8B334-91E5-47BD-A6E2-EB086378F74C}"/>
            </a:ext>
          </a:extLst>
        </xdr:cNvPr>
        <xdr:cNvSpPr/>
      </xdr:nvSpPr>
      <xdr:spPr>
        <a:xfrm>
          <a:off x="838906" y="8552979"/>
          <a:ext cx="1277290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397940</xdr:colOff>
      <xdr:row>11</xdr:row>
      <xdr:rowOff>142161</xdr:rowOff>
    </xdr:from>
    <xdr:to>
      <xdr:col>3</xdr:col>
      <xdr:colOff>182274</xdr:colOff>
      <xdr:row>17</xdr:row>
      <xdr:rowOff>56216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3E68AA7F-3549-435B-8821-B50379187272}"/>
            </a:ext>
          </a:extLst>
        </xdr:cNvPr>
        <xdr:cNvSpPr/>
      </xdr:nvSpPr>
      <xdr:spPr>
        <a:xfrm rot="19282695">
          <a:off x="1714977" y="8191374"/>
          <a:ext cx="442853" cy="100766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341019</xdr:colOff>
      <xdr:row>11</xdr:row>
      <xdr:rowOff>115711</xdr:rowOff>
    </xdr:from>
    <xdr:to>
      <xdr:col>22</xdr:col>
      <xdr:colOff>52917</xdr:colOff>
      <xdr:row>13</xdr:row>
      <xdr:rowOff>147174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D1C5D31A-3FCD-4C6D-BA43-B70D35555CC6}"/>
            </a:ext>
          </a:extLst>
        </xdr:cNvPr>
        <xdr:cNvSpPr/>
      </xdr:nvSpPr>
      <xdr:spPr>
        <a:xfrm>
          <a:off x="8690093" y="8164924"/>
          <a:ext cx="1028935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181799</xdr:colOff>
      <xdr:row>11</xdr:row>
      <xdr:rowOff>109361</xdr:rowOff>
    </xdr:from>
    <xdr:to>
      <xdr:col>2</xdr:col>
      <xdr:colOff>470371</xdr:colOff>
      <xdr:row>13</xdr:row>
      <xdr:rowOff>140824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F1B975CC-0246-4543-BA18-B7E038407ABC}"/>
            </a:ext>
          </a:extLst>
        </xdr:cNvPr>
        <xdr:cNvSpPr/>
      </xdr:nvSpPr>
      <xdr:spPr>
        <a:xfrm>
          <a:off x="840318" y="8158574"/>
          <a:ext cx="947090" cy="3960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11288</xdr:colOff>
      <xdr:row>19</xdr:row>
      <xdr:rowOff>175916</xdr:rowOff>
    </xdr:from>
    <xdr:to>
      <xdr:col>22</xdr:col>
      <xdr:colOff>11759</xdr:colOff>
      <xdr:row>22</xdr:row>
      <xdr:rowOff>25110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888DF6A0-CB86-4492-ACB4-9D96C7C8AE64}"/>
            </a:ext>
          </a:extLst>
        </xdr:cNvPr>
        <xdr:cNvSpPr/>
      </xdr:nvSpPr>
      <xdr:spPr>
        <a:xfrm>
          <a:off x="7937029" y="9683277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11288</xdr:colOff>
      <xdr:row>35</xdr:row>
      <xdr:rowOff>170037</xdr:rowOff>
    </xdr:from>
    <xdr:to>
      <xdr:col>17</xdr:col>
      <xdr:colOff>343611</xdr:colOff>
      <xdr:row>38</xdr:row>
      <xdr:rowOff>19231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BE4A4157-9AA3-4BA4-83C5-BF95D660E009}"/>
            </a:ext>
          </a:extLst>
        </xdr:cNvPr>
        <xdr:cNvSpPr/>
      </xdr:nvSpPr>
      <xdr:spPr>
        <a:xfrm>
          <a:off x="2998140" y="12593694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10817</xdr:colOff>
      <xdr:row>31</xdr:row>
      <xdr:rowOff>163687</xdr:rowOff>
    </xdr:from>
    <xdr:to>
      <xdr:col>17</xdr:col>
      <xdr:colOff>343140</xdr:colOff>
      <xdr:row>34</xdr:row>
      <xdr:rowOff>12881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C3C3178-B8D6-44CA-ACE1-635CDCCA8B64}"/>
            </a:ext>
          </a:extLst>
        </xdr:cNvPr>
        <xdr:cNvSpPr/>
      </xdr:nvSpPr>
      <xdr:spPr>
        <a:xfrm>
          <a:off x="2997669" y="11858270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17168</xdr:colOff>
      <xdr:row>23</xdr:row>
      <xdr:rowOff>164157</xdr:rowOff>
    </xdr:from>
    <xdr:to>
      <xdr:col>17</xdr:col>
      <xdr:colOff>349491</xdr:colOff>
      <xdr:row>26</xdr:row>
      <xdr:rowOff>13351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ACD0D0C4-BF74-4922-95D7-52613C4E615C}"/>
            </a:ext>
          </a:extLst>
        </xdr:cNvPr>
        <xdr:cNvSpPr/>
      </xdr:nvSpPr>
      <xdr:spPr>
        <a:xfrm>
          <a:off x="3004020" y="10400592"/>
          <a:ext cx="4565656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246944</xdr:colOff>
      <xdr:row>19</xdr:row>
      <xdr:rowOff>176389</xdr:rowOff>
    </xdr:from>
    <xdr:to>
      <xdr:col>16</xdr:col>
      <xdr:colOff>70556</xdr:colOff>
      <xdr:row>36</xdr:row>
      <xdr:rowOff>64675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D88AF944-BC6B-4D94-90E6-7A867FAA6933}"/>
            </a:ext>
          </a:extLst>
        </xdr:cNvPr>
        <xdr:cNvSpPr/>
      </xdr:nvSpPr>
      <xdr:spPr>
        <a:xfrm>
          <a:off x="3568935" y="9683750"/>
          <a:ext cx="3292593" cy="2986851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4938</xdr:colOff>
      <xdr:row>23</xdr:row>
      <xdr:rowOff>169566</xdr:rowOff>
    </xdr:from>
    <xdr:to>
      <xdr:col>22</xdr:col>
      <xdr:colOff>5409</xdr:colOff>
      <xdr:row>26</xdr:row>
      <xdr:rowOff>18760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317FA76C-7EA2-4535-8230-7E9D5D9DC207}"/>
            </a:ext>
          </a:extLst>
        </xdr:cNvPr>
        <xdr:cNvSpPr/>
      </xdr:nvSpPr>
      <xdr:spPr>
        <a:xfrm>
          <a:off x="7930679" y="10406001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10817</xdr:colOff>
      <xdr:row>31</xdr:row>
      <xdr:rowOff>175445</xdr:rowOff>
    </xdr:from>
    <xdr:to>
      <xdr:col>22</xdr:col>
      <xdr:colOff>11288</xdr:colOff>
      <xdr:row>34</xdr:row>
      <xdr:rowOff>24639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544559C-7C6C-4467-845C-08E8191A2E74}"/>
            </a:ext>
          </a:extLst>
        </xdr:cNvPr>
        <xdr:cNvSpPr/>
      </xdr:nvSpPr>
      <xdr:spPr>
        <a:xfrm>
          <a:off x="7936558" y="11870028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4467</xdr:colOff>
      <xdr:row>35</xdr:row>
      <xdr:rowOff>169095</xdr:rowOff>
    </xdr:from>
    <xdr:to>
      <xdr:col>22</xdr:col>
      <xdr:colOff>4938</xdr:colOff>
      <xdr:row>38</xdr:row>
      <xdr:rowOff>18289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48081F67-58D9-4B3A-9B1C-E98CF1EA4E37}"/>
            </a:ext>
          </a:extLst>
        </xdr:cNvPr>
        <xdr:cNvSpPr/>
      </xdr:nvSpPr>
      <xdr:spPr>
        <a:xfrm>
          <a:off x="7930208" y="12592752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227893</xdr:colOff>
      <xdr:row>31</xdr:row>
      <xdr:rowOff>163216</xdr:rowOff>
    </xdr:from>
    <xdr:to>
      <xdr:col>3</xdr:col>
      <xdr:colOff>651697</xdr:colOff>
      <xdr:row>34</xdr:row>
      <xdr:rowOff>12410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B16D16E6-49DE-4505-95D5-CC60420E120C}"/>
            </a:ext>
          </a:extLst>
        </xdr:cNvPr>
        <xdr:cNvSpPr/>
      </xdr:nvSpPr>
      <xdr:spPr>
        <a:xfrm>
          <a:off x="886412" y="11857799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221543</xdr:colOff>
      <xdr:row>35</xdr:row>
      <xdr:rowOff>150986</xdr:rowOff>
    </xdr:from>
    <xdr:to>
      <xdr:col>3</xdr:col>
      <xdr:colOff>645347</xdr:colOff>
      <xdr:row>38</xdr:row>
      <xdr:rowOff>180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4A3787DA-CF80-4C1D-89B1-FAE46D724BDD}"/>
            </a:ext>
          </a:extLst>
        </xdr:cNvPr>
        <xdr:cNvSpPr/>
      </xdr:nvSpPr>
      <xdr:spPr>
        <a:xfrm>
          <a:off x="880062" y="12574643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244591</xdr:colOff>
      <xdr:row>27</xdr:row>
      <xdr:rowOff>156395</xdr:rowOff>
    </xdr:from>
    <xdr:to>
      <xdr:col>3</xdr:col>
      <xdr:colOff>646289</xdr:colOff>
      <xdr:row>30</xdr:row>
      <xdr:rowOff>5589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49C9F03F-A6E8-42C1-B29D-3D97D3F93741}"/>
            </a:ext>
          </a:extLst>
        </xdr:cNvPr>
        <xdr:cNvSpPr/>
      </xdr:nvSpPr>
      <xdr:spPr>
        <a:xfrm>
          <a:off x="903110" y="11121904"/>
          <a:ext cx="1718735" cy="3960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227423</xdr:colOff>
      <xdr:row>19</xdr:row>
      <xdr:rowOff>180384</xdr:rowOff>
    </xdr:from>
    <xdr:to>
      <xdr:col>3</xdr:col>
      <xdr:colOff>651227</xdr:colOff>
      <xdr:row>22</xdr:row>
      <xdr:rowOff>29578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6BD72E4-3D9C-4519-82C9-4A82F48C227F}"/>
            </a:ext>
          </a:extLst>
        </xdr:cNvPr>
        <xdr:cNvSpPr/>
      </xdr:nvSpPr>
      <xdr:spPr>
        <a:xfrm>
          <a:off x="885942" y="9687745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221073</xdr:colOff>
      <xdr:row>23</xdr:row>
      <xdr:rowOff>168154</xdr:rowOff>
    </xdr:from>
    <xdr:to>
      <xdr:col>3</xdr:col>
      <xdr:colOff>644877</xdr:colOff>
      <xdr:row>26</xdr:row>
      <xdr:rowOff>17348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92A7F682-E5DC-4C10-8E24-35CE2B9B5414}"/>
            </a:ext>
          </a:extLst>
        </xdr:cNvPr>
        <xdr:cNvSpPr/>
      </xdr:nvSpPr>
      <xdr:spPr>
        <a:xfrm>
          <a:off x="879592" y="10404589"/>
          <a:ext cx="1740841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386643</xdr:colOff>
      <xdr:row>21</xdr:row>
      <xdr:rowOff>163216</xdr:rowOff>
    </xdr:from>
    <xdr:to>
      <xdr:col>22</xdr:col>
      <xdr:colOff>5880</xdr:colOff>
      <xdr:row>24</xdr:row>
      <xdr:rowOff>12410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86405587-77E2-4ECD-83B5-A15938387586}"/>
            </a:ext>
          </a:extLst>
        </xdr:cNvPr>
        <xdr:cNvSpPr/>
      </xdr:nvSpPr>
      <xdr:spPr>
        <a:xfrm>
          <a:off x="8312384" y="10035114"/>
          <a:ext cx="1359607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386173</xdr:colOff>
      <xdr:row>33</xdr:row>
      <xdr:rowOff>162745</xdr:rowOff>
    </xdr:from>
    <xdr:to>
      <xdr:col>22</xdr:col>
      <xdr:colOff>5410</xdr:colOff>
      <xdr:row>47</xdr:row>
      <xdr:rowOff>52915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45C0C31B-BFE1-4F50-B75E-41E3687888C4}"/>
            </a:ext>
          </a:extLst>
        </xdr:cNvPr>
        <xdr:cNvSpPr/>
      </xdr:nvSpPr>
      <xdr:spPr>
        <a:xfrm>
          <a:off x="8311914" y="12221865"/>
          <a:ext cx="1359607" cy="258304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221071</xdr:colOff>
      <xdr:row>33</xdr:row>
      <xdr:rowOff>150516</xdr:rowOff>
    </xdr:from>
    <xdr:to>
      <xdr:col>3</xdr:col>
      <xdr:colOff>263641</xdr:colOff>
      <xdr:row>47</xdr:row>
      <xdr:rowOff>5879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3B78ED05-546B-432A-B596-97D8457A38B7}"/>
            </a:ext>
          </a:extLst>
        </xdr:cNvPr>
        <xdr:cNvSpPr/>
      </xdr:nvSpPr>
      <xdr:spPr>
        <a:xfrm>
          <a:off x="879590" y="12209636"/>
          <a:ext cx="1359607" cy="2548234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226480</xdr:colOff>
      <xdr:row>21</xdr:row>
      <xdr:rowOff>161804</xdr:rowOff>
    </xdr:from>
    <xdr:to>
      <xdr:col>3</xdr:col>
      <xdr:colOff>269050</xdr:colOff>
      <xdr:row>24</xdr:row>
      <xdr:rowOff>10998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CDD34D-B6E8-4520-B68D-66B2052F02C3}"/>
            </a:ext>
          </a:extLst>
        </xdr:cNvPr>
        <xdr:cNvSpPr/>
      </xdr:nvSpPr>
      <xdr:spPr>
        <a:xfrm>
          <a:off x="884999" y="10033702"/>
          <a:ext cx="1359607" cy="3960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583199</xdr:colOff>
      <xdr:row>6</xdr:row>
      <xdr:rowOff>174221</xdr:rowOff>
    </xdr:from>
    <xdr:to>
      <xdr:col>6</xdr:col>
      <xdr:colOff>348835</xdr:colOff>
      <xdr:row>8</xdr:row>
      <xdr:rowOff>106957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49EAC265-A994-436D-A6C5-0667DC2FA315}"/>
            </a:ext>
          </a:extLst>
        </xdr:cNvPr>
        <xdr:cNvSpPr/>
      </xdr:nvSpPr>
      <xdr:spPr>
        <a:xfrm rot="2553224">
          <a:off x="2558755" y="7170980"/>
          <a:ext cx="1129710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451094</xdr:colOff>
      <xdr:row>7</xdr:row>
      <xdr:rowOff>124467</xdr:rowOff>
    </xdr:from>
    <xdr:to>
      <xdr:col>6</xdr:col>
      <xdr:colOff>259439</xdr:colOff>
      <xdr:row>9</xdr:row>
      <xdr:rowOff>57204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7C055B7-5CB4-4F4C-B741-826E3769CB38}"/>
            </a:ext>
          </a:extLst>
        </xdr:cNvPr>
        <xdr:cNvSpPr/>
      </xdr:nvSpPr>
      <xdr:spPr>
        <a:xfrm rot="2553224">
          <a:off x="2426650" y="7338773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262476</xdr:colOff>
      <xdr:row>4</xdr:row>
      <xdr:rowOff>6405</xdr:rowOff>
    </xdr:from>
    <xdr:to>
      <xdr:col>9</xdr:col>
      <xdr:colOff>23784</xdr:colOff>
      <xdr:row>6</xdr:row>
      <xdr:rowOff>9697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28F68E9-5B1F-4D3E-A21E-6CD5176A2CAD}"/>
            </a:ext>
          </a:extLst>
        </xdr:cNvPr>
        <xdr:cNvSpPr/>
      </xdr:nvSpPr>
      <xdr:spPr>
        <a:xfrm rot="2553224">
          <a:off x="3249328" y="6638627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114455</xdr:colOff>
      <xdr:row>5</xdr:row>
      <xdr:rowOff>15499</xdr:rowOff>
    </xdr:from>
    <xdr:to>
      <xdr:col>8</xdr:col>
      <xdr:colOff>269814</xdr:colOff>
      <xdr:row>6</xdr:row>
      <xdr:rowOff>201060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B271180-7B95-4F6B-B251-C5D1F6EE991D}"/>
            </a:ext>
          </a:extLst>
        </xdr:cNvPr>
        <xdr:cNvSpPr/>
      </xdr:nvSpPr>
      <xdr:spPr>
        <a:xfrm rot="2553224">
          <a:off x="3101307" y="6829990"/>
          <a:ext cx="1213692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175796</xdr:colOff>
      <xdr:row>2</xdr:row>
      <xdr:rowOff>11761</xdr:rowOff>
    </xdr:from>
    <xdr:to>
      <xdr:col>10</xdr:col>
      <xdr:colOff>190847</xdr:colOff>
      <xdr:row>6</xdr:row>
      <xdr:rowOff>117593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72E9A4B-DE88-4C9B-A2DA-A2E28964E25B}"/>
            </a:ext>
          </a:extLst>
        </xdr:cNvPr>
        <xdr:cNvSpPr/>
      </xdr:nvSpPr>
      <xdr:spPr>
        <a:xfrm rot="5400000">
          <a:off x="4340221" y="6512984"/>
          <a:ext cx="834906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10</xdr:col>
      <xdr:colOff>151805</xdr:colOff>
      <xdr:row>2</xdr:row>
      <xdr:rowOff>11290</xdr:rowOff>
    </xdr:from>
    <xdr:to>
      <xdr:col>11</xdr:col>
      <xdr:colOff>166856</xdr:colOff>
      <xdr:row>6</xdr:row>
      <xdr:rowOff>111713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796DD4F-B1D3-47A9-81FC-F786BD3F6124}"/>
            </a:ext>
          </a:extLst>
        </xdr:cNvPr>
        <xdr:cNvSpPr/>
      </xdr:nvSpPr>
      <xdr:spPr>
        <a:xfrm rot="5400000">
          <a:off x="4671712" y="6509809"/>
          <a:ext cx="829497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9</xdr:col>
      <xdr:colOff>170508</xdr:colOff>
      <xdr:row>5</xdr:row>
      <xdr:rowOff>70551</xdr:rowOff>
    </xdr:from>
    <xdr:to>
      <xdr:col>9</xdr:col>
      <xdr:colOff>350508</xdr:colOff>
      <xdr:row>6</xdr:row>
      <xdr:rowOff>152866</xdr:rowOff>
    </xdr:to>
    <xdr:sp macro="" textlink="">
      <xdr:nvSpPr>
        <xdr:cNvPr id="13" name="직각 삼각형 12">
          <a:extLst>
            <a:ext uri="{FF2B5EF4-FFF2-40B4-BE49-F238E27FC236}">
              <a16:creationId xmlns:a16="http://schemas.microsoft.com/office/drawing/2014/main" id="{8F5321E0-2AC8-95F8-80CC-B777801E6568}"/>
            </a:ext>
          </a:extLst>
        </xdr:cNvPr>
        <xdr:cNvSpPr/>
      </xdr:nvSpPr>
      <xdr:spPr>
        <a:xfrm>
          <a:off x="4568471" y="6885042"/>
          <a:ext cx="180000" cy="264583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346432</xdr:colOff>
      <xdr:row>5</xdr:row>
      <xdr:rowOff>40680</xdr:rowOff>
    </xdr:from>
    <xdr:to>
      <xdr:col>11</xdr:col>
      <xdr:colOff>173654</xdr:colOff>
      <xdr:row>6</xdr:row>
      <xdr:rowOff>122995</xdr:rowOff>
    </xdr:to>
    <xdr:sp macro="" textlink="">
      <xdr:nvSpPr>
        <xdr:cNvPr id="15" name="직각 삼각형 14">
          <a:extLst>
            <a:ext uri="{FF2B5EF4-FFF2-40B4-BE49-F238E27FC236}">
              <a16:creationId xmlns:a16="http://schemas.microsoft.com/office/drawing/2014/main" id="{7441FA43-E3D7-4774-A290-4A1443DF923A}"/>
            </a:ext>
          </a:extLst>
        </xdr:cNvPr>
        <xdr:cNvSpPr/>
      </xdr:nvSpPr>
      <xdr:spPr>
        <a:xfrm flipH="1">
          <a:off x="5097173" y="6855171"/>
          <a:ext cx="180000" cy="264583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450624</xdr:colOff>
      <xdr:row>46</xdr:row>
      <xdr:rowOff>82839</xdr:rowOff>
    </xdr:from>
    <xdr:to>
      <xdr:col>6</xdr:col>
      <xdr:colOff>258969</xdr:colOff>
      <xdr:row>48</xdr:row>
      <xdr:rowOff>15575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C8579F3-E4FF-423E-8C45-74126F4AAF3D}"/>
            </a:ext>
          </a:extLst>
        </xdr:cNvPr>
        <xdr:cNvSpPr/>
      </xdr:nvSpPr>
      <xdr:spPr>
        <a:xfrm rot="19046776" flipH="1">
          <a:off x="2426180" y="14617283"/>
          <a:ext cx="1172419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1199</xdr:colOff>
      <xdr:row>47</xdr:row>
      <xdr:rowOff>132456</xdr:rowOff>
    </xdr:from>
    <xdr:to>
      <xdr:col>7</xdr:col>
      <xdr:colOff>2594</xdr:colOff>
      <xdr:row>49</xdr:row>
      <xdr:rowOff>65193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E72BEE7F-BF5A-4964-BFED-36A28399020C}"/>
            </a:ext>
          </a:extLst>
        </xdr:cNvPr>
        <xdr:cNvSpPr/>
      </xdr:nvSpPr>
      <xdr:spPr>
        <a:xfrm rot="19046776" flipH="1">
          <a:off x="2635273" y="14884447"/>
          <a:ext cx="1059728" cy="367829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164629</xdr:colOff>
      <xdr:row>16</xdr:row>
      <xdr:rowOff>141111</xdr:rowOff>
    </xdr:from>
    <xdr:to>
      <xdr:col>22</xdr:col>
      <xdr:colOff>646759</xdr:colOff>
      <xdr:row>21</xdr:row>
      <xdr:rowOff>64676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5956852A-B152-10F9-FB9B-DEB92ADE9994}"/>
            </a:ext>
          </a:extLst>
        </xdr:cNvPr>
        <xdr:cNvCxnSpPr/>
      </xdr:nvCxnSpPr>
      <xdr:spPr>
        <a:xfrm flipV="1">
          <a:off x="7649398" y="3233796"/>
          <a:ext cx="2569398" cy="834908"/>
        </a:xfrm>
        <a:prstGeom prst="straightConnector1">
          <a:avLst/>
        </a:prstGeom>
        <a:ln w="158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241064</xdr:colOff>
      <xdr:row>29</xdr:row>
      <xdr:rowOff>99954</xdr:rowOff>
    </xdr:from>
    <xdr:to>
      <xdr:col>23</xdr:col>
      <xdr:colOff>82314</xdr:colOff>
      <xdr:row>34</xdr:row>
      <xdr:rowOff>5879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8A46F311-01A6-475D-8DDF-D91A375AC31A}"/>
            </a:ext>
          </a:extLst>
        </xdr:cNvPr>
        <xdr:cNvCxnSpPr/>
      </xdr:nvCxnSpPr>
      <xdr:spPr>
        <a:xfrm>
          <a:off x="7725833" y="5562130"/>
          <a:ext cx="2587037" cy="817268"/>
        </a:xfrm>
        <a:prstGeom prst="straightConnector1">
          <a:avLst/>
        </a:prstGeom>
        <a:ln w="15875"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658048</xdr:colOff>
      <xdr:row>3</xdr:row>
      <xdr:rowOff>181797</xdr:rowOff>
    </xdr:from>
    <xdr:to>
      <xdr:col>16</xdr:col>
      <xdr:colOff>0</xdr:colOff>
      <xdr:row>34</xdr:row>
      <xdr:rowOff>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24E9CE50-7779-4FFA-8521-4143518BBD31}"/>
            </a:ext>
          </a:extLst>
        </xdr:cNvPr>
        <xdr:cNvSpPr/>
      </xdr:nvSpPr>
      <xdr:spPr>
        <a:xfrm>
          <a:off x="2632898" y="8290747"/>
          <a:ext cx="5241102" cy="552685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341019</xdr:colOff>
      <xdr:row>10</xdr:row>
      <xdr:rowOff>0</xdr:rowOff>
    </xdr:from>
    <xdr:to>
      <xdr:col>13</xdr:col>
      <xdr:colOff>1</xdr:colOff>
      <xdr:row>27</xdr:row>
      <xdr:rowOff>170510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C477572-457B-430A-8CBC-8627833160FE}"/>
            </a:ext>
          </a:extLst>
        </xdr:cNvPr>
        <xdr:cNvSpPr/>
      </xdr:nvSpPr>
      <xdr:spPr>
        <a:xfrm>
          <a:off x="3668889" y="1893241"/>
          <a:ext cx="3127964" cy="326907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381706</xdr:colOff>
      <xdr:row>27</xdr:row>
      <xdr:rowOff>181798</xdr:rowOff>
    </xdr:from>
    <xdr:to>
      <xdr:col>18</xdr:col>
      <xdr:colOff>313864</xdr:colOff>
      <xdr:row>27</xdr:row>
      <xdr:rowOff>181798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61C19D9-BF45-4146-81A6-2E0E85F85D57}"/>
            </a:ext>
          </a:extLst>
        </xdr:cNvPr>
        <xdr:cNvCxnSpPr/>
      </xdr:nvCxnSpPr>
      <xdr:spPr>
        <a:xfrm flipV="1">
          <a:off x="2357262" y="5173604"/>
          <a:ext cx="6876000" cy="0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346555</xdr:colOff>
      <xdr:row>9</xdr:row>
      <xdr:rowOff>180250</xdr:rowOff>
    </xdr:from>
    <xdr:to>
      <xdr:col>4</xdr:col>
      <xdr:colOff>251657</xdr:colOff>
      <xdr:row>11</xdr:row>
      <xdr:rowOff>67713</xdr:rowOff>
    </xdr:to>
    <xdr:sp macro="" textlink="">
      <xdr:nvSpPr>
        <xdr:cNvPr id="67" name="직각 삼각형 66">
          <a:extLst>
            <a:ext uri="{FF2B5EF4-FFF2-40B4-BE49-F238E27FC236}">
              <a16:creationId xmlns:a16="http://schemas.microsoft.com/office/drawing/2014/main" id="{C0C87DA5-D875-7B27-B9C3-793108860553}"/>
            </a:ext>
          </a:extLst>
        </xdr:cNvPr>
        <xdr:cNvSpPr/>
      </xdr:nvSpPr>
      <xdr:spPr>
        <a:xfrm rot="5400000">
          <a:off x="2357388" y="1891222"/>
          <a:ext cx="252000" cy="252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587962</xdr:colOff>
      <xdr:row>1</xdr:row>
      <xdr:rowOff>17639</xdr:rowOff>
    </xdr:from>
    <xdr:ext cx="1149995" cy="37414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FFD790E-2876-116C-C0C1-4EDCDF1FA0E5}"/>
            </a:ext>
          </a:extLst>
        </xdr:cNvPr>
        <xdr:cNvSpPr txBox="1"/>
      </xdr:nvSpPr>
      <xdr:spPr>
        <a:xfrm>
          <a:off x="1246481" y="235185"/>
          <a:ext cx="114999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</a:t>
          </a:r>
          <a:endParaRPr lang="ko-KR" altLang="en-US" sz="1800" b="1"/>
        </a:p>
      </xdr:txBody>
    </xdr:sp>
    <xdr:clientData/>
  </xdr:oneCellAnchor>
  <xdr:twoCellAnchor>
    <xdr:from>
      <xdr:col>18</xdr:col>
      <xdr:colOff>81847</xdr:colOff>
      <xdr:row>10</xdr:row>
      <xdr:rowOff>17640</xdr:rowOff>
    </xdr:from>
    <xdr:to>
      <xdr:col>18</xdr:col>
      <xdr:colOff>81847</xdr:colOff>
      <xdr:row>28</xdr:row>
      <xdr:rowOff>1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FCAD5E-2238-4F73-AE91-36E039C76A18}"/>
            </a:ext>
          </a:extLst>
        </xdr:cNvPr>
        <xdr:cNvCxnSpPr/>
      </xdr:nvCxnSpPr>
      <xdr:spPr>
        <a:xfrm flipH="1" flipV="1">
          <a:off x="7684208" y="1910881"/>
          <a:ext cx="0" cy="3263194"/>
        </a:xfrm>
        <a:prstGeom prst="line">
          <a:avLst/>
        </a:prstGeom>
        <a:ln w="3175">
          <a:solidFill>
            <a:srgbClr val="0000FF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398876</xdr:colOff>
      <xdr:row>14</xdr:row>
      <xdr:rowOff>5409</xdr:rowOff>
    </xdr:from>
    <xdr:to>
      <xdr:col>16</xdr:col>
      <xdr:colOff>398876</xdr:colOff>
      <xdr:row>27</xdr:row>
      <xdr:rowOff>182267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F8023BD1-EBBC-4F40-B0E6-569602D70FDD}"/>
            </a:ext>
          </a:extLst>
        </xdr:cNvPr>
        <xdr:cNvCxnSpPr/>
      </xdr:nvCxnSpPr>
      <xdr:spPr>
        <a:xfrm flipH="1" flipV="1">
          <a:off x="6919385" y="2627724"/>
          <a:ext cx="0" cy="2546349"/>
        </a:xfrm>
        <a:prstGeom prst="line">
          <a:avLst/>
        </a:prstGeom>
        <a:ln w="3175">
          <a:solidFill>
            <a:srgbClr val="FF0000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340081</xdr:colOff>
      <xdr:row>36</xdr:row>
      <xdr:rowOff>105364</xdr:rowOff>
    </xdr:from>
    <xdr:to>
      <xdr:col>13</xdr:col>
      <xdr:colOff>3099</xdr:colOff>
      <xdr:row>36</xdr:row>
      <xdr:rowOff>105364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7A52171-9794-4948-B479-CA18502774B9}"/>
            </a:ext>
          </a:extLst>
        </xdr:cNvPr>
        <xdr:cNvCxnSpPr/>
      </xdr:nvCxnSpPr>
      <xdr:spPr>
        <a:xfrm>
          <a:off x="2350914" y="6772864"/>
          <a:ext cx="3132000" cy="0"/>
        </a:xfrm>
        <a:prstGeom prst="line">
          <a:avLst/>
        </a:prstGeom>
        <a:ln w="3175">
          <a:solidFill>
            <a:srgbClr val="0000FF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375827</xdr:colOff>
      <xdr:row>9</xdr:row>
      <xdr:rowOff>181797</xdr:rowOff>
    </xdr:from>
    <xdr:to>
      <xdr:col>18</xdr:col>
      <xdr:colOff>307985</xdr:colOff>
      <xdr:row>9</xdr:row>
      <xdr:rowOff>181797</xdr:rowOff>
    </xdr:to>
    <xdr:cxnSp macro="">
      <xdr:nvCxnSpPr>
        <xdr:cNvPr id="66" name="직선 연결선 65">
          <a:extLst>
            <a:ext uri="{FF2B5EF4-FFF2-40B4-BE49-F238E27FC236}">
              <a16:creationId xmlns:a16="http://schemas.microsoft.com/office/drawing/2014/main" id="{927A341D-1C6A-49CA-83A6-19C157410BF8}"/>
            </a:ext>
          </a:extLst>
        </xdr:cNvPr>
        <xdr:cNvCxnSpPr/>
      </xdr:nvCxnSpPr>
      <xdr:spPr>
        <a:xfrm flipV="1">
          <a:off x="2351383" y="1892769"/>
          <a:ext cx="6876000" cy="0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346429</xdr:colOff>
      <xdr:row>2</xdr:row>
      <xdr:rowOff>122996</xdr:rowOff>
    </xdr:from>
    <xdr:to>
      <xdr:col>12</xdr:col>
      <xdr:colOff>346429</xdr:colOff>
      <xdr:row>37</xdr:row>
      <xdr:rowOff>153042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FC1EEBE-4224-4681-92E6-389F8E43B414}"/>
            </a:ext>
          </a:extLst>
        </xdr:cNvPr>
        <xdr:cNvCxnSpPr/>
      </xdr:nvCxnSpPr>
      <xdr:spPr>
        <a:xfrm flipH="1" flipV="1">
          <a:off x="6796383" y="558089"/>
          <a:ext cx="0" cy="6479999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345958</xdr:colOff>
      <xdr:row>2</xdr:row>
      <xdr:rowOff>99007</xdr:rowOff>
    </xdr:from>
    <xdr:to>
      <xdr:col>3</xdr:col>
      <xdr:colOff>345958</xdr:colOff>
      <xdr:row>37</xdr:row>
      <xdr:rowOff>129053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1578C2F-D744-4E8F-A708-8D2C8D7754DD}"/>
            </a:ext>
          </a:extLst>
        </xdr:cNvPr>
        <xdr:cNvCxnSpPr/>
      </xdr:nvCxnSpPr>
      <xdr:spPr>
        <a:xfrm flipH="1" flipV="1">
          <a:off x="3673828" y="534100"/>
          <a:ext cx="0" cy="6479999"/>
        </a:xfrm>
        <a:prstGeom prst="line">
          <a:avLst/>
        </a:prstGeom>
        <a:ln w="12700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182269</xdr:colOff>
      <xdr:row>5</xdr:row>
      <xdr:rowOff>5880</xdr:rowOff>
    </xdr:from>
    <xdr:to>
      <xdr:col>2</xdr:col>
      <xdr:colOff>15371</xdr:colOff>
      <xdr:row>6</xdr:row>
      <xdr:rowOff>3611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F861ECEB-7180-1941-312B-5FBB588DB833}"/>
            </a:ext>
          </a:extLst>
        </xdr:cNvPr>
        <xdr:cNvSpPr/>
      </xdr:nvSpPr>
      <xdr:spPr>
        <a:xfrm>
          <a:off x="1499306" y="987778"/>
          <a:ext cx="180000" cy="180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70085</xdr:colOff>
      <xdr:row>17</xdr:row>
      <xdr:rowOff>81845</xdr:rowOff>
    </xdr:from>
    <xdr:ext cx="706732" cy="311496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483CCFE-DCA1-43DE-930D-149929D143EC}"/>
            </a:ext>
          </a:extLst>
        </xdr:cNvPr>
        <xdr:cNvSpPr txBox="1"/>
      </xdr:nvSpPr>
      <xdr:spPr>
        <a:xfrm>
          <a:off x="7672446" y="3250965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00FF"/>
              </a:solidFill>
            </a:rPr>
            <a:t>1.8mm</a:t>
          </a:r>
          <a:endParaRPr lang="ko-KR" altLang="en-US" sz="1400" b="1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81374</xdr:colOff>
      <xdr:row>36</xdr:row>
      <xdr:rowOff>93133</xdr:rowOff>
    </xdr:from>
    <xdr:ext cx="706732" cy="311496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67A76BA-2D8B-4997-B1E2-C8FB09CAB7AC}"/>
            </a:ext>
          </a:extLst>
        </xdr:cNvPr>
        <xdr:cNvSpPr txBox="1"/>
      </xdr:nvSpPr>
      <xdr:spPr>
        <a:xfrm>
          <a:off x="3479800" y="6760633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0000FF"/>
              </a:solidFill>
            </a:rPr>
            <a:t>1.8mm</a:t>
          </a:r>
          <a:endParaRPr lang="ko-KR" altLang="en-US" sz="1400" b="1">
            <a:solidFill>
              <a:srgbClr val="0000FF"/>
            </a:solidFill>
          </a:endParaRPr>
        </a:p>
      </xdr:txBody>
    </xdr:sp>
    <xdr:clientData/>
  </xdr:oneCellAnchor>
  <xdr:oneCellAnchor>
    <xdr:from>
      <xdr:col>16</xdr:col>
      <xdr:colOff>357717</xdr:colOff>
      <xdr:row>19</xdr:row>
      <xdr:rowOff>169570</xdr:rowOff>
    </xdr:from>
    <xdr:ext cx="706732" cy="31149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4A9ADF7-40D0-4BA8-9817-7AFB54F6B1E8}"/>
            </a:ext>
          </a:extLst>
        </xdr:cNvPr>
        <xdr:cNvSpPr txBox="1"/>
      </xdr:nvSpPr>
      <xdr:spPr>
        <a:xfrm>
          <a:off x="6219708" y="3703227"/>
          <a:ext cx="7067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1.3mm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398405</xdr:colOff>
      <xdr:row>9</xdr:row>
      <xdr:rowOff>181327</xdr:rowOff>
    </xdr:from>
    <xdr:to>
      <xdr:col>16</xdr:col>
      <xdr:colOff>398405</xdr:colOff>
      <xdr:row>13</xdr:row>
      <xdr:rowOff>172253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065685A5-C429-4CE4-B20E-2CE589A6253C}"/>
            </a:ext>
          </a:extLst>
        </xdr:cNvPr>
        <xdr:cNvCxnSpPr/>
      </xdr:nvCxnSpPr>
      <xdr:spPr>
        <a:xfrm flipH="1" flipV="1">
          <a:off x="6918914" y="1892299"/>
          <a:ext cx="0" cy="720000"/>
        </a:xfrm>
        <a:prstGeom prst="line">
          <a:avLst/>
        </a:prstGeom>
        <a:ln w="3175">
          <a:solidFill>
            <a:srgbClr val="FF0000"/>
          </a:solidFill>
          <a:prstDash val="solid"/>
          <a:headEnd type="triangle" w="sm" len="sm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399815</xdr:colOff>
      <xdr:row>5</xdr:row>
      <xdr:rowOff>123473</xdr:rowOff>
    </xdr:from>
    <xdr:to>
      <xdr:col>19</xdr:col>
      <xdr:colOff>229306</xdr:colOff>
      <xdr:row>7</xdr:row>
      <xdr:rowOff>70556</xdr:rowOff>
    </xdr:to>
    <xdr:sp macro="" textlink="">
      <xdr:nvSpPr>
        <xdr:cNvPr id="82" name="설명선: 선 81">
          <a:extLst>
            <a:ext uri="{FF2B5EF4-FFF2-40B4-BE49-F238E27FC236}">
              <a16:creationId xmlns:a16="http://schemas.microsoft.com/office/drawing/2014/main" id="{481F8447-A8EE-FE73-5EE9-554DF8E929D4}"/>
            </a:ext>
          </a:extLst>
        </xdr:cNvPr>
        <xdr:cNvSpPr/>
      </xdr:nvSpPr>
      <xdr:spPr>
        <a:xfrm>
          <a:off x="7343658" y="1105371"/>
          <a:ext cx="1146528" cy="311620"/>
        </a:xfrm>
        <a:prstGeom prst="borderCallout1">
          <a:avLst>
            <a:gd name="adj1" fmla="val 17204"/>
            <a:gd name="adj2" fmla="val -992"/>
            <a:gd name="adj3" fmla="val 372878"/>
            <a:gd name="adj4" fmla="val -36281"/>
          </a:avLst>
        </a:prstGeom>
        <a:noFill/>
        <a:ln w="3175"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Reduce 0.5mm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5063</xdr:colOff>
      <xdr:row>13</xdr:row>
      <xdr:rowOff>179783</xdr:rowOff>
    </xdr:from>
    <xdr:to>
      <xdr:col>4</xdr:col>
      <xdr:colOff>257063</xdr:colOff>
      <xdr:row>15</xdr:row>
      <xdr:rowOff>67246</xdr:rowOff>
    </xdr:to>
    <xdr:sp macro="" textlink="">
      <xdr:nvSpPr>
        <xdr:cNvPr id="83" name="직각 삼각형 82">
          <a:extLst>
            <a:ext uri="{FF2B5EF4-FFF2-40B4-BE49-F238E27FC236}">
              <a16:creationId xmlns:a16="http://schemas.microsoft.com/office/drawing/2014/main" id="{DD1CEA38-F7A3-4F91-A85A-A33A813775A5}"/>
            </a:ext>
          </a:extLst>
        </xdr:cNvPr>
        <xdr:cNvSpPr/>
      </xdr:nvSpPr>
      <xdr:spPr>
        <a:xfrm rot="5400000">
          <a:off x="2362794" y="2619829"/>
          <a:ext cx="252000" cy="252000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358665</xdr:colOff>
      <xdr:row>13</xdr:row>
      <xdr:rowOff>182268</xdr:rowOff>
    </xdr:from>
    <xdr:to>
      <xdr:col>17</xdr:col>
      <xdr:colOff>265341</xdr:colOff>
      <xdr:row>13</xdr:row>
      <xdr:rowOff>182268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CFCF0EAD-6A9F-B1AE-CF93-D5636BB46418}"/>
            </a:ext>
          </a:extLst>
        </xdr:cNvPr>
        <xdr:cNvCxnSpPr/>
      </xdr:nvCxnSpPr>
      <xdr:spPr>
        <a:xfrm flipV="1">
          <a:off x="2334221" y="2622314"/>
          <a:ext cx="6192000" cy="0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6350</xdr:colOff>
      <xdr:row>6</xdr:row>
      <xdr:rowOff>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BD14DF-BEA3-62C6-1692-D1DBAD46B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984250"/>
          <a:ext cx="355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77EF-F491-4BA1-B40E-8A0FEE867FF2}">
  <dimension ref="B3:CS47"/>
  <sheetViews>
    <sheetView showGridLines="0" tabSelected="1" zoomScale="80" zoomScaleNormal="80" workbookViewId="0"/>
  </sheetViews>
  <sheetFormatPr defaultRowHeight="16.5" x14ac:dyDescent="0.3"/>
  <cols>
    <col min="2" max="2" width="26" style="1" bestFit="1" customWidth="1"/>
    <col min="3" max="3" width="1.625" style="11" customWidth="1"/>
    <col min="4" max="4" width="5.625" style="11" bestFit="1" customWidth="1"/>
    <col min="5" max="5" width="6.875" style="11" customWidth="1"/>
    <col min="6" max="7" width="5.625" style="11" bestFit="1" customWidth="1"/>
    <col min="8" max="8" width="7.75" style="11" bestFit="1" customWidth="1"/>
    <col min="9" max="19" width="5.625" style="11" bestFit="1" customWidth="1"/>
    <col min="20" max="27" width="4.5" style="11" bestFit="1" customWidth="1"/>
    <col min="28" max="28" width="4.5" bestFit="1" customWidth="1"/>
    <col min="29" max="29" width="4.5" style="1" bestFit="1" customWidth="1"/>
    <col min="30" max="30" width="11.125" bestFit="1" customWidth="1"/>
    <col min="31" max="31" width="3.625" customWidth="1"/>
    <col min="32" max="32" width="13.375" bestFit="1" customWidth="1"/>
    <col min="33" max="34" width="7.875" bestFit="1" customWidth="1"/>
    <col min="35" max="37" width="2.625" customWidth="1"/>
    <col min="38" max="38" width="13.375" bestFit="1" customWidth="1"/>
    <col min="39" max="39" width="7.875" bestFit="1" customWidth="1"/>
    <col min="40" max="40" width="7.625" bestFit="1" customWidth="1"/>
    <col min="41" max="41" width="2.625" customWidth="1"/>
    <col min="42" max="42" width="1.625" customWidth="1"/>
    <col min="43" max="43" width="2.625" customWidth="1"/>
    <col min="44" max="44" width="14.875" bestFit="1" customWidth="1"/>
    <col min="45" max="45" width="7.875" customWidth="1"/>
    <col min="46" max="46" width="7.75" bestFit="1" customWidth="1"/>
    <col min="47" max="47" width="3.625" customWidth="1"/>
    <col min="49" max="49" width="8.625" style="6"/>
    <col min="50" max="50" width="3.625" customWidth="1"/>
    <col min="51" max="51" width="9.875" bestFit="1" customWidth="1"/>
    <col min="52" max="52" width="8.75" bestFit="1" customWidth="1"/>
    <col min="53" max="53" width="9.125" bestFit="1" customWidth="1"/>
    <col min="54" max="54" width="8.75" bestFit="1" customWidth="1"/>
    <col min="55" max="57" width="1.625" customWidth="1"/>
    <col min="58" max="58" width="9.125" bestFit="1" customWidth="1"/>
    <col min="59" max="59" width="9.875" bestFit="1" customWidth="1"/>
    <col min="60" max="60" width="8.75" bestFit="1" customWidth="1"/>
    <col min="61" max="61" width="9.125" bestFit="1" customWidth="1"/>
    <col min="62" max="62" width="8.75" bestFit="1" customWidth="1"/>
    <col min="63" max="65" width="1.625" customWidth="1"/>
    <col min="66" max="66" width="9.125" bestFit="1" customWidth="1"/>
    <col min="67" max="67" width="3.625" customWidth="1"/>
    <col min="68" max="68" width="6" bestFit="1" customWidth="1"/>
    <col min="70" max="70" width="3.625" customWidth="1"/>
    <col min="71" max="72" width="16.125" bestFit="1" customWidth="1"/>
    <col min="73" max="75" width="1.625" customWidth="1"/>
    <col min="76" max="76" width="16.125" bestFit="1" customWidth="1"/>
    <col min="77" max="77" width="3.625" customWidth="1"/>
    <col min="80" max="80" width="3.625" customWidth="1"/>
    <col min="81" max="82" width="14" style="18" bestFit="1" customWidth="1"/>
    <col min="83" max="84" width="1.625" style="18" customWidth="1"/>
    <col min="85" max="85" width="1.875" style="18" customWidth="1"/>
    <col min="86" max="86" width="14" style="18" bestFit="1" customWidth="1"/>
    <col min="87" max="89" width="1.625" style="18" customWidth="1"/>
    <col min="90" max="90" width="11.5" style="18" bestFit="1" customWidth="1"/>
    <col min="91" max="91" width="6" style="18" bestFit="1" customWidth="1"/>
    <col min="92" max="92" width="1.625" style="18" customWidth="1"/>
    <col min="93" max="95" width="11.5" style="18" bestFit="1" customWidth="1"/>
    <col min="96" max="96" width="6.25" style="18" bestFit="1" customWidth="1"/>
    <col min="97" max="97" width="1.625" customWidth="1"/>
  </cols>
  <sheetData>
    <row r="3" spans="2:97" x14ac:dyDescent="0.3">
      <c r="B3" s="43" t="s">
        <v>294</v>
      </c>
      <c r="C3" s="128" t="s">
        <v>717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</row>
    <row r="4" spans="2:97" ht="17.25" thickBot="1" x14ac:dyDescent="0.35">
      <c r="B4" s="44" t="s">
        <v>295</v>
      </c>
      <c r="F4" s="30"/>
      <c r="I4" s="30"/>
    </row>
    <row r="5" spans="2:97" x14ac:dyDescent="0.3">
      <c r="B5" s="2"/>
      <c r="D5" s="26" t="s">
        <v>83</v>
      </c>
      <c r="E5" s="28" t="s">
        <v>90</v>
      </c>
      <c r="F5" s="28" t="s">
        <v>89</v>
      </c>
      <c r="G5" s="27" t="s">
        <v>88</v>
      </c>
      <c r="H5" s="26" t="s">
        <v>87</v>
      </c>
      <c r="I5" s="28" t="s">
        <v>86</v>
      </c>
      <c r="J5" s="28" t="s">
        <v>43</v>
      </c>
      <c r="K5" s="28" t="s">
        <v>46</v>
      </c>
      <c r="L5" s="28" t="s">
        <v>85</v>
      </c>
      <c r="M5" s="27" t="s">
        <v>84</v>
      </c>
      <c r="N5" s="26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28" t="s">
        <v>55</v>
      </c>
      <c r="U5" s="28" t="s">
        <v>56</v>
      </c>
      <c r="V5" s="28" t="s">
        <v>57</v>
      </c>
      <c r="W5" s="28" t="s">
        <v>58</v>
      </c>
      <c r="X5" s="28" t="s">
        <v>59</v>
      </c>
      <c r="Y5" s="27" t="s">
        <v>60</v>
      </c>
      <c r="Z5" s="1"/>
      <c r="AA5" s="1"/>
      <c r="AB5" s="1"/>
    </row>
    <row r="6" spans="2:97" ht="17.25" thickBot="1" x14ac:dyDescent="0.35">
      <c r="B6" s="81" t="s">
        <v>293</v>
      </c>
      <c r="D6" s="47" t="s">
        <v>1</v>
      </c>
      <c r="E6" s="132" t="s">
        <v>227</v>
      </c>
      <c r="F6" s="133"/>
      <c r="G6" s="134"/>
      <c r="H6" s="148" t="s">
        <v>112</v>
      </c>
      <c r="I6" s="149"/>
      <c r="J6" s="149"/>
      <c r="K6" s="149"/>
      <c r="L6" s="149"/>
      <c r="M6" s="150"/>
      <c r="N6" s="148" t="s">
        <v>228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  <c r="Z6" s="1"/>
      <c r="AA6" s="1"/>
      <c r="AB6" s="1"/>
    </row>
    <row r="7" spans="2:97" ht="17.25" thickBot="1" x14ac:dyDescent="0.35">
      <c r="B7" s="4" t="s">
        <v>812</v>
      </c>
      <c r="D7" s="41">
        <v>1</v>
      </c>
      <c r="E7" s="41">
        <v>1</v>
      </c>
      <c r="F7" s="41">
        <v>0</v>
      </c>
      <c r="G7" s="41">
        <v>1</v>
      </c>
    </row>
    <row r="8" spans="2:97" x14ac:dyDescent="0.3">
      <c r="B8" s="4"/>
      <c r="D8" s="48" t="s">
        <v>157</v>
      </c>
      <c r="E8" s="49" t="s">
        <v>156</v>
      </c>
      <c r="F8" s="49" t="s">
        <v>155</v>
      </c>
      <c r="G8" s="50" t="s">
        <v>154</v>
      </c>
      <c r="H8" s="29" t="s">
        <v>153</v>
      </c>
      <c r="I8" s="28" t="s">
        <v>56</v>
      </c>
      <c r="J8" s="28" t="s">
        <v>57</v>
      </c>
      <c r="K8" s="28" t="s">
        <v>58</v>
      </c>
      <c r="L8" s="28" t="s">
        <v>59</v>
      </c>
      <c r="M8" s="27" t="s">
        <v>60</v>
      </c>
      <c r="AC8" s="17"/>
    </row>
    <row r="9" spans="2:97" ht="17.25" thickBot="1" x14ac:dyDescent="0.35">
      <c r="B9" s="81" t="s">
        <v>293</v>
      </c>
      <c r="D9" s="47" t="s">
        <v>1</v>
      </c>
      <c r="E9" s="144" t="s">
        <v>227</v>
      </c>
      <c r="F9" s="144"/>
      <c r="G9" s="145"/>
      <c r="H9" s="154" t="s">
        <v>112</v>
      </c>
      <c r="I9" s="155"/>
      <c r="J9" s="155"/>
      <c r="K9" s="155"/>
      <c r="L9" s="155"/>
      <c r="M9" s="156"/>
      <c r="AC9" s="17"/>
    </row>
    <row r="10" spans="2:97" ht="17.25" thickBot="1" x14ac:dyDescent="0.35">
      <c r="B10" s="4" t="s">
        <v>813</v>
      </c>
      <c r="C10" s="31"/>
      <c r="D10" s="41">
        <v>1</v>
      </c>
      <c r="E10" s="41">
        <v>1</v>
      </c>
      <c r="F10" s="41">
        <v>1</v>
      </c>
      <c r="G10" s="41">
        <v>0</v>
      </c>
      <c r="AC10" s="17"/>
      <c r="AW10" s="6" t="s">
        <v>822</v>
      </c>
    </row>
    <row r="11" spans="2:97" ht="18" x14ac:dyDescent="0.3">
      <c r="B11" s="4"/>
      <c r="D11" s="48" t="s">
        <v>90</v>
      </c>
      <c r="E11" s="49" t="s">
        <v>89</v>
      </c>
      <c r="F11" s="49" t="s">
        <v>88</v>
      </c>
      <c r="G11" s="50" t="s">
        <v>87</v>
      </c>
      <c r="H11" s="26" t="s">
        <v>44</v>
      </c>
      <c r="I11" s="28" t="s">
        <v>42</v>
      </c>
      <c r="J11" s="28" t="s">
        <v>46</v>
      </c>
      <c r="K11" s="28" t="s">
        <v>85</v>
      </c>
      <c r="L11" s="27" t="s">
        <v>84</v>
      </c>
      <c r="M11" s="29" t="s">
        <v>49</v>
      </c>
      <c r="N11" s="28" t="s">
        <v>50</v>
      </c>
      <c r="O11" s="28" t="s">
        <v>51</v>
      </c>
      <c r="P11" s="28" t="s">
        <v>52</v>
      </c>
      <c r="Q11" s="28" t="s">
        <v>53</v>
      </c>
      <c r="R11" s="28" t="s">
        <v>54</v>
      </c>
      <c r="S11" s="28" t="s">
        <v>55</v>
      </c>
      <c r="T11" s="28" t="s">
        <v>56</v>
      </c>
      <c r="U11" s="28" t="s">
        <v>57</v>
      </c>
      <c r="V11" s="28" t="s">
        <v>58</v>
      </c>
      <c r="W11" s="28" t="s">
        <v>59</v>
      </c>
      <c r="X11" s="27" t="s">
        <v>60</v>
      </c>
      <c r="AC11" s="17"/>
      <c r="AD11" s="1" t="s">
        <v>694</v>
      </c>
      <c r="AE11" s="14"/>
      <c r="AF11" s="23" t="s">
        <v>231</v>
      </c>
      <c r="AG11" s="23" t="s">
        <v>230</v>
      </c>
      <c r="AH11" s="23" t="s">
        <v>229</v>
      </c>
      <c r="AI11" s="141" t="s">
        <v>232</v>
      </c>
      <c r="AJ11" s="142"/>
      <c r="AK11" s="142"/>
      <c r="AL11" s="143"/>
      <c r="AM11" s="24" t="s">
        <v>233</v>
      </c>
      <c r="AN11" s="24" t="s">
        <v>234</v>
      </c>
      <c r="AO11" s="65"/>
      <c r="AQ11" s="66"/>
      <c r="AR11" s="32" t="s">
        <v>235</v>
      </c>
      <c r="AS11" s="32" t="s">
        <v>236</v>
      </c>
      <c r="AT11" s="32" t="s">
        <v>237</v>
      </c>
      <c r="AU11" s="14"/>
      <c r="AW11" s="3" t="s">
        <v>719</v>
      </c>
      <c r="AX11" s="14"/>
      <c r="AY11" s="23" t="s">
        <v>238</v>
      </c>
      <c r="AZ11" s="23" t="s">
        <v>239</v>
      </c>
      <c r="BA11" s="23" t="s">
        <v>240</v>
      </c>
      <c r="BB11" s="23" t="s">
        <v>241</v>
      </c>
      <c r="BC11" s="20"/>
      <c r="BE11" s="21"/>
      <c r="BF11" s="23" t="s">
        <v>242</v>
      </c>
      <c r="BG11" s="24" t="s">
        <v>284</v>
      </c>
      <c r="BH11" s="24" t="s">
        <v>285</v>
      </c>
      <c r="BI11" s="24" t="s">
        <v>286</v>
      </c>
      <c r="BJ11" s="24" t="s">
        <v>283</v>
      </c>
      <c r="BK11" s="22"/>
      <c r="BM11" s="33"/>
      <c r="BN11" s="32" t="s">
        <v>287</v>
      </c>
      <c r="BO11" s="15"/>
      <c r="BQ11" s="1" t="s">
        <v>694</v>
      </c>
      <c r="BR11" s="14"/>
      <c r="BS11" s="36" t="s">
        <v>253</v>
      </c>
      <c r="BT11" s="37" t="s">
        <v>254</v>
      </c>
      <c r="BU11" s="69"/>
      <c r="BV11" s="5"/>
      <c r="BW11" s="70"/>
      <c r="BX11" s="38" t="s">
        <v>255</v>
      </c>
      <c r="BY11" s="15"/>
      <c r="CA11" s="1" t="s">
        <v>694</v>
      </c>
      <c r="CB11" s="14"/>
      <c r="CC11" s="71" t="s">
        <v>704</v>
      </c>
      <c r="CD11" s="72" t="s">
        <v>703</v>
      </c>
      <c r="CE11" s="73"/>
      <c r="CF11" s="16"/>
      <c r="CG11" s="74"/>
      <c r="CH11" s="75" t="s">
        <v>702</v>
      </c>
      <c r="CI11" s="76"/>
      <c r="CK11" s="76"/>
      <c r="CL11" s="76"/>
      <c r="CM11" s="76"/>
      <c r="CO11" s="76"/>
      <c r="CP11" s="76"/>
      <c r="CQ11" s="77" t="s">
        <v>252</v>
      </c>
      <c r="CR11" s="77" t="s">
        <v>708</v>
      </c>
      <c r="CS11" s="14"/>
    </row>
    <row r="12" spans="2:97" ht="17.25" thickBot="1" x14ac:dyDescent="0.35">
      <c r="B12" s="81" t="s">
        <v>282</v>
      </c>
      <c r="D12" s="47" t="s">
        <v>1</v>
      </c>
      <c r="E12" s="144" t="s">
        <v>227</v>
      </c>
      <c r="F12" s="144"/>
      <c r="G12" s="145"/>
      <c r="H12" s="138" t="s">
        <v>693</v>
      </c>
      <c r="I12" s="139"/>
      <c r="J12" s="139"/>
      <c r="K12" s="139"/>
      <c r="L12" s="140"/>
      <c r="M12" s="135" t="s">
        <v>228</v>
      </c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7"/>
      <c r="AC12" s="17"/>
      <c r="BS12" s="5"/>
      <c r="CF12" s="16"/>
    </row>
    <row r="13" spans="2:97" ht="18.75" thickBot="1" x14ac:dyDescent="0.35">
      <c r="B13" s="4" t="s">
        <v>814</v>
      </c>
      <c r="D13" s="41">
        <v>1</v>
      </c>
      <c r="E13" s="41">
        <v>1</v>
      </c>
      <c r="F13" s="41">
        <v>1</v>
      </c>
      <c r="G13" s="41">
        <v>0</v>
      </c>
      <c r="AC13" s="17"/>
      <c r="AD13" s="1" t="s">
        <v>695</v>
      </c>
      <c r="AE13" s="14"/>
      <c r="AF13" s="14"/>
      <c r="AG13" s="14"/>
      <c r="AH13" s="14"/>
      <c r="AI13" s="141" t="s">
        <v>232</v>
      </c>
      <c r="AJ13" s="142"/>
      <c r="AK13" s="142"/>
      <c r="AL13" s="143"/>
      <c r="AM13" s="24" t="s">
        <v>233</v>
      </c>
      <c r="AN13" s="24" t="s">
        <v>234</v>
      </c>
      <c r="AO13" s="65"/>
      <c r="AQ13" s="66"/>
      <c r="AR13" s="32" t="s">
        <v>235</v>
      </c>
      <c r="AS13" s="32" t="s">
        <v>236</v>
      </c>
      <c r="AT13" s="32" t="s">
        <v>237</v>
      </c>
      <c r="AU13" s="14"/>
      <c r="AW13" s="3" t="s">
        <v>720</v>
      </c>
      <c r="AX13" s="14"/>
      <c r="AY13" s="14"/>
      <c r="AZ13" s="14"/>
      <c r="BA13" s="14"/>
      <c r="BB13" s="14"/>
      <c r="BC13" s="14"/>
      <c r="BE13" s="14"/>
      <c r="BF13" s="14"/>
      <c r="BG13" s="24" t="s">
        <v>284</v>
      </c>
      <c r="BH13" s="24" t="s">
        <v>285</v>
      </c>
      <c r="BI13" s="24" t="s">
        <v>286</v>
      </c>
      <c r="BJ13" s="24" t="s">
        <v>283</v>
      </c>
      <c r="BK13" s="22"/>
      <c r="BM13" s="33"/>
      <c r="BN13" s="32" t="s">
        <v>287</v>
      </c>
      <c r="BO13" s="15"/>
      <c r="BQ13" s="1" t="s">
        <v>695</v>
      </c>
      <c r="BR13" s="14"/>
      <c r="BS13" s="14"/>
      <c r="BT13" s="37" t="s">
        <v>254</v>
      </c>
      <c r="BU13" s="69"/>
      <c r="BV13" s="5"/>
      <c r="BW13" s="70"/>
      <c r="BX13" s="38" t="s">
        <v>255</v>
      </c>
      <c r="BY13" s="15"/>
      <c r="CA13" s="1" t="s">
        <v>695</v>
      </c>
      <c r="CB13" s="14"/>
      <c r="CC13" s="78"/>
      <c r="CD13" s="72" t="s">
        <v>701</v>
      </c>
      <c r="CE13" s="73"/>
      <c r="CF13" s="16"/>
      <c r="CG13" s="74"/>
      <c r="CH13" s="75" t="s">
        <v>702</v>
      </c>
      <c r="CI13" s="78"/>
      <c r="CK13" s="78"/>
      <c r="CL13" s="78"/>
      <c r="CM13" s="78"/>
      <c r="CO13" s="78"/>
      <c r="CP13" s="72" t="s">
        <v>252</v>
      </c>
      <c r="CQ13" s="72" t="s">
        <v>707</v>
      </c>
      <c r="CR13" s="78"/>
      <c r="CS13" s="35"/>
    </row>
    <row r="14" spans="2:97" x14ac:dyDescent="0.3">
      <c r="B14" s="4"/>
      <c r="D14" s="26" t="s">
        <v>714</v>
      </c>
      <c r="E14" s="28" t="s">
        <v>715</v>
      </c>
      <c r="F14" s="28" t="s">
        <v>83</v>
      </c>
      <c r="G14" s="27" t="s">
        <v>709</v>
      </c>
      <c r="H14" s="26" t="s">
        <v>710</v>
      </c>
      <c r="I14" s="28" t="s">
        <v>711</v>
      </c>
      <c r="J14" s="28" t="s">
        <v>712</v>
      </c>
      <c r="K14" s="28" t="s">
        <v>44</v>
      </c>
      <c r="L14" s="28" t="s">
        <v>42</v>
      </c>
      <c r="M14" s="28" t="s">
        <v>45</v>
      </c>
      <c r="N14" s="28" t="s">
        <v>47</v>
      </c>
      <c r="O14" s="28" t="s">
        <v>48</v>
      </c>
      <c r="P14" s="28" t="s">
        <v>49</v>
      </c>
      <c r="Q14" s="27" t="s">
        <v>50</v>
      </c>
      <c r="R14" s="26" t="s">
        <v>51</v>
      </c>
      <c r="S14" s="28" t="s">
        <v>52</v>
      </c>
      <c r="T14" s="28" t="s">
        <v>53</v>
      </c>
      <c r="U14" s="28" t="s">
        <v>54</v>
      </c>
      <c r="V14" s="28" t="s">
        <v>55</v>
      </c>
      <c r="W14" s="28" t="s">
        <v>56</v>
      </c>
      <c r="X14" s="28" t="s">
        <v>57</v>
      </c>
      <c r="Y14" s="28" t="s">
        <v>58</v>
      </c>
      <c r="Z14" s="28" t="s">
        <v>59</v>
      </c>
      <c r="AA14" s="27" t="s">
        <v>60</v>
      </c>
      <c r="AC14" s="17"/>
      <c r="CF14" s="16"/>
    </row>
    <row r="15" spans="2:97" ht="18.75" thickBot="1" x14ac:dyDescent="0.35">
      <c r="B15" s="81" t="s">
        <v>293</v>
      </c>
      <c r="D15" s="47" t="s">
        <v>1</v>
      </c>
      <c r="E15" s="82" t="s">
        <v>227</v>
      </c>
      <c r="F15" s="82"/>
      <c r="G15" s="83"/>
      <c r="H15" s="151" t="s">
        <v>716</v>
      </c>
      <c r="I15" s="152"/>
      <c r="J15" s="152"/>
      <c r="K15" s="152"/>
      <c r="L15" s="152"/>
      <c r="M15" s="152"/>
      <c r="N15" s="152"/>
      <c r="O15" s="152"/>
      <c r="P15" s="152"/>
      <c r="Q15" s="153"/>
      <c r="R15" s="151" t="s">
        <v>713</v>
      </c>
      <c r="S15" s="152"/>
      <c r="T15" s="152"/>
      <c r="U15" s="152"/>
      <c r="V15" s="152"/>
      <c r="W15" s="152"/>
      <c r="X15" s="152"/>
      <c r="Y15" s="152"/>
      <c r="Z15" s="152"/>
      <c r="AA15" s="153"/>
      <c r="AD15" s="1" t="s">
        <v>699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65"/>
      <c r="AQ15" s="66"/>
      <c r="AR15" s="32" t="s">
        <v>235</v>
      </c>
      <c r="AS15" s="32" t="s">
        <v>236</v>
      </c>
      <c r="AT15" s="32" t="s">
        <v>237</v>
      </c>
      <c r="AU15" s="14"/>
      <c r="AW15" s="3" t="s">
        <v>721</v>
      </c>
      <c r="AX15" s="14"/>
      <c r="AY15" s="14"/>
      <c r="AZ15" s="14"/>
      <c r="BA15" s="14"/>
      <c r="BB15" s="14"/>
      <c r="BC15" s="14"/>
      <c r="BE15" s="14"/>
      <c r="BF15" s="14"/>
      <c r="BG15" s="14"/>
      <c r="BH15" s="14"/>
      <c r="BI15" s="14"/>
      <c r="BJ15" s="14"/>
      <c r="BK15" s="14"/>
      <c r="BM15" s="33"/>
      <c r="BN15" s="32" t="s">
        <v>287</v>
      </c>
      <c r="BO15" s="14"/>
      <c r="BQ15" s="1" t="s">
        <v>699</v>
      </c>
      <c r="BR15" s="14"/>
      <c r="BS15" s="14"/>
      <c r="BT15" s="14"/>
      <c r="BU15" s="69"/>
      <c r="BV15" s="5"/>
      <c r="BW15" s="70"/>
      <c r="BX15" s="38" t="s">
        <v>255</v>
      </c>
      <c r="BY15" s="15"/>
      <c r="CA15" s="1" t="s">
        <v>699</v>
      </c>
      <c r="CB15" s="14"/>
      <c r="CC15" s="78"/>
      <c r="CD15" s="78"/>
      <c r="CE15" s="73"/>
      <c r="CF15" s="16"/>
      <c r="CG15" s="74"/>
      <c r="CH15" s="75" t="s">
        <v>702</v>
      </c>
      <c r="CI15" s="76"/>
      <c r="CK15" s="76"/>
      <c r="CL15" s="76"/>
      <c r="CM15" s="76"/>
      <c r="CO15" s="79" t="s">
        <v>252</v>
      </c>
      <c r="CP15" s="79" t="s">
        <v>706</v>
      </c>
      <c r="CQ15" s="76"/>
      <c r="CR15" s="76"/>
      <c r="CS15" s="14"/>
    </row>
    <row r="16" spans="2:97" ht="17.25" thickBot="1" x14ac:dyDescent="0.35">
      <c r="B16" s="4" t="s">
        <v>819</v>
      </c>
      <c r="D16" s="41">
        <v>1</v>
      </c>
      <c r="E16" s="41">
        <v>1</v>
      </c>
      <c r="F16" s="41">
        <v>1</v>
      </c>
      <c r="G16" s="4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Q16" s="1"/>
      <c r="AR16" s="1"/>
      <c r="AS16" s="1"/>
      <c r="AT16" s="1"/>
      <c r="AU16" s="1"/>
      <c r="AV16" s="1"/>
      <c r="AX16" s="1"/>
      <c r="AY16" s="1"/>
      <c r="AZ16" s="1"/>
      <c r="BA16" s="1"/>
      <c r="BB16" s="1"/>
      <c r="BC16" s="1"/>
      <c r="BE16" s="1"/>
      <c r="BF16" s="1"/>
      <c r="BG16" s="1"/>
      <c r="BH16" s="1"/>
      <c r="BI16" s="1"/>
      <c r="BJ16" s="1"/>
      <c r="BK16" s="1"/>
      <c r="BM16" s="1"/>
      <c r="BN16" s="1"/>
      <c r="BO16" s="1"/>
      <c r="BR16" s="1"/>
      <c r="BS16" s="1"/>
      <c r="BT16" s="1"/>
      <c r="BU16" s="1"/>
      <c r="BV16" s="1"/>
      <c r="BW16" s="1"/>
      <c r="BX16" s="1"/>
      <c r="CB16" s="1"/>
      <c r="CC16" s="16"/>
      <c r="CD16" s="16"/>
      <c r="CE16" s="16"/>
      <c r="CF16" s="16"/>
      <c r="CG16" s="16"/>
      <c r="CH16" s="16"/>
      <c r="CI16" s="16"/>
      <c r="CK16" s="16"/>
      <c r="CL16" s="16"/>
      <c r="CM16" s="16"/>
      <c r="CO16" s="16"/>
      <c r="CP16" s="16"/>
      <c r="CQ16" s="16"/>
      <c r="CR16" s="16"/>
      <c r="CS16" s="1"/>
    </row>
    <row r="17" spans="2:97" ht="18" x14ac:dyDescent="0.3">
      <c r="B17" s="4"/>
      <c r="D17" s="26" t="s">
        <v>769</v>
      </c>
      <c r="E17" s="28" t="s">
        <v>714</v>
      </c>
      <c r="F17" s="28" t="s">
        <v>715</v>
      </c>
      <c r="G17" s="27" t="s">
        <v>83</v>
      </c>
      <c r="H17" s="29" t="s">
        <v>709</v>
      </c>
      <c r="I17" s="28" t="s">
        <v>710</v>
      </c>
      <c r="J17" s="28" t="s">
        <v>711</v>
      </c>
      <c r="K17" s="28" t="s">
        <v>712</v>
      </c>
      <c r="L17" s="28" t="s">
        <v>44</v>
      </c>
      <c r="M17" s="28" t="s">
        <v>42</v>
      </c>
      <c r="N17" s="28" t="s">
        <v>45</v>
      </c>
      <c r="O17" s="28" t="s">
        <v>47</v>
      </c>
      <c r="P17" s="28" t="s">
        <v>48</v>
      </c>
      <c r="Q17" s="103" t="s">
        <v>49</v>
      </c>
      <c r="R17" s="26" t="s">
        <v>50</v>
      </c>
      <c r="S17" s="28" t="s">
        <v>51</v>
      </c>
      <c r="T17" s="28" t="s">
        <v>52</v>
      </c>
      <c r="U17" s="28" t="s">
        <v>53</v>
      </c>
      <c r="V17" s="28" t="s">
        <v>54</v>
      </c>
      <c r="W17" s="28" t="s">
        <v>55</v>
      </c>
      <c r="X17" s="28" t="s">
        <v>56</v>
      </c>
      <c r="Y17" s="28" t="s">
        <v>57</v>
      </c>
      <c r="Z17" s="28" t="s">
        <v>58</v>
      </c>
      <c r="AA17" s="28" t="s">
        <v>59</v>
      </c>
      <c r="AB17" s="27" t="s">
        <v>60</v>
      </c>
      <c r="AD17" s="1" t="s">
        <v>698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Q17" s="66"/>
      <c r="AR17" s="32" t="s">
        <v>235</v>
      </c>
      <c r="AS17" s="32" t="s">
        <v>236</v>
      </c>
      <c r="AT17" s="32" t="s">
        <v>237</v>
      </c>
      <c r="AU17" s="14"/>
      <c r="AW17" s="3" t="s">
        <v>722</v>
      </c>
      <c r="AX17" s="14"/>
      <c r="AY17" s="14"/>
      <c r="AZ17" s="14"/>
      <c r="BA17" s="14"/>
      <c r="BB17" s="14"/>
      <c r="BC17" s="14"/>
      <c r="BE17" s="14"/>
      <c r="BF17" s="14"/>
      <c r="BG17" s="14"/>
      <c r="BH17" s="14"/>
      <c r="BI17" s="14"/>
      <c r="BJ17" s="14"/>
      <c r="BK17" s="14"/>
      <c r="BM17" s="33"/>
      <c r="BN17" s="32" t="s">
        <v>287</v>
      </c>
      <c r="BO17" s="14"/>
      <c r="BQ17" s="1" t="s">
        <v>698</v>
      </c>
      <c r="BR17" s="14"/>
      <c r="BS17" s="14"/>
      <c r="BT17" s="14"/>
      <c r="BU17" s="14"/>
      <c r="BW17" s="70"/>
      <c r="BX17" s="38" t="s">
        <v>255</v>
      </c>
      <c r="BY17" s="15"/>
      <c r="CA17" s="1" t="s">
        <v>698</v>
      </c>
      <c r="CB17" s="14"/>
      <c r="CC17" s="76"/>
      <c r="CD17" s="76"/>
      <c r="CE17" s="76"/>
      <c r="CF17" s="16"/>
      <c r="CG17" s="76"/>
      <c r="CH17" s="75" t="s">
        <v>702</v>
      </c>
      <c r="CI17" s="76"/>
      <c r="CK17" s="76"/>
      <c r="CL17" s="75" t="s">
        <v>252</v>
      </c>
      <c r="CM17" s="75" t="s">
        <v>705</v>
      </c>
      <c r="CO17" s="76"/>
      <c r="CP17" s="76"/>
      <c r="CQ17" s="76"/>
      <c r="CR17" s="76"/>
      <c r="CS17" s="14"/>
    </row>
    <row r="18" spans="2:97" ht="17.25" thickBot="1" x14ac:dyDescent="0.35">
      <c r="B18" s="81" t="s">
        <v>293</v>
      </c>
      <c r="D18" s="47" t="s">
        <v>1</v>
      </c>
      <c r="E18" s="82" t="s">
        <v>227</v>
      </c>
      <c r="F18" s="82"/>
      <c r="G18" s="83"/>
      <c r="H18" s="152" t="s">
        <v>716</v>
      </c>
      <c r="I18" s="152"/>
      <c r="J18" s="152"/>
      <c r="K18" s="152"/>
      <c r="L18" s="152"/>
      <c r="M18" s="152"/>
      <c r="N18" s="152"/>
      <c r="O18" s="152"/>
      <c r="P18" s="152"/>
      <c r="Q18" s="152"/>
      <c r="R18" s="151" t="s">
        <v>815</v>
      </c>
      <c r="S18" s="152"/>
      <c r="T18" s="152"/>
      <c r="U18" s="152"/>
      <c r="V18" s="152"/>
      <c r="W18" s="152"/>
      <c r="X18" s="152"/>
      <c r="Y18" s="152"/>
      <c r="Z18" s="152"/>
      <c r="AA18" s="152"/>
      <c r="AB18" s="153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Q18" s="1"/>
      <c r="AR18" s="1"/>
      <c r="AS18" s="1"/>
      <c r="AT18" s="1"/>
      <c r="AU18" s="1"/>
      <c r="AX18" s="1"/>
      <c r="AY18" s="1"/>
      <c r="AZ18" s="1"/>
      <c r="BA18" s="1"/>
      <c r="BB18" s="1"/>
      <c r="BC18" s="1"/>
      <c r="BE18" s="1"/>
      <c r="BF18" s="1"/>
      <c r="BG18" s="1"/>
      <c r="BH18" s="1"/>
      <c r="BI18" s="1"/>
      <c r="BJ18" s="1"/>
      <c r="BK18" s="1"/>
      <c r="BM18" s="1"/>
      <c r="BN18" s="1"/>
      <c r="BO18" s="1"/>
      <c r="BR18" s="1"/>
      <c r="BS18" s="1"/>
      <c r="BT18" s="1"/>
      <c r="BU18" s="1"/>
      <c r="BW18" s="1"/>
      <c r="BX18" s="1"/>
      <c r="CB18" s="1"/>
      <c r="CC18" s="16"/>
      <c r="CD18" s="16"/>
      <c r="CE18" s="16"/>
      <c r="CF18" s="16"/>
      <c r="CG18" s="16"/>
      <c r="CH18" s="16"/>
      <c r="CI18" s="16"/>
      <c r="CK18" s="16"/>
      <c r="CL18" s="16"/>
      <c r="CM18" s="16"/>
      <c r="CO18" s="16"/>
      <c r="CP18" s="16"/>
      <c r="CQ18" s="16"/>
      <c r="CR18" s="16"/>
      <c r="CS18" s="1"/>
    </row>
    <row r="19" spans="2:97" ht="18.75" thickBot="1" x14ac:dyDescent="0.35">
      <c r="B19" s="4" t="s">
        <v>818</v>
      </c>
      <c r="D19" s="41">
        <v>1</v>
      </c>
      <c r="E19" s="41">
        <v>1</v>
      </c>
      <c r="F19" s="41">
        <v>1</v>
      </c>
      <c r="G19" s="41">
        <v>1</v>
      </c>
      <c r="AD19" s="1" t="s">
        <v>697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Q19" s="9"/>
      <c r="AR19" s="9"/>
      <c r="AS19" s="9"/>
      <c r="AT19" s="9"/>
      <c r="AU19" s="9"/>
      <c r="AW19" s="3" t="s">
        <v>723</v>
      </c>
      <c r="AX19" s="9"/>
      <c r="AY19" s="9"/>
      <c r="AZ19" s="9"/>
      <c r="BA19" s="9"/>
      <c r="BB19" s="9"/>
      <c r="BC19" s="9"/>
      <c r="BE19" s="9"/>
      <c r="BF19" s="9"/>
      <c r="BG19" s="9"/>
      <c r="BH19" s="9"/>
      <c r="BI19" s="9"/>
      <c r="BJ19" s="9"/>
      <c r="BK19" s="9"/>
      <c r="BM19" s="9"/>
      <c r="BN19" s="9"/>
      <c r="BO19" s="9"/>
      <c r="BQ19" s="1" t="s">
        <v>697</v>
      </c>
      <c r="BR19" s="9"/>
      <c r="BS19" s="9"/>
      <c r="BT19" s="9"/>
      <c r="BU19" s="9"/>
      <c r="BW19" s="9"/>
      <c r="BX19" s="9"/>
      <c r="BY19" s="14"/>
      <c r="CA19" s="1" t="s">
        <v>697</v>
      </c>
      <c r="CB19" s="9"/>
      <c r="CC19" s="78"/>
      <c r="CD19" s="78"/>
      <c r="CE19" s="78"/>
      <c r="CF19" s="16"/>
      <c r="CG19" s="80"/>
      <c r="CH19" s="80"/>
      <c r="CI19" s="80"/>
      <c r="CK19" s="80"/>
      <c r="CL19" s="80"/>
      <c r="CM19" s="80"/>
      <c r="CO19" s="80"/>
      <c r="CP19" s="80"/>
      <c r="CQ19" s="80"/>
      <c r="CR19" s="80"/>
      <c r="CS19" s="9"/>
    </row>
    <row r="20" spans="2:97" x14ac:dyDescent="0.3">
      <c r="B20" s="4"/>
      <c r="D20" s="26" t="s">
        <v>768</v>
      </c>
      <c r="E20" s="28" t="s">
        <v>769</v>
      </c>
      <c r="F20" s="28" t="s">
        <v>714</v>
      </c>
      <c r="G20" s="27" t="s">
        <v>715</v>
      </c>
      <c r="H20" s="29" t="s">
        <v>83</v>
      </c>
      <c r="I20" s="28" t="s">
        <v>709</v>
      </c>
      <c r="J20" s="28" t="s">
        <v>710</v>
      </c>
      <c r="K20" s="28" t="s">
        <v>711</v>
      </c>
      <c r="L20" s="28" t="s">
        <v>712</v>
      </c>
      <c r="M20" s="28" t="s">
        <v>44</v>
      </c>
      <c r="N20" s="28" t="s">
        <v>42</v>
      </c>
      <c r="O20" s="28" t="s">
        <v>45</v>
      </c>
      <c r="P20" s="28" t="s">
        <v>47</v>
      </c>
      <c r="Q20" s="103" t="s">
        <v>48</v>
      </c>
      <c r="R20" s="26" t="s">
        <v>49</v>
      </c>
      <c r="S20" s="28" t="s">
        <v>50</v>
      </c>
      <c r="T20" s="28" t="s">
        <v>51</v>
      </c>
      <c r="U20" s="28" t="s">
        <v>52</v>
      </c>
      <c r="V20" s="28" t="s">
        <v>53</v>
      </c>
      <c r="W20" s="28" t="s">
        <v>54</v>
      </c>
      <c r="X20" s="28" t="s">
        <v>55</v>
      </c>
      <c r="Y20" s="28" t="s">
        <v>56</v>
      </c>
      <c r="Z20" s="28" t="s">
        <v>57</v>
      </c>
      <c r="AA20" s="28" t="s">
        <v>58</v>
      </c>
      <c r="AB20" s="28" t="s">
        <v>59</v>
      </c>
      <c r="AC20" s="27" t="s">
        <v>60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Q20" s="1"/>
      <c r="AR20" s="1"/>
      <c r="AS20" s="1"/>
      <c r="AT20" s="1"/>
      <c r="AU20" s="1"/>
      <c r="CF20" s="16"/>
    </row>
    <row r="21" spans="2:97" ht="17.25" thickBot="1" x14ac:dyDescent="0.35">
      <c r="B21" s="81" t="s">
        <v>293</v>
      </c>
      <c r="D21" s="47" t="s">
        <v>1</v>
      </c>
      <c r="E21" s="82" t="s">
        <v>227</v>
      </c>
      <c r="F21" s="82"/>
      <c r="G21" s="83"/>
      <c r="H21" s="152" t="s">
        <v>716</v>
      </c>
      <c r="I21" s="152"/>
      <c r="J21" s="152"/>
      <c r="K21" s="152"/>
      <c r="L21" s="152"/>
      <c r="M21" s="152"/>
      <c r="N21" s="152"/>
      <c r="O21" s="152"/>
      <c r="P21" s="152"/>
      <c r="Q21" s="152"/>
      <c r="R21" s="151" t="s">
        <v>770</v>
      </c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3"/>
      <c r="CF21" s="16"/>
    </row>
    <row r="22" spans="2:97" ht="17.25" thickBot="1" x14ac:dyDescent="0.35">
      <c r="B22" s="4" t="s">
        <v>817</v>
      </c>
      <c r="D22" s="41">
        <v>1</v>
      </c>
      <c r="E22" s="41">
        <v>1</v>
      </c>
      <c r="F22" s="41">
        <v>1</v>
      </c>
      <c r="G22" s="41">
        <v>1</v>
      </c>
    </row>
    <row r="23" spans="2:97" ht="17.25" thickBot="1" x14ac:dyDescent="0.35">
      <c r="B23" s="4"/>
      <c r="D23" s="87" t="s">
        <v>710</v>
      </c>
      <c r="E23" s="88" t="s">
        <v>711</v>
      </c>
      <c r="F23" s="88" t="s">
        <v>712</v>
      </c>
      <c r="G23" s="89" t="s">
        <v>44</v>
      </c>
      <c r="H23" s="90" t="s">
        <v>42</v>
      </c>
      <c r="I23" s="88" t="s">
        <v>45</v>
      </c>
      <c r="J23" s="88" t="s">
        <v>47</v>
      </c>
      <c r="K23" s="88" t="s">
        <v>48</v>
      </c>
      <c r="L23" s="88" t="s">
        <v>49</v>
      </c>
      <c r="M23" s="88" t="s">
        <v>50</v>
      </c>
      <c r="N23" s="88" t="s">
        <v>51</v>
      </c>
      <c r="O23" s="88" t="s">
        <v>52</v>
      </c>
      <c r="P23" s="88" t="s">
        <v>53</v>
      </c>
      <c r="Q23" s="88" t="s">
        <v>54</v>
      </c>
      <c r="R23" s="88" t="s">
        <v>55</v>
      </c>
      <c r="S23" s="88" t="s">
        <v>56</v>
      </c>
      <c r="T23" s="88" t="s">
        <v>57</v>
      </c>
      <c r="U23" s="88" t="s">
        <v>58</v>
      </c>
      <c r="V23" s="88" t="s">
        <v>59</v>
      </c>
      <c r="W23" s="89" t="s">
        <v>60</v>
      </c>
    </row>
    <row r="24" spans="2:97" ht="17.25" thickBot="1" x14ac:dyDescent="0.35">
      <c r="B24" s="81" t="s">
        <v>293</v>
      </c>
      <c r="D24" s="84" t="s">
        <v>1</v>
      </c>
      <c r="E24" s="85" t="s">
        <v>227</v>
      </c>
      <c r="F24" s="85"/>
      <c r="G24" s="86"/>
      <c r="H24" s="146" t="s">
        <v>718</v>
      </c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7"/>
      <c r="AW24" s="6" t="s">
        <v>823</v>
      </c>
    </row>
    <row r="25" spans="2:97" ht="18.75" thickBot="1" x14ac:dyDescent="0.35">
      <c r="B25" s="4" t="s">
        <v>816</v>
      </c>
      <c r="D25" s="41">
        <v>1</v>
      </c>
      <c r="E25" s="41">
        <v>1</v>
      </c>
      <c r="F25" s="41">
        <v>1</v>
      </c>
      <c r="G25" s="41">
        <v>1</v>
      </c>
      <c r="AD25" s="1" t="s">
        <v>694</v>
      </c>
      <c r="AE25" s="14"/>
      <c r="AF25" s="160" t="s">
        <v>243</v>
      </c>
      <c r="AG25" s="161"/>
      <c r="AH25" s="23" t="s">
        <v>230</v>
      </c>
      <c r="AI25" s="141" t="s">
        <v>244</v>
      </c>
      <c r="AJ25" s="142"/>
      <c r="AK25" s="142"/>
      <c r="AL25" s="143"/>
      <c r="AM25" s="24" t="s">
        <v>233</v>
      </c>
      <c r="AN25" s="130"/>
      <c r="AO25" s="131"/>
      <c r="AQ25" s="66"/>
      <c r="AR25" s="32" t="s">
        <v>245</v>
      </c>
      <c r="AS25" s="32" t="s">
        <v>236</v>
      </c>
      <c r="AT25" s="14"/>
      <c r="AU25" s="14"/>
      <c r="AW25" s="3" t="s">
        <v>719</v>
      </c>
      <c r="AX25" s="14"/>
      <c r="AY25" s="23" t="s">
        <v>238</v>
      </c>
      <c r="AZ25" s="23" t="s">
        <v>288</v>
      </c>
      <c r="BA25" s="23" t="s">
        <v>289</v>
      </c>
      <c r="BB25" s="23" t="s">
        <v>290</v>
      </c>
      <c r="BC25" s="20"/>
      <c r="BE25" s="21"/>
      <c r="BF25" s="23" t="s">
        <v>290</v>
      </c>
      <c r="BG25" s="24" t="s">
        <v>284</v>
      </c>
      <c r="BH25" s="24" t="s">
        <v>288</v>
      </c>
      <c r="BI25" s="24" t="s">
        <v>289</v>
      </c>
      <c r="BJ25" s="24" t="s">
        <v>290</v>
      </c>
      <c r="BK25" s="22"/>
      <c r="BM25" s="33"/>
      <c r="BN25" s="32" t="s">
        <v>291</v>
      </c>
      <c r="BO25" s="15"/>
    </row>
    <row r="26" spans="2:97" x14ac:dyDescent="0.3">
      <c r="B26" s="4"/>
      <c r="D26" s="48" t="s">
        <v>156</v>
      </c>
      <c r="E26" s="49" t="s">
        <v>155</v>
      </c>
      <c r="F26" s="49" t="s">
        <v>154</v>
      </c>
      <c r="G26" s="50" t="s">
        <v>153</v>
      </c>
    </row>
    <row r="27" spans="2:97" ht="18.75" thickBot="1" x14ac:dyDescent="0.35">
      <c r="B27" s="81" t="s">
        <v>293</v>
      </c>
      <c r="D27" s="47" t="s">
        <v>1</v>
      </c>
      <c r="E27" s="144" t="s">
        <v>227</v>
      </c>
      <c r="F27" s="144"/>
      <c r="G27" s="145"/>
      <c r="AD27" s="1" t="s">
        <v>695</v>
      </c>
      <c r="AE27" s="14"/>
      <c r="AF27" s="14"/>
      <c r="AG27" s="14"/>
      <c r="AH27" s="14"/>
      <c r="AI27" s="141" t="s">
        <v>244</v>
      </c>
      <c r="AJ27" s="142"/>
      <c r="AK27" s="142"/>
      <c r="AL27" s="143"/>
      <c r="AM27" s="24" t="s">
        <v>233</v>
      </c>
      <c r="AN27" s="130"/>
      <c r="AO27" s="131"/>
      <c r="AQ27" s="66"/>
      <c r="AR27" s="32" t="s">
        <v>245</v>
      </c>
      <c r="AS27" s="32" t="s">
        <v>236</v>
      </c>
      <c r="AT27" s="14"/>
      <c r="AU27" s="14"/>
      <c r="AW27" s="3" t="s">
        <v>720</v>
      </c>
      <c r="AX27" s="14"/>
      <c r="AY27" s="14"/>
      <c r="AZ27" s="14"/>
      <c r="BA27" s="14"/>
      <c r="BB27" s="14"/>
      <c r="BC27" s="14"/>
      <c r="BE27" s="14"/>
      <c r="BF27" s="14"/>
      <c r="BG27" s="24" t="s">
        <v>284</v>
      </c>
      <c r="BH27" s="24" t="s">
        <v>288</v>
      </c>
      <c r="BI27" s="24" t="s">
        <v>289</v>
      </c>
      <c r="BJ27" s="24" t="s">
        <v>290</v>
      </c>
      <c r="BK27" s="22"/>
      <c r="BM27" s="33"/>
      <c r="BN27" s="32" t="s">
        <v>291</v>
      </c>
      <c r="BO27" s="15"/>
    </row>
    <row r="28" spans="2:97" ht="17.25" thickBot="1" x14ac:dyDescent="0.35">
      <c r="B28" s="4" t="s">
        <v>820</v>
      </c>
      <c r="D28" s="41">
        <v>1</v>
      </c>
      <c r="E28" s="41">
        <v>0</v>
      </c>
      <c r="F28" s="41">
        <v>1</v>
      </c>
      <c r="G28" s="41">
        <v>0</v>
      </c>
    </row>
    <row r="29" spans="2:97" ht="18" x14ac:dyDescent="0.3">
      <c r="B29" s="4"/>
      <c r="D29" s="48" t="s">
        <v>155</v>
      </c>
      <c r="E29" s="49" t="s">
        <v>154</v>
      </c>
      <c r="F29" s="49" t="s">
        <v>153</v>
      </c>
      <c r="G29" s="50" t="s">
        <v>152</v>
      </c>
      <c r="H29" s="28" t="s">
        <v>57</v>
      </c>
      <c r="I29" s="28" t="s">
        <v>58</v>
      </c>
      <c r="J29" s="28" t="s">
        <v>92</v>
      </c>
      <c r="K29" s="27" t="s">
        <v>91</v>
      </c>
      <c r="AD29" s="1" t="s">
        <v>699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30"/>
      <c r="AO29" s="131"/>
      <c r="AQ29" s="66"/>
      <c r="AR29" s="32" t="s">
        <v>245</v>
      </c>
      <c r="AS29" s="32" t="s">
        <v>236</v>
      </c>
      <c r="AT29" s="14"/>
      <c r="AU29" s="14"/>
      <c r="AW29" s="3" t="s">
        <v>721</v>
      </c>
      <c r="AX29" s="14"/>
      <c r="AY29" s="14"/>
      <c r="AZ29" s="14"/>
      <c r="BA29" s="14"/>
      <c r="BB29" s="14"/>
      <c r="BC29" s="14"/>
      <c r="BE29" s="14"/>
      <c r="BF29" s="14"/>
      <c r="BG29" s="14"/>
      <c r="BH29" s="14"/>
      <c r="BI29" s="14"/>
      <c r="BJ29" s="14"/>
      <c r="BK29" s="14"/>
      <c r="BM29" s="33"/>
      <c r="BN29" s="32" t="s">
        <v>291</v>
      </c>
      <c r="BO29" s="14"/>
    </row>
    <row r="30" spans="2:97" ht="17.25" thickBot="1" x14ac:dyDescent="0.35">
      <c r="B30" s="81" t="s">
        <v>282</v>
      </c>
      <c r="D30" s="47" t="s">
        <v>1</v>
      </c>
      <c r="E30" s="132" t="s">
        <v>227</v>
      </c>
      <c r="F30" s="133"/>
      <c r="G30" s="134"/>
      <c r="H30" s="39" t="s">
        <v>95</v>
      </c>
      <c r="I30" s="39" t="s">
        <v>94</v>
      </c>
      <c r="J30" s="39" t="s">
        <v>93</v>
      </c>
      <c r="K30" s="40" t="s"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Q30" s="1"/>
      <c r="AR30" s="1"/>
      <c r="AS30" s="1"/>
      <c r="AT30" s="1"/>
      <c r="AU30" s="1"/>
      <c r="AX30" s="1"/>
      <c r="AY30" s="1"/>
      <c r="AZ30" s="1"/>
      <c r="BA30" s="1"/>
      <c r="BB30" s="1"/>
      <c r="BC30" s="1"/>
      <c r="BE30" s="1"/>
      <c r="BF30" s="1"/>
      <c r="BG30" s="1"/>
      <c r="BH30" s="1"/>
      <c r="BI30" s="1"/>
      <c r="BJ30" s="1"/>
      <c r="BK30" s="1"/>
      <c r="BM30" s="1"/>
      <c r="BN30" s="1"/>
      <c r="BO30" s="1"/>
    </row>
    <row r="31" spans="2:97" ht="18.75" thickBot="1" x14ac:dyDescent="0.35">
      <c r="B31" s="4" t="s">
        <v>821</v>
      </c>
      <c r="D31" s="41">
        <v>1</v>
      </c>
      <c r="E31" s="41">
        <v>0</v>
      </c>
      <c r="F31" s="41">
        <v>1</v>
      </c>
      <c r="G31" s="41">
        <v>0</v>
      </c>
      <c r="AD31" s="1" t="s">
        <v>698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Q31" s="66"/>
      <c r="AR31" s="32" t="s">
        <v>245</v>
      </c>
      <c r="AS31" s="32" t="s">
        <v>236</v>
      </c>
      <c r="AT31" s="14"/>
      <c r="AU31" s="14"/>
      <c r="AW31" s="3" t="s">
        <v>722</v>
      </c>
      <c r="AX31" s="14"/>
      <c r="AY31" s="14"/>
      <c r="AZ31" s="14"/>
      <c r="BA31" s="14"/>
      <c r="BB31" s="14"/>
      <c r="BC31" s="14"/>
      <c r="BE31" s="14"/>
      <c r="BF31" s="14"/>
      <c r="BG31" s="14"/>
      <c r="BH31" s="14"/>
      <c r="BI31" s="14"/>
      <c r="BJ31" s="14"/>
      <c r="BK31" s="14"/>
      <c r="BM31" s="33"/>
      <c r="BN31" s="32" t="s">
        <v>291</v>
      </c>
      <c r="BO31" s="14"/>
    </row>
    <row r="32" spans="2:97" x14ac:dyDescent="0.3">
      <c r="B32" s="4"/>
      <c r="D32" s="48" t="s">
        <v>152</v>
      </c>
      <c r="E32" s="49" t="s">
        <v>158</v>
      </c>
      <c r="F32" s="49" t="s">
        <v>151</v>
      </c>
      <c r="G32" s="50" t="s">
        <v>92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Q32" s="1"/>
      <c r="AR32" s="1"/>
      <c r="AS32" s="1"/>
      <c r="AT32" s="1"/>
      <c r="AU32" s="1"/>
      <c r="AX32" s="1"/>
      <c r="AY32" s="1"/>
      <c r="AZ32" s="1"/>
      <c r="BA32" s="1"/>
      <c r="BB32" s="1"/>
      <c r="BC32" s="1"/>
      <c r="BE32" s="1"/>
      <c r="BF32" s="1"/>
      <c r="BG32" s="1"/>
      <c r="BH32" s="1"/>
      <c r="BI32" s="1"/>
      <c r="BJ32" s="1"/>
      <c r="BK32" s="1"/>
      <c r="BM32" s="1"/>
      <c r="BN32" s="1"/>
      <c r="BO32" s="1"/>
    </row>
    <row r="33" spans="2:67" ht="18.75" thickBot="1" x14ac:dyDescent="0.35">
      <c r="B33" s="81" t="s">
        <v>293</v>
      </c>
      <c r="D33" s="47" t="s">
        <v>1</v>
      </c>
      <c r="E33" s="132" t="s">
        <v>227</v>
      </c>
      <c r="F33" s="133"/>
      <c r="G33" s="134"/>
      <c r="AD33" s="1" t="s">
        <v>697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Q33" s="9"/>
      <c r="AR33" s="9"/>
      <c r="AS33" s="9"/>
      <c r="AT33" s="9"/>
      <c r="AU33" s="9"/>
      <c r="AW33" s="3" t="s">
        <v>723</v>
      </c>
      <c r="AX33" s="9"/>
      <c r="AY33" s="9"/>
      <c r="AZ33" s="9"/>
      <c r="BA33" s="9"/>
      <c r="BB33" s="9"/>
      <c r="BC33" s="9"/>
      <c r="BE33" s="9"/>
      <c r="BF33" s="9"/>
      <c r="BG33" s="9"/>
      <c r="BH33" s="9"/>
      <c r="BI33" s="9"/>
      <c r="BJ33" s="9"/>
      <c r="BK33" s="9"/>
      <c r="BM33" s="9"/>
      <c r="BN33" s="9"/>
      <c r="BO33" s="9"/>
    </row>
    <row r="34" spans="2:67" ht="17.25" thickBot="1" x14ac:dyDescent="0.35">
      <c r="B34" s="4" t="s">
        <v>292</v>
      </c>
      <c r="D34" s="41">
        <v>1</v>
      </c>
      <c r="E34" s="41">
        <v>0</v>
      </c>
      <c r="F34" s="41">
        <v>0</v>
      </c>
      <c r="G34" s="41">
        <v>1</v>
      </c>
    </row>
    <row r="35" spans="2:67" x14ac:dyDescent="0.3">
      <c r="B35" s="4"/>
      <c r="D35" s="48" t="s">
        <v>152</v>
      </c>
      <c r="E35" s="49" t="s">
        <v>158</v>
      </c>
      <c r="F35" s="49" t="s">
        <v>151</v>
      </c>
      <c r="G35" s="50" t="s">
        <v>92</v>
      </c>
    </row>
    <row r="36" spans="2:67" ht="17.25" thickBot="1" x14ac:dyDescent="0.35">
      <c r="B36" s="81" t="s">
        <v>293</v>
      </c>
      <c r="D36" s="47" t="s">
        <v>1</v>
      </c>
      <c r="E36" s="132" t="s">
        <v>227</v>
      </c>
      <c r="F36" s="133"/>
      <c r="G36" s="134"/>
    </row>
    <row r="37" spans="2:67" x14ac:dyDescent="0.3">
      <c r="B37" s="4" t="s">
        <v>801</v>
      </c>
      <c r="D37" s="41">
        <v>1</v>
      </c>
      <c r="E37" s="41">
        <v>0</v>
      </c>
      <c r="F37" s="41">
        <v>0</v>
      </c>
      <c r="G37" s="41">
        <v>0</v>
      </c>
    </row>
    <row r="39" spans="2:67" ht="18" x14ac:dyDescent="0.3">
      <c r="AD39" s="1" t="s">
        <v>697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1" spans="2:67" ht="18" x14ac:dyDescent="0.3">
      <c r="AD41" s="1" t="s">
        <v>698</v>
      </c>
      <c r="AE41" s="14"/>
      <c r="AF41" s="61" t="s">
        <v>250</v>
      </c>
      <c r="AG41" s="62" t="s">
        <v>251</v>
      </c>
      <c r="AH41" s="62" t="s">
        <v>237</v>
      </c>
      <c r="AI41" s="34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</row>
    <row r="43" spans="2:67" ht="18" x14ac:dyDescent="0.3">
      <c r="AD43" s="1" t="s">
        <v>696</v>
      </c>
      <c r="AE43" s="14"/>
      <c r="AF43" s="61" t="s">
        <v>250</v>
      </c>
      <c r="AG43" s="62" t="s">
        <v>251</v>
      </c>
      <c r="AH43" s="62" t="s">
        <v>237</v>
      </c>
      <c r="AI43" s="67"/>
      <c r="AK43" s="68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2:67" x14ac:dyDescent="0.3">
      <c r="AE44" s="1"/>
      <c r="AF44" s="1"/>
      <c r="AG44" s="1"/>
      <c r="AH44" s="1"/>
      <c r="AI44" s="1"/>
      <c r="AK44" s="1"/>
      <c r="AL44" s="7"/>
      <c r="AM44" s="7"/>
      <c r="AN44" s="7"/>
      <c r="AO44" s="1"/>
      <c r="AP44" s="1"/>
      <c r="AQ44" s="1"/>
      <c r="AR44" s="1"/>
      <c r="AS44" s="1"/>
      <c r="AT44" s="1"/>
      <c r="AU44" s="1"/>
    </row>
    <row r="45" spans="2:67" ht="18" x14ac:dyDescent="0.3">
      <c r="AD45" s="1" t="s">
        <v>700</v>
      </c>
      <c r="AE45" s="14"/>
      <c r="AF45" s="61" t="s">
        <v>250</v>
      </c>
      <c r="AG45" s="62" t="s">
        <v>251</v>
      </c>
      <c r="AH45" s="62" t="s">
        <v>237</v>
      </c>
      <c r="AI45" s="67"/>
      <c r="AK45" s="68"/>
      <c r="AL45" s="58" t="s">
        <v>249</v>
      </c>
      <c r="AM45" s="59" t="s">
        <v>248</v>
      </c>
      <c r="AN45" s="60" t="s">
        <v>234</v>
      </c>
      <c r="AO45" s="14"/>
      <c r="AP45" s="14"/>
      <c r="AQ45" s="14"/>
      <c r="AR45" s="14"/>
      <c r="AS45" s="14"/>
      <c r="AT45" s="14"/>
      <c r="AU45" s="14"/>
    </row>
    <row r="46" spans="2:67" x14ac:dyDescent="0.3">
      <c r="AE46" s="1"/>
      <c r="AF46" s="1"/>
      <c r="AG46" s="1"/>
      <c r="AH46" s="1"/>
      <c r="AI46" s="1"/>
      <c r="AK46" s="1"/>
      <c r="AL46" s="7"/>
      <c r="AM46" s="7"/>
      <c r="AN46" s="7"/>
      <c r="AO46" s="1"/>
      <c r="AP46" s="1"/>
      <c r="AQ46" s="1"/>
      <c r="AR46" s="1"/>
      <c r="AS46" s="1"/>
      <c r="AT46" s="1"/>
      <c r="AU46" s="1"/>
    </row>
    <row r="47" spans="2:67" ht="18" x14ac:dyDescent="0.3">
      <c r="AD47" s="1" t="s">
        <v>694</v>
      </c>
      <c r="AE47" s="9"/>
      <c r="AF47" s="61" t="s">
        <v>250</v>
      </c>
      <c r="AG47" s="62" t="s">
        <v>251</v>
      </c>
      <c r="AH47" s="62" t="s">
        <v>237</v>
      </c>
      <c r="AI47" s="67"/>
      <c r="AK47" s="68"/>
      <c r="AL47" s="58" t="s">
        <v>249</v>
      </c>
      <c r="AM47" s="59" t="s">
        <v>248</v>
      </c>
      <c r="AN47" s="60" t="s">
        <v>234</v>
      </c>
      <c r="AO47" s="157" t="s">
        <v>246</v>
      </c>
      <c r="AP47" s="158"/>
      <c r="AQ47" s="158"/>
      <c r="AR47" s="159"/>
      <c r="AS47" s="57" t="s">
        <v>247</v>
      </c>
      <c r="AT47" s="57" t="s">
        <v>229</v>
      </c>
      <c r="AU47" s="9"/>
    </row>
  </sheetData>
  <mergeCells count="29">
    <mergeCell ref="E12:G12"/>
    <mergeCell ref="AO47:AR47"/>
    <mergeCell ref="AF25:AG25"/>
    <mergeCell ref="AI25:AL25"/>
    <mergeCell ref="AN25:AO25"/>
    <mergeCell ref="AI27:AL27"/>
    <mergeCell ref="AN27:AO27"/>
    <mergeCell ref="E33:G33"/>
    <mergeCell ref="H21:Q21"/>
    <mergeCell ref="R21:AC21"/>
    <mergeCell ref="E36:G36"/>
    <mergeCell ref="H18:Q18"/>
    <mergeCell ref="R18:AB18"/>
    <mergeCell ref="C3:AC3"/>
    <mergeCell ref="AN29:AO29"/>
    <mergeCell ref="E30:G30"/>
    <mergeCell ref="M12:X12"/>
    <mergeCell ref="H12:L12"/>
    <mergeCell ref="AI11:AL11"/>
    <mergeCell ref="AI13:AL13"/>
    <mergeCell ref="E27:G27"/>
    <mergeCell ref="H24:W24"/>
    <mergeCell ref="E6:G6"/>
    <mergeCell ref="H6:M6"/>
    <mergeCell ref="N6:Y6"/>
    <mergeCell ref="R15:AA15"/>
    <mergeCell ref="H15:Q15"/>
    <mergeCell ref="H9:M9"/>
    <mergeCell ref="E9:G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26EB-FAFC-4709-8E2D-69DC5CBEB17E}">
  <dimension ref="B2:B6"/>
  <sheetViews>
    <sheetView workbookViewId="0">
      <selection activeCell="D4" sqref="D4"/>
    </sheetView>
  </sheetViews>
  <sheetFormatPr defaultRowHeight="16.5" x14ac:dyDescent="0.3"/>
  <sheetData>
    <row r="2" spans="2:2" x14ac:dyDescent="0.3">
      <c r="B2" t="s">
        <v>928</v>
      </c>
    </row>
    <row r="3" spans="2:2" x14ac:dyDescent="0.3">
      <c r="B3" t="s">
        <v>929</v>
      </c>
    </row>
    <row r="5" spans="2:2" x14ac:dyDescent="0.3">
      <c r="B5" t="s">
        <v>930</v>
      </c>
    </row>
    <row r="6" spans="2:2" x14ac:dyDescent="0.3">
      <c r="B6">
        <v>4176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C563-35BF-42EB-A6CA-6C11667CC34C}">
  <dimension ref="A2:W197"/>
  <sheetViews>
    <sheetView showGridLines="0" zoomScale="87" zoomScaleNormal="87" workbookViewId="0">
      <pane ySplit="2" topLeftCell="A3" activePane="bottomLeft" state="frozen"/>
      <selection pane="bottomLeft"/>
    </sheetView>
  </sheetViews>
  <sheetFormatPr defaultColWidth="8.625" defaultRowHeight="16.5" x14ac:dyDescent="0.3"/>
  <cols>
    <col min="1" max="1" width="8.625" style="6"/>
    <col min="2" max="2" width="4.625" style="6" bestFit="1" customWidth="1"/>
    <col min="3" max="3" width="31.5" style="41" bestFit="1" customWidth="1"/>
    <col min="4" max="4" width="4.25" style="41" bestFit="1" customWidth="1"/>
    <col min="5" max="5" width="7.625" style="41" customWidth="1"/>
    <col min="6" max="6" width="7.5" style="41" bestFit="1" customWidth="1"/>
    <col min="7" max="7" width="1.625" style="41" customWidth="1"/>
    <col min="8" max="8" width="11.625" style="41" bestFit="1" customWidth="1"/>
    <col min="9" max="9" width="15.125" style="41" bestFit="1" customWidth="1"/>
    <col min="10" max="10" width="16.5" style="41" bestFit="1" customWidth="1"/>
    <col min="11" max="11" width="13.125" style="41" bestFit="1" customWidth="1"/>
    <col min="12" max="12" width="14.75" style="41" bestFit="1" customWidth="1"/>
    <col min="13" max="13" width="19.625" style="41" bestFit="1" customWidth="1"/>
    <col min="14" max="14" width="12.5" style="41" bestFit="1" customWidth="1"/>
    <col min="15" max="15" width="21.875" style="41" bestFit="1" customWidth="1"/>
    <col min="16" max="16" width="17.875" style="41" bestFit="1" customWidth="1"/>
    <col min="17" max="17" width="22.625" style="41" bestFit="1" customWidth="1"/>
    <col min="18" max="18" width="17" style="41" bestFit="1" customWidth="1"/>
    <col min="19" max="19" width="17.625" style="41" bestFit="1" customWidth="1"/>
    <col min="20" max="20" width="18.375" style="41" bestFit="1" customWidth="1"/>
    <col min="21" max="21" width="19" style="41" bestFit="1" customWidth="1"/>
    <col min="22" max="22" width="14.875" style="41" bestFit="1" customWidth="1"/>
    <col min="23" max="23" width="22.5" style="41" bestFit="1" customWidth="1"/>
    <col min="24" max="16384" width="8.625" style="6"/>
  </cols>
  <sheetData>
    <row r="2" spans="2:23" x14ac:dyDescent="0.3">
      <c r="B2" s="51"/>
      <c r="C2" s="52" t="s">
        <v>11</v>
      </c>
      <c r="D2" s="52" t="s">
        <v>96</v>
      </c>
      <c r="E2" s="52" t="s">
        <v>2</v>
      </c>
      <c r="F2" s="52" t="s">
        <v>97</v>
      </c>
      <c r="G2" s="52"/>
      <c r="H2" s="52" t="s">
        <v>43</v>
      </c>
      <c r="I2" s="52" t="s">
        <v>46</v>
      </c>
      <c r="J2" s="52" t="s">
        <v>47</v>
      </c>
      <c r="K2" s="52" t="s">
        <v>48</v>
      </c>
      <c r="L2" s="52" t="s">
        <v>49</v>
      </c>
      <c r="M2" s="52" t="s">
        <v>50</v>
      </c>
      <c r="N2" s="52" t="s">
        <v>51</v>
      </c>
      <c r="O2" s="52" t="s">
        <v>52</v>
      </c>
      <c r="P2" s="52" t="s">
        <v>53</v>
      </c>
      <c r="Q2" s="52" t="s">
        <v>54</v>
      </c>
      <c r="R2" s="52" t="s">
        <v>55</v>
      </c>
      <c r="S2" s="52" t="s">
        <v>56</v>
      </c>
      <c r="T2" s="52" t="s">
        <v>57</v>
      </c>
      <c r="U2" s="52" t="s">
        <v>58</v>
      </c>
      <c r="V2" s="52" t="s">
        <v>59</v>
      </c>
      <c r="W2" s="52" t="s">
        <v>60</v>
      </c>
    </row>
    <row r="3" spans="2:23" x14ac:dyDescent="0.3">
      <c r="B3" s="51">
        <v>1</v>
      </c>
      <c r="C3" s="41" t="s">
        <v>224</v>
      </c>
      <c r="D3" s="41" t="s">
        <v>65</v>
      </c>
      <c r="E3" s="41" t="s">
        <v>14</v>
      </c>
      <c r="F3" s="41" t="s">
        <v>99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25" t="s">
        <v>304</v>
      </c>
      <c r="S3" s="25" t="s">
        <v>303</v>
      </c>
      <c r="T3" s="45"/>
      <c r="U3" s="25" t="s">
        <v>298</v>
      </c>
      <c r="V3" s="25" t="s">
        <v>226</v>
      </c>
      <c r="W3" s="25" t="s">
        <v>225</v>
      </c>
    </row>
    <row r="4" spans="2:23" x14ac:dyDescent="0.3">
      <c r="B4" s="51">
        <v>2</v>
      </c>
      <c r="C4" s="41" t="s">
        <v>111</v>
      </c>
      <c r="D4" s="41" t="s">
        <v>65</v>
      </c>
      <c r="E4" s="41" t="s">
        <v>15</v>
      </c>
      <c r="F4" s="41" t="s">
        <v>99</v>
      </c>
      <c r="H4" s="25" t="s">
        <v>109</v>
      </c>
      <c r="I4" s="45"/>
      <c r="J4" s="45"/>
      <c r="K4" s="45"/>
      <c r="L4" s="45"/>
      <c r="M4" s="45"/>
      <c r="N4" s="104"/>
      <c r="O4" s="45"/>
      <c r="P4" s="45"/>
      <c r="Q4" s="45"/>
      <c r="R4" s="162" t="s">
        <v>112</v>
      </c>
      <c r="S4" s="162"/>
      <c r="T4" s="162"/>
      <c r="U4" s="162"/>
      <c r="V4" s="162"/>
      <c r="W4" s="162"/>
    </row>
    <row r="5" spans="2:23" x14ac:dyDescent="0.3">
      <c r="B5" s="51">
        <v>3</v>
      </c>
      <c r="C5" s="41" t="s">
        <v>191</v>
      </c>
      <c r="D5" s="41" t="s">
        <v>65</v>
      </c>
      <c r="E5" s="41" t="s">
        <v>16</v>
      </c>
      <c r="F5" s="41" t="s">
        <v>99</v>
      </c>
      <c r="H5" s="25" t="s">
        <v>109</v>
      </c>
      <c r="I5" s="45"/>
      <c r="J5" s="45"/>
      <c r="K5" s="45"/>
      <c r="L5" s="45"/>
      <c r="M5" s="45"/>
      <c r="N5" s="163" t="s">
        <v>150</v>
      </c>
      <c r="O5" s="165"/>
      <c r="P5" s="45"/>
      <c r="Q5" s="45"/>
      <c r="R5" s="162" t="s">
        <v>112</v>
      </c>
      <c r="S5" s="162"/>
      <c r="T5" s="162"/>
      <c r="U5" s="162"/>
      <c r="V5" s="162"/>
      <c r="W5" s="162"/>
    </row>
    <row r="6" spans="2:23" x14ac:dyDescent="0.3">
      <c r="B6" s="51">
        <v>4</v>
      </c>
      <c r="C6" s="41" t="s">
        <v>190</v>
      </c>
      <c r="D6" s="41" t="s">
        <v>65</v>
      </c>
      <c r="E6" s="41" t="s">
        <v>17</v>
      </c>
      <c r="F6" s="41" t="s">
        <v>99</v>
      </c>
      <c r="H6" s="25" t="s">
        <v>109</v>
      </c>
      <c r="I6" s="45"/>
      <c r="J6" s="45"/>
      <c r="K6" s="45"/>
      <c r="L6" s="45"/>
      <c r="M6" s="45"/>
      <c r="N6" s="163" t="s">
        <v>150</v>
      </c>
      <c r="O6" s="165"/>
      <c r="P6" s="45"/>
      <c r="Q6" s="45"/>
      <c r="R6" s="162" t="s">
        <v>112</v>
      </c>
      <c r="S6" s="162"/>
      <c r="T6" s="162"/>
      <c r="U6" s="162"/>
      <c r="V6" s="162"/>
      <c r="W6" s="162"/>
    </row>
    <row r="7" spans="2:23" x14ac:dyDescent="0.3">
      <c r="B7" s="51">
        <v>5</v>
      </c>
      <c r="C7" s="41" t="s">
        <v>796</v>
      </c>
      <c r="D7" s="41" t="s">
        <v>65</v>
      </c>
      <c r="E7" s="41" t="s">
        <v>809</v>
      </c>
      <c r="F7" s="41" t="s">
        <v>98</v>
      </c>
      <c r="H7" s="25" t="s">
        <v>109</v>
      </c>
      <c r="I7" s="45"/>
      <c r="J7" s="45"/>
      <c r="K7" s="45"/>
      <c r="L7" s="45"/>
      <c r="M7" s="45"/>
      <c r="N7" s="104"/>
      <c r="O7" s="45"/>
      <c r="P7" s="45"/>
      <c r="Q7" s="45"/>
      <c r="R7" s="45"/>
      <c r="S7" s="45"/>
      <c r="T7" s="45"/>
      <c r="U7" s="45"/>
      <c r="V7" s="45"/>
      <c r="W7" s="45"/>
    </row>
    <row r="8" spans="2:23" x14ac:dyDescent="0.3">
      <c r="B8" s="51">
        <v>6</v>
      </c>
      <c r="C8" s="41" t="s">
        <v>805</v>
      </c>
      <c r="D8" s="41" t="s">
        <v>65</v>
      </c>
      <c r="E8" s="41" t="s">
        <v>19</v>
      </c>
      <c r="F8" s="41" t="s">
        <v>99</v>
      </c>
      <c r="H8" s="25" t="s">
        <v>109</v>
      </c>
      <c r="I8" s="45"/>
      <c r="J8" s="45"/>
      <c r="K8" s="45"/>
      <c r="L8" s="45"/>
      <c r="M8" s="45"/>
      <c r="N8" s="104"/>
      <c r="O8" s="45"/>
      <c r="P8" s="45"/>
      <c r="Q8" s="45"/>
      <c r="R8" s="45"/>
      <c r="S8" s="45"/>
      <c r="T8" s="45"/>
      <c r="U8" s="45"/>
      <c r="V8" s="45"/>
      <c r="W8" s="45"/>
    </row>
    <row r="9" spans="2:23" x14ac:dyDescent="0.3">
      <c r="B9" s="51">
        <v>7</v>
      </c>
      <c r="C9" s="41" t="s">
        <v>189</v>
      </c>
      <c r="D9" s="41" t="s">
        <v>65</v>
      </c>
      <c r="E9" s="41" t="s">
        <v>20</v>
      </c>
      <c r="F9" s="41" t="s">
        <v>98</v>
      </c>
      <c r="H9" s="25" t="s">
        <v>109</v>
      </c>
      <c r="I9" s="45"/>
      <c r="J9" s="45"/>
      <c r="K9" s="45"/>
      <c r="L9" s="45"/>
      <c r="M9" s="45"/>
      <c r="N9" s="104"/>
      <c r="O9" s="45"/>
      <c r="P9" s="45"/>
      <c r="Q9" s="45"/>
      <c r="R9" s="45"/>
      <c r="S9" s="45"/>
      <c r="T9" s="45"/>
      <c r="U9" s="45"/>
      <c r="V9" s="45"/>
      <c r="W9" s="45"/>
    </row>
    <row r="10" spans="2:23" x14ac:dyDescent="0.3">
      <c r="B10" s="51">
        <v>8</v>
      </c>
      <c r="C10" s="41" t="s">
        <v>305</v>
      </c>
      <c r="D10" s="41" t="s">
        <v>65</v>
      </c>
      <c r="E10" s="41" t="s">
        <v>21</v>
      </c>
      <c r="F10" s="41" t="s">
        <v>99</v>
      </c>
      <c r="H10" s="25" t="s">
        <v>109</v>
      </c>
      <c r="I10" s="45"/>
      <c r="J10" s="45"/>
      <c r="K10" s="45"/>
      <c r="L10" s="45"/>
      <c r="M10" s="45"/>
      <c r="N10" s="104"/>
      <c r="O10" s="45"/>
      <c r="P10" s="45"/>
      <c r="Q10" s="45"/>
      <c r="R10" s="45"/>
      <c r="S10" s="45"/>
      <c r="T10" s="45"/>
      <c r="U10" s="45"/>
      <c r="V10" s="45"/>
      <c r="W10" s="45"/>
    </row>
    <row r="11" spans="2:23" x14ac:dyDescent="0.3">
      <c r="B11" s="51">
        <v>9</v>
      </c>
      <c r="C11" s="119" t="s">
        <v>806</v>
      </c>
      <c r="D11" s="41" t="s">
        <v>65</v>
      </c>
      <c r="E11" s="41" t="s">
        <v>22</v>
      </c>
      <c r="F11" s="41" t="s">
        <v>98</v>
      </c>
      <c r="H11" s="45"/>
      <c r="I11" s="45"/>
      <c r="J11" s="45"/>
      <c r="K11" s="45"/>
      <c r="L11" s="45"/>
      <c r="M11" s="45"/>
      <c r="N11" s="104"/>
      <c r="O11" s="45"/>
      <c r="P11" s="45"/>
      <c r="Q11" s="45"/>
      <c r="R11" s="45"/>
      <c r="S11" s="120" t="s">
        <v>808</v>
      </c>
      <c r="T11" s="45"/>
      <c r="U11" s="45"/>
      <c r="V11" s="45"/>
      <c r="W11" s="25" t="s">
        <v>807</v>
      </c>
    </row>
    <row r="12" spans="2:23" x14ac:dyDescent="0.3">
      <c r="B12" s="51">
        <v>10</v>
      </c>
      <c r="C12" s="41" t="s">
        <v>215</v>
      </c>
      <c r="D12" s="41" t="s">
        <v>795</v>
      </c>
      <c r="E12" s="41" t="s">
        <v>24</v>
      </c>
      <c r="F12" s="41" t="s">
        <v>98</v>
      </c>
      <c r="H12" s="45"/>
      <c r="I12" s="45"/>
      <c r="J12" s="45"/>
      <c r="K12" s="45"/>
      <c r="L12" s="45"/>
      <c r="M12" s="45"/>
      <c r="N12" s="45"/>
      <c r="O12" s="163" t="s">
        <v>810</v>
      </c>
      <c r="P12" s="164"/>
      <c r="Q12" s="164"/>
      <c r="R12" s="164"/>
      <c r="S12" s="164"/>
      <c r="T12" s="164"/>
      <c r="U12" s="164"/>
      <c r="V12" s="164"/>
      <c r="W12" s="165"/>
    </row>
    <row r="13" spans="2:23" x14ac:dyDescent="0.3">
      <c r="B13" s="51">
        <v>11</v>
      </c>
      <c r="C13" s="41" t="s">
        <v>216</v>
      </c>
      <c r="D13" s="41" t="s">
        <v>795</v>
      </c>
      <c r="E13" s="41" t="s">
        <v>26</v>
      </c>
      <c r="F13" s="41" t="s">
        <v>98</v>
      </c>
      <c r="H13" s="45"/>
      <c r="I13" s="45"/>
      <c r="J13" s="45"/>
      <c r="K13" s="45"/>
      <c r="L13" s="45"/>
      <c r="M13" s="45"/>
      <c r="N13" s="45"/>
      <c r="O13" s="163" t="s">
        <v>811</v>
      </c>
      <c r="P13" s="164"/>
      <c r="Q13" s="164"/>
      <c r="R13" s="164"/>
      <c r="S13" s="164"/>
      <c r="T13" s="164"/>
      <c r="U13" s="164"/>
      <c r="V13" s="164"/>
      <c r="W13" s="165"/>
    </row>
    <row r="14" spans="2:23" x14ac:dyDescent="0.3">
      <c r="B14" s="51">
        <v>12</v>
      </c>
      <c r="C14" s="41" t="s">
        <v>217</v>
      </c>
      <c r="D14" s="41" t="s">
        <v>795</v>
      </c>
      <c r="E14" s="41" t="s">
        <v>25</v>
      </c>
      <c r="F14" s="41" t="s">
        <v>98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163" t="s">
        <v>219</v>
      </c>
      <c r="S14" s="164"/>
      <c r="T14" s="164"/>
      <c r="U14" s="164"/>
      <c r="V14" s="164"/>
      <c r="W14" s="165"/>
    </row>
    <row r="15" spans="2:23" x14ac:dyDescent="0.3">
      <c r="B15" s="51">
        <v>13</v>
      </c>
      <c r="C15" s="41" t="s">
        <v>913</v>
      </c>
      <c r="D15" s="41" t="s">
        <v>65</v>
      </c>
      <c r="E15" s="41" t="s">
        <v>27</v>
      </c>
      <c r="F15" s="41" t="s">
        <v>98</v>
      </c>
      <c r="H15" s="45"/>
      <c r="I15" s="45"/>
      <c r="J15" s="163" t="s">
        <v>471</v>
      </c>
      <c r="K15" s="164"/>
      <c r="L15" s="164"/>
      <c r="M15" s="164"/>
      <c r="N15" s="164"/>
      <c r="O15" s="165"/>
      <c r="P15" s="25" t="s">
        <v>218</v>
      </c>
      <c r="Q15" s="45"/>
      <c r="R15" s="164" t="s">
        <v>462</v>
      </c>
      <c r="S15" s="164"/>
      <c r="T15" s="164"/>
      <c r="U15" s="164"/>
      <c r="V15" s="164"/>
      <c r="W15" s="165"/>
    </row>
    <row r="16" spans="2:23" x14ac:dyDescent="0.3">
      <c r="B16" s="51">
        <v>14</v>
      </c>
      <c r="C16" s="41" t="s">
        <v>606</v>
      </c>
      <c r="D16" s="41" t="s">
        <v>795</v>
      </c>
      <c r="E16" s="41" t="s">
        <v>28</v>
      </c>
      <c r="F16" s="41" t="s">
        <v>98</v>
      </c>
      <c r="H16" s="45"/>
      <c r="I16" s="45"/>
      <c r="J16" s="163" t="s">
        <v>607</v>
      </c>
      <c r="K16" s="164"/>
      <c r="L16" s="164"/>
      <c r="M16" s="164"/>
      <c r="N16" s="164"/>
      <c r="O16" s="165"/>
      <c r="P16" s="45"/>
      <c r="Q16" s="45"/>
      <c r="R16" s="163" t="s">
        <v>610</v>
      </c>
      <c r="S16" s="164"/>
      <c r="T16" s="164"/>
      <c r="U16" s="164"/>
      <c r="V16" s="164"/>
      <c r="W16" s="165"/>
    </row>
    <row r="17" spans="1:23" x14ac:dyDescent="0.3">
      <c r="B17" s="51">
        <v>15</v>
      </c>
      <c r="C17" s="41" t="s">
        <v>605</v>
      </c>
      <c r="D17" s="41" t="s">
        <v>795</v>
      </c>
      <c r="E17" s="41" t="s">
        <v>29</v>
      </c>
      <c r="F17" s="41" t="s">
        <v>98</v>
      </c>
      <c r="H17" s="45"/>
      <c r="I17" s="45"/>
      <c r="J17" s="163" t="s">
        <v>608</v>
      </c>
      <c r="K17" s="164"/>
      <c r="L17" s="164"/>
      <c r="M17" s="164"/>
      <c r="N17" s="164"/>
      <c r="O17" s="165"/>
      <c r="P17" s="45"/>
      <c r="Q17" s="45"/>
      <c r="R17" s="163" t="s">
        <v>609</v>
      </c>
      <c r="S17" s="164"/>
      <c r="T17" s="164"/>
      <c r="U17" s="164"/>
      <c r="V17" s="164"/>
      <c r="W17" s="165"/>
    </row>
    <row r="18" spans="1:23" x14ac:dyDescent="0.3">
      <c r="B18" s="51">
        <v>16</v>
      </c>
      <c r="C18" s="41" t="s">
        <v>472</v>
      </c>
      <c r="D18" s="41" t="s">
        <v>795</v>
      </c>
      <c r="E18" s="41" t="s">
        <v>63</v>
      </c>
      <c r="F18" s="41" t="s">
        <v>98</v>
      </c>
      <c r="H18" s="45"/>
      <c r="I18" s="45"/>
      <c r="J18" s="163" t="s">
        <v>612</v>
      </c>
      <c r="K18" s="164"/>
      <c r="L18" s="164"/>
      <c r="M18" s="164"/>
      <c r="N18" s="164"/>
      <c r="O18" s="165"/>
      <c r="P18" s="45"/>
      <c r="Q18" s="45"/>
      <c r="R18" s="163" t="s">
        <v>611</v>
      </c>
      <c r="S18" s="164"/>
      <c r="T18" s="164"/>
      <c r="U18" s="164"/>
      <c r="V18" s="164"/>
      <c r="W18" s="165"/>
    </row>
    <row r="19" spans="1:23" x14ac:dyDescent="0.3">
      <c r="B19" s="51">
        <v>17</v>
      </c>
      <c r="C19" s="41" t="s">
        <v>613</v>
      </c>
      <c r="D19" s="41" t="s">
        <v>802</v>
      </c>
      <c r="E19" s="41" t="s">
        <v>266</v>
      </c>
      <c r="F19" s="41" t="s">
        <v>98</v>
      </c>
      <c r="H19" s="45"/>
      <c r="I19" s="45"/>
      <c r="J19" s="45"/>
      <c r="K19" s="45"/>
      <c r="L19" s="45"/>
      <c r="M19" s="45"/>
      <c r="N19" s="45"/>
      <c r="O19" s="25" t="s">
        <v>615</v>
      </c>
      <c r="P19" s="45"/>
      <c r="Q19" s="45"/>
      <c r="R19" s="45"/>
      <c r="S19" s="45"/>
      <c r="T19" s="45"/>
      <c r="U19" s="45"/>
      <c r="V19" s="45"/>
      <c r="W19" s="25" t="s">
        <v>614</v>
      </c>
    </row>
    <row r="20" spans="1:23" x14ac:dyDescent="0.3">
      <c r="A20" s="41"/>
      <c r="B20" s="51">
        <v>18</v>
      </c>
      <c r="C20" s="41" t="s">
        <v>914</v>
      </c>
      <c r="D20" s="41" t="s">
        <v>65</v>
      </c>
      <c r="E20" s="41" t="s">
        <v>267</v>
      </c>
      <c r="F20" s="41" t="s">
        <v>98</v>
      </c>
      <c r="H20" s="163" t="s">
        <v>915</v>
      </c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5"/>
    </row>
    <row r="21" spans="1:23" x14ac:dyDescent="0.3">
      <c r="A21" s="41"/>
      <c r="B21" s="51">
        <v>19</v>
      </c>
      <c r="C21" s="119" t="s">
        <v>671</v>
      </c>
      <c r="D21" s="41" t="s">
        <v>65</v>
      </c>
      <c r="E21" s="41" t="s">
        <v>268</v>
      </c>
      <c r="F21" s="41" t="s">
        <v>98</v>
      </c>
      <c r="H21" s="163" t="s">
        <v>670</v>
      </c>
      <c r="I21" s="164"/>
      <c r="J21" s="164"/>
      <c r="K21" s="164"/>
      <c r="L21" s="164"/>
      <c r="M21" s="164"/>
      <c r="N21" s="164"/>
      <c r="O21" s="165"/>
      <c r="P21" s="45"/>
      <c r="Q21" s="45"/>
      <c r="R21" s="45"/>
      <c r="S21" s="45"/>
      <c r="T21" s="45"/>
      <c r="U21" s="45"/>
      <c r="V21" s="45"/>
      <c r="W21" s="25" t="s">
        <v>916</v>
      </c>
    </row>
    <row r="22" spans="1:23" x14ac:dyDescent="0.3">
      <c r="A22" s="41"/>
      <c r="B22" s="51">
        <v>20</v>
      </c>
      <c r="C22" s="41" t="s">
        <v>296</v>
      </c>
      <c r="D22" s="41" t="s">
        <v>65</v>
      </c>
      <c r="E22" s="41" t="s">
        <v>344</v>
      </c>
      <c r="F22" s="41" t="s">
        <v>98</v>
      </c>
      <c r="H22" s="45"/>
      <c r="I22" s="45"/>
      <c r="J22" s="45"/>
      <c r="K22" s="45"/>
      <c r="L22" s="45"/>
      <c r="M22" s="45"/>
      <c r="N22" s="45"/>
      <c r="O22" s="45"/>
      <c r="P22" s="45"/>
      <c r="Q22" s="163" t="s">
        <v>464</v>
      </c>
      <c r="R22" s="164"/>
      <c r="S22" s="165"/>
      <c r="T22" s="163" t="s">
        <v>463</v>
      </c>
      <c r="U22" s="164"/>
      <c r="V22" s="164"/>
      <c r="W22" s="165"/>
    </row>
    <row r="23" spans="1:23" x14ac:dyDescent="0.3">
      <c r="A23" s="41"/>
      <c r="B23" s="51">
        <v>21</v>
      </c>
      <c r="C23" s="41" t="s">
        <v>211</v>
      </c>
      <c r="D23" s="41" t="s">
        <v>65</v>
      </c>
      <c r="E23" s="41" t="s">
        <v>269</v>
      </c>
      <c r="F23" s="41" t="s">
        <v>98</v>
      </c>
      <c r="H23" s="45"/>
      <c r="I23" s="45"/>
      <c r="J23" s="45"/>
      <c r="K23" s="45"/>
      <c r="L23" s="45"/>
      <c r="M23" s="45"/>
      <c r="N23" s="45"/>
      <c r="O23" s="45"/>
      <c r="P23" s="25" t="s">
        <v>309</v>
      </c>
      <c r="Q23" s="25" t="s">
        <v>310</v>
      </c>
      <c r="R23" s="25" t="s">
        <v>311</v>
      </c>
      <c r="S23" s="25" t="s">
        <v>214</v>
      </c>
      <c r="T23" s="53" t="s">
        <v>223</v>
      </c>
      <c r="U23" s="53" t="s">
        <v>222</v>
      </c>
      <c r="V23" s="53" t="s">
        <v>221</v>
      </c>
      <c r="W23" s="53" t="s">
        <v>220</v>
      </c>
    </row>
    <row r="24" spans="1:23" x14ac:dyDescent="0.3">
      <c r="A24" s="41"/>
      <c r="B24" s="51">
        <v>22</v>
      </c>
      <c r="C24" s="54" t="s">
        <v>803</v>
      </c>
      <c r="D24" s="41" t="s">
        <v>795</v>
      </c>
      <c r="E24" s="41" t="s">
        <v>270</v>
      </c>
      <c r="F24" s="41" t="s">
        <v>99</v>
      </c>
      <c r="G24" s="54"/>
      <c r="H24" s="25" t="s">
        <v>205</v>
      </c>
      <c r="I24" s="25" t="s">
        <v>204</v>
      </c>
      <c r="J24" s="25" t="s">
        <v>203</v>
      </c>
      <c r="K24" s="25" t="s">
        <v>202</v>
      </c>
      <c r="L24" s="25" t="s">
        <v>199</v>
      </c>
      <c r="M24" s="25" t="s">
        <v>198</v>
      </c>
      <c r="N24" s="25" t="s">
        <v>197</v>
      </c>
      <c r="O24" s="25" t="s">
        <v>196</v>
      </c>
      <c r="P24" s="25" t="s">
        <v>195</v>
      </c>
      <c r="Q24" s="25" t="s">
        <v>194</v>
      </c>
      <c r="R24" s="25" t="s">
        <v>201</v>
      </c>
      <c r="S24" s="25" t="s">
        <v>200</v>
      </c>
      <c r="T24" s="25" t="s">
        <v>302</v>
      </c>
      <c r="U24" s="25" t="s">
        <v>301</v>
      </c>
      <c r="V24" s="25" t="s">
        <v>193</v>
      </c>
      <c r="W24" s="25" t="s">
        <v>192</v>
      </c>
    </row>
    <row r="25" spans="1:23" x14ac:dyDescent="0.3">
      <c r="A25" s="41"/>
      <c r="B25" s="51">
        <v>23</v>
      </c>
      <c r="C25" s="54" t="s">
        <v>804</v>
      </c>
      <c r="D25" s="41" t="s">
        <v>795</v>
      </c>
      <c r="E25" s="41" t="s">
        <v>271</v>
      </c>
      <c r="F25" s="41" t="s">
        <v>99</v>
      </c>
      <c r="G25" s="54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25" t="s">
        <v>800</v>
      </c>
      <c r="W25" s="25" t="s">
        <v>799</v>
      </c>
    </row>
    <row r="26" spans="1:23" x14ac:dyDescent="0.3">
      <c r="A26" s="41"/>
      <c r="B26" s="51">
        <v>24</v>
      </c>
      <c r="C26" s="54" t="s">
        <v>210</v>
      </c>
      <c r="D26" s="41" t="s">
        <v>795</v>
      </c>
      <c r="E26" s="41" t="s">
        <v>797</v>
      </c>
      <c r="F26" s="41" t="s">
        <v>99</v>
      </c>
      <c r="G26" s="54"/>
      <c r="H26" s="45"/>
      <c r="I26" s="25" t="s">
        <v>308</v>
      </c>
      <c r="J26" s="25" t="s">
        <v>307</v>
      </c>
      <c r="K26" s="25" t="s">
        <v>306</v>
      </c>
      <c r="L26" s="45"/>
      <c r="M26" s="45"/>
      <c r="N26" s="45"/>
      <c r="O26" s="45"/>
      <c r="P26" s="45"/>
      <c r="Q26" s="45"/>
      <c r="R26" s="25" t="s">
        <v>208</v>
      </c>
      <c r="S26" s="25" t="s">
        <v>209</v>
      </c>
      <c r="T26" s="25" t="s">
        <v>299</v>
      </c>
      <c r="U26" s="25" t="s">
        <v>300</v>
      </c>
      <c r="V26" s="25" t="s">
        <v>207</v>
      </c>
      <c r="W26" s="25" t="s">
        <v>206</v>
      </c>
    </row>
    <row r="27" spans="1:23" ht="49.5" x14ac:dyDescent="0.3">
      <c r="B27" s="51">
        <v>25</v>
      </c>
      <c r="C27" s="41" t="s">
        <v>213</v>
      </c>
      <c r="D27" s="41" t="s">
        <v>795</v>
      </c>
      <c r="E27" s="41" t="s">
        <v>798</v>
      </c>
      <c r="F27" s="41" t="s">
        <v>98</v>
      </c>
      <c r="H27" s="45"/>
      <c r="I27" s="45"/>
      <c r="J27" s="45"/>
      <c r="K27" s="45"/>
      <c r="L27" s="53" t="s">
        <v>318</v>
      </c>
      <c r="M27" s="53" t="s">
        <v>317</v>
      </c>
      <c r="N27" s="53" t="s">
        <v>319</v>
      </c>
      <c r="O27" s="53" t="s">
        <v>313</v>
      </c>
      <c r="P27" s="53" t="s">
        <v>316</v>
      </c>
      <c r="Q27" s="53" t="s">
        <v>315</v>
      </c>
      <c r="R27" s="53" t="s">
        <v>314</v>
      </c>
      <c r="S27" s="53" t="s">
        <v>312</v>
      </c>
      <c r="T27" s="45"/>
      <c r="U27" s="45"/>
      <c r="V27" s="53" t="s">
        <v>666</v>
      </c>
      <c r="W27" s="53" t="s">
        <v>667</v>
      </c>
    </row>
    <row r="28" spans="1:23" ht="17.100000000000001" customHeight="1" x14ac:dyDescent="0.3">
      <c r="B28" s="51">
        <f>B27+1</f>
        <v>26</v>
      </c>
      <c r="C28" s="41" t="s">
        <v>103</v>
      </c>
      <c r="D28" s="41" t="s">
        <v>65</v>
      </c>
      <c r="E28" s="41" t="s">
        <v>461</v>
      </c>
      <c r="F28" s="41" t="s">
        <v>98</v>
      </c>
      <c r="H28" s="45"/>
      <c r="I28" s="163" t="s">
        <v>640</v>
      </c>
      <c r="J28" s="164"/>
      <c r="K28" s="164"/>
      <c r="L28" s="164"/>
      <c r="M28" s="165"/>
      <c r="N28" s="163" t="s">
        <v>632</v>
      </c>
      <c r="O28" s="164"/>
      <c r="P28" s="164"/>
      <c r="Q28" s="164"/>
      <c r="R28" s="165"/>
      <c r="S28" s="166" t="s">
        <v>886</v>
      </c>
      <c r="T28" s="167"/>
      <c r="U28" s="167"/>
      <c r="V28" s="167"/>
      <c r="W28" s="168"/>
    </row>
    <row r="29" spans="1:23" x14ac:dyDescent="0.3">
      <c r="B29" s="51">
        <f>B28+1</f>
        <v>27</v>
      </c>
      <c r="C29" s="41" t="s">
        <v>104</v>
      </c>
      <c r="D29" s="41" t="s">
        <v>65</v>
      </c>
      <c r="E29" s="41" t="s">
        <v>32</v>
      </c>
      <c r="F29" s="41" t="s">
        <v>98</v>
      </c>
      <c r="H29" s="45"/>
      <c r="I29" s="163" t="s">
        <v>641</v>
      </c>
      <c r="J29" s="164"/>
      <c r="K29" s="164"/>
      <c r="L29" s="164"/>
      <c r="M29" s="165"/>
      <c r="N29" s="163" t="s">
        <v>634</v>
      </c>
      <c r="O29" s="164"/>
      <c r="P29" s="164"/>
      <c r="Q29" s="164"/>
      <c r="R29" s="165"/>
      <c r="S29" s="163" t="s">
        <v>625</v>
      </c>
      <c r="T29" s="164"/>
      <c r="U29" s="164"/>
      <c r="V29" s="164"/>
      <c r="W29" s="165"/>
    </row>
    <row r="30" spans="1:23" x14ac:dyDescent="0.3">
      <c r="B30" s="51">
        <f t="shared" ref="B30:B50" si="0">B29+1</f>
        <v>28</v>
      </c>
      <c r="C30" s="41" t="s">
        <v>105</v>
      </c>
      <c r="D30" s="41" t="s">
        <v>65</v>
      </c>
      <c r="E30" s="41" t="s">
        <v>33</v>
      </c>
      <c r="F30" s="41" t="s">
        <v>98</v>
      </c>
      <c r="H30" s="45"/>
      <c r="I30" s="163" t="s">
        <v>642</v>
      </c>
      <c r="J30" s="164"/>
      <c r="K30" s="164"/>
      <c r="L30" s="164"/>
      <c r="M30" s="165"/>
      <c r="N30" s="163" t="s">
        <v>633</v>
      </c>
      <c r="O30" s="164"/>
      <c r="P30" s="164"/>
      <c r="Q30" s="164"/>
      <c r="R30" s="165"/>
      <c r="S30" s="163" t="s">
        <v>626</v>
      </c>
      <c r="T30" s="164"/>
      <c r="U30" s="164"/>
      <c r="V30" s="164"/>
      <c r="W30" s="165"/>
    </row>
    <row r="31" spans="1:23" x14ac:dyDescent="0.3">
      <c r="B31" s="51">
        <f t="shared" si="0"/>
        <v>29</v>
      </c>
      <c r="C31" s="41" t="s">
        <v>106</v>
      </c>
      <c r="D31" s="41" t="s">
        <v>65</v>
      </c>
      <c r="E31" s="41" t="s">
        <v>34</v>
      </c>
      <c r="F31" s="41" t="s">
        <v>98</v>
      </c>
      <c r="H31" s="45"/>
      <c r="I31" s="163" t="s">
        <v>643</v>
      </c>
      <c r="J31" s="164"/>
      <c r="K31" s="164"/>
      <c r="L31" s="164"/>
      <c r="M31" s="165"/>
      <c r="N31" s="163" t="s">
        <v>635</v>
      </c>
      <c r="O31" s="164"/>
      <c r="P31" s="164"/>
      <c r="Q31" s="164"/>
      <c r="R31" s="165"/>
      <c r="S31" s="163" t="s">
        <v>627</v>
      </c>
      <c r="T31" s="164"/>
      <c r="U31" s="164"/>
      <c r="V31" s="164"/>
      <c r="W31" s="165"/>
    </row>
    <row r="32" spans="1:23" x14ac:dyDescent="0.3">
      <c r="B32" s="51">
        <f t="shared" si="0"/>
        <v>30</v>
      </c>
      <c r="C32" s="41" t="s">
        <v>107</v>
      </c>
      <c r="D32" s="41" t="s">
        <v>65</v>
      </c>
      <c r="E32" s="41" t="s">
        <v>35</v>
      </c>
      <c r="F32" s="41" t="s">
        <v>98</v>
      </c>
      <c r="H32" s="45"/>
      <c r="I32" s="163" t="s">
        <v>644</v>
      </c>
      <c r="J32" s="164"/>
      <c r="K32" s="164"/>
      <c r="L32" s="164"/>
      <c r="M32" s="165"/>
      <c r="N32" s="163" t="s">
        <v>636</v>
      </c>
      <c r="O32" s="164"/>
      <c r="P32" s="164"/>
      <c r="Q32" s="164"/>
      <c r="R32" s="165"/>
      <c r="S32" s="163" t="s">
        <v>628</v>
      </c>
      <c r="T32" s="164"/>
      <c r="U32" s="164"/>
      <c r="V32" s="164"/>
      <c r="W32" s="165"/>
    </row>
    <row r="33" spans="2:23" x14ac:dyDescent="0.3">
      <c r="B33" s="51">
        <f t="shared" si="0"/>
        <v>31</v>
      </c>
      <c r="C33" s="41" t="s">
        <v>108</v>
      </c>
      <c r="D33" s="41" t="s">
        <v>65</v>
      </c>
      <c r="E33" s="41" t="s">
        <v>36</v>
      </c>
      <c r="F33" s="41" t="s">
        <v>98</v>
      </c>
      <c r="H33" s="45"/>
      <c r="I33" s="163" t="s">
        <v>645</v>
      </c>
      <c r="J33" s="164"/>
      <c r="K33" s="164"/>
      <c r="L33" s="164"/>
      <c r="M33" s="165"/>
      <c r="N33" s="163" t="s">
        <v>637</v>
      </c>
      <c r="O33" s="164"/>
      <c r="P33" s="164"/>
      <c r="Q33" s="164"/>
      <c r="R33" s="165"/>
      <c r="S33" s="163" t="s">
        <v>629</v>
      </c>
      <c r="T33" s="164"/>
      <c r="U33" s="164"/>
      <c r="V33" s="164"/>
      <c r="W33" s="165"/>
    </row>
    <row r="34" spans="2:23" x14ac:dyDescent="0.3">
      <c r="B34" s="51">
        <f t="shared" si="0"/>
        <v>32</v>
      </c>
      <c r="C34" s="41" t="s">
        <v>668</v>
      </c>
      <c r="D34" s="41" t="s">
        <v>65</v>
      </c>
      <c r="E34" s="41" t="s">
        <v>37</v>
      </c>
      <c r="F34" s="41" t="s">
        <v>98</v>
      </c>
      <c r="H34" s="45"/>
      <c r="I34" s="163" t="s">
        <v>646</v>
      </c>
      <c r="J34" s="164"/>
      <c r="K34" s="164"/>
      <c r="L34" s="164"/>
      <c r="M34" s="165"/>
      <c r="N34" s="163" t="s">
        <v>638</v>
      </c>
      <c r="O34" s="164"/>
      <c r="P34" s="164"/>
      <c r="Q34" s="164"/>
      <c r="R34" s="165"/>
      <c r="S34" s="163" t="s">
        <v>630</v>
      </c>
      <c r="T34" s="164"/>
      <c r="U34" s="164"/>
      <c r="V34" s="164"/>
      <c r="W34" s="165"/>
    </row>
    <row r="35" spans="2:23" x14ac:dyDescent="0.3">
      <c r="B35" s="51">
        <f t="shared" si="0"/>
        <v>33</v>
      </c>
      <c r="C35" s="41" t="s">
        <v>669</v>
      </c>
      <c r="D35" s="41" t="s">
        <v>65</v>
      </c>
      <c r="E35" s="41" t="s">
        <v>38</v>
      </c>
      <c r="F35" s="41" t="s">
        <v>98</v>
      </c>
      <c r="H35" s="45"/>
      <c r="I35" s="163" t="s">
        <v>647</v>
      </c>
      <c r="J35" s="164"/>
      <c r="K35" s="164"/>
      <c r="L35" s="164"/>
      <c r="M35" s="165"/>
      <c r="N35" s="163" t="s">
        <v>639</v>
      </c>
      <c r="O35" s="164"/>
      <c r="P35" s="164"/>
      <c r="Q35" s="164"/>
      <c r="R35" s="165"/>
      <c r="S35" s="163" t="s">
        <v>631</v>
      </c>
      <c r="T35" s="164"/>
      <c r="U35" s="164"/>
      <c r="V35" s="164"/>
      <c r="W35" s="165"/>
    </row>
    <row r="36" spans="2:23" x14ac:dyDescent="0.3">
      <c r="B36" s="51">
        <f t="shared" si="0"/>
        <v>34</v>
      </c>
      <c r="C36" s="41" t="s">
        <v>113</v>
      </c>
      <c r="D36" s="41" t="s">
        <v>65</v>
      </c>
      <c r="E36" s="41" t="s">
        <v>39</v>
      </c>
      <c r="F36" s="41" t="s">
        <v>98</v>
      </c>
      <c r="H36" s="163" t="s">
        <v>126</v>
      </c>
      <c r="I36" s="164"/>
      <c r="J36" s="164"/>
      <c r="K36" s="164"/>
      <c r="L36" s="164"/>
      <c r="M36" s="164"/>
      <c r="N36" s="164"/>
      <c r="O36" s="165"/>
      <c r="P36" s="163" t="s">
        <v>125</v>
      </c>
      <c r="Q36" s="164"/>
      <c r="R36" s="164"/>
      <c r="S36" s="164"/>
      <c r="T36" s="164"/>
      <c r="U36" s="164"/>
      <c r="V36" s="164"/>
      <c r="W36" s="165"/>
    </row>
    <row r="37" spans="2:23" x14ac:dyDescent="0.3">
      <c r="B37" s="51">
        <f t="shared" si="0"/>
        <v>35</v>
      </c>
      <c r="C37" s="41" t="s">
        <v>114</v>
      </c>
      <c r="D37" s="41" t="s">
        <v>65</v>
      </c>
      <c r="E37" s="41" t="s">
        <v>40</v>
      </c>
      <c r="F37" s="41" t="s">
        <v>98</v>
      </c>
      <c r="H37" s="163" t="s">
        <v>127</v>
      </c>
      <c r="I37" s="164"/>
      <c r="J37" s="164"/>
      <c r="K37" s="164"/>
      <c r="L37" s="164"/>
      <c r="M37" s="164"/>
      <c r="N37" s="164"/>
      <c r="O37" s="165"/>
      <c r="P37" s="163" t="s">
        <v>148</v>
      </c>
      <c r="Q37" s="164"/>
      <c r="R37" s="164"/>
      <c r="S37" s="164"/>
      <c r="T37" s="164"/>
      <c r="U37" s="164"/>
      <c r="V37" s="164"/>
      <c r="W37" s="165"/>
    </row>
    <row r="38" spans="2:23" x14ac:dyDescent="0.3">
      <c r="B38" s="51">
        <f t="shared" si="0"/>
        <v>36</v>
      </c>
      <c r="C38" s="41" t="s">
        <v>115</v>
      </c>
      <c r="D38" s="41" t="s">
        <v>65</v>
      </c>
      <c r="E38" s="41" t="s">
        <v>41</v>
      </c>
      <c r="F38" s="41" t="s">
        <v>98</v>
      </c>
      <c r="H38" s="163" t="s">
        <v>128</v>
      </c>
      <c r="I38" s="164"/>
      <c r="J38" s="164"/>
      <c r="K38" s="164"/>
      <c r="L38" s="164"/>
      <c r="M38" s="164"/>
      <c r="N38" s="164"/>
      <c r="O38" s="165"/>
      <c r="P38" s="163" t="s">
        <v>147</v>
      </c>
      <c r="Q38" s="164"/>
      <c r="R38" s="164"/>
      <c r="S38" s="164"/>
      <c r="T38" s="164"/>
      <c r="U38" s="164"/>
      <c r="V38" s="164"/>
      <c r="W38" s="165"/>
    </row>
    <row r="39" spans="2:23" x14ac:dyDescent="0.3">
      <c r="B39" s="51">
        <f t="shared" si="0"/>
        <v>37</v>
      </c>
      <c r="C39" s="41" t="s">
        <v>116</v>
      </c>
      <c r="D39" s="41" t="s">
        <v>65</v>
      </c>
      <c r="E39" s="41" t="s">
        <v>68</v>
      </c>
      <c r="F39" s="41" t="s">
        <v>98</v>
      </c>
      <c r="H39" s="163" t="s">
        <v>129</v>
      </c>
      <c r="I39" s="164"/>
      <c r="J39" s="164"/>
      <c r="K39" s="164"/>
      <c r="L39" s="164"/>
      <c r="M39" s="164"/>
      <c r="N39" s="164"/>
      <c r="O39" s="165"/>
      <c r="P39" s="163" t="s">
        <v>146</v>
      </c>
      <c r="Q39" s="164"/>
      <c r="R39" s="164"/>
      <c r="S39" s="164"/>
      <c r="T39" s="164"/>
      <c r="U39" s="164"/>
      <c r="V39" s="164"/>
      <c r="W39" s="165"/>
    </row>
    <row r="40" spans="2:23" x14ac:dyDescent="0.3">
      <c r="B40" s="51">
        <f t="shared" si="0"/>
        <v>38</v>
      </c>
      <c r="C40" s="41" t="s">
        <v>117</v>
      </c>
      <c r="D40" s="41" t="s">
        <v>65</v>
      </c>
      <c r="E40" s="41" t="s">
        <v>69</v>
      </c>
      <c r="F40" s="41" t="s">
        <v>98</v>
      </c>
      <c r="H40" s="163" t="s">
        <v>130</v>
      </c>
      <c r="I40" s="164"/>
      <c r="J40" s="164"/>
      <c r="K40" s="164"/>
      <c r="L40" s="164"/>
      <c r="M40" s="164"/>
      <c r="N40" s="164"/>
      <c r="O40" s="165"/>
      <c r="P40" s="163" t="s">
        <v>145</v>
      </c>
      <c r="Q40" s="164"/>
      <c r="R40" s="164"/>
      <c r="S40" s="164"/>
      <c r="T40" s="164"/>
      <c r="U40" s="164"/>
      <c r="V40" s="164"/>
      <c r="W40" s="165"/>
    </row>
    <row r="41" spans="2:23" x14ac:dyDescent="0.3">
      <c r="B41" s="51">
        <f t="shared" si="0"/>
        <v>39</v>
      </c>
      <c r="C41" s="41" t="s">
        <v>118</v>
      </c>
      <c r="D41" s="41" t="s">
        <v>65</v>
      </c>
      <c r="E41" s="41" t="s">
        <v>70</v>
      </c>
      <c r="F41" s="41" t="s">
        <v>98</v>
      </c>
      <c r="H41" s="163" t="s">
        <v>131</v>
      </c>
      <c r="I41" s="164"/>
      <c r="J41" s="164"/>
      <c r="K41" s="164"/>
      <c r="L41" s="164"/>
      <c r="M41" s="164"/>
      <c r="N41" s="164"/>
      <c r="O41" s="165"/>
      <c r="P41" s="163" t="s">
        <v>144</v>
      </c>
      <c r="Q41" s="164"/>
      <c r="R41" s="164"/>
      <c r="S41" s="164"/>
      <c r="T41" s="164"/>
      <c r="U41" s="164"/>
      <c r="V41" s="164"/>
      <c r="W41" s="165"/>
    </row>
    <row r="42" spans="2:23" x14ac:dyDescent="0.3">
      <c r="B42" s="51">
        <f t="shared" si="0"/>
        <v>40</v>
      </c>
      <c r="C42" s="41" t="s">
        <v>119</v>
      </c>
      <c r="D42" s="41" t="s">
        <v>65</v>
      </c>
      <c r="E42" s="41" t="s">
        <v>71</v>
      </c>
      <c r="F42" s="41" t="s">
        <v>98</v>
      </c>
      <c r="H42" s="163" t="s">
        <v>132</v>
      </c>
      <c r="I42" s="164"/>
      <c r="J42" s="164"/>
      <c r="K42" s="164"/>
      <c r="L42" s="164"/>
      <c r="M42" s="164"/>
      <c r="N42" s="164"/>
      <c r="O42" s="165"/>
      <c r="P42" s="163" t="s">
        <v>143</v>
      </c>
      <c r="Q42" s="164"/>
      <c r="R42" s="164"/>
      <c r="S42" s="164"/>
      <c r="T42" s="164"/>
      <c r="U42" s="164"/>
      <c r="V42" s="164"/>
      <c r="W42" s="165"/>
    </row>
    <row r="43" spans="2:23" x14ac:dyDescent="0.3">
      <c r="B43" s="51">
        <f t="shared" si="0"/>
        <v>41</v>
      </c>
      <c r="C43" s="41" t="s">
        <v>120</v>
      </c>
      <c r="D43" s="41" t="s">
        <v>65</v>
      </c>
      <c r="E43" s="41" t="s">
        <v>276</v>
      </c>
      <c r="F43" s="41" t="s">
        <v>98</v>
      </c>
      <c r="H43" s="163" t="s">
        <v>133</v>
      </c>
      <c r="I43" s="164"/>
      <c r="J43" s="164"/>
      <c r="K43" s="164"/>
      <c r="L43" s="164"/>
      <c r="M43" s="164"/>
      <c r="N43" s="164"/>
      <c r="O43" s="165"/>
      <c r="P43" s="163" t="s">
        <v>142</v>
      </c>
      <c r="Q43" s="164"/>
      <c r="R43" s="164"/>
      <c r="S43" s="164"/>
      <c r="T43" s="164"/>
      <c r="U43" s="164"/>
      <c r="V43" s="164"/>
      <c r="W43" s="165"/>
    </row>
    <row r="44" spans="2:23" x14ac:dyDescent="0.3">
      <c r="B44" s="51">
        <f t="shared" si="0"/>
        <v>42</v>
      </c>
      <c r="C44" s="41" t="s">
        <v>121</v>
      </c>
      <c r="D44" s="41" t="s">
        <v>65</v>
      </c>
      <c r="E44" s="41" t="s">
        <v>277</v>
      </c>
      <c r="F44" s="41" t="s">
        <v>98</v>
      </c>
      <c r="H44" s="163" t="s">
        <v>134</v>
      </c>
      <c r="I44" s="164"/>
      <c r="J44" s="164"/>
      <c r="K44" s="164"/>
      <c r="L44" s="164"/>
      <c r="M44" s="164"/>
      <c r="N44" s="164"/>
      <c r="O44" s="165"/>
      <c r="P44" s="163" t="s">
        <v>141</v>
      </c>
      <c r="Q44" s="164"/>
      <c r="R44" s="164"/>
      <c r="S44" s="164"/>
      <c r="T44" s="164"/>
      <c r="U44" s="164"/>
      <c r="V44" s="164"/>
      <c r="W44" s="165"/>
    </row>
    <row r="45" spans="2:23" x14ac:dyDescent="0.3">
      <c r="B45" s="51">
        <f t="shared" si="0"/>
        <v>43</v>
      </c>
      <c r="C45" s="41" t="s">
        <v>122</v>
      </c>
      <c r="D45" s="41" t="s">
        <v>65</v>
      </c>
      <c r="E45" s="41" t="s">
        <v>278</v>
      </c>
      <c r="F45" s="41" t="s">
        <v>98</v>
      </c>
      <c r="H45" s="163" t="s">
        <v>135</v>
      </c>
      <c r="I45" s="164"/>
      <c r="J45" s="164"/>
      <c r="K45" s="164"/>
      <c r="L45" s="164"/>
      <c r="M45" s="164"/>
      <c r="N45" s="164"/>
      <c r="O45" s="165"/>
      <c r="P45" s="163" t="s">
        <v>140</v>
      </c>
      <c r="Q45" s="164"/>
      <c r="R45" s="164"/>
      <c r="S45" s="164"/>
      <c r="T45" s="164"/>
      <c r="U45" s="164"/>
      <c r="V45" s="164"/>
      <c r="W45" s="165"/>
    </row>
    <row r="46" spans="2:23" x14ac:dyDescent="0.3">
      <c r="B46" s="51">
        <f t="shared" si="0"/>
        <v>44</v>
      </c>
      <c r="C46" s="41" t="s">
        <v>123</v>
      </c>
      <c r="D46" s="41" t="s">
        <v>65</v>
      </c>
      <c r="E46" s="41" t="s">
        <v>279</v>
      </c>
      <c r="F46" s="41" t="s">
        <v>98</v>
      </c>
      <c r="H46" s="163" t="s">
        <v>136</v>
      </c>
      <c r="I46" s="164"/>
      <c r="J46" s="164"/>
      <c r="K46" s="164"/>
      <c r="L46" s="164"/>
      <c r="M46" s="164"/>
      <c r="N46" s="164"/>
      <c r="O46" s="165"/>
      <c r="P46" s="163" t="s">
        <v>139</v>
      </c>
      <c r="Q46" s="164"/>
      <c r="R46" s="164"/>
      <c r="S46" s="164"/>
      <c r="T46" s="164"/>
      <c r="U46" s="164"/>
      <c r="V46" s="164"/>
      <c r="W46" s="165"/>
    </row>
    <row r="47" spans="2:23" x14ac:dyDescent="0.3">
      <c r="B47" s="51">
        <f t="shared" si="0"/>
        <v>45</v>
      </c>
      <c r="C47" s="41" t="s">
        <v>124</v>
      </c>
      <c r="D47" s="41" t="s">
        <v>65</v>
      </c>
      <c r="E47" s="41" t="s">
        <v>345</v>
      </c>
      <c r="F47" s="41" t="s">
        <v>98</v>
      </c>
      <c r="H47" s="163" t="s">
        <v>137</v>
      </c>
      <c r="I47" s="164"/>
      <c r="J47" s="164"/>
      <c r="K47" s="164"/>
      <c r="L47" s="164"/>
      <c r="M47" s="164"/>
      <c r="N47" s="164"/>
      <c r="O47" s="165"/>
      <c r="P47" s="163" t="s">
        <v>138</v>
      </c>
      <c r="Q47" s="164"/>
      <c r="R47" s="164"/>
      <c r="S47" s="164"/>
      <c r="T47" s="164"/>
      <c r="U47" s="164"/>
      <c r="V47" s="164"/>
      <c r="W47" s="165"/>
    </row>
    <row r="48" spans="2:23" x14ac:dyDescent="0.3">
      <c r="B48" s="51">
        <f t="shared" si="0"/>
        <v>46</v>
      </c>
      <c r="C48" s="41" t="s">
        <v>724</v>
      </c>
      <c r="D48" s="41" t="s">
        <v>65</v>
      </c>
      <c r="E48" s="41" t="s">
        <v>465</v>
      </c>
      <c r="F48" s="41" t="s">
        <v>98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163" t="s">
        <v>692</v>
      </c>
      <c r="T48" s="164"/>
      <c r="U48" s="164"/>
      <c r="V48" s="164"/>
      <c r="W48" s="165"/>
    </row>
    <row r="49" spans="2:23" x14ac:dyDescent="0.3">
      <c r="B49" s="51">
        <f t="shared" si="0"/>
        <v>47</v>
      </c>
      <c r="C49" s="41" t="s">
        <v>212</v>
      </c>
      <c r="D49" s="41" t="s">
        <v>65</v>
      </c>
      <c r="E49" s="41" t="s">
        <v>648</v>
      </c>
      <c r="F49" s="41" t="s">
        <v>98</v>
      </c>
      <c r="H49" s="25" t="s">
        <v>343</v>
      </c>
      <c r="I49" s="25" t="s">
        <v>342</v>
      </c>
      <c r="J49" s="25" t="s">
        <v>341</v>
      </c>
      <c r="K49" s="25" t="s">
        <v>340</v>
      </c>
      <c r="L49" s="25" t="s">
        <v>339</v>
      </c>
      <c r="M49" s="25" t="s">
        <v>338</v>
      </c>
      <c r="N49" s="25" t="s">
        <v>337</v>
      </c>
      <c r="O49" s="25" t="s">
        <v>336</v>
      </c>
      <c r="P49" s="25" t="s">
        <v>334</v>
      </c>
      <c r="Q49" s="25" t="s">
        <v>332</v>
      </c>
      <c r="R49" s="25" t="s">
        <v>330</v>
      </c>
      <c r="S49" s="25" t="s">
        <v>328</v>
      </c>
      <c r="T49" s="25" t="s">
        <v>326</v>
      </c>
      <c r="U49" s="25" t="s">
        <v>322</v>
      </c>
      <c r="V49" s="25" t="s">
        <v>321</v>
      </c>
      <c r="W49" s="25" t="s">
        <v>320</v>
      </c>
    </row>
    <row r="50" spans="2:23" x14ac:dyDescent="0.3">
      <c r="B50" s="51">
        <f t="shared" si="0"/>
        <v>48</v>
      </c>
      <c r="C50" s="41" t="s">
        <v>110</v>
      </c>
      <c r="D50" s="41" t="s">
        <v>65</v>
      </c>
      <c r="E50" s="41" t="s">
        <v>691</v>
      </c>
      <c r="F50" s="41" t="s">
        <v>98</v>
      </c>
      <c r="H50" s="163" t="s">
        <v>767</v>
      </c>
      <c r="I50" s="165"/>
      <c r="J50" s="25"/>
      <c r="K50" s="163" t="s">
        <v>149</v>
      </c>
      <c r="L50" s="164"/>
      <c r="M50" s="164"/>
      <c r="N50" s="164"/>
      <c r="O50" s="165"/>
      <c r="P50" s="25" t="s">
        <v>335</v>
      </c>
      <c r="Q50" s="25" t="s">
        <v>333</v>
      </c>
      <c r="R50" s="25" t="s">
        <v>331</v>
      </c>
      <c r="S50" s="25" t="s">
        <v>329</v>
      </c>
      <c r="T50" s="25" t="s">
        <v>327</v>
      </c>
      <c r="U50" s="25" t="s">
        <v>323</v>
      </c>
      <c r="V50" s="25" t="s">
        <v>324</v>
      </c>
      <c r="W50" s="25" t="s">
        <v>325</v>
      </c>
    </row>
    <row r="51" spans="2:23" x14ac:dyDescent="0.3">
      <c r="B51" s="51"/>
      <c r="C51" s="41" t="s">
        <v>297</v>
      </c>
    </row>
    <row r="52" spans="2:23" x14ac:dyDescent="0.3">
      <c r="B52" s="51">
        <f>B50+1</f>
        <v>49</v>
      </c>
      <c r="C52" s="41" t="s">
        <v>100</v>
      </c>
      <c r="D52" s="41" t="s">
        <v>65</v>
      </c>
      <c r="E52" s="41" t="s">
        <v>359</v>
      </c>
      <c r="F52" s="41" t="s">
        <v>99</v>
      </c>
      <c r="H52" s="45"/>
      <c r="I52" s="45"/>
      <c r="J52" s="45"/>
      <c r="K52" s="45"/>
      <c r="L52" s="162" t="s">
        <v>102</v>
      </c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</row>
    <row r="53" spans="2:23" x14ac:dyDescent="0.3">
      <c r="B53" s="51">
        <f>B52+1</f>
        <v>50</v>
      </c>
      <c r="C53" s="41" t="s">
        <v>160</v>
      </c>
      <c r="D53" s="41" t="s">
        <v>795</v>
      </c>
      <c r="E53" s="41" t="s">
        <v>665</v>
      </c>
      <c r="F53" s="41" t="s">
        <v>99</v>
      </c>
      <c r="H53" s="162" t="s">
        <v>173</v>
      </c>
      <c r="I53" s="162"/>
      <c r="J53" s="162"/>
      <c r="K53" s="162"/>
      <c r="L53" s="162" t="s">
        <v>172</v>
      </c>
      <c r="M53" s="162"/>
      <c r="N53" s="162"/>
      <c r="O53" s="162"/>
      <c r="P53" s="162" t="s">
        <v>171</v>
      </c>
      <c r="Q53" s="162"/>
      <c r="R53" s="162"/>
      <c r="S53" s="162"/>
      <c r="T53" s="162" t="s">
        <v>159</v>
      </c>
      <c r="U53" s="162"/>
      <c r="V53" s="162"/>
      <c r="W53" s="162"/>
    </row>
    <row r="54" spans="2:23" x14ac:dyDescent="0.3">
      <c r="B54" s="51">
        <f t="shared" ref="B54:B117" si="1">B53+1</f>
        <v>51</v>
      </c>
      <c r="C54" s="41" t="s">
        <v>161</v>
      </c>
      <c r="D54" s="41" t="s">
        <v>795</v>
      </c>
      <c r="E54" s="41" t="s">
        <v>346</v>
      </c>
      <c r="F54" s="41" t="s">
        <v>99</v>
      </c>
      <c r="H54" s="162" t="s">
        <v>174</v>
      </c>
      <c r="I54" s="162"/>
      <c r="J54" s="162"/>
      <c r="K54" s="162"/>
      <c r="L54" s="162" t="s">
        <v>179</v>
      </c>
      <c r="M54" s="162"/>
      <c r="N54" s="162"/>
      <c r="O54" s="162"/>
      <c r="P54" s="162" t="s">
        <v>184</v>
      </c>
      <c r="Q54" s="162"/>
      <c r="R54" s="162"/>
      <c r="S54" s="162"/>
      <c r="T54" s="162" t="s">
        <v>164</v>
      </c>
      <c r="U54" s="162"/>
      <c r="V54" s="162"/>
      <c r="W54" s="162"/>
    </row>
    <row r="55" spans="2:23" x14ac:dyDescent="0.3">
      <c r="B55" s="51">
        <f t="shared" si="1"/>
        <v>52</v>
      </c>
      <c r="C55" s="41" t="s">
        <v>162</v>
      </c>
      <c r="D55" s="41" t="s">
        <v>795</v>
      </c>
      <c r="E55" s="41" t="s">
        <v>347</v>
      </c>
      <c r="F55" s="41" t="s">
        <v>99</v>
      </c>
      <c r="H55" s="162" t="s">
        <v>175</v>
      </c>
      <c r="I55" s="162"/>
      <c r="J55" s="162"/>
      <c r="K55" s="162"/>
      <c r="L55" s="162" t="s">
        <v>180</v>
      </c>
      <c r="M55" s="162"/>
      <c r="N55" s="162"/>
      <c r="O55" s="162"/>
      <c r="P55" s="162" t="s">
        <v>185</v>
      </c>
      <c r="Q55" s="162"/>
      <c r="R55" s="162"/>
      <c r="S55" s="162"/>
      <c r="T55" s="162" t="s">
        <v>165</v>
      </c>
      <c r="U55" s="162"/>
      <c r="V55" s="162"/>
      <c r="W55" s="162"/>
    </row>
    <row r="56" spans="2:23" x14ac:dyDescent="0.3">
      <c r="B56" s="51">
        <f t="shared" si="1"/>
        <v>53</v>
      </c>
      <c r="C56" s="41" t="s">
        <v>163</v>
      </c>
      <c r="D56" s="41" t="s">
        <v>795</v>
      </c>
      <c r="E56" s="41" t="s">
        <v>348</v>
      </c>
      <c r="F56" s="41" t="s">
        <v>99</v>
      </c>
      <c r="H56" s="162" t="s">
        <v>176</v>
      </c>
      <c r="I56" s="162"/>
      <c r="J56" s="162"/>
      <c r="K56" s="162"/>
      <c r="L56" s="162" t="s">
        <v>181</v>
      </c>
      <c r="M56" s="162"/>
      <c r="N56" s="162"/>
      <c r="O56" s="162"/>
      <c r="P56" s="162" t="s">
        <v>186</v>
      </c>
      <c r="Q56" s="162"/>
      <c r="R56" s="162"/>
      <c r="S56" s="162"/>
      <c r="T56" s="162" t="s">
        <v>166</v>
      </c>
      <c r="U56" s="162"/>
      <c r="V56" s="162"/>
      <c r="W56" s="162"/>
    </row>
    <row r="57" spans="2:23" x14ac:dyDescent="0.3">
      <c r="B57" s="51">
        <f t="shared" si="1"/>
        <v>54</v>
      </c>
      <c r="C57" s="41" t="s">
        <v>167</v>
      </c>
      <c r="D57" s="41" t="s">
        <v>795</v>
      </c>
      <c r="E57" s="41" t="s">
        <v>349</v>
      </c>
      <c r="F57" s="41" t="s">
        <v>99</v>
      </c>
      <c r="H57" s="162" t="s">
        <v>177</v>
      </c>
      <c r="I57" s="162"/>
      <c r="J57" s="162"/>
      <c r="K57" s="162"/>
      <c r="L57" s="162" t="s">
        <v>182</v>
      </c>
      <c r="M57" s="162"/>
      <c r="N57" s="162"/>
      <c r="O57" s="162"/>
      <c r="P57" s="162" t="s">
        <v>187</v>
      </c>
      <c r="Q57" s="162"/>
      <c r="R57" s="162"/>
      <c r="S57" s="162"/>
      <c r="T57" s="162" t="s">
        <v>169</v>
      </c>
      <c r="U57" s="162"/>
      <c r="V57" s="162"/>
      <c r="W57" s="162"/>
    </row>
    <row r="58" spans="2:23" x14ac:dyDescent="0.3">
      <c r="B58" s="51">
        <f t="shared" si="1"/>
        <v>55</v>
      </c>
      <c r="C58" s="41" t="s">
        <v>168</v>
      </c>
      <c r="D58" s="41" t="s">
        <v>795</v>
      </c>
      <c r="E58" s="41" t="s">
        <v>360</v>
      </c>
      <c r="F58" s="41" t="s">
        <v>99</v>
      </c>
      <c r="H58" s="162" t="s">
        <v>178</v>
      </c>
      <c r="I58" s="162"/>
      <c r="J58" s="162"/>
      <c r="K58" s="162"/>
      <c r="L58" s="162" t="s">
        <v>183</v>
      </c>
      <c r="M58" s="162"/>
      <c r="N58" s="162"/>
      <c r="O58" s="162"/>
      <c r="P58" s="162" t="s">
        <v>188</v>
      </c>
      <c r="Q58" s="162"/>
      <c r="R58" s="162"/>
      <c r="S58" s="162"/>
      <c r="T58" s="162" t="s">
        <v>170</v>
      </c>
      <c r="U58" s="162"/>
      <c r="V58" s="162"/>
      <c r="W58" s="162"/>
    </row>
    <row r="59" spans="2:23" x14ac:dyDescent="0.3">
      <c r="B59" s="51"/>
      <c r="C59" s="41" t="s">
        <v>604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</row>
    <row r="60" spans="2:23" x14ac:dyDescent="0.3">
      <c r="B60" s="51">
        <f>B58+1</f>
        <v>56</v>
      </c>
      <c r="C60" s="56" t="s">
        <v>473</v>
      </c>
      <c r="D60" s="56" t="s">
        <v>65</v>
      </c>
      <c r="E60" s="56" t="s">
        <v>361</v>
      </c>
      <c r="F60" s="56" t="s">
        <v>99</v>
      </c>
      <c r="H60" s="45"/>
      <c r="I60" s="45"/>
      <c r="J60" s="45"/>
      <c r="K60" s="45"/>
      <c r="L60" s="162" t="s">
        <v>102</v>
      </c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</row>
    <row r="61" spans="2:23" x14ac:dyDescent="0.3">
      <c r="B61" s="51">
        <f t="shared" si="1"/>
        <v>57</v>
      </c>
      <c r="C61" s="56" t="s">
        <v>475</v>
      </c>
      <c r="D61" s="56" t="s">
        <v>65</v>
      </c>
      <c r="E61" s="56" t="s">
        <v>350</v>
      </c>
      <c r="F61" s="56" t="s">
        <v>99</v>
      </c>
      <c r="H61" s="45"/>
      <c r="I61" s="45"/>
      <c r="J61" s="45"/>
      <c r="K61" s="45"/>
      <c r="L61" s="162" t="s">
        <v>102</v>
      </c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</row>
    <row r="62" spans="2:23" x14ac:dyDescent="0.3">
      <c r="B62" s="51">
        <f t="shared" si="1"/>
        <v>58</v>
      </c>
      <c r="C62" s="56" t="s">
        <v>477</v>
      </c>
      <c r="D62" s="56" t="s">
        <v>65</v>
      </c>
      <c r="E62" s="56" t="s">
        <v>351</v>
      </c>
      <c r="F62" s="56" t="s">
        <v>98</v>
      </c>
      <c r="H62" s="45"/>
      <c r="I62" s="45"/>
      <c r="J62" s="45"/>
      <c r="K62" s="45"/>
      <c r="L62" s="162" t="s">
        <v>101</v>
      </c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</row>
    <row r="63" spans="2:23" x14ac:dyDescent="0.3">
      <c r="B63" s="51">
        <f t="shared" si="1"/>
        <v>59</v>
      </c>
      <c r="C63" s="56" t="s">
        <v>478</v>
      </c>
      <c r="D63" s="56" t="s">
        <v>65</v>
      </c>
      <c r="E63" s="56" t="s">
        <v>352</v>
      </c>
      <c r="F63" s="56" t="s">
        <v>98</v>
      </c>
      <c r="H63" s="45"/>
      <c r="I63" s="45"/>
      <c r="J63" s="45"/>
      <c r="K63" s="45"/>
      <c r="L63" s="162" t="s">
        <v>101</v>
      </c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</row>
    <row r="64" spans="2:23" x14ac:dyDescent="0.3">
      <c r="B64" s="51">
        <f t="shared" si="1"/>
        <v>60</v>
      </c>
      <c r="C64" s="56" t="s">
        <v>479</v>
      </c>
      <c r="D64" s="56" t="s">
        <v>65</v>
      </c>
      <c r="E64" s="56" t="s">
        <v>353</v>
      </c>
      <c r="F64" s="56" t="s">
        <v>98</v>
      </c>
      <c r="H64" s="45"/>
      <c r="I64" s="45"/>
      <c r="J64" s="45"/>
      <c r="K64" s="45"/>
      <c r="L64" s="162" t="s">
        <v>101</v>
      </c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</row>
    <row r="65" spans="2:23" x14ac:dyDescent="0.3">
      <c r="B65" s="51">
        <f t="shared" si="1"/>
        <v>61</v>
      </c>
      <c r="C65" s="56" t="s">
        <v>480</v>
      </c>
      <c r="D65" s="56" t="s">
        <v>65</v>
      </c>
      <c r="E65" s="56" t="s">
        <v>354</v>
      </c>
      <c r="F65" s="56" t="s">
        <v>98</v>
      </c>
      <c r="H65" s="45"/>
      <c r="I65" s="45"/>
      <c r="J65" s="45"/>
      <c r="K65" s="45"/>
      <c r="L65" s="162" t="s">
        <v>101</v>
      </c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</row>
    <row r="66" spans="2:23" x14ac:dyDescent="0.3">
      <c r="B66" s="51">
        <f t="shared" si="1"/>
        <v>62</v>
      </c>
      <c r="C66" s="56" t="s">
        <v>481</v>
      </c>
      <c r="D66" s="56" t="s">
        <v>65</v>
      </c>
      <c r="E66" s="56" t="s">
        <v>355</v>
      </c>
      <c r="F66" s="56" t="s">
        <v>98</v>
      </c>
      <c r="H66" s="45"/>
      <c r="I66" s="45"/>
      <c r="J66" s="45"/>
      <c r="K66" s="45"/>
      <c r="L66" s="162" t="s">
        <v>101</v>
      </c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</row>
    <row r="67" spans="2:23" x14ac:dyDescent="0.3">
      <c r="B67" s="51">
        <f t="shared" si="1"/>
        <v>63</v>
      </c>
      <c r="C67" s="56" t="s">
        <v>482</v>
      </c>
      <c r="D67" s="56" t="s">
        <v>65</v>
      </c>
      <c r="E67" s="56" t="s">
        <v>356</v>
      </c>
      <c r="F67" s="56" t="s">
        <v>98</v>
      </c>
      <c r="H67" s="45"/>
      <c r="I67" s="45"/>
      <c r="J67" s="45"/>
      <c r="K67" s="45"/>
      <c r="L67" s="162" t="s">
        <v>101</v>
      </c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</row>
    <row r="68" spans="2:23" x14ac:dyDescent="0.3">
      <c r="B68" s="51">
        <f t="shared" si="1"/>
        <v>64</v>
      </c>
      <c r="C68" s="41" t="s">
        <v>483</v>
      </c>
      <c r="D68" s="41" t="s">
        <v>65</v>
      </c>
      <c r="E68" s="41" t="s">
        <v>357</v>
      </c>
      <c r="F68" s="41" t="s">
        <v>99</v>
      </c>
      <c r="H68" s="45"/>
      <c r="I68" s="45"/>
      <c r="J68" s="45"/>
      <c r="K68" s="45"/>
      <c r="L68" s="162" t="s">
        <v>102</v>
      </c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</row>
    <row r="69" spans="2:23" x14ac:dyDescent="0.3">
      <c r="B69" s="51">
        <f t="shared" si="1"/>
        <v>65</v>
      </c>
      <c r="C69" s="41" t="s">
        <v>474</v>
      </c>
      <c r="D69" s="41" t="s">
        <v>65</v>
      </c>
      <c r="E69" s="41" t="s">
        <v>358</v>
      </c>
      <c r="F69" s="41" t="s">
        <v>99</v>
      </c>
      <c r="H69" s="45"/>
      <c r="I69" s="45"/>
      <c r="J69" s="45"/>
      <c r="K69" s="45"/>
      <c r="L69" s="162" t="s">
        <v>102</v>
      </c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</row>
    <row r="70" spans="2:23" x14ac:dyDescent="0.3">
      <c r="B70" s="51">
        <f t="shared" si="1"/>
        <v>66</v>
      </c>
      <c r="C70" s="41" t="s">
        <v>476</v>
      </c>
      <c r="D70" s="41" t="s">
        <v>65</v>
      </c>
      <c r="E70" s="41" t="s">
        <v>362</v>
      </c>
      <c r="F70" s="41" t="s">
        <v>98</v>
      </c>
      <c r="H70" s="45"/>
      <c r="I70" s="45"/>
      <c r="J70" s="45"/>
      <c r="K70" s="45"/>
      <c r="L70" s="162" t="s">
        <v>101</v>
      </c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</row>
    <row r="71" spans="2:23" x14ac:dyDescent="0.3">
      <c r="B71" s="51">
        <f t="shared" si="1"/>
        <v>67</v>
      </c>
      <c r="C71" s="41" t="s">
        <v>484</v>
      </c>
      <c r="D71" s="41" t="s">
        <v>65</v>
      </c>
      <c r="E71" s="41" t="s">
        <v>363</v>
      </c>
      <c r="F71" s="41" t="s">
        <v>98</v>
      </c>
      <c r="H71" s="45"/>
      <c r="I71" s="45"/>
      <c r="J71" s="45"/>
      <c r="K71" s="45"/>
      <c r="L71" s="162" t="s">
        <v>101</v>
      </c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</row>
    <row r="72" spans="2:23" x14ac:dyDescent="0.3">
      <c r="B72" s="51">
        <f t="shared" si="1"/>
        <v>68</v>
      </c>
      <c r="C72" s="41" t="s">
        <v>485</v>
      </c>
      <c r="D72" s="41" t="s">
        <v>65</v>
      </c>
      <c r="E72" s="41" t="s">
        <v>364</v>
      </c>
      <c r="F72" s="41" t="s">
        <v>98</v>
      </c>
      <c r="H72" s="45"/>
      <c r="I72" s="45"/>
      <c r="J72" s="45"/>
      <c r="K72" s="45"/>
      <c r="L72" s="162" t="s">
        <v>101</v>
      </c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</row>
    <row r="73" spans="2:23" x14ac:dyDescent="0.3">
      <c r="B73" s="51">
        <f t="shared" si="1"/>
        <v>69</v>
      </c>
      <c r="C73" s="41" t="s">
        <v>486</v>
      </c>
      <c r="D73" s="41" t="s">
        <v>65</v>
      </c>
      <c r="E73" s="41" t="s">
        <v>365</v>
      </c>
      <c r="F73" s="41" t="s">
        <v>98</v>
      </c>
      <c r="H73" s="45"/>
      <c r="I73" s="45"/>
      <c r="J73" s="45"/>
      <c r="K73" s="45"/>
      <c r="L73" s="162" t="s">
        <v>101</v>
      </c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</row>
    <row r="74" spans="2:23" x14ac:dyDescent="0.3">
      <c r="B74" s="51">
        <f t="shared" si="1"/>
        <v>70</v>
      </c>
      <c r="C74" s="41" t="s">
        <v>487</v>
      </c>
      <c r="D74" s="41" t="s">
        <v>65</v>
      </c>
      <c r="E74" s="41" t="s">
        <v>366</v>
      </c>
      <c r="F74" s="41" t="s">
        <v>98</v>
      </c>
      <c r="H74" s="45"/>
      <c r="I74" s="45"/>
      <c r="J74" s="45"/>
      <c r="K74" s="45"/>
      <c r="L74" s="162" t="s">
        <v>101</v>
      </c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</row>
    <row r="75" spans="2:23" x14ac:dyDescent="0.3">
      <c r="B75" s="51">
        <f t="shared" si="1"/>
        <v>71</v>
      </c>
      <c r="C75" s="41" t="s">
        <v>488</v>
      </c>
      <c r="D75" s="41" t="s">
        <v>65</v>
      </c>
      <c r="E75" s="41" t="s">
        <v>367</v>
      </c>
      <c r="F75" s="41" t="s">
        <v>98</v>
      </c>
      <c r="H75" s="45"/>
      <c r="I75" s="45"/>
      <c r="J75" s="45"/>
      <c r="K75" s="45"/>
      <c r="L75" s="162" t="s">
        <v>101</v>
      </c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</row>
    <row r="76" spans="2:23" x14ac:dyDescent="0.3">
      <c r="B76" s="51">
        <f t="shared" si="1"/>
        <v>72</v>
      </c>
      <c r="C76" s="56" t="s">
        <v>489</v>
      </c>
      <c r="D76" s="56" t="s">
        <v>65</v>
      </c>
      <c r="E76" s="56" t="s">
        <v>368</v>
      </c>
      <c r="F76" s="56" t="s">
        <v>99</v>
      </c>
      <c r="H76" s="45"/>
      <c r="I76" s="45"/>
      <c r="J76" s="45"/>
      <c r="K76" s="45"/>
      <c r="L76" s="162" t="s">
        <v>102</v>
      </c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</row>
    <row r="77" spans="2:23" x14ac:dyDescent="0.3">
      <c r="B77" s="51">
        <f t="shared" si="1"/>
        <v>73</v>
      </c>
      <c r="C77" s="56" t="s">
        <v>490</v>
      </c>
      <c r="D77" s="56" t="s">
        <v>65</v>
      </c>
      <c r="E77" s="56" t="s">
        <v>601</v>
      </c>
      <c r="F77" s="56" t="s">
        <v>99</v>
      </c>
      <c r="H77" s="45"/>
      <c r="I77" s="45"/>
      <c r="J77" s="45"/>
      <c r="K77" s="45"/>
      <c r="L77" s="162" t="s">
        <v>102</v>
      </c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</row>
    <row r="78" spans="2:23" x14ac:dyDescent="0.3">
      <c r="B78" s="51">
        <f t="shared" si="1"/>
        <v>74</v>
      </c>
      <c r="C78" s="56" t="s">
        <v>491</v>
      </c>
      <c r="D78" s="56" t="s">
        <v>65</v>
      </c>
      <c r="E78" s="56" t="s">
        <v>369</v>
      </c>
      <c r="F78" s="56" t="s">
        <v>98</v>
      </c>
      <c r="H78" s="45"/>
      <c r="I78" s="45"/>
      <c r="J78" s="45"/>
      <c r="K78" s="45"/>
      <c r="L78" s="162" t="s">
        <v>101</v>
      </c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</row>
    <row r="79" spans="2:23" x14ac:dyDescent="0.3">
      <c r="B79" s="51">
        <f t="shared" si="1"/>
        <v>75</v>
      </c>
      <c r="C79" s="56" t="s">
        <v>492</v>
      </c>
      <c r="D79" s="56" t="s">
        <v>65</v>
      </c>
      <c r="E79" s="56" t="s">
        <v>370</v>
      </c>
      <c r="F79" s="56" t="s">
        <v>98</v>
      </c>
      <c r="H79" s="45"/>
      <c r="I79" s="45"/>
      <c r="J79" s="45"/>
      <c r="K79" s="45"/>
      <c r="L79" s="162" t="s">
        <v>101</v>
      </c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</row>
    <row r="80" spans="2:23" x14ac:dyDescent="0.3">
      <c r="B80" s="51">
        <f t="shared" si="1"/>
        <v>76</v>
      </c>
      <c r="C80" s="56" t="s">
        <v>493</v>
      </c>
      <c r="D80" s="56" t="s">
        <v>65</v>
      </c>
      <c r="E80" s="56" t="s">
        <v>371</v>
      </c>
      <c r="F80" s="56" t="s">
        <v>98</v>
      </c>
      <c r="H80" s="45"/>
      <c r="I80" s="45"/>
      <c r="J80" s="45"/>
      <c r="K80" s="45"/>
      <c r="L80" s="162" t="s">
        <v>101</v>
      </c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</row>
    <row r="81" spans="2:23" x14ac:dyDescent="0.3">
      <c r="B81" s="51">
        <f t="shared" si="1"/>
        <v>77</v>
      </c>
      <c r="C81" s="56" t="s">
        <v>494</v>
      </c>
      <c r="D81" s="56" t="s">
        <v>65</v>
      </c>
      <c r="E81" s="56" t="s">
        <v>372</v>
      </c>
      <c r="F81" s="56" t="s">
        <v>98</v>
      </c>
      <c r="H81" s="45"/>
      <c r="I81" s="45"/>
      <c r="J81" s="45"/>
      <c r="K81" s="45"/>
      <c r="L81" s="162" t="s">
        <v>101</v>
      </c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</row>
    <row r="82" spans="2:23" x14ac:dyDescent="0.3">
      <c r="B82" s="51">
        <f t="shared" si="1"/>
        <v>78</v>
      </c>
      <c r="C82" s="56" t="s">
        <v>495</v>
      </c>
      <c r="D82" s="56" t="s">
        <v>65</v>
      </c>
      <c r="E82" s="56" t="s">
        <v>373</v>
      </c>
      <c r="F82" s="56" t="s">
        <v>98</v>
      </c>
      <c r="H82" s="45"/>
      <c r="I82" s="45"/>
      <c r="J82" s="45"/>
      <c r="K82" s="45"/>
      <c r="L82" s="162" t="s">
        <v>101</v>
      </c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</row>
    <row r="83" spans="2:23" x14ac:dyDescent="0.3">
      <c r="B83" s="51">
        <f t="shared" si="1"/>
        <v>79</v>
      </c>
      <c r="C83" s="56" t="s">
        <v>496</v>
      </c>
      <c r="D83" s="56" t="s">
        <v>65</v>
      </c>
      <c r="E83" s="56" t="s">
        <v>374</v>
      </c>
      <c r="F83" s="56" t="s">
        <v>98</v>
      </c>
      <c r="H83" s="45"/>
      <c r="I83" s="45"/>
      <c r="J83" s="45"/>
      <c r="K83" s="45"/>
      <c r="L83" s="162" t="s">
        <v>101</v>
      </c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</row>
    <row r="84" spans="2:23" x14ac:dyDescent="0.3">
      <c r="B84" s="51">
        <f t="shared" si="1"/>
        <v>80</v>
      </c>
      <c r="C84" s="41" t="s">
        <v>497</v>
      </c>
      <c r="D84" s="41" t="s">
        <v>65</v>
      </c>
      <c r="E84" s="41" t="s">
        <v>375</v>
      </c>
      <c r="F84" s="41" t="s">
        <v>99</v>
      </c>
      <c r="H84" s="45"/>
      <c r="I84" s="45"/>
      <c r="J84" s="45"/>
      <c r="K84" s="45"/>
      <c r="L84" s="162" t="s">
        <v>102</v>
      </c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</row>
    <row r="85" spans="2:23" x14ac:dyDescent="0.3">
      <c r="B85" s="51">
        <f t="shared" si="1"/>
        <v>81</v>
      </c>
      <c r="C85" s="41" t="s">
        <v>498</v>
      </c>
      <c r="D85" s="41" t="s">
        <v>65</v>
      </c>
      <c r="E85" s="41" t="s">
        <v>376</v>
      </c>
      <c r="F85" s="41" t="s">
        <v>99</v>
      </c>
      <c r="H85" s="45"/>
      <c r="I85" s="45"/>
      <c r="J85" s="45"/>
      <c r="K85" s="45"/>
      <c r="L85" s="162" t="s">
        <v>102</v>
      </c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</row>
    <row r="86" spans="2:23" x14ac:dyDescent="0.3">
      <c r="B86" s="51">
        <f t="shared" si="1"/>
        <v>82</v>
      </c>
      <c r="C86" s="41" t="s">
        <v>499</v>
      </c>
      <c r="D86" s="41" t="s">
        <v>65</v>
      </c>
      <c r="E86" s="41" t="s">
        <v>377</v>
      </c>
      <c r="F86" s="41" t="s">
        <v>98</v>
      </c>
      <c r="H86" s="45"/>
      <c r="I86" s="45"/>
      <c r="J86" s="45"/>
      <c r="K86" s="45"/>
      <c r="L86" s="162" t="s">
        <v>101</v>
      </c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</row>
    <row r="87" spans="2:23" x14ac:dyDescent="0.3">
      <c r="B87" s="51">
        <f t="shared" si="1"/>
        <v>83</v>
      </c>
      <c r="C87" s="41" t="s">
        <v>500</v>
      </c>
      <c r="D87" s="41" t="s">
        <v>65</v>
      </c>
      <c r="E87" s="41" t="s">
        <v>378</v>
      </c>
      <c r="F87" s="41" t="s">
        <v>98</v>
      </c>
      <c r="H87" s="45"/>
      <c r="I87" s="45"/>
      <c r="J87" s="45"/>
      <c r="K87" s="45"/>
      <c r="L87" s="162" t="s">
        <v>101</v>
      </c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</row>
    <row r="88" spans="2:23" x14ac:dyDescent="0.3">
      <c r="B88" s="51">
        <f t="shared" si="1"/>
        <v>84</v>
      </c>
      <c r="C88" s="41" t="s">
        <v>501</v>
      </c>
      <c r="D88" s="41" t="s">
        <v>65</v>
      </c>
      <c r="E88" s="41" t="s">
        <v>379</v>
      </c>
      <c r="F88" s="41" t="s">
        <v>98</v>
      </c>
      <c r="H88" s="45"/>
      <c r="I88" s="45"/>
      <c r="J88" s="45"/>
      <c r="K88" s="45"/>
      <c r="L88" s="162" t="s">
        <v>101</v>
      </c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</row>
    <row r="89" spans="2:23" x14ac:dyDescent="0.3">
      <c r="B89" s="51">
        <f t="shared" si="1"/>
        <v>85</v>
      </c>
      <c r="C89" s="41" t="s">
        <v>502</v>
      </c>
      <c r="D89" s="41" t="s">
        <v>65</v>
      </c>
      <c r="E89" s="41" t="s">
        <v>380</v>
      </c>
      <c r="F89" s="41" t="s">
        <v>98</v>
      </c>
      <c r="H89" s="45"/>
      <c r="I89" s="45"/>
      <c r="J89" s="45"/>
      <c r="K89" s="45"/>
      <c r="L89" s="162" t="s">
        <v>101</v>
      </c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</row>
    <row r="90" spans="2:23" x14ac:dyDescent="0.3">
      <c r="B90" s="51">
        <f t="shared" si="1"/>
        <v>86</v>
      </c>
      <c r="C90" s="41" t="s">
        <v>503</v>
      </c>
      <c r="D90" s="41" t="s">
        <v>65</v>
      </c>
      <c r="E90" s="41" t="s">
        <v>381</v>
      </c>
      <c r="F90" s="41" t="s">
        <v>98</v>
      </c>
      <c r="H90" s="45"/>
      <c r="I90" s="45"/>
      <c r="J90" s="45"/>
      <c r="K90" s="45"/>
      <c r="L90" s="162" t="s">
        <v>101</v>
      </c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</row>
    <row r="91" spans="2:23" x14ac:dyDescent="0.3">
      <c r="B91" s="51">
        <f t="shared" si="1"/>
        <v>87</v>
      </c>
      <c r="C91" s="41" t="s">
        <v>504</v>
      </c>
      <c r="D91" s="41" t="s">
        <v>65</v>
      </c>
      <c r="E91" s="41" t="s">
        <v>382</v>
      </c>
      <c r="F91" s="41" t="s">
        <v>98</v>
      </c>
      <c r="H91" s="45"/>
      <c r="I91" s="45"/>
      <c r="J91" s="45"/>
      <c r="K91" s="45"/>
      <c r="L91" s="162" t="s">
        <v>101</v>
      </c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</row>
    <row r="92" spans="2:23" x14ac:dyDescent="0.3">
      <c r="B92" s="51">
        <f t="shared" si="1"/>
        <v>88</v>
      </c>
      <c r="C92" s="56" t="s">
        <v>505</v>
      </c>
      <c r="D92" s="56" t="s">
        <v>65</v>
      </c>
      <c r="E92" s="56" t="s">
        <v>383</v>
      </c>
      <c r="F92" s="56" t="s">
        <v>99</v>
      </c>
      <c r="H92" s="45"/>
      <c r="I92" s="45"/>
      <c r="J92" s="45"/>
      <c r="K92" s="45"/>
      <c r="L92" s="162" t="s">
        <v>102</v>
      </c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</row>
    <row r="93" spans="2:23" x14ac:dyDescent="0.3">
      <c r="B93" s="51">
        <f t="shared" si="1"/>
        <v>89</v>
      </c>
      <c r="C93" s="56" t="s">
        <v>506</v>
      </c>
      <c r="D93" s="56" t="s">
        <v>65</v>
      </c>
      <c r="E93" s="56" t="s">
        <v>384</v>
      </c>
      <c r="F93" s="56" t="s">
        <v>99</v>
      </c>
      <c r="H93" s="45"/>
      <c r="I93" s="45"/>
      <c r="J93" s="45"/>
      <c r="K93" s="45"/>
      <c r="L93" s="162" t="s">
        <v>102</v>
      </c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</row>
    <row r="94" spans="2:23" x14ac:dyDescent="0.3">
      <c r="B94" s="51">
        <f t="shared" si="1"/>
        <v>90</v>
      </c>
      <c r="C94" s="56" t="s">
        <v>507</v>
      </c>
      <c r="D94" s="56" t="s">
        <v>65</v>
      </c>
      <c r="E94" s="56" t="s">
        <v>385</v>
      </c>
      <c r="F94" s="56" t="s">
        <v>98</v>
      </c>
      <c r="H94" s="45"/>
      <c r="I94" s="45"/>
      <c r="J94" s="45"/>
      <c r="K94" s="45"/>
      <c r="L94" s="162" t="s">
        <v>101</v>
      </c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</row>
    <row r="95" spans="2:23" x14ac:dyDescent="0.3">
      <c r="B95" s="51">
        <f t="shared" si="1"/>
        <v>91</v>
      </c>
      <c r="C95" s="56" t="s">
        <v>508</v>
      </c>
      <c r="D95" s="56" t="s">
        <v>65</v>
      </c>
      <c r="E95" s="56" t="s">
        <v>386</v>
      </c>
      <c r="F95" s="56" t="s">
        <v>98</v>
      </c>
      <c r="H95" s="45"/>
      <c r="I95" s="45"/>
      <c r="J95" s="45"/>
      <c r="K95" s="45"/>
      <c r="L95" s="162" t="s">
        <v>101</v>
      </c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</row>
    <row r="96" spans="2:23" x14ac:dyDescent="0.3">
      <c r="B96" s="51">
        <f t="shared" si="1"/>
        <v>92</v>
      </c>
      <c r="C96" s="56" t="s">
        <v>509</v>
      </c>
      <c r="D96" s="56" t="s">
        <v>65</v>
      </c>
      <c r="E96" s="56" t="s">
        <v>387</v>
      </c>
      <c r="F96" s="56" t="s">
        <v>98</v>
      </c>
      <c r="H96" s="45"/>
      <c r="I96" s="45"/>
      <c r="J96" s="45"/>
      <c r="K96" s="45"/>
      <c r="L96" s="162" t="s">
        <v>101</v>
      </c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</row>
    <row r="97" spans="2:23" x14ac:dyDescent="0.3">
      <c r="B97" s="51">
        <f t="shared" si="1"/>
        <v>93</v>
      </c>
      <c r="C97" s="56" t="s">
        <v>510</v>
      </c>
      <c r="D97" s="56" t="s">
        <v>65</v>
      </c>
      <c r="E97" s="56" t="s">
        <v>388</v>
      </c>
      <c r="F97" s="56" t="s">
        <v>98</v>
      </c>
      <c r="H97" s="45"/>
      <c r="I97" s="45"/>
      <c r="J97" s="45"/>
      <c r="K97" s="45"/>
      <c r="L97" s="162" t="s">
        <v>101</v>
      </c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</row>
    <row r="98" spans="2:23" x14ac:dyDescent="0.3">
      <c r="B98" s="51">
        <f t="shared" si="1"/>
        <v>94</v>
      </c>
      <c r="C98" s="56" t="s">
        <v>511</v>
      </c>
      <c r="D98" s="56" t="s">
        <v>65</v>
      </c>
      <c r="E98" s="56" t="s">
        <v>389</v>
      </c>
      <c r="F98" s="56" t="s">
        <v>98</v>
      </c>
      <c r="H98" s="45"/>
      <c r="I98" s="45"/>
      <c r="J98" s="45"/>
      <c r="K98" s="45"/>
      <c r="L98" s="162" t="s">
        <v>101</v>
      </c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</row>
    <row r="99" spans="2:23" x14ac:dyDescent="0.3">
      <c r="B99" s="51">
        <f t="shared" si="1"/>
        <v>95</v>
      </c>
      <c r="C99" s="56" t="s">
        <v>512</v>
      </c>
      <c r="D99" s="56" t="s">
        <v>65</v>
      </c>
      <c r="E99" s="56" t="s">
        <v>390</v>
      </c>
      <c r="F99" s="56" t="s">
        <v>98</v>
      </c>
      <c r="H99" s="45"/>
      <c r="I99" s="45"/>
      <c r="J99" s="45"/>
      <c r="K99" s="45"/>
      <c r="L99" s="162" t="s">
        <v>101</v>
      </c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</row>
    <row r="100" spans="2:23" x14ac:dyDescent="0.3">
      <c r="B100" s="51">
        <f t="shared" si="1"/>
        <v>96</v>
      </c>
      <c r="C100" s="41" t="s">
        <v>513</v>
      </c>
      <c r="D100" s="41" t="s">
        <v>65</v>
      </c>
      <c r="E100" s="41" t="s">
        <v>391</v>
      </c>
      <c r="F100" s="41" t="s">
        <v>99</v>
      </c>
      <c r="H100" s="45"/>
      <c r="I100" s="45"/>
      <c r="J100" s="45"/>
      <c r="K100" s="45"/>
      <c r="L100" s="162" t="s">
        <v>102</v>
      </c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</row>
    <row r="101" spans="2:23" x14ac:dyDescent="0.3">
      <c r="B101" s="51">
        <f t="shared" si="1"/>
        <v>97</v>
      </c>
      <c r="C101" s="41" t="s">
        <v>514</v>
      </c>
      <c r="D101" s="41" t="s">
        <v>65</v>
      </c>
      <c r="E101" s="41" t="s">
        <v>392</v>
      </c>
      <c r="F101" s="41" t="s">
        <v>99</v>
      </c>
      <c r="H101" s="45"/>
      <c r="I101" s="45"/>
      <c r="J101" s="45"/>
      <c r="K101" s="45"/>
      <c r="L101" s="162" t="s">
        <v>102</v>
      </c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</row>
    <row r="102" spans="2:23" x14ac:dyDescent="0.3">
      <c r="B102" s="51">
        <f t="shared" si="1"/>
        <v>98</v>
      </c>
      <c r="C102" s="41" t="s">
        <v>515</v>
      </c>
      <c r="D102" s="41" t="s">
        <v>65</v>
      </c>
      <c r="E102" s="41" t="s">
        <v>393</v>
      </c>
      <c r="F102" s="41" t="s">
        <v>98</v>
      </c>
      <c r="H102" s="45"/>
      <c r="I102" s="45"/>
      <c r="J102" s="45"/>
      <c r="K102" s="45"/>
      <c r="L102" s="162" t="s">
        <v>101</v>
      </c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</row>
    <row r="103" spans="2:23" x14ac:dyDescent="0.3">
      <c r="B103" s="51">
        <f t="shared" si="1"/>
        <v>99</v>
      </c>
      <c r="C103" s="41" t="s">
        <v>516</v>
      </c>
      <c r="D103" s="41" t="s">
        <v>65</v>
      </c>
      <c r="E103" s="41" t="s">
        <v>394</v>
      </c>
      <c r="F103" s="41" t="s">
        <v>98</v>
      </c>
      <c r="H103" s="45"/>
      <c r="I103" s="45"/>
      <c r="J103" s="45"/>
      <c r="K103" s="45"/>
      <c r="L103" s="162" t="s">
        <v>101</v>
      </c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</row>
    <row r="104" spans="2:23" x14ac:dyDescent="0.3">
      <c r="B104" s="51">
        <f t="shared" si="1"/>
        <v>100</v>
      </c>
      <c r="C104" s="41" t="s">
        <v>517</v>
      </c>
      <c r="D104" s="41" t="s">
        <v>65</v>
      </c>
      <c r="E104" s="41" t="s">
        <v>395</v>
      </c>
      <c r="F104" s="41" t="s">
        <v>98</v>
      </c>
      <c r="H104" s="45"/>
      <c r="I104" s="45"/>
      <c r="J104" s="45"/>
      <c r="K104" s="45"/>
      <c r="L104" s="162" t="s">
        <v>101</v>
      </c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</row>
    <row r="105" spans="2:23" x14ac:dyDescent="0.3">
      <c r="B105" s="51">
        <f t="shared" si="1"/>
        <v>101</v>
      </c>
      <c r="C105" s="41" t="s">
        <v>518</v>
      </c>
      <c r="D105" s="41" t="s">
        <v>65</v>
      </c>
      <c r="E105" s="41" t="s">
        <v>396</v>
      </c>
      <c r="F105" s="41" t="s">
        <v>98</v>
      </c>
      <c r="H105" s="45"/>
      <c r="I105" s="45"/>
      <c r="J105" s="45"/>
      <c r="K105" s="45"/>
      <c r="L105" s="162" t="s">
        <v>101</v>
      </c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</row>
    <row r="106" spans="2:23" x14ac:dyDescent="0.3">
      <c r="B106" s="51">
        <f t="shared" si="1"/>
        <v>102</v>
      </c>
      <c r="C106" s="41" t="s">
        <v>519</v>
      </c>
      <c r="D106" s="41" t="s">
        <v>65</v>
      </c>
      <c r="E106" s="41" t="s">
        <v>397</v>
      </c>
      <c r="F106" s="41" t="s">
        <v>98</v>
      </c>
      <c r="H106" s="45"/>
      <c r="I106" s="45"/>
      <c r="J106" s="45"/>
      <c r="K106" s="45"/>
      <c r="L106" s="162" t="s">
        <v>101</v>
      </c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</row>
    <row r="107" spans="2:23" x14ac:dyDescent="0.3">
      <c r="B107" s="51">
        <f t="shared" si="1"/>
        <v>103</v>
      </c>
      <c r="C107" s="41" t="s">
        <v>520</v>
      </c>
      <c r="D107" s="41" t="s">
        <v>65</v>
      </c>
      <c r="E107" s="41" t="s">
        <v>398</v>
      </c>
      <c r="F107" s="41" t="s">
        <v>98</v>
      </c>
      <c r="H107" s="45"/>
      <c r="I107" s="45"/>
      <c r="J107" s="45"/>
      <c r="K107" s="45"/>
      <c r="L107" s="162" t="s">
        <v>101</v>
      </c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</row>
    <row r="108" spans="2:23" x14ac:dyDescent="0.3">
      <c r="B108" s="51">
        <f t="shared" si="1"/>
        <v>104</v>
      </c>
      <c r="C108" s="56" t="s">
        <v>521</v>
      </c>
      <c r="D108" s="56" t="s">
        <v>65</v>
      </c>
      <c r="E108" s="56" t="s">
        <v>399</v>
      </c>
      <c r="F108" s="56" t="s">
        <v>99</v>
      </c>
      <c r="H108" s="45"/>
      <c r="I108" s="45"/>
      <c r="J108" s="45"/>
      <c r="K108" s="45"/>
      <c r="L108" s="162" t="s">
        <v>102</v>
      </c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</row>
    <row r="109" spans="2:23" x14ac:dyDescent="0.3">
      <c r="B109" s="51">
        <f t="shared" si="1"/>
        <v>105</v>
      </c>
      <c r="C109" s="56" t="s">
        <v>522</v>
      </c>
      <c r="D109" s="56" t="s">
        <v>65</v>
      </c>
      <c r="E109" s="56" t="s">
        <v>602</v>
      </c>
      <c r="F109" s="56" t="s">
        <v>99</v>
      </c>
      <c r="H109" s="45"/>
      <c r="I109" s="45"/>
      <c r="J109" s="45"/>
      <c r="K109" s="45"/>
      <c r="L109" s="162" t="s">
        <v>102</v>
      </c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</row>
    <row r="110" spans="2:23" x14ac:dyDescent="0.3">
      <c r="B110" s="51">
        <f t="shared" si="1"/>
        <v>106</v>
      </c>
      <c r="C110" s="56" t="s">
        <v>523</v>
      </c>
      <c r="D110" s="56" t="s">
        <v>65</v>
      </c>
      <c r="E110" s="56" t="s">
        <v>400</v>
      </c>
      <c r="F110" s="56" t="s">
        <v>98</v>
      </c>
      <c r="H110" s="45"/>
      <c r="I110" s="45"/>
      <c r="J110" s="45"/>
      <c r="K110" s="45"/>
      <c r="L110" s="162" t="s">
        <v>101</v>
      </c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</row>
    <row r="111" spans="2:23" x14ac:dyDescent="0.3">
      <c r="B111" s="51">
        <f t="shared" si="1"/>
        <v>107</v>
      </c>
      <c r="C111" s="56" t="s">
        <v>524</v>
      </c>
      <c r="D111" s="56" t="s">
        <v>65</v>
      </c>
      <c r="E111" s="56" t="s">
        <v>401</v>
      </c>
      <c r="F111" s="56" t="s">
        <v>98</v>
      </c>
      <c r="H111" s="45"/>
      <c r="I111" s="45"/>
      <c r="J111" s="45"/>
      <c r="K111" s="45"/>
      <c r="L111" s="162" t="s">
        <v>101</v>
      </c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</row>
    <row r="112" spans="2:23" x14ac:dyDescent="0.3">
      <c r="B112" s="51">
        <f t="shared" si="1"/>
        <v>108</v>
      </c>
      <c r="C112" s="56" t="s">
        <v>525</v>
      </c>
      <c r="D112" s="56" t="s">
        <v>65</v>
      </c>
      <c r="E112" s="56" t="s">
        <v>402</v>
      </c>
      <c r="F112" s="56" t="s">
        <v>98</v>
      </c>
      <c r="H112" s="45"/>
      <c r="I112" s="45"/>
      <c r="J112" s="45"/>
      <c r="K112" s="45"/>
      <c r="L112" s="162" t="s">
        <v>101</v>
      </c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</row>
    <row r="113" spans="2:23" x14ac:dyDescent="0.3">
      <c r="B113" s="51">
        <f t="shared" si="1"/>
        <v>109</v>
      </c>
      <c r="C113" s="56" t="s">
        <v>526</v>
      </c>
      <c r="D113" s="56" t="s">
        <v>65</v>
      </c>
      <c r="E113" s="56" t="s">
        <v>403</v>
      </c>
      <c r="F113" s="56" t="s">
        <v>98</v>
      </c>
      <c r="H113" s="45"/>
      <c r="I113" s="45"/>
      <c r="J113" s="45"/>
      <c r="K113" s="45"/>
      <c r="L113" s="162" t="s">
        <v>101</v>
      </c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</row>
    <row r="114" spans="2:23" x14ac:dyDescent="0.3">
      <c r="B114" s="51">
        <f t="shared" si="1"/>
        <v>110</v>
      </c>
      <c r="C114" s="56" t="s">
        <v>527</v>
      </c>
      <c r="D114" s="56" t="s">
        <v>65</v>
      </c>
      <c r="E114" s="56" t="s">
        <v>404</v>
      </c>
      <c r="F114" s="56" t="s">
        <v>98</v>
      </c>
      <c r="H114" s="45"/>
      <c r="I114" s="45"/>
      <c r="J114" s="45"/>
      <c r="K114" s="45"/>
      <c r="L114" s="162" t="s">
        <v>101</v>
      </c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</row>
    <row r="115" spans="2:23" x14ac:dyDescent="0.3">
      <c r="B115" s="51">
        <f t="shared" si="1"/>
        <v>111</v>
      </c>
      <c r="C115" s="56" t="s">
        <v>528</v>
      </c>
      <c r="D115" s="56" t="s">
        <v>65</v>
      </c>
      <c r="E115" s="56" t="s">
        <v>405</v>
      </c>
      <c r="F115" s="56" t="s">
        <v>98</v>
      </c>
      <c r="H115" s="45"/>
      <c r="I115" s="45"/>
      <c r="J115" s="45"/>
      <c r="K115" s="45"/>
      <c r="L115" s="162" t="s">
        <v>101</v>
      </c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</row>
    <row r="116" spans="2:23" x14ac:dyDescent="0.3">
      <c r="B116" s="51">
        <f t="shared" si="1"/>
        <v>112</v>
      </c>
      <c r="C116" s="41" t="s">
        <v>529</v>
      </c>
      <c r="D116" s="41" t="s">
        <v>65</v>
      </c>
      <c r="E116" s="41" t="s">
        <v>406</v>
      </c>
      <c r="F116" s="41" t="s">
        <v>99</v>
      </c>
      <c r="H116" s="45"/>
      <c r="I116" s="45"/>
      <c r="J116" s="45"/>
      <c r="K116" s="45"/>
      <c r="L116" s="162" t="s">
        <v>102</v>
      </c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</row>
    <row r="117" spans="2:23" x14ac:dyDescent="0.3">
      <c r="B117" s="51">
        <f t="shared" si="1"/>
        <v>113</v>
      </c>
      <c r="C117" s="41" t="s">
        <v>530</v>
      </c>
      <c r="D117" s="41" t="s">
        <v>65</v>
      </c>
      <c r="E117" s="41" t="s">
        <v>407</v>
      </c>
      <c r="F117" s="41" t="s">
        <v>99</v>
      </c>
      <c r="H117" s="45"/>
      <c r="I117" s="45"/>
      <c r="J117" s="45"/>
      <c r="K117" s="45"/>
      <c r="L117" s="162" t="s">
        <v>102</v>
      </c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</row>
    <row r="118" spans="2:23" x14ac:dyDescent="0.3">
      <c r="B118" s="51">
        <f t="shared" ref="B118:B181" si="2">B117+1</f>
        <v>114</v>
      </c>
      <c r="C118" s="41" t="s">
        <v>531</v>
      </c>
      <c r="D118" s="41" t="s">
        <v>65</v>
      </c>
      <c r="E118" s="41" t="s">
        <v>408</v>
      </c>
      <c r="F118" s="41" t="s">
        <v>98</v>
      </c>
      <c r="H118" s="45"/>
      <c r="I118" s="45"/>
      <c r="J118" s="45"/>
      <c r="K118" s="45"/>
      <c r="L118" s="162" t="s">
        <v>101</v>
      </c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</row>
    <row r="119" spans="2:23" x14ac:dyDescent="0.3">
      <c r="B119" s="51">
        <f t="shared" si="2"/>
        <v>115</v>
      </c>
      <c r="C119" s="41" t="s">
        <v>532</v>
      </c>
      <c r="D119" s="41" t="s">
        <v>65</v>
      </c>
      <c r="E119" s="41" t="s">
        <v>409</v>
      </c>
      <c r="F119" s="41" t="s">
        <v>98</v>
      </c>
      <c r="H119" s="45"/>
      <c r="I119" s="45"/>
      <c r="J119" s="45"/>
      <c r="K119" s="45"/>
      <c r="L119" s="162" t="s">
        <v>101</v>
      </c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</row>
    <row r="120" spans="2:23" x14ac:dyDescent="0.3">
      <c r="B120" s="51">
        <f t="shared" si="2"/>
        <v>116</v>
      </c>
      <c r="C120" s="41" t="s">
        <v>533</v>
      </c>
      <c r="D120" s="41" t="s">
        <v>65</v>
      </c>
      <c r="E120" s="41" t="s">
        <v>410</v>
      </c>
      <c r="F120" s="41" t="s">
        <v>98</v>
      </c>
      <c r="H120" s="45"/>
      <c r="I120" s="45"/>
      <c r="J120" s="45"/>
      <c r="K120" s="45"/>
      <c r="L120" s="162" t="s">
        <v>101</v>
      </c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</row>
    <row r="121" spans="2:23" x14ac:dyDescent="0.3">
      <c r="B121" s="51">
        <f t="shared" si="2"/>
        <v>117</v>
      </c>
      <c r="C121" s="41" t="s">
        <v>534</v>
      </c>
      <c r="D121" s="41" t="s">
        <v>65</v>
      </c>
      <c r="E121" s="41" t="s">
        <v>411</v>
      </c>
      <c r="F121" s="41" t="s">
        <v>98</v>
      </c>
      <c r="H121" s="45"/>
      <c r="I121" s="45"/>
      <c r="J121" s="45"/>
      <c r="K121" s="45"/>
      <c r="L121" s="162" t="s">
        <v>101</v>
      </c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</row>
    <row r="122" spans="2:23" x14ac:dyDescent="0.3">
      <c r="B122" s="51">
        <f t="shared" si="2"/>
        <v>118</v>
      </c>
      <c r="C122" s="41" t="s">
        <v>535</v>
      </c>
      <c r="D122" s="41" t="s">
        <v>65</v>
      </c>
      <c r="E122" s="41" t="s">
        <v>412</v>
      </c>
      <c r="F122" s="41" t="s">
        <v>98</v>
      </c>
      <c r="H122" s="45"/>
      <c r="I122" s="45"/>
      <c r="J122" s="45"/>
      <c r="K122" s="45"/>
      <c r="L122" s="162" t="s">
        <v>101</v>
      </c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</row>
    <row r="123" spans="2:23" x14ac:dyDescent="0.3">
      <c r="B123" s="51">
        <f t="shared" si="2"/>
        <v>119</v>
      </c>
      <c r="C123" s="41" t="s">
        <v>536</v>
      </c>
      <c r="D123" s="41" t="s">
        <v>65</v>
      </c>
      <c r="E123" s="41" t="s">
        <v>413</v>
      </c>
      <c r="F123" s="41" t="s">
        <v>98</v>
      </c>
      <c r="H123" s="45"/>
      <c r="I123" s="45"/>
      <c r="J123" s="45"/>
      <c r="K123" s="45"/>
      <c r="L123" s="162" t="s">
        <v>101</v>
      </c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 spans="2:23" x14ac:dyDescent="0.3">
      <c r="B124" s="51">
        <f t="shared" si="2"/>
        <v>120</v>
      </c>
      <c r="C124" s="56" t="s">
        <v>537</v>
      </c>
      <c r="D124" s="56" t="s">
        <v>65</v>
      </c>
      <c r="E124" s="56" t="s">
        <v>414</v>
      </c>
      <c r="F124" s="56" t="s">
        <v>99</v>
      </c>
      <c r="H124" s="45"/>
      <c r="I124" s="45"/>
      <c r="J124" s="45"/>
      <c r="K124" s="45"/>
      <c r="L124" s="162" t="s">
        <v>102</v>
      </c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 spans="2:23" x14ac:dyDescent="0.3">
      <c r="B125" s="51">
        <f t="shared" si="2"/>
        <v>121</v>
      </c>
      <c r="C125" s="56" t="s">
        <v>538</v>
      </c>
      <c r="D125" s="56" t="s">
        <v>65</v>
      </c>
      <c r="E125" s="56" t="s">
        <v>415</v>
      </c>
      <c r="F125" s="56" t="s">
        <v>99</v>
      </c>
      <c r="H125" s="45"/>
      <c r="I125" s="45"/>
      <c r="J125" s="45"/>
      <c r="K125" s="45"/>
      <c r="L125" s="162" t="s">
        <v>102</v>
      </c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</row>
    <row r="126" spans="2:23" x14ac:dyDescent="0.3">
      <c r="B126" s="51">
        <f t="shared" si="2"/>
        <v>122</v>
      </c>
      <c r="C126" s="56" t="s">
        <v>539</v>
      </c>
      <c r="D126" s="56" t="s">
        <v>65</v>
      </c>
      <c r="E126" s="56" t="s">
        <v>416</v>
      </c>
      <c r="F126" s="56" t="s">
        <v>98</v>
      </c>
      <c r="H126" s="45"/>
      <c r="I126" s="45"/>
      <c r="J126" s="45"/>
      <c r="K126" s="45"/>
      <c r="L126" s="162" t="s">
        <v>101</v>
      </c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</row>
    <row r="127" spans="2:23" x14ac:dyDescent="0.3">
      <c r="B127" s="51">
        <f t="shared" si="2"/>
        <v>123</v>
      </c>
      <c r="C127" s="56" t="s">
        <v>540</v>
      </c>
      <c r="D127" s="56" t="s">
        <v>65</v>
      </c>
      <c r="E127" s="56" t="s">
        <v>417</v>
      </c>
      <c r="F127" s="56" t="s">
        <v>98</v>
      </c>
      <c r="H127" s="45"/>
      <c r="I127" s="45"/>
      <c r="J127" s="45"/>
      <c r="K127" s="45"/>
      <c r="L127" s="162" t="s">
        <v>101</v>
      </c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</row>
    <row r="128" spans="2:23" x14ac:dyDescent="0.3">
      <c r="B128" s="51">
        <f t="shared" si="2"/>
        <v>124</v>
      </c>
      <c r="C128" s="56" t="s">
        <v>541</v>
      </c>
      <c r="D128" s="56" t="s">
        <v>65</v>
      </c>
      <c r="E128" s="56" t="s">
        <v>418</v>
      </c>
      <c r="F128" s="56" t="s">
        <v>98</v>
      </c>
      <c r="H128" s="45"/>
      <c r="I128" s="45"/>
      <c r="J128" s="45"/>
      <c r="K128" s="45"/>
      <c r="L128" s="162" t="s">
        <v>101</v>
      </c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</row>
    <row r="129" spans="2:23" x14ac:dyDescent="0.3">
      <c r="B129" s="51">
        <f t="shared" si="2"/>
        <v>125</v>
      </c>
      <c r="C129" s="56" t="s">
        <v>542</v>
      </c>
      <c r="D129" s="56" t="s">
        <v>65</v>
      </c>
      <c r="E129" s="56" t="s">
        <v>419</v>
      </c>
      <c r="F129" s="56" t="s">
        <v>98</v>
      </c>
      <c r="H129" s="45"/>
      <c r="I129" s="45"/>
      <c r="J129" s="45"/>
      <c r="K129" s="45"/>
      <c r="L129" s="162" t="s">
        <v>101</v>
      </c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</row>
    <row r="130" spans="2:23" x14ac:dyDescent="0.3">
      <c r="B130" s="51">
        <f t="shared" si="2"/>
        <v>126</v>
      </c>
      <c r="C130" s="56" t="s">
        <v>543</v>
      </c>
      <c r="D130" s="56" t="s">
        <v>65</v>
      </c>
      <c r="E130" s="56" t="s">
        <v>420</v>
      </c>
      <c r="F130" s="56" t="s">
        <v>98</v>
      </c>
      <c r="H130" s="45"/>
      <c r="I130" s="45"/>
      <c r="J130" s="45"/>
      <c r="K130" s="45"/>
      <c r="L130" s="162" t="s">
        <v>101</v>
      </c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</row>
    <row r="131" spans="2:23" x14ac:dyDescent="0.3">
      <c r="B131" s="51">
        <f t="shared" si="2"/>
        <v>127</v>
      </c>
      <c r="C131" s="56" t="s">
        <v>544</v>
      </c>
      <c r="D131" s="56" t="s">
        <v>65</v>
      </c>
      <c r="E131" s="56" t="s">
        <v>421</v>
      </c>
      <c r="F131" s="56" t="s">
        <v>98</v>
      </c>
      <c r="H131" s="45"/>
      <c r="I131" s="45"/>
      <c r="J131" s="45"/>
      <c r="K131" s="45"/>
      <c r="L131" s="162" t="s">
        <v>101</v>
      </c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</row>
    <row r="132" spans="2:23" x14ac:dyDescent="0.3">
      <c r="B132" s="51">
        <f t="shared" si="2"/>
        <v>128</v>
      </c>
      <c r="C132" s="41" t="s">
        <v>545</v>
      </c>
      <c r="D132" s="41" t="s">
        <v>65</v>
      </c>
      <c r="E132" s="41" t="s">
        <v>422</v>
      </c>
      <c r="F132" s="41" t="s">
        <v>99</v>
      </c>
      <c r="H132" s="45"/>
      <c r="I132" s="45"/>
      <c r="J132" s="45"/>
      <c r="K132" s="45"/>
      <c r="L132" s="162" t="s">
        <v>102</v>
      </c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</row>
    <row r="133" spans="2:23" x14ac:dyDescent="0.3">
      <c r="B133" s="51">
        <f t="shared" si="2"/>
        <v>129</v>
      </c>
      <c r="C133" s="41" t="s">
        <v>546</v>
      </c>
      <c r="D133" s="41" t="s">
        <v>65</v>
      </c>
      <c r="E133" s="41" t="s">
        <v>423</v>
      </c>
      <c r="F133" s="41" t="s">
        <v>99</v>
      </c>
      <c r="H133" s="45"/>
      <c r="I133" s="45"/>
      <c r="J133" s="45"/>
      <c r="K133" s="45"/>
      <c r="L133" s="162" t="s">
        <v>102</v>
      </c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</row>
    <row r="134" spans="2:23" x14ac:dyDescent="0.3">
      <c r="B134" s="51">
        <f t="shared" si="2"/>
        <v>130</v>
      </c>
      <c r="C134" s="41" t="s">
        <v>547</v>
      </c>
      <c r="D134" s="41" t="s">
        <v>65</v>
      </c>
      <c r="E134" s="41" t="s">
        <v>424</v>
      </c>
      <c r="F134" s="41" t="s">
        <v>98</v>
      </c>
      <c r="H134" s="45"/>
      <c r="I134" s="45"/>
      <c r="J134" s="45"/>
      <c r="K134" s="45"/>
      <c r="L134" s="162" t="s">
        <v>101</v>
      </c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</row>
    <row r="135" spans="2:23" x14ac:dyDescent="0.3">
      <c r="B135" s="51">
        <f t="shared" si="2"/>
        <v>131</v>
      </c>
      <c r="C135" s="41" t="s">
        <v>548</v>
      </c>
      <c r="D135" s="41" t="s">
        <v>65</v>
      </c>
      <c r="E135" s="41" t="s">
        <v>425</v>
      </c>
      <c r="F135" s="41" t="s">
        <v>98</v>
      </c>
      <c r="H135" s="45"/>
      <c r="I135" s="45"/>
      <c r="J135" s="45"/>
      <c r="K135" s="45"/>
      <c r="L135" s="162" t="s">
        <v>101</v>
      </c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</row>
    <row r="136" spans="2:23" x14ac:dyDescent="0.3">
      <c r="B136" s="51">
        <f t="shared" si="2"/>
        <v>132</v>
      </c>
      <c r="C136" s="41" t="s">
        <v>549</v>
      </c>
      <c r="D136" s="41" t="s">
        <v>65</v>
      </c>
      <c r="E136" s="41" t="s">
        <v>426</v>
      </c>
      <c r="F136" s="41" t="s">
        <v>98</v>
      </c>
      <c r="H136" s="45"/>
      <c r="I136" s="45"/>
      <c r="J136" s="45"/>
      <c r="K136" s="45"/>
      <c r="L136" s="162" t="s">
        <v>101</v>
      </c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</row>
    <row r="137" spans="2:23" x14ac:dyDescent="0.3">
      <c r="B137" s="51">
        <f t="shared" si="2"/>
        <v>133</v>
      </c>
      <c r="C137" s="41" t="s">
        <v>550</v>
      </c>
      <c r="D137" s="41" t="s">
        <v>65</v>
      </c>
      <c r="E137" s="41" t="s">
        <v>427</v>
      </c>
      <c r="F137" s="41" t="s">
        <v>98</v>
      </c>
      <c r="H137" s="45"/>
      <c r="I137" s="45"/>
      <c r="J137" s="45"/>
      <c r="K137" s="45"/>
      <c r="L137" s="162" t="s">
        <v>101</v>
      </c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</row>
    <row r="138" spans="2:23" x14ac:dyDescent="0.3">
      <c r="B138" s="51">
        <f t="shared" si="2"/>
        <v>134</v>
      </c>
      <c r="C138" s="41" t="s">
        <v>551</v>
      </c>
      <c r="D138" s="41" t="s">
        <v>65</v>
      </c>
      <c r="E138" s="41" t="s">
        <v>428</v>
      </c>
      <c r="F138" s="41" t="s">
        <v>98</v>
      </c>
      <c r="H138" s="45"/>
      <c r="I138" s="45"/>
      <c r="J138" s="45"/>
      <c r="K138" s="45"/>
      <c r="L138" s="162" t="s">
        <v>101</v>
      </c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</row>
    <row r="139" spans="2:23" x14ac:dyDescent="0.3">
      <c r="B139" s="51">
        <f t="shared" si="2"/>
        <v>135</v>
      </c>
      <c r="C139" s="41" t="s">
        <v>552</v>
      </c>
      <c r="D139" s="41" t="s">
        <v>65</v>
      </c>
      <c r="E139" s="41" t="s">
        <v>429</v>
      </c>
      <c r="F139" s="41" t="s">
        <v>98</v>
      </c>
      <c r="H139" s="45"/>
      <c r="I139" s="45"/>
      <c r="J139" s="45"/>
      <c r="K139" s="45"/>
      <c r="L139" s="162" t="s">
        <v>101</v>
      </c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</row>
    <row r="140" spans="2:23" x14ac:dyDescent="0.3">
      <c r="B140" s="51">
        <f t="shared" si="2"/>
        <v>136</v>
      </c>
      <c r="C140" s="56" t="s">
        <v>553</v>
      </c>
      <c r="D140" s="56" t="s">
        <v>65</v>
      </c>
      <c r="E140" s="56" t="s">
        <v>430</v>
      </c>
      <c r="F140" s="56" t="s">
        <v>99</v>
      </c>
      <c r="H140" s="45"/>
      <c r="I140" s="45"/>
      <c r="J140" s="45"/>
      <c r="K140" s="45"/>
      <c r="L140" s="162" t="s">
        <v>102</v>
      </c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</row>
    <row r="141" spans="2:23" x14ac:dyDescent="0.3">
      <c r="B141" s="51">
        <f t="shared" si="2"/>
        <v>137</v>
      </c>
      <c r="C141" s="56" t="s">
        <v>554</v>
      </c>
      <c r="D141" s="56" t="s">
        <v>65</v>
      </c>
      <c r="E141" s="56" t="s">
        <v>603</v>
      </c>
      <c r="F141" s="56" t="s">
        <v>99</v>
      </c>
      <c r="H141" s="45"/>
      <c r="I141" s="45"/>
      <c r="J141" s="45"/>
      <c r="K141" s="45"/>
      <c r="L141" s="162" t="s">
        <v>102</v>
      </c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</row>
    <row r="142" spans="2:23" x14ac:dyDescent="0.3">
      <c r="B142" s="51">
        <f t="shared" si="2"/>
        <v>138</v>
      </c>
      <c r="C142" s="56" t="s">
        <v>555</v>
      </c>
      <c r="D142" s="56" t="s">
        <v>65</v>
      </c>
      <c r="E142" s="56" t="s">
        <v>431</v>
      </c>
      <c r="F142" s="56" t="s">
        <v>98</v>
      </c>
      <c r="H142" s="45"/>
      <c r="I142" s="45"/>
      <c r="J142" s="45"/>
      <c r="K142" s="45"/>
      <c r="L142" s="162" t="s">
        <v>101</v>
      </c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</row>
    <row r="143" spans="2:23" x14ac:dyDescent="0.3">
      <c r="B143" s="51">
        <f t="shared" si="2"/>
        <v>139</v>
      </c>
      <c r="C143" s="56" t="s">
        <v>556</v>
      </c>
      <c r="D143" s="56" t="s">
        <v>65</v>
      </c>
      <c r="E143" s="56" t="s">
        <v>432</v>
      </c>
      <c r="F143" s="56" t="s">
        <v>98</v>
      </c>
      <c r="H143" s="45"/>
      <c r="I143" s="45"/>
      <c r="J143" s="45"/>
      <c r="K143" s="45"/>
      <c r="L143" s="162" t="s">
        <v>101</v>
      </c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</row>
    <row r="144" spans="2:23" x14ac:dyDescent="0.3">
      <c r="B144" s="51">
        <f t="shared" si="2"/>
        <v>140</v>
      </c>
      <c r="C144" s="56" t="s">
        <v>557</v>
      </c>
      <c r="D144" s="56" t="s">
        <v>65</v>
      </c>
      <c r="E144" s="56" t="s">
        <v>433</v>
      </c>
      <c r="F144" s="56" t="s">
        <v>98</v>
      </c>
      <c r="H144" s="45"/>
      <c r="I144" s="45"/>
      <c r="J144" s="45"/>
      <c r="K144" s="45"/>
      <c r="L144" s="162" t="s">
        <v>101</v>
      </c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</row>
    <row r="145" spans="2:23" x14ac:dyDescent="0.3">
      <c r="B145" s="51">
        <f t="shared" si="2"/>
        <v>141</v>
      </c>
      <c r="C145" s="56" t="s">
        <v>558</v>
      </c>
      <c r="D145" s="56" t="s">
        <v>65</v>
      </c>
      <c r="E145" s="56" t="s">
        <v>434</v>
      </c>
      <c r="F145" s="56" t="s">
        <v>98</v>
      </c>
      <c r="H145" s="45"/>
      <c r="I145" s="45"/>
      <c r="J145" s="45"/>
      <c r="K145" s="45"/>
      <c r="L145" s="162" t="s">
        <v>101</v>
      </c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</row>
    <row r="146" spans="2:23" x14ac:dyDescent="0.3">
      <c r="B146" s="51">
        <f t="shared" si="2"/>
        <v>142</v>
      </c>
      <c r="C146" s="56" t="s">
        <v>559</v>
      </c>
      <c r="D146" s="56" t="s">
        <v>65</v>
      </c>
      <c r="E146" s="56" t="s">
        <v>435</v>
      </c>
      <c r="F146" s="56" t="s">
        <v>98</v>
      </c>
      <c r="H146" s="45"/>
      <c r="I146" s="45"/>
      <c r="J146" s="45"/>
      <c r="K146" s="45"/>
      <c r="L146" s="162" t="s">
        <v>101</v>
      </c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</row>
    <row r="147" spans="2:23" x14ac:dyDescent="0.3">
      <c r="B147" s="51">
        <f t="shared" si="2"/>
        <v>143</v>
      </c>
      <c r="C147" s="56" t="s">
        <v>560</v>
      </c>
      <c r="D147" s="56" t="s">
        <v>65</v>
      </c>
      <c r="E147" s="56" t="s">
        <v>436</v>
      </c>
      <c r="F147" s="56" t="s">
        <v>98</v>
      </c>
      <c r="H147" s="45"/>
      <c r="I147" s="45"/>
      <c r="J147" s="45"/>
      <c r="K147" s="45"/>
      <c r="L147" s="162" t="s">
        <v>101</v>
      </c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</row>
    <row r="148" spans="2:23" x14ac:dyDescent="0.3">
      <c r="B148" s="51">
        <f t="shared" si="2"/>
        <v>144</v>
      </c>
      <c r="C148" s="41" t="s">
        <v>561</v>
      </c>
      <c r="D148" s="41" t="s">
        <v>65</v>
      </c>
      <c r="E148" s="41" t="s">
        <v>437</v>
      </c>
      <c r="F148" s="41" t="s">
        <v>99</v>
      </c>
      <c r="H148" s="45"/>
      <c r="I148" s="45"/>
      <c r="J148" s="45"/>
      <c r="K148" s="45"/>
      <c r="L148" s="162" t="s">
        <v>102</v>
      </c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</row>
    <row r="149" spans="2:23" x14ac:dyDescent="0.3">
      <c r="B149" s="51">
        <f t="shared" si="2"/>
        <v>145</v>
      </c>
      <c r="C149" s="41" t="s">
        <v>562</v>
      </c>
      <c r="D149" s="41" t="s">
        <v>65</v>
      </c>
      <c r="E149" s="41" t="s">
        <v>438</v>
      </c>
      <c r="F149" s="41" t="s">
        <v>99</v>
      </c>
      <c r="H149" s="45"/>
      <c r="I149" s="45"/>
      <c r="J149" s="45"/>
      <c r="K149" s="45"/>
      <c r="L149" s="162" t="s">
        <v>102</v>
      </c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</row>
    <row r="150" spans="2:23" x14ac:dyDescent="0.3">
      <c r="B150" s="51">
        <f t="shared" si="2"/>
        <v>146</v>
      </c>
      <c r="C150" s="41" t="s">
        <v>563</v>
      </c>
      <c r="D150" s="41" t="s">
        <v>65</v>
      </c>
      <c r="E150" s="41" t="s">
        <v>439</v>
      </c>
      <c r="F150" s="41" t="s">
        <v>98</v>
      </c>
      <c r="H150" s="45"/>
      <c r="I150" s="45"/>
      <c r="J150" s="45"/>
      <c r="K150" s="45"/>
      <c r="L150" s="162" t="s">
        <v>101</v>
      </c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</row>
    <row r="151" spans="2:23" x14ac:dyDescent="0.3">
      <c r="B151" s="51">
        <f t="shared" si="2"/>
        <v>147</v>
      </c>
      <c r="C151" s="41" t="s">
        <v>564</v>
      </c>
      <c r="D151" s="41" t="s">
        <v>65</v>
      </c>
      <c r="E151" s="41" t="s">
        <v>440</v>
      </c>
      <c r="F151" s="41" t="s">
        <v>98</v>
      </c>
      <c r="H151" s="45"/>
      <c r="I151" s="45"/>
      <c r="J151" s="45"/>
      <c r="K151" s="45"/>
      <c r="L151" s="162" t="s">
        <v>101</v>
      </c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</row>
    <row r="152" spans="2:23" x14ac:dyDescent="0.3">
      <c r="B152" s="51">
        <f t="shared" si="2"/>
        <v>148</v>
      </c>
      <c r="C152" s="41" t="s">
        <v>565</v>
      </c>
      <c r="D152" s="41" t="s">
        <v>65</v>
      </c>
      <c r="E152" s="41" t="s">
        <v>441</v>
      </c>
      <c r="F152" s="41" t="s">
        <v>98</v>
      </c>
      <c r="H152" s="45"/>
      <c r="I152" s="45"/>
      <c r="J152" s="45"/>
      <c r="K152" s="45"/>
      <c r="L152" s="162" t="s">
        <v>101</v>
      </c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</row>
    <row r="153" spans="2:23" x14ac:dyDescent="0.3">
      <c r="B153" s="51">
        <f t="shared" si="2"/>
        <v>149</v>
      </c>
      <c r="C153" s="41" t="s">
        <v>566</v>
      </c>
      <c r="D153" s="41" t="s">
        <v>65</v>
      </c>
      <c r="E153" s="41" t="s">
        <v>442</v>
      </c>
      <c r="F153" s="41" t="s">
        <v>98</v>
      </c>
      <c r="H153" s="45"/>
      <c r="I153" s="45"/>
      <c r="J153" s="45"/>
      <c r="K153" s="45"/>
      <c r="L153" s="162" t="s">
        <v>101</v>
      </c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</row>
    <row r="154" spans="2:23" x14ac:dyDescent="0.3">
      <c r="B154" s="51">
        <f t="shared" si="2"/>
        <v>150</v>
      </c>
      <c r="C154" s="41" t="s">
        <v>567</v>
      </c>
      <c r="D154" s="41" t="s">
        <v>65</v>
      </c>
      <c r="E154" s="41" t="s">
        <v>443</v>
      </c>
      <c r="F154" s="41" t="s">
        <v>98</v>
      </c>
      <c r="H154" s="45"/>
      <c r="I154" s="45"/>
      <c r="J154" s="45"/>
      <c r="K154" s="45"/>
      <c r="L154" s="162" t="s">
        <v>101</v>
      </c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</row>
    <row r="155" spans="2:23" x14ac:dyDescent="0.3">
      <c r="B155" s="51">
        <f t="shared" si="2"/>
        <v>151</v>
      </c>
      <c r="C155" s="41" t="s">
        <v>568</v>
      </c>
      <c r="D155" s="41" t="s">
        <v>65</v>
      </c>
      <c r="E155" s="41" t="s">
        <v>444</v>
      </c>
      <c r="F155" s="41" t="s">
        <v>98</v>
      </c>
      <c r="H155" s="45"/>
      <c r="I155" s="45"/>
      <c r="J155" s="45"/>
      <c r="K155" s="45"/>
      <c r="L155" s="162" t="s">
        <v>101</v>
      </c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</row>
    <row r="156" spans="2:23" x14ac:dyDescent="0.3">
      <c r="B156" s="51">
        <f t="shared" si="2"/>
        <v>152</v>
      </c>
      <c r="C156" s="56" t="s">
        <v>569</v>
      </c>
      <c r="D156" s="56" t="s">
        <v>65</v>
      </c>
      <c r="E156" s="56" t="s">
        <v>445</v>
      </c>
      <c r="F156" s="56" t="s">
        <v>99</v>
      </c>
      <c r="H156" s="45"/>
      <c r="I156" s="45"/>
      <c r="J156" s="45"/>
      <c r="K156" s="45"/>
      <c r="L156" s="162" t="s">
        <v>102</v>
      </c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</row>
    <row r="157" spans="2:23" x14ac:dyDescent="0.3">
      <c r="B157" s="51">
        <f t="shared" si="2"/>
        <v>153</v>
      </c>
      <c r="C157" s="56" t="s">
        <v>570</v>
      </c>
      <c r="D157" s="56" t="s">
        <v>65</v>
      </c>
      <c r="E157" s="56" t="s">
        <v>446</v>
      </c>
      <c r="F157" s="56" t="s">
        <v>99</v>
      </c>
      <c r="H157" s="45"/>
      <c r="I157" s="45"/>
      <c r="J157" s="45"/>
      <c r="K157" s="45"/>
      <c r="L157" s="162" t="s">
        <v>102</v>
      </c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</row>
    <row r="158" spans="2:23" x14ac:dyDescent="0.3">
      <c r="B158" s="51">
        <f t="shared" si="2"/>
        <v>154</v>
      </c>
      <c r="C158" s="56" t="s">
        <v>571</v>
      </c>
      <c r="D158" s="56" t="s">
        <v>65</v>
      </c>
      <c r="E158" s="56" t="s">
        <v>447</v>
      </c>
      <c r="F158" s="56" t="s">
        <v>98</v>
      </c>
      <c r="H158" s="45"/>
      <c r="I158" s="45"/>
      <c r="J158" s="45"/>
      <c r="K158" s="45"/>
      <c r="L158" s="162" t="s">
        <v>101</v>
      </c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</row>
    <row r="159" spans="2:23" x14ac:dyDescent="0.3">
      <c r="B159" s="51">
        <f t="shared" si="2"/>
        <v>155</v>
      </c>
      <c r="C159" s="56" t="s">
        <v>572</v>
      </c>
      <c r="D159" s="56" t="s">
        <v>65</v>
      </c>
      <c r="E159" s="56" t="s">
        <v>448</v>
      </c>
      <c r="F159" s="56" t="s">
        <v>98</v>
      </c>
      <c r="H159" s="45"/>
      <c r="I159" s="45"/>
      <c r="J159" s="45"/>
      <c r="K159" s="45"/>
      <c r="L159" s="162" t="s">
        <v>101</v>
      </c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</row>
    <row r="160" spans="2:23" x14ac:dyDescent="0.3">
      <c r="B160" s="51">
        <f t="shared" si="2"/>
        <v>156</v>
      </c>
      <c r="C160" s="56" t="s">
        <v>573</v>
      </c>
      <c r="D160" s="56" t="s">
        <v>65</v>
      </c>
      <c r="E160" s="56" t="s">
        <v>449</v>
      </c>
      <c r="F160" s="56" t="s">
        <v>98</v>
      </c>
      <c r="H160" s="45"/>
      <c r="I160" s="45"/>
      <c r="J160" s="45"/>
      <c r="K160" s="45"/>
      <c r="L160" s="162" t="s">
        <v>101</v>
      </c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</row>
    <row r="161" spans="2:23" x14ac:dyDescent="0.3">
      <c r="B161" s="51">
        <f t="shared" si="2"/>
        <v>157</v>
      </c>
      <c r="C161" s="56" t="s">
        <v>574</v>
      </c>
      <c r="D161" s="56" t="s">
        <v>65</v>
      </c>
      <c r="E161" s="56" t="s">
        <v>450</v>
      </c>
      <c r="F161" s="56" t="s">
        <v>98</v>
      </c>
      <c r="H161" s="45"/>
      <c r="I161" s="45"/>
      <c r="J161" s="45"/>
      <c r="K161" s="45"/>
      <c r="L161" s="162" t="s">
        <v>101</v>
      </c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</row>
    <row r="162" spans="2:23" x14ac:dyDescent="0.3">
      <c r="B162" s="51">
        <f t="shared" si="2"/>
        <v>158</v>
      </c>
      <c r="C162" s="56" t="s">
        <v>575</v>
      </c>
      <c r="D162" s="56" t="s">
        <v>65</v>
      </c>
      <c r="E162" s="56" t="s">
        <v>451</v>
      </c>
      <c r="F162" s="56" t="s">
        <v>98</v>
      </c>
      <c r="H162" s="45"/>
      <c r="I162" s="45"/>
      <c r="J162" s="45"/>
      <c r="K162" s="45"/>
      <c r="L162" s="162" t="s">
        <v>101</v>
      </c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</row>
    <row r="163" spans="2:23" x14ac:dyDescent="0.3">
      <c r="B163" s="51">
        <f t="shared" si="2"/>
        <v>159</v>
      </c>
      <c r="C163" s="56" t="s">
        <v>576</v>
      </c>
      <c r="D163" s="56" t="s">
        <v>65</v>
      </c>
      <c r="E163" s="56" t="s">
        <v>452</v>
      </c>
      <c r="F163" s="56" t="s">
        <v>98</v>
      </c>
      <c r="H163" s="45"/>
      <c r="I163" s="45"/>
      <c r="J163" s="45"/>
      <c r="K163" s="45"/>
      <c r="L163" s="162" t="s">
        <v>101</v>
      </c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</row>
    <row r="164" spans="2:23" x14ac:dyDescent="0.3">
      <c r="B164" s="51">
        <f t="shared" si="2"/>
        <v>160</v>
      </c>
      <c r="C164" s="41" t="s">
        <v>577</v>
      </c>
      <c r="D164" s="41" t="s">
        <v>65</v>
      </c>
      <c r="E164" s="41" t="s">
        <v>453</v>
      </c>
      <c r="F164" s="41" t="s">
        <v>99</v>
      </c>
      <c r="H164" s="45"/>
      <c r="I164" s="45"/>
      <c r="J164" s="45"/>
      <c r="K164" s="45"/>
      <c r="L164" s="162" t="s">
        <v>102</v>
      </c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</row>
    <row r="165" spans="2:23" x14ac:dyDescent="0.3">
      <c r="B165" s="51">
        <f t="shared" si="2"/>
        <v>161</v>
      </c>
      <c r="C165" s="41" t="s">
        <v>578</v>
      </c>
      <c r="D165" s="41" t="s">
        <v>65</v>
      </c>
      <c r="E165" s="41" t="s">
        <v>454</v>
      </c>
      <c r="F165" s="41" t="s">
        <v>99</v>
      </c>
      <c r="H165" s="45"/>
      <c r="I165" s="45"/>
      <c r="J165" s="45"/>
      <c r="K165" s="45"/>
      <c r="L165" s="162" t="s">
        <v>102</v>
      </c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</row>
    <row r="166" spans="2:23" x14ac:dyDescent="0.3">
      <c r="B166" s="51">
        <f t="shared" si="2"/>
        <v>162</v>
      </c>
      <c r="C166" s="41" t="s">
        <v>579</v>
      </c>
      <c r="D166" s="41" t="s">
        <v>65</v>
      </c>
      <c r="E166" s="41" t="s">
        <v>455</v>
      </c>
      <c r="F166" s="41" t="s">
        <v>98</v>
      </c>
      <c r="H166" s="45"/>
      <c r="I166" s="45"/>
      <c r="J166" s="45"/>
      <c r="K166" s="45"/>
      <c r="L166" s="162" t="s">
        <v>101</v>
      </c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</row>
    <row r="167" spans="2:23" x14ac:dyDescent="0.3">
      <c r="B167" s="51">
        <f t="shared" si="2"/>
        <v>163</v>
      </c>
      <c r="C167" s="41" t="s">
        <v>580</v>
      </c>
      <c r="D167" s="41" t="s">
        <v>65</v>
      </c>
      <c r="E167" s="41" t="s">
        <v>456</v>
      </c>
      <c r="F167" s="41" t="s">
        <v>98</v>
      </c>
      <c r="H167" s="45"/>
      <c r="I167" s="45"/>
      <c r="J167" s="45"/>
      <c r="K167" s="45"/>
      <c r="L167" s="162" t="s">
        <v>101</v>
      </c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</row>
    <row r="168" spans="2:23" x14ac:dyDescent="0.3">
      <c r="B168" s="51">
        <f t="shared" si="2"/>
        <v>164</v>
      </c>
      <c r="C168" s="41" t="s">
        <v>581</v>
      </c>
      <c r="D168" s="41" t="s">
        <v>65</v>
      </c>
      <c r="E168" s="41" t="s">
        <v>457</v>
      </c>
      <c r="F168" s="41" t="s">
        <v>98</v>
      </c>
      <c r="H168" s="45"/>
      <c r="I168" s="45"/>
      <c r="J168" s="45"/>
      <c r="K168" s="45"/>
      <c r="L168" s="162" t="s">
        <v>101</v>
      </c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</row>
    <row r="169" spans="2:23" x14ac:dyDescent="0.3">
      <c r="B169" s="51">
        <f t="shared" si="2"/>
        <v>165</v>
      </c>
      <c r="C169" s="41" t="s">
        <v>582</v>
      </c>
      <c r="D169" s="41" t="s">
        <v>65</v>
      </c>
      <c r="E169" s="41" t="s">
        <v>458</v>
      </c>
      <c r="F169" s="41" t="s">
        <v>98</v>
      </c>
      <c r="H169" s="45"/>
      <c r="I169" s="45"/>
      <c r="J169" s="45"/>
      <c r="K169" s="45"/>
      <c r="L169" s="162" t="s">
        <v>101</v>
      </c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</row>
    <row r="170" spans="2:23" x14ac:dyDescent="0.3">
      <c r="B170" s="51">
        <f t="shared" si="2"/>
        <v>166</v>
      </c>
      <c r="C170" s="41" t="s">
        <v>583</v>
      </c>
      <c r="D170" s="41" t="s">
        <v>65</v>
      </c>
      <c r="E170" s="41" t="s">
        <v>459</v>
      </c>
      <c r="F170" s="41" t="s">
        <v>98</v>
      </c>
      <c r="H170" s="45"/>
      <c r="I170" s="45"/>
      <c r="J170" s="45"/>
      <c r="K170" s="45"/>
      <c r="L170" s="162" t="s">
        <v>101</v>
      </c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</row>
    <row r="171" spans="2:23" x14ac:dyDescent="0.3">
      <c r="B171" s="51">
        <f t="shared" si="2"/>
        <v>167</v>
      </c>
      <c r="C171" s="41" t="s">
        <v>584</v>
      </c>
      <c r="D171" s="41" t="s">
        <v>65</v>
      </c>
      <c r="E171" s="41" t="s">
        <v>460</v>
      </c>
      <c r="F171" s="41" t="s">
        <v>98</v>
      </c>
      <c r="H171" s="45"/>
      <c r="I171" s="45"/>
      <c r="J171" s="45"/>
      <c r="K171" s="45"/>
      <c r="L171" s="162" t="s">
        <v>101</v>
      </c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</row>
    <row r="172" spans="2:23" x14ac:dyDescent="0.3">
      <c r="B172" s="51">
        <f t="shared" si="2"/>
        <v>168</v>
      </c>
      <c r="C172" s="56" t="s">
        <v>585</v>
      </c>
      <c r="D172" s="56" t="s">
        <v>65</v>
      </c>
      <c r="E172" s="56" t="s">
        <v>649</v>
      </c>
      <c r="F172" s="56" t="s">
        <v>99</v>
      </c>
      <c r="H172" s="45"/>
      <c r="I172" s="45"/>
      <c r="J172" s="45"/>
      <c r="K172" s="45"/>
      <c r="L172" s="162" t="s">
        <v>102</v>
      </c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</row>
    <row r="173" spans="2:23" x14ac:dyDescent="0.3">
      <c r="B173" s="51">
        <f t="shared" si="2"/>
        <v>169</v>
      </c>
      <c r="C173" s="56" t="s">
        <v>586</v>
      </c>
      <c r="D173" s="56" t="s">
        <v>65</v>
      </c>
      <c r="E173" s="56" t="s">
        <v>650</v>
      </c>
      <c r="F173" s="56" t="s">
        <v>99</v>
      </c>
      <c r="H173" s="45"/>
      <c r="I173" s="45"/>
      <c r="J173" s="45"/>
      <c r="K173" s="45"/>
      <c r="L173" s="162" t="s">
        <v>102</v>
      </c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</row>
    <row r="174" spans="2:23" x14ac:dyDescent="0.3">
      <c r="B174" s="51">
        <f t="shared" si="2"/>
        <v>170</v>
      </c>
      <c r="C174" s="56" t="s">
        <v>587</v>
      </c>
      <c r="D174" s="56" t="s">
        <v>65</v>
      </c>
      <c r="E174" s="56" t="s">
        <v>651</v>
      </c>
      <c r="F174" s="56" t="s">
        <v>98</v>
      </c>
      <c r="H174" s="45"/>
      <c r="I174" s="45"/>
      <c r="J174" s="45"/>
      <c r="K174" s="45"/>
      <c r="L174" s="162" t="s">
        <v>101</v>
      </c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</row>
    <row r="175" spans="2:23" x14ac:dyDescent="0.3">
      <c r="B175" s="51">
        <f t="shared" si="2"/>
        <v>171</v>
      </c>
      <c r="C175" s="56" t="s">
        <v>588</v>
      </c>
      <c r="D175" s="56" t="s">
        <v>65</v>
      </c>
      <c r="E175" s="56" t="s">
        <v>652</v>
      </c>
      <c r="F175" s="56" t="s">
        <v>98</v>
      </c>
      <c r="H175" s="45"/>
      <c r="I175" s="45"/>
      <c r="J175" s="45"/>
      <c r="K175" s="45"/>
      <c r="L175" s="162" t="s">
        <v>101</v>
      </c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</row>
    <row r="176" spans="2:23" x14ac:dyDescent="0.3">
      <c r="B176" s="51">
        <f t="shared" si="2"/>
        <v>172</v>
      </c>
      <c r="C176" s="56" t="s">
        <v>589</v>
      </c>
      <c r="D176" s="56" t="s">
        <v>65</v>
      </c>
      <c r="E176" s="56" t="s">
        <v>653</v>
      </c>
      <c r="F176" s="56" t="s">
        <v>98</v>
      </c>
      <c r="H176" s="45"/>
      <c r="I176" s="45"/>
      <c r="J176" s="45"/>
      <c r="K176" s="45"/>
      <c r="L176" s="162" t="s">
        <v>101</v>
      </c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</row>
    <row r="177" spans="1:23" x14ac:dyDescent="0.3">
      <c r="B177" s="51">
        <f t="shared" si="2"/>
        <v>173</v>
      </c>
      <c r="C177" s="56" t="s">
        <v>590</v>
      </c>
      <c r="D177" s="56" t="s">
        <v>65</v>
      </c>
      <c r="E177" s="56" t="s">
        <v>654</v>
      </c>
      <c r="F177" s="56" t="s">
        <v>98</v>
      </c>
      <c r="H177" s="45"/>
      <c r="I177" s="45"/>
      <c r="J177" s="45"/>
      <c r="K177" s="45"/>
      <c r="L177" s="162" t="s">
        <v>101</v>
      </c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</row>
    <row r="178" spans="1:23" x14ac:dyDescent="0.3">
      <c r="B178" s="51">
        <f t="shared" si="2"/>
        <v>174</v>
      </c>
      <c r="C178" s="56" t="s">
        <v>591</v>
      </c>
      <c r="D178" s="56" t="s">
        <v>65</v>
      </c>
      <c r="E178" s="56" t="s">
        <v>655</v>
      </c>
      <c r="F178" s="56" t="s">
        <v>98</v>
      </c>
      <c r="H178" s="45"/>
      <c r="I178" s="45"/>
      <c r="J178" s="45"/>
      <c r="K178" s="45"/>
      <c r="L178" s="162" t="s">
        <v>101</v>
      </c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 spans="1:23" x14ac:dyDescent="0.3">
      <c r="B179" s="51">
        <f t="shared" si="2"/>
        <v>175</v>
      </c>
      <c r="C179" s="56" t="s">
        <v>592</v>
      </c>
      <c r="D179" s="56" t="s">
        <v>65</v>
      </c>
      <c r="E179" s="56" t="s">
        <v>656</v>
      </c>
      <c r="F179" s="56" t="s">
        <v>98</v>
      </c>
      <c r="H179" s="45"/>
      <c r="I179" s="45"/>
      <c r="J179" s="45"/>
      <c r="K179" s="45"/>
      <c r="L179" s="162" t="s">
        <v>101</v>
      </c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 spans="1:23" x14ac:dyDescent="0.3">
      <c r="B180" s="51">
        <f t="shared" si="2"/>
        <v>176</v>
      </c>
      <c r="C180" s="41" t="s">
        <v>593</v>
      </c>
      <c r="D180" s="41" t="s">
        <v>65</v>
      </c>
      <c r="E180" s="41" t="s">
        <v>657</v>
      </c>
      <c r="F180" s="41" t="s">
        <v>99</v>
      </c>
      <c r="H180" s="45"/>
      <c r="I180" s="45"/>
      <c r="J180" s="45"/>
      <c r="K180" s="45"/>
      <c r="L180" s="162" t="s">
        <v>102</v>
      </c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 spans="1:23" x14ac:dyDescent="0.3">
      <c r="B181" s="51">
        <f t="shared" si="2"/>
        <v>177</v>
      </c>
      <c r="C181" s="41" t="s">
        <v>594</v>
      </c>
      <c r="D181" s="41" t="s">
        <v>65</v>
      </c>
      <c r="E181" s="41" t="s">
        <v>658</v>
      </c>
      <c r="F181" s="41" t="s">
        <v>99</v>
      </c>
      <c r="H181" s="45"/>
      <c r="I181" s="45"/>
      <c r="J181" s="45"/>
      <c r="K181" s="45"/>
      <c r="L181" s="162" t="s">
        <v>102</v>
      </c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 spans="1:23" x14ac:dyDescent="0.3">
      <c r="B182" s="51">
        <f t="shared" ref="B182:B187" si="3">B181+1</f>
        <v>178</v>
      </c>
      <c r="C182" s="41" t="s">
        <v>595</v>
      </c>
      <c r="D182" s="41" t="s">
        <v>65</v>
      </c>
      <c r="E182" s="41" t="s">
        <v>659</v>
      </c>
      <c r="F182" s="41" t="s">
        <v>98</v>
      </c>
      <c r="H182" s="45"/>
      <c r="I182" s="45"/>
      <c r="J182" s="45"/>
      <c r="K182" s="45"/>
      <c r="L182" s="162" t="s">
        <v>101</v>
      </c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 spans="1:23" x14ac:dyDescent="0.3">
      <c r="B183" s="51">
        <f t="shared" si="3"/>
        <v>179</v>
      </c>
      <c r="C183" s="41" t="s">
        <v>596</v>
      </c>
      <c r="D183" s="41" t="s">
        <v>65</v>
      </c>
      <c r="E183" s="41" t="s">
        <v>660</v>
      </c>
      <c r="F183" s="41" t="s">
        <v>98</v>
      </c>
      <c r="H183" s="45"/>
      <c r="I183" s="45"/>
      <c r="J183" s="45"/>
      <c r="K183" s="45"/>
      <c r="L183" s="162" t="s">
        <v>101</v>
      </c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 spans="1:23" x14ac:dyDescent="0.3">
      <c r="B184" s="51">
        <f t="shared" si="3"/>
        <v>180</v>
      </c>
      <c r="C184" s="41" t="s">
        <v>597</v>
      </c>
      <c r="D184" s="41" t="s">
        <v>65</v>
      </c>
      <c r="E184" s="41" t="s">
        <v>661</v>
      </c>
      <c r="F184" s="41" t="s">
        <v>98</v>
      </c>
      <c r="H184" s="45"/>
      <c r="I184" s="45"/>
      <c r="J184" s="45"/>
      <c r="K184" s="45"/>
      <c r="L184" s="162" t="s">
        <v>101</v>
      </c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 spans="1:23" x14ac:dyDescent="0.3">
      <c r="B185" s="51">
        <f t="shared" si="3"/>
        <v>181</v>
      </c>
      <c r="C185" s="41" t="s">
        <v>598</v>
      </c>
      <c r="D185" s="41" t="s">
        <v>65</v>
      </c>
      <c r="E185" s="41" t="s">
        <v>662</v>
      </c>
      <c r="F185" s="41" t="s">
        <v>98</v>
      </c>
      <c r="H185" s="45"/>
      <c r="I185" s="45"/>
      <c r="J185" s="45"/>
      <c r="K185" s="45"/>
      <c r="L185" s="162" t="s">
        <v>101</v>
      </c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 spans="1:23" x14ac:dyDescent="0.3">
      <c r="B186" s="51">
        <f t="shared" si="3"/>
        <v>182</v>
      </c>
      <c r="C186" s="41" t="s">
        <v>599</v>
      </c>
      <c r="D186" s="41" t="s">
        <v>65</v>
      </c>
      <c r="E186" s="41" t="s">
        <v>663</v>
      </c>
      <c r="F186" s="41" t="s">
        <v>98</v>
      </c>
      <c r="H186" s="45"/>
      <c r="I186" s="45"/>
      <c r="J186" s="45"/>
      <c r="K186" s="45"/>
      <c r="L186" s="162" t="s">
        <v>101</v>
      </c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 spans="1:23" x14ac:dyDescent="0.3">
      <c r="B187" s="51">
        <f t="shared" si="3"/>
        <v>183</v>
      </c>
      <c r="C187" s="41" t="s">
        <v>600</v>
      </c>
      <c r="D187" s="41" t="s">
        <v>65</v>
      </c>
      <c r="E187" s="41" t="s">
        <v>664</v>
      </c>
      <c r="F187" s="41" t="s">
        <v>98</v>
      </c>
      <c r="H187" s="45"/>
      <c r="I187" s="45"/>
      <c r="J187" s="45"/>
      <c r="K187" s="45"/>
      <c r="L187" s="162" t="s">
        <v>101</v>
      </c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 spans="1:23" x14ac:dyDescent="0.3">
      <c r="A188" s="3"/>
      <c r="B188" s="3"/>
    </row>
    <row r="189" spans="1:23" x14ac:dyDescent="0.3">
      <c r="C189" s="41">
        <f>133/2/2/2</f>
        <v>16.625</v>
      </c>
    </row>
    <row r="190" spans="1:23" x14ac:dyDescent="0.3">
      <c r="C190" s="41">
        <f>16*24+16</f>
        <v>400</v>
      </c>
    </row>
    <row r="191" spans="1:23" x14ac:dyDescent="0.3">
      <c r="C191" s="41">
        <f>1/C189*C190+6</f>
        <v>30.060150375939848</v>
      </c>
    </row>
    <row r="192" spans="1:23" x14ac:dyDescent="0.3">
      <c r="C192" s="41">
        <f>19.4-C191</f>
        <v>-10.66015037593985</v>
      </c>
    </row>
    <row r="194" spans="2:3" x14ac:dyDescent="0.3">
      <c r="B194" s="6">
        <v>16</v>
      </c>
      <c r="C194" s="41">
        <f>B194*19.4</f>
        <v>310.39999999999998</v>
      </c>
    </row>
    <row r="195" spans="2:3" x14ac:dyDescent="0.3">
      <c r="B195" s="6">
        <f>C194/C191</f>
        <v>10.325962981490745</v>
      </c>
      <c r="C195" s="41">
        <f>B195*19.4</f>
        <v>200.32368184092044</v>
      </c>
    </row>
    <row r="196" spans="2:3" x14ac:dyDescent="0.3">
      <c r="B196" s="6">
        <v>6</v>
      </c>
      <c r="C196" s="41">
        <f>19.4*B196</f>
        <v>116.39999999999999</v>
      </c>
    </row>
    <row r="197" spans="2:3" x14ac:dyDescent="0.3">
      <c r="B197" s="6">
        <f>C196/C191</f>
        <v>3.8722361180590292</v>
      </c>
    </row>
  </sheetData>
  <mergeCells count="224">
    <mergeCell ref="R4:W4"/>
    <mergeCell ref="N5:O5"/>
    <mergeCell ref="R5:W5"/>
    <mergeCell ref="N6:O6"/>
    <mergeCell ref="R6:W6"/>
    <mergeCell ref="J15:O15"/>
    <mergeCell ref="R16:W16"/>
    <mergeCell ref="J16:O16"/>
    <mergeCell ref="O12:W12"/>
    <mergeCell ref="O13:W13"/>
    <mergeCell ref="T22:W22"/>
    <mergeCell ref="S28:W28"/>
    <mergeCell ref="S29:W29"/>
    <mergeCell ref="S30:W30"/>
    <mergeCell ref="N28:R28"/>
    <mergeCell ref="N29:R29"/>
    <mergeCell ref="N30:R30"/>
    <mergeCell ref="R14:W14"/>
    <mergeCell ref="R15:W15"/>
    <mergeCell ref="H20:W20"/>
    <mergeCell ref="J18:O18"/>
    <mergeCell ref="R18:W18"/>
    <mergeCell ref="H21:O21"/>
    <mergeCell ref="I28:M28"/>
    <mergeCell ref="I29:M29"/>
    <mergeCell ref="I30:M30"/>
    <mergeCell ref="Q22:S22"/>
    <mergeCell ref="H36:O36"/>
    <mergeCell ref="P36:W36"/>
    <mergeCell ref="S31:W31"/>
    <mergeCell ref="S32:W32"/>
    <mergeCell ref="S33:W33"/>
    <mergeCell ref="S34:W34"/>
    <mergeCell ref="S35:W35"/>
    <mergeCell ref="N31:R31"/>
    <mergeCell ref="N32:R32"/>
    <mergeCell ref="N33:R33"/>
    <mergeCell ref="N34:R34"/>
    <mergeCell ref="N35:R35"/>
    <mergeCell ref="I31:M31"/>
    <mergeCell ref="I32:M32"/>
    <mergeCell ref="I33:M33"/>
    <mergeCell ref="I34:M34"/>
    <mergeCell ref="I35:M35"/>
    <mergeCell ref="H40:O40"/>
    <mergeCell ref="P40:W40"/>
    <mergeCell ref="H41:O41"/>
    <mergeCell ref="P41:W41"/>
    <mergeCell ref="H42:O42"/>
    <mergeCell ref="P42:W42"/>
    <mergeCell ref="H37:O37"/>
    <mergeCell ref="P37:W37"/>
    <mergeCell ref="H38:O38"/>
    <mergeCell ref="P38:W38"/>
    <mergeCell ref="H39:O39"/>
    <mergeCell ref="P39:W39"/>
    <mergeCell ref="H46:O46"/>
    <mergeCell ref="P46:W46"/>
    <mergeCell ref="H47:O47"/>
    <mergeCell ref="P47:W47"/>
    <mergeCell ref="K50:O50"/>
    <mergeCell ref="L52:W52"/>
    <mergeCell ref="H43:O43"/>
    <mergeCell ref="P43:W43"/>
    <mergeCell ref="H44:O44"/>
    <mergeCell ref="P44:W44"/>
    <mergeCell ref="H45:O45"/>
    <mergeCell ref="P45:W45"/>
    <mergeCell ref="S48:W48"/>
    <mergeCell ref="H50:I50"/>
    <mergeCell ref="H55:K55"/>
    <mergeCell ref="L55:O55"/>
    <mergeCell ref="P55:S55"/>
    <mergeCell ref="T55:W55"/>
    <mergeCell ref="H56:K56"/>
    <mergeCell ref="L56:O56"/>
    <mergeCell ref="P56:S56"/>
    <mergeCell ref="T56:W56"/>
    <mergeCell ref="H53:K53"/>
    <mergeCell ref="L53:O53"/>
    <mergeCell ref="P53:S53"/>
    <mergeCell ref="T53:W53"/>
    <mergeCell ref="H54:K54"/>
    <mergeCell ref="L54:O54"/>
    <mergeCell ref="P54:S54"/>
    <mergeCell ref="T54:W54"/>
    <mergeCell ref="L60:W60"/>
    <mergeCell ref="L61:W61"/>
    <mergeCell ref="L62:W62"/>
    <mergeCell ref="L63:W63"/>
    <mergeCell ref="L64:W64"/>
    <mergeCell ref="L65:W65"/>
    <mergeCell ref="H57:K57"/>
    <mergeCell ref="L57:O57"/>
    <mergeCell ref="P57:S57"/>
    <mergeCell ref="T57:W57"/>
    <mergeCell ref="H58:K58"/>
    <mergeCell ref="L58:O58"/>
    <mergeCell ref="P58:S58"/>
    <mergeCell ref="T58:W58"/>
    <mergeCell ref="L66:W66"/>
    <mergeCell ref="L67:W67"/>
    <mergeCell ref="L79:W79"/>
    <mergeCell ref="L80:W80"/>
    <mergeCell ref="L81:W81"/>
    <mergeCell ref="L82:W82"/>
    <mergeCell ref="L69:W69"/>
    <mergeCell ref="L70:W70"/>
    <mergeCell ref="L71:W71"/>
    <mergeCell ref="L72:W72"/>
    <mergeCell ref="L68:W68"/>
    <mergeCell ref="L90:W90"/>
    <mergeCell ref="L91:W91"/>
    <mergeCell ref="L92:W92"/>
    <mergeCell ref="L93:W93"/>
    <mergeCell ref="L94:W94"/>
    <mergeCell ref="L95:W95"/>
    <mergeCell ref="L83:W83"/>
    <mergeCell ref="L84:W84"/>
    <mergeCell ref="L85:W85"/>
    <mergeCell ref="L86:W86"/>
    <mergeCell ref="L88:W88"/>
    <mergeCell ref="L89:W89"/>
    <mergeCell ref="L87:W87"/>
    <mergeCell ref="L102:W102"/>
    <mergeCell ref="L103:W103"/>
    <mergeCell ref="L105:W105"/>
    <mergeCell ref="L106:W106"/>
    <mergeCell ref="L107:W107"/>
    <mergeCell ref="L108:W108"/>
    <mergeCell ref="L104:W104"/>
    <mergeCell ref="L96:W96"/>
    <mergeCell ref="L97:W97"/>
    <mergeCell ref="L98:W98"/>
    <mergeCell ref="L99:W99"/>
    <mergeCell ref="L100:W100"/>
    <mergeCell ref="L101:W101"/>
    <mergeCell ref="L115:W115"/>
    <mergeCell ref="L116:W116"/>
    <mergeCell ref="L117:W117"/>
    <mergeCell ref="L118:W118"/>
    <mergeCell ref="L119:W119"/>
    <mergeCell ref="L120:W120"/>
    <mergeCell ref="L109:W109"/>
    <mergeCell ref="L110:W110"/>
    <mergeCell ref="L111:W111"/>
    <mergeCell ref="L112:W112"/>
    <mergeCell ref="L113:W113"/>
    <mergeCell ref="L114:W114"/>
    <mergeCell ref="L128:W128"/>
    <mergeCell ref="L129:W129"/>
    <mergeCell ref="L130:W130"/>
    <mergeCell ref="L131:W131"/>
    <mergeCell ref="L132:W132"/>
    <mergeCell ref="L133:W133"/>
    <mergeCell ref="L122:W122"/>
    <mergeCell ref="L123:W123"/>
    <mergeCell ref="L124:W124"/>
    <mergeCell ref="L125:W125"/>
    <mergeCell ref="L126:W126"/>
    <mergeCell ref="L127:W127"/>
    <mergeCell ref="L144:W144"/>
    <mergeCell ref="L145:W145"/>
    <mergeCell ref="L146:W146"/>
    <mergeCell ref="L134:W134"/>
    <mergeCell ref="L135:W135"/>
    <mergeCell ref="L136:W136"/>
    <mergeCell ref="L137:W137"/>
    <mergeCell ref="L139:W139"/>
    <mergeCell ref="L140:W140"/>
    <mergeCell ref="L141:W141"/>
    <mergeCell ref="L142:W142"/>
    <mergeCell ref="L143:W143"/>
    <mergeCell ref="L186:W186"/>
    <mergeCell ref="L187:W187"/>
    <mergeCell ref="L179:W179"/>
    <mergeCell ref="L180:W180"/>
    <mergeCell ref="L181:W181"/>
    <mergeCell ref="L182:W182"/>
    <mergeCell ref="L183:W183"/>
    <mergeCell ref="L184:W184"/>
    <mergeCell ref="L173:W173"/>
    <mergeCell ref="L174:W174"/>
    <mergeCell ref="L175:W175"/>
    <mergeCell ref="L176:W176"/>
    <mergeCell ref="L177:W177"/>
    <mergeCell ref="L178:W178"/>
    <mergeCell ref="L185:W185"/>
    <mergeCell ref="L166:W166"/>
    <mergeCell ref="L167:W167"/>
    <mergeCell ref="L168:W168"/>
    <mergeCell ref="L169:W169"/>
    <mergeCell ref="L170:W170"/>
    <mergeCell ref="L171:W171"/>
    <mergeCell ref="L160:W160"/>
    <mergeCell ref="L161:W161"/>
    <mergeCell ref="L162:W162"/>
    <mergeCell ref="L163:W163"/>
    <mergeCell ref="L164:W164"/>
    <mergeCell ref="L165:W165"/>
    <mergeCell ref="L153:W153"/>
    <mergeCell ref="L154:W154"/>
    <mergeCell ref="L156:W156"/>
    <mergeCell ref="L121:W121"/>
    <mergeCell ref="L138:W138"/>
    <mergeCell ref="L155:W155"/>
    <mergeCell ref="L172:W172"/>
    <mergeCell ref="J17:O17"/>
    <mergeCell ref="R17:W17"/>
    <mergeCell ref="L73:W73"/>
    <mergeCell ref="L74:W74"/>
    <mergeCell ref="L75:W75"/>
    <mergeCell ref="L76:W76"/>
    <mergeCell ref="L77:W77"/>
    <mergeCell ref="L78:W78"/>
    <mergeCell ref="L157:W157"/>
    <mergeCell ref="L158:W158"/>
    <mergeCell ref="L159:W159"/>
    <mergeCell ref="L147:W147"/>
    <mergeCell ref="L148:W148"/>
    <mergeCell ref="L149:W149"/>
    <mergeCell ref="L150:W150"/>
    <mergeCell ref="L151:W151"/>
    <mergeCell ref="L152:W15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AD23-FBBA-4EE4-A91B-A96E5CDA4662}">
  <dimension ref="A2:U63"/>
  <sheetViews>
    <sheetView showGridLines="0" zoomScale="90" zoomScaleNormal="90" workbookViewId="0"/>
  </sheetViews>
  <sheetFormatPr defaultRowHeight="16.5" x14ac:dyDescent="0.3"/>
  <cols>
    <col min="2" max="2" width="3.375" bestFit="1" customWidth="1"/>
    <col min="3" max="3" width="23.625" style="1" bestFit="1" customWidth="1"/>
    <col min="4" max="4" width="6.625" style="11" bestFit="1" customWidth="1"/>
    <col min="5" max="5" width="7.75" style="41" bestFit="1" customWidth="1"/>
    <col min="6" max="6" width="7.125" style="41" customWidth="1"/>
    <col min="7" max="7" width="1.625" style="41" customWidth="1"/>
    <col min="8" max="8" width="12.375" style="41" bestFit="1" customWidth="1"/>
    <col min="9" max="10" width="8.25" style="41" bestFit="1" customWidth="1"/>
    <col min="11" max="11" width="7.875" style="41" bestFit="1" customWidth="1"/>
    <col min="12" max="15" width="7.25" style="41" bestFit="1" customWidth="1"/>
    <col min="16" max="16" width="7.75" style="41" bestFit="1" customWidth="1"/>
    <col min="17" max="17" width="7.25" style="41" bestFit="1" customWidth="1"/>
    <col min="18" max="18" width="11.375" style="41" bestFit="1" customWidth="1"/>
    <col min="19" max="19" width="11.875" style="41" bestFit="1" customWidth="1"/>
    <col min="20" max="20" width="57" style="46" bestFit="1" customWidth="1"/>
    <col min="21" max="21" width="53.75" style="6" customWidth="1"/>
  </cols>
  <sheetData>
    <row r="2" spans="2:21" x14ac:dyDescent="0.3">
      <c r="D2" s="1"/>
      <c r="E2" s="3"/>
      <c r="F2" s="3"/>
    </row>
    <row r="3" spans="2:21" x14ac:dyDescent="0.3">
      <c r="B3" s="13"/>
      <c r="C3" s="10" t="s">
        <v>11</v>
      </c>
      <c r="D3" s="12" t="s">
        <v>64</v>
      </c>
      <c r="E3" s="52" t="s">
        <v>2</v>
      </c>
      <c r="F3" s="52" t="s">
        <v>97</v>
      </c>
      <c r="G3" s="52"/>
      <c r="H3" s="52" t="s">
        <v>256</v>
      </c>
      <c r="I3" s="52" t="s">
        <v>257</v>
      </c>
      <c r="J3" s="52" t="s">
        <v>51</v>
      </c>
      <c r="K3" s="52" t="s">
        <v>52</v>
      </c>
      <c r="L3" s="52" t="s">
        <v>53</v>
      </c>
      <c r="M3" s="52" t="s">
        <v>54</v>
      </c>
      <c r="N3" s="52" t="s">
        <v>55</v>
      </c>
      <c r="O3" s="52" t="s">
        <v>56</v>
      </c>
      <c r="P3" s="52" t="s">
        <v>57</v>
      </c>
      <c r="Q3" s="52" t="s">
        <v>58</v>
      </c>
      <c r="R3" s="52" t="s">
        <v>59</v>
      </c>
      <c r="S3" s="52" t="s">
        <v>60</v>
      </c>
      <c r="T3" s="52" t="s">
        <v>62</v>
      </c>
      <c r="U3" s="52" t="s">
        <v>772</v>
      </c>
    </row>
    <row r="4" spans="2:21" ht="33" x14ac:dyDescent="0.3">
      <c r="B4" s="13">
        <v>1</v>
      </c>
      <c r="C4" s="1" t="s">
        <v>224</v>
      </c>
      <c r="D4" s="11" t="s">
        <v>65</v>
      </c>
      <c r="E4" s="41" t="s">
        <v>14</v>
      </c>
      <c r="F4" s="41" t="s">
        <v>281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102" t="s">
        <v>226</v>
      </c>
      <c r="S4" s="102" t="s">
        <v>225</v>
      </c>
      <c r="T4" s="110" t="s">
        <v>259</v>
      </c>
      <c r="U4" s="111"/>
    </row>
    <row r="5" spans="2:21" x14ac:dyDescent="0.3">
      <c r="B5" s="13">
        <v>2</v>
      </c>
      <c r="C5" s="1" t="s">
        <v>61</v>
      </c>
      <c r="D5" s="11" t="s">
        <v>65</v>
      </c>
      <c r="E5" s="41" t="s">
        <v>15</v>
      </c>
      <c r="F5" s="41" t="s">
        <v>281</v>
      </c>
      <c r="H5" s="45"/>
      <c r="I5" s="45"/>
      <c r="J5" s="45"/>
      <c r="K5" s="45"/>
      <c r="L5" s="45"/>
      <c r="M5" s="45"/>
      <c r="N5" s="45"/>
      <c r="O5" s="169" t="s">
        <v>258</v>
      </c>
      <c r="P5" s="170"/>
      <c r="Q5" s="170"/>
      <c r="R5" s="170"/>
      <c r="S5" s="171"/>
      <c r="T5" s="105" t="s">
        <v>771</v>
      </c>
      <c r="U5" s="112"/>
    </row>
    <row r="6" spans="2:21" ht="66" x14ac:dyDescent="0.3">
      <c r="B6" s="13">
        <v>3</v>
      </c>
      <c r="C6" s="1" t="s">
        <v>261</v>
      </c>
      <c r="D6" s="11" t="s">
        <v>65</v>
      </c>
      <c r="E6" s="41" t="s">
        <v>16</v>
      </c>
      <c r="F6" s="41" t="s">
        <v>281</v>
      </c>
      <c r="H6" s="45"/>
      <c r="I6" s="163" t="s">
        <v>767</v>
      </c>
      <c r="J6" s="165"/>
      <c r="K6" s="123" t="s">
        <v>260</v>
      </c>
      <c r="L6" s="45"/>
      <c r="N6" s="163" t="s">
        <v>828</v>
      </c>
      <c r="O6" s="164"/>
      <c r="P6" s="164"/>
      <c r="Q6" s="164"/>
      <c r="R6" s="164"/>
      <c r="S6" s="165"/>
      <c r="T6" s="105" t="s">
        <v>918</v>
      </c>
      <c r="U6" s="105" t="s">
        <v>829</v>
      </c>
    </row>
    <row r="7" spans="2:21" x14ac:dyDescent="0.3">
      <c r="B7" s="13">
        <v>4</v>
      </c>
      <c r="C7" s="3" t="s">
        <v>3</v>
      </c>
      <c r="D7" s="41" t="s">
        <v>65</v>
      </c>
      <c r="E7" s="41" t="s">
        <v>17</v>
      </c>
      <c r="F7" s="41" t="s">
        <v>281</v>
      </c>
      <c r="H7" s="169" t="s">
        <v>824</v>
      </c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1"/>
      <c r="T7" s="106" t="s">
        <v>774</v>
      </c>
      <c r="U7" s="105" t="s">
        <v>773</v>
      </c>
    </row>
    <row r="8" spans="2:21" x14ac:dyDescent="0.3">
      <c r="B8" s="13">
        <v>5</v>
      </c>
      <c r="C8" s="1" t="s">
        <v>4</v>
      </c>
      <c r="D8" s="11" t="s">
        <v>65</v>
      </c>
      <c r="E8" s="41" t="s">
        <v>18</v>
      </c>
      <c r="F8" s="41" t="s">
        <v>281</v>
      </c>
      <c r="H8" s="169" t="s">
        <v>825</v>
      </c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1"/>
      <c r="T8" s="106"/>
      <c r="U8" s="105" t="s">
        <v>773</v>
      </c>
    </row>
    <row r="9" spans="2:21" ht="33" x14ac:dyDescent="0.3">
      <c r="B9" s="13">
        <v>6</v>
      </c>
      <c r="C9" s="1" t="s">
        <v>12</v>
      </c>
      <c r="D9" s="11" t="s">
        <v>65</v>
      </c>
      <c r="E9" s="41" t="s">
        <v>19</v>
      </c>
      <c r="F9" s="41" t="s">
        <v>280</v>
      </c>
      <c r="H9" s="169" t="s">
        <v>870</v>
      </c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1"/>
      <c r="T9" s="106" t="s">
        <v>775</v>
      </c>
      <c r="U9" s="105" t="s">
        <v>830</v>
      </c>
    </row>
    <row r="10" spans="2:21" x14ac:dyDescent="0.3">
      <c r="B10" s="13">
        <v>7</v>
      </c>
      <c r="C10" s="1" t="s">
        <v>470</v>
      </c>
      <c r="D10" s="11" t="s">
        <v>65</v>
      </c>
      <c r="E10" s="41" t="s">
        <v>20</v>
      </c>
      <c r="F10" s="41" t="s">
        <v>280</v>
      </c>
      <c r="H10" s="45"/>
      <c r="I10" s="45"/>
      <c r="J10" s="169" t="s">
        <v>725</v>
      </c>
      <c r="K10" s="170"/>
      <c r="L10" s="170"/>
      <c r="M10" s="170"/>
      <c r="N10" s="170"/>
      <c r="O10" s="170"/>
      <c r="P10" s="170"/>
      <c r="Q10" s="170"/>
      <c r="R10" s="170"/>
      <c r="S10" s="171"/>
      <c r="T10" s="106"/>
      <c r="U10" s="112"/>
    </row>
    <row r="11" spans="2:21" ht="69.75" x14ac:dyDescent="0.3">
      <c r="B11" s="13">
        <v>8</v>
      </c>
      <c r="C11" s="1" t="s">
        <v>263</v>
      </c>
      <c r="D11" s="11" t="s">
        <v>65</v>
      </c>
      <c r="E11" s="41" t="s">
        <v>21</v>
      </c>
      <c r="F11" s="41" t="s">
        <v>280</v>
      </c>
      <c r="H11" s="163" t="s">
        <v>912</v>
      </c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5"/>
      <c r="T11" s="107" t="s">
        <v>900</v>
      </c>
      <c r="U11" s="113" t="s">
        <v>826</v>
      </c>
    </row>
    <row r="12" spans="2:21" ht="33" x14ac:dyDescent="0.3">
      <c r="B12" s="13">
        <v>9</v>
      </c>
      <c r="C12" s="1" t="s">
        <v>13</v>
      </c>
      <c r="D12" s="11" t="s">
        <v>65</v>
      </c>
      <c r="E12" s="41" t="s">
        <v>22</v>
      </c>
      <c r="F12" s="41" t="s">
        <v>280</v>
      </c>
      <c r="H12" s="169" t="s">
        <v>262</v>
      </c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1"/>
      <c r="U12" s="105" t="s">
        <v>776</v>
      </c>
    </row>
    <row r="13" spans="2:21" x14ac:dyDescent="0.3">
      <c r="B13" s="13">
        <v>10</v>
      </c>
      <c r="C13" s="1" t="s">
        <v>616</v>
      </c>
      <c r="D13" s="11" t="s">
        <v>65</v>
      </c>
      <c r="E13" s="41" t="s">
        <v>23</v>
      </c>
      <c r="F13" s="41" t="s">
        <v>280</v>
      </c>
      <c r="H13" s="102" t="s">
        <v>685</v>
      </c>
      <c r="I13" s="102" t="s">
        <v>686</v>
      </c>
      <c r="J13" s="102" t="s">
        <v>687</v>
      </c>
      <c r="K13" s="102" t="s">
        <v>688</v>
      </c>
      <c r="L13" s="102" t="s">
        <v>689</v>
      </c>
      <c r="M13" s="102" t="s">
        <v>690</v>
      </c>
      <c r="N13" s="102" t="s">
        <v>466</v>
      </c>
      <c r="O13" s="102" t="s">
        <v>467</v>
      </c>
      <c r="P13" s="102" t="s">
        <v>468</v>
      </c>
      <c r="Q13" s="102" t="s">
        <v>469</v>
      </c>
      <c r="R13" s="102" t="s">
        <v>321</v>
      </c>
      <c r="S13" s="102" t="s">
        <v>320</v>
      </c>
      <c r="T13" s="114" t="s">
        <v>827</v>
      </c>
      <c r="U13" s="112"/>
    </row>
    <row r="14" spans="2:21" ht="33" x14ac:dyDescent="0.3">
      <c r="B14" s="13">
        <v>11</v>
      </c>
      <c r="C14" s="1" t="s">
        <v>264</v>
      </c>
      <c r="D14" s="11" t="s">
        <v>766</v>
      </c>
      <c r="E14" s="41" t="s">
        <v>24</v>
      </c>
      <c r="F14" s="41" t="s">
        <v>280</v>
      </c>
      <c r="H14" s="45"/>
      <c r="I14" s="45"/>
      <c r="J14" s="45"/>
      <c r="K14" s="45"/>
      <c r="L14" s="45"/>
      <c r="M14" s="45"/>
      <c r="N14" s="45"/>
      <c r="O14" s="45"/>
      <c r="P14" s="102" t="s">
        <v>95</v>
      </c>
      <c r="Q14" s="102" t="s">
        <v>94</v>
      </c>
      <c r="R14" s="102" t="s">
        <v>93</v>
      </c>
      <c r="S14" s="102" t="s">
        <v>0</v>
      </c>
      <c r="T14" s="106" t="s">
        <v>881</v>
      </c>
      <c r="U14" s="107" t="s">
        <v>880</v>
      </c>
    </row>
    <row r="15" spans="2:21" x14ac:dyDescent="0.3">
      <c r="B15" s="13">
        <v>12</v>
      </c>
      <c r="C15" s="1" t="s">
        <v>265</v>
      </c>
      <c r="D15" s="11" t="s">
        <v>65</v>
      </c>
      <c r="E15" s="41" t="s">
        <v>26</v>
      </c>
      <c r="F15" s="41" t="s">
        <v>280</v>
      </c>
      <c r="H15" s="45"/>
      <c r="I15" s="169" t="s">
        <v>778</v>
      </c>
      <c r="J15" s="170"/>
      <c r="K15" s="171"/>
      <c r="M15" s="169" t="s">
        <v>780</v>
      </c>
      <c r="N15" s="170"/>
      <c r="O15" s="171"/>
      <c r="P15" s="45"/>
      <c r="Q15" s="45"/>
      <c r="R15" s="163" t="s">
        <v>779</v>
      </c>
      <c r="S15" s="165"/>
      <c r="T15" s="106"/>
      <c r="U15" s="112"/>
    </row>
    <row r="16" spans="2:21" x14ac:dyDescent="0.3">
      <c r="B16" s="13">
        <v>13</v>
      </c>
      <c r="C16" s="1" t="s">
        <v>5</v>
      </c>
      <c r="D16" s="11" t="s">
        <v>65</v>
      </c>
      <c r="E16" s="41" t="s">
        <v>25</v>
      </c>
      <c r="F16" s="41" t="s">
        <v>280</v>
      </c>
      <c r="H16" s="163" t="s">
        <v>887</v>
      </c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5"/>
      <c r="T16" s="106" t="s">
        <v>899</v>
      </c>
      <c r="U16" s="112"/>
    </row>
    <row r="17" spans="2:21" ht="18" customHeight="1" x14ac:dyDescent="0.3">
      <c r="B17" s="13">
        <v>14</v>
      </c>
      <c r="C17" s="1" t="s">
        <v>6</v>
      </c>
      <c r="D17" s="11" t="s">
        <v>65</v>
      </c>
      <c r="E17" s="41" t="s">
        <v>27</v>
      </c>
      <c r="F17" s="41" t="s">
        <v>280</v>
      </c>
      <c r="H17" s="163" t="s">
        <v>888</v>
      </c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5"/>
      <c r="T17" s="106"/>
      <c r="U17" s="112"/>
    </row>
    <row r="18" spans="2:21" x14ac:dyDescent="0.3">
      <c r="B18" s="13">
        <v>15</v>
      </c>
      <c r="C18" s="1" t="s">
        <v>7</v>
      </c>
      <c r="D18" s="11" t="s">
        <v>65</v>
      </c>
      <c r="E18" s="41" t="s">
        <v>28</v>
      </c>
      <c r="F18" s="41" t="s">
        <v>280</v>
      </c>
      <c r="H18" s="163" t="s">
        <v>889</v>
      </c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5"/>
      <c r="T18" s="106"/>
      <c r="U18" s="112"/>
    </row>
    <row r="19" spans="2:21" x14ac:dyDescent="0.3">
      <c r="B19" s="13">
        <v>16</v>
      </c>
      <c r="C19" s="1" t="s">
        <v>8</v>
      </c>
      <c r="D19" s="11" t="s">
        <v>65</v>
      </c>
      <c r="E19" s="41" t="s">
        <v>29</v>
      </c>
      <c r="F19" s="41" t="s">
        <v>280</v>
      </c>
      <c r="H19" s="163" t="s">
        <v>890</v>
      </c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5"/>
      <c r="T19" s="106"/>
      <c r="U19" s="112"/>
    </row>
    <row r="20" spans="2:21" x14ac:dyDescent="0.3">
      <c r="B20" s="13">
        <v>17</v>
      </c>
      <c r="C20" s="1" t="s">
        <v>9</v>
      </c>
      <c r="D20" s="11" t="s">
        <v>65</v>
      </c>
      <c r="E20" s="41" t="s">
        <v>63</v>
      </c>
      <c r="F20" s="41" t="s">
        <v>280</v>
      </c>
      <c r="H20" s="163" t="s">
        <v>891</v>
      </c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5"/>
      <c r="T20" s="106"/>
      <c r="U20" s="112"/>
    </row>
    <row r="21" spans="2:21" x14ac:dyDescent="0.3">
      <c r="B21" s="13">
        <v>18</v>
      </c>
      <c r="C21" s="1" t="s">
        <v>10</v>
      </c>
      <c r="D21" s="11" t="s">
        <v>65</v>
      </c>
      <c r="E21" s="41" t="s">
        <v>266</v>
      </c>
      <c r="F21" s="41" t="s">
        <v>280</v>
      </c>
      <c r="H21" s="163" t="s">
        <v>892</v>
      </c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5"/>
      <c r="T21" s="106"/>
      <c r="U21" s="112"/>
    </row>
    <row r="22" spans="2:21" x14ac:dyDescent="0.3">
      <c r="B22" s="13">
        <v>19</v>
      </c>
      <c r="C22" s="1" t="s">
        <v>731</v>
      </c>
      <c r="D22" s="11" t="s">
        <v>65</v>
      </c>
      <c r="E22" s="41" t="s">
        <v>267</v>
      </c>
      <c r="F22" s="41" t="s">
        <v>280</v>
      </c>
      <c r="H22" s="163" t="s">
        <v>893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5"/>
      <c r="T22" s="106"/>
      <c r="U22" s="112"/>
    </row>
    <row r="23" spans="2:21" x14ac:dyDescent="0.3">
      <c r="B23" s="13">
        <v>20</v>
      </c>
      <c r="C23" s="1" t="s">
        <v>732</v>
      </c>
      <c r="D23" s="11" t="s">
        <v>65</v>
      </c>
      <c r="E23" s="41" t="s">
        <v>268</v>
      </c>
      <c r="F23" s="41" t="s">
        <v>280</v>
      </c>
      <c r="H23" s="163" t="s">
        <v>894</v>
      </c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5"/>
      <c r="T23" s="106"/>
      <c r="U23" s="112"/>
    </row>
    <row r="24" spans="2:21" x14ac:dyDescent="0.3">
      <c r="B24" s="13">
        <v>21</v>
      </c>
      <c r="C24" s="1" t="s">
        <v>733</v>
      </c>
      <c r="D24" s="11" t="s">
        <v>65</v>
      </c>
      <c r="E24" s="41" t="s">
        <v>344</v>
      </c>
      <c r="F24" s="41" t="s">
        <v>280</v>
      </c>
      <c r="H24" s="163" t="s">
        <v>895</v>
      </c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5"/>
      <c r="T24" s="106"/>
      <c r="U24" s="112"/>
    </row>
    <row r="25" spans="2:21" x14ac:dyDescent="0.3">
      <c r="B25" s="13">
        <v>22</v>
      </c>
      <c r="C25" s="1" t="s">
        <v>734</v>
      </c>
      <c r="D25" s="11" t="s">
        <v>65</v>
      </c>
      <c r="E25" s="41" t="s">
        <v>269</v>
      </c>
      <c r="F25" s="41" t="s">
        <v>280</v>
      </c>
      <c r="H25" s="163" t="s">
        <v>896</v>
      </c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5"/>
      <c r="T25" s="106"/>
      <c r="U25" s="112"/>
    </row>
    <row r="26" spans="2:21" x14ac:dyDescent="0.3">
      <c r="B26" s="13">
        <v>23</v>
      </c>
      <c r="C26" s="1" t="s">
        <v>735</v>
      </c>
      <c r="D26" s="11" t="s">
        <v>65</v>
      </c>
      <c r="E26" s="41" t="s">
        <v>270</v>
      </c>
      <c r="F26" s="41" t="s">
        <v>280</v>
      </c>
      <c r="H26" s="163" t="s">
        <v>897</v>
      </c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5"/>
      <c r="T26" s="106"/>
      <c r="U26" s="112"/>
    </row>
    <row r="27" spans="2:21" x14ac:dyDescent="0.3">
      <c r="B27" s="13">
        <v>24</v>
      </c>
      <c r="C27" s="1" t="s">
        <v>736</v>
      </c>
      <c r="D27" s="11" t="s">
        <v>65</v>
      </c>
      <c r="E27" s="41" t="s">
        <v>271</v>
      </c>
      <c r="F27" s="41" t="s">
        <v>280</v>
      </c>
      <c r="H27" s="163" t="s">
        <v>898</v>
      </c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5"/>
      <c r="T27" s="106"/>
      <c r="U27" s="112"/>
    </row>
    <row r="28" spans="2:21" x14ac:dyDescent="0.3">
      <c r="B28" s="13">
        <v>25</v>
      </c>
      <c r="C28" s="3" t="s">
        <v>726</v>
      </c>
      <c r="D28" s="41" t="s">
        <v>65</v>
      </c>
      <c r="E28" s="41" t="s">
        <v>737</v>
      </c>
      <c r="F28" s="127" t="s">
        <v>927</v>
      </c>
      <c r="H28" s="45"/>
      <c r="I28" s="45"/>
      <c r="J28" s="45"/>
      <c r="K28" s="45"/>
      <c r="L28" s="163" t="s">
        <v>901</v>
      </c>
      <c r="M28" s="164"/>
      <c r="N28" s="164"/>
      <c r="O28" s="165"/>
      <c r="P28" s="163" t="s">
        <v>727</v>
      </c>
      <c r="Q28" s="164"/>
      <c r="R28" s="164"/>
      <c r="S28" s="165"/>
      <c r="T28" s="105" t="s">
        <v>777</v>
      </c>
      <c r="U28" s="105" t="s">
        <v>831</v>
      </c>
    </row>
    <row r="29" spans="2:21" x14ac:dyDescent="0.3">
      <c r="B29" s="13">
        <v>26</v>
      </c>
      <c r="C29" s="3" t="s">
        <v>873</v>
      </c>
      <c r="D29" s="41" t="s">
        <v>65</v>
      </c>
      <c r="E29" s="41" t="s">
        <v>798</v>
      </c>
      <c r="F29" s="41" t="s">
        <v>281</v>
      </c>
      <c r="H29" s="45"/>
      <c r="I29" s="163" t="s">
        <v>871</v>
      </c>
      <c r="J29" s="164"/>
      <c r="K29" s="164"/>
      <c r="L29" s="164"/>
      <c r="M29" s="164"/>
      <c r="N29" s="164"/>
      <c r="O29" s="164"/>
      <c r="P29" s="164"/>
      <c r="Q29" s="164"/>
      <c r="R29" s="164"/>
      <c r="S29" s="165"/>
      <c r="T29" s="105" t="s">
        <v>902</v>
      </c>
      <c r="U29" s="105"/>
    </row>
    <row r="30" spans="2:21" x14ac:dyDescent="0.3">
      <c r="B30" s="13"/>
      <c r="C30" s="19"/>
      <c r="D30" s="19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115"/>
      <c r="U30" s="112"/>
    </row>
    <row r="31" spans="2:21" ht="49.5" x14ac:dyDescent="0.3">
      <c r="B31" s="13">
        <f>B29+1</f>
        <v>27</v>
      </c>
      <c r="C31" s="1" t="s">
        <v>72</v>
      </c>
      <c r="D31" s="11" t="s">
        <v>65</v>
      </c>
      <c r="E31" s="41" t="s">
        <v>755</v>
      </c>
      <c r="F31" s="41" t="s">
        <v>281</v>
      </c>
      <c r="H31" s="125" t="s">
        <v>917</v>
      </c>
      <c r="I31" s="45"/>
      <c r="J31" s="45"/>
      <c r="K31" s="45"/>
      <c r="L31" s="45"/>
      <c r="M31" s="45"/>
      <c r="N31" s="45"/>
      <c r="O31" s="45"/>
      <c r="P31" s="163" t="s">
        <v>903</v>
      </c>
      <c r="Q31" s="164"/>
      <c r="R31" s="164"/>
      <c r="S31" s="165"/>
      <c r="T31" s="126" t="s">
        <v>920</v>
      </c>
      <c r="U31" s="112"/>
    </row>
    <row r="32" spans="2:21" x14ac:dyDescent="0.3">
      <c r="B32" s="13">
        <f>B31+1</f>
        <v>28</v>
      </c>
      <c r="C32" s="1" t="s">
        <v>73</v>
      </c>
      <c r="D32" s="11" t="s">
        <v>65</v>
      </c>
      <c r="E32" s="41" t="s">
        <v>30</v>
      </c>
      <c r="F32" s="41" t="s">
        <v>281</v>
      </c>
      <c r="H32" s="163" t="s">
        <v>272</v>
      </c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5"/>
      <c r="U32" s="112"/>
    </row>
    <row r="33" spans="2:21" x14ac:dyDescent="0.3">
      <c r="B33" s="13">
        <f t="shared" ref="B33:B63" si="0">B32+1</f>
        <v>29</v>
      </c>
      <c r="C33" s="1" t="s">
        <v>74</v>
      </c>
      <c r="D33" s="11" t="s">
        <v>65</v>
      </c>
      <c r="E33" s="41" t="s">
        <v>31</v>
      </c>
      <c r="F33" s="41" t="s">
        <v>281</v>
      </c>
      <c r="H33" s="45"/>
      <c r="I33" s="45"/>
      <c r="J33" s="45"/>
      <c r="K33" s="45"/>
      <c r="L33" s="45"/>
      <c r="M33" s="45"/>
      <c r="N33" s="45"/>
      <c r="O33" s="45"/>
      <c r="P33" s="163" t="s">
        <v>273</v>
      </c>
      <c r="Q33" s="164"/>
      <c r="R33" s="164"/>
      <c r="S33" s="165"/>
      <c r="T33" s="106"/>
      <c r="U33" s="112"/>
    </row>
    <row r="34" spans="2:21" x14ac:dyDescent="0.3">
      <c r="B34" s="13">
        <f t="shared" si="0"/>
        <v>30</v>
      </c>
      <c r="C34" s="1" t="s">
        <v>75</v>
      </c>
      <c r="D34" s="11" t="s">
        <v>65</v>
      </c>
      <c r="E34" s="41" t="s">
        <v>66</v>
      </c>
      <c r="F34" s="41" t="s">
        <v>281</v>
      </c>
      <c r="H34" s="163" t="s">
        <v>782</v>
      </c>
      <c r="I34" s="164"/>
      <c r="J34" s="164"/>
      <c r="K34" s="165"/>
      <c r="L34" s="45"/>
      <c r="M34" s="45"/>
      <c r="N34" s="45"/>
      <c r="O34" s="45"/>
      <c r="P34" s="45"/>
      <c r="Q34" s="45"/>
      <c r="R34" s="25" t="s">
        <v>275</v>
      </c>
      <c r="S34" s="25" t="s">
        <v>274</v>
      </c>
      <c r="T34" s="106"/>
      <c r="U34" s="112"/>
    </row>
    <row r="35" spans="2:21" x14ac:dyDescent="0.3">
      <c r="B35" s="13">
        <f t="shared" si="0"/>
        <v>31</v>
      </c>
      <c r="C35" s="1" t="s">
        <v>672</v>
      </c>
      <c r="D35" s="11" t="s">
        <v>65</v>
      </c>
      <c r="E35" s="41" t="s">
        <v>764</v>
      </c>
      <c r="F35" s="41" t="s">
        <v>281</v>
      </c>
      <c r="H35" s="163" t="s">
        <v>921</v>
      </c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5"/>
      <c r="T35" s="115" t="s">
        <v>922</v>
      </c>
      <c r="U35" s="112"/>
    </row>
    <row r="36" spans="2:21" x14ac:dyDescent="0.3">
      <c r="B36" s="13">
        <f t="shared" si="0"/>
        <v>32</v>
      </c>
      <c r="C36" s="1" t="s">
        <v>765</v>
      </c>
      <c r="D36" s="11" t="s">
        <v>65</v>
      </c>
      <c r="E36" s="41" t="s">
        <v>763</v>
      </c>
      <c r="F36" s="41" t="s">
        <v>281</v>
      </c>
      <c r="H36" s="163" t="s">
        <v>762</v>
      </c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5"/>
      <c r="T36" s="106"/>
      <c r="U36" s="112"/>
    </row>
    <row r="37" spans="2:21" x14ac:dyDescent="0.3">
      <c r="B37" s="13"/>
      <c r="T37" s="116"/>
      <c r="U37" s="112"/>
    </row>
    <row r="38" spans="2:21" x14ac:dyDescent="0.3">
      <c r="B38" s="13">
        <f>B36+1</f>
        <v>33</v>
      </c>
      <c r="C38" s="1" t="s">
        <v>76</v>
      </c>
      <c r="D38" s="11" t="s">
        <v>65</v>
      </c>
      <c r="E38" s="41" t="s">
        <v>67</v>
      </c>
      <c r="F38" s="41" t="s">
        <v>882</v>
      </c>
      <c r="H38" s="45"/>
      <c r="I38" s="45"/>
      <c r="J38" s="163" t="s">
        <v>868</v>
      </c>
      <c r="K38" s="164"/>
      <c r="L38" s="164"/>
      <c r="M38" s="164"/>
      <c r="N38" s="164"/>
      <c r="O38" s="164"/>
      <c r="P38" s="164"/>
      <c r="Q38" s="164"/>
      <c r="R38" s="164"/>
      <c r="S38" s="165"/>
      <c r="T38" s="106"/>
      <c r="U38" s="112"/>
    </row>
    <row r="39" spans="2:21" x14ac:dyDescent="0.3">
      <c r="B39" s="13">
        <f t="shared" si="0"/>
        <v>34</v>
      </c>
      <c r="C39" s="1" t="s">
        <v>680</v>
      </c>
      <c r="D39" s="11" t="s">
        <v>65</v>
      </c>
      <c r="E39" s="41" t="s">
        <v>673</v>
      </c>
      <c r="F39" s="41" t="s">
        <v>883</v>
      </c>
      <c r="H39" s="45"/>
      <c r="I39" s="45"/>
      <c r="J39" s="45"/>
      <c r="K39" s="45"/>
      <c r="L39" s="45"/>
      <c r="M39" s="45"/>
      <c r="N39" s="163" t="s">
        <v>869</v>
      </c>
      <c r="O39" s="164"/>
      <c r="P39" s="164"/>
      <c r="Q39" s="164"/>
      <c r="R39" s="164"/>
      <c r="S39" s="165"/>
      <c r="T39" s="106"/>
      <c r="U39" s="112"/>
    </row>
    <row r="40" spans="2:21" s="8" customFormat="1" x14ac:dyDescent="0.3">
      <c r="B40" s="13">
        <f>B39+1</f>
        <v>35</v>
      </c>
      <c r="C40" s="1" t="s">
        <v>681</v>
      </c>
      <c r="D40" s="11" t="s">
        <v>65</v>
      </c>
      <c r="E40" s="41" t="s">
        <v>618</v>
      </c>
      <c r="F40" s="41" t="s">
        <v>884</v>
      </c>
      <c r="G40" s="41"/>
      <c r="H40" s="45"/>
      <c r="I40" s="169" t="s">
        <v>674</v>
      </c>
      <c r="J40" s="170"/>
      <c r="K40" s="170"/>
      <c r="L40" s="170"/>
      <c r="M40" s="170"/>
      <c r="N40" s="170"/>
      <c r="O40" s="170"/>
      <c r="P40" s="170"/>
      <c r="Q40" s="170"/>
      <c r="R40" s="170"/>
      <c r="S40" s="171"/>
      <c r="T40" s="106"/>
      <c r="U40" s="112"/>
    </row>
    <row r="41" spans="2:21" s="8" customFormat="1" x14ac:dyDescent="0.3">
      <c r="B41" s="13">
        <f t="shared" si="0"/>
        <v>36</v>
      </c>
      <c r="C41" s="1" t="s">
        <v>683</v>
      </c>
      <c r="D41" s="11" t="s">
        <v>65</v>
      </c>
      <c r="E41" s="41" t="s">
        <v>682</v>
      </c>
      <c r="F41" s="41" t="s">
        <v>884</v>
      </c>
      <c r="G41" s="41"/>
      <c r="H41" s="45"/>
      <c r="I41" s="169" t="s">
        <v>675</v>
      </c>
      <c r="J41" s="170"/>
      <c r="K41" s="170"/>
      <c r="L41" s="170"/>
      <c r="M41" s="170"/>
      <c r="N41" s="170"/>
      <c r="O41" s="170"/>
      <c r="P41" s="170"/>
      <c r="Q41" s="170"/>
      <c r="R41" s="170"/>
      <c r="S41" s="171"/>
      <c r="T41" s="106"/>
      <c r="U41" s="112"/>
    </row>
    <row r="42" spans="2:21" s="8" customFormat="1" x14ac:dyDescent="0.3">
      <c r="B42" s="13">
        <f t="shared" si="0"/>
        <v>37</v>
      </c>
      <c r="C42" s="1" t="s">
        <v>745</v>
      </c>
      <c r="D42" s="11" t="s">
        <v>65</v>
      </c>
      <c r="E42" s="41" t="s">
        <v>619</v>
      </c>
      <c r="F42" s="41" t="s">
        <v>884</v>
      </c>
      <c r="G42" s="41"/>
      <c r="H42" s="45"/>
      <c r="I42" s="169" t="s">
        <v>676</v>
      </c>
      <c r="J42" s="170"/>
      <c r="K42" s="170"/>
      <c r="L42" s="170"/>
      <c r="M42" s="170"/>
      <c r="N42" s="170"/>
      <c r="O42" s="170"/>
      <c r="P42" s="170"/>
      <c r="Q42" s="170"/>
      <c r="R42" s="170"/>
      <c r="S42" s="171"/>
      <c r="T42" s="106"/>
      <c r="U42" s="112"/>
    </row>
    <row r="43" spans="2:21" s="8" customFormat="1" x14ac:dyDescent="0.3">
      <c r="B43" s="13">
        <f t="shared" si="0"/>
        <v>38</v>
      </c>
      <c r="C43" s="1" t="s">
        <v>746</v>
      </c>
      <c r="D43" s="11" t="s">
        <v>65</v>
      </c>
      <c r="E43" s="41" t="s">
        <v>620</v>
      </c>
      <c r="F43" s="41" t="s">
        <v>884</v>
      </c>
      <c r="G43" s="41"/>
      <c r="H43" s="45"/>
      <c r="I43" s="169" t="s">
        <v>677</v>
      </c>
      <c r="J43" s="170"/>
      <c r="K43" s="170"/>
      <c r="L43" s="170"/>
      <c r="M43" s="170"/>
      <c r="N43" s="170"/>
      <c r="O43" s="170"/>
      <c r="P43" s="170"/>
      <c r="Q43" s="170"/>
      <c r="R43" s="170"/>
      <c r="S43" s="171"/>
      <c r="T43" s="106"/>
      <c r="U43" s="112"/>
    </row>
    <row r="44" spans="2:21" s="8" customFormat="1" x14ac:dyDescent="0.3">
      <c r="B44" s="13">
        <f t="shared" si="0"/>
        <v>39</v>
      </c>
      <c r="C44" s="1" t="s">
        <v>747</v>
      </c>
      <c r="D44" s="11" t="s">
        <v>65</v>
      </c>
      <c r="E44" s="41" t="s">
        <v>621</v>
      </c>
      <c r="F44" s="41" t="s">
        <v>884</v>
      </c>
      <c r="G44" s="41"/>
      <c r="H44" s="45"/>
      <c r="I44" s="169" t="s">
        <v>678</v>
      </c>
      <c r="J44" s="170"/>
      <c r="K44" s="170"/>
      <c r="L44" s="170"/>
      <c r="M44" s="170"/>
      <c r="N44" s="170"/>
      <c r="O44" s="170"/>
      <c r="P44" s="170"/>
      <c r="Q44" s="170"/>
      <c r="R44" s="170"/>
      <c r="S44" s="171"/>
      <c r="T44" s="106"/>
      <c r="U44" s="112"/>
    </row>
    <row r="45" spans="2:21" s="8" customFormat="1" x14ac:dyDescent="0.3">
      <c r="B45" s="13">
        <f t="shared" si="0"/>
        <v>40</v>
      </c>
      <c r="C45" s="1" t="s">
        <v>748</v>
      </c>
      <c r="D45" s="11" t="s">
        <v>65</v>
      </c>
      <c r="E45" s="41" t="s">
        <v>622</v>
      </c>
      <c r="F45" s="41" t="s">
        <v>884</v>
      </c>
      <c r="G45" s="41"/>
      <c r="H45" s="45"/>
      <c r="I45" s="169" t="s">
        <v>679</v>
      </c>
      <c r="J45" s="170"/>
      <c r="K45" s="170"/>
      <c r="L45" s="170"/>
      <c r="M45" s="170"/>
      <c r="N45" s="170"/>
      <c r="O45" s="170"/>
      <c r="P45" s="170"/>
      <c r="Q45" s="170"/>
      <c r="R45" s="170"/>
      <c r="S45" s="171"/>
      <c r="T45" s="106"/>
      <c r="U45" s="112"/>
    </row>
    <row r="46" spans="2:21" s="8" customFormat="1" x14ac:dyDescent="0.3">
      <c r="B46" s="13">
        <f t="shared" si="0"/>
        <v>41</v>
      </c>
      <c r="C46" s="1" t="s">
        <v>749</v>
      </c>
      <c r="D46" s="11" t="s">
        <v>65</v>
      </c>
      <c r="E46" s="41" t="s">
        <v>623</v>
      </c>
      <c r="F46" s="41" t="s">
        <v>884</v>
      </c>
      <c r="G46" s="41"/>
      <c r="H46" s="45"/>
      <c r="I46" s="169" t="s">
        <v>756</v>
      </c>
      <c r="J46" s="170"/>
      <c r="K46" s="170"/>
      <c r="L46" s="170"/>
      <c r="M46" s="170"/>
      <c r="N46" s="170"/>
      <c r="O46" s="170"/>
      <c r="P46" s="170"/>
      <c r="Q46" s="170"/>
      <c r="R46" s="170"/>
      <c r="S46" s="171"/>
      <c r="T46" s="106"/>
      <c r="U46" s="112"/>
    </row>
    <row r="47" spans="2:21" s="8" customFormat="1" x14ac:dyDescent="0.3">
      <c r="B47" s="13">
        <f t="shared" si="0"/>
        <v>42</v>
      </c>
      <c r="C47" s="1" t="s">
        <v>750</v>
      </c>
      <c r="D47" s="11" t="s">
        <v>65</v>
      </c>
      <c r="E47" s="41" t="s">
        <v>624</v>
      </c>
      <c r="F47" s="41" t="s">
        <v>884</v>
      </c>
      <c r="G47" s="41"/>
      <c r="H47" s="45"/>
      <c r="I47" s="169" t="s">
        <v>757</v>
      </c>
      <c r="J47" s="170"/>
      <c r="K47" s="170"/>
      <c r="L47" s="170"/>
      <c r="M47" s="170"/>
      <c r="N47" s="170"/>
      <c r="O47" s="170"/>
      <c r="P47" s="170"/>
      <c r="Q47" s="170"/>
      <c r="R47" s="170"/>
      <c r="S47" s="171"/>
      <c r="T47" s="106"/>
      <c r="U47" s="112"/>
    </row>
    <row r="48" spans="2:21" s="8" customFormat="1" x14ac:dyDescent="0.3">
      <c r="B48" s="13">
        <f t="shared" si="0"/>
        <v>43</v>
      </c>
      <c r="C48" s="1" t="s">
        <v>751</v>
      </c>
      <c r="D48" s="11" t="s">
        <v>65</v>
      </c>
      <c r="E48" s="41" t="s">
        <v>461</v>
      </c>
      <c r="F48" s="41" t="s">
        <v>884</v>
      </c>
      <c r="G48" s="41"/>
      <c r="H48" s="45"/>
      <c r="I48" s="169" t="s">
        <v>758</v>
      </c>
      <c r="J48" s="170"/>
      <c r="K48" s="170"/>
      <c r="L48" s="170"/>
      <c r="M48" s="170"/>
      <c r="N48" s="170"/>
      <c r="O48" s="170"/>
      <c r="P48" s="170"/>
      <c r="Q48" s="170"/>
      <c r="R48" s="170"/>
      <c r="S48" s="171"/>
      <c r="T48" s="106"/>
      <c r="U48" s="112"/>
    </row>
    <row r="49" spans="1:21" s="8" customFormat="1" x14ac:dyDescent="0.3">
      <c r="B49" s="13">
        <f t="shared" si="0"/>
        <v>44</v>
      </c>
      <c r="C49" s="1" t="s">
        <v>752</v>
      </c>
      <c r="D49" s="11" t="s">
        <v>65</v>
      </c>
      <c r="E49" s="41" t="s">
        <v>684</v>
      </c>
      <c r="F49" s="41" t="s">
        <v>884</v>
      </c>
      <c r="G49" s="41"/>
      <c r="H49" s="45"/>
      <c r="I49" s="169" t="s">
        <v>759</v>
      </c>
      <c r="J49" s="170"/>
      <c r="K49" s="170"/>
      <c r="L49" s="170"/>
      <c r="M49" s="170"/>
      <c r="N49" s="170"/>
      <c r="O49" s="170"/>
      <c r="P49" s="170"/>
      <c r="Q49" s="170"/>
      <c r="R49" s="170"/>
      <c r="S49" s="171"/>
      <c r="T49" s="106"/>
      <c r="U49" s="112"/>
    </row>
    <row r="50" spans="1:21" s="8" customFormat="1" x14ac:dyDescent="0.3">
      <c r="B50" s="13">
        <f t="shared" si="0"/>
        <v>45</v>
      </c>
      <c r="C50" s="1" t="s">
        <v>753</v>
      </c>
      <c r="D50" s="11" t="s">
        <v>65</v>
      </c>
      <c r="E50" s="41" t="s">
        <v>33</v>
      </c>
      <c r="F50" s="41" t="s">
        <v>884</v>
      </c>
      <c r="G50" s="41"/>
      <c r="H50" s="45"/>
      <c r="I50" s="169" t="s">
        <v>760</v>
      </c>
      <c r="J50" s="170"/>
      <c r="K50" s="170"/>
      <c r="L50" s="170"/>
      <c r="M50" s="170"/>
      <c r="N50" s="170"/>
      <c r="O50" s="170"/>
      <c r="P50" s="170"/>
      <c r="Q50" s="170"/>
      <c r="R50" s="170"/>
      <c r="S50" s="171"/>
      <c r="T50" s="106"/>
      <c r="U50" s="112"/>
    </row>
    <row r="51" spans="1:21" s="8" customFormat="1" x14ac:dyDescent="0.3">
      <c r="B51" s="13">
        <f t="shared" si="0"/>
        <v>46</v>
      </c>
      <c r="C51" s="1" t="s">
        <v>754</v>
      </c>
      <c r="D51" s="11" t="s">
        <v>65</v>
      </c>
      <c r="E51" s="41" t="s">
        <v>34</v>
      </c>
      <c r="F51" s="41" t="s">
        <v>884</v>
      </c>
      <c r="G51" s="41"/>
      <c r="H51" s="45"/>
      <c r="I51" s="169" t="s">
        <v>761</v>
      </c>
      <c r="J51" s="170"/>
      <c r="K51" s="170"/>
      <c r="L51" s="170"/>
      <c r="M51" s="170"/>
      <c r="N51" s="170"/>
      <c r="O51" s="170"/>
      <c r="P51" s="170"/>
      <c r="Q51" s="170"/>
      <c r="R51" s="170"/>
      <c r="S51" s="171"/>
      <c r="T51" s="106"/>
      <c r="U51" s="112"/>
    </row>
    <row r="52" spans="1:21" s="8" customFormat="1" x14ac:dyDescent="0.3">
      <c r="B52" s="13">
        <f t="shared" si="0"/>
        <v>47</v>
      </c>
      <c r="C52" s="1" t="s">
        <v>77</v>
      </c>
      <c r="D52" s="11" t="s">
        <v>65</v>
      </c>
      <c r="E52" s="41" t="s">
        <v>35</v>
      </c>
      <c r="F52" s="41" t="s">
        <v>885</v>
      </c>
      <c r="G52" s="41"/>
      <c r="H52" s="45"/>
      <c r="I52" s="45"/>
      <c r="J52" s="45"/>
      <c r="K52" s="45"/>
      <c r="L52" s="169" t="s">
        <v>783</v>
      </c>
      <c r="M52" s="170"/>
      <c r="N52" s="170"/>
      <c r="O52" s="170"/>
      <c r="P52" s="170"/>
      <c r="Q52" s="170"/>
      <c r="R52" s="170"/>
      <c r="S52" s="171"/>
      <c r="T52" s="106"/>
      <c r="U52" s="112"/>
    </row>
    <row r="53" spans="1:21" s="8" customFormat="1" x14ac:dyDescent="0.3">
      <c r="B53" s="13">
        <f t="shared" si="0"/>
        <v>48</v>
      </c>
      <c r="C53" s="1" t="s">
        <v>78</v>
      </c>
      <c r="D53" s="11" t="s">
        <v>65</v>
      </c>
      <c r="E53" s="41" t="s">
        <v>36</v>
      </c>
      <c r="F53" s="41" t="s">
        <v>885</v>
      </c>
      <c r="G53" s="41"/>
      <c r="H53" s="45"/>
      <c r="I53" s="45"/>
      <c r="J53" s="45"/>
      <c r="K53" s="45"/>
      <c r="L53" s="169" t="s">
        <v>784</v>
      </c>
      <c r="M53" s="170"/>
      <c r="N53" s="170"/>
      <c r="O53" s="170"/>
      <c r="P53" s="170"/>
      <c r="Q53" s="170"/>
      <c r="R53" s="170"/>
      <c r="S53" s="171"/>
      <c r="T53" s="106"/>
      <c r="U53" s="112"/>
    </row>
    <row r="54" spans="1:21" s="8" customFormat="1" x14ac:dyDescent="0.3">
      <c r="B54" s="13">
        <f t="shared" si="0"/>
        <v>49</v>
      </c>
      <c r="C54" s="1" t="s">
        <v>79</v>
      </c>
      <c r="D54" s="11" t="s">
        <v>65</v>
      </c>
      <c r="E54" s="41" t="s">
        <v>37</v>
      </c>
      <c r="F54" s="41" t="s">
        <v>885</v>
      </c>
      <c r="G54" s="41"/>
      <c r="H54" s="45"/>
      <c r="I54" s="45"/>
      <c r="J54" s="45"/>
      <c r="K54" s="45"/>
      <c r="L54" s="169" t="s">
        <v>785</v>
      </c>
      <c r="M54" s="170"/>
      <c r="N54" s="170"/>
      <c r="O54" s="170"/>
      <c r="P54" s="170"/>
      <c r="Q54" s="170"/>
      <c r="R54" s="170"/>
      <c r="S54" s="171"/>
      <c r="T54" s="106"/>
      <c r="U54" s="112"/>
    </row>
    <row r="55" spans="1:21" s="8" customFormat="1" x14ac:dyDescent="0.3">
      <c r="B55" s="13">
        <f t="shared" si="0"/>
        <v>50</v>
      </c>
      <c r="C55" s="1" t="s">
        <v>80</v>
      </c>
      <c r="D55" s="11" t="s">
        <v>65</v>
      </c>
      <c r="E55" s="41" t="s">
        <v>38</v>
      </c>
      <c r="F55" s="41" t="s">
        <v>885</v>
      </c>
      <c r="G55" s="41"/>
      <c r="H55" s="45"/>
      <c r="I55" s="45"/>
      <c r="J55" s="45"/>
      <c r="K55" s="45"/>
      <c r="L55" s="169" t="s">
        <v>786</v>
      </c>
      <c r="M55" s="170"/>
      <c r="N55" s="170"/>
      <c r="O55" s="170"/>
      <c r="P55" s="170"/>
      <c r="Q55" s="170"/>
      <c r="R55" s="170"/>
      <c r="S55" s="171"/>
      <c r="T55" s="106"/>
      <c r="U55" s="112"/>
    </row>
    <row r="56" spans="1:21" s="8" customFormat="1" x14ac:dyDescent="0.3">
      <c r="B56" s="13">
        <f t="shared" si="0"/>
        <v>51</v>
      </c>
      <c r="C56" s="1" t="s">
        <v>81</v>
      </c>
      <c r="D56" s="11" t="s">
        <v>65</v>
      </c>
      <c r="E56" s="41" t="s">
        <v>39</v>
      </c>
      <c r="F56" s="41" t="s">
        <v>885</v>
      </c>
      <c r="G56" s="41"/>
      <c r="H56" s="45"/>
      <c r="I56" s="45"/>
      <c r="J56" s="45"/>
      <c r="K56" s="45"/>
      <c r="L56" s="169" t="s">
        <v>787</v>
      </c>
      <c r="M56" s="170"/>
      <c r="N56" s="170"/>
      <c r="O56" s="170"/>
      <c r="P56" s="170"/>
      <c r="Q56" s="170"/>
      <c r="R56" s="170"/>
      <c r="S56" s="171"/>
      <c r="T56" s="106"/>
      <c r="U56" s="112"/>
    </row>
    <row r="57" spans="1:21" s="8" customFormat="1" x14ac:dyDescent="0.3">
      <c r="B57" s="13">
        <f t="shared" si="0"/>
        <v>52</v>
      </c>
      <c r="C57" s="1" t="s">
        <v>82</v>
      </c>
      <c r="D57" s="11" t="s">
        <v>65</v>
      </c>
      <c r="E57" s="41" t="s">
        <v>40</v>
      </c>
      <c r="F57" s="41" t="s">
        <v>885</v>
      </c>
      <c r="G57" s="41"/>
      <c r="H57" s="45"/>
      <c r="I57" s="45"/>
      <c r="J57" s="45"/>
      <c r="K57" s="45"/>
      <c r="L57" s="169" t="s">
        <v>788</v>
      </c>
      <c r="M57" s="170"/>
      <c r="N57" s="170"/>
      <c r="O57" s="170"/>
      <c r="P57" s="170"/>
      <c r="Q57" s="170"/>
      <c r="R57" s="170"/>
      <c r="S57" s="171"/>
      <c r="T57" s="106"/>
      <c r="U57" s="112"/>
    </row>
    <row r="58" spans="1:21" s="8" customFormat="1" x14ac:dyDescent="0.3">
      <c r="A58" s="8" t="s">
        <v>738</v>
      </c>
      <c r="B58" s="13">
        <f t="shared" si="0"/>
        <v>53</v>
      </c>
      <c r="C58" s="1" t="s">
        <v>739</v>
      </c>
      <c r="D58" s="11" t="s">
        <v>65</v>
      </c>
      <c r="E58" s="41" t="s">
        <v>41</v>
      </c>
      <c r="F58" s="41" t="s">
        <v>885</v>
      </c>
      <c r="G58" s="41"/>
      <c r="H58" s="45"/>
      <c r="I58" s="45"/>
      <c r="J58" s="45"/>
      <c r="K58" s="45"/>
      <c r="L58" s="169" t="s">
        <v>789</v>
      </c>
      <c r="M58" s="170"/>
      <c r="N58" s="170"/>
      <c r="O58" s="170"/>
      <c r="P58" s="170"/>
      <c r="Q58" s="170"/>
      <c r="R58" s="170"/>
      <c r="S58" s="171"/>
      <c r="T58" s="106"/>
      <c r="U58" s="112"/>
    </row>
    <row r="59" spans="1:21" s="8" customFormat="1" x14ac:dyDescent="0.3">
      <c r="B59" s="13">
        <f t="shared" si="0"/>
        <v>54</v>
      </c>
      <c r="C59" s="1" t="s">
        <v>740</v>
      </c>
      <c r="D59" s="11" t="s">
        <v>65</v>
      </c>
      <c r="E59" s="41" t="s">
        <v>68</v>
      </c>
      <c r="F59" s="41" t="s">
        <v>885</v>
      </c>
      <c r="G59" s="41"/>
      <c r="H59" s="45"/>
      <c r="I59" s="45"/>
      <c r="J59" s="45"/>
      <c r="K59" s="45"/>
      <c r="L59" s="169" t="s">
        <v>790</v>
      </c>
      <c r="M59" s="170"/>
      <c r="N59" s="170"/>
      <c r="O59" s="170"/>
      <c r="P59" s="170"/>
      <c r="Q59" s="170"/>
      <c r="R59" s="170"/>
      <c r="S59" s="171"/>
      <c r="T59" s="106"/>
      <c r="U59" s="112"/>
    </row>
    <row r="60" spans="1:21" s="8" customFormat="1" x14ac:dyDescent="0.3">
      <c r="B60" s="13">
        <f t="shared" si="0"/>
        <v>55</v>
      </c>
      <c r="C60" s="1" t="s">
        <v>741</v>
      </c>
      <c r="D60" s="11" t="s">
        <v>65</v>
      </c>
      <c r="E60" s="41" t="s">
        <v>69</v>
      </c>
      <c r="F60" s="41" t="s">
        <v>885</v>
      </c>
      <c r="G60" s="41"/>
      <c r="H60" s="45"/>
      <c r="I60" s="45"/>
      <c r="J60" s="45"/>
      <c r="K60" s="45"/>
      <c r="L60" s="169" t="s">
        <v>791</v>
      </c>
      <c r="M60" s="170"/>
      <c r="N60" s="170"/>
      <c r="O60" s="170"/>
      <c r="P60" s="170"/>
      <c r="Q60" s="170"/>
      <c r="R60" s="170"/>
      <c r="S60" s="171"/>
      <c r="T60" s="106"/>
      <c r="U60" s="112"/>
    </row>
    <row r="61" spans="1:21" s="8" customFormat="1" x14ac:dyDescent="0.3">
      <c r="B61" s="13">
        <f t="shared" si="0"/>
        <v>56</v>
      </c>
      <c r="C61" s="1" t="s">
        <v>742</v>
      </c>
      <c r="D61" s="11" t="s">
        <v>65</v>
      </c>
      <c r="E61" s="41" t="s">
        <v>70</v>
      </c>
      <c r="F61" s="41" t="s">
        <v>885</v>
      </c>
      <c r="G61" s="41"/>
      <c r="H61" s="45"/>
      <c r="I61" s="45"/>
      <c r="J61" s="45"/>
      <c r="K61" s="45"/>
      <c r="L61" s="169" t="s">
        <v>792</v>
      </c>
      <c r="M61" s="170"/>
      <c r="N61" s="170"/>
      <c r="O61" s="170"/>
      <c r="P61" s="170"/>
      <c r="Q61" s="170"/>
      <c r="R61" s="170"/>
      <c r="S61" s="171"/>
      <c r="T61" s="106"/>
      <c r="U61" s="112"/>
    </row>
    <row r="62" spans="1:21" s="8" customFormat="1" x14ac:dyDescent="0.3">
      <c r="B62" s="13">
        <f t="shared" si="0"/>
        <v>57</v>
      </c>
      <c r="C62" s="1" t="s">
        <v>743</v>
      </c>
      <c r="D62" s="11" t="s">
        <v>65</v>
      </c>
      <c r="E62" s="41" t="s">
        <v>71</v>
      </c>
      <c r="F62" s="41" t="s">
        <v>885</v>
      </c>
      <c r="G62" s="41"/>
      <c r="H62" s="45"/>
      <c r="I62" s="45"/>
      <c r="J62" s="45"/>
      <c r="K62" s="45"/>
      <c r="L62" s="169" t="s">
        <v>793</v>
      </c>
      <c r="M62" s="170"/>
      <c r="N62" s="170"/>
      <c r="O62" s="170"/>
      <c r="P62" s="170"/>
      <c r="Q62" s="170"/>
      <c r="R62" s="170"/>
      <c r="S62" s="171"/>
      <c r="T62" s="106"/>
      <c r="U62" s="112"/>
    </row>
    <row r="63" spans="1:21" s="8" customFormat="1" x14ac:dyDescent="0.3">
      <c r="B63" s="13">
        <f t="shared" si="0"/>
        <v>58</v>
      </c>
      <c r="C63" s="1" t="s">
        <v>744</v>
      </c>
      <c r="D63" s="11" t="s">
        <v>65</v>
      </c>
      <c r="E63" s="41" t="s">
        <v>276</v>
      </c>
      <c r="F63" s="41" t="s">
        <v>885</v>
      </c>
      <c r="G63" s="41"/>
      <c r="H63" s="45"/>
      <c r="I63" s="45"/>
      <c r="J63" s="45"/>
      <c r="K63" s="45"/>
      <c r="L63" s="169" t="s">
        <v>794</v>
      </c>
      <c r="M63" s="170"/>
      <c r="N63" s="170"/>
      <c r="O63" s="170"/>
      <c r="P63" s="170"/>
      <c r="Q63" s="170"/>
      <c r="R63" s="170"/>
      <c r="S63" s="171"/>
      <c r="T63" s="106"/>
      <c r="U63" s="112"/>
    </row>
  </sheetData>
  <mergeCells count="59">
    <mergeCell ref="L63:S63"/>
    <mergeCell ref="M15:O15"/>
    <mergeCell ref="L57:S57"/>
    <mergeCell ref="L58:S58"/>
    <mergeCell ref="L59:S59"/>
    <mergeCell ref="L60:S60"/>
    <mergeCell ref="L61:S61"/>
    <mergeCell ref="L62:S62"/>
    <mergeCell ref="I51:S51"/>
    <mergeCell ref="L52:S52"/>
    <mergeCell ref="L53:S53"/>
    <mergeCell ref="L54:S54"/>
    <mergeCell ref="L55:S55"/>
    <mergeCell ref="L56:S56"/>
    <mergeCell ref="H35:S35"/>
    <mergeCell ref="H36:S36"/>
    <mergeCell ref="I41:S41"/>
    <mergeCell ref="I42:S42"/>
    <mergeCell ref="I43:S43"/>
    <mergeCell ref="N39:S39"/>
    <mergeCell ref="I50:S50"/>
    <mergeCell ref="I44:S44"/>
    <mergeCell ref="I45:S45"/>
    <mergeCell ref="I46:S46"/>
    <mergeCell ref="I47:S47"/>
    <mergeCell ref="I48:S48"/>
    <mergeCell ref="I49:S49"/>
    <mergeCell ref="H16:S16"/>
    <mergeCell ref="H17:S17"/>
    <mergeCell ref="H18:S18"/>
    <mergeCell ref="H19:S19"/>
    <mergeCell ref="I40:S40"/>
    <mergeCell ref="J38:S38"/>
    <mergeCell ref="L28:O28"/>
    <mergeCell ref="P28:S28"/>
    <mergeCell ref="P31:S31"/>
    <mergeCell ref="H32:S32"/>
    <mergeCell ref="P33:S33"/>
    <mergeCell ref="H34:K34"/>
    <mergeCell ref="I29:S29"/>
    <mergeCell ref="H20:S20"/>
    <mergeCell ref="H27:S27"/>
    <mergeCell ref="H22:S22"/>
    <mergeCell ref="I15:K15"/>
    <mergeCell ref="H9:S9"/>
    <mergeCell ref="H7:S7"/>
    <mergeCell ref="H8:S8"/>
    <mergeCell ref="H11:S11"/>
    <mergeCell ref="R15:S15"/>
    <mergeCell ref="N6:S6"/>
    <mergeCell ref="I6:J6"/>
    <mergeCell ref="O5:S5"/>
    <mergeCell ref="J10:S10"/>
    <mergeCell ref="H12:S12"/>
    <mergeCell ref="H23:S23"/>
    <mergeCell ref="H24:S24"/>
    <mergeCell ref="H25:S25"/>
    <mergeCell ref="H26:S26"/>
    <mergeCell ref="H21:S2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BC39-E482-4A8E-A50C-097157638C8A}">
  <dimension ref="A2:Y64"/>
  <sheetViews>
    <sheetView showGridLines="0" zoomScale="90" zoomScaleNormal="90" workbookViewId="0"/>
  </sheetViews>
  <sheetFormatPr defaultRowHeight="16.5" x14ac:dyDescent="0.3"/>
  <cols>
    <col min="2" max="2" width="3.375" bestFit="1" customWidth="1"/>
    <col min="3" max="3" width="21.25" style="1" bestFit="1" customWidth="1"/>
    <col min="4" max="4" width="6.625" style="11" bestFit="1" customWidth="1"/>
    <col min="5" max="5" width="7.75" style="41" bestFit="1" customWidth="1"/>
    <col min="6" max="6" width="7.125" style="41" customWidth="1"/>
    <col min="7" max="7" width="1.625" style="41" customWidth="1"/>
    <col min="8" max="8" width="12.375" style="41" bestFit="1" customWidth="1"/>
    <col min="9" max="10" width="8.25" style="41" bestFit="1" customWidth="1"/>
    <col min="11" max="11" width="7.875" style="41" bestFit="1" customWidth="1"/>
    <col min="12" max="15" width="7.25" style="41" bestFit="1" customWidth="1"/>
    <col min="16" max="16" width="7.75" style="41" bestFit="1" customWidth="1"/>
    <col min="17" max="17" width="7.25" style="41" bestFit="1" customWidth="1"/>
    <col min="18" max="18" width="11.375" style="41" bestFit="1" customWidth="1"/>
    <col min="19" max="19" width="11.875" style="41" bestFit="1" customWidth="1"/>
    <col min="20" max="20" width="56.875" style="46" bestFit="1" customWidth="1"/>
    <col min="21" max="21" width="31.625" style="6" bestFit="1" customWidth="1"/>
  </cols>
  <sheetData>
    <row r="2" spans="2:21" x14ac:dyDescent="0.3">
      <c r="D2" s="1"/>
      <c r="E2" s="3"/>
      <c r="F2" s="3"/>
    </row>
    <row r="3" spans="2:21" x14ac:dyDescent="0.3">
      <c r="B3" s="13"/>
      <c r="C3" s="10" t="s">
        <v>11</v>
      </c>
      <c r="D3" s="12" t="s">
        <v>64</v>
      </c>
      <c r="E3" s="52" t="s">
        <v>2</v>
      </c>
      <c r="F3" s="52" t="s">
        <v>97</v>
      </c>
      <c r="G3" s="52"/>
      <c r="H3" s="52" t="s">
        <v>256</v>
      </c>
      <c r="I3" s="52" t="s">
        <v>257</v>
      </c>
      <c r="J3" s="52" t="s">
        <v>51</v>
      </c>
      <c r="K3" s="52" t="s">
        <v>52</v>
      </c>
      <c r="L3" s="52" t="s">
        <v>53</v>
      </c>
      <c r="M3" s="52" t="s">
        <v>54</v>
      </c>
      <c r="N3" s="52" t="s">
        <v>55</v>
      </c>
      <c r="O3" s="52" t="s">
        <v>56</v>
      </c>
      <c r="P3" s="52" t="s">
        <v>57</v>
      </c>
      <c r="Q3" s="52" t="s">
        <v>58</v>
      </c>
      <c r="R3" s="52" t="s">
        <v>59</v>
      </c>
      <c r="S3" s="52" t="s">
        <v>60</v>
      </c>
      <c r="T3" s="52" t="s">
        <v>62</v>
      </c>
      <c r="U3" s="52" t="s">
        <v>772</v>
      </c>
    </row>
    <row r="4" spans="2:21" ht="33" x14ac:dyDescent="0.3">
      <c r="B4" s="13">
        <v>1</v>
      </c>
      <c r="C4" s="1" t="s">
        <v>224</v>
      </c>
      <c r="D4" s="11" t="s">
        <v>65</v>
      </c>
      <c r="E4" s="41" t="s">
        <v>14</v>
      </c>
      <c r="F4" s="41" t="s">
        <v>281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102" t="s">
        <v>226</v>
      </c>
      <c r="S4" s="102" t="s">
        <v>225</v>
      </c>
      <c r="T4" s="110" t="s">
        <v>259</v>
      </c>
      <c r="U4" s="111"/>
    </row>
    <row r="5" spans="2:21" x14ac:dyDescent="0.3">
      <c r="B5" s="13">
        <v>2</v>
      </c>
      <c r="C5" s="1" t="s">
        <v>61</v>
      </c>
      <c r="D5" s="11" t="s">
        <v>65</v>
      </c>
      <c r="E5" s="41" t="s">
        <v>15</v>
      </c>
      <c r="F5" s="41" t="s">
        <v>281</v>
      </c>
      <c r="H5" s="45"/>
      <c r="I5" s="45"/>
      <c r="J5" s="45"/>
      <c r="K5" s="45"/>
      <c r="L5" s="45"/>
      <c r="M5" s="45"/>
      <c r="N5" s="45"/>
      <c r="O5" s="169" t="s">
        <v>258</v>
      </c>
      <c r="P5" s="170"/>
      <c r="Q5" s="170"/>
      <c r="R5" s="170"/>
      <c r="S5" s="171"/>
      <c r="T5" s="105" t="s">
        <v>771</v>
      </c>
      <c r="U5" s="112"/>
    </row>
    <row r="6" spans="2:21" x14ac:dyDescent="0.3">
      <c r="B6" s="13">
        <v>3</v>
      </c>
      <c r="C6" s="42" t="s">
        <v>261</v>
      </c>
      <c r="D6" s="121" t="s">
        <v>65</v>
      </c>
      <c r="E6" s="121" t="s">
        <v>16</v>
      </c>
      <c r="F6" s="121" t="s">
        <v>281</v>
      </c>
      <c r="G6" s="121"/>
      <c r="H6" s="122"/>
      <c r="I6" s="122"/>
      <c r="J6" s="122"/>
      <c r="K6" s="121"/>
      <c r="L6" s="122"/>
      <c r="M6" s="122"/>
      <c r="N6" s="122"/>
      <c r="O6" s="122"/>
      <c r="P6" s="122"/>
      <c r="Q6" s="122"/>
      <c r="R6" s="122"/>
      <c r="S6" s="123" t="s">
        <v>260</v>
      </c>
      <c r="T6" s="124" t="s">
        <v>911</v>
      </c>
      <c r="U6" s="105"/>
    </row>
    <row r="7" spans="2:21" x14ac:dyDescent="0.3">
      <c r="B7" s="13">
        <v>4</v>
      </c>
      <c r="C7" s="3" t="s">
        <v>905</v>
      </c>
      <c r="D7" s="41" t="s">
        <v>65</v>
      </c>
      <c r="E7" s="41" t="s">
        <v>17</v>
      </c>
      <c r="F7" s="41" t="s">
        <v>281</v>
      </c>
      <c r="H7" s="45"/>
      <c r="I7" s="45"/>
      <c r="J7" s="45"/>
      <c r="K7" s="45"/>
      <c r="L7" s="45"/>
      <c r="M7" s="163" t="s">
        <v>906</v>
      </c>
      <c r="N7" s="164"/>
      <c r="O7" s="164"/>
      <c r="P7" s="164"/>
      <c r="Q7" s="164"/>
      <c r="R7" s="164"/>
      <c r="S7" s="165"/>
      <c r="T7" s="106"/>
      <c r="U7" s="105"/>
    </row>
    <row r="8" spans="2:21" x14ac:dyDescent="0.3">
      <c r="B8" s="13">
        <v>5</v>
      </c>
      <c r="C8" s="1" t="s">
        <v>907</v>
      </c>
      <c r="D8" s="11" t="s">
        <v>65</v>
      </c>
      <c r="E8" s="41" t="s">
        <v>18</v>
      </c>
      <c r="F8" s="41" t="s">
        <v>281</v>
      </c>
      <c r="H8" s="163" t="s">
        <v>908</v>
      </c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5"/>
      <c r="T8" s="106"/>
      <c r="U8" s="105" t="s">
        <v>878</v>
      </c>
    </row>
    <row r="9" spans="2:21" x14ac:dyDescent="0.3">
      <c r="B9" s="13">
        <v>6</v>
      </c>
      <c r="C9" s="108" t="s">
        <v>12</v>
      </c>
      <c r="D9" s="109" t="s">
        <v>65</v>
      </c>
      <c r="E9" s="41" t="s">
        <v>19</v>
      </c>
      <c r="F9" s="41" t="s">
        <v>280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106"/>
      <c r="U9" s="105"/>
    </row>
    <row r="10" spans="2:21" x14ac:dyDescent="0.3">
      <c r="B10" s="13">
        <v>7</v>
      </c>
      <c r="C10" s="1" t="s">
        <v>857</v>
      </c>
      <c r="D10" s="11" t="s">
        <v>65</v>
      </c>
      <c r="E10" s="41" t="s">
        <v>20</v>
      </c>
      <c r="F10" s="41" t="s">
        <v>280</v>
      </c>
      <c r="H10" s="163" t="s">
        <v>910</v>
      </c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5"/>
      <c r="T10" s="106"/>
      <c r="U10" s="112"/>
    </row>
    <row r="11" spans="2:21" x14ac:dyDescent="0.3">
      <c r="B11" s="13">
        <v>8</v>
      </c>
      <c r="C11" s="1" t="s">
        <v>858</v>
      </c>
      <c r="D11" s="11" t="s">
        <v>65</v>
      </c>
      <c r="E11" s="41" t="s">
        <v>21</v>
      </c>
      <c r="F11" s="41" t="s">
        <v>280</v>
      </c>
      <c r="H11" s="45"/>
      <c r="I11" s="45"/>
      <c r="J11" s="45"/>
      <c r="K11" s="45"/>
      <c r="L11" s="45"/>
      <c r="M11" s="45"/>
      <c r="N11" s="45"/>
      <c r="O11" s="45"/>
      <c r="P11" s="163" t="s">
        <v>909</v>
      </c>
      <c r="Q11" s="164"/>
      <c r="R11" s="164"/>
      <c r="S11" s="165"/>
      <c r="T11" s="107"/>
      <c r="U11" s="113"/>
    </row>
    <row r="12" spans="2:21" ht="33" x14ac:dyDescent="0.3">
      <c r="B12" s="13">
        <v>9</v>
      </c>
      <c r="C12" s="1" t="s">
        <v>13</v>
      </c>
      <c r="D12" s="11" t="s">
        <v>65</v>
      </c>
      <c r="E12" s="41" t="s">
        <v>22</v>
      </c>
      <c r="F12" s="41" t="s">
        <v>280</v>
      </c>
      <c r="H12" s="169" t="s">
        <v>262</v>
      </c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1"/>
      <c r="U12" s="105" t="s">
        <v>776</v>
      </c>
    </row>
    <row r="13" spans="2:21" x14ac:dyDescent="0.3">
      <c r="B13" s="13">
        <v>10</v>
      </c>
      <c r="C13" s="1" t="s">
        <v>616</v>
      </c>
      <c r="D13" s="11" t="s">
        <v>65</v>
      </c>
      <c r="E13" s="41" t="s">
        <v>23</v>
      </c>
      <c r="F13" s="41" t="s">
        <v>280</v>
      </c>
      <c r="H13" s="102" t="s">
        <v>685</v>
      </c>
      <c r="I13" s="102" t="s">
        <v>686</v>
      </c>
      <c r="J13" s="102" t="s">
        <v>687</v>
      </c>
      <c r="K13" s="102" t="s">
        <v>688</v>
      </c>
      <c r="L13" s="102" t="s">
        <v>689</v>
      </c>
      <c r="M13" s="102" t="s">
        <v>690</v>
      </c>
      <c r="N13" s="102" t="s">
        <v>466</v>
      </c>
      <c r="O13" s="102" t="s">
        <v>467</v>
      </c>
      <c r="P13" s="102" t="s">
        <v>468</v>
      </c>
      <c r="Q13" s="102" t="s">
        <v>469</v>
      </c>
      <c r="R13" s="102" t="s">
        <v>321</v>
      </c>
      <c r="S13" s="102" t="s">
        <v>320</v>
      </c>
      <c r="T13" s="114" t="s">
        <v>879</v>
      </c>
      <c r="U13" s="112"/>
    </row>
    <row r="14" spans="2:21" x14ac:dyDescent="0.3">
      <c r="B14" s="13">
        <v>11</v>
      </c>
      <c r="C14" s="1" t="s">
        <v>264</v>
      </c>
      <c r="D14" s="11" t="s">
        <v>766</v>
      </c>
      <c r="E14" s="41" t="s">
        <v>24</v>
      </c>
      <c r="F14" s="41" t="s">
        <v>280</v>
      </c>
      <c r="H14" s="45"/>
      <c r="I14" s="45"/>
      <c r="J14" s="45"/>
      <c r="K14" s="45"/>
      <c r="L14" s="45"/>
      <c r="M14" s="45"/>
      <c r="N14" s="45"/>
      <c r="O14" s="45"/>
      <c r="P14" s="102" t="s">
        <v>95</v>
      </c>
      <c r="Q14" s="102" t="s">
        <v>94</v>
      </c>
      <c r="R14" s="102" t="s">
        <v>93</v>
      </c>
      <c r="S14" s="102" t="s">
        <v>0</v>
      </c>
      <c r="T14" s="106" t="s">
        <v>881</v>
      </c>
      <c r="U14" s="112"/>
    </row>
    <row r="15" spans="2:21" x14ac:dyDescent="0.3">
      <c r="B15" s="13">
        <v>12</v>
      </c>
      <c r="C15" s="1" t="s">
        <v>265</v>
      </c>
      <c r="D15" s="11" t="s">
        <v>65</v>
      </c>
      <c r="E15" s="41" t="s">
        <v>26</v>
      </c>
      <c r="F15" s="41" t="s">
        <v>280</v>
      </c>
      <c r="H15" s="45"/>
      <c r="I15" s="169" t="s">
        <v>778</v>
      </c>
      <c r="J15" s="170"/>
      <c r="K15" s="171"/>
      <c r="M15" s="169" t="s">
        <v>780</v>
      </c>
      <c r="N15" s="170"/>
      <c r="O15" s="171"/>
      <c r="P15" s="45"/>
      <c r="Q15" s="45"/>
      <c r="R15" s="163" t="s">
        <v>779</v>
      </c>
      <c r="S15" s="165"/>
      <c r="T15" s="106"/>
      <c r="U15" s="112"/>
    </row>
    <row r="16" spans="2:21" x14ac:dyDescent="0.3">
      <c r="B16" s="13">
        <v>13</v>
      </c>
      <c r="C16" s="1" t="s">
        <v>5</v>
      </c>
      <c r="D16" s="11" t="s">
        <v>65</v>
      </c>
      <c r="E16" s="41" t="s">
        <v>25</v>
      </c>
      <c r="F16" s="41" t="s">
        <v>280</v>
      </c>
      <c r="H16" s="45"/>
      <c r="I16" s="45"/>
      <c r="J16" s="45"/>
      <c r="K16" s="45"/>
      <c r="L16" s="45"/>
      <c r="M16" s="169" t="s">
        <v>859</v>
      </c>
      <c r="N16" s="170"/>
      <c r="O16" s="170"/>
      <c r="P16" s="170"/>
      <c r="Q16" s="170"/>
      <c r="R16" s="170"/>
      <c r="S16" s="171"/>
      <c r="T16" s="106"/>
      <c r="U16" s="112"/>
    </row>
    <row r="17" spans="2:25" x14ac:dyDescent="0.3">
      <c r="B17" s="13">
        <v>14</v>
      </c>
      <c r="C17" s="1" t="s">
        <v>6</v>
      </c>
      <c r="D17" s="11" t="s">
        <v>65</v>
      </c>
      <c r="E17" s="41" t="s">
        <v>27</v>
      </c>
      <c r="F17" s="41" t="s">
        <v>280</v>
      </c>
      <c r="H17" s="45"/>
      <c r="I17" s="45"/>
      <c r="J17" s="45"/>
      <c r="K17" s="45"/>
      <c r="L17" s="45"/>
      <c r="M17" s="169" t="s">
        <v>860</v>
      </c>
      <c r="N17" s="170"/>
      <c r="O17" s="170"/>
      <c r="P17" s="170"/>
      <c r="Q17" s="170"/>
      <c r="R17" s="170"/>
      <c r="S17" s="171"/>
      <c r="T17" s="106"/>
      <c r="U17" s="112"/>
    </row>
    <row r="18" spans="2:25" x14ac:dyDescent="0.3">
      <c r="B18" s="13">
        <v>15</v>
      </c>
      <c r="C18" s="1" t="s">
        <v>7</v>
      </c>
      <c r="D18" s="11" t="s">
        <v>65</v>
      </c>
      <c r="E18" s="41" t="s">
        <v>28</v>
      </c>
      <c r="F18" s="41" t="s">
        <v>280</v>
      </c>
      <c r="H18" s="45"/>
      <c r="I18" s="45"/>
      <c r="J18" s="45"/>
      <c r="K18" s="45"/>
      <c r="L18" s="45"/>
      <c r="M18" s="169" t="s">
        <v>861</v>
      </c>
      <c r="N18" s="170"/>
      <c r="O18" s="170"/>
      <c r="P18" s="170"/>
      <c r="Q18" s="170"/>
      <c r="R18" s="170"/>
      <c r="S18" s="171"/>
      <c r="T18" s="106"/>
      <c r="U18" s="112"/>
    </row>
    <row r="19" spans="2:25" x14ac:dyDescent="0.3">
      <c r="B19" s="13">
        <v>16</v>
      </c>
      <c r="C19" s="1" t="s">
        <v>8</v>
      </c>
      <c r="D19" s="11" t="s">
        <v>65</v>
      </c>
      <c r="E19" s="41" t="s">
        <v>29</v>
      </c>
      <c r="F19" s="41" t="s">
        <v>280</v>
      </c>
      <c r="H19" s="45"/>
      <c r="I19" s="45"/>
      <c r="J19" s="45"/>
      <c r="K19" s="45"/>
      <c r="L19" s="45"/>
      <c r="M19" s="169" t="s">
        <v>862</v>
      </c>
      <c r="N19" s="170"/>
      <c r="O19" s="170"/>
      <c r="P19" s="170"/>
      <c r="Q19" s="170"/>
      <c r="R19" s="170"/>
      <c r="S19" s="171"/>
      <c r="T19" s="106"/>
      <c r="U19" s="112"/>
    </row>
    <row r="20" spans="2:25" x14ac:dyDescent="0.3">
      <c r="B20" s="13">
        <v>17</v>
      </c>
      <c r="C20" s="1" t="s">
        <v>9</v>
      </c>
      <c r="D20" s="11" t="s">
        <v>65</v>
      </c>
      <c r="E20" s="41" t="s">
        <v>63</v>
      </c>
      <c r="F20" s="41" t="s">
        <v>280</v>
      </c>
      <c r="H20" s="45"/>
      <c r="I20" s="45"/>
      <c r="J20" s="45"/>
      <c r="K20" s="45"/>
      <c r="L20" s="45"/>
      <c r="M20" s="169" t="s">
        <v>863</v>
      </c>
      <c r="N20" s="170"/>
      <c r="O20" s="170"/>
      <c r="P20" s="170"/>
      <c r="Q20" s="170"/>
      <c r="R20" s="170"/>
      <c r="S20" s="171"/>
      <c r="T20" s="106"/>
      <c r="U20" s="112"/>
    </row>
    <row r="21" spans="2:25" x14ac:dyDescent="0.3">
      <c r="B21" s="13">
        <v>18</v>
      </c>
      <c r="C21" s="1" t="s">
        <v>10</v>
      </c>
      <c r="D21" s="11" t="s">
        <v>65</v>
      </c>
      <c r="E21" s="41" t="s">
        <v>266</v>
      </c>
      <c r="F21" s="41" t="s">
        <v>280</v>
      </c>
      <c r="H21" s="45"/>
      <c r="I21" s="45"/>
      <c r="J21" s="45"/>
      <c r="K21" s="45"/>
      <c r="L21" s="45"/>
      <c r="M21" s="169" t="s">
        <v>864</v>
      </c>
      <c r="N21" s="170"/>
      <c r="O21" s="170"/>
      <c r="P21" s="170"/>
      <c r="Q21" s="170"/>
      <c r="R21" s="170"/>
      <c r="S21" s="171"/>
      <c r="T21" s="106"/>
      <c r="U21" s="112"/>
    </row>
    <row r="22" spans="2:25" x14ac:dyDescent="0.3">
      <c r="B22" s="13">
        <v>19</v>
      </c>
      <c r="C22" s="1" t="s">
        <v>731</v>
      </c>
      <c r="D22" s="11" t="s">
        <v>65</v>
      </c>
      <c r="E22" s="41" t="s">
        <v>267</v>
      </c>
      <c r="F22" s="41" t="s">
        <v>280</v>
      </c>
      <c r="H22" s="45"/>
      <c r="I22" s="45"/>
      <c r="J22" s="45"/>
      <c r="K22" s="45"/>
      <c r="L22" s="45"/>
      <c r="M22" s="169" t="s">
        <v>865</v>
      </c>
      <c r="N22" s="170"/>
      <c r="O22" s="170"/>
      <c r="P22" s="170"/>
      <c r="Q22" s="170"/>
      <c r="R22" s="170"/>
      <c r="S22" s="171"/>
      <c r="T22" s="106"/>
      <c r="U22" s="112"/>
    </row>
    <row r="23" spans="2:25" x14ac:dyDescent="0.3">
      <c r="B23" s="13">
        <v>20</v>
      </c>
      <c r="C23" s="1" t="s">
        <v>732</v>
      </c>
      <c r="D23" s="11" t="s">
        <v>65</v>
      </c>
      <c r="E23" s="41" t="s">
        <v>268</v>
      </c>
      <c r="F23" s="41" t="s">
        <v>280</v>
      </c>
      <c r="H23" s="45"/>
      <c r="I23" s="45"/>
      <c r="J23" s="45"/>
      <c r="K23" s="45"/>
      <c r="L23" s="45"/>
      <c r="M23" s="169" t="s">
        <v>866</v>
      </c>
      <c r="N23" s="170"/>
      <c r="O23" s="170"/>
      <c r="P23" s="170"/>
      <c r="Q23" s="170"/>
      <c r="R23" s="170"/>
      <c r="S23" s="171"/>
      <c r="T23" s="106"/>
      <c r="U23" s="112"/>
    </row>
    <row r="24" spans="2:25" x14ac:dyDescent="0.3">
      <c r="B24" s="13">
        <v>21</v>
      </c>
      <c r="C24" s="1" t="s">
        <v>733</v>
      </c>
      <c r="D24" s="11" t="s">
        <v>65</v>
      </c>
      <c r="E24" s="41" t="s">
        <v>344</v>
      </c>
      <c r="F24" s="41" t="s">
        <v>280</v>
      </c>
      <c r="H24" s="45"/>
      <c r="I24" s="45"/>
      <c r="J24" s="45"/>
      <c r="K24" s="45"/>
      <c r="L24" s="45"/>
      <c r="M24" s="169" t="s">
        <v>867</v>
      </c>
      <c r="N24" s="170"/>
      <c r="O24" s="170"/>
      <c r="P24" s="170"/>
      <c r="Q24" s="170"/>
      <c r="R24" s="170"/>
      <c r="S24" s="171"/>
      <c r="T24" s="106"/>
      <c r="U24" s="112"/>
    </row>
    <row r="25" spans="2:25" x14ac:dyDescent="0.3">
      <c r="B25" s="13">
        <v>22</v>
      </c>
      <c r="C25" s="1" t="s">
        <v>734</v>
      </c>
      <c r="D25" s="11" t="s">
        <v>65</v>
      </c>
      <c r="E25" s="41" t="s">
        <v>269</v>
      </c>
      <c r="F25" s="41" t="s">
        <v>280</v>
      </c>
      <c r="H25" s="45"/>
      <c r="I25" s="45"/>
      <c r="J25" s="45"/>
      <c r="K25" s="45"/>
      <c r="L25" s="45"/>
      <c r="M25" s="169" t="s">
        <v>867</v>
      </c>
      <c r="N25" s="170"/>
      <c r="O25" s="170"/>
      <c r="P25" s="170"/>
      <c r="Q25" s="170"/>
      <c r="R25" s="170"/>
      <c r="S25" s="171"/>
      <c r="T25" s="106"/>
      <c r="U25" s="112"/>
    </row>
    <row r="26" spans="2:25" x14ac:dyDescent="0.3">
      <c r="B26" s="13">
        <v>23</v>
      </c>
      <c r="C26" s="1" t="s">
        <v>735</v>
      </c>
      <c r="D26" s="11" t="s">
        <v>65</v>
      </c>
      <c r="E26" s="41" t="s">
        <v>270</v>
      </c>
      <c r="F26" s="41" t="s">
        <v>280</v>
      </c>
      <c r="H26" s="45"/>
      <c r="I26" s="45"/>
      <c r="J26" s="45"/>
      <c r="K26" s="45"/>
      <c r="L26" s="45"/>
      <c r="M26" s="169" t="s">
        <v>867</v>
      </c>
      <c r="N26" s="170"/>
      <c r="O26" s="170"/>
      <c r="P26" s="170"/>
      <c r="Q26" s="170"/>
      <c r="R26" s="170"/>
      <c r="S26" s="171"/>
      <c r="T26" s="106"/>
      <c r="U26" s="112"/>
    </row>
    <row r="27" spans="2:25" x14ac:dyDescent="0.3">
      <c r="B27" s="13">
        <v>24</v>
      </c>
      <c r="C27" s="1" t="s">
        <v>736</v>
      </c>
      <c r="D27" s="11" t="s">
        <v>65</v>
      </c>
      <c r="E27" s="41" t="s">
        <v>271</v>
      </c>
      <c r="F27" s="41" t="s">
        <v>280</v>
      </c>
      <c r="H27" s="45"/>
      <c r="I27" s="45"/>
      <c r="J27" s="45"/>
      <c r="K27" s="45"/>
      <c r="L27" s="45"/>
      <c r="M27" s="169" t="s">
        <v>867</v>
      </c>
      <c r="N27" s="170"/>
      <c r="O27" s="170"/>
      <c r="P27" s="170"/>
      <c r="Q27" s="170"/>
      <c r="R27" s="170"/>
      <c r="S27" s="171"/>
      <c r="T27" s="106"/>
      <c r="U27" s="112"/>
    </row>
    <row r="28" spans="2:25" x14ac:dyDescent="0.3">
      <c r="B28" s="13">
        <v>25</v>
      </c>
      <c r="C28" s="3" t="s">
        <v>726</v>
      </c>
      <c r="D28" s="41" t="s">
        <v>65</v>
      </c>
      <c r="E28" s="41" t="s">
        <v>737</v>
      </c>
      <c r="F28" s="127" t="s">
        <v>927</v>
      </c>
      <c r="H28" s="45"/>
      <c r="I28" s="45"/>
      <c r="J28" s="45"/>
      <c r="K28" s="45"/>
      <c r="L28" s="163" t="s">
        <v>901</v>
      </c>
      <c r="M28" s="164"/>
      <c r="N28" s="164"/>
      <c r="O28" s="165"/>
      <c r="P28" s="163" t="s">
        <v>727</v>
      </c>
      <c r="Q28" s="164"/>
      <c r="R28" s="164"/>
      <c r="S28" s="165"/>
      <c r="T28" s="105" t="s">
        <v>777</v>
      </c>
      <c r="U28" s="105" t="s">
        <v>831</v>
      </c>
    </row>
    <row r="29" spans="2:25" x14ac:dyDescent="0.3">
      <c r="B29" s="13">
        <v>26</v>
      </c>
      <c r="C29" s="3" t="s">
        <v>873</v>
      </c>
      <c r="D29" s="41" t="s">
        <v>65</v>
      </c>
      <c r="E29" s="41" t="s">
        <v>798</v>
      </c>
      <c r="F29" s="41" t="s">
        <v>280</v>
      </c>
      <c r="H29" s="163" t="s">
        <v>874</v>
      </c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5"/>
      <c r="T29" s="117" t="s">
        <v>904</v>
      </c>
      <c r="U29" s="105"/>
    </row>
    <row r="30" spans="2:25" x14ac:dyDescent="0.3">
      <c r="B30" s="13">
        <v>27</v>
      </c>
      <c r="C30" s="3" t="s">
        <v>875</v>
      </c>
      <c r="D30" s="41" t="s">
        <v>65</v>
      </c>
      <c r="E30" s="41" t="s">
        <v>872</v>
      </c>
      <c r="F30" s="41" t="s">
        <v>280</v>
      </c>
      <c r="H30" s="45"/>
      <c r="I30" s="45"/>
      <c r="J30" s="45"/>
      <c r="K30" s="45"/>
      <c r="L30" s="45"/>
      <c r="M30" s="163" t="s">
        <v>877</v>
      </c>
      <c r="N30" s="164"/>
      <c r="O30" s="165"/>
      <c r="P30" s="45"/>
      <c r="Q30" s="45"/>
      <c r="R30" s="163" t="s">
        <v>876</v>
      </c>
      <c r="S30" s="165"/>
      <c r="T30" s="105"/>
      <c r="U30" s="105"/>
      <c r="V30" s="118"/>
      <c r="W30" s="118"/>
      <c r="Y30" s="118"/>
    </row>
    <row r="31" spans="2:25" x14ac:dyDescent="0.3">
      <c r="B31" s="13"/>
      <c r="C31" s="19"/>
      <c r="D31" s="19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115"/>
      <c r="U31" s="112"/>
      <c r="V31" s="118"/>
      <c r="W31" s="118"/>
      <c r="Y31" s="118"/>
    </row>
    <row r="32" spans="2:25" ht="49.5" x14ac:dyDescent="0.3">
      <c r="B32" s="13">
        <f>B30+1</f>
        <v>28</v>
      </c>
      <c r="C32" s="1" t="s">
        <v>72</v>
      </c>
      <c r="D32" s="11" t="s">
        <v>65</v>
      </c>
      <c r="E32" s="41" t="s">
        <v>755</v>
      </c>
      <c r="F32" s="41" t="s">
        <v>281</v>
      </c>
      <c r="H32" s="125" t="s">
        <v>917</v>
      </c>
      <c r="I32" s="45"/>
      <c r="J32" s="45"/>
      <c r="K32" s="45"/>
      <c r="L32" s="45"/>
      <c r="M32" s="45"/>
      <c r="N32" s="45"/>
      <c r="O32" s="45"/>
      <c r="P32" s="163" t="s">
        <v>903</v>
      </c>
      <c r="Q32" s="164"/>
      <c r="R32" s="164"/>
      <c r="S32" s="165"/>
      <c r="T32" s="126" t="s">
        <v>919</v>
      </c>
      <c r="U32" s="112"/>
      <c r="V32" s="118"/>
      <c r="W32" s="118"/>
      <c r="Y32" s="118"/>
    </row>
    <row r="33" spans="2:25" x14ac:dyDescent="0.3">
      <c r="B33" s="13">
        <f>B32+1</f>
        <v>29</v>
      </c>
      <c r="C33" s="1" t="s">
        <v>73</v>
      </c>
      <c r="D33" s="11" t="s">
        <v>65</v>
      </c>
      <c r="E33" s="41" t="s">
        <v>30</v>
      </c>
      <c r="F33" s="41" t="s">
        <v>281</v>
      </c>
      <c r="H33" s="163" t="s">
        <v>272</v>
      </c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5"/>
      <c r="T33" s="115"/>
      <c r="U33" s="112"/>
      <c r="V33" s="118"/>
      <c r="W33" s="118"/>
      <c r="Y33" s="118"/>
    </row>
    <row r="34" spans="2:25" x14ac:dyDescent="0.3">
      <c r="B34" s="13">
        <f t="shared" ref="B34:B64" si="0">B33+1</f>
        <v>30</v>
      </c>
      <c r="C34" s="1" t="s">
        <v>74</v>
      </c>
      <c r="D34" s="11" t="s">
        <v>65</v>
      </c>
      <c r="E34" s="41" t="s">
        <v>31</v>
      </c>
      <c r="F34" s="41" t="s">
        <v>281</v>
      </c>
      <c r="H34" s="45"/>
      <c r="I34" s="45"/>
      <c r="J34" s="45"/>
      <c r="K34" s="45"/>
      <c r="L34" s="45"/>
      <c r="M34" s="45"/>
      <c r="N34" s="45"/>
      <c r="O34" s="45"/>
      <c r="P34" s="163" t="s">
        <v>273</v>
      </c>
      <c r="Q34" s="164"/>
      <c r="R34" s="164"/>
      <c r="S34" s="165"/>
      <c r="T34" s="106"/>
      <c r="U34" s="112"/>
      <c r="V34" s="118"/>
      <c r="W34" s="118"/>
      <c r="Y34" s="118"/>
    </row>
    <row r="35" spans="2:25" x14ac:dyDescent="0.3">
      <c r="B35" s="13">
        <f t="shared" si="0"/>
        <v>31</v>
      </c>
      <c r="C35" s="1" t="s">
        <v>75</v>
      </c>
      <c r="D35" s="11" t="s">
        <v>65</v>
      </c>
      <c r="E35" s="41" t="s">
        <v>66</v>
      </c>
      <c r="F35" s="41" t="s">
        <v>281</v>
      </c>
      <c r="H35" s="164" t="s">
        <v>782</v>
      </c>
      <c r="I35" s="164"/>
      <c r="J35" s="164"/>
      <c r="K35" s="165"/>
      <c r="L35" s="45"/>
      <c r="M35" s="45"/>
      <c r="N35" s="45"/>
      <c r="O35" s="45"/>
      <c r="P35" s="45"/>
      <c r="Q35" s="45"/>
      <c r="R35" s="25" t="s">
        <v>275</v>
      </c>
      <c r="S35" s="25" t="s">
        <v>274</v>
      </c>
      <c r="T35" s="106"/>
      <c r="U35" s="112"/>
      <c r="V35" s="118"/>
      <c r="W35" s="118"/>
      <c r="Y35" s="118"/>
    </row>
    <row r="36" spans="2:25" x14ac:dyDescent="0.3">
      <c r="B36" s="13">
        <f t="shared" si="0"/>
        <v>32</v>
      </c>
      <c r="C36" s="1" t="s">
        <v>672</v>
      </c>
      <c r="D36" s="11" t="s">
        <v>65</v>
      </c>
      <c r="E36" s="41" t="s">
        <v>764</v>
      </c>
      <c r="F36" s="41" t="s">
        <v>281</v>
      </c>
      <c r="H36" s="163" t="s">
        <v>921</v>
      </c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5"/>
      <c r="T36" s="115" t="s">
        <v>922</v>
      </c>
      <c r="U36" s="112"/>
      <c r="V36" s="118"/>
      <c r="W36" s="118"/>
      <c r="Y36" s="118"/>
    </row>
    <row r="37" spans="2:25" x14ac:dyDescent="0.3">
      <c r="B37" s="13">
        <f t="shared" si="0"/>
        <v>33</v>
      </c>
      <c r="C37" s="1" t="s">
        <v>765</v>
      </c>
      <c r="D37" s="11" t="s">
        <v>65</v>
      </c>
      <c r="E37" s="41" t="s">
        <v>763</v>
      </c>
      <c r="F37" s="41" t="s">
        <v>281</v>
      </c>
      <c r="H37" s="163" t="s">
        <v>762</v>
      </c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5"/>
      <c r="T37" s="106"/>
      <c r="U37" s="112"/>
      <c r="V37" s="118"/>
      <c r="W37" s="118"/>
      <c r="Y37" s="118"/>
    </row>
    <row r="38" spans="2:25" x14ac:dyDescent="0.3">
      <c r="B38" s="13"/>
      <c r="T38" s="116"/>
      <c r="U38" s="112"/>
      <c r="V38" s="118"/>
      <c r="W38" s="118"/>
      <c r="X38" s="118"/>
      <c r="Y38" s="118"/>
    </row>
    <row r="39" spans="2:25" x14ac:dyDescent="0.3">
      <c r="B39" s="13">
        <f>B37+1</f>
        <v>34</v>
      </c>
      <c r="C39" s="1" t="s">
        <v>76</v>
      </c>
      <c r="D39" s="11" t="s">
        <v>65</v>
      </c>
      <c r="E39" s="41" t="s">
        <v>67</v>
      </c>
      <c r="F39" s="41" t="s">
        <v>882</v>
      </c>
      <c r="H39" s="45"/>
      <c r="I39" s="45"/>
      <c r="J39" s="163" t="s">
        <v>781</v>
      </c>
      <c r="K39" s="164"/>
      <c r="L39" s="164"/>
      <c r="M39" s="164"/>
      <c r="N39" s="164"/>
      <c r="O39" s="164"/>
      <c r="P39" s="164"/>
      <c r="Q39" s="164"/>
      <c r="R39" s="164"/>
      <c r="S39" s="165"/>
      <c r="T39" s="106"/>
      <c r="U39" s="112"/>
    </row>
    <row r="40" spans="2:25" x14ac:dyDescent="0.3">
      <c r="B40" s="13">
        <f t="shared" si="0"/>
        <v>35</v>
      </c>
      <c r="C40" s="1" t="s">
        <v>680</v>
      </c>
      <c r="D40" s="11" t="s">
        <v>65</v>
      </c>
      <c r="E40" s="41" t="s">
        <v>673</v>
      </c>
      <c r="F40" s="41" t="s">
        <v>883</v>
      </c>
      <c r="H40" s="45"/>
      <c r="I40" s="45"/>
      <c r="J40" s="45"/>
      <c r="K40" s="163" t="s">
        <v>832</v>
      </c>
      <c r="L40" s="164"/>
      <c r="M40" s="164"/>
      <c r="N40" s="162" t="s">
        <v>869</v>
      </c>
      <c r="O40" s="162"/>
      <c r="P40" s="162"/>
      <c r="Q40" s="162"/>
      <c r="R40" s="162"/>
      <c r="S40" s="162"/>
      <c r="T40" s="106"/>
      <c r="U40" s="112"/>
    </row>
    <row r="41" spans="2:25" s="8" customFormat="1" x14ac:dyDescent="0.3">
      <c r="B41" s="13">
        <f>B40+1</f>
        <v>36</v>
      </c>
      <c r="C41" s="1" t="s">
        <v>681</v>
      </c>
      <c r="D41" s="11" t="s">
        <v>65</v>
      </c>
      <c r="E41" s="41" t="s">
        <v>618</v>
      </c>
      <c r="F41" s="41" t="s">
        <v>885</v>
      </c>
      <c r="G41" s="41"/>
      <c r="H41" s="45"/>
      <c r="I41" s="45"/>
      <c r="J41" s="45"/>
      <c r="K41" s="45"/>
      <c r="L41" s="169" t="s">
        <v>833</v>
      </c>
      <c r="M41" s="170"/>
      <c r="N41" s="170"/>
      <c r="O41" s="170"/>
      <c r="P41" s="170"/>
      <c r="Q41" s="170"/>
      <c r="R41" s="170"/>
      <c r="S41" s="171"/>
      <c r="T41" s="106"/>
      <c r="U41" s="112"/>
    </row>
    <row r="42" spans="2:25" s="8" customFormat="1" x14ac:dyDescent="0.3">
      <c r="B42" s="13">
        <f t="shared" si="0"/>
        <v>37</v>
      </c>
      <c r="C42" s="1" t="s">
        <v>683</v>
      </c>
      <c r="D42" s="11" t="s">
        <v>65</v>
      </c>
      <c r="E42" s="41" t="s">
        <v>682</v>
      </c>
      <c r="F42" s="41" t="s">
        <v>885</v>
      </c>
      <c r="G42" s="41"/>
      <c r="H42" s="45"/>
      <c r="I42" s="45"/>
      <c r="J42" s="45"/>
      <c r="K42" s="45"/>
      <c r="L42" s="169" t="s">
        <v>834</v>
      </c>
      <c r="M42" s="170"/>
      <c r="N42" s="170"/>
      <c r="O42" s="170"/>
      <c r="P42" s="170"/>
      <c r="Q42" s="170"/>
      <c r="R42" s="170"/>
      <c r="S42" s="171"/>
      <c r="T42" s="106"/>
      <c r="U42" s="112"/>
    </row>
    <row r="43" spans="2:25" s="8" customFormat="1" x14ac:dyDescent="0.3">
      <c r="B43" s="13">
        <f t="shared" si="0"/>
        <v>38</v>
      </c>
      <c r="C43" s="1" t="s">
        <v>745</v>
      </c>
      <c r="D43" s="11" t="s">
        <v>65</v>
      </c>
      <c r="E43" s="41" t="s">
        <v>619</v>
      </c>
      <c r="F43" s="41" t="s">
        <v>885</v>
      </c>
      <c r="G43" s="41"/>
      <c r="H43" s="45"/>
      <c r="I43" s="45"/>
      <c r="J43" s="45"/>
      <c r="K43" s="45"/>
      <c r="L43" s="169" t="s">
        <v>835</v>
      </c>
      <c r="M43" s="170"/>
      <c r="N43" s="170"/>
      <c r="O43" s="170"/>
      <c r="P43" s="170"/>
      <c r="Q43" s="170"/>
      <c r="R43" s="170"/>
      <c r="S43" s="171"/>
      <c r="T43" s="106"/>
      <c r="U43" s="112"/>
    </row>
    <row r="44" spans="2:25" s="8" customFormat="1" x14ac:dyDescent="0.3">
      <c r="B44" s="13">
        <f t="shared" si="0"/>
        <v>39</v>
      </c>
      <c r="C44" s="1" t="s">
        <v>746</v>
      </c>
      <c r="D44" s="11" t="s">
        <v>65</v>
      </c>
      <c r="E44" s="41" t="s">
        <v>620</v>
      </c>
      <c r="F44" s="41" t="s">
        <v>885</v>
      </c>
      <c r="G44" s="41"/>
      <c r="H44" s="45"/>
      <c r="I44" s="45"/>
      <c r="J44" s="45"/>
      <c r="K44" s="45"/>
      <c r="L44" s="169" t="s">
        <v>836</v>
      </c>
      <c r="M44" s="170"/>
      <c r="N44" s="170"/>
      <c r="O44" s="170"/>
      <c r="P44" s="170"/>
      <c r="Q44" s="170"/>
      <c r="R44" s="170"/>
      <c r="S44" s="171"/>
      <c r="T44" s="106"/>
      <c r="U44" s="112"/>
    </row>
    <row r="45" spans="2:25" s="8" customFormat="1" x14ac:dyDescent="0.3">
      <c r="B45" s="13">
        <f t="shared" si="0"/>
        <v>40</v>
      </c>
      <c r="C45" s="1" t="s">
        <v>747</v>
      </c>
      <c r="D45" s="11" t="s">
        <v>65</v>
      </c>
      <c r="E45" s="41" t="s">
        <v>621</v>
      </c>
      <c r="F45" s="41" t="s">
        <v>885</v>
      </c>
      <c r="G45" s="41"/>
      <c r="H45" s="45"/>
      <c r="I45" s="45"/>
      <c r="J45" s="45"/>
      <c r="K45" s="45"/>
      <c r="L45" s="169" t="s">
        <v>837</v>
      </c>
      <c r="M45" s="170"/>
      <c r="N45" s="170"/>
      <c r="O45" s="170"/>
      <c r="P45" s="170"/>
      <c r="Q45" s="170"/>
      <c r="R45" s="170"/>
      <c r="S45" s="171"/>
      <c r="T45" s="106"/>
      <c r="U45" s="112"/>
    </row>
    <row r="46" spans="2:25" s="8" customFormat="1" x14ac:dyDescent="0.3">
      <c r="B46" s="13">
        <f t="shared" si="0"/>
        <v>41</v>
      </c>
      <c r="C46" s="1" t="s">
        <v>748</v>
      </c>
      <c r="D46" s="11" t="s">
        <v>65</v>
      </c>
      <c r="E46" s="41" t="s">
        <v>622</v>
      </c>
      <c r="F46" s="41" t="s">
        <v>885</v>
      </c>
      <c r="G46" s="41"/>
      <c r="H46" s="45"/>
      <c r="I46" s="45"/>
      <c r="J46" s="45"/>
      <c r="K46" s="45"/>
      <c r="L46" s="169" t="s">
        <v>838</v>
      </c>
      <c r="M46" s="170"/>
      <c r="N46" s="170"/>
      <c r="O46" s="170"/>
      <c r="P46" s="170"/>
      <c r="Q46" s="170"/>
      <c r="R46" s="170"/>
      <c r="S46" s="171"/>
      <c r="T46" s="106"/>
      <c r="U46" s="112"/>
    </row>
    <row r="47" spans="2:25" s="8" customFormat="1" x14ac:dyDescent="0.3">
      <c r="B47" s="13">
        <f t="shared" si="0"/>
        <v>42</v>
      </c>
      <c r="C47" s="1" t="s">
        <v>749</v>
      </c>
      <c r="D47" s="11" t="s">
        <v>65</v>
      </c>
      <c r="E47" s="41" t="s">
        <v>623</v>
      </c>
      <c r="F47" s="41" t="s">
        <v>885</v>
      </c>
      <c r="G47" s="41"/>
      <c r="H47" s="45"/>
      <c r="I47" s="45"/>
      <c r="J47" s="45"/>
      <c r="K47" s="45"/>
      <c r="L47" s="169" t="s">
        <v>839</v>
      </c>
      <c r="M47" s="170"/>
      <c r="N47" s="170"/>
      <c r="O47" s="170"/>
      <c r="P47" s="170"/>
      <c r="Q47" s="170"/>
      <c r="R47" s="170"/>
      <c r="S47" s="171"/>
      <c r="T47" s="106"/>
      <c r="U47" s="112"/>
    </row>
    <row r="48" spans="2:25" s="8" customFormat="1" x14ac:dyDescent="0.3">
      <c r="B48" s="13">
        <f t="shared" si="0"/>
        <v>43</v>
      </c>
      <c r="C48" s="1" t="s">
        <v>750</v>
      </c>
      <c r="D48" s="11" t="s">
        <v>65</v>
      </c>
      <c r="E48" s="41" t="s">
        <v>624</v>
      </c>
      <c r="F48" s="41" t="s">
        <v>885</v>
      </c>
      <c r="G48" s="41"/>
      <c r="H48" s="45"/>
      <c r="I48" s="45"/>
      <c r="J48" s="45"/>
      <c r="K48" s="45"/>
      <c r="L48" s="169" t="s">
        <v>840</v>
      </c>
      <c r="M48" s="170"/>
      <c r="N48" s="170"/>
      <c r="O48" s="170"/>
      <c r="P48" s="170"/>
      <c r="Q48" s="170"/>
      <c r="R48" s="170"/>
      <c r="S48" s="171"/>
      <c r="T48" s="106"/>
      <c r="U48" s="112"/>
    </row>
    <row r="49" spans="1:21" s="8" customFormat="1" x14ac:dyDescent="0.3">
      <c r="B49" s="13">
        <f t="shared" si="0"/>
        <v>44</v>
      </c>
      <c r="C49" s="1" t="s">
        <v>751</v>
      </c>
      <c r="D49" s="11" t="s">
        <v>65</v>
      </c>
      <c r="E49" s="41" t="s">
        <v>461</v>
      </c>
      <c r="F49" s="41" t="s">
        <v>885</v>
      </c>
      <c r="G49" s="41"/>
      <c r="H49" s="45"/>
      <c r="I49" s="45"/>
      <c r="J49" s="45"/>
      <c r="K49" s="45"/>
      <c r="L49" s="169" t="s">
        <v>841</v>
      </c>
      <c r="M49" s="170"/>
      <c r="N49" s="170"/>
      <c r="O49" s="170"/>
      <c r="P49" s="170"/>
      <c r="Q49" s="170"/>
      <c r="R49" s="170"/>
      <c r="S49" s="171"/>
      <c r="T49" s="106"/>
      <c r="U49" s="112"/>
    </row>
    <row r="50" spans="1:21" s="8" customFormat="1" x14ac:dyDescent="0.3">
      <c r="B50" s="13">
        <f t="shared" si="0"/>
        <v>45</v>
      </c>
      <c r="C50" s="1" t="s">
        <v>752</v>
      </c>
      <c r="D50" s="11" t="s">
        <v>65</v>
      </c>
      <c r="E50" s="41" t="s">
        <v>684</v>
      </c>
      <c r="F50" s="41" t="s">
        <v>885</v>
      </c>
      <c r="G50" s="41"/>
      <c r="H50" s="45"/>
      <c r="I50" s="45"/>
      <c r="J50" s="45"/>
      <c r="K50" s="45"/>
      <c r="L50" s="169" t="s">
        <v>842</v>
      </c>
      <c r="M50" s="170"/>
      <c r="N50" s="170"/>
      <c r="O50" s="170"/>
      <c r="P50" s="170"/>
      <c r="Q50" s="170"/>
      <c r="R50" s="170"/>
      <c r="S50" s="171"/>
      <c r="T50" s="106"/>
      <c r="U50" s="112"/>
    </row>
    <row r="51" spans="1:21" s="8" customFormat="1" x14ac:dyDescent="0.3">
      <c r="B51" s="13">
        <f t="shared" si="0"/>
        <v>46</v>
      </c>
      <c r="C51" s="1" t="s">
        <v>753</v>
      </c>
      <c r="D51" s="11" t="s">
        <v>65</v>
      </c>
      <c r="E51" s="41" t="s">
        <v>33</v>
      </c>
      <c r="F51" s="41" t="s">
        <v>885</v>
      </c>
      <c r="G51" s="41"/>
      <c r="H51" s="45"/>
      <c r="I51" s="45"/>
      <c r="J51" s="45"/>
      <c r="K51" s="45"/>
      <c r="L51" s="169" t="s">
        <v>843</v>
      </c>
      <c r="M51" s="170"/>
      <c r="N51" s="170"/>
      <c r="O51" s="170"/>
      <c r="P51" s="170"/>
      <c r="Q51" s="170"/>
      <c r="R51" s="170"/>
      <c r="S51" s="171"/>
      <c r="T51" s="106"/>
      <c r="U51" s="112"/>
    </row>
    <row r="52" spans="1:21" s="8" customFormat="1" x14ac:dyDescent="0.3">
      <c r="B52" s="13">
        <f t="shared" si="0"/>
        <v>47</v>
      </c>
      <c r="C52" s="1" t="s">
        <v>754</v>
      </c>
      <c r="D52" s="11" t="s">
        <v>65</v>
      </c>
      <c r="E52" s="41" t="s">
        <v>34</v>
      </c>
      <c r="F52" s="41" t="s">
        <v>885</v>
      </c>
      <c r="G52" s="41"/>
      <c r="H52" s="45"/>
      <c r="I52" s="45"/>
      <c r="J52" s="45"/>
      <c r="K52" s="45"/>
      <c r="L52" s="169" t="s">
        <v>844</v>
      </c>
      <c r="M52" s="170"/>
      <c r="N52" s="170"/>
      <c r="O52" s="170"/>
      <c r="P52" s="170"/>
      <c r="Q52" s="170"/>
      <c r="R52" s="170"/>
      <c r="S52" s="171"/>
      <c r="T52" s="106"/>
      <c r="U52" s="112"/>
    </row>
    <row r="53" spans="1:21" s="8" customFormat="1" x14ac:dyDescent="0.3">
      <c r="B53" s="13">
        <f t="shared" si="0"/>
        <v>48</v>
      </c>
      <c r="C53" s="1" t="s">
        <v>77</v>
      </c>
      <c r="D53" s="11" t="s">
        <v>65</v>
      </c>
      <c r="E53" s="41" t="s">
        <v>35</v>
      </c>
      <c r="F53" s="41" t="s">
        <v>885</v>
      </c>
      <c r="G53" s="41"/>
      <c r="H53" s="45"/>
      <c r="I53" s="45"/>
      <c r="J53" s="45"/>
      <c r="K53" s="45"/>
      <c r="L53" s="169" t="s">
        <v>845</v>
      </c>
      <c r="M53" s="170"/>
      <c r="N53" s="170"/>
      <c r="O53" s="170"/>
      <c r="P53" s="170"/>
      <c r="Q53" s="170"/>
      <c r="R53" s="170"/>
      <c r="S53" s="171"/>
      <c r="T53" s="106"/>
      <c r="U53" s="112"/>
    </row>
    <row r="54" spans="1:21" s="8" customFormat="1" x14ac:dyDescent="0.3">
      <c r="B54" s="13">
        <f t="shared" si="0"/>
        <v>49</v>
      </c>
      <c r="C54" s="1" t="s">
        <v>78</v>
      </c>
      <c r="D54" s="11" t="s">
        <v>65</v>
      </c>
      <c r="E54" s="41" t="s">
        <v>36</v>
      </c>
      <c r="F54" s="41" t="s">
        <v>885</v>
      </c>
      <c r="G54" s="41"/>
      <c r="H54" s="45"/>
      <c r="I54" s="45"/>
      <c r="J54" s="45"/>
      <c r="K54" s="45"/>
      <c r="L54" s="169" t="s">
        <v>846</v>
      </c>
      <c r="M54" s="170"/>
      <c r="N54" s="170"/>
      <c r="O54" s="170"/>
      <c r="P54" s="170"/>
      <c r="Q54" s="170"/>
      <c r="R54" s="170"/>
      <c r="S54" s="171"/>
      <c r="T54" s="106"/>
      <c r="U54" s="112"/>
    </row>
    <row r="55" spans="1:21" s="8" customFormat="1" x14ac:dyDescent="0.3">
      <c r="B55" s="13">
        <f t="shared" si="0"/>
        <v>50</v>
      </c>
      <c r="C55" s="1" t="s">
        <v>79</v>
      </c>
      <c r="D55" s="11" t="s">
        <v>65</v>
      </c>
      <c r="E55" s="41" t="s">
        <v>37</v>
      </c>
      <c r="F55" s="41" t="s">
        <v>885</v>
      </c>
      <c r="G55" s="41"/>
      <c r="H55" s="45"/>
      <c r="I55" s="45"/>
      <c r="J55" s="45"/>
      <c r="K55" s="45"/>
      <c r="L55" s="169" t="s">
        <v>847</v>
      </c>
      <c r="M55" s="170"/>
      <c r="N55" s="170"/>
      <c r="O55" s="170"/>
      <c r="P55" s="170"/>
      <c r="Q55" s="170"/>
      <c r="R55" s="170"/>
      <c r="S55" s="171"/>
      <c r="T55" s="106"/>
      <c r="U55" s="112"/>
    </row>
    <row r="56" spans="1:21" s="8" customFormat="1" x14ac:dyDescent="0.3">
      <c r="B56" s="13">
        <f t="shared" si="0"/>
        <v>51</v>
      </c>
      <c r="C56" s="1" t="s">
        <v>80</v>
      </c>
      <c r="D56" s="11" t="s">
        <v>65</v>
      </c>
      <c r="E56" s="41" t="s">
        <v>38</v>
      </c>
      <c r="F56" s="41" t="s">
        <v>885</v>
      </c>
      <c r="G56" s="41"/>
      <c r="H56" s="45"/>
      <c r="I56" s="45"/>
      <c r="J56" s="45"/>
      <c r="K56" s="45"/>
      <c r="L56" s="169" t="s">
        <v>848</v>
      </c>
      <c r="M56" s="170"/>
      <c r="N56" s="170"/>
      <c r="O56" s="170"/>
      <c r="P56" s="170"/>
      <c r="Q56" s="170"/>
      <c r="R56" s="170"/>
      <c r="S56" s="171"/>
      <c r="T56" s="106"/>
      <c r="U56" s="112"/>
    </row>
    <row r="57" spans="1:21" s="8" customFormat="1" x14ac:dyDescent="0.3">
      <c r="B57" s="13">
        <f t="shared" si="0"/>
        <v>52</v>
      </c>
      <c r="C57" s="1" t="s">
        <v>81</v>
      </c>
      <c r="D57" s="11" t="s">
        <v>65</v>
      </c>
      <c r="E57" s="41" t="s">
        <v>39</v>
      </c>
      <c r="F57" s="41" t="s">
        <v>885</v>
      </c>
      <c r="G57" s="41"/>
      <c r="H57" s="45"/>
      <c r="I57" s="45"/>
      <c r="J57" s="45"/>
      <c r="K57" s="45"/>
      <c r="L57" s="169" t="s">
        <v>849</v>
      </c>
      <c r="M57" s="170"/>
      <c r="N57" s="170"/>
      <c r="O57" s="170"/>
      <c r="P57" s="170"/>
      <c r="Q57" s="170"/>
      <c r="R57" s="170"/>
      <c r="S57" s="171"/>
      <c r="T57" s="106"/>
      <c r="U57" s="112"/>
    </row>
    <row r="58" spans="1:21" s="8" customFormat="1" x14ac:dyDescent="0.3">
      <c r="B58" s="13">
        <f t="shared" si="0"/>
        <v>53</v>
      </c>
      <c r="C58" s="1" t="s">
        <v>82</v>
      </c>
      <c r="D58" s="11" t="s">
        <v>65</v>
      </c>
      <c r="E58" s="41" t="s">
        <v>40</v>
      </c>
      <c r="F58" s="41" t="s">
        <v>885</v>
      </c>
      <c r="G58" s="41"/>
      <c r="H58" s="45"/>
      <c r="I58" s="45"/>
      <c r="J58" s="45"/>
      <c r="K58" s="45"/>
      <c r="L58" s="169" t="s">
        <v>850</v>
      </c>
      <c r="M58" s="170"/>
      <c r="N58" s="170"/>
      <c r="O58" s="170"/>
      <c r="P58" s="170"/>
      <c r="Q58" s="170"/>
      <c r="R58" s="170"/>
      <c r="S58" s="171"/>
      <c r="T58" s="106"/>
      <c r="U58" s="112"/>
    </row>
    <row r="59" spans="1:21" s="8" customFormat="1" x14ac:dyDescent="0.3">
      <c r="A59" s="8" t="s">
        <v>738</v>
      </c>
      <c r="B59" s="13">
        <f t="shared" si="0"/>
        <v>54</v>
      </c>
      <c r="C59" s="1" t="s">
        <v>739</v>
      </c>
      <c r="D59" s="11" t="s">
        <v>65</v>
      </c>
      <c r="E59" s="41" t="s">
        <v>41</v>
      </c>
      <c r="F59" s="41" t="s">
        <v>885</v>
      </c>
      <c r="G59" s="41"/>
      <c r="H59" s="45"/>
      <c r="I59" s="45"/>
      <c r="J59" s="45"/>
      <c r="K59" s="45"/>
      <c r="L59" s="169" t="s">
        <v>851</v>
      </c>
      <c r="M59" s="170"/>
      <c r="N59" s="170"/>
      <c r="O59" s="170"/>
      <c r="P59" s="170"/>
      <c r="Q59" s="170"/>
      <c r="R59" s="170"/>
      <c r="S59" s="171"/>
      <c r="T59" s="106"/>
      <c r="U59" s="112"/>
    </row>
    <row r="60" spans="1:21" s="8" customFormat="1" x14ac:dyDescent="0.3">
      <c r="B60" s="13">
        <f t="shared" si="0"/>
        <v>55</v>
      </c>
      <c r="C60" s="1" t="s">
        <v>740</v>
      </c>
      <c r="D60" s="11" t="s">
        <v>65</v>
      </c>
      <c r="E60" s="41" t="s">
        <v>68</v>
      </c>
      <c r="F60" s="41" t="s">
        <v>885</v>
      </c>
      <c r="G60" s="41"/>
      <c r="H60" s="45"/>
      <c r="I60" s="45"/>
      <c r="J60" s="45"/>
      <c r="K60" s="45"/>
      <c r="L60" s="169" t="s">
        <v>852</v>
      </c>
      <c r="M60" s="170"/>
      <c r="N60" s="170"/>
      <c r="O60" s="170"/>
      <c r="P60" s="170"/>
      <c r="Q60" s="170"/>
      <c r="R60" s="170"/>
      <c r="S60" s="171"/>
      <c r="T60" s="106"/>
      <c r="U60" s="112"/>
    </row>
    <row r="61" spans="1:21" s="8" customFormat="1" x14ac:dyDescent="0.3">
      <c r="B61" s="13">
        <f t="shared" si="0"/>
        <v>56</v>
      </c>
      <c r="C61" s="1" t="s">
        <v>741</v>
      </c>
      <c r="D61" s="11" t="s">
        <v>65</v>
      </c>
      <c r="E61" s="41" t="s">
        <v>69</v>
      </c>
      <c r="F61" s="41" t="s">
        <v>885</v>
      </c>
      <c r="G61" s="41"/>
      <c r="H61" s="45"/>
      <c r="I61" s="45"/>
      <c r="J61" s="45"/>
      <c r="K61" s="45"/>
      <c r="L61" s="169" t="s">
        <v>853</v>
      </c>
      <c r="M61" s="170"/>
      <c r="N61" s="170"/>
      <c r="O61" s="170"/>
      <c r="P61" s="170"/>
      <c r="Q61" s="170"/>
      <c r="R61" s="170"/>
      <c r="S61" s="171"/>
      <c r="T61" s="106"/>
      <c r="U61" s="112"/>
    </row>
    <row r="62" spans="1:21" s="8" customFormat="1" x14ac:dyDescent="0.3">
      <c r="B62" s="13">
        <f t="shared" si="0"/>
        <v>57</v>
      </c>
      <c r="C62" s="1" t="s">
        <v>742</v>
      </c>
      <c r="D62" s="11" t="s">
        <v>65</v>
      </c>
      <c r="E62" s="41" t="s">
        <v>70</v>
      </c>
      <c r="F62" s="41" t="s">
        <v>885</v>
      </c>
      <c r="G62" s="41"/>
      <c r="H62" s="45"/>
      <c r="I62" s="45"/>
      <c r="J62" s="45"/>
      <c r="K62" s="45"/>
      <c r="L62" s="169" t="s">
        <v>854</v>
      </c>
      <c r="M62" s="170"/>
      <c r="N62" s="170"/>
      <c r="O62" s="170"/>
      <c r="P62" s="170"/>
      <c r="Q62" s="170"/>
      <c r="R62" s="170"/>
      <c r="S62" s="171"/>
      <c r="T62" s="106"/>
      <c r="U62" s="112"/>
    </row>
    <row r="63" spans="1:21" s="8" customFormat="1" x14ac:dyDescent="0.3">
      <c r="B63" s="13">
        <f t="shared" si="0"/>
        <v>58</v>
      </c>
      <c r="C63" s="1" t="s">
        <v>743</v>
      </c>
      <c r="D63" s="11" t="s">
        <v>65</v>
      </c>
      <c r="E63" s="41" t="s">
        <v>71</v>
      </c>
      <c r="F63" s="41" t="s">
        <v>885</v>
      </c>
      <c r="G63" s="41"/>
      <c r="H63" s="45"/>
      <c r="I63" s="45"/>
      <c r="J63" s="45"/>
      <c r="K63" s="45"/>
      <c r="L63" s="169" t="s">
        <v>855</v>
      </c>
      <c r="M63" s="170"/>
      <c r="N63" s="170"/>
      <c r="O63" s="170"/>
      <c r="P63" s="170"/>
      <c r="Q63" s="170"/>
      <c r="R63" s="170"/>
      <c r="S63" s="171"/>
      <c r="T63" s="106"/>
      <c r="U63" s="112"/>
    </row>
    <row r="64" spans="1:21" s="8" customFormat="1" x14ac:dyDescent="0.3">
      <c r="B64" s="13">
        <f t="shared" si="0"/>
        <v>59</v>
      </c>
      <c r="C64" s="1" t="s">
        <v>744</v>
      </c>
      <c r="D64" s="11" t="s">
        <v>65</v>
      </c>
      <c r="E64" s="41" t="s">
        <v>276</v>
      </c>
      <c r="F64" s="41" t="s">
        <v>885</v>
      </c>
      <c r="G64" s="41"/>
      <c r="H64" s="45"/>
      <c r="I64" s="45"/>
      <c r="J64" s="45"/>
      <c r="K64" s="45"/>
      <c r="L64" s="169" t="s">
        <v>856</v>
      </c>
      <c r="M64" s="170"/>
      <c r="N64" s="170"/>
      <c r="O64" s="170"/>
      <c r="P64" s="170"/>
      <c r="Q64" s="170"/>
      <c r="R64" s="170"/>
      <c r="S64" s="171"/>
      <c r="T64" s="106"/>
      <c r="U64" s="112"/>
    </row>
  </sheetData>
  <mergeCells count="59">
    <mergeCell ref="H29:S29"/>
    <mergeCell ref="R30:S30"/>
    <mergeCell ref="M30:O30"/>
    <mergeCell ref="O5:S5"/>
    <mergeCell ref="M22:S22"/>
    <mergeCell ref="H12:S12"/>
    <mergeCell ref="I15:K15"/>
    <mergeCell ref="M15:O15"/>
    <mergeCell ref="H10:S10"/>
    <mergeCell ref="P11:S11"/>
    <mergeCell ref="M7:S7"/>
    <mergeCell ref="M26:S26"/>
    <mergeCell ref="M27:S27"/>
    <mergeCell ref="M16:S16"/>
    <mergeCell ref="M17:S17"/>
    <mergeCell ref="M21:S21"/>
    <mergeCell ref="L48:S48"/>
    <mergeCell ref="L49:S49"/>
    <mergeCell ref="L50:S50"/>
    <mergeCell ref="J39:S39"/>
    <mergeCell ref="P32:S32"/>
    <mergeCell ref="H33:S33"/>
    <mergeCell ref="P34:S34"/>
    <mergeCell ref="H35:K35"/>
    <mergeCell ref="H36:S36"/>
    <mergeCell ref="H37:S37"/>
    <mergeCell ref="K40:M40"/>
    <mergeCell ref="N40:S40"/>
    <mergeCell ref="L54:S54"/>
    <mergeCell ref="L55:S55"/>
    <mergeCell ref="L56:S56"/>
    <mergeCell ref="L51:S51"/>
    <mergeCell ref="L52:S52"/>
    <mergeCell ref="L63:S63"/>
    <mergeCell ref="L64:S64"/>
    <mergeCell ref="L41:S41"/>
    <mergeCell ref="L42:S42"/>
    <mergeCell ref="L43:S43"/>
    <mergeCell ref="L44:S44"/>
    <mergeCell ref="L45:S45"/>
    <mergeCell ref="L46:S46"/>
    <mergeCell ref="L47:S47"/>
    <mergeCell ref="L57:S57"/>
    <mergeCell ref="L58:S58"/>
    <mergeCell ref="L59:S59"/>
    <mergeCell ref="L60:S60"/>
    <mergeCell ref="L61:S61"/>
    <mergeCell ref="L62:S62"/>
    <mergeCell ref="L53:S53"/>
    <mergeCell ref="L28:O28"/>
    <mergeCell ref="P28:S28"/>
    <mergeCell ref="M23:S23"/>
    <mergeCell ref="M24:S24"/>
    <mergeCell ref="M25:S25"/>
    <mergeCell ref="R15:S15"/>
    <mergeCell ref="H8:S8"/>
    <mergeCell ref="M18:S18"/>
    <mergeCell ref="M19:S19"/>
    <mergeCell ref="M20:S2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2F5A-D8D5-43F4-A231-1D5EC9B37AE9}">
  <dimension ref="C2:Z43"/>
  <sheetViews>
    <sheetView showGridLines="0" zoomScale="108" zoomScaleNormal="108" workbookViewId="0"/>
  </sheetViews>
  <sheetFormatPr defaultRowHeight="16.5" x14ac:dyDescent="0.3"/>
  <cols>
    <col min="4" max="4" width="8.625" style="11"/>
    <col min="5" max="19" width="4.625" style="11" customWidth="1"/>
    <col min="20" max="20" width="5.625" customWidth="1"/>
    <col min="24" max="26" width="8.625" style="1"/>
  </cols>
  <sheetData>
    <row r="2" spans="3:22" ht="14.45" customHeight="1" x14ac:dyDescent="0.3">
      <c r="C2" s="11"/>
    </row>
    <row r="3" spans="3:22" ht="14.45" customHeight="1" x14ac:dyDescent="0.3">
      <c r="C3" s="11"/>
    </row>
    <row r="4" spans="3:22" ht="14.45" customHeight="1" x14ac:dyDescent="0.3">
      <c r="C4" s="11"/>
    </row>
    <row r="5" spans="3:22" ht="14.45" customHeight="1" x14ac:dyDescent="0.3">
      <c r="C5" s="11"/>
    </row>
    <row r="6" spans="3:22" ht="14.45" customHeight="1" x14ac:dyDescent="0.3"/>
    <row r="11" spans="3:22" ht="14.45" customHeight="1" x14ac:dyDescent="0.3"/>
    <row r="12" spans="3:22" ht="14.45" customHeight="1" thickBot="1" x14ac:dyDescent="0.35"/>
    <row r="13" spans="3:22" ht="14.45" customHeight="1" x14ac:dyDescent="0.3">
      <c r="E13" s="91"/>
      <c r="F13" s="63"/>
      <c r="G13" s="98">
        <v>1</v>
      </c>
      <c r="H13" s="63"/>
      <c r="I13" s="98">
        <v>3</v>
      </c>
      <c r="J13" s="63"/>
      <c r="K13" s="98">
        <v>5</v>
      </c>
      <c r="L13" s="63"/>
      <c r="M13" s="98">
        <v>7</v>
      </c>
      <c r="N13" s="63"/>
      <c r="O13" s="98">
        <v>9</v>
      </c>
      <c r="P13" s="63"/>
      <c r="Q13" s="98">
        <v>11</v>
      </c>
      <c r="R13" s="63"/>
      <c r="S13" s="92"/>
    </row>
    <row r="14" spans="3:22" ht="14.45" customHeight="1" thickBot="1" x14ac:dyDescent="0.35">
      <c r="E14" s="93"/>
      <c r="G14" s="99"/>
      <c r="I14" s="99"/>
      <c r="K14" s="99"/>
      <c r="M14" s="99"/>
      <c r="O14" s="99"/>
      <c r="Q14" s="99"/>
      <c r="S14" s="94"/>
    </row>
    <row r="15" spans="3:22" ht="14.45" customHeight="1" x14ac:dyDescent="0.3">
      <c r="E15" s="93"/>
      <c r="S15" s="94"/>
      <c r="V15" s="64"/>
    </row>
    <row r="16" spans="3:22" ht="14.45" customHeight="1" thickBot="1" x14ac:dyDescent="0.35">
      <c r="E16" s="93"/>
      <c r="S16" s="94"/>
      <c r="V16" s="64"/>
    </row>
    <row r="17" spans="5:24" ht="14.45" customHeight="1" x14ac:dyDescent="0.3">
      <c r="E17" s="100" t="s">
        <v>728</v>
      </c>
      <c r="S17" s="100" t="s">
        <v>728</v>
      </c>
      <c r="V17" s="64"/>
      <c r="X17" t="s">
        <v>925</v>
      </c>
    </row>
    <row r="18" spans="5:24" ht="14.45" customHeight="1" thickBot="1" x14ac:dyDescent="0.35">
      <c r="E18" s="99"/>
      <c r="S18" s="99"/>
      <c r="V18" s="64"/>
    </row>
    <row r="19" spans="5:24" ht="14.45" customHeight="1" x14ac:dyDescent="0.3">
      <c r="E19" s="93"/>
      <c r="S19" s="94"/>
      <c r="V19" s="64"/>
    </row>
    <row r="20" spans="5:24" ht="14.45" customHeight="1" thickBot="1" x14ac:dyDescent="0.35">
      <c r="E20" s="93"/>
      <c r="S20" s="94"/>
      <c r="V20" s="64"/>
    </row>
    <row r="21" spans="5:24" ht="14.45" customHeight="1" x14ac:dyDescent="0.3">
      <c r="E21" s="100" t="s">
        <v>729</v>
      </c>
      <c r="S21" s="100" t="s">
        <v>729</v>
      </c>
      <c r="V21" s="64"/>
    </row>
    <row r="22" spans="5:24" ht="14.45" customHeight="1" thickBot="1" x14ac:dyDescent="0.35">
      <c r="E22" s="99"/>
      <c r="S22" s="99"/>
      <c r="V22" s="64"/>
    </row>
    <row r="23" spans="5:24" ht="14.45" customHeight="1" x14ac:dyDescent="0.3">
      <c r="E23" s="93"/>
      <c r="S23" s="94"/>
      <c r="V23" s="64"/>
    </row>
    <row r="24" spans="5:24" ht="14.45" customHeight="1" thickBot="1" x14ac:dyDescent="0.35">
      <c r="E24" s="93"/>
      <c r="S24" s="94"/>
      <c r="V24" s="64"/>
    </row>
    <row r="25" spans="5:24" ht="14.45" customHeight="1" x14ac:dyDescent="0.3">
      <c r="E25" s="100" t="s">
        <v>729</v>
      </c>
      <c r="S25" s="100" t="s">
        <v>729</v>
      </c>
      <c r="V25" s="64"/>
    </row>
    <row r="26" spans="5:24" ht="14.45" customHeight="1" thickBot="1" x14ac:dyDescent="0.35">
      <c r="E26" s="99"/>
      <c r="S26" s="99"/>
      <c r="V26" s="64"/>
    </row>
    <row r="27" spans="5:24" ht="14.45" customHeight="1" x14ac:dyDescent="0.3">
      <c r="E27" s="93"/>
      <c r="S27" s="94"/>
      <c r="V27" s="64"/>
    </row>
    <row r="28" spans="5:24" ht="14.45" customHeight="1" thickBot="1" x14ac:dyDescent="0.35">
      <c r="E28" s="93"/>
      <c r="S28" s="94"/>
    </row>
    <row r="29" spans="5:24" ht="14.45" customHeight="1" x14ac:dyDescent="0.3">
      <c r="E29" s="100" t="s">
        <v>730</v>
      </c>
      <c r="S29" s="100" t="s">
        <v>730</v>
      </c>
    </row>
    <row r="30" spans="5:24" ht="14.45" customHeight="1" thickBot="1" x14ac:dyDescent="0.35">
      <c r="E30" s="99"/>
      <c r="S30" s="99"/>
    </row>
    <row r="31" spans="5:24" ht="14.45" customHeight="1" x14ac:dyDescent="0.3">
      <c r="E31" s="93"/>
      <c r="S31" s="94"/>
    </row>
    <row r="32" spans="5:24" ht="14.45" customHeight="1" thickBot="1" x14ac:dyDescent="0.35">
      <c r="E32" s="93"/>
      <c r="S32" s="94"/>
    </row>
    <row r="33" spans="5:24" ht="14.45" customHeight="1" x14ac:dyDescent="0.3">
      <c r="E33" s="100" t="s">
        <v>729</v>
      </c>
      <c r="S33" s="100" t="s">
        <v>729</v>
      </c>
    </row>
    <row r="34" spans="5:24" ht="14.45" customHeight="1" thickBot="1" x14ac:dyDescent="0.35">
      <c r="E34" s="99"/>
      <c r="S34" s="99"/>
    </row>
    <row r="35" spans="5:24" ht="14.45" customHeight="1" x14ac:dyDescent="0.3">
      <c r="E35" s="93"/>
      <c r="S35" s="94"/>
      <c r="X35" t="s">
        <v>926</v>
      </c>
    </row>
    <row r="36" spans="5:24" ht="14.45" customHeight="1" thickBot="1" x14ac:dyDescent="0.35">
      <c r="E36" s="93"/>
      <c r="S36" s="94"/>
    </row>
    <row r="37" spans="5:24" ht="14.45" customHeight="1" x14ac:dyDescent="0.3">
      <c r="E37" s="100" t="s">
        <v>729</v>
      </c>
      <c r="S37" s="100" t="s">
        <v>729</v>
      </c>
    </row>
    <row r="38" spans="5:24" ht="14.45" customHeight="1" thickBot="1" x14ac:dyDescent="0.35">
      <c r="E38" s="99"/>
      <c r="S38" s="99"/>
    </row>
    <row r="39" spans="5:24" ht="14.45" customHeight="1" x14ac:dyDescent="0.3">
      <c r="E39" s="93"/>
      <c r="S39" s="94"/>
    </row>
    <row r="40" spans="5:24" ht="14.45" customHeight="1" thickBot="1" x14ac:dyDescent="0.35">
      <c r="E40" s="93"/>
      <c r="S40" s="94"/>
    </row>
    <row r="41" spans="5:24" ht="14.45" customHeight="1" x14ac:dyDescent="0.3">
      <c r="E41" s="93"/>
      <c r="G41" s="100">
        <v>2</v>
      </c>
      <c r="I41" s="100">
        <v>4</v>
      </c>
      <c r="K41" s="100">
        <v>6</v>
      </c>
      <c r="M41" s="100">
        <v>8</v>
      </c>
      <c r="O41" s="100">
        <v>10</v>
      </c>
      <c r="Q41" s="100">
        <v>12</v>
      </c>
      <c r="S41" s="94"/>
    </row>
    <row r="42" spans="5:24" ht="14.45" customHeight="1" thickBot="1" x14ac:dyDescent="0.35">
      <c r="E42" s="95"/>
      <c r="F42" s="96"/>
      <c r="G42" s="101"/>
      <c r="H42" s="96"/>
      <c r="I42" s="101"/>
      <c r="J42" s="96"/>
      <c r="K42" s="101"/>
      <c r="L42" s="96"/>
      <c r="M42" s="101"/>
      <c r="N42" s="96"/>
      <c r="O42" s="101"/>
      <c r="P42" s="96"/>
      <c r="Q42" s="101"/>
      <c r="R42" s="96"/>
      <c r="S42" s="97"/>
    </row>
    <row r="43" spans="5:24" ht="14.45" customHeight="1" x14ac:dyDescent="0.3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9A60-3733-447D-8A38-7BDD0439C63D}">
  <dimension ref="A3:Y35"/>
  <sheetViews>
    <sheetView showGridLines="0" zoomScale="108" zoomScaleNormal="108" workbookViewId="0"/>
  </sheetViews>
  <sheetFormatPr defaultRowHeight="16.5" x14ac:dyDescent="0.3"/>
  <cols>
    <col min="1" max="1" width="8.625" style="11"/>
    <col min="2" max="16" width="4.625" style="11" customWidth="1"/>
    <col min="17" max="17" width="5.625" customWidth="1"/>
    <col min="21" max="23" width="8.625" style="1"/>
  </cols>
  <sheetData>
    <row r="3" spans="1:25" ht="14.45" customHeight="1" x14ac:dyDescent="0.3"/>
    <row r="4" spans="1:25" ht="14.45" customHeight="1" thickBot="1" x14ac:dyDescent="0.35"/>
    <row r="5" spans="1:25" ht="14.45" customHeight="1" x14ac:dyDescent="0.3">
      <c r="B5" s="91"/>
      <c r="C5" s="63"/>
      <c r="D5" s="98">
        <v>1</v>
      </c>
      <c r="E5" s="63"/>
      <c r="F5" s="98">
        <v>3</v>
      </c>
      <c r="G5" s="63"/>
      <c r="H5" s="98">
        <v>5</v>
      </c>
      <c r="I5" s="63"/>
      <c r="J5" s="98">
        <v>7</v>
      </c>
      <c r="K5" s="63"/>
      <c r="L5" s="98">
        <v>9</v>
      </c>
      <c r="M5" s="63"/>
      <c r="N5" s="98">
        <v>11</v>
      </c>
      <c r="O5" s="63"/>
      <c r="P5" s="92"/>
    </row>
    <row r="6" spans="1:25" ht="14.45" customHeight="1" thickBot="1" x14ac:dyDescent="0.35">
      <c r="B6" s="93"/>
      <c r="D6" s="99" t="s">
        <v>617</v>
      </c>
      <c r="F6" s="99" t="s">
        <v>617</v>
      </c>
      <c r="H6" s="99" t="s">
        <v>617</v>
      </c>
      <c r="J6" s="99" t="s">
        <v>617</v>
      </c>
      <c r="L6" s="99" t="s">
        <v>617</v>
      </c>
      <c r="N6" s="99" t="s">
        <v>617</v>
      </c>
      <c r="P6" s="94"/>
    </row>
    <row r="7" spans="1:25" ht="14.45" customHeight="1" x14ac:dyDescent="0.3">
      <c r="B7" s="93"/>
      <c r="P7" s="94"/>
      <c r="S7" s="64"/>
    </row>
    <row r="8" spans="1:25" ht="14.45" customHeight="1" thickBot="1" x14ac:dyDescent="0.35">
      <c r="B8" s="93"/>
      <c r="P8" s="94"/>
      <c r="S8" s="64"/>
    </row>
    <row r="9" spans="1:25" s="1" customFormat="1" ht="14.45" customHeight="1" x14ac:dyDescent="0.3">
      <c r="A9" s="11"/>
      <c r="B9" s="100" t="s">
        <v>728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0" t="s">
        <v>728</v>
      </c>
      <c r="Q9"/>
      <c r="R9"/>
      <c r="S9" s="64"/>
      <c r="T9"/>
      <c r="U9"/>
      <c r="X9"/>
      <c r="Y9"/>
    </row>
    <row r="10" spans="1:25" s="1" customFormat="1" ht="14.45" customHeight="1" thickBot="1" x14ac:dyDescent="0.35">
      <c r="A10" s="11"/>
      <c r="B10" s="99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99"/>
      <c r="Q10"/>
      <c r="R10"/>
      <c r="S10" s="64"/>
      <c r="T10"/>
      <c r="X10"/>
      <c r="Y10"/>
    </row>
    <row r="11" spans="1:25" s="1" customFormat="1" ht="14.45" customHeight="1" x14ac:dyDescent="0.3">
      <c r="A11" s="11"/>
      <c r="B11" s="9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94"/>
      <c r="Q11"/>
      <c r="R11"/>
      <c r="S11" s="64"/>
      <c r="T11"/>
      <c r="X11"/>
      <c r="Y11"/>
    </row>
    <row r="12" spans="1:25" s="1" customFormat="1" ht="14.45" customHeight="1" thickBot="1" x14ac:dyDescent="0.35">
      <c r="A12" s="11"/>
      <c r="B12" s="93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4"/>
      <c r="Q12"/>
      <c r="R12"/>
      <c r="S12" s="64"/>
      <c r="T12"/>
      <c r="X12"/>
      <c r="Y12"/>
    </row>
    <row r="13" spans="1:25" s="1" customFormat="1" ht="14.45" customHeight="1" x14ac:dyDescent="0.3">
      <c r="A13" s="11"/>
      <c r="B13" s="100" t="s">
        <v>729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00" t="s">
        <v>729</v>
      </c>
      <c r="Q13"/>
      <c r="R13"/>
      <c r="S13" s="64"/>
      <c r="T13"/>
      <c r="X13"/>
      <c r="Y13"/>
    </row>
    <row r="14" spans="1:25" s="1" customFormat="1" ht="14.45" customHeight="1" thickBot="1" x14ac:dyDescent="0.35">
      <c r="A14" s="11"/>
      <c r="B14" s="99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99"/>
      <c r="Q14"/>
      <c r="R14"/>
      <c r="S14" s="64"/>
      <c r="T14"/>
      <c r="X14"/>
      <c r="Y14"/>
    </row>
    <row r="15" spans="1:25" s="1" customFormat="1" ht="14.45" customHeight="1" x14ac:dyDescent="0.3">
      <c r="A15" s="11"/>
      <c r="B15" s="9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94"/>
      <c r="Q15"/>
      <c r="R15"/>
      <c r="S15" s="64"/>
      <c r="T15"/>
      <c r="X15"/>
      <c r="Y15"/>
    </row>
    <row r="16" spans="1:25" s="1" customFormat="1" ht="14.45" customHeight="1" thickBot="1" x14ac:dyDescent="0.35">
      <c r="A16" s="11"/>
      <c r="B16" s="93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94"/>
      <c r="Q16"/>
      <c r="R16"/>
      <c r="S16" s="64"/>
      <c r="T16"/>
      <c r="X16"/>
      <c r="Y16"/>
    </row>
    <row r="17" spans="1:25" s="1" customFormat="1" ht="14.45" customHeight="1" x14ac:dyDescent="0.3">
      <c r="A17" s="11"/>
      <c r="B17" s="100" t="s">
        <v>729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00" t="s">
        <v>729</v>
      </c>
      <c r="Q17"/>
      <c r="R17"/>
      <c r="S17" s="64"/>
      <c r="T17"/>
      <c r="X17"/>
      <c r="Y17"/>
    </row>
    <row r="18" spans="1:25" s="1" customFormat="1" ht="14.45" customHeight="1" thickBot="1" x14ac:dyDescent="0.35">
      <c r="A18" s="11"/>
      <c r="B18" s="99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99"/>
      <c r="Q18"/>
      <c r="R18"/>
      <c r="S18" s="64"/>
      <c r="T18"/>
      <c r="X18"/>
      <c r="Y18"/>
    </row>
    <row r="19" spans="1:25" s="1" customFormat="1" ht="14.45" customHeight="1" x14ac:dyDescent="0.3">
      <c r="A19" s="11"/>
      <c r="B19" s="9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94"/>
      <c r="Q19"/>
      <c r="R19"/>
      <c r="S19" s="64"/>
      <c r="T19"/>
      <c r="X19"/>
      <c r="Y19"/>
    </row>
    <row r="20" spans="1:25" s="1" customFormat="1" ht="14.45" customHeight="1" thickBot="1" x14ac:dyDescent="0.35">
      <c r="A20" s="11"/>
      <c r="B20" s="9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94"/>
      <c r="Q20"/>
      <c r="R20"/>
      <c r="S20"/>
      <c r="T20"/>
      <c r="X20"/>
      <c r="Y20"/>
    </row>
    <row r="21" spans="1:25" s="1" customFormat="1" ht="14.45" customHeight="1" x14ac:dyDescent="0.3">
      <c r="A21" s="11"/>
      <c r="B21" s="100" t="s">
        <v>923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00" t="s">
        <v>924</v>
      </c>
      <c r="Q21"/>
      <c r="R21"/>
      <c r="S21"/>
      <c r="T21"/>
      <c r="X21"/>
      <c r="Y21"/>
    </row>
    <row r="22" spans="1:25" s="1" customFormat="1" ht="14.45" customHeight="1" thickBot="1" x14ac:dyDescent="0.35">
      <c r="A22" s="11"/>
      <c r="B22" s="99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99"/>
      <c r="Q22"/>
      <c r="R22"/>
      <c r="S22"/>
      <c r="T22"/>
      <c r="X22"/>
      <c r="Y22"/>
    </row>
    <row r="23" spans="1:25" s="1" customFormat="1" ht="14.45" customHeight="1" x14ac:dyDescent="0.3">
      <c r="A23" s="11"/>
      <c r="B23" s="9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94"/>
      <c r="Q23"/>
      <c r="R23"/>
      <c r="S23"/>
      <c r="T23"/>
      <c r="X23"/>
      <c r="Y23"/>
    </row>
    <row r="24" spans="1:25" s="1" customFormat="1" ht="14.45" customHeight="1" thickBot="1" x14ac:dyDescent="0.35">
      <c r="A24" s="11"/>
      <c r="B24" s="9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94"/>
      <c r="Q24"/>
      <c r="R24"/>
      <c r="S24"/>
      <c r="T24"/>
      <c r="X24"/>
      <c r="Y24"/>
    </row>
    <row r="25" spans="1:25" ht="14.45" customHeight="1" x14ac:dyDescent="0.3">
      <c r="B25" s="100" t="s">
        <v>729</v>
      </c>
      <c r="P25" s="100" t="s">
        <v>729</v>
      </c>
    </row>
    <row r="26" spans="1:25" ht="14.45" customHeight="1" thickBot="1" x14ac:dyDescent="0.35">
      <c r="B26" s="99"/>
      <c r="P26" s="99"/>
    </row>
    <row r="27" spans="1:25" ht="14.45" customHeight="1" x14ac:dyDescent="0.3">
      <c r="B27" s="93"/>
      <c r="P27" s="94"/>
    </row>
    <row r="28" spans="1:25" ht="14.45" customHeight="1" thickBot="1" x14ac:dyDescent="0.35">
      <c r="B28" s="93"/>
      <c r="P28" s="94"/>
    </row>
    <row r="29" spans="1:25" ht="14.45" customHeight="1" x14ac:dyDescent="0.3">
      <c r="B29" s="100" t="s">
        <v>729</v>
      </c>
      <c r="P29" s="100" t="s">
        <v>729</v>
      </c>
    </row>
    <row r="30" spans="1:25" ht="14.45" customHeight="1" thickBot="1" x14ac:dyDescent="0.35">
      <c r="B30" s="99"/>
      <c r="P30" s="99"/>
    </row>
    <row r="31" spans="1:25" ht="14.45" customHeight="1" x14ac:dyDescent="0.3">
      <c r="B31" s="93"/>
      <c r="P31" s="94"/>
    </row>
    <row r="32" spans="1:25" ht="14.45" customHeight="1" thickBot="1" x14ac:dyDescent="0.35">
      <c r="B32" s="93"/>
      <c r="P32" s="94"/>
    </row>
    <row r="33" spans="2:16" ht="14.45" customHeight="1" x14ac:dyDescent="0.3">
      <c r="B33" s="93"/>
      <c r="D33" s="100">
        <v>2</v>
      </c>
      <c r="F33" s="100">
        <v>4</v>
      </c>
      <c r="H33" s="100">
        <v>6</v>
      </c>
      <c r="J33" s="100">
        <v>8</v>
      </c>
      <c r="L33" s="100">
        <v>10</v>
      </c>
      <c r="N33" s="100">
        <v>12</v>
      </c>
      <c r="P33" s="94"/>
    </row>
    <row r="34" spans="2:16" ht="14.45" customHeight="1" thickBot="1" x14ac:dyDescent="0.35">
      <c r="B34" s="95"/>
      <c r="C34" s="96"/>
      <c r="D34" s="99" t="s">
        <v>617</v>
      </c>
      <c r="E34" s="96"/>
      <c r="F34" s="99" t="s">
        <v>617</v>
      </c>
      <c r="G34" s="96"/>
      <c r="H34" s="99" t="s">
        <v>617</v>
      </c>
      <c r="I34" s="96"/>
      <c r="J34" s="99" t="s">
        <v>617</v>
      </c>
      <c r="K34" s="96"/>
      <c r="L34" s="99" t="s">
        <v>617</v>
      </c>
      <c r="M34" s="96"/>
      <c r="N34" s="99" t="s">
        <v>617</v>
      </c>
      <c r="O34" s="96"/>
      <c r="P34" s="97"/>
    </row>
    <row r="35" spans="2:16" ht="14.45" customHeight="1" x14ac:dyDescent="0.3"/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C4A675C1E113449D0248043CD1C0F7" ma:contentTypeVersion="2" ma:contentTypeDescription="새 문서를 만듭니다." ma:contentTypeScope="" ma:versionID="1742269a916bb20b46d073f1c731500c">
  <xsd:schema xmlns:xsd="http://www.w3.org/2001/XMLSchema" xmlns:xs="http://www.w3.org/2001/XMLSchema" xmlns:p="http://schemas.microsoft.com/office/2006/metadata/properties" xmlns:ns3="b68af7c0-9cef-4e12-8243-523fceba86ee" targetNamespace="http://schemas.microsoft.com/office/2006/metadata/properties" ma:root="true" ma:fieldsID="c1a8795fee0e79dd8f09bfca8e112da9" ns3:_="">
    <xsd:import namespace="b68af7c0-9cef-4e12-8243-523fceba86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af7c0-9cef-4e12-8243-523fceba8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F94C73-C461-4D34-AFED-E064EFDF6999}">
  <ds:schemaRefs>
    <ds:schemaRef ds:uri="http://schemas.microsoft.com/office/infopath/2007/PartnerControls"/>
    <ds:schemaRef ds:uri="http://purl.org/dc/terms/"/>
    <ds:schemaRef ds:uri="b68af7c0-9cef-4e12-8243-523fceba86e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0D0310F-4B43-41E3-BC53-A70F78790D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25C274-DC4B-4258-825D-6334692A5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af7c0-9cef-4e12-8243-523fceba8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serializer_protocol</vt:lpstr>
      <vt:lpstr>Sheet1</vt:lpstr>
      <vt:lpstr>controller_reg</vt:lpstr>
      <vt:lpstr>driver1_reg</vt:lpstr>
      <vt:lpstr>driver2_reg</vt:lpstr>
      <vt:lpstr>driver_pinout_pattern</vt:lpstr>
      <vt:lpstr>driver_thermalpad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oneyj</dc:creator>
  <cp:lastModifiedBy>이 준영</cp:lastModifiedBy>
  <cp:lastPrinted>2023-07-21T01:27:49Z</cp:lastPrinted>
  <dcterms:created xsi:type="dcterms:W3CDTF">2021-03-30T11:05:59Z</dcterms:created>
  <dcterms:modified xsi:type="dcterms:W3CDTF">2024-04-19T09:26:49Z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0x010100AFC4A675C1E113449D0248043CD1C0F7</vt:lpwstr>
  </property>
</Properties>
</file>