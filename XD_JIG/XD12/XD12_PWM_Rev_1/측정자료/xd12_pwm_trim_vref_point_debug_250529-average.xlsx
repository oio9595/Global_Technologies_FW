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329B4828-8CD3-4AEC-B29C-9F03F1363D16}" xr6:coauthVersionLast="47" xr6:coauthVersionMax="47" xr10:uidLastSave="{00000000-0000-0000-0000-000000000000}"/>
  <bookViews>
    <workbookView xWindow="71880" yWindow="10515" windowWidth="29040" windowHeight="15720" activeTab="1" xr2:uid="{DEE1707E-8513-44E2-A074-C4A1F536778D}"/>
  </bookViews>
  <sheets>
    <sheet name="Sheet1" sheetId="11" r:id="rId1"/>
    <sheet name="800, 3000" sheetId="9" r:id="rId2"/>
    <sheet name="400, 3000" sheetId="12" r:id="rId3"/>
    <sheet name="400, 1500" sheetId="13" r:id="rId4"/>
    <sheet name="400, 2000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1" l="1"/>
  <c r="B37" i="15"/>
  <c r="AP36" i="15"/>
  <c r="AO36" i="15"/>
  <c r="AF36" i="15"/>
  <c r="AB36" i="15"/>
  <c r="AA36" i="15"/>
  <c r="Z36" i="15"/>
  <c r="X36" i="15"/>
  <c r="W36" i="15"/>
  <c r="V36" i="15"/>
  <c r="U36" i="15"/>
  <c r="T36" i="15"/>
  <c r="S36" i="15"/>
  <c r="R36" i="15"/>
  <c r="Q36" i="15"/>
  <c r="K36" i="15"/>
  <c r="J36" i="15"/>
  <c r="B36" i="15"/>
  <c r="P35" i="15"/>
  <c r="O35" i="15"/>
  <c r="N35" i="15"/>
  <c r="B35" i="15"/>
  <c r="B34" i="15"/>
  <c r="M33" i="15"/>
  <c r="L33" i="15"/>
  <c r="K33" i="15"/>
  <c r="J33" i="15"/>
  <c r="I33" i="15"/>
  <c r="H33" i="15"/>
  <c r="G33" i="15"/>
  <c r="B33" i="15"/>
  <c r="P32" i="15"/>
  <c r="M32" i="15"/>
  <c r="L32" i="15"/>
  <c r="B32" i="15"/>
  <c r="AP31" i="15"/>
  <c r="AK31" i="15"/>
  <c r="AJ31" i="15"/>
  <c r="AI31" i="15"/>
  <c r="AH31" i="15"/>
  <c r="AF31" i="15"/>
  <c r="AE31" i="15"/>
  <c r="AD31" i="15"/>
  <c r="AC31" i="15"/>
  <c r="AB31" i="15"/>
  <c r="AA31" i="15"/>
  <c r="Z31" i="15"/>
  <c r="Y31" i="15"/>
  <c r="X31" i="15"/>
  <c r="W31" i="15"/>
  <c r="S31" i="15"/>
  <c r="O31" i="15"/>
  <c r="N31" i="15"/>
  <c r="M31" i="15"/>
  <c r="J31" i="15"/>
  <c r="I31" i="15"/>
  <c r="H31" i="15"/>
  <c r="G31" i="15"/>
  <c r="B31" i="15"/>
  <c r="AP30" i="15"/>
  <c r="Q30" i="15"/>
  <c r="P30" i="15"/>
  <c r="O30" i="15"/>
  <c r="H30" i="15"/>
  <c r="B30" i="15"/>
  <c r="AP29" i="15"/>
  <c r="AO29" i="15"/>
  <c r="AN29" i="15"/>
  <c r="B29" i="15"/>
  <c r="B28" i="15"/>
  <c r="AA27" i="15"/>
  <c r="Z27" i="15"/>
  <c r="Y27" i="15"/>
  <c r="U27" i="15"/>
  <c r="T27" i="15"/>
  <c r="B27" i="15"/>
  <c r="Y26" i="15"/>
  <c r="B26" i="15"/>
  <c r="AP25" i="15"/>
  <c r="AO25" i="15"/>
  <c r="AN25" i="15"/>
  <c r="AM25" i="15"/>
  <c r="AG25" i="15"/>
  <c r="AF25" i="15"/>
  <c r="AB25" i="15"/>
  <c r="AA25" i="15"/>
  <c r="Z25" i="15"/>
  <c r="Y25" i="15"/>
  <c r="X25" i="15"/>
  <c r="W25" i="15"/>
  <c r="S25" i="15"/>
  <c r="R25" i="15"/>
  <c r="Q25" i="15"/>
  <c r="K25" i="15"/>
  <c r="B25" i="15"/>
  <c r="AP24" i="15"/>
  <c r="AO24" i="15"/>
  <c r="AN24" i="15"/>
  <c r="AM24" i="15"/>
  <c r="AL24" i="15"/>
  <c r="AK24" i="15"/>
  <c r="B24" i="15"/>
  <c r="AM23" i="15"/>
  <c r="AL23" i="15"/>
  <c r="B23" i="15"/>
  <c r="AP22" i="15"/>
  <c r="AI22" i="15"/>
  <c r="AH22" i="15"/>
  <c r="H22" i="15"/>
  <c r="B22" i="15"/>
  <c r="F18" i="15"/>
  <c r="E18" i="15"/>
  <c r="D18" i="15"/>
  <c r="B18" i="15"/>
  <c r="AP37" i="15" s="1"/>
  <c r="F17" i="15"/>
  <c r="E17" i="15"/>
  <c r="D17" i="15"/>
  <c r="B17" i="15"/>
  <c r="AL36" i="15" s="1"/>
  <c r="F16" i="15"/>
  <c r="E16" i="15"/>
  <c r="D16" i="15"/>
  <c r="B16" i="15"/>
  <c r="AO35" i="15" s="1"/>
  <c r="F15" i="15"/>
  <c r="E15" i="15"/>
  <c r="D15" i="15"/>
  <c r="B15" i="15"/>
  <c r="AM34" i="15" s="1"/>
  <c r="F14" i="15"/>
  <c r="E14" i="15"/>
  <c r="D14" i="15"/>
  <c r="B14" i="15"/>
  <c r="AJ33" i="15" s="1"/>
  <c r="F13" i="15"/>
  <c r="E13" i="15"/>
  <c r="D13" i="15"/>
  <c r="B13" i="15"/>
  <c r="V32" i="15" s="1"/>
  <c r="F12" i="15"/>
  <c r="E12" i="15"/>
  <c r="D12" i="15"/>
  <c r="B12" i="15"/>
  <c r="AN31" i="15" s="1"/>
  <c r="F11" i="15"/>
  <c r="E11" i="15"/>
  <c r="D11" i="15"/>
  <c r="B11" i="15"/>
  <c r="AL30" i="15" s="1"/>
  <c r="F10" i="15"/>
  <c r="E10" i="15"/>
  <c r="D10" i="15"/>
  <c r="B10" i="15"/>
  <c r="AH29" i="15" s="1"/>
  <c r="F9" i="15"/>
  <c r="E9" i="15"/>
  <c r="D9" i="15"/>
  <c r="B9" i="15"/>
  <c r="AE28" i="15" s="1"/>
  <c r="F8" i="15"/>
  <c r="E8" i="15"/>
  <c r="D8" i="15"/>
  <c r="B8" i="15"/>
  <c r="X27" i="15" s="1"/>
  <c r="F7" i="15"/>
  <c r="E7" i="15"/>
  <c r="D7" i="15"/>
  <c r="B7" i="15"/>
  <c r="AP26" i="15" s="1"/>
  <c r="F6" i="15"/>
  <c r="E6" i="15"/>
  <c r="D6" i="15"/>
  <c r="B6" i="15"/>
  <c r="AL25" i="15" s="1"/>
  <c r="F5" i="15"/>
  <c r="E5" i="15"/>
  <c r="D5" i="15"/>
  <c r="B5" i="15"/>
  <c r="F4" i="15"/>
  <c r="E4" i="15"/>
  <c r="D4" i="15"/>
  <c r="B4" i="15"/>
  <c r="F3" i="15"/>
  <c r="E3" i="15"/>
  <c r="D3" i="15"/>
  <c r="B3" i="15"/>
  <c r="AJ22" i="15" s="1"/>
  <c r="AJ37" i="13"/>
  <c r="AH37" i="13"/>
  <c r="AG37" i="13"/>
  <c r="AF37" i="13"/>
  <c r="AE37" i="13"/>
  <c r="AD37" i="13"/>
  <c r="AC37" i="13"/>
  <c r="AB37" i="13"/>
  <c r="Y37" i="13"/>
  <c r="X37" i="13"/>
  <c r="N37" i="13"/>
  <c r="L37" i="13"/>
  <c r="K37" i="13"/>
  <c r="J37" i="13"/>
  <c r="I37" i="13"/>
  <c r="H37" i="13"/>
  <c r="G37" i="13"/>
  <c r="B37" i="13"/>
  <c r="AP36" i="13"/>
  <c r="AO36" i="13"/>
  <c r="AN36" i="13"/>
  <c r="AM36" i="13"/>
  <c r="AB36" i="13"/>
  <c r="AA36" i="13"/>
  <c r="Z36" i="13"/>
  <c r="W36" i="13"/>
  <c r="V36" i="13"/>
  <c r="R36" i="13"/>
  <c r="Q36" i="13"/>
  <c r="B36" i="13"/>
  <c r="AP35" i="13"/>
  <c r="AO35" i="13"/>
  <c r="AN35" i="13"/>
  <c r="AM35" i="13"/>
  <c r="AL35" i="13"/>
  <c r="AK35" i="13"/>
  <c r="AJ35" i="13"/>
  <c r="AI35" i="13"/>
  <c r="T35" i="13"/>
  <c r="S35" i="13"/>
  <c r="R35" i="13"/>
  <c r="Q35" i="13"/>
  <c r="B35" i="13"/>
  <c r="B34" i="13"/>
  <c r="B33" i="13"/>
  <c r="B32" i="13"/>
  <c r="AP31" i="13"/>
  <c r="AO31" i="13"/>
  <c r="AH31" i="13"/>
  <c r="AF31" i="13"/>
  <c r="W31" i="13"/>
  <c r="V31" i="13"/>
  <c r="U31" i="13"/>
  <c r="T31" i="13"/>
  <c r="S31" i="13"/>
  <c r="L31" i="13"/>
  <c r="J31" i="13"/>
  <c r="I31" i="13"/>
  <c r="H31" i="13"/>
  <c r="G31" i="13"/>
  <c r="B31" i="13"/>
  <c r="AP30" i="13"/>
  <c r="AO30" i="13"/>
  <c r="AN30" i="13"/>
  <c r="S30" i="13"/>
  <c r="R30" i="13"/>
  <c r="Q30" i="13"/>
  <c r="P30" i="13"/>
  <c r="O30" i="13"/>
  <c r="B30" i="13"/>
  <c r="AL29" i="13"/>
  <c r="AK29" i="13"/>
  <c r="AJ29" i="13"/>
  <c r="AI29" i="13"/>
  <c r="AH29" i="13"/>
  <c r="AG29" i="13"/>
  <c r="P29" i="13"/>
  <c r="O29" i="13"/>
  <c r="B29" i="13"/>
  <c r="B28" i="13"/>
  <c r="AD27" i="13"/>
  <c r="AC27" i="13"/>
  <c r="B27" i="13"/>
  <c r="AL26" i="13"/>
  <c r="AJ26" i="13"/>
  <c r="AH26" i="13"/>
  <c r="AG26" i="13"/>
  <c r="AF26" i="13"/>
  <c r="AC26" i="13"/>
  <c r="AB26" i="13"/>
  <c r="X26" i="13"/>
  <c r="W26" i="13"/>
  <c r="V26" i="13"/>
  <c r="U26" i="13"/>
  <c r="P26" i="13"/>
  <c r="N26" i="13"/>
  <c r="L26" i="13"/>
  <c r="K26" i="13"/>
  <c r="J26" i="13"/>
  <c r="I26" i="13"/>
  <c r="H26" i="13"/>
  <c r="G26" i="13"/>
  <c r="B26" i="13"/>
  <c r="AP25" i="13"/>
  <c r="AO25" i="13"/>
  <c r="AB25" i="13"/>
  <c r="AA25" i="13"/>
  <c r="W25" i="13"/>
  <c r="V25" i="13"/>
  <c r="U25" i="13"/>
  <c r="T25" i="13"/>
  <c r="S25" i="13"/>
  <c r="R25" i="13"/>
  <c r="Q25" i="13"/>
  <c r="B25" i="13"/>
  <c r="AP24" i="13"/>
  <c r="AO24" i="13"/>
  <c r="AN24" i="13"/>
  <c r="AM24" i="13"/>
  <c r="AL24" i="13"/>
  <c r="AK24" i="13"/>
  <c r="AJ24" i="13"/>
  <c r="B24" i="13"/>
  <c r="L23" i="13"/>
  <c r="K23" i="13"/>
  <c r="J23" i="13"/>
  <c r="I23" i="13"/>
  <c r="B23" i="13"/>
  <c r="B22" i="13"/>
  <c r="F18" i="13"/>
  <c r="E18" i="13"/>
  <c r="D18" i="13"/>
  <c r="B18" i="13"/>
  <c r="AP37" i="13" s="1"/>
  <c r="F17" i="13"/>
  <c r="E17" i="13"/>
  <c r="D17" i="13"/>
  <c r="B17" i="13"/>
  <c r="AL36" i="13" s="1"/>
  <c r="F16" i="13"/>
  <c r="E16" i="13"/>
  <c r="D16" i="13"/>
  <c r="B16" i="13"/>
  <c r="AH35" i="13" s="1"/>
  <c r="F15" i="13"/>
  <c r="E15" i="13"/>
  <c r="D15" i="13"/>
  <c r="B15" i="13"/>
  <c r="AD34" i="13" s="1"/>
  <c r="F14" i="13"/>
  <c r="E14" i="13"/>
  <c r="D14" i="13"/>
  <c r="B14" i="13"/>
  <c r="Z33" i="13" s="1"/>
  <c r="F13" i="13"/>
  <c r="E13" i="13"/>
  <c r="D13" i="13"/>
  <c r="B13" i="13"/>
  <c r="V32" i="13" s="1"/>
  <c r="F12" i="13"/>
  <c r="E12" i="13"/>
  <c r="D12" i="13"/>
  <c r="B12" i="13"/>
  <c r="AN31" i="13" s="1"/>
  <c r="F11" i="13"/>
  <c r="E11" i="13"/>
  <c r="D11" i="13"/>
  <c r="B11" i="13"/>
  <c r="AJ30" i="13" s="1"/>
  <c r="F10" i="13"/>
  <c r="E10" i="13"/>
  <c r="D10" i="13"/>
  <c r="B10" i="13"/>
  <c r="AF29" i="13" s="1"/>
  <c r="F9" i="13"/>
  <c r="E9" i="13"/>
  <c r="D9" i="13"/>
  <c r="B9" i="13"/>
  <c r="AB28" i="13" s="1"/>
  <c r="F8" i="13"/>
  <c r="E8" i="13"/>
  <c r="D8" i="13"/>
  <c r="B8" i="13"/>
  <c r="X27" i="13" s="1"/>
  <c r="F7" i="13"/>
  <c r="E7" i="13"/>
  <c r="D7" i="13"/>
  <c r="B7" i="13"/>
  <c r="AP26" i="13" s="1"/>
  <c r="F6" i="13"/>
  <c r="E6" i="13"/>
  <c r="D6" i="13"/>
  <c r="B6" i="13"/>
  <c r="AL25" i="13" s="1"/>
  <c r="F5" i="13"/>
  <c r="E5" i="13"/>
  <c r="D5" i="13"/>
  <c r="B5" i="13"/>
  <c r="AH24" i="13" s="1"/>
  <c r="F4" i="13"/>
  <c r="E4" i="13"/>
  <c r="D4" i="13"/>
  <c r="B4" i="13"/>
  <c r="AD23" i="13" s="1"/>
  <c r="F3" i="13"/>
  <c r="E3" i="13"/>
  <c r="D3" i="13"/>
  <c r="B3" i="13"/>
  <c r="Z22" i="13" s="1"/>
  <c r="AJ37" i="12"/>
  <c r="AI37" i="12"/>
  <c r="AH37" i="12"/>
  <c r="AG37" i="12"/>
  <c r="Y37" i="12"/>
  <c r="X37" i="12"/>
  <c r="W37" i="12"/>
  <c r="V37" i="12"/>
  <c r="U37" i="12"/>
  <c r="N37" i="12"/>
  <c r="M37" i="12"/>
  <c r="L37" i="12"/>
  <c r="K37" i="12"/>
  <c r="J37" i="12"/>
  <c r="I37" i="12"/>
  <c r="H37" i="12"/>
  <c r="G37" i="12"/>
  <c r="B37" i="12"/>
  <c r="AP36" i="12"/>
  <c r="S36" i="12"/>
  <c r="R36" i="12"/>
  <c r="Q36" i="12"/>
  <c r="B36" i="12"/>
  <c r="AP35" i="12"/>
  <c r="AO35" i="12"/>
  <c r="AN35" i="12"/>
  <c r="AM35" i="12"/>
  <c r="AL35" i="12"/>
  <c r="AK35" i="12"/>
  <c r="B35" i="12"/>
  <c r="B34" i="12"/>
  <c r="B33" i="12"/>
  <c r="AL32" i="12"/>
  <c r="AC32" i="12"/>
  <c r="AB32" i="12"/>
  <c r="AA32" i="12"/>
  <c r="Z32" i="12"/>
  <c r="Y32" i="12"/>
  <c r="X32" i="12"/>
  <c r="W32" i="12"/>
  <c r="P32" i="12"/>
  <c r="O32" i="12"/>
  <c r="N32" i="12"/>
  <c r="M32" i="12"/>
  <c r="L32" i="12"/>
  <c r="K32" i="12"/>
  <c r="J32" i="12"/>
  <c r="B32" i="12"/>
  <c r="AD31" i="12"/>
  <c r="AB31" i="12"/>
  <c r="AA31" i="12"/>
  <c r="Z31" i="12"/>
  <c r="Y31" i="12"/>
  <c r="X31" i="12"/>
  <c r="W31" i="12"/>
  <c r="V31" i="12"/>
  <c r="U31" i="12"/>
  <c r="T31" i="12"/>
  <c r="S31" i="12"/>
  <c r="J31" i="12"/>
  <c r="I31" i="12"/>
  <c r="B31" i="12"/>
  <c r="S30" i="12"/>
  <c r="R30" i="12"/>
  <c r="Q30" i="12"/>
  <c r="P30" i="12"/>
  <c r="O30" i="12"/>
  <c r="B30" i="12"/>
  <c r="AL29" i="12"/>
  <c r="AK29" i="12"/>
  <c r="B29" i="12"/>
  <c r="B28" i="12"/>
  <c r="AN27" i="12"/>
  <c r="AM27" i="12"/>
  <c r="AL27" i="12"/>
  <c r="AK27" i="12"/>
  <c r="AJ27" i="12"/>
  <c r="AI27" i="12"/>
  <c r="AC27" i="12"/>
  <c r="AA27" i="12"/>
  <c r="Z27" i="12"/>
  <c r="Y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B27" i="12"/>
  <c r="AC26" i="12"/>
  <c r="AB26" i="12"/>
  <c r="AA26" i="12"/>
  <c r="Z26" i="12"/>
  <c r="Y26" i="12"/>
  <c r="X26" i="12"/>
  <c r="W26" i="12"/>
  <c r="V26" i="12"/>
  <c r="U26" i="12"/>
  <c r="N26" i="12"/>
  <c r="M26" i="12"/>
  <c r="L26" i="12"/>
  <c r="K26" i="12"/>
  <c r="J26" i="12"/>
  <c r="B26" i="12"/>
  <c r="X25" i="12"/>
  <c r="W25" i="12"/>
  <c r="V25" i="12"/>
  <c r="U25" i="12"/>
  <c r="T25" i="12"/>
  <c r="S25" i="12"/>
  <c r="R25" i="12"/>
  <c r="Q25" i="12"/>
  <c r="B25" i="12"/>
  <c r="AP24" i="12"/>
  <c r="B24" i="12"/>
  <c r="L23" i="12"/>
  <c r="K23" i="12"/>
  <c r="B23" i="12"/>
  <c r="B22" i="12"/>
  <c r="F18" i="12"/>
  <c r="E18" i="12"/>
  <c r="D18" i="12"/>
  <c r="B18" i="12"/>
  <c r="AP37" i="12" s="1"/>
  <c r="F17" i="12"/>
  <c r="E17" i="12"/>
  <c r="D17" i="12"/>
  <c r="B17" i="12"/>
  <c r="AL36" i="12" s="1"/>
  <c r="F16" i="12"/>
  <c r="E16" i="12"/>
  <c r="D16" i="12"/>
  <c r="B16" i="12"/>
  <c r="AH35" i="12" s="1"/>
  <c r="F15" i="12"/>
  <c r="E15" i="12"/>
  <c r="D15" i="12"/>
  <c r="B15" i="12"/>
  <c r="AD34" i="12" s="1"/>
  <c r="F14" i="12"/>
  <c r="E14" i="12"/>
  <c r="D14" i="12"/>
  <c r="B14" i="12"/>
  <c r="Z33" i="12" s="1"/>
  <c r="F13" i="12"/>
  <c r="E13" i="12"/>
  <c r="D13" i="12"/>
  <c r="B13" i="12"/>
  <c r="V32" i="12" s="1"/>
  <c r="F12" i="12"/>
  <c r="E12" i="12"/>
  <c r="D12" i="12"/>
  <c r="B12" i="12"/>
  <c r="AN31" i="12" s="1"/>
  <c r="F11" i="12"/>
  <c r="E11" i="12"/>
  <c r="D11" i="12"/>
  <c r="B11" i="12"/>
  <c r="AJ30" i="12" s="1"/>
  <c r="F10" i="12"/>
  <c r="E10" i="12"/>
  <c r="D10" i="12"/>
  <c r="B10" i="12"/>
  <c r="AF29" i="12" s="1"/>
  <c r="F9" i="12"/>
  <c r="E9" i="12"/>
  <c r="D9" i="12"/>
  <c r="B9" i="12"/>
  <c r="AB28" i="12" s="1"/>
  <c r="F8" i="12"/>
  <c r="E8" i="12"/>
  <c r="D8" i="12"/>
  <c r="B8" i="12"/>
  <c r="X27" i="12" s="1"/>
  <c r="F7" i="12"/>
  <c r="E7" i="12"/>
  <c r="D7" i="12"/>
  <c r="B7" i="12"/>
  <c r="AP26" i="12" s="1"/>
  <c r="F6" i="12"/>
  <c r="E6" i="12"/>
  <c r="D6" i="12"/>
  <c r="B6" i="12"/>
  <c r="AL25" i="12" s="1"/>
  <c r="F5" i="12"/>
  <c r="E5" i="12"/>
  <c r="D5" i="12"/>
  <c r="B5" i="12"/>
  <c r="AH24" i="12" s="1"/>
  <c r="F4" i="12"/>
  <c r="E4" i="12"/>
  <c r="D4" i="12"/>
  <c r="B4" i="12"/>
  <c r="AD23" i="12" s="1"/>
  <c r="F3" i="12"/>
  <c r="E3" i="12"/>
  <c r="D3" i="12"/>
  <c r="B3" i="12"/>
  <c r="Z22" i="12" s="1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AI22" i="9"/>
  <c r="AC23" i="9"/>
  <c r="O34" i="9"/>
  <c r="P34" i="9"/>
  <c r="T34" i="9"/>
  <c r="V34" i="9"/>
  <c r="I35" i="9"/>
  <c r="J35" i="9"/>
  <c r="T35" i="9"/>
  <c r="U35" i="9"/>
  <c r="D4" i="9"/>
  <c r="E4" i="9"/>
  <c r="F4" i="9"/>
  <c r="D5" i="9"/>
  <c r="E5" i="9"/>
  <c r="F5" i="9"/>
  <c r="D6" i="9"/>
  <c r="E6" i="9"/>
  <c r="F6" i="9"/>
  <c r="D7" i="9"/>
  <c r="E7" i="9"/>
  <c r="F7" i="9"/>
  <c r="D8" i="9"/>
  <c r="E8" i="9"/>
  <c r="F8" i="9"/>
  <c r="D9" i="9"/>
  <c r="E9" i="9"/>
  <c r="F9" i="9"/>
  <c r="D10" i="9"/>
  <c r="E10" i="9"/>
  <c r="F10" i="9"/>
  <c r="D11" i="9"/>
  <c r="E11" i="9"/>
  <c r="F11" i="9"/>
  <c r="D12" i="9"/>
  <c r="E12" i="9"/>
  <c r="F12" i="9"/>
  <c r="D13" i="9"/>
  <c r="E13" i="9"/>
  <c r="F13" i="9"/>
  <c r="D14" i="9"/>
  <c r="E14" i="9"/>
  <c r="F14" i="9"/>
  <c r="D15" i="9"/>
  <c r="E15" i="9"/>
  <c r="F15" i="9"/>
  <c r="D16" i="9"/>
  <c r="E16" i="9"/>
  <c r="F16" i="9"/>
  <c r="D17" i="9"/>
  <c r="E17" i="9"/>
  <c r="F17" i="9"/>
  <c r="D18" i="9"/>
  <c r="E18" i="9"/>
  <c r="F18" i="9"/>
  <c r="F3" i="9"/>
  <c r="E3" i="9"/>
  <c r="D3" i="9"/>
  <c r="B12" i="9"/>
  <c r="AH31" i="9" s="1"/>
  <c r="B13" i="9"/>
  <c r="V32" i="9" s="1"/>
  <c r="B14" i="9"/>
  <c r="Z33" i="9" s="1"/>
  <c r="B15" i="9"/>
  <c r="W34" i="9" s="1"/>
  <c r="B16" i="9"/>
  <c r="AD35" i="9" s="1"/>
  <c r="B17" i="9"/>
  <c r="AG36" i="9" s="1"/>
  <c r="B18" i="9"/>
  <c r="Q37" i="9" s="1"/>
  <c r="B9" i="9"/>
  <c r="W28" i="9" s="1"/>
  <c r="B10" i="9"/>
  <c r="V29" i="9" s="1"/>
  <c r="D3" i="11"/>
  <c r="C3" i="11"/>
  <c r="E3" i="11" s="1"/>
  <c r="D2" i="11"/>
  <c r="C2" i="11"/>
  <c r="B11" i="9"/>
  <c r="J30" i="9" s="1"/>
  <c r="B8" i="9"/>
  <c r="AA27" i="9" s="1"/>
  <c r="B7" i="9"/>
  <c r="R26" i="9" s="1"/>
  <c r="B6" i="9"/>
  <c r="AP25" i="9" s="1"/>
  <c r="B5" i="9"/>
  <c r="N24" i="9" s="1"/>
  <c r="B4" i="9"/>
  <c r="AA23" i="9" s="1"/>
  <c r="B3" i="9"/>
  <c r="AM22" i="9" s="1"/>
  <c r="AD26" i="15" l="1"/>
  <c r="W32" i="15"/>
  <c r="N37" i="15"/>
  <c r="G27" i="15"/>
  <c r="X37" i="15"/>
  <c r="N22" i="15"/>
  <c r="I27" i="15"/>
  <c r="AI27" i="15"/>
  <c r="AD32" i="15"/>
  <c r="AC33" i="15"/>
  <c r="Y37" i="15"/>
  <c r="O22" i="15"/>
  <c r="G26" i="15"/>
  <c r="J27" i="15"/>
  <c r="AJ27" i="15"/>
  <c r="AE32" i="15"/>
  <c r="AD33" i="15"/>
  <c r="Z37" i="15"/>
  <c r="P22" i="15"/>
  <c r="J25" i="15"/>
  <c r="H26" i="15"/>
  <c r="K27" i="15"/>
  <c r="AK27" i="15"/>
  <c r="L31" i="15"/>
  <c r="AO31" i="15"/>
  <c r="AF32" i="15"/>
  <c r="AF33" i="15"/>
  <c r="Y36" i="15"/>
  <c r="AA37" i="15"/>
  <c r="AE26" i="15"/>
  <c r="AF26" i="15"/>
  <c r="N33" i="15"/>
  <c r="O33" i="15"/>
  <c r="AA32" i="15"/>
  <c r="W37" i="15"/>
  <c r="AH27" i="15"/>
  <c r="T22" i="15"/>
  <c r="I26" i="15"/>
  <c r="L27" i="15"/>
  <c r="AL27" i="15"/>
  <c r="AG32" i="15"/>
  <c r="AG33" i="15"/>
  <c r="AB37" i="15"/>
  <c r="AA22" i="15"/>
  <c r="J26" i="15"/>
  <c r="M27" i="15"/>
  <c r="AN27" i="15"/>
  <c r="AH32" i="15"/>
  <c r="AH33" i="15"/>
  <c r="AC37" i="15"/>
  <c r="AB27" i="15"/>
  <c r="AE27" i="15"/>
  <c r="Z26" i="15"/>
  <c r="AC27" i="15"/>
  <c r="X32" i="15"/>
  <c r="I22" i="15"/>
  <c r="U37" i="15"/>
  <c r="G32" i="15"/>
  <c r="Q32" i="15"/>
  <c r="AC26" i="15"/>
  <c r="V37" i="15"/>
  <c r="AB32" i="15"/>
  <c r="M22" i="15"/>
  <c r="AB22" i="15"/>
  <c r="N26" i="15"/>
  <c r="N27" i="15"/>
  <c r="AI32" i="15"/>
  <c r="AD37" i="15"/>
  <c r="AC22" i="15"/>
  <c r="U26" i="15"/>
  <c r="O27" i="15"/>
  <c r="AP27" i="15"/>
  <c r="H32" i="15"/>
  <c r="AD22" i="15"/>
  <c r="T25" i="15"/>
  <c r="V26" i="15"/>
  <c r="P27" i="15"/>
  <c r="T31" i="15"/>
  <c r="I32" i="15"/>
  <c r="AM32" i="15"/>
  <c r="AO34" i="15"/>
  <c r="AG36" i="15"/>
  <c r="AF37" i="15"/>
  <c r="G37" i="15"/>
  <c r="H37" i="15"/>
  <c r="J37" i="15"/>
  <c r="J22" i="15"/>
  <c r="AF27" i="15"/>
  <c r="L22" i="15"/>
  <c r="AA33" i="15"/>
  <c r="AB33" i="15"/>
  <c r="AO27" i="15"/>
  <c r="AL32" i="15"/>
  <c r="I34" i="15"/>
  <c r="AF22" i="15"/>
  <c r="U25" i="15"/>
  <c r="W26" i="15"/>
  <c r="R27" i="15"/>
  <c r="U31" i="15"/>
  <c r="J32" i="15"/>
  <c r="AN32" i="15"/>
  <c r="AM36" i="15"/>
  <c r="AJ37" i="15"/>
  <c r="AA26" i="15"/>
  <c r="AB26" i="15"/>
  <c r="R32" i="15"/>
  <c r="I37" i="15"/>
  <c r="AD27" i="15"/>
  <c r="Y32" i="15"/>
  <c r="AJ26" i="15"/>
  <c r="Z32" i="15"/>
  <c r="K22" i="15"/>
  <c r="T33" i="15"/>
  <c r="AG27" i="15"/>
  <c r="H27" i="15"/>
  <c r="AC32" i="15"/>
  <c r="AE37" i="15"/>
  <c r="AG22" i="15"/>
  <c r="V25" i="15"/>
  <c r="X26" i="15"/>
  <c r="S27" i="15"/>
  <c r="K29" i="15"/>
  <c r="V31" i="15"/>
  <c r="K32" i="15"/>
  <c r="M35" i="15"/>
  <c r="AN36" i="15"/>
  <c r="AF32" i="13"/>
  <c r="AG27" i="13"/>
  <c r="G32" i="13"/>
  <c r="H27" i="13"/>
  <c r="AK27" i="13"/>
  <c r="K32" i="13"/>
  <c r="M24" i="13"/>
  <c r="W32" i="13"/>
  <c r="AH27" i="13"/>
  <c r="J27" i="13"/>
  <c r="L32" i="13"/>
  <c r="M32" i="13"/>
  <c r="G28" i="13"/>
  <c r="O27" i="13"/>
  <c r="H28" i="13"/>
  <c r="X31" i="13"/>
  <c r="O24" i="13"/>
  <c r="X25" i="13"/>
  <c r="Y26" i="13"/>
  <c r="P27" i="13"/>
  <c r="AC28" i="13"/>
  <c r="U30" i="13"/>
  <c r="Y31" i="13"/>
  <c r="X32" i="13"/>
  <c r="AG34" i="13"/>
  <c r="S36" i="13"/>
  <c r="U37" i="13"/>
  <c r="AI32" i="13"/>
  <c r="H32" i="13"/>
  <c r="I27" i="13"/>
  <c r="I34" i="13"/>
  <c r="AN27" i="13"/>
  <c r="AH23" i="13"/>
  <c r="N32" i="13"/>
  <c r="T30" i="13"/>
  <c r="P24" i="13"/>
  <c r="Y25" i="13"/>
  <c r="Z26" i="13"/>
  <c r="R27" i="13"/>
  <c r="AD28" i="13"/>
  <c r="V30" i="13"/>
  <c r="Z31" i="13"/>
  <c r="Y32" i="13"/>
  <c r="AH34" i="13"/>
  <c r="T36" i="13"/>
  <c r="V37" i="13"/>
  <c r="I32" i="13"/>
  <c r="AL27" i="13"/>
  <c r="K27" i="13"/>
  <c r="J34" i="13"/>
  <c r="M27" i="13"/>
  <c r="N24" i="13"/>
  <c r="AF34" i="13"/>
  <c r="Q24" i="13"/>
  <c r="Z25" i="13"/>
  <c r="AA26" i="13"/>
  <c r="T27" i="13"/>
  <c r="W30" i="13"/>
  <c r="AA31" i="13"/>
  <c r="Z32" i="13"/>
  <c r="U36" i="13"/>
  <c r="W37" i="13"/>
  <c r="AE32" i="13"/>
  <c r="AE27" i="13"/>
  <c r="AF27" i="13"/>
  <c r="AL32" i="13"/>
  <c r="J32" i="13"/>
  <c r="K34" i="13"/>
  <c r="L34" i="13"/>
  <c r="N27" i="13"/>
  <c r="AE34" i="13"/>
  <c r="R24" i="13"/>
  <c r="K29" i="13"/>
  <c r="X30" i="13"/>
  <c r="AB31" i="13"/>
  <c r="S24" i="13"/>
  <c r="Z27" i="13"/>
  <c r="L29" i="13"/>
  <c r="AK30" i="13"/>
  <c r="AC31" i="13"/>
  <c r="AB32" i="13"/>
  <c r="N35" i="13"/>
  <c r="AJ32" i="13"/>
  <c r="AI27" i="13"/>
  <c r="AJ27" i="13"/>
  <c r="AE23" i="13"/>
  <c r="AF23" i="13"/>
  <c r="AP27" i="13"/>
  <c r="P32" i="13"/>
  <c r="Y27" i="13"/>
  <c r="M35" i="13"/>
  <c r="T24" i="13"/>
  <c r="AM25" i="13"/>
  <c r="AD26" i="13"/>
  <c r="AA27" i="13"/>
  <c r="M29" i="13"/>
  <c r="AL30" i="13"/>
  <c r="AD31" i="13"/>
  <c r="AC32" i="13"/>
  <c r="O35" i="13"/>
  <c r="X36" i="13"/>
  <c r="Z37" i="13"/>
  <c r="AG32" i="13"/>
  <c r="AH32" i="13"/>
  <c r="G27" i="13"/>
  <c r="AG23" i="13"/>
  <c r="L27" i="13"/>
  <c r="AA32" i="13"/>
  <c r="AI24" i="13"/>
  <c r="AN25" i="13"/>
  <c r="AE26" i="13"/>
  <c r="AB27" i="13"/>
  <c r="N29" i="13"/>
  <c r="AM30" i="13"/>
  <c r="AE31" i="13"/>
  <c r="AD32" i="13"/>
  <c r="P35" i="13"/>
  <c r="Y36" i="13"/>
  <c r="AA37" i="13"/>
  <c r="AH23" i="12"/>
  <c r="H28" i="12"/>
  <c r="O24" i="12"/>
  <c r="R24" i="12"/>
  <c r="AA25" i="12"/>
  <c r="K29" i="12"/>
  <c r="X30" i="12"/>
  <c r="AC31" i="12"/>
  <c r="M35" i="12"/>
  <c r="V36" i="12"/>
  <c r="L34" i="12"/>
  <c r="M24" i="12"/>
  <c r="P24" i="12"/>
  <c r="AH34" i="12"/>
  <c r="W36" i="12"/>
  <c r="T24" i="12"/>
  <c r="AM25" i="12"/>
  <c r="AD26" i="12"/>
  <c r="M29" i="12"/>
  <c r="AL30" i="12"/>
  <c r="AE31" i="12"/>
  <c r="AD32" i="12"/>
  <c r="O35" i="12"/>
  <c r="X36" i="12"/>
  <c r="AI24" i="12"/>
  <c r="AN25" i="12"/>
  <c r="AE26" i="12"/>
  <c r="AB27" i="12"/>
  <c r="N29" i="12"/>
  <c r="AM30" i="12"/>
  <c r="AF31" i="12"/>
  <c r="AE32" i="12"/>
  <c r="P35" i="12"/>
  <c r="Y36" i="12"/>
  <c r="Z37" i="12"/>
  <c r="AG23" i="12"/>
  <c r="AE34" i="12"/>
  <c r="AF34" i="12"/>
  <c r="AG34" i="12"/>
  <c r="AD28" i="12"/>
  <c r="S24" i="12"/>
  <c r="L29" i="12"/>
  <c r="N35" i="12"/>
  <c r="AF26" i="12"/>
  <c r="AO31" i="12"/>
  <c r="Z36" i="12"/>
  <c r="AK24" i="12"/>
  <c r="AP25" i="12"/>
  <c r="AG26" i="12"/>
  <c r="AD27" i="12"/>
  <c r="P29" i="12"/>
  <c r="AO30" i="12"/>
  <c r="AP31" i="12"/>
  <c r="AG32" i="12"/>
  <c r="R35" i="12"/>
  <c r="AA36" i="12"/>
  <c r="AB37" i="12"/>
  <c r="T30" i="12"/>
  <c r="T36" i="12"/>
  <c r="Q24" i="12"/>
  <c r="AB25" i="12"/>
  <c r="O29" i="12"/>
  <c r="AA37" i="12"/>
  <c r="AL24" i="12"/>
  <c r="AH26" i="12"/>
  <c r="AE27" i="12"/>
  <c r="AG29" i="12"/>
  <c r="AP30" i="12"/>
  <c r="AH32" i="12"/>
  <c r="S35" i="12"/>
  <c r="AB36" i="12"/>
  <c r="AC37" i="12"/>
  <c r="AF23" i="12"/>
  <c r="I34" i="12"/>
  <c r="J34" i="12"/>
  <c r="AC28" i="12"/>
  <c r="U36" i="12"/>
  <c r="AK30" i="12"/>
  <c r="AF32" i="12"/>
  <c r="AM24" i="12"/>
  <c r="G26" i="12"/>
  <c r="AI26" i="12"/>
  <c r="AF27" i="12"/>
  <c r="AH29" i="12"/>
  <c r="G32" i="12"/>
  <c r="AI32" i="12"/>
  <c r="T35" i="12"/>
  <c r="AM36" i="12"/>
  <c r="AD37" i="12"/>
  <c r="AE23" i="12"/>
  <c r="V30" i="12"/>
  <c r="W30" i="12"/>
  <c r="AO25" i="12"/>
  <c r="AN30" i="12"/>
  <c r="Q35" i="12"/>
  <c r="I23" i="12"/>
  <c r="AN24" i="12"/>
  <c r="H26" i="12"/>
  <c r="AJ26" i="12"/>
  <c r="AG27" i="12"/>
  <c r="AI29" i="12"/>
  <c r="G31" i="12"/>
  <c r="H32" i="12"/>
  <c r="AJ32" i="12"/>
  <c r="AI35" i="12"/>
  <c r="AN36" i="12"/>
  <c r="AE37" i="12"/>
  <c r="K34" i="12"/>
  <c r="G28" i="12"/>
  <c r="N24" i="12"/>
  <c r="U30" i="12"/>
  <c r="Y25" i="12"/>
  <c r="Z25" i="12"/>
  <c r="AJ24" i="12"/>
  <c r="J23" i="12"/>
  <c r="AO24" i="12"/>
  <c r="I26" i="12"/>
  <c r="AH27" i="12"/>
  <c r="AJ29" i="12"/>
  <c r="H31" i="12"/>
  <c r="I32" i="12"/>
  <c r="AK32" i="12"/>
  <c r="AJ35" i="12"/>
  <c r="AO36" i="12"/>
  <c r="AF37" i="12"/>
  <c r="S34" i="9"/>
  <c r="AG33" i="9"/>
  <c r="W33" i="9"/>
  <c r="N33" i="9"/>
  <c r="X33" i="9"/>
  <c r="AP37" i="9"/>
  <c r="M33" i="9"/>
  <c r="Y33" i="9"/>
  <c r="L33" i="9"/>
  <c r="P37" i="9"/>
  <c r="K33" i="9"/>
  <c r="I33" i="9"/>
  <c r="J33" i="9"/>
  <c r="AO36" i="9"/>
  <c r="AN36" i="9"/>
  <c r="AP32" i="9"/>
  <c r="AO37" i="9"/>
  <c r="AM36" i="9"/>
  <c r="O32" i="9"/>
  <c r="O37" i="9"/>
  <c r="AC36" i="9"/>
  <c r="I28" i="9"/>
  <c r="S35" i="9"/>
  <c r="H33" i="9"/>
  <c r="H35" i="9"/>
  <c r="N32" i="9"/>
  <c r="AN34" i="9"/>
  <c r="K28" i="9"/>
  <c r="AM34" i="9"/>
  <c r="J28" i="9"/>
  <c r="U34" i="9"/>
  <c r="H28" i="9"/>
  <c r="AL36" i="9"/>
  <c r="AJ29" i="9"/>
  <c r="AL26" i="9"/>
  <c r="S27" i="9"/>
  <c r="AA26" i="9"/>
  <c r="S36" i="9"/>
  <c r="AO32" i="9"/>
  <c r="P29" i="9"/>
  <c r="Z26" i="9"/>
  <c r="G26" i="9"/>
  <c r="S30" i="9"/>
  <c r="AM26" i="9"/>
  <c r="AH29" i="9"/>
  <c r="R34" i="9"/>
  <c r="R36" i="9"/>
  <c r="Q34" i="9"/>
  <c r="AN32" i="9"/>
  <c r="O29" i="9"/>
  <c r="Y26" i="9"/>
  <c r="AK32" i="9"/>
  <c r="N29" i="9"/>
  <c r="U26" i="9"/>
  <c r="Z30" i="9"/>
  <c r="Y30" i="9"/>
  <c r="AH26" i="9"/>
  <c r="AA32" i="9"/>
  <c r="Q26" i="9"/>
  <c r="AA35" i="9"/>
  <c r="N34" i="9"/>
  <c r="U32" i="9"/>
  <c r="L29" i="9"/>
  <c r="P26" i="9"/>
  <c r="AG26" i="9"/>
  <c r="N36" i="9"/>
  <c r="M29" i="9"/>
  <c r="Z35" i="9"/>
  <c r="M34" i="9"/>
  <c r="T32" i="9"/>
  <c r="K29" i="9"/>
  <c r="N26" i="9"/>
  <c r="R27" i="9"/>
  <c r="AA36" i="9"/>
  <c r="M26" i="9"/>
  <c r="W30" i="9"/>
  <c r="AG29" i="9"/>
  <c r="AB35" i="9"/>
  <c r="S32" i="9"/>
  <c r="X35" i="9"/>
  <c r="K34" i="9"/>
  <c r="R32" i="9"/>
  <c r="I29" i="9"/>
  <c r="L26" i="9"/>
  <c r="X30" i="9"/>
  <c r="Y35" i="9"/>
  <c r="L34" i="9"/>
  <c r="J29" i="9"/>
  <c r="G29" i="9"/>
  <c r="W35" i="9"/>
  <c r="J34" i="9"/>
  <c r="Q32" i="9"/>
  <c r="AG28" i="9"/>
  <c r="K26" i="9"/>
  <c r="Q27" i="9"/>
  <c r="AK29" i="9"/>
  <c r="AI29" i="9"/>
  <c r="AB36" i="9"/>
  <c r="G28" i="9"/>
  <c r="V35" i="9"/>
  <c r="AH33" i="9"/>
  <c r="P32" i="9"/>
  <c r="AF28" i="9"/>
  <c r="J26" i="9"/>
  <c r="P27" i="9"/>
  <c r="G30" i="9"/>
  <c r="V30" i="9"/>
  <c r="AP27" i="9"/>
  <c r="O27" i="9"/>
  <c r="U30" i="9"/>
  <c r="AO27" i="9"/>
  <c r="N27" i="9"/>
  <c r="AD36" i="9"/>
  <c r="T30" i="9"/>
  <c r="AN27" i="9"/>
  <c r="M27" i="9"/>
  <c r="O26" i="9"/>
  <c r="AL27" i="9"/>
  <c r="AK27" i="9"/>
  <c r="AM30" i="9"/>
  <c r="I26" i="9"/>
  <c r="H27" i="9"/>
  <c r="AN37" i="9"/>
  <c r="Q36" i="9"/>
  <c r="AL30" i="9"/>
  <c r="AK26" i="9"/>
  <c r="Y37" i="9"/>
  <c r="P36" i="9"/>
  <c r="AP34" i="9"/>
  <c r="AJ33" i="9"/>
  <c r="AM32" i="9"/>
  <c r="AK30" i="9"/>
  <c r="L30" i="9"/>
  <c r="AI28" i="9"/>
  <c r="AG27" i="9"/>
  <c r="AJ26" i="9"/>
  <c r="H26" i="9"/>
  <c r="K27" i="9"/>
  <c r="AJ27" i="9"/>
  <c r="O30" i="9"/>
  <c r="AI27" i="9"/>
  <c r="AL37" i="9"/>
  <c r="M30" i="9"/>
  <c r="AH27" i="9"/>
  <c r="X37" i="9"/>
  <c r="O36" i="9"/>
  <c r="AO34" i="9"/>
  <c r="AI33" i="9"/>
  <c r="AL32" i="9"/>
  <c r="AI30" i="9"/>
  <c r="K30" i="9"/>
  <c r="AH28" i="9"/>
  <c r="AD27" i="9"/>
  <c r="AI26" i="9"/>
  <c r="AB25" i="9"/>
  <c r="AO30" i="9"/>
  <c r="G27" i="9"/>
  <c r="AM27" i="9"/>
  <c r="Q30" i="9"/>
  <c r="P30" i="9"/>
  <c r="V37" i="9"/>
  <c r="U37" i="9"/>
  <c r="L36" i="9"/>
  <c r="AL34" i="9"/>
  <c r="AD33" i="9"/>
  <c r="Z32" i="9"/>
  <c r="AE30" i="9"/>
  <c r="AP29" i="9"/>
  <c r="AE28" i="9"/>
  <c r="X27" i="9"/>
  <c r="AF26" i="9"/>
  <c r="Y25" i="9"/>
  <c r="R30" i="9"/>
  <c r="AN30" i="9"/>
  <c r="Z27" i="9"/>
  <c r="AG30" i="9"/>
  <c r="T37" i="9"/>
  <c r="K36" i="9"/>
  <c r="AK34" i="9"/>
  <c r="AC33" i="9"/>
  <c r="Y32" i="9"/>
  <c r="AD30" i="9"/>
  <c r="AO29" i="9"/>
  <c r="AD28" i="9"/>
  <c r="W27" i="9"/>
  <c r="AE26" i="9"/>
  <c r="AG24" i="9"/>
  <c r="L27" i="9"/>
  <c r="W37" i="9"/>
  <c r="AH30" i="9"/>
  <c r="AA25" i="9"/>
  <c r="Z25" i="9"/>
  <c r="S37" i="9"/>
  <c r="J36" i="9"/>
  <c r="AG34" i="9"/>
  <c r="AB33" i="9"/>
  <c r="X32" i="9"/>
  <c r="AC30" i="9"/>
  <c r="AN29" i="9"/>
  <c r="AC28" i="9"/>
  <c r="V27" i="9"/>
  <c r="AD26" i="9"/>
  <c r="AF24" i="9"/>
  <c r="H30" i="9"/>
  <c r="R37" i="9"/>
  <c r="I36" i="9"/>
  <c r="AF34" i="9"/>
  <c r="AA33" i="9"/>
  <c r="W32" i="9"/>
  <c r="AB30" i="9"/>
  <c r="AM29" i="9"/>
  <c r="M28" i="9"/>
  <c r="U27" i="9"/>
  <c r="AC26" i="9"/>
  <c r="AE24" i="9"/>
  <c r="AP30" i="9"/>
  <c r="I30" i="9"/>
  <c r="M36" i="9"/>
  <c r="Y27" i="9"/>
  <c r="AO35" i="9"/>
  <c r="AA30" i="9"/>
  <c r="AL29" i="9"/>
  <c r="L28" i="9"/>
  <c r="T27" i="9"/>
  <c r="AB26" i="9"/>
  <c r="AD23" i="9"/>
  <c r="AD23" i="15"/>
  <c r="H23" i="15"/>
  <c r="AA23" i="15"/>
  <c r="Y23" i="15"/>
  <c r="AC23" i="15"/>
  <c r="G23" i="15"/>
  <c r="AB23" i="15"/>
  <c r="Z23" i="15"/>
  <c r="W23" i="15"/>
  <c r="V23" i="15"/>
  <c r="U23" i="15"/>
  <c r="I23" i="15"/>
  <c r="K34" i="15"/>
  <c r="AP23" i="15"/>
  <c r="L29" i="15"/>
  <c r="AH24" i="15"/>
  <c r="L24" i="15"/>
  <c r="AE24" i="15"/>
  <c r="H24" i="15"/>
  <c r="AC24" i="15"/>
  <c r="AG24" i="15"/>
  <c r="K24" i="15"/>
  <c r="AF24" i="15"/>
  <c r="J24" i="15"/>
  <c r="I24" i="15"/>
  <c r="AD24" i="15"/>
  <c r="G24" i="15"/>
  <c r="AA24" i="15"/>
  <c r="Z24" i="15"/>
  <c r="Y24" i="15"/>
  <c r="M23" i="15"/>
  <c r="N23" i="15"/>
  <c r="O23" i="15"/>
  <c r="R30" i="15"/>
  <c r="O24" i="15"/>
  <c r="P28" i="15"/>
  <c r="Q23" i="15"/>
  <c r="R29" i="15"/>
  <c r="R23" i="15"/>
  <c r="Q24" i="15"/>
  <c r="V28" i="15"/>
  <c r="S29" i="15"/>
  <c r="U30" i="15"/>
  <c r="S34" i="15"/>
  <c r="V35" i="15"/>
  <c r="S23" i="15"/>
  <c r="R24" i="15"/>
  <c r="AC28" i="15"/>
  <c r="T29" i="15"/>
  <c r="V30" i="15"/>
  <c r="AE34" i="15"/>
  <c r="W35" i="15"/>
  <c r="T23" i="15"/>
  <c r="S24" i="15"/>
  <c r="AD28" i="15"/>
  <c r="U29" i="15"/>
  <c r="W30" i="15"/>
  <c r="AF34" i="15"/>
  <c r="AI35" i="15"/>
  <c r="AE22" i="15"/>
  <c r="X23" i="15"/>
  <c r="T24" i="15"/>
  <c r="Z29" i="15"/>
  <c r="X30" i="15"/>
  <c r="AE33" i="15"/>
  <c r="AG34" i="15"/>
  <c r="AJ35" i="15"/>
  <c r="AB28" i="15"/>
  <c r="X28" i="15"/>
  <c r="W28" i="15"/>
  <c r="AA28" i="15"/>
  <c r="Z28" i="15"/>
  <c r="Y28" i="15"/>
  <c r="U28" i="15"/>
  <c r="AP28" i="15"/>
  <c r="T28" i="15"/>
  <c r="AO28" i="15"/>
  <c r="S28" i="15"/>
  <c r="AN28" i="15"/>
  <c r="R28" i="15"/>
  <c r="AM28" i="15"/>
  <c r="AN23" i="15"/>
  <c r="J34" i="15"/>
  <c r="AO23" i="15"/>
  <c r="L23" i="15"/>
  <c r="M29" i="15"/>
  <c r="N34" i="15"/>
  <c r="O29" i="15"/>
  <c r="O34" i="15"/>
  <c r="N24" i="15"/>
  <c r="S35" i="15"/>
  <c r="Q34" i="15"/>
  <c r="P24" i="15"/>
  <c r="Q28" i="15"/>
  <c r="U24" i="15"/>
  <c r="AG29" i="15"/>
  <c r="AH34" i="15"/>
  <c r="V24" i="15"/>
  <c r="AI34" i="15"/>
  <c r="AG23" i="15"/>
  <c r="AH28" i="15"/>
  <c r="AK30" i="15"/>
  <c r="X24" i="15"/>
  <c r="J23" i="15"/>
  <c r="J28" i="15"/>
  <c r="AF29" i="15"/>
  <c r="J29" i="15"/>
  <c r="G29" i="15"/>
  <c r="AB29" i="15"/>
  <c r="AA29" i="15"/>
  <c r="AE29" i="15"/>
  <c r="I29" i="15"/>
  <c r="AD29" i="15"/>
  <c r="H29" i="15"/>
  <c r="AC29" i="15"/>
  <c r="Y29" i="15"/>
  <c r="X29" i="15"/>
  <c r="W29" i="15"/>
  <c r="V29" i="15"/>
  <c r="K23" i="15"/>
  <c r="K28" i="15"/>
  <c r="L28" i="15"/>
  <c r="M34" i="15"/>
  <c r="M28" i="15"/>
  <c r="Q35" i="15"/>
  <c r="N28" i="15"/>
  <c r="R35" i="15"/>
  <c r="AJ30" i="15"/>
  <c r="N30" i="15"/>
  <c r="AG30" i="15"/>
  <c r="K30" i="15"/>
  <c r="AE30" i="15"/>
  <c r="AI30" i="15"/>
  <c r="M30" i="15"/>
  <c r="AH30" i="15"/>
  <c r="L30" i="15"/>
  <c r="AF30" i="15"/>
  <c r="J30" i="15"/>
  <c r="I30" i="15"/>
  <c r="AC30" i="15"/>
  <c r="G30" i="15"/>
  <c r="AB30" i="15"/>
  <c r="AA30" i="15"/>
  <c r="Z30" i="15"/>
  <c r="O28" i="15"/>
  <c r="P34" i="15"/>
  <c r="P23" i="15"/>
  <c r="Q29" i="15"/>
  <c r="T35" i="15"/>
  <c r="T30" i="15"/>
  <c r="U35" i="15"/>
  <c r="AE23" i="15"/>
  <c r="AF28" i="15"/>
  <c r="AF23" i="15"/>
  <c r="AI29" i="15"/>
  <c r="AH23" i="15"/>
  <c r="AI28" i="15"/>
  <c r="AJ29" i="15"/>
  <c r="AI33" i="15"/>
  <c r="AK34" i="15"/>
  <c r="AN35" i="15"/>
  <c r="AI23" i="15"/>
  <c r="AB24" i="15"/>
  <c r="AJ28" i="15"/>
  <c r="AK29" i="15"/>
  <c r="AM30" i="15"/>
  <c r="AL34" i="15"/>
  <c r="AJ34" i="15"/>
  <c r="Z22" i="15"/>
  <c r="W22" i="15"/>
  <c r="U22" i="15"/>
  <c r="Y22" i="15"/>
  <c r="X22" i="15"/>
  <c r="V22" i="15"/>
  <c r="AO22" i="15"/>
  <c r="S22" i="15"/>
  <c r="AN22" i="15"/>
  <c r="R22" i="15"/>
  <c r="AM22" i="15"/>
  <c r="Q22" i="15"/>
  <c r="Z33" i="15"/>
  <c r="Y33" i="15"/>
  <c r="X33" i="15"/>
  <c r="W33" i="15"/>
  <c r="V33" i="15"/>
  <c r="U33" i="15"/>
  <c r="AO33" i="15"/>
  <c r="S33" i="15"/>
  <c r="AN33" i="15"/>
  <c r="R33" i="15"/>
  <c r="AM33" i="15"/>
  <c r="Q33" i="15"/>
  <c r="AL33" i="15"/>
  <c r="P33" i="15"/>
  <c r="AK22" i="15"/>
  <c r="AK33" i="15"/>
  <c r="G28" i="15"/>
  <c r="H28" i="15"/>
  <c r="AD34" i="15"/>
  <c r="H34" i="15"/>
  <c r="AA34" i="15"/>
  <c r="X34" i="15"/>
  <c r="AC34" i="15"/>
  <c r="G34" i="15"/>
  <c r="AB34" i="15"/>
  <c r="Z34" i="15"/>
  <c r="Y34" i="15"/>
  <c r="W34" i="15"/>
  <c r="V34" i="15"/>
  <c r="U34" i="15"/>
  <c r="AP34" i="15"/>
  <c r="T34" i="15"/>
  <c r="I28" i="15"/>
  <c r="L34" i="15"/>
  <c r="AH35" i="15"/>
  <c r="L35" i="15"/>
  <c r="AE35" i="15"/>
  <c r="H35" i="15"/>
  <c r="G35" i="15"/>
  <c r="AG35" i="15"/>
  <c r="K35" i="15"/>
  <c r="AF35" i="15"/>
  <c r="J35" i="15"/>
  <c r="I35" i="15"/>
  <c r="AD35" i="15"/>
  <c r="AC35" i="15"/>
  <c r="AB35" i="15"/>
  <c r="AA35" i="15"/>
  <c r="Z35" i="15"/>
  <c r="Y35" i="15"/>
  <c r="X35" i="15"/>
  <c r="N29" i="15"/>
  <c r="M24" i="15"/>
  <c r="P29" i="15"/>
  <c r="S30" i="15"/>
  <c r="R34" i="15"/>
  <c r="Y30" i="15"/>
  <c r="AK35" i="15"/>
  <c r="AG28" i="15"/>
  <c r="AD30" i="15"/>
  <c r="AL35" i="15"/>
  <c r="W24" i="15"/>
  <c r="AM35" i="15"/>
  <c r="AJ23" i="15"/>
  <c r="AI24" i="15"/>
  <c r="AK28" i="15"/>
  <c r="AL29" i="15"/>
  <c r="AN30" i="15"/>
  <c r="AP35" i="15"/>
  <c r="G22" i="15"/>
  <c r="AL22" i="15"/>
  <c r="AK23" i="15"/>
  <c r="AJ24" i="15"/>
  <c r="AL28" i="15"/>
  <c r="AM29" i="15"/>
  <c r="AO30" i="15"/>
  <c r="AP33" i="15"/>
  <c r="AN34" i="15"/>
  <c r="G25" i="15"/>
  <c r="AC25" i="15"/>
  <c r="K26" i="15"/>
  <c r="AG26" i="15"/>
  <c r="G36" i="15"/>
  <c r="AC36" i="15"/>
  <c r="K37" i="15"/>
  <c r="AG37" i="15"/>
  <c r="H25" i="15"/>
  <c r="AD25" i="15"/>
  <c r="L26" i="15"/>
  <c r="AH26" i="15"/>
  <c r="N32" i="15"/>
  <c r="AJ32" i="15"/>
  <c r="H36" i="15"/>
  <c r="AD36" i="15"/>
  <c r="L37" i="15"/>
  <c r="AH37" i="15"/>
  <c r="I25" i="15"/>
  <c r="AE25" i="15"/>
  <c r="M26" i="15"/>
  <c r="AI26" i="15"/>
  <c r="Q27" i="15"/>
  <c r="AM27" i="15"/>
  <c r="K31" i="15"/>
  <c r="AG31" i="15"/>
  <c r="O32" i="15"/>
  <c r="AK32" i="15"/>
  <c r="I36" i="15"/>
  <c r="AE36" i="15"/>
  <c r="M37" i="15"/>
  <c r="AI37" i="15"/>
  <c r="AK26" i="15"/>
  <c r="O37" i="15"/>
  <c r="AH25" i="15"/>
  <c r="AL37" i="15"/>
  <c r="M25" i="15"/>
  <c r="Q26" i="15"/>
  <c r="AO32" i="15"/>
  <c r="Q37" i="15"/>
  <c r="N25" i="15"/>
  <c r="AJ25" i="15"/>
  <c r="R26" i="15"/>
  <c r="AN26" i="15"/>
  <c r="V27" i="15"/>
  <c r="P31" i="15"/>
  <c r="AL31" i="15"/>
  <c r="T32" i="15"/>
  <c r="AP32" i="15"/>
  <c r="N36" i="15"/>
  <c r="AJ36" i="15"/>
  <c r="R37" i="15"/>
  <c r="AN37" i="15"/>
  <c r="AH36" i="15"/>
  <c r="AI36" i="15"/>
  <c r="O25" i="15"/>
  <c r="AK25" i="15"/>
  <c r="S26" i="15"/>
  <c r="AO26" i="15"/>
  <c r="W27" i="15"/>
  <c r="Q31" i="15"/>
  <c r="AM31" i="15"/>
  <c r="U32" i="15"/>
  <c r="O36" i="15"/>
  <c r="AK36" i="15"/>
  <c r="S37" i="15"/>
  <c r="AO37" i="15"/>
  <c r="O26" i="15"/>
  <c r="AK37" i="15"/>
  <c r="L25" i="15"/>
  <c r="P26" i="15"/>
  <c r="AL26" i="15"/>
  <c r="L36" i="15"/>
  <c r="P37" i="15"/>
  <c r="AI25" i="15"/>
  <c r="AM26" i="15"/>
  <c r="S32" i="15"/>
  <c r="M36" i="15"/>
  <c r="AM37" i="15"/>
  <c r="P25" i="15"/>
  <c r="T26" i="15"/>
  <c r="R31" i="15"/>
  <c r="P36" i="15"/>
  <c r="T37" i="15"/>
  <c r="AB33" i="13"/>
  <c r="H33" i="13"/>
  <c r="AE22" i="13"/>
  <c r="N23" i="13"/>
  <c r="AK23" i="13"/>
  <c r="U24" i="13"/>
  <c r="O28" i="13"/>
  <c r="U35" i="13"/>
  <c r="AL28" i="13"/>
  <c r="V35" i="13"/>
  <c r="AK22" i="13"/>
  <c r="Y30" i="13"/>
  <c r="Q22" i="13"/>
  <c r="AC36" i="13"/>
  <c r="R22" i="13"/>
  <c r="AN22" i="13"/>
  <c r="V23" i="13"/>
  <c r="Z24" i="13"/>
  <c r="AP28" i="13"/>
  <c r="X29" i="13"/>
  <c r="AB30" i="13"/>
  <c r="R33" i="13"/>
  <c r="AN33" i="13"/>
  <c r="V34" i="13"/>
  <c r="Z35" i="13"/>
  <c r="H36" i="13"/>
  <c r="AD36" i="13"/>
  <c r="S22" i="13"/>
  <c r="AO22" i="13"/>
  <c r="W23" i="13"/>
  <c r="AA24" i="13"/>
  <c r="I25" i="13"/>
  <c r="AE25" i="13"/>
  <c r="M26" i="13"/>
  <c r="AI26" i="13"/>
  <c r="Q27" i="13"/>
  <c r="AM27" i="13"/>
  <c r="U28" i="13"/>
  <c r="Y29" i="13"/>
  <c r="G30" i="13"/>
  <c r="AC30" i="13"/>
  <c r="K31" i="13"/>
  <c r="AG31" i="13"/>
  <c r="O32" i="13"/>
  <c r="AK32" i="13"/>
  <c r="S33" i="13"/>
  <c r="AO33" i="13"/>
  <c r="W34" i="13"/>
  <c r="AA35" i="13"/>
  <c r="I36" i="13"/>
  <c r="AE36" i="13"/>
  <c r="M37" i="13"/>
  <c r="AI37" i="13"/>
  <c r="AB22" i="13"/>
  <c r="AC22" i="13"/>
  <c r="I22" i="13"/>
  <c r="AI23" i="13"/>
  <c r="AI34" i="13"/>
  <c r="AG22" i="13"/>
  <c r="AH22" i="13"/>
  <c r="N28" i="13"/>
  <c r="L33" i="13"/>
  <c r="AI22" i="13"/>
  <c r="S29" i="13"/>
  <c r="R23" i="13"/>
  <c r="AP29" i="13"/>
  <c r="W24" i="13"/>
  <c r="Q28" i="13"/>
  <c r="AP23" i="13"/>
  <c r="AP34" i="13"/>
  <c r="AC25" i="13"/>
  <c r="Q33" i="13"/>
  <c r="AD25" i="13"/>
  <c r="AB24" i="13"/>
  <c r="Z29" i="13"/>
  <c r="U22" i="13"/>
  <c r="Y23" i="13"/>
  <c r="G24" i="13"/>
  <c r="AC24" i="13"/>
  <c r="K25" i="13"/>
  <c r="AG25" i="13"/>
  <c r="O26" i="13"/>
  <c r="AK26" i="13"/>
  <c r="S27" i="13"/>
  <c r="AO27" i="13"/>
  <c r="W28" i="13"/>
  <c r="AA29" i="13"/>
  <c r="I30" i="13"/>
  <c r="AE30" i="13"/>
  <c r="M31" i="13"/>
  <c r="AI31" i="13"/>
  <c r="Q32" i="13"/>
  <c r="AM32" i="13"/>
  <c r="U33" i="13"/>
  <c r="Y34" i="13"/>
  <c r="G35" i="13"/>
  <c r="AC35" i="13"/>
  <c r="K36" i="13"/>
  <c r="AG36" i="13"/>
  <c r="O37" i="13"/>
  <c r="AK37" i="13"/>
  <c r="AC33" i="13"/>
  <c r="AD22" i="13"/>
  <c r="J22" i="13"/>
  <c r="AJ23" i="13"/>
  <c r="L28" i="13"/>
  <c r="AF33" i="13"/>
  <c r="AJ34" i="13"/>
  <c r="L22" i="13"/>
  <c r="AL23" i="13"/>
  <c r="R29" i="13"/>
  <c r="P34" i="13"/>
  <c r="AK28" i="13"/>
  <c r="AJ22" i="13"/>
  <c r="T29" i="13"/>
  <c r="N33" i="13"/>
  <c r="AM28" i="13"/>
  <c r="AK33" i="13"/>
  <c r="S34" i="13"/>
  <c r="U23" i="13"/>
  <c r="W29" i="13"/>
  <c r="U34" i="13"/>
  <c r="T28" i="13"/>
  <c r="T22" i="13"/>
  <c r="V28" i="13"/>
  <c r="V22" i="13"/>
  <c r="Z23" i="13"/>
  <c r="H24" i="13"/>
  <c r="AD24" i="13"/>
  <c r="L25" i="13"/>
  <c r="AH25" i="13"/>
  <c r="X28" i="13"/>
  <c r="AB29" i="13"/>
  <c r="J30" i="13"/>
  <c r="AF30" i="13"/>
  <c r="N31" i="13"/>
  <c r="AJ31" i="13"/>
  <c r="R32" i="13"/>
  <c r="AN32" i="13"/>
  <c r="V33" i="13"/>
  <c r="Z34" i="13"/>
  <c r="H35" i="13"/>
  <c r="AD35" i="13"/>
  <c r="L36" i="13"/>
  <c r="AH36" i="13"/>
  <c r="P37" i="13"/>
  <c r="AL37" i="13"/>
  <c r="AA33" i="13"/>
  <c r="I28" i="13"/>
  <c r="J28" i="13"/>
  <c r="M23" i="13"/>
  <c r="I33" i="13"/>
  <c r="M34" i="13"/>
  <c r="J33" i="13"/>
  <c r="M28" i="13"/>
  <c r="AG33" i="13"/>
  <c r="AK34" i="13"/>
  <c r="AH33" i="13"/>
  <c r="AM23" i="13"/>
  <c r="AO29" i="13"/>
  <c r="M33" i="13"/>
  <c r="V24" i="13"/>
  <c r="S23" i="13"/>
  <c r="U29" i="13"/>
  <c r="O33" i="13"/>
  <c r="T23" i="13"/>
  <c r="V29" i="13"/>
  <c r="P33" i="13"/>
  <c r="T34" i="13"/>
  <c r="AM22" i="13"/>
  <c r="AA30" i="13"/>
  <c r="AM33" i="13"/>
  <c r="H25" i="13"/>
  <c r="AF25" i="13"/>
  <c r="AP33" i="13"/>
  <c r="AF36" i="13"/>
  <c r="W22" i="13"/>
  <c r="AA23" i="13"/>
  <c r="I24" i="13"/>
  <c r="AE24" i="13"/>
  <c r="M25" i="13"/>
  <c r="AI25" i="13"/>
  <c r="Q26" i="13"/>
  <c r="AM26" i="13"/>
  <c r="U27" i="13"/>
  <c r="Y28" i="13"/>
  <c r="G29" i="13"/>
  <c r="AC29" i="13"/>
  <c r="K30" i="13"/>
  <c r="AG30" i="13"/>
  <c r="O31" i="13"/>
  <c r="AK31" i="13"/>
  <c r="S32" i="13"/>
  <c r="AO32" i="13"/>
  <c r="W33" i="13"/>
  <c r="AA34" i="13"/>
  <c r="I35" i="13"/>
  <c r="AE35" i="13"/>
  <c r="M36" i="13"/>
  <c r="AI36" i="13"/>
  <c r="Q37" i="13"/>
  <c r="AM37" i="13"/>
  <c r="AA22" i="13"/>
  <c r="AD33" i="13"/>
  <c r="K28" i="13"/>
  <c r="K22" i="13"/>
  <c r="AI28" i="13"/>
  <c r="K33" i="13"/>
  <c r="P23" i="13"/>
  <c r="AJ28" i="13"/>
  <c r="M22" i="13"/>
  <c r="Q34" i="13"/>
  <c r="AJ33" i="13"/>
  <c r="AN34" i="13"/>
  <c r="O22" i="13"/>
  <c r="AL22" i="13"/>
  <c r="R28" i="13"/>
  <c r="Z30" i="13"/>
  <c r="AL33" i="13"/>
  <c r="X35" i="13"/>
  <c r="G25" i="13"/>
  <c r="AO28" i="13"/>
  <c r="G36" i="13"/>
  <c r="AP22" i="13"/>
  <c r="J25" i="13"/>
  <c r="H30" i="13"/>
  <c r="X34" i="13"/>
  <c r="J36" i="13"/>
  <c r="X22" i="13"/>
  <c r="AB23" i="13"/>
  <c r="J24" i="13"/>
  <c r="AF24" i="13"/>
  <c r="N25" i="13"/>
  <c r="AJ25" i="13"/>
  <c r="R26" i="13"/>
  <c r="AN26" i="13"/>
  <c r="V27" i="13"/>
  <c r="Z28" i="13"/>
  <c r="H29" i="13"/>
  <c r="AD29" i="13"/>
  <c r="L30" i="13"/>
  <c r="AH30" i="13"/>
  <c r="P31" i="13"/>
  <c r="AL31" i="13"/>
  <c r="T32" i="13"/>
  <c r="AP32" i="13"/>
  <c r="X33" i="13"/>
  <c r="AB34" i="13"/>
  <c r="J35" i="13"/>
  <c r="AF35" i="13"/>
  <c r="N36" i="13"/>
  <c r="AJ36" i="13"/>
  <c r="R37" i="13"/>
  <c r="AN37" i="13"/>
  <c r="G22" i="13"/>
  <c r="G33" i="13"/>
  <c r="H22" i="13"/>
  <c r="AF28" i="13"/>
  <c r="AH28" i="13"/>
  <c r="Q29" i="13"/>
  <c r="AL34" i="13"/>
  <c r="AI33" i="13"/>
  <c r="N22" i="13"/>
  <c r="P28" i="13"/>
  <c r="AO23" i="13"/>
  <c r="AO34" i="13"/>
  <c r="X24" i="13"/>
  <c r="AN28" i="13"/>
  <c r="AD30" i="13"/>
  <c r="Y22" i="13"/>
  <c r="G23" i="13"/>
  <c r="AC23" i="13"/>
  <c r="K24" i="13"/>
  <c r="AG24" i="13"/>
  <c r="O25" i="13"/>
  <c r="AK25" i="13"/>
  <c r="S26" i="13"/>
  <c r="AO26" i="13"/>
  <c r="W27" i="13"/>
  <c r="AA28" i="13"/>
  <c r="I29" i="13"/>
  <c r="AE29" i="13"/>
  <c r="M30" i="13"/>
  <c r="AI30" i="13"/>
  <c r="Q31" i="13"/>
  <c r="AM31" i="13"/>
  <c r="U32" i="13"/>
  <c r="Y33" i="13"/>
  <c r="G34" i="13"/>
  <c r="AC34" i="13"/>
  <c r="K35" i="13"/>
  <c r="AG35" i="13"/>
  <c r="O36" i="13"/>
  <c r="AK36" i="13"/>
  <c r="S37" i="13"/>
  <c r="AO37" i="13"/>
  <c r="AE28" i="13"/>
  <c r="AG28" i="13"/>
  <c r="AE33" i="13"/>
  <c r="AF22" i="13"/>
  <c r="N34" i="13"/>
  <c r="O23" i="13"/>
  <c r="AM29" i="13"/>
  <c r="O34" i="13"/>
  <c r="AN29" i="13"/>
  <c r="Q23" i="13"/>
  <c r="AM34" i="13"/>
  <c r="AN23" i="13"/>
  <c r="R34" i="13"/>
  <c r="W35" i="13"/>
  <c r="P22" i="13"/>
  <c r="Y24" i="13"/>
  <c r="S28" i="13"/>
  <c r="Y35" i="13"/>
  <c r="X23" i="13"/>
  <c r="T33" i="13"/>
  <c r="AB35" i="13"/>
  <c r="H23" i="13"/>
  <c r="L24" i="13"/>
  <c r="P25" i="13"/>
  <c r="T26" i="13"/>
  <c r="J29" i="13"/>
  <c r="N30" i="13"/>
  <c r="R31" i="13"/>
  <c r="H34" i="13"/>
  <c r="L35" i="13"/>
  <c r="P36" i="13"/>
  <c r="T37" i="13"/>
  <c r="AA22" i="12"/>
  <c r="AC22" i="12"/>
  <c r="AE28" i="12"/>
  <c r="AF22" i="12"/>
  <c r="AK23" i="12"/>
  <c r="AI28" i="12"/>
  <c r="O34" i="12"/>
  <c r="P23" i="12"/>
  <c r="P28" i="12"/>
  <c r="AJ33" i="12"/>
  <c r="AO23" i="12"/>
  <c r="U29" i="12"/>
  <c r="AO34" i="12"/>
  <c r="T23" i="12"/>
  <c r="AN28" i="12"/>
  <c r="AL33" i="12"/>
  <c r="AM22" i="12"/>
  <c r="W29" i="12"/>
  <c r="AC36" i="12"/>
  <c r="S22" i="12"/>
  <c r="AE25" i="12"/>
  <c r="G30" i="12"/>
  <c r="T22" i="12"/>
  <c r="J25" i="12"/>
  <c r="L31" i="12"/>
  <c r="X34" i="12"/>
  <c r="U22" i="12"/>
  <c r="Y23" i="12"/>
  <c r="G24" i="12"/>
  <c r="AC24" i="12"/>
  <c r="K25" i="12"/>
  <c r="AG25" i="12"/>
  <c r="O26" i="12"/>
  <c r="AK26" i="12"/>
  <c r="S27" i="12"/>
  <c r="AO27" i="12"/>
  <c r="W28" i="12"/>
  <c r="AA29" i="12"/>
  <c r="I30" i="12"/>
  <c r="AE30" i="12"/>
  <c r="M31" i="12"/>
  <c r="AI31" i="12"/>
  <c r="Q32" i="12"/>
  <c r="AM32" i="12"/>
  <c r="U33" i="12"/>
  <c r="Y34" i="12"/>
  <c r="G35" i="12"/>
  <c r="AC35" i="12"/>
  <c r="K36" i="12"/>
  <c r="AG36" i="12"/>
  <c r="O37" i="12"/>
  <c r="AK37" i="12"/>
  <c r="AC33" i="12"/>
  <c r="H22" i="12"/>
  <c r="J28" i="12"/>
  <c r="AI23" i="12"/>
  <c r="AG28" i="12"/>
  <c r="M34" i="12"/>
  <c r="L28" i="12"/>
  <c r="K22" i="12"/>
  <c r="L22" i="12"/>
  <c r="N28" i="12"/>
  <c r="L33" i="12"/>
  <c r="AL34" i="12"/>
  <c r="O28" i="12"/>
  <c r="S29" i="12"/>
  <c r="Q34" i="12"/>
  <c r="R23" i="12"/>
  <c r="R34" i="12"/>
  <c r="S23" i="12"/>
  <c r="Y30" i="12"/>
  <c r="AK33" i="12"/>
  <c r="AP23" i="12"/>
  <c r="Q22" i="12"/>
  <c r="G25" i="12"/>
  <c r="AM33" i="12"/>
  <c r="V23" i="12"/>
  <c r="AD25" i="12"/>
  <c r="AP28" i="12"/>
  <c r="Z35" i="12"/>
  <c r="I25" i="12"/>
  <c r="I36" i="12"/>
  <c r="AP22" i="12"/>
  <c r="AD30" i="12"/>
  <c r="V22" i="12"/>
  <c r="Z23" i="12"/>
  <c r="H24" i="12"/>
  <c r="AD24" i="12"/>
  <c r="L25" i="12"/>
  <c r="AH25" i="12"/>
  <c r="P26" i="12"/>
  <c r="AL26" i="12"/>
  <c r="T27" i="12"/>
  <c r="AP27" i="12"/>
  <c r="X28" i="12"/>
  <c r="AB29" i="12"/>
  <c r="J30" i="12"/>
  <c r="AF30" i="12"/>
  <c r="N31" i="12"/>
  <c r="AJ31" i="12"/>
  <c r="R32" i="12"/>
  <c r="AN32" i="12"/>
  <c r="V33" i="12"/>
  <c r="Z34" i="12"/>
  <c r="H35" i="12"/>
  <c r="AD35" i="12"/>
  <c r="L36" i="12"/>
  <c r="AH36" i="12"/>
  <c r="P37" i="12"/>
  <c r="AL37" i="12"/>
  <c r="AB33" i="12"/>
  <c r="I28" i="12"/>
  <c r="G33" i="12"/>
  <c r="AF28" i="12"/>
  <c r="H33" i="12"/>
  <c r="AE33" i="12"/>
  <c r="N23" i="12"/>
  <c r="J33" i="12"/>
  <c r="N34" i="12"/>
  <c r="O23" i="12"/>
  <c r="Q29" i="12"/>
  <c r="AL23" i="12"/>
  <c r="R29" i="12"/>
  <c r="AI22" i="12"/>
  <c r="M33" i="12"/>
  <c r="U35" i="12"/>
  <c r="AN23" i="12"/>
  <c r="AL28" i="12"/>
  <c r="N33" i="12"/>
  <c r="V35" i="12"/>
  <c r="Q28" i="12"/>
  <c r="X24" i="12"/>
  <c r="U23" i="12"/>
  <c r="AC25" i="12"/>
  <c r="AO28" i="12"/>
  <c r="U34" i="12"/>
  <c r="Y35" i="12"/>
  <c r="Z24" i="12"/>
  <c r="AB30" i="12"/>
  <c r="R33" i="12"/>
  <c r="V34" i="12"/>
  <c r="AD36" i="12"/>
  <c r="AC30" i="12"/>
  <c r="W34" i="12"/>
  <c r="V28" i="12"/>
  <c r="Z29" i="12"/>
  <c r="AH31" i="12"/>
  <c r="AP33" i="12"/>
  <c r="AB35" i="12"/>
  <c r="W22" i="12"/>
  <c r="AA23" i="12"/>
  <c r="I24" i="12"/>
  <c r="AE24" i="12"/>
  <c r="M25" i="12"/>
  <c r="AI25" i="12"/>
  <c r="Q26" i="12"/>
  <c r="AM26" i="12"/>
  <c r="U27" i="12"/>
  <c r="Y28" i="12"/>
  <c r="G29" i="12"/>
  <c r="AC29" i="12"/>
  <c r="K30" i="12"/>
  <c r="AG30" i="12"/>
  <c r="O31" i="12"/>
  <c r="AK31" i="12"/>
  <c r="S32" i="12"/>
  <c r="AO32" i="12"/>
  <c r="W33" i="12"/>
  <c r="AA34" i="12"/>
  <c r="I35" i="12"/>
  <c r="AE35" i="12"/>
  <c r="M36" i="12"/>
  <c r="AI36" i="12"/>
  <c r="Q37" i="12"/>
  <c r="AM37" i="12"/>
  <c r="AB22" i="12"/>
  <c r="M23" i="12"/>
  <c r="AH28" i="12"/>
  <c r="AF33" i="12"/>
  <c r="AJ34" i="12"/>
  <c r="AK34" i="12"/>
  <c r="AN29" i="12"/>
  <c r="P34" i="12"/>
  <c r="Q23" i="12"/>
  <c r="AK28" i="12"/>
  <c r="AJ22" i="12"/>
  <c r="V24" i="12"/>
  <c r="AP29" i="12"/>
  <c r="O22" i="12"/>
  <c r="AL22" i="12"/>
  <c r="Z30" i="12"/>
  <c r="AP34" i="12"/>
  <c r="AA30" i="12"/>
  <c r="H25" i="12"/>
  <c r="X29" i="12"/>
  <c r="H36" i="12"/>
  <c r="AF25" i="12"/>
  <c r="J36" i="12"/>
  <c r="X22" i="12"/>
  <c r="AB23" i="12"/>
  <c r="J24" i="12"/>
  <c r="AF24" i="12"/>
  <c r="N25" i="12"/>
  <c r="AJ25" i="12"/>
  <c r="R26" i="12"/>
  <c r="AN26" i="12"/>
  <c r="V27" i="12"/>
  <c r="Z28" i="12"/>
  <c r="H29" i="12"/>
  <c r="AD29" i="12"/>
  <c r="L30" i="12"/>
  <c r="AH30" i="12"/>
  <c r="P31" i="12"/>
  <c r="AL31" i="12"/>
  <c r="T32" i="12"/>
  <c r="AP32" i="12"/>
  <c r="X33" i="12"/>
  <c r="AB34" i="12"/>
  <c r="J35" i="12"/>
  <c r="AF35" i="12"/>
  <c r="N36" i="12"/>
  <c r="AJ36" i="12"/>
  <c r="R37" i="12"/>
  <c r="AN37" i="12"/>
  <c r="AD22" i="12"/>
  <c r="I22" i="12"/>
  <c r="K28" i="12"/>
  <c r="J22" i="12"/>
  <c r="AJ23" i="12"/>
  <c r="AM29" i="12"/>
  <c r="K33" i="12"/>
  <c r="AH33" i="12"/>
  <c r="M22" i="12"/>
  <c r="U24" i="12"/>
  <c r="AO29" i="12"/>
  <c r="AM34" i="12"/>
  <c r="N22" i="12"/>
  <c r="T29" i="12"/>
  <c r="AN34" i="12"/>
  <c r="AK22" i="12"/>
  <c r="AM28" i="12"/>
  <c r="S34" i="12"/>
  <c r="P22" i="12"/>
  <c r="V29" i="12"/>
  <c r="P33" i="12"/>
  <c r="Y24" i="12"/>
  <c r="S28" i="12"/>
  <c r="R22" i="12"/>
  <c r="T28" i="12"/>
  <c r="W23" i="12"/>
  <c r="AA24" i="12"/>
  <c r="U28" i="12"/>
  <c r="Y29" i="12"/>
  <c r="AG31" i="12"/>
  <c r="S33" i="12"/>
  <c r="AA35" i="12"/>
  <c r="AB24" i="12"/>
  <c r="Y22" i="12"/>
  <c r="G23" i="12"/>
  <c r="AC23" i="12"/>
  <c r="K24" i="12"/>
  <c r="AG24" i="12"/>
  <c r="O25" i="12"/>
  <c r="AK25" i="12"/>
  <c r="S26" i="12"/>
  <c r="AO26" i="12"/>
  <c r="W27" i="12"/>
  <c r="AA28" i="12"/>
  <c r="I29" i="12"/>
  <c r="AE29" i="12"/>
  <c r="M30" i="12"/>
  <c r="AI30" i="12"/>
  <c r="Q31" i="12"/>
  <c r="AM31" i="12"/>
  <c r="U32" i="12"/>
  <c r="Y33" i="12"/>
  <c r="G34" i="12"/>
  <c r="AC34" i="12"/>
  <c r="K35" i="12"/>
  <c r="AG35" i="12"/>
  <c r="O36" i="12"/>
  <c r="AK36" i="12"/>
  <c r="S37" i="12"/>
  <c r="AO37" i="12"/>
  <c r="AA33" i="12"/>
  <c r="G22" i="12"/>
  <c r="AD33" i="12"/>
  <c r="AE22" i="12"/>
  <c r="I33" i="12"/>
  <c r="AI34" i="12"/>
  <c r="AG22" i="12"/>
  <c r="M28" i="12"/>
  <c r="AG33" i="12"/>
  <c r="AH22" i="12"/>
  <c r="AJ28" i="12"/>
  <c r="AM23" i="12"/>
  <c r="AI33" i="12"/>
  <c r="W24" i="12"/>
  <c r="O33" i="12"/>
  <c r="W35" i="12"/>
  <c r="R28" i="12"/>
  <c r="T34" i="12"/>
  <c r="X35" i="12"/>
  <c r="Q33" i="12"/>
  <c r="G36" i="12"/>
  <c r="AN22" i="12"/>
  <c r="AN33" i="12"/>
  <c r="AO22" i="12"/>
  <c r="K31" i="12"/>
  <c r="AO33" i="12"/>
  <c r="AE36" i="12"/>
  <c r="X23" i="12"/>
  <c r="H30" i="12"/>
  <c r="T33" i="12"/>
  <c r="AF36" i="12"/>
  <c r="H23" i="12"/>
  <c r="L24" i="12"/>
  <c r="P25" i="12"/>
  <c r="T26" i="12"/>
  <c r="J29" i="12"/>
  <c r="N30" i="12"/>
  <c r="R31" i="12"/>
  <c r="H34" i="12"/>
  <c r="L35" i="12"/>
  <c r="P36" i="12"/>
  <c r="T37" i="12"/>
  <c r="T24" i="9"/>
  <c r="T22" i="9"/>
  <c r="P24" i="9"/>
  <c r="L23" i="9"/>
  <c r="Q25" i="9"/>
  <c r="K23" i="9"/>
  <c r="P22" i="9"/>
  <c r="AE31" i="9"/>
  <c r="V24" i="9"/>
  <c r="X24" i="9"/>
  <c r="Y24" i="9"/>
  <c r="W24" i="9"/>
  <c r="Z24" i="9"/>
  <c r="AA24" i="9"/>
  <c r="AB24" i="9"/>
  <c r="AC24" i="9"/>
  <c r="AC31" i="9"/>
  <c r="AB31" i="9"/>
  <c r="Z23" i="9"/>
  <c r="AA31" i="9"/>
  <c r="S24" i="9"/>
  <c r="W23" i="9"/>
  <c r="V23" i="9"/>
  <c r="O31" i="9"/>
  <c r="L31" i="9"/>
  <c r="AF31" i="9"/>
  <c r="AB23" i="9"/>
  <c r="X25" i="9"/>
  <c r="V22" i="9"/>
  <c r="R31" i="9"/>
  <c r="Q24" i="9"/>
  <c r="AP24" i="9"/>
  <c r="L24" i="9"/>
  <c r="I23" i="9"/>
  <c r="N22" i="9"/>
  <c r="AD31" i="9"/>
  <c r="V25" i="9"/>
  <c r="Q31" i="9"/>
  <c r="U25" i="9"/>
  <c r="R22" i="9"/>
  <c r="G24" i="9"/>
  <c r="M31" i="9"/>
  <c r="O22" i="9"/>
  <c r="J31" i="9"/>
  <c r="AF29" i="9"/>
  <c r="M22" i="9"/>
  <c r="AK36" i="9"/>
  <c r="H36" i="9"/>
  <c r="AM31" i="9"/>
  <c r="I31" i="9"/>
  <c r="AE29" i="9"/>
  <c r="AB28" i="9"/>
  <c r="AN24" i="9"/>
  <c r="J24" i="9"/>
  <c r="AP22" i="9"/>
  <c r="L22" i="9"/>
  <c r="AC37" i="9"/>
  <c r="AD37" i="9"/>
  <c r="AF37" i="9"/>
  <c r="N37" i="9"/>
  <c r="H37" i="9"/>
  <c r="I37" i="9"/>
  <c r="AE37" i="9"/>
  <c r="J37" i="9"/>
  <c r="AJ37" i="9"/>
  <c r="K37" i="9"/>
  <c r="AG37" i="9"/>
  <c r="L37" i="9"/>
  <c r="AH37" i="9"/>
  <c r="M37" i="9"/>
  <c r="AI37" i="9"/>
  <c r="G37" i="9"/>
  <c r="AM37" i="9"/>
  <c r="AJ36" i="9"/>
  <c r="AP35" i="9"/>
  <c r="AL31" i="9"/>
  <c r="H31" i="9"/>
  <c r="AA28" i="9"/>
  <c r="AM24" i="9"/>
  <c r="I24" i="9"/>
  <c r="AO22" i="9"/>
  <c r="AH22" i="9"/>
  <c r="M23" i="9"/>
  <c r="AI23" i="9"/>
  <c r="O23" i="9"/>
  <c r="AK23" i="9"/>
  <c r="P23" i="9"/>
  <c r="N23" i="9"/>
  <c r="AJ23" i="9"/>
  <c r="AL23" i="9"/>
  <c r="Q23" i="9"/>
  <c r="AM23" i="9"/>
  <c r="R23" i="9"/>
  <c r="AN23" i="9"/>
  <c r="S23" i="9"/>
  <c r="AO23" i="9"/>
  <c r="T23" i="9"/>
  <c r="AP23" i="9"/>
  <c r="I25" i="9"/>
  <c r="AE25" i="9"/>
  <c r="AF25" i="9"/>
  <c r="AG25" i="9"/>
  <c r="AH25" i="9"/>
  <c r="J25" i="9"/>
  <c r="K25" i="9"/>
  <c r="L25" i="9"/>
  <c r="M25" i="9"/>
  <c r="AI25" i="9"/>
  <c r="N25" i="9"/>
  <c r="AJ25" i="9"/>
  <c r="O25" i="9"/>
  <c r="AK25" i="9"/>
  <c r="P25" i="9"/>
  <c r="AL25" i="9"/>
  <c r="W22" i="9"/>
  <c r="W25" i="9"/>
  <c r="U22" i="9"/>
  <c r="P31" i="9"/>
  <c r="N31" i="9"/>
  <c r="Q22" i="9"/>
  <c r="G23" i="9"/>
  <c r="M24" i="9"/>
  <c r="W29" i="9"/>
  <c r="X29" i="9"/>
  <c r="Y29" i="9"/>
  <c r="Z29" i="9"/>
  <c r="AA29" i="9"/>
  <c r="AB29" i="9"/>
  <c r="AC29" i="9"/>
  <c r="AD29" i="9"/>
  <c r="H29" i="9"/>
  <c r="AN31" i="9"/>
  <c r="AO24" i="9"/>
  <c r="K24" i="9"/>
  <c r="H23" i="9"/>
  <c r="Z22" i="9"/>
  <c r="AB22" i="9"/>
  <c r="AA22" i="9"/>
  <c r="AC22" i="9"/>
  <c r="H22" i="9"/>
  <c r="AD22" i="9"/>
  <c r="I22" i="9"/>
  <c r="AE22" i="9"/>
  <c r="J22" i="9"/>
  <c r="AF22" i="9"/>
  <c r="K22" i="9"/>
  <c r="AG22" i="9"/>
  <c r="X22" i="9"/>
  <c r="U24" i="9"/>
  <c r="Y23" i="9"/>
  <c r="X23" i="9"/>
  <c r="R24" i="9"/>
  <c r="S22" i="9"/>
  <c r="S25" i="9"/>
  <c r="R25" i="9"/>
  <c r="H25" i="9"/>
  <c r="X34" i="9"/>
  <c r="Y34" i="9"/>
  <c r="Z34" i="9"/>
  <c r="AA34" i="9"/>
  <c r="G34" i="9"/>
  <c r="AE34" i="9"/>
  <c r="AB34" i="9"/>
  <c r="AC34" i="9"/>
  <c r="H34" i="9"/>
  <c r="AD34" i="9"/>
  <c r="I34" i="9"/>
  <c r="AB37" i="9"/>
  <c r="AJ34" i="9"/>
  <c r="X28" i="9"/>
  <c r="AJ24" i="9"/>
  <c r="AL22" i="9"/>
  <c r="AA37" i="9"/>
  <c r="AI34" i="9"/>
  <c r="R29" i="9"/>
  <c r="AD25" i="9"/>
  <c r="AI24" i="9"/>
  <c r="AF23" i="9"/>
  <c r="AK22" i="9"/>
  <c r="S31" i="9"/>
  <c r="AO31" i="9"/>
  <c r="G31" i="9"/>
  <c r="T31" i="9"/>
  <c r="AP31" i="9"/>
  <c r="V31" i="9"/>
  <c r="U31" i="9"/>
  <c r="W31" i="9"/>
  <c r="X31" i="9"/>
  <c r="Z31" i="9"/>
  <c r="Y31" i="9"/>
  <c r="Y22" i="9"/>
  <c r="AD24" i="9"/>
  <c r="T25" i="9"/>
  <c r="U23" i="9"/>
  <c r="G25" i="9"/>
  <c r="O24" i="9"/>
  <c r="J23" i="9"/>
  <c r="K31" i="9"/>
  <c r="N28" i="9"/>
  <c r="AJ28" i="9"/>
  <c r="AK28" i="9"/>
  <c r="AL28" i="9"/>
  <c r="Q28" i="9"/>
  <c r="AM28" i="9"/>
  <c r="O28" i="9"/>
  <c r="P28" i="9"/>
  <c r="R28" i="9"/>
  <c r="AN28" i="9"/>
  <c r="S28" i="9"/>
  <c r="T28" i="9"/>
  <c r="AP28" i="9"/>
  <c r="U28" i="9"/>
  <c r="AO28" i="9"/>
  <c r="T36" i="9"/>
  <c r="AP36" i="9"/>
  <c r="U36" i="9"/>
  <c r="V36" i="9"/>
  <c r="W36" i="9"/>
  <c r="X36" i="9"/>
  <c r="Y36" i="9"/>
  <c r="G36" i="9"/>
  <c r="Z36" i="9"/>
  <c r="AI36" i="9"/>
  <c r="AK31" i="9"/>
  <c r="U29" i="9"/>
  <c r="Z28" i="9"/>
  <c r="AO25" i="9"/>
  <c r="AL24" i="9"/>
  <c r="H24" i="9"/>
  <c r="AN22" i="9"/>
  <c r="K35" i="9"/>
  <c r="AG35" i="9"/>
  <c r="L35" i="9"/>
  <c r="M35" i="9"/>
  <c r="N35" i="9"/>
  <c r="R35" i="9"/>
  <c r="AH35" i="9"/>
  <c r="AI35" i="9"/>
  <c r="AJ35" i="9"/>
  <c r="O35" i="9"/>
  <c r="AK35" i="9"/>
  <c r="G35" i="9"/>
  <c r="P35" i="9"/>
  <c r="AL35" i="9"/>
  <c r="Q35" i="9"/>
  <c r="AM35" i="9"/>
  <c r="AN35" i="9"/>
  <c r="AK37" i="9"/>
  <c r="AH36" i="9"/>
  <c r="AF35" i="9"/>
  <c r="AJ31" i="9"/>
  <c r="T29" i="9"/>
  <c r="Y28" i="9"/>
  <c r="AN25" i="9"/>
  <c r="AK24" i="9"/>
  <c r="AH23" i="9"/>
  <c r="AE35" i="9"/>
  <c r="AI31" i="9"/>
  <c r="S29" i="9"/>
  <c r="AM25" i="9"/>
  <c r="AG23" i="9"/>
  <c r="O33" i="9"/>
  <c r="AK33" i="9"/>
  <c r="AL33" i="9"/>
  <c r="AM33" i="9"/>
  <c r="G33" i="9"/>
  <c r="AN33" i="9"/>
  <c r="P33" i="9"/>
  <c r="Q33" i="9"/>
  <c r="R33" i="9"/>
  <c r="S33" i="9"/>
  <c r="AO33" i="9"/>
  <c r="T33" i="9"/>
  <c r="AP33" i="9"/>
  <c r="U33" i="9"/>
  <c r="V33" i="9"/>
  <c r="AF36" i="9"/>
  <c r="AF33" i="9"/>
  <c r="AB32" i="9"/>
  <c r="AC32" i="9"/>
  <c r="H32" i="9"/>
  <c r="AE32" i="9"/>
  <c r="G32" i="9"/>
  <c r="AD32" i="9"/>
  <c r="I32" i="9"/>
  <c r="J32" i="9"/>
  <c r="AF32" i="9"/>
  <c r="K32" i="9"/>
  <c r="AG32" i="9"/>
  <c r="L32" i="9"/>
  <c r="AH32" i="9"/>
  <c r="AI32" i="9"/>
  <c r="M32" i="9"/>
  <c r="Z37" i="9"/>
  <c r="AE36" i="9"/>
  <c r="AC35" i="9"/>
  <c r="AH34" i="9"/>
  <c r="AE33" i="9"/>
  <c r="AJ32" i="9"/>
  <c r="AG31" i="9"/>
  <c r="Q29" i="9"/>
  <c r="V28" i="9"/>
  <c r="AC25" i="9"/>
  <c r="AH24" i="9"/>
  <c r="AE23" i="9"/>
  <c r="AJ22" i="9"/>
  <c r="X26" i="9"/>
  <c r="AF27" i="9"/>
  <c r="J27" i="9"/>
  <c r="W26" i="9"/>
  <c r="AJ30" i="9"/>
  <c r="N30" i="9"/>
  <c r="AE27" i="9"/>
  <c r="I27" i="9"/>
  <c r="V26" i="9"/>
  <c r="AP26" i="9"/>
  <c r="AO26" i="9"/>
  <c r="S26" i="9"/>
  <c r="AC27" i="9"/>
  <c r="T26" i="9"/>
  <c r="AB27" i="9"/>
  <c r="AF30" i="9"/>
  <c r="AN26" i="9"/>
  <c r="G22" i="9"/>
  <c r="F27" i="9" l="1"/>
  <c r="D28" i="9"/>
  <c r="E26" i="9"/>
  <c r="D26" i="9"/>
  <c r="E30" i="9"/>
  <c r="D29" i="9"/>
  <c r="F29" i="9"/>
  <c r="E33" i="15"/>
  <c r="E32" i="15"/>
  <c r="F32" i="15"/>
  <c r="D32" i="15"/>
  <c r="D23" i="15"/>
  <c r="F23" i="15"/>
  <c r="E23" i="15"/>
  <c r="F37" i="15"/>
  <c r="D37" i="15"/>
  <c r="E37" i="15"/>
  <c r="F36" i="15"/>
  <c r="D36" i="15"/>
  <c r="E36" i="15"/>
  <c r="F35" i="15"/>
  <c r="E35" i="15"/>
  <c r="D35" i="15"/>
  <c r="D33" i="15"/>
  <c r="F33" i="15"/>
  <c r="F31" i="15"/>
  <c r="D31" i="15"/>
  <c r="E31" i="15"/>
  <c r="D26" i="15"/>
  <c r="E26" i="15"/>
  <c r="F26" i="15"/>
  <c r="F28" i="15"/>
  <c r="E28" i="15"/>
  <c r="D28" i="15"/>
  <c r="F30" i="15"/>
  <c r="E30" i="15"/>
  <c r="D30" i="15"/>
  <c r="F29" i="15"/>
  <c r="E29" i="15"/>
  <c r="D29" i="15"/>
  <c r="D22" i="15"/>
  <c r="F22" i="15"/>
  <c r="E22" i="15"/>
  <c r="E34" i="15"/>
  <c r="D34" i="15"/>
  <c r="F34" i="15"/>
  <c r="E24" i="15"/>
  <c r="D24" i="15"/>
  <c r="F24" i="15"/>
  <c r="E27" i="15"/>
  <c r="D27" i="15"/>
  <c r="F27" i="15"/>
  <c r="E25" i="15"/>
  <c r="D25" i="15"/>
  <c r="F25" i="15"/>
  <c r="F28" i="13"/>
  <c r="D28" i="13"/>
  <c r="E28" i="13"/>
  <c r="F24" i="13"/>
  <c r="E24" i="13"/>
  <c r="D24" i="13"/>
  <c r="D29" i="13"/>
  <c r="F29" i="13"/>
  <c r="E29" i="13"/>
  <c r="F27" i="13"/>
  <c r="D27" i="13"/>
  <c r="E27" i="13"/>
  <c r="E26" i="13"/>
  <c r="D26" i="13"/>
  <c r="F26" i="13"/>
  <c r="F23" i="13"/>
  <c r="E23" i="13"/>
  <c r="D23" i="13"/>
  <c r="F35" i="13"/>
  <c r="E35" i="13"/>
  <c r="D35" i="13"/>
  <c r="E37" i="13"/>
  <c r="D37" i="13"/>
  <c r="F37" i="13"/>
  <c r="E31" i="13"/>
  <c r="D31" i="13"/>
  <c r="F31" i="13"/>
  <c r="E30" i="13"/>
  <c r="F30" i="13"/>
  <c r="D30" i="13"/>
  <c r="D22" i="13"/>
  <c r="F22" i="13"/>
  <c r="E22" i="13"/>
  <c r="E36" i="13"/>
  <c r="D36" i="13"/>
  <c r="F36" i="13"/>
  <c r="F34" i="13"/>
  <c r="E34" i="13"/>
  <c r="D34" i="13"/>
  <c r="E25" i="13"/>
  <c r="F25" i="13"/>
  <c r="D25" i="13"/>
  <c r="D33" i="13"/>
  <c r="F33" i="13"/>
  <c r="E33" i="13"/>
  <c r="F32" i="13"/>
  <c r="D32" i="13"/>
  <c r="E32" i="13"/>
  <c r="E28" i="12"/>
  <c r="F28" i="12"/>
  <c r="D26" i="12"/>
  <c r="F26" i="12"/>
  <c r="E26" i="12"/>
  <c r="F29" i="12"/>
  <c r="E29" i="12"/>
  <c r="D29" i="12"/>
  <c r="D28" i="12"/>
  <c r="D37" i="12"/>
  <c r="E37" i="12"/>
  <c r="F37" i="12"/>
  <c r="F36" i="12"/>
  <c r="E36" i="12"/>
  <c r="D36" i="12"/>
  <c r="F23" i="12"/>
  <c r="E23" i="12"/>
  <c r="D23" i="12"/>
  <c r="F27" i="12"/>
  <c r="E27" i="12"/>
  <c r="D27" i="12"/>
  <c r="F32" i="12"/>
  <c r="E32" i="12"/>
  <c r="D32" i="12"/>
  <c r="F31" i="12"/>
  <c r="D31" i="12"/>
  <c r="E31" i="12"/>
  <c r="D33" i="12"/>
  <c r="E33" i="12"/>
  <c r="F33" i="12"/>
  <c r="F35" i="12"/>
  <c r="D35" i="12"/>
  <c r="E35" i="12"/>
  <c r="D22" i="12"/>
  <c r="E22" i="12"/>
  <c r="F22" i="12"/>
  <c r="F24" i="12"/>
  <c r="E24" i="12"/>
  <c r="D24" i="12"/>
  <c r="F34" i="12"/>
  <c r="E34" i="12"/>
  <c r="D34" i="12"/>
  <c r="F25" i="12"/>
  <c r="E25" i="12"/>
  <c r="D25" i="12"/>
  <c r="E30" i="12"/>
  <c r="D30" i="12"/>
  <c r="F30" i="12"/>
  <c r="F34" i="9"/>
  <c r="E34" i="9"/>
  <c r="D34" i="9"/>
  <c r="F26" i="9"/>
  <c r="E31" i="9"/>
  <c r="D31" i="9"/>
  <c r="F31" i="9"/>
  <c r="F36" i="9"/>
  <c r="D36" i="9"/>
  <c r="E36" i="9"/>
  <c r="F28" i="9"/>
  <c r="D30" i="9"/>
  <c r="F30" i="9"/>
  <c r="F37" i="9"/>
  <c r="D37" i="9"/>
  <c r="E37" i="9"/>
  <c r="F35" i="9"/>
  <c r="E35" i="9"/>
  <c r="D35" i="9"/>
  <c r="D25" i="9"/>
  <c r="E25" i="9"/>
  <c r="F25" i="9"/>
  <c r="D27" i="9"/>
  <c r="D32" i="9"/>
  <c r="E32" i="9"/>
  <c r="F32" i="9"/>
  <c r="F33" i="9"/>
  <c r="D33" i="9"/>
  <c r="E33" i="9"/>
  <c r="E29" i="9"/>
  <c r="D24" i="9"/>
  <c r="E24" i="9"/>
  <c r="F24" i="9"/>
  <c r="E27" i="9"/>
  <c r="E28" i="9"/>
  <c r="E22" i="9"/>
  <c r="D22" i="9"/>
  <c r="F22" i="9"/>
  <c r="D23" i="9"/>
  <c r="F23" i="9"/>
  <c r="E23" i="9"/>
</calcChain>
</file>

<file path=xl/sharedStrings.xml><?xml version="1.0" encoding="utf-8"?>
<sst xmlns="http://schemas.openxmlformats.org/spreadsheetml/2006/main" count="328" uniqueCount="17">
  <si>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</si>
  <si>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</si>
  <si>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</si>
  <si>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</si>
  <si>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</si>
  <si>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</si>
  <si>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</si>
  <si>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</si>
  <si>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</si>
  <si>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</si>
  <si>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</si>
  <si>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</si>
  <si>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</si>
  <si>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min</t>
    <phoneticPr fontId="1" type="noConversion"/>
  </si>
  <si>
    <t>max</t>
    <phoneticPr fontId="1" type="noConversion"/>
  </si>
  <si>
    <t>avg</t>
    <phoneticPr fontId="1" type="noConversion"/>
  </si>
  <si>
    <t>ideal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</si>
</sst>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176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F9F3-A916-43E3-918D-29494DE27E0F}">
  <dimension ref="B1:E3"/>
  <sheetViews>
    <sheetView workbookViewId="0">
      <selection activeCell="C2" sqref="C2"/>
    </sheetView>
  </sheetViews>
  <sheetFormatPr defaultRowHeight="17" x14ac:dyDescent="0.45"/>
  <sheetData>
    <row r="1" spans="2:5" x14ac:dyDescent="0.45">
      <c r="C1">
        <v>400</v>
      </c>
      <c r="D1">
        <v>3000</v>
      </c>
    </row>
    <row r="2" spans="2:5" x14ac:dyDescent="0.45">
      <c r="B2">
        <v>8</v>
      </c>
      <c r="C2" s="5">
        <f>$B2*C$1/4095</f>
        <v>0.78144078144078144</v>
      </c>
      <c r="D2" s="5">
        <f>$B2*D$1/4095</f>
        <v>5.8608058608058604</v>
      </c>
      <c r="E2" s="5">
        <f>AVERAGE(C2:D2)</f>
        <v>3.3211233211233209</v>
      </c>
    </row>
    <row r="3" spans="2:5" x14ac:dyDescent="0.45">
      <c r="B3">
        <v>32</v>
      </c>
      <c r="C3" s="5">
        <f>$B3*C$1/4095</f>
        <v>3.1257631257631258</v>
      </c>
      <c r="D3" s="5">
        <f>$B3*D$1/4095</f>
        <v>23.443223443223442</v>
      </c>
      <c r="E3" s="5">
        <f t="shared" ref="E3" si="0">AVERAGE(C3:D3)</f>
        <v>13.284493284493283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34CA-26C2-44F2-A7F0-EB66496617B6}">
  <dimension ref="B2:AP40"/>
  <sheetViews>
    <sheetView tabSelected="1" zoomScale="70" zoomScaleNormal="70" workbookViewId="0"/>
  </sheetViews>
  <sheetFormatPr defaultRowHeight="17" x14ac:dyDescent="0.45"/>
  <cols>
    <col min="2" max="2" width="8.6640625" customWidth="1"/>
  </cols>
  <sheetData>
    <row r="2" spans="2:42" x14ac:dyDescent="0.45">
      <c r="B2" t="s">
        <v>16</v>
      </c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 s="6">
        <f t="shared" ref="B3:B10" si="0">8*C3/4095</f>
        <v>1.5628815628815629</v>
      </c>
      <c r="C3" s="3">
        <v>800</v>
      </c>
      <c r="D3" s="5">
        <f t="shared" ref="D3:D18" si="1">MIN(G3:AP3)</f>
        <v>1.548</v>
      </c>
      <c r="E3" s="5">
        <f t="shared" ref="E3:E18" si="2">MAX(G3:AP3)</f>
        <v>1.633</v>
      </c>
      <c r="F3" s="5">
        <f t="shared" ref="F3:F18" si="3">AVERAGE(G3:AP3)</f>
        <v>1.5803888888888891</v>
      </c>
      <c r="G3">
        <v>1.5880000000000001</v>
      </c>
      <c r="H3">
        <v>1.6040000000000001</v>
      </c>
      <c r="I3">
        <v>1.6060000000000001</v>
      </c>
      <c r="J3">
        <v>1.6080000000000001</v>
      </c>
      <c r="K3">
        <v>1.579</v>
      </c>
      <c r="L3">
        <v>1.5549999999999999</v>
      </c>
      <c r="M3">
        <v>1.611</v>
      </c>
      <c r="N3">
        <v>1.5840000000000001</v>
      </c>
      <c r="O3">
        <v>1.58</v>
      </c>
      <c r="P3">
        <v>1.5569999999999999</v>
      </c>
      <c r="Q3">
        <v>1.609</v>
      </c>
      <c r="R3">
        <v>1.6080000000000001</v>
      </c>
      <c r="S3">
        <v>1.5820000000000001</v>
      </c>
      <c r="T3">
        <v>1.5680000000000001</v>
      </c>
      <c r="U3">
        <v>1.548</v>
      </c>
      <c r="V3">
        <v>1.5549999999999999</v>
      </c>
      <c r="W3">
        <v>1.575</v>
      </c>
      <c r="X3">
        <v>1.5589999999999999</v>
      </c>
      <c r="Y3">
        <v>1.5620000000000001</v>
      </c>
      <c r="Z3">
        <v>1.593</v>
      </c>
      <c r="AA3">
        <v>1.5660000000000001</v>
      </c>
      <c r="AB3">
        <v>1.5589999999999999</v>
      </c>
      <c r="AC3">
        <v>1.577</v>
      </c>
      <c r="AD3">
        <v>1.58</v>
      </c>
      <c r="AE3">
        <v>1.58</v>
      </c>
      <c r="AF3">
        <v>1.5680000000000001</v>
      </c>
      <c r="AG3">
        <v>1.5589999999999999</v>
      </c>
      <c r="AH3">
        <v>1.573</v>
      </c>
      <c r="AI3">
        <v>1.5840000000000001</v>
      </c>
      <c r="AJ3">
        <v>1.56</v>
      </c>
      <c r="AK3">
        <v>1.595</v>
      </c>
      <c r="AL3">
        <v>1.5589999999999999</v>
      </c>
      <c r="AM3">
        <v>1.5880000000000001</v>
      </c>
      <c r="AN3">
        <v>1.591</v>
      </c>
      <c r="AO3">
        <v>1.591</v>
      </c>
      <c r="AP3">
        <v>1.633</v>
      </c>
    </row>
    <row r="4" spans="2:42" x14ac:dyDescent="0.45">
      <c r="B4" s="6">
        <f t="shared" si="0"/>
        <v>5.8608058608058604</v>
      </c>
      <c r="C4" s="3">
        <v>3000</v>
      </c>
      <c r="D4" s="5">
        <f t="shared" si="1"/>
        <v>5.78</v>
      </c>
      <c r="E4" s="5">
        <f t="shared" si="2"/>
        <v>5.891</v>
      </c>
      <c r="F4" s="5">
        <f t="shared" si="3"/>
        <v>5.8385555555555548</v>
      </c>
      <c r="G4">
        <v>5.8170000000000002</v>
      </c>
      <c r="H4">
        <v>5.8310000000000004</v>
      </c>
      <c r="I4">
        <v>5.782</v>
      </c>
      <c r="J4">
        <v>5.8109999999999999</v>
      </c>
      <c r="K4">
        <v>5.8440000000000003</v>
      </c>
      <c r="L4">
        <v>5.8620000000000001</v>
      </c>
      <c r="M4">
        <v>5.8239999999999998</v>
      </c>
      <c r="N4">
        <v>5.8019999999999996</v>
      </c>
      <c r="O4">
        <v>5.82</v>
      </c>
      <c r="P4">
        <v>5.891</v>
      </c>
      <c r="Q4">
        <v>5.835</v>
      </c>
      <c r="R4">
        <v>5.8090000000000002</v>
      </c>
      <c r="S4">
        <v>5.86</v>
      </c>
      <c r="T4">
        <v>5.8460000000000001</v>
      </c>
      <c r="U4">
        <v>5.8659999999999997</v>
      </c>
      <c r="V4">
        <v>5.8730000000000002</v>
      </c>
      <c r="W4">
        <v>5.8680000000000003</v>
      </c>
      <c r="X4">
        <v>5.8689999999999998</v>
      </c>
      <c r="Y4">
        <v>5.8620000000000001</v>
      </c>
      <c r="Z4">
        <v>5.8090000000000002</v>
      </c>
      <c r="AA4">
        <v>5.8289999999999997</v>
      </c>
      <c r="AB4">
        <v>5.8479999999999999</v>
      </c>
      <c r="AC4">
        <v>5.8440000000000003</v>
      </c>
      <c r="AD4">
        <v>5.8129999999999997</v>
      </c>
      <c r="AE4">
        <v>5.8440000000000003</v>
      </c>
      <c r="AF4">
        <v>5.8689999999999998</v>
      </c>
      <c r="AG4">
        <v>5.8570000000000002</v>
      </c>
      <c r="AH4">
        <v>5.8570000000000002</v>
      </c>
      <c r="AI4">
        <v>5.8369999999999997</v>
      </c>
      <c r="AJ4">
        <v>5.8639999999999999</v>
      </c>
      <c r="AK4">
        <v>5.8310000000000004</v>
      </c>
      <c r="AL4">
        <v>5.8680000000000003</v>
      </c>
      <c r="AM4">
        <v>5.8150000000000004</v>
      </c>
      <c r="AN4">
        <v>5.8289999999999997</v>
      </c>
      <c r="AO4">
        <v>5.8220000000000001</v>
      </c>
      <c r="AP4">
        <v>5.78</v>
      </c>
    </row>
    <row r="5" spans="2:42" x14ac:dyDescent="0.45">
      <c r="B5" s="6">
        <f t="shared" si="0"/>
        <v>3.711843711843712</v>
      </c>
      <c r="C5" s="3">
        <v>1900</v>
      </c>
      <c r="D5" s="5">
        <f t="shared" si="1"/>
        <v>3.6989999999999998</v>
      </c>
      <c r="E5" s="5">
        <f t="shared" si="2"/>
        <v>3.7370000000000001</v>
      </c>
      <c r="F5" s="5">
        <f t="shared" si="3"/>
        <v>3.7144444444444442</v>
      </c>
      <c r="G5">
        <v>3.7130000000000001</v>
      </c>
      <c r="H5">
        <v>3.7309999999999999</v>
      </c>
      <c r="I5">
        <v>3.7080000000000002</v>
      </c>
      <c r="J5">
        <v>3.7189999999999999</v>
      </c>
      <c r="K5">
        <v>3.7130000000000001</v>
      </c>
      <c r="L5">
        <v>3.7080000000000002</v>
      </c>
      <c r="M5">
        <v>3.7309999999999999</v>
      </c>
      <c r="N5">
        <v>3.6989999999999998</v>
      </c>
      <c r="O5">
        <v>3.7090000000000001</v>
      </c>
      <c r="P5">
        <v>3.7149999999999999</v>
      </c>
      <c r="Q5">
        <v>3.7370000000000001</v>
      </c>
      <c r="R5">
        <v>3.7240000000000002</v>
      </c>
      <c r="S5">
        <v>3.726</v>
      </c>
      <c r="T5">
        <v>3.7149999999999999</v>
      </c>
      <c r="U5">
        <v>3.7040000000000002</v>
      </c>
      <c r="V5">
        <v>3.7189999999999999</v>
      </c>
      <c r="W5">
        <v>3.7280000000000002</v>
      </c>
      <c r="X5">
        <v>3.7240000000000002</v>
      </c>
      <c r="Y5">
        <v>3.7170000000000001</v>
      </c>
      <c r="Z5">
        <v>3.7109999999999999</v>
      </c>
      <c r="AA5">
        <v>3.702</v>
      </c>
      <c r="AB5">
        <v>3.706</v>
      </c>
      <c r="AC5">
        <v>3.7170000000000001</v>
      </c>
      <c r="AD5">
        <v>3.7090000000000001</v>
      </c>
      <c r="AE5">
        <v>3.7130000000000001</v>
      </c>
      <c r="AF5">
        <v>3.7109999999999999</v>
      </c>
      <c r="AG5">
        <v>3.702</v>
      </c>
      <c r="AH5">
        <v>3.7149999999999999</v>
      </c>
      <c r="AI5">
        <v>3.7080000000000002</v>
      </c>
      <c r="AJ5">
        <v>3.706</v>
      </c>
      <c r="AK5">
        <v>3.7170000000000001</v>
      </c>
      <c r="AL5">
        <v>3.702</v>
      </c>
      <c r="AM5">
        <v>3.7090000000000001</v>
      </c>
      <c r="AN5">
        <v>3.7149999999999999</v>
      </c>
      <c r="AO5">
        <v>3.7090000000000001</v>
      </c>
      <c r="AP5">
        <v>3.7280000000000002</v>
      </c>
    </row>
    <row r="6" spans="2:42" x14ac:dyDescent="0.45">
      <c r="B6" s="6">
        <f t="shared" si="0"/>
        <v>0.68962148962148961</v>
      </c>
      <c r="C6" s="3">
        <v>353</v>
      </c>
      <c r="D6" s="5">
        <f t="shared" si="1"/>
        <v>0.67400000000000004</v>
      </c>
      <c r="E6" s="5">
        <f t="shared" si="2"/>
        <v>0.75600000000000001</v>
      </c>
      <c r="F6" s="5">
        <f t="shared" si="3"/>
        <v>0.71061111111111108</v>
      </c>
      <c r="G6">
        <v>0.71899999999999997</v>
      </c>
      <c r="H6">
        <v>0.72799999999999998</v>
      </c>
      <c r="I6">
        <v>0.74099999999999999</v>
      </c>
      <c r="J6">
        <v>0.74099999999999999</v>
      </c>
      <c r="K6">
        <v>0.71599999999999997</v>
      </c>
      <c r="L6">
        <v>0.68700000000000006</v>
      </c>
      <c r="M6">
        <v>0.73799999999999999</v>
      </c>
      <c r="N6">
        <v>0.71799999999999997</v>
      </c>
      <c r="O6">
        <v>0.71399999999999997</v>
      </c>
      <c r="P6">
        <v>0.70299999999999996</v>
      </c>
      <c r="Q6">
        <v>0.73799999999999999</v>
      </c>
      <c r="R6">
        <v>0.73399999999999999</v>
      </c>
      <c r="S6">
        <v>0.70299999999999996</v>
      </c>
      <c r="T6">
        <v>0.69199999999999995</v>
      </c>
      <c r="U6">
        <v>0.67400000000000004</v>
      </c>
      <c r="V6">
        <v>0.68100000000000005</v>
      </c>
      <c r="W6">
        <v>0.69899999999999995</v>
      </c>
      <c r="X6">
        <v>0.67900000000000005</v>
      </c>
      <c r="Y6">
        <v>0.68700000000000006</v>
      </c>
      <c r="Z6">
        <v>0.71599999999999997</v>
      </c>
      <c r="AA6">
        <v>0.69399999999999995</v>
      </c>
      <c r="AB6">
        <v>0.68700000000000006</v>
      </c>
      <c r="AC6">
        <v>0.70099999999999996</v>
      </c>
      <c r="AD6">
        <v>0.70699999999999996</v>
      </c>
      <c r="AE6">
        <v>0.71199999999999997</v>
      </c>
      <c r="AF6">
        <v>0.70299999999999996</v>
      </c>
      <c r="AG6">
        <v>0.70299999999999996</v>
      </c>
      <c r="AH6">
        <v>0.70499999999999996</v>
      </c>
      <c r="AI6">
        <v>0.71599999999999997</v>
      </c>
      <c r="AJ6">
        <v>0.70099999999999996</v>
      </c>
      <c r="AK6">
        <v>0.72799999999999998</v>
      </c>
      <c r="AL6">
        <v>0.69599999999999995</v>
      </c>
      <c r="AM6">
        <v>0.72299999999999998</v>
      </c>
      <c r="AN6">
        <v>0.72099999999999997</v>
      </c>
      <c r="AO6">
        <v>0.72099999999999997</v>
      </c>
      <c r="AP6">
        <v>0.75600000000000001</v>
      </c>
    </row>
    <row r="7" spans="2:42" x14ac:dyDescent="0.45">
      <c r="B7" s="6">
        <f t="shared" si="0"/>
        <v>0.98656898656898662</v>
      </c>
      <c r="C7" s="3">
        <v>505</v>
      </c>
      <c r="D7" s="5">
        <f t="shared" si="1"/>
        <v>0.97</v>
      </c>
      <c r="E7" s="5">
        <f t="shared" si="2"/>
        <v>1.0549999999999999</v>
      </c>
      <c r="F7" s="5">
        <f t="shared" si="3"/>
        <v>1.0050833333333336</v>
      </c>
      <c r="G7">
        <v>1.012</v>
      </c>
      <c r="H7">
        <v>1.0229999999999999</v>
      </c>
      <c r="I7">
        <v>1.034</v>
      </c>
      <c r="J7">
        <v>1.034</v>
      </c>
      <c r="K7">
        <v>1.0049999999999999</v>
      </c>
      <c r="L7">
        <v>0.97599999999999998</v>
      </c>
      <c r="M7">
        <v>1.034</v>
      </c>
      <c r="N7">
        <v>1.008</v>
      </c>
      <c r="O7">
        <v>1.006</v>
      </c>
      <c r="P7">
        <v>0.98799999999999999</v>
      </c>
      <c r="Q7">
        <v>1.032</v>
      </c>
      <c r="R7">
        <v>1.03</v>
      </c>
      <c r="S7">
        <v>1.0029999999999999</v>
      </c>
      <c r="T7">
        <v>0.99</v>
      </c>
      <c r="U7">
        <v>0.97</v>
      </c>
      <c r="V7">
        <v>0.97699999999999998</v>
      </c>
      <c r="W7">
        <v>0.997</v>
      </c>
      <c r="X7">
        <v>0.97699999999999998</v>
      </c>
      <c r="Y7">
        <v>0.98499999999999999</v>
      </c>
      <c r="Z7">
        <v>1.0149999999999999</v>
      </c>
      <c r="AA7">
        <v>0.99199999999999999</v>
      </c>
      <c r="AB7">
        <v>0.98299999999999998</v>
      </c>
      <c r="AC7">
        <v>0.999</v>
      </c>
      <c r="AD7">
        <v>1.0049999999999999</v>
      </c>
      <c r="AE7">
        <v>1.006</v>
      </c>
      <c r="AF7">
        <v>0.99399999999999999</v>
      </c>
      <c r="AG7">
        <v>0.99399999999999999</v>
      </c>
      <c r="AH7">
        <v>0.997</v>
      </c>
      <c r="AI7">
        <v>1.012</v>
      </c>
      <c r="AJ7">
        <v>0.99199999999999999</v>
      </c>
      <c r="AK7">
        <v>1.0229999999999999</v>
      </c>
      <c r="AL7">
        <v>0.98799999999999999</v>
      </c>
      <c r="AM7">
        <v>1.0169999999999999</v>
      </c>
      <c r="AN7">
        <v>1.0149999999999999</v>
      </c>
      <c r="AO7">
        <v>1.0149999999999999</v>
      </c>
      <c r="AP7">
        <v>1.0549999999999999</v>
      </c>
    </row>
    <row r="8" spans="2:42" x14ac:dyDescent="0.45">
      <c r="B8" s="6">
        <f t="shared" si="0"/>
        <v>6.233943833943834</v>
      </c>
      <c r="C8" s="3">
        <v>3191</v>
      </c>
      <c r="D8" s="5">
        <f t="shared" si="1"/>
        <v>6.1440000000000001</v>
      </c>
      <c r="E8" s="5">
        <f t="shared" si="2"/>
        <v>6.298</v>
      </c>
      <c r="F8" s="5">
        <f t="shared" si="3"/>
        <v>6.2126388888888897</v>
      </c>
      <c r="G8">
        <v>6.1909999999999998</v>
      </c>
      <c r="H8">
        <v>6.1909999999999998</v>
      </c>
      <c r="I8">
        <v>6.1529999999999996</v>
      </c>
      <c r="J8">
        <v>6.1760000000000002</v>
      </c>
      <c r="K8">
        <v>6.2249999999999996</v>
      </c>
      <c r="L8">
        <v>6.2380000000000004</v>
      </c>
      <c r="M8">
        <v>6.1929999999999996</v>
      </c>
      <c r="N8">
        <v>6.165</v>
      </c>
      <c r="O8">
        <v>6.1929999999999996</v>
      </c>
      <c r="P8">
        <v>6.298</v>
      </c>
      <c r="Q8">
        <v>6.2089999999999996</v>
      </c>
      <c r="R8">
        <v>6.1779999999999999</v>
      </c>
      <c r="S8">
        <v>6.2290000000000001</v>
      </c>
      <c r="T8">
        <v>6.22</v>
      </c>
      <c r="U8">
        <v>6.24</v>
      </c>
      <c r="V8">
        <v>6.2530000000000001</v>
      </c>
      <c r="W8">
        <v>6.2469999999999999</v>
      </c>
      <c r="X8">
        <v>6.2380000000000004</v>
      </c>
      <c r="Y8">
        <v>6.2439999999999998</v>
      </c>
      <c r="Z8">
        <v>6.173</v>
      </c>
      <c r="AA8">
        <v>6.2039999999999997</v>
      </c>
      <c r="AB8">
        <v>6.2249999999999996</v>
      </c>
      <c r="AC8">
        <v>6.2130000000000001</v>
      </c>
      <c r="AD8">
        <v>6.1749999999999998</v>
      </c>
      <c r="AE8">
        <v>6.2240000000000002</v>
      </c>
      <c r="AF8">
        <v>6.24</v>
      </c>
      <c r="AG8">
        <v>6.2530000000000001</v>
      </c>
      <c r="AH8">
        <v>6.24</v>
      </c>
      <c r="AI8">
        <v>6.1950000000000003</v>
      </c>
      <c r="AJ8">
        <v>6.2510000000000003</v>
      </c>
      <c r="AK8">
        <v>6.2089999999999996</v>
      </c>
      <c r="AL8">
        <v>6.24</v>
      </c>
      <c r="AM8">
        <v>6.1950000000000003</v>
      </c>
      <c r="AN8">
        <v>6.2039999999999997</v>
      </c>
      <c r="AO8">
        <v>6.1890000000000001</v>
      </c>
      <c r="AP8">
        <v>6.1440000000000001</v>
      </c>
    </row>
    <row r="9" spans="2:42" x14ac:dyDescent="0.45">
      <c r="B9" s="6">
        <f t="shared" si="0"/>
        <v>6.4</v>
      </c>
      <c r="C9" s="3">
        <v>3276</v>
      </c>
      <c r="D9" s="5">
        <f t="shared" si="1"/>
        <v>6.2960000000000003</v>
      </c>
      <c r="E9" s="5">
        <f t="shared" si="2"/>
        <v>6.4649999999999999</v>
      </c>
      <c r="F9" s="5">
        <f t="shared" si="3"/>
        <v>6.3755833333333332</v>
      </c>
      <c r="G9">
        <v>6.3559999999999999</v>
      </c>
      <c r="H9">
        <v>6.3419999999999996</v>
      </c>
      <c r="I9">
        <v>6.3090000000000002</v>
      </c>
      <c r="J9">
        <v>6.3330000000000002</v>
      </c>
      <c r="K9">
        <v>6.3869999999999996</v>
      </c>
      <c r="L9">
        <v>6.4050000000000002</v>
      </c>
      <c r="M9">
        <v>6.3449999999999998</v>
      </c>
      <c r="N9">
        <v>6.327</v>
      </c>
      <c r="O9">
        <v>6.3529999999999998</v>
      </c>
      <c r="P9">
        <v>6.4649999999999999</v>
      </c>
      <c r="Q9">
        <v>6.36</v>
      </c>
      <c r="R9">
        <v>6.3310000000000004</v>
      </c>
      <c r="S9">
        <v>6.3940000000000001</v>
      </c>
      <c r="T9">
        <v>6.3760000000000003</v>
      </c>
      <c r="U9">
        <v>6.407</v>
      </c>
      <c r="V9">
        <v>6.423</v>
      </c>
      <c r="W9">
        <v>6.4109999999999996</v>
      </c>
      <c r="X9">
        <v>6.4029999999999996</v>
      </c>
      <c r="Y9">
        <v>6.4109999999999996</v>
      </c>
      <c r="Z9">
        <v>6.3360000000000003</v>
      </c>
      <c r="AA9">
        <v>6.3710000000000004</v>
      </c>
      <c r="AB9">
        <v>6.3940000000000001</v>
      </c>
      <c r="AC9">
        <v>6.3780000000000001</v>
      </c>
      <c r="AD9">
        <v>6.34</v>
      </c>
      <c r="AE9">
        <v>6.3890000000000002</v>
      </c>
      <c r="AF9">
        <v>6.42</v>
      </c>
      <c r="AG9">
        <v>6.4219999999999997</v>
      </c>
      <c r="AH9">
        <v>6.4020000000000001</v>
      </c>
      <c r="AI9">
        <v>6.3559999999999999</v>
      </c>
      <c r="AJ9">
        <v>6.4290000000000003</v>
      </c>
      <c r="AK9">
        <v>6.367</v>
      </c>
      <c r="AL9">
        <v>6.4109999999999996</v>
      </c>
      <c r="AM9">
        <v>6.3559999999999999</v>
      </c>
      <c r="AN9">
        <v>6.3620000000000001</v>
      </c>
      <c r="AO9">
        <v>6.3540000000000001</v>
      </c>
      <c r="AP9">
        <v>6.2960000000000003</v>
      </c>
    </row>
    <row r="10" spans="2:42" x14ac:dyDescent="0.45">
      <c r="B10" s="6">
        <f t="shared" si="0"/>
        <v>8</v>
      </c>
      <c r="C10" s="3">
        <v>4095</v>
      </c>
      <c r="D10" s="5">
        <f t="shared" si="1"/>
        <v>7.8109999999999999</v>
      </c>
      <c r="E10" s="5">
        <f t="shared" si="2"/>
        <v>8.1349999999999998</v>
      </c>
      <c r="F10" s="5">
        <f t="shared" si="3"/>
        <v>7.9543333333333335</v>
      </c>
      <c r="G10">
        <v>7.9240000000000004</v>
      </c>
      <c r="H10">
        <v>7.9059999999999997</v>
      </c>
      <c r="I10">
        <v>7.8529999999999998</v>
      </c>
      <c r="J10">
        <v>7.891</v>
      </c>
      <c r="K10">
        <v>7.9820000000000002</v>
      </c>
      <c r="L10">
        <v>8.0090000000000003</v>
      </c>
      <c r="M10">
        <v>7.8929999999999998</v>
      </c>
      <c r="N10">
        <v>7.8949999999999996</v>
      </c>
      <c r="O10">
        <v>7.92</v>
      </c>
      <c r="P10">
        <v>8.1349999999999998</v>
      </c>
      <c r="Q10">
        <v>7.9240000000000004</v>
      </c>
      <c r="R10">
        <v>7.88</v>
      </c>
      <c r="S10">
        <v>7.9640000000000004</v>
      </c>
      <c r="T10">
        <v>7.9580000000000002</v>
      </c>
      <c r="U10">
        <v>8.0150000000000006</v>
      </c>
      <c r="V10">
        <v>8.0220000000000002</v>
      </c>
      <c r="W10">
        <v>8.0060000000000002</v>
      </c>
      <c r="X10">
        <v>7.9870000000000001</v>
      </c>
      <c r="Y10">
        <v>8.0039999999999996</v>
      </c>
      <c r="Z10">
        <v>7.8780000000000001</v>
      </c>
      <c r="AA10">
        <v>7.9459999999999997</v>
      </c>
      <c r="AB10">
        <v>7.9859999999999998</v>
      </c>
      <c r="AC10">
        <v>7.9509999999999996</v>
      </c>
      <c r="AD10">
        <v>7.891</v>
      </c>
      <c r="AE10">
        <v>7.9770000000000003</v>
      </c>
      <c r="AF10">
        <v>8.0310000000000006</v>
      </c>
      <c r="AG10">
        <v>8.0440000000000005</v>
      </c>
      <c r="AH10">
        <v>7.9889999999999999</v>
      </c>
      <c r="AI10">
        <v>7.92</v>
      </c>
      <c r="AJ10">
        <v>8.0660000000000007</v>
      </c>
      <c r="AK10">
        <v>7.9240000000000004</v>
      </c>
      <c r="AL10">
        <v>8.02</v>
      </c>
      <c r="AM10">
        <v>7.9130000000000003</v>
      </c>
      <c r="AN10">
        <v>7.9260000000000002</v>
      </c>
      <c r="AO10">
        <v>7.915</v>
      </c>
      <c r="AP10">
        <v>7.8109999999999999</v>
      </c>
    </row>
    <row r="11" spans="2:42" x14ac:dyDescent="0.45">
      <c r="B11" s="6">
        <f t="shared" ref="B11:B18" si="4">32*C11/4095</f>
        <v>6.2515262515262515</v>
      </c>
      <c r="C11" s="4">
        <v>800</v>
      </c>
      <c r="D11" s="5">
        <f t="shared" si="1"/>
        <v>6.069</v>
      </c>
      <c r="E11" s="5">
        <f t="shared" si="2"/>
        <v>6.5</v>
      </c>
      <c r="F11" s="5">
        <f t="shared" si="3"/>
        <v>6.3043055555555565</v>
      </c>
      <c r="G11">
        <v>6.343</v>
      </c>
      <c r="H11">
        <v>6.4290000000000003</v>
      </c>
      <c r="I11">
        <v>6.38</v>
      </c>
      <c r="J11">
        <v>6.3739999999999997</v>
      </c>
      <c r="K11">
        <v>6.2779999999999996</v>
      </c>
      <c r="L11">
        <v>6.3</v>
      </c>
      <c r="M11">
        <v>6.423</v>
      </c>
      <c r="N11">
        <v>6.327</v>
      </c>
      <c r="O11">
        <v>6.3559999999999999</v>
      </c>
      <c r="P11">
        <v>6.069</v>
      </c>
      <c r="Q11">
        <v>6.3979999999999997</v>
      </c>
      <c r="R11">
        <v>6.42</v>
      </c>
      <c r="S11">
        <v>6.298</v>
      </c>
      <c r="T11">
        <v>6.2839999999999998</v>
      </c>
      <c r="U11">
        <v>6.202</v>
      </c>
      <c r="V11">
        <v>6.2489999999999997</v>
      </c>
      <c r="W11">
        <v>6.2359999999999998</v>
      </c>
      <c r="X11">
        <v>6.2670000000000003</v>
      </c>
      <c r="Y11">
        <v>6.234</v>
      </c>
      <c r="Z11">
        <v>6.3579999999999997</v>
      </c>
      <c r="AA11">
        <v>6.2709999999999999</v>
      </c>
      <c r="AB11">
        <v>6.2249999999999996</v>
      </c>
      <c r="AC11">
        <v>6.282</v>
      </c>
      <c r="AD11">
        <v>6.3159999999999998</v>
      </c>
      <c r="AE11">
        <v>6.3049999999999997</v>
      </c>
      <c r="AF11">
        <v>6.1840000000000002</v>
      </c>
      <c r="AG11">
        <v>6.14</v>
      </c>
      <c r="AH11">
        <v>6.32</v>
      </c>
      <c r="AI11">
        <v>6.3540000000000001</v>
      </c>
      <c r="AJ11">
        <v>6.149</v>
      </c>
      <c r="AK11">
        <v>6.3540000000000001</v>
      </c>
      <c r="AL11">
        <v>6.2270000000000003</v>
      </c>
      <c r="AM11">
        <v>6.3760000000000003</v>
      </c>
      <c r="AN11">
        <v>6.351</v>
      </c>
      <c r="AO11">
        <v>6.3760000000000003</v>
      </c>
      <c r="AP11">
        <v>6.5</v>
      </c>
    </row>
    <row r="12" spans="2:42" x14ac:dyDescent="0.45">
      <c r="B12" s="6">
        <f t="shared" si="4"/>
        <v>23.443223443223442</v>
      </c>
      <c r="C12" s="4">
        <v>3000</v>
      </c>
      <c r="D12" s="5">
        <f t="shared" si="1"/>
        <v>23.202999999999999</v>
      </c>
      <c r="E12" s="5">
        <f t="shared" si="2"/>
        <v>23.643000000000001</v>
      </c>
      <c r="F12" s="5">
        <f t="shared" si="3"/>
        <v>23.409333333333336</v>
      </c>
      <c r="G12">
        <v>23.338000000000001</v>
      </c>
      <c r="H12">
        <v>23.335999999999999</v>
      </c>
      <c r="I12">
        <v>23.353999999999999</v>
      </c>
      <c r="J12">
        <v>23.303000000000001</v>
      </c>
      <c r="K12">
        <v>23.358000000000001</v>
      </c>
      <c r="L12">
        <v>23.475999999999999</v>
      </c>
      <c r="M12">
        <v>23.315999999999999</v>
      </c>
      <c r="N12">
        <v>23.399000000000001</v>
      </c>
      <c r="O12">
        <v>23.314</v>
      </c>
      <c r="P12">
        <v>23.643000000000001</v>
      </c>
      <c r="Q12">
        <v>23.391999999999999</v>
      </c>
      <c r="R12">
        <v>23.231999999999999</v>
      </c>
      <c r="S12">
        <v>23.428000000000001</v>
      </c>
      <c r="T12">
        <v>23.486999999999998</v>
      </c>
      <c r="U12">
        <v>23.448</v>
      </c>
      <c r="V12">
        <v>23.536000000000001</v>
      </c>
      <c r="W12">
        <v>23.515999999999998</v>
      </c>
      <c r="X12">
        <v>23.396000000000001</v>
      </c>
      <c r="Y12">
        <v>23.387</v>
      </c>
      <c r="Z12">
        <v>23.39</v>
      </c>
      <c r="AA12">
        <v>23.481000000000002</v>
      </c>
      <c r="AB12">
        <v>23.463000000000001</v>
      </c>
      <c r="AC12">
        <v>23.393999999999998</v>
      </c>
      <c r="AD12">
        <v>23.367000000000001</v>
      </c>
      <c r="AE12">
        <v>23.393999999999998</v>
      </c>
      <c r="AF12">
        <v>23.507999999999999</v>
      </c>
      <c r="AG12">
        <v>23.545999999999999</v>
      </c>
      <c r="AH12">
        <v>23.414000000000001</v>
      </c>
      <c r="AI12">
        <v>23.408000000000001</v>
      </c>
      <c r="AJ12">
        <v>23.532</v>
      </c>
      <c r="AK12">
        <v>23.378</v>
      </c>
      <c r="AL12">
        <v>23.497</v>
      </c>
      <c r="AM12">
        <v>23.41</v>
      </c>
      <c r="AN12">
        <v>23.309000000000001</v>
      </c>
      <c r="AO12">
        <v>23.382999999999999</v>
      </c>
      <c r="AP12">
        <v>23.202999999999999</v>
      </c>
    </row>
    <row r="13" spans="2:42" x14ac:dyDescent="0.45">
      <c r="B13" s="6">
        <f t="shared" si="4"/>
        <v>14.847374847374848</v>
      </c>
      <c r="C13" s="4">
        <v>1900</v>
      </c>
      <c r="D13" s="5">
        <f t="shared" si="1"/>
        <v>14.771000000000001</v>
      </c>
      <c r="E13" s="5">
        <f t="shared" si="2"/>
        <v>14.927</v>
      </c>
      <c r="F13" s="5">
        <f t="shared" si="3"/>
        <v>14.873083333333334</v>
      </c>
      <c r="G13">
        <v>14.872</v>
      </c>
      <c r="H13">
        <v>14.927</v>
      </c>
      <c r="I13">
        <v>14.878</v>
      </c>
      <c r="J13">
        <v>14.861000000000001</v>
      </c>
      <c r="K13">
        <v>14.834</v>
      </c>
      <c r="L13">
        <v>14.901</v>
      </c>
      <c r="M13">
        <v>14.923</v>
      </c>
      <c r="N13">
        <v>14.86</v>
      </c>
      <c r="O13">
        <v>14.865</v>
      </c>
      <c r="P13">
        <v>14.771000000000001</v>
      </c>
      <c r="Q13">
        <v>14.909000000000001</v>
      </c>
      <c r="R13">
        <v>14.881</v>
      </c>
      <c r="S13">
        <v>14.917999999999999</v>
      </c>
      <c r="T13">
        <v>14.909000000000001</v>
      </c>
      <c r="U13">
        <v>14.829000000000001</v>
      </c>
      <c r="V13">
        <v>14.909000000000001</v>
      </c>
      <c r="W13">
        <v>14.875999999999999</v>
      </c>
      <c r="X13">
        <v>14.872</v>
      </c>
      <c r="Y13">
        <v>14.837999999999999</v>
      </c>
      <c r="Z13">
        <v>14.927</v>
      </c>
      <c r="AA13">
        <v>14.901</v>
      </c>
      <c r="AB13">
        <v>14.853999999999999</v>
      </c>
      <c r="AC13">
        <v>14.875999999999999</v>
      </c>
      <c r="AD13">
        <v>14.896000000000001</v>
      </c>
      <c r="AE13">
        <v>14.858000000000001</v>
      </c>
      <c r="AF13">
        <v>14.814</v>
      </c>
      <c r="AG13">
        <v>14.78</v>
      </c>
      <c r="AH13">
        <v>14.89</v>
      </c>
      <c r="AI13">
        <v>14.898</v>
      </c>
      <c r="AJ13">
        <v>14.78</v>
      </c>
      <c r="AK13">
        <v>14.89</v>
      </c>
      <c r="AL13">
        <v>14.821</v>
      </c>
      <c r="AM13">
        <v>14.927</v>
      </c>
      <c r="AN13">
        <v>14.86</v>
      </c>
      <c r="AO13">
        <v>14.916</v>
      </c>
      <c r="AP13">
        <v>14.91</v>
      </c>
    </row>
    <row r="14" spans="2:42" x14ac:dyDescent="0.45">
      <c r="B14" s="6">
        <f t="shared" si="4"/>
        <v>2.7584859584859585</v>
      </c>
      <c r="C14" s="4">
        <v>353</v>
      </c>
      <c r="D14" s="5">
        <f t="shared" si="1"/>
        <v>2.69</v>
      </c>
      <c r="E14" s="5">
        <f t="shared" si="2"/>
        <v>2.9830000000000001</v>
      </c>
      <c r="F14" s="5">
        <f t="shared" si="3"/>
        <v>2.8233333333333333</v>
      </c>
      <c r="G14">
        <v>2.8759999999999999</v>
      </c>
      <c r="H14">
        <v>2.93</v>
      </c>
      <c r="I14">
        <v>2.9249999999999998</v>
      </c>
      <c r="J14">
        <v>2.907</v>
      </c>
      <c r="K14">
        <v>2.8210000000000002</v>
      </c>
      <c r="L14">
        <v>2.8140000000000001</v>
      </c>
      <c r="M14">
        <v>2.9369999999999998</v>
      </c>
      <c r="N14">
        <v>2.863</v>
      </c>
      <c r="O14">
        <v>2.8740000000000001</v>
      </c>
      <c r="P14">
        <v>2.69</v>
      </c>
      <c r="Q14">
        <v>2.919</v>
      </c>
      <c r="R14">
        <v>2.9279999999999999</v>
      </c>
      <c r="S14">
        <v>2.7919999999999998</v>
      </c>
      <c r="T14">
        <v>2.7759999999999998</v>
      </c>
      <c r="U14">
        <v>2.7120000000000002</v>
      </c>
      <c r="V14">
        <v>2.7389999999999999</v>
      </c>
      <c r="W14">
        <v>2.7519999999999998</v>
      </c>
      <c r="X14">
        <v>2.7610000000000001</v>
      </c>
      <c r="Y14">
        <v>2.7389999999999999</v>
      </c>
      <c r="Z14">
        <v>2.8370000000000002</v>
      </c>
      <c r="AA14">
        <v>2.7679999999999998</v>
      </c>
      <c r="AB14">
        <v>2.7320000000000002</v>
      </c>
      <c r="AC14">
        <v>2.7789999999999999</v>
      </c>
      <c r="AD14">
        <v>2.8079999999999998</v>
      </c>
      <c r="AE14">
        <v>2.83</v>
      </c>
      <c r="AF14">
        <v>2.7559999999999998</v>
      </c>
      <c r="AG14">
        <v>2.7269999999999999</v>
      </c>
      <c r="AH14">
        <v>2.827</v>
      </c>
      <c r="AI14">
        <v>2.8610000000000002</v>
      </c>
      <c r="AJ14">
        <v>2.7290000000000001</v>
      </c>
      <c r="AK14">
        <v>2.8679999999999999</v>
      </c>
      <c r="AL14">
        <v>2.7629999999999999</v>
      </c>
      <c r="AM14">
        <v>2.8769999999999998</v>
      </c>
      <c r="AN14">
        <v>2.863</v>
      </c>
      <c r="AO14">
        <v>2.8769999999999998</v>
      </c>
      <c r="AP14">
        <v>2.9830000000000001</v>
      </c>
    </row>
    <row r="15" spans="2:42" x14ac:dyDescent="0.45">
      <c r="B15" s="6">
        <f t="shared" si="4"/>
        <v>3.9462759462759465</v>
      </c>
      <c r="C15" s="4">
        <v>505</v>
      </c>
      <c r="D15" s="5">
        <f t="shared" si="1"/>
        <v>3.8079999999999998</v>
      </c>
      <c r="E15" s="5">
        <f t="shared" si="2"/>
        <v>4.18</v>
      </c>
      <c r="F15" s="5">
        <f t="shared" si="3"/>
        <v>3.9994722222222228</v>
      </c>
      <c r="G15">
        <v>4.0419999999999998</v>
      </c>
      <c r="H15">
        <v>4.1070000000000002</v>
      </c>
      <c r="I15">
        <v>4.085</v>
      </c>
      <c r="J15">
        <v>4.069</v>
      </c>
      <c r="K15">
        <v>3.9870000000000001</v>
      </c>
      <c r="L15">
        <v>3.9820000000000002</v>
      </c>
      <c r="M15">
        <v>4.109</v>
      </c>
      <c r="N15">
        <v>4.024</v>
      </c>
      <c r="O15">
        <v>4.0419999999999998</v>
      </c>
      <c r="P15">
        <v>3.8079999999999998</v>
      </c>
      <c r="Q15">
        <v>4.085</v>
      </c>
      <c r="R15">
        <v>4.0979999999999999</v>
      </c>
      <c r="S15">
        <v>3.9860000000000002</v>
      </c>
      <c r="T15">
        <v>3.9689999999999999</v>
      </c>
      <c r="U15">
        <v>3.8969999999999998</v>
      </c>
      <c r="V15">
        <v>3.9329999999999998</v>
      </c>
      <c r="W15">
        <v>3.9369999999999998</v>
      </c>
      <c r="X15">
        <v>3.9550000000000001</v>
      </c>
      <c r="Y15">
        <v>3.9289999999999998</v>
      </c>
      <c r="Z15">
        <v>4.04</v>
      </c>
      <c r="AA15">
        <v>3.9620000000000002</v>
      </c>
      <c r="AB15">
        <v>3.9169999999999998</v>
      </c>
      <c r="AC15">
        <v>3.9710000000000001</v>
      </c>
      <c r="AD15">
        <v>4.0039999999999996</v>
      </c>
      <c r="AE15">
        <v>4.0069999999999997</v>
      </c>
      <c r="AF15">
        <v>3.9089999999999998</v>
      </c>
      <c r="AG15">
        <v>3.871</v>
      </c>
      <c r="AH15">
        <v>4.0129999999999999</v>
      </c>
      <c r="AI15">
        <v>4.0460000000000003</v>
      </c>
      <c r="AJ15">
        <v>3.8780000000000001</v>
      </c>
      <c r="AK15">
        <v>4.0439999999999996</v>
      </c>
      <c r="AL15">
        <v>3.9289999999999998</v>
      </c>
      <c r="AM15">
        <v>4.0599999999999996</v>
      </c>
      <c r="AN15">
        <v>4.04</v>
      </c>
      <c r="AO15">
        <v>4.0659999999999998</v>
      </c>
      <c r="AP15">
        <v>4.18</v>
      </c>
    </row>
    <row r="16" spans="2:42" x14ac:dyDescent="0.45">
      <c r="B16" s="6">
        <f t="shared" si="4"/>
        <v>24.935775335775336</v>
      </c>
      <c r="C16" s="4">
        <v>3191</v>
      </c>
      <c r="D16" s="5">
        <f t="shared" si="1"/>
        <v>24.670999999999999</v>
      </c>
      <c r="E16" s="5">
        <f t="shared" si="2"/>
        <v>25.221</v>
      </c>
      <c r="F16" s="5">
        <f t="shared" si="3"/>
        <v>24.904583333333338</v>
      </c>
      <c r="G16">
        <v>24.829000000000001</v>
      </c>
      <c r="H16">
        <v>24.82</v>
      </c>
      <c r="I16">
        <v>24.818000000000001</v>
      </c>
      <c r="J16">
        <v>24.774000000000001</v>
      </c>
      <c r="K16">
        <v>24.856000000000002</v>
      </c>
      <c r="L16">
        <v>24.965</v>
      </c>
      <c r="M16">
        <v>24.8</v>
      </c>
      <c r="N16">
        <v>24.869</v>
      </c>
      <c r="O16">
        <v>24.763999999999999</v>
      </c>
      <c r="P16">
        <v>25.221</v>
      </c>
      <c r="Q16">
        <v>24.861999999999998</v>
      </c>
      <c r="R16">
        <v>24.670999999999999</v>
      </c>
      <c r="S16">
        <v>24.916</v>
      </c>
      <c r="T16">
        <v>25.003</v>
      </c>
      <c r="U16">
        <v>24.945</v>
      </c>
      <c r="V16">
        <v>25.018000000000001</v>
      </c>
      <c r="W16">
        <v>25.013999999999999</v>
      </c>
      <c r="X16">
        <v>24.911000000000001</v>
      </c>
      <c r="Y16">
        <v>24.873999999999999</v>
      </c>
      <c r="Z16">
        <v>24.849</v>
      </c>
      <c r="AA16">
        <v>24.986999999999998</v>
      </c>
      <c r="AB16">
        <v>24.983000000000001</v>
      </c>
      <c r="AC16">
        <v>24.878</v>
      </c>
      <c r="AD16">
        <v>24.853000000000002</v>
      </c>
      <c r="AE16">
        <v>24.893000000000001</v>
      </c>
      <c r="AF16">
        <v>25.056000000000001</v>
      </c>
      <c r="AG16">
        <v>25.123000000000001</v>
      </c>
      <c r="AH16">
        <v>24.922000000000001</v>
      </c>
      <c r="AI16">
        <v>24.902999999999999</v>
      </c>
      <c r="AJ16">
        <v>25.1</v>
      </c>
      <c r="AK16">
        <v>24.858000000000001</v>
      </c>
      <c r="AL16">
        <v>25.018000000000001</v>
      </c>
      <c r="AM16">
        <v>24.922000000000001</v>
      </c>
      <c r="AN16">
        <v>24.763999999999999</v>
      </c>
      <c r="AO16">
        <v>24.844000000000001</v>
      </c>
      <c r="AP16">
        <v>24.681999999999999</v>
      </c>
    </row>
    <row r="17" spans="2:42" x14ac:dyDescent="0.45">
      <c r="B17" s="6">
        <f t="shared" si="4"/>
        <v>25.6</v>
      </c>
      <c r="C17" s="4">
        <v>3276</v>
      </c>
      <c r="D17" s="5">
        <f t="shared" si="1"/>
        <v>25.297999999999998</v>
      </c>
      <c r="E17" s="5">
        <f t="shared" si="2"/>
        <v>25.943000000000001</v>
      </c>
      <c r="F17" s="5">
        <f t="shared" si="3"/>
        <v>25.561305555555549</v>
      </c>
      <c r="G17">
        <v>25.456</v>
      </c>
      <c r="H17">
        <v>25.434000000000001</v>
      </c>
      <c r="I17">
        <v>25.465</v>
      </c>
      <c r="J17">
        <v>25.408000000000001</v>
      </c>
      <c r="K17">
        <v>25.497</v>
      </c>
      <c r="L17">
        <v>25.625</v>
      </c>
      <c r="M17">
        <v>25.391999999999999</v>
      </c>
      <c r="N17">
        <v>25.516999999999999</v>
      </c>
      <c r="O17">
        <v>25.407</v>
      </c>
      <c r="P17">
        <v>25.943000000000001</v>
      </c>
      <c r="Q17">
        <v>25.503</v>
      </c>
      <c r="R17">
        <v>25.297999999999998</v>
      </c>
      <c r="S17">
        <v>25.61</v>
      </c>
      <c r="T17">
        <v>25.667999999999999</v>
      </c>
      <c r="U17">
        <v>25.606000000000002</v>
      </c>
      <c r="V17">
        <v>25.695</v>
      </c>
      <c r="W17">
        <v>25.692</v>
      </c>
      <c r="X17">
        <v>25.547999999999998</v>
      </c>
      <c r="Y17">
        <v>25.53</v>
      </c>
      <c r="Z17">
        <v>25.49</v>
      </c>
      <c r="AA17">
        <v>25.663</v>
      </c>
      <c r="AB17">
        <v>25.640999999999998</v>
      </c>
      <c r="AC17">
        <v>25.521000000000001</v>
      </c>
      <c r="AD17">
        <v>25.497</v>
      </c>
      <c r="AE17">
        <v>25.567</v>
      </c>
      <c r="AF17">
        <v>25.765000000000001</v>
      </c>
      <c r="AG17">
        <v>25.823</v>
      </c>
      <c r="AH17">
        <v>25.591999999999999</v>
      </c>
      <c r="AI17">
        <v>25.556999999999999</v>
      </c>
      <c r="AJ17">
        <v>25.788</v>
      </c>
      <c r="AK17">
        <v>25.524999999999999</v>
      </c>
      <c r="AL17">
        <v>25.683</v>
      </c>
      <c r="AM17">
        <v>25.57</v>
      </c>
      <c r="AN17">
        <v>25.405000000000001</v>
      </c>
      <c r="AO17">
        <v>25.507000000000001</v>
      </c>
      <c r="AP17">
        <v>25.318999999999999</v>
      </c>
    </row>
    <row r="18" spans="2:42" x14ac:dyDescent="0.45">
      <c r="B18" s="6">
        <f t="shared" si="4"/>
        <v>32</v>
      </c>
      <c r="C18" s="4">
        <v>4095</v>
      </c>
      <c r="D18" s="5">
        <f t="shared" si="1"/>
        <v>31.396000000000001</v>
      </c>
      <c r="E18" s="5">
        <f t="shared" si="2"/>
        <v>32.677999999999997</v>
      </c>
      <c r="F18" s="5">
        <f t="shared" si="3"/>
        <v>31.905750000000005</v>
      </c>
      <c r="G18">
        <v>31.827999999999999</v>
      </c>
      <c r="H18">
        <v>31.692</v>
      </c>
      <c r="I18">
        <v>31.788</v>
      </c>
      <c r="J18">
        <v>31.687000000000001</v>
      </c>
      <c r="K18">
        <v>31.861000000000001</v>
      </c>
      <c r="L18">
        <v>32.036999999999999</v>
      </c>
      <c r="M18">
        <v>31.640999999999998</v>
      </c>
      <c r="N18">
        <v>31.879000000000001</v>
      </c>
      <c r="O18">
        <v>31.646999999999998</v>
      </c>
      <c r="P18">
        <v>32.677999999999997</v>
      </c>
      <c r="Q18">
        <v>31.79</v>
      </c>
      <c r="R18">
        <v>31.469000000000001</v>
      </c>
      <c r="S18">
        <v>31.952000000000002</v>
      </c>
      <c r="T18">
        <v>32.027999999999999</v>
      </c>
      <c r="U18">
        <v>32.003999999999998</v>
      </c>
      <c r="V18">
        <v>32.063000000000002</v>
      </c>
      <c r="W18">
        <v>32.161000000000001</v>
      </c>
      <c r="X18">
        <v>31.859000000000002</v>
      </c>
      <c r="Y18">
        <v>31.852</v>
      </c>
      <c r="Z18">
        <v>31.716999999999999</v>
      </c>
      <c r="AA18">
        <v>32.015000000000001</v>
      </c>
      <c r="AB18">
        <v>32.048000000000002</v>
      </c>
      <c r="AC18">
        <v>31.843</v>
      </c>
      <c r="AD18">
        <v>31.794</v>
      </c>
      <c r="AE18">
        <v>31.920999999999999</v>
      </c>
      <c r="AF18">
        <v>32.290999999999997</v>
      </c>
      <c r="AG18">
        <v>32.411000000000001</v>
      </c>
      <c r="AH18">
        <v>31.893999999999998</v>
      </c>
      <c r="AI18">
        <v>31.83</v>
      </c>
      <c r="AJ18">
        <v>32.39</v>
      </c>
      <c r="AK18">
        <v>31.797000000000001</v>
      </c>
      <c r="AL18">
        <v>32.143000000000001</v>
      </c>
      <c r="AM18">
        <v>31.838999999999999</v>
      </c>
      <c r="AN18">
        <v>31.625</v>
      </c>
      <c r="AO18">
        <v>31.736999999999998</v>
      </c>
      <c r="AP18">
        <v>31.396000000000001</v>
      </c>
    </row>
    <row r="21" spans="2:42" x14ac:dyDescent="0.45">
      <c r="B21" t="s">
        <v>16</v>
      </c>
      <c r="C21" s="2" t="s">
        <v>0</v>
      </c>
      <c r="D21" s="2" t="s">
        <v>13</v>
      </c>
      <c r="E21" s="2" t="s">
        <v>14</v>
      </c>
      <c r="F21" s="2" t="s">
        <v>15</v>
      </c>
      <c r="G21" s="2" t="s">
        <v>1</v>
      </c>
      <c r="H21" s="2" t="s">
        <v>2</v>
      </c>
      <c r="I21" s="2" t="s">
        <v>3</v>
      </c>
      <c r="J21" s="2" t="s">
        <v>4</v>
      </c>
      <c r="K21" s="2" t="s">
        <v>5</v>
      </c>
      <c r="L21" s="2" t="s">
        <v>6</v>
      </c>
      <c r="M21" s="2" t="s">
        <v>7</v>
      </c>
      <c r="N21" s="2" t="s">
        <v>8</v>
      </c>
      <c r="O21" s="2" t="s">
        <v>9</v>
      </c>
      <c r="P21" s="2" t="s">
        <v>10</v>
      </c>
      <c r="Q21" s="2" t="s">
        <v>11</v>
      </c>
      <c r="R21" s="2" t="s">
        <v>12</v>
      </c>
      <c r="S21" s="2" t="s">
        <v>1</v>
      </c>
      <c r="T21" s="2" t="s">
        <v>2</v>
      </c>
      <c r="U21" s="2" t="s">
        <v>3</v>
      </c>
      <c r="V21" s="2" t="s">
        <v>4</v>
      </c>
      <c r="W21" s="2" t="s">
        <v>5</v>
      </c>
      <c r="X21" s="2" t="s">
        <v>6</v>
      </c>
      <c r="Y21" s="2" t="s">
        <v>7</v>
      </c>
      <c r="Z21" s="2" t="s">
        <v>8</v>
      </c>
      <c r="AA21" s="2" t="s">
        <v>9</v>
      </c>
      <c r="AB21" s="2" t="s">
        <v>10</v>
      </c>
      <c r="AC21" s="2" t="s">
        <v>11</v>
      </c>
      <c r="AD21" s="2" t="s">
        <v>12</v>
      </c>
      <c r="AE21" s="2" t="s">
        <v>1</v>
      </c>
      <c r="AF21" s="2" t="s">
        <v>2</v>
      </c>
      <c r="AG21" s="2" t="s">
        <v>3</v>
      </c>
      <c r="AH21" s="2" t="s">
        <v>4</v>
      </c>
      <c r="AI21" s="2" t="s">
        <v>5</v>
      </c>
      <c r="AJ21" s="2" t="s">
        <v>6</v>
      </c>
      <c r="AK21" s="2" t="s">
        <v>7</v>
      </c>
      <c r="AL21" s="2" t="s">
        <v>8</v>
      </c>
      <c r="AM21" s="2" t="s">
        <v>9</v>
      </c>
      <c r="AN21" s="2" t="s">
        <v>10</v>
      </c>
      <c r="AO21" s="2" t="s">
        <v>11</v>
      </c>
      <c r="AP21" s="2" t="s">
        <v>12</v>
      </c>
    </row>
    <row r="22" spans="2:42" x14ac:dyDescent="0.45">
      <c r="B22" s="6">
        <f t="shared" ref="B22:B29" si="5">8*C22/4095</f>
        <v>1.5628815628815629</v>
      </c>
      <c r="C22" s="3">
        <v>800</v>
      </c>
      <c r="D22" s="1">
        <f>MIN(G22:AP22)</f>
        <v>-9.5218749999999713E-3</v>
      </c>
      <c r="E22" s="1">
        <f>MAX(G22:AP22)</f>
        <v>4.4864843750000008E-2</v>
      </c>
      <c r="F22" s="1">
        <f>AVERAGE(G22:AP22)</f>
        <v>1.1201953125000009E-2</v>
      </c>
      <c r="G22" s="1">
        <f t="shared" ref="G22:R22" si="6">(G3-$B3)/$B3</f>
        <v>1.6071875000000051E-2</v>
      </c>
      <c r="H22" s="1">
        <f t="shared" si="6"/>
        <v>2.6309375000000058E-2</v>
      </c>
      <c r="I22" s="1">
        <f t="shared" si="6"/>
        <v>2.758906250000006E-2</v>
      </c>
      <c r="J22" s="1">
        <f t="shared" si="6"/>
        <v>2.8868750000000061E-2</v>
      </c>
      <c r="K22" s="1">
        <f t="shared" si="6"/>
        <v>1.0313281249999974E-2</v>
      </c>
      <c r="L22" s="1">
        <f t="shared" si="6"/>
        <v>-5.0429687500000387E-3</v>
      </c>
      <c r="M22" s="1">
        <f t="shared" si="6"/>
        <v>3.0788281249999994E-2</v>
      </c>
      <c r="N22" s="1">
        <f t="shared" si="6"/>
        <v>1.3512500000000049E-2</v>
      </c>
      <c r="O22" s="1">
        <f t="shared" si="6"/>
        <v>1.0953125000000046E-2</v>
      </c>
      <c r="P22" s="1">
        <f t="shared" si="6"/>
        <v>-3.7632812500000379E-3</v>
      </c>
      <c r="Q22" s="1">
        <f t="shared" si="6"/>
        <v>2.9508593749999992E-2</v>
      </c>
      <c r="R22" s="1">
        <f t="shared" si="6"/>
        <v>2.8868750000000061E-2</v>
      </c>
      <c r="S22" s="1">
        <f t="shared" ref="S22:AD22" si="7">(S3-$B3)/$B3</f>
        <v>1.2232812500000047E-2</v>
      </c>
      <c r="T22" s="1">
        <f t="shared" si="7"/>
        <v>3.2750000000000396E-3</v>
      </c>
      <c r="U22" s="1">
        <f t="shared" si="7"/>
        <v>-9.5218749999999713E-3</v>
      </c>
      <c r="V22" s="1">
        <f t="shared" si="7"/>
        <v>-5.0429687500000387E-3</v>
      </c>
      <c r="W22" s="1">
        <f t="shared" si="7"/>
        <v>7.7539062499999726E-3</v>
      </c>
      <c r="X22" s="1">
        <f t="shared" si="7"/>
        <v>-2.4835937500000366E-3</v>
      </c>
      <c r="Y22" s="1">
        <f t="shared" si="7"/>
        <v>-5.640624999999639E-4</v>
      </c>
      <c r="Z22" s="1">
        <f t="shared" si="7"/>
        <v>1.9271093749999982E-2</v>
      </c>
      <c r="AA22" s="1">
        <f t="shared" si="7"/>
        <v>1.9953125000000383E-3</v>
      </c>
      <c r="AB22" s="1">
        <f t="shared" si="7"/>
        <v>-2.4835937500000366E-3</v>
      </c>
      <c r="AC22" s="1">
        <f t="shared" si="7"/>
        <v>9.0335937499999731E-3</v>
      </c>
      <c r="AD22" s="1">
        <f t="shared" si="7"/>
        <v>1.0953125000000046E-2</v>
      </c>
      <c r="AE22" s="1">
        <f t="shared" ref="AE22:AP22" si="8">(AE3-$B3)/$B3</f>
        <v>1.0953125000000046E-2</v>
      </c>
      <c r="AF22" s="1">
        <f t="shared" si="8"/>
        <v>3.2750000000000396E-3</v>
      </c>
      <c r="AG22" s="1">
        <f t="shared" si="8"/>
        <v>-2.4835937500000366E-3</v>
      </c>
      <c r="AH22" s="1">
        <f t="shared" si="8"/>
        <v>6.4742187499999713E-3</v>
      </c>
      <c r="AI22" s="1">
        <f t="shared" si="8"/>
        <v>1.3512500000000049E-2</v>
      </c>
      <c r="AJ22" s="1">
        <f t="shared" si="8"/>
        <v>-1.843749999999965E-3</v>
      </c>
      <c r="AK22" s="1">
        <f t="shared" si="8"/>
        <v>2.0550781249999983E-2</v>
      </c>
      <c r="AL22" s="1">
        <f t="shared" si="8"/>
        <v>-2.4835937500000366E-3</v>
      </c>
      <c r="AM22" s="1">
        <f t="shared" si="8"/>
        <v>1.6071875000000051E-2</v>
      </c>
      <c r="AN22" s="1">
        <f t="shared" si="8"/>
        <v>1.7991406249999981E-2</v>
      </c>
      <c r="AO22" s="1">
        <f t="shared" si="8"/>
        <v>1.7991406249999981E-2</v>
      </c>
      <c r="AP22" s="1">
        <f t="shared" si="8"/>
        <v>4.4864843750000008E-2</v>
      </c>
    </row>
    <row r="23" spans="2:42" x14ac:dyDescent="0.45">
      <c r="B23" s="6">
        <f t="shared" si="5"/>
        <v>5.8608058608058604</v>
      </c>
      <c r="C23" s="3">
        <v>3000</v>
      </c>
      <c r="D23" s="1">
        <f t="shared" ref="D23:D37" si="9">MIN(G23:AP23)</f>
        <v>-1.3787499999999892E-2</v>
      </c>
      <c r="E23" s="1">
        <f t="shared" ref="E23:E37" si="10">MAX(G23:AP23)</f>
        <v>5.1518750000000696E-3</v>
      </c>
      <c r="F23" s="1">
        <f t="shared" ref="F23:F37" si="11">AVERAGE(G23:AP23)</f>
        <v>-3.7964583333332563E-3</v>
      </c>
      <c r="G23" s="1">
        <f t="shared" ref="G23:R23" si="12">(G4-$B4)/$B4</f>
        <v>-7.4743749999999038E-3</v>
      </c>
      <c r="H23" s="1">
        <f t="shared" si="12"/>
        <v>-5.0856249999998637E-3</v>
      </c>
      <c r="I23" s="1">
        <f t="shared" si="12"/>
        <v>-1.3446249999999929E-2</v>
      </c>
      <c r="J23" s="1">
        <f t="shared" si="12"/>
        <v>-8.4981249999999432E-3</v>
      </c>
      <c r="K23" s="1">
        <f t="shared" si="12"/>
        <v>-2.867499999999881E-3</v>
      </c>
      <c r="L23" s="1">
        <f t="shared" si="12"/>
        <v>2.0375000000008415E-4</v>
      </c>
      <c r="M23" s="1">
        <f t="shared" si="12"/>
        <v>-6.2799999999999601E-3</v>
      </c>
      <c r="N23" s="1">
        <f t="shared" si="12"/>
        <v>-1.0033750000000001E-2</v>
      </c>
      <c r="O23" s="1">
        <f t="shared" si="12"/>
        <v>-6.9624999999998846E-3</v>
      </c>
      <c r="P23" s="1">
        <f t="shared" si="12"/>
        <v>5.1518750000000696E-3</v>
      </c>
      <c r="Q23" s="1">
        <f t="shared" si="12"/>
        <v>-4.4031249999999392E-3</v>
      </c>
      <c r="R23" s="1">
        <f t="shared" si="12"/>
        <v>-8.8393749999999063E-3</v>
      </c>
      <c r="S23" s="1">
        <f t="shared" ref="S23:AD23" si="13">(S4-$B4)/$B4</f>
        <v>-1.3749999999987828E-4</v>
      </c>
      <c r="T23" s="1">
        <f t="shared" si="13"/>
        <v>-2.5262499999999183E-3</v>
      </c>
      <c r="U23" s="1">
        <f t="shared" si="13"/>
        <v>8.8625000000000899E-4</v>
      </c>
      <c r="V23" s="1">
        <f t="shared" si="13"/>
        <v>2.080625000000105E-3</v>
      </c>
      <c r="W23" s="1">
        <f t="shared" si="13"/>
        <v>1.227500000000123E-3</v>
      </c>
      <c r="X23" s="1">
        <f t="shared" si="13"/>
        <v>1.3981250000000285E-3</v>
      </c>
      <c r="Y23" s="1">
        <f t="shared" si="13"/>
        <v>2.0375000000008415E-4</v>
      </c>
      <c r="Z23" s="1">
        <f t="shared" si="13"/>
        <v>-8.8393749999999063E-3</v>
      </c>
      <c r="AA23" s="1">
        <f t="shared" si="13"/>
        <v>-5.4268749999999777E-3</v>
      </c>
      <c r="AB23" s="1">
        <f t="shared" si="13"/>
        <v>-2.1849999999999561E-3</v>
      </c>
      <c r="AC23" s="1">
        <f t="shared" si="13"/>
        <v>-2.867499999999881E-3</v>
      </c>
      <c r="AD23" s="1">
        <f t="shared" si="13"/>
        <v>-8.1568749999999801E-3</v>
      </c>
      <c r="AE23" s="1">
        <f t="shared" ref="AE23:AP23" si="14">(AE4-$B4)/$B4</f>
        <v>-2.867499999999881E-3</v>
      </c>
      <c r="AF23" s="1">
        <f t="shared" si="14"/>
        <v>1.3981250000000285E-3</v>
      </c>
      <c r="AG23" s="1">
        <f t="shared" si="14"/>
        <v>-6.4937499999989776E-4</v>
      </c>
      <c r="AH23" s="1">
        <f t="shared" si="14"/>
        <v>-6.4937499999989776E-4</v>
      </c>
      <c r="AI23" s="1">
        <f t="shared" si="14"/>
        <v>-4.061874999999977E-3</v>
      </c>
      <c r="AJ23" s="1">
        <f t="shared" si="14"/>
        <v>5.4500000000004664E-4</v>
      </c>
      <c r="AK23" s="1">
        <f t="shared" si="14"/>
        <v>-5.0856249999998637E-3</v>
      </c>
      <c r="AL23" s="1">
        <f t="shared" si="14"/>
        <v>1.227500000000123E-3</v>
      </c>
      <c r="AM23" s="1">
        <f t="shared" si="14"/>
        <v>-7.8156249999998661E-3</v>
      </c>
      <c r="AN23" s="1">
        <f t="shared" si="14"/>
        <v>-5.4268749999999777E-3</v>
      </c>
      <c r="AO23" s="1">
        <f t="shared" si="14"/>
        <v>-6.6212499999999223E-3</v>
      </c>
      <c r="AP23" s="1">
        <f t="shared" si="14"/>
        <v>-1.3787499999999892E-2</v>
      </c>
    </row>
    <row r="24" spans="2:42" x14ac:dyDescent="0.45">
      <c r="B24" s="6">
        <f t="shared" si="5"/>
        <v>3.711843711843712</v>
      </c>
      <c r="C24" s="3">
        <v>1900</v>
      </c>
      <c r="D24" s="1">
        <f t="shared" si="9"/>
        <v>-3.4601973684211312E-3</v>
      </c>
      <c r="E24" s="1">
        <f t="shared" si="10"/>
        <v>6.7773026315789374E-3</v>
      </c>
      <c r="F24" s="1">
        <f t="shared" si="11"/>
        <v>7.0065789473681018E-4</v>
      </c>
      <c r="G24" s="1">
        <f t="shared" ref="G24:R24" si="15">(G5-$B5)/$B5</f>
        <v>3.1151315789472136E-4</v>
      </c>
      <c r="H24" s="1">
        <f t="shared" si="15"/>
        <v>5.1608552631578234E-3</v>
      </c>
      <c r="I24" s="1">
        <f t="shared" si="15"/>
        <v>-1.0355263157894605E-3</v>
      </c>
      <c r="J24" s="1">
        <f t="shared" si="15"/>
        <v>1.9279605263157154E-3</v>
      </c>
      <c r="K24" s="1">
        <f t="shared" si="15"/>
        <v>3.1151315789472136E-4</v>
      </c>
      <c r="L24" s="1">
        <f t="shared" si="15"/>
        <v>-1.0355263157894605E-3</v>
      </c>
      <c r="M24" s="1">
        <f t="shared" si="15"/>
        <v>5.1608552631578234E-3</v>
      </c>
      <c r="N24" s="1">
        <f t="shared" si="15"/>
        <v>-3.4601973684211312E-3</v>
      </c>
      <c r="O24" s="1">
        <f t="shared" si="15"/>
        <v>-7.6611842105264792E-4</v>
      </c>
      <c r="P24" s="1">
        <f t="shared" si="15"/>
        <v>8.5032894736834623E-4</v>
      </c>
      <c r="Q24" s="1">
        <f t="shared" si="15"/>
        <v>6.7773026315789374E-3</v>
      </c>
      <c r="R24" s="1">
        <f t="shared" si="15"/>
        <v>3.275000000000017E-3</v>
      </c>
      <c r="S24" s="1">
        <f t="shared" ref="S24:AD24" si="16">(S5-$B5)/$B5</f>
        <v>3.8138157894736418E-3</v>
      </c>
      <c r="T24" s="1">
        <f t="shared" si="16"/>
        <v>8.5032894736834623E-4</v>
      </c>
      <c r="U24" s="1">
        <f t="shared" si="16"/>
        <v>-2.1131578947368298E-3</v>
      </c>
      <c r="V24" s="1">
        <f t="shared" si="16"/>
        <v>1.9279605263157154E-3</v>
      </c>
      <c r="W24" s="1">
        <f t="shared" si="16"/>
        <v>4.3526315789473866E-3</v>
      </c>
      <c r="X24" s="1">
        <f t="shared" si="16"/>
        <v>3.275000000000017E-3</v>
      </c>
      <c r="Y24" s="1">
        <f t="shared" si="16"/>
        <v>1.3891447368420907E-3</v>
      </c>
      <c r="Z24" s="1">
        <f t="shared" si="16"/>
        <v>-2.2730263157902313E-4</v>
      </c>
      <c r="AA24" s="1">
        <f t="shared" si="16"/>
        <v>-2.6519736842105742E-3</v>
      </c>
      <c r="AB24" s="1">
        <f t="shared" si="16"/>
        <v>-1.5743421052632049E-3</v>
      </c>
      <c r="AC24" s="1">
        <f t="shared" si="16"/>
        <v>1.3891447368420907E-3</v>
      </c>
      <c r="AD24" s="1">
        <f t="shared" si="16"/>
        <v>-7.6611842105264792E-4</v>
      </c>
      <c r="AE24" s="1">
        <f t="shared" ref="AE24:AP24" si="17">(AE5-$B5)/$B5</f>
        <v>3.1151315789472136E-4</v>
      </c>
      <c r="AF24" s="1">
        <f t="shared" si="17"/>
        <v>-2.2730263157902313E-4</v>
      </c>
      <c r="AG24" s="1">
        <f t="shared" si="17"/>
        <v>-2.6519736842105742E-3</v>
      </c>
      <c r="AH24" s="1">
        <f t="shared" si="17"/>
        <v>8.5032894736834623E-4</v>
      </c>
      <c r="AI24" s="1">
        <f t="shared" si="17"/>
        <v>-1.0355263157894605E-3</v>
      </c>
      <c r="AJ24" s="1">
        <f t="shared" si="17"/>
        <v>-1.5743421052632049E-3</v>
      </c>
      <c r="AK24" s="1">
        <f t="shared" si="17"/>
        <v>1.3891447368420907E-3</v>
      </c>
      <c r="AL24" s="1">
        <f t="shared" si="17"/>
        <v>-2.6519736842105742E-3</v>
      </c>
      <c r="AM24" s="1">
        <f t="shared" si="17"/>
        <v>-7.6611842105264792E-4</v>
      </c>
      <c r="AN24" s="1">
        <f t="shared" si="17"/>
        <v>8.5032894736834623E-4</v>
      </c>
      <c r="AO24" s="1">
        <f t="shared" si="17"/>
        <v>-7.6611842105264792E-4</v>
      </c>
      <c r="AP24" s="1">
        <f t="shared" si="17"/>
        <v>4.3526315789473866E-3</v>
      </c>
    </row>
    <row r="25" spans="2:42" x14ac:dyDescent="0.45">
      <c r="B25" s="6">
        <f t="shared" si="5"/>
        <v>0.68962148962148961</v>
      </c>
      <c r="C25" s="3">
        <v>353</v>
      </c>
      <c r="D25" s="1">
        <f t="shared" si="9"/>
        <v>-2.2652266288951766E-2</v>
      </c>
      <c r="E25" s="1">
        <f t="shared" si="10"/>
        <v>9.6253541076487273E-2</v>
      </c>
      <c r="F25" s="1">
        <f t="shared" si="11"/>
        <v>3.0436437677053809E-2</v>
      </c>
      <c r="G25" s="1">
        <f t="shared" ref="G25:R25" si="18">(G6-$B6)/$B6</f>
        <v>4.2600920679886654E-2</v>
      </c>
      <c r="H25" s="1">
        <f t="shared" si="18"/>
        <v>5.5651558073654371E-2</v>
      </c>
      <c r="I25" s="1">
        <f t="shared" si="18"/>
        <v>7.4502478753541074E-2</v>
      </c>
      <c r="J25" s="1">
        <f t="shared" si="18"/>
        <v>7.4502478753541074E-2</v>
      </c>
      <c r="K25" s="1">
        <f t="shared" si="18"/>
        <v>3.825070821529742E-2</v>
      </c>
      <c r="L25" s="1">
        <f t="shared" si="18"/>
        <v>-3.8013456090650651E-3</v>
      </c>
      <c r="M25" s="1">
        <f t="shared" si="18"/>
        <v>7.0152266288951839E-2</v>
      </c>
      <c r="N25" s="1">
        <f t="shared" si="18"/>
        <v>4.115084985835691E-2</v>
      </c>
      <c r="O25" s="1">
        <f t="shared" si="18"/>
        <v>3.5350566572237924E-2</v>
      </c>
      <c r="P25" s="1">
        <f t="shared" si="18"/>
        <v>1.9399787535410714E-2</v>
      </c>
      <c r="Q25" s="1">
        <f t="shared" si="18"/>
        <v>7.0152266288951839E-2</v>
      </c>
      <c r="R25" s="1">
        <f t="shared" si="18"/>
        <v>6.4351983002832847E-2</v>
      </c>
      <c r="S25" s="1">
        <f t="shared" ref="S25:AD25" si="19">(S6-$B6)/$B6</f>
        <v>1.9399787535410714E-2</v>
      </c>
      <c r="T25" s="1">
        <f t="shared" si="19"/>
        <v>3.4490084985835056E-3</v>
      </c>
      <c r="U25" s="1">
        <f t="shared" si="19"/>
        <v>-2.2652266288951766E-2</v>
      </c>
      <c r="V25" s="1">
        <f t="shared" si="19"/>
        <v>-1.2501770538243542E-2</v>
      </c>
      <c r="W25" s="1">
        <f t="shared" si="19"/>
        <v>1.359950424929173E-2</v>
      </c>
      <c r="X25" s="1">
        <f t="shared" si="19"/>
        <v>-1.5401912181303035E-2</v>
      </c>
      <c r="Y25" s="1">
        <f t="shared" si="19"/>
        <v>-3.8013456090650651E-3</v>
      </c>
      <c r="Z25" s="1">
        <f t="shared" si="19"/>
        <v>3.825070821529742E-2</v>
      </c>
      <c r="AA25" s="1">
        <f t="shared" si="19"/>
        <v>6.3491501416429981E-3</v>
      </c>
      <c r="AB25" s="1">
        <f t="shared" si="19"/>
        <v>-3.8013456090650651E-3</v>
      </c>
      <c r="AC25" s="1">
        <f t="shared" si="19"/>
        <v>1.6499645892351224E-2</v>
      </c>
      <c r="AD25" s="1">
        <f t="shared" si="19"/>
        <v>2.52000708215297E-2</v>
      </c>
      <c r="AE25" s="1">
        <f t="shared" ref="AE25:AP25" si="20">(AE6-$B6)/$B6</f>
        <v>3.2450424929178434E-2</v>
      </c>
      <c r="AF25" s="1">
        <f t="shared" si="20"/>
        <v>1.9399787535410714E-2</v>
      </c>
      <c r="AG25" s="1">
        <f t="shared" si="20"/>
        <v>1.9399787535410714E-2</v>
      </c>
      <c r="AH25" s="1">
        <f t="shared" si="20"/>
        <v>2.2299929178470207E-2</v>
      </c>
      <c r="AI25" s="1">
        <f t="shared" si="20"/>
        <v>3.825070821529742E-2</v>
      </c>
      <c r="AJ25" s="1">
        <f t="shared" si="20"/>
        <v>1.6499645892351224E-2</v>
      </c>
      <c r="AK25" s="1">
        <f t="shared" si="20"/>
        <v>5.5651558073654371E-2</v>
      </c>
      <c r="AL25" s="1">
        <f t="shared" si="20"/>
        <v>9.2492917847024902E-3</v>
      </c>
      <c r="AM25" s="1">
        <f t="shared" si="20"/>
        <v>4.840120396600564E-2</v>
      </c>
      <c r="AN25" s="1">
        <f t="shared" si="20"/>
        <v>4.5501062322946151E-2</v>
      </c>
      <c r="AO25" s="1">
        <f t="shared" si="20"/>
        <v>4.5501062322946151E-2</v>
      </c>
      <c r="AP25" s="1">
        <f t="shared" si="20"/>
        <v>9.6253541076487273E-2</v>
      </c>
    </row>
    <row r="26" spans="2:42" x14ac:dyDescent="0.45">
      <c r="B26" s="6">
        <f t="shared" si="5"/>
        <v>0.98656898656898662</v>
      </c>
      <c r="C26" s="3">
        <v>505</v>
      </c>
      <c r="D26" s="1">
        <f t="shared" si="9"/>
        <v>-1.6794554455445618E-2</v>
      </c>
      <c r="E26" s="1">
        <f t="shared" si="10"/>
        <v>6.9362623762376119E-2</v>
      </c>
      <c r="F26" s="1">
        <f t="shared" si="11"/>
        <v>1.8766398514851412E-2</v>
      </c>
      <c r="G26" s="1">
        <f t="shared" ref="G26:R26" si="21">(G7-$B7)/$B7</f>
        <v>2.5777227722772238E-2</v>
      </c>
      <c r="H26" s="1">
        <f t="shared" si="21"/>
        <v>3.6926980198019661E-2</v>
      </c>
      <c r="I26" s="1">
        <f t="shared" si="21"/>
        <v>4.8076732673267307E-2</v>
      </c>
      <c r="J26" s="1">
        <f t="shared" si="21"/>
        <v>4.8076732673267307E-2</v>
      </c>
      <c r="K26" s="1">
        <f t="shared" si="21"/>
        <v>1.868193069306915E-2</v>
      </c>
      <c r="L26" s="1">
        <f t="shared" si="21"/>
        <v>-1.0712871287128783E-2</v>
      </c>
      <c r="M26" s="1">
        <f t="shared" si="21"/>
        <v>4.8076732673267307E-2</v>
      </c>
      <c r="N26" s="1">
        <f t="shared" si="21"/>
        <v>2.172277227722768E-2</v>
      </c>
      <c r="O26" s="1">
        <f t="shared" si="21"/>
        <v>1.9695544554455401E-2</v>
      </c>
      <c r="P26" s="1">
        <f t="shared" si="21"/>
        <v>1.4504950495048913E-3</v>
      </c>
      <c r="Q26" s="1">
        <f t="shared" si="21"/>
        <v>4.6049504950495028E-2</v>
      </c>
      <c r="R26" s="1">
        <f t="shared" si="21"/>
        <v>4.4022277227722749E-2</v>
      </c>
      <c r="S26" s="1">
        <f t="shared" ref="S26:AD26" si="22">(S7-$B7)/$B7</f>
        <v>1.6654702970296871E-2</v>
      </c>
      <c r="T26" s="1">
        <f t="shared" si="22"/>
        <v>3.4777227722771701E-3</v>
      </c>
      <c r="U26" s="1">
        <f t="shared" si="22"/>
        <v>-1.6794554455445618E-2</v>
      </c>
      <c r="V26" s="1">
        <f t="shared" si="22"/>
        <v>-9.6992574257426436E-3</v>
      </c>
      <c r="W26" s="1">
        <f t="shared" si="22"/>
        <v>1.0573019801980147E-2</v>
      </c>
      <c r="X26" s="1">
        <f t="shared" si="22"/>
        <v>-9.6992574257426436E-3</v>
      </c>
      <c r="Y26" s="1">
        <f t="shared" si="22"/>
        <v>-1.590346534653527E-3</v>
      </c>
      <c r="Z26" s="1">
        <f t="shared" si="22"/>
        <v>2.8818069306930545E-2</v>
      </c>
      <c r="AA26" s="1">
        <f t="shared" si="22"/>
        <v>5.5049504950494491E-3</v>
      </c>
      <c r="AB26" s="1">
        <f t="shared" si="22"/>
        <v>-3.6175742574258061E-3</v>
      </c>
      <c r="AC26" s="1">
        <f t="shared" si="22"/>
        <v>1.2600247524752426E-2</v>
      </c>
      <c r="AD26" s="1">
        <f t="shared" si="22"/>
        <v>1.868193069306915E-2</v>
      </c>
      <c r="AE26" s="1">
        <f t="shared" ref="AE26:AP26" si="23">(AE7-$B7)/$B7</f>
        <v>1.9695544554455401E-2</v>
      </c>
      <c r="AF26" s="1">
        <f t="shared" si="23"/>
        <v>7.5321782178217282E-3</v>
      </c>
      <c r="AG26" s="1">
        <f t="shared" si="23"/>
        <v>7.5321782178217282E-3</v>
      </c>
      <c r="AH26" s="1">
        <f t="shared" si="23"/>
        <v>1.0573019801980147E-2</v>
      </c>
      <c r="AI26" s="1">
        <f t="shared" si="23"/>
        <v>2.5777227722772238E-2</v>
      </c>
      <c r="AJ26" s="1">
        <f t="shared" si="23"/>
        <v>5.5049504950494491E-3</v>
      </c>
      <c r="AK26" s="1">
        <f t="shared" si="23"/>
        <v>3.6926980198019661E-2</v>
      </c>
      <c r="AL26" s="1">
        <f t="shared" si="23"/>
        <v>1.4504950495048913E-3</v>
      </c>
      <c r="AM26" s="1">
        <f t="shared" si="23"/>
        <v>3.0845297029702824E-2</v>
      </c>
      <c r="AN26" s="1">
        <f t="shared" si="23"/>
        <v>2.8818069306930545E-2</v>
      </c>
      <c r="AO26" s="1">
        <f t="shared" si="23"/>
        <v>2.8818069306930545E-2</v>
      </c>
      <c r="AP26" s="1">
        <f t="shared" si="23"/>
        <v>6.9362623762376119E-2</v>
      </c>
    </row>
    <row r="27" spans="2:42" x14ac:dyDescent="0.45">
      <c r="B27" s="6">
        <f t="shared" si="5"/>
        <v>6.233943833943834</v>
      </c>
      <c r="C27" s="3">
        <v>3191</v>
      </c>
      <c r="D27" s="1">
        <f t="shared" si="9"/>
        <v>-1.4428078972109045E-2</v>
      </c>
      <c r="E27" s="1">
        <f t="shared" si="10"/>
        <v>1.0275383892196802E-2</v>
      </c>
      <c r="F27" s="1">
        <f t="shared" si="11"/>
        <v>-3.4175709025384016E-3</v>
      </c>
      <c r="G27" s="1">
        <f t="shared" ref="G27:R27" si="24">(G8-$B8)/$B8</f>
        <v>-6.8887104356001603E-3</v>
      </c>
      <c r="H27" s="1">
        <f t="shared" si="24"/>
        <v>-6.8887104356001603E-3</v>
      </c>
      <c r="I27" s="1">
        <f t="shared" si="24"/>
        <v>-1.2984370103415934E-2</v>
      </c>
      <c r="J27" s="1">
        <f t="shared" si="24"/>
        <v>-9.2948918834221093E-3</v>
      </c>
      <c r="K27" s="1">
        <f t="shared" si="24"/>
        <v>-1.4346991538703262E-3</v>
      </c>
      <c r="L27" s="1">
        <f t="shared" si="24"/>
        <v>6.5065810090886636E-4</v>
      </c>
      <c r="M27" s="1">
        <f t="shared" si="24"/>
        <v>-6.5678862425572627E-3</v>
      </c>
      <c r="N27" s="1">
        <f t="shared" si="24"/>
        <v>-1.1059424945158261E-2</v>
      </c>
      <c r="O27" s="1">
        <f t="shared" si="24"/>
        <v>-6.5678862425572627E-3</v>
      </c>
      <c r="P27" s="1">
        <f t="shared" si="24"/>
        <v>1.0275383892196802E-2</v>
      </c>
      <c r="Q27" s="1">
        <f t="shared" si="24"/>
        <v>-4.0012926982137941E-3</v>
      </c>
      <c r="R27" s="1">
        <f t="shared" si="24"/>
        <v>-8.9740676903792109E-3</v>
      </c>
      <c r="S27" s="1">
        <f t="shared" ref="S27:AD27" si="25">(S8-$B8)/$B8</f>
        <v>-7.9305076778438794E-4</v>
      </c>
      <c r="T27" s="1">
        <f t="shared" si="25"/>
        <v>-2.2367596364776423E-3</v>
      </c>
      <c r="U27" s="1">
        <f t="shared" si="25"/>
        <v>9.7148229395176426E-4</v>
      </c>
      <c r="V27" s="1">
        <f t="shared" si="25"/>
        <v>3.0568395487308143E-3</v>
      </c>
      <c r="W27" s="1">
        <f t="shared" si="25"/>
        <v>2.0943669696019784E-3</v>
      </c>
      <c r="X27" s="1">
        <f t="shared" si="25"/>
        <v>6.5065810090886636E-4</v>
      </c>
      <c r="Y27" s="1">
        <f t="shared" si="25"/>
        <v>1.6131306800375601E-3</v>
      </c>
      <c r="Z27" s="1">
        <f t="shared" si="25"/>
        <v>-9.7761281729865264E-3</v>
      </c>
      <c r="AA27" s="1">
        <f t="shared" si="25"/>
        <v>-4.8033531808211105E-3</v>
      </c>
      <c r="AB27" s="1">
        <f t="shared" si="25"/>
        <v>-1.4346991538703262E-3</v>
      </c>
      <c r="AC27" s="1">
        <f t="shared" si="25"/>
        <v>-3.3596443121278563E-3</v>
      </c>
      <c r="AD27" s="1">
        <f t="shared" si="25"/>
        <v>-9.4553039799436297E-3</v>
      </c>
      <c r="AE27" s="1">
        <f t="shared" ref="AE27:AP27" si="26">(AE8-$B8)/$B8</f>
        <v>-1.5951112503917039E-3</v>
      </c>
      <c r="AF27" s="1">
        <f t="shared" si="26"/>
        <v>9.7148229395176426E-4</v>
      </c>
      <c r="AG27" s="1">
        <f t="shared" si="26"/>
        <v>3.0568395487308143E-3</v>
      </c>
      <c r="AH27" s="1">
        <f t="shared" si="26"/>
        <v>9.7148229395176426E-4</v>
      </c>
      <c r="AI27" s="1">
        <f t="shared" si="26"/>
        <v>-6.247062049514222E-3</v>
      </c>
      <c r="AJ27" s="1">
        <f t="shared" si="26"/>
        <v>2.7360153556879167E-3</v>
      </c>
      <c r="AK27" s="1">
        <f t="shared" si="26"/>
        <v>-4.0012926982137941E-3</v>
      </c>
      <c r="AL27" s="1">
        <f t="shared" si="26"/>
        <v>9.7148229395176426E-4</v>
      </c>
      <c r="AM27" s="1">
        <f t="shared" si="26"/>
        <v>-6.247062049514222E-3</v>
      </c>
      <c r="AN27" s="1">
        <f t="shared" si="26"/>
        <v>-4.8033531808211105E-3</v>
      </c>
      <c r="AO27" s="1">
        <f t="shared" si="26"/>
        <v>-7.2095346286430587E-3</v>
      </c>
      <c r="AP27" s="1">
        <f t="shared" si="26"/>
        <v>-1.4428078972109045E-2</v>
      </c>
    </row>
    <row r="28" spans="2:42" x14ac:dyDescent="0.45">
      <c r="B28" s="6">
        <f t="shared" si="5"/>
        <v>6.4</v>
      </c>
      <c r="C28" s="3">
        <v>3276</v>
      </c>
      <c r="D28" s="1">
        <f t="shared" si="9"/>
        <v>-1.6250000000000014E-2</v>
      </c>
      <c r="E28" s="1">
        <f t="shared" si="10"/>
        <v>1.0156249999999922E-2</v>
      </c>
      <c r="F28" s="1">
        <f t="shared" si="11"/>
        <v>-3.8151041666667227E-3</v>
      </c>
      <c r="G28" s="1">
        <f t="shared" ref="G28:R28" si="27">(G9-$B9)/$B9</f>
        <v>-6.8750000000000755E-3</v>
      </c>
      <c r="H28" s="1">
        <f t="shared" si="27"/>
        <v>-9.0625000000001121E-3</v>
      </c>
      <c r="I28" s="1">
        <f t="shared" si="27"/>
        <v>-1.421875000000003E-2</v>
      </c>
      <c r="J28" s="1">
        <f t="shared" si="27"/>
        <v>-1.0468750000000027E-2</v>
      </c>
      <c r="K28" s="1">
        <f t="shared" si="27"/>
        <v>-2.0312500000001232E-3</v>
      </c>
      <c r="L28" s="1">
        <f t="shared" si="27"/>
        <v>7.8124999999998335E-4</v>
      </c>
      <c r="M28" s="1">
        <f t="shared" si="27"/>
        <v>-8.5937500000000944E-3</v>
      </c>
      <c r="N28" s="1">
        <f t="shared" si="27"/>
        <v>-1.1406250000000062E-2</v>
      </c>
      <c r="O28" s="1">
        <f t="shared" si="27"/>
        <v>-7.3437500000000933E-3</v>
      </c>
      <c r="P28" s="1">
        <f t="shared" si="27"/>
        <v>1.0156249999999922E-2</v>
      </c>
      <c r="Q28" s="1">
        <f t="shared" si="27"/>
        <v>-6.2500000000000056E-3</v>
      </c>
      <c r="R28" s="1">
        <f t="shared" si="27"/>
        <v>-1.0781249999999992E-2</v>
      </c>
      <c r="S28" s="1">
        <f t="shared" ref="S28:AD28" si="28">(S9-$B9)/$B9</f>
        <v>-9.3750000000003553E-4</v>
      </c>
      <c r="T28" s="1">
        <f t="shared" si="28"/>
        <v>-3.7500000000000033E-3</v>
      </c>
      <c r="U28" s="1">
        <f t="shared" si="28"/>
        <v>1.0937499999999489E-3</v>
      </c>
      <c r="V28" s="1">
        <f t="shared" si="28"/>
        <v>3.5937499999999512E-3</v>
      </c>
      <c r="W28" s="1">
        <f t="shared" si="28"/>
        <v>1.7187499999998801E-3</v>
      </c>
      <c r="X28" s="1">
        <f t="shared" si="28"/>
        <v>4.6874999999987899E-4</v>
      </c>
      <c r="Y28" s="1">
        <f t="shared" si="28"/>
        <v>1.7187499999998801E-3</v>
      </c>
      <c r="Z28" s="1">
        <f t="shared" si="28"/>
        <v>-1.0000000000000009E-2</v>
      </c>
      <c r="AA28" s="1">
        <f t="shared" si="28"/>
        <v>-4.5312499999999867E-3</v>
      </c>
      <c r="AB28" s="1">
        <f t="shared" si="28"/>
        <v>-9.3750000000003553E-4</v>
      </c>
      <c r="AC28" s="1">
        <f t="shared" si="28"/>
        <v>-3.4375000000000377E-3</v>
      </c>
      <c r="AD28" s="1">
        <f t="shared" si="28"/>
        <v>-9.3750000000000777E-3</v>
      </c>
      <c r="AE28" s="1">
        <f t="shared" ref="AE28:AP28" si="29">(AE9-$B9)/$B9</f>
        <v>-1.7187500000000189E-3</v>
      </c>
      <c r="AF28" s="1">
        <f t="shared" si="29"/>
        <v>3.1249999999999334E-3</v>
      </c>
      <c r="AG28" s="1">
        <f t="shared" si="29"/>
        <v>3.437499999999899E-3</v>
      </c>
      <c r="AH28" s="1">
        <f t="shared" si="29"/>
        <v>3.1249999999996558E-4</v>
      </c>
      <c r="AI28" s="1">
        <f t="shared" si="29"/>
        <v>-6.8750000000000755E-3</v>
      </c>
      <c r="AJ28" s="1">
        <f t="shared" si="29"/>
        <v>4.5312499999999867E-3</v>
      </c>
      <c r="AK28" s="1">
        <f t="shared" si="29"/>
        <v>-5.1562500000000566E-3</v>
      </c>
      <c r="AL28" s="1">
        <f t="shared" si="29"/>
        <v>1.7187499999998801E-3</v>
      </c>
      <c r="AM28" s="1">
        <f t="shared" si="29"/>
        <v>-6.8750000000000755E-3</v>
      </c>
      <c r="AN28" s="1">
        <f t="shared" si="29"/>
        <v>-5.93750000000004E-3</v>
      </c>
      <c r="AO28" s="1">
        <f t="shared" si="29"/>
        <v>-7.1875000000000411E-3</v>
      </c>
      <c r="AP28" s="1">
        <f t="shared" si="29"/>
        <v>-1.6250000000000014E-2</v>
      </c>
    </row>
    <row r="29" spans="2:42" x14ac:dyDescent="0.45">
      <c r="B29" s="6">
        <f t="shared" si="5"/>
        <v>8</v>
      </c>
      <c r="C29" s="3">
        <v>4095</v>
      </c>
      <c r="D29" s="1">
        <f t="shared" si="9"/>
        <v>-2.3625000000000007E-2</v>
      </c>
      <c r="E29" s="1">
        <f t="shared" si="10"/>
        <v>1.6874999999999973E-2</v>
      </c>
      <c r="F29" s="1">
        <f t="shared" si="11"/>
        <v>-5.7083333333333248E-3</v>
      </c>
      <c r="G29" s="1">
        <f t="shared" ref="G29:R29" si="30">(G10-$B10)/$B10</f>
        <v>-9.4999999999999529E-3</v>
      </c>
      <c r="H29" s="1">
        <f t="shared" si="30"/>
        <v>-1.1750000000000038E-2</v>
      </c>
      <c r="I29" s="1">
        <f t="shared" si="30"/>
        <v>-1.837500000000003E-2</v>
      </c>
      <c r="J29" s="1">
        <f t="shared" si="30"/>
        <v>-1.3624999999999998E-2</v>
      </c>
      <c r="K29" s="1">
        <f t="shared" si="30"/>
        <v>-2.2499999999999742E-3</v>
      </c>
      <c r="L29" s="1">
        <f t="shared" si="30"/>
        <v>1.1250000000000426E-3</v>
      </c>
      <c r="M29" s="1">
        <f t="shared" si="30"/>
        <v>-1.3375000000000026E-2</v>
      </c>
      <c r="N29" s="1">
        <f t="shared" si="30"/>
        <v>-1.3125000000000053E-2</v>
      </c>
      <c r="O29" s="1">
        <f t="shared" si="30"/>
        <v>-1.0000000000000009E-2</v>
      </c>
      <c r="P29" s="1">
        <f t="shared" si="30"/>
        <v>1.6874999999999973E-2</v>
      </c>
      <c r="Q29" s="1">
        <f t="shared" si="30"/>
        <v>-9.4999999999999529E-3</v>
      </c>
      <c r="R29" s="1">
        <f t="shared" si="30"/>
        <v>-1.5000000000000013E-2</v>
      </c>
      <c r="S29" s="1">
        <f t="shared" ref="S29:AD29" si="31">(S10-$B10)/$B10</f>
        <v>-4.4999999999999485E-3</v>
      </c>
      <c r="T29" s="1">
        <f t="shared" si="31"/>
        <v>-5.2499999999999769E-3</v>
      </c>
      <c r="U29" s="1">
        <f t="shared" si="31"/>
        <v>1.8750000000000711E-3</v>
      </c>
      <c r="V29" s="1">
        <f t="shared" si="31"/>
        <v>2.7500000000000302E-3</v>
      </c>
      <c r="W29" s="1">
        <f t="shared" si="31"/>
        <v>7.5000000000002842E-4</v>
      </c>
      <c r="X29" s="1">
        <f t="shared" si="31"/>
        <v>-1.6249999999999876E-3</v>
      </c>
      <c r="Y29" s="1">
        <f t="shared" si="31"/>
        <v>4.9999999999994493E-4</v>
      </c>
      <c r="Z29" s="1">
        <f t="shared" si="31"/>
        <v>-1.5249999999999986E-2</v>
      </c>
      <c r="AA29" s="1">
        <f t="shared" si="31"/>
        <v>-6.7500000000000338E-3</v>
      </c>
      <c r="AB29" s="1">
        <f t="shared" si="31"/>
        <v>-1.7500000000000293E-3</v>
      </c>
      <c r="AC29" s="1">
        <f t="shared" si="31"/>
        <v>-6.1250000000000471E-3</v>
      </c>
      <c r="AD29" s="1">
        <f t="shared" si="31"/>
        <v>-1.3624999999999998E-2</v>
      </c>
      <c r="AE29" s="1">
        <f t="shared" ref="AE29:AP29" si="32">(AE10-$B10)/$B10</f>
        <v>-2.8749999999999609E-3</v>
      </c>
      <c r="AF29" s="1">
        <f t="shared" si="32"/>
        <v>3.8750000000000728E-3</v>
      </c>
      <c r="AG29" s="1">
        <f t="shared" si="32"/>
        <v>5.5000000000000604E-3</v>
      </c>
      <c r="AH29" s="1">
        <f t="shared" si="32"/>
        <v>-1.3750000000000151E-3</v>
      </c>
      <c r="AI29" s="1">
        <f t="shared" si="32"/>
        <v>-1.0000000000000009E-2</v>
      </c>
      <c r="AJ29" s="1">
        <f t="shared" si="32"/>
        <v>8.2500000000000906E-3</v>
      </c>
      <c r="AK29" s="1">
        <f t="shared" si="32"/>
        <v>-9.4999999999999529E-3</v>
      </c>
      <c r="AL29" s="1">
        <f t="shared" si="32"/>
        <v>2.4999999999999467E-3</v>
      </c>
      <c r="AM29" s="1">
        <f t="shared" si="32"/>
        <v>-1.0874999999999968E-2</v>
      </c>
      <c r="AN29" s="1">
        <f t="shared" si="32"/>
        <v>-9.2499999999999805E-3</v>
      </c>
      <c r="AO29" s="1">
        <f t="shared" si="32"/>
        <v>-1.0624999999999996E-2</v>
      </c>
      <c r="AP29" s="1">
        <f t="shared" si="32"/>
        <v>-2.3625000000000007E-2</v>
      </c>
    </row>
    <row r="30" spans="2:42" x14ac:dyDescent="0.45">
      <c r="B30" s="6">
        <f t="shared" ref="B30:B37" si="33">32*C30/4095</f>
        <v>6.2515262515262515</v>
      </c>
      <c r="C30" s="4">
        <v>800</v>
      </c>
      <c r="D30" s="1">
        <f t="shared" si="9"/>
        <v>-2.9197070312500007E-2</v>
      </c>
      <c r="E30" s="1">
        <f t="shared" si="10"/>
        <v>3.9746093750000003E-2</v>
      </c>
      <c r="F30" s="1">
        <f t="shared" si="11"/>
        <v>8.4426269531249921E-3</v>
      </c>
      <c r="G30" s="1">
        <f t="shared" ref="G30:R30" si="34">(G11-$B11)/$B11</f>
        <v>1.4632226562499996E-2</v>
      </c>
      <c r="H30" s="1">
        <f t="shared" si="34"/>
        <v>2.8388867187500045E-2</v>
      </c>
      <c r="I30" s="1">
        <f t="shared" si="34"/>
        <v>2.0550781249999983E-2</v>
      </c>
      <c r="J30" s="1">
        <f t="shared" si="34"/>
        <v>1.9591015624999947E-2</v>
      </c>
      <c r="K30" s="1">
        <f t="shared" si="34"/>
        <v>4.2347656249999335E-3</v>
      </c>
      <c r="L30" s="1">
        <f t="shared" si="34"/>
        <v>7.7539062499999726E-3</v>
      </c>
      <c r="M30" s="1">
        <f t="shared" si="34"/>
        <v>2.7429101562500009E-2</v>
      </c>
      <c r="N30" s="1">
        <f t="shared" si="34"/>
        <v>1.2072851562499994E-2</v>
      </c>
      <c r="O30" s="1">
        <f t="shared" si="34"/>
        <v>1.6711718749999979E-2</v>
      </c>
      <c r="P30" s="1">
        <f t="shared" si="34"/>
        <v>-2.9197070312500007E-2</v>
      </c>
      <c r="Q30" s="1">
        <f t="shared" si="34"/>
        <v>2.3430078124999951E-2</v>
      </c>
      <c r="R30" s="1">
        <f t="shared" si="34"/>
        <v>2.694921874999999E-2</v>
      </c>
      <c r="S30" s="1">
        <f t="shared" ref="S30:AD30" si="35">(S11-$B11)/$B11</f>
        <v>7.4339843750000079E-3</v>
      </c>
      <c r="T30" s="1">
        <f t="shared" si="35"/>
        <v>5.19453124999997E-3</v>
      </c>
      <c r="U30" s="1">
        <f t="shared" si="35"/>
        <v>-7.9222656250000061E-3</v>
      </c>
      <c r="V30" s="1">
        <f t="shared" si="35"/>
        <v>-4.0410156250005253E-4</v>
      </c>
      <c r="W30" s="1">
        <f t="shared" si="35"/>
        <v>-2.4835937500000366E-3</v>
      </c>
      <c r="X30" s="1">
        <f t="shared" si="35"/>
        <v>2.4751953125000566E-3</v>
      </c>
      <c r="Y30" s="1">
        <f t="shared" si="35"/>
        <v>-2.8035156250000013E-3</v>
      </c>
      <c r="Z30" s="1">
        <f t="shared" si="35"/>
        <v>1.7031640624999945E-2</v>
      </c>
      <c r="AA30" s="1">
        <f t="shared" si="35"/>
        <v>3.1150390624999861E-3</v>
      </c>
      <c r="AB30" s="1">
        <f t="shared" si="35"/>
        <v>-4.2431640625000561E-3</v>
      </c>
      <c r="AC30" s="1">
        <f t="shared" si="35"/>
        <v>4.8746093750000052E-3</v>
      </c>
      <c r="AD30" s="1">
        <f t="shared" si="35"/>
        <v>1.0313281249999974E-2</v>
      </c>
      <c r="AE30" s="1">
        <f t="shared" ref="AE30:AP30" si="36">(AE11-$B11)/$B11</f>
        <v>8.5537109374999552E-3</v>
      </c>
      <c r="AF30" s="1">
        <f t="shared" si="36"/>
        <v>-1.0801562499999973E-2</v>
      </c>
      <c r="AG30" s="1">
        <f t="shared" si="36"/>
        <v>-1.7839843750000049E-2</v>
      </c>
      <c r="AH30" s="1">
        <f t="shared" si="36"/>
        <v>1.0953125000000046E-2</v>
      </c>
      <c r="AI30" s="1">
        <f t="shared" si="36"/>
        <v>1.6391796875000017E-2</v>
      </c>
      <c r="AJ30" s="1">
        <f t="shared" si="36"/>
        <v>-1.6400195312499997E-2</v>
      </c>
      <c r="AK30" s="1">
        <f t="shared" si="36"/>
        <v>1.6391796875000017E-2</v>
      </c>
      <c r="AL30" s="1">
        <f t="shared" si="36"/>
        <v>-3.9232421874999491E-3</v>
      </c>
      <c r="AM30" s="1">
        <f t="shared" si="36"/>
        <v>1.9910937500000055E-2</v>
      </c>
      <c r="AN30" s="1">
        <f t="shared" si="36"/>
        <v>1.5911914062499997E-2</v>
      </c>
      <c r="AO30" s="1">
        <f t="shared" si="36"/>
        <v>1.9910937500000055E-2</v>
      </c>
      <c r="AP30" s="1">
        <f t="shared" si="36"/>
        <v>3.9746093750000003E-2</v>
      </c>
    </row>
    <row r="31" spans="2:42" x14ac:dyDescent="0.45">
      <c r="B31" s="6">
        <f t="shared" si="33"/>
        <v>23.443223443223442</v>
      </c>
      <c r="C31" s="4">
        <v>3000</v>
      </c>
      <c r="D31" s="1">
        <f t="shared" si="9"/>
        <v>-1.0247031249999958E-2</v>
      </c>
      <c r="E31" s="1">
        <f t="shared" si="10"/>
        <v>8.5217187500000961E-3</v>
      </c>
      <c r="F31" s="1">
        <f t="shared" si="11"/>
        <v>-1.445624999999932E-3</v>
      </c>
      <c r="G31" s="1">
        <f t="shared" ref="G31:R31" si="37">(G12-$B12)/$B12</f>
        <v>-4.4884374999998918E-3</v>
      </c>
      <c r="H31" s="1">
        <f t="shared" si="37"/>
        <v>-4.5737499999999962E-3</v>
      </c>
      <c r="I31" s="1">
        <f t="shared" si="37"/>
        <v>-3.8059374999999669E-3</v>
      </c>
      <c r="J31" s="1">
        <f t="shared" si="37"/>
        <v>-5.9814062499998983E-3</v>
      </c>
      <c r="K31" s="1">
        <f t="shared" si="37"/>
        <v>-3.6353124999999099E-3</v>
      </c>
      <c r="L31" s="1">
        <f t="shared" si="37"/>
        <v>1.3981250000000285E-3</v>
      </c>
      <c r="M31" s="1">
        <f t="shared" si="37"/>
        <v>-5.4268749999999777E-3</v>
      </c>
      <c r="N31" s="1">
        <f t="shared" si="37"/>
        <v>-1.8864062499998942E-3</v>
      </c>
      <c r="O31" s="1">
        <f t="shared" si="37"/>
        <v>-5.5121874999999312E-3</v>
      </c>
      <c r="P31" s="1">
        <f t="shared" si="37"/>
        <v>8.5217187500000961E-3</v>
      </c>
      <c r="Q31" s="1">
        <f t="shared" si="37"/>
        <v>-2.1849999999999561E-3</v>
      </c>
      <c r="R31" s="1">
        <f t="shared" si="37"/>
        <v>-9.0099999999999625E-3</v>
      </c>
      <c r="S31" s="1">
        <f t="shared" ref="S31:AD31" si="38">(S12-$B12)/$B12</f>
        <v>-6.4937499999989776E-4</v>
      </c>
      <c r="T31" s="1">
        <f t="shared" si="38"/>
        <v>1.8673437499999957E-3</v>
      </c>
      <c r="U31" s="1">
        <f t="shared" si="38"/>
        <v>2.0375000000008415E-4</v>
      </c>
      <c r="V31" s="1">
        <f t="shared" si="38"/>
        <v>3.9575000000001258E-3</v>
      </c>
      <c r="W31" s="1">
        <f t="shared" si="38"/>
        <v>3.1043749999999921E-3</v>
      </c>
      <c r="X31" s="1">
        <f t="shared" si="38"/>
        <v>-2.0143749999998991E-3</v>
      </c>
      <c r="Y31" s="1">
        <f t="shared" si="38"/>
        <v>-2.3982812499999135E-3</v>
      </c>
      <c r="Z31" s="1">
        <f t="shared" si="38"/>
        <v>-2.2703124999999087E-3</v>
      </c>
      <c r="AA31" s="1">
        <f t="shared" si="38"/>
        <v>1.6114062500001377E-3</v>
      </c>
      <c r="AB31" s="1">
        <f t="shared" si="38"/>
        <v>8.4359375000010847E-4</v>
      </c>
      <c r="AC31" s="1">
        <f t="shared" si="38"/>
        <v>-2.0996875000000035E-3</v>
      </c>
      <c r="AD31" s="1">
        <f t="shared" si="38"/>
        <v>-3.2514062499998954E-3</v>
      </c>
      <c r="AE31" s="1">
        <f t="shared" ref="AE31:AP31" si="39">(AE12-$B12)/$B12</f>
        <v>-2.0996875000000035E-3</v>
      </c>
      <c r="AF31" s="1">
        <f t="shared" si="39"/>
        <v>2.7631250000000299E-3</v>
      </c>
      <c r="AG31" s="1">
        <f t="shared" si="39"/>
        <v>4.3840625000000407E-3</v>
      </c>
      <c r="AH31" s="1">
        <f t="shared" si="39"/>
        <v>-1.24656249999987E-3</v>
      </c>
      <c r="AI31" s="1">
        <f t="shared" si="39"/>
        <v>-1.5024999999998796E-3</v>
      </c>
      <c r="AJ31" s="1">
        <f t="shared" si="39"/>
        <v>3.7868750000000688E-3</v>
      </c>
      <c r="AK31" s="1">
        <f t="shared" si="39"/>
        <v>-2.7821874999999284E-3</v>
      </c>
      <c r="AL31" s="1">
        <f t="shared" si="39"/>
        <v>2.2939062500000624E-3</v>
      </c>
      <c r="AM31" s="1">
        <f t="shared" si="39"/>
        <v>-1.417187499999927E-3</v>
      </c>
      <c r="AN31" s="1">
        <f t="shared" si="39"/>
        <v>-5.7254687499998886E-3</v>
      </c>
      <c r="AO31" s="1">
        <f t="shared" si="39"/>
        <v>-2.5689062499999705E-3</v>
      </c>
      <c r="AP31" s="1">
        <f t="shared" si="39"/>
        <v>-1.0247031249999958E-2</v>
      </c>
    </row>
    <row r="32" spans="2:42" x14ac:dyDescent="0.45">
      <c r="B32" s="6">
        <f t="shared" si="33"/>
        <v>14.847374847374848</v>
      </c>
      <c r="C32" s="4">
        <v>1900</v>
      </c>
      <c r="D32" s="1">
        <f t="shared" si="9"/>
        <v>-5.1439967105262989E-3</v>
      </c>
      <c r="E32" s="1">
        <f t="shared" si="10"/>
        <v>5.3629111842104626E-3</v>
      </c>
      <c r="F32" s="1">
        <f t="shared" si="11"/>
        <v>1.7315172697368038E-3</v>
      </c>
      <c r="G32" s="1">
        <f t="shared" ref="G32:R32" si="40">(G13-$B13)/$B13</f>
        <v>1.6585526315789031E-3</v>
      </c>
      <c r="H32" s="1">
        <f t="shared" si="40"/>
        <v>5.3629111842104626E-3</v>
      </c>
      <c r="I32" s="1">
        <f t="shared" si="40"/>
        <v>2.0626644736841818E-3</v>
      </c>
      <c r="J32" s="1">
        <f t="shared" si="40"/>
        <v>9.1768092105263903E-4</v>
      </c>
      <c r="K32" s="1">
        <f t="shared" si="40"/>
        <v>-9.0082236842111405E-4</v>
      </c>
      <c r="L32" s="1">
        <f t="shared" si="40"/>
        <v>3.6117598684210026E-3</v>
      </c>
      <c r="M32" s="1">
        <f t="shared" si="40"/>
        <v>5.09350328947365E-3</v>
      </c>
      <c r="N32" s="1">
        <f t="shared" si="40"/>
        <v>8.5032894736834623E-4</v>
      </c>
      <c r="O32" s="1">
        <f t="shared" si="40"/>
        <v>1.1870888157894514E-3</v>
      </c>
      <c r="P32" s="1">
        <f t="shared" si="40"/>
        <v>-5.1439967105262989E-3</v>
      </c>
      <c r="Q32" s="1">
        <f t="shared" si="40"/>
        <v>4.1505756578947475E-3</v>
      </c>
      <c r="R32" s="1">
        <f t="shared" si="40"/>
        <v>2.2647203947368209E-3</v>
      </c>
      <c r="S32" s="1">
        <f t="shared" ref="S32:AD32" si="41">(S13-$B13)/$B13</f>
        <v>4.7567434210525452E-3</v>
      </c>
      <c r="T32" s="1">
        <f t="shared" si="41"/>
        <v>4.1505756578947475E-3</v>
      </c>
      <c r="U32" s="1">
        <f t="shared" si="41"/>
        <v>-1.2375822368420996E-3</v>
      </c>
      <c r="V32" s="1">
        <f t="shared" si="41"/>
        <v>4.1505756578947475E-3</v>
      </c>
      <c r="W32" s="1">
        <f t="shared" si="41"/>
        <v>1.9279605263157154E-3</v>
      </c>
      <c r="X32" s="1">
        <f t="shared" si="41"/>
        <v>1.6585526315789031E-3</v>
      </c>
      <c r="Y32" s="1">
        <f t="shared" si="41"/>
        <v>-6.3141447368430159E-4</v>
      </c>
      <c r="Z32" s="1">
        <f t="shared" si="41"/>
        <v>5.3629111842104626E-3</v>
      </c>
      <c r="AA32" s="1">
        <f t="shared" si="41"/>
        <v>3.6117598684210026E-3</v>
      </c>
      <c r="AB32" s="1">
        <f t="shared" si="41"/>
        <v>4.4621710526306774E-4</v>
      </c>
      <c r="AC32" s="1">
        <f t="shared" si="41"/>
        <v>1.9279605263157154E-3</v>
      </c>
      <c r="AD32" s="1">
        <f t="shared" si="41"/>
        <v>3.275000000000017E-3</v>
      </c>
      <c r="AE32" s="1">
        <f t="shared" ref="AE32:AP32" si="42">(AE13-$B13)/$B13</f>
        <v>7.1562499999999979E-4</v>
      </c>
      <c r="AF32" s="1">
        <f t="shared" si="42"/>
        <v>-2.247861842105296E-3</v>
      </c>
      <c r="AG32" s="1">
        <f t="shared" si="42"/>
        <v>-4.5378289473685003E-3</v>
      </c>
      <c r="AH32" s="1">
        <f t="shared" si="42"/>
        <v>2.8708881578947383E-3</v>
      </c>
      <c r="AI32" s="1">
        <f t="shared" si="42"/>
        <v>3.4097039473683635E-3</v>
      </c>
      <c r="AJ32" s="1">
        <f t="shared" si="42"/>
        <v>-4.5378289473685003E-3</v>
      </c>
      <c r="AK32" s="1">
        <f t="shared" si="42"/>
        <v>2.8708881578947383E-3</v>
      </c>
      <c r="AL32" s="1">
        <f t="shared" si="42"/>
        <v>-1.776398026315844E-3</v>
      </c>
      <c r="AM32" s="1">
        <f t="shared" si="42"/>
        <v>5.3629111842104626E-3</v>
      </c>
      <c r="AN32" s="1">
        <f t="shared" si="42"/>
        <v>8.5032894736834623E-4</v>
      </c>
      <c r="AO32" s="1">
        <f t="shared" si="42"/>
        <v>4.6220394736841983E-3</v>
      </c>
      <c r="AP32" s="1">
        <f t="shared" si="42"/>
        <v>4.21792763157892E-3</v>
      </c>
    </row>
    <row r="33" spans="2:42" x14ac:dyDescent="0.45">
      <c r="B33" s="6">
        <f t="shared" si="33"/>
        <v>2.7584859584859585</v>
      </c>
      <c r="C33" s="4">
        <v>353</v>
      </c>
      <c r="D33" s="1">
        <f t="shared" si="9"/>
        <v>-2.4827372521246466E-2</v>
      </c>
      <c r="E33" s="1">
        <f t="shared" si="10"/>
        <v>8.1390315155807413E-2</v>
      </c>
      <c r="F33" s="1">
        <f t="shared" si="11"/>
        <v>2.3508321529745042E-2</v>
      </c>
      <c r="G33" s="1">
        <f t="shared" ref="G33:R33" si="43">(G14-$B14)/$B14</f>
        <v>4.2600920679886654E-2</v>
      </c>
      <c r="H33" s="1">
        <f t="shared" si="43"/>
        <v>6.2176876770538313E-2</v>
      </c>
      <c r="I33" s="1">
        <f t="shared" si="43"/>
        <v>6.036428824362601E-2</v>
      </c>
      <c r="J33" s="1">
        <f t="shared" si="43"/>
        <v>5.3838969546742228E-2</v>
      </c>
      <c r="K33" s="1">
        <f t="shared" si="43"/>
        <v>2.2662446883852765E-2</v>
      </c>
      <c r="L33" s="1">
        <f t="shared" si="43"/>
        <v>2.012482294617567E-2</v>
      </c>
      <c r="M33" s="1">
        <f t="shared" si="43"/>
        <v>6.4714500708215245E-2</v>
      </c>
      <c r="N33" s="1">
        <f t="shared" si="43"/>
        <v>3.7888190509915022E-2</v>
      </c>
      <c r="O33" s="1">
        <f t="shared" si="43"/>
        <v>4.1875885269121865E-2</v>
      </c>
      <c r="P33" s="1">
        <f t="shared" si="43"/>
        <v>-2.4827372521246466E-2</v>
      </c>
      <c r="Q33" s="1">
        <f t="shared" si="43"/>
        <v>5.818918201133147E-2</v>
      </c>
      <c r="R33" s="1">
        <f t="shared" si="43"/>
        <v>6.1451841359773357E-2</v>
      </c>
      <c r="S33" s="1">
        <f t="shared" ref="S33:AD33" si="44">(S14-$B14)/$B14</f>
        <v>1.2149433427761983E-2</v>
      </c>
      <c r="T33" s="1">
        <f t="shared" si="44"/>
        <v>6.3491501416429981E-3</v>
      </c>
      <c r="U33" s="1">
        <f t="shared" si="44"/>
        <v>-1.6851983002832784E-2</v>
      </c>
      <c r="V33" s="1">
        <f t="shared" si="44"/>
        <v>-7.0640049575071149E-3</v>
      </c>
      <c r="W33" s="1">
        <f t="shared" si="44"/>
        <v>-2.3512747875354795E-3</v>
      </c>
      <c r="X33" s="1">
        <f t="shared" si="44"/>
        <v>9.1138456090657032E-4</v>
      </c>
      <c r="Y33" s="1">
        <f t="shared" si="44"/>
        <v>-7.0640049575071149E-3</v>
      </c>
      <c r="Z33" s="1">
        <f t="shared" si="44"/>
        <v>2.8462730169971751E-2</v>
      </c>
      <c r="AA33" s="1">
        <f t="shared" si="44"/>
        <v>3.4490084985835056E-3</v>
      </c>
      <c r="AB33" s="1">
        <f t="shared" si="44"/>
        <v>-9.6016288951840511E-3</v>
      </c>
      <c r="AC33" s="1">
        <f t="shared" si="44"/>
        <v>7.4367032577903483E-3</v>
      </c>
      <c r="AD33" s="1">
        <f t="shared" si="44"/>
        <v>1.7949716713880969E-2</v>
      </c>
      <c r="AE33" s="1">
        <f t="shared" ref="AE33:AP33" si="45">(AE14-$B14)/$B14</f>
        <v>2.5925106232294656E-2</v>
      </c>
      <c r="AF33" s="1">
        <f t="shared" si="45"/>
        <v>-9.0120396600573336E-4</v>
      </c>
      <c r="AG33" s="1">
        <f t="shared" si="45"/>
        <v>-1.1414217422096353E-2</v>
      </c>
      <c r="AH33" s="1">
        <f t="shared" si="45"/>
        <v>2.4837553116147305E-2</v>
      </c>
      <c r="AI33" s="1">
        <f t="shared" si="45"/>
        <v>3.7163155099150226E-2</v>
      </c>
      <c r="AJ33" s="1">
        <f t="shared" si="45"/>
        <v>-1.0689182011331401E-2</v>
      </c>
      <c r="AK33" s="1">
        <f t="shared" si="45"/>
        <v>3.9700779036827165E-2</v>
      </c>
      <c r="AL33" s="1">
        <f t="shared" si="45"/>
        <v>1.636419971671363E-3</v>
      </c>
      <c r="AM33" s="1">
        <f t="shared" si="45"/>
        <v>4.2963438385269052E-2</v>
      </c>
      <c r="AN33" s="1">
        <f t="shared" si="45"/>
        <v>3.7888190509915022E-2</v>
      </c>
      <c r="AO33" s="1">
        <f t="shared" si="45"/>
        <v>4.2963438385269052E-2</v>
      </c>
      <c r="AP33" s="1">
        <f t="shared" si="45"/>
        <v>8.1390315155807413E-2</v>
      </c>
    </row>
    <row r="34" spans="2:42" x14ac:dyDescent="0.45">
      <c r="B34" s="6">
        <f t="shared" si="33"/>
        <v>3.9462759462759465</v>
      </c>
      <c r="C34" s="4">
        <v>505</v>
      </c>
      <c r="D34" s="1">
        <f t="shared" si="9"/>
        <v>-3.5039603960396126E-2</v>
      </c>
      <c r="E34" s="1">
        <f t="shared" si="10"/>
        <v>5.9226485148514731E-2</v>
      </c>
      <c r="F34" s="1">
        <f t="shared" si="11"/>
        <v>1.3480120668316763E-2</v>
      </c>
      <c r="G34" s="1">
        <f t="shared" ref="G34:R34" si="46">(G15-$B15)/$B15</f>
        <v>2.4256806930692973E-2</v>
      </c>
      <c r="H34" s="1">
        <f t="shared" si="46"/>
        <v>4.0728032178217827E-2</v>
      </c>
      <c r="I34" s="1">
        <f t="shared" si="46"/>
        <v>3.5153155940593997E-2</v>
      </c>
      <c r="J34" s="1">
        <f t="shared" si="46"/>
        <v>3.1098700495049442E-2</v>
      </c>
      <c r="K34" s="1">
        <f t="shared" si="46"/>
        <v>1.031961633663364E-2</v>
      </c>
      <c r="L34" s="1">
        <f t="shared" si="46"/>
        <v>9.0525990099009929E-3</v>
      </c>
      <c r="M34" s="1">
        <f t="shared" si="46"/>
        <v>4.1234839108910834E-2</v>
      </c>
      <c r="N34" s="1">
        <f t="shared" si="46"/>
        <v>1.9695544554455401E-2</v>
      </c>
      <c r="O34" s="1">
        <f t="shared" si="46"/>
        <v>2.4256806930692973E-2</v>
      </c>
      <c r="P34" s="1">
        <f t="shared" si="46"/>
        <v>-3.5039603960396126E-2</v>
      </c>
      <c r="Q34" s="1">
        <f t="shared" si="46"/>
        <v>3.5153155940593997E-2</v>
      </c>
      <c r="R34" s="1">
        <f t="shared" si="46"/>
        <v>3.8447400990098926E-2</v>
      </c>
      <c r="S34" s="1">
        <f t="shared" ref="S34:AD34" si="47">(S15-$B15)/$B15</f>
        <v>1.0066212871287132E-2</v>
      </c>
      <c r="T34" s="1">
        <f t="shared" si="47"/>
        <v>5.7583539603959562E-3</v>
      </c>
      <c r="U34" s="1">
        <f t="shared" si="47"/>
        <v>-1.2486695544554555E-2</v>
      </c>
      <c r="V34" s="1">
        <f t="shared" si="47"/>
        <v>-3.3641707920792994E-3</v>
      </c>
      <c r="W34" s="1">
        <f t="shared" si="47"/>
        <v>-2.3505569306931599E-3</v>
      </c>
      <c r="X34" s="1">
        <f t="shared" si="47"/>
        <v>2.2107054455445239E-3</v>
      </c>
      <c r="Y34" s="1">
        <f t="shared" si="47"/>
        <v>-4.3777846534654389E-3</v>
      </c>
      <c r="Z34" s="1">
        <f t="shared" si="47"/>
        <v>2.3749999999999959E-2</v>
      </c>
      <c r="AA34" s="1">
        <f t="shared" si="47"/>
        <v>3.9845297029702962E-3</v>
      </c>
      <c r="AB34" s="1">
        <f t="shared" si="47"/>
        <v>-7.4186262376238574E-3</v>
      </c>
      <c r="AC34" s="1">
        <f t="shared" si="47"/>
        <v>6.2651608910890815E-3</v>
      </c>
      <c r="AD34" s="1">
        <f t="shared" si="47"/>
        <v>1.4627475247524592E-2</v>
      </c>
      <c r="AE34" s="1">
        <f t="shared" ref="AE34:AP34" si="48">(AE15-$B15)/$B15</f>
        <v>1.5387685643564224E-2</v>
      </c>
      <c r="AF34" s="1">
        <f t="shared" si="48"/>
        <v>-9.4458539603961365E-3</v>
      </c>
      <c r="AG34" s="1">
        <f t="shared" si="48"/>
        <v>-1.9075185643564405E-2</v>
      </c>
      <c r="AH34" s="1">
        <f t="shared" si="48"/>
        <v>1.6908106435643489E-2</v>
      </c>
      <c r="AI34" s="1">
        <f t="shared" si="48"/>
        <v>2.5270420792079223E-2</v>
      </c>
      <c r="AJ34" s="1">
        <f t="shared" si="48"/>
        <v>-1.7301361386138633E-2</v>
      </c>
      <c r="AK34" s="1">
        <f t="shared" si="48"/>
        <v>2.4763613861385987E-2</v>
      </c>
      <c r="AL34" s="1">
        <f t="shared" si="48"/>
        <v>-4.3777846534654389E-3</v>
      </c>
      <c r="AM34" s="1">
        <f t="shared" si="48"/>
        <v>2.8818069306930545E-2</v>
      </c>
      <c r="AN34" s="1">
        <f t="shared" si="48"/>
        <v>2.3749999999999959E-2</v>
      </c>
      <c r="AO34" s="1">
        <f t="shared" si="48"/>
        <v>3.033849009900981E-2</v>
      </c>
      <c r="AP34" s="1">
        <f t="shared" si="48"/>
        <v>5.9226485148514731E-2</v>
      </c>
    </row>
    <row r="35" spans="2:42" x14ac:dyDescent="0.45">
      <c r="B35" s="6">
        <f t="shared" si="33"/>
        <v>24.935775335775336</v>
      </c>
      <c r="C35" s="4">
        <v>3191</v>
      </c>
      <c r="D35" s="1">
        <f t="shared" si="9"/>
        <v>-1.0618291679724258E-2</v>
      </c>
      <c r="E35" s="1">
        <f t="shared" si="10"/>
        <v>1.143837159197743E-2</v>
      </c>
      <c r="F35" s="1">
        <f t="shared" si="11"/>
        <v>-1.2508936266060796E-3</v>
      </c>
      <c r="G35" s="1">
        <f t="shared" ref="G35:R35" si="49">(G16-$B16)/$B16</f>
        <v>-4.2820138671262765E-3</v>
      </c>
      <c r="H35" s="1">
        <f t="shared" si="49"/>
        <v>-4.6429410842995901E-3</v>
      </c>
      <c r="I35" s="1">
        <f t="shared" si="49"/>
        <v>-4.7231471325602792E-3</v>
      </c>
      <c r="J35" s="1">
        <f t="shared" si="49"/>
        <v>-6.4876801942964314E-3</v>
      </c>
      <c r="K35" s="1">
        <f t="shared" si="49"/>
        <v>-3.1992322156063359E-3</v>
      </c>
      <c r="L35" s="1">
        <f t="shared" si="49"/>
        <v>1.1719974146035578E-3</v>
      </c>
      <c r="M35" s="1">
        <f t="shared" si="49"/>
        <v>-5.4450015669069065E-3</v>
      </c>
      <c r="N35" s="1">
        <f t="shared" si="49"/>
        <v>-2.6778929019116446E-3</v>
      </c>
      <c r="O35" s="1">
        <f t="shared" si="49"/>
        <v>-6.8887104356001603E-3</v>
      </c>
      <c r="P35" s="1">
        <f t="shared" si="49"/>
        <v>1.143837159197743E-2</v>
      </c>
      <c r="Q35" s="1">
        <f t="shared" si="49"/>
        <v>-2.9586140708242692E-3</v>
      </c>
      <c r="R35" s="1">
        <f t="shared" si="49"/>
        <v>-1.0618291679724258E-2</v>
      </c>
      <c r="S35" s="1">
        <f t="shared" ref="S35:AD35" si="50">(S16-$B16)/$B16</f>
        <v>-7.9305076778438794E-4</v>
      </c>
      <c r="T35" s="1">
        <f t="shared" si="50"/>
        <v>2.695912331557501E-3</v>
      </c>
      <c r="U35" s="1">
        <f t="shared" si="50"/>
        <v>3.6993693199624165E-4</v>
      </c>
      <c r="V35" s="1">
        <f t="shared" si="50"/>
        <v>3.2974576935130237E-3</v>
      </c>
      <c r="W35" s="1">
        <f t="shared" si="50"/>
        <v>3.1370455969915033E-3</v>
      </c>
      <c r="X35" s="1">
        <f t="shared" si="50"/>
        <v>-9.9356588843618125E-4</v>
      </c>
      <c r="Y35" s="1">
        <f t="shared" si="50"/>
        <v>-2.4773777812598513E-3</v>
      </c>
      <c r="Z35" s="1">
        <f t="shared" si="50"/>
        <v>-3.4799533845189605E-3</v>
      </c>
      <c r="AA35" s="1">
        <f t="shared" si="50"/>
        <v>2.0542639454715628E-3</v>
      </c>
      <c r="AB35" s="1">
        <f t="shared" si="50"/>
        <v>1.8938518489501849E-3</v>
      </c>
      <c r="AC35" s="1">
        <f t="shared" si="50"/>
        <v>-2.316965684738331E-3</v>
      </c>
      <c r="AD35" s="1">
        <f t="shared" si="50"/>
        <v>-3.3195412879974406E-3</v>
      </c>
      <c r="AE35" s="1">
        <f t="shared" ref="AE35:AP35" si="51">(AE16-$B16)/$B16</f>
        <v>-1.7154203227828086E-3</v>
      </c>
      <c r="AF35" s="1">
        <f t="shared" si="51"/>
        <v>4.8213726104669669E-3</v>
      </c>
      <c r="AG35" s="1">
        <f t="shared" si="51"/>
        <v>7.5082752272015397E-3</v>
      </c>
      <c r="AH35" s="1">
        <f t="shared" si="51"/>
        <v>-5.5243262300217887E-4</v>
      </c>
      <c r="AI35" s="1">
        <f t="shared" si="51"/>
        <v>-1.3143900814792217E-3</v>
      </c>
      <c r="AJ35" s="1">
        <f t="shared" si="51"/>
        <v>6.5859056722031191E-3</v>
      </c>
      <c r="AK35" s="1">
        <f t="shared" si="51"/>
        <v>-3.1190261673456473E-3</v>
      </c>
      <c r="AL35" s="1">
        <f t="shared" si="51"/>
        <v>3.2974576935130237E-3</v>
      </c>
      <c r="AM35" s="1">
        <f t="shared" si="51"/>
        <v>-5.5243262300217887E-4</v>
      </c>
      <c r="AN35" s="1">
        <f t="shared" si="51"/>
        <v>-6.8887104356001603E-3</v>
      </c>
      <c r="AO35" s="1">
        <f t="shared" si="51"/>
        <v>-3.6804685051707543E-3</v>
      </c>
      <c r="AP35" s="1">
        <f t="shared" si="51"/>
        <v>-1.0177158414290255E-2</v>
      </c>
    </row>
    <row r="36" spans="2:42" x14ac:dyDescent="0.45">
      <c r="B36" s="6">
        <f t="shared" si="33"/>
        <v>25.6</v>
      </c>
      <c r="C36" s="4">
        <v>3276</v>
      </c>
      <c r="D36" s="1">
        <f t="shared" si="9"/>
        <v>-1.1796875000000123E-2</v>
      </c>
      <c r="E36" s="1">
        <f t="shared" si="10"/>
        <v>1.3398437499999999E-2</v>
      </c>
      <c r="F36" s="1">
        <f t="shared" si="11"/>
        <v>-1.5115017361111696E-3</v>
      </c>
      <c r="G36" s="1">
        <f t="shared" ref="G36:R36" si="52">(G17-$B17)/$B17</f>
        <v>-5.6250000000000744E-3</v>
      </c>
      <c r="H36" s="1">
        <f t="shared" si="52"/>
        <v>-6.4843750000000144E-3</v>
      </c>
      <c r="I36" s="1">
        <f t="shared" si="52"/>
        <v>-5.2734375000000611E-3</v>
      </c>
      <c r="J36" s="1">
        <f t="shared" si="52"/>
        <v>-7.5000000000000067E-3</v>
      </c>
      <c r="K36" s="1">
        <f t="shared" si="52"/>
        <v>-4.02343750000006E-3</v>
      </c>
      <c r="L36" s="1">
        <f t="shared" si="52"/>
        <v>9.7656249999994449E-4</v>
      </c>
      <c r="M36" s="1">
        <f t="shared" si="52"/>
        <v>-8.1250000000000766E-3</v>
      </c>
      <c r="N36" s="1">
        <f t="shared" si="52"/>
        <v>-3.2421875000000766E-3</v>
      </c>
      <c r="O36" s="1">
        <f t="shared" si="52"/>
        <v>-7.5390625000000544E-3</v>
      </c>
      <c r="P36" s="1">
        <f t="shared" si="52"/>
        <v>1.3398437499999999E-2</v>
      </c>
      <c r="Q36" s="1">
        <f t="shared" si="52"/>
        <v>-3.7890625000000511E-3</v>
      </c>
      <c r="R36" s="1">
        <f t="shared" si="52"/>
        <v>-1.1796875000000123E-2</v>
      </c>
      <c r="S36" s="1">
        <f t="shared" ref="S36:AD36" si="53">(S17-$B17)/$B17</f>
        <v>3.9062499999992228E-4</v>
      </c>
      <c r="T36" s="1">
        <f t="shared" si="53"/>
        <v>2.6562499999999156E-3</v>
      </c>
      <c r="U36" s="1">
        <f t="shared" si="53"/>
        <v>2.3437500000000888E-4</v>
      </c>
      <c r="V36" s="1">
        <f t="shared" si="53"/>
        <v>3.7109374999999556E-3</v>
      </c>
      <c r="W36" s="1">
        <f t="shared" si="53"/>
        <v>3.5937499999999512E-3</v>
      </c>
      <c r="X36" s="1">
        <f t="shared" si="53"/>
        <v>-2.0312500000001232E-3</v>
      </c>
      <c r="Y36" s="1">
        <f t="shared" si="53"/>
        <v>-2.7343750000000111E-3</v>
      </c>
      <c r="Z36" s="1">
        <f t="shared" si="53"/>
        <v>-4.2968750000001166E-3</v>
      </c>
      <c r="AA36" s="1">
        <f t="shared" si="53"/>
        <v>2.4609374999999545E-3</v>
      </c>
      <c r="AB36" s="1">
        <f t="shared" si="53"/>
        <v>1.6015624999998757E-3</v>
      </c>
      <c r="AC36" s="1">
        <f t="shared" si="53"/>
        <v>-3.0859375000000244E-3</v>
      </c>
      <c r="AD36" s="1">
        <f t="shared" si="53"/>
        <v>-4.02343750000006E-3</v>
      </c>
      <c r="AE36" s="1">
        <f t="shared" ref="AE36:AP36" si="54">(AE17-$B17)/$B17</f>
        <v>-1.2890625000000488E-3</v>
      </c>
      <c r="AF36" s="1">
        <f t="shared" si="54"/>
        <v>6.4453124999999667E-3</v>
      </c>
      <c r="AG36" s="1">
        <f t="shared" si="54"/>
        <v>8.71093749999996E-3</v>
      </c>
      <c r="AH36" s="1">
        <f t="shared" si="54"/>
        <v>-3.1250000000010436E-4</v>
      </c>
      <c r="AI36" s="1">
        <f t="shared" si="54"/>
        <v>-1.6796875000001099E-3</v>
      </c>
      <c r="AJ36" s="1">
        <f t="shared" si="54"/>
        <v>7.3437499999999545E-3</v>
      </c>
      <c r="AK36" s="1">
        <f t="shared" si="54"/>
        <v>-2.929687500000111E-3</v>
      </c>
      <c r="AL36" s="1">
        <f t="shared" si="54"/>
        <v>3.2421874999999378E-3</v>
      </c>
      <c r="AM36" s="1">
        <f t="shared" si="54"/>
        <v>-1.1718750000000444E-3</v>
      </c>
      <c r="AN36" s="1">
        <f t="shared" si="54"/>
        <v>-7.6171875000000111E-3</v>
      </c>
      <c r="AO36" s="1">
        <f t="shared" si="54"/>
        <v>-3.6328124999999989E-3</v>
      </c>
      <c r="AP36" s="1">
        <f t="shared" si="54"/>
        <v>-1.0976562500000092E-2</v>
      </c>
    </row>
    <row r="37" spans="2:42" x14ac:dyDescent="0.45">
      <c r="B37" s="6">
        <f t="shared" si="33"/>
        <v>32</v>
      </c>
      <c r="C37" s="4">
        <v>4095</v>
      </c>
      <c r="D37" s="1">
        <f t="shared" si="9"/>
        <v>-1.8874999999999975E-2</v>
      </c>
      <c r="E37" s="1">
        <f t="shared" si="10"/>
        <v>2.1187499999999915E-2</v>
      </c>
      <c r="F37" s="1">
        <f t="shared" si="11"/>
        <v>-2.9453125000000035E-3</v>
      </c>
      <c r="G37" s="1">
        <f t="shared" ref="G37:R37" si="55">(G18-$B18)/$B18</f>
        <v>-5.3750000000000187E-3</v>
      </c>
      <c r="H37" s="1">
        <f t="shared" si="55"/>
        <v>-9.6249999999999947E-3</v>
      </c>
      <c r="I37" s="1">
        <f t="shared" si="55"/>
        <v>-6.624999999999992E-3</v>
      </c>
      <c r="J37" s="1">
        <f t="shared" si="55"/>
        <v>-9.7812499999999636E-3</v>
      </c>
      <c r="K37" s="1">
        <f t="shared" si="55"/>
        <v>-4.3437499999999796E-3</v>
      </c>
      <c r="L37" s="1">
        <f t="shared" si="55"/>
        <v>1.1562499999999698E-3</v>
      </c>
      <c r="M37" s="1">
        <f t="shared" si="55"/>
        <v>-1.1218750000000055E-2</v>
      </c>
      <c r="N37" s="1">
        <f t="shared" si="55"/>
        <v>-3.7812499999999583E-3</v>
      </c>
      <c r="O37" s="1">
        <f t="shared" si="55"/>
        <v>-1.1031250000000048E-2</v>
      </c>
      <c r="P37" s="1">
        <f t="shared" si="55"/>
        <v>2.1187499999999915E-2</v>
      </c>
      <c r="Q37" s="1">
        <f t="shared" si="55"/>
        <v>-6.5625000000000266E-3</v>
      </c>
      <c r="R37" s="1">
        <f t="shared" si="55"/>
        <v>-1.6593749999999963E-2</v>
      </c>
      <c r="S37" s="1">
        <f t="shared" ref="S37:AD37" si="56">(S18-$B18)/$B18</f>
        <v>-1.4999999999999458E-3</v>
      </c>
      <c r="T37" s="1">
        <f t="shared" si="56"/>
        <v>8.7499999999995914E-4</v>
      </c>
      <c r="U37" s="1">
        <f t="shared" si="56"/>
        <v>1.2499999999993072E-4</v>
      </c>
      <c r="V37" s="1">
        <f t="shared" si="56"/>
        <v>1.9687500000000746E-3</v>
      </c>
      <c r="W37" s="1">
        <f t="shared" si="56"/>
        <v>5.0312500000000426E-3</v>
      </c>
      <c r="X37" s="1">
        <f t="shared" si="56"/>
        <v>-4.4062499999999449E-3</v>
      </c>
      <c r="Y37" s="1">
        <f t="shared" si="56"/>
        <v>-4.6249999999999902E-3</v>
      </c>
      <c r="Z37" s="1">
        <f t="shared" si="56"/>
        <v>-8.8437500000000391E-3</v>
      </c>
      <c r="AA37" s="1">
        <f t="shared" si="56"/>
        <v>4.6875000000001776E-4</v>
      </c>
      <c r="AB37" s="1">
        <f t="shared" si="56"/>
        <v>1.5000000000000568E-3</v>
      </c>
      <c r="AC37" s="1">
        <f t="shared" si="56"/>
        <v>-4.9062500000000009E-3</v>
      </c>
      <c r="AD37" s="1">
        <f t="shared" si="56"/>
        <v>-6.4374999999999849E-3</v>
      </c>
      <c r="AE37" s="1">
        <f t="shared" ref="AE37:AP37" si="57">(AE18-$B18)/$B18</f>
        <v>-2.4687500000000195E-3</v>
      </c>
      <c r="AF37" s="1">
        <f t="shared" si="57"/>
        <v>9.0937499999999005E-3</v>
      </c>
      <c r="AG37" s="1">
        <f t="shared" si="57"/>
        <v>1.2843750000000043E-2</v>
      </c>
      <c r="AH37" s="1">
        <f t="shared" si="57"/>
        <v>-3.3125000000000515E-3</v>
      </c>
      <c r="AI37" s="1">
        <f t="shared" si="57"/>
        <v>-5.3125000000000533E-3</v>
      </c>
      <c r="AJ37" s="1">
        <f t="shared" si="57"/>
        <v>1.2187500000000018E-2</v>
      </c>
      <c r="AK37" s="1">
        <f t="shared" si="57"/>
        <v>-6.3437499999999813E-3</v>
      </c>
      <c r="AL37" s="1">
        <f t="shared" si="57"/>
        <v>4.4687500000000213E-3</v>
      </c>
      <c r="AM37" s="1">
        <f t="shared" si="57"/>
        <v>-5.0312500000000426E-3</v>
      </c>
      <c r="AN37" s="1">
        <f t="shared" si="57"/>
        <v>-1.171875E-2</v>
      </c>
      <c r="AO37" s="1">
        <f t="shared" si="57"/>
        <v>-8.2187500000000524E-3</v>
      </c>
      <c r="AP37" s="1">
        <f t="shared" si="57"/>
        <v>-1.8874999999999975E-2</v>
      </c>
    </row>
    <row r="38" spans="2:42" x14ac:dyDescent="0.45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2:42" x14ac:dyDescent="0.45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2:42" x14ac:dyDescent="0.45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DECC-EBE7-48BC-96F9-78643E09B7D2}">
  <dimension ref="B2:AP40"/>
  <sheetViews>
    <sheetView zoomScale="70" zoomScaleNormal="70" workbookViewId="0">
      <selection activeCell="B39" sqref="B39:S61"/>
    </sheetView>
  </sheetViews>
  <sheetFormatPr defaultRowHeight="17" x14ac:dyDescent="0.45"/>
  <cols>
    <col min="2" max="2" width="8.6640625" customWidth="1"/>
  </cols>
  <sheetData>
    <row r="2" spans="2:42" x14ac:dyDescent="0.45">
      <c r="B2" t="s">
        <v>16</v>
      </c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 s="6">
        <f t="shared" ref="B3:B10" si="0">8*C3/4095</f>
        <v>0.78144078144078144</v>
      </c>
      <c r="C3" s="3">
        <v>400</v>
      </c>
      <c r="D3" s="5">
        <f>MIN(G3:AP3)</f>
        <v>0.76800000000000002</v>
      </c>
      <c r="E3" s="5">
        <f>MAX(G3:AP3)</f>
        <v>0.84699999999999998</v>
      </c>
      <c r="F3" s="5">
        <f>AVERAGE(G3:AP3)</f>
        <v>0.80024999999999991</v>
      </c>
      <c r="G3">
        <v>0.81</v>
      </c>
      <c r="H3">
        <v>0.81699999999999995</v>
      </c>
      <c r="I3">
        <v>0.83199999999999996</v>
      </c>
      <c r="J3">
        <v>0.83</v>
      </c>
      <c r="K3">
        <v>0.79900000000000004</v>
      </c>
      <c r="L3">
        <v>0.77400000000000002</v>
      </c>
      <c r="M3">
        <v>0.83</v>
      </c>
      <c r="N3">
        <v>0.80800000000000005</v>
      </c>
      <c r="O3">
        <v>0.80500000000000005</v>
      </c>
      <c r="P3">
        <v>0.78300000000000003</v>
      </c>
      <c r="Q3">
        <v>0.82099999999999995</v>
      </c>
      <c r="R3">
        <v>0.82699999999999996</v>
      </c>
      <c r="S3">
        <v>0.79600000000000004</v>
      </c>
      <c r="T3">
        <v>0.78300000000000003</v>
      </c>
      <c r="U3">
        <v>0.76800000000000002</v>
      </c>
      <c r="V3">
        <v>0.77</v>
      </c>
      <c r="W3">
        <v>0.79</v>
      </c>
      <c r="X3">
        <v>0.77</v>
      </c>
      <c r="Y3">
        <v>0.77700000000000002</v>
      </c>
      <c r="Z3">
        <v>0.80800000000000005</v>
      </c>
      <c r="AA3">
        <v>0.78500000000000003</v>
      </c>
      <c r="AB3">
        <v>0.77700000000000002</v>
      </c>
      <c r="AC3">
        <v>0.79400000000000004</v>
      </c>
      <c r="AD3">
        <v>0.80300000000000005</v>
      </c>
      <c r="AE3">
        <v>0.80100000000000005</v>
      </c>
      <c r="AF3">
        <v>0.78700000000000003</v>
      </c>
      <c r="AG3">
        <v>0.79200000000000004</v>
      </c>
      <c r="AH3">
        <v>0.79400000000000004</v>
      </c>
      <c r="AI3">
        <v>0.80700000000000005</v>
      </c>
      <c r="AJ3">
        <v>0.78700000000000003</v>
      </c>
      <c r="AK3">
        <v>0.81599999999999995</v>
      </c>
      <c r="AL3">
        <v>0.78500000000000003</v>
      </c>
      <c r="AM3">
        <v>0.81200000000000006</v>
      </c>
      <c r="AN3">
        <v>0.81200000000000006</v>
      </c>
      <c r="AO3">
        <v>0.81200000000000006</v>
      </c>
      <c r="AP3">
        <v>0.84699999999999998</v>
      </c>
    </row>
    <row r="4" spans="2:42" x14ac:dyDescent="0.45">
      <c r="B4" s="6">
        <f t="shared" si="0"/>
        <v>5.8608058608058604</v>
      </c>
      <c r="C4" s="3">
        <v>3000</v>
      </c>
      <c r="D4" s="5">
        <f t="shared" ref="D4:D18" si="1">MIN(G4:AP4)</f>
        <v>5.7889999999999997</v>
      </c>
      <c r="E4" s="5">
        <f t="shared" ref="E4:E18" si="2">MAX(G4:AP4)</f>
        <v>5.8730000000000002</v>
      </c>
      <c r="F4" s="5">
        <f t="shared" ref="F4:F18" si="3">AVERAGE(G4:AP4)</f>
        <v>5.8366944444444453</v>
      </c>
      <c r="G4">
        <v>5.8220000000000001</v>
      </c>
      <c r="H4">
        <v>5.8310000000000004</v>
      </c>
      <c r="I4">
        <v>5.7889999999999997</v>
      </c>
      <c r="J4">
        <v>5.806</v>
      </c>
      <c r="K4">
        <v>5.8259999999999996</v>
      </c>
      <c r="L4">
        <v>5.8620000000000001</v>
      </c>
      <c r="M4">
        <v>5.8259999999999996</v>
      </c>
      <c r="N4">
        <v>5.8129999999999997</v>
      </c>
      <c r="O4">
        <v>5.8280000000000003</v>
      </c>
      <c r="P4">
        <v>5.8680000000000003</v>
      </c>
      <c r="Q4">
        <v>5.7930000000000001</v>
      </c>
      <c r="R4">
        <v>5.8109999999999999</v>
      </c>
      <c r="S4">
        <v>5.8579999999999997</v>
      </c>
      <c r="T4">
        <v>5.8419999999999996</v>
      </c>
      <c r="U4">
        <v>5.8730000000000002</v>
      </c>
      <c r="V4">
        <v>5.8730000000000002</v>
      </c>
      <c r="W4">
        <v>5.8659999999999997</v>
      </c>
      <c r="X4">
        <v>5.8639999999999999</v>
      </c>
      <c r="Y4">
        <v>5.8689999999999998</v>
      </c>
      <c r="Z4">
        <v>5.8090000000000002</v>
      </c>
      <c r="AA4">
        <v>5.8280000000000003</v>
      </c>
      <c r="AB4">
        <v>5.8490000000000002</v>
      </c>
      <c r="AC4">
        <v>5.8419999999999996</v>
      </c>
      <c r="AD4">
        <v>5.8490000000000002</v>
      </c>
      <c r="AE4">
        <v>5.8460000000000001</v>
      </c>
      <c r="AF4">
        <v>5.8289999999999997</v>
      </c>
      <c r="AG4">
        <v>5.835</v>
      </c>
      <c r="AH4">
        <v>5.8570000000000002</v>
      </c>
      <c r="AI4">
        <v>5.8419999999999996</v>
      </c>
      <c r="AJ4">
        <v>5.8730000000000002</v>
      </c>
      <c r="AK4">
        <v>5.8259999999999996</v>
      </c>
      <c r="AL4">
        <v>5.8659999999999997</v>
      </c>
      <c r="AM4">
        <v>5.8079999999999998</v>
      </c>
      <c r="AN4">
        <v>5.8289999999999997</v>
      </c>
      <c r="AO4">
        <v>5.82</v>
      </c>
      <c r="AP4">
        <v>5.7930000000000001</v>
      </c>
    </row>
    <row r="5" spans="2:42" x14ac:dyDescent="0.45">
      <c r="B5" s="6">
        <f t="shared" si="0"/>
        <v>3.3211233211233213</v>
      </c>
      <c r="C5" s="3">
        <v>1700</v>
      </c>
      <c r="D5" s="5">
        <f t="shared" si="1"/>
        <v>3.286</v>
      </c>
      <c r="E5" s="5">
        <f t="shared" si="2"/>
        <v>3.35</v>
      </c>
      <c r="F5" s="5">
        <f t="shared" si="3"/>
        <v>3.3218611111111107</v>
      </c>
      <c r="G5">
        <v>3.323</v>
      </c>
      <c r="H5">
        <v>3.3370000000000002</v>
      </c>
      <c r="I5">
        <v>3.3210000000000002</v>
      </c>
      <c r="J5">
        <v>3.3260000000000001</v>
      </c>
      <c r="K5">
        <v>3.3029999999999999</v>
      </c>
      <c r="L5">
        <v>3.31</v>
      </c>
      <c r="M5">
        <v>3.343</v>
      </c>
      <c r="N5">
        <v>3.31</v>
      </c>
      <c r="O5">
        <v>3.319</v>
      </c>
      <c r="P5">
        <v>3.286</v>
      </c>
      <c r="Q5">
        <v>3.3170000000000002</v>
      </c>
      <c r="R5">
        <v>3.3319999999999999</v>
      </c>
      <c r="S5">
        <v>3.3479999999999999</v>
      </c>
      <c r="T5">
        <v>3.3279999999999998</v>
      </c>
      <c r="U5">
        <v>3.323</v>
      </c>
      <c r="V5">
        <v>3.3239999999999998</v>
      </c>
      <c r="W5">
        <v>3.339</v>
      </c>
      <c r="X5">
        <v>3.33</v>
      </c>
      <c r="Y5">
        <v>3.3260000000000001</v>
      </c>
      <c r="Z5">
        <v>3.33</v>
      </c>
      <c r="AA5">
        <v>3.3210000000000002</v>
      </c>
      <c r="AB5">
        <v>3.3170000000000002</v>
      </c>
      <c r="AC5">
        <v>3.3319999999999999</v>
      </c>
      <c r="AD5">
        <v>3.3460000000000001</v>
      </c>
      <c r="AE5">
        <v>3.3239999999999998</v>
      </c>
      <c r="AF5">
        <v>3.29</v>
      </c>
      <c r="AG5">
        <v>3.29</v>
      </c>
      <c r="AH5">
        <v>3.3260000000000001</v>
      </c>
      <c r="AI5">
        <v>3.319</v>
      </c>
      <c r="AJ5">
        <v>3.3039999999999998</v>
      </c>
      <c r="AK5">
        <v>3.323</v>
      </c>
      <c r="AL5">
        <v>3.3079999999999998</v>
      </c>
      <c r="AM5">
        <v>3.3149999999999999</v>
      </c>
      <c r="AN5">
        <v>3.323</v>
      </c>
      <c r="AO5">
        <v>3.3239999999999998</v>
      </c>
      <c r="AP5">
        <v>3.35</v>
      </c>
    </row>
    <row r="6" spans="2:42" x14ac:dyDescent="0.45">
      <c r="B6" s="6">
        <f t="shared" si="0"/>
        <v>0.68962148962148961</v>
      </c>
      <c r="C6" s="3">
        <v>353</v>
      </c>
      <c r="D6" s="5">
        <f t="shared" si="1"/>
        <v>0.67800000000000005</v>
      </c>
      <c r="E6" s="5">
        <f t="shared" si="2"/>
        <v>0.75600000000000001</v>
      </c>
      <c r="F6" s="5">
        <f t="shared" si="3"/>
        <v>0.70994444444444449</v>
      </c>
      <c r="G6">
        <v>0.71899999999999997</v>
      </c>
      <c r="H6">
        <v>0.72799999999999998</v>
      </c>
      <c r="I6">
        <v>0.74099999999999999</v>
      </c>
      <c r="J6">
        <v>0.73899999999999999</v>
      </c>
      <c r="K6">
        <v>0.71199999999999997</v>
      </c>
      <c r="L6">
        <v>0.68500000000000005</v>
      </c>
      <c r="M6">
        <v>0.73799999999999999</v>
      </c>
      <c r="N6">
        <v>0.71899999999999997</v>
      </c>
      <c r="O6">
        <v>0.71599999999999997</v>
      </c>
      <c r="P6">
        <v>0.69599999999999995</v>
      </c>
      <c r="Q6">
        <v>0.73399999999999999</v>
      </c>
      <c r="R6">
        <v>0.73599999999999999</v>
      </c>
      <c r="S6">
        <v>0.70299999999999996</v>
      </c>
      <c r="T6">
        <v>0.69</v>
      </c>
      <c r="U6">
        <v>0.67800000000000005</v>
      </c>
      <c r="V6">
        <v>0.67900000000000005</v>
      </c>
      <c r="W6">
        <v>0.69899999999999995</v>
      </c>
      <c r="X6">
        <v>0.67800000000000005</v>
      </c>
      <c r="Y6">
        <v>0.68700000000000006</v>
      </c>
      <c r="Z6">
        <v>0.71599999999999997</v>
      </c>
      <c r="AA6">
        <v>0.69599999999999995</v>
      </c>
      <c r="AB6">
        <v>0.68700000000000006</v>
      </c>
      <c r="AC6">
        <v>0.70099999999999996</v>
      </c>
      <c r="AD6">
        <v>0.71</v>
      </c>
      <c r="AE6">
        <v>0.71</v>
      </c>
      <c r="AF6">
        <v>0.69599999999999995</v>
      </c>
      <c r="AG6">
        <v>0.70099999999999996</v>
      </c>
      <c r="AH6">
        <v>0.70299999999999996</v>
      </c>
      <c r="AI6">
        <v>0.71799999999999997</v>
      </c>
      <c r="AJ6">
        <v>0.70099999999999996</v>
      </c>
      <c r="AK6">
        <v>0.72499999999999998</v>
      </c>
      <c r="AL6">
        <v>0.69599999999999995</v>
      </c>
      <c r="AM6">
        <v>0.72299999999999998</v>
      </c>
      <c r="AN6">
        <v>0.72099999999999997</v>
      </c>
      <c r="AO6">
        <v>0.72099999999999997</v>
      </c>
      <c r="AP6">
        <v>0.75600000000000001</v>
      </c>
    </row>
    <row r="7" spans="2:42" x14ac:dyDescent="0.45">
      <c r="B7" s="6">
        <f t="shared" si="0"/>
        <v>0.98656898656898662</v>
      </c>
      <c r="C7" s="3">
        <v>505</v>
      </c>
      <c r="D7" s="5">
        <f t="shared" si="1"/>
        <v>0.97399999999999998</v>
      </c>
      <c r="E7" s="5">
        <f t="shared" si="2"/>
        <v>1.054</v>
      </c>
      <c r="F7" s="5">
        <f t="shared" si="3"/>
        <v>1.004361111111111</v>
      </c>
      <c r="G7">
        <v>1.012</v>
      </c>
      <c r="H7">
        <v>1.0229999999999999</v>
      </c>
      <c r="I7">
        <v>1.032</v>
      </c>
      <c r="J7">
        <v>1.032</v>
      </c>
      <c r="K7">
        <v>0.999</v>
      </c>
      <c r="L7">
        <v>0.97599999999999998</v>
      </c>
      <c r="M7">
        <v>1.034</v>
      </c>
      <c r="N7">
        <v>1.01</v>
      </c>
      <c r="O7">
        <v>1.006</v>
      </c>
      <c r="P7">
        <v>0.98299999999999998</v>
      </c>
      <c r="Q7">
        <v>1.0249999999999999</v>
      </c>
      <c r="R7">
        <v>1.03</v>
      </c>
      <c r="S7">
        <v>1.0049999999999999</v>
      </c>
      <c r="T7">
        <v>0.99</v>
      </c>
      <c r="U7">
        <v>0.97399999999999998</v>
      </c>
      <c r="V7">
        <v>0.97699999999999998</v>
      </c>
      <c r="W7">
        <v>0.997</v>
      </c>
      <c r="X7">
        <v>0.97699999999999998</v>
      </c>
      <c r="Y7">
        <v>0.98499999999999999</v>
      </c>
      <c r="Z7">
        <v>1.014</v>
      </c>
      <c r="AA7">
        <v>0.99199999999999999</v>
      </c>
      <c r="AB7">
        <v>0.98499999999999999</v>
      </c>
      <c r="AC7">
        <v>0.999</v>
      </c>
      <c r="AD7">
        <v>1.012</v>
      </c>
      <c r="AE7">
        <v>1.0049999999999999</v>
      </c>
      <c r="AF7">
        <v>0.98599999999999999</v>
      </c>
      <c r="AG7">
        <v>0.99199999999999999</v>
      </c>
      <c r="AH7">
        <v>0.999</v>
      </c>
      <c r="AI7">
        <v>1.012</v>
      </c>
      <c r="AJ7">
        <v>0.99</v>
      </c>
      <c r="AK7">
        <v>1.0189999999999999</v>
      </c>
      <c r="AL7">
        <v>0.98599999999999999</v>
      </c>
      <c r="AM7">
        <v>1.0149999999999999</v>
      </c>
      <c r="AN7">
        <v>1.0149999999999999</v>
      </c>
      <c r="AO7">
        <v>1.0149999999999999</v>
      </c>
      <c r="AP7">
        <v>1.054</v>
      </c>
    </row>
    <row r="8" spans="2:42" x14ac:dyDescent="0.45">
      <c r="B8" s="6">
        <f t="shared" si="0"/>
        <v>6.233943833943834</v>
      </c>
      <c r="C8" s="3">
        <v>3191</v>
      </c>
      <c r="D8" s="5">
        <f t="shared" si="1"/>
        <v>6.149</v>
      </c>
      <c r="E8" s="5">
        <f t="shared" si="2"/>
        <v>6.2619999999999996</v>
      </c>
      <c r="F8" s="5">
        <f t="shared" si="3"/>
        <v>6.2090277777777771</v>
      </c>
      <c r="G8">
        <v>6.1890000000000001</v>
      </c>
      <c r="H8">
        <v>6.1870000000000003</v>
      </c>
      <c r="I8">
        <v>6.149</v>
      </c>
      <c r="J8">
        <v>6.1710000000000003</v>
      </c>
      <c r="K8">
        <v>6.1950000000000003</v>
      </c>
      <c r="L8">
        <v>6.2380000000000004</v>
      </c>
      <c r="M8">
        <v>6.1849999999999996</v>
      </c>
      <c r="N8">
        <v>6.1760000000000002</v>
      </c>
      <c r="O8">
        <v>6.1950000000000003</v>
      </c>
      <c r="P8">
        <v>6.2530000000000001</v>
      </c>
      <c r="Q8">
        <v>6.16</v>
      </c>
      <c r="R8">
        <v>6.173</v>
      </c>
      <c r="S8">
        <v>6.2309999999999999</v>
      </c>
      <c r="T8">
        <v>6.2160000000000002</v>
      </c>
      <c r="U8">
        <v>6.2560000000000002</v>
      </c>
      <c r="V8">
        <v>6.2539999999999996</v>
      </c>
      <c r="W8">
        <v>6.2439999999999998</v>
      </c>
      <c r="X8">
        <v>6.2439999999999998</v>
      </c>
      <c r="Y8">
        <v>6.2469999999999999</v>
      </c>
      <c r="Z8">
        <v>6.1749999999999998</v>
      </c>
      <c r="AA8">
        <v>6.2130000000000001</v>
      </c>
      <c r="AB8">
        <v>6.2309999999999999</v>
      </c>
      <c r="AC8">
        <v>6.2160000000000002</v>
      </c>
      <c r="AD8">
        <v>6.2220000000000004</v>
      </c>
      <c r="AE8">
        <v>6.2249999999999996</v>
      </c>
      <c r="AF8">
        <v>6.2130000000000001</v>
      </c>
      <c r="AG8">
        <v>6.2240000000000002</v>
      </c>
      <c r="AH8">
        <v>6.2380000000000004</v>
      </c>
      <c r="AI8">
        <v>6.2</v>
      </c>
      <c r="AJ8">
        <v>6.2619999999999996</v>
      </c>
      <c r="AK8">
        <v>6.1950000000000003</v>
      </c>
      <c r="AL8">
        <v>6.242</v>
      </c>
      <c r="AM8">
        <v>6.173</v>
      </c>
      <c r="AN8">
        <v>6.1929999999999996</v>
      </c>
      <c r="AO8">
        <v>6.1890000000000001</v>
      </c>
      <c r="AP8">
        <v>6.1509999999999998</v>
      </c>
    </row>
    <row r="9" spans="2:42" x14ac:dyDescent="0.45">
      <c r="B9" s="6">
        <f t="shared" si="0"/>
        <v>6.4</v>
      </c>
      <c r="C9" s="3">
        <v>3276</v>
      </c>
      <c r="D9" s="5">
        <f t="shared" si="1"/>
        <v>6.3040000000000003</v>
      </c>
      <c r="E9" s="5">
        <f t="shared" si="2"/>
        <v>6.4290000000000003</v>
      </c>
      <c r="F9" s="5">
        <f t="shared" si="3"/>
        <v>6.3701388888888903</v>
      </c>
      <c r="G9">
        <v>6.3529999999999998</v>
      </c>
      <c r="H9">
        <v>6.3470000000000004</v>
      </c>
      <c r="I9">
        <v>6.3040000000000003</v>
      </c>
      <c r="J9">
        <v>6.327</v>
      </c>
      <c r="K9">
        <v>6.3529999999999998</v>
      </c>
      <c r="L9">
        <v>6.4050000000000002</v>
      </c>
      <c r="M9">
        <v>6.343</v>
      </c>
      <c r="N9">
        <v>6.3360000000000003</v>
      </c>
      <c r="O9">
        <v>6.3540000000000001</v>
      </c>
      <c r="P9">
        <v>6.42</v>
      </c>
      <c r="Q9">
        <v>6.3159999999999998</v>
      </c>
      <c r="R9">
        <v>6.3330000000000002</v>
      </c>
      <c r="S9">
        <v>6.3979999999999997</v>
      </c>
      <c r="T9">
        <v>6.3849999999999998</v>
      </c>
      <c r="U9">
        <v>6.42</v>
      </c>
      <c r="V9">
        <v>6.4180000000000001</v>
      </c>
      <c r="W9">
        <v>6.407</v>
      </c>
      <c r="X9">
        <v>6.4050000000000002</v>
      </c>
      <c r="Y9">
        <v>6.4089999999999998</v>
      </c>
      <c r="Z9">
        <v>6.3310000000000004</v>
      </c>
      <c r="AA9">
        <v>6.367</v>
      </c>
      <c r="AB9">
        <v>6.3929999999999998</v>
      </c>
      <c r="AC9">
        <v>6.3760000000000003</v>
      </c>
      <c r="AD9">
        <v>6.3819999999999997</v>
      </c>
      <c r="AE9">
        <v>6.3890000000000002</v>
      </c>
      <c r="AF9">
        <v>6.3650000000000002</v>
      </c>
      <c r="AG9">
        <v>6.3940000000000001</v>
      </c>
      <c r="AH9">
        <v>6.4020000000000001</v>
      </c>
      <c r="AI9">
        <v>6.36</v>
      </c>
      <c r="AJ9">
        <v>6.4290000000000003</v>
      </c>
      <c r="AK9">
        <v>6.3540000000000001</v>
      </c>
      <c r="AL9">
        <v>6.4089999999999998</v>
      </c>
      <c r="AM9">
        <v>6.3339999999999996</v>
      </c>
      <c r="AN9">
        <v>6.351</v>
      </c>
      <c r="AO9">
        <v>6.3490000000000002</v>
      </c>
      <c r="AP9">
        <v>6.3070000000000004</v>
      </c>
    </row>
    <row r="10" spans="2:42" x14ac:dyDescent="0.45">
      <c r="B10" s="6">
        <f t="shared" si="0"/>
        <v>8</v>
      </c>
      <c r="C10" s="3">
        <v>4095</v>
      </c>
      <c r="D10" s="5">
        <f t="shared" si="1"/>
        <v>7.82</v>
      </c>
      <c r="E10" s="5">
        <f t="shared" si="2"/>
        <v>8.077</v>
      </c>
      <c r="F10" s="5">
        <f t="shared" si="3"/>
        <v>7.9493611111111102</v>
      </c>
      <c r="G10">
        <v>7.92</v>
      </c>
      <c r="H10">
        <v>7.9020000000000001</v>
      </c>
      <c r="I10">
        <v>7.851</v>
      </c>
      <c r="J10">
        <v>7.8879999999999999</v>
      </c>
      <c r="K10">
        <v>7.9480000000000004</v>
      </c>
      <c r="L10">
        <v>8.0069999999999997</v>
      </c>
      <c r="M10">
        <v>7.8949999999999996</v>
      </c>
      <c r="N10">
        <v>7.9080000000000004</v>
      </c>
      <c r="O10">
        <v>7.9260000000000002</v>
      </c>
      <c r="P10">
        <v>8.077</v>
      </c>
      <c r="Q10">
        <v>7.8680000000000003</v>
      </c>
      <c r="R10">
        <v>7.875</v>
      </c>
      <c r="S10">
        <v>7.9820000000000002</v>
      </c>
      <c r="T10">
        <v>7.9619999999999997</v>
      </c>
      <c r="U10">
        <v>8.0239999999999991</v>
      </c>
      <c r="V10">
        <v>8.02</v>
      </c>
      <c r="W10">
        <v>8.0020000000000007</v>
      </c>
      <c r="X10">
        <v>7.9950000000000001</v>
      </c>
      <c r="Y10">
        <v>8</v>
      </c>
      <c r="Z10">
        <v>7.8780000000000001</v>
      </c>
      <c r="AA10">
        <v>7.9420000000000002</v>
      </c>
      <c r="AB10">
        <v>7.9889999999999999</v>
      </c>
      <c r="AC10">
        <v>7.9480000000000004</v>
      </c>
      <c r="AD10">
        <v>7.9509999999999996</v>
      </c>
      <c r="AE10">
        <v>7.9690000000000003</v>
      </c>
      <c r="AF10">
        <v>7.9820000000000002</v>
      </c>
      <c r="AG10">
        <v>8.0169999999999995</v>
      </c>
      <c r="AH10">
        <v>7.9909999999999997</v>
      </c>
      <c r="AI10">
        <v>7.931</v>
      </c>
      <c r="AJ10">
        <v>8.0640000000000001</v>
      </c>
      <c r="AK10">
        <v>7.9180000000000001</v>
      </c>
      <c r="AL10">
        <v>8.0169999999999995</v>
      </c>
      <c r="AM10">
        <v>7.8949999999999996</v>
      </c>
      <c r="AN10">
        <v>7.9130000000000003</v>
      </c>
      <c r="AO10">
        <v>7.9020000000000001</v>
      </c>
      <c r="AP10">
        <v>7.82</v>
      </c>
    </row>
    <row r="11" spans="2:42" x14ac:dyDescent="0.45">
      <c r="B11" s="6">
        <f t="shared" ref="B11:B18" si="4">32*C11/4095</f>
        <v>3.1257631257631258</v>
      </c>
      <c r="C11" s="4">
        <v>400</v>
      </c>
      <c r="D11" s="5">
        <f t="shared" si="1"/>
        <v>2.996</v>
      </c>
      <c r="E11" s="5">
        <f t="shared" si="2"/>
        <v>3.359</v>
      </c>
      <c r="F11" s="5">
        <f t="shared" si="3"/>
        <v>3.1832222222222217</v>
      </c>
      <c r="G11">
        <v>3.23</v>
      </c>
      <c r="H11">
        <v>3.2879999999999998</v>
      </c>
      <c r="I11">
        <v>3.2730000000000001</v>
      </c>
      <c r="J11">
        <v>3.2629999999999999</v>
      </c>
      <c r="K11">
        <v>3.177</v>
      </c>
      <c r="L11">
        <v>3.1739999999999999</v>
      </c>
      <c r="M11">
        <v>3.2970000000000002</v>
      </c>
      <c r="N11">
        <v>3.2040000000000002</v>
      </c>
      <c r="O11">
        <v>3.2320000000000002</v>
      </c>
      <c r="P11">
        <v>2.996</v>
      </c>
      <c r="Q11">
        <v>3.2730000000000001</v>
      </c>
      <c r="R11">
        <v>3.2879999999999998</v>
      </c>
      <c r="S11">
        <v>3.161</v>
      </c>
      <c r="T11">
        <v>3.1429999999999998</v>
      </c>
      <c r="U11">
        <v>3.085</v>
      </c>
      <c r="V11">
        <v>3.105</v>
      </c>
      <c r="W11">
        <v>3.1150000000000002</v>
      </c>
      <c r="X11">
        <v>3.1259999999999999</v>
      </c>
      <c r="Y11">
        <v>3.121</v>
      </c>
      <c r="Z11">
        <v>3.21</v>
      </c>
      <c r="AA11">
        <v>3.1389999999999998</v>
      </c>
      <c r="AB11">
        <v>3.097</v>
      </c>
      <c r="AC11">
        <v>3.1440000000000001</v>
      </c>
      <c r="AD11">
        <v>3.181</v>
      </c>
      <c r="AE11">
        <v>3.1949999999999998</v>
      </c>
      <c r="AF11">
        <v>3.1059999999999999</v>
      </c>
      <c r="AG11">
        <v>3.0590000000000002</v>
      </c>
      <c r="AH11">
        <v>3.19</v>
      </c>
      <c r="AI11">
        <v>3.2149999999999999</v>
      </c>
      <c r="AJ11">
        <v>3.0790000000000002</v>
      </c>
      <c r="AK11">
        <v>3.234</v>
      </c>
      <c r="AL11">
        <v>3.1259999999999999</v>
      </c>
      <c r="AM11">
        <v>3.2389999999999999</v>
      </c>
      <c r="AN11">
        <v>3.226</v>
      </c>
      <c r="AO11">
        <v>3.246</v>
      </c>
      <c r="AP11">
        <v>3.359</v>
      </c>
    </row>
    <row r="12" spans="2:42" x14ac:dyDescent="0.45">
      <c r="B12" s="6">
        <f t="shared" si="4"/>
        <v>23.443223443223442</v>
      </c>
      <c r="C12" s="4">
        <v>3000</v>
      </c>
      <c r="D12" s="5">
        <f t="shared" si="1"/>
        <v>23.219000000000001</v>
      </c>
      <c r="E12" s="5">
        <f t="shared" si="2"/>
        <v>23.533999999999999</v>
      </c>
      <c r="F12" s="5">
        <f t="shared" si="3"/>
        <v>23.389833333333335</v>
      </c>
      <c r="G12">
        <v>23.321000000000002</v>
      </c>
      <c r="H12">
        <v>23.327999999999999</v>
      </c>
      <c r="I12">
        <v>23.338999999999999</v>
      </c>
      <c r="J12">
        <v>23.280999999999999</v>
      </c>
      <c r="K12">
        <v>23.367000000000001</v>
      </c>
      <c r="L12">
        <v>23.465</v>
      </c>
      <c r="M12">
        <v>23.327999999999999</v>
      </c>
      <c r="N12">
        <v>23.285</v>
      </c>
      <c r="O12">
        <v>23.309000000000001</v>
      </c>
      <c r="P12">
        <v>23.466999999999999</v>
      </c>
      <c r="Q12">
        <v>23.363</v>
      </c>
      <c r="R12">
        <v>23.236000000000001</v>
      </c>
      <c r="S12">
        <v>23.445</v>
      </c>
      <c r="T12">
        <v>23.488</v>
      </c>
      <c r="U12">
        <v>23.459</v>
      </c>
      <c r="V12">
        <v>23.51</v>
      </c>
      <c r="W12">
        <v>23.503</v>
      </c>
      <c r="X12">
        <v>23.401</v>
      </c>
      <c r="Y12">
        <v>23.507000000000001</v>
      </c>
      <c r="Z12">
        <v>23.364999999999998</v>
      </c>
      <c r="AA12">
        <v>23.463000000000001</v>
      </c>
      <c r="AB12">
        <v>23.463000000000001</v>
      </c>
      <c r="AC12">
        <v>23.372</v>
      </c>
      <c r="AD12">
        <v>23.382999999999999</v>
      </c>
      <c r="AE12">
        <v>23.364999999999998</v>
      </c>
      <c r="AF12">
        <v>23.498999999999999</v>
      </c>
      <c r="AG12">
        <v>23.411999999999999</v>
      </c>
      <c r="AH12">
        <v>23.420999999999999</v>
      </c>
      <c r="AI12">
        <v>23.260999999999999</v>
      </c>
      <c r="AJ12">
        <v>23.533999999999999</v>
      </c>
      <c r="AK12">
        <v>23.359000000000002</v>
      </c>
      <c r="AL12">
        <v>23.495999999999999</v>
      </c>
      <c r="AM12">
        <v>23.393999999999998</v>
      </c>
      <c r="AN12">
        <v>23.274000000000001</v>
      </c>
      <c r="AO12">
        <v>23.352</v>
      </c>
      <c r="AP12">
        <v>23.219000000000001</v>
      </c>
    </row>
    <row r="13" spans="2:42" x14ac:dyDescent="0.45">
      <c r="B13" s="6">
        <f t="shared" si="4"/>
        <v>13.284493284493285</v>
      </c>
      <c r="C13" s="4">
        <v>1700</v>
      </c>
      <c r="D13" s="5">
        <f t="shared" si="1"/>
        <v>13.026999999999999</v>
      </c>
      <c r="E13" s="5">
        <f t="shared" si="2"/>
        <v>13.388</v>
      </c>
      <c r="F13" s="5">
        <f t="shared" si="3"/>
        <v>13.293027777777777</v>
      </c>
      <c r="G13">
        <v>13.285</v>
      </c>
      <c r="H13">
        <v>13.348000000000001</v>
      </c>
      <c r="I13">
        <v>13.31</v>
      </c>
      <c r="J13">
        <v>13.282999999999999</v>
      </c>
      <c r="K13">
        <v>13.237</v>
      </c>
      <c r="L13">
        <v>13.294</v>
      </c>
      <c r="M13">
        <v>13.352</v>
      </c>
      <c r="N13">
        <v>13.227</v>
      </c>
      <c r="O13">
        <v>13.298999999999999</v>
      </c>
      <c r="P13">
        <v>13.026999999999999</v>
      </c>
      <c r="Q13">
        <v>13.327999999999999</v>
      </c>
      <c r="R13">
        <v>13.308</v>
      </c>
      <c r="S13">
        <v>13.353999999999999</v>
      </c>
      <c r="T13">
        <v>13.340999999999999</v>
      </c>
      <c r="U13">
        <v>13.279</v>
      </c>
      <c r="V13">
        <v>13.332000000000001</v>
      </c>
      <c r="W13">
        <v>13.301</v>
      </c>
      <c r="X13">
        <v>13.319000000000001</v>
      </c>
      <c r="Y13">
        <v>13.353999999999999</v>
      </c>
      <c r="Z13">
        <v>13.377000000000001</v>
      </c>
      <c r="AA13">
        <v>13.33</v>
      </c>
      <c r="AB13">
        <v>13.29</v>
      </c>
      <c r="AC13">
        <v>13.317</v>
      </c>
      <c r="AD13">
        <v>13.348000000000001</v>
      </c>
      <c r="AE13">
        <v>13.279</v>
      </c>
      <c r="AF13">
        <v>13.214</v>
      </c>
      <c r="AG13">
        <v>13.118</v>
      </c>
      <c r="AH13">
        <v>13.317</v>
      </c>
      <c r="AI13">
        <v>13.247999999999999</v>
      </c>
      <c r="AJ13">
        <v>13.183</v>
      </c>
      <c r="AK13">
        <v>13.332000000000001</v>
      </c>
      <c r="AL13">
        <v>13.244999999999999</v>
      </c>
      <c r="AM13">
        <v>13.352</v>
      </c>
      <c r="AN13">
        <v>13.288</v>
      </c>
      <c r="AO13">
        <v>13.345000000000001</v>
      </c>
      <c r="AP13">
        <v>13.388</v>
      </c>
    </row>
    <row r="14" spans="2:42" x14ac:dyDescent="0.45">
      <c r="B14" s="6">
        <f t="shared" si="4"/>
        <v>2.7584859584859585</v>
      </c>
      <c r="C14" s="4">
        <v>353</v>
      </c>
      <c r="D14" s="5">
        <f t="shared" si="1"/>
        <v>2.6629999999999998</v>
      </c>
      <c r="E14" s="5">
        <f t="shared" si="2"/>
        <v>2.992</v>
      </c>
      <c r="F14" s="5">
        <f t="shared" si="3"/>
        <v>2.8234444444444446</v>
      </c>
      <c r="G14">
        <v>2.8769999999999998</v>
      </c>
      <c r="H14">
        <v>2.923</v>
      </c>
      <c r="I14">
        <v>2.9159999999999999</v>
      </c>
      <c r="J14">
        <v>2.907</v>
      </c>
      <c r="K14">
        <v>2.827</v>
      </c>
      <c r="L14">
        <v>2.8119999999999998</v>
      </c>
      <c r="M14">
        <v>2.9340000000000002</v>
      </c>
      <c r="N14">
        <v>2.8519999999999999</v>
      </c>
      <c r="O14">
        <v>2.8769999999999998</v>
      </c>
      <c r="P14">
        <v>2.6629999999999998</v>
      </c>
      <c r="Q14">
        <v>2.9159999999999999</v>
      </c>
      <c r="R14">
        <v>2.927</v>
      </c>
      <c r="S14">
        <v>2.7919999999999998</v>
      </c>
      <c r="T14">
        <v>2.7759999999999998</v>
      </c>
      <c r="U14">
        <v>2.7189999999999999</v>
      </c>
      <c r="V14">
        <v>2.7389999999999999</v>
      </c>
      <c r="W14">
        <v>2.754</v>
      </c>
      <c r="X14">
        <v>2.758</v>
      </c>
      <c r="Y14">
        <v>2.7559999999999998</v>
      </c>
      <c r="Z14">
        <v>2.839</v>
      </c>
      <c r="AA14">
        <v>2.7719999999999998</v>
      </c>
      <c r="AB14">
        <v>2.738</v>
      </c>
      <c r="AC14">
        <v>2.7850000000000001</v>
      </c>
      <c r="AD14">
        <v>2.8159999999999998</v>
      </c>
      <c r="AE14">
        <v>2.8319999999999999</v>
      </c>
      <c r="AF14">
        <v>2.7629999999999999</v>
      </c>
      <c r="AG14">
        <v>2.718</v>
      </c>
      <c r="AH14">
        <v>2.8319999999999999</v>
      </c>
      <c r="AI14">
        <v>2.8479999999999999</v>
      </c>
      <c r="AJ14">
        <v>2.7269999999999999</v>
      </c>
      <c r="AK14">
        <v>2.8719999999999999</v>
      </c>
      <c r="AL14">
        <v>2.7650000000000001</v>
      </c>
      <c r="AM14">
        <v>2.8740000000000001</v>
      </c>
      <c r="AN14">
        <v>2.8650000000000002</v>
      </c>
      <c r="AO14">
        <v>2.8809999999999998</v>
      </c>
      <c r="AP14">
        <v>2.992</v>
      </c>
    </row>
    <row r="15" spans="2:42" x14ac:dyDescent="0.45">
      <c r="B15" s="6">
        <f t="shared" si="4"/>
        <v>3.9462759462759465</v>
      </c>
      <c r="C15" s="4">
        <v>505</v>
      </c>
      <c r="D15" s="5">
        <f t="shared" si="1"/>
        <v>3.778</v>
      </c>
      <c r="E15" s="5">
        <f t="shared" si="2"/>
        <v>4.194</v>
      </c>
      <c r="F15" s="5">
        <f t="shared" si="3"/>
        <v>3.9989444444444433</v>
      </c>
      <c r="G15">
        <v>4.0439999999999996</v>
      </c>
      <c r="H15">
        <v>4.0999999999999996</v>
      </c>
      <c r="I15">
        <v>4.0780000000000003</v>
      </c>
      <c r="J15">
        <v>4.0659999999999998</v>
      </c>
      <c r="K15">
        <v>3.976</v>
      </c>
      <c r="L15">
        <v>3.9780000000000002</v>
      </c>
      <c r="M15">
        <v>4.1070000000000002</v>
      </c>
      <c r="N15">
        <v>4.0060000000000002</v>
      </c>
      <c r="O15">
        <v>4.0439999999999996</v>
      </c>
      <c r="P15">
        <v>3.778</v>
      </c>
      <c r="Q15">
        <v>4.08</v>
      </c>
      <c r="R15">
        <v>4.0999999999999996</v>
      </c>
      <c r="S15">
        <v>3.9929999999999999</v>
      </c>
      <c r="T15">
        <v>3.9710000000000001</v>
      </c>
      <c r="U15">
        <v>3.9060000000000001</v>
      </c>
      <c r="V15">
        <v>3.931</v>
      </c>
      <c r="W15">
        <v>3.9380000000000002</v>
      </c>
      <c r="X15">
        <v>3.9550000000000001</v>
      </c>
      <c r="Y15">
        <v>3.9529999999999998</v>
      </c>
      <c r="Z15">
        <v>4.04</v>
      </c>
      <c r="AA15">
        <v>3.96</v>
      </c>
      <c r="AB15">
        <v>3.9220000000000002</v>
      </c>
      <c r="AC15">
        <v>3.976</v>
      </c>
      <c r="AD15">
        <v>4.0110000000000001</v>
      </c>
      <c r="AE15">
        <v>4.0129999999999999</v>
      </c>
      <c r="AF15">
        <v>3.92</v>
      </c>
      <c r="AG15">
        <v>3.8580000000000001</v>
      </c>
      <c r="AH15">
        <v>4.0110000000000001</v>
      </c>
      <c r="AI15">
        <v>4.0199999999999996</v>
      </c>
      <c r="AJ15">
        <v>3.875</v>
      </c>
      <c r="AK15">
        <v>4.0510000000000002</v>
      </c>
      <c r="AL15">
        <v>3.9369999999999998</v>
      </c>
      <c r="AM15">
        <v>4.0549999999999997</v>
      </c>
      <c r="AN15">
        <v>4.0460000000000003</v>
      </c>
      <c r="AO15">
        <v>4.069</v>
      </c>
      <c r="AP15">
        <v>4.194</v>
      </c>
    </row>
    <row r="16" spans="2:42" x14ac:dyDescent="0.45">
      <c r="B16" s="6">
        <f t="shared" si="4"/>
        <v>24.935775335775336</v>
      </c>
      <c r="C16" s="4">
        <v>3191</v>
      </c>
      <c r="D16" s="5">
        <f t="shared" si="1"/>
        <v>24.652999999999999</v>
      </c>
      <c r="E16" s="5">
        <f t="shared" si="2"/>
        <v>25.08</v>
      </c>
      <c r="F16" s="5">
        <f t="shared" si="3"/>
        <v>24.885638888888892</v>
      </c>
      <c r="G16">
        <v>24.84</v>
      </c>
      <c r="H16">
        <v>24.811</v>
      </c>
      <c r="I16">
        <v>24.827000000000002</v>
      </c>
      <c r="J16">
        <v>24.765000000000001</v>
      </c>
      <c r="K16">
        <v>24.841999999999999</v>
      </c>
      <c r="L16">
        <v>24.965</v>
      </c>
      <c r="M16">
        <v>24.783999999999999</v>
      </c>
      <c r="N16">
        <v>24.763999999999999</v>
      </c>
      <c r="O16">
        <v>24.774000000000001</v>
      </c>
      <c r="P16">
        <v>25.08</v>
      </c>
      <c r="Q16">
        <v>24.827000000000002</v>
      </c>
      <c r="R16">
        <v>24.68</v>
      </c>
      <c r="S16">
        <v>24.946999999999999</v>
      </c>
      <c r="T16">
        <v>24.991</v>
      </c>
      <c r="U16">
        <v>24.957999999999998</v>
      </c>
      <c r="V16">
        <v>25.003</v>
      </c>
      <c r="W16">
        <v>25.009</v>
      </c>
      <c r="X16">
        <v>24.882999999999999</v>
      </c>
      <c r="Y16">
        <v>25.018000000000001</v>
      </c>
      <c r="Z16">
        <v>24.84</v>
      </c>
      <c r="AA16">
        <v>25</v>
      </c>
      <c r="AB16">
        <v>24.966999999999999</v>
      </c>
      <c r="AC16">
        <v>24.873000000000001</v>
      </c>
      <c r="AD16">
        <v>24.882999999999999</v>
      </c>
      <c r="AE16">
        <v>24.885000000000002</v>
      </c>
      <c r="AF16">
        <v>25.047000000000001</v>
      </c>
      <c r="AG16">
        <v>24.965</v>
      </c>
      <c r="AH16">
        <v>24.92</v>
      </c>
      <c r="AI16">
        <v>24.725000000000001</v>
      </c>
      <c r="AJ16">
        <v>25.068999999999999</v>
      </c>
      <c r="AK16">
        <v>24.844000000000001</v>
      </c>
      <c r="AL16">
        <v>25.012</v>
      </c>
      <c r="AM16">
        <v>24.835999999999999</v>
      </c>
      <c r="AN16">
        <v>24.747</v>
      </c>
      <c r="AO16">
        <v>24.849</v>
      </c>
      <c r="AP16">
        <v>24.652999999999999</v>
      </c>
    </row>
    <row r="17" spans="2:42" x14ac:dyDescent="0.45">
      <c r="B17" s="6">
        <f t="shared" si="4"/>
        <v>25.6</v>
      </c>
      <c r="C17" s="4">
        <v>3276</v>
      </c>
      <c r="D17" s="5">
        <f t="shared" si="1"/>
        <v>25.280999999999999</v>
      </c>
      <c r="E17" s="5">
        <f t="shared" si="2"/>
        <v>25.795000000000002</v>
      </c>
      <c r="F17" s="5">
        <f t="shared" si="3"/>
        <v>25.545249999999996</v>
      </c>
      <c r="G17">
        <v>25.452000000000002</v>
      </c>
      <c r="H17">
        <v>25.437999999999999</v>
      </c>
      <c r="I17">
        <v>25.468</v>
      </c>
      <c r="J17">
        <v>25.407</v>
      </c>
      <c r="K17">
        <v>25.488</v>
      </c>
      <c r="L17">
        <v>25.628</v>
      </c>
      <c r="M17">
        <v>25.419</v>
      </c>
      <c r="N17">
        <v>25.402999999999999</v>
      </c>
      <c r="O17">
        <v>25.416</v>
      </c>
      <c r="P17">
        <v>25.77</v>
      </c>
      <c r="Q17">
        <v>25.492000000000001</v>
      </c>
      <c r="R17">
        <v>25.303000000000001</v>
      </c>
      <c r="S17">
        <v>25.617000000000001</v>
      </c>
      <c r="T17">
        <v>25.652000000000001</v>
      </c>
      <c r="U17">
        <v>25.637</v>
      </c>
      <c r="V17">
        <v>25.678999999999998</v>
      </c>
      <c r="W17">
        <v>25.706</v>
      </c>
      <c r="X17">
        <v>25.553999999999998</v>
      </c>
      <c r="Y17">
        <v>25.683</v>
      </c>
      <c r="Z17">
        <v>25.484999999999999</v>
      </c>
      <c r="AA17">
        <v>25.67</v>
      </c>
      <c r="AB17">
        <v>25.654</v>
      </c>
      <c r="AC17">
        <v>25.53</v>
      </c>
      <c r="AD17">
        <v>25.53</v>
      </c>
      <c r="AE17">
        <v>25.55</v>
      </c>
      <c r="AF17">
        <v>25.736999999999998</v>
      </c>
      <c r="AG17">
        <v>25.675999999999998</v>
      </c>
      <c r="AH17">
        <v>25.574000000000002</v>
      </c>
      <c r="AI17">
        <v>25.37</v>
      </c>
      <c r="AJ17">
        <v>25.795000000000002</v>
      </c>
      <c r="AK17">
        <v>25.486999999999998</v>
      </c>
      <c r="AL17">
        <v>25.677</v>
      </c>
      <c r="AM17">
        <v>25.512</v>
      </c>
      <c r="AN17">
        <v>25.391999999999999</v>
      </c>
      <c r="AO17">
        <v>25.497</v>
      </c>
      <c r="AP17">
        <v>25.280999999999999</v>
      </c>
    </row>
    <row r="18" spans="2:42" x14ac:dyDescent="0.45">
      <c r="B18" s="6">
        <f t="shared" si="4"/>
        <v>32</v>
      </c>
      <c r="C18" s="4">
        <v>4095</v>
      </c>
      <c r="D18" s="5">
        <f t="shared" si="1"/>
        <v>31.344999999999999</v>
      </c>
      <c r="E18" s="5">
        <f t="shared" si="2"/>
        <v>32.470999999999997</v>
      </c>
      <c r="F18" s="5">
        <f t="shared" si="3"/>
        <v>31.882722222222224</v>
      </c>
      <c r="G18">
        <v>31.786000000000001</v>
      </c>
      <c r="H18">
        <v>31.677</v>
      </c>
      <c r="I18">
        <v>31.783000000000001</v>
      </c>
      <c r="J18">
        <v>31.681000000000001</v>
      </c>
      <c r="K18">
        <v>31.872</v>
      </c>
      <c r="L18">
        <v>32.03</v>
      </c>
      <c r="M18">
        <v>31.667000000000002</v>
      </c>
      <c r="N18">
        <v>31.701000000000001</v>
      </c>
      <c r="O18">
        <v>31.664999999999999</v>
      </c>
      <c r="P18">
        <v>32.470999999999997</v>
      </c>
      <c r="Q18">
        <v>31.759</v>
      </c>
      <c r="R18">
        <v>31.472000000000001</v>
      </c>
      <c r="S18">
        <v>31.945</v>
      </c>
      <c r="T18">
        <v>32.036999999999999</v>
      </c>
      <c r="U18">
        <v>32.052</v>
      </c>
      <c r="V18">
        <v>32.066000000000003</v>
      </c>
      <c r="W18">
        <v>32.155000000000001</v>
      </c>
      <c r="X18">
        <v>31.867999999999999</v>
      </c>
      <c r="Y18">
        <v>32.061</v>
      </c>
      <c r="Z18">
        <v>31.727</v>
      </c>
      <c r="AA18">
        <v>32.040999999999997</v>
      </c>
      <c r="AB18">
        <v>32.067999999999998</v>
      </c>
      <c r="AC18">
        <v>31.844999999999999</v>
      </c>
      <c r="AD18">
        <v>31.818999999999999</v>
      </c>
      <c r="AE18">
        <v>31.881</v>
      </c>
      <c r="AF18">
        <v>32.241999999999997</v>
      </c>
      <c r="AG18">
        <v>32.216999999999999</v>
      </c>
      <c r="AH18">
        <v>31.879000000000001</v>
      </c>
      <c r="AI18">
        <v>31.638000000000002</v>
      </c>
      <c r="AJ18">
        <v>32.356999999999999</v>
      </c>
      <c r="AK18">
        <v>31.771999999999998</v>
      </c>
      <c r="AL18">
        <v>32.121000000000002</v>
      </c>
      <c r="AM18">
        <v>31.768000000000001</v>
      </c>
      <c r="AN18">
        <v>31.596</v>
      </c>
      <c r="AO18">
        <v>31.713999999999999</v>
      </c>
      <c r="AP18">
        <v>31.344999999999999</v>
      </c>
    </row>
    <row r="21" spans="2:42" x14ac:dyDescent="0.45">
      <c r="B21" t="s">
        <v>16</v>
      </c>
      <c r="C21" s="2" t="s">
        <v>0</v>
      </c>
      <c r="D21" s="2" t="s">
        <v>13</v>
      </c>
      <c r="E21" s="2" t="s">
        <v>14</v>
      </c>
      <c r="F21" s="2" t="s">
        <v>15</v>
      </c>
      <c r="G21" s="2" t="s">
        <v>1</v>
      </c>
      <c r="H21" s="2" t="s">
        <v>2</v>
      </c>
      <c r="I21" s="2" t="s">
        <v>3</v>
      </c>
      <c r="J21" s="2" t="s">
        <v>4</v>
      </c>
      <c r="K21" s="2" t="s">
        <v>5</v>
      </c>
      <c r="L21" s="2" t="s">
        <v>6</v>
      </c>
      <c r="M21" s="2" t="s">
        <v>7</v>
      </c>
      <c r="N21" s="2" t="s">
        <v>8</v>
      </c>
      <c r="O21" s="2" t="s">
        <v>9</v>
      </c>
      <c r="P21" s="2" t="s">
        <v>10</v>
      </c>
      <c r="Q21" s="2" t="s">
        <v>11</v>
      </c>
      <c r="R21" s="2" t="s">
        <v>12</v>
      </c>
      <c r="S21" s="2" t="s">
        <v>1</v>
      </c>
      <c r="T21" s="2" t="s">
        <v>2</v>
      </c>
      <c r="U21" s="2" t="s">
        <v>3</v>
      </c>
      <c r="V21" s="2" t="s">
        <v>4</v>
      </c>
      <c r="W21" s="2" t="s">
        <v>5</v>
      </c>
      <c r="X21" s="2" t="s">
        <v>6</v>
      </c>
      <c r="Y21" s="2" t="s">
        <v>7</v>
      </c>
      <c r="Z21" s="2" t="s">
        <v>8</v>
      </c>
      <c r="AA21" s="2" t="s">
        <v>9</v>
      </c>
      <c r="AB21" s="2" t="s">
        <v>10</v>
      </c>
      <c r="AC21" s="2" t="s">
        <v>11</v>
      </c>
      <c r="AD21" s="2" t="s">
        <v>12</v>
      </c>
      <c r="AE21" s="2" t="s">
        <v>1</v>
      </c>
      <c r="AF21" s="2" t="s">
        <v>2</v>
      </c>
      <c r="AG21" s="2" t="s">
        <v>3</v>
      </c>
      <c r="AH21" s="2" t="s">
        <v>4</v>
      </c>
      <c r="AI21" s="2" t="s">
        <v>5</v>
      </c>
      <c r="AJ21" s="2" t="s">
        <v>6</v>
      </c>
      <c r="AK21" s="2" t="s">
        <v>7</v>
      </c>
      <c r="AL21" s="2" t="s">
        <v>8</v>
      </c>
      <c r="AM21" s="2" t="s">
        <v>9</v>
      </c>
      <c r="AN21" s="2" t="s">
        <v>10</v>
      </c>
      <c r="AO21" s="2" t="s">
        <v>11</v>
      </c>
      <c r="AP21" s="2" t="s">
        <v>12</v>
      </c>
    </row>
    <row r="22" spans="2:42" x14ac:dyDescent="0.45">
      <c r="B22" s="6">
        <f t="shared" ref="B22:B29" si="5">8*C22/4095</f>
        <v>0.78144078144078144</v>
      </c>
      <c r="C22" s="3">
        <v>400</v>
      </c>
      <c r="D22" s="1">
        <f>MIN(G22:AP22)</f>
        <v>-1.7199999999999979E-2</v>
      </c>
      <c r="E22" s="1">
        <f>MAX(G22:AP22)</f>
        <v>8.3895312499999972E-2</v>
      </c>
      <c r="F22" s="1">
        <f>AVERAGE(G22:AP22)</f>
        <v>2.4069921875000025E-2</v>
      </c>
      <c r="G22" s="1">
        <f t="shared" ref="G22:AP22" si="6">(G3-$B3)/$B3</f>
        <v>3.6546875000000069E-2</v>
      </c>
      <c r="H22" s="1">
        <f t="shared" si="6"/>
        <v>4.5504687499999932E-2</v>
      </c>
      <c r="I22" s="1">
        <f t="shared" si="6"/>
        <v>6.4699999999999952E-2</v>
      </c>
      <c r="J22" s="1">
        <f t="shared" si="6"/>
        <v>6.2140624999999949E-2</v>
      </c>
      <c r="K22" s="1">
        <f t="shared" si="6"/>
        <v>2.2470312500000058E-2</v>
      </c>
      <c r="L22" s="1">
        <f t="shared" si="6"/>
        <v>-9.5218749999999713E-3</v>
      </c>
      <c r="M22" s="1">
        <f t="shared" si="6"/>
        <v>6.2140624999999949E-2</v>
      </c>
      <c r="N22" s="1">
        <f t="shared" si="6"/>
        <v>3.3987500000000066E-2</v>
      </c>
      <c r="O22" s="1">
        <f t="shared" si="6"/>
        <v>3.0148437500000062E-2</v>
      </c>
      <c r="P22" s="1">
        <f t="shared" si="6"/>
        <v>1.9953125000000383E-3</v>
      </c>
      <c r="Q22" s="1">
        <f t="shared" si="6"/>
        <v>5.0623437499999938E-2</v>
      </c>
      <c r="R22" s="1">
        <f t="shared" si="6"/>
        <v>5.8301562499999945E-2</v>
      </c>
      <c r="S22" s="1">
        <f t="shared" si="6"/>
        <v>1.8631250000000054E-2</v>
      </c>
      <c r="T22" s="1">
        <f t="shared" si="6"/>
        <v>1.9953125000000383E-3</v>
      </c>
      <c r="U22" s="1">
        <f t="shared" si="6"/>
        <v>-1.7199999999999979E-2</v>
      </c>
      <c r="V22" s="1">
        <f t="shared" si="6"/>
        <v>-1.4640624999999977E-2</v>
      </c>
      <c r="W22" s="1">
        <f t="shared" si="6"/>
        <v>1.0953125000000046E-2</v>
      </c>
      <c r="X22" s="1">
        <f t="shared" si="6"/>
        <v>-1.4640624999999977E-2</v>
      </c>
      <c r="Y22" s="1">
        <f t="shared" si="6"/>
        <v>-5.6828124999999683E-3</v>
      </c>
      <c r="Z22" s="1">
        <f t="shared" si="6"/>
        <v>3.3987500000000066E-2</v>
      </c>
      <c r="AA22" s="1">
        <f t="shared" si="6"/>
        <v>4.5546875000000405E-3</v>
      </c>
      <c r="AB22" s="1">
        <f t="shared" si="6"/>
        <v>-5.6828124999999683E-3</v>
      </c>
      <c r="AC22" s="1">
        <f t="shared" si="6"/>
        <v>1.6071875000000051E-2</v>
      </c>
      <c r="AD22" s="1">
        <f t="shared" si="6"/>
        <v>2.758906250000006E-2</v>
      </c>
      <c r="AE22" s="1">
        <f t="shared" si="6"/>
        <v>2.5029687500000061E-2</v>
      </c>
      <c r="AF22" s="1">
        <f t="shared" si="6"/>
        <v>7.1140625000000431E-3</v>
      </c>
      <c r="AG22" s="1">
        <f t="shared" si="6"/>
        <v>1.3512500000000049E-2</v>
      </c>
      <c r="AH22" s="1">
        <f t="shared" si="6"/>
        <v>1.6071875000000051E-2</v>
      </c>
      <c r="AI22" s="1">
        <f t="shared" si="6"/>
        <v>3.2707812500000065E-2</v>
      </c>
      <c r="AJ22" s="1">
        <f t="shared" si="6"/>
        <v>7.1140625000000431E-3</v>
      </c>
      <c r="AK22" s="1">
        <f t="shared" si="6"/>
        <v>4.4224999999999931E-2</v>
      </c>
      <c r="AL22" s="1">
        <f t="shared" si="6"/>
        <v>4.5546875000000405E-3</v>
      </c>
      <c r="AM22" s="1">
        <f t="shared" si="6"/>
        <v>3.9106250000000072E-2</v>
      </c>
      <c r="AN22" s="1">
        <f t="shared" si="6"/>
        <v>3.9106250000000072E-2</v>
      </c>
      <c r="AO22" s="1">
        <f t="shared" si="6"/>
        <v>3.9106250000000072E-2</v>
      </c>
      <c r="AP22" s="1">
        <f t="shared" si="6"/>
        <v>8.3895312499999972E-2</v>
      </c>
    </row>
    <row r="23" spans="2:42" x14ac:dyDescent="0.45">
      <c r="B23" s="6">
        <f t="shared" si="5"/>
        <v>5.8608058608058604</v>
      </c>
      <c r="C23" s="3">
        <v>3000</v>
      </c>
      <c r="D23" s="1">
        <f t="shared" ref="D23:D37" si="7">MIN(G23:AP23)</f>
        <v>-1.2251874999999985E-2</v>
      </c>
      <c r="E23" s="1">
        <f t="shared" ref="E23:E37" si="8">MAX(G23:AP23)</f>
        <v>2.080625000000105E-3</v>
      </c>
      <c r="F23" s="1">
        <f t="shared" ref="F23:F37" si="9">AVERAGE(G23:AP23)</f>
        <v>-4.1140104166666061E-3</v>
      </c>
      <c r="G23" s="1">
        <f t="shared" ref="G23:AP23" si="10">(G4-$B4)/$B4</f>
        <v>-6.6212499999999223E-3</v>
      </c>
      <c r="H23" s="1">
        <f t="shared" si="10"/>
        <v>-5.0856249999998637E-3</v>
      </c>
      <c r="I23" s="1">
        <f t="shared" si="10"/>
        <v>-1.2251874999999985E-2</v>
      </c>
      <c r="J23" s="1">
        <f t="shared" si="10"/>
        <v>-9.3512499999999256E-3</v>
      </c>
      <c r="K23" s="1">
        <f t="shared" si="10"/>
        <v>-5.9387499999999979E-3</v>
      </c>
      <c r="L23" s="1">
        <f t="shared" si="10"/>
        <v>2.0375000000008415E-4</v>
      </c>
      <c r="M23" s="1">
        <f t="shared" si="10"/>
        <v>-5.9387499999999979E-3</v>
      </c>
      <c r="N23" s="1">
        <f t="shared" si="10"/>
        <v>-8.1568749999999801E-3</v>
      </c>
      <c r="O23" s="1">
        <f t="shared" si="10"/>
        <v>-5.5974999999998838E-3</v>
      </c>
      <c r="P23" s="1">
        <f t="shared" si="10"/>
        <v>1.227500000000123E-3</v>
      </c>
      <c r="Q23" s="1">
        <f t="shared" si="10"/>
        <v>-1.1569374999999908E-2</v>
      </c>
      <c r="R23" s="1">
        <f t="shared" si="10"/>
        <v>-8.4981249999999432E-3</v>
      </c>
      <c r="S23" s="1">
        <f t="shared" si="10"/>
        <v>-4.7874999999999226E-4</v>
      </c>
      <c r="T23" s="1">
        <f t="shared" si="10"/>
        <v>-3.208749999999995E-3</v>
      </c>
      <c r="U23" s="1">
        <f t="shared" si="10"/>
        <v>2.080625000000105E-3</v>
      </c>
      <c r="V23" s="1">
        <f t="shared" si="10"/>
        <v>2.080625000000105E-3</v>
      </c>
      <c r="W23" s="1">
        <f t="shared" si="10"/>
        <v>8.8625000000000899E-4</v>
      </c>
      <c r="X23" s="1">
        <f t="shared" si="10"/>
        <v>5.4500000000004664E-4</v>
      </c>
      <c r="Y23" s="1">
        <f t="shared" si="10"/>
        <v>1.3981250000000285E-3</v>
      </c>
      <c r="Z23" s="1">
        <f t="shared" si="10"/>
        <v>-8.8393749999999063E-3</v>
      </c>
      <c r="AA23" s="1">
        <f t="shared" si="10"/>
        <v>-5.5974999999998838E-3</v>
      </c>
      <c r="AB23" s="1">
        <f t="shared" si="10"/>
        <v>-2.0143749999998991E-3</v>
      </c>
      <c r="AC23" s="1">
        <f t="shared" si="10"/>
        <v>-3.208749999999995E-3</v>
      </c>
      <c r="AD23" s="1">
        <f t="shared" si="10"/>
        <v>-2.0143749999998991E-3</v>
      </c>
      <c r="AE23" s="1">
        <f t="shared" si="10"/>
        <v>-2.5262499999999183E-3</v>
      </c>
      <c r="AF23" s="1">
        <f t="shared" si="10"/>
        <v>-5.4268749999999777E-3</v>
      </c>
      <c r="AG23" s="1">
        <f t="shared" si="10"/>
        <v>-4.4031249999999392E-3</v>
      </c>
      <c r="AH23" s="1">
        <f t="shared" si="10"/>
        <v>-6.4937499999989776E-4</v>
      </c>
      <c r="AI23" s="1">
        <f t="shared" si="10"/>
        <v>-3.208749999999995E-3</v>
      </c>
      <c r="AJ23" s="1">
        <f t="shared" si="10"/>
        <v>2.080625000000105E-3</v>
      </c>
      <c r="AK23" s="1">
        <f t="shared" si="10"/>
        <v>-5.9387499999999979E-3</v>
      </c>
      <c r="AL23" s="1">
        <f t="shared" si="10"/>
        <v>8.8625000000000899E-4</v>
      </c>
      <c r="AM23" s="1">
        <f t="shared" si="10"/>
        <v>-9.0099999999999625E-3</v>
      </c>
      <c r="AN23" s="1">
        <f t="shared" si="10"/>
        <v>-5.4268749999999777E-3</v>
      </c>
      <c r="AO23" s="1">
        <f t="shared" si="10"/>
        <v>-6.9624999999998846E-3</v>
      </c>
      <c r="AP23" s="1">
        <f t="shared" si="10"/>
        <v>-1.1569374999999908E-2</v>
      </c>
    </row>
    <row r="24" spans="2:42" x14ac:dyDescent="0.45">
      <c r="B24" s="6">
        <f t="shared" si="5"/>
        <v>3.3211233211233213</v>
      </c>
      <c r="C24" s="3">
        <v>1700</v>
      </c>
      <c r="D24" s="1">
        <f t="shared" si="7"/>
        <v>-1.0575735294117695E-2</v>
      </c>
      <c r="E24" s="1">
        <f t="shared" si="8"/>
        <v>8.69485294117644E-3</v>
      </c>
      <c r="F24" s="1">
        <f t="shared" si="9"/>
        <v>2.2215073529405799E-4</v>
      </c>
      <c r="G24" s="1">
        <f t="shared" ref="G24:AP24" si="11">(G5-$B5)/$B5</f>
        <v>5.6507352941169312E-4</v>
      </c>
      <c r="H24" s="1">
        <f t="shared" si="11"/>
        <v>4.7805147058823513E-3</v>
      </c>
      <c r="I24" s="1">
        <f t="shared" si="11"/>
        <v>-3.7132352941181688E-5</v>
      </c>
      <c r="J24" s="1">
        <f t="shared" si="11"/>
        <v>1.4683823529411391E-3</v>
      </c>
      <c r="K24" s="1">
        <f t="shared" si="11"/>
        <v>-5.4569852941177234E-3</v>
      </c>
      <c r="L24" s="1">
        <f t="shared" si="11"/>
        <v>-3.3492647058823944E-3</v>
      </c>
      <c r="M24" s="1">
        <f t="shared" si="11"/>
        <v>6.5871323529411102E-3</v>
      </c>
      <c r="N24" s="1">
        <f t="shared" si="11"/>
        <v>-3.3492647058823944E-3</v>
      </c>
      <c r="O24" s="1">
        <f t="shared" si="11"/>
        <v>-6.393382352941902E-4</v>
      </c>
      <c r="P24" s="1">
        <f t="shared" si="11"/>
        <v>-1.0575735294117695E-2</v>
      </c>
      <c r="Q24" s="1">
        <f t="shared" si="11"/>
        <v>-1.2415441176470651E-3</v>
      </c>
      <c r="R24" s="1">
        <f t="shared" si="11"/>
        <v>3.2749999999998974E-3</v>
      </c>
      <c r="S24" s="1">
        <f t="shared" si="11"/>
        <v>8.0926470588234302E-3</v>
      </c>
      <c r="T24" s="1">
        <f t="shared" si="11"/>
        <v>2.0705882352940138E-3</v>
      </c>
      <c r="U24" s="1">
        <f t="shared" si="11"/>
        <v>5.6507352941169312E-4</v>
      </c>
      <c r="V24" s="1">
        <f t="shared" si="11"/>
        <v>8.661764705881305E-4</v>
      </c>
      <c r="W24" s="1">
        <f t="shared" si="11"/>
        <v>5.3827205882352267E-3</v>
      </c>
      <c r="X24" s="1">
        <f t="shared" si="11"/>
        <v>2.6727941176470224E-3</v>
      </c>
      <c r="Y24" s="1">
        <f t="shared" si="11"/>
        <v>1.4683823529411391E-3</v>
      </c>
      <c r="Z24" s="1">
        <f t="shared" si="11"/>
        <v>2.6727941176470224E-3</v>
      </c>
      <c r="AA24" s="1">
        <f t="shared" si="11"/>
        <v>-3.7132352941181688E-5</v>
      </c>
      <c r="AB24" s="1">
        <f t="shared" si="11"/>
        <v>-1.2415441176470651E-3</v>
      </c>
      <c r="AC24" s="1">
        <f t="shared" si="11"/>
        <v>3.2749999999998974E-3</v>
      </c>
      <c r="AD24" s="1">
        <f t="shared" si="11"/>
        <v>7.4904411764705556E-3</v>
      </c>
      <c r="AE24" s="1">
        <f t="shared" si="11"/>
        <v>8.661764705881305E-4</v>
      </c>
      <c r="AF24" s="1">
        <f t="shared" si="11"/>
        <v>-9.3713235294118104E-3</v>
      </c>
      <c r="AG24" s="1">
        <f t="shared" si="11"/>
        <v>-9.3713235294118104E-3</v>
      </c>
      <c r="AH24" s="1">
        <f t="shared" si="11"/>
        <v>1.4683823529411391E-3</v>
      </c>
      <c r="AI24" s="1">
        <f t="shared" si="11"/>
        <v>-6.393382352941902E-4</v>
      </c>
      <c r="AJ24" s="1">
        <f t="shared" si="11"/>
        <v>-5.1558823529412861E-3</v>
      </c>
      <c r="AK24" s="1">
        <f t="shared" si="11"/>
        <v>5.6507352941169312E-4</v>
      </c>
      <c r="AL24" s="1">
        <f t="shared" si="11"/>
        <v>-3.9514705882354026E-3</v>
      </c>
      <c r="AM24" s="1">
        <f t="shared" si="11"/>
        <v>-1.8437500000000736E-3</v>
      </c>
      <c r="AN24" s="1">
        <f t="shared" si="11"/>
        <v>5.6507352941169312E-4</v>
      </c>
      <c r="AO24" s="1">
        <f t="shared" si="11"/>
        <v>8.661764705881305E-4</v>
      </c>
      <c r="AP24" s="1">
        <f t="shared" si="11"/>
        <v>8.69485294117644E-3</v>
      </c>
    </row>
    <row r="25" spans="2:42" x14ac:dyDescent="0.45">
      <c r="B25" s="6">
        <f t="shared" si="5"/>
        <v>0.68962148962148961</v>
      </c>
      <c r="C25" s="3">
        <v>353</v>
      </c>
      <c r="D25" s="1">
        <f t="shared" si="7"/>
        <v>-1.6851983002832784E-2</v>
      </c>
      <c r="E25" s="1">
        <f t="shared" si="8"/>
        <v>9.6253541076487273E-2</v>
      </c>
      <c r="F25" s="1">
        <f t="shared" si="9"/>
        <v>2.9469723796033978E-2</v>
      </c>
      <c r="G25" s="1">
        <f t="shared" ref="G25:AP25" si="12">(G6-$B6)/$B6</f>
        <v>4.2600920679886654E-2</v>
      </c>
      <c r="H25" s="1">
        <f t="shared" si="12"/>
        <v>5.5651558073654371E-2</v>
      </c>
      <c r="I25" s="1">
        <f t="shared" si="12"/>
        <v>7.4502478753541074E-2</v>
      </c>
      <c r="J25" s="1">
        <f t="shared" si="12"/>
        <v>7.1602337110481584E-2</v>
      </c>
      <c r="K25" s="1">
        <f t="shared" si="12"/>
        <v>3.2450424929178434E-2</v>
      </c>
      <c r="L25" s="1">
        <f t="shared" si="12"/>
        <v>-6.7014872521245581E-3</v>
      </c>
      <c r="M25" s="1">
        <f t="shared" si="12"/>
        <v>7.0152266288951839E-2</v>
      </c>
      <c r="N25" s="1">
        <f t="shared" si="12"/>
        <v>4.2600920679886654E-2</v>
      </c>
      <c r="O25" s="1">
        <f t="shared" si="12"/>
        <v>3.825070821529742E-2</v>
      </c>
      <c r="P25" s="1">
        <f t="shared" si="12"/>
        <v>9.2492917847024902E-3</v>
      </c>
      <c r="Q25" s="1">
        <f t="shared" si="12"/>
        <v>6.4351983002832847E-2</v>
      </c>
      <c r="R25" s="1">
        <f t="shared" si="12"/>
        <v>6.725212464589235E-2</v>
      </c>
      <c r="S25" s="1">
        <f t="shared" si="12"/>
        <v>1.9399787535410714E-2</v>
      </c>
      <c r="T25" s="1">
        <f t="shared" si="12"/>
        <v>5.4886685552401303E-4</v>
      </c>
      <c r="U25" s="1">
        <f t="shared" si="12"/>
        <v>-1.6851983002832784E-2</v>
      </c>
      <c r="V25" s="1">
        <f t="shared" si="12"/>
        <v>-1.5401912181303035E-2</v>
      </c>
      <c r="W25" s="1">
        <f t="shared" si="12"/>
        <v>1.359950424929173E-2</v>
      </c>
      <c r="X25" s="1">
        <f t="shared" si="12"/>
        <v>-1.6851983002832784E-2</v>
      </c>
      <c r="Y25" s="1">
        <f t="shared" si="12"/>
        <v>-3.8013456090650651E-3</v>
      </c>
      <c r="Z25" s="1">
        <f t="shared" si="12"/>
        <v>3.825070821529742E-2</v>
      </c>
      <c r="AA25" s="1">
        <f t="shared" si="12"/>
        <v>9.2492917847024902E-3</v>
      </c>
      <c r="AB25" s="1">
        <f t="shared" si="12"/>
        <v>-3.8013456090650651E-3</v>
      </c>
      <c r="AC25" s="1">
        <f t="shared" si="12"/>
        <v>1.6499645892351224E-2</v>
      </c>
      <c r="AD25" s="1">
        <f t="shared" si="12"/>
        <v>2.9550283286118941E-2</v>
      </c>
      <c r="AE25" s="1">
        <f t="shared" si="12"/>
        <v>2.9550283286118941E-2</v>
      </c>
      <c r="AF25" s="1">
        <f t="shared" si="12"/>
        <v>9.2492917847024902E-3</v>
      </c>
      <c r="AG25" s="1">
        <f t="shared" si="12"/>
        <v>1.6499645892351224E-2</v>
      </c>
      <c r="AH25" s="1">
        <f t="shared" si="12"/>
        <v>1.9399787535410714E-2</v>
      </c>
      <c r="AI25" s="1">
        <f t="shared" si="12"/>
        <v>4.115084985835691E-2</v>
      </c>
      <c r="AJ25" s="1">
        <f t="shared" si="12"/>
        <v>1.6499645892351224E-2</v>
      </c>
      <c r="AK25" s="1">
        <f t="shared" si="12"/>
        <v>5.1301345609065137E-2</v>
      </c>
      <c r="AL25" s="1">
        <f t="shared" si="12"/>
        <v>9.2492917847024902E-3</v>
      </c>
      <c r="AM25" s="1">
        <f t="shared" si="12"/>
        <v>4.840120396600564E-2</v>
      </c>
      <c r="AN25" s="1">
        <f t="shared" si="12"/>
        <v>4.5501062322946151E-2</v>
      </c>
      <c r="AO25" s="1">
        <f t="shared" si="12"/>
        <v>4.5501062322946151E-2</v>
      </c>
      <c r="AP25" s="1">
        <f t="shared" si="12"/>
        <v>9.6253541076487273E-2</v>
      </c>
    </row>
    <row r="26" spans="2:42" x14ac:dyDescent="0.45">
      <c r="B26" s="6">
        <f t="shared" si="5"/>
        <v>0.98656898656898662</v>
      </c>
      <c r="C26" s="3">
        <v>505</v>
      </c>
      <c r="D26" s="1">
        <f t="shared" si="7"/>
        <v>-1.274009900990106E-2</v>
      </c>
      <c r="E26" s="1">
        <f t="shared" si="8"/>
        <v>6.834900990099009E-2</v>
      </c>
      <c r="F26" s="1">
        <f t="shared" si="9"/>
        <v>1.803434405940587E-2</v>
      </c>
      <c r="G26" s="1">
        <f t="shared" ref="G26:AP26" si="13">(G7-$B7)/$B7</f>
        <v>2.5777227722772238E-2</v>
      </c>
      <c r="H26" s="1">
        <f t="shared" si="13"/>
        <v>3.6926980198019661E-2</v>
      </c>
      <c r="I26" s="1">
        <f t="shared" si="13"/>
        <v>4.6049504950495028E-2</v>
      </c>
      <c r="J26" s="1">
        <f t="shared" si="13"/>
        <v>4.6049504950495028E-2</v>
      </c>
      <c r="K26" s="1">
        <f t="shared" si="13"/>
        <v>1.2600247524752426E-2</v>
      </c>
      <c r="L26" s="1">
        <f t="shared" si="13"/>
        <v>-1.0712871287128783E-2</v>
      </c>
      <c r="M26" s="1">
        <f t="shared" si="13"/>
        <v>4.8076732673267307E-2</v>
      </c>
      <c r="N26" s="1">
        <f t="shared" si="13"/>
        <v>2.3749999999999959E-2</v>
      </c>
      <c r="O26" s="1">
        <f t="shared" si="13"/>
        <v>1.9695544554455401E-2</v>
      </c>
      <c r="P26" s="1">
        <f t="shared" si="13"/>
        <v>-3.6175742574258061E-3</v>
      </c>
      <c r="Q26" s="1">
        <f t="shared" si="13"/>
        <v>3.895420792079194E-2</v>
      </c>
      <c r="R26" s="1">
        <f t="shared" si="13"/>
        <v>4.4022277227722749E-2</v>
      </c>
      <c r="S26" s="1">
        <f t="shared" si="13"/>
        <v>1.868193069306915E-2</v>
      </c>
      <c r="T26" s="1">
        <f t="shared" si="13"/>
        <v>3.4777227722771701E-3</v>
      </c>
      <c r="U26" s="1">
        <f t="shared" si="13"/>
        <v>-1.274009900990106E-2</v>
      </c>
      <c r="V26" s="1">
        <f t="shared" si="13"/>
        <v>-9.6992574257426436E-3</v>
      </c>
      <c r="W26" s="1">
        <f t="shared" si="13"/>
        <v>1.0573019801980147E-2</v>
      </c>
      <c r="X26" s="1">
        <f t="shared" si="13"/>
        <v>-9.6992574257426436E-3</v>
      </c>
      <c r="Y26" s="1">
        <f t="shared" si="13"/>
        <v>-1.590346534653527E-3</v>
      </c>
      <c r="Z26" s="1">
        <f t="shared" si="13"/>
        <v>2.7804455445544517E-2</v>
      </c>
      <c r="AA26" s="1">
        <f t="shared" si="13"/>
        <v>5.5049504950494491E-3</v>
      </c>
      <c r="AB26" s="1">
        <f t="shared" si="13"/>
        <v>-1.590346534653527E-3</v>
      </c>
      <c r="AC26" s="1">
        <f t="shared" si="13"/>
        <v>1.2600247524752426E-2</v>
      </c>
      <c r="AD26" s="1">
        <f t="shared" si="13"/>
        <v>2.5777227722772238E-2</v>
      </c>
      <c r="AE26" s="1">
        <f t="shared" si="13"/>
        <v>1.868193069306915E-2</v>
      </c>
      <c r="AF26" s="1">
        <f t="shared" si="13"/>
        <v>-5.7673267326738763E-4</v>
      </c>
      <c r="AG26" s="1">
        <f t="shared" si="13"/>
        <v>5.5049504950494491E-3</v>
      </c>
      <c r="AH26" s="1">
        <f t="shared" si="13"/>
        <v>1.2600247524752426E-2</v>
      </c>
      <c r="AI26" s="1">
        <f t="shared" si="13"/>
        <v>2.5777227722772238E-2</v>
      </c>
      <c r="AJ26" s="1">
        <f t="shared" si="13"/>
        <v>3.4777227722771701E-3</v>
      </c>
      <c r="AK26" s="1">
        <f t="shared" si="13"/>
        <v>3.2872524752475103E-2</v>
      </c>
      <c r="AL26" s="1">
        <f t="shared" si="13"/>
        <v>-5.7673267326738763E-4</v>
      </c>
      <c r="AM26" s="1">
        <f t="shared" si="13"/>
        <v>2.8818069306930545E-2</v>
      </c>
      <c r="AN26" s="1">
        <f t="shared" si="13"/>
        <v>2.8818069306930545E-2</v>
      </c>
      <c r="AO26" s="1">
        <f t="shared" si="13"/>
        <v>2.8818069306930545E-2</v>
      </c>
      <c r="AP26" s="1">
        <f t="shared" si="13"/>
        <v>6.834900990099009E-2</v>
      </c>
    </row>
    <row r="27" spans="2:42" x14ac:dyDescent="0.45">
      <c r="B27" s="6">
        <f t="shared" si="5"/>
        <v>6.233943833943834</v>
      </c>
      <c r="C27" s="3">
        <v>3191</v>
      </c>
      <c r="D27" s="1">
        <f t="shared" si="7"/>
        <v>-1.3626018489501729E-2</v>
      </c>
      <c r="E27" s="1">
        <f t="shared" si="8"/>
        <v>4.5005484174239262E-3</v>
      </c>
      <c r="F27" s="1">
        <f t="shared" si="9"/>
        <v>-3.9968368066436895E-3</v>
      </c>
      <c r="G27" s="1">
        <f t="shared" ref="G27:AP27" si="14">(G8-$B8)/$B8</f>
        <v>-7.2095346286430587E-3</v>
      </c>
      <c r="H27" s="1">
        <f t="shared" si="14"/>
        <v>-7.5303588216859563E-3</v>
      </c>
      <c r="I27" s="1">
        <f t="shared" si="14"/>
        <v>-1.3626018489501729E-2</v>
      </c>
      <c r="J27" s="1">
        <f t="shared" si="14"/>
        <v>-1.0096952366029425E-2</v>
      </c>
      <c r="K27" s="1">
        <f t="shared" si="14"/>
        <v>-6.247062049514222E-3</v>
      </c>
      <c r="L27" s="1">
        <f t="shared" si="14"/>
        <v>6.5065810090886636E-4</v>
      </c>
      <c r="M27" s="1">
        <f t="shared" si="14"/>
        <v>-7.851183014728997E-3</v>
      </c>
      <c r="N27" s="1">
        <f t="shared" si="14"/>
        <v>-9.2948918834221093E-3</v>
      </c>
      <c r="O27" s="1">
        <f t="shared" si="14"/>
        <v>-6.247062049514222E-3</v>
      </c>
      <c r="P27" s="1">
        <f t="shared" si="14"/>
        <v>3.0568395487308143E-3</v>
      </c>
      <c r="Q27" s="1">
        <f t="shared" si="14"/>
        <v>-1.1861485427765576E-2</v>
      </c>
      <c r="R27" s="1">
        <f t="shared" si="14"/>
        <v>-9.7761281729865264E-3</v>
      </c>
      <c r="S27" s="1">
        <f t="shared" si="14"/>
        <v>-4.7222657474149004E-4</v>
      </c>
      <c r="T27" s="1">
        <f t="shared" si="14"/>
        <v>-2.8784080225634379E-3</v>
      </c>
      <c r="U27" s="1">
        <f t="shared" si="14"/>
        <v>3.5380758382952326E-3</v>
      </c>
      <c r="V27" s="1">
        <f t="shared" si="14"/>
        <v>3.2172516452521924E-3</v>
      </c>
      <c r="W27" s="1">
        <f t="shared" si="14"/>
        <v>1.6131306800375601E-3</v>
      </c>
      <c r="X27" s="1">
        <f t="shared" si="14"/>
        <v>1.6131306800375601E-3</v>
      </c>
      <c r="Y27" s="1">
        <f t="shared" si="14"/>
        <v>2.0943669696019784E-3</v>
      </c>
      <c r="Z27" s="1">
        <f t="shared" si="14"/>
        <v>-9.4553039799436297E-3</v>
      </c>
      <c r="AA27" s="1">
        <f t="shared" si="14"/>
        <v>-3.3596443121278563E-3</v>
      </c>
      <c r="AB27" s="1">
        <f t="shared" si="14"/>
        <v>-4.7222657474149004E-4</v>
      </c>
      <c r="AC27" s="1">
        <f t="shared" si="14"/>
        <v>-2.8784080225634379E-3</v>
      </c>
      <c r="AD27" s="1">
        <f t="shared" si="14"/>
        <v>-1.9159354434346019E-3</v>
      </c>
      <c r="AE27" s="1">
        <f t="shared" si="14"/>
        <v>-1.4346991538703262E-3</v>
      </c>
      <c r="AF27" s="1">
        <f t="shared" si="14"/>
        <v>-3.3596443121278563E-3</v>
      </c>
      <c r="AG27" s="1">
        <f t="shared" si="14"/>
        <v>-1.5951112503917039E-3</v>
      </c>
      <c r="AH27" s="1">
        <f t="shared" si="14"/>
        <v>6.5065810090886636E-4</v>
      </c>
      <c r="AI27" s="1">
        <f t="shared" si="14"/>
        <v>-5.4450015669069065E-3</v>
      </c>
      <c r="AJ27" s="1">
        <f t="shared" si="14"/>
        <v>4.5005484174239262E-3</v>
      </c>
      <c r="AK27" s="1">
        <f t="shared" si="14"/>
        <v>-6.247062049514222E-3</v>
      </c>
      <c r="AL27" s="1">
        <f t="shared" si="14"/>
        <v>1.2923064869946623E-3</v>
      </c>
      <c r="AM27" s="1">
        <f t="shared" si="14"/>
        <v>-9.7761281729865264E-3</v>
      </c>
      <c r="AN27" s="1">
        <f t="shared" si="14"/>
        <v>-6.5678862425572627E-3</v>
      </c>
      <c r="AO27" s="1">
        <f t="shared" si="14"/>
        <v>-7.2095346286430587E-3</v>
      </c>
      <c r="AP27" s="1">
        <f t="shared" si="14"/>
        <v>-1.3305194296458831E-2</v>
      </c>
    </row>
    <row r="28" spans="2:42" x14ac:dyDescent="0.45">
      <c r="B28" s="6">
        <f t="shared" si="5"/>
        <v>6.4</v>
      </c>
      <c r="C28" s="3">
        <v>3276</v>
      </c>
      <c r="D28" s="1">
        <f t="shared" si="7"/>
        <v>-1.5000000000000013E-2</v>
      </c>
      <c r="E28" s="1">
        <f t="shared" si="8"/>
        <v>4.5312499999999867E-3</v>
      </c>
      <c r="F28" s="1">
        <f t="shared" si="9"/>
        <v>-4.6657986111111579E-3</v>
      </c>
      <c r="G28" s="1">
        <f t="shared" ref="G28:AP28" si="15">(G9-$B9)/$B9</f>
        <v>-7.3437500000000933E-3</v>
      </c>
      <c r="H28" s="1">
        <f t="shared" si="15"/>
        <v>-8.28124999999999E-3</v>
      </c>
      <c r="I28" s="1">
        <f t="shared" si="15"/>
        <v>-1.5000000000000013E-2</v>
      </c>
      <c r="J28" s="1">
        <f t="shared" si="15"/>
        <v>-1.1406250000000062E-2</v>
      </c>
      <c r="K28" s="1">
        <f t="shared" si="15"/>
        <v>-7.3437500000000933E-3</v>
      </c>
      <c r="L28" s="1">
        <f t="shared" si="15"/>
        <v>7.8124999999998335E-4</v>
      </c>
      <c r="M28" s="1">
        <f t="shared" si="15"/>
        <v>-8.90625000000006E-3</v>
      </c>
      <c r="N28" s="1">
        <f t="shared" si="15"/>
        <v>-1.0000000000000009E-2</v>
      </c>
      <c r="O28" s="1">
        <f t="shared" si="15"/>
        <v>-7.1875000000000411E-3</v>
      </c>
      <c r="P28" s="1">
        <f t="shared" si="15"/>
        <v>3.1249999999999334E-3</v>
      </c>
      <c r="Q28" s="1">
        <f t="shared" si="15"/>
        <v>-1.3125000000000081E-2</v>
      </c>
      <c r="R28" s="1">
        <f t="shared" si="15"/>
        <v>-1.0468750000000027E-2</v>
      </c>
      <c r="S28" s="1">
        <f t="shared" si="15"/>
        <v>-3.1250000000010436E-4</v>
      </c>
      <c r="T28" s="1">
        <f t="shared" si="15"/>
        <v>-2.3437500000000888E-3</v>
      </c>
      <c r="U28" s="1">
        <f t="shared" si="15"/>
        <v>3.1249999999999334E-3</v>
      </c>
      <c r="V28" s="1">
        <f t="shared" si="15"/>
        <v>2.8124999999999678E-3</v>
      </c>
      <c r="W28" s="1">
        <f t="shared" si="15"/>
        <v>1.0937499999999489E-3</v>
      </c>
      <c r="X28" s="1">
        <f t="shared" si="15"/>
        <v>7.8124999999998335E-4</v>
      </c>
      <c r="Y28" s="1">
        <f t="shared" si="15"/>
        <v>1.4062499999999145E-3</v>
      </c>
      <c r="Z28" s="1">
        <f t="shared" si="15"/>
        <v>-1.0781249999999992E-2</v>
      </c>
      <c r="AA28" s="1">
        <f t="shared" si="15"/>
        <v>-5.1562500000000566E-3</v>
      </c>
      <c r="AB28" s="1">
        <f t="shared" si="15"/>
        <v>-1.0937500000000877E-3</v>
      </c>
      <c r="AC28" s="1">
        <f t="shared" si="15"/>
        <v>-3.7500000000000033E-3</v>
      </c>
      <c r="AD28" s="1">
        <f t="shared" si="15"/>
        <v>-2.8125000000001066E-3</v>
      </c>
      <c r="AE28" s="1">
        <f t="shared" si="15"/>
        <v>-1.7187500000000189E-3</v>
      </c>
      <c r="AF28" s="1">
        <f t="shared" si="15"/>
        <v>-5.4687500000000222E-3</v>
      </c>
      <c r="AG28" s="1">
        <f t="shared" si="15"/>
        <v>-9.3750000000003553E-4</v>
      </c>
      <c r="AH28" s="1">
        <f t="shared" si="15"/>
        <v>3.1249999999996558E-4</v>
      </c>
      <c r="AI28" s="1">
        <f t="shared" si="15"/>
        <v>-6.2500000000000056E-3</v>
      </c>
      <c r="AJ28" s="1">
        <f t="shared" si="15"/>
        <v>4.5312499999999867E-3</v>
      </c>
      <c r="AK28" s="1">
        <f t="shared" si="15"/>
        <v>-7.1875000000000411E-3</v>
      </c>
      <c r="AL28" s="1">
        <f t="shared" si="15"/>
        <v>1.4062499999999145E-3</v>
      </c>
      <c r="AM28" s="1">
        <f t="shared" si="15"/>
        <v>-1.0312500000000113E-2</v>
      </c>
      <c r="AN28" s="1">
        <f t="shared" si="15"/>
        <v>-7.6562500000000588E-3</v>
      </c>
      <c r="AO28" s="1">
        <f t="shared" si="15"/>
        <v>-7.9687500000000244E-3</v>
      </c>
      <c r="AP28" s="1">
        <f t="shared" si="15"/>
        <v>-1.4531249999999996E-2</v>
      </c>
    </row>
    <row r="29" spans="2:42" x14ac:dyDescent="0.45">
      <c r="B29" s="6">
        <f t="shared" si="5"/>
        <v>8</v>
      </c>
      <c r="C29" s="3">
        <v>4095</v>
      </c>
      <c r="D29" s="1">
        <f t="shared" si="7"/>
        <v>-2.2499999999999964E-2</v>
      </c>
      <c r="E29" s="1">
        <f t="shared" si="8"/>
        <v>9.6249999999999947E-3</v>
      </c>
      <c r="F29" s="1">
        <f t="shared" si="9"/>
        <v>-6.3298611111111125E-3</v>
      </c>
      <c r="G29" s="1">
        <f t="shared" ref="G29:AP29" si="16">(G10-$B10)/$B10</f>
        <v>-1.0000000000000009E-2</v>
      </c>
      <c r="H29" s="1">
        <f t="shared" si="16"/>
        <v>-1.2249999999999983E-2</v>
      </c>
      <c r="I29" s="1">
        <f t="shared" si="16"/>
        <v>-1.8625000000000003E-2</v>
      </c>
      <c r="J29" s="1">
        <f t="shared" si="16"/>
        <v>-1.4000000000000012E-2</v>
      </c>
      <c r="K29" s="1">
        <f t="shared" si="16"/>
        <v>-6.4999999999999503E-3</v>
      </c>
      <c r="L29" s="1">
        <f t="shared" si="16"/>
        <v>8.7499999999995914E-4</v>
      </c>
      <c r="M29" s="1">
        <f t="shared" si="16"/>
        <v>-1.3125000000000053E-2</v>
      </c>
      <c r="N29" s="1">
        <f t="shared" si="16"/>
        <v>-1.1499999999999955E-2</v>
      </c>
      <c r="O29" s="1">
        <f t="shared" si="16"/>
        <v>-9.2499999999999805E-3</v>
      </c>
      <c r="P29" s="1">
        <f t="shared" si="16"/>
        <v>9.6249999999999947E-3</v>
      </c>
      <c r="Q29" s="1">
        <f t="shared" si="16"/>
        <v>-1.6499999999999959E-2</v>
      </c>
      <c r="R29" s="1">
        <f t="shared" si="16"/>
        <v>-1.5625E-2</v>
      </c>
      <c r="S29" s="1">
        <f t="shared" si="16"/>
        <v>-2.2499999999999742E-3</v>
      </c>
      <c r="T29" s="1">
        <f t="shared" si="16"/>
        <v>-4.750000000000032E-3</v>
      </c>
      <c r="U29" s="1">
        <f t="shared" si="16"/>
        <v>2.9999999999998916E-3</v>
      </c>
      <c r="V29" s="1">
        <f t="shared" si="16"/>
        <v>2.4999999999999467E-3</v>
      </c>
      <c r="W29" s="1">
        <f t="shared" si="16"/>
        <v>2.5000000000008349E-4</v>
      </c>
      <c r="X29" s="1">
        <f t="shared" si="16"/>
        <v>-6.2499999999998668E-4</v>
      </c>
      <c r="Y29" s="1">
        <f t="shared" si="16"/>
        <v>0</v>
      </c>
      <c r="Z29" s="1">
        <f t="shared" si="16"/>
        <v>-1.5249999999999986E-2</v>
      </c>
      <c r="AA29" s="1">
        <f t="shared" si="16"/>
        <v>-7.2499999999999787E-3</v>
      </c>
      <c r="AB29" s="1">
        <f t="shared" si="16"/>
        <v>-1.3750000000000151E-3</v>
      </c>
      <c r="AC29" s="1">
        <f t="shared" si="16"/>
        <v>-6.4999999999999503E-3</v>
      </c>
      <c r="AD29" s="1">
        <f t="shared" si="16"/>
        <v>-6.1250000000000471E-3</v>
      </c>
      <c r="AE29" s="1">
        <f t="shared" si="16"/>
        <v>-3.8749999999999618E-3</v>
      </c>
      <c r="AF29" s="1">
        <f t="shared" si="16"/>
        <v>-2.2499999999999742E-3</v>
      </c>
      <c r="AG29" s="1">
        <f t="shared" si="16"/>
        <v>2.1249999999999325E-3</v>
      </c>
      <c r="AH29" s="1">
        <f t="shared" si="16"/>
        <v>-1.1250000000000426E-3</v>
      </c>
      <c r="AI29" s="1">
        <f t="shared" si="16"/>
        <v>-8.6249999999999938E-3</v>
      </c>
      <c r="AJ29" s="1">
        <f t="shared" si="16"/>
        <v>8.0000000000000071E-3</v>
      </c>
      <c r="AK29" s="1">
        <f t="shared" si="16"/>
        <v>-1.0249999999999981E-2</v>
      </c>
      <c r="AL29" s="1">
        <f t="shared" si="16"/>
        <v>2.1249999999999325E-3</v>
      </c>
      <c r="AM29" s="1">
        <f t="shared" si="16"/>
        <v>-1.3125000000000053E-2</v>
      </c>
      <c r="AN29" s="1">
        <f t="shared" si="16"/>
        <v>-1.0874999999999968E-2</v>
      </c>
      <c r="AO29" s="1">
        <f t="shared" si="16"/>
        <v>-1.2249999999999983E-2</v>
      </c>
      <c r="AP29" s="1">
        <f t="shared" si="16"/>
        <v>-2.2499999999999964E-2</v>
      </c>
    </row>
    <row r="30" spans="2:42" x14ac:dyDescent="0.45">
      <c r="B30" s="6">
        <f t="shared" ref="B30:B37" si="17">32*C30/4095</f>
        <v>3.1257631257631258</v>
      </c>
      <c r="C30" s="4">
        <v>400</v>
      </c>
      <c r="D30" s="1">
        <f t="shared" si="7"/>
        <v>-4.1514062499999997E-2</v>
      </c>
      <c r="E30" s="1">
        <f t="shared" si="8"/>
        <v>7.4617578125E-2</v>
      </c>
      <c r="F30" s="1">
        <f t="shared" si="9"/>
        <v>1.8382421874999996E-2</v>
      </c>
      <c r="G30" s="1">
        <f t="shared" ref="G30:AP30" si="18">(G11-$B11)/$B11</f>
        <v>3.3347656249999996E-2</v>
      </c>
      <c r="H30" s="1">
        <f t="shared" si="18"/>
        <v>5.1903124999999939E-2</v>
      </c>
      <c r="I30" s="1">
        <f t="shared" si="18"/>
        <v>4.7104296875000042E-2</v>
      </c>
      <c r="J30" s="1">
        <f t="shared" si="18"/>
        <v>4.3905078124999969E-2</v>
      </c>
      <c r="K30" s="1">
        <f t="shared" si="18"/>
        <v>1.6391796875000017E-2</v>
      </c>
      <c r="L30" s="1">
        <f t="shared" si="18"/>
        <v>1.543203124999998E-2</v>
      </c>
      <c r="M30" s="1">
        <f t="shared" si="18"/>
        <v>5.4782421875000049E-2</v>
      </c>
      <c r="N30" s="1">
        <f t="shared" si="18"/>
        <v>2.5029687500000061E-2</v>
      </c>
      <c r="O30" s="1">
        <f t="shared" si="18"/>
        <v>3.3987500000000066E-2</v>
      </c>
      <c r="P30" s="1">
        <f t="shared" si="18"/>
        <v>-4.1514062499999997E-2</v>
      </c>
      <c r="Q30" s="1">
        <f t="shared" si="18"/>
        <v>4.7104296875000042E-2</v>
      </c>
      <c r="R30" s="1">
        <f t="shared" si="18"/>
        <v>5.1903124999999939E-2</v>
      </c>
      <c r="S30" s="1">
        <f t="shared" si="18"/>
        <v>1.1273046875000012E-2</v>
      </c>
      <c r="T30" s="1">
        <f t="shared" si="18"/>
        <v>5.5144531249999348E-3</v>
      </c>
      <c r="U30" s="1">
        <f t="shared" si="18"/>
        <v>-1.3041015625000011E-2</v>
      </c>
      <c r="V30" s="1">
        <f t="shared" si="18"/>
        <v>-6.6425781250000048E-3</v>
      </c>
      <c r="W30" s="1">
        <f t="shared" si="18"/>
        <v>-3.4433593749999309E-3</v>
      </c>
      <c r="X30" s="1">
        <f t="shared" si="18"/>
        <v>7.5781249999965633E-5</v>
      </c>
      <c r="Y30" s="1">
        <f t="shared" si="18"/>
        <v>-1.5238281250000002E-3</v>
      </c>
      <c r="Z30" s="1">
        <f t="shared" si="18"/>
        <v>2.694921874999999E-2</v>
      </c>
      <c r="AA30" s="1">
        <f t="shared" si="18"/>
        <v>4.2347656249999335E-3</v>
      </c>
      <c r="AB30" s="1">
        <f t="shared" si="18"/>
        <v>-9.2019531250000074E-3</v>
      </c>
      <c r="AC30" s="1">
        <f t="shared" si="18"/>
        <v>5.8343750000000418E-3</v>
      </c>
      <c r="AD30" s="1">
        <f t="shared" si="18"/>
        <v>1.7671484375000018E-2</v>
      </c>
      <c r="AE30" s="1">
        <f t="shared" si="18"/>
        <v>2.215039062499995E-2</v>
      </c>
      <c r="AF30" s="1">
        <f t="shared" si="18"/>
        <v>-6.32265625000004E-3</v>
      </c>
      <c r="AG30" s="1">
        <f t="shared" si="18"/>
        <v>-2.1358984374999945E-2</v>
      </c>
      <c r="AH30" s="1">
        <f t="shared" si="18"/>
        <v>2.0550781249999983E-2</v>
      </c>
      <c r="AI30" s="1">
        <f t="shared" si="18"/>
        <v>2.8548828124999957E-2</v>
      </c>
      <c r="AJ30" s="1">
        <f t="shared" si="18"/>
        <v>-1.496054687499994E-2</v>
      </c>
      <c r="AK30" s="1">
        <f t="shared" si="18"/>
        <v>3.4627343749999998E-2</v>
      </c>
      <c r="AL30" s="1">
        <f t="shared" si="18"/>
        <v>7.5781249999965633E-5</v>
      </c>
      <c r="AM30" s="1">
        <f t="shared" si="18"/>
        <v>3.6226953124999961E-2</v>
      </c>
      <c r="AN30" s="1">
        <f t="shared" si="18"/>
        <v>3.2067968749999995E-2</v>
      </c>
      <c r="AO30" s="1">
        <f t="shared" si="18"/>
        <v>3.8466406250000001E-2</v>
      </c>
      <c r="AP30" s="1">
        <f t="shared" si="18"/>
        <v>7.4617578125E-2</v>
      </c>
    </row>
    <row r="31" spans="2:42" x14ac:dyDescent="0.45">
      <c r="B31" s="6">
        <f t="shared" si="17"/>
        <v>23.443223443223442</v>
      </c>
      <c r="C31" s="4">
        <v>3000</v>
      </c>
      <c r="D31" s="1">
        <f t="shared" si="7"/>
        <v>-9.564531249999883E-3</v>
      </c>
      <c r="E31" s="1">
        <f t="shared" si="8"/>
        <v>3.8721875000000214E-3</v>
      </c>
      <c r="F31" s="1">
        <f t="shared" si="9"/>
        <v>-2.2774218749999383E-3</v>
      </c>
      <c r="G31" s="1">
        <f t="shared" ref="G31:AP31" si="19">(G12-$B12)/$B12</f>
        <v>-5.2135937499998685E-3</v>
      </c>
      <c r="H31" s="1">
        <f t="shared" si="19"/>
        <v>-4.9149999999999585E-3</v>
      </c>
      <c r="I31" s="1">
        <f t="shared" si="19"/>
        <v>-4.4457812499999914E-3</v>
      </c>
      <c r="J31" s="1">
        <f t="shared" si="19"/>
        <v>-6.9198437499999842E-3</v>
      </c>
      <c r="K31" s="1">
        <f t="shared" si="19"/>
        <v>-3.2514062499998954E-3</v>
      </c>
      <c r="L31" s="1">
        <f t="shared" si="19"/>
        <v>9.2890625000006119E-4</v>
      </c>
      <c r="M31" s="1">
        <f t="shared" si="19"/>
        <v>-4.9149999999999585E-3</v>
      </c>
      <c r="N31" s="1">
        <f t="shared" si="19"/>
        <v>-6.7492187499999272E-3</v>
      </c>
      <c r="O31" s="1">
        <f t="shared" si="19"/>
        <v>-5.7254687499998886E-3</v>
      </c>
      <c r="P31" s="1">
        <f t="shared" si="19"/>
        <v>1.0142187500000138E-3</v>
      </c>
      <c r="Q31" s="1">
        <f t="shared" si="19"/>
        <v>-3.4220312499999525E-3</v>
      </c>
      <c r="R31" s="1">
        <f t="shared" si="19"/>
        <v>-8.8393749999999063E-3</v>
      </c>
      <c r="S31" s="1">
        <f t="shared" si="19"/>
        <v>7.5781250000079298E-5</v>
      </c>
      <c r="T31" s="1">
        <f t="shared" si="19"/>
        <v>1.9100000000000479E-3</v>
      </c>
      <c r="U31" s="1">
        <f t="shared" si="19"/>
        <v>6.7296875000005146E-4</v>
      </c>
      <c r="V31" s="1">
        <f t="shared" si="19"/>
        <v>2.8484375000001338E-3</v>
      </c>
      <c r="W31" s="1">
        <f t="shared" si="19"/>
        <v>2.549843750000072E-3</v>
      </c>
      <c r="X31" s="1">
        <f t="shared" si="19"/>
        <v>-1.8010937499999414E-3</v>
      </c>
      <c r="Y31" s="1">
        <f t="shared" si="19"/>
        <v>2.720468750000129E-3</v>
      </c>
      <c r="Z31" s="1">
        <f t="shared" si="19"/>
        <v>-3.3367187499999998E-3</v>
      </c>
      <c r="AA31" s="1">
        <f t="shared" si="19"/>
        <v>8.4359375000010847E-4</v>
      </c>
      <c r="AB31" s="1">
        <f t="shared" si="19"/>
        <v>8.4359375000010847E-4</v>
      </c>
      <c r="AC31" s="1">
        <f t="shared" si="19"/>
        <v>-3.038124999999938E-3</v>
      </c>
      <c r="AD31" s="1">
        <f t="shared" si="19"/>
        <v>-2.5689062499999705E-3</v>
      </c>
      <c r="AE31" s="1">
        <f t="shared" si="19"/>
        <v>-3.3367187499999998E-3</v>
      </c>
      <c r="AF31" s="1">
        <f t="shared" si="19"/>
        <v>2.379218750000015E-3</v>
      </c>
      <c r="AG31" s="1">
        <f t="shared" si="19"/>
        <v>-1.3318749999999741E-3</v>
      </c>
      <c r="AH31" s="1">
        <f t="shared" si="19"/>
        <v>-9.4796874999995959E-4</v>
      </c>
      <c r="AI31" s="1">
        <f t="shared" si="19"/>
        <v>-7.7729687499999657E-3</v>
      </c>
      <c r="AJ31" s="1">
        <f t="shared" si="19"/>
        <v>3.8721875000000214E-3</v>
      </c>
      <c r="AK31" s="1">
        <f t="shared" si="19"/>
        <v>-3.5926562499998581E-3</v>
      </c>
      <c r="AL31" s="1">
        <f t="shared" si="19"/>
        <v>2.2512500000000102E-3</v>
      </c>
      <c r="AM31" s="1">
        <f t="shared" si="19"/>
        <v>-2.0996875000000035E-3</v>
      </c>
      <c r="AN31" s="1">
        <f t="shared" si="19"/>
        <v>-7.2184374999998942E-3</v>
      </c>
      <c r="AO31" s="1">
        <f t="shared" si="19"/>
        <v>-3.8912499999999199E-3</v>
      </c>
      <c r="AP31" s="1">
        <f t="shared" si="19"/>
        <v>-9.564531249999883E-3</v>
      </c>
    </row>
    <row r="32" spans="2:42" x14ac:dyDescent="0.45">
      <c r="B32" s="6">
        <f t="shared" si="17"/>
        <v>13.284493284493285</v>
      </c>
      <c r="C32" s="4">
        <v>1700</v>
      </c>
      <c r="D32" s="1">
        <f t="shared" si="7"/>
        <v>-1.9382996323529526E-2</v>
      </c>
      <c r="E32" s="1">
        <f t="shared" si="8"/>
        <v>7.7915441176469929E-3</v>
      </c>
      <c r="F32" s="1">
        <f t="shared" si="9"/>
        <v>6.4244025735288616E-4</v>
      </c>
      <c r="G32" s="1">
        <f t="shared" ref="G32:AP32" si="20">(G13-$B13)/$B13</f>
        <v>3.8143382352894236E-5</v>
      </c>
      <c r="H32" s="1">
        <f t="shared" si="20"/>
        <v>4.7805147058823513E-3</v>
      </c>
      <c r="I32" s="1">
        <f t="shared" si="20"/>
        <v>1.920036764705862E-3</v>
      </c>
      <c r="J32" s="1">
        <f t="shared" si="20"/>
        <v>-1.1240808823539132E-4</v>
      </c>
      <c r="K32" s="1">
        <f t="shared" si="20"/>
        <v>-3.575091911764756E-3</v>
      </c>
      <c r="L32" s="1">
        <f t="shared" si="20"/>
        <v>7.1562499999997865E-4</v>
      </c>
      <c r="M32" s="1">
        <f t="shared" si="20"/>
        <v>5.0816176470587894E-3</v>
      </c>
      <c r="N32" s="1">
        <f t="shared" si="20"/>
        <v>-4.327849264705916E-3</v>
      </c>
      <c r="O32" s="1">
        <f t="shared" si="20"/>
        <v>1.0920036764704921E-3</v>
      </c>
      <c r="P32" s="1">
        <f t="shared" si="20"/>
        <v>-1.9382996323529526E-2</v>
      </c>
      <c r="Q32" s="1">
        <f t="shared" si="20"/>
        <v>3.2749999999998974E-3</v>
      </c>
      <c r="R32" s="1">
        <f t="shared" si="20"/>
        <v>1.7694852941175765E-3</v>
      </c>
      <c r="S32" s="1">
        <f t="shared" si="20"/>
        <v>5.2321691176469409E-3</v>
      </c>
      <c r="T32" s="1">
        <f t="shared" si="20"/>
        <v>4.2535845588234193E-3</v>
      </c>
      <c r="U32" s="1">
        <f t="shared" si="20"/>
        <v>-4.1351102941182875E-4</v>
      </c>
      <c r="V32" s="1">
        <f t="shared" si="20"/>
        <v>3.5761029411764682E-3</v>
      </c>
      <c r="W32" s="1">
        <f t="shared" si="20"/>
        <v>1.2425551470587775E-3</v>
      </c>
      <c r="X32" s="1">
        <f t="shared" si="20"/>
        <v>2.5975183823529467E-3</v>
      </c>
      <c r="Y32" s="1">
        <f t="shared" si="20"/>
        <v>5.2321691176469409E-3</v>
      </c>
      <c r="Z32" s="1">
        <f t="shared" si="20"/>
        <v>6.9635110294117572E-3</v>
      </c>
      <c r="AA32" s="1">
        <f t="shared" si="20"/>
        <v>3.4255514705881828E-3</v>
      </c>
      <c r="AB32" s="1">
        <f t="shared" si="20"/>
        <v>4.1452205882340758E-4</v>
      </c>
      <c r="AC32" s="1">
        <f t="shared" si="20"/>
        <v>2.4469669117646608E-3</v>
      </c>
      <c r="AD32" s="1">
        <f t="shared" si="20"/>
        <v>4.7805147058823513E-3</v>
      </c>
      <c r="AE32" s="1">
        <f t="shared" si="20"/>
        <v>-4.1351102941182875E-4</v>
      </c>
      <c r="AF32" s="1">
        <f t="shared" si="20"/>
        <v>-5.3064338235294384E-3</v>
      </c>
      <c r="AG32" s="1">
        <f t="shared" si="20"/>
        <v>-1.2532904411764738E-2</v>
      </c>
      <c r="AH32" s="1">
        <f t="shared" si="20"/>
        <v>2.4469669117646608E-3</v>
      </c>
      <c r="AI32" s="1">
        <f t="shared" si="20"/>
        <v>-2.7470588235295195E-3</v>
      </c>
      <c r="AJ32" s="1">
        <f t="shared" si="20"/>
        <v>-7.6399816176471284E-3</v>
      </c>
      <c r="AK32" s="1">
        <f t="shared" si="20"/>
        <v>3.5761029411764682E-3</v>
      </c>
      <c r="AL32" s="1">
        <f t="shared" si="20"/>
        <v>-2.972886029411881E-3</v>
      </c>
      <c r="AM32" s="1">
        <f t="shared" si="20"/>
        <v>5.0816176470587894E-3</v>
      </c>
      <c r="AN32" s="1">
        <f t="shared" si="20"/>
        <v>2.6397058823525573E-4</v>
      </c>
      <c r="AO32" s="1">
        <f t="shared" si="20"/>
        <v>4.5546874999999902E-3</v>
      </c>
      <c r="AP32" s="1">
        <f t="shared" si="20"/>
        <v>7.7915441176469929E-3</v>
      </c>
    </row>
    <row r="33" spans="2:42" x14ac:dyDescent="0.45">
      <c r="B33" s="6">
        <f t="shared" si="17"/>
        <v>2.7584859584859585</v>
      </c>
      <c r="C33" s="4">
        <v>353</v>
      </c>
      <c r="D33" s="1">
        <f t="shared" si="7"/>
        <v>-3.4615350566572299E-2</v>
      </c>
      <c r="E33" s="1">
        <f t="shared" si="8"/>
        <v>8.4652974504249301E-2</v>
      </c>
      <c r="F33" s="1">
        <f t="shared" si="9"/>
        <v>2.3548601274787515E-2</v>
      </c>
      <c r="G33" s="1">
        <f t="shared" ref="G33:AP33" si="21">(G14-$B14)/$B14</f>
        <v>4.2963438385269052E-2</v>
      </c>
      <c r="H33" s="1">
        <f t="shared" si="21"/>
        <v>5.9639252832861214E-2</v>
      </c>
      <c r="I33" s="1">
        <f t="shared" si="21"/>
        <v>5.7101628895184123E-2</v>
      </c>
      <c r="J33" s="1">
        <f t="shared" si="21"/>
        <v>5.3838969546742228E-2</v>
      </c>
      <c r="K33" s="1">
        <f t="shared" si="21"/>
        <v>2.4837553116147305E-2</v>
      </c>
      <c r="L33" s="1">
        <f t="shared" si="21"/>
        <v>1.9399787535410714E-2</v>
      </c>
      <c r="M33" s="1">
        <f t="shared" si="21"/>
        <v>6.3626947592068064E-2</v>
      </c>
      <c r="N33" s="1">
        <f t="shared" si="21"/>
        <v>3.3900495750708179E-2</v>
      </c>
      <c r="O33" s="1">
        <f t="shared" si="21"/>
        <v>4.2963438385269052E-2</v>
      </c>
      <c r="P33" s="1">
        <f t="shared" si="21"/>
        <v>-3.4615350566572299E-2</v>
      </c>
      <c r="Q33" s="1">
        <f t="shared" si="21"/>
        <v>5.7101628895184123E-2</v>
      </c>
      <c r="R33" s="1">
        <f t="shared" si="21"/>
        <v>6.1089323654390966E-2</v>
      </c>
      <c r="S33" s="1">
        <f t="shared" si="21"/>
        <v>1.2149433427761983E-2</v>
      </c>
      <c r="T33" s="1">
        <f t="shared" si="21"/>
        <v>6.3491501416429981E-3</v>
      </c>
      <c r="U33" s="1">
        <f t="shared" si="21"/>
        <v>-1.4314359065155846E-2</v>
      </c>
      <c r="V33" s="1">
        <f t="shared" si="21"/>
        <v>-7.0640049575071149E-3</v>
      </c>
      <c r="W33" s="1">
        <f t="shared" si="21"/>
        <v>-1.626239376770526E-3</v>
      </c>
      <c r="X33" s="1">
        <f t="shared" si="21"/>
        <v>-1.7616855524077969E-4</v>
      </c>
      <c r="Y33" s="1">
        <f t="shared" si="21"/>
        <v>-9.0120396600573336E-4</v>
      </c>
      <c r="Z33" s="1">
        <f t="shared" si="21"/>
        <v>2.9187765580736543E-2</v>
      </c>
      <c r="AA33" s="1">
        <f t="shared" si="21"/>
        <v>4.8990793201132516E-3</v>
      </c>
      <c r="AB33" s="1">
        <f t="shared" si="21"/>
        <v>-7.4265226628895111E-3</v>
      </c>
      <c r="AC33" s="1">
        <f t="shared" si="21"/>
        <v>9.6118094900850479E-3</v>
      </c>
      <c r="AD33" s="1">
        <f t="shared" si="21"/>
        <v>2.0849858356940462E-2</v>
      </c>
      <c r="AE33" s="1">
        <f t="shared" si="21"/>
        <v>2.6650141643059448E-2</v>
      </c>
      <c r="AF33" s="1">
        <f t="shared" si="21"/>
        <v>1.636419971671363E-3</v>
      </c>
      <c r="AG33" s="1">
        <f t="shared" si="21"/>
        <v>-1.4676876770538243E-2</v>
      </c>
      <c r="AH33" s="1">
        <f t="shared" si="21"/>
        <v>2.6650141643059448E-2</v>
      </c>
      <c r="AI33" s="1">
        <f t="shared" si="21"/>
        <v>3.2450424929178434E-2</v>
      </c>
      <c r="AJ33" s="1">
        <f t="shared" si="21"/>
        <v>-1.1414217422096353E-2</v>
      </c>
      <c r="AK33" s="1">
        <f t="shared" si="21"/>
        <v>4.115084985835691E-2</v>
      </c>
      <c r="AL33" s="1">
        <f t="shared" si="21"/>
        <v>2.3614553824363167E-3</v>
      </c>
      <c r="AM33" s="1">
        <f t="shared" si="21"/>
        <v>4.1875885269121865E-2</v>
      </c>
      <c r="AN33" s="1">
        <f t="shared" si="21"/>
        <v>3.8613225920679978E-2</v>
      </c>
      <c r="AO33" s="1">
        <f t="shared" si="21"/>
        <v>4.4413509206798797E-2</v>
      </c>
      <c r="AP33" s="1">
        <f t="shared" si="21"/>
        <v>8.4652974504249301E-2</v>
      </c>
    </row>
    <row r="34" spans="2:42" x14ac:dyDescent="0.45">
      <c r="B34" s="6">
        <f t="shared" si="17"/>
        <v>3.9462759462759465</v>
      </c>
      <c r="C34" s="4">
        <v>505</v>
      </c>
      <c r="D34" s="1">
        <f t="shared" si="7"/>
        <v>-4.2641707920792117E-2</v>
      </c>
      <c r="E34" s="1">
        <f t="shared" si="8"/>
        <v>6.2774133663366274E-2</v>
      </c>
      <c r="F34" s="1">
        <f t="shared" si="9"/>
        <v>1.3346379950494994E-2</v>
      </c>
      <c r="G34" s="1">
        <f t="shared" ref="G34:AP34" si="22">(G15-$B15)/$B15</f>
        <v>2.4763613861385987E-2</v>
      </c>
      <c r="H34" s="1">
        <f t="shared" si="22"/>
        <v>3.895420792079194E-2</v>
      </c>
      <c r="I34" s="1">
        <f t="shared" si="22"/>
        <v>3.337933168316834E-2</v>
      </c>
      <c r="J34" s="1">
        <f t="shared" si="22"/>
        <v>3.033849009900981E-2</v>
      </c>
      <c r="K34" s="1">
        <f t="shared" si="22"/>
        <v>7.5321782178217282E-3</v>
      </c>
      <c r="L34" s="1">
        <f t="shared" si="22"/>
        <v>8.0389851485148534E-3</v>
      </c>
      <c r="M34" s="1">
        <f t="shared" si="22"/>
        <v>4.0728032178217827E-2</v>
      </c>
      <c r="N34" s="1">
        <f t="shared" si="22"/>
        <v>1.513428217821783E-2</v>
      </c>
      <c r="O34" s="1">
        <f t="shared" si="22"/>
        <v>2.4763613861385987E-2</v>
      </c>
      <c r="P34" s="1">
        <f t="shared" si="22"/>
        <v>-4.2641707920792117E-2</v>
      </c>
      <c r="Q34" s="1">
        <f t="shared" si="22"/>
        <v>3.3886138613861354E-2</v>
      </c>
      <c r="R34" s="1">
        <f t="shared" si="22"/>
        <v>3.895420792079194E-2</v>
      </c>
      <c r="S34" s="1">
        <f t="shared" si="22"/>
        <v>1.1840037128712793E-2</v>
      </c>
      <c r="T34" s="1">
        <f t="shared" si="22"/>
        <v>6.2651608910890815E-3</v>
      </c>
      <c r="U34" s="1">
        <f t="shared" si="22"/>
        <v>-1.0206064356435656E-2</v>
      </c>
      <c r="V34" s="1">
        <f t="shared" si="22"/>
        <v>-3.8709777227723128E-3</v>
      </c>
      <c r="W34" s="1">
        <f t="shared" si="22"/>
        <v>-2.0971534653465404E-3</v>
      </c>
      <c r="X34" s="1">
        <f t="shared" si="22"/>
        <v>2.2107054455445239E-3</v>
      </c>
      <c r="Y34" s="1">
        <f t="shared" si="22"/>
        <v>1.703898514851398E-3</v>
      </c>
      <c r="Z34" s="1">
        <f t="shared" si="22"/>
        <v>2.3749999999999959E-2</v>
      </c>
      <c r="AA34" s="1">
        <f t="shared" si="22"/>
        <v>3.4777227722771701E-3</v>
      </c>
      <c r="AB34" s="1">
        <f t="shared" si="22"/>
        <v>-6.151608910891098E-3</v>
      </c>
      <c r="AC34" s="1">
        <f t="shared" si="22"/>
        <v>7.5321782178217282E-3</v>
      </c>
      <c r="AD34" s="1">
        <f t="shared" si="22"/>
        <v>1.6401299504950475E-2</v>
      </c>
      <c r="AE34" s="1">
        <f t="shared" si="22"/>
        <v>1.6908106435643489E-2</v>
      </c>
      <c r="AF34" s="1">
        <f t="shared" si="22"/>
        <v>-6.6584158415842242E-3</v>
      </c>
      <c r="AG34" s="1">
        <f t="shared" si="22"/>
        <v>-2.236943069306933E-2</v>
      </c>
      <c r="AH34" s="1">
        <f t="shared" si="22"/>
        <v>1.6401299504950475E-2</v>
      </c>
      <c r="AI34" s="1">
        <f t="shared" si="22"/>
        <v>1.868193069306915E-2</v>
      </c>
      <c r="AJ34" s="1">
        <f t="shared" si="22"/>
        <v>-1.8061571782178265E-2</v>
      </c>
      <c r="AK34" s="1">
        <f t="shared" si="22"/>
        <v>2.653743811881187E-2</v>
      </c>
      <c r="AL34" s="1">
        <f t="shared" si="22"/>
        <v>-2.3505569306931599E-3</v>
      </c>
      <c r="AM34" s="1">
        <f t="shared" si="22"/>
        <v>2.7551051980197899E-2</v>
      </c>
      <c r="AN34" s="1">
        <f t="shared" si="22"/>
        <v>2.5270420792079223E-2</v>
      </c>
      <c r="AO34" s="1">
        <f t="shared" si="22"/>
        <v>3.1098700495049442E-2</v>
      </c>
      <c r="AP34" s="1">
        <f t="shared" si="22"/>
        <v>6.2774133663366274E-2</v>
      </c>
    </row>
    <row r="35" spans="2:42" x14ac:dyDescent="0.45">
      <c r="B35" s="6">
        <f t="shared" si="17"/>
        <v>24.935775335775336</v>
      </c>
      <c r="C35" s="4">
        <v>3191</v>
      </c>
      <c r="D35" s="1">
        <f t="shared" si="7"/>
        <v>-1.1340146114070885E-2</v>
      </c>
      <c r="E35" s="1">
        <f t="shared" si="8"/>
        <v>5.7838451895956605E-3</v>
      </c>
      <c r="F35" s="1">
        <f t="shared" si="9"/>
        <v>-2.0106231392980358E-3</v>
      </c>
      <c r="G35" s="1">
        <f t="shared" ref="G35:AP35" si="23">(G16-$B16)/$B16</f>
        <v>-3.8408806016922742E-3</v>
      </c>
      <c r="H35" s="1">
        <f t="shared" si="23"/>
        <v>-5.0038683014729038E-3</v>
      </c>
      <c r="I35" s="1">
        <f t="shared" si="23"/>
        <v>-4.3622199153869655E-3</v>
      </c>
      <c r="J35" s="1">
        <f t="shared" si="23"/>
        <v>-6.848607411469745E-3</v>
      </c>
      <c r="K35" s="1">
        <f t="shared" si="23"/>
        <v>-3.7606745534315856E-3</v>
      </c>
      <c r="L35" s="1">
        <f t="shared" si="23"/>
        <v>1.1719974146035578E-3</v>
      </c>
      <c r="M35" s="1">
        <f t="shared" si="23"/>
        <v>-6.0866499529928448E-3</v>
      </c>
      <c r="N35" s="1">
        <f t="shared" si="23"/>
        <v>-6.8887104356001603E-3</v>
      </c>
      <c r="O35" s="1">
        <f t="shared" si="23"/>
        <v>-6.4876801942964314E-3</v>
      </c>
      <c r="P35" s="1">
        <f t="shared" si="23"/>
        <v>5.7838451895956605E-3</v>
      </c>
      <c r="Q35" s="1">
        <f t="shared" si="23"/>
        <v>-4.3622199153869655E-3</v>
      </c>
      <c r="R35" s="1">
        <f t="shared" si="23"/>
        <v>-1.0257364462550945E-2</v>
      </c>
      <c r="S35" s="1">
        <f t="shared" si="23"/>
        <v>4.5014298025693053E-4</v>
      </c>
      <c r="T35" s="1">
        <f t="shared" si="23"/>
        <v>2.2146760419930827E-3</v>
      </c>
      <c r="U35" s="1">
        <f t="shared" si="23"/>
        <v>8.9127624569093297E-4</v>
      </c>
      <c r="V35" s="1">
        <f t="shared" si="23"/>
        <v>2.695912331557501E-3</v>
      </c>
      <c r="W35" s="1">
        <f t="shared" si="23"/>
        <v>2.93653047633971E-3</v>
      </c>
      <c r="X35" s="1">
        <f t="shared" si="23"/>
        <v>-2.1164505640865377E-3</v>
      </c>
      <c r="Y35" s="1">
        <f t="shared" si="23"/>
        <v>3.2974576935130237E-3</v>
      </c>
      <c r="Z35" s="1">
        <f t="shared" si="23"/>
        <v>-3.8408806016922742E-3</v>
      </c>
      <c r="AA35" s="1">
        <f t="shared" si="23"/>
        <v>2.5756032591663963E-3</v>
      </c>
      <c r="AB35" s="1">
        <f t="shared" si="23"/>
        <v>1.2522034628642466E-3</v>
      </c>
      <c r="AC35" s="1">
        <f t="shared" si="23"/>
        <v>-2.5174808053901247E-3</v>
      </c>
      <c r="AD35" s="1">
        <f t="shared" si="23"/>
        <v>-2.1164505640865377E-3</v>
      </c>
      <c r="AE35" s="1">
        <f t="shared" si="23"/>
        <v>-2.0362445158257064E-3</v>
      </c>
      <c r="AF35" s="1">
        <f t="shared" si="23"/>
        <v>4.4604453932936532E-3</v>
      </c>
      <c r="AG35" s="1">
        <f t="shared" si="23"/>
        <v>1.1719974146035578E-3</v>
      </c>
      <c r="AH35" s="1">
        <f t="shared" si="23"/>
        <v>-6.326386712628677E-4</v>
      </c>
      <c r="AI35" s="1">
        <f t="shared" si="23"/>
        <v>-8.4527283766843778E-3</v>
      </c>
      <c r="AJ35" s="1">
        <f t="shared" si="23"/>
        <v>5.3427119241616578E-3</v>
      </c>
      <c r="AK35" s="1">
        <f t="shared" si="23"/>
        <v>-3.6804685051707543E-3</v>
      </c>
      <c r="AL35" s="1">
        <f t="shared" si="23"/>
        <v>3.0568395487308143E-3</v>
      </c>
      <c r="AM35" s="1">
        <f t="shared" si="23"/>
        <v>-4.0012926982137941E-3</v>
      </c>
      <c r="AN35" s="1">
        <f t="shared" si="23"/>
        <v>-7.5704618458163724E-3</v>
      </c>
      <c r="AO35" s="1">
        <f t="shared" si="23"/>
        <v>-3.4799533845189605E-3</v>
      </c>
      <c r="AP35" s="1">
        <f t="shared" si="23"/>
        <v>-1.1340146114070885E-2</v>
      </c>
    </row>
    <row r="36" spans="2:42" x14ac:dyDescent="0.45">
      <c r="B36" s="6">
        <f t="shared" si="17"/>
        <v>25.6</v>
      </c>
      <c r="C36" s="4">
        <v>3276</v>
      </c>
      <c r="D36" s="1">
        <f t="shared" si="7"/>
        <v>-1.2460937500000102E-2</v>
      </c>
      <c r="E36" s="1">
        <f t="shared" si="8"/>
        <v>7.6171875000000111E-3</v>
      </c>
      <c r="F36" s="1">
        <f t="shared" si="9"/>
        <v>-2.1386718750000542E-3</v>
      </c>
      <c r="G36" s="1">
        <f t="shared" ref="G36:AP36" si="24">(G17-$B17)/$B17</f>
        <v>-5.7812499999999878E-3</v>
      </c>
      <c r="H36" s="1">
        <f t="shared" si="24"/>
        <v>-6.328125000000101E-3</v>
      </c>
      <c r="I36" s="1">
        <f t="shared" si="24"/>
        <v>-5.1562500000000566E-3</v>
      </c>
      <c r="J36" s="1">
        <f t="shared" si="24"/>
        <v>-7.5390625000000544E-3</v>
      </c>
      <c r="K36" s="1">
        <f t="shared" si="24"/>
        <v>-4.3750000000000733E-3</v>
      </c>
      <c r="L36" s="1">
        <f t="shared" si="24"/>
        <v>1.0937499999999489E-3</v>
      </c>
      <c r="M36" s="1">
        <f t="shared" si="24"/>
        <v>-7.0703125000000366E-3</v>
      </c>
      <c r="N36" s="1">
        <f t="shared" si="24"/>
        <v>-7.6953125000001066E-3</v>
      </c>
      <c r="O36" s="1">
        <f t="shared" si="24"/>
        <v>-7.1875000000000411E-3</v>
      </c>
      <c r="P36" s="1">
        <f t="shared" si="24"/>
        <v>6.6406249999999278E-3</v>
      </c>
      <c r="Q36" s="1">
        <f t="shared" si="24"/>
        <v>-4.2187500000000211E-3</v>
      </c>
      <c r="R36" s="1">
        <f t="shared" si="24"/>
        <v>-1.1601562500000023E-2</v>
      </c>
      <c r="S36" s="1">
        <f t="shared" si="24"/>
        <v>6.6406249999997891E-4</v>
      </c>
      <c r="T36" s="1">
        <f t="shared" si="24"/>
        <v>2.0312499999999845E-3</v>
      </c>
      <c r="U36" s="1">
        <f t="shared" si="24"/>
        <v>1.4453124999999623E-3</v>
      </c>
      <c r="V36" s="1">
        <f t="shared" si="24"/>
        <v>3.0859374999998856E-3</v>
      </c>
      <c r="W36" s="1">
        <f t="shared" si="24"/>
        <v>4.1406249999999256E-3</v>
      </c>
      <c r="X36" s="1">
        <f t="shared" si="24"/>
        <v>-1.7968750000001144E-3</v>
      </c>
      <c r="Y36" s="1">
        <f t="shared" si="24"/>
        <v>3.2421874999999378E-3</v>
      </c>
      <c r="Z36" s="1">
        <f t="shared" si="24"/>
        <v>-4.4921875000000777E-3</v>
      </c>
      <c r="AA36" s="1">
        <f t="shared" si="24"/>
        <v>2.7343750000000111E-3</v>
      </c>
      <c r="AB36" s="1">
        <f t="shared" si="24"/>
        <v>2.1093749999999412E-3</v>
      </c>
      <c r="AC36" s="1">
        <f t="shared" si="24"/>
        <v>-2.7343750000000111E-3</v>
      </c>
      <c r="AD36" s="1">
        <f t="shared" si="24"/>
        <v>-2.7343750000000111E-3</v>
      </c>
      <c r="AE36" s="1">
        <f t="shared" si="24"/>
        <v>-1.9531250000000278E-3</v>
      </c>
      <c r="AF36" s="1">
        <f t="shared" si="24"/>
        <v>5.351562499999879E-3</v>
      </c>
      <c r="AG36" s="1">
        <f t="shared" si="24"/>
        <v>2.9687499999998812E-3</v>
      </c>
      <c r="AH36" s="1">
        <f t="shared" si="24"/>
        <v>-1.0156249999999922E-3</v>
      </c>
      <c r="AI36" s="1">
        <f t="shared" si="24"/>
        <v>-8.9843750000000167E-3</v>
      </c>
      <c r="AJ36" s="1">
        <f t="shared" si="24"/>
        <v>7.6171875000000111E-3</v>
      </c>
      <c r="AK36" s="1">
        <f t="shared" si="24"/>
        <v>-4.414062500000121E-3</v>
      </c>
      <c r="AL36" s="1">
        <f t="shared" si="24"/>
        <v>3.0078124999999289E-3</v>
      </c>
      <c r="AM36" s="1">
        <f t="shared" si="24"/>
        <v>-3.4375000000000377E-3</v>
      </c>
      <c r="AN36" s="1">
        <f t="shared" si="24"/>
        <v>-8.1250000000000766E-3</v>
      </c>
      <c r="AO36" s="1">
        <f t="shared" si="24"/>
        <v>-4.02343750000006E-3</v>
      </c>
      <c r="AP36" s="1">
        <f t="shared" si="24"/>
        <v>-1.2460937500000102E-2</v>
      </c>
    </row>
    <row r="37" spans="2:42" x14ac:dyDescent="0.45">
      <c r="B37" s="6">
        <f t="shared" si="17"/>
        <v>32</v>
      </c>
      <c r="C37" s="4">
        <v>4095</v>
      </c>
      <c r="D37" s="1">
        <f t="shared" si="7"/>
        <v>-2.0468750000000036E-2</v>
      </c>
      <c r="E37" s="1">
        <f t="shared" si="8"/>
        <v>1.4718749999999892E-2</v>
      </c>
      <c r="F37" s="1">
        <f t="shared" si="9"/>
        <v>-3.6649305555555597E-3</v>
      </c>
      <c r="G37" s="1">
        <f t="shared" ref="G37:AP37" si="25">(G18-$B18)/$B18</f>
        <v>-6.6874999999999574E-3</v>
      </c>
      <c r="H37" s="1">
        <f t="shared" si="25"/>
        <v>-1.0093750000000012E-2</v>
      </c>
      <c r="I37" s="1">
        <f t="shared" si="25"/>
        <v>-6.7812499999999609E-3</v>
      </c>
      <c r="J37" s="1">
        <f t="shared" si="25"/>
        <v>-9.9687499999999707E-3</v>
      </c>
      <c r="K37" s="1">
        <f t="shared" si="25"/>
        <v>-4.0000000000000036E-3</v>
      </c>
      <c r="L37" s="1">
        <f t="shared" si="25"/>
        <v>9.3750000000003553E-4</v>
      </c>
      <c r="M37" s="1">
        <f t="shared" si="25"/>
        <v>-1.040624999999995E-2</v>
      </c>
      <c r="N37" s="1">
        <f t="shared" si="25"/>
        <v>-9.343749999999984E-3</v>
      </c>
      <c r="O37" s="1">
        <f t="shared" si="25"/>
        <v>-1.0468750000000027E-2</v>
      </c>
      <c r="P37" s="1">
        <f t="shared" si="25"/>
        <v>1.4718749999999892E-2</v>
      </c>
      <c r="Q37" s="1">
        <f t="shared" si="25"/>
        <v>-7.5312499999999893E-3</v>
      </c>
      <c r="R37" s="1">
        <f t="shared" si="25"/>
        <v>-1.6499999999999959E-2</v>
      </c>
      <c r="S37" s="1">
        <f t="shared" si="25"/>
        <v>-1.7187499999999911E-3</v>
      </c>
      <c r="T37" s="1">
        <f t="shared" si="25"/>
        <v>1.1562499999999698E-3</v>
      </c>
      <c r="U37" s="1">
        <f t="shared" si="25"/>
        <v>1.6249999999999876E-3</v>
      </c>
      <c r="V37" s="1">
        <f t="shared" si="25"/>
        <v>2.0625000000000782E-3</v>
      </c>
      <c r="W37" s="1">
        <f t="shared" si="25"/>
        <v>4.8437500000000355E-3</v>
      </c>
      <c r="X37" s="1">
        <f t="shared" si="25"/>
        <v>-4.1250000000000453E-3</v>
      </c>
      <c r="Y37" s="1">
        <f t="shared" si="25"/>
        <v>1.9062499999999982E-3</v>
      </c>
      <c r="Z37" s="1">
        <f t="shared" si="25"/>
        <v>-8.5312499999999902E-3</v>
      </c>
      <c r="AA37" s="1">
        <f t="shared" si="25"/>
        <v>1.2812499999999005E-3</v>
      </c>
      <c r="AB37" s="1">
        <f t="shared" si="25"/>
        <v>2.1249999999999325E-3</v>
      </c>
      <c r="AC37" s="1">
        <f t="shared" si="25"/>
        <v>-4.8437500000000355E-3</v>
      </c>
      <c r="AD37" s="1">
        <f t="shared" si="25"/>
        <v>-5.6562500000000293E-3</v>
      </c>
      <c r="AE37" s="1">
        <f t="shared" si="25"/>
        <v>-3.7187499999999929E-3</v>
      </c>
      <c r="AF37" s="1">
        <f t="shared" si="25"/>
        <v>7.5624999999999165E-3</v>
      </c>
      <c r="AG37" s="1">
        <f t="shared" si="25"/>
        <v>6.7812499999999609E-3</v>
      </c>
      <c r="AH37" s="1">
        <f t="shared" si="25"/>
        <v>-3.7812499999999583E-3</v>
      </c>
      <c r="AI37" s="1">
        <f t="shared" si="25"/>
        <v>-1.1312499999999948E-2</v>
      </c>
      <c r="AJ37" s="1">
        <f t="shared" si="25"/>
        <v>1.1156249999999979E-2</v>
      </c>
      <c r="AK37" s="1">
        <f t="shared" si="25"/>
        <v>-7.125000000000048E-3</v>
      </c>
      <c r="AL37" s="1">
        <f t="shared" si="25"/>
        <v>3.7812500000000693E-3</v>
      </c>
      <c r="AM37" s="1">
        <f t="shared" si="25"/>
        <v>-7.2499999999999787E-3</v>
      </c>
      <c r="AN37" s="1">
        <f t="shared" si="25"/>
        <v>-1.2624999999999997E-2</v>
      </c>
      <c r="AO37" s="1">
        <f t="shared" si="25"/>
        <v>-8.9375000000000426E-3</v>
      </c>
      <c r="AP37" s="1">
        <f t="shared" si="25"/>
        <v>-2.0468750000000036E-2</v>
      </c>
    </row>
    <row r="38" spans="2:42" x14ac:dyDescent="0.45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2:42" x14ac:dyDescent="0.45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2:42" x14ac:dyDescent="0.45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1AEB-46A7-44F4-8D4F-2D00FDD72AA8}">
  <dimension ref="B2:AP40"/>
  <sheetViews>
    <sheetView zoomScale="70" zoomScaleNormal="70" workbookViewId="0">
      <selection activeCell="B40" sqref="B40:Q57"/>
    </sheetView>
  </sheetViews>
  <sheetFormatPr defaultRowHeight="17" x14ac:dyDescent="0.45"/>
  <cols>
    <col min="2" max="2" width="8.6640625" customWidth="1"/>
  </cols>
  <sheetData>
    <row r="2" spans="2:42" x14ac:dyDescent="0.45">
      <c r="B2" t="s">
        <v>16</v>
      </c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 s="6">
        <f t="shared" ref="B3:B10" si="0">8*C3/4095</f>
        <v>0.78144078144078144</v>
      </c>
      <c r="C3" s="3">
        <v>400</v>
      </c>
      <c r="D3" s="5">
        <f>MIN(G3:AP3)</f>
        <v>0.76800000000000002</v>
      </c>
      <c r="E3" s="5">
        <f>MAX(G3:AP3)</f>
        <v>0.82099999999999995</v>
      </c>
      <c r="F3" s="5">
        <f>AVERAGE(G3:AP3)</f>
        <v>0.79583333333333328</v>
      </c>
      <c r="G3">
        <v>0.80500000000000005</v>
      </c>
      <c r="H3">
        <v>0.80500000000000005</v>
      </c>
      <c r="I3">
        <v>0.81699999999999995</v>
      </c>
      <c r="J3">
        <v>0.81899999999999995</v>
      </c>
      <c r="K3">
        <v>0.79900000000000004</v>
      </c>
      <c r="L3">
        <v>0.77900000000000003</v>
      </c>
      <c r="M3">
        <v>0.81599999999999995</v>
      </c>
      <c r="N3">
        <v>0.80700000000000005</v>
      </c>
      <c r="O3">
        <v>0.80100000000000005</v>
      </c>
      <c r="P3">
        <v>0.79600000000000004</v>
      </c>
      <c r="Q3">
        <v>0.81399999999999995</v>
      </c>
      <c r="R3">
        <v>0.81399999999999995</v>
      </c>
      <c r="S3">
        <v>0.78800000000000003</v>
      </c>
      <c r="T3">
        <v>0.78100000000000003</v>
      </c>
      <c r="U3">
        <v>0.76800000000000002</v>
      </c>
      <c r="V3">
        <v>0.77200000000000002</v>
      </c>
      <c r="W3">
        <v>0.78700000000000003</v>
      </c>
      <c r="X3">
        <v>0.77600000000000002</v>
      </c>
      <c r="Y3">
        <v>0.77700000000000002</v>
      </c>
      <c r="Z3">
        <v>0.79700000000000004</v>
      </c>
      <c r="AA3">
        <v>0.78500000000000003</v>
      </c>
      <c r="AB3">
        <v>0.77900000000000003</v>
      </c>
      <c r="AC3">
        <v>0.79</v>
      </c>
      <c r="AD3">
        <v>0.79600000000000004</v>
      </c>
      <c r="AE3">
        <v>0.79700000000000004</v>
      </c>
      <c r="AF3">
        <v>0.79200000000000004</v>
      </c>
      <c r="AG3">
        <v>0.79</v>
      </c>
      <c r="AH3">
        <v>0.78800000000000003</v>
      </c>
      <c r="AI3">
        <v>0.80300000000000005</v>
      </c>
      <c r="AJ3">
        <v>0.79</v>
      </c>
      <c r="AK3">
        <v>0.80700000000000005</v>
      </c>
      <c r="AL3">
        <v>0.78500000000000003</v>
      </c>
      <c r="AM3">
        <v>0.80700000000000005</v>
      </c>
      <c r="AN3">
        <v>0.80100000000000005</v>
      </c>
      <c r="AO3">
        <v>0.80100000000000005</v>
      </c>
      <c r="AP3">
        <v>0.82099999999999995</v>
      </c>
    </row>
    <row r="4" spans="2:42" x14ac:dyDescent="0.45">
      <c r="B4" s="6">
        <f t="shared" si="0"/>
        <v>2.9304029304029302</v>
      </c>
      <c r="C4" s="3">
        <v>1500</v>
      </c>
      <c r="D4" s="5">
        <f t="shared" ref="D4:D18" si="1">MIN(G4:AP4)</f>
        <v>2.8769999999999998</v>
      </c>
      <c r="E4" s="5">
        <f t="shared" ref="E4:E18" si="2">MAX(G4:AP4)</f>
        <v>2.948</v>
      </c>
      <c r="F4" s="5">
        <f t="shared" ref="F4:F18" si="3">AVERAGE(G4:AP4)</f>
        <v>2.9146666666666672</v>
      </c>
      <c r="G4">
        <v>2.9140000000000001</v>
      </c>
      <c r="H4">
        <v>2.8969999999999998</v>
      </c>
      <c r="I4">
        <v>2.89</v>
      </c>
      <c r="J4">
        <v>2.8940000000000001</v>
      </c>
      <c r="K4">
        <v>2.907</v>
      </c>
      <c r="L4">
        <v>2.9340000000000002</v>
      </c>
      <c r="M4">
        <v>2.899</v>
      </c>
      <c r="N4">
        <v>2.9079999999999999</v>
      </c>
      <c r="O4">
        <v>2.9119999999999999</v>
      </c>
      <c r="P4">
        <v>2.9390000000000001</v>
      </c>
      <c r="Q4">
        <v>2.8969999999999998</v>
      </c>
      <c r="R4">
        <v>2.8969999999999998</v>
      </c>
      <c r="S4">
        <v>2.923</v>
      </c>
      <c r="T4">
        <v>2.9279999999999999</v>
      </c>
      <c r="U4">
        <v>2.9340000000000002</v>
      </c>
      <c r="V4">
        <v>2.9279999999999999</v>
      </c>
      <c r="W4">
        <v>2.923</v>
      </c>
      <c r="X4">
        <v>2.948</v>
      </c>
      <c r="Y4">
        <v>2.93</v>
      </c>
      <c r="Z4">
        <v>2.9049999999999998</v>
      </c>
      <c r="AA4">
        <v>2.9249999999999998</v>
      </c>
      <c r="AB4">
        <v>2.9209999999999998</v>
      </c>
      <c r="AC4">
        <v>2.923</v>
      </c>
      <c r="AD4">
        <v>2.923</v>
      </c>
      <c r="AE4">
        <v>2.919</v>
      </c>
      <c r="AF4">
        <v>2.919</v>
      </c>
      <c r="AG4">
        <v>2.907</v>
      </c>
      <c r="AH4">
        <v>2.9140000000000001</v>
      </c>
      <c r="AI4">
        <v>2.923</v>
      </c>
      <c r="AJ4">
        <v>2.93</v>
      </c>
      <c r="AK4">
        <v>2.9049999999999998</v>
      </c>
      <c r="AL4">
        <v>2.9209999999999998</v>
      </c>
      <c r="AM4">
        <v>2.9079999999999999</v>
      </c>
      <c r="AN4">
        <v>2.903</v>
      </c>
      <c r="AO4">
        <v>2.903</v>
      </c>
      <c r="AP4">
        <v>2.8769999999999998</v>
      </c>
    </row>
    <row r="5" spans="2:42" x14ac:dyDescent="0.45">
      <c r="B5" s="6">
        <f t="shared" si="0"/>
        <v>1.855921855921856</v>
      </c>
      <c r="C5" s="3">
        <v>950</v>
      </c>
      <c r="D5" s="5">
        <f t="shared" si="1"/>
        <v>1.8440000000000001</v>
      </c>
      <c r="E5" s="5">
        <f t="shared" si="2"/>
        <v>1.8660000000000001</v>
      </c>
      <c r="F5" s="5">
        <f t="shared" si="3"/>
        <v>1.857138888888888</v>
      </c>
      <c r="G5">
        <v>1.8660000000000001</v>
      </c>
      <c r="H5">
        <v>1.8580000000000001</v>
      </c>
      <c r="I5">
        <v>1.86</v>
      </c>
      <c r="J5">
        <v>1.8620000000000001</v>
      </c>
      <c r="K5">
        <v>1.8580000000000001</v>
      </c>
      <c r="L5">
        <v>1.855</v>
      </c>
      <c r="M5">
        <v>1.8640000000000001</v>
      </c>
      <c r="N5">
        <v>1.8580000000000001</v>
      </c>
      <c r="O5">
        <v>1.8580000000000001</v>
      </c>
      <c r="P5">
        <v>1.857</v>
      </c>
      <c r="Q5">
        <v>1.86</v>
      </c>
      <c r="R5">
        <v>1.86</v>
      </c>
      <c r="S5">
        <v>1.8580000000000001</v>
      </c>
      <c r="T5">
        <v>1.8580000000000001</v>
      </c>
      <c r="U5">
        <v>1.851</v>
      </c>
      <c r="V5">
        <v>1.849</v>
      </c>
      <c r="W5">
        <v>1.857</v>
      </c>
      <c r="X5">
        <v>1.8640000000000001</v>
      </c>
      <c r="Y5">
        <v>1.855</v>
      </c>
      <c r="Z5">
        <v>1.857</v>
      </c>
      <c r="AA5">
        <v>1.8580000000000001</v>
      </c>
      <c r="AB5">
        <v>1.851</v>
      </c>
      <c r="AC5">
        <v>1.86</v>
      </c>
      <c r="AD5">
        <v>1.86</v>
      </c>
      <c r="AE5">
        <v>1.86</v>
      </c>
      <c r="AF5">
        <v>1.851</v>
      </c>
      <c r="AG5">
        <v>1.8440000000000001</v>
      </c>
      <c r="AH5">
        <v>1.851</v>
      </c>
      <c r="AI5">
        <v>1.8640000000000001</v>
      </c>
      <c r="AJ5">
        <v>1.855</v>
      </c>
      <c r="AK5">
        <v>1.8580000000000001</v>
      </c>
      <c r="AL5">
        <v>1.849</v>
      </c>
      <c r="AM5">
        <v>1.86</v>
      </c>
      <c r="AN5">
        <v>1.855</v>
      </c>
      <c r="AO5">
        <v>1.8580000000000001</v>
      </c>
      <c r="AP5">
        <v>1.8580000000000001</v>
      </c>
    </row>
    <row r="6" spans="2:42" x14ac:dyDescent="0.45">
      <c r="B6" s="6">
        <f t="shared" si="0"/>
        <v>0.68962148962148961</v>
      </c>
      <c r="C6" s="3">
        <v>353</v>
      </c>
      <c r="D6" s="5">
        <f t="shared" si="1"/>
        <v>0.67800000000000005</v>
      </c>
      <c r="E6" s="5">
        <f t="shared" si="2"/>
        <v>0.73199999999999998</v>
      </c>
      <c r="F6" s="5">
        <f t="shared" si="3"/>
        <v>0.70594444444444437</v>
      </c>
      <c r="G6">
        <v>0.71599999999999997</v>
      </c>
      <c r="H6">
        <v>0.71599999999999997</v>
      </c>
      <c r="I6">
        <v>0.73</v>
      </c>
      <c r="J6">
        <v>0.73</v>
      </c>
      <c r="K6">
        <v>0.71199999999999997</v>
      </c>
      <c r="L6">
        <v>0.69</v>
      </c>
      <c r="M6">
        <v>0.72699999999999998</v>
      </c>
      <c r="N6">
        <v>0.71599999999999997</v>
      </c>
      <c r="O6">
        <v>0.71199999999999997</v>
      </c>
      <c r="P6">
        <v>0.70699999999999996</v>
      </c>
      <c r="Q6">
        <v>0.72499999999999998</v>
      </c>
      <c r="R6">
        <v>0.72499999999999998</v>
      </c>
      <c r="S6">
        <v>0.69599999999999995</v>
      </c>
      <c r="T6">
        <v>0.69</v>
      </c>
      <c r="U6">
        <v>0.67800000000000005</v>
      </c>
      <c r="V6">
        <v>0.67900000000000005</v>
      </c>
      <c r="W6">
        <v>0.69399999999999995</v>
      </c>
      <c r="X6">
        <v>0.68300000000000005</v>
      </c>
      <c r="Y6">
        <v>0.68500000000000005</v>
      </c>
      <c r="Z6">
        <v>0.70499999999999996</v>
      </c>
      <c r="AA6">
        <v>0.69399999999999995</v>
      </c>
      <c r="AB6">
        <v>0.68700000000000006</v>
      </c>
      <c r="AC6">
        <v>0.69799999999999995</v>
      </c>
      <c r="AD6">
        <v>0.70099999999999996</v>
      </c>
      <c r="AE6">
        <v>0.70699999999999996</v>
      </c>
      <c r="AF6">
        <v>0.70099999999999996</v>
      </c>
      <c r="AG6">
        <v>0.70299999999999996</v>
      </c>
      <c r="AH6">
        <v>0.69899999999999995</v>
      </c>
      <c r="AI6">
        <v>0.71399999999999997</v>
      </c>
      <c r="AJ6">
        <v>0.70299999999999996</v>
      </c>
      <c r="AK6">
        <v>0.71899999999999997</v>
      </c>
      <c r="AL6">
        <v>0.69599999999999995</v>
      </c>
      <c r="AM6">
        <v>0.71799999999999997</v>
      </c>
      <c r="AN6">
        <v>0.71399999999999997</v>
      </c>
      <c r="AO6">
        <v>0.71199999999999997</v>
      </c>
      <c r="AP6">
        <v>0.73199999999999998</v>
      </c>
    </row>
    <row r="7" spans="2:42" x14ac:dyDescent="0.45">
      <c r="B7" s="6">
        <f t="shared" si="0"/>
        <v>0.98656898656898662</v>
      </c>
      <c r="C7" s="3">
        <v>505</v>
      </c>
      <c r="D7" s="5">
        <f t="shared" si="1"/>
        <v>0.97599999999999998</v>
      </c>
      <c r="E7" s="5">
        <f t="shared" si="2"/>
        <v>1.0189999999999999</v>
      </c>
      <c r="F7" s="5">
        <f t="shared" si="3"/>
        <v>0.99791666666666634</v>
      </c>
      <c r="G7">
        <v>1.0049999999999999</v>
      </c>
      <c r="H7">
        <v>1.006</v>
      </c>
      <c r="I7">
        <v>1.0169999999999999</v>
      </c>
      <c r="J7">
        <v>1.0169999999999999</v>
      </c>
      <c r="K7">
        <v>1.0009999999999999</v>
      </c>
      <c r="L7">
        <v>0.98299999999999998</v>
      </c>
      <c r="M7">
        <v>1.014</v>
      </c>
      <c r="N7">
        <v>1.0049999999999999</v>
      </c>
      <c r="O7">
        <v>1.0009999999999999</v>
      </c>
      <c r="P7">
        <v>0.995</v>
      </c>
      <c r="Q7">
        <v>1.012</v>
      </c>
      <c r="R7">
        <v>1.012</v>
      </c>
      <c r="S7">
        <v>0.99399999999999999</v>
      </c>
      <c r="T7">
        <v>0.98799999999999999</v>
      </c>
      <c r="U7">
        <v>0.97599999999999998</v>
      </c>
      <c r="V7">
        <v>0.97699999999999998</v>
      </c>
      <c r="W7">
        <v>0.99</v>
      </c>
      <c r="X7">
        <v>0.98499999999999999</v>
      </c>
      <c r="Y7">
        <v>0.98299999999999998</v>
      </c>
      <c r="Z7">
        <v>1.0009999999999999</v>
      </c>
      <c r="AA7">
        <v>0.99199999999999999</v>
      </c>
      <c r="AB7">
        <v>0.98299999999999998</v>
      </c>
      <c r="AC7">
        <v>0.99399999999999999</v>
      </c>
      <c r="AD7">
        <v>0.997</v>
      </c>
      <c r="AE7">
        <v>0.997</v>
      </c>
      <c r="AF7">
        <v>0.99</v>
      </c>
      <c r="AG7">
        <v>0.99199999999999999</v>
      </c>
      <c r="AH7">
        <v>0.99</v>
      </c>
      <c r="AI7">
        <v>1.0049999999999999</v>
      </c>
      <c r="AJ7">
        <v>0.99399999999999999</v>
      </c>
      <c r="AK7">
        <v>1.008</v>
      </c>
      <c r="AL7">
        <v>0.98799999999999999</v>
      </c>
      <c r="AM7">
        <v>1.008</v>
      </c>
      <c r="AN7">
        <v>1.0029999999999999</v>
      </c>
      <c r="AO7">
        <v>1.0029999999999999</v>
      </c>
      <c r="AP7">
        <v>1.0189999999999999</v>
      </c>
    </row>
    <row r="8" spans="2:42" x14ac:dyDescent="0.45">
      <c r="B8" s="6">
        <f t="shared" si="0"/>
        <v>6.233943833943834</v>
      </c>
      <c r="C8" s="3">
        <v>3191</v>
      </c>
      <c r="D8" s="5">
        <f t="shared" si="1"/>
        <v>5.9509999999999996</v>
      </c>
      <c r="E8" s="5">
        <f t="shared" si="2"/>
        <v>6.34</v>
      </c>
      <c r="F8" s="5">
        <f t="shared" si="3"/>
        <v>6.1708611111111109</v>
      </c>
      <c r="G8">
        <v>6.1559999999999997</v>
      </c>
      <c r="H8">
        <v>6.0860000000000003</v>
      </c>
      <c r="I8">
        <v>6.0490000000000004</v>
      </c>
      <c r="J8">
        <v>6.0730000000000004</v>
      </c>
      <c r="K8">
        <v>6.2</v>
      </c>
      <c r="L8">
        <v>6.282</v>
      </c>
      <c r="M8">
        <v>6.0759999999999996</v>
      </c>
      <c r="N8">
        <v>6.1440000000000001</v>
      </c>
      <c r="O8">
        <v>6.16</v>
      </c>
      <c r="P8">
        <v>6.34</v>
      </c>
      <c r="Q8">
        <v>6.0860000000000003</v>
      </c>
      <c r="R8">
        <v>6.069</v>
      </c>
      <c r="S8">
        <v>6.1639999999999997</v>
      </c>
      <c r="T8">
        <v>6.2149999999999999</v>
      </c>
      <c r="U8">
        <v>6.28</v>
      </c>
      <c r="V8">
        <v>6.2510000000000003</v>
      </c>
      <c r="W8">
        <v>6.2</v>
      </c>
      <c r="X8">
        <v>6.2759999999999998</v>
      </c>
      <c r="Y8">
        <v>6.24</v>
      </c>
      <c r="Z8">
        <v>6.0910000000000002</v>
      </c>
      <c r="AA8">
        <v>6.2</v>
      </c>
      <c r="AB8">
        <v>6.22</v>
      </c>
      <c r="AC8">
        <v>6.1760000000000002</v>
      </c>
      <c r="AD8">
        <v>6.149</v>
      </c>
      <c r="AE8">
        <v>6.1840000000000002</v>
      </c>
      <c r="AF8">
        <v>6.2380000000000004</v>
      </c>
      <c r="AG8">
        <v>6.2329999999999997</v>
      </c>
      <c r="AH8">
        <v>6.1929999999999996</v>
      </c>
      <c r="AI8">
        <v>6.1559999999999997</v>
      </c>
      <c r="AJ8">
        <v>6.2839999999999998</v>
      </c>
      <c r="AK8">
        <v>6.1239999999999997</v>
      </c>
      <c r="AL8">
        <v>6.2450000000000001</v>
      </c>
      <c r="AM8">
        <v>6.1310000000000002</v>
      </c>
      <c r="AN8">
        <v>6.1180000000000003</v>
      </c>
      <c r="AO8">
        <v>6.1109999999999998</v>
      </c>
      <c r="AP8">
        <v>5.9509999999999996</v>
      </c>
    </row>
    <row r="9" spans="2:42" x14ac:dyDescent="0.45">
      <c r="B9" s="6">
        <f t="shared" si="0"/>
        <v>6.4</v>
      </c>
      <c r="C9" s="3">
        <v>3276</v>
      </c>
      <c r="D9" s="5">
        <f t="shared" si="1"/>
        <v>6.1059999999999999</v>
      </c>
      <c r="E9" s="5">
        <f t="shared" si="2"/>
        <v>6.5090000000000003</v>
      </c>
      <c r="F9" s="5">
        <f t="shared" si="3"/>
        <v>6.3326944444444448</v>
      </c>
      <c r="G9">
        <v>6.3129999999999997</v>
      </c>
      <c r="H9">
        <v>6.242</v>
      </c>
      <c r="I9">
        <v>6.1980000000000004</v>
      </c>
      <c r="J9">
        <v>6.2290000000000001</v>
      </c>
      <c r="K9">
        <v>6.3559999999999999</v>
      </c>
      <c r="L9">
        <v>6.4429999999999996</v>
      </c>
      <c r="M9">
        <v>6.2270000000000003</v>
      </c>
      <c r="N9">
        <v>6.3019999999999996</v>
      </c>
      <c r="O9">
        <v>6.3179999999999996</v>
      </c>
      <c r="P9">
        <v>6.5090000000000003</v>
      </c>
      <c r="Q9">
        <v>6.2489999999999997</v>
      </c>
      <c r="R9">
        <v>6.2220000000000004</v>
      </c>
      <c r="S9">
        <v>6.3360000000000003</v>
      </c>
      <c r="T9">
        <v>6.3760000000000003</v>
      </c>
      <c r="U9">
        <v>6.4470000000000001</v>
      </c>
      <c r="V9">
        <v>6.4160000000000004</v>
      </c>
      <c r="W9">
        <v>6.3630000000000004</v>
      </c>
      <c r="X9">
        <v>6.44</v>
      </c>
      <c r="Y9">
        <v>6.407</v>
      </c>
      <c r="Z9">
        <v>6.2450000000000001</v>
      </c>
      <c r="AA9">
        <v>6.3650000000000002</v>
      </c>
      <c r="AB9">
        <v>6.3869999999999996</v>
      </c>
      <c r="AC9">
        <v>6.3419999999999996</v>
      </c>
      <c r="AD9">
        <v>6.3090000000000002</v>
      </c>
      <c r="AE9">
        <v>6.3449999999999998</v>
      </c>
      <c r="AF9">
        <v>6.4109999999999996</v>
      </c>
      <c r="AG9">
        <v>6.4020000000000001</v>
      </c>
      <c r="AH9">
        <v>6.36</v>
      </c>
      <c r="AI9">
        <v>6.32</v>
      </c>
      <c r="AJ9">
        <v>6.4429999999999996</v>
      </c>
      <c r="AK9">
        <v>6.2839999999999998</v>
      </c>
      <c r="AL9">
        <v>6.4139999999999997</v>
      </c>
      <c r="AM9">
        <v>6.2930000000000001</v>
      </c>
      <c r="AN9">
        <v>6.282</v>
      </c>
      <c r="AO9">
        <v>6.2759999999999998</v>
      </c>
      <c r="AP9">
        <v>6.1059999999999999</v>
      </c>
    </row>
    <row r="10" spans="2:42" x14ac:dyDescent="0.45">
      <c r="B10" s="6">
        <f t="shared" si="0"/>
        <v>8</v>
      </c>
      <c r="C10" s="3">
        <v>4095</v>
      </c>
      <c r="D10" s="5">
        <f t="shared" si="1"/>
        <v>7.5659999999999998</v>
      </c>
      <c r="E10" s="5">
        <f t="shared" si="2"/>
        <v>8.1959999999999997</v>
      </c>
      <c r="F10" s="5">
        <f t="shared" si="3"/>
        <v>7.9019444444444451</v>
      </c>
      <c r="G10">
        <v>7.8680000000000003</v>
      </c>
      <c r="H10">
        <v>7.766</v>
      </c>
      <c r="I10">
        <v>7.7169999999999996</v>
      </c>
      <c r="J10">
        <v>7.7569999999999997</v>
      </c>
      <c r="K10">
        <v>7.9480000000000004</v>
      </c>
      <c r="L10">
        <v>8.0579999999999998</v>
      </c>
      <c r="M10">
        <v>7.7549999999999999</v>
      </c>
      <c r="N10">
        <v>7.8639999999999999</v>
      </c>
      <c r="O10">
        <v>7.8769999999999998</v>
      </c>
      <c r="P10">
        <v>8.1959999999999997</v>
      </c>
      <c r="Q10">
        <v>7.7839999999999998</v>
      </c>
      <c r="R10">
        <v>7.74</v>
      </c>
      <c r="S10">
        <v>7.8860000000000001</v>
      </c>
      <c r="T10">
        <v>7.9530000000000003</v>
      </c>
      <c r="U10">
        <v>8.0570000000000004</v>
      </c>
      <c r="V10">
        <v>8.0169999999999995</v>
      </c>
      <c r="W10">
        <v>7.9420000000000002</v>
      </c>
      <c r="X10">
        <v>8.0350000000000001</v>
      </c>
      <c r="Y10">
        <v>8</v>
      </c>
      <c r="Z10">
        <v>7.7750000000000004</v>
      </c>
      <c r="AA10">
        <v>7.9530000000000003</v>
      </c>
      <c r="AB10">
        <v>7.9779999999999998</v>
      </c>
      <c r="AC10">
        <v>7.9080000000000004</v>
      </c>
      <c r="AD10">
        <v>7.8529999999999998</v>
      </c>
      <c r="AE10">
        <v>7.9180000000000001</v>
      </c>
      <c r="AF10">
        <v>8.0239999999999991</v>
      </c>
      <c r="AG10">
        <v>8.0419999999999998</v>
      </c>
      <c r="AH10">
        <v>7.9370000000000003</v>
      </c>
      <c r="AI10">
        <v>7.875</v>
      </c>
      <c r="AJ10">
        <v>8.0860000000000003</v>
      </c>
      <c r="AK10">
        <v>7.8369999999999997</v>
      </c>
      <c r="AL10">
        <v>8.0220000000000002</v>
      </c>
      <c r="AM10">
        <v>7.8390000000000004</v>
      </c>
      <c r="AN10">
        <v>7.8239999999999998</v>
      </c>
      <c r="AO10">
        <v>7.8129999999999997</v>
      </c>
      <c r="AP10">
        <v>7.5659999999999998</v>
      </c>
    </row>
    <row r="11" spans="2:42" x14ac:dyDescent="0.45">
      <c r="B11" s="6">
        <f t="shared" ref="B11:B18" si="4">32*C11/4095</f>
        <v>3.1257631257631258</v>
      </c>
      <c r="C11" s="4">
        <v>400</v>
      </c>
      <c r="D11" s="5">
        <f t="shared" si="1"/>
        <v>3.0920000000000001</v>
      </c>
      <c r="E11" s="5">
        <f t="shared" si="2"/>
        <v>3.2770000000000001</v>
      </c>
      <c r="F11" s="5">
        <f t="shared" si="3"/>
        <v>3.167472222222222</v>
      </c>
      <c r="G11">
        <v>3.2010000000000001</v>
      </c>
      <c r="H11">
        <v>3.2349999999999999</v>
      </c>
      <c r="I11">
        <v>3.2440000000000002</v>
      </c>
      <c r="J11">
        <v>3.2320000000000002</v>
      </c>
      <c r="K11">
        <v>3.1859999999999999</v>
      </c>
      <c r="L11">
        <v>3.157</v>
      </c>
      <c r="M11">
        <v>3.2389999999999999</v>
      </c>
      <c r="N11">
        <v>3.1880000000000002</v>
      </c>
      <c r="O11">
        <v>3.1970000000000001</v>
      </c>
      <c r="P11">
        <v>3.0950000000000002</v>
      </c>
      <c r="Q11">
        <v>3.2389999999999999</v>
      </c>
      <c r="R11">
        <v>3.234</v>
      </c>
      <c r="S11">
        <v>3.1520000000000001</v>
      </c>
      <c r="T11">
        <v>3.1190000000000002</v>
      </c>
      <c r="U11">
        <v>3.0920000000000001</v>
      </c>
      <c r="V11">
        <v>3.105</v>
      </c>
      <c r="W11">
        <v>3.1080000000000001</v>
      </c>
      <c r="X11">
        <v>3.121</v>
      </c>
      <c r="Y11">
        <v>3.1190000000000002</v>
      </c>
      <c r="Z11">
        <v>3.17</v>
      </c>
      <c r="AA11">
        <v>3.121</v>
      </c>
      <c r="AB11">
        <v>3.1120000000000001</v>
      </c>
      <c r="AC11">
        <v>3.1459999999999999</v>
      </c>
      <c r="AD11">
        <v>3.161</v>
      </c>
      <c r="AE11">
        <v>3.177</v>
      </c>
      <c r="AF11">
        <v>3.125</v>
      </c>
      <c r="AG11">
        <v>3.105</v>
      </c>
      <c r="AH11">
        <v>3.17</v>
      </c>
      <c r="AI11">
        <v>3.1859999999999999</v>
      </c>
      <c r="AJ11">
        <v>3.1080000000000001</v>
      </c>
      <c r="AK11">
        <v>3.1920000000000002</v>
      </c>
      <c r="AL11">
        <v>3.1230000000000002</v>
      </c>
      <c r="AM11">
        <v>3.1949999999999998</v>
      </c>
      <c r="AN11">
        <v>3.1880000000000002</v>
      </c>
      <c r="AO11">
        <v>3.21</v>
      </c>
      <c r="AP11">
        <v>3.2770000000000001</v>
      </c>
    </row>
    <row r="12" spans="2:42" x14ac:dyDescent="0.45">
      <c r="B12" s="6">
        <f t="shared" si="4"/>
        <v>11.721611721611721</v>
      </c>
      <c r="C12" s="4">
        <v>1500</v>
      </c>
      <c r="D12" s="5">
        <f t="shared" si="1"/>
        <v>11.564</v>
      </c>
      <c r="E12" s="5">
        <f t="shared" si="2"/>
        <v>11.771000000000001</v>
      </c>
      <c r="F12" s="5">
        <f t="shared" si="3"/>
        <v>11.673333333333334</v>
      </c>
      <c r="G12">
        <v>11.597</v>
      </c>
      <c r="H12">
        <v>11.61</v>
      </c>
      <c r="I12">
        <v>11.621</v>
      </c>
      <c r="J12">
        <v>11.608000000000001</v>
      </c>
      <c r="K12">
        <v>11.677</v>
      </c>
      <c r="L12">
        <v>11.662000000000001</v>
      </c>
      <c r="M12">
        <v>11.595000000000001</v>
      </c>
      <c r="N12">
        <v>11.603999999999999</v>
      </c>
      <c r="O12">
        <v>11.602</v>
      </c>
      <c r="P12">
        <v>11.77</v>
      </c>
      <c r="Q12">
        <v>11.638999999999999</v>
      </c>
      <c r="R12">
        <v>11.564</v>
      </c>
      <c r="S12">
        <v>11.737</v>
      </c>
      <c r="T12">
        <v>11.69</v>
      </c>
      <c r="U12">
        <v>11.75</v>
      </c>
      <c r="V12">
        <v>11.753</v>
      </c>
      <c r="W12">
        <v>11.706</v>
      </c>
      <c r="X12">
        <v>11.747999999999999</v>
      </c>
      <c r="Y12">
        <v>11.771000000000001</v>
      </c>
      <c r="Z12">
        <v>11.673</v>
      </c>
      <c r="AA12">
        <v>11.691000000000001</v>
      </c>
      <c r="AB12">
        <v>11.763999999999999</v>
      </c>
      <c r="AC12">
        <v>11.733000000000001</v>
      </c>
      <c r="AD12">
        <v>11.718999999999999</v>
      </c>
      <c r="AE12">
        <v>11.662000000000001</v>
      </c>
      <c r="AF12">
        <v>11.708</v>
      </c>
      <c r="AG12">
        <v>11.699</v>
      </c>
      <c r="AH12">
        <v>11.691000000000001</v>
      </c>
      <c r="AI12">
        <v>11.637</v>
      </c>
      <c r="AJ12">
        <v>11.704000000000001</v>
      </c>
      <c r="AK12">
        <v>11.641</v>
      </c>
      <c r="AL12">
        <v>11.672000000000001</v>
      </c>
      <c r="AM12">
        <v>11.648</v>
      </c>
      <c r="AN12">
        <v>11.615</v>
      </c>
      <c r="AO12">
        <v>11.686</v>
      </c>
      <c r="AP12">
        <v>11.593</v>
      </c>
    </row>
    <row r="13" spans="2:42" x14ac:dyDescent="0.45">
      <c r="B13" s="6">
        <f t="shared" si="4"/>
        <v>7.423687423687424</v>
      </c>
      <c r="C13" s="4">
        <v>950</v>
      </c>
      <c r="D13" s="5">
        <f t="shared" si="1"/>
        <v>7.3680000000000003</v>
      </c>
      <c r="E13" s="5">
        <f t="shared" si="2"/>
        <v>7.4630000000000001</v>
      </c>
      <c r="F13" s="5">
        <f t="shared" si="3"/>
        <v>7.4256388888888898</v>
      </c>
      <c r="G13">
        <v>7.4169999999999998</v>
      </c>
      <c r="H13">
        <v>7.4459999999999997</v>
      </c>
      <c r="I13">
        <v>7.444</v>
      </c>
      <c r="J13">
        <v>7.43</v>
      </c>
      <c r="K13">
        <v>7.4260000000000002</v>
      </c>
      <c r="L13">
        <v>7.415</v>
      </c>
      <c r="M13">
        <v>7.4409999999999998</v>
      </c>
      <c r="N13">
        <v>7.399</v>
      </c>
      <c r="O13">
        <v>7.4130000000000003</v>
      </c>
      <c r="P13">
        <v>7.383</v>
      </c>
      <c r="Q13">
        <v>7.452</v>
      </c>
      <c r="R13">
        <v>7.4240000000000004</v>
      </c>
      <c r="S13">
        <v>7.4429999999999996</v>
      </c>
      <c r="T13">
        <v>7.4080000000000004</v>
      </c>
      <c r="U13">
        <v>7.415</v>
      </c>
      <c r="V13">
        <v>7.43</v>
      </c>
      <c r="W13">
        <v>7.4059999999999997</v>
      </c>
      <c r="X13">
        <v>7.4480000000000004</v>
      </c>
      <c r="Y13">
        <v>7.444</v>
      </c>
      <c r="Z13">
        <v>7.4349999999999996</v>
      </c>
      <c r="AA13">
        <v>7.3949999999999996</v>
      </c>
      <c r="AB13">
        <v>7.4320000000000004</v>
      </c>
      <c r="AC13">
        <v>7.4480000000000004</v>
      </c>
      <c r="AD13">
        <v>7.45</v>
      </c>
      <c r="AE13">
        <v>7.4370000000000003</v>
      </c>
      <c r="AF13">
        <v>7.399</v>
      </c>
      <c r="AG13">
        <v>7.383</v>
      </c>
      <c r="AH13">
        <v>7.4409999999999998</v>
      </c>
      <c r="AI13">
        <v>7.4329999999999998</v>
      </c>
      <c r="AJ13">
        <v>7.3680000000000003</v>
      </c>
      <c r="AK13">
        <v>7.4329999999999998</v>
      </c>
      <c r="AL13">
        <v>7.39</v>
      </c>
      <c r="AM13">
        <v>7.4429999999999996</v>
      </c>
      <c r="AN13">
        <v>7.4260000000000002</v>
      </c>
      <c r="AO13">
        <v>7.4630000000000001</v>
      </c>
      <c r="AP13">
        <v>7.4630000000000001</v>
      </c>
    </row>
    <row r="14" spans="2:42" x14ac:dyDescent="0.45">
      <c r="B14" s="6">
        <f t="shared" si="4"/>
        <v>2.7584859584859585</v>
      </c>
      <c r="C14" s="4">
        <v>353</v>
      </c>
      <c r="D14" s="5">
        <f t="shared" si="1"/>
        <v>2.7229999999999999</v>
      </c>
      <c r="E14" s="5">
        <f t="shared" si="2"/>
        <v>2.9169999999999998</v>
      </c>
      <c r="F14" s="5">
        <f t="shared" si="3"/>
        <v>2.8086388888888885</v>
      </c>
      <c r="G14">
        <v>2.85</v>
      </c>
      <c r="H14">
        <v>2.879</v>
      </c>
      <c r="I14">
        <v>2.8879999999999999</v>
      </c>
      <c r="J14">
        <v>2.8769999999999998</v>
      </c>
      <c r="K14">
        <v>2.827</v>
      </c>
      <c r="L14">
        <v>2.8010000000000002</v>
      </c>
      <c r="M14">
        <v>2.887</v>
      </c>
      <c r="N14">
        <v>2.8370000000000002</v>
      </c>
      <c r="O14">
        <v>2.8410000000000002</v>
      </c>
      <c r="P14">
        <v>2.75</v>
      </c>
      <c r="Q14">
        <v>2.883</v>
      </c>
      <c r="R14">
        <v>2.879</v>
      </c>
      <c r="S14">
        <v>2.7789999999999999</v>
      </c>
      <c r="T14">
        <v>2.7519999999999998</v>
      </c>
      <c r="U14">
        <v>2.7229999999999999</v>
      </c>
      <c r="V14">
        <v>2.7360000000000002</v>
      </c>
      <c r="W14">
        <v>2.7480000000000002</v>
      </c>
      <c r="X14">
        <v>2.7559999999999998</v>
      </c>
      <c r="Y14">
        <v>2.7519999999999998</v>
      </c>
      <c r="Z14">
        <v>2.81</v>
      </c>
      <c r="AA14">
        <v>2.754</v>
      </c>
      <c r="AB14">
        <v>2.754</v>
      </c>
      <c r="AC14">
        <v>2.7829999999999999</v>
      </c>
      <c r="AD14">
        <v>2.8029999999999999</v>
      </c>
      <c r="AE14">
        <v>2.8180000000000001</v>
      </c>
      <c r="AF14">
        <v>2.7679999999999998</v>
      </c>
      <c r="AG14">
        <v>2.75</v>
      </c>
      <c r="AH14">
        <v>2.8069999999999999</v>
      </c>
      <c r="AI14">
        <v>2.827</v>
      </c>
      <c r="AJ14">
        <v>2.7469999999999999</v>
      </c>
      <c r="AK14">
        <v>2.8340000000000001</v>
      </c>
      <c r="AL14">
        <v>2.7669999999999999</v>
      </c>
      <c r="AM14">
        <v>2.839</v>
      </c>
      <c r="AN14">
        <v>2.8340000000000001</v>
      </c>
      <c r="AO14">
        <v>2.8540000000000001</v>
      </c>
      <c r="AP14">
        <v>2.9169999999999998</v>
      </c>
    </row>
    <row r="15" spans="2:42" x14ac:dyDescent="0.45">
      <c r="B15" s="6">
        <f t="shared" si="4"/>
        <v>3.9462759462759465</v>
      </c>
      <c r="C15" s="4">
        <v>505</v>
      </c>
      <c r="D15" s="5">
        <f t="shared" si="1"/>
        <v>3.8860000000000001</v>
      </c>
      <c r="E15" s="5">
        <f t="shared" si="2"/>
        <v>4.0839999999999996</v>
      </c>
      <c r="F15" s="5">
        <f t="shared" si="3"/>
        <v>3.9804166666666663</v>
      </c>
      <c r="G15">
        <v>4.0060000000000002</v>
      </c>
      <c r="H15">
        <v>4.0350000000000001</v>
      </c>
      <c r="I15">
        <v>4.0380000000000003</v>
      </c>
      <c r="J15">
        <v>4.0259999999999998</v>
      </c>
      <c r="K15">
        <v>3.984</v>
      </c>
      <c r="L15">
        <v>3.964</v>
      </c>
      <c r="M15">
        <v>4.0380000000000003</v>
      </c>
      <c r="N15">
        <v>3.9860000000000002</v>
      </c>
      <c r="O15">
        <v>3.9980000000000002</v>
      </c>
      <c r="P15">
        <v>3.8860000000000001</v>
      </c>
      <c r="Q15">
        <v>4.0359999999999996</v>
      </c>
      <c r="R15">
        <v>4.0270000000000001</v>
      </c>
      <c r="S15">
        <v>3.976</v>
      </c>
      <c r="T15">
        <v>3.9460000000000002</v>
      </c>
      <c r="U15">
        <v>3.9220000000000002</v>
      </c>
      <c r="V15">
        <v>3.9369999999999998</v>
      </c>
      <c r="W15">
        <v>3.9369999999999998</v>
      </c>
      <c r="X15">
        <v>3.9550000000000001</v>
      </c>
      <c r="Y15">
        <v>3.9529999999999998</v>
      </c>
      <c r="Z15">
        <v>3.9950000000000001</v>
      </c>
      <c r="AA15">
        <v>3.944</v>
      </c>
      <c r="AB15">
        <v>3.944</v>
      </c>
      <c r="AC15">
        <v>3.976</v>
      </c>
      <c r="AD15">
        <v>3.9929999999999999</v>
      </c>
      <c r="AE15">
        <v>3.9870000000000001</v>
      </c>
      <c r="AF15">
        <v>3.9369999999999998</v>
      </c>
      <c r="AG15">
        <v>3.9129999999999998</v>
      </c>
      <c r="AH15">
        <v>3.984</v>
      </c>
      <c r="AI15">
        <v>4.0039999999999996</v>
      </c>
      <c r="AJ15">
        <v>3.915</v>
      </c>
      <c r="AK15">
        <v>4</v>
      </c>
      <c r="AL15">
        <v>3.931</v>
      </c>
      <c r="AM15">
        <v>4.0069999999999997</v>
      </c>
      <c r="AN15">
        <v>4.0019999999999998</v>
      </c>
      <c r="AO15">
        <v>4.0289999999999999</v>
      </c>
      <c r="AP15">
        <v>4.0839999999999996</v>
      </c>
    </row>
    <row r="16" spans="2:42" x14ac:dyDescent="0.45">
      <c r="B16" s="6">
        <f t="shared" si="4"/>
        <v>24.935775335775336</v>
      </c>
      <c r="C16" s="4">
        <v>3191</v>
      </c>
      <c r="D16" s="5">
        <f t="shared" si="1"/>
        <v>24.044</v>
      </c>
      <c r="E16" s="5">
        <f t="shared" si="2"/>
        <v>25.812000000000001</v>
      </c>
      <c r="F16" s="5">
        <f t="shared" si="3"/>
        <v>24.772166666666664</v>
      </c>
      <c r="G16">
        <v>24.574999999999999</v>
      </c>
      <c r="H16">
        <v>24.382000000000001</v>
      </c>
      <c r="I16">
        <v>24.558</v>
      </c>
      <c r="J16">
        <v>24.498000000000001</v>
      </c>
      <c r="K16">
        <v>24.853000000000002</v>
      </c>
      <c r="L16">
        <v>24.847000000000001</v>
      </c>
      <c r="M16">
        <v>24.361999999999998</v>
      </c>
      <c r="N16">
        <v>24.631</v>
      </c>
      <c r="O16">
        <v>24.486999999999998</v>
      </c>
      <c r="P16">
        <v>25.812000000000001</v>
      </c>
      <c r="Q16">
        <v>24.571000000000002</v>
      </c>
      <c r="R16">
        <v>24.257000000000001</v>
      </c>
      <c r="S16">
        <v>24.844000000000001</v>
      </c>
      <c r="T16">
        <v>24.847000000000001</v>
      </c>
      <c r="U16">
        <v>25.082999999999998</v>
      </c>
      <c r="V16">
        <v>25.012</v>
      </c>
      <c r="W16">
        <v>25.007000000000001</v>
      </c>
      <c r="X16">
        <v>24.885000000000002</v>
      </c>
      <c r="Y16">
        <v>25.021999999999998</v>
      </c>
      <c r="Z16">
        <v>24.553000000000001</v>
      </c>
      <c r="AA16">
        <v>24.84</v>
      </c>
      <c r="AB16">
        <v>25.111999999999998</v>
      </c>
      <c r="AC16">
        <v>24.870999999999999</v>
      </c>
      <c r="AD16">
        <v>24.74</v>
      </c>
      <c r="AE16">
        <v>24.736000000000001</v>
      </c>
      <c r="AF16">
        <v>25.167000000000002</v>
      </c>
      <c r="AG16">
        <v>25.318000000000001</v>
      </c>
      <c r="AH16">
        <v>24.762</v>
      </c>
      <c r="AI16">
        <v>24.587</v>
      </c>
      <c r="AJ16">
        <v>25.332000000000001</v>
      </c>
      <c r="AK16">
        <v>24.565999999999999</v>
      </c>
      <c r="AL16">
        <v>25.009</v>
      </c>
      <c r="AM16">
        <v>24.565999999999999</v>
      </c>
      <c r="AN16">
        <v>24.486000000000001</v>
      </c>
      <c r="AO16">
        <v>24.576000000000001</v>
      </c>
      <c r="AP16">
        <v>24.044</v>
      </c>
    </row>
    <row r="17" spans="2:42" x14ac:dyDescent="0.45">
      <c r="B17" s="6">
        <f t="shared" si="4"/>
        <v>25.6</v>
      </c>
      <c r="C17" s="4">
        <v>3276</v>
      </c>
      <c r="D17" s="5">
        <f t="shared" si="1"/>
        <v>24.684999999999999</v>
      </c>
      <c r="E17" s="5">
        <f t="shared" si="2"/>
        <v>26.558</v>
      </c>
      <c r="F17" s="5">
        <f t="shared" si="3"/>
        <v>25.425222222222224</v>
      </c>
      <c r="G17">
        <v>25.216000000000001</v>
      </c>
      <c r="H17">
        <v>24.978000000000002</v>
      </c>
      <c r="I17">
        <v>25.201000000000001</v>
      </c>
      <c r="J17">
        <v>25.12</v>
      </c>
      <c r="K17">
        <v>25.51</v>
      </c>
      <c r="L17">
        <v>25.51</v>
      </c>
      <c r="M17">
        <v>24.983000000000001</v>
      </c>
      <c r="N17">
        <v>25.266999999999999</v>
      </c>
      <c r="O17">
        <v>25.12</v>
      </c>
      <c r="P17">
        <v>26.558</v>
      </c>
      <c r="Q17">
        <v>25.201000000000001</v>
      </c>
      <c r="R17">
        <v>24.870999999999999</v>
      </c>
      <c r="S17">
        <v>25.488</v>
      </c>
      <c r="T17">
        <v>25.495999999999999</v>
      </c>
      <c r="U17">
        <v>25.754000000000001</v>
      </c>
      <c r="V17">
        <v>25.67</v>
      </c>
      <c r="W17">
        <v>25.69</v>
      </c>
      <c r="X17">
        <v>25.532</v>
      </c>
      <c r="Y17">
        <v>25.675999999999998</v>
      </c>
      <c r="Z17">
        <v>25.192</v>
      </c>
      <c r="AA17">
        <v>25.486999999999998</v>
      </c>
      <c r="AB17">
        <v>25.774000000000001</v>
      </c>
      <c r="AC17">
        <v>25.527000000000001</v>
      </c>
      <c r="AD17">
        <v>25.376000000000001</v>
      </c>
      <c r="AE17">
        <v>25.408000000000001</v>
      </c>
      <c r="AF17">
        <v>25.853999999999999</v>
      </c>
      <c r="AG17">
        <v>26.039000000000001</v>
      </c>
      <c r="AH17">
        <v>25.408000000000001</v>
      </c>
      <c r="AI17">
        <v>25.228999999999999</v>
      </c>
      <c r="AJ17">
        <v>26.013000000000002</v>
      </c>
      <c r="AK17">
        <v>25.228999999999999</v>
      </c>
      <c r="AL17">
        <v>25.69</v>
      </c>
      <c r="AM17">
        <v>25.209</v>
      </c>
      <c r="AN17">
        <v>25.12</v>
      </c>
      <c r="AO17">
        <v>25.227</v>
      </c>
      <c r="AP17">
        <v>24.684999999999999</v>
      </c>
    </row>
    <row r="18" spans="2:42" x14ac:dyDescent="0.45">
      <c r="B18" s="6">
        <f t="shared" si="4"/>
        <v>32</v>
      </c>
      <c r="C18" s="4">
        <v>4095</v>
      </c>
      <c r="D18" s="5">
        <f t="shared" si="1"/>
        <v>30.64</v>
      </c>
      <c r="E18" s="5">
        <f t="shared" si="2"/>
        <v>33.496000000000002</v>
      </c>
      <c r="F18" s="5">
        <f t="shared" si="3"/>
        <v>31.742583333333325</v>
      </c>
      <c r="G18">
        <v>31.472000000000001</v>
      </c>
      <c r="H18">
        <v>31.111000000000001</v>
      </c>
      <c r="I18">
        <v>31.457999999999998</v>
      </c>
      <c r="J18">
        <v>31.350999999999999</v>
      </c>
      <c r="K18">
        <v>31.914000000000001</v>
      </c>
      <c r="L18">
        <v>31.881</v>
      </c>
      <c r="M18">
        <v>31.097999999999999</v>
      </c>
      <c r="N18">
        <v>31.574000000000002</v>
      </c>
      <c r="O18">
        <v>31.289000000000001</v>
      </c>
      <c r="P18">
        <v>33.496000000000002</v>
      </c>
      <c r="Q18">
        <v>31.401</v>
      </c>
      <c r="R18">
        <v>30.934999999999999</v>
      </c>
      <c r="S18">
        <v>31.823</v>
      </c>
      <c r="T18">
        <v>31.835999999999999</v>
      </c>
      <c r="U18">
        <v>32.179000000000002</v>
      </c>
      <c r="V18">
        <v>32.054000000000002</v>
      </c>
      <c r="W18">
        <v>32.116999999999997</v>
      </c>
      <c r="X18">
        <v>31.844999999999999</v>
      </c>
      <c r="Y18">
        <v>32.034999999999997</v>
      </c>
      <c r="Z18">
        <v>31.353999999999999</v>
      </c>
      <c r="AA18">
        <v>31.856999999999999</v>
      </c>
      <c r="AB18">
        <v>32.231999999999999</v>
      </c>
      <c r="AC18">
        <v>31.834</v>
      </c>
      <c r="AD18">
        <v>31.643000000000001</v>
      </c>
      <c r="AE18">
        <v>31.707999999999998</v>
      </c>
      <c r="AF18">
        <v>32.423999999999999</v>
      </c>
      <c r="AG18">
        <v>32.697000000000003</v>
      </c>
      <c r="AH18">
        <v>31.667000000000002</v>
      </c>
      <c r="AI18">
        <v>31.51</v>
      </c>
      <c r="AJ18">
        <v>32.689</v>
      </c>
      <c r="AK18">
        <v>31.41</v>
      </c>
      <c r="AL18">
        <v>32.137</v>
      </c>
      <c r="AM18">
        <v>31.422999999999998</v>
      </c>
      <c r="AN18">
        <v>31.268999999999998</v>
      </c>
      <c r="AO18">
        <v>31.37</v>
      </c>
      <c r="AP18">
        <v>30.64</v>
      </c>
    </row>
    <row r="21" spans="2:42" x14ac:dyDescent="0.45">
      <c r="B21" t="s">
        <v>16</v>
      </c>
      <c r="C21" s="2" t="s">
        <v>0</v>
      </c>
      <c r="D21" s="2" t="s">
        <v>13</v>
      </c>
      <c r="E21" s="2" t="s">
        <v>14</v>
      </c>
      <c r="F21" s="2" t="s">
        <v>15</v>
      </c>
      <c r="G21" s="2" t="s">
        <v>1</v>
      </c>
      <c r="H21" s="2" t="s">
        <v>2</v>
      </c>
      <c r="I21" s="2" t="s">
        <v>3</v>
      </c>
      <c r="J21" s="2" t="s">
        <v>4</v>
      </c>
      <c r="K21" s="2" t="s">
        <v>5</v>
      </c>
      <c r="L21" s="2" t="s">
        <v>6</v>
      </c>
      <c r="M21" s="2" t="s">
        <v>7</v>
      </c>
      <c r="N21" s="2" t="s">
        <v>8</v>
      </c>
      <c r="O21" s="2" t="s">
        <v>9</v>
      </c>
      <c r="P21" s="2" t="s">
        <v>10</v>
      </c>
      <c r="Q21" s="2" t="s">
        <v>11</v>
      </c>
      <c r="R21" s="2" t="s">
        <v>12</v>
      </c>
      <c r="S21" s="2" t="s">
        <v>1</v>
      </c>
      <c r="T21" s="2" t="s">
        <v>2</v>
      </c>
      <c r="U21" s="2" t="s">
        <v>3</v>
      </c>
      <c r="V21" s="2" t="s">
        <v>4</v>
      </c>
      <c r="W21" s="2" t="s">
        <v>5</v>
      </c>
      <c r="X21" s="2" t="s">
        <v>6</v>
      </c>
      <c r="Y21" s="2" t="s">
        <v>7</v>
      </c>
      <c r="Z21" s="2" t="s">
        <v>8</v>
      </c>
      <c r="AA21" s="2" t="s">
        <v>9</v>
      </c>
      <c r="AB21" s="2" t="s">
        <v>10</v>
      </c>
      <c r="AC21" s="2" t="s">
        <v>11</v>
      </c>
      <c r="AD21" s="2" t="s">
        <v>12</v>
      </c>
      <c r="AE21" s="2" t="s">
        <v>1</v>
      </c>
      <c r="AF21" s="2" t="s">
        <v>2</v>
      </c>
      <c r="AG21" s="2" t="s">
        <v>3</v>
      </c>
      <c r="AH21" s="2" t="s">
        <v>4</v>
      </c>
      <c r="AI21" s="2" t="s">
        <v>5</v>
      </c>
      <c r="AJ21" s="2" t="s">
        <v>6</v>
      </c>
      <c r="AK21" s="2" t="s">
        <v>7</v>
      </c>
      <c r="AL21" s="2" t="s">
        <v>8</v>
      </c>
      <c r="AM21" s="2" t="s">
        <v>9</v>
      </c>
      <c r="AN21" s="2" t="s">
        <v>10</v>
      </c>
      <c r="AO21" s="2" t="s">
        <v>11</v>
      </c>
      <c r="AP21" s="2" t="s">
        <v>12</v>
      </c>
    </row>
    <row r="22" spans="2:42" x14ac:dyDescent="0.45">
      <c r="B22" s="6">
        <f t="shared" ref="B22:B29" si="5">8*C22/4095</f>
        <v>0.78144078144078144</v>
      </c>
      <c r="C22" s="3">
        <v>400</v>
      </c>
      <c r="D22" s="1">
        <f>MIN(G22:AP22)</f>
        <v>-1.7199999999999979E-2</v>
      </c>
      <c r="E22" s="1">
        <f>MAX(G22:AP22)</f>
        <v>5.0623437499999938E-2</v>
      </c>
      <c r="F22" s="1">
        <f>AVERAGE(G22:AP22)</f>
        <v>1.8417968750000027E-2</v>
      </c>
      <c r="G22" s="1">
        <f t="shared" ref="G22:AP29" si="6">(G3-$B3)/$B3</f>
        <v>3.0148437500000062E-2</v>
      </c>
      <c r="H22" s="1">
        <f t="shared" si="6"/>
        <v>3.0148437500000062E-2</v>
      </c>
      <c r="I22" s="1">
        <f t="shared" si="6"/>
        <v>4.5504687499999932E-2</v>
      </c>
      <c r="J22" s="1">
        <f t="shared" si="6"/>
        <v>4.8064062499999935E-2</v>
      </c>
      <c r="K22" s="1">
        <f t="shared" si="6"/>
        <v>2.2470312500000058E-2</v>
      </c>
      <c r="L22" s="1">
        <f t="shared" si="6"/>
        <v>-3.1234374999999661E-3</v>
      </c>
      <c r="M22" s="1">
        <f t="shared" si="6"/>
        <v>4.4224999999999931E-2</v>
      </c>
      <c r="N22" s="1">
        <f t="shared" si="6"/>
        <v>3.2707812500000065E-2</v>
      </c>
      <c r="O22" s="1">
        <f t="shared" si="6"/>
        <v>2.5029687500000061E-2</v>
      </c>
      <c r="P22" s="1">
        <f t="shared" si="6"/>
        <v>1.8631250000000054E-2</v>
      </c>
      <c r="Q22" s="1">
        <f t="shared" si="6"/>
        <v>4.1665624999999928E-2</v>
      </c>
      <c r="R22" s="1">
        <f t="shared" si="6"/>
        <v>4.1665624999999928E-2</v>
      </c>
      <c r="S22" s="1">
        <f t="shared" si="6"/>
        <v>8.3937500000000435E-3</v>
      </c>
      <c r="T22" s="1">
        <f t="shared" si="6"/>
        <v>-5.640624999999639E-4</v>
      </c>
      <c r="U22" s="1">
        <f t="shared" si="6"/>
        <v>-1.7199999999999979E-2</v>
      </c>
      <c r="V22" s="1">
        <f t="shared" si="6"/>
        <v>-1.2081249999999974E-2</v>
      </c>
      <c r="W22" s="1">
        <f t="shared" si="6"/>
        <v>7.1140625000000431E-3</v>
      </c>
      <c r="X22" s="1">
        <f t="shared" si="6"/>
        <v>-6.9624999999999696E-3</v>
      </c>
      <c r="Y22" s="1">
        <f t="shared" si="6"/>
        <v>-5.6828124999999683E-3</v>
      </c>
      <c r="Z22" s="1">
        <f t="shared" si="6"/>
        <v>1.9910937500000055E-2</v>
      </c>
      <c r="AA22" s="1">
        <f t="shared" si="6"/>
        <v>4.5546875000000405E-3</v>
      </c>
      <c r="AB22" s="1">
        <f t="shared" si="6"/>
        <v>-3.1234374999999661E-3</v>
      </c>
      <c r="AC22" s="1">
        <f t="shared" si="6"/>
        <v>1.0953125000000046E-2</v>
      </c>
      <c r="AD22" s="1">
        <f t="shared" si="6"/>
        <v>1.8631250000000054E-2</v>
      </c>
      <c r="AE22" s="1">
        <f t="shared" si="6"/>
        <v>1.9910937500000055E-2</v>
      </c>
      <c r="AF22" s="1">
        <f t="shared" si="6"/>
        <v>1.3512500000000049E-2</v>
      </c>
      <c r="AG22" s="1">
        <f t="shared" si="6"/>
        <v>1.0953125000000046E-2</v>
      </c>
      <c r="AH22" s="1">
        <f t="shared" si="6"/>
        <v>8.3937500000000435E-3</v>
      </c>
      <c r="AI22" s="1">
        <f t="shared" si="6"/>
        <v>2.758906250000006E-2</v>
      </c>
      <c r="AJ22" s="1">
        <f t="shared" si="6"/>
        <v>1.0953125000000046E-2</v>
      </c>
      <c r="AK22" s="1">
        <f t="shared" si="6"/>
        <v>3.2707812500000065E-2</v>
      </c>
      <c r="AL22" s="1">
        <f t="shared" si="6"/>
        <v>4.5546875000000405E-3</v>
      </c>
      <c r="AM22" s="1">
        <f t="shared" si="6"/>
        <v>3.2707812500000065E-2</v>
      </c>
      <c r="AN22" s="1">
        <f t="shared" si="6"/>
        <v>2.5029687500000061E-2</v>
      </c>
      <c r="AO22" s="1">
        <f t="shared" si="6"/>
        <v>2.5029687500000061E-2</v>
      </c>
      <c r="AP22" s="1">
        <f t="shared" si="6"/>
        <v>5.0623437499999938E-2</v>
      </c>
    </row>
    <row r="23" spans="2:42" x14ac:dyDescent="0.45">
      <c r="B23" s="6">
        <f t="shared" si="5"/>
        <v>2.9304029304029302</v>
      </c>
      <c r="C23" s="3">
        <v>1500</v>
      </c>
      <c r="D23" s="1">
        <f t="shared" ref="D23:D37" si="7">MIN(G23:AP23)</f>
        <v>-1.8223750000000011E-2</v>
      </c>
      <c r="E23" s="1">
        <f t="shared" ref="E23:E37" si="8">MAX(G23:AP23)</f>
        <v>6.005000000000052E-3</v>
      </c>
      <c r="F23" s="1">
        <f t="shared" ref="F23:F37" si="9">AVERAGE(G23:AP23)</f>
        <v>-5.3699999999999391E-3</v>
      </c>
      <c r="G23" s="1">
        <f t="shared" si="6"/>
        <v>-5.5974999999998838E-3</v>
      </c>
      <c r="H23" s="1">
        <f t="shared" si="6"/>
        <v>-1.1398750000000003E-2</v>
      </c>
      <c r="I23" s="1">
        <f t="shared" si="6"/>
        <v>-1.3787499999999892E-2</v>
      </c>
      <c r="J23" s="1">
        <f t="shared" si="6"/>
        <v>-1.242249999999989E-2</v>
      </c>
      <c r="K23" s="1">
        <f t="shared" si="6"/>
        <v>-7.986249999999924E-3</v>
      </c>
      <c r="L23" s="1">
        <f t="shared" si="6"/>
        <v>1.227500000000123E-3</v>
      </c>
      <c r="M23" s="1">
        <f t="shared" si="6"/>
        <v>-1.0716249999999925E-2</v>
      </c>
      <c r="N23" s="1">
        <f t="shared" si="6"/>
        <v>-7.6449999999999609E-3</v>
      </c>
      <c r="O23" s="1">
        <f t="shared" si="6"/>
        <v>-6.2799999999999601E-3</v>
      </c>
      <c r="P23" s="1">
        <f t="shared" si="6"/>
        <v>2.9337500000000869E-3</v>
      </c>
      <c r="Q23" s="1">
        <f t="shared" si="6"/>
        <v>-1.1398750000000003E-2</v>
      </c>
      <c r="R23" s="1">
        <f t="shared" si="6"/>
        <v>-1.1398750000000003E-2</v>
      </c>
      <c r="S23" s="1">
        <f t="shared" si="6"/>
        <v>-2.5262499999999183E-3</v>
      </c>
      <c r="T23" s="1">
        <f t="shared" si="6"/>
        <v>-8.1999999999995466E-4</v>
      </c>
      <c r="U23" s="1">
        <f t="shared" si="6"/>
        <v>1.227500000000123E-3</v>
      </c>
      <c r="V23" s="1">
        <f t="shared" si="6"/>
        <v>-8.1999999999995466E-4</v>
      </c>
      <c r="W23" s="1">
        <f t="shared" si="6"/>
        <v>-2.5262499999999183E-3</v>
      </c>
      <c r="X23" s="1">
        <f t="shared" si="6"/>
        <v>6.005000000000052E-3</v>
      </c>
      <c r="Y23" s="1">
        <f t="shared" si="6"/>
        <v>-1.3749999999987828E-4</v>
      </c>
      <c r="Z23" s="1">
        <f t="shared" si="6"/>
        <v>-8.6687499999999994E-3</v>
      </c>
      <c r="AA23" s="1">
        <f t="shared" si="6"/>
        <v>-1.8437499999999936E-3</v>
      </c>
      <c r="AB23" s="1">
        <f t="shared" si="6"/>
        <v>-3.208749999999995E-3</v>
      </c>
      <c r="AC23" s="1">
        <f t="shared" si="6"/>
        <v>-2.5262499999999183E-3</v>
      </c>
      <c r="AD23" s="1">
        <f t="shared" si="6"/>
        <v>-2.5262499999999183E-3</v>
      </c>
      <c r="AE23" s="1">
        <f t="shared" si="6"/>
        <v>-3.8912499999999199E-3</v>
      </c>
      <c r="AF23" s="1">
        <f t="shared" si="6"/>
        <v>-3.8912499999999199E-3</v>
      </c>
      <c r="AG23" s="1">
        <f t="shared" si="6"/>
        <v>-7.986249999999924E-3</v>
      </c>
      <c r="AH23" s="1">
        <f t="shared" si="6"/>
        <v>-5.5974999999998838E-3</v>
      </c>
      <c r="AI23" s="1">
        <f t="shared" si="6"/>
        <v>-2.5262499999999183E-3</v>
      </c>
      <c r="AJ23" s="1">
        <f t="shared" si="6"/>
        <v>-1.3749999999987828E-4</v>
      </c>
      <c r="AK23" s="1">
        <f t="shared" si="6"/>
        <v>-8.6687499999999994E-3</v>
      </c>
      <c r="AL23" s="1">
        <f t="shared" si="6"/>
        <v>-3.208749999999995E-3</v>
      </c>
      <c r="AM23" s="1">
        <f t="shared" si="6"/>
        <v>-7.6449999999999609E-3</v>
      </c>
      <c r="AN23" s="1">
        <f t="shared" si="6"/>
        <v>-9.3512499999999256E-3</v>
      </c>
      <c r="AO23" s="1">
        <f t="shared" si="6"/>
        <v>-9.3512499999999256E-3</v>
      </c>
      <c r="AP23" s="1">
        <f t="shared" si="6"/>
        <v>-1.8223750000000011E-2</v>
      </c>
    </row>
    <row r="24" spans="2:42" x14ac:dyDescent="0.45">
      <c r="B24" s="6">
        <f t="shared" si="5"/>
        <v>1.855921855921856</v>
      </c>
      <c r="C24" s="3">
        <v>950</v>
      </c>
      <c r="D24" s="1">
        <f t="shared" si="7"/>
        <v>-6.4236842105263071E-3</v>
      </c>
      <c r="E24" s="1">
        <f t="shared" si="8"/>
        <v>5.4302631578947557E-3</v>
      </c>
      <c r="F24" s="1">
        <f t="shared" si="9"/>
        <v>6.5575657894736115E-4</v>
      </c>
      <c r="G24" s="1">
        <f t="shared" si="6"/>
        <v>5.4302631578947557E-3</v>
      </c>
      <c r="H24" s="1">
        <f t="shared" si="6"/>
        <v>1.1197368421052784E-3</v>
      </c>
      <c r="I24" s="1">
        <f t="shared" si="6"/>
        <v>2.1973684210526475E-3</v>
      </c>
      <c r="J24" s="1">
        <f t="shared" si="6"/>
        <v>3.275000000000017E-3</v>
      </c>
      <c r="K24" s="1">
        <f t="shared" si="6"/>
        <v>1.1197368421052784E-3</v>
      </c>
      <c r="L24" s="1">
        <f t="shared" si="6"/>
        <v>-4.9671052631583557E-4</v>
      </c>
      <c r="M24" s="1">
        <f t="shared" si="6"/>
        <v>4.3526315789473866E-3</v>
      </c>
      <c r="N24" s="1">
        <f t="shared" si="6"/>
        <v>1.1197368421052784E-3</v>
      </c>
      <c r="O24" s="1">
        <f t="shared" si="6"/>
        <v>1.1197368421052784E-3</v>
      </c>
      <c r="P24" s="1">
        <f t="shared" si="6"/>
        <v>5.8092105263153376E-4</v>
      </c>
      <c r="Q24" s="1">
        <f t="shared" si="6"/>
        <v>2.1973684210526475E-3</v>
      </c>
      <c r="R24" s="1">
        <f t="shared" si="6"/>
        <v>2.1973684210526475E-3</v>
      </c>
      <c r="S24" s="1">
        <f t="shared" si="6"/>
        <v>1.1197368421052784E-3</v>
      </c>
      <c r="T24" s="1">
        <f t="shared" si="6"/>
        <v>1.1197368421052784E-3</v>
      </c>
      <c r="U24" s="1">
        <f t="shared" si="6"/>
        <v>-2.6519736842105742E-3</v>
      </c>
      <c r="V24" s="1">
        <f t="shared" si="6"/>
        <v>-3.7296052631579438E-3</v>
      </c>
      <c r="W24" s="1">
        <f t="shared" si="6"/>
        <v>5.8092105263153376E-4</v>
      </c>
      <c r="X24" s="1">
        <f t="shared" si="6"/>
        <v>4.3526315789473866E-3</v>
      </c>
      <c r="Y24" s="1">
        <f t="shared" si="6"/>
        <v>-4.9671052631583557E-4</v>
      </c>
      <c r="Z24" s="1">
        <f t="shared" si="6"/>
        <v>5.8092105263153376E-4</v>
      </c>
      <c r="AA24" s="1">
        <f t="shared" si="6"/>
        <v>1.1197368421052784E-3</v>
      </c>
      <c r="AB24" s="1">
        <f t="shared" si="6"/>
        <v>-2.6519736842105742E-3</v>
      </c>
      <c r="AC24" s="1">
        <f t="shared" si="6"/>
        <v>2.1973684210526475E-3</v>
      </c>
      <c r="AD24" s="1">
        <f t="shared" si="6"/>
        <v>2.1973684210526475E-3</v>
      </c>
      <c r="AE24" s="1">
        <f t="shared" si="6"/>
        <v>2.1973684210526475E-3</v>
      </c>
      <c r="AF24" s="1">
        <f t="shared" si="6"/>
        <v>-2.6519736842105742E-3</v>
      </c>
      <c r="AG24" s="1">
        <f t="shared" si="6"/>
        <v>-6.4236842105263071E-3</v>
      </c>
      <c r="AH24" s="1">
        <f t="shared" si="6"/>
        <v>-2.6519736842105742E-3</v>
      </c>
      <c r="AI24" s="1">
        <f t="shared" si="6"/>
        <v>4.3526315789473866E-3</v>
      </c>
      <c r="AJ24" s="1">
        <f t="shared" si="6"/>
        <v>-4.9671052631583557E-4</v>
      </c>
      <c r="AK24" s="1">
        <f t="shared" si="6"/>
        <v>1.1197368421052784E-3</v>
      </c>
      <c r="AL24" s="1">
        <f t="shared" si="6"/>
        <v>-3.7296052631579438E-3</v>
      </c>
      <c r="AM24" s="1">
        <f t="shared" si="6"/>
        <v>2.1973684210526475E-3</v>
      </c>
      <c r="AN24" s="1">
        <f t="shared" si="6"/>
        <v>-4.9671052631583557E-4</v>
      </c>
      <c r="AO24" s="1">
        <f t="shared" si="6"/>
        <v>1.1197368421052784E-3</v>
      </c>
      <c r="AP24" s="1">
        <f t="shared" si="6"/>
        <v>1.1197368421052784E-3</v>
      </c>
    </row>
    <row r="25" spans="2:42" x14ac:dyDescent="0.45">
      <c r="B25" s="6">
        <f t="shared" si="5"/>
        <v>0.68962148962148961</v>
      </c>
      <c r="C25" s="3">
        <v>353</v>
      </c>
      <c r="D25" s="1">
        <f t="shared" si="7"/>
        <v>-1.6851983002832784E-2</v>
      </c>
      <c r="E25" s="1">
        <f t="shared" si="8"/>
        <v>6.1451841359773357E-2</v>
      </c>
      <c r="F25" s="1">
        <f t="shared" si="9"/>
        <v>2.3669440509914985E-2</v>
      </c>
      <c r="G25" s="1">
        <f t="shared" si="6"/>
        <v>3.825070821529742E-2</v>
      </c>
      <c r="H25" s="1">
        <f t="shared" si="6"/>
        <v>3.825070821529742E-2</v>
      </c>
      <c r="I25" s="1">
        <f t="shared" si="6"/>
        <v>5.8551699716713868E-2</v>
      </c>
      <c r="J25" s="1">
        <f t="shared" si="6"/>
        <v>5.8551699716713868E-2</v>
      </c>
      <c r="K25" s="1">
        <f t="shared" si="6"/>
        <v>3.2450424929178434E-2</v>
      </c>
      <c r="L25" s="1">
        <f t="shared" si="6"/>
        <v>5.4886685552401303E-4</v>
      </c>
      <c r="M25" s="1">
        <f t="shared" si="6"/>
        <v>5.4201487252124626E-2</v>
      </c>
      <c r="N25" s="1">
        <f t="shared" si="6"/>
        <v>3.825070821529742E-2</v>
      </c>
      <c r="O25" s="1">
        <f t="shared" si="6"/>
        <v>3.2450424929178434E-2</v>
      </c>
      <c r="P25" s="1">
        <f t="shared" si="6"/>
        <v>2.52000708215297E-2</v>
      </c>
      <c r="Q25" s="1">
        <f t="shared" si="6"/>
        <v>5.1301345609065137E-2</v>
      </c>
      <c r="R25" s="1">
        <f t="shared" si="6"/>
        <v>5.1301345609065137E-2</v>
      </c>
      <c r="S25" s="1">
        <f t="shared" si="6"/>
        <v>9.2492917847024902E-3</v>
      </c>
      <c r="T25" s="1">
        <f t="shared" si="6"/>
        <v>5.4886685552401303E-4</v>
      </c>
      <c r="U25" s="1">
        <f t="shared" si="6"/>
        <v>-1.6851983002832784E-2</v>
      </c>
      <c r="V25" s="1">
        <f t="shared" si="6"/>
        <v>-1.5401912181303035E-2</v>
      </c>
      <c r="W25" s="1">
        <f t="shared" si="6"/>
        <v>6.3491501416429981E-3</v>
      </c>
      <c r="X25" s="1">
        <f t="shared" si="6"/>
        <v>-9.6016288951840511E-3</v>
      </c>
      <c r="Y25" s="1">
        <f t="shared" si="6"/>
        <v>-6.7014872521245581E-3</v>
      </c>
      <c r="Z25" s="1">
        <f t="shared" si="6"/>
        <v>2.2299929178470207E-2</v>
      </c>
      <c r="AA25" s="1">
        <f t="shared" si="6"/>
        <v>6.3491501416429981E-3</v>
      </c>
      <c r="AB25" s="1">
        <f t="shared" si="6"/>
        <v>-3.8013456090650651E-3</v>
      </c>
      <c r="AC25" s="1">
        <f t="shared" si="6"/>
        <v>1.2149433427761983E-2</v>
      </c>
      <c r="AD25" s="1">
        <f t="shared" si="6"/>
        <v>1.6499645892351224E-2</v>
      </c>
      <c r="AE25" s="1">
        <f t="shared" si="6"/>
        <v>2.52000708215297E-2</v>
      </c>
      <c r="AF25" s="1">
        <f t="shared" si="6"/>
        <v>1.6499645892351224E-2</v>
      </c>
      <c r="AG25" s="1">
        <f t="shared" si="6"/>
        <v>1.9399787535410714E-2</v>
      </c>
      <c r="AH25" s="1">
        <f t="shared" si="6"/>
        <v>1.359950424929173E-2</v>
      </c>
      <c r="AI25" s="1">
        <f t="shared" si="6"/>
        <v>3.5350566572237924E-2</v>
      </c>
      <c r="AJ25" s="1">
        <f t="shared" si="6"/>
        <v>1.9399787535410714E-2</v>
      </c>
      <c r="AK25" s="1">
        <f t="shared" si="6"/>
        <v>4.2600920679886654E-2</v>
      </c>
      <c r="AL25" s="1">
        <f t="shared" si="6"/>
        <v>9.2492917847024902E-3</v>
      </c>
      <c r="AM25" s="1">
        <f t="shared" si="6"/>
        <v>4.115084985835691E-2</v>
      </c>
      <c r="AN25" s="1">
        <f t="shared" si="6"/>
        <v>3.5350566572237924E-2</v>
      </c>
      <c r="AO25" s="1">
        <f t="shared" si="6"/>
        <v>3.2450424929178434E-2</v>
      </c>
      <c r="AP25" s="1">
        <f t="shared" si="6"/>
        <v>6.1451841359773357E-2</v>
      </c>
    </row>
    <row r="26" spans="2:42" x14ac:dyDescent="0.45">
      <c r="B26" s="6">
        <f t="shared" si="5"/>
        <v>0.98656898656898662</v>
      </c>
      <c r="C26" s="3">
        <v>505</v>
      </c>
      <c r="D26" s="1">
        <f t="shared" si="7"/>
        <v>-1.0712871287128783E-2</v>
      </c>
      <c r="E26" s="1">
        <f t="shared" si="8"/>
        <v>3.2872524752475103E-2</v>
      </c>
      <c r="F26" s="1">
        <f t="shared" si="9"/>
        <v>1.1502165841584071E-2</v>
      </c>
      <c r="G26" s="1">
        <f t="shared" si="6"/>
        <v>1.868193069306915E-2</v>
      </c>
      <c r="H26" s="1">
        <f t="shared" si="6"/>
        <v>1.9695544554455401E-2</v>
      </c>
      <c r="I26" s="1">
        <f t="shared" si="6"/>
        <v>3.0845297029702824E-2</v>
      </c>
      <c r="J26" s="1">
        <f t="shared" si="6"/>
        <v>3.0845297029702824E-2</v>
      </c>
      <c r="K26" s="1">
        <f t="shared" si="6"/>
        <v>1.4627475247524592E-2</v>
      </c>
      <c r="L26" s="1">
        <f t="shared" si="6"/>
        <v>-3.6175742574258061E-3</v>
      </c>
      <c r="M26" s="1">
        <f t="shared" si="6"/>
        <v>2.7804455445544517E-2</v>
      </c>
      <c r="N26" s="1">
        <f t="shared" si="6"/>
        <v>1.868193069306915E-2</v>
      </c>
      <c r="O26" s="1">
        <f t="shared" si="6"/>
        <v>1.4627475247524592E-2</v>
      </c>
      <c r="P26" s="1">
        <f t="shared" si="6"/>
        <v>8.5457920792078677E-3</v>
      </c>
      <c r="Q26" s="1">
        <f t="shared" si="6"/>
        <v>2.5777227722772238E-2</v>
      </c>
      <c r="R26" s="1">
        <f t="shared" si="6"/>
        <v>2.5777227722772238E-2</v>
      </c>
      <c r="S26" s="1">
        <f t="shared" si="6"/>
        <v>7.5321782178217282E-3</v>
      </c>
      <c r="T26" s="1">
        <f t="shared" si="6"/>
        <v>1.4504950495048913E-3</v>
      </c>
      <c r="U26" s="1">
        <f t="shared" si="6"/>
        <v>-1.0712871287128783E-2</v>
      </c>
      <c r="V26" s="1">
        <f t="shared" si="6"/>
        <v>-9.6992574257426436E-3</v>
      </c>
      <c r="W26" s="1">
        <f t="shared" si="6"/>
        <v>3.4777227722771701E-3</v>
      </c>
      <c r="X26" s="1">
        <f t="shared" si="6"/>
        <v>-1.590346534653527E-3</v>
      </c>
      <c r="Y26" s="1">
        <f t="shared" si="6"/>
        <v>-3.6175742574258061E-3</v>
      </c>
      <c r="Z26" s="1">
        <f t="shared" si="6"/>
        <v>1.4627475247524592E-2</v>
      </c>
      <c r="AA26" s="1">
        <f t="shared" si="6"/>
        <v>5.5049504950494491E-3</v>
      </c>
      <c r="AB26" s="1">
        <f t="shared" si="6"/>
        <v>-3.6175742574258061E-3</v>
      </c>
      <c r="AC26" s="1">
        <f t="shared" si="6"/>
        <v>7.5321782178217282E-3</v>
      </c>
      <c r="AD26" s="1">
        <f t="shared" si="6"/>
        <v>1.0573019801980147E-2</v>
      </c>
      <c r="AE26" s="1">
        <f t="shared" si="6"/>
        <v>1.0573019801980147E-2</v>
      </c>
      <c r="AF26" s="1">
        <f t="shared" si="6"/>
        <v>3.4777227722771701E-3</v>
      </c>
      <c r="AG26" s="1">
        <f t="shared" si="6"/>
        <v>5.5049504950494491E-3</v>
      </c>
      <c r="AH26" s="1">
        <f t="shared" si="6"/>
        <v>3.4777227722771701E-3</v>
      </c>
      <c r="AI26" s="1">
        <f t="shared" si="6"/>
        <v>1.868193069306915E-2</v>
      </c>
      <c r="AJ26" s="1">
        <f t="shared" si="6"/>
        <v>7.5321782178217282E-3</v>
      </c>
      <c r="AK26" s="1">
        <f t="shared" si="6"/>
        <v>2.172277227722768E-2</v>
      </c>
      <c r="AL26" s="1">
        <f t="shared" si="6"/>
        <v>1.4504950495048913E-3</v>
      </c>
      <c r="AM26" s="1">
        <f t="shared" si="6"/>
        <v>2.172277227722768E-2</v>
      </c>
      <c r="AN26" s="1">
        <f t="shared" si="6"/>
        <v>1.6654702970296871E-2</v>
      </c>
      <c r="AO26" s="1">
        <f t="shared" si="6"/>
        <v>1.6654702970296871E-2</v>
      </c>
      <c r="AP26" s="1">
        <f t="shared" si="6"/>
        <v>3.2872524752475103E-2</v>
      </c>
    </row>
    <row r="27" spans="2:42" x14ac:dyDescent="0.45">
      <c r="B27" s="6">
        <f t="shared" si="5"/>
        <v>6.233943833943834</v>
      </c>
      <c r="C27" s="3">
        <v>3191</v>
      </c>
      <c r="D27" s="1">
        <f t="shared" si="7"/>
        <v>-4.5387613600752184E-2</v>
      </c>
      <c r="E27" s="1">
        <f t="shared" si="8"/>
        <v>1.701269194609837E-2</v>
      </c>
      <c r="F27" s="1">
        <f t="shared" si="9"/>
        <v>-1.0119231823879672E-2</v>
      </c>
      <c r="G27" s="1">
        <f t="shared" si="6"/>
        <v>-1.2503133813851515E-2</v>
      </c>
      <c r="H27" s="1">
        <f t="shared" si="6"/>
        <v>-2.3731980570354083E-2</v>
      </c>
      <c r="I27" s="1">
        <f t="shared" si="6"/>
        <v>-2.9667228141648336E-2</v>
      </c>
      <c r="J27" s="1">
        <f t="shared" si="6"/>
        <v>-2.5817337825133131E-2</v>
      </c>
      <c r="K27" s="1">
        <f t="shared" si="6"/>
        <v>-5.4450015669069065E-3</v>
      </c>
      <c r="L27" s="1">
        <f t="shared" si="6"/>
        <v>7.708790347853333E-3</v>
      </c>
      <c r="M27" s="1">
        <f t="shared" si="6"/>
        <v>-2.5336101535568856E-2</v>
      </c>
      <c r="N27" s="1">
        <f t="shared" si="6"/>
        <v>-1.4428078972109045E-2</v>
      </c>
      <c r="O27" s="1">
        <f t="shared" si="6"/>
        <v>-1.1861485427765576E-2</v>
      </c>
      <c r="P27" s="1">
        <f t="shared" si="6"/>
        <v>1.701269194609837E-2</v>
      </c>
      <c r="Q27" s="1">
        <f t="shared" si="6"/>
        <v>-2.3731980570354083E-2</v>
      </c>
      <c r="R27" s="1">
        <f t="shared" si="6"/>
        <v>-2.645898621121907E-2</v>
      </c>
      <c r="S27" s="1">
        <f t="shared" si="6"/>
        <v>-1.1219837041679781E-2</v>
      </c>
      <c r="T27" s="1">
        <f t="shared" si="6"/>
        <v>-3.0388201190849583E-3</v>
      </c>
      <c r="U27" s="1">
        <f t="shared" si="6"/>
        <v>7.3879661548104346E-3</v>
      </c>
      <c r="V27" s="1">
        <f t="shared" si="6"/>
        <v>2.7360153556879167E-3</v>
      </c>
      <c r="W27" s="1">
        <f t="shared" si="6"/>
        <v>-5.4450015669069065E-3</v>
      </c>
      <c r="X27" s="1">
        <f t="shared" si="6"/>
        <v>6.7463177687244963E-3</v>
      </c>
      <c r="Y27" s="1">
        <f t="shared" si="6"/>
        <v>9.7148229395176426E-4</v>
      </c>
      <c r="Z27" s="1">
        <f t="shared" si="6"/>
        <v>-2.2929920087746768E-2</v>
      </c>
      <c r="AA27" s="1">
        <f t="shared" si="6"/>
        <v>-5.4450015669069065E-3</v>
      </c>
      <c r="AB27" s="1">
        <f t="shared" si="6"/>
        <v>-2.2367596364776423E-3</v>
      </c>
      <c r="AC27" s="1">
        <f t="shared" si="6"/>
        <v>-9.2948918834221093E-3</v>
      </c>
      <c r="AD27" s="1">
        <f t="shared" si="6"/>
        <v>-1.3626018489501729E-2</v>
      </c>
      <c r="AE27" s="1">
        <f t="shared" si="6"/>
        <v>-8.0115951112503751E-3</v>
      </c>
      <c r="AF27" s="1">
        <f t="shared" si="6"/>
        <v>6.5065810090886636E-4</v>
      </c>
      <c r="AG27" s="1">
        <f t="shared" si="6"/>
        <v>-1.5140238169859211E-4</v>
      </c>
      <c r="AH27" s="1">
        <f t="shared" si="6"/>
        <v>-6.5678862425572627E-3</v>
      </c>
      <c r="AI27" s="1">
        <f t="shared" si="6"/>
        <v>-1.2503133813851515E-2</v>
      </c>
      <c r="AJ27" s="1">
        <f t="shared" si="6"/>
        <v>8.0296145408962315E-3</v>
      </c>
      <c r="AK27" s="1">
        <f t="shared" si="6"/>
        <v>-1.7636320902538451E-2</v>
      </c>
      <c r="AL27" s="1">
        <f t="shared" si="6"/>
        <v>1.7735427765590804E-3</v>
      </c>
      <c r="AM27" s="1">
        <f t="shared" si="6"/>
        <v>-1.6513436226888095E-2</v>
      </c>
      <c r="AN27" s="1">
        <f t="shared" si="6"/>
        <v>-1.8598793481667146E-2</v>
      </c>
      <c r="AO27" s="1">
        <f t="shared" si="6"/>
        <v>-1.9721678157317502E-2</v>
      </c>
      <c r="AP27" s="1">
        <f t="shared" si="6"/>
        <v>-4.5387613600752184E-2</v>
      </c>
    </row>
    <row r="28" spans="2:42" x14ac:dyDescent="0.45">
      <c r="B28" s="6">
        <f t="shared" si="5"/>
        <v>6.4</v>
      </c>
      <c r="C28" s="3">
        <v>3276</v>
      </c>
      <c r="D28" s="1">
        <f t="shared" si="7"/>
        <v>-4.5937500000000075E-2</v>
      </c>
      <c r="E28" s="1">
        <f t="shared" si="8"/>
        <v>1.7031249999999998E-2</v>
      </c>
      <c r="F28" s="1">
        <f t="shared" si="9"/>
        <v>-1.051649305555561E-2</v>
      </c>
      <c r="G28" s="1">
        <f t="shared" si="6"/>
        <v>-1.3593750000000099E-2</v>
      </c>
      <c r="H28" s="1">
        <f t="shared" si="6"/>
        <v>-2.4687500000000057E-2</v>
      </c>
      <c r="I28" s="1">
        <f t="shared" si="6"/>
        <v>-3.1562499999999993E-2</v>
      </c>
      <c r="J28" s="1">
        <f t="shared" si="6"/>
        <v>-2.6718750000000041E-2</v>
      </c>
      <c r="K28" s="1">
        <f t="shared" si="6"/>
        <v>-6.8750000000000755E-3</v>
      </c>
      <c r="L28" s="1">
        <f t="shared" si="6"/>
        <v>6.7187499999998845E-3</v>
      </c>
      <c r="M28" s="1">
        <f t="shared" si="6"/>
        <v>-2.7031250000000007E-2</v>
      </c>
      <c r="N28" s="1">
        <f t="shared" si="6"/>
        <v>-1.5312500000000118E-2</v>
      </c>
      <c r="O28" s="1">
        <f t="shared" si="6"/>
        <v>-1.2812500000000115E-2</v>
      </c>
      <c r="P28" s="1">
        <f t="shared" si="6"/>
        <v>1.7031249999999998E-2</v>
      </c>
      <c r="Q28" s="1">
        <f t="shared" si="6"/>
        <v>-2.3593750000000108E-2</v>
      </c>
      <c r="R28" s="1">
        <f t="shared" si="6"/>
        <v>-2.781249999999999E-2</v>
      </c>
      <c r="S28" s="1">
        <f t="shared" si="6"/>
        <v>-1.0000000000000009E-2</v>
      </c>
      <c r="T28" s="1">
        <f t="shared" si="6"/>
        <v>-3.7500000000000033E-3</v>
      </c>
      <c r="U28" s="1">
        <f t="shared" si="6"/>
        <v>7.3437499999999545E-3</v>
      </c>
      <c r="V28" s="1">
        <f t="shared" si="6"/>
        <v>2.5000000000000022E-3</v>
      </c>
      <c r="W28" s="1">
        <f t="shared" si="6"/>
        <v>-5.7812499999999878E-3</v>
      </c>
      <c r="X28" s="1">
        <f t="shared" si="6"/>
        <v>6.2500000000000056E-3</v>
      </c>
      <c r="Y28" s="1">
        <f t="shared" si="6"/>
        <v>1.0937499999999489E-3</v>
      </c>
      <c r="Z28" s="1">
        <f t="shared" si="6"/>
        <v>-2.4218750000000039E-2</v>
      </c>
      <c r="AA28" s="1">
        <f t="shared" si="6"/>
        <v>-5.4687500000000222E-3</v>
      </c>
      <c r="AB28" s="1">
        <f t="shared" si="6"/>
        <v>-2.0312500000001232E-3</v>
      </c>
      <c r="AC28" s="1">
        <f t="shared" si="6"/>
        <v>-9.0625000000001121E-3</v>
      </c>
      <c r="AD28" s="1">
        <f t="shared" si="6"/>
        <v>-1.421875000000003E-2</v>
      </c>
      <c r="AE28" s="1">
        <f t="shared" si="6"/>
        <v>-8.5937500000000944E-3</v>
      </c>
      <c r="AF28" s="1">
        <f t="shared" si="6"/>
        <v>1.7187499999998801E-3</v>
      </c>
      <c r="AG28" s="1">
        <f t="shared" si="6"/>
        <v>3.1249999999996558E-4</v>
      </c>
      <c r="AH28" s="1">
        <f t="shared" si="6"/>
        <v>-6.2500000000000056E-3</v>
      </c>
      <c r="AI28" s="1">
        <f t="shared" si="6"/>
        <v>-1.2500000000000011E-2</v>
      </c>
      <c r="AJ28" s="1">
        <f t="shared" si="6"/>
        <v>6.7187499999998845E-3</v>
      </c>
      <c r="AK28" s="1">
        <f t="shared" si="6"/>
        <v>-1.8125000000000085E-2</v>
      </c>
      <c r="AL28" s="1">
        <f t="shared" si="6"/>
        <v>2.1874999999998979E-3</v>
      </c>
      <c r="AM28" s="1">
        <f t="shared" si="6"/>
        <v>-1.6718750000000032E-2</v>
      </c>
      <c r="AN28" s="1">
        <f t="shared" si="6"/>
        <v>-1.8437500000000051E-2</v>
      </c>
      <c r="AO28" s="1">
        <f t="shared" si="6"/>
        <v>-1.9375000000000087E-2</v>
      </c>
      <c r="AP28" s="1">
        <f t="shared" si="6"/>
        <v>-4.5937500000000075E-2</v>
      </c>
    </row>
    <row r="29" spans="2:42" x14ac:dyDescent="0.45">
      <c r="B29" s="6">
        <f t="shared" si="5"/>
        <v>8</v>
      </c>
      <c r="C29" s="3">
        <v>4095</v>
      </c>
      <c r="D29" s="1">
        <f t="shared" si="7"/>
        <v>-5.425000000000002E-2</v>
      </c>
      <c r="E29" s="1">
        <f t="shared" si="8"/>
        <v>2.4499999999999966E-2</v>
      </c>
      <c r="F29" s="1">
        <f t="shared" si="9"/>
        <v>-1.2256944444444445E-2</v>
      </c>
      <c r="G29" s="1">
        <f t="shared" si="6"/>
        <v>-1.6499999999999959E-2</v>
      </c>
      <c r="H29" s="1">
        <f t="shared" si="6"/>
        <v>-2.9249999999999998E-2</v>
      </c>
      <c r="I29" s="1">
        <f t="shared" si="6"/>
        <v>-3.5375000000000045E-2</v>
      </c>
      <c r="J29" s="1">
        <f t="shared" ref="J29:AP29" si="10">(J10-$B10)/$B10</f>
        <v>-3.0375000000000041E-2</v>
      </c>
      <c r="K29" s="1">
        <f t="shared" si="10"/>
        <v>-6.4999999999999503E-3</v>
      </c>
      <c r="L29" s="1">
        <f t="shared" si="10"/>
        <v>7.2499999999999787E-3</v>
      </c>
      <c r="M29" s="1">
        <f t="shared" si="10"/>
        <v>-3.0625000000000013E-2</v>
      </c>
      <c r="N29" s="1">
        <f t="shared" si="10"/>
        <v>-1.7000000000000015E-2</v>
      </c>
      <c r="O29" s="1">
        <f t="shared" si="10"/>
        <v>-1.5375000000000028E-2</v>
      </c>
      <c r="P29" s="1">
        <f t="shared" si="10"/>
        <v>2.4499999999999966E-2</v>
      </c>
      <c r="Q29" s="1">
        <f t="shared" si="10"/>
        <v>-2.7000000000000024E-2</v>
      </c>
      <c r="R29" s="1">
        <f t="shared" si="10"/>
        <v>-3.2499999999999973E-2</v>
      </c>
      <c r="S29" s="1">
        <f t="shared" si="10"/>
        <v>-1.4249999999999985E-2</v>
      </c>
      <c r="T29" s="1">
        <f t="shared" si="10"/>
        <v>-5.8749999999999636E-3</v>
      </c>
      <c r="U29" s="1">
        <f t="shared" si="10"/>
        <v>7.125000000000048E-3</v>
      </c>
      <c r="V29" s="1">
        <f t="shared" si="10"/>
        <v>2.1249999999999325E-3</v>
      </c>
      <c r="W29" s="1">
        <f t="shared" si="10"/>
        <v>-7.2499999999999787E-3</v>
      </c>
      <c r="X29" s="1">
        <f t="shared" si="10"/>
        <v>4.3750000000000178E-3</v>
      </c>
      <c r="Y29" s="1">
        <f t="shared" si="10"/>
        <v>0</v>
      </c>
      <c r="Z29" s="1">
        <f t="shared" si="10"/>
        <v>-2.8124999999999956E-2</v>
      </c>
      <c r="AA29" s="1">
        <f t="shared" si="10"/>
        <v>-5.8749999999999636E-3</v>
      </c>
      <c r="AB29" s="1">
        <f t="shared" si="10"/>
        <v>-2.7500000000000302E-3</v>
      </c>
      <c r="AC29" s="1">
        <f t="shared" si="10"/>
        <v>-1.1499999999999955E-2</v>
      </c>
      <c r="AD29" s="1">
        <f t="shared" si="10"/>
        <v>-1.837500000000003E-2</v>
      </c>
      <c r="AE29" s="1">
        <f t="shared" si="10"/>
        <v>-1.0249999999999981E-2</v>
      </c>
      <c r="AF29" s="1">
        <f t="shared" si="10"/>
        <v>2.9999999999998916E-3</v>
      </c>
      <c r="AG29" s="1">
        <f t="shared" si="10"/>
        <v>5.2499999999999769E-3</v>
      </c>
      <c r="AH29" s="1">
        <f t="shared" si="10"/>
        <v>-7.8749999999999654E-3</v>
      </c>
      <c r="AI29" s="1">
        <f t="shared" si="10"/>
        <v>-1.5625E-2</v>
      </c>
      <c r="AJ29" s="1">
        <f t="shared" si="10"/>
        <v>1.0750000000000037E-2</v>
      </c>
      <c r="AK29" s="1">
        <f t="shared" si="10"/>
        <v>-2.0375000000000032E-2</v>
      </c>
      <c r="AL29" s="1">
        <f t="shared" si="10"/>
        <v>2.7500000000000302E-3</v>
      </c>
      <c r="AM29" s="1">
        <f t="shared" si="10"/>
        <v>-2.0124999999999948E-2</v>
      </c>
      <c r="AN29" s="1">
        <f t="shared" si="10"/>
        <v>-2.200000000000002E-2</v>
      </c>
      <c r="AO29" s="1">
        <f t="shared" si="10"/>
        <v>-2.3375000000000035E-2</v>
      </c>
      <c r="AP29" s="1">
        <f t="shared" si="10"/>
        <v>-5.425000000000002E-2</v>
      </c>
    </row>
    <row r="30" spans="2:42" x14ac:dyDescent="0.45">
      <c r="B30" s="6">
        <f t="shared" ref="B30:B37" si="11">32*C30/4095</f>
        <v>3.1257631257631258</v>
      </c>
      <c r="C30" s="4">
        <v>400</v>
      </c>
      <c r="D30" s="1">
        <f t="shared" si="7"/>
        <v>-1.0801562499999973E-2</v>
      </c>
      <c r="E30" s="1">
        <f t="shared" si="8"/>
        <v>4.8383984375000043E-2</v>
      </c>
      <c r="F30" s="1">
        <f t="shared" si="9"/>
        <v>1.3343652343750014E-2</v>
      </c>
      <c r="G30" s="1">
        <f t="shared" ref="G30:AP37" si="12">(G11-$B11)/$B11</f>
        <v>2.4069921875000021E-2</v>
      </c>
      <c r="H30" s="1">
        <f t="shared" si="12"/>
        <v>3.494726562499996E-2</v>
      </c>
      <c r="I30" s="1">
        <f t="shared" si="12"/>
        <v>3.782656250000007E-2</v>
      </c>
      <c r="J30" s="1">
        <f t="shared" si="12"/>
        <v>3.3987500000000066E-2</v>
      </c>
      <c r="K30" s="1">
        <f t="shared" si="12"/>
        <v>1.9271093749999982E-2</v>
      </c>
      <c r="L30" s="1">
        <f t="shared" si="12"/>
        <v>9.9933593750000105E-3</v>
      </c>
      <c r="M30" s="1">
        <f t="shared" si="12"/>
        <v>3.6226953124999961E-2</v>
      </c>
      <c r="N30" s="1">
        <f t="shared" si="12"/>
        <v>1.9910937500000055E-2</v>
      </c>
      <c r="O30" s="1">
        <f t="shared" si="12"/>
        <v>2.279023437500002E-2</v>
      </c>
      <c r="P30" s="1">
        <f t="shared" si="12"/>
        <v>-9.841796874999937E-3</v>
      </c>
      <c r="Q30" s="1">
        <f t="shared" si="12"/>
        <v>3.6226953124999961E-2</v>
      </c>
      <c r="R30" s="1">
        <f t="shared" si="12"/>
        <v>3.4627343749999998E-2</v>
      </c>
      <c r="S30" s="1">
        <f t="shared" si="12"/>
        <v>8.3937500000000435E-3</v>
      </c>
      <c r="T30" s="1">
        <f t="shared" si="12"/>
        <v>-2.16367187499993E-3</v>
      </c>
      <c r="U30" s="1">
        <f t="shared" si="12"/>
        <v>-1.0801562499999973E-2</v>
      </c>
      <c r="V30" s="1">
        <f t="shared" si="12"/>
        <v>-6.6425781250000048E-3</v>
      </c>
      <c r="W30" s="1">
        <f t="shared" si="12"/>
        <v>-5.6828124999999683E-3</v>
      </c>
      <c r="X30" s="1">
        <f t="shared" si="12"/>
        <v>-1.5238281250000002E-3</v>
      </c>
      <c r="Y30" s="1">
        <f t="shared" si="12"/>
        <v>-2.16367187499993E-3</v>
      </c>
      <c r="Z30" s="1">
        <f t="shared" si="12"/>
        <v>1.4152343749999978E-2</v>
      </c>
      <c r="AA30" s="1">
        <f t="shared" si="12"/>
        <v>-1.5238281250000002E-3</v>
      </c>
      <c r="AB30" s="1">
        <f t="shared" si="12"/>
        <v>-4.403124999999967E-3</v>
      </c>
      <c r="AC30" s="1">
        <f t="shared" si="12"/>
        <v>6.4742187499999713E-3</v>
      </c>
      <c r="AD30" s="1">
        <f t="shared" si="12"/>
        <v>1.1273046875000012E-2</v>
      </c>
      <c r="AE30" s="1">
        <f t="shared" si="12"/>
        <v>1.6391796875000017E-2</v>
      </c>
      <c r="AF30" s="1">
        <f t="shared" si="12"/>
        <v>-2.4414062499999913E-4</v>
      </c>
      <c r="AG30" s="1">
        <f t="shared" si="12"/>
        <v>-6.6425781250000048E-3</v>
      </c>
      <c r="AH30" s="1">
        <f t="shared" si="12"/>
        <v>1.4152343749999978E-2</v>
      </c>
      <c r="AI30" s="1">
        <f t="shared" si="12"/>
        <v>1.9271093749999982E-2</v>
      </c>
      <c r="AJ30" s="1">
        <f t="shared" si="12"/>
        <v>-5.6828124999999683E-3</v>
      </c>
      <c r="AK30" s="1">
        <f t="shared" si="12"/>
        <v>2.1190625000000057E-2</v>
      </c>
      <c r="AL30" s="1">
        <f t="shared" si="12"/>
        <v>-8.8398437499992866E-4</v>
      </c>
      <c r="AM30" s="1">
        <f t="shared" si="12"/>
        <v>2.215039062499995E-2</v>
      </c>
      <c r="AN30" s="1">
        <f t="shared" si="12"/>
        <v>1.9910937500000055E-2</v>
      </c>
      <c r="AO30" s="1">
        <f t="shared" si="12"/>
        <v>2.694921874999999E-2</v>
      </c>
      <c r="AP30" s="1">
        <f t="shared" si="12"/>
        <v>4.8383984375000043E-2</v>
      </c>
    </row>
    <row r="31" spans="2:42" x14ac:dyDescent="0.45">
      <c r="B31" s="6">
        <f t="shared" si="11"/>
        <v>11.721611721611721</v>
      </c>
      <c r="C31" s="4">
        <v>1500</v>
      </c>
      <c r="D31" s="1">
        <f t="shared" si="7"/>
        <v>-1.3446249999999929E-2</v>
      </c>
      <c r="E31" s="1">
        <f t="shared" si="8"/>
        <v>4.2134375000001355E-3</v>
      </c>
      <c r="F31" s="1">
        <f t="shared" si="9"/>
        <v>-4.1187499999999272E-3</v>
      </c>
      <c r="G31" s="1">
        <f t="shared" si="12"/>
        <v>-1.0630937499999974E-2</v>
      </c>
      <c r="H31" s="1">
        <f t="shared" si="12"/>
        <v>-9.5218749999999817E-3</v>
      </c>
      <c r="I31" s="1">
        <f t="shared" si="12"/>
        <v>-8.583437499999895E-3</v>
      </c>
      <c r="J31" s="1">
        <f t="shared" si="12"/>
        <v>-9.692499999999887E-3</v>
      </c>
      <c r="K31" s="1">
        <f t="shared" si="12"/>
        <v>-3.8059374999999669E-3</v>
      </c>
      <c r="L31" s="1">
        <f t="shared" si="12"/>
        <v>-5.0856249999998637E-3</v>
      </c>
      <c r="M31" s="1">
        <f t="shared" si="12"/>
        <v>-1.0801562499999879E-2</v>
      </c>
      <c r="N31" s="1">
        <f t="shared" si="12"/>
        <v>-1.0033750000000001E-2</v>
      </c>
      <c r="O31" s="1">
        <f t="shared" si="12"/>
        <v>-1.0204374999999906E-2</v>
      </c>
      <c r="P31" s="1">
        <f t="shared" si="12"/>
        <v>4.1281250000000311E-3</v>
      </c>
      <c r="Q31" s="1">
        <f t="shared" si="12"/>
        <v>-7.047812499999989E-3</v>
      </c>
      <c r="R31" s="1">
        <f t="shared" si="12"/>
        <v>-1.3446249999999929E-2</v>
      </c>
      <c r="S31" s="1">
        <f t="shared" si="12"/>
        <v>1.3128125000000756E-3</v>
      </c>
      <c r="T31" s="1">
        <f t="shared" si="12"/>
        <v>-2.6968749999999753E-3</v>
      </c>
      <c r="U31" s="1">
        <f t="shared" si="12"/>
        <v>2.4218750000000672E-3</v>
      </c>
      <c r="V31" s="1">
        <f t="shared" si="12"/>
        <v>2.6778125000000768E-3</v>
      </c>
      <c r="W31" s="1">
        <f t="shared" si="12"/>
        <v>-1.3318749999999741E-3</v>
      </c>
      <c r="X31" s="1">
        <f t="shared" si="12"/>
        <v>2.2512500000000102E-3</v>
      </c>
      <c r="Y31" s="1">
        <f t="shared" si="12"/>
        <v>4.2134375000001355E-3</v>
      </c>
      <c r="Z31" s="1">
        <f t="shared" si="12"/>
        <v>-4.1471874999999296E-3</v>
      </c>
      <c r="AA31" s="1">
        <f t="shared" si="12"/>
        <v>-2.6115624999998714E-3</v>
      </c>
      <c r="AB31" s="1">
        <f t="shared" si="12"/>
        <v>3.6162500000000118E-3</v>
      </c>
      <c r="AC31" s="1">
        <f t="shared" si="12"/>
        <v>9.7156250000011329E-4</v>
      </c>
      <c r="AD31" s="1">
        <f t="shared" si="12"/>
        <v>-2.2281249999998255E-4</v>
      </c>
      <c r="AE31" s="1">
        <f t="shared" si="12"/>
        <v>-5.0856249999998637E-3</v>
      </c>
      <c r="AF31" s="1">
        <f t="shared" si="12"/>
        <v>-1.1612499999999171E-3</v>
      </c>
      <c r="AG31" s="1">
        <f t="shared" si="12"/>
        <v>-1.9290624999999462E-3</v>
      </c>
      <c r="AH31" s="1">
        <f t="shared" si="12"/>
        <v>-2.6115624999998714E-3</v>
      </c>
      <c r="AI31" s="1">
        <f t="shared" si="12"/>
        <v>-7.2184374999998942E-3</v>
      </c>
      <c r="AJ31" s="1">
        <f t="shared" si="12"/>
        <v>-1.5024999999998796E-3</v>
      </c>
      <c r="AK31" s="1">
        <f t="shared" si="12"/>
        <v>-6.877187499999932E-3</v>
      </c>
      <c r="AL31" s="1">
        <f t="shared" si="12"/>
        <v>-4.2324999999998822E-3</v>
      </c>
      <c r="AM31" s="1">
        <f t="shared" si="12"/>
        <v>-6.2799999999999601E-3</v>
      </c>
      <c r="AN31" s="1">
        <f t="shared" si="12"/>
        <v>-9.095312499999916E-3</v>
      </c>
      <c r="AO31" s="1">
        <f t="shared" si="12"/>
        <v>-3.038124999999938E-3</v>
      </c>
      <c r="AP31" s="1">
        <f t="shared" si="12"/>
        <v>-1.0972187499999937E-2</v>
      </c>
    </row>
    <row r="32" spans="2:42" x14ac:dyDescent="0.45">
      <c r="B32" s="6">
        <f t="shared" si="11"/>
        <v>7.423687423687424</v>
      </c>
      <c r="C32" s="4">
        <v>950</v>
      </c>
      <c r="D32" s="1">
        <f t="shared" si="7"/>
        <v>-7.5013157894736763E-3</v>
      </c>
      <c r="E32" s="1">
        <f t="shared" si="8"/>
        <v>5.29555921052629E-3</v>
      </c>
      <c r="F32" s="1">
        <f t="shared" si="9"/>
        <v>2.6287006578943532E-4</v>
      </c>
      <c r="G32" s="1">
        <f t="shared" si="12"/>
        <v>-9.0082236842111405E-4</v>
      </c>
      <c r="H32" s="1">
        <f t="shared" si="12"/>
        <v>3.0055921052630848E-3</v>
      </c>
      <c r="I32" s="1">
        <f t="shared" si="12"/>
        <v>2.7361842105262726E-3</v>
      </c>
      <c r="J32" s="1">
        <f t="shared" si="12"/>
        <v>8.5032894736834623E-4</v>
      </c>
      <c r="K32" s="1">
        <f t="shared" si="12"/>
        <v>3.1151315789472136E-4</v>
      </c>
      <c r="L32" s="1">
        <f t="shared" si="12"/>
        <v>-1.1702302631579264E-3</v>
      </c>
      <c r="M32" s="1">
        <f t="shared" si="12"/>
        <v>2.3320723684209939E-3</v>
      </c>
      <c r="N32" s="1">
        <f t="shared" si="12"/>
        <v>-3.3254934210526651E-3</v>
      </c>
      <c r="O32" s="1">
        <f t="shared" si="12"/>
        <v>-1.4396381578947388E-3</v>
      </c>
      <c r="P32" s="1">
        <f t="shared" si="12"/>
        <v>-5.4807565789474037E-3</v>
      </c>
      <c r="Q32" s="1">
        <f t="shared" si="12"/>
        <v>3.8138157894736418E-3</v>
      </c>
      <c r="R32" s="1">
        <f t="shared" si="12"/>
        <v>4.2105263157908941E-5</v>
      </c>
      <c r="S32" s="1">
        <f t="shared" si="12"/>
        <v>2.6014802631578065E-3</v>
      </c>
      <c r="T32" s="1">
        <f t="shared" si="12"/>
        <v>-2.1131578947368298E-3</v>
      </c>
      <c r="U32" s="1">
        <f t="shared" si="12"/>
        <v>-1.1702302631579264E-3</v>
      </c>
      <c r="V32" s="1">
        <f t="shared" si="12"/>
        <v>8.5032894736834623E-4</v>
      </c>
      <c r="W32" s="1">
        <f t="shared" si="12"/>
        <v>-2.3825657894737617E-3</v>
      </c>
      <c r="X32" s="1">
        <f t="shared" si="12"/>
        <v>3.275000000000017E-3</v>
      </c>
      <c r="Y32" s="1">
        <f t="shared" si="12"/>
        <v>2.7361842105262726E-3</v>
      </c>
      <c r="Z32" s="1">
        <f t="shared" si="12"/>
        <v>1.5238486842104372E-3</v>
      </c>
      <c r="AA32" s="1">
        <f t="shared" si="12"/>
        <v>-3.8643092105264095E-3</v>
      </c>
      <c r="AB32" s="1">
        <f t="shared" si="12"/>
        <v>1.1197368421052784E-3</v>
      </c>
      <c r="AC32" s="1">
        <f t="shared" si="12"/>
        <v>3.275000000000017E-3</v>
      </c>
      <c r="AD32" s="1">
        <f t="shared" si="12"/>
        <v>3.5444078947368292E-3</v>
      </c>
      <c r="AE32" s="1">
        <f t="shared" si="12"/>
        <v>1.7932565789473692E-3</v>
      </c>
      <c r="AF32" s="1">
        <f t="shared" si="12"/>
        <v>-3.3254934210526651E-3</v>
      </c>
      <c r="AG32" s="1">
        <f t="shared" si="12"/>
        <v>-5.4807565789474037E-3</v>
      </c>
      <c r="AH32" s="1">
        <f t="shared" si="12"/>
        <v>2.3320723684209939E-3</v>
      </c>
      <c r="AI32" s="1">
        <f t="shared" si="12"/>
        <v>1.2544407894736246E-3</v>
      </c>
      <c r="AJ32" s="1">
        <f t="shared" si="12"/>
        <v>-7.5013157894736763E-3</v>
      </c>
      <c r="AK32" s="1">
        <f t="shared" si="12"/>
        <v>1.2544407894736246E-3</v>
      </c>
      <c r="AL32" s="1">
        <f t="shared" si="12"/>
        <v>-4.5378289473685003E-3</v>
      </c>
      <c r="AM32" s="1">
        <f t="shared" si="12"/>
        <v>2.6014802631578065E-3</v>
      </c>
      <c r="AN32" s="1">
        <f t="shared" si="12"/>
        <v>3.1151315789472136E-4</v>
      </c>
      <c r="AO32" s="1">
        <f t="shared" si="12"/>
        <v>5.29555921052629E-3</v>
      </c>
      <c r="AP32" s="1">
        <f t="shared" si="12"/>
        <v>5.29555921052629E-3</v>
      </c>
    </row>
    <row r="33" spans="2:42" x14ac:dyDescent="0.45">
      <c r="B33" s="6">
        <f t="shared" si="11"/>
        <v>2.7584859584859585</v>
      </c>
      <c r="C33" s="4">
        <v>353</v>
      </c>
      <c r="D33" s="1">
        <f t="shared" si="7"/>
        <v>-1.28642882436261E-2</v>
      </c>
      <c r="E33" s="1">
        <f t="shared" si="8"/>
        <v>5.7464146600566514E-2</v>
      </c>
      <c r="F33" s="1">
        <f t="shared" si="9"/>
        <v>1.8181325247875357E-2</v>
      </c>
      <c r="G33" s="1">
        <f t="shared" si="12"/>
        <v>3.3175460339943383E-2</v>
      </c>
      <c r="H33" s="1">
        <f t="shared" si="12"/>
        <v>4.3688473796034008E-2</v>
      </c>
      <c r="I33" s="1">
        <f t="shared" si="12"/>
        <v>4.6951133144475896E-2</v>
      </c>
      <c r="J33" s="1">
        <f t="shared" si="12"/>
        <v>4.2963438385269052E-2</v>
      </c>
      <c r="K33" s="1">
        <f t="shared" si="12"/>
        <v>2.4837553116147305E-2</v>
      </c>
      <c r="L33" s="1">
        <f t="shared" si="12"/>
        <v>1.5412092776204034E-2</v>
      </c>
      <c r="M33" s="1">
        <f t="shared" si="12"/>
        <v>4.6588615439093498E-2</v>
      </c>
      <c r="N33" s="1">
        <f t="shared" si="12"/>
        <v>2.8462730169971751E-2</v>
      </c>
      <c r="O33" s="1">
        <f t="shared" si="12"/>
        <v>2.9912800991501499E-2</v>
      </c>
      <c r="P33" s="1">
        <f t="shared" si="12"/>
        <v>-3.0763101983002725E-3</v>
      </c>
      <c r="Q33" s="1">
        <f t="shared" si="12"/>
        <v>4.5138544617563753E-2</v>
      </c>
      <c r="R33" s="1">
        <f t="shared" si="12"/>
        <v>4.3688473796034008E-2</v>
      </c>
      <c r="S33" s="1">
        <f t="shared" si="12"/>
        <v>7.4367032577903483E-3</v>
      </c>
      <c r="T33" s="1">
        <f t="shared" si="12"/>
        <v>-2.3512747875354795E-3</v>
      </c>
      <c r="U33" s="1">
        <f t="shared" si="12"/>
        <v>-1.28642882436261E-2</v>
      </c>
      <c r="V33" s="1">
        <f t="shared" si="12"/>
        <v>-8.1515580736543046E-3</v>
      </c>
      <c r="W33" s="1">
        <f t="shared" si="12"/>
        <v>-3.8013456090650651E-3</v>
      </c>
      <c r="X33" s="1">
        <f t="shared" si="12"/>
        <v>-9.0120396600573336E-4</v>
      </c>
      <c r="Y33" s="1">
        <f t="shared" si="12"/>
        <v>-2.3512747875354795E-3</v>
      </c>
      <c r="Z33" s="1">
        <f t="shared" si="12"/>
        <v>1.8674752124645921E-2</v>
      </c>
      <c r="AA33" s="1">
        <f t="shared" si="12"/>
        <v>-1.626239376770526E-3</v>
      </c>
      <c r="AB33" s="1">
        <f t="shared" si="12"/>
        <v>-1.626239376770526E-3</v>
      </c>
      <c r="AC33" s="1">
        <f t="shared" si="12"/>
        <v>8.886774079320094E-3</v>
      </c>
      <c r="AD33" s="1">
        <f t="shared" si="12"/>
        <v>1.6137128186968826E-2</v>
      </c>
      <c r="AE33" s="1">
        <f t="shared" si="12"/>
        <v>2.1574893767705414E-2</v>
      </c>
      <c r="AF33" s="1">
        <f t="shared" si="12"/>
        <v>3.4490084985835056E-3</v>
      </c>
      <c r="AG33" s="1">
        <f t="shared" si="12"/>
        <v>-3.0763101983002725E-3</v>
      </c>
      <c r="AH33" s="1">
        <f t="shared" si="12"/>
        <v>1.7587199008498571E-2</v>
      </c>
      <c r="AI33" s="1">
        <f t="shared" si="12"/>
        <v>2.4837553116147305E-2</v>
      </c>
      <c r="AJ33" s="1">
        <f t="shared" si="12"/>
        <v>-4.1638633144476227E-3</v>
      </c>
      <c r="AK33" s="1">
        <f t="shared" si="12"/>
        <v>2.73751770538244E-2</v>
      </c>
      <c r="AL33" s="1">
        <f t="shared" si="12"/>
        <v>3.0864907932011093E-3</v>
      </c>
      <c r="AM33" s="1">
        <f t="shared" si="12"/>
        <v>2.9187765580736543E-2</v>
      </c>
      <c r="AN33" s="1">
        <f t="shared" si="12"/>
        <v>2.73751770538244E-2</v>
      </c>
      <c r="AO33" s="1">
        <f t="shared" si="12"/>
        <v>3.4625531161473135E-2</v>
      </c>
      <c r="AP33" s="1">
        <f t="shared" si="12"/>
        <v>5.7464146600566514E-2</v>
      </c>
    </row>
    <row r="34" spans="2:42" x14ac:dyDescent="0.45">
      <c r="B34" s="6">
        <f t="shared" si="11"/>
        <v>3.9462759462759465</v>
      </c>
      <c r="C34" s="4">
        <v>505</v>
      </c>
      <c r="D34" s="1">
        <f t="shared" si="7"/>
        <v>-1.5274133663366354E-2</v>
      </c>
      <c r="E34" s="1">
        <f t="shared" si="8"/>
        <v>3.4899752475247382E-2</v>
      </c>
      <c r="F34" s="1">
        <f t="shared" si="9"/>
        <v>8.6513768564355897E-3</v>
      </c>
      <c r="G34" s="1">
        <f t="shared" si="12"/>
        <v>1.513428217821783E-2</v>
      </c>
      <c r="H34" s="1">
        <f t="shared" si="12"/>
        <v>2.2482982673267312E-2</v>
      </c>
      <c r="I34" s="1">
        <f t="shared" si="12"/>
        <v>2.3243193069306944E-2</v>
      </c>
      <c r="J34" s="1">
        <f t="shared" si="12"/>
        <v>2.0202351485148415E-2</v>
      </c>
      <c r="K34" s="1">
        <f t="shared" si="12"/>
        <v>9.5594059405940072E-3</v>
      </c>
      <c r="L34" s="1">
        <f t="shared" si="12"/>
        <v>4.4913366336633096E-3</v>
      </c>
      <c r="M34" s="1">
        <f t="shared" si="12"/>
        <v>2.3243193069306944E-2</v>
      </c>
      <c r="N34" s="1">
        <f t="shared" si="12"/>
        <v>1.0066212871287132E-2</v>
      </c>
      <c r="O34" s="1">
        <f t="shared" si="12"/>
        <v>1.3107054455445551E-2</v>
      </c>
      <c r="P34" s="1">
        <f t="shared" si="12"/>
        <v>-1.5274133663366354E-2</v>
      </c>
      <c r="Q34" s="1">
        <f t="shared" si="12"/>
        <v>2.2736386138613708E-2</v>
      </c>
      <c r="R34" s="1">
        <f t="shared" si="12"/>
        <v>2.0455754950495033E-2</v>
      </c>
      <c r="S34" s="1">
        <f t="shared" si="12"/>
        <v>7.5321782178217282E-3</v>
      </c>
      <c r="T34" s="1">
        <f t="shared" si="12"/>
        <v>-6.9925742574261676E-5</v>
      </c>
      <c r="U34" s="1">
        <f t="shared" si="12"/>
        <v>-6.151608910891098E-3</v>
      </c>
      <c r="V34" s="1">
        <f t="shared" si="12"/>
        <v>-2.3505569306931599E-3</v>
      </c>
      <c r="W34" s="1">
        <f t="shared" si="12"/>
        <v>-2.3505569306931599E-3</v>
      </c>
      <c r="X34" s="1">
        <f t="shared" si="12"/>
        <v>2.2107054455445239E-3</v>
      </c>
      <c r="Y34" s="1">
        <f t="shared" si="12"/>
        <v>1.703898514851398E-3</v>
      </c>
      <c r="Z34" s="1">
        <f t="shared" si="12"/>
        <v>1.2346844059405919E-2</v>
      </c>
      <c r="AA34" s="1">
        <f t="shared" si="12"/>
        <v>-5.7673267326738763E-4</v>
      </c>
      <c r="AB34" s="1">
        <f t="shared" si="12"/>
        <v>-5.7673267326738763E-4</v>
      </c>
      <c r="AC34" s="1">
        <f t="shared" si="12"/>
        <v>7.5321782178217282E-3</v>
      </c>
      <c r="AD34" s="1">
        <f t="shared" si="12"/>
        <v>1.1840037128712793E-2</v>
      </c>
      <c r="AE34" s="1">
        <f t="shared" si="12"/>
        <v>1.031961633663364E-2</v>
      </c>
      <c r="AF34" s="1">
        <f t="shared" si="12"/>
        <v>-2.3505569306931599E-3</v>
      </c>
      <c r="AG34" s="1">
        <f t="shared" si="12"/>
        <v>-8.432240099009997E-3</v>
      </c>
      <c r="AH34" s="1">
        <f t="shared" si="12"/>
        <v>9.5594059405940072E-3</v>
      </c>
      <c r="AI34" s="1">
        <f t="shared" si="12"/>
        <v>1.4627475247524592E-2</v>
      </c>
      <c r="AJ34" s="1">
        <f t="shared" si="12"/>
        <v>-7.9254331683168699E-3</v>
      </c>
      <c r="AK34" s="1">
        <f t="shared" si="12"/>
        <v>1.3613861386138565E-2</v>
      </c>
      <c r="AL34" s="1">
        <f t="shared" si="12"/>
        <v>-3.8709777227723128E-3</v>
      </c>
      <c r="AM34" s="1">
        <f t="shared" si="12"/>
        <v>1.5387685643564224E-2</v>
      </c>
      <c r="AN34" s="1">
        <f t="shared" si="12"/>
        <v>1.4120668316831578E-2</v>
      </c>
      <c r="AO34" s="1">
        <f t="shared" si="12"/>
        <v>2.0962561881188047E-2</v>
      </c>
      <c r="AP34" s="1">
        <f t="shared" si="12"/>
        <v>3.4899752475247382E-2</v>
      </c>
    </row>
    <row r="35" spans="2:42" x14ac:dyDescent="0.45">
      <c r="B35" s="6">
        <f t="shared" si="11"/>
        <v>24.935775335775336</v>
      </c>
      <c r="C35" s="4">
        <v>3191</v>
      </c>
      <c r="D35" s="1">
        <f t="shared" si="7"/>
        <v>-3.5762887809464107E-2</v>
      </c>
      <c r="E35" s="1">
        <f t="shared" si="8"/>
        <v>3.5139258853024165E-2</v>
      </c>
      <c r="F35" s="1">
        <f t="shared" si="9"/>
        <v>-6.5612024052021309E-3</v>
      </c>
      <c r="G35" s="1">
        <f t="shared" si="12"/>
        <v>-1.4468181996239461E-2</v>
      </c>
      <c r="H35" s="1">
        <f t="shared" si="12"/>
        <v>-2.2208065653400139E-2</v>
      </c>
      <c r="I35" s="1">
        <f t="shared" si="12"/>
        <v>-1.5149933406455672E-2</v>
      </c>
      <c r="J35" s="1">
        <f t="shared" si="12"/>
        <v>-1.7556114854277622E-2</v>
      </c>
      <c r="K35" s="1">
        <f t="shared" si="12"/>
        <v>-3.3195412879974406E-3</v>
      </c>
      <c r="L35" s="1">
        <f t="shared" si="12"/>
        <v>-3.5601594327796496E-3</v>
      </c>
      <c r="M35" s="1">
        <f t="shared" si="12"/>
        <v>-2.3010126136007596E-2</v>
      </c>
      <c r="N35" s="1">
        <f t="shared" si="12"/>
        <v>-1.2222412644938891E-2</v>
      </c>
      <c r="O35" s="1">
        <f t="shared" si="12"/>
        <v>-1.7997248119711765E-2</v>
      </c>
      <c r="P35" s="1">
        <f t="shared" si="12"/>
        <v>3.5139258853024165E-2</v>
      </c>
      <c r="Q35" s="1">
        <f t="shared" si="12"/>
        <v>-1.4628594092760839E-2</v>
      </c>
      <c r="R35" s="1">
        <f t="shared" si="12"/>
        <v>-2.722094366969597E-2</v>
      </c>
      <c r="S35" s="1">
        <f t="shared" si="12"/>
        <v>-3.6804685051707543E-3</v>
      </c>
      <c r="T35" s="1">
        <f t="shared" si="12"/>
        <v>-3.5601594327796496E-3</v>
      </c>
      <c r="U35" s="1">
        <f t="shared" si="12"/>
        <v>5.9041542619867647E-3</v>
      </c>
      <c r="V35" s="1">
        <f t="shared" si="12"/>
        <v>3.0568395487308143E-3</v>
      </c>
      <c r="W35" s="1">
        <f t="shared" si="12"/>
        <v>2.8563244280790209E-3</v>
      </c>
      <c r="X35" s="1">
        <f t="shared" si="12"/>
        <v>-2.0362445158257064E-3</v>
      </c>
      <c r="Y35" s="1">
        <f t="shared" si="12"/>
        <v>3.4578697900344013E-3</v>
      </c>
      <c r="Z35" s="1">
        <f t="shared" si="12"/>
        <v>-1.5350448527107466E-2</v>
      </c>
      <c r="AA35" s="1">
        <f t="shared" si="12"/>
        <v>-3.8408806016922742E-3</v>
      </c>
      <c r="AB35" s="1">
        <f t="shared" si="12"/>
        <v>7.0671419617673948E-3</v>
      </c>
      <c r="AC35" s="1">
        <f t="shared" si="12"/>
        <v>-2.597686853650956E-3</v>
      </c>
      <c r="AD35" s="1">
        <f t="shared" si="12"/>
        <v>-7.851183014728997E-3</v>
      </c>
      <c r="AE35" s="1">
        <f t="shared" si="12"/>
        <v>-8.0115951112503751E-3</v>
      </c>
      <c r="AF35" s="1">
        <f t="shared" si="12"/>
        <v>9.2728082889376919E-3</v>
      </c>
      <c r="AG35" s="1">
        <f t="shared" si="12"/>
        <v>1.5328364932623049E-2</v>
      </c>
      <c r="AH35" s="1">
        <f t="shared" si="12"/>
        <v>-6.9689164838608493E-3</v>
      </c>
      <c r="AI35" s="1">
        <f t="shared" si="12"/>
        <v>-1.3986945706675042E-2</v>
      </c>
      <c r="AJ35" s="1">
        <f t="shared" si="12"/>
        <v>1.5889807270448156E-2</v>
      </c>
      <c r="AK35" s="1">
        <f t="shared" si="12"/>
        <v>-1.4829109213412774E-2</v>
      </c>
      <c r="AL35" s="1">
        <f t="shared" si="12"/>
        <v>2.93653047633971E-3</v>
      </c>
      <c r="AM35" s="1">
        <f t="shared" si="12"/>
        <v>-1.4829109213412774E-2</v>
      </c>
      <c r="AN35" s="1">
        <f t="shared" si="12"/>
        <v>-1.8037351143842039E-2</v>
      </c>
      <c r="AO35" s="1">
        <f t="shared" si="12"/>
        <v>-1.4428078972109045E-2</v>
      </c>
      <c r="AP35" s="1">
        <f t="shared" si="12"/>
        <v>-3.5762887809464107E-2</v>
      </c>
    </row>
    <row r="36" spans="2:42" x14ac:dyDescent="0.45">
      <c r="B36" s="6">
        <f t="shared" si="11"/>
        <v>25.6</v>
      </c>
      <c r="C36" s="4">
        <v>3276</v>
      </c>
      <c r="D36" s="1">
        <f t="shared" si="7"/>
        <v>-3.5742187500000105E-2</v>
      </c>
      <c r="E36" s="1">
        <f t="shared" si="8"/>
        <v>3.7421874999999938E-2</v>
      </c>
      <c r="F36" s="1">
        <f t="shared" si="9"/>
        <v>-6.8272569444444847E-3</v>
      </c>
      <c r="G36" s="1">
        <f t="shared" si="12"/>
        <v>-1.5000000000000013E-2</v>
      </c>
      <c r="H36" s="1">
        <f t="shared" si="12"/>
        <v>-2.4296874999999996E-2</v>
      </c>
      <c r="I36" s="1">
        <f t="shared" si="12"/>
        <v>-1.5585937500000036E-2</v>
      </c>
      <c r="J36" s="1">
        <f t="shared" si="12"/>
        <v>-1.8750000000000017E-2</v>
      </c>
      <c r="K36" s="1">
        <f t="shared" si="12"/>
        <v>-3.5156249999999944E-3</v>
      </c>
      <c r="L36" s="1">
        <f t="shared" si="12"/>
        <v>-3.5156249999999944E-3</v>
      </c>
      <c r="M36" s="1">
        <f t="shared" si="12"/>
        <v>-2.4101562500000034E-2</v>
      </c>
      <c r="N36" s="1">
        <f t="shared" si="12"/>
        <v>-1.3007812500000077E-2</v>
      </c>
      <c r="O36" s="1">
        <f t="shared" si="12"/>
        <v>-1.8750000000000017E-2</v>
      </c>
      <c r="P36" s="1">
        <f t="shared" si="12"/>
        <v>3.7421874999999938E-2</v>
      </c>
      <c r="Q36" s="1">
        <f t="shared" si="12"/>
        <v>-1.5585937500000036E-2</v>
      </c>
      <c r="R36" s="1">
        <f t="shared" si="12"/>
        <v>-2.8476562500000108E-2</v>
      </c>
      <c r="S36" s="1">
        <f t="shared" si="12"/>
        <v>-4.3750000000000733E-3</v>
      </c>
      <c r="T36" s="1">
        <f t="shared" si="12"/>
        <v>-4.0625000000001077E-3</v>
      </c>
      <c r="U36" s="1">
        <f t="shared" si="12"/>
        <v>6.0156249999999967E-3</v>
      </c>
      <c r="V36" s="1">
        <f t="shared" si="12"/>
        <v>2.7343750000000111E-3</v>
      </c>
      <c r="W36" s="1">
        <f t="shared" si="12"/>
        <v>3.5156249999999944E-3</v>
      </c>
      <c r="X36" s="1">
        <f t="shared" si="12"/>
        <v>-2.6562500000000544E-3</v>
      </c>
      <c r="Y36" s="1">
        <f t="shared" si="12"/>
        <v>2.9687499999998812E-3</v>
      </c>
      <c r="Z36" s="1">
        <f t="shared" si="12"/>
        <v>-1.5937500000000049E-2</v>
      </c>
      <c r="AA36" s="1">
        <f t="shared" si="12"/>
        <v>-4.414062500000121E-3</v>
      </c>
      <c r="AB36" s="1">
        <f t="shared" si="12"/>
        <v>6.79687499999998E-3</v>
      </c>
      <c r="AC36" s="1">
        <f t="shared" si="12"/>
        <v>-2.8515625000000155E-3</v>
      </c>
      <c r="AD36" s="1">
        <f t="shared" si="12"/>
        <v>-8.7500000000000078E-3</v>
      </c>
      <c r="AE36" s="1">
        <f t="shared" si="12"/>
        <v>-7.5000000000000067E-3</v>
      </c>
      <c r="AF36" s="1">
        <f t="shared" si="12"/>
        <v>9.9218749999999134E-3</v>
      </c>
      <c r="AG36" s="1">
        <f t="shared" si="12"/>
        <v>1.7148437500000002E-2</v>
      </c>
      <c r="AH36" s="1">
        <f t="shared" si="12"/>
        <v>-7.5000000000000067E-3</v>
      </c>
      <c r="AI36" s="1">
        <f t="shared" si="12"/>
        <v>-1.4492187500000087E-2</v>
      </c>
      <c r="AJ36" s="1">
        <f t="shared" si="12"/>
        <v>1.613281250000001E-2</v>
      </c>
      <c r="AK36" s="1">
        <f t="shared" si="12"/>
        <v>-1.4492187500000087E-2</v>
      </c>
      <c r="AL36" s="1">
        <f t="shared" si="12"/>
        <v>3.5156249999999944E-3</v>
      </c>
      <c r="AM36" s="1">
        <f t="shared" si="12"/>
        <v>-1.527343750000007E-2</v>
      </c>
      <c r="AN36" s="1">
        <f t="shared" si="12"/>
        <v>-1.8750000000000017E-2</v>
      </c>
      <c r="AO36" s="1">
        <f t="shared" si="12"/>
        <v>-1.4570312500000043E-2</v>
      </c>
      <c r="AP36" s="1">
        <f t="shared" si="12"/>
        <v>-3.5742187500000105E-2</v>
      </c>
    </row>
    <row r="37" spans="2:42" x14ac:dyDescent="0.45">
      <c r="B37" s="6">
        <f t="shared" si="11"/>
        <v>32</v>
      </c>
      <c r="C37" s="4">
        <v>4095</v>
      </c>
      <c r="D37" s="1">
        <f t="shared" si="7"/>
        <v>-4.2499999999999982E-2</v>
      </c>
      <c r="E37" s="1">
        <f t="shared" si="8"/>
        <v>4.6750000000000069E-2</v>
      </c>
      <c r="F37" s="1">
        <f t="shared" si="9"/>
        <v>-8.0442708333333321E-3</v>
      </c>
      <c r="G37" s="1">
        <f t="shared" si="12"/>
        <v>-1.6499999999999959E-2</v>
      </c>
      <c r="H37" s="1">
        <f t="shared" si="12"/>
        <v>-2.778124999999998E-2</v>
      </c>
      <c r="I37" s="1">
        <f t="shared" si="12"/>
        <v>-1.693750000000005E-2</v>
      </c>
      <c r="J37" s="1">
        <f t="shared" ref="J37:AP37" si="13">(J18-$B18)/$B18</f>
        <v>-2.0281250000000028E-2</v>
      </c>
      <c r="K37" s="1">
        <f t="shared" si="13"/>
        <v>-2.6874999999999538E-3</v>
      </c>
      <c r="L37" s="1">
        <f t="shared" si="13"/>
        <v>-3.7187499999999929E-3</v>
      </c>
      <c r="M37" s="1">
        <f t="shared" si="13"/>
        <v>-2.8187500000000032E-2</v>
      </c>
      <c r="N37" s="1">
        <f t="shared" si="13"/>
        <v>-1.3312499999999949E-2</v>
      </c>
      <c r="O37" s="1">
        <f t="shared" si="13"/>
        <v>-2.2218749999999954E-2</v>
      </c>
      <c r="P37" s="1">
        <f t="shared" si="13"/>
        <v>4.6750000000000069E-2</v>
      </c>
      <c r="Q37" s="1">
        <f t="shared" si="13"/>
        <v>-1.8718750000000006E-2</v>
      </c>
      <c r="R37" s="1">
        <f t="shared" si="13"/>
        <v>-3.328125000000004E-2</v>
      </c>
      <c r="S37" s="1">
        <f t="shared" si="13"/>
        <v>-5.5312499999999876E-3</v>
      </c>
      <c r="T37" s="1">
        <f t="shared" si="13"/>
        <v>-5.1250000000000462E-3</v>
      </c>
      <c r="U37" s="1">
        <f t="shared" si="13"/>
        <v>5.5937500000000639E-3</v>
      </c>
      <c r="V37" s="1">
        <f t="shared" si="13"/>
        <v>1.6875000000000639E-3</v>
      </c>
      <c r="W37" s="1">
        <f t="shared" si="13"/>
        <v>3.6562499999999165E-3</v>
      </c>
      <c r="X37" s="1">
        <f t="shared" si="13"/>
        <v>-4.8437500000000355E-3</v>
      </c>
      <c r="Y37" s="1">
        <f t="shared" si="13"/>
        <v>1.0937499999998934E-3</v>
      </c>
      <c r="Z37" s="1">
        <f t="shared" si="13"/>
        <v>-2.0187500000000025E-2</v>
      </c>
      <c r="AA37" s="1">
        <f t="shared" si="13"/>
        <v>-4.4687500000000213E-3</v>
      </c>
      <c r="AB37" s="1">
        <f t="shared" si="13"/>
        <v>7.2499999999999787E-3</v>
      </c>
      <c r="AC37" s="1">
        <f t="shared" si="13"/>
        <v>-5.1875000000000115E-3</v>
      </c>
      <c r="AD37" s="1">
        <f t="shared" si="13"/>
        <v>-1.1156249999999979E-2</v>
      </c>
      <c r="AE37" s="1">
        <f t="shared" si="13"/>
        <v>-9.1250000000000497E-3</v>
      </c>
      <c r="AF37" s="1">
        <f t="shared" si="13"/>
        <v>1.3249999999999984E-2</v>
      </c>
      <c r="AG37" s="1">
        <f t="shared" si="13"/>
        <v>2.1781250000000085E-2</v>
      </c>
      <c r="AH37" s="1">
        <f t="shared" si="13"/>
        <v>-1.040624999999995E-2</v>
      </c>
      <c r="AI37" s="1">
        <f t="shared" si="13"/>
        <v>-1.5312499999999951E-2</v>
      </c>
      <c r="AJ37" s="1">
        <f t="shared" si="13"/>
        <v>2.1531250000000002E-2</v>
      </c>
      <c r="AK37" s="1">
        <f t="shared" si="13"/>
        <v>-1.8437499999999996E-2</v>
      </c>
      <c r="AL37" s="1">
        <f t="shared" si="13"/>
        <v>4.2812500000000142E-3</v>
      </c>
      <c r="AM37" s="1">
        <f t="shared" si="13"/>
        <v>-1.8031250000000054E-2</v>
      </c>
      <c r="AN37" s="1">
        <f t="shared" si="13"/>
        <v>-2.2843750000000052E-2</v>
      </c>
      <c r="AO37" s="1">
        <f t="shared" si="13"/>
        <v>-1.9687499999999969E-2</v>
      </c>
      <c r="AP37" s="1">
        <f t="shared" si="13"/>
        <v>-4.2499999999999982E-2</v>
      </c>
    </row>
    <row r="38" spans="2:42" x14ac:dyDescent="0.45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2:42" x14ac:dyDescent="0.45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2:42" x14ac:dyDescent="0.45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77A2-F7FE-40B6-B6A3-845CCF94A8EA}">
  <dimension ref="B2:AP40"/>
  <sheetViews>
    <sheetView zoomScale="70" zoomScaleNormal="70" workbookViewId="0">
      <selection activeCell="A39" sqref="A39:S61"/>
    </sheetView>
  </sheetViews>
  <sheetFormatPr defaultRowHeight="17" x14ac:dyDescent="0.45"/>
  <cols>
    <col min="2" max="2" width="8.6640625" customWidth="1"/>
  </cols>
  <sheetData>
    <row r="2" spans="2:42" x14ac:dyDescent="0.45">
      <c r="B2" t="s">
        <v>16</v>
      </c>
      <c r="C2" s="2" t="s">
        <v>0</v>
      </c>
      <c r="D2" s="2" t="s">
        <v>13</v>
      </c>
      <c r="E2" s="2" t="s">
        <v>14</v>
      </c>
      <c r="F2" s="2" t="s">
        <v>15</v>
      </c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2" t="s">
        <v>9</v>
      </c>
      <c r="P2" s="2" t="s">
        <v>10</v>
      </c>
      <c r="Q2" s="2" t="s">
        <v>11</v>
      </c>
      <c r="R2" s="2" t="s">
        <v>12</v>
      </c>
      <c r="S2" s="2" t="s">
        <v>1</v>
      </c>
      <c r="T2" s="2" t="s">
        <v>2</v>
      </c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 t="s">
        <v>8</v>
      </c>
      <c r="AA2" s="2" t="s">
        <v>9</v>
      </c>
      <c r="AB2" s="2" t="s">
        <v>10</v>
      </c>
      <c r="AC2" s="2" t="s">
        <v>11</v>
      </c>
      <c r="AD2" s="2" t="s">
        <v>12</v>
      </c>
      <c r="AE2" s="2" t="s">
        <v>1</v>
      </c>
      <c r="AF2" s="2" t="s">
        <v>2</v>
      </c>
      <c r="AG2" s="2" t="s">
        <v>3</v>
      </c>
      <c r="AH2" s="2" t="s">
        <v>4</v>
      </c>
      <c r="AI2" s="2" t="s">
        <v>5</v>
      </c>
      <c r="AJ2" s="2" t="s">
        <v>6</v>
      </c>
      <c r="AK2" s="2" t="s">
        <v>7</v>
      </c>
      <c r="AL2" s="2" t="s">
        <v>8</v>
      </c>
      <c r="AM2" s="2" t="s">
        <v>9</v>
      </c>
      <c r="AN2" s="2" t="s">
        <v>10</v>
      </c>
      <c r="AO2" s="2" t="s">
        <v>11</v>
      </c>
      <c r="AP2" s="2" t="s">
        <v>12</v>
      </c>
    </row>
    <row r="3" spans="2:42" x14ac:dyDescent="0.45">
      <c r="B3" s="6">
        <f t="shared" ref="B3:B10" si="0">8*C3/4095</f>
        <v>0.78144078144078144</v>
      </c>
      <c r="C3" s="3">
        <v>400</v>
      </c>
      <c r="D3" s="5">
        <f>MIN(G3:AP3)</f>
        <v>0.77</v>
      </c>
      <c r="E3" s="5">
        <f>MAX(G3:AP3)</f>
        <v>0.83899999999999997</v>
      </c>
      <c r="F3" s="5">
        <f>AVERAGE(G3:AP3)</f>
        <v>0.79802777777777756</v>
      </c>
      <c r="G3">
        <v>0.80500000000000005</v>
      </c>
      <c r="H3">
        <v>0.81200000000000006</v>
      </c>
      <c r="I3">
        <v>0.82799999999999996</v>
      </c>
      <c r="J3">
        <v>0.82299999999999995</v>
      </c>
      <c r="K3">
        <v>0.80100000000000005</v>
      </c>
      <c r="L3">
        <v>0.77600000000000002</v>
      </c>
      <c r="M3">
        <v>0.82099999999999995</v>
      </c>
      <c r="N3">
        <v>0.81</v>
      </c>
      <c r="O3">
        <v>0.80300000000000005</v>
      </c>
      <c r="P3">
        <v>0.78500000000000003</v>
      </c>
      <c r="Q3">
        <v>0.81899999999999995</v>
      </c>
      <c r="R3">
        <v>0.81699999999999995</v>
      </c>
      <c r="S3">
        <v>0.79200000000000004</v>
      </c>
      <c r="T3">
        <v>0.78300000000000003</v>
      </c>
      <c r="U3">
        <v>0.77</v>
      </c>
      <c r="V3">
        <v>0.77</v>
      </c>
      <c r="W3">
        <v>0.78700000000000003</v>
      </c>
      <c r="X3">
        <v>0.77</v>
      </c>
      <c r="Y3">
        <v>0.77700000000000002</v>
      </c>
      <c r="Z3">
        <v>0.80100000000000005</v>
      </c>
      <c r="AA3">
        <v>0.78500000000000003</v>
      </c>
      <c r="AB3">
        <v>0.77700000000000002</v>
      </c>
      <c r="AC3">
        <v>0.78800000000000003</v>
      </c>
      <c r="AD3">
        <v>0.79600000000000004</v>
      </c>
      <c r="AE3">
        <v>0.79700000000000004</v>
      </c>
      <c r="AF3">
        <v>0.79200000000000004</v>
      </c>
      <c r="AG3">
        <v>0.79400000000000004</v>
      </c>
      <c r="AH3">
        <v>0.79</v>
      </c>
      <c r="AI3">
        <v>0.80500000000000005</v>
      </c>
      <c r="AJ3">
        <v>0.79</v>
      </c>
      <c r="AK3">
        <v>0.81399999999999995</v>
      </c>
      <c r="AL3">
        <v>0.78700000000000003</v>
      </c>
      <c r="AM3">
        <v>0.80800000000000005</v>
      </c>
      <c r="AN3">
        <v>0.80700000000000005</v>
      </c>
      <c r="AO3">
        <v>0.81</v>
      </c>
      <c r="AP3">
        <v>0.83899999999999997</v>
      </c>
    </row>
    <row r="4" spans="2:42" x14ac:dyDescent="0.45">
      <c r="B4" s="6">
        <f t="shared" si="0"/>
        <v>3.9072039072039071</v>
      </c>
      <c r="C4" s="3">
        <v>2000</v>
      </c>
      <c r="D4" s="5">
        <f t="shared" ref="D4:D18" si="1">MIN(G4:AP4)</f>
        <v>3.8620000000000001</v>
      </c>
      <c r="E4" s="5">
        <f t="shared" ref="E4:E18" si="2">MAX(G4:AP4)</f>
        <v>3.9289999999999998</v>
      </c>
      <c r="F4" s="5">
        <f t="shared" ref="F4:F18" si="3">AVERAGE(G4:AP4)</f>
        <v>3.8889722222222227</v>
      </c>
      <c r="G4">
        <v>3.875</v>
      </c>
      <c r="H4">
        <v>3.8730000000000002</v>
      </c>
      <c r="I4">
        <v>3.8730000000000002</v>
      </c>
      <c r="J4">
        <v>3.8620000000000001</v>
      </c>
      <c r="K4">
        <v>3.887</v>
      </c>
      <c r="L4">
        <v>3.9039999999999999</v>
      </c>
      <c r="M4">
        <v>3.8730000000000002</v>
      </c>
      <c r="N4">
        <v>3.887</v>
      </c>
      <c r="O4">
        <v>3.8820000000000001</v>
      </c>
      <c r="P4">
        <v>3.8839999999999999</v>
      </c>
      <c r="Q4">
        <v>3.8730000000000002</v>
      </c>
      <c r="R4">
        <v>3.8660000000000001</v>
      </c>
      <c r="S4">
        <v>3.8980000000000001</v>
      </c>
      <c r="T4">
        <v>3.9060000000000001</v>
      </c>
      <c r="U4">
        <v>3.9289999999999998</v>
      </c>
      <c r="V4">
        <v>3.9129999999999998</v>
      </c>
      <c r="W4">
        <v>3.891</v>
      </c>
      <c r="X4">
        <v>3.915</v>
      </c>
      <c r="Y4">
        <v>3.9129999999999998</v>
      </c>
      <c r="Z4">
        <v>3.875</v>
      </c>
      <c r="AA4">
        <v>3.8980000000000001</v>
      </c>
      <c r="AB4">
        <v>3.9020000000000001</v>
      </c>
      <c r="AC4">
        <v>3.887</v>
      </c>
      <c r="AD4">
        <v>3.8769999999999998</v>
      </c>
      <c r="AE4">
        <v>3.8889999999999998</v>
      </c>
      <c r="AF4">
        <v>3.9020000000000001</v>
      </c>
      <c r="AG4">
        <v>3.895</v>
      </c>
      <c r="AH4">
        <v>3.887</v>
      </c>
      <c r="AI4">
        <v>3.891</v>
      </c>
      <c r="AJ4">
        <v>3.8980000000000001</v>
      </c>
      <c r="AK4">
        <v>3.891</v>
      </c>
      <c r="AL4">
        <v>3.9060000000000001</v>
      </c>
      <c r="AM4">
        <v>3.8639999999999999</v>
      </c>
      <c r="AN4">
        <v>3.8820000000000001</v>
      </c>
      <c r="AO4">
        <v>3.8860000000000001</v>
      </c>
      <c r="AP4">
        <v>3.8690000000000002</v>
      </c>
    </row>
    <row r="5" spans="2:42" x14ac:dyDescent="0.45">
      <c r="B5" s="6">
        <f t="shared" si="0"/>
        <v>2.3443223443223444</v>
      </c>
      <c r="C5" s="3">
        <v>1200</v>
      </c>
      <c r="D5" s="5">
        <f t="shared" si="1"/>
        <v>2.3159999999999998</v>
      </c>
      <c r="E5" s="5">
        <f t="shared" si="2"/>
        <v>2.3690000000000002</v>
      </c>
      <c r="F5" s="5">
        <f t="shared" si="3"/>
        <v>2.3419444444444446</v>
      </c>
      <c r="G5">
        <v>2.34</v>
      </c>
      <c r="H5">
        <v>2.343</v>
      </c>
      <c r="I5">
        <v>2.3540000000000001</v>
      </c>
      <c r="J5">
        <v>2.347</v>
      </c>
      <c r="K5">
        <v>2.3380000000000001</v>
      </c>
      <c r="L5">
        <v>2.3319999999999999</v>
      </c>
      <c r="M5">
        <v>2.351</v>
      </c>
      <c r="N5">
        <v>2.347</v>
      </c>
      <c r="O5">
        <v>2.3380000000000001</v>
      </c>
      <c r="P5">
        <v>2.3159999999999998</v>
      </c>
      <c r="Q5">
        <v>2.347</v>
      </c>
      <c r="R5">
        <v>2.3450000000000002</v>
      </c>
      <c r="S5">
        <v>2.3490000000000002</v>
      </c>
      <c r="T5">
        <v>2.347</v>
      </c>
      <c r="U5">
        <v>2.343</v>
      </c>
      <c r="V5">
        <v>2.3380000000000001</v>
      </c>
      <c r="W5">
        <v>2.3359999999999999</v>
      </c>
      <c r="X5">
        <v>2.343</v>
      </c>
      <c r="Y5">
        <v>2.343</v>
      </c>
      <c r="Z5">
        <v>2.347</v>
      </c>
      <c r="AA5">
        <v>2.343</v>
      </c>
      <c r="AB5">
        <v>2.3380000000000001</v>
      </c>
      <c r="AC5">
        <v>2.34</v>
      </c>
      <c r="AD5">
        <v>2.3420000000000001</v>
      </c>
      <c r="AE5">
        <v>2.34</v>
      </c>
      <c r="AF5">
        <v>2.3340000000000001</v>
      </c>
      <c r="AG5">
        <v>2.3319999999999999</v>
      </c>
      <c r="AH5">
        <v>2.3359999999999999</v>
      </c>
      <c r="AI5">
        <v>2.3450000000000002</v>
      </c>
      <c r="AJ5">
        <v>2.3250000000000002</v>
      </c>
      <c r="AK5">
        <v>2.3519999999999999</v>
      </c>
      <c r="AL5">
        <v>2.3359999999999999</v>
      </c>
      <c r="AM5">
        <v>2.3380000000000001</v>
      </c>
      <c r="AN5">
        <v>2.3450000000000002</v>
      </c>
      <c r="AO5">
        <v>2.351</v>
      </c>
      <c r="AP5">
        <v>2.3690000000000002</v>
      </c>
    </row>
    <row r="6" spans="2:42" x14ac:dyDescent="0.45">
      <c r="B6" s="6">
        <f t="shared" si="0"/>
        <v>0.68962148962148961</v>
      </c>
      <c r="C6" s="3">
        <v>353</v>
      </c>
      <c r="D6" s="5">
        <f t="shared" si="1"/>
        <v>0.67800000000000005</v>
      </c>
      <c r="E6" s="5">
        <f t="shared" si="2"/>
        <v>0.745</v>
      </c>
      <c r="F6" s="5">
        <f t="shared" si="3"/>
        <v>0.70761111111111119</v>
      </c>
      <c r="G6">
        <v>0.71599999999999997</v>
      </c>
      <c r="H6">
        <v>0.72099999999999997</v>
      </c>
      <c r="I6">
        <v>0.73799999999999999</v>
      </c>
      <c r="J6">
        <v>0.73399999999999999</v>
      </c>
      <c r="K6">
        <v>0.71399999999999997</v>
      </c>
      <c r="L6">
        <v>0.68700000000000006</v>
      </c>
      <c r="M6">
        <v>0.73</v>
      </c>
      <c r="N6">
        <v>0.72099999999999997</v>
      </c>
      <c r="O6">
        <v>0.71399999999999997</v>
      </c>
      <c r="P6">
        <v>0.70099999999999996</v>
      </c>
      <c r="Q6">
        <v>0.72799999999999998</v>
      </c>
      <c r="R6">
        <v>0.72799999999999998</v>
      </c>
      <c r="S6">
        <v>0.69799999999999995</v>
      </c>
      <c r="T6">
        <v>0.69199999999999995</v>
      </c>
      <c r="U6">
        <v>0.67800000000000005</v>
      </c>
      <c r="V6">
        <v>0.67900000000000005</v>
      </c>
      <c r="W6">
        <v>0.69399999999999995</v>
      </c>
      <c r="X6">
        <v>0.67900000000000005</v>
      </c>
      <c r="Y6">
        <v>0.68700000000000006</v>
      </c>
      <c r="Z6">
        <v>0.70799999999999996</v>
      </c>
      <c r="AA6">
        <v>0.69399999999999995</v>
      </c>
      <c r="AB6">
        <v>0.68500000000000005</v>
      </c>
      <c r="AC6">
        <v>0.69799999999999995</v>
      </c>
      <c r="AD6">
        <v>0.70299999999999996</v>
      </c>
      <c r="AE6">
        <v>0.70799999999999996</v>
      </c>
      <c r="AF6">
        <v>0.70299999999999996</v>
      </c>
      <c r="AG6">
        <v>0.70699999999999996</v>
      </c>
      <c r="AH6">
        <v>0.69899999999999995</v>
      </c>
      <c r="AI6">
        <v>0.71399999999999997</v>
      </c>
      <c r="AJ6">
        <v>0.69899999999999995</v>
      </c>
      <c r="AK6">
        <v>0.72299999999999998</v>
      </c>
      <c r="AL6">
        <v>0.69599999999999995</v>
      </c>
      <c r="AM6">
        <v>0.71799999999999997</v>
      </c>
      <c r="AN6">
        <v>0.71599999999999997</v>
      </c>
      <c r="AO6">
        <v>0.71899999999999997</v>
      </c>
      <c r="AP6">
        <v>0.745</v>
      </c>
    </row>
    <row r="7" spans="2:42" x14ac:dyDescent="0.45">
      <c r="B7" s="6">
        <f t="shared" si="0"/>
        <v>0.98656898656898662</v>
      </c>
      <c r="C7" s="3">
        <v>505</v>
      </c>
      <c r="D7" s="5">
        <f t="shared" si="1"/>
        <v>0.97599999999999998</v>
      </c>
      <c r="E7" s="5">
        <f t="shared" si="2"/>
        <v>1.0409999999999999</v>
      </c>
      <c r="F7" s="5">
        <f t="shared" si="3"/>
        <v>1.0005277777777775</v>
      </c>
      <c r="G7">
        <v>1.006</v>
      </c>
      <c r="H7">
        <v>1.012</v>
      </c>
      <c r="I7">
        <v>1.028</v>
      </c>
      <c r="J7">
        <v>1.0229999999999999</v>
      </c>
      <c r="K7">
        <v>1.0009999999999999</v>
      </c>
      <c r="L7">
        <v>0.97699999999999998</v>
      </c>
      <c r="M7">
        <v>1.0209999999999999</v>
      </c>
      <c r="N7">
        <v>1.01</v>
      </c>
      <c r="O7">
        <v>1.0029999999999999</v>
      </c>
      <c r="P7">
        <v>0.98299999999999998</v>
      </c>
      <c r="Q7">
        <v>1.0189999999999999</v>
      </c>
      <c r="R7">
        <v>1.0209999999999999</v>
      </c>
      <c r="S7">
        <v>0.999</v>
      </c>
      <c r="T7">
        <v>0.99</v>
      </c>
      <c r="U7">
        <v>0.97699999999999998</v>
      </c>
      <c r="V7">
        <v>0.97599999999999998</v>
      </c>
      <c r="W7">
        <v>0.99</v>
      </c>
      <c r="X7">
        <v>0.97699999999999998</v>
      </c>
      <c r="Y7">
        <v>0.98499999999999999</v>
      </c>
      <c r="Z7">
        <v>1.008</v>
      </c>
      <c r="AA7">
        <v>0.99199999999999999</v>
      </c>
      <c r="AB7">
        <v>0.98299999999999998</v>
      </c>
      <c r="AC7">
        <v>0.99399999999999999</v>
      </c>
      <c r="AD7">
        <v>1.0009999999999999</v>
      </c>
      <c r="AE7">
        <v>0.999</v>
      </c>
      <c r="AF7">
        <v>0.99199999999999999</v>
      </c>
      <c r="AG7">
        <v>0.99399999999999999</v>
      </c>
      <c r="AH7">
        <v>0.99</v>
      </c>
      <c r="AI7">
        <v>1.006</v>
      </c>
      <c r="AJ7">
        <v>0.99</v>
      </c>
      <c r="AK7">
        <v>1.0149999999999999</v>
      </c>
      <c r="AL7">
        <v>0.98799999999999999</v>
      </c>
      <c r="AM7">
        <v>1.008</v>
      </c>
      <c r="AN7">
        <v>1.01</v>
      </c>
      <c r="AO7">
        <v>1.01</v>
      </c>
      <c r="AP7">
        <v>1.0409999999999999</v>
      </c>
    </row>
    <row r="8" spans="2:42" x14ac:dyDescent="0.45">
      <c r="B8" s="6">
        <f t="shared" si="0"/>
        <v>6.233943833943834</v>
      </c>
      <c r="C8" s="3">
        <v>3191</v>
      </c>
      <c r="D8" s="5">
        <f t="shared" si="1"/>
        <v>6.0780000000000003</v>
      </c>
      <c r="E8" s="5">
        <f t="shared" si="2"/>
        <v>6.2839999999999998</v>
      </c>
      <c r="F8" s="5">
        <f t="shared" si="3"/>
        <v>6.1865277777777763</v>
      </c>
      <c r="G8">
        <v>6.1619999999999999</v>
      </c>
      <c r="H8">
        <v>6.1289999999999996</v>
      </c>
      <c r="I8">
        <v>6.1219999999999999</v>
      </c>
      <c r="J8">
        <v>6.1109999999999998</v>
      </c>
      <c r="K8">
        <v>6.2</v>
      </c>
      <c r="L8">
        <v>6.24</v>
      </c>
      <c r="M8">
        <v>6.1159999999999997</v>
      </c>
      <c r="N8">
        <v>6.1840000000000002</v>
      </c>
      <c r="O8">
        <v>6.1639999999999997</v>
      </c>
      <c r="P8">
        <v>6.2729999999999997</v>
      </c>
      <c r="Q8">
        <v>6.1239999999999997</v>
      </c>
      <c r="R8">
        <v>6.1070000000000002</v>
      </c>
      <c r="S8">
        <v>6.1959999999999997</v>
      </c>
      <c r="T8">
        <v>6.2130000000000001</v>
      </c>
      <c r="U8">
        <v>6.2839999999999998</v>
      </c>
      <c r="V8">
        <v>6.2510000000000003</v>
      </c>
      <c r="W8">
        <v>6.2</v>
      </c>
      <c r="X8">
        <v>6.242</v>
      </c>
      <c r="Y8">
        <v>6.24</v>
      </c>
      <c r="Z8">
        <v>6.1289999999999996</v>
      </c>
      <c r="AA8">
        <v>6.2</v>
      </c>
      <c r="AB8">
        <v>6.2240000000000002</v>
      </c>
      <c r="AC8">
        <v>6.1779999999999999</v>
      </c>
      <c r="AD8">
        <v>6.1529999999999996</v>
      </c>
      <c r="AE8">
        <v>6.1929999999999996</v>
      </c>
      <c r="AF8">
        <v>6.2489999999999997</v>
      </c>
      <c r="AG8">
        <v>6.2649999999999997</v>
      </c>
      <c r="AH8">
        <v>6.2</v>
      </c>
      <c r="AI8">
        <v>6.1820000000000004</v>
      </c>
      <c r="AJ8">
        <v>6.2560000000000002</v>
      </c>
      <c r="AK8">
        <v>6.16</v>
      </c>
      <c r="AL8">
        <v>6.2489999999999997</v>
      </c>
      <c r="AM8">
        <v>6.1289999999999996</v>
      </c>
      <c r="AN8">
        <v>6.1559999999999997</v>
      </c>
      <c r="AO8">
        <v>6.1559999999999997</v>
      </c>
      <c r="AP8">
        <v>6.0780000000000003</v>
      </c>
    </row>
    <row r="9" spans="2:42" x14ac:dyDescent="0.45">
      <c r="B9" s="6">
        <f t="shared" si="0"/>
        <v>6.4</v>
      </c>
      <c r="C9" s="3">
        <v>3276</v>
      </c>
      <c r="D9" s="5">
        <f t="shared" si="1"/>
        <v>6.2270000000000003</v>
      </c>
      <c r="E9" s="5">
        <f t="shared" si="2"/>
        <v>6.4539999999999997</v>
      </c>
      <c r="F9" s="5">
        <f t="shared" si="3"/>
        <v>6.3482777777777777</v>
      </c>
      <c r="G9">
        <v>6.3179999999999996</v>
      </c>
      <c r="H9">
        <v>6.2889999999999997</v>
      </c>
      <c r="I9">
        <v>6.2779999999999996</v>
      </c>
      <c r="J9">
        <v>6.2649999999999997</v>
      </c>
      <c r="K9">
        <v>6.36</v>
      </c>
      <c r="L9">
        <v>6.4050000000000002</v>
      </c>
      <c r="M9">
        <v>6.2729999999999997</v>
      </c>
      <c r="N9">
        <v>6.3360000000000003</v>
      </c>
      <c r="O9">
        <v>6.3239999999999998</v>
      </c>
      <c r="P9">
        <v>6.4509999999999996</v>
      </c>
      <c r="Q9">
        <v>6.282</v>
      </c>
      <c r="R9">
        <v>6.26</v>
      </c>
      <c r="S9">
        <v>6.3529999999999998</v>
      </c>
      <c r="T9">
        <v>6.3819999999999997</v>
      </c>
      <c r="U9">
        <v>6.4539999999999997</v>
      </c>
      <c r="V9">
        <v>6.4139999999999997</v>
      </c>
      <c r="W9">
        <v>6.3650000000000002</v>
      </c>
      <c r="X9">
        <v>6.4029999999999996</v>
      </c>
      <c r="Y9">
        <v>6.407</v>
      </c>
      <c r="Z9">
        <v>6.2850000000000001</v>
      </c>
      <c r="AA9">
        <v>6.3650000000000002</v>
      </c>
      <c r="AB9">
        <v>6.3869999999999996</v>
      </c>
      <c r="AC9">
        <v>6.3380000000000001</v>
      </c>
      <c r="AD9">
        <v>6.3109999999999999</v>
      </c>
      <c r="AE9">
        <v>6.351</v>
      </c>
      <c r="AF9">
        <v>6.4160000000000004</v>
      </c>
      <c r="AG9">
        <v>6.4340000000000002</v>
      </c>
      <c r="AH9">
        <v>6.36</v>
      </c>
      <c r="AI9">
        <v>6.3250000000000002</v>
      </c>
      <c r="AJ9">
        <v>6.4219999999999997</v>
      </c>
      <c r="AK9">
        <v>6.3310000000000004</v>
      </c>
      <c r="AL9">
        <v>6.431</v>
      </c>
      <c r="AM9">
        <v>6.298</v>
      </c>
      <c r="AN9">
        <v>6.3179999999999996</v>
      </c>
      <c r="AO9">
        <v>6.32</v>
      </c>
      <c r="AP9">
        <v>6.2270000000000003</v>
      </c>
    </row>
    <row r="10" spans="2:42" x14ac:dyDescent="0.45">
      <c r="B10" s="6">
        <f t="shared" si="0"/>
        <v>8</v>
      </c>
      <c r="C10" s="3">
        <v>4095</v>
      </c>
      <c r="D10" s="5">
        <f t="shared" si="1"/>
        <v>7.7130000000000001</v>
      </c>
      <c r="E10" s="5">
        <f t="shared" si="2"/>
        <v>8.1180000000000003</v>
      </c>
      <c r="F10" s="5">
        <f t="shared" si="3"/>
        <v>7.9216388888888893</v>
      </c>
      <c r="G10">
        <v>7.8710000000000004</v>
      </c>
      <c r="H10">
        <v>7.8150000000000004</v>
      </c>
      <c r="I10">
        <v>7.8129999999999997</v>
      </c>
      <c r="J10">
        <v>7.8019999999999996</v>
      </c>
      <c r="K10">
        <v>7.9530000000000003</v>
      </c>
      <c r="L10">
        <v>8.0150000000000006</v>
      </c>
      <c r="M10">
        <v>7.8040000000000003</v>
      </c>
      <c r="N10">
        <v>7.9039999999999999</v>
      </c>
      <c r="O10">
        <v>7.8879999999999999</v>
      </c>
      <c r="P10">
        <v>8.1180000000000003</v>
      </c>
      <c r="Q10">
        <v>7.8280000000000003</v>
      </c>
      <c r="R10">
        <v>7.7859999999999996</v>
      </c>
      <c r="S10">
        <v>7.9260000000000002</v>
      </c>
      <c r="T10">
        <v>7.96</v>
      </c>
      <c r="U10">
        <v>8.0690000000000008</v>
      </c>
      <c r="V10">
        <v>8.0220000000000002</v>
      </c>
      <c r="W10">
        <v>7.9480000000000004</v>
      </c>
      <c r="X10">
        <v>7.9930000000000003</v>
      </c>
      <c r="Y10">
        <v>8.0090000000000003</v>
      </c>
      <c r="Z10">
        <v>7.82</v>
      </c>
      <c r="AA10">
        <v>7.9480000000000004</v>
      </c>
      <c r="AB10">
        <v>7.98</v>
      </c>
      <c r="AC10">
        <v>7.9039999999999999</v>
      </c>
      <c r="AD10">
        <v>7.859</v>
      </c>
      <c r="AE10">
        <v>7.9290000000000003</v>
      </c>
      <c r="AF10">
        <v>8.0289999999999999</v>
      </c>
      <c r="AG10">
        <v>8.0779999999999994</v>
      </c>
      <c r="AH10">
        <v>7.944</v>
      </c>
      <c r="AI10">
        <v>7.8819999999999997</v>
      </c>
      <c r="AJ10">
        <v>8.0570000000000004</v>
      </c>
      <c r="AK10">
        <v>7.8840000000000003</v>
      </c>
      <c r="AL10">
        <v>8.0440000000000005</v>
      </c>
      <c r="AM10">
        <v>7.8440000000000003</v>
      </c>
      <c r="AN10">
        <v>7.8710000000000004</v>
      </c>
      <c r="AO10">
        <v>7.8689999999999998</v>
      </c>
      <c r="AP10">
        <v>7.7130000000000001</v>
      </c>
    </row>
    <row r="11" spans="2:42" x14ac:dyDescent="0.45">
      <c r="B11" s="6">
        <f t="shared" ref="B11:B18" si="4">32*C11/4095</f>
        <v>3.1257631257631258</v>
      </c>
      <c r="C11" s="4">
        <v>400</v>
      </c>
      <c r="D11" s="5">
        <f t="shared" si="1"/>
        <v>3.0449999999999999</v>
      </c>
      <c r="E11" s="5">
        <f t="shared" si="2"/>
        <v>3.3279999999999998</v>
      </c>
      <c r="F11" s="5">
        <f t="shared" si="3"/>
        <v>3.1746666666666665</v>
      </c>
      <c r="G11">
        <v>3.2149999999999999</v>
      </c>
      <c r="H11">
        <v>3.2589999999999999</v>
      </c>
      <c r="I11">
        <v>3.2639999999999998</v>
      </c>
      <c r="J11">
        <v>3.2519999999999998</v>
      </c>
      <c r="K11">
        <v>3.1859999999999999</v>
      </c>
      <c r="L11">
        <v>3.157</v>
      </c>
      <c r="M11">
        <v>3.2610000000000001</v>
      </c>
      <c r="N11">
        <v>3.214</v>
      </c>
      <c r="O11">
        <v>3.2210000000000001</v>
      </c>
      <c r="P11">
        <v>3.0449999999999999</v>
      </c>
      <c r="Q11">
        <v>3.2389999999999999</v>
      </c>
      <c r="R11">
        <v>3.2610000000000001</v>
      </c>
      <c r="S11">
        <v>3.141</v>
      </c>
      <c r="T11">
        <v>3.1230000000000002</v>
      </c>
      <c r="U11">
        <v>3.097</v>
      </c>
      <c r="V11">
        <v>3.101</v>
      </c>
      <c r="W11">
        <v>3.1080000000000001</v>
      </c>
      <c r="X11">
        <v>3.125</v>
      </c>
      <c r="Y11">
        <v>3.1030000000000002</v>
      </c>
      <c r="Z11">
        <v>3.1920000000000002</v>
      </c>
      <c r="AA11">
        <v>3.1150000000000002</v>
      </c>
      <c r="AB11">
        <v>3.097</v>
      </c>
      <c r="AC11">
        <v>3.1459999999999999</v>
      </c>
      <c r="AD11">
        <v>3.1629999999999998</v>
      </c>
      <c r="AE11">
        <v>3.1739999999999999</v>
      </c>
      <c r="AF11">
        <v>3.1259999999999999</v>
      </c>
      <c r="AG11">
        <v>3.101</v>
      </c>
      <c r="AH11">
        <v>3.17</v>
      </c>
      <c r="AI11">
        <v>3.2080000000000002</v>
      </c>
      <c r="AJ11">
        <v>3.0950000000000002</v>
      </c>
      <c r="AK11">
        <v>3.2120000000000002</v>
      </c>
      <c r="AL11">
        <v>3.137</v>
      </c>
      <c r="AM11">
        <v>3.2210000000000001</v>
      </c>
      <c r="AN11">
        <v>3.2120000000000002</v>
      </c>
      <c r="AO11">
        <v>3.2189999999999999</v>
      </c>
      <c r="AP11">
        <v>3.3279999999999998</v>
      </c>
    </row>
    <row r="12" spans="2:42" x14ac:dyDescent="0.45">
      <c r="B12" s="6">
        <f t="shared" si="4"/>
        <v>15.628815628815628</v>
      </c>
      <c r="C12" s="4">
        <v>2000</v>
      </c>
      <c r="D12" s="5">
        <f t="shared" si="1"/>
        <v>15.461</v>
      </c>
      <c r="E12" s="5">
        <f t="shared" si="2"/>
        <v>15.724</v>
      </c>
      <c r="F12" s="5">
        <f t="shared" si="3"/>
        <v>15.585083333333333</v>
      </c>
      <c r="G12">
        <v>15.523</v>
      </c>
      <c r="H12">
        <v>15.515000000000001</v>
      </c>
      <c r="I12">
        <v>15.566000000000001</v>
      </c>
      <c r="J12">
        <v>15.539</v>
      </c>
      <c r="K12">
        <v>15.606</v>
      </c>
      <c r="L12">
        <v>15.574</v>
      </c>
      <c r="M12">
        <v>15.494</v>
      </c>
      <c r="N12">
        <v>15.584</v>
      </c>
      <c r="O12">
        <v>15.55</v>
      </c>
      <c r="P12">
        <v>15.651999999999999</v>
      </c>
      <c r="Q12">
        <v>15.497</v>
      </c>
      <c r="R12">
        <v>15.461</v>
      </c>
      <c r="S12">
        <v>15.597</v>
      </c>
      <c r="T12">
        <v>15.59</v>
      </c>
      <c r="U12">
        <v>15.724</v>
      </c>
      <c r="V12">
        <v>15.692</v>
      </c>
      <c r="W12">
        <v>15.643000000000001</v>
      </c>
      <c r="X12">
        <v>15.654999999999999</v>
      </c>
      <c r="Y12">
        <v>15.621</v>
      </c>
      <c r="Z12">
        <v>15.603999999999999</v>
      </c>
      <c r="AA12">
        <v>15.583</v>
      </c>
      <c r="AB12">
        <v>15.621</v>
      </c>
      <c r="AC12">
        <v>15.637</v>
      </c>
      <c r="AD12">
        <v>15.586</v>
      </c>
      <c r="AE12">
        <v>15.535</v>
      </c>
      <c r="AF12">
        <v>15.67</v>
      </c>
      <c r="AG12">
        <v>15.657</v>
      </c>
      <c r="AH12">
        <v>15.566000000000001</v>
      </c>
      <c r="AI12">
        <v>15.568</v>
      </c>
      <c r="AJ12">
        <v>15.646000000000001</v>
      </c>
      <c r="AK12">
        <v>15.563000000000001</v>
      </c>
      <c r="AL12">
        <v>15.643000000000001</v>
      </c>
      <c r="AM12">
        <v>15.577</v>
      </c>
      <c r="AN12">
        <v>15.516999999999999</v>
      </c>
      <c r="AO12">
        <v>15.512</v>
      </c>
      <c r="AP12">
        <v>15.494999999999999</v>
      </c>
    </row>
    <row r="13" spans="2:42" x14ac:dyDescent="0.45">
      <c r="B13" s="6">
        <f t="shared" si="4"/>
        <v>9.3772893772893777</v>
      </c>
      <c r="C13" s="4">
        <v>1200</v>
      </c>
      <c r="D13" s="5">
        <f t="shared" si="1"/>
        <v>9.2279999999999998</v>
      </c>
      <c r="E13" s="5">
        <f t="shared" si="2"/>
        <v>9.4570000000000007</v>
      </c>
      <c r="F13" s="5">
        <f t="shared" si="3"/>
        <v>9.3682499999999997</v>
      </c>
      <c r="G13">
        <v>9.359</v>
      </c>
      <c r="H13">
        <v>9.39</v>
      </c>
      <c r="I13">
        <v>9.4039999999999999</v>
      </c>
      <c r="J13">
        <v>9.3829999999999991</v>
      </c>
      <c r="K13">
        <v>9.3680000000000003</v>
      </c>
      <c r="L13">
        <v>9.3439999999999994</v>
      </c>
      <c r="M13">
        <v>9.3840000000000003</v>
      </c>
      <c r="N13">
        <v>9.3770000000000007</v>
      </c>
      <c r="O13">
        <v>9.3789999999999996</v>
      </c>
      <c r="P13">
        <v>9.2279999999999998</v>
      </c>
      <c r="Q13">
        <v>9.3629999999999995</v>
      </c>
      <c r="R13">
        <v>9.3719999999999999</v>
      </c>
      <c r="S13">
        <v>9.3829999999999991</v>
      </c>
      <c r="T13">
        <v>9.3480000000000008</v>
      </c>
      <c r="U13">
        <v>9.3940000000000001</v>
      </c>
      <c r="V13">
        <v>9.3829999999999991</v>
      </c>
      <c r="W13">
        <v>9.3550000000000004</v>
      </c>
      <c r="X13">
        <v>9.3940000000000001</v>
      </c>
      <c r="Y13">
        <v>9.3539999999999992</v>
      </c>
      <c r="Z13">
        <v>9.4139999999999997</v>
      </c>
      <c r="AA13">
        <v>9.35</v>
      </c>
      <c r="AB13">
        <v>9.3390000000000004</v>
      </c>
      <c r="AC13">
        <v>9.3919999999999995</v>
      </c>
      <c r="AD13">
        <v>9.3859999999999992</v>
      </c>
      <c r="AE13">
        <v>9.343</v>
      </c>
      <c r="AF13">
        <v>9.35</v>
      </c>
      <c r="AG13">
        <v>9.3049999999999997</v>
      </c>
      <c r="AH13">
        <v>9.3740000000000006</v>
      </c>
      <c r="AI13">
        <v>9.3879999999999999</v>
      </c>
      <c r="AJ13">
        <v>9.3010000000000002</v>
      </c>
      <c r="AK13">
        <v>9.3919999999999995</v>
      </c>
      <c r="AL13">
        <v>9.35</v>
      </c>
      <c r="AM13">
        <v>9.4030000000000005</v>
      </c>
      <c r="AN13">
        <v>9.3789999999999996</v>
      </c>
      <c r="AO13">
        <v>9.3719999999999999</v>
      </c>
      <c r="AP13">
        <v>9.4570000000000007</v>
      </c>
    </row>
    <row r="14" spans="2:42" x14ac:dyDescent="0.45">
      <c r="B14" s="6">
        <f t="shared" si="4"/>
        <v>2.7584859584859585</v>
      </c>
      <c r="C14" s="4">
        <v>353</v>
      </c>
      <c r="D14" s="5">
        <f t="shared" si="1"/>
        <v>2.7050000000000001</v>
      </c>
      <c r="E14" s="5">
        <f t="shared" si="2"/>
        <v>2.952</v>
      </c>
      <c r="F14" s="5">
        <f t="shared" si="3"/>
        <v>2.8137222222222218</v>
      </c>
      <c r="G14">
        <v>2.863</v>
      </c>
      <c r="H14">
        <v>2.9009999999999998</v>
      </c>
      <c r="I14">
        <v>2.9049999999999998</v>
      </c>
      <c r="J14">
        <v>2.899</v>
      </c>
      <c r="K14">
        <v>2.8359999999999999</v>
      </c>
      <c r="L14">
        <v>2.8050000000000002</v>
      </c>
      <c r="M14">
        <v>2.903</v>
      </c>
      <c r="N14">
        <v>2.8650000000000002</v>
      </c>
      <c r="O14">
        <v>2.8610000000000002</v>
      </c>
      <c r="P14">
        <v>2.7050000000000001</v>
      </c>
      <c r="Q14">
        <v>2.8809999999999998</v>
      </c>
      <c r="R14">
        <v>2.9009999999999998</v>
      </c>
      <c r="S14">
        <v>2.7829999999999999</v>
      </c>
      <c r="T14">
        <v>2.7559999999999998</v>
      </c>
      <c r="U14">
        <v>2.7269999999999999</v>
      </c>
      <c r="V14">
        <v>2.734</v>
      </c>
      <c r="W14">
        <v>2.7469999999999999</v>
      </c>
      <c r="X14">
        <v>2.754</v>
      </c>
      <c r="Y14">
        <v>2.7360000000000002</v>
      </c>
      <c r="Z14">
        <v>2.819</v>
      </c>
      <c r="AA14">
        <v>2.7519999999999998</v>
      </c>
      <c r="AB14">
        <v>2.7320000000000002</v>
      </c>
      <c r="AC14">
        <v>2.7789999999999999</v>
      </c>
      <c r="AD14">
        <v>2.794</v>
      </c>
      <c r="AE14">
        <v>2.8119999999999998</v>
      </c>
      <c r="AF14">
        <v>2.7719999999999998</v>
      </c>
      <c r="AG14">
        <v>2.7469999999999999</v>
      </c>
      <c r="AH14">
        <v>2.8119999999999998</v>
      </c>
      <c r="AI14">
        <v>2.8450000000000002</v>
      </c>
      <c r="AJ14">
        <v>2.7410000000000001</v>
      </c>
      <c r="AK14">
        <v>2.85</v>
      </c>
      <c r="AL14">
        <v>2.7759999999999998</v>
      </c>
      <c r="AM14">
        <v>2.8540000000000001</v>
      </c>
      <c r="AN14">
        <v>2.847</v>
      </c>
      <c r="AO14">
        <v>2.8479999999999999</v>
      </c>
      <c r="AP14">
        <v>2.952</v>
      </c>
    </row>
    <row r="15" spans="2:42" x14ac:dyDescent="0.45">
      <c r="B15" s="6">
        <f t="shared" si="4"/>
        <v>3.9462759462759465</v>
      </c>
      <c r="C15" s="4">
        <v>505</v>
      </c>
      <c r="D15" s="5">
        <f t="shared" si="1"/>
        <v>3.8330000000000002</v>
      </c>
      <c r="E15" s="5">
        <f t="shared" si="2"/>
        <v>4.1349999999999998</v>
      </c>
      <c r="F15" s="5">
        <f t="shared" si="3"/>
        <v>3.9867500000000016</v>
      </c>
      <c r="G15">
        <v>4.016</v>
      </c>
      <c r="H15">
        <v>4.0599999999999996</v>
      </c>
      <c r="I15">
        <v>4.0640000000000001</v>
      </c>
      <c r="J15">
        <v>4.0510000000000002</v>
      </c>
      <c r="K15">
        <v>3.9929999999999999</v>
      </c>
      <c r="L15">
        <v>3.9660000000000002</v>
      </c>
      <c r="M15">
        <v>4.0620000000000003</v>
      </c>
      <c r="N15">
        <v>4.0179999999999998</v>
      </c>
      <c r="O15">
        <v>4.0220000000000002</v>
      </c>
      <c r="P15">
        <v>3.8330000000000002</v>
      </c>
      <c r="Q15">
        <v>4.0380000000000003</v>
      </c>
      <c r="R15">
        <v>4.0579999999999998</v>
      </c>
      <c r="S15">
        <v>3.976</v>
      </c>
      <c r="T15">
        <v>3.944</v>
      </c>
      <c r="U15">
        <v>3.9220000000000002</v>
      </c>
      <c r="V15">
        <v>3.9289999999999998</v>
      </c>
      <c r="W15">
        <v>3.9369999999999998</v>
      </c>
      <c r="X15">
        <v>3.9529999999999998</v>
      </c>
      <c r="Y15">
        <v>3.927</v>
      </c>
      <c r="Z15">
        <v>4.016</v>
      </c>
      <c r="AA15">
        <v>3.9420000000000002</v>
      </c>
      <c r="AB15">
        <v>3.92</v>
      </c>
      <c r="AC15">
        <v>3.9710000000000001</v>
      </c>
      <c r="AD15">
        <v>3.9889999999999999</v>
      </c>
      <c r="AE15">
        <v>3.9780000000000002</v>
      </c>
      <c r="AF15">
        <v>3.9420000000000002</v>
      </c>
      <c r="AG15">
        <v>3.9060000000000001</v>
      </c>
      <c r="AH15">
        <v>3.9870000000000001</v>
      </c>
      <c r="AI15">
        <v>4.0199999999999996</v>
      </c>
      <c r="AJ15">
        <v>3.9</v>
      </c>
      <c r="AK15">
        <v>4.0270000000000001</v>
      </c>
      <c r="AL15">
        <v>3.944</v>
      </c>
      <c r="AM15">
        <v>4.0309999999999997</v>
      </c>
      <c r="AN15">
        <v>4.0199999999999996</v>
      </c>
      <c r="AO15">
        <v>4.0259999999999998</v>
      </c>
      <c r="AP15">
        <v>4.1349999999999998</v>
      </c>
    </row>
    <row r="16" spans="2:42" x14ac:dyDescent="0.45">
      <c r="B16" s="6">
        <f t="shared" si="4"/>
        <v>24.935775335775336</v>
      </c>
      <c r="C16" s="4">
        <v>3191</v>
      </c>
      <c r="D16" s="5">
        <f t="shared" si="1"/>
        <v>24.364000000000001</v>
      </c>
      <c r="E16" s="5">
        <f t="shared" si="2"/>
        <v>25.401</v>
      </c>
      <c r="F16" s="5">
        <f t="shared" si="3"/>
        <v>24.816166666666671</v>
      </c>
      <c r="G16">
        <v>24.675999999999998</v>
      </c>
      <c r="H16">
        <v>24.526</v>
      </c>
      <c r="I16">
        <v>24.693000000000001</v>
      </c>
      <c r="J16">
        <v>24.635000000000002</v>
      </c>
      <c r="K16">
        <v>24.887</v>
      </c>
      <c r="L16">
        <v>24.838000000000001</v>
      </c>
      <c r="M16">
        <v>24.501999999999999</v>
      </c>
      <c r="N16">
        <v>24.811</v>
      </c>
      <c r="O16">
        <v>24.655999999999999</v>
      </c>
      <c r="P16">
        <v>25.401</v>
      </c>
      <c r="Q16">
        <v>24.574999999999999</v>
      </c>
      <c r="R16">
        <v>24.42</v>
      </c>
      <c r="S16">
        <v>24.850999999999999</v>
      </c>
      <c r="T16">
        <v>24.858000000000001</v>
      </c>
      <c r="U16">
        <v>25.12</v>
      </c>
      <c r="V16">
        <v>25.015999999999998</v>
      </c>
      <c r="W16">
        <v>25</v>
      </c>
      <c r="X16">
        <v>24.9</v>
      </c>
      <c r="Y16">
        <v>24.873999999999999</v>
      </c>
      <c r="Z16">
        <v>24.704999999999998</v>
      </c>
      <c r="AA16">
        <v>24.853999999999999</v>
      </c>
      <c r="AB16">
        <v>24.969000000000001</v>
      </c>
      <c r="AC16">
        <v>24.856000000000002</v>
      </c>
      <c r="AD16">
        <v>24.754999999999999</v>
      </c>
      <c r="AE16">
        <v>24.736000000000001</v>
      </c>
      <c r="AF16">
        <v>25.2</v>
      </c>
      <c r="AG16">
        <v>25.279</v>
      </c>
      <c r="AH16">
        <v>24.771000000000001</v>
      </c>
      <c r="AI16">
        <v>24.74</v>
      </c>
      <c r="AJ16">
        <v>25.23</v>
      </c>
      <c r="AK16">
        <v>24.704000000000001</v>
      </c>
      <c r="AL16">
        <v>25.062000000000001</v>
      </c>
      <c r="AM16">
        <v>24.716000000000001</v>
      </c>
      <c r="AN16">
        <v>24.616</v>
      </c>
      <c r="AO16">
        <v>24.585999999999999</v>
      </c>
      <c r="AP16">
        <v>24.364000000000001</v>
      </c>
    </row>
    <row r="17" spans="2:42" x14ac:dyDescent="0.45">
      <c r="B17" s="6">
        <f t="shared" si="4"/>
        <v>25.6</v>
      </c>
      <c r="C17" s="4">
        <v>3276</v>
      </c>
      <c r="D17" s="5">
        <f t="shared" si="1"/>
        <v>24.994</v>
      </c>
      <c r="E17" s="5">
        <f t="shared" si="2"/>
        <v>26.140999999999998</v>
      </c>
      <c r="F17" s="5">
        <f t="shared" si="3"/>
        <v>25.469250000000002</v>
      </c>
      <c r="G17">
        <v>25.332000000000001</v>
      </c>
      <c r="H17">
        <v>25.135999999999999</v>
      </c>
      <c r="I17">
        <v>25.334</v>
      </c>
      <c r="J17">
        <v>25.27</v>
      </c>
      <c r="K17">
        <v>25.536000000000001</v>
      </c>
      <c r="L17">
        <v>25.498999999999999</v>
      </c>
      <c r="M17">
        <v>25.134</v>
      </c>
      <c r="N17">
        <v>25.45</v>
      </c>
      <c r="O17">
        <v>25.292000000000002</v>
      </c>
      <c r="P17">
        <v>26.140999999999998</v>
      </c>
      <c r="Q17">
        <v>25.193999999999999</v>
      </c>
      <c r="R17">
        <v>25.015999999999998</v>
      </c>
      <c r="S17">
        <v>25.523</v>
      </c>
      <c r="T17">
        <v>25.503</v>
      </c>
      <c r="U17">
        <v>25.785</v>
      </c>
      <c r="V17">
        <v>25.681000000000001</v>
      </c>
      <c r="W17">
        <v>25.677</v>
      </c>
      <c r="X17">
        <v>25.559000000000001</v>
      </c>
      <c r="Y17">
        <v>25.536999999999999</v>
      </c>
      <c r="Z17">
        <v>25.33</v>
      </c>
      <c r="AA17">
        <v>25.492000000000001</v>
      </c>
      <c r="AB17">
        <v>25.625</v>
      </c>
      <c r="AC17">
        <v>25.503</v>
      </c>
      <c r="AD17">
        <v>25.381</v>
      </c>
      <c r="AE17">
        <v>25.402999999999999</v>
      </c>
      <c r="AF17">
        <v>25.895</v>
      </c>
      <c r="AG17">
        <v>25.963999999999999</v>
      </c>
      <c r="AH17">
        <v>25.443000000000001</v>
      </c>
      <c r="AI17">
        <v>25.388000000000002</v>
      </c>
      <c r="AJ17">
        <v>25.923999999999999</v>
      </c>
      <c r="AK17">
        <v>25.356000000000002</v>
      </c>
      <c r="AL17">
        <v>25.745000000000001</v>
      </c>
      <c r="AM17">
        <v>25.369</v>
      </c>
      <c r="AN17">
        <v>25.25</v>
      </c>
      <c r="AO17">
        <v>25.231999999999999</v>
      </c>
      <c r="AP17">
        <v>24.994</v>
      </c>
    </row>
    <row r="18" spans="2:42" x14ac:dyDescent="0.45">
      <c r="B18" s="6">
        <f t="shared" si="4"/>
        <v>32</v>
      </c>
      <c r="C18" s="4">
        <v>4095</v>
      </c>
      <c r="D18" s="5">
        <f t="shared" si="1"/>
        <v>31.004999999999999</v>
      </c>
      <c r="E18" s="5">
        <f t="shared" si="2"/>
        <v>32.944000000000003</v>
      </c>
      <c r="F18" s="5">
        <f t="shared" si="3"/>
        <v>31.787583333333341</v>
      </c>
      <c r="G18">
        <v>31.600999999999999</v>
      </c>
      <c r="H18">
        <v>31.312000000000001</v>
      </c>
      <c r="I18">
        <v>31.611999999999998</v>
      </c>
      <c r="J18">
        <v>31.512</v>
      </c>
      <c r="K18">
        <v>31.908000000000001</v>
      </c>
      <c r="L18">
        <v>31.853999999999999</v>
      </c>
      <c r="M18">
        <v>31.271999999999998</v>
      </c>
      <c r="N18">
        <v>31.777000000000001</v>
      </c>
      <c r="O18">
        <v>31.495999999999999</v>
      </c>
      <c r="P18">
        <v>32.944000000000003</v>
      </c>
      <c r="Q18">
        <v>31.416</v>
      </c>
      <c r="R18">
        <v>31.146999999999998</v>
      </c>
      <c r="S18">
        <v>31.808</v>
      </c>
      <c r="T18">
        <v>31.846</v>
      </c>
      <c r="U18">
        <v>32.229999999999997</v>
      </c>
      <c r="V18">
        <v>32.057000000000002</v>
      </c>
      <c r="W18">
        <v>32.112000000000002</v>
      </c>
      <c r="X18">
        <v>31.861000000000001</v>
      </c>
      <c r="Y18">
        <v>31.861000000000001</v>
      </c>
      <c r="Z18">
        <v>31.529</v>
      </c>
      <c r="AA18">
        <v>31.821000000000002</v>
      </c>
      <c r="AB18">
        <v>32.054000000000002</v>
      </c>
      <c r="AC18">
        <v>31.818999999999999</v>
      </c>
      <c r="AD18">
        <v>31.638999999999999</v>
      </c>
      <c r="AE18">
        <v>31.707000000000001</v>
      </c>
      <c r="AF18">
        <v>32.436999999999998</v>
      </c>
      <c r="AG18">
        <v>32.622</v>
      </c>
      <c r="AH18">
        <v>31.727</v>
      </c>
      <c r="AI18">
        <v>31.638000000000002</v>
      </c>
      <c r="AJ18">
        <v>32.54</v>
      </c>
      <c r="AK18">
        <v>31.585000000000001</v>
      </c>
      <c r="AL18">
        <v>32.195</v>
      </c>
      <c r="AM18">
        <v>31.59</v>
      </c>
      <c r="AN18">
        <v>31.428999999999998</v>
      </c>
      <c r="AO18">
        <v>31.39</v>
      </c>
      <c r="AP18">
        <v>31.004999999999999</v>
      </c>
    </row>
    <row r="21" spans="2:42" x14ac:dyDescent="0.45">
      <c r="B21" t="s">
        <v>16</v>
      </c>
      <c r="C21" s="2" t="s">
        <v>0</v>
      </c>
      <c r="D21" s="2" t="s">
        <v>13</v>
      </c>
      <c r="E21" s="2" t="s">
        <v>14</v>
      </c>
      <c r="F21" s="2" t="s">
        <v>15</v>
      </c>
      <c r="G21" s="2" t="s">
        <v>1</v>
      </c>
      <c r="H21" s="2" t="s">
        <v>2</v>
      </c>
      <c r="I21" s="2" t="s">
        <v>3</v>
      </c>
      <c r="J21" s="2" t="s">
        <v>4</v>
      </c>
      <c r="K21" s="2" t="s">
        <v>5</v>
      </c>
      <c r="L21" s="2" t="s">
        <v>6</v>
      </c>
      <c r="M21" s="2" t="s">
        <v>7</v>
      </c>
      <c r="N21" s="2" t="s">
        <v>8</v>
      </c>
      <c r="O21" s="2" t="s">
        <v>9</v>
      </c>
      <c r="P21" s="2" t="s">
        <v>10</v>
      </c>
      <c r="Q21" s="2" t="s">
        <v>11</v>
      </c>
      <c r="R21" s="2" t="s">
        <v>12</v>
      </c>
      <c r="S21" s="2" t="s">
        <v>1</v>
      </c>
      <c r="T21" s="2" t="s">
        <v>2</v>
      </c>
      <c r="U21" s="2" t="s">
        <v>3</v>
      </c>
      <c r="V21" s="2" t="s">
        <v>4</v>
      </c>
      <c r="W21" s="2" t="s">
        <v>5</v>
      </c>
      <c r="X21" s="2" t="s">
        <v>6</v>
      </c>
      <c r="Y21" s="2" t="s">
        <v>7</v>
      </c>
      <c r="Z21" s="2" t="s">
        <v>8</v>
      </c>
      <c r="AA21" s="2" t="s">
        <v>9</v>
      </c>
      <c r="AB21" s="2" t="s">
        <v>10</v>
      </c>
      <c r="AC21" s="2" t="s">
        <v>11</v>
      </c>
      <c r="AD21" s="2" t="s">
        <v>12</v>
      </c>
      <c r="AE21" s="2" t="s">
        <v>1</v>
      </c>
      <c r="AF21" s="2" t="s">
        <v>2</v>
      </c>
      <c r="AG21" s="2" t="s">
        <v>3</v>
      </c>
      <c r="AH21" s="2" t="s">
        <v>4</v>
      </c>
      <c r="AI21" s="2" t="s">
        <v>5</v>
      </c>
      <c r="AJ21" s="2" t="s">
        <v>6</v>
      </c>
      <c r="AK21" s="2" t="s">
        <v>7</v>
      </c>
      <c r="AL21" s="2" t="s">
        <v>8</v>
      </c>
      <c r="AM21" s="2" t="s">
        <v>9</v>
      </c>
      <c r="AN21" s="2" t="s">
        <v>10</v>
      </c>
      <c r="AO21" s="2" t="s">
        <v>11</v>
      </c>
      <c r="AP21" s="2" t="s">
        <v>12</v>
      </c>
    </row>
    <row r="22" spans="2:42" x14ac:dyDescent="0.45">
      <c r="B22" s="6">
        <f t="shared" ref="B22:B29" si="5">8*C22/4095</f>
        <v>0.78144078144078144</v>
      </c>
      <c r="C22" s="3">
        <v>400</v>
      </c>
      <c r="D22" s="1">
        <f>MIN(G22:AP22)</f>
        <v>-1.4640624999999977E-2</v>
      </c>
      <c r="E22" s="1">
        <f>MAX(G22:AP22)</f>
        <v>7.3657812499999961E-2</v>
      </c>
      <c r="F22" s="1">
        <f>AVERAGE(G22:AP22)</f>
        <v>2.1226171875000022E-2</v>
      </c>
      <c r="G22" s="1">
        <f t="shared" ref="G22:AP29" si="6">(G3-$B3)/$B3</f>
        <v>3.0148437500000062E-2</v>
      </c>
      <c r="H22" s="1">
        <f t="shared" si="6"/>
        <v>3.9106250000000072E-2</v>
      </c>
      <c r="I22" s="1">
        <f t="shared" si="6"/>
        <v>5.9581249999999947E-2</v>
      </c>
      <c r="J22" s="1">
        <f t="shared" si="6"/>
        <v>5.318281249999994E-2</v>
      </c>
      <c r="K22" s="1">
        <f t="shared" si="6"/>
        <v>2.5029687500000061E-2</v>
      </c>
      <c r="L22" s="1">
        <f t="shared" si="6"/>
        <v>-6.9624999999999696E-3</v>
      </c>
      <c r="M22" s="1">
        <f t="shared" si="6"/>
        <v>5.0623437499999938E-2</v>
      </c>
      <c r="N22" s="1">
        <f t="shared" si="6"/>
        <v>3.6546875000000069E-2</v>
      </c>
      <c r="O22" s="1">
        <f t="shared" si="6"/>
        <v>2.758906250000006E-2</v>
      </c>
      <c r="P22" s="1">
        <f t="shared" si="6"/>
        <v>4.5546875000000405E-3</v>
      </c>
      <c r="Q22" s="1">
        <f t="shared" si="6"/>
        <v>4.8064062499999935E-2</v>
      </c>
      <c r="R22" s="1">
        <f t="shared" si="6"/>
        <v>4.5504687499999932E-2</v>
      </c>
      <c r="S22" s="1">
        <f t="shared" si="6"/>
        <v>1.3512500000000049E-2</v>
      </c>
      <c r="T22" s="1">
        <f t="shared" si="6"/>
        <v>1.9953125000000383E-3</v>
      </c>
      <c r="U22" s="1">
        <f t="shared" si="6"/>
        <v>-1.4640624999999977E-2</v>
      </c>
      <c r="V22" s="1">
        <f t="shared" si="6"/>
        <v>-1.4640624999999977E-2</v>
      </c>
      <c r="W22" s="1">
        <f t="shared" si="6"/>
        <v>7.1140625000000431E-3</v>
      </c>
      <c r="X22" s="1">
        <f t="shared" si="6"/>
        <v>-1.4640624999999977E-2</v>
      </c>
      <c r="Y22" s="1">
        <f t="shared" si="6"/>
        <v>-5.6828124999999683E-3</v>
      </c>
      <c r="Z22" s="1">
        <f t="shared" si="6"/>
        <v>2.5029687500000061E-2</v>
      </c>
      <c r="AA22" s="1">
        <f t="shared" si="6"/>
        <v>4.5546875000000405E-3</v>
      </c>
      <c r="AB22" s="1">
        <f t="shared" si="6"/>
        <v>-5.6828124999999683E-3</v>
      </c>
      <c r="AC22" s="1">
        <f t="shared" si="6"/>
        <v>8.3937500000000435E-3</v>
      </c>
      <c r="AD22" s="1">
        <f t="shared" si="6"/>
        <v>1.8631250000000054E-2</v>
      </c>
      <c r="AE22" s="1">
        <f t="shared" si="6"/>
        <v>1.9910937500000055E-2</v>
      </c>
      <c r="AF22" s="1">
        <f t="shared" si="6"/>
        <v>1.3512500000000049E-2</v>
      </c>
      <c r="AG22" s="1">
        <f t="shared" si="6"/>
        <v>1.6071875000000051E-2</v>
      </c>
      <c r="AH22" s="1">
        <f t="shared" si="6"/>
        <v>1.0953125000000046E-2</v>
      </c>
      <c r="AI22" s="1">
        <f t="shared" si="6"/>
        <v>3.0148437500000062E-2</v>
      </c>
      <c r="AJ22" s="1">
        <f t="shared" si="6"/>
        <v>1.0953125000000046E-2</v>
      </c>
      <c r="AK22" s="1">
        <f t="shared" si="6"/>
        <v>4.1665624999999928E-2</v>
      </c>
      <c r="AL22" s="1">
        <f t="shared" si="6"/>
        <v>7.1140625000000431E-3</v>
      </c>
      <c r="AM22" s="1">
        <f t="shared" si="6"/>
        <v>3.3987500000000066E-2</v>
      </c>
      <c r="AN22" s="1">
        <f t="shared" si="6"/>
        <v>3.2707812500000065E-2</v>
      </c>
      <c r="AO22" s="1">
        <f t="shared" si="6"/>
        <v>3.6546875000000069E-2</v>
      </c>
      <c r="AP22" s="1">
        <f t="shared" si="6"/>
        <v>7.3657812499999961E-2</v>
      </c>
    </row>
    <row r="23" spans="2:42" x14ac:dyDescent="0.45">
      <c r="B23" s="6">
        <f t="shared" si="5"/>
        <v>3.9072039072039071</v>
      </c>
      <c r="C23" s="3">
        <v>2000</v>
      </c>
      <c r="D23" s="1">
        <f t="shared" ref="D23:D37" si="7">MIN(G23:AP23)</f>
        <v>-1.1569374999999946E-2</v>
      </c>
      <c r="E23" s="1">
        <f t="shared" ref="E23:E37" si="8">MAX(G23:AP23)</f>
        <v>5.5784374999999853E-3</v>
      </c>
      <c r="F23" s="1">
        <f t="shared" ref="F23:F37" si="9">AVERAGE(G23:AP23)</f>
        <v>-4.6661718749999607E-3</v>
      </c>
      <c r="G23" s="1">
        <f t="shared" si="6"/>
        <v>-8.2421874999999718E-3</v>
      </c>
      <c r="H23" s="1">
        <f t="shared" si="6"/>
        <v>-8.7540624999999147E-3</v>
      </c>
      <c r="I23" s="1">
        <f t="shared" si="6"/>
        <v>-8.7540624999999147E-3</v>
      </c>
      <c r="J23" s="1">
        <f t="shared" si="6"/>
        <v>-1.1569374999999946E-2</v>
      </c>
      <c r="K23" s="1">
        <f t="shared" si="6"/>
        <v>-5.1709374999999681E-3</v>
      </c>
      <c r="L23" s="1">
        <f t="shared" si="6"/>
        <v>-8.1999999999999261E-4</v>
      </c>
      <c r="M23" s="1">
        <f t="shared" si="6"/>
        <v>-8.7540624999999147E-3</v>
      </c>
      <c r="N23" s="1">
        <f t="shared" si="6"/>
        <v>-5.1709374999999681E-3</v>
      </c>
      <c r="O23" s="1">
        <f t="shared" si="6"/>
        <v>-6.4506249999999408E-3</v>
      </c>
      <c r="P23" s="1">
        <f t="shared" si="6"/>
        <v>-5.938749999999997E-3</v>
      </c>
      <c r="Q23" s="1">
        <f t="shared" si="6"/>
        <v>-8.7540624999999147E-3</v>
      </c>
      <c r="R23" s="1">
        <f t="shared" si="6"/>
        <v>-1.0545624999999944E-2</v>
      </c>
      <c r="S23" s="1">
        <f t="shared" si="6"/>
        <v>-2.3556249999999372E-3</v>
      </c>
      <c r="T23" s="1">
        <f t="shared" si="6"/>
        <v>-3.0812499999993524E-4</v>
      </c>
      <c r="U23" s="1">
        <f t="shared" si="6"/>
        <v>5.5784374999999853E-3</v>
      </c>
      <c r="V23" s="1">
        <f t="shared" si="6"/>
        <v>1.4834374999999811E-3</v>
      </c>
      <c r="W23" s="1">
        <f t="shared" si="6"/>
        <v>-4.1471874999999669E-3</v>
      </c>
      <c r="X23" s="1">
        <f t="shared" si="6"/>
        <v>1.9953125000000383E-3</v>
      </c>
      <c r="Y23" s="1">
        <f t="shared" si="6"/>
        <v>1.4834374999999811E-3</v>
      </c>
      <c r="Z23" s="1">
        <f t="shared" si="6"/>
        <v>-8.2421874999999718E-3</v>
      </c>
      <c r="AA23" s="1">
        <f t="shared" si="6"/>
        <v>-2.3556249999999372E-3</v>
      </c>
      <c r="AB23" s="1">
        <f t="shared" si="6"/>
        <v>-1.3318749999999362E-3</v>
      </c>
      <c r="AC23" s="1">
        <f t="shared" si="6"/>
        <v>-5.1709374999999681E-3</v>
      </c>
      <c r="AD23" s="1">
        <f t="shared" si="6"/>
        <v>-7.7303125000000271E-3</v>
      </c>
      <c r="AE23" s="1">
        <f t="shared" si="6"/>
        <v>-4.6590625000000243E-3</v>
      </c>
      <c r="AF23" s="1">
        <f t="shared" si="6"/>
        <v>-1.3318749999999362E-3</v>
      </c>
      <c r="AG23" s="1">
        <f t="shared" si="6"/>
        <v>-3.1234374999999661E-3</v>
      </c>
      <c r="AH23" s="1">
        <f t="shared" si="6"/>
        <v>-5.1709374999999681E-3</v>
      </c>
      <c r="AI23" s="1">
        <f t="shared" si="6"/>
        <v>-4.1471874999999669E-3</v>
      </c>
      <c r="AJ23" s="1">
        <f t="shared" si="6"/>
        <v>-2.3556249999999372E-3</v>
      </c>
      <c r="AK23" s="1">
        <f t="shared" si="6"/>
        <v>-4.1471874999999669E-3</v>
      </c>
      <c r="AL23" s="1">
        <f t="shared" si="6"/>
        <v>-3.0812499999993524E-4</v>
      </c>
      <c r="AM23" s="1">
        <f t="shared" si="6"/>
        <v>-1.1057500000000001E-2</v>
      </c>
      <c r="AN23" s="1">
        <f t="shared" si="6"/>
        <v>-6.4506249999999408E-3</v>
      </c>
      <c r="AO23" s="1">
        <f t="shared" si="6"/>
        <v>-5.4268749999999396E-3</v>
      </c>
      <c r="AP23" s="1">
        <f t="shared" si="6"/>
        <v>-9.777812499999915E-3</v>
      </c>
    </row>
    <row r="24" spans="2:42" x14ac:dyDescent="0.45">
      <c r="B24" s="6">
        <f t="shared" si="5"/>
        <v>2.3443223443223444</v>
      </c>
      <c r="C24" s="3">
        <v>1200</v>
      </c>
      <c r="D24" s="1">
        <f t="shared" si="7"/>
        <v>-1.2081250000000116E-2</v>
      </c>
      <c r="E24" s="1">
        <f t="shared" si="8"/>
        <v>1.0526562500000046E-2</v>
      </c>
      <c r="F24" s="1">
        <f t="shared" si="9"/>
        <v>-1.0143229166667126E-3</v>
      </c>
      <c r="G24" s="1">
        <f t="shared" si="6"/>
        <v>-1.843750000000107E-3</v>
      </c>
      <c r="H24" s="1">
        <f t="shared" si="6"/>
        <v>-5.6406250000005855E-4</v>
      </c>
      <c r="I24" s="1">
        <f t="shared" si="6"/>
        <v>4.1281249999999929E-3</v>
      </c>
      <c r="J24" s="1">
        <f t="shared" si="6"/>
        <v>1.1421874999999429E-3</v>
      </c>
      <c r="K24" s="1">
        <f t="shared" si="6"/>
        <v>-2.6968750000000131E-3</v>
      </c>
      <c r="L24" s="1">
        <f t="shared" si="6"/>
        <v>-5.2562500000001098E-3</v>
      </c>
      <c r="M24" s="1">
        <f t="shared" si="6"/>
        <v>2.8484374999999443E-3</v>
      </c>
      <c r="N24" s="1">
        <f t="shared" si="6"/>
        <v>1.1421874999999429E-3</v>
      </c>
      <c r="O24" s="1">
        <f t="shared" si="6"/>
        <v>-2.6968750000000131E-3</v>
      </c>
      <c r="P24" s="1">
        <f t="shared" si="6"/>
        <v>-1.2081250000000116E-2</v>
      </c>
      <c r="Q24" s="1">
        <f t="shared" si="6"/>
        <v>1.1421874999999429E-3</v>
      </c>
      <c r="R24" s="1">
        <f t="shared" si="6"/>
        <v>2.8906250000003685E-4</v>
      </c>
      <c r="S24" s="1">
        <f t="shared" si="6"/>
        <v>1.9953125000000383E-3</v>
      </c>
      <c r="T24" s="1">
        <f t="shared" si="6"/>
        <v>1.1421874999999429E-3</v>
      </c>
      <c r="U24" s="1">
        <f t="shared" si="6"/>
        <v>-5.6406250000005855E-4</v>
      </c>
      <c r="V24" s="1">
        <f t="shared" si="6"/>
        <v>-2.6968750000000131E-3</v>
      </c>
      <c r="W24" s="1">
        <f t="shared" si="6"/>
        <v>-3.5500000000001086E-3</v>
      </c>
      <c r="X24" s="1">
        <f t="shared" si="6"/>
        <v>-5.6406250000005855E-4</v>
      </c>
      <c r="Y24" s="1">
        <f t="shared" si="6"/>
        <v>-5.6406250000005855E-4</v>
      </c>
      <c r="Z24" s="1">
        <f t="shared" si="6"/>
        <v>1.1421874999999429E-3</v>
      </c>
      <c r="AA24" s="1">
        <f t="shared" si="6"/>
        <v>-5.6406250000005855E-4</v>
      </c>
      <c r="AB24" s="1">
        <f t="shared" si="6"/>
        <v>-2.6968750000000131E-3</v>
      </c>
      <c r="AC24" s="1">
        <f t="shared" si="6"/>
        <v>-1.843750000000107E-3</v>
      </c>
      <c r="AD24" s="1">
        <f t="shared" si="6"/>
        <v>-9.9062500000001168E-4</v>
      </c>
      <c r="AE24" s="1">
        <f t="shared" si="6"/>
        <v>-1.843750000000107E-3</v>
      </c>
      <c r="AF24" s="1">
        <f t="shared" si="6"/>
        <v>-4.4031250000000147E-3</v>
      </c>
      <c r="AG24" s="1">
        <f t="shared" si="6"/>
        <v>-5.2562500000001098E-3</v>
      </c>
      <c r="AH24" s="1">
        <f t="shared" si="6"/>
        <v>-3.5500000000001086E-3</v>
      </c>
      <c r="AI24" s="1">
        <f t="shared" si="6"/>
        <v>2.8906250000003685E-4</v>
      </c>
      <c r="AJ24" s="1">
        <f t="shared" si="6"/>
        <v>-8.24218749999997E-3</v>
      </c>
      <c r="AK24" s="1">
        <f t="shared" si="6"/>
        <v>3.2749999999998974E-3</v>
      </c>
      <c r="AL24" s="1">
        <f t="shared" si="6"/>
        <v>-3.5500000000001086E-3</v>
      </c>
      <c r="AM24" s="1">
        <f t="shared" si="6"/>
        <v>-2.6968750000000131E-3</v>
      </c>
      <c r="AN24" s="1">
        <f t="shared" si="6"/>
        <v>2.8906250000003685E-4</v>
      </c>
      <c r="AO24" s="1">
        <f t="shared" si="6"/>
        <v>2.8484374999999443E-3</v>
      </c>
      <c r="AP24" s="1">
        <f t="shared" si="6"/>
        <v>1.0526562500000046E-2</v>
      </c>
    </row>
    <row r="25" spans="2:42" x14ac:dyDescent="0.45">
      <c r="B25" s="6">
        <f t="shared" si="5"/>
        <v>0.68962148962148961</v>
      </c>
      <c r="C25" s="3">
        <v>353</v>
      </c>
      <c r="D25" s="1">
        <f t="shared" si="7"/>
        <v>-1.6851983002832784E-2</v>
      </c>
      <c r="E25" s="1">
        <f t="shared" si="8"/>
        <v>8.0302762039660067E-2</v>
      </c>
      <c r="F25" s="1">
        <f t="shared" si="9"/>
        <v>2.6086225212464564E-2</v>
      </c>
      <c r="G25" s="1">
        <f t="shared" si="6"/>
        <v>3.825070821529742E-2</v>
      </c>
      <c r="H25" s="1">
        <f t="shared" si="6"/>
        <v>4.5501062322946151E-2</v>
      </c>
      <c r="I25" s="1">
        <f t="shared" si="6"/>
        <v>7.0152266288951839E-2</v>
      </c>
      <c r="J25" s="1">
        <f t="shared" si="6"/>
        <v>6.4351983002832847E-2</v>
      </c>
      <c r="K25" s="1">
        <f t="shared" si="6"/>
        <v>3.5350566572237924E-2</v>
      </c>
      <c r="L25" s="1">
        <f t="shared" si="6"/>
        <v>-3.8013456090650651E-3</v>
      </c>
      <c r="M25" s="1">
        <f t="shared" si="6"/>
        <v>5.8551699716713868E-2</v>
      </c>
      <c r="N25" s="1">
        <f t="shared" si="6"/>
        <v>4.5501062322946151E-2</v>
      </c>
      <c r="O25" s="1">
        <f t="shared" si="6"/>
        <v>3.5350566572237924E-2</v>
      </c>
      <c r="P25" s="1">
        <f t="shared" si="6"/>
        <v>1.6499645892351224E-2</v>
      </c>
      <c r="Q25" s="1">
        <f t="shared" si="6"/>
        <v>5.5651558073654371E-2</v>
      </c>
      <c r="R25" s="1">
        <f t="shared" si="6"/>
        <v>5.5651558073654371E-2</v>
      </c>
      <c r="S25" s="1">
        <f t="shared" si="6"/>
        <v>1.2149433427761983E-2</v>
      </c>
      <c r="T25" s="1">
        <f t="shared" si="6"/>
        <v>3.4490084985835056E-3</v>
      </c>
      <c r="U25" s="1">
        <f t="shared" si="6"/>
        <v>-1.6851983002832784E-2</v>
      </c>
      <c r="V25" s="1">
        <f t="shared" si="6"/>
        <v>-1.5401912181303035E-2</v>
      </c>
      <c r="W25" s="1">
        <f t="shared" si="6"/>
        <v>6.3491501416429981E-3</v>
      </c>
      <c r="X25" s="1">
        <f t="shared" si="6"/>
        <v>-1.5401912181303035E-2</v>
      </c>
      <c r="Y25" s="1">
        <f t="shared" si="6"/>
        <v>-3.8013456090650651E-3</v>
      </c>
      <c r="Z25" s="1">
        <f t="shared" si="6"/>
        <v>2.6650141643059448E-2</v>
      </c>
      <c r="AA25" s="1">
        <f t="shared" si="6"/>
        <v>6.3491501416429981E-3</v>
      </c>
      <c r="AB25" s="1">
        <f t="shared" si="6"/>
        <v>-6.7014872521245581E-3</v>
      </c>
      <c r="AC25" s="1">
        <f t="shared" si="6"/>
        <v>1.2149433427761983E-2</v>
      </c>
      <c r="AD25" s="1">
        <f t="shared" si="6"/>
        <v>1.9399787535410714E-2</v>
      </c>
      <c r="AE25" s="1">
        <f t="shared" si="6"/>
        <v>2.6650141643059448E-2</v>
      </c>
      <c r="AF25" s="1">
        <f t="shared" si="6"/>
        <v>1.9399787535410714E-2</v>
      </c>
      <c r="AG25" s="1">
        <f t="shared" si="6"/>
        <v>2.52000708215297E-2</v>
      </c>
      <c r="AH25" s="1">
        <f t="shared" si="6"/>
        <v>1.359950424929173E-2</v>
      </c>
      <c r="AI25" s="1">
        <f t="shared" si="6"/>
        <v>3.5350566572237924E-2</v>
      </c>
      <c r="AJ25" s="1">
        <f t="shared" si="6"/>
        <v>1.359950424929173E-2</v>
      </c>
      <c r="AK25" s="1">
        <f t="shared" si="6"/>
        <v>4.840120396600564E-2</v>
      </c>
      <c r="AL25" s="1">
        <f t="shared" si="6"/>
        <v>9.2492917847024902E-3</v>
      </c>
      <c r="AM25" s="1">
        <f t="shared" si="6"/>
        <v>4.115084985835691E-2</v>
      </c>
      <c r="AN25" s="1">
        <f t="shared" si="6"/>
        <v>3.825070821529742E-2</v>
      </c>
      <c r="AO25" s="1">
        <f t="shared" si="6"/>
        <v>4.2600920679886654E-2</v>
      </c>
      <c r="AP25" s="1">
        <f t="shared" si="6"/>
        <v>8.0302762039660067E-2</v>
      </c>
    </row>
    <row r="26" spans="2:42" x14ac:dyDescent="0.45">
      <c r="B26" s="6">
        <f t="shared" si="5"/>
        <v>0.98656898656898662</v>
      </c>
      <c r="C26" s="3">
        <v>505</v>
      </c>
      <c r="D26" s="1">
        <f t="shared" si="7"/>
        <v>-1.0712871287128783E-2</v>
      </c>
      <c r="E26" s="1">
        <f t="shared" si="8"/>
        <v>5.5172029702970173E-2</v>
      </c>
      <c r="F26" s="1">
        <f t="shared" si="9"/>
        <v>1.4148824257425661E-2</v>
      </c>
      <c r="G26" s="1">
        <f t="shared" si="6"/>
        <v>1.9695544554455401E-2</v>
      </c>
      <c r="H26" s="1">
        <f t="shared" si="6"/>
        <v>2.5777227722772238E-2</v>
      </c>
      <c r="I26" s="1">
        <f t="shared" si="6"/>
        <v>4.199504950495047E-2</v>
      </c>
      <c r="J26" s="1">
        <f t="shared" si="6"/>
        <v>3.6926980198019661E-2</v>
      </c>
      <c r="K26" s="1">
        <f t="shared" si="6"/>
        <v>1.4627475247524592E-2</v>
      </c>
      <c r="L26" s="1">
        <f t="shared" si="6"/>
        <v>-9.6992574257426436E-3</v>
      </c>
      <c r="M26" s="1">
        <f t="shared" si="6"/>
        <v>3.4899752475247382E-2</v>
      </c>
      <c r="N26" s="1">
        <f t="shared" si="6"/>
        <v>2.3749999999999959E-2</v>
      </c>
      <c r="O26" s="1">
        <f t="shared" si="6"/>
        <v>1.6654702970296871E-2</v>
      </c>
      <c r="P26" s="1">
        <f t="shared" si="6"/>
        <v>-3.6175742574258061E-3</v>
      </c>
      <c r="Q26" s="1">
        <f t="shared" si="6"/>
        <v>3.2872524752475103E-2</v>
      </c>
      <c r="R26" s="1">
        <f t="shared" si="6"/>
        <v>3.4899752475247382E-2</v>
      </c>
      <c r="S26" s="1">
        <f t="shared" si="6"/>
        <v>1.2600247524752426E-2</v>
      </c>
      <c r="T26" s="1">
        <f t="shared" si="6"/>
        <v>3.4777227722771701E-3</v>
      </c>
      <c r="U26" s="1">
        <f t="shared" si="6"/>
        <v>-9.6992574257426436E-3</v>
      </c>
      <c r="V26" s="1">
        <f t="shared" si="6"/>
        <v>-1.0712871287128783E-2</v>
      </c>
      <c r="W26" s="1">
        <f t="shared" si="6"/>
        <v>3.4777227722771701E-3</v>
      </c>
      <c r="X26" s="1">
        <f t="shared" si="6"/>
        <v>-9.6992574257426436E-3</v>
      </c>
      <c r="Y26" s="1">
        <f t="shared" si="6"/>
        <v>-1.590346534653527E-3</v>
      </c>
      <c r="Z26" s="1">
        <f t="shared" si="6"/>
        <v>2.172277227722768E-2</v>
      </c>
      <c r="AA26" s="1">
        <f t="shared" si="6"/>
        <v>5.5049504950494491E-3</v>
      </c>
      <c r="AB26" s="1">
        <f t="shared" si="6"/>
        <v>-3.6175742574258061E-3</v>
      </c>
      <c r="AC26" s="1">
        <f t="shared" si="6"/>
        <v>7.5321782178217282E-3</v>
      </c>
      <c r="AD26" s="1">
        <f t="shared" si="6"/>
        <v>1.4627475247524592E-2</v>
      </c>
      <c r="AE26" s="1">
        <f t="shared" si="6"/>
        <v>1.2600247524752426E-2</v>
      </c>
      <c r="AF26" s="1">
        <f t="shared" si="6"/>
        <v>5.5049504950494491E-3</v>
      </c>
      <c r="AG26" s="1">
        <f t="shared" si="6"/>
        <v>7.5321782178217282E-3</v>
      </c>
      <c r="AH26" s="1">
        <f t="shared" si="6"/>
        <v>3.4777227722771701E-3</v>
      </c>
      <c r="AI26" s="1">
        <f t="shared" si="6"/>
        <v>1.9695544554455401E-2</v>
      </c>
      <c r="AJ26" s="1">
        <f t="shared" si="6"/>
        <v>3.4777227722771701E-3</v>
      </c>
      <c r="AK26" s="1">
        <f t="shared" si="6"/>
        <v>2.8818069306930545E-2</v>
      </c>
      <c r="AL26" s="1">
        <f t="shared" si="6"/>
        <v>1.4504950495048913E-3</v>
      </c>
      <c r="AM26" s="1">
        <f t="shared" si="6"/>
        <v>2.172277227722768E-2</v>
      </c>
      <c r="AN26" s="1">
        <f t="shared" si="6"/>
        <v>2.3749999999999959E-2</v>
      </c>
      <c r="AO26" s="1">
        <f t="shared" si="6"/>
        <v>2.3749999999999959E-2</v>
      </c>
      <c r="AP26" s="1">
        <f t="shared" si="6"/>
        <v>5.5172029702970173E-2</v>
      </c>
    </row>
    <row r="27" spans="2:42" x14ac:dyDescent="0.45">
      <c r="B27" s="6">
        <f t="shared" si="5"/>
        <v>6.233943833943834</v>
      </c>
      <c r="C27" s="3">
        <v>3191</v>
      </c>
      <c r="D27" s="1">
        <f t="shared" si="7"/>
        <v>-2.5015277342525816E-2</v>
      </c>
      <c r="E27" s="1">
        <f t="shared" si="8"/>
        <v>8.0296145408962315E-3</v>
      </c>
      <c r="F27" s="1">
        <f t="shared" si="9"/>
        <v>-7.6061089783767072E-3</v>
      </c>
      <c r="G27" s="1">
        <f t="shared" si="6"/>
        <v>-1.1540661234722679E-2</v>
      </c>
      <c r="H27" s="1">
        <f t="shared" si="6"/>
        <v>-1.6834260419931135E-2</v>
      </c>
      <c r="I27" s="1">
        <f t="shared" si="6"/>
        <v>-1.7957145095581349E-2</v>
      </c>
      <c r="J27" s="1">
        <f t="shared" si="6"/>
        <v>-1.9721678157317502E-2</v>
      </c>
      <c r="K27" s="1">
        <f t="shared" si="6"/>
        <v>-5.4450015669069065E-3</v>
      </c>
      <c r="L27" s="1">
        <f t="shared" si="6"/>
        <v>9.7148229395176426E-4</v>
      </c>
      <c r="M27" s="1">
        <f t="shared" si="6"/>
        <v>-1.8919617674710187E-2</v>
      </c>
      <c r="N27" s="1">
        <f t="shared" si="6"/>
        <v>-8.0115951112503751E-3</v>
      </c>
      <c r="O27" s="1">
        <f t="shared" si="6"/>
        <v>-1.1219837041679781E-2</v>
      </c>
      <c r="P27" s="1">
        <f t="shared" si="6"/>
        <v>6.2650814791600784E-3</v>
      </c>
      <c r="Q27" s="1">
        <f t="shared" si="6"/>
        <v>-1.7636320902538451E-2</v>
      </c>
      <c r="R27" s="1">
        <f t="shared" si="6"/>
        <v>-2.0363326543403299E-2</v>
      </c>
      <c r="S27" s="1">
        <f t="shared" si="6"/>
        <v>-6.0866499529928448E-3</v>
      </c>
      <c r="T27" s="1">
        <f t="shared" si="6"/>
        <v>-3.3596443121278563E-3</v>
      </c>
      <c r="U27" s="1">
        <f t="shared" si="6"/>
        <v>8.0296145408962315E-3</v>
      </c>
      <c r="V27" s="1">
        <f t="shared" si="6"/>
        <v>2.7360153556879167E-3</v>
      </c>
      <c r="W27" s="1">
        <f t="shared" si="6"/>
        <v>-5.4450015669069065E-3</v>
      </c>
      <c r="X27" s="1">
        <f t="shared" si="6"/>
        <v>1.2923064869946623E-3</v>
      </c>
      <c r="Y27" s="1">
        <f t="shared" si="6"/>
        <v>9.7148229395176426E-4</v>
      </c>
      <c r="Z27" s="1">
        <f t="shared" si="6"/>
        <v>-1.6834260419931135E-2</v>
      </c>
      <c r="AA27" s="1">
        <f t="shared" si="6"/>
        <v>-5.4450015669069065E-3</v>
      </c>
      <c r="AB27" s="1">
        <f t="shared" si="6"/>
        <v>-1.5951112503917039E-3</v>
      </c>
      <c r="AC27" s="1">
        <f t="shared" si="6"/>
        <v>-8.9740676903792109E-3</v>
      </c>
      <c r="AD27" s="1">
        <f t="shared" si="6"/>
        <v>-1.2984370103415934E-2</v>
      </c>
      <c r="AE27" s="1">
        <f t="shared" si="6"/>
        <v>-6.5678862425572627E-3</v>
      </c>
      <c r="AF27" s="1">
        <f t="shared" si="6"/>
        <v>2.415191162644876E-3</v>
      </c>
      <c r="AG27" s="1">
        <f t="shared" si="6"/>
        <v>4.9817847069883441E-3</v>
      </c>
      <c r="AH27" s="1">
        <f t="shared" si="6"/>
        <v>-5.4450015669069065E-3</v>
      </c>
      <c r="AI27" s="1">
        <f t="shared" si="6"/>
        <v>-8.3324193042932718E-3</v>
      </c>
      <c r="AJ27" s="1">
        <f t="shared" si="6"/>
        <v>3.5380758382952326E-3</v>
      </c>
      <c r="AK27" s="1">
        <f t="shared" si="6"/>
        <v>-1.1861485427765576E-2</v>
      </c>
      <c r="AL27" s="1">
        <f t="shared" si="6"/>
        <v>2.415191162644876E-3</v>
      </c>
      <c r="AM27" s="1">
        <f t="shared" si="6"/>
        <v>-1.6834260419931135E-2</v>
      </c>
      <c r="AN27" s="1">
        <f t="shared" si="6"/>
        <v>-1.2503133813851515E-2</v>
      </c>
      <c r="AO27" s="1">
        <f t="shared" si="6"/>
        <v>-1.2503133813851515E-2</v>
      </c>
      <c r="AP27" s="1">
        <f t="shared" si="6"/>
        <v>-2.5015277342525816E-2</v>
      </c>
    </row>
    <row r="28" spans="2:42" x14ac:dyDescent="0.45">
      <c r="B28" s="6">
        <f t="shared" si="5"/>
        <v>6.4</v>
      </c>
      <c r="C28" s="3">
        <v>3276</v>
      </c>
      <c r="D28" s="1">
        <f t="shared" si="7"/>
        <v>-2.7031250000000007E-2</v>
      </c>
      <c r="E28" s="1">
        <f t="shared" si="8"/>
        <v>8.4374999999999034E-3</v>
      </c>
      <c r="F28" s="1">
        <f t="shared" si="9"/>
        <v>-8.0815972222222851E-3</v>
      </c>
      <c r="G28" s="1">
        <f t="shared" si="6"/>
        <v>-1.2812500000000115E-2</v>
      </c>
      <c r="H28" s="1">
        <f t="shared" si="6"/>
        <v>-1.7343750000000102E-2</v>
      </c>
      <c r="I28" s="1">
        <f t="shared" si="6"/>
        <v>-1.9062500000000121E-2</v>
      </c>
      <c r="J28" s="1">
        <f t="shared" si="6"/>
        <v>-2.1093750000000105E-2</v>
      </c>
      <c r="K28" s="1">
        <f t="shared" si="6"/>
        <v>-6.2500000000000056E-3</v>
      </c>
      <c r="L28" s="1">
        <f t="shared" si="6"/>
        <v>7.8124999999998335E-4</v>
      </c>
      <c r="M28" s="1">
        <f t="shared" si="6"/>
        <v>-1.9843750000000104E-2</v>
      </c>
      <c r="N28" s="1">
        <f t="shared" si="6"/>
        <v>-1.0000000000000009E-2</v>
      </c>
      <c r="O28" s="1">
        <f t="shared" si="6"/>
        <v>-1.187500000000008E-2</v>
      </c>
      <c r="P28" s="1">
        <f t="shared" si="6"/>
        <v>7.9687499999998856E-3</v>
      </c>
      <c r="Q28" s="1">
        <f t="shared" si="6"/>
        <v>-1.8437500000000051E-2</v>
      </c>
      <c r="R28" s="1">
        <f t="shared" si="6"/>
        <v>-2.1875000000000089E-2</v>
      </c>
      <c r="S28" s="1">
        <f t="shared" si="6"/>
        <v>-7.3437500000000933E-3</v>
      </c>
      <c r="T28" s="1">
        <f t="shared" si="6"/>
        <v>-2.8125000000001066E-3</v>
      </c>
      <c r="U28" s="1">
        <f t="shared" si="6"/>
        <v>8.4374999999999034E-3</v>
      </c>
      <c r="V28" s="1">
        <f t="shared" si="6"/>
        <v>2.1874999999998979E-3</v>
      </c>
      <c r="W28" s="1">
        <f t="shared" si="6"/>
        <v>-5.4687500000000222E-3</v>
      </c>
      <c r="X28" s="1">
        <f t="shared" si="6"/>
        <v>4.6874999999987899E-4</v>
      </c>
      <c r="Y28" s="1">
        <f t="shared" si="6"/>
        <v>1.0937499999999489E-3</v>
      </c>
      <c r="Z28" s="1">
        <f t="shared" si="6"/>
        <v>-1.7968750000000033E-2</v>
      </c>
      <c r="AA28" s="1">
        <f t="shared" si="6"/>
        <v>-5.4687500000000222E-3</v>
      </c>
      <c r="AB28" s="1">
        <f t="shared" si="6"/>
        <v>-2.0312500000001232E-3</v>
      </c>
      <c r="AC28" s="1">
        <f t="shared" si="6"/>
        <v>-9.6875000000000433E-3</v>
      </c>
      <c r="AD28" s="1">
        <f t="shared" si="6"/>
        <v>-1.3906250000000064E-2</v>
      </c>
      <c r="AE28" s="1">
        <f t="shared" si="6"/>
        <v>-7.6562500000000588E-3</v>
      </c>
      <c r="AF28" s="1">
        <f t="shared" si="6"/>
        <v>2.5000000000000022E-3</v>
      </c>
      <c r="AG28" s="1">
        <f t="shared" si="6"/>
        <v>5.31249999999997E-3</v>
      </c>
      <c r="AH28" s="1">
        <f t="shared" si="6"/>
        <v>-6.2500000000000056E-3</v>
      </c>
      <c r="AI28" s="1">
        <f t="shared" si="6"/>
        <v>-1.1718750000000028E-2</v>
      </c>
      <c r="AJ28" s="1">
        <f t="shared" si="6"/>
        <v>3.437499999999899E-3</v>
      </c>
      <c r="AK28" s="1">
        <f t="shared" si="6"/>
        <v>-1.0781249999999992E-2</v>
      </c>
      <c r="AL28" s="1">
        <f t="shared" si="6"/>
        <v>4.8437499999999523E-3</v>
      </c>
      <c r="AM28" s="1">
        <f t="shared" si="6"/>
        <v>-1.5937500000000049E-2</v>
      </c>
      <c r="AN28" s="1">
        <f t="shared" si="6"/>
        <v>-1.2812500000000115E-2</v>
      </c>
      <c r="AO28" s="1">
        <f t="shared" si="6"/>
        <v>-1.2500000000000011E-2</v>
      </c>
      <c r="AP28" s="1">
        <f t="shared" si="6"/>
        <v>-2.7031250000000007E-2</v>
      </c>
    </row>
    <row r="29" spans="2:42" x14ac:dyDescent="0.45">
      <c r="B29" s="6">
        <f t="shared" si="5"/>
        <v>8</v>
      </c>
      <c r="C29" s="3">
        <v>4095</v>
      </c>
      <c r="D29" s="1">
        <f t="shared" si="7"/>
        <v>-3.587499999999999E-2</v>
      </c>
      <c r="E29" s="1">
        <f t="shared" si="8"/>
        <v>1.4750000000000041E-2</v>
      </c>
      <c r="F29" s="1">
        <f t="shared" si="9"/>
        <v>-9.7951388888888689E-3</v>
      </c>
      <c r="G29" s="1">
        <f t="shared" si="6"/>
        <v>-1.6124999999999945E-2</v>
      </c>
      <c r="H29" s="1">
        <f t="shared" si="6"/>
        <v>-2.3124999999999951E-2</v>
      </c>
      <c r="I29" s="1">
        <f t="shared" si="6"/>
        <v>-2.3375000000000035E-2</v>
      </c>
      <c r="J29" s="1">
        <f t="shared" ref="J29:AP29" si="10">(J10-$B10)/$B10</f>
        <v>-2.475000000000005E-2</v>
      </c>
      <c r="K29" s="1">
        <f t="shared" si="10"/>
        <v>-5.8749999999999636E-3</v>
      </c>
      <c r="L29" s="1">
        <f t="shared" si="10"/>
        <v>1.8750000000000711E-3</v>
      </c>
      <c r="M29" s="1">
        <f t="shared" si="10"/>
        <v>-2.4499999999999966E-2</v>
      </c>
      <c r="N29" s="1">
        <f t="shared" si="10"/>
        <v>-1.2000000000000011E-2</v>
      </c>
      <c r="O29" s="1">
        <f t="shared" si="10"/>
        <v>-1.4000000000000012E-2</v>
      </c>
      <c r="P29" s="1">
        <f t="shared" si="10"/>
        <v>1.4750000000000041E-2</v>
      </c>
      <c r="Q29" s="1">
        <f t="shared" si="10"/>
        <v>-2.1499999999999964E-2</v>
      </c>
      <c r="R29" s="1">
        <f t="shared" si="10"/>
        <v>-2.6750000000000052E-2</v>
      </c>
      <c r="S29" s="1">
        <f t="shared" si="10"/>
        <v>-9.2499999999999805E-3</v>
      </c>
      <c r="T29" s="1">
        <f t="shared" si="10"/>
        <v>-5.0000000000000044E-3</v>
      </c>
      <c r="U29" s="1">
        <f t="shared" si="10"/>
        <v>8.6250000000001048E-3</v>
      </c>
      <c r="V29" s="1">
        <f t="shared" si="10"/>
        <v>2.7500000000000302E-3</v>
      </c>
      <c r="W29" s="1">
        <f t="shared" si="10"/>
        <v>-6.4999999999999503E-3</v>
      </c>
      <c r="X29" s="1">
        <f t="shared" si="10"/>
        <v>-8.7499999999995914E-4</v>
      </c>
      <c r="Y29" s="1">
        <f t="shared" si="10"/>
        <v>1.1250000000000426E-3</v>
      </c>
      <c r="Z29" s="1">
        <f t="shared" si="10"/>
        <v>-2.2499999999999964E-2</v>
      </c>
      <c r="AA29" s="1">
        <f t="shared" si="10"/>
        <v>-6.4999999999999503E-3</v>
      </c>
      <c r="AB29" s="1">
        <f t="shared" si="10"/>
        <v>-2.4999999999999467E-3</v>
      </c>
      <c r="AC29" s="1">
        <f t="shared" si="10"/>
        <v>-1.2000000000000011E-2</v>
      </c>
      <c r="AD29" s="1">
        <f t="shared" si="10"/>
        <v>-1.7625000000000002E-2</v>
      </c>
      <c r="AE29" s="1">
        <f t="shared" si="10"/>
        <v>-8.8749999999999662E-3</v>
      </c>
      <c r="AF29" s="1">
        <f t="shared" si="10"/>
        <v>3.6249999999999893E-3</v>
      </c>
      <c r="AG29" s="1">
        <f t="shared" si="10"/>
        <v>9.7499999999999254E-3</v>
      </c>
      <c r="AH29" s="1">
        <f t="shared" si="10"/>
        <v>-7.0000000000000062E-3</v>
      </c>
      <c r="AI29" s="1">
        <f t="shared" si="10"/>
        <v>-1.4750000000000041E-2</v>
      </c>
      <c r="AJ29" s="1">
        <f t="shared" si="10"/>
        <v>7.125000000000048E-3</v>
      </c>
      <c r="AK29" s="1">
        <f t="shared" si="10"/>
        <v>-1.4499999999999957E-2</v>
      </c>
      <c r="AL29" s="1">
        <f t="shared" si="10"/>
        <v>5.5000000000000604E-3</v>
      </c>
      <c r="AM29" s="1">
        <f t="shared" si="10"/>
        <v>-1.9499999999999962E-2</v>
      </c>
      <c r="AN29" s="1">
        <f t="shared" si="10"/>
        <v>-1.6124999999999945E-2</v>
      </c>
      <c r="AO29" s="1">
        <f t="shared" si="10"/>
        <v>-1.6375000000000028E-2</v>
      </c>
      <c r="AP29" s="1">
        <f t="shared" si="10"/>
        <v>-3.587499999999999E-2</v>
      </c>
    </row>
    <row r="30" spans="2:42" x14ac:dyDescent="0.45">
      <c r="B30" s="6">
        <f t="shared" ref="B30:B37" si="11">32*C30/4095</f>
        <v>3.1257631257631258</v>
      </c>
      <c r="C30" s="4">
        <v>400</v>
      </c>
      <c r="D30" s="1">
        <f t="shared" si="7"/>
        <v>-2.5837890625000023E-2</v>
      </c>
      <c r="E30" s="1">
        <f t="shared" si="8"/>
        <v>6.4699999999999952E-2</v>
      </c>
      <c r="F30" s="1">
        <f t="shared" si="9"/>
        <v>1.5645312500000001E-2</v>
      </c>
      <c r="G30" s="1">
        <f t="shared" ref="G30:AP37" si="12">(G11-$B11)/$B11</f>
        <v>2.8548828124999957E-2</v>
      </c>
      <c r="H30" s="1">
        <f t="shared" si="12"/>
        <v>4.2625390624999968E-2</v>
      </c>
      <c r="I30" s="1">
        <f t="shared" si="12"/>
        <v>4.4224999999999931E-2</v>
      </c>
      <c r="J30" s="1">
        <f t="shared" si="12"/>
        <v>4.0385937499999927E-2</v>
      </c>
      <c r="K30" s="1">
        <f t="shared" si="12"/>
        <v>1.9271093749999982E-2</v>
      </c>
      <c r="L30" s="1">
        <f t="shared" si="12"/>
        <v>9.9933593750000105E-3</v>
      </c>
      <c r="M30" s="1">
        <f t="shared" si="12"/>
        <v>4.3265234375000038E-2</v>
      </c>
      <c r="N30" s="1">
        <f t="shared" si="12"/>
        <v>2.8228906249999991E-2</v>
      </c>
      <c r="O30" s="1">
        <f t="shared" si="12"/>
        <v>3.0468359375000028E-2</v>
      </c>
      <c r="P30" s="1">
        <f t="shared" si="12"/>
        <v>-2.5837890625000023E-2</v>
      </c>
      <c r="Q30" s="1">
        <f t="shared" si="12"/>
        <v>3.6226953124999961E-2</v>
      </c>
      <c r="R30" s="1">
        <f t="shared" si="12"/>
        <v>4.3265234375000038E-2</v>
      </c>
      <c r="S30" s="1">
        <f t="shared" si="12"/>
        <v>4.8746093750000052E-3</v>
      </c>
      <c r="T30" s="1">
        <f t="shared" si="12"/>
        <v>-8.8398437499992866E-4</v>
      </c>
      <c r="U30" s="1">
        <f t="shared" si="12"/>
        <v>-9.2019531250000074E-3</v>
      </c>
      <c r="V30" s="1">
        <f t="shared" si="12"/>
        <v>-7.9222656250000061E-3</v>
      </c>
      <c r="W30" s="1">
        <f t="shared" si="12"/>
        <v>-5.6828124999999683E-3</v>
      </c>
      <c r="X30" s="1">
        <f t="shared" si="12"/>
        <v>-2.4414062499999913E-4</v>
      </c>
      <c r="Y30" s="1">
        <f t="shared" si="12"/>
        <v>-7.2824218749999343E-3</v>
      </c>
      <c r="Z30" s="1">
        <f t="shared" si="12"/>
        <v>2.1190625000000057E-2</v>
      </c>
      <c r="AA30" s="1">
        <f t="shared" si="12"/>
        <v>-3.4433593749999309E-3</v>
      </c>
      <c r="AB30" s="1">
        <f t="shared" si="12"/>
        <v>-9.2019531250000074E-3</v>
      </c>
      <c r="AC30" s="1">
        <f t="shared" si="12"/>
        <v>6.4742187499999713E-3</v>
      </c>
      <c r="AD30" s="1">
        <f t="shared" si="12"/>
        <v>1.1912890624999941E-2</v>
      </c>
      <c r="AE30" s="1">
        <f t="shared" si="12"/>
        <v>1.543203124999998E-2</v>
      </c>
      <c r="AF30" s="1">
        <f t="shared" si="12"/>
        <v>7.5781249999965633E-5</v>
      </c>
      <c r="AG30" s="1">
        <f t="shared" si="12"/>
        <v>-7.9222656250000061E-3</v>
      </c>
      <c r="AH30" s="1">
        <f t="shared" si="12"/>
        <v>1.4152343749999978E-2</v>
      </c>
      <c r="AI30" s="1">
        <f t="shared" si="12"/>
        <v>2.6309375000000058E-2</v>
      </c>
      <c r="AJ30" s="1">
        <f t="shared" si="12"/>
        <v>-9.841796874999937E-3</v>
      </c>
      <c r="AK30" s="1">
        <f t="shared" si="12"/>
        <v>2.758906250000006E-2</v>
      </c>
      <c r="AL30" s="1">
        <f t="shared" si="12"/>
        <v>3.5949218750000044E-3</v>
      </c>
      <c r="AM30" s="1">
        <f t="shared" si="12"/>
        <v>3.0468359375000028E-2</v>
      </c>
      <c r="AN30" s="1">
        <f t="shared" si="12"/>
        <v>2.758906250000006E-2</v>
      </c>
      <c r="AO30" s="1">
        <f t="shared" si="12"/>
        <v>2.9828515624999958E-2</v>
      </c>
      <c r="AP30" s="1">
        <f t="shared" si="12"/>
        <v>6.4699999999999952E-2</v>
      </c>
    </row>
    <row r="31" spans="2:42" x14ac:dyDescent="0.45">
      <c r="B31" s="6">
        <f t="shared" si="11"/>
        <v>15.628815628815628</v>
      </c>
      <c r="C31" s="4">
        <v>2000</v>
      </c>
      <c r="D31" s="1">
        <f t="shared" si="7"/>
        <v>-1.0737578124999952E-2</v>
      </c>
      <c r="E31" s="1">
        <f t="shared" si="8"/>
        <v>6.0903125000000419E-3</v>
      </c>
      <c r="F31" s="1">
        <f t="shared" si="9"/>
        <v>-2.7981835937499664E-3</v>
      </c>
      <c r="G31" s="1">
        <f t="shared" si="12"/>
        <v>-6.7705468749999905E-3</v>
      </c>
      <c r="H31" s="1">
        <f t="shared" si="12"/>
        <v>-7.2824218749999343E-3</v>
      </c>
      <c r="I31" s="1">
        <f t="shared" si="12"/>
        <v>-4.0192187499999248E-3</v>
      </c>
      <c r="J31" s="1">
        <f t="shared" si="12"/>
        <v>-5.7467968749999902E-3</v>
      </c>
      <c r="K31" s="1">
        <f t="shared" si="12"/>
        <v>-1.459843749999979E-3</v>
      </c>
      <c r="L31" s="1">
        <f t="shared" si="12"/>
        <v>-3.507343749999981E-3</v>
      </c>
      <c r="M31" s="1">
        <f t="shared" si="12"/>
        <v>-8.6260937499999853E-3</v>
      </c>
      <c r="N31" s="1">
        <f t="shared" si="12"/>
        <v>-2.8674999999999946E-3</v>
      </c>
      <c r="O31" s="1">
        <f t="shared" si="12"/>
        <v>-5.0429687499999251E-3</v>
      </c>
      <c r="P31" s="1">
        <f t="shared" si="12"/>
        <v>1.4834374999999811E-3</v>
      </c>
      <c r="Q31" s="1">
        <f t="shared" si="12"/>
        <v>-8.4341406249999785E-3</v>
      </c>
      <c r="R31" s="1">
        <f t="shared" si="12"/>
        <v>-1.0737578124999952E-2</v>
      </c>
      <c r="S31" s="1">
        <f t="shared" si="12"/>
        <v>-2.0357031250000006E-3</v>
      </c>
      <c r="T31" s="1">
        <f t="shared" si="12"/>
        <v>-2.4835937499999797E-3</v>
      </c>
      <c r="U31" s="1">
        <f t="shared" si="12"/>
        <v>6.0903125000000419E-3</v>
      </c>
      <c r="V31" s="1">
        <f t="shared" si="12"/>
        <v>4.0428125000000403E-3</v>
      </c>
      <c r="W31" s="1">
        <f t="shared" si="12"/>
        <v>9.0757812500007293E-4</v>
      </c>
      <c r="X31" s="1">
        <f t="shared" si="12"/>
        <v>1.6753906249999885E-3</v>
      </c>
      <c r="Y31" s="1">
        <f t="shared" si="12"/>
        <v>-5.0007812499994252E-4</v>
      </c>
      <c r="Z31" s="1">
        <f t="shared" si="12"/>
        <v>-1.5878125000000217E-3</v>
      </c>
      <c r="AA31" s="1">
        <f t="shared" si="12"/>
        <v>-2.9314843749999589E-3</v>
      </c>
      <c r="AB31" s="1">
        <f t="shared" si="12"/>
        <v>-5.0007812499994252E-4</v>
      </c>
      <c r="AC31" s="1">
        <f t="shared" si="12"/>
        <v>5.2367187500005838E-4</v>
      </c>
      <c r="AD31" s="1">
        <f t="shared" si="12"/>
        <v>-2.7395312499999516E-3</v>
      </c>
      <c r="AE31" s="1">
        <f t="shared" si="12"/>
        <v>-6.0027343749999617E-3</v>
      </c>
      <c r="AF31" s="1">
        <f t="shared" si="12"/>
        <v>2.6351562500000246E-3</v>
      </c>
      <c r="AG31" s="1">
        <f t="shared" si="12"/>
        <v>1.8033593750000311E-3</v>
      </c>
      <c r="AH31" s="1">
        <f t="shared" si="12"/>
        <v>-4.0192187499999248E-3</v>
      </c>
      <c r="AI31" s="1">
        <f t="shared" si="12"/>
        <v>-3.8912499999999954E-3</v>
      </c>
      <c r="AJ31" s="1">
        <f t="shared" si="12"/>
        <v>1.0995312500000803E-3</v>
      </c>
      <c r="AK31" s="1">
        <f t="shared" si="12"/>
        <v>-4.2111718749999315E-3</v>
      </c>
      <c r="AL31" s="1">
        <f t="shared" si="12"/>
        <v>9.0757812500007293E-4</v>
      </c>
      <c r="AM31" s="1">
        <f t="shared" si="12"/>
        <v>-3.3153906249999737E-3</v>
      </c>
      <c r="AN31" s="1">
        <f t="shared" si="12"/>
        <v>-7.1544531250000059E-3</v>
      </c>
      <c r="AO31" s="1">
        <f t="shared" si="12"/>
        <v>-7.474374999999942E-3</v>
      </c>
      <c r="AP31" s="1">
        <f t="shared" si="12"/>
        <v>-8.5621093750000207E-3</v>
      </c>
    </row>
    <row r="32" spans="2:42" x14ac:dyDescent="0.45">
      <c r="B32" s="6">
        <f t="shared" si="11"/>
        <v>9.3772893772893777</v>
      </c>
      <c r="C32" s="4">
        <v>1200</v>
      </c>
      <c r="D32" s="1">
        <f t="shared" si="7"/>
        <v>-1.5920312500000072E-2</v>
      </c>
      <c r="E32" s="1">
        <f t="shared" si="8"/>
        <v>8.5003906250000327E-3</v>
      </c>
      <c r="F32" s="1">
        <f t="shared" si="9"/>
        <v>-9.6396484375005787E-4</v>
      </c>
      <c r="G32" s="1">
        <f t="shared" si="12"/>
        <v>-1.950390625000048E-3</v>
      </c>
      <c r="H32" s="1">
        <f t="shared" si="12"/>
        <v>1.355468750000014E-3</v>
      </c>
      <c r="I32" s="1">
        <f t="shared" si="12"/>
        <v>2.8484374999999443E-3</v>
      </c>
      <c r="J32" s="1">
        <f t="shared" si="12"/>
        <v>6.0898437499985953E-4</v>
      </c>
      <c r="K32" s="1">
        <f t="shared" si="12"/>
        <v>-9.9062500000001168E-4</v>
      </c>
      <c r="L32" s="1">
        <f t="shared" si="12"/>
        <v>-3.5500000000001086E-3</v>
      </c>
      <c r="M32" s="1">
        <f t="shared" si="12"/>
        <v>7.1562499999998982E-4</v>
      </c>
      <c r="N32" s="1">
        <f t="shared" si="12"/>
        <v>-3.0859374999975263E-5</v>
      </c>
      <c r="O32" s="1">
        <f t="shared" si="12"/>
        <v>1.8242187499990651E-4</v>
      </c>
      <c r="P32" s="1">
        <f t="shared" si="12"/>
        <v>-1.5920312500000072E-2</v>
      </c>
      <c r="Q32" s="1">
        <f t="shared" si="12"/>
        <v>-1.523828125000095E-3</v>
      </c>
      <c r="R32" s="1">
        <f t="shared" si="12"/>
        <v>-5.6406250000005855E-4</v>
      </c>
      <c r="S32" s="1">
        <f t="shared" si="12"/>
        <v>6.0898437499985953E-4</v>
      </c>
      <c r="T32" s="1">
        <f t="shared" si="12"/>
        <v>-3.1234374999999661E-3</v>
      </c>
      <c r="U32" s="1">
        <f t="shared" si="12"/>
        <v>1.782031249999967E-3</v>
      </c>
      <c r="V32" s="1">
        <f t="shared" si="12"/>
        <v>6.0898437499985953E-4</v>
      </c>
      <c r="W32" s="1">
        <f t="shared" si="12"/>
        <v>-2.376953125000001E-3</v>
      </c>
      <c r="X32" s="1">
        <f t="shared" si="12"/>
        <v>1.782031249999967E-3</v>
      </c>
      <c r="Y32" s="1">
        <f t="shared" si="12"/>
        <v>-2.4835937500001311E-3</v>
      </c>
      <c r="Z32" s="1">
        <f t="shared" si="12"/>
        <v>3.9148437499999219E-3</v>
      </c>
      <c r="AA32" s="1">
        <f t="shared" si="12"/>
        <v>-2.9101562500000841E-3</v>
      </c>
      <c r="AB32" s="1">
        <f t="shared" si="12"/>
        <v>-4.0832031250000022E-3</v>
      </c>
      <c r="AC32" s="1">
        <f t="shared" si="12"/>
        <v>1.5687499999998957E-3</v>
      </c>
      <c r="AD32" s="1">
        <f t="shared" si="12"/>
        <v>9.2890624999987167E-4</v>
      </c>
      <c r="AE32" s="1">
        <f t="shared" si="12"/>
        <v>-3.6566406250000492E-3</v>
      </c>
      <c r="AF32" s="1">
        <f t="shared" si="12"/>
        <v>-2.9101562500000841E-3</v>
      </c>
      <c r="AG32" s="1">
        <f t="shared" si="12"/>
        <v>-7.7089843750000765E-3</v>
      </c>
      <c r="AH32" s="1">
        <f t="shared" si="12"/>
        <v>-3.5078124999998739E-4</v>
      </c>
      <c r="AI32" s="1">
        <f t="shared" si="12"/>
        <v>1.1421874999999429E-3</v>
      </c>
      <c r="AJ32" s="1">
        <f t="shared" si="12"/>
        <v>-8.1355468750000295E-3</v>
      </c>
      <c r="AK32" s="1">
        <f t="shared" si="12"/>
        <v>1.5687499999998957E-3</v>
      </c>
      <c r="AL32" s="1">
        <f t="shared" si="12"/>
        <v>-2.9101562500000841E-3</v>
      </c>
      <c r="AM32" s="1">
        <f t="shared" si="12"/>
        <v>2.7417968750000033E-3</v>
      </c>
      <c r="AN32" s="1">
        <f t="shared" si="12"/>
        <v>1.8242187499990651E-4</v>
      </c>
      <c r="AO32" s="1">
        <f t="shared" si="12"/>
        <v>-5.6406250000005855E-4</v>
      </c>
      <c r="AP32" s="1">
        <f t="shared" si="12"/>
        <v>8.5003906250000327E-3</v>
      </c>
    </row>
    <row r="33" spans="2:42" x14ac:dyDescent="0.45">
      <c r="B33" s="6">
        <f t="shared" si="11"/>
        <v>2.7584859584859585</v>
      </c>
      <c r="C33" s="4">
        <v>353</v>
      </c>
      <c r="D33" s="1">
        <f t="shared" si="7"/>
        <v>-1.9389606940509879E-2</v>
      </c>
      <c r="E33" s="1">
        <f t="shared" si="8"/>
        <v>7.0152266288951839E-2</v>
      </c>
      <c r="F33" s="1">
        <f t="shared" si="9"/>
        <v>2.0024123583569399E-2</v>
      </c>
      <c r="G33" s="1">
        <f t="shared" si="12"/>
        <v>3.7888190509915022E-2</v>
      </c>
      <c r="H33" s="1">
        <f t="shared" si="12"/>
        <v>5.1663863314447535E-2</v>
      </c>
      <c r="I33" s="1">
        <f t="shared" si="12"/>
        <v>5.311393413597728E-2</v>
      </c>
      <c r="J33" s="1">
        <f t="shared" si="12"/>
        <v>5.0938827903682739E-2</v>
      </c>
      <c r="K33" s="1">
        <f t="shared" si="12"/>
        <v>2.8100212464589193E-2</v>
      </c>
      <c r="L33" s="1">
        <f t="shared" si="12"/>
        <v>1.6862163597733779E-2</v>
      </c>
      <c r="M33" s="1">
        <f t="shared" si="12"/>
        <v>5.2388898725212484E-2</v>
      </c>
      <c r="N33" s="1">
        <f t="shared" si="12"/>
        <v>3.8613225920679978E-2</v>
      </c>
      <c r="O33" s="1">
        <f t="shared" si="12"/>
        <v>3.7163155099150226E-2</v>
      </c>
      <c r="P33" s="1">
        <f t="shared" si="12"/>
        <v>-1.9389606940509879E-2</v>
      </c>
      <c r="Q33" s="1">
        <f t="shared" si="12"/>
        <v>4.4413509206798797E-2</v>
      </c>
      <c r="R33" s="1">
        <f t="shared" si="12"/>
        <v>5.1663863314447535E-2</v>
      </c>
      <c r="S33" s="1">
        <f t="shared" si="12"/>
        <v>8.886774079320094E-3</v>
      </c>
      <c r="T33" s="1">
        <f t="shared" si="12"/>
        <v>-9.0120396600573336E-4</v>
      </c>
      <c r="U33" s="1">
        <f t="shared" si="12"/>
        <v>-1.1414217422096353E-2</v>
      </c>
      <c r="V33" s="1">
        <f t="shared" si="12"/>
        <v>-8.8765934844192585E-3</v>
      </c>
      <c r="W33" s="1">
        <f t="shared" si="12"/>
        <v>-4.1638633144476227E-3</v>
      </c>
      <c r="X33" s="1">
        <f t="shared" si="12"/>
        <v>-1.626239376770526E-3</v>
      </c>
      <c r="Y33" s="1">
        <f t="shared" si="12"/>
        <v>-8.1515580736543046E-3</v>
      </c>
      <c r="Z33" s="1">
        <f t="shared" si="12"/>
        <v>2.1937411473087812E-2</v>
      </c>
      <c r="AA33" s="1">
        <f t="shared" si="12"/>
        <v>-2.3512747875354795E-3</v>
      </c>
      <c r="AB33" s="1">
        <f t="shared" si="12"/>
        <v>-9.6016288951840511E-3</v>
      </c>
      <c r="AC33" s="1">
        <f t="shared" si="12"/>
        <v>7.4367032577903483E-3</v>
      </c>
      <c r="AD33" s="1">
        <f t="shared" si="12"/>
        <v>1.2874468838526937E-2</v>
      </c>
      <c r="AE33" s="1">
        <f t="shared" si="12"/>
        <v>1.9399787535410714E-2</v>
      </c>
      <c r="AF33" s="1">
        <f t="shared" si="12"/>
        <v>4.8990793201132516E-3</v>
      </c>
      <c r="AG33" s="1">
        <f t="shared" si="12"/>
        <v>-4.1638633144476227E-3</v>
      </c>
      <c r="AH33" s="1">
        <f t="shared" si="12"/>
        <v>1.9399787535410714E-2</v>
      </c>
      <c r="AI33" s="1">
        <f t="shared" si="12"/>
        <v>3.1362871813031247E-2</v>
      </c>
      <c r="AJ33" s="1">
        <f t="shared" si="12"/>
        <v>-6.3389695467421618E-3</v>
      </c>
      <c r="AK33" s="1">
        <f t="shared" si="12"/>
        <v>3.3175460339943383E-2</v>
      </c>
      <c r="AL33" s="1">
        <f t="shared" si="12"/>
        <v>6.3491501416429981E-3</v>
      </c>
      <c r="AM33" s="1">
        <f t="shared" si="12"/>
        <v>3.4625531161473135E-2</v>
      </c>
      <c r="AN33" s="1">
        <f t="shared" si="12"/>
        <v>3.2087907223796036E-2</v>
      </c>
      <c r="AO33" s="1">
        <f t="shared" si="12"/>
        <v>3.2450424929178434E-2</v>
      </c>
      <c r="AP33" s="1">
        <f t="shared" si="12"/>
        <v>7.0152266288951839E-2</v>
      </c>
    </row>
    <row r="34" spans="2:42" x14ac:dyDescent="0.45">
      <c r="B34" s="6">
        <f t="shared" si="11"/>
        <v>3.9462759462759465</v>
      </c>
      <c r="C34" s="4">
        <v>505</v>
      </c>
      <c r="D34" s="1">
        <f t="shared" si="7"/>
        <v>-2.8704517326732674E-2</v>
      </c>
      <c r="E34" s="1">
        <f t="shared" si="8"/>
        <v>4.7823329207920685E-2</v>
      </c>
      <c r="F34" s="1">
        <f t="shared" si="9"/>
        <v>1.0256265470296975E-2</v>
      </c>
      <c r="G34" s="1">
        <f t="shared" si="12"/>
        <v>1.7668316831683122E-2</v>
      </c>
      <c r="H34" s="1">
        <f t="shared" si="12"/>
        <v>2.8818069306930545E-2</v>
      </c>
      <c r="I34" s="1">
        <f t="shared" si="12"/>
        <v>2.9831683168316796E-2</v>
      </c>
      <c r="J34" s="1">
        <f t="shared" si="12"/>
        <v>2.653743811881187E-2</v>
      </c>
      <c r="K34" s="1">
        <f t="shared" si="12"/>
        <v>1.1840037128712793E-2</v>
      </c>
      <c r="L34" s="1">
        <f t="shared" si="12"/>
        <v>4.9981435643564357E-3</v>
      </c>
      <c r="M34" s="1">
        <f t="shared" si="12"/>
        <v>2.9324876237623781E-2</v>
      </c>
      <c r="N34" s="1">
        <f t="shared" si="12"/>
        <v>1.8175123762376136E-2</v>
      </c>
      <c r="O34" s="1">
        <f t="shared" si="12"/>
        <v>1.918873762376239E-2</v>
      </c>
      <c r="P34" s="1">
        <f t="shared" si="12"/>
        <v>-2.8704517326732674E-2</v>
      </c>
      <c r="Q34" s="1">
        <f t="shared" si="12"/>
        <v>2.3243193069306944E-2</v>
      </c>
      <c r="R34" s="1">
        <f t="shared" si="12"/>
        <v>2.8311262376237531E-2</v>
      </c>
      <c r="S34" s="1">
        <f t="shared" si="12"/>
        <v>7.5321782178217282E-3</v>
      </c>
      <c r="T34" s="1">
        <f t="shared" si="12"/>
        <v>-5.7673267326738763E-4</v>
      </c>
      <c r="U34" s="1">
        <f t="shared" si="12"/>
        <v>-6.151608910891098E-3</v>
      </c>
      <c r="V34" s="1">
        <f t="shared" si="12"/>
        <v>-4.3777846534654389E-3</v>
      </c>
      <c r="W34" s="1">
        <f t="shared" si="12"/>
        <v>-2.3505569306931599E-3</v>
      </c>
      <c r="X34" s="1">
        <f t="shared" si="12"/>
        <v>1.703898514851398E-3</v>
      </c>
      <c r="Y34" s="1">
        <f t="shared" si="12"/>
        <v>-4.8845915841584523E-3</v>
      </c>
      <c r="Z34" s="1">
        <f t="shared" si="12"/>
        <v>1.7668316831683122E-2</v>
      </c>
      <c r="AA34" s="1">
        <f t="shared" si="12"/>
        <v>-1.0835396039604011E-3</v>
      </c>
      <c r="AB34" s="1">
        <f t="shared" si="12"/>
        <v>-6.6584158415842242E-3</v>
      </c>
      <c r="AC34" s="1">
        <f t="shared" si="12"/>
        <v>6.2651608910890815E-3</v>
      </c>
      <c r="AD34" s="1">
        <f t="shared" si="12"/>
        <v>1.0826423267326654E-2</v>
      </c>
      <c r="AE34" s="1">
        <f t="shared" si="12"/>
        <v>8.0389851485148534E-3</v>
      </c>
      <c r="AF34" s="1">
        <f t="shared" si="12"/>
        <v>-1.0835396039604011E-3</v>
      </c>
      <c r="AG34" s="1">
        <f t="shared" si="12"/>
        <v>-1.0206064356435656E-2</v>
      </c>
      <c r="AH34" s="1">
        <f t="shared" si="12"/>
        <v>1.031961633663364E-2</v>
      </c>
      <c r="AI34" s="1">
        <f t="shared" si="12"/>
        <v>1.868193069306915E-2</v>
      </c>
      <c r="AJ34" s="1">
        <f t="shared" si="12"/>
        <v>-1.1726485148514923E-2</v>
      </c>
      <c r="AK34" s="1">
        <f t="shared" si="12"/>
        <v>2.0455754950495033E-2</v>
      </c>
      <c r="AL34" s="1">
        <f t="shared" si="12"/>
        <v>-5.7673267326738763E-4</v>
      </c>
      <c r="AM34" s="1">
        <f t="shared" si="12"/>
        <v>2.1469368811881061E-2</v>
      </c>
      <c r="AN34" s="1">
        <f t="shared" si="12"/>
        <v>1.868193069306915E-2</v>
      </c>
      <c r="AO34" s="1">
        <f t="shared" si="12"/>
        <v>2.0202351485148415E-2</v>
      </c>
      <c r="AP34" s="1">
        <f t="shared" si="12"/>
        <v>4.7823329207920685E-2</v>
      </c>
    </row>
    <row r="35" spans="2:42" x14ac:dyDescent="0.45">
      <c r="B35" s="6">
        <f t="shared" si="11"/>
        <v>24.935775335775336</v>
      </c>
      <c r="C35" s="4">
        <v>3191</v>
      </c>
      <c r="D35" s="1">
        <f t="shared" si="7"/>
        <v>-2.2929920087746768E-2</v>
      </c>
      <c r="E35" s="1">
        <f t="shared" si="8"/>
        <v>1.8656915935443417E-2</v>
      </c>
      <c r="F35" s="1">
        <f t="shared" si="9"/>
        <v>-4.7966693434660099E-3</v>
      </c>
      <c r="G35" s="1">
        <f t="shared" si="12"/>
        <v>-1.0417776559072466E-2</v>
      </c>
      <c r="H35" s="1">
        <f t="shared" si="12"/>
        <v>-1.6433230178627408E-2</v>
      </c>
      <c r="I35" s="1">
        <f t="shared" si="12"/>
        <v>-9.7360251488561103E-3</v>
      </c>
      <c r="J35" s="1">
        <f t="shared" si="12"/>
        <v>-1.206200054841737E-2</v>
      </c>
      <c r="K35" s="1">
        <f t="shared" si="12"/>
        <v>-1.9560384675650177E-3</v>
      </c>
      <c r="L35" s="1">
        <f t="shared" si="12"/>
        <v>-3.9210866499529628E-3</v>
      </c>
      <c r="M35" s="1">
        <f t="shared" si="12"/>
        <v>-1.7395702757756242E-2</v>
      </c>
      <c r="N35" s="1">
        <f t="shared" si="12"/>
        <v>-5.0038683014729038E-3</v>
      </c>
      <c r="O35" s="1">
        <f t="shared" si="12"/>
        <v>-1.1219837041679781E-2</v>
      </c>
      <c r="P35" s="1">
        <f t="shared" si="12"/>
        <v>1.8656915935443417E-2</v>
      </c>
      <c r="Q35" s="1">
        <f t="shared" si="12"/>
        <v>-1.4468181996239461E-2</v>
      </c>
      <c r="R35" s="1">
        <f t="shared" si="12"/>
        <v>-2.0684150736446194E-2</v>
      </c>
      <c r="S35" s="1">
        <f t="shared" si="12"/>
        <v>-3.3997473362582719E-3</v>
      </c>
      <c r="T35" s="1">
        <f t="shared" si="12"/>
        <v>-3.1190261673456473E-3</v>
      </c>
      <c r="U35" s="1">
        <f t="shared" si="12"/>
        <v>7.3879661548104346E-3</v>
      </c>
      <c r="V35" s="1">
        <f t="shared" si="12"/>
        <v>3.2172516452521924E-3</v>
      </c>
      <c r="W35" s="1">
        <f t="shared" si="12"/>
        <v>2.5756032591663963E-3</v>
      </c>
      <c r="X35" s="1">
        <f t="shared" si="12"/>
        <v>-1.4346991538703262E-3</v>
      </c>
      <c r="Y35" s="1">
        <f t="shared" si="12"/>
        <v>-2.4773777812598513E-3</v>
      </c>
      <c r="Z35" s="1">
        <f t="shared" si="12"/>
        <v>-9.2547888592918355E-3</v>
      </c>
      <c r="AA35" s="1">
        <f t="shared" si="12"/>
        <v>-3.2794382638671672E-3</v>
      </c>
      <c r="AB35" s="1">
        <f t="shared" si="12"/>
        <v>1.3324095111250779E-3</v>
      </c>
      <c r="AC35" s="1">
        <f t="shared" si="12"/>
        <v>-3.1992322156063359E-3</v>
      </c>
      <c r="AD35" s="1">
        <f t="shared" si="12"/>
        <v>-7.2496376527734739E-3</v>
      </c>
      <c r="AE35" s="1">
        <f t="shared" si="12"/>
        <v>-8.0115951112503751E-3</v>
      </c>
      <c r="AF35" s="1">
        <f t="shared" si="12"/>
        <v>1.0596208085239698E-2</v>
      </c>
      <c r="AG35" s="1">
        <f t="shared" si="12"/>
        <v>1.376434699153869E-2</v>
      </c>
      <c r="AH35" s="1">
        <f t="shared" si="12"/>
        <v>-6.6079892666875356E-3</v>
      </c>
      <c r="AI35" s="1">
        <f t="shared" si="12"/>
        <v>-7.851183014728997E-3</v>
      </c>
      <c r="AJ35" s="1">
        <f t="shared" si="12"/>
        <v>1.1799298809150744E-2</v>
      </c>
      <c r="AK35" s="1">
        <f t="shared" si="12"/>
        <v>-9.2948918834221093E-3</v>
      </c>
      <c r="AL35" s="1">
        <f t="shared" si="12"/>
        <v>5.0619907552491754E-3</v>
      </c>
      <c r="AM35" s="1">
        <f t="shared" si="12"/>
        <v>-8.8136555938576906E-3</v>
      </c>
      <c r="AN35" s="1">
        <f t="shared" si="12"/>
        <v>-1.2823958006894414E-2</v>
      </c>
      <c r="AO35" s="1">
        <f t="shared" si="12"/>
        <v>-1.4027048730805458E-2</v>
      </c>
      <c r="AP35" s="1">
        <f t="shared" si="12"/>
        <v>-2.2929920087746768E-2</v>
      </c>
    </row>
    <row r="36" spans="2:42" x14ac:dyDescent="0.45">
      <c r="B36" s="6">
        <f t="shared" si="11"/>
        <v>25.6</v>
      </c>
      <c r="C36" s="4">
        <v>3276</v>
      </c>
      <c r="D36" s="1">
        <f t="shared" si="7"/>
        <v>-2.3671875000000064E-2</v>
      </c>
      <c r="E36" s="1">
        <f t="shared" si="8"/>
        <v>2.1132812499999876E-2</v>
      </c>
      <c r="F36" s="1">
        <f t="shared" si="9"/>
        <v>-5.1074218750000585E-3</v>
      </c>
      <c r="G36" s="1">
        <f t="shared" si="12"/>
        <v>-1.0468750000000027E-2</v>
      </c>
      <c r="H36" s="1">
        <f t="shared" si="12"/>
        <v>-1.8125000000000085E-2</v>
      </c>
      <c r="I36" s="1">
        <f t="shared" si="12"/>
        <v>-1.039062500000007E-2</v>
      </c>
      <c r="J36" s="1">
        <f t="shared" si="12"/>
        <v>-1.2890625000000072E-2</v>
      </c>
      <c r="K36" s="1">
        <f t="shared" si="12"/>
        <v>-2.5000000000000022E-3</v>
      </c>
      <c r="L36" s="1">
        <f t="shared" si="12"/>
        <v>-3.9453125000001033E-3</v>
      </c>
      <c r="M36" s="1">
        <f t="shared" si="12"/>
        <v>-1.8203125000000042E-2</v>
      </c>
      <c r="N36" s="1">
        <f t="shared" si="12"/>
        <v>-5.8593750000000833E-3</v>
      </c>
      <c r="O36" s="1">
        <f t="shared" si="12"/>
        <v>-1.2031249999999993E-2</v>
      </c>
      <c r="P36" s="1">
        <f t="shared" si="12"/>
        <v>2.1132812499999876E-2</v>
      </c>
      <c r="Q36" s="1">
        <f t="shared" si="12"/>
        <v>-1.5859375000000092E-2</v>
      </c>
      <c r="R36" s="1">
        <f t="shared" si="12"/>
        <v>-2.2812500000000124E-2</v>
      </c>
      <c r="S36" s="1">
        <f t="shared" si="12"/>
        <v>-3.0078125000000677E-3</v>
      </c>
      <c r="T36" s="1">
        <f t="shared" si="12"/>
        <v>-3.7890625000000511E-3</v>
      </c>
      <c r="U36" s="1">
        <f t="shared" si="12"/>
        <v>7.22656249999995E-3</v>
      </c>
      <c r="V36" s="1">
        <f t="shared" si="12"/>
        <v>3.1640624999999811E-3</v>
      </c>
      <c r="W36" s="1">
        <f t="shared" si="12"/>
        <v>3.0078124999999289E-3</v>
      </c>
      <c r="X36" s="1">
        <f t="shared" si="12"/>
        <v>-1.6015625000000144E-3</v>
      </c>
      <c r="Y36" s="1">
        <f t="shared" si="12"/>
        <v>-2.4609375000000933E-3</v>
      </c>
      <c r="Z36" s="1">
        <f t="shared" si="12"/>
        <v>-1.0546875000000122E-2</v>
      </c>
      <c r="AA36" s="1">
        <f t="shared" si="12"/>
        <v>-4.2187500000000211E-3</v>
      </c>
      <c r="AB36" s="1">
        <f t="shared" si="12"/>
        <v>9.7656249999994449E-4</v>
      </c>
      <c r="AC36" s="1">
        <f t="shared" si="12"/>
        <v>-3.7890625000000511E-3</v>
      </c>
      <c r="AD36" s="1">
        <f t="shared" si="12"/>
        <v>-8.5546875000000466E-3</v>
      </c>
      <c r="AE36" s="1">
        <f t="shared" si="12"/>
        <v>-7.6953125000001066E-3</v>
      </c>
      <c r="AF36" s="1">
        <f t="shared" si="12"/>
        <v>1.1523437499999928E-2</v>
      </c>
      <c r="AG36" s="1">
        <f t="shared" si="12"/>
        <v>1.4218749999999891E-2</v>
      </c>
      <c r="AH36" s="1">
        <f t="shared" si="12"/>
        <v>-6.1328125000000011E-3</v>
      </c>
      <c r="AI36" s="1">
        <f t="shared" si="12"/>
        <v>-8.28124999999999E-3</v>
      </c>
      <c r="AJ36" s="1">
        <f t="shared" si="12"/>
        <v>1.2656249999999925E-2</v>
      </c>
      <c r="AK36" s="1">
        <f t="shared" si="12"/>
        <v>-9.5312499999999911E-3</v>
      </c>
      <c r="AL36" s="1">
        <f t="shared" si="12"/>
        <v>5.6640624999999833E-3</v>
      </c>
      <c r="AM36" s="1">
        <f t="shared" si="12"/>
        <v>-9.0234375000000644E-3</v>
      </c>
      <c r="AN36" s="1">
        <f t="shared" si="12"/>
        <v>-1.3671875000000056E-2</v>
      </c>
      <c r="AO36" s="1">
        <f t="shared" si="12"/>
        <v>-1.4375000000000082E-2</v>
      </c>
      <c r="AP36" s="1">
        <f t="shared" si="12"/>
        <v>-2.3671875000000064E-2</v>
      </c>
    </row>
    <row r="37" spans="2:42" x14ac:dyDescent="0.45">
      <c r="B37" s="6">
        <f t="shared" si="11"/>
        <v>32</v>
      </c>
      <c r="C37" s="4">
        <v>4095</v>
      </c>
      <c r="D37" s="1">
        <f t="shared" si="7"/>
        <v>-3.1093750000000031E-2</v>
      </c>
      <c r="E37" s="1">
        <f t="shared" si="8"/>
        <v>2.9500000000000082E-2</v>
      </c>
      <c r="F37" s="1">
        <f t="shared" si="9"/>
        <v>-6.6380208333333317E-3</v>
      </c>
      <c r="G37" s="1">
        <f t="shared" si="12"/>
        <v>-1.2468750000000028E-2</v>
      </c>
      <c r="H37" s="1">
        <f t="shared" si="12"/>
        <v>-2.1499999999999964E-2</v>
      </c>
      <c r="I37" s="1">
        <f t="shared" si="12"/>
        <v>-1.2125000000000052E-2</v>
      </c>
      <c r="J37" s="1">
        <f t="shared" ref="J37:AP37" si="13">(J18-$B18)/$B18</f>
        <v>-1.5249999999999986E-2</v>
      </c>
      <c r="K37" s="1">
        <f t="shared" si="13"/>
        <v>-2.8749999999999609E-3</v>
      </c>
      <c r="L37" s="1">
        <f t="shared" si="13"/>
        <v>-4.5625000000000249E-3</v>
      </c>
      <c r="M37" s="1">
        <f t="shared" si="13"/>
        <v>-2.2750000000000048E-2</v>
      </c>
      <c r="N37" s="1">
        <f t="shared" si="13"/>
        <v>-6.968749999999968E-3</v>
      </c>
      <c r="O37" s="1">
        <f t="shared" si="13"/>
        <v>-1.5750000000000042E-2</v>
      </c>
      <c r="P37" s="1">
        <f t="shared" si="13"/>
        <v>2.9500000000000082E-2</v>
      </c>
      <c r="Q37" s="1">
        <f t="shared" si="13"/>
        <v>-1.8249999999999988E-2</v>
      </c>
      <c r="R37" s="1">
        <f t="shared" si="13"/>
        <v>-2.6656250000000048E-2</v>
      </c>
      <c r="S37" s="1">
        <f t="shared" si="13"/>
        <v>-6.0000000000000053E-3</v>
      </c>
      <c r="T37" s="1">
        <f t="shared" si="13"/>
        <v>-4.8124999999999973E-3</v>
      </c>
      <c r="U37" s="1">
        <f t="shared" si="13"/>
        <v>7.1874999999999023E-3</v>
      </c>
      <c r="V37" s="1">
        <f t="shared" si="13"/>
        <v>1.7812500000000675E-3</v>
      </c>
      <c r="W37" s="1">
        <f t="shared" si="13"/>
        <v>3.5000000000000586E-3</v>
      </c>
      <c r="X37" s="1">
        <f t="shared" si="13"/>
        <v>-4.3437499999999796E-3</v>
      </c>
      <c r="Y37" s="1">
        <f t="shared" si="13"/>
        <v>-4.3437499999999796E-3</v>
      </c>
      <c r="Z37" s="1">
        <f t="shared" si="13"/>
        <v>-1.4718750000000003E-2</v>
      </c>
      <c r="AA37" s="1">
        <f t="shared" si="13"/>
        <v>-5.5937499999999529E-3</v>
      </c>
      <c r="AB37" s="1">
        <f t="shared" si="13"/>
        <v>1.6875000000000639E-3</v>
      </c>
      <c r="AC37" s="1">
        <f t="shared" si="13"/>
        <v>-5.6562500000000293E-3</v>
      </c>
      <c r="AD37" s="1">
        <f t="shared" si="13"/>
        <v>-1.128125000000002E-2</v>
      </c>
      <c r="AE37" s="1">
        <f t="shared" si="13"/>
        <v>-9.1562499999999769E-3</v>
      </c>
      <c r="AF37" s="1">
        <f t="shared" si="13"/>
        <v>1.3656249999999925E-2</v>
      </c>
      <c r="AG37" s="1">
        <f t="shared" si="13"/>
        <v>1.9437499999999996E-2</v>
      </c>
      <c r="AH37" s="1">
        <f t="shared" si="13"/>
        <v>-8.5312499999999902E-3</v>
      </c>
      <c r="AI37" s="1">
        <f t="shared" si="13"/>
        <v>-1.1312499999999948E-2</v>
      </c>
      <c r="AJ37" s="1">
        <f t="shared" si="13"/>
        <v>1.6874999999999973E-2</v>
      </c>
      <c r="AK37" s="1">
        <f t="shared" si="13"/>
        <v>-1.2968749999999973E-2</v>
      </c>
      <c r="AL37" s="1">
        <f t="shared" si="13"/>
        <v>6.0937500000000089E-3</v>
      </c>
      <c r="AM37" s="1">
        <f t="shared" si="13"/>
        <v>-1.2812500000000004E-2</v>
      </c>
      <c r="AN37" s="1">
        <f t="shared" si="13"/>
        <v>-1.7843750000000047E-2</v>
      </c>
      <c r="AO37" s="1">
        <f t="shared" si="13"/>
        <v>-1.9062499999999982E-2</v>
      </c>
      <c r="AP37" s="1">
        <f t="shared" si="13"/>
        <v>-3.1093750000000031E-2</v>
      </c>
    </row>
    <row r="38" spans="2:42" x14ac:dyDescent="0.45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2:42" x14ac:dyDescent="0.45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2:42" x14ac:dyDescent="0.45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800, 3000</vt:lpstr>
      <vt:lpstr>400, 3000</vt:lpstr>
      <vt:lpstr>400, 1500</vt:lpstr>
      <vt:lpstr>400, 2000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2025-05-28T08:04:59Z</dcterms:created>
  <dcterms:modified xsi:type="dcterms:W3CDTF">2025-05-29T08:56:30Z</dcterms:modified>
</cp:coreProperties>
</file>