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C84283AE-8AC1-4AA9-A5C5-4F541D0A091F}" xr6:coauthVersionLast="47" xr6:coauthVersionMax="47" xr10:uidLastSave="{00000000-0000-0000-0000-000000000000}"/>
  <bookViews>
    <workbookView xWindow="71880" yWindow="10515" windowWidth="29040" windowHeight="15720" activeTab="1" xr2:uid="{A8ED1A9E-2F63-4634-8631-D0F8C00F8D5E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2" l="1"/>
  <c r="AC6" i="2"/>
  <c r="AB6" i="2"/>
  <c r="AD5" i="2"/>
  <c r="AC5" i="2"/>
  <c r="AB5" i="2"/>
  <c r="AD4" i="2"/>
  <c r="AC4" i="2"/>
  <c r="AB4" i="2"/>
  <c r="C6" i="2"/>
  <c r="S13" i="2" s="1"/>
  <c r="C5" i="2"/>
  <c r="C4" i="2"/>
  <c r="U11" i="2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C7" i="1"/>
  <c r="C8" i="1"/>
  <c r="C5" i="1"/>
  <c r="C6" i="1"/>
  <c r="C4" i="1"/>
  <c r="T13" i="1" s="1"/>
  <c r="D13" i="2" l="1"/>
  <c r="I13" i="2"/>
  <c r="J13" i="2"/>
  <c r="M12" i="2"/>
  <c r="O12" i="2"/>
  <c r="O11" i="2"/>
  <c r="H13" i="2"/>
  <c r="G12" i="2"/>
  <c r="L12" i="2"/>
  <c r="J11" i="2"/>
  <c r="P12" i="2"/>
  <c r="P11" i="2"/>
  <c r="E13" i="2"/>
  <c r="F13" i="2"/>
  <c r="G13" i="2"/>
  <c r="F12" i="2"/>
  <c r="K11" i="2"/>
  <c r="L11" i="2"/>
  <c r="V11" i="2"/>
  <c r="H11" i="2"/>
  <c r="L13" i="2"/>
  <c r="R12" i="2"/>
  <c r="U13" i="2"/>
  <c r="W11" i="2"/>
  <c r="X11" i="2"/>
  <c r="W13" i="2"/>
  <c r="Y11" i="2"/>
  <c r="X13" i="2"/>
  <c r="N12" i="2"/>
  <c r="M11" i="2"/>
  <c r="Z11" i="2"/>
  <c r="T12" i="2"/>
  <c r="Y13" i="2"/>
  <c r="D12" i="2"/>
  <c r="I11" i="2"/>
  <c r="Q12" i="2"/>
  <c r="T13" i="2"/>
  <c r="AA11" i="2"/>
  <c r="U12" i="2"/>
  <c r="E12" i="2"/>
  <c r="K13" i="2"/>
  <c r="N11" i="2"/>
  <c r="S12" i="2"/>
  <c r="V13" i="2"/>
  <c r="Z13" i="2"/>
  <c r="AA13" i="2"/>
  <c r="H12" i="2"/>
  <c r="V12" i="2"/>
  <c r="J12" i="2"/>
  <c r="N13" i="2"/>
  <c r="K12" i="2"/>
  <c r="D11" i="2"/>
  <c r="Z12" i="2"/>
  <c r="P13" i="2"/>
  <c r="S11" i="2"/>
  <c r="O13" i="2"/>
  <c r="E11" i="2"/>
  <c r="AA12" i="2"/>
  <c r="Q13" i="2"/>
  <c r="Q11" i="2"/>
  <c r="R11" i="2"/>
  <c r="Y12" i="2"/>
  <c r="F11" i="2"/>
  <c r="T11" i="2"/>
  <c r="R13" i="2"/>
  <c r="I12" i="2"/>
  <c r="W12" i="2"/>
  <c r="M13" i="2"/>
  <c r="X12" i="2"/>
  <c r="G11" i="2"/>
  <c r="X13" i="1"/>
  <c r="AI13" i="1"/>
  <c r="L13" i="1"/>
  <c r="J13" i="1"/>
  <c r="AE13" i="1"/>
  <c r="AC13" i="1"/>
  <c r="AB13" i="1"/>
  <c r="F13" i="1"/>
  <c r="D13" i="1"/>
  <c r="M13" i="1"/>
  <c r="AH13" i="1"/>
  <c r="G13" i="1"/>
  <c r="AA13" i="1"/>
  <c r="E13" i="1"/>
  <c r="R13" i="1"/>
  <c r="AG13" i="1"/>
  <c r="Z13" i="1"/>
  <c r="Y13" i="1"/>
  <c r="S13" i="1"/>
  <c r="AM13" i="1"/>
  <c r="Q13" i="1"/>
  <c r="AL13" i="1"/>
  <c r="P13" i="1"/>
  <c r="AK13" i="1"/>
  <c r="O13" i="1"/>
  <c r="AJ13" i="1"/>
  <c r="N13" i="1"/>
  <c r="W13" i="1"/>
  <c r="V13" i="1"/>
  <c r="U13" i="1"/>
  <c r="K13" i="1"/>
  <c r="AF13" i="1"/>
  <c r="I13" i="1"/>
  <c r="AD13" i="1"/>
  <c r="H13" i="1"/>
  <c r="AD12" i="2" l="1"/>
  <c r="AC12" i="2"/>
  <c r="AB12" i="2"/>
  <c r="AD11" i="2"/>
  <c r="AB11" i="2"/>
  <c r="AC11" i="2"/>
  <c r="AC13" i="2"/>
  <c r="AB13" i="2"/>
  <c r="AD13" i="2"/>
</calcChain>
</file>

<file path=xl/sharedStrings.xml><?xml version="1.0" encoding="utf-8"?>
<sst xmlns="http://schemas.openxmlformats.org/spreadsheetml/2006/main" count="148" uniqueCount="22">
  <si>
    <t>Io_1</t>
    <phoneticPr fontId="2" type="noConversion"/>
  </si>
  <si>
    <t>Io_2</t>
  </si>
  <si>
    <t>Io_3</t>
  </si>
  <si>
    <t>Io_4</t>
  </si>
  <si>
    <t>Io_5</t>
  </si>
  <si>
    <t>Io_6</t>
  </si>
  <si>
    <t>Io_7</t>
  </si>
  <si>
    <t>Io_8</t>
  </si>
  <si>
    <t>Io_9</t>
  </si>
  <si>
    <t>Io_10</t>
  </si>
  <si>
    <t>Io_11</t>
  </si>
  <si>
    <t>Io_12</t>
  </si>
  <si>
    <t>VREF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</si>
  <si>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</si>
  <si>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</si>
  <si>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</si>
  <si>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Ideal</t>
    <phoneticPr fontId="2" type="noConversion"/>
  </si>
  <si>
    <t>Iout [mA]</t>
    <phoneticPr fontId="2" type="noConversion"/>
  </si>
  <si>
    <t>오차 [%]</t>
    <phoneticPr fontId="2" type="noConversion"/>
  </si>
  <si>
    <t>min</t>
    <phoneticPr fontId="2" type="noConversion"/>
  </si>
  <si>
    <t>max</t>
    <phoneticPr fontId="2" type="noConversion"/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</si>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</sst>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10" fontId="0" fillId="0" borderId="18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10" fontId="0" fillId="0" borderId="22" xfId="1" applyNumberFormat="1" applyFont="1" applyBorder="1" applyAlignment="1">
      <alignment horizontal="center" vertical="center"/>
    </xf>
    <xf numFmtId="10" fontId="0" fillId="0" borderId="25" xfId="1" applyNumberFormat="1" applyFont="1" applyBorder="1" applyAlignment="1">
      <alignment horizontal="center" vertical="center"/>
    </xf>
    <xf numFmtId="10" fontId="0" fillId="0" borderId="23" xfId="1" applyNumberFormat="1" applyFont="1" applyBorder="1" applyAlignment="1">
      <alignment horizontal="center" vertical="center"/>
    </xf>
    <xf numFmtId="10" fontId="0" fillId="0" borderId="26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27" xfId="1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15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4" borderId="5" xfId="0" applyNumberFormat="1" applyFill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38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6" fontId="0" fillId="0" borderId="40" xfId="0" applyNumberFormat="1" applyBorder="1" applyAlignment="1">
      <alignment horizontal="center"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(2)'!$D$9:$D$10</c:f>
              <c:strCache>
                <c:ptCount val="2"/>
                <c:pt idx="0">
                  <c:v>#1</c:v>
                </c:pt>
                <c:pt idx="1">
                  <c:v>Io_1</c:v>
                </c:pt>
              </c:strCache>
            </c:strRef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(2)'!$D$11:$D$13</c:f>
              <c:numCache>
                <c:formatCode>0.00%</c:formatCode>
                <c:ptCount val="3"/>
                <c:pt idx="0">
                  <c:v>-1.6368626062322974E-2</c:v>
                </c:pt>
                <c:pt idx="1">
                  <c:v>-8.6856435643564277E-3</c:v>
                </c:pt>
                <c:pt idx="2">
                  <c:v>4.6074898151049395E-3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C-4132-92D3-3EC06C496DED}"/>
            </c:ext>
          </c:extLst>
        </c:ser>
        <c:ser>
          <c:idx val="1"/>
          <c:order val="1"/>
          <c:tx>
            <c:strRef>
              <c:f>'Sheet1 (2)'!$E$9:$E$10</c:f>
              <c:strCache>
                <c:ptCount val="2"/>
                <c:pt idx="0">
                  <c:v>#1</c:v>
                </c:pt>
                <c:pt idx="1">
                  <c:v>Io_2</c:v>
                </c:pt>
              </c:strCache>
            </c:strRef>
          </c:tx>
          <c:spPr>
            <a:ln w="19050" cap="rnd">
              <a:solidFill>
                <a:schemeClr val="accent2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(2)'!$E$11:$E$13</c:f>
              <c:numCache>
                <c:formatCode>0.00%</c:formatCode>
                <c:ptCount val="3"/>
                <c:pt idx="0">
                  <c:v>-2.0235481586402294E-2</c:v>
                </c:pt>
                <c:pt idx="1">
                  <c:v>-1.1050742574257458E-2</c:v>
                </c:pt>
                <c:pt idx="2">
                  <c:v>-7.9305076778438794E-4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C-4132-92D3-3EC06C496DED}"/>
            </c:ext>
          </c:extLst>
        </c:ser>
        <c:ser>
          <c:idx val="2"/>
          <c:order val="2"/>
          <c:tx>
            <c:strRef>
              <c:f>'Sheet1 (2)'!$F$9:$F$10</c:f>
              <c:strCache>
                <c:ptCount val="2"/>
                <c:pt idx="0">
                  <c:v>#1</c:v>
                </c:pt>
                <c:pt idx="1">
                  <c:v>Io_3</c:v>
                </c:pt>
              </c:strCache>
            </c:strRef>
          </c:tx>
          <c:spPr>
            <a:ln w="19050" cap="rnd">
              <a:solidFill>
                <a:schemeClr val="accent3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3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(2)'!$F$11:$F$13</c:f>
              <c:numCache>
                <c:formatCode>0.00%</c:formatCode>
                <c:ptCount val="3"/>
                <c:pt idx="0">
                  <c:v>-3.1836048158640266E-2</c:v>
                </c:pt>
                <c:pt idx="1">
                  <c:v>-2.4227722772277308E-2</c:v>
                </c:pt>
                <c:pt idx="2">
                  <c:v>-5.8192964587904057E-3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EC-4132-92D3-3EC06C496DED}"/>
            </c:ext>
          </c:extLst>
        </c:ser>
        <c:ser>
          <c:idx val="3"/>
          <c:order val="3"/>
          <c:tx>
            <c:strRef>
              <c:f>'Sheet1 (2)'!$G$9:$G$10</c:f>
              <c:strCache>
                <c:ptCount val="2"/>
                <c:pt idx="0">
                  <c:v>#1</c:v>
                </c:pt>
                <c:pt idx="1">
                  <c:v>Io_4</c:v>
                </c:pt>
              </c:strCache>
            </c:strRef>
          </c:tx>
          <c:spPr>
            <a:ln w="19050" cap="rnd">
              <a:solidFill>
                <a:schemeClr val="accent4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4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(2)'!$G$11:$G$13</c:f>
              <c:numCache>
                <c:formatCode>0.00%</c:formatCode>
                <c:ptCount val="3"/>
                <c:pt idx="0">
                  <c:v>-2.4102337110481618E-2</c:v>
                </c:pt>
                <c:pt idx="1">
                  <c:v>-1.9159653465346572E-2</c:v>
                </c:pt>
                <c:pt idx="2">
                  <c:v>-2.5041131306800333E-3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EC-4132-92D3-3EC06C496DED}"/>
            </c:ext>
          </c:extLst>
        </c:ser>
        <c:ser>
          <c:idx val="4"/>
          <c:order val="4"/>
          <c:tx>
            <c:strRef>
              <c:f>'Sheet1 (2)'!$H$9:$H$10</c:f>
              <c:strCache>
                <c:ptCount val="2"/>
                <c:pt idx="0">
                  <c:v>#1</c:v>
                </c:pt>
                <c:pt idx="1">
                  <c:v>Io_5</c:v>
                </c:pt>
              </c:strCache>
            </c:strRef>
          </c:tx>
          <c:spPr>
            <a:ln w="19050" cap="rnd">
              <a:solidFill>
                <a:schemeClr val="accent5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(2)'!$H$11:$H$13</c:f>
              <c:numCache>
                <c:formatCode>0.00%</c:formatCode>
                <c:ptCount val="3"/>
                <c:pt idx="0">
                  <c:v>-3.1836048158640266E-2</c:v>
                </c:pt>
                <c:pt idx="1">
                  <c:v>-2.4227722772277308E-2</c:v>
                </c:pt>
                <c:pt idx="2">
                  <c:v>-4.1617047947353145E-3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EC-4132-92D3-3EC06C496DED}"/>
            </c:ext>
          </c:extLst>
        </c:ser>
        <c:ser>
          <c:idx val="5"/>
          <c:order val="5"/>
          <c:tx>
            <c:strRef>
              <c:f>'Sheet1 (2)'!$I$9:$I$10</c:f>
              <c:strCache>
                <c:ptCount val="2"/>
                <c:pt idx="0">
                  <c:v>#1</c:v>
                </c:pt>
                <c:pt idx="1">
                  <c:v>Io_6</c:v>
                </c:pt>
              </c:strCache>
            </c:strRef>
          </c:tx>
          <c:spPr>
            <a:ln w="19050" cap="rnd">
              <a:solidFill>
                <a:schemeClr val="accent6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6"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(2)'!$I$11:$I$13</c:f>
              <c:numCache>
                <c:formatCode>0.00%</c:formatCode>
                <c:ptCount val="3"/>
                <c:pt idx="0">
                  <c:v>-1.3845609065157561E-3</c:v>
                </c:pt>
                <c:pt idx="1">
                  <c:v>4.8292079207920982E-3</c:v>
                </c:pt>
                <c:pt idx="2">
                  <c:v>4.3677530554683944E-4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EC-4132-92D3-3EC06C496DED}"/>
            </c:ext>
          </c:extLst>
        </c:ser>
        <c:ser>
          <c:idx val="6"/>
          <c:order val="6"/>
          <c:tx>
            <c:strRef>
              <c:f>'Sheet1 (2)'!$J$9:$J$10</c:f>
              <c:strCache>
                <c:ptCount val="2"/>
                <c:pt idx="0">
                  <c:v>#1</c:v>
                </c:pt>
                <c:pt idx="1">
                  <c:v>Io_7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(2)'!$J$11:$J$13</c:f>
              <c:numCache>
                <c:formatCode>0.00%</c:formatCode>
                <c:ptCount val="3"/>
                <c:pt idx="0">
                  <c:v>3.2450424929178427E-2</c:v>
                </c:pt>
                <c:pt idx="1">
                  <c:v>3.1183168316831648E-2</c:v>
                </c:pt>
                <c:pt idx="2">
                  <c:v>5.8907865872767215E-3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EC-4132-92D3-3EC06C496DED}"/>
            </c:ext>
          </c:extLst>
        </c:ser>
        <c:ser>
          <c:idx val="7"/>
          <c:order val="7"/>
          <c:tx>
            <c:strRef>
              <c:f>'Sheet1 (2)'!$K$9:$K$10</c:f>
              <c:strCache>
                <c:ptCount val="2"/>
                <c:pt idx="0">
                  <c:v>#1</c:v>
                </c:pt>
                <c:pt idx="1">
                  <c:v>Io_8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(2)'!$K$11:$K$13</c:f>
              <c:numCache>
                <c:formatCode>0.00%</c:formatCode>
                <c:ptCount val="3"/>
                <c:pt idx="0">
                  <c:v>-5.2514164305950788E-3</c:v>
                </c:pt>
                <c:pt idx="1">
                  <c:v>2.1262376237623924E-3</c:v>
                </c:pt>
                <c:pt idx="2">
                  <c:v>5.8907865872767215E-3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EC-4132-92D3-3EC06C496DED}"/>
            </c:ext>
          </c:extLst>
        </c:ser>
        <c:ser>
          <c:idx val="8"/>
          <c:order val="8"/>
          <c:tx>
            <c:strRef>
              <c:f>'Sheet1 (2)'!$L$9:$L$10</c:f>
              <c:strCache>
                <c:ptCount val="2"/>
                <c:pt idx="0">
                  <c:v>#2</c:v>
                </c:pt>
                <c:pt idx="1">
                  <c:v>Io_1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3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(2)'!$L$11:$L$13</c:f>
              <c:numCache>
                <c:formatCode>0.00%</c:formatCode>
                <c:ptCount val="3"/>
                <c:pt idx="0">
                  <c:v>3.2450424929178427E-2</c:v>
                </c:pt>
                <c:pt idx="1">
                  <c:v>3.1183168316831648E-2</c:v>
                </c:pt>
                <c:pt idx="2">
                  <c:v>1.0917032278282548E-2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EC-4132-92D3-3EC06C496DED}"/>
            </c:ext>
          </c:extLst>
        </c:ser>
        <c:ser>
          <c:idx val="9"/>
          <c:order val="9"/>
          <c:tx>
            <c:strRef>
              <c:f>'Sheet1 (2)'!$M$9:$M$10</c:f>
              <c:strCache>
                <c:ptCount val="2"/>
                <c:pt idx="0">
                  <c:v>#2</c:v>
                </c:pt>
                <c:pt idx="1">
                  <c:v>Io_2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4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(2)'!$M$11:$M$13</c:f>
              <c:numCache>
                <c:formatCode>0.00%</c:formatCode>
                <c:ptCount val="3"/>
                <c:pt idx="0">
                  <c:v>-5.2514164305950788E-3</c:v>
                </c:pt>
                <c:pt idx="1">
                  <c:v>-3.2797029702970179E-3</c:v>
                </c:pt>
                <c:pt idx="2">
                  <c:v>1.2923064869945671E-3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2EC-4132-92D3-3EC06C496DED}"/>
            </c:ext>
          </c:extLst>
        </c:ser>
        <c:ser>
          <c:idx val="10"/>
          <c:order val="10"/>
          <c:tx>
            <c:strRef>
              <c:f>'Sheet1 (2)'!$N$9:$N$10</c:f>
              <c:strCache>
                <c:ptCount val="2"/>
                <c:pt idx="0">
                  <c:v>#2</c:v>
                </c:pt>
                <c:pt idx="1">
                  <c:v>Io_3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(2)'!$N$11:$N$13</c:f>
              <c:numCache>
                <c:formatCode>0.00%</c:formatCode>
                <c:ptCount val="3"/>
                <c:pt idx="0">
                  <c:v>-6.1804178470255017E-2</c:v>
                </c:pt>
                <c:pt idx="1">
                  <c:v>-5.362252475247524E-2</c:v>
                </c:pt>
                <c:pt idx="2">
                  <c:v>-7.4768881228454969E-3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2EC-4132-92D3-3EC06C496DED}"/>
            </c:ext>
          </c:extLst>
        </c:ser>
        <c:ser>
          <c:idx val="11"/>
          <c:order val="11"/>
          <c:tx>
            <c:strRef>
              <c:f>'Sheet1 (2)'!$O$9:$O$10</c:f>
              <c:strCache>
                <c:ptCount val="2"/>
                <c:pt idx="0">
                  <c:v>#2</c:v>
                </c:pt>
                <c:pt idx="1">
                  <c:v>Io_4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6">
                    <a:lumMod val="6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(2)'!$O$11:$O$13</c:f>
              <c:numCache>
                <c:formatCode>0.00%</c:formatCode>
                <c:ptCount val="3"/>
                <c:pt idx="0">
                  <c:v>-5.0686968838527018E-2</c:v>
                </c:pt>
                <c:pt idx="1">
                  <c:v>-4.2810643564356418E-2</c:v>
                </c:pt>
                <c:pt idx="2">
                  <c:v>-5.8192964587904057E-3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2EC-4132-92D3-3EC06C496DED}"/>
            </c:ext>
          </c:extLst>
        </c:ser>
        <c:ser>
          <c:idx val="12"/>
          <c:order val="12"/>
          <c:tx>
            <c:strRef>
              <c:f>'Sheet1 (2)'!$P$9:$P$10</c:f>
              <c:strCache>
                <c:ptCount val="2"/>
                <c:pt idx="0">
                  <c:v>#2</c:v>
                </c:pt>
                <c:pt idx="1">
                  <c:v>Io_5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(2)'!$P$11:$P$13</c:f>
              <c:numCache>
                <c:formatCode>0.00%</c:formatCode>
                <c:ptCount val="3"/>
                <c:pt idx="0">
                  <c:v>-9.1182719546744027E-3</c:v>
                </c:pt>
                <c:pt idx="1">
                  <c:v>-8.6856435643564277E-3</c:v>
                </c:pt>
                <c:pt idx="2">
                  <c:v>4.3677530554683944E-4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2EC-4132-92D3-3EC06C496DED}"/>
            </c:ext>
          </c:extLst>
        </c:ser>
        <c:ser>
          <c:idx val="13"/>
          <c:order val="13"/>
          <c:tx>
            <c:strRef>
              <c:f>'Sheet1 (2)'!$Q$9:$Q$10</c:f>
              <c:strCache>
                <c:ptCount val="2"/>
                <c:pt idx="0">
                  <c:v>#2</c:v>
                </c:pt>
                <c:pt idx="1">
                  <c:v>Io_6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(2)'!$Q$11:$Q$13</c:f>
              <c:numCache>
                <c:formatCode>0.00%</c:formatCode>
                <c:ptCount val="3"/>
                <c:pt idx="0">
                  <c:v>9.732648725212352E-3</c:v>
                </c:pt>
                <c:pt idx="1">
                  <c:v>9.8972772277226822E-3</c:v>
                </c:pt>
                <c:pt idx="2">
                  <c:v>5.4630209965526675E-3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2EC-4132-92D3-3EC06C496DED}"/>
            </c:ext>
          </c:extLst>
        </c:ser>
        <c:ser>
          <c:idx val="14"/>
          <c:order val="14"/>
          <c:tx>
            <c:strRef>
              <c:f>'Sheet1 (2)'!$R$9:$R$10</c:f>
              <c:strCache>
                <c:ptCount val="2"/>
                <c:pt idx="0">
                  <c:v>#2</c:v>
                </c:pt>
                <c:pt idx="1">
                  <c:v>Io_7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3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(2)'!$R$11:$R$13</c:f>
              <c:numCache>
                <c:formatCode>0.00%</c:formatCode>
                <c:ptCount val="3"/>
                <c:pt idx="0">
                  <c:v>-5.2514164305950788E-3</c:v>
                </c:pt>
                <c:pt idx="1">
                  <c:v>-5.9826732673267232E-3</c:v>
                </c:pt>
                <c:pt idx="2">
                  <c:v>2.0943669696019307E-3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2EC-4132-92D3-3EC06C496DED}"/>
            </c:ext>
          </c:extLst>
        </c:ser>
        <c:ser>
          <c:idx val="15"/>
          <c:order val="15"/>
          <c:tx>
            <c:strRef>
              <c:f>'Sheet1 (2)'!$S$9:$S$10</c:f>
              <c:strCache>
                <c:ptCount val="2"/>
                <c:pt idx="0">
                  <c:v>#2</c:v>
                </c:pt>
                <c:pt idx="1">
                  <c:v>Io_8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4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(2)'!$S$11:$S$13</c:f>
              <c:numCache>
                <c:formatCode>0.00%</c:formatCode>
                <c:ptCount val="3"/>
                <c:pt idx="0">
                  <c:v>2.482294617563567E-3</c:v>
                </c:pt>
                <c:pt idx="1">
                  <c:v>2.1262376237623924E-3</c:v>
                </c:pt>
                <c:pt idx="2">
                  <c:v>1.720072077718621E-3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2EC-4132-92D3-3EC06C496DED}"/>
            </c:ext>
          </c:extLst>
        </c:ser>
        <c:ser>
          <c:idx val="16"/>
          <c:order val="16"/>
          <c:tx>
            <c:strRef>
              <c:f>'Sheet1 (2)'!$T$9:$T$10</c:f>
              <c:strCache>
                <c:ptCount val="2"/>
                <c:pt idx="0">
                  <c:v>#3</c:v>
                </c:pt>
                <c:pt idx="1">
                  <c:v>Io_1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(2)'!$T$11:$T$13</c:f>
              <c:numCache>
                <c:formatCode>0.00%</c:formatCode>
                <c:ptCount val="3"/>
                <c:pt idx="0">
                  <c:v>5.130134560906497E-2</c:v>
                </c:pt>
                <c:pt idx="1">
                  <c:v>3.3886138613861354E-2</c:v>
                </c:pt>
                <c:pt idx="2">
                  <c:v>6.3185521780005846E-3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2EC-4132-92D3-3EC06C496DED}"/>
            </c:ext>
          </c:extLst>
        </c:ser>
        <c:ser>
          <c:idx val="17"/>
          <c:order val="17"/>
          <c:tx>
            <c:strRef>
              <c:f>'Sheet1 (2)'!$U$9:$U$10</c:f>
              <c:strCache>
                <c:ptCount val="2"/>
                <c:pt idx="0">
                  <c:v>#3</c:v>
                </c:pt>
                <c:pt idx="1">
                  <c:v>Io_2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6">
                    <a:lumMod val="80000"/>
                    <a:lumOff val="2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(2)'!$U$11:$U$13</c:f>
              <c:numCache>
                <c:formatCode>0.00%</c:formatCode>
                <c:ptCount val="3"/>
                <c:pt idx="0">
                  <c:v>4.4050991501416399E-2</c:v>
                </c:pt>
                <c:pt idx="1">
                  <c:v>2.3074257425742532E-2</c:v>
                </c:pt>
                <c:pt idx="2">
                  <c:v>-3.6528517706052404E-4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2EC-4132-92D3-3EC06C496DED}"/>
            </c:ext>
          </c:extLst>
        </c:ser>
        <c:ser>
          <c:idx val="18"/>
          <c:order val="18"/>
          <c:tx>
            <c:strRef>
              <c:f>'Sheet1 (2)'!$V$9:$V$10</c:f>
              <c:strCache>
                <c:ptCount val="2"/>
                <c:pt idx="0">
                  <c:v>#3</c:v>
                </c:pt>
                <c:pt idx="1">
                  <c:v>Io_3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(2)'!$V$11:$V$13</c:f>
              <c:numCache>
                <c:formatCode>0.00%</c:formatCode>
                <c:ptCount val="3"/>
                <c:pt idx="0">
                  <c:v>4.0184135977337075E-2</c:v>
                </c:pt>
                <c:pt idx="1">
                  <c:v>2.3074257425742532E-2</c:v>
                </c:pt>
                <c:pt idx="2">
                  <c:v>3.3776637417737123E-3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2EC-4132-92D3-3EC06C496DED}"/>
            </c:ext>
          </c:extLst>
        </c:ser>
        <c:ser>
          <c:idx val="19"/>
          <c:order val="19"/>
          <c:tx>
            <c:strRef>
              <c:f>'Sheet1 (2)'!$W$9:$W$10</c:f>
              <c:strCache>
                <c:ptCount val="2"/>
                <c:pt idx="0">
                  <c:v>#3</c:v>
                </c:pt>
                <c:pt idx="1">
                  <c:v>Io_4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(2)'!$W$11:$W$13</c:f>
              <c:numCache>
                <c:formatCode>0.00%</c:formatCode>
                <c:ptCount val="3"/>
                <c:pt idx="0">
                  <c:v>3.2450424929178427E-2</c:v>
                </c:pt>
                <c:pt idx="1">
                  <c:v>1.2600247524752388E-2</c:v>
                </c:pt>
                <c:pt idx="2">
                  <c:v>-3.3061736132873969E-3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2EC-4132-92D3-3EC06C496DED}"/>
            </c:ext>
          </c:extLst>
        </c:ser>
        <c:ser>
          <c:idx val="20"/>
          <c:order val="20"/>
          <c:tx>
            <c:strRef>
              <c:f>'Sheet1 (2)'!$X$9:$X$10</c:f>
              <c:strCache>
                <c:ptCount val="2"/>
                <c:pt idx="0">
                  <c:v>#3</c:v>
                </c:pt>
                <c:pt idx="1">
                  <c:v>Io_5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3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(2)'!$X$11:$X$13</c:f>
              <c:numCache>
                <c:formatCode>0.00%</c:formatCode>
                <c:ptCount val="3"/>
                <c:pt idx="0">
                  <c:v>3.2450424929178427E-2</c:v>
                </c:pt>
                <c:pt idx="1">
                  <c:v>1.80061881188118E-2</c:v>
                </c:pt>
                <c:pt idx="2">
                  <c:v>1.2923064869945671E-3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2EC-4132-92D3-3EC06C496DED}"/>
            </c:ext>
          </c:extLst>
        </c:ser>
        <c:ser>
          <c:idx val="21"/>
          <c:order val="21"/>
          <c:tx>
            <c:strRef>
              <c:f>'Sheet1 (2)'!$Y$9:$Y$10</c:f>
              <c:strCache>
                <c:ptCount val="2"/>
                <c:pt idx="0">
                  <c:v>#3</c:v>
                </c:pt>
                <c:pt idx="1">
                  <c:v>Io_6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4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(2)'!$Y$11:$Y$13</c:f>
              <c:numCache>
                <c:formatCode>0.00%</c:formatCode>
                <c:ptCount val="3"/>
                <c:pt idx="0">
                  <c:v>6.6768767705382259E-2</c:v>
                </c:pt>
                <c:pt idx="1">
                  <c:v>4.4360148514851497E-2</c:v>
                </c:pt>
                <c:pt idx="2">
                  <c:v>1.2923064869945671E-3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2EC-4132-92D3-3EC06C496DED}"/>
            </c:ext>
          </c:extLst>
        </c:ser>
        <c:ser>
          <c:idx val="22"/>
          <c:order val="22"/>
          <c:tx>
            <c:strRef>
              <c:f>'Sheet1 (2)'!$Z$9:$Z$10</c:f>
              <c:strCache>
                <c:ptCount val="2"/>
                <c:pt idx="0">
                  <c:v>#3</c:v>
                </c:pt>
                <c:pt idx="1">
                  <c:v>Io_7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(2)'!$Z$11:$Z$13</c:f>
              <c:numCache>
                <c:formatCode>0.00%</c:formatCode>
                <c:ptCount val="3"/>
                <c:pt idx="0">
                  <c:v>8.561968838526901E-2</c:v>
                </c:pt>
                <c:pt idx="1">
                  <c:v>6.0240099009900905E-2</c:v>
                </c:pt>
                <c:pt idx="2">
                  <c:v>3.8054293324975763E-3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2EC-4132-92D3-3EC06C496DED}"/>
            </c:ext>
          </c:extLst>
        </c:ser>
        <c:ser>
          <c:idx val="23"/>
          <c:order val="23"/>
          <c:tx>
            <c:strRef>
              <c:f>'Sheet1 (2)'!$AA$9:$AA$10</c:f>
              <c:strCache>
                <c:ptCount val="2"/>
                <c:pt idx="0">
                  <c:v>#3</c:v>
                </c:pt>
                <c:pt idx="1">
                  <c:v>Io_8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6">
                    <a:lumMod val="80000"/>
                    <a:alpha val="60000"/>
                  </a:schemeClr>
                </a:solidFill>
              </a:ln>
              <a:effectLst/>
            </c:spPr>
          </c:marker>
          <c:xVal>
            <c:numRef>
              <c:f>'Sheet1 (2)'!$C$11:$C$13</c:f>
              <c:numCache>
                <c:formatCode>General</c:formatCode>
                <c:ptCount val="3"/>
                <c:pt idx="0">
                  <c:v>353</c:v>
                </c:pt>
                <c:pt idx="1">
                  <c:v>505</c:v>
                </c:pt>
                <c:pt idx="2">
                  <c:v>3191</c:v>
                </c:pt>
              </c:numCache>
            </c:numRef>
          </c:xVal>
          <c:yVal>
            <c:numRef>
              <c:f>'Sheet1 (2)'!$AA$11:$AA$13</c:f>
              <c:numCache>
                <c:formatCode>0.00%</c:formatCode>
                <c:ptCount val="3"/>
                <c:pt idx="0">
                  <c:v>5.5168201133144294E-2</c:v>
                </c:pt>
                <c:pt idx="1">
                  <c:v>3.3886138613861354E-2</c:v>
                </c:pt>
                <c:pt idx="2">
                  <c:v>1.2923064869945671E-3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2EC-4132-92D3-3EC06C496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433168"/>
        <c:axId val="1707429328"/>
      </c:scatterChart>
      <c:valAx>
        <c:axId val="17074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7429328"/>
        <c:crosses val="autoZero"/>
        <c:crossBetween val="midCat"/>
      </c:valAx>
      <c:valAx>
        <c:axId val="17074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74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24</xdr:col>
      <xdr:colOff>748393</xdr:colOff>
      <xdr:row>44</xdr:row>
      <xdr:rowOff>27214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6CBCBD2-D813-4BB8-BFAE-D144C27DD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014B-F65B-4A84-8195-EF09043B3110}">
  <dimension ref="B1:AM17"/>
  <sheetViews>
    <sheetView zoomScale="70" zoomScaleNormal="70" workbookViewId="0"/>
  </sheetViews>
  <sheetFormatPr defaultRowHeight="17" x14ac:dyDescent="0.45"/>
  <cols>
    <col min="1" max="1" width="2.58203125" style="1" customWidth="1"/>
    <col min="2" max="3" width="8.6640625" style="1"/>
    <col min="4" max="15" width="10" style="1" customWidth="1"/>
    <col min="16" max="39" width="10" style="1" bestFit="1" customWidth="1"/>
    <col min="40" max="16384" width="8.6640625" style="1"/>
  </cols>
  <sheetData>
    <row r="1" spans="2:39" ht="17.5" thickBot="1" x14ac:dyDescent="0.5"/>
    <row r="2" spans="2:39" x14ac:dyDescent="0.45">
      <c r="B2" s="74" t="s">
        <v>17</v>
      </c>
      <c r="C2" s="75"/>
      <c r="D2" s="69" t="s">
        <v>13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  <c r="P2" s="72" t="s">
        <v>14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3"/>
      <c r="AB2" s="69" t="s">
        <v>15</v>
      </c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3"/>
    </row>
    <row r="3" spans="2:39" ht="17.5" thickBot="1" x14ac:dyDescent="0.5">
      <c r="B3" s="2" t="s">
        <v>12</v>
      </c>
      <c r="C3" s="2" t="s">
        <v>16</v>
      </c>
      <c r="D3" s="3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5" t="s">
        <v>11</v>
      </c>
      <c r="P3" s="6" t="s">
        <v>0</v>
      </c>
      <c r="Q3" s="4" t="s">
        <v>1</v>
      </c>
      <c r="R3" s="4" t="s">
        <v>2</v>
      </c>
      <c r="S3" s="4" t="s">
        <v>3</v>
      </c>
      <c r="T3" s="4" t="s">
        <v>4</v>
      </c>
      <c r="U3" s="4" t="s">
        <v>5</v>
      </c>
      <c r="V3" s="4" t="s">
        <v>6</v>
      </c>
      <c r="W3" s="4" t="s">
        <v>7</v>
      </c>
      <c r="X3" s="4" t="s">
        <v>8</v>
      </c>
      <c r="Y3" s="4" t="s">
        <v>9</v>
      </c>
      <c r="Z3" s="4" t="s">
        <v>10</v>
      </c>
      <c r="AA3" s="7" t="s">
        <v>11</v>
      </c>
      <c r="AB3" s="3" t="s">
        <v>0</v>
      </c>
      <c r="AC3" s="4" t="s">
        <v>1</v>
      </c>
      <c r="AD3" s="4" t="s">
        <v>2</v>
      </c>
      <c r="AE3" s="4" t="s">
        <v>3</v>
      </c>
      <c r="AF3" s="4" t="s">
        <v>4</v>
      </c>
      <c r="AG3" s="4" t="s">
        <v>5</v>
      </c>
      <c r="AH3" s="4" t="s">
        <v>6</v>
      </c>
      <c r="AI3" s="4" t="s">
        <v>7</v>
      </c>
      <c r="AJ3" s="4" t="s">
        <v>8</v>
      </c>
      <c r="AK3" s="4" t="s">
        <v>9</v>
      </c>
      <c r="AL3" s="4" t="s">
        <v>10</v>
      </c>
      <c r="AM3" s="7" t="s">
        <v>11</v>
      </c>
    </row>
    <row r="4" spans="2:39" x14ac:dyDescent="0.45">
      <c r="B4" s="8">
        <v>353</v>
      </c>
      <c r="C4" s="10">
        <f>24*B4/4095</f>
        <v>2.0688644688644691</v>
      </c>
      <c r="D4" s="46">
        <v>2.0350000000000001</v>
      </c>
      <c r="E4" s="47">
        <v>2.0270000000000001</v>
      </c>
      <c r="F4" s="47">
        <v>2.0030000000000001</v>
      </c>
      <c r="G4" s="47">
        <v>2.0190000000000001</v>
      </c>
      <c r="H4" s="47">
        <v>2.0030000000000001</v>
      </c>
      <c r="I4" s="47">
        <v>2.0659999999999998</v>
      </c>
      <c r="J4" s="47">
        <v>2.1360000000000001</v>
      </c>
      <c r="K4" s="47">
        <v>2.0579999999999998</v>
      </c>
      <c r="L4" s="47">
        <v>1.98</v>
      </c>
      <c r="M4" s="47">
        <v>2.113</v>
      </c>
      <c r="N4" s="47">
        <v>2.0190000000000001</v>
      </c>
      <c r="O4" s="48">
        <v>2.0579999999999998</v>
      </c>
      <c r="P4" s="49">
        <v>2.1360000000000001</v>
      </c>
      <c r="Q4" s="47">
        <v>2.0579999999999998</v>
      </c>
      <c r="R4" s="47">
        <v>1.9410000000000001</v>
      </c>
      <c r="S4" s="47">
        <v>1.964</v>
      </c>
      <c r="T4" s="47">
        <v>2.0499999999999998</v>
      </c>
      <c r="U4" s="47">
        <v>2.089</v>
      </c>
      <c r="V4" s="47">
        <v>2.0579999999999998</v>
      </c>
      <c r="W4" s="47">
        <v>2.0739999999999998</v>
      </c>
      <c r="X4" s="47">
        <v>2.0350000000000001</v>
      </c>
      <c r="Y4" s="47">
        <v>1.9950000000000001</v>
      </c>
      <c r="Z4" s="47">
        <v>2.0419999999999998</v>
      </c>
      <c r="AA4" s="50">
        <v>2.105</v>
      </c>
      <c r="AB4" s="46">
        <v>2.1749999999999998</v>
      </c>
      <c r="AC4" s="47">
        <v>2.16</v>
      </c>
      <c r="AD4" s="47">
        <v>2.1520000000000001</v>
      </c>
      <c r="AE4" s="47">
        <v>2.1360000000000001</v>
      </c>
      <c r="AF4" s="47">
        <v>2.1360000000000001</v>
      </c>
      <c r="AG4" s="47">
        <v>2.2069999999999999</v>
      </c>
      <c r="AH4" s="47">
        <v>2.246</v>
      </c>
      <c r="AI4" s="47">
        <v>2.1829999999999998</v>
      </c>
      <c r="AJ4" s="47">
        <v>2.2069999999999999</v>
      </c>
      <c r="AK4" s="47">
        <v>2.097</v>
      </c>
      <c r="AL4" s="47">
        <v>2.16</v>
      </c>
      <c r="AM4" s="50">
        <v>2.23</v>
      </c>
    </row>
    <row r="5" spans="2:39" x14ac:dyDescent="0.45">
      <c r="B5" s="9">
        <v>505</v>
      </c>
      <c r="C5" s="10">
        <f t="shared" ref="C5:C7" si="0">24*B5/4095</f>
        <v>2.9597069597069599</v>
      </c>
      <c r="D5" s="51">
        <v>2.9340000000000002</v>
      </c>
      <c r="E5" s="52">
        <v>2.927</v>
      </c>
      <c r="F5" s="52">
        <v>2.8879999999999999</v>
      </c>
      <c r="G5" s="52">
        <v>2.903</v>
      </c>
      <c r="H5" s="52">
        <v>2.8879999999999999</v>
      </c>
      <c r="I5" s="52">
        <v>2.9740000000000002</v>
      </c>
      <c r="J5" s="52">
        <v>3.052</v>
      </c>
      <c r="K5" s="52">
        <v>2.9660000000000002</v>
      </c>
      <c r="L5" s="52">
        <v>2.8559999999999999</v>
      </c>
      <c r="M5" s="52">
        <v>3.0209999999999999</v>
      </c>
      <c r="N5" s="52">
        <v>2.903</v>
      </c>
      <c r="O5" s="53">
        <v>2.95</v>
      </c>
      <c r="P5" s="54">
        <v>3.052</v>
      </c>
      <c r="Q5" s="52">
        <v>2.95</v>
      </c>
      <c r="R5" s="52">
        <v>2.8010000000000002</v>
      </c>
      <c r="S5" s="52">
        <v>2.8330000000000002</v>
      </c>
      <c r="T5" s="52">
        <v>2.9340000000000002</v>
      </c>
      <c r="U5" s="52">
        <v>2.9889999999999999</v>
      </c>
      <c r="V5" s="52">
        <v>2.9420000000000002</v>
      </c>
      <c r="W5" s="52">
        <v>2.9660000000000002</v>
      </c>
      <c r="X5" s="52">
        <v>2.927</v>
      </c>
      <c r="Y5" s="52">
        <v>2.8639999999999999</v>
      </c>
      <c r="Z5" s="52">
        <v>2.927</v>
      </c>
      <c r="AA5" s="55">
        <v>3.0049999999999999</v>
      </c>
      <c r="AB5" s="51">
        <v>3.06</v>
      </c>
      <c r="AC5" s="52">
        <v>3.028</v>
      </c>
      <c r="AD5" s="52">
        <v>3.028</v>
      </c>
      <c r="AE5" s="52">
        <v>2.9969999999999999</v>
      </c>
      <c r="AF5" s="52">
        <v>3.0129999999999999</v>
      </c>
      <c r="AG5" s="52">
        <v>3.0910000000000002</v>
      </c>
      <c r="AH5" s="52">
        <v>3.1379999999999999</v>
      </c>
      <c r="AI5" s="52">
        <v>3.06</v>
      </c>
      <c r="AJ5" s="52">
        <v>3.0910000000000002</v>
      </c>
      <c r="AK5" s="52">
        <v>2.95</v>
      </c>
      <c r="AL5" s="52">
        <v>3.028</v>
      </c>
      <c r="AM5" s="55">
        <v>3.1139999999999999</v>
      </c>
    </row>
    <row r="6" spans="2:39" x14ac:dyDescent="0.45">
      <c r="B6" s="9">
        <v>3191</v>
      </c>
      <c r="C6" s="10">
        <f t="shared" si="0"/>
        <v>18.701831501831503</v>
      </c>
      <c r="D6" s="51">
        <v>18.788</v>
      </c>
      <c r="E6" s="52">
        <v>18.687000000000001</v>
      </c>
      <c r="F6" s="52">
        <v>18.593</v>
      </c>
      <c r="G6" s="52">
        <v>18.655000000000001</v>
      </c>
      <c r="H6" s="52">
        <v>18.623999999999999</v>
      </c>
      <c r="I6" s="52">
        <v>18.71</v>
      </c>
      <c r="J6" s="52">
        <v>18.812000000000001</v>
      </c>
      <c r="K6" s="52">
        <v>18.812000000000001</v>
      </c>
      <c r="L6" s="52">
        <v>18.553999999999998</v>
      </c>
      <c r="M6" s="52">
        <v>18.89</v>
      </c>
      <c r="N6" s="52">
        <v>18.632000000000001</v>
      </c>
      <c r="O6" s="53">
        <v>18.734000000000002</v>
      </c>
      <c r="P6" s="54">
        <v>18.905999999999999</v>
      </c>
      <c r="Q6" s="52">
        <v>18.725999999999999</v>
      </c>
      <c r="R6" s="52">
        <v>18.562000000000001</v>
      </c>
      <c r="S6" s="52">
        <v>18.593</v>
      </c>
      <c r="T6" s="52">
        <v>18.71</v>
      </c>
      <c r="U6" s="52">
        <v>18.803999999999998</v>
      </c>
      <c r="V6" s="52">
        <v>18.741</v>
      </c>
      <c r="W6" s="52">
        <v>18.734000000000002</v>
      </c>
      <c r="X6" s="52">
        <v>18.702000000000002</v>
      </c>
      <c r="Y6" s="52">
        <v>18.632000000000001</v>
      </c>
      <c r="Z6" s="52">
        <v>18.678999999999998</v>
      </c>
      <c r="AA6" s="55">
        <v>18.757000000000001</v>
      </c>
      <c r="AB6" s="51">
        <v>18.82</v>
      </c>
      <c r="AC6" s="52">
        <v>18.695</v>
      </c>
      <c r="AD6" s="52">
        <v>18.765000000000001</v>
      </c>
      <c r="AE6" s="52">
        <v>18.64</v>
      </c>
      <c r="AF6" s="52">
        <v>18.725999999999999</v>
      </c>
      <c r="AG6" s="52">
        <v>18.725999999999999</v>
      </c>
      <c r="AH6" s="52">
        <v>18.773</v>
      </c>
      <c r="AI6" s="52">
        <v>18.725999999999999</v>
      </c>
      <c r="AJ6" s="52">
        <v>18.725999999999999</v>
      </c>
      <c r="AK6" s="52">
        <v>18.608000000000001</v>
      </c>
      <c r="AL6" s="52">
        <v>18.741</v>
      </c>
      <c r="AM6" s="55">
        <v>18.773</v>
      </c>
    </row>
    <row r="7" spans="2:39" x14ac:dyDescent="0.45">
      <c r="B7" s="27">
        <v>3276</v>
      </c>
      <c r="C7" s="10">
        <f t="shared" si="0"/>
        <v>19.2</v>
      </c>
      <c r="D7" s="56">
        <v>19.297000000000001</v>
      </c>
      <c r="E7" s="57">
        <v>19.187999999999999</v>
      </c>
      <c r="F7" s="57">
        <v>19.117000000000001</v>
      </c>
      <c r="G7" s="57">
        <v>19.172000000000001</v>
      </c>
      <c r="H7" s="57">
        <v>19.164000000000001</v>
      </c>
      <c r="I7" s="57">
        <v>19.219000000000001</v>
      </c>
      <c r="J7" s="57">
        <v>19.335999999999999</v>
      </c>
      <c r="K7" s="57">
        <v>19.305</v>
      </c>
      <c r="L7" s="57">
        <v>19.07</v>
      </c>
      <c r="M7" s="57">
        <v>19.382999999999999</v>
      </c>
      <c r="N7" s="57">
        <v>19.148</v>
      </c>
      <c r="O7" s="58">
        <v>19.25</v>
      </c>
      <c r="P7" s="59">
        <v>19.399000000000001</v>
      </c>
      <c r="Q7" s="57">
        <v>19.219000000000001</v>
      </c>
      <c r="R7" s="57">
        <v>19.062000000000001</v>
      </c>
      <c r="S7" s="57">
        <v>19.100999999999999</v>
      </c>
      <c r="T7" s="57">
        <v>19.187999999999999</v>
      </c>
      <c r="U7" s="57">
        <v>19.297000000000001</v>
      </c>
      <c r="V7" s="57">
        <v>19.227</v>
      </c>
      <c r="W7" s="57">
        <v>19.219000000000001</v>
      </c>
      <c r="X7" s="57">
        <v>19.202999999999999</v>
      </c>
      <c r="Y7" s="57">
        <v>19.109000000000002</v>
      </c>
      <c r="Z7" s="57">
        <v>19.172000000000001</v>
      </c>
      <c r="AA7" s="60">
        <v>19.242000000000001</v>
      </c>
      <c r="AB7" s="56">
        <v>19.312999999999999</v>
      </c>
      <c r="AC7" s="57">
        <v>19.202999999999999</v>
      </c>
      <c r="AD7" s="57">
        <v>19.257999999999999</v>
      </c>
      <c r="AE7" s="57">
        <v>19.140999999999998</v>
      </c>
      <c r="AF7" s="57">
        <v>19.227</v>
      </c>
      <c r="AG7" s="57">
        <v>19.219000000000001</v>
      </c>
      <c r="AH7" s="57">
        <v>19.274000000000001</v>
      </c>
      <c r="AI7" s="57">
        <v>19.227</v>
      </c>
      <c r="AJ7" s="57">
        <v>19.210999999999999</v>
      </c>
      <c r="AK7" s="57">
        <v>19.125</v>
      </c>
      <c r="AL7" s="57">
        <v>19.234000000000002</v>
      </c>
      <c r="AM7" s="60">
        <v>19.265999999999998</v>
      </c>
    </row>
    <row r="8" spans="2:39" ht="17.5" thickBot="1" x14ac:dyDescent="0.5">
      <c r="B8" s="2">
        <v>4095</v>
      </c>
      <c r="C8" s="11">
        <f>24*B8/4095</f>
        <v>24</v>
      </c>
      <c r="D8" s="61">
        <v>24.149000000000001</v>
      </c>
      <c r="E8" s="62">
        <v>24</v>
      </c>
      <c r="F8" s="62">
        <v>23.969000000000001</v>
      </c>
      <c r="G8" s="62">
        <v>24</v>
      </c>
      <c r="H8" s="62">
        <v>24.030999999999999</v>
      </c>
      <c r="I8" s="62">
        <v>23.992000000000001</v>
      </c>
      <c r="J8" s="62">
        <v>24.07</v>
      </c>
      <c r="K8" s="62">
        <v>24.094000000000001</v>
      </c>
      <c r="L8" s="62">
        <v>23.922000000000001</v>
      </c>
      <c r="M8" s="62">
        <v>24.140999999999998</v>
      </c>
      <c r="N8" s="62">
        <v>24.024000000000001</v>
      </c>
      <c r="O8" s="63">
        <v>24.047000000000001</v>
      </c>
      <c r="P8" s="64">
        <v>24.149000000000001</v>
      </c>
      <c r="Q8" s="62">
        <v>24.015999999999998</v>
      </c>
      <c r="R8" s="62">
        <v>23.960999999999999</v>
      </c>
      <c r="S8" s="62">
        <v>23.960999999999999</v>
      </c>
      <c r="T8" s="62">
        <v>23.984000000000002</v>
      </c>
      <c r="U8" s="62">
        <v>24.077999999999999</v>
      </c>
      <c r="V8" s="62">
        <v>24.039000000000001</v>
      </c>
      <c r="W8" s="62">
        <v>23.977</v>
      </c>
      <c r="X8" s="62">
        <v>23.960999999999999</v>
      </c>
      <c r="Y8" s="62">
        <v>23.952999999999999</v>
      </c>
      <c r="Z8" s="62">
        <v>23.960999999999999</v>
      </c>
      <c r="AA8" s="65">
        <v>24</v>
      </c>
      <c r="AB8" s="61">
        <v>24.062999999999999</v>
      </c>
      <c r="AC8" s="62">
        <v>23.984000000000002</v>
      </c>
      <c r="AD8" s="62">
        <v>24.047000000000001</v>
      </c>
      <c r="AE8" s="62">
        <v>23.914000000000001</v>
      </c>
      <c r="AF8" s="62">
        <v>24.015999999999998</v>
      </c>
      <c r="AG8" s="62">
        <v>23.969000000000001</v>
      </c>
      <c r="AH8" s="62">
        <v>23.960999999999999</v>
      </c>
      <c r="AI8" s="62">
        <v>24</v>
      </c>
      <c r="AJ8" s="62">
        <v>23.945</v>
      </c>
      <c r="AK8" s="62">
        <v>23.977</v>
      </c>
      <c r="AL8" s="62">
        <v>24.024000000000001</v>
      </c>
      <c r="AM8" s="65">
        <v>24.007999999999999</v>
      </c>
    </row>
    <row r="10" spans="2:39" ht="17.5" thickBot="1" x14ac:dyDescent="0.5"/>
    <row r="11" spans="2:39" x14ac:dyDescent="0.45">
      <c r="B11" s="74" t="s">
        <v>18</v>
      </c>
      <c r="C11" s="75"/>
      <c r="D11" s="69" t="s">
        <v>13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  <c r="P11" s="72" t="s">
        <v>14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3"/>
      <c r="AB11" s="69" t="s">
        <v>15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3"/>
    </row>
    <row r="12" spans="2:39" ht="17.5" thickBot="1" x14ac:dyDescent="0.5">
      <c r="B12" s="76" t="s">
        <v>12</v>
      </c>
      <c r="C12" s="77"/>
      <c r="D12" s="3" t="s">
        <v>0</v>
      </c>
      <c r="E12" s="4" t="s">
        <v>1</v>
      </c>
      <c r="F12" s="4" t="s">
        <v>2</v>
      </c>
      <c r="G12" s="4" t="s">
        <v>3</v>
      </c>
      <c r="H12" s="4" t="s">
        <v>4</v>
      </c>
      <c r="I12" s="4" t="s">
        <v>5</v>
      </c>
      <c r="J12" s="4" t="s">
        <v>6</v>
      </c>
      <c r="K12" s="4" t="s">
        <v>7</v>
      </c>
      <c r="L12" s="4" t="s">
        <v>8</v>
      </c>
      <c r="M12" s="4" t="s">
        <v>9</v>
      </c>
      <c r="N12" s="4" t="s">
        <v>10</v>
      </c>
      <c r="O12" s="5" t="s">
        <v>11</v>
      </c>
      <c r="P12" s="6" t="s">
        <v>0</v>
      </c>
      <c r="Q12" s="4" t="s">
        <v>1</v>
      </c>
      <c r="R12" s="4" t="s">
        <v>2</v>
      </c>
      <c r="S12" s="4" t="s">
        <v>3</v>
      </c>
      <c r="T12" s="4" t="s">
        <v>4</v>
      </c>
      <c r="U12" s="4" t="s">
        <v>5</v>
      </c>
      <c r="V12" s="4" t="s">
        <v>6</v>
      </c>
      <c r="W12" s="4" t="s">
        <v>7</v>
      </c>
      <c r="X12" s="4" t="s">
        <v>8</v>
      </c>
      <c r="Y12" s="4" t="s">
        <v>9</v>
      </c>
      <c r="Z12" s="4" t="s">
        <v>10</v>
      </c>
      <c r="AA12" s="7" t="s">
        <v>11</v>
      </c>
      <c r="AB12" s="3" t="s">
        <v>0</v>
      </c>
      <c r="AC12" s="4" t="s">
        <v>1</v>
      </c>
      <c r="AD12" s="4" t="s">
        <v>2</v>
      </c>
      <c r="AE12" s="4" t="s">
        <v>3</v>
      </c>
      <c r="AF12" s="4" t="s">
        <v>4</v>
      </c>
      <c r="AG12" s="4" t="s">
        <v>5</v>
      </c>
      <c r="AH12" s="4" t="s">
        <v>6</v>
      </c>
      <c r="AI12" s="4" t="s">
        <v>7</v>
      </c>
      <c r="AJ12" s="4" t="s">
        <v>8</v>
      </c>
      <c r="AK12" s="4" t="s">
        <v>9</v>
      </c>
      <c r="AL12" s="4" t="s">
        <v>10</v>
      </c>
      <c r="AM12" s="7" t="s">
        <v>11</v>
      </c>
    </row>
    <row r="13" spans="2:39" x14ac:dyDescent="0.45">
      <c r="B13" s="78">
        <v>353</v>
      </c>
      <c r="C13" s="79"/>
      <c r="D13" s="13">
        <f t="shared" ref="D13:AM13" si="1">(D4-$C4)/$C4</f>
        <v>-1.6368626062322974E-2</v>
      </c>
      <c r="E13" s="14">
        <f t="shared" si="1"/>
        <v>-2.0235481586402294E-2</v>
      </c>
      <c r="F13" s="14">
        <f t="shared" si="1"/>
        <v>-3.1836048158640266E-2</v>
      </c>
      <c r="G13" s="14">
        <f t="shared" si="1"/>
        <v>-2.4102337110481618E-2</v>
      </c>
      <c r="H13" s="14">
        <f t="shared" si="1"/>
        <v>-3.1836048158640266E-2</v>
      </c>
      <c r="I13" s="14">
        <f t="shared" si="1"/>
        <v>-1.3845609065157561E-3</v>
      </c>
      <c r="J13" s="14">
        <f t="shared" si="1"/>
        <v>3.2450424929178427E-2</v>
      </c>
      <c r="K13" s="14">
        <f t="shared" si="1"/>
        <v>-5.2514164305950788E-3</v>
      </c>
      <c r="L13" s="14">
        <f t="shared" si="1"/>
        <v>-4.295325779036837E-2</v>
      </c>
      <c r="M13" s="14">
        <f t="shared" si="1"/>
        <v>2.133321529745032E-2</v>
      </c>
      <c r="N13" s="14">
        <f t="shared" si="1"/>
        <v>-2.4102337110481618E-2</v>
      </c>
      <c r="O13" s="21">
        <f t="shared" si="1"/>
        <v>-5.2514164305950788E-3</v>
      </c>
      <c r="P13" s="13">
        <f t="shared" si="1"/>
        <v>3.2450424929178427E-2</v>
      </c>
      <c r="Q13" s="14">
        <f t="shared" si="1"/>
        <v>-5.2514164305950788E-3</v>
      </c>
      <c r="R13" s="14">
        <f t="shared" si="1"/>
        <v>-6.1804178470255017E-2</v>
      </c>
      <c r="S13" s="14">
        <f t="shared" si="1"/>
        <v>-5.0686968838527018E-2</v>
      </c>
      <c r="T13" s="14">
        <f t="shared" si="1"/>
        <v>-9.1182719546744027E-3</v>
      </c>
      <c r="U13" s="14">
        <f t="shared" si="1"/>
        <v>9.732648725212352E-3</v>
      </c>
      <c r="V13" s="14">
        <f t="shared" si="1"/>
        <v>-5.2514164305950788E-3</v>
      </c>
      <c r="W13" s="14">
        <f t="shared" si="1"/>
        <v>2.482294617563567E-3</v>
      </c>
      <c r="X13" s="14">
        <f t="shared" si="1"/>
        <v>-1.6368626062322974E-2</v>
      </c>
      <c r="Y13" s="14">
        <f t="shared" si="1"/>
        <v>-3.570290368271959E-2</v>
      </c>
      <c r="Z13" s="14">
        <f t="shared" si="1"/>
        <v>-1.2985127478753725E-2</v>
      </c>
      <c r="AA13" s="15">
        <f t="shared" si="1"/>
        <v>1.7466359773370996E-2</v>
      </c>
      <c r="AB13" s="24">
        <f t="shared" si="1"/>
        <v>5.130134560906497E-2</v>
      </c>
      <c r="AC13" s="14">
        <f t="shared" si="1"/>
        <v>4.4050991501416399E-2</v>
      </c>
      <c r="AD13" s="14">
        <f t="shared" si="1"/>
        <v>4.0184135977337075E-2</v>
      </c>
      <c r="AE13" s="14">
        <f t="shared" si="1"/>
        <v>3.2450424929178427E-2</v>
      </c>
      <c r="AF13" s="14">
        <f t="shared" si="1"/>
        <v>3.2450424929178427E-2</v>
      </c>
      <c r="AG13" s="14">
        <f t="shared" si="1"/>
        <v>6.6768767705382259E-2</v>
      </c>
      <c r="AH13" s="14">
        <f t="shared" si="1"/>
        <v>8.561968838526901E-2</v>
      </c>
      <c r="AI13" s="14">
        <f t="shared" si="1"/>
        <v>5.5168201133144294E-2</v>
      </c>
      <c r="AJ13" s="14">
        <f t="shared" si="1"/>
        <v>6.6768767705382259E-2</v>
      </c>
      <c r="AK13" s="14">
        <f t="shared" si="1"/>
        <v>1.3599504249291674E-2</v>
      </c>
      <c r="AL13" s="14">
        <f t="shared" si="1"/>
        <v>4.4050991501416399E-2</v>
      </c>
      <c r="AM13" s="15">
        <f t="shared" si="1"/>
        <v>7.7885977337110363E-2</v>
      </c>
    </row>
    <row r="14" spans="2:39" x14ac:dyDescent="0.45">
      <c r="B14" s="80">
        <v>505</v>
      </c>
      <c r="C14" s="81"/>
      <c r="D14" s="16">
        <f t="shared" ref="D14:AM14" si="2">(D5-$C5)/$C5</f>
        <v>-8.6856435643564277E-3</v>
      </c>
      <c r="E14" s="12">
        <f t="shared" si="2"/>
        <v>-1.1050742574257458E-2</v>
      </c>
      <c r="F14" s="12">
        <f t="shared" si="2"/>
        <v>-2.4227722772277308E-2</v>
      </c>
      <c r="G14" s="12">
        <f t="shared" si="2"/>
        <v>-1.9159653465346572E-2</v>
      </c>
      <c r="H14" s="12">
        <f t="shared" si="2"/>
        <v>-2.4227722772277308E-2</v>
      </c>
      <c r="I14" s="12">
        <f t="shared" si="2"/>
        <v>4.8292079207920982E-3</v>
      </c>
      <c r="J14" s="12">
        <f t="shared" si="2"/>
        <v>3.1183168316831648E-2</v>
      </c>
      <c r="K14" s="12">
        <f t="shared" si="2"/>
        <v>2.1262376237623924E-3</v>
      </c>
      <c r="L14" s="12">
        <f t="shared" si="2"/>
        <v>-3.5039603960396126E-2</v>
      </c>
      <c r="M14" s="12">
        <f t="shared" si="2"/>
        <v>2.0709158415841502E-2</v>
      </c>
      <c r="N14" s="12">
        <f t="shared" si="2"/>
        <v>-1.9159653465346572E-2</v>
      </c>
      <c r="O14" s="22">
        <f t="shared" si="2"/>
        <v>-3.2797029702970179E-3</v>
      </c>
      <c r="P14" s="16">
        <f t="shared" si="2"/>
        <v>3.1183168316831648E-2</v>
      </c>
      <c r="Q14" s="12">
        <f t="shared" si="2"/>
        <v>-3.2797029702970179E-3</v>
      </c>
      <c r="R14" s="12">
        <f t="shared" si="2"/>
        <v>-5.362252475247524E-2</v>
      </c>
      <c r="S14" s="12">
        <f t="shared" si="2"/>
        <v>-4.2810643564356418E-2</v>
      </c>
      <c r="T14" s="12">
        <f t="shared" si="2"/>
        <v>-8.6856435643564277E-3</v>
      </c>
      <c r="U14" s="12">
        <f t="shared" si="2"/>
        <v>9.8972772277226822E-3</v>
      </c>
      <c r="V14" s="12">
        <f t="shared" si="2"/>
        <v>-5.9826732673267232E-3</v>
      </c>
      <c r="W14" s="12">
        <f t="shared" si="2"/>
        <v>2.1262376237623924E-3</v>
      </c>
      <c r="X14" s="12">
        <f t="shared" si="2"/>
        <v>-1.1050742574257458E-2</v>
      </c>
      <c r="Y14" s="12">
        <f t="shared" si="2"/>
        <v>-3.2336633663366421E-2</v>
      </c>
      <c r="Z14" s="12">
        <f t="shared" si="2"/>
        <v>-1.1050742574257458E-2</v>
      </c>
      <c r="AA14" s="17">
        <f t="shared" si="2"/>
        <v>1.5303217821782093E-2</v>
      </c>
      <c r="AB14" s="25">
        <f t="shared" si="2"/>
        <v>3.3886138613861354E-2</v>
      </c>
      <c r="AC14" s="12">
        <f t="shared" si="2"/>
        <v>2.3074257425742532E-2</v>
      </c>
      <c r="AD14" s="12">
        <f t="shared" si="2"/>
        <v>2.3074257425742532E-2</v>
      </c>
      <c r="AE14" s="12">
        <f t="shared" si="2"/>
        <v>1.2600247524752388E-2</v>
      </c>
      <c r="AF14" s="12">
        <f t="shared" si="2"/>
        <v>1.80061881188118E-2</v>
      </c>
      <c r="AG14" s="12">
        <f t="shared" si="2"/>
        <v>4.4360148514851497E-2</v>
      </c>
      <c r="AH14" s="12">
        <f t="shared" si="2"/>
        <v>6.0240099009900905E-2</v>
      </c>
      <c r="AI14" s="12">
        <f t="shared" si="2"/>
        <v>3.3886138613861354E-2</v>
      </c>
      <c r="AJ14" s="12">
        <f t="shared" si="2"/>
        <v>4.4360148514851497E-2</v>
      </c>
      <c r="AK14" s="12">
        <f t="shared" si="2"/>
        <v>-3.2797029702970179E-3</v>
      </c>
      <c r="AL14" s="12">
        <f t="shared" si="2"/>
        <v>2.3074257425742532E-2</v>
      </c>
      <c r="AM14" s="17">
        <f t="shared" si="2"/>
        <v>5.2131188118811789E-2</v>
      </c>
    </row>
    <row r="15" spans="2:39" x14ac:dyDescent="0.45">
      <c r="B15" s="80">
        <v>3191</v>
      </c>
      <c r="C15" s="81"/>
      <c r="D15" s="16">
        <f t="shared" ref="D15:AM15" si="3">(D6-$C6)/$C6</f>
        <v>4.6074898151049395E-3</v>
      </c>
      <c r="E15" s="12">
        <f t="shared" si="3"/>
        <v>-7.9305076778438794E-4</v>
      </c>
      <c r="F15" s="12">
        <f t="shared" si="3"/>
        <v>-5.8192964587904057E-3</v>
      </c>
      <c r="G15" s="12">
        <f t="shared" si="3"/>
        <v>-2.5041131306800333E-3</v>
      </c>
      <c r="H15" s="12">
        <f t="shared" si="3"/>
        <v>-4.1617047947353145E-3</v>
      </c>
      <c r="I15" s="12">
        <f t="shared" si="3"/>
        <v>4.3677530554683944E-4</v>
      </c>
      <c r="J15" s="12">
        <f t="shared" si="3"/>
        <v>5.8907865872767215E-3</v>
      </c>
      <c r="K15" s="12">
        <f t="shared" si="3"/>
        <v>5.8907865872767215E-3</v>
      </c>
      <c r="L15" s="12">
        <f t="shared" si="3"/>
        <v>-7.90465371356955E-3</v>
      </c>
      <c r="M15" s="12">
        <f t="shared" si="3"/>
        <v>1.0061501096834822E-2</v>
      </c>
      <c r="N15" s="12">
        <f t="shared" si="3"/>
        <v>-3.7339392040112605E-3</v>
      </c>
      <c r="O15" s="22">
        <f t="shared" si="3"/>
        <v>1.720072077718621E-3</v>
      </c>
      <c r="P15" s="16">
        <f t="shared" si="3"/>
        <v>1.0917032278282548E-2</v>
      </c>
      <c r="Q15" s="12">
        <f t="shared" si="3"/>
        <v>1.2923064869945671E-3</v>
      </c>
      <c r="R15" s="12">
        <f t="shared" si="3"/>
        <v>-7.4768881228454969E-3</v>
      </c>
      <c r="S15" s="12">
        <f t="shared" si="3"/>
        <v>-5.8192964587904057E-3</v>
      </c>
      <c r="T15" s="12">
        <f t="shared" si="3"/>
        <v>4.3677530554683944E-4</v>
      </c>
      <c r="U15" s="12">
        <f t="shared" si="3"/>
        <v>5.4630209965526675E-3</v>
      </c>
      <c r="V15" s="12">
        <f t="shared" si="3"/>
        <v>2.0943669696019307E-3</v>
      </c>
      <c r="W15" s="12">
        <f t="shared" si="3"/>
        <v>1.720072077718621E-3</v>
      </c>
      <c r="X15" s="12">
        <f t="shared" si="3"/>
        <v>9.0097148229755779E-6</v>
      </c>
      <c r="Y15" s="12">
        <f t="shared" si="3"/>
        <v>-3.7339392040112605E-3</v>
      </c>
      <c r="Z15" s="12">
        <f t="shared" si="3"/>
        <v>-1.2208163585084417E-3</v>
      </c>
      <c r="AA15" s="17">
        <f t="shared" si="3"/>
        <v>2.9498981510498483E-3</v>
      </c>
      <c r="AB15" s="25">
        <f t="shared" si="3"/>
        <v>6.3185521780005846E-3</v>
      </c>
      <c r="AC15" s="12">
        <f t="shared" si="3"/>
        <v>-3.6528517706052404E-4</v>
      </c>
      <c r="AD15" s="12">
        <f t="shared" si="3"/>
        <v>3.3776637417737123E-3</v>
      </c>
      <c r="AE15" s="12">
        <f t="shared" si="3"/>
        <v>-3.3061736132873969E-3</v>
      </c>
      <c r="AF15" s="12">
        <f t="shared" si="3"/>
        <v>1.2923064869945671E-3</v>
      </c>
      <c r="AG15" s="12">
        <f t="shared" si="3"/>
        <v>1.2923064869945671E-3</v>
      </c>
      <c r="AH15" s="12">
        <f t="shared" si="3"/>
        <v>3.8054293324975763E-3</v>
      </c>
      <c r="AI15" s="12">
        <f t="shared" si="3"/>
        <v>1.2923064869945671E-3</v>
      </c>
      <c r="AJ15" s="12">
        <f t="shared" si="3"/>
        <v>1.2923064869945671E-3</v>
      </c>
      <c r="AK15" s="12">
        <f t="shared" si="3"/>
        <v>-5.0172359761830425E-3</v>
      </c>
      <c r="AL15" s="12">
        <f t="shared" si="3"/>
        <v>2.0943669696019307E-3</v>
      </c>
      <c r="AM15" s="17">
        <f t="shared" si="3"/>
        <v>3.8054293324975763E-3</v>
      </c>
    </row>
    <row r="16" spans="2:39" x14ac:dyDescent="0.45">
      <c r="B16" s="80">
        <v>3276</v>
      </c>
      <c r="C16" s="81"/>
      <c r="D16" s="16">
        <f t="shared" ref="D16:AM16" si="4">(D7-$C7)/$C7</f>
        <v>5.0520833333334014E-3</v>
      </c>
      <c r="E16" s="12">
        <f t="shared" si="4"/>
        <v>-6.2500000000002376E-4</v>
      </c>
      <c r="F16" s="12">
        <f t="shared" si="4"/>
        <v>-4.3229166666665843E-3</v>
      </c>
      <c r="G16" s="12">
        <f t="shared" si="4"/>
        <v>-1.4583333333332653E-3</v>
      </c>
      <c r="H16" s="12">
        <f t="shared" si="4"/>
        <v>-1.8749999999998861E-3</v>
      </c>
      <c r="I16" s="12">
        <f t="shared" si="4"/>
        <v>9.8958333333343251E-4</v>
      </c>
      <c r="J16" s="12">
        <f t="shared" si="4"/>
        <v>7.0833333333332939E-3</v>
      </c>
      <c r="K16" s="12">
        <f t="shared" si="4"/>
        <v>5.4687500000000222E-3</v>
      </c>
      <c r="L16" s="12">
        <f t="shared" si="4"/>
        <v>-6.7708333333332815E-3</v>
      </c>
      <c r="M16" s="12">
        <f t="shared" si="4"/>
        <v>9.5312499999999911E-3</v>
      </c>
      <c r="N16" s="12">
        <f t="shared" si="4"/>
        <v>-2.7083333333333126E-3</v>
      </c>
      <c r="O16" s="22">
        <f t="shared" si="4"/>
        <v>2.6041666666667038E-3</v>
      </c>
      <c r="P16" s="16">
        <f t="shared" si="4"/>
        <v>1.0364583333333418E-2</v>
      </c>
      <c r="Q16" s="12">
        <f t="shared" si="4"/>
        <v>9.8958333333343251E-4</v>
      </c>
      <c r="R16" s="12">
        <f t="shared" si="4"/>
        <v>-7.1874999999999023E-3</v>
      </c>
      <c r="S16" s="12">
        <f t="shared" si="4"/>
        <v>-5.1562500000000107E-3</v>
      </c>
      <c r="T16" s="12">
        <f t="shared" si="4"/>
        <v>-6.2500000000002376E-4</v>
      </c>
      <c r="U16" s="12">
        <f t="shared" si="4"/>
        <v>5.0520833333334014E-3</v>
      </c>
      <c r="V16" s="12">
        <f t="shared" si="4"/>
        <v>1.4062500000000533E-3</v>
      </c>
      <c r="W16" s="12">
        <f t="shared" si="4"/>
        <v>9.8958333333343251E-4</v>
      </c>
      <c r="X16" s="12">
        <f t="shared" si="4"/>
        <v>1.5625000000000594E-4</v>
      </c>
      <c r="Y16" s="12">
        <f t="shared" si="4"/>
        <v>-4.7395833333332051E-3</v>
      </c>
      <c r="Z16" s="12">
        <f t="shared" si="4"/>
        <v>-1.4583333333332653E-3</v>
      </c>
      <c r="AA16" s="17">
        <f t="shared" si="4"/>
        <v>2.187500000000083E-3</v>
      </c>
      <c r="AB16" s="25">
        <f t="shared" si="4"/>
        <v>5.885416666666643E-3</v>
      </c>
      <c r="AC16" s="12">
        <f t="shared" si="4"/>
        <v>1.5625000000000594E-4</v>
      </c>
      <c r="AD16" s="12">
        <f t="shared" si="4"/>
        <v>3.0208333333333246E-3</v>
      </c>
      <c r="AE16" s="12">
        <f t="shared" si="4"/>
        <v>-3.0729166666667216E-3</v>
      </c>
      <c r="AF16" s="12">
        <f t="shared" si="4"/>
        <v>1.4062500000000533E-3</v>
      </c>
      <c r="AG16" s="12">
        <f t="shared" si="4"/>
        <v>9.8958333333343251E-4</v>
      </c>
      <c r="AH16" s="12">
        <f t="shared" si="4"/>
        <v>3.8541666666667513E-3</v>
      </c>
      <c r="AI16" s="12">
        <f t="shared" si="4"/>
        <v>1.4062500000000533E-3</v>
      </c>
      <c r="AJ16" s="12">
        <f t="shared" si="4"/>
        <v>5.7291666666662677E-4</v>
      </c>
      <c r="AK16" s="12">
        <f t="shared" si="4"/>
        <v>-3.9062499999999631E-3</v>
      </c>
      <c r="AL16" s="12">
        <f t="shared" si="4"/>
        <v>1.7708333333334623E-3</v>
      </c>
      <c r="AM16" s="17">
        <f t="shared" si="4"/>
        <v>3.4374999999999454E-3</v>
      </c>
    </row>
    <row r="17" spans="2:39" ht="17.5" thickBot="1" x14ac:dyDescent="0.5">
      <c r="B17" s="76">
        <v>4095</v>
      </c>
      <c r="C17" s="82"/>
      <c r="D17" s="18">
        <f t="shared" ref="D17:AM17" si="5">(D8-$C8)/$C8</f>
        <v>6.2083333333333712E-3</v>
      </c>
      <c r="E17" s="19">
        <f t="shared" si="5"/>
        <v>0</v>
      </c>
      <c r="F17" s="19">
        <f t="shared" si="5"/>
        <v>-1.291666666666617E-3</v>
      </c>
      <c r="G17" s="19">
        <f t="shared" si="5"/>
        <v>0</v>
      </c>
      <c r="H17" s="19">
        <f t="shared" si="5"/>
        <v>1.291666666666617E-3</v>
      </c>
      <c r="I17" s="19">
        <f t="shared" si="5"/>
        <v>-3.3333333333329662E-4</v>
      </c>
      <c r="J17" s="19">
        <f t="shared" si="5"/>
        <v>2.9166666666666785E-3</v>
      </c>
      <c r="K17" s="19">
        <f t="shared" si="5"/>
        <v>3.9166666666667167E-3</v>
      </c>
      <c r="L17" s="19">
        <f t="shared" si="5"/>
        <v>-3.2499999999999751E-3</v>
      </c>
      <c r="M17" s="19">
        <f t="shared" si="5"/>
        <v>5.8749999999999263E-3</v>
      </c>
      <c r="N17" s="19">
        <f t="shared" si="5"/>
        <v>1.000000000000038E-3</v>
      </c>
      <c r="O17" s="23">
        <f t="shared" si="5"/>
        <v>1.9583333333333583E-3</v>
      </c>
      <c r="P17" s="18">
        <f t="shared" si="5"/>
        <v>6.2083333333333712E-3</v>
      </c>
      <c r="Q17" s="19">
        <f t="shared" si="5"/>
        <v>6.6666666666659324E-4</v>
      </c>
      <c r="R17" s="19">
        <f t="shared" si="5"/>
        <v>-1.6250000000000615E-3</v>
      </c>
      <c r="S17" s="19">
        <f t="shared" si="5"/>
        <v>-1.6250000000000615E-3</v>
      </c>
      <c r="T17" s="19">
        <f t="shared" si="5"/>
        <v>-6.6666666666659324E-4</v>
      </c>
      <c r="U17" s="19">
        <f t="shared" si="5"/>
        <v>3.2499999999999751E-3</v>
      </c>
      <c r="V17" s="19">
        <f t="shared" si="5"/>
        <v>1.6250000000000615E-3</v>
      </c>
      <c r="W17" s="19">
        <f t="shared" si="5"/>
        <v>-9.5833333333332027E-4</v>
      </c>
      <c r="X17" s="19">
        <f t="shared" si="5"/>
        <v>-1.6250000000000615E-3</v>
      </c>
      <c r="Y17" s="19">
        <f t="shared" si="5"/>
        <v>-1.9583333333333583E-3</v>
      </c>
      <c r="Z17" s="19">
        <f t="shared" si="5"/>
        <v>-1.6250000000000615E-3</v>
      </c>
      <c r="AA17" s="20">
        <f t="shared" si="5"/>
        <v>0</v>
      </c>
      <c r="AB17" s="26">
        <f t="shared" si="5"/>
        <v>2.6249999999999516E-3</v>
      </c>
      <c r="AC17" s="19">
        <f t="shared" si="5"/>
        <v>-6.6666666666659324E-4</v>
      </c>
      <c r="AD17" s="19">
        <f t="shared" si="5"/>
        <v>1.9583333333333583E-3</v>
      </c>
      <c r="AE17" s="19">
        <f t="shared" si="5"/>
        <v>-3.5833333333332718E-3</v>
      </c>
      <c r="AF17" s="19">
        <f t="shared" si="5"/>
        <v>6.6666666666659324E-4</v>
      </c>
      <c r="AG17" s="19">
        <f t="shared" si="5"/>
        <v>-1.291666666666617E-3</v>
      </c>
      <c r="AH17" s="19">
        <f t="shared" si="5"/>
        <v>-1.6250000000000615E-3</v>
      </c>
      <c r="AI17" s="19">
        <f t="shared" si="5"/>
        <v>0</v>
      </c>
      <c r="AJ17" s="19">
        <f t="shared" si="5"/>
        <v>-2.291666666666655E-3</v>
      </c>
      <c r="AK17" s="19">
        <f t="shared" si="5"/>
        <v>-9.5833333333332027E-4</v>
      </c>
      <c r="AL17" s="19">
        <f t="shared" si="5"/>
        <v>1.000000000000038E-3</v>
      </c>
      <c r="AM17" s="20">
        <f t="shared" si="5"/>
        <v>3.3333333333329662E-4</v>
      </c>
    </row>
  </sheetData>
  <mergeCells count="14">
    <mergeCell ref="B12:C12"/>
    <mergeCell ref="B13:C13"/>
    <mergeCell ref="B14:C14"/>
    <mergeCell ref="B15:C15"/>
    <mergeCell ref="B17:C17"/>
    <mergeCell ref="B16:C16"/>
    <mergeCell ref="D2:O2"/>
    <mergeCell ref="P2:AA2"/>
    <mergeCell ref="AB2:AM2"/>
    <mergeCell ref="B2:C2"/>
    <mergeCell ref="B11:C11"/>
    <mergeCell ref="D11:O11"/>
    <mergeCell ref="P11:AA11"/>
    <mergeCell ref="AB11:AM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6AF5-736C-40E3-B956-5DB17C8FE64C}">
  <dimension ref="B1:AF13"/>
  <sheetViews>
    <sheetView tabSelected="1" zoomScale="70" zoomScaleNormal="70" workbookViewId="0"/>
  </sheetViews>
  <sheetFormatPr defaultRowHeight="17" x14ac:dyDescent="0.45"/>
  <cols>
    <col min="1" max="1" width="2.58203125" style="1" customWidth="1"/>
    <col min="2" max="3" width="8.6640625" style="1"/>
    <col min="4" max="11" width="10" style="1" customWidth="1"/>
    <col min="12" max="27" width="10" style="1" bestFit="1" customWidth="1"/>
    <col min="28" max="16384" width="8.6640625" style="1"/>
  </cols>
  <sheetData>
    <row r="1" spans="2:32" ht="17.5" thickBot="1" x14ac:dyDescent="0.5"/>
    <row r="2" spans="2:32" x14ac:dyDescent="0.45">
      <c r="B2" s="83" t="s">
        <v>17</v>
      </c>
      <c r="C2" s="84"/>
      <c r="D2" s="83" t="s">
        <v>13</v>
      </c>
      <c r="E2" s="84"/>
      <c r="F2" s="84"/>
      <c r="G2" s="84"/>
      <c r="H2" s="84"/>
      <c r="I2" s="84"/>
      <c r="J2" s="84"/>
      <c r="K2" s="85"/>
      <c r="L2" s="84" t="s">
        <v>14</v>
      </c>
      <c r="M2" s="84"/>
      <c r="N2" s="84"/>
      <c r="O2" s="84"/>
      <c r="P2" s="84"/>
      <c r="Q2" s="84"/>
      <c r="R2" s="84"/>
      <c r="S2" s="84"/>
      <c r="T2" s="83" t="s">
        <v>15</v>
      </c>
      <c r="U2" s="84"/>
      <c r="V2" s="84"/>
      <c r="W2" s="84"/>
      <c r="X2" s="84"/>
      <c r="Y2" s="84"/>
      <c r="Z2" s="84"/>
      <c r="AA2" s="85"/>
      <c r="AB2" s="29"/>
      <c r="AC2" s="29"/>
      <c r="AD2" s="30"/>
    </row>
    <row r="3" spans="2:32" ht="17.5" thickBot="1" x14ac:dyDescent="0.5">
      <c r="B3" s="41" t="s">
        <v>12</v>
      </c>
      <c r="C3" s="42" t="s">
        <v>16</v>
      </c>
      <c r="D3" s="33" t="s">
        <v>0</v>
      </c>
      <c r="E3" s="34" t="s">
        <v>1</v>
      </c>
      <c r="F3" s="34" t="s">
        <v>2</v>
      </c>
      <c r="G3" s="34" t="s">
        <v>3</v>
      </c>
      <c r="H3" s="34" t="s">
        <v>4</v>
      </c>
      <c r="I3" s="34" t="s">
        <v>5</v>
      </c>
      <c r="J3" s="34" t="s">
        <v>6</v>
      </c>
      <c r="K3" s="35" t="s">
        <v>7</v>
      </c>
      <c r="L3" s="34" t="s">
        <v>0</v>
      </c>
      <c r="M3" s="34" t="s">
        <v>1</v>
      </c>
      <c r="N3" s="34" t="s">
        <v>2</v>
      </c>
      <c r="O3" s="34" t="s">
        <v>3</v>
      </c>
      <c r="P3" s="34" t="s">
        <v>4</v>
      </c>
      <c r="Q3" s="34" t="s">
        <v>5</v>
      </c>
      <c r="R3" s="34" t="s">
        <v>6</v>
      </c>
      <c r="S3" s="34" t="s">
        <v>7</v>
      </c>
      <c r="T3" s="33" t="s">
        <v>0</v>
      </c>
      <c r="U3" s="34" t="s">
        <v>1</v>
      </c>
      <c r="V3" s="34" t="s">
        <v>2</v>
      </c>
      <c r="W3" s="34" t="s">
        <v>3</v>
      </c>
      <c r="X3" s="34" t="s">
        <v>4</v>
      </c>
      <c r="Y3" s="34" t="s">
        <v>5</v>
      </c>
      <c r="Z3" s="34" t="s">
        <v>6</v>
      </c>
      <c r="AA3" s="35" t="s">
        <v>7</v>
      </c>
      <c r="AB3" s="34" t="s">
        <v>19</v>
      </c>
      <c r="AC3" s="34" t="s">
        <v>20</v>
      </c>
      <c r="AD3" s="35" t="s">
        <v>21</v>
      </c>
    </row>
    <row r="4" spans="2:32" x14ac:dyDescent="0.45">
      <c r="B4" s="43">
        <v>353</v>
      </c>
      <c r="C4" s="44">
        <f>24*B4/4095</f>
        <v>2.0688644688644691</v>
      </c>
      <c r="D4" s="31">
        <v>2.0350000000000001</v>
      </c>
      <c r="E4" s="1">
        <v>2.0270000000000001</v>
      </c>
      <c r="F4" s="1">
        <v>2.0030000000000001</v>
      </c>
      <c r="G4" s="1">
        <v>2.0190000000000001</v>
      </c>
      <c r="H4" s="1">
        <v>2.0030000000000001</v>
      </c>
      <c r="I4" s="1">
        <v>2.0659999999999998</v>
      </c>
      <c r="J4" s="1">
        <v>2.1360000000000001</v>
      </c>
      <c r="K4" s="32">
        <v>2.0579999999999998</v>
      </c>
      <c r="L4" s="1">
        <v>2.1360000000000001</v>
      </c>
      <c r="M4" s="1">
        <v>2.0579999999999998</v>
      </c>
      <c r="N4" s="1">
        <v>1.9410000000000001</v>
      </c>
      <c r="O4" s="1">
        <v>1.964</v>
      </c>
      <c r="P4" s="1">
        <v>2.0499999999999998</v>
      </c>
      <c r="Q4" s="1">
        <v>2.089</v>
      </c>
      <c r="R4" s="1">
        <v>2.0579999999999998</v>
      </c>
      <c r="S4" s="1">
        <v>2.0739999999999998</v>
      </c>
      <c r="T4" s="31">
        <v>2.1749999999999998</v>
      </c>
      <c r="U4" s="1">
        <v>2.16</v>
      </c>
      <c r="V4" s="1">
        <v>2.1520000000000001</v>
      </c>
      <c r="W4" s="1">
        <v>2.1360000000000001</v>
      </c>
      <c r="X4" s="1">
        <v>2.1360000000000001</v>
      </c>
      <c r="Y4" s="1">
        <v>2.2069999999999999</v>
      </c>
      <c r="Z4" s="1">
        <v>2.246</v>
      </c>
      <c r="AA4" s="32">
        <v>2.1829999999999998</v>
      </c>
      <c r="AB4" s="1">
        <f>MIN(D4:AA4)</f>
        <v>1.9410000000000001</v>
      </c>
      <c r="AC4" s="1">
        <f>MAX(D4:AA4)</f>
        <v>2.246</v>
      </c>
      <c r="AD4" s="32">
        <f>AVERAGE(D4:AA4)</f>
        <v>2.0880000000000001</v>
      </c>
      <c r="AF4" s="86"/>
    </row>
    <row r="5" spans="2:32" x14ac:dyDescent="0.45">
      <c r="B5" s="43">
        <v>505</v>
      </c>
      <c r="C5" s="44">
        <f t="shared" ref="C5:C6" si="0">24*B5/4095</f>
        <v>2.9597069597069599</v>
      </c>
      <c r="D5" s="31">
        <v>2.9340000000000002</v>
      </c>
      <c r="E5" s="1">
        <v>2.927</v>
      </c>
      <c r="F5" s="1">
        <v>2.8879999999999999</v>
      </c>
      <c r="G5" s="1">
        <v>2.903</v>
      </c>
      <c r="H5" s="1">
        <v>2.8879999999999999</v>
      </c>
      <c r="I5" s="1">
        <v>2.9740000000000002</v>
      </c>
      <c r="J5" s="1">
        <v>3.052</v>
      </c>
      <c r="K5" s="32">
        <v>2.9660000000000002</v>
      </c>
      <c r="L5" s="1">
        <v>3.052</v>
      </c>
      <c r="M5" s="1">
        <v>2.95</v>
      </c>
      <c r="N5" s="1">
        <v>2.8010000000000002</v>
      </c>
      <c r="O5" s="1">
        <v>2.8330000000000002</v>
      </c>
      <c r="P5" s="1">
        <v>2.9340000000000002</v>
      </c>
      <c r="Q5" s="1">
        <v>2.9889999999999999</v>
      </c>
      <c r="R5" s="1">
        <v>2.9420000000000002</v>
      </c>
      <c r="S5" s="1">
        <v>2.9660000000000002</v>
      </c>
      <c r="T5" s="31">
        <v>3.06</v>
      </c>
      <c r="U5" s="1">
        <v>3.028</v>
      </c>
      <c r="V5" s="1">
        <v>3.028</v>
      </c>
      <c r="W5" s="1">
        <v>2.9969999999999999</v>
      </c>
      <c r="X5" s="1">
        <v>3.0129999999999999</v>
      </c>
      <c r="Y5" s="1">
        <v>3.0910000000000002</v>
      </c>
      <c r="Z5" s="1">
        <v>3.1379999999999999</v>
      </c>
      <c r="AA5" s="32">
        <v>3.06</v>
      </c>
      <c r="AB5" s="1">
        <f>MIN(D5:AA5)</f>
        <v>2.8010000000000002</v>
      </c>
      <c r="AC5" s="1">
        <f>MAX(D5:AA5)</f>
        <v>3.1379999999999999</v>
      </c>
      <c r="AD5" s="32">
        <f>AVERAGE(D5:AA5)</f>
        <v>2.9755833333333332</v>
      </c>
      <c r="AF5" s="86"/>
    </row>
    <row r="6" spans="2:32" ht="17.5" thickBot="1" x14ac:dyDescent="0.5">
      <c r="B6" s="41">
        <v>3191</v>
      </c>
      <c r="C6" s="45">
        <f t="shared" si="0"/>
        <v>18.701831501831503</v>
      </c>
      <c r="D6" s="33">
        <v>18.788</v>
      </c>
      <c r="E6" s="34">
        <v>18.687000000000001</v>
      </c>
      <c r="F6" s="34">
        <v>18.593</v>
      </c>
      <c r="G6" s="34">
        <v>18.655000000000001</v>
      </c>
      <c r="H6" s="34">
        <v>18.623999999999999</v>
      </c>
      <c r="I6" s="34">
        <v>18.71</v>
      </c>
      <c r="J6" s="34">
        <v>18.812000000000001</v>
      </c>
      <c r="K6" s="35">
        <v>18.812000000000001</v>
      </c>
      <c r="L6" s="34">
        <v>18.905999999999999</v>
      </c>
      <c r="M6" s="34">
        <v>18.725999999999999</v>
      </c>
      <c r="N6" s="34">
        <v>18.562000000000001</v>
      </c>
      <c r="O6" s="34">
        <v>18.593</v>
      </c>
      <c r="P6" s="34">
        <v>18.71</v>
      </c>
      <c r="Q6" s="34">
        <v>18.803999999999998</v>
      </c>
      <c r="R6" s="34">
        <v>18.741</v>
      </c>
      <c r="S6" s="34">
        <v>18.734000000000002</v>
      </c>
      <c r="T6" s="33">
        <v>18.82</v>
      </c>
      <c r="U6" s="34">
        <v>18.695</v>
      </c>
      <c r="V6" s="34">
        <v>18.765000000000001</v>
      </c>
      <c r="W6" s="34">
        <v>18.64</v>
      </c>
      <c r="X6" s="34">
        <v>18.725999999999999</v>
      </c>
      <c r="Y6" s="34">
        <v>18.725999999999999</v>
      </c>
      <c r="Z6" s="34">
        <v>18.773</v>
      </c>
      <c r="AA6" s="35">
        <v>18.725999999999999</v>
      </c>
      <c r="AB6" s="34">
        <f>MIN(D6:AA6)</f>
        <v>18.562000000000001</v>
      </c>
      <c r="AC6" s="34">
        <f>MAX(D6:AA6)</f>
        <v>18.905999999999999</v>
      </c>
      <c r="AD6" s="35">
        <f>AVERAGE(D6:AA6)</f>
        <v>18.721999999999998</v>
      </c>
      <c r="AF6" s="86"/>
    </row>
    <row r="8" spans="2:32" ht="17.5" thickBot="1" x14ac:dyDescent="0.5"/>
    <row r="9" spans="2:32" x14ac:dyDescent="0.45">
      <c r="C9" s="68" t="s">
        <v>18</v>
      </c>
      <c r="D9" s="83" t="s">
        <v>13</v>
      </c>
      <c r="E9" s="84"/>
      <c r="F9" s="84"/>
      <c r="G9" s="84"/>
      <c r="H9" s="84"/>
      <c r="I9" s="84"/>
      <c r="J9" s="84"/>
      <c r="K9" s="85"/>
      <c r="L9" s="84" t="s">
        <v>14</v>
      </c>
      <c r="M9" s="84"/>
      <c r="N9" s="84"/>
      <c r="O9" s="84"/>
      <c r="P9" s="84"/>
      <c r="Q9" s="84"/>
      <c r="R9" s="84"/>
      <c r="S9" s="84"/>
      <c r="T9" s="83" t="s">
        <v>15</v>
      </c>
      <c r="U9" s="84"/>
      <c r="V9" s="84"/>
      <c r="W9" s="84"/>
      <c r="X9" s="84"/>
      <c r="Y9" s="84"/>
      <c r="Z9" s="84"/>
      <c r="AA9" s="85"/>
      <c r="AB9" s="29"/>
      <c r="AC9" s="29"/>
      <c r="AD9" s="30"/>
    </row>
    <row r="10" spans="2:32" ht="17.5" thickBot="1" x14ac:dyDescent="0.5">
      <c r="C10" s="67" t="s">
        <v>12</v>
      </c>
      <c r="D10" s="33" t="s">
        <v>0</v>
      </c>
      <c r="E10" s="34" t="s">
        <v>1</v>
      </c>
      <c r="F10" s="34" t="s">
        <v>2</v>
      </c>
      <c r="G10" s="34" t="s">
        <v>3</v>
      </c>
      <c r="H10" s="34" t="s">
        <v>4</v>
      </c>
      <c r="I10" s="34" t="s">
        <v>5</v>
      </c>
      <c r="J10" s="34" t="s">
        <v>6</v>
      </c>
      <c r="K10" s="35" t="s">
        <v>7</v>
      </c>
      <c r="L10" s="34" t="s">
        <v>0</v>
      </c>
      <c r="M10" s="34" t="s">
        <v>1</v>
      </c>
      <c r="N10" s="34" t="s">
        <v>2</v>
      </c>
      <c r="O10" s="34" t="s">
        <v>3</v>
      </c>
      <c r="P10" s="34" t="s">
        <v>4</v>
      </c>
      <c r="Q10" s="34" t="s">
        <v>5</v>
      </c>
      <c r="R10" s="34" t="s">
        <v>6</v>
      </c>
      <c r="S10" s="34" t="s">
        <v>7</v>
      </c>
      <c r="T10" s="33" t="s">
        <v>0</v>
      </c>
      <c r="U10" s="34" t="s">
        <v>1</v>
      </c>
      <c r="V10" s="34" t="s">
        <v>2</v>
      </c>
      <c r="W10" s="34" t="s">
        <v>3</v>
      </c>
      <c r="X10" s="34" t="s">
        <v>4</v>
      </c>
      <c r="Y10" s="34" t="s">
        <v>5</v>
      </c>
      <c r="Z10" s="34" t="s">
        <v>6</v>
      </c>
      <c r="AA10" s="35" t="s">
        <v>7</v>
      </c>
      <c r="AB10" s="34" t="s">
        <v>19</v>
      </c>
      <c r="AC10" s="34" t="s">
        <v>20</v>
      </c>
      <c r="AD10" s="35" t="s">
        <v>21</v>
      </c>
    </row>
    <row r="11" spans="2:32" x14ac:dyDescent="0.45">
      <c r="C11" s="66">
        <v>353</v>
      </c>
      <c r="D11" s="39">
        <f t="shared" ref="D11:AA11" si="1">(D4-$C4)/$C4</f>
        <v>-1.6368626062322974E-2</v>
      </c>
      <c r="E11" s="28">
        <f t="shared" si="1"/>
        <v>-2.0235481586402294E-2</v>
      </c>
      <c r="F11" s="28">
        <f t="shared" si="1"/>
        <v>-3.1836048158640266E-2</v>
      </c>
      <c r="G11" s="28">
        <f t="shared" si="1"/>
        <v>-2.4102337110481618E-2</v>
      </c>
      <c r="H11" s="28">
        <f t="shared" si="1"/>
        <v>-3.1836048158640266E-2</v>
      </c>
      <c r="I11" s="28">
        <f t="shared" si="1"/>
        <v>-1.3845609065157561E-3</v>
      </c>
      <c r="J11" s="28">
        <f t="shared" si="1"/>
        <v>3.2450424929178427E-2</v>
      </c>
      <c r="K11" s="36">
        <f t="shared" si="1"/>
        <v>-5.2514164305950788E-3</v>
      </c>
      <c r="L11" s="28">
        <f t="shared" si="1"/>
        <v>3.2450424929178427E-2</v>
      </c>
      <c r="M11" s="28">
        <f t="shared" si="1"/>
        <v>-5.2514164305950788E-3</v>
      </c>
      <c r="N11" s="28">
        <f t="shared" si="1"/>
        <v>-6.1804178470255017E-2</v>
      </c>
      <c r="O11" s="28">
        <f t="shared" si="1"/>
        <v>-5.0686968838527018E-2</v>
      </c>
      <c r="P11" s="28">
        <f t="shared" si="1"/>
        <v>-9.1182719546744027E-3</v>
      </c>
      <c r="Q11" s="28">
        <f t="shared" si="1"/>
        <v>9.732648725212352E-3</v>
      </c>
      <c r="R11" s="28">
        <f t="shared" si="1"/>
        <v>-5.2514164305950788E-3</v>
      </c>
      <c r="S11" s="28">
        <f t="shared" si="1"/>
        <v>2.482294617563567E-3</v>
      </c>
      <c r="T11" s="39">
        <f t="shared" si="1"/>
        <v>5.130134560906497E-2</v>
      </c>
      <c r="U11" s="28">
        <f t="shared" si="1"/>
        <v>4.4050991501416399E-2</v>
      </c>
      <c r="V11" s="28">
        <f t="shared" si="1"/>
        <v>4.0184135977337075E-2</v>
      </c>
      <c r="W11" s="28">
        <f t="shared" si="1"/>
        <v>3.2450424929178427E-2</v>
      </c>
      <c r="X11" s="28">
        <f t="shared" si="1"/>
        <v>3.2450424929178427E-2</v>
      </c>
      <c r="Y11" s="28">
        <f t="shared" si="1"/>
        <v>6.6768767705382259E-2</v>
      </c>
      <c r="Z11" s="28">
        <f t="shared" si="1"/>
        <v>8.561968838526901E-2</v>
      </c>
      <c r="AA11" s="36">
        <f t="shared" si="1"/>
        <v>5.5168201133144294E-2</v>
      </c>
      <c r="AB11" s="28">
        <f>MIN(D11:AA11)</f>
        <v>-6.1804178470255017E-2</v>
      </c>
      <c r="AC11" s="28">
        <f>MAX(D11:AA11)</f>
        <v>8.561968838526901E-2</v>
      </c>
      <c r="AD11" s="36">
        <f>AVERAGE(D11:AA11)</f>
        <v>9.2492917847024469E-3</v>
      </c>
    </row>
    <row r="12" spans="2:32" x14ac:dyDescent="0.45">
      <c r="C12" s="66">
        <v>505</v>
      </c>
      <c r="D12" s="39">
        <f t="shared" ref="D12:AA12" si="2">(D5-$C5)/$C5</f>
        <v>-8.6856435643564277E-3</v>
      </c>
      <c r="E12" s="28">
        <f t="shared" si="2"/>
        <v>-1.1050742574257458E-2</v>
      </c>
      <c r="F12" s="28">
        <f t="shared" si="2"/>
        <v>-2.4227722772277308E-2</v>
      </c>
      <c r="G12" s="28">
        <f t="shared" si="2"/>
        <v>-1.9159653465346572E-2</v>
      </c>
      <c r="H12" s="28">
        <f t="shared" si="2"/>
        <v>-2.4227722772277308E-2</v>
      </c>
      <c r="I12" s="28">
        <f t="shared" si="2"/>
        <v>4.8292079207920982E-3</v>
      </c>
      <c r="J12" s="28">
        <f t="shared" si="2"/>
        <v>3.1183168316831648E-2</v>
      </c>
      <c r="K12" s="36">
        <f t="shared" si="2"/>
        <v>2.1262376237623924E-3</v>
      </c>
      <c r="L12" s="28">
        <f t="shared" si="2"/>
        <v>3.1183168316831648E-2</v>
      </c>
      <c r="M12" s="28">
        <f t="shared" si="2"/>
        <v>-3.2797029702970179E-3</v>
      </c>
      <c r="N12" s="28">
        <f t="shared" si="2"/>
        <v>-5.362252475247524E-2</v>
      </c>
      <c r="O12" s="28">
        <f t="shared" si="2"/>
        <v>-4.2810643564356418E-2</v>
      </c>
      <c r="P12" s="28">
        <f t="shared" si="2"/>
        <v>-8.6856435643564277E-3</v>
      </c>
      <c r="Q12" s="28">
        <f t="shared" si="2"/>
        <v>9.8972772277226822E-3</v>
      </c>
      <c r="R12" s="28">
        <f t="shared" si="2"/>
        <v>-5.9826732673267232E-3</v>
      </c>
      <c r="S12" s="28">
        <f t="shared" si="2"/>
        <v>2.1262376237623924E-3</v>
      </c>
      <c r="T12" s="39">
        <f t="shared" si="2"/>
        <v>3.3886138613861354E-2</v>
      </c>
      <c r="U12" s="28">
        <f t="shared" si="2"/>
        <v>2.3074257425742532E-2</v>
      </c>
      <c r="V12" s="28">
        <f t="shared" si="2"/>
        <v>2.3074257425742532E-2</v>
      </c>
      <c r="W12" s="28">
        <f t="shared" si="2"/>
        <v>1.2600247524752388E-2</v>
      </c>
      <c r="X12" s="28">
        <f t="shared" si="2"/>
        <v>1.80061881188118E-2</v>
      </c>
      <c r="Y12" s="28">
        <f t="shared" si="2"/>
        <v>4.4360148514851497E-2</v>
      </c>
      <c r="Z12" s="28">
        <f t="shared" si="2"/>
        <v>6.0240099009900905E-2</v>
      </c>
      <c r="AA12" s="36">
        <f t="shared" si="2"/>
        <v>3.3886138613861354E-2</v>
      </c>
      <c r="AB12" s="28">
        <f>MIN(D12:AA12)</f>
        <v>-5.362252475247524E-2</v>
      </c>
      <c r="AC12" s="28">
        <f>MAX(D12:AA12)</f>
        <v>6.0240099009900905E-2</v>
      </c>
      <c r="AD12" s="36">
        <f>AVERAGE(D12:AA12)</f>
        <v>5.3641707920791815E-3</v>
      </c>
    </row>
    <row r="13" spans="2:32" ht="17.5" thickBot="1" x14ac:dyDescent="0.5">
      <c r="C13" s="67">
        <v>3191</v>
      </c>
      <c r="D13" s="40">
        <f t="shared" ref="D13:AA13" si="3">(D6-$C6)/$C6</f>
        <v>4.6074898151049395E-3</v>
      </c>
      <c r="E13" s="37">
        <f t="shared" si="3"/>
        <v>-7.9305076778438794E-4</v>
      </c>
      <c r="F13" s="37">
        <f t="shared" si="3"/>
        <v>-5.8192964587904057E-3</v>
      </c>
      <c r="G13" s="37">
        <f t="shared" si="3"/>
        <v>-2.5041131306800333E-3</v>
      </c>
      <c r="H13" s="37">
        <f t="shared" si="3"/>
        <v>-4.1617047947353145E-3</v>
      </c>
      <c r="I13" s="37">
        <f t="shared" si="3"/>
        <v>4.3677530554683944E-4</v>
      </c>
      <c r="J13" s="37">
        <f t="shared" si="3"/>
        <v>5.8907865872767215E-3</v>
      </c>
      <c r="K13" s="38">
        <f t="shared" si="3"/>
        <v>5.8907865872767215E-3</v>
      </c>
      <c r="L13" s="37">
        <f t="shared" si="3"/>
        <v>1.0917032278282548E-2</v>
      </c>
      <c r="M13" s="37">
        <f t="shared" si="3"/>
        <v>1.2923064869945671E-3</v>
      </c>
      <c r="N13" s="37">
        <f t="shared" si="3"/>
        <v>-7.4768881228454969E-3</v>
      </c>
      <c r="O13" s="37">
        <f t="shared" si="3"/>
        <v>-5.8192964587904057E-3</v>
      </c>
      <c r="P13" s="37">
        <f t="shared" si="3"/>
        <v>4.3677530554683944E-4</v>
      </c>
      <c r="Q13" s="37">
        <f t="shared" si="3"/>
        <v>5.4630209965526675E-3</v>
      </c>
      <c r="R13" s="37">
        <f t="shared" si="3"/>
        <v>2.0943669696019307E-3</v>
      </c>
      <c r="S13" s="37">
        <f t="shared" si="3"/>
        <v>1.720072077718621E-3</v>
      </c>
      <c r="T13" s="40">
        <f t="shared" si="3"/>
        <v>6.3185521780005846E-3</v>
      </c>
      <c r="U13" s="37">
        <f t="shared" si="3"/>
        <v>-3.6528517706052404E-4</v>
      </c>
      <c r="V13" s="37">
        <f t="shared" si="3"/>
        <v>3.3776637417737123E-3</v>
      </c>
      <c r="W13" s="37">
        <f t="shared" si="3"/>
        <v>-3.3061736132873969E-3</v>
      </c>
      <c r="X13" s="37">
        <f t="shared" si="3"/>
        <v>1.2923064869945671E-3</v>
      </c>
      <c r="Y13" s="37">
        <f t="shared" si="3"/>
        <v>1.2923064869945671E-3</v>
      </c>
      <c r="Z13" s="37">
        <f t="shared" si="3"/>
        <v>3.8054293324975763E-3</v>
      </c>
      <c r="AA13" s="38">
        <f t="shared" si="3"/>
        <v>1.2923064869945671E-3</v>
      </c>
      <c r="AB13" s="37">
        <f>MIN(D13:AA13)</f>
        <v>-7.4768881228454969E-3</v>
      </c>
      <c r="AC13" s="37">
        <f>MAX(D13:AA13)</f>
        <v>1.0917032278282548E-2</v>
      </c>
      <c r="AD13" s="38">
        <f>AVERAGE(D13:AA13)</f>
        <v>1.0784236916326669E-3</v>
      </c>
    </row>
  </sheetData>
  <mergeCells count="8">
    <mergeCell ref="AF4:AF6"/>
    <mergeCell ref="B2:C2"/>
    <mergeCell ref="D2:K2"/>
    <mergeCell ref="L2:S2"/>
    <mergeCell ref="T2:AA2"/>
    <mergeCell ref="D9:K9"/>
    <mergeCell ref="L9:S9"/>
    <mergeCell ref="T9:AA9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2025-05-28T05:43:30Z</dcterms:created>
  <dcterms:modified xsi:type="dcterms:W3CDTF">2025-05-28T08:04:04Z</dcterms:modified>
</cp:coreProperties>
</file>