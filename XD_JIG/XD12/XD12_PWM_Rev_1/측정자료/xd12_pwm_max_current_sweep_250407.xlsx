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6BC7AE23-10D2-4557-83A7-3688BFBC7B04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Z35" i="1" s="1"/>
  <c r="O34" i="1"/>
  <c r="Q34" i="1" s="1"/>
  <c r="O33" i="1"/>
  <c r="Z33" i="1" s="1"/>
  <c r="R32" i="1"/>
  <c r="O32" i="1"/>
  <c r="U32" i="1" s="1"/>
  <c r="O31" i="1"/>
  <c r="W31" i="1" s="1"/>
  <c r="O30" i="1"/>
  <c r="Y30" i="1" s="1"/>
  <c r="O29" i="1"/>
  <c r="P29" i="1" s="1"/>
  <c r="O28" i="1"/>
  <c r="AA28" i="1" s="1"/>
  <c r="O23" i="1"/>
  <c r="AA23" i="1" s="1"/>
  <c r="O22" i="1"/>
  <c r="R22" i="1" s="1"/>
  <c r="O21" i="1"/>
  <c r="AA21" i="1" s="1"/>
  <c r="O20" i="1"/>
  <c r="V20" i="1" s="1"/>
  <c r="O19" i="1"/>
  <c r="AA19" i="1" s="1"/>
  <c r="O18" i="1"/>
  <c r="Z18" i="1" s="1"/>
  <c r="O17" i="1"/>
  <c r="Q17" i="1" s="1"/>
  <c r="O16" i="1"/>
  <c r="AA16" i="1" s="1"/>
  <c r="P5" i="1"/>
  <c r="Q5" i="1"/>
  <c r="R5" i="1"/>
  <c r="S5" i="1"/>
  <c r="T5" i="1"/>
  <c r="U5" i="1"/>
  <c r="V5" i="1"/>
  <c r="W5" i="1"/>
  <c r="X5" i="1"/>
  <c r="Y5" i="1"/>
  <c r="Z5" i="1"/>
  <c r="AA5" i="1"/>
  <c r="P6" i="1"/>
  <c r="Q6" i="1"/>
  <c r="R6" i="1"/>
  <c r="S6" i="1"/>
  <c r="T6" i="1"/>
  <c r="U6" i="1"/>
  <c r="V6" i="1"/>
  <c r="W6" i="1"/>
  <c r="X6" i="1"/>
  <c r="Y6" i="1"/>
  <c r="Z6" i="1"/>
  <c r="AA6" i="1"/>
  <c r="P7" i="1"/>
  <c r="Q7" i="1"/>
  <c r="R7" i="1"/>
  <c r="S7" i="1"/>
  <c r="T7" i="1"/>
  <c r="U7" i="1"/>
  <c r="V7" i="1"/>
  <c r="W7" i="1"/>
  <c r="X7" i="1"/>
  <c r="Y7" i="1"/>
  <c r="Z7" i="1"/>
  <c r="AA7" i="1"/>
  <c r="P8" i="1"/>
  <c r="Q8" i="1"/>
  <c r="R8" i="1"/>
  <c r="S8" i="1"/>
  <c r="T8" i="1"/>
  <c r="U8" i="1"/>
  <c r="V8" i="1"/>
  <c r="W8" i="1"/>
  <c r="X8" i="1"/>
  <c r="Y8" i="1"/>
  <c r="Z8" i="1"/>
  <c r="AA8" i="1"/>
  <c r="P9" i="1"/>
  <c r="Q9" i="1"/>
  <c r="R9" i="1"/>
  <c r="S9" i="1"/>
  <c r="T9" i="1"/>
  <c r="U9" i="1"/>
  <c r="V9" i="1"/>
  <c r="W9" i="1"/>
  <c r="X9" i="1"/>
  <c r="Y9" i="1"/>
  <c r="Z9" i="1"/>
  <c r="AA9" i="1"/>
  <c r="P10" i="1"/>
  <c r="Q10" i="1"/>
  <c r="R10" i="1"/>
  <c r="S10" i="1"/>
  <c r="T10" i="1"/>
  <c r="U10" i="1"/>
  <c r="V10" i="1"/>
  <c r="W10" i="1"/>
  <c r="X10" i="1"/>
  <c r="Y10" i="1"/>
  <c r="Z10" i="1"/>
  <c r="AA10" i="1"/>
  <c r="P11" i="1"/>
  <c r="Q11" i="1"/>
  <c r="R11" i="1"/>
  <c r="S11" i="1"/>
  <c r="T11" i="1"/>
  <c r="U11" i="1"/>
  <c r="V11" i="1"/>
  <c r="W11" i="1"/>
  <c r="X11" i="1"/>
  <c r="Y11" i="1"/>
  <c r="Z11" i="1"/>
  <c r="AA11" i="1"/>
  <c r="Q4" i="1"/>
  <c r="R4" i="1"/>
  <c r="S4" i="1"/>
  <c r="T4" i="1"/>
  <c r="U4" i="1"/>
  <c r="V4" i="1"/>
  <c r="W4" i="1"/>
  <c r="X4" i="1"/>
  <c r="Y4" i="1"/>
  <c r="Z4" i="1"/>
  <c r="AA4" i="1"/>
  <c r="P4" i="1"/>
  <c r="O5" i="1"/>
  <c r="O6" i="1"/>
  <c r="O7" i="1"/>
  <c r="O8" i="1"/>
  <c r="O9" i="1"/>
  <c r="O10" i="1"/>
  <c r="O11" i="1"/>
  <c r="O4" i="1"/>
  <c r="X32" i="1" l="1"/>
  <c r="Y32" i="1"/>
  <c r="V32" i="1"/>
  <c r="Z32" i="1"/>
  <c r="S32" i="1"/>
  <c r="W32" i="1"/>
  <c r="AA32" i="1"/>
  <c r="AA17" i="1"/>
  <c r="R29" i="1"/>
  <c r="T29" i="1"/>
  <c r="V29" i="1"/>
  <c r="S34" i="1"/>
  <c r="T34" i="1"/>
  <c r="U34" i="1"/>
  <c r="Z29" i="1"/>
  <c r="AA29" i="1"/>
  <c r="Z34" i="1"/>
  <c r="Q29" i="1"/>
  <c r="S29" i="1"/>
  <c r="U29" i="1"/>
  <c r="R34" i="1"/>
  <c r="W29" i="1"/>
  <c r="X29" i="1"/>
  <c r="Y29" i="1"/>
  <c r="V34" i="1"/>
  <c r="W34" i="1"/>
  <c r="X34" i="1"/>
  <c r="Z30" i="1"/>
  <c r="Y34" i="1"/>
  <c r="AA30" i="1"/>
  <c r="AA34" i="1"/>
  <c r="Q32" i="1"/>
  <c r="AA35" i="1"/>
  <c r="P31" i="1"/>
  <c r="S31" i="1"/>
  <c r="P33" i="1"/>
  <c r="P28" i="1"/>
  <c r="Q33" i="1"/>
  <c r="Q28" i="1"/>
  <c r="V31" i="1"/>
  <c r="S28" i="1"/>
  <c r="R35" i="1"/>
  <c r="T31" i="1"/>
  <c r="R33" i="1"/>
  <c r="S33" i="1"/>
  <c r="X31" i="1"/>
  <c r="T33" i="1"/>
  <c r="P35" i="1"/>
  <c r="T28" i="1"/>
  <c r="P30" i="1"/>
  <c r="Y31" i="1"/>
  <c r="U33" i="1"/>
  <c r="Q35" i="1"/>
  <c r="U28" i="1"/>
  <c r="Q30" i="1"/>
  <c r="Z31" i="1"/>
  <c r="V33" i="1"/>
  <c r="V28" i="1"/>
  <c r="R30" i="1"/>
  <c r="AA31" i="1"/>
  <c r="W33" i="1"/>
  <c r="S35" i="1"/>
  <c r="W28" i="1"/>
  <c r="S30" i="1"/>
  <c r="X33" i="1"/>
  <c r="T35" i="1"/>
  <c r="X28" i="1"/>
  <c r="T30" i="1"/>
  <c r="P32" i="1"/>
  <c r="Y33" i="1"/>
  <c r="U35" i="1"/>
  <c r="Q31" i="1"/>
  <c r="R31" i="1"/>
  <c r="U30" i="1"/>
  <c r="V35" i="1"/>
  <c r="Z28" i="1"/>
  <c r="V30" i="1"/>
  <c r="AA33" i="1"/>
  <c r="W30" i="1"/>
  <c r="X35" i="1"/>
  <c r="U31" i="1"/>
  <c r="R28" i="1"/>
  <c r="Y28" i="1"/>
  <c r="W35" i="1"/>
  <c r="X30" i="1"/>
  <c r="T32" i="1"/>
  <c r="P34" i="1"/>
  <c r="Y35" i="1"/>
  <c r="AA18" i="1"/>
  <c r="X20" i="1"/>
  <c r="Z20" i="1"/>
  <c r="AA20" i="1"/>
  <c r="T22" i="1"/>
  <c r="S17" i="1"/>
  <c r="T17" i="1"/>
  <c r="W22" i="1"/>
  <c r="X22" i="1"/>
  <c r="W17" i="1"/>
  <c r="Y22" i="1"/>
  <c r="S22" i="1"/>
  <c r="V22" i="1"/>
  <c r="V17" i="1"/>
  <c r="X17" i="1"/>
  <c r="Z22" i="1"/>
  <c r="AA22" i="1"/>
  <c r="W20" i="1"/>
  <c r="Y20" i="1"/>
  <c r="R17" i="1"/>
  <c r="U22" i="1"/>
  <c r="U17" i="1"/>
  <c r="Y17" i="1"/>
  <c r="Z17" i="1"/>
  <c r="P19" i="1"/>
  <c r="Q19" i="1"/>
  <c r="R19" i="1"/>
  <c r="S19" i="1"/>
  <c r="T19" i="1"/>
  <c r="P21" i="1"/>
  <c r="P16" i="1"/>
  <c r="U19" i="1"/>
  <c r="Q21" i="1"/>
  <c r="Q16" i="1"/>
  <c r="V19" i="1"/>
  <c r="R21" i="1"/>
  <c r="R16" i="1"/>
  <c r="W19" i="1"/>
  <c r="S21" i="1"/>
  <c r="S16" i="1"/>
  <c r="X19" i="1"/>
  <c r="T21" i="1"/>
  <c r="P23" i="1"/>
  <c r="T16" i="1"/>
  <c r="P18" i="1"/>
  <c r="Y19" i="1"/>
  <c r="U21" i="1"/>
  <c r="Q23" i="1"/>
  <c r="U16" i="1"/>
  <c r="Q18" i="1"/>
  <c r="Z19" i="1"/>
  <c r="V21" i="1"/>
  <c r="R23" i="1"/>
  <c r="V16" i="1"/>
  <c r="R18" i="1"/>
  <c r="W21" i="1"/>
  <c r="S23" i="1"/>
  <c r="W16" i="1"/>
  <c r="S18" i="1"/>
  <c r="X21" i="1"/>
  <c r="T23" i="1"/>
  <c r="X16" i="1"/>
  <c r="T18" i="1"/>
  <c r="P20" i="1"/>
  <c r="Y21" i="1"/>
  <c r="U23" i="1"/>
  <c r="Y16" i="1"/>
  <c r="U18" i="1"/>
  <c r="Q20" i="1"/>
  <c r="Z21" i="1"/>
  <c r="V23" i="1"/>
  <c r="Z16" i="1"/>
  <c r="V18" i="1"/>
  <c r="R20" i="1"/>
  <c r="W23" i="1"/>
  <c r="W18" i="1"/>
  <c r="S20" i="1"/>
  <c r="X23" i="1"/>
  <c r="X18" i="1"/>
  <c r="T20" i="1"/>
  <c r="P22" i="1"/>
  <c r="Y23" i="1"/>
  <c r="P17" i="1"/>
  <c r="Y18" i="1"/>
  <c r="U20" i="1"/>
  <c r="Q22" i="1"/>
  <c r="Z23" i="1"/>
</calcChain>
</file>

<file path=xl/sharedStrings.xml><?xml version="1.0" encoding="utf-8"?>
<sst xmlns="http://schemas.openxmlformats.org/spreadsheetml/2006/main" count="81" uniqueCount="27">
  <si>
    <t>vref</t>
  </si>
  <si>
    <t>dev_1</t>
    <phoneticPr fontId="1" type="noConversion"/>
  </si>
  <si>
    <t>dev_2</t>
  </si>
  <si>
    <t>dev_3</t>
  </si>
  <si>
    <t>dev_4</t>
  </si>
  <si>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</si>
  <si>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</si>
  <si>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</si>
  <si>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</si>
  <si>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</si>
  <si>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</si>
  <si>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</si>
  <si>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</si>
  <si>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</si>
  <si>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</si>
  <si>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</si>
  <si>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</si>
  <si>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</si>
  <si>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spec</t>
    <phoneticPr fontId="1" type="noConversion"/>
  </si>
  <si>
    <t>dev_6</t>
  </si>
  <si>
    <t>dev_7</t>
  </si>
  <si>
    <t>dev_5</t>
  </si>
  <si>
    <t>dev_8</t>
  </si>
  <si>
    <t>dev_9</t>
  </si>
  <si>
    <t>dev_10</t>
  </si>
  <si>
    <t>dev_11</t>
  </si>
  <si>
    <t>dev_12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</si>
</sst>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10" fontId="0" fillId="0" borderId="0" xfId="1" applyNumberFormat="1" applyFont="1" applyAlignment="1"/>
    <xf numFmtId="0" fontId="0" fillId="2" borderId="0" xfId="0" applyFill="1"/>
    <xf numFmtId="0" fontId="0" fillId="0" borderId="0" xfId="0" applyFill="1"/>
    <xf numFmtId="10" fontId="0" fillId="0" borderId="0" xfId="1" applyNumberFormat="1" applyFont="1" applyFill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zoomScale="85" zoomScaleNormal="85" workbookViewId="0"/>
  </sheetViews>
  <sheetFormatPr defaultRowHeight="16.899999999999999" x14ac:dyDescent="0.6"/>
  <sheetData>
    <row r="2" spans="2:27" x14ac:dyDescent="0.6">
      <c r="B2" s="2" t="s">
        <v>0</v>
      </c>
      <c r="C2" s="2">
        <v>3276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2:27" x14ac:dyDescent="0.6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2" t="s">
        <v>1</v>
      </c>
      <c r="Q3" s="2" t="s">
        <v>2</v>
      </c>
      <c r="R3" s="2" t="s">
        <v>3</v>
      </c>
      <c r="S3" s="2" t="s">
        <v>4</v>
      </c>
      <c r="T3" s="2" t="s">
        <v>21</v>
      </c>
      <c r="U3" s="2" t="s">
        <v>19</v>
      </c>
      <c r="V3" s="2" t="s">
        <v>20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</row>
    <row r="4" spans="2:27" x14ac:dyDescent="0.6">
      <c r="B4" s="2">
        <v>4</v>
      </c>
      <c r="C4" s="3">
        <v>3.2005300000000001</v>
      </c>
      <c r="D4" s="3">
        <v>3.17706</v>
      </c>
      <c r="E4" s="3">
        <v>3.1848800000000002</v>
      </c>
      <c r="F4" s="3">
        <v>3.2240099999999998</v>
      </c>
      <c r="G4" s="3">
        <v>3.1692300000000002</v>
      </c>
      <c r="H4" s="4">
        <v>3.17706</v>
      </c>
      <c r="I4" s="4">
        <v>3.1692300000000002</v>
      </c>
      <c r="J4" s="4">
        <v>3.23183</v>
      </c>
      <c r="K4" s="4">
        <v>3.21618</v>
      </c>
      <c r="L4" s="3">
        <v>3.2396600000000002</v>
      </c>
      <c r="M4" s="3">
        <v>3.2631299999999999</v>
      </c>
      <c r="N4" s="3">
        <v>3.23183</v>
      </c>
      <c r="O4" s="2">
        <f>B4*$C$2/4095</f>
        <v>3.2</v>
      </c>
      <c r="P4" s="1">
        <f>(C4-$O4)/$O4</f>
        <v>1.6562499999997482E-4</v>
      </c>
      <c r="Q4" s="1">
        <f t="shared" ref="Q4:AA4" si="0">(D4-$O4)/$O4</f>
        <v>-7.168750000000057E-3</v>
      </c>
      <c r="R4" s="1">
        <f t="shared" si="0"/>
        <v>-4.725000000000007E-3</v>
      </c>
      <c r="S4" s="1">
        <f t="shared" si="0"/>
        <v>7.5031249999998884E-3</v>
      </c>
      <c r="T4" s="1">
        <f t="shared" si="0"/>
        <v>-9.6156249999999888E-3</v>
      </c>
      <c r="U4" s="1">
        <f t="shared" si="0"/>
        <v>-7.168750000000057E-3</v>
      </c>
      <c r="V4" s="1">
        <f t="shared" si="0"/>
        <v>-9.6156249999999888E-3</v>
      </c>
      <c r="W4" s="1">
        <f t="shared" si="0"/>
        <v>9.9468749999999384E-3</v>
      </c>
      <c r="X4" s="1">
        <f t="shared" si="0"/>
        <v>5.0562499999999566E-3</v>
      </c>
      <c r="Y4" s="1">
        <f t="shared" si="0"/>
        <v>1.2393750000000009E-2</v>
      </c>
      <c r="Z4" s="1">
        <f t="shared" si="0"/>
        <v>1.9728124999999902E-2</v>
      </c>
      <c r="AA4" s="1">
        <f t="shared" si="0"/>
        <v>9.9468749999999384E-3</v>
      </c>
    </row>
    <row r="5" spans="2:27" x14ac:dyDescent="0.6">
      <c r="B5" s="2">
        <v>8</v>
      </c>
      <c r="C5" s="3">
        <v>6.4401900000000003</v>
      </c>
      <c r="D5" s="3">
        <v>6.4558400000000002</v>
      </c>
      <c r="E5" s="3">
        <v>6.4323600000000001</v>
      </c>
      <c r="F5" s="3">
        <v>6.4401900000000003</v>
      </c>
      <c r="G5" s="3">
        <v>6.44801</v>
      </c>
      <c r="H5" s="4">
        <v>6.44801</v>
      </c>
      <c r="I5" s="4">
        <v>6.44801</v>
      </c>
      <c r="J5" s="4">
        <v>6.4323600000000001</v>
      </c>
      <c r="K5" s="4">
        <v>6.4401900000000003</v>
      </c>
      <c r="L5" s="3">
        <v>6.46366</v>
      </c>
      <c r="M5" s="3">
        <v>6.4558400000000002</v>
      </c>
      <c r="N5" s="3">
        <v>6.4401900000000003</v>
      </c>
      <c r="O5" s="2">
        <f t="shared" ref="O5:O11" si="1">B5*$C$2/4095</f>
        <v>6.4</v>
      </c>
      <c r="P5" s="1">
        <f t="shared" ref="P5:P11" si="2">(C5-$O5)/$O5</f>
        <v>6.2796874999999919E-3</v>
      </c>
      <c r="Q5" s="1">
        <f t="shared" ref="Q5:Q11" si="3">(D5-$O5)/$O5</f>
        <v>8.7249999999999828E-3</v>
      </c>
      <c r="R5" s="1">
        <f t="shared" ref="R5:R11" si="4">(E5-$O5)/$O5</f>
        <v>5.0562499999999566E-3</v>
      </c>
      <c r="S5" s="1">
        <f t="shared" ref="S5:S11" si="5">(F5-$O5)/$O5</f>
        <v>6.2796874999999919E-3</v>
      </c>
      <c r="T5" s="1">
        <f t="shared" ref="T5:T11" si="6">(G5-$O5)/$O5</f>
        <v>7.5015624999999475E-3</v>
      </c>
      <c r="U5" s="1">
        <f t="shared" ref="U5:U11" si="7">(H5-$O5)/$O5</f>
        <v>7.5015624999999475E-3</v>
      </c>
      <c r="V5" s="1">
        <f t="shared" ref="V5:V11" si="8">(I5-$O5)/$O5</f>
        <v>7.5015624999999475E-3</v>
      </c>
      <c r="W5" s="1">
        <f t="shared" ref="W5:W11" si="9">(J5-$O5)/$O5</f>
        <v>5.0562499999999566E-3</v>
      </c>
      <c r="X5" s="1">
        <f t="shared" ref="X5:X11" si="10">(K5-$O5)/$O5</f>
        <v>6.2796874999999919E-3</v>
      </c>
      <c r="Y5" s="1">
        <f t="shared" ref="Y5:Y11" si="11">(L5-$O5)/$O5</f>
        <v>9.9468749999999384E-3</v>
      </c>
      <c r="Z5" s="1">
        <f t="shared" ref="Z5:Z11" si="12">(M5-$O5)/$O5</f>
        <v>8.7249999999999828E-3</v>
      </c>
      <c r="AA5" s="1">
        <f t="shared" ref="AA5:AA11" si="13">(N5-$O5)/$O5</f>
        <v>6.2796874999999919E-3</v>
      </c>
    </row>
    <row r="6" spans="2:27" x14ac:dyDescent="0.6">
      <c r="B6" s="2">
        <v>12</v>
      </c>
      <c r="C6" s="3">
        <v>9.6485400000000006</v>
      </c>
      <c r="D6" s="3">
        <v>9.7189700000000006</v>
      </c>
      <c r="E6" s="3">
        <v>9.6720199999999998</v>
      </c>
      <c r="F6" s="3">
        <v>9.64072</v>
      </c>
      <c r="G6" s="3">
        <v>9.7111499999999999</v>
      </c>
      <c r="H6" s="4">
        <v>9.7033199999999997</v>
      </c>
      <c r="I6" s="4">
        <v>9.7268000000000008</v>
      </c>
      <c r="J6" s="4">
        <v>9.5937699999999992</v>
      </c>
      <c r="K6" s="4">
        <v>9.6094200000000001</v>
      </c>
      <c r="L6" s="3">
        <v>9.6485400000000006</v>
      </c>
      <c r="M6" s="3">
        <v>9.6172400000000007</v>
      </c>
      <c r="N6" s="3">
        <v>9.6015899999999998</v>
      </c>
      <c r="O6" s="2">
        <f t="shared" si="1"/>
        <v>9.6</v>
      </c>
      <c r="P6" s="1">
        <f t="shared" si="2"/>
        <v>5.0562500000000954E-3</v>
      </c>
      <c r="Q6" s="1">
        <f t="shared" si="3"/>
        <v>1.2392708333333429E-2</v>
      </c>
      <c r="R6" s="1">
        <f t="shared" si="4"/>
        <v>7.5020833333333536E-3</v>
      </c>
      <c r="S6" s="1">
        <f t="shared" si="5"/>
        <v>4.2416666666666991E-3</v>
      </c>
      <c r="T6" s="1">
        <f t="shared" si="6"/>
        <v>1.1578125000000033E-2</v>
      </c>
      <c r="U6" s="1">
        <f t="shared" si="7"/>
        <v>1.0762500000000008E-2</v>
      </c>
      <c r="V6" s="1">
        <f t="shared" si="8"/>
        <v>1.3208333333333452E-2</v>
      </c>
      <c r="W6" s="1">
        <f t="shared" si="9"/>
        <v>-6.4895833333337527E-4</v>
      </c>
      <c r="X6" s="1">
        <f t="shared" si="10"/>
        <v>9.8125000000004459E-4</v>
      </c>
      <c r="Y6" s="1">
        <f t="shared" si="11"/>
        <v>5.0562500000000954E-3</v>
      </c>
      <c r="Z6" s="1">
        <f t="shared" si="12"/>
        <v>1.7958333333334409E-3</v>
      </c>
      <c r="AA6" s="1">
        <f t="shared" si="13"/>
        <v>1.6562500000002109E-4</v>
      </c>
    </row>
    <row r="7" spans="2:27" x14ac:dyDescent="0.6">
      <c r="B7" s="2">
        <v>16</v>
      </c>
      <c r="C7" s="3">
        <v>12.817769999999999</v>
      </c>
      <c r="D7" s="3">
        <v>12.94298</v>
      </c>
      <c r="E7" s="3">
        <v>12.880380000000001</v>
      </c>
      <c r="F7" s="3">
        <v>12.80212</v>
      </c>
      <c r="G7" s="3">
        <v>12.958629999999999</v>
      </c>
      <c r="H7" s="4">
        <v>12.92733</v>
      </c>
      <c r="I7" s="4">
        <v>12.97428</v>
      </c>
      <c r="J7" s="4">
        <v>12.700390000000001</v>
      </c>
      <c r="K7" s="4">
        <v>12.716049999999999</v>
      </c>
      <c r="L7" s="3">
        <v>12.7943</v>
      </c>
      <c r="M7" s="3">
        <v>12.7317</v>
      </c>
      <c r="N7" s="3">
        <v>12.716049999999999</v>
      </c>
      <c r="O7" s="2">
        <f t="shared" si="1"/>
        <v>12.8</v>
      </c>
      <c r="P7" s="1">
        <f t="shared" si="2"/>
        <v>1.3882812499999009E-3</v>
      </c>
      <c r="Q7" s="1">
        <f t="shared" si="3"/>
        <v>1.1170312499999974E-2</v>
      </c>
      <c r="R7" s="1">
        <f t="shared" si="4"/>
        <v>6.2796874999999919E-3</v>
      </c>
      <c r="S7" s="1">
        <f t="shared" si="5"/>
        <v>1.6562499999997482E-4</v>
      </c>
      <c r="T7" s="1">
        <f t="shared" si="6"/>
        <v>1.23929687499999E-2</v>
      </c>
      <c r="U7" s="1">
        <f t="shared" si="7"/>
        <v>9.9476562499999088E-3</v>
      </c>
      <c r="V7" s="1">
        <f t="shared" si="8"/>
        <v>1.3615624999999965E-2</v>
      </c>
      <c r="W7" s="1">
        <f t="shared" si="9"/>
        <v>-7.7820312500000155E-3</v>
      </c>
      <c r="X7" s="1">
        <f t="shared" si="10"/>
        <v>-6.558593750000119E-3</v>
      </c>
      <c r="Y7" s="1">
        <f t="shared" si="11"/>
        <v>-4.4531250000007239E-4</v>
      </c>
      <c r="Z7" s="1">
        <f t="shared" si="12"/>
        <v>-5.3359375000000542E-3</v>
      </c>
      <c r="AA7" s="1">
        <f t="shared" si="13"/>
        <v>-6.558593750000119E-3</v>
      </c>
    </row>
    <row r="8" spans="2:27" x14ac:dyDescent="0.6">
      <c r="B8" s="2">
        <v>24</v>
      </c>
      <c r="C8" s="3">
        <v>19.21884</v>
      </c>
      <c r="D8" s="3">
        <v>19.195360000000001</v>
      </c>
      <c r="E8" s="3">
        <v>19.187529999999999</v>
      </c>
      <c r="F8" s="3">
        <v>19.187529999999999</v>
      </c>
      <c r="G8" s="3">
        <v>19.148409999999998</v>
      </c>
      <c r="H8" s="4">
        <v>19.21884</v>
      </c>
      <c r="I8" s="4">
        <v>19.124929999999999</v>
      </c>
      <c r="J8" s="4">
        <v>19.17971</v>
      </c>
      <c r="K8" s="4">
        <v>19.32056</v>
      </c>
      <c r="L8" s="3">
        <v>19.250139999999998</v>
      </c>
      <c r="M8" s="3">
        <v>19.250139999999998</v>
      </c>
      <c r="N8" s="3">
        <v>19.30491</v>
      </c>
      <c r="O8" s="2">
        <f t="shared" si="1"/>
        <v>19.2</v>
      </c>
      <c r="P8" s="1">
        <f t="shared" si="2"/>
        <v>9.8125000000004459E-4</v>
      </c>
      <c r="Q8" s="1">
        <f t="shared" si="3"/>
        <v>-2.4166666666658454E-4</v>
      </c>
      <c r="R8" s="1">
        <f t="shared" si="4"/>
        <v>-6.4947916666668881E-4</v>
      </c>
      <c r="S8" s="1">
        <f t="shared" si="5"/>
        <v>-6.4947916666668881E-4</v>
      </c>
      <c r="T8" s="1">
        <f t="shared" si="6"/>
        <v>-2.6869791666667142E-3</v>
      </c>
      <c r="U8" s="1">
        <f t="shared" si="7"/>
        <v>9.8125000000004459E-4</v>
      </c>
      <c r="V8" s="1">
        <f t="shared" si="8"/>
        <v>-3.9098958333333433E-3</v>
      </c>
      <c r="W8" s="1">
        <f t="shared" si="9"/>
        <v>-1.0567708333332946E-3</v>
      </c>
      <c r="X8" s="1">
        <f t="shared" si="10"/>
        <v>6.2791666666667245E-3</v>
      </c>
      <c r="Y8" s="1">
        <f t="shared" si="11"/>
        <v>2.6114583333332795E-3</v>
      </c>
      <c r="Z8" s="1">
        <f t="shared" si="12"/>
        <v>2.6114583333332795E-3</v>
      </c>
      <c r="AA8" s="1">
        <f t="shared" si="13"/>
        <v>5.4640625000000149E-3</v>
      </c>
    </row>
    <row r="9" spans="2:27" x14ac:dyDescent="0.6">
      <c r="B9" s="2">
        <v>32</v>
      </c>
      <c r="C9" s="3">
        <v>25.572949999999999</v>
      </c>
      <c r="D9" s="3">
        <v>25.580770000000001</v>
      </c>
      <c r="E9" s="3">
        <v>25.580770000000001</v>
      </c>
      <c r="F9" s="3">
        <v>25.549469999999999</v>
      </c>
      <c r="G9" s="3">
        <v>25.533819999999999</v>
      </c>
      <c r="H9" s="4">
        <v>25.60425</v>
      </c>
      <c r="I9" s="4">
        <v>25.533819999999999</v>
      </c>
      <c r="J9" s="4">
        <v>25.479040000000001</v>
      </c>
      <c r="K9" s="4">
        <v>25.60425</v>
      </c>
      <c r="L9" s="3">
        <v>25.580770000000001</v>
      </c>
      <c r="M9" s="3">
        <v>25.612069999999999</v>
      </c>
      <c r="N9" s="3">
        <v>25.635549999999999</v>
      </c>
      <c r="O9" s="2">
        <f t="shared" si="1"/>
        <v>25.6</v>
      </c>
      <c r="P9" s="1">
        <f t="shared" si="2"/>
        <v>-1.0566406250001048E-3</v>
      </c>
      <c r="Q9" s="1">
        <f t="shared" si="3"/>
        <v>-7.5117187500001181E-4</v>
      </c>
      <c r="R9" s="1">
        <f t="shared" si="4"/>
        <v>-7.5117187500001181E-4</v>
      </c>
      <c r="S9" s="1">
        <f t="shared" si="5"/>
        <v>-1.9738281250000766E-3</v>
      </c>
      <c r="T9" s="1">
        <f t="shared" si="6"/>
        <v>-2.5851562500001091E-3</v>
      </c>
      <c r="U9" s="1">
        <f t="shared" si="7"/>
        <v>1.6601562499996003E-4</v>
      </c>
      <c r="V9" s="1">
        <f t="shared" si="8"/>
        <v>-2.5851562500001091E-3</v>
      </c>
      <c r="W9" s="1">
        <f t="shared" si="9"/>
        <v>-4.725000000000007E-3</v>
      </c>
      <c r="X9" s="1">
        <f t="shared" si="10"/>
        <v>1.6601562499996003E-4</v>
      </c>
      <c r="Y9" s="1">
        <f t="shared" si="11"/>
        <v>-7.5117187500001181E-4</v>
      </c>
      <c r="Z9" s="1">
        <f t="shared" si="12"/>
        <v>4.7148437499991425E-4</v>
      </c>
      <c r="AA9" s="1">
        <f t="shared" si="13"/>
        <v>1.3886718749998861E-3</v>
      </c>
    </row>
    <row r="10" spans="2:27" x14ac:dyDescent="0.6">
      <c r="B10" s="2">
        <v>46</v>
      </c>
      <c r="C10" s="3">
        <v>36.77872</v>
      </c>
      <c r="D10" s="3">
        <v>36.841320000000003</v>
      </c>
      <c r="E10" s="3">
        <v>36.911749999999998</v>
      </c>
      <c r="F10" s="3">
        <v>36.770890000000001</v>
      </c>
      <c r="G10" s="3">
        <v>36.802190000000003</v>
      </c>
      <c r="H10" s="4">
        <v>36.896099999999997</v>
      </c>
      <c r="I10" s="4">
        <v>36.88044</v>
      </c>
      <c r="J10" s="4">
        <v>36.590910000000001</v>
      </c>
      <c r="K10" s="4">
        <v>36.669159999999998</v>
      </c>
      <c r="L10" s="3">
        <v>36.763069999999999</v>
      </c>
      <c r="M10" s="3">
        <v>36.817839999999997</v>
      </c>
      <c r="N10" s="3">
        <v>36.770890000000001</v>
      </c>
      <c r="O10" s="2">
        <f t="shared" si="1"/>
        <v>36.799999999999997</v>
      </c>
      <c r="P10" s="1">
        <f t="shared" si="2"/>
        <v>-5.782608695651441E-4</v>
      </c>
      <c r="Q10" s="1">
        <f t="shared" si="3"/>
        <v>1.1228260869566853E-3</v>
      </c>
      <c r="R10" s="1">
        <f t="shared" si="4"/>
        <v>3.0366847826087144E-3</v>
      </c>
      <c r="S10" s="1">
        <f t="shared" si="5"/>
        <v>-7.9103260869553679E-4</v>
      </c>
      <c r="T10" s="1">
        <f t="shared" si="6"/>
        <v>5.951086956537798E-5</v>
      </c>
      <c r="U10" s="1">
        <f t="shared" si="7"/>
        <v>2.6114130434782569E-3</v>
      </c>
      <c r="V10" s="1">
        <f t="shared" si="8"/>
        <v>2.1858695652174718E-3</v>
      </c>
      <c r="W10" s="1">
        <f t="shared" si="9"/>
        <v>-5.681793478260767E-3</v>
      </c>
      <c r="X10" s="1">
        <f t="shared" si="10"/>
        <v>-3.5554347826086737E-3</v>
      </c>
      <c r="Y10" s="1">
        <f t="shared" si="11"/>
        <v>-1.0035326086956014E-3</v>
      </c>
      <c r="Z10" s="1">
        <f t="shared" si="12"/>
        <v>4.8478260869564224E-4</v>
      </c>
      <c r="AA10" s="1">
        <f t="shared" si="13"/>
        <v>-7.9103260869553679E-4</v>
      </c>
    </row>
    <row r="11" spans="2:27" x14ac:dyDescent="0.6">
      <c r="B11" s="2">
        <v>64</v>
      </c>
      <c r="C11" s="3">
        <v>51.435420000000001</v>
      </c>
      <c r="D11" s="3">
        <v>51.576279999999997</v>
      </c>
      <c r="E11" s="3">
        <v>51.693660000000001</v>
      </c>
      <c r="F11" s="3">
        <v>51.451079999999997</v>
      </c>
      <c r="G11" s="3">
        <v>51.505859999999998</v>
      </c>
      <c r="H11" s="4">
        <v>51.63888</v>
      </c>
      <c r="I11" s="4">
        <v>51.732790000000001</v>
      </c>
      <c r="J11" s="4">
        <v>51.059809999999999</v>
      </c>
      <c r="K11" s="4">
        <v>51.051990000000004</v>
      </c>
      <c r="L11" s="3">
        <v>51.318049999999999</v>
      </c>
      <c r="M11" s="3">
        <v>51.482379999999999</v>
      </c>
      <c r="N11" s="3">
        <v>51.278919999999999</v>
      </c>
      <c r="O11" s="2">
        <f t="shared" si="1"/>
        <v>51.2</v>
      </c>
      <c r="P11" s="1">
        <f t="shared" si="2"/>
        <v>4.5980468749999559E-3</v>
      </c>
      <c r="Q11" s="1">
        <f t="shared" si="3"/>
        <v>7.3492187499998862E-3</v>
      </c>
      <c r="R11" s="1">
        <f t="shared" si="4"/>
        <v>9.6417968749999694E-3</v>
      </c>
      <c r="S11" s="1">
        <f t="shared" si="5"/>
        <v>4.9039062499998953E-3</v>
      </c>
      <c r="T11" s="1">
        <f t="shared" si="6"/>
        <v>5.9738281249999137E-3</v>
      </c>
      <c r="U11" s="1">
        <f t="shared" si="7"/>
        <v>8.5718749999999511E-3</v>
      </c>
      <c r="V11" s="1">
        <f t="shared" si="8"/>
        <v>1.0406054687499972E-2</v>
      </c>
      <c r="W11" s="1">
        <f t="shared" si="9"/>
        <v>-2.7380859375000788E-3</v>
      </c>
      <c r="X11" s="1">
        <f t="shared" si="10"/>
        <v>-2.8908203124999865E-3</v>
      </c>
      <c r="Y11" s="1">
        <f t="shared" si="11"/>
        <v>2.3056640624999347E-3</v>
      </c>
      <c r="Z11" s="1">
        <f t="shared" si="12"/>
        <v>5.5152343749999277E-3</v>
      </c>
      <c r="AA11" s="1">
        <f t="shared" si="13"/>
        <v>1.5414062499999326E-3</v>
      </c>
    </row>
    <row r="14" spans="2:27" x14ac:dyDescent="0.6">
      <c r="B14" s="2" t="s">
        <v>0</v>
      </c>
      <c r="C14" s="2">
        <v>3276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2:27" x14ac:dyDescent="0.6">
      <c r="B15" s="2" t="s">
        <v>5</v>
      </c>
      <c r="C15" s="2" t="s">
        <v>6</v>
      </c>
      <c r="D15" s="2" t="s">
        <v>7</v>
      </c>
      <c r="E15" s="2" t="s">
        <v>8</v>
      </c>
      <c r="F15" s="2" t="s">
        <v>9</v>
      </c>
      <c r="G15" s="2" t="s">
        <v>10</v>
      </c>
      <c r="H15" s="2" t="s">
        <v>11</v>
      </c>
      <c r="I15" s="2" t="s">
        <v>12</v>
      </c>
      <c r="J15" s="2" t="s">
        <v>13</v>
      </c>
      <c r="K15" s="2" t="s">
        <v>14</v>
      </c>
      <c r="L15" s="2" t="s">
        <v>15</v>
      </c>
      <c r="M15" s="2" t="s">
        <v>16</v>
      </c>
      <c r="N15" s="2" t="s">
        <v>17</v>
      </c>
      <c r="O15" s="2" t="s">
        <v>18</v>
      </c>
      <c r="P15" s="2" t="s">
        <v>1</v>
      </c>
      <c r="Q15" s="2" t="s">
        <v>2</v>
      </c>
      <c r="R15" s="2" t="s">
        <v>3</v>
      </c>
      <c r="S15" s="2" t="s">
        <v>4</v>
      </c>
      <c r="T15" s="2" t="s">
        <v>21</v>
      </c>
      <c r="U15" s="2" t="s">
        <v>19</v>
      </c>
      <c r="V15" s="2" t="s">
        <v>20</v>
      </c>
      <c r="W15" s="2" t="s">
        <v>22</v>
      </c>
      <c r="X15" s="2" t="s">
        <v>23</v>
      </c>
      <c r="Y15" s="2" t="s">
        <v>24</v>
      </c>
      <c r="Z15" s="2" t="s">
        <v>25</v>
      </c>
      <c r="AA15" s="2" t="s">
        <v>26</v>
      </c>
    </row>
    <row r="16" spans="2:27" x14ac:dyDescent="0.6">
      <c r="B16" s="2">
        <v>4</v>
      </c>
      <c r="C16" s="3">
        <v>3.2709600000000001</v>
      </c>
      <c r="D16" s="3">
        <v>3.2474799999999999</v>
      </c>
      <c r="E16" s="3">
        <v>3.2474799999999999</v>
      </c>
      <c r="F16" s="3">
        <v>3.2240099999999998</v>
      </c>
      <c r="G16" s="3">
        <v>3.2474799999999999</v>
      </c>
      <c r="H16" s="4">
        <v>3.2396600000000002</v>
      </c>
      <c r="I16" s="4">
        <v>3.28661</v>
      </c>
      <c r="J16" s="4">
        <v>3.2396600000000002</v>
      </c>
      <c r="K16" s="4">
        <v>3.2787799999999998</v>
      </c>
      <c r="L16" s="3">
        <v>3.23183</v>
      </c>
      <c r="M16" s="3">
        <v>3.2396600000000002</v>
      </c>
      <c r="N16" s="3">
        <v>3.2787799999999998</v>
      </c>
      <c r="O16" s="2">
        <f>B16*$C$2/4095</f>
        <v>3.2</v>
      </c>
      <c r="P16" s="1">
        <f>(C16-$O16)/$O16</f>
        <v>2.2174999999999973E-2</v>
      </c>
      <c r="Q16" s="1">
        <f t="shared" ref="Q16:Q23" si="14">(D16-$O16)/$O16</f>
        <v>1.483749999999992E-2</v>
      </c>
      <c r="R16" s="1">
        <f t="shared" ref="R16:R23" si="15">(E16-$O16)/$O16</f>
        <v>1.483749999999992E-2</v>
      </c>
      <c r="S16" s="1">
        <f t="shared" ref="S16:S23" si="16">(F16-$O16)/$O16</f>
        <v>7.5031249999998884E-3</v>
      </c>
      <c r="T16" s="1">
        <f t="shared" ref="T16:T23" si="17">(G16-$O16)/$O16</f>
        <v>1.483749999999992E-2</v>
      </c>
      <c r="U16" s="1">
        <f t="shared" ref="U16:U23" si="18">(H16-$O16)/$O16</f>
        <v>1.2393750000000009E-2</v>
      </c>
      <c r="V16" s="1">
        <f t="shared" ref="V16:V23" si="19">(I16-$O16)/$O16</f>
        <v>2.7065624999999954E-2</v>
      </c>
      <c r="W16" s="1">
        <f t="shared" ref="W16:W23" si="20">(J16-$O16)/$O16</f>
        <v>1.2393750000000009E-2</v>
      </c>
      <c r="X16" s="1">
        <f t="shared" ref="X16:X23" si="21">(K16-$O16)/$O16</f>
        <v>2.4618749999999884E-2</v>
      </c>
      <c r="Y16" s="1">
        <f t="shared" ref="Y16:Y23" si="22">(L16-$O16)/$O16</f>
        <v>9.9468749999999384E-3</v>
      </c>
      <c r="Z16" s="1">
        <f t="shared" ref="Z16:Z23" si="23">(M16-$O16)/$O16</f>
        <v>1.2393750000000009E-2</v>
      </c>
      <c r="AA16" s="1">
        <f t="shared" ref="AA16:AA23" si="24">(N16-$O16)/$O16</f>
        <v>2.4618749999999884E-2</v>
      </c>
    </row>
    <row r="17" spans="2:27" x14ac:dyDescent="0.6">
      <c r="B17" s="2">
        <v>8</v>
      </c>
      <c r="C17" s="3">
        <v>6.4558400000000002</v>
      </c>
      <c r="D17" s="3">
        <v>6.44801</v>
      </c>
      <c r="E17" s="3">
        <v>6.4401900000000003</v>
      </c>
      <c r="F17" s="3">
        <v>6.4323600000000001</v>
      </c>
      <c r="G17" s="3">
        <v>6.44801</v>
      </c>
      <c r="H17" s="4">
        <v>6.44801</v>
      </c>
      <c r="I17" s="4">
        <v>6.4558400000000002</v>
      </c>
      <c r="J17" s="4">
        <v>6.4401900000000003</v>
      </c>
      <c r="K17" s="4">
        <v>6.44801</v>
      </c>
      <c r="L17" s="3">
        <v>6.4323600000000001</v>
      </c>
      <c r="M17" s="3">
        <v>6.4558400000000002</v>
      </c>
      <c r="N17" s="3">
        <v>6.4323600000000001</v>
      </c>
      <c r="O17" s="2">
        <f t="shared" ref="O17:O23" si="25">B17*$C$2/4095</f>
        <v>6.4</v>
      </c>
      <c r="P17" s="1">
        <f t="shared" ref="P17:P23" si="26">(C17-$O17)/$O17</f>
        <v>8.7249999999999828E-3</v>
      </c>
      <c r="Q17" s="1">
        <f t="shared" si="14"/>
        <v>7.5015624999999475E-3</v>
      </c>
      <c r="R17" s="1">
        <f t="shared" si="15"/>
        <v>6.2796874999999919E-3</v>
      </c>
      <c r="S17" s="1">
        <f t="shared" si="16"/>
        <v>5.0562499999999566E-3</v>
      </c>
      <c r="T17" s="1">
        <f t="shared" si="17"/>
        <v>7.5015624999999475E-3</v>
      </c>
      <c r="U17" s="1">
        <f t="shared" si="18"/>
        <v>7.5015624999999475E-3</v>
      </c>
      <c r="V17" s="1">
        <f t="shared" si="19"/>
        <v>8.7249999999999828E-3</v>
      </c>
      <c r="W17" s="1">
        <f t="shared" si="20"/>
        <v>6.2796874999999919E-3</v>
      </c>
      <c r="X17" s="1">
        <f t="shared" si="21"/>
        <v>7.5015624999999475E-3</v>
      </c>
      <c r="Y17" s="1">
        <f t="shared" si="22"/>
        <v>5.0562499999999566E-3</v>
      </c>
      <c r="Z17" s="1">
        <f t="shared" si="23"/>
        <v>8.7249999999999828E-3</v>
      </c>
      <c r="AA17" s="1">
        <f t="shared" si="24"/>
        <v>5.0562499999999566E-3</v>
      </c>
    </row>
    <row r="18" spans="2:27" x14ac:dyDescent="0.6">
      <c r="B18" s="2">
        <v>12</v>
      </c>
      <c r="C18" s="3">
        <v>9.5937699999999992</v>
      </c>
      <c r="D18" s="3">
        <v>9.6250699999999991</v>
      </c>
      <c r="E18" s="3">
        <v>9.5937699999999992</v>
      </c>
      <c r="F18" s="3">
        <v>9.6172400000000007</v>
      </c>
      <c r="G18" s="3">
        <v>9.6172400000000007</v>
      </c>
      <c r="H18" s="4">
        <v>9.64072</v>
      </c>
      <c r="I18" s="4">
        <v>9.5624699999999994</v>
      </c>
      <c r="J18" s="4">
        <v>9.6250699999999991</v>
      </c>
      <c r="K18" s="4">
        <v>9.57029</v>
      </c>
      <c r="L18" s="3">
        <v>9.6094200000000001</v>
      </c>
      <c r="M18" s="3">
        <v>9.64072</v>
      </c>
      <c r="N18" s="3">
        <v>9.5233399999999993</v>
      </c>
      <c r="O18" s="2">
        <f t="shared" si="25"/>
        <v>9.6</v>
      </c>
      <c r="P18" s="1">
        <f t="shared" si="26"/>
        <v>-6.4895833333337527E-4</v>
      </c>
      <c r="Q18" s="1">
        <f t="shared" si="14"/>
        <v>2.6114583333332795E-3</v>
      </c>
      <c r="R18" s="1">
        <f t="shared" si="15"/>
        <v>-6.4895833333337527E-4</v>
      </c>
      <c r="S18" s="1">
        <f t="shared" si="16"/>
        <v>1.7958333333334409E-3</v>
      </c>
      <c r="T18" s="1">
        <f t="shared" si="17"/>
        <v>1.7958333333334409E-3</v>
      </c>
      <c r="U18" s="1">
        <f t="shared" si="18"/>
        <v>4.2416666666666991E-3</v>
      </c>
      <c r="V18" s="1">
        <f t="shared" si="19"/>
        <v>-3.90937500000003E-3</v>
      </c>
      <c r="W18" s="1">
        <f t="shared" si="20"/>
        <v>2.6114583333332795E-3</v>
      </c>
      <c r="X18" s="1">
        <f t="shared" si="21"/>
        <v>-3.0947916666666337E-3</v>
      </c>
      <c r="Y18" s="1">
        <f t="shared" si="22"/>
        <v>9.8125000000004459E-4</v>
      </c>
      <c r="Z18" s="1">
        <f t="shared" si="23"/>
        <v>4.2416666666666991E-3</v>
      </c>
      <c r="AA18" s="1">
        <f t="shared" si="24"/>
        <v>-7.9854166666667083E-3</v>
      </c>
    </row>
    <row r="19" spans="2:27" x14ac:dyDescent="0.6">
      <c r="B19" s="2">
        <v>16</v>
      </c>
      <c r="C19" s="3">
        <v>12.68474</v>
      </c>
      <c r="D19" s="3">
        <v>12.763</v>
      </c>
      <c r="E19" s="3">
        <v>12.69257</v>
      </c>
      <c r="F19" s="3">
        <v>12.770820000000001</v>
      </c>
      <c r="G19" s="3">
        <v>12.75517</v>
      </c>
      <c r="H19" s="4">
        <v>12.8256</v>
      </c>
      <c r="I19" s="4">
        <v>12.614319999999999</v>
      </c>
      <c r="J19" s="4">
        <v>12.770820000000001</v>
      </c>
      <c r="K19" s="4">
        <v>12.62997</v>
      </c>
      <c r="L19" s="3">
        <v>12.7317</v>
      </c>
      <c r="M19" s="3">
        <v>12.78647</v>
      </c>
      <c r="N19" s="3">
        <v>12.56737</v>
      </c>
      <c r="O19" s="2">
        <f t="shared" si="25"/>
        <v>12.8</v>
      </c>
      <c r="P19" s="1">
        <f t="shared" si="26"/>
        <v>-9.0046875000000803E-3</v>
      </c>
      <c r="Q19" s="1">
        <f t="shared" si="14"/>
        <v>-2.8906250000000633E-3</v>
      </c>
      <c r="R19" s="1">
        <f t="shared" si="15"/>
        <v>-8.3929687500000627E-3</v>
      </c>
      <c r="S19" s="1">
        <f t="shared" si="16"/>
        <v>-2.2796875000000161E-3</v>
      </c>
      <c r="T19" s="1">
        <f t="shared" si="17"/>
        <v>-3.5023437500000809E-3</v>
      </c>
      <c r="U19" s="1">
        <f t="shared" si="18"/>
        <v>1.9999999999999185E-3</v>
      </c>
      <c r="V19" s="1">
        <f t="shared" si="19"/>
        <v>-1.4506250000000109E-2</v>
      </c>
      <c r="W19" s="1">
        <f t="shared" si="20"/>
        <v>-2.2796875000000161E-3</v>
      </c>
      <c r="X19" s="1">
        <f t="shared" si="21"/>
        <v>-1.3283593750000044E-2</v>
      </c>
      <c r="Y19" s="1">
        <f t="shared" si="22"/>
        <v>-5.3359375000000542E-3</v>
      </c>
      <c r="Z19" s="1">
        <f t="shared" si="23"/>
        <v>-1.05703125000009E-3</v>
      </c>
      <c r="AA19" s="1">
        <f t="shared" si="24"/>
        <v>-1.8174218750000026E-2</v>
      </c>
    </row>
    <row r="20" spans="2:27" x14ac:dyDescent="0.6">
      <c r="B20" s="2">
        <v>24</v>
      </c>
      <c r="C20" s="3">
        <v>19.265789999999999</v>
      </c>
      <c r="D20" s="3">
        <v>19.17971</v>
      </c>
      <c r="E20" s="3">
        <v>19.297090000000001</v>
      </c>
      <c r="F20" s="3">
        <v>19.164059999999999</v>
      </c>
      <c r="G20" s="3">
        <v>19.21884</v>
      </c>
      <c r="H20" s="4">
        <v>19.101459999999999</v>
      </c>
      <c r="I20" s="4">
        <v>19.328389999999999</v>
      </c>
      <c r="J20" s="4">
        <v>19.17971</v>
      </c>
      <c r="K20" s="4">
        <v>19.265789999999999</v>
      </c>
      <c r="L20" s="3">
        <v>19.17971</v>
      </c>
      <c r="M20" s="3">
        <v>19.17971</v>
      </c>
      <c r="N20" s="3">
        <v>19.34404</v>
      </c>
      <c r="O20" s="2">
        <f t="shared" si="25"/>
        <v>19.2</v>
      </c>
      <c r="P20" s="1">
        <f t="shared" si="26"/>
        <v>3.4265624999999895E-3</v>
      </c>
      <c r="Q20" s="1">
        <f t="shared" si="14"/>
        <v>-1.0567708333332946E-3</v>
      </c>
      <c r="R20" s="1">
        <f t="shared" si="15"/>
        <v>5.0567708333334096E-3</v>
      </c>
      <c r="S20" s="1">
        <f t="shared" si="16"/>
        <v>-1.8718750000000044E-3</v>
      </c>
      <c r="T20" s="1">
        <f t="shared" si="17"/>
        <v>9.8125000000004459E-4</v>
      </c>
      <c r="U20" s="1">
        <f t="shared" si="18"/>
        <v>-5.1322916666666591E-3</v>
      </c>
      <c r="V20" s="1">
        <f t="shared" si="19"/>
        <v>6.686979166666644E-3</v>
      </c>
      <c r="W20" s="1">
        <f t="shared" si="20"/>
        <v>-1.0567708333332946E-3</v>
      </c>
      <c r="X20" s="1">
        <f t="shared" si="21"/>
        <v>3.4265624999999895E-3</v>
      </c>
      <c r="Y20" s="1">
        <f t="shared" si="22"/>
        <v>-1.0567708333332946E-3</v>
      </c>
      <c r="Z20" s="1">
        <f t="shared" si="23"/>
        <v>-1.0567708333332946E-3</v>
      </c>
      <c r="AA20" s="1">
        <f t="shared" si="24"/>
        <v>7.5020833333333536E-3</v>
      </c>
    </row>
    <row r="21" spans="2:27" x14ac:dyDescent="0.6">
      <c r="B21" s="2">
        <v>32</v>
      </c>
      <c r="C21" s="3">
        <v>25.60425</v>
      </c>
      <c r="D21" s="3">
        <v>25.580770000000001</v>
      </c>
      <c r="E21" s="3">
        <v>25.612069999999999</v>
      </c>
      <c r="F21" s="3">
        <v>25.56512</v>
      </c>
      <c r="G21" s="3">
        <v>25.596419999999998</v>
      </c>
      <c r="H21" s="4">
        <v>25.549469999999999</v>
      </c>
      <c r="I21" s="4">
        <v>25.612069999999999</v>
      </c>
      <c r="J21" s="4">
        <v>25.5886</v>
      </c>
      <c r="K21" s="4">
        <v>25.56512</v>
      </c>
      <c r="L21" s="3">
        <v>25.533819999999999</v>
      </c>
      <c r="M21" s="3">
        <v>25.5886</v>
      </c>
      <c r="N21" s="3">
        <v>25.635549999999999</v>
      </c>
      <c r="O21" s="2">
        <f t="shared" si="25"/>
        <v>25.6</v>
      </c>
      <c r="P21" s="1">
        <f t="shared" si="26"/>
        <v>1.6601562499996003E-4</v>
      </c>
      <c r="Q21" s="1">
        <f t="shared" si="14"/>
        <v>-7.5117187500001181E-4</v>
      </c>
      <c r="R21" s="1">
        <f t="shared" si="15"/>
        <v>4.7148437499991425E-4</v>
      </c>
      <c r="S21" s="1">
        <f t="shared" si="16"/>
        <v>-1.3625000000000442E-3</v>
      </c>
      <c r="T21" s="1">
        <f t="shared" si="17"/>
        <v>-1.3984375000011817E-4</v>
      </c>
      <c r="U21" s="1">
        <f t="shared" si="18"/>
        <v>-1.9738281250000766E-3</v>
      </c>
      <c r="V21" s="1">
        <f t="shared" si="19"/>
        <v>4.7148437499991425E-4</v>
      </c>
      <c r="W21" s="1">
        <f t="shared" si="20"/>
        <v>-4.4531250000007239E-4</v>
      </c>
      <c r="X21" s="1">
        <f t="shared" si="21"/>
        <v>-1.3625000000000442E-3</v>
      </c>
      <c r="Y21" s="1">
        <f t="shared" si="22"/>
        <v>-2.5851562500001091E-3</v>
      </c>
      <c r="Z21" s="1">
        <f t="shared" si="23"/>
        <v>-4.4531250000007239E-4</v>
      </c>
      <c r="AA21" s="1">
        <f t="shared" si="24"/>
        <v>1.3886718749998861E-3</v>
      </c>
    </row>
    <row r="22" spans="2:27" x14ac:dyDescent="0.6">
      <c r="B22" s="2">
        <v>46</v>
      </c>
      <c r="C22" s="3">
        <v>36.77872</v>
      </c>
      <c r="D22" s="3">
        <v>36.888269999999999</v>
      </c>
      <c r="E22" s="3">
        <v>36.755240000000001</v>
      </c>
      <c r="F22" s="3">
        <v>36.849139999999998</v>
      </c>
      <c r="G22" s="3">
        <v>36.841320000000003</v>
      </c>
      <c r="H22" s="4">
        <v>36.982170000000004</v>
      </c>
      <c r="I22" s="4">
        <v>36.708289999999998</v>
      </c>
      <c r="J22" s="4">
        <v>36.91957</v>
      </c>
      <c r="K22" s="4">
        <v>36.606560000000002</v>
      </c>
      <c r="L22" s="3">
        <v>36.71611</v>
      </c>
      <c r="M22" s="3">
        <v>36.872619999999998</v>
      </c>
      <c r="N22" s="3">
        <v>36.692639999999997</v>
      </c>
      <c r="O22" s="2">
        <f t="shared" si="25"/>
        <v>36.799999999999997</v>
      </c>
      <c r="P22" s="1">
        <f t="shared" si="26"/>
        <v>-5.782608695651441E-4</v>
      </c>
      <c r="Q22" s="1">
        <f t="shared" si="14"/>
        <v>2.3986413043478646E-3</v>
      </c>
      <c r="R22" s="1">
        <f t="shared" si="15"/>
        <v>-1.2163043478259942E-3</v>
      </c>
      <c r="S22" s="1">
        <f t="shared" si="16"/>
        <v>1.3353260869565569E-3</v>
      </c>
      <c r="T22" s="1">
        <f t="shared" si="17"/>
        <v>1.1228260869566853E-3</v>
      </c>
      <c r="U22" s="1">
        <f t="shared" si="18"/>
        <v>4.9502717391306083E-3</v>
      </c>
      <c r="V22" s="1">
        <f t="shared" si="19"/>
        <v>-2.4921195652173661E-3</v>
      </c>
      <c r="W22" s="1">
        <f t="shared" si="20"/>
        <v>3.249184782608779E-3</v>
      </c>
      <c r="X22" s="1">
        <f t="shared" si="21"/>
        <v>-5.25652173913031E-3</v>
      </c>
      <c r="Y22" s="1">
        <f t="shared" si="22"/>
        <v>-2.2796195652173014E-3</v>
      </c>
      <c r="Z22" s="1">
        <f t="shared" si="23"/>
        <v>1.9733695652174072E-3</v>
      </c>
      <c r="AA22" s="1">
        <f t="shared" si="24"/>
        <v>-2.9173913043478235E-3</v>
      </c>
    </row>
    <row r="23" spans="2:27" x14ac:dyDescent="0.6">
      <c r="B23" s="2">
        <v>64</v>
      </c>
      <c r="C23" s="3">
        <v>51.357170000000004</v>
      </c>
      <c r="D23" s="3">
        <v>51.685830000000003</v>
      </c>
      <c r="E23" s="3">
        <v>51.25544</v>
      </c>
      <c r="F23" s="3">
        <v>51.654530000000001</v>
      </c>
      <c r="G23" s="3">
        <v>51.544980000000002</v>
      </c>
      <c r="H23" s="4">
        <v>52.00667</v>
      </c>
      <c r="I23" s="4">
        <v>51.239800000000002</v>
      </c>
      <c r="J23" s="4">
        <v>51.764090000000003</v>
      </c>
      <c r="K23" s="4">
        <v>51.075470000000003</v>
      </c>
      <c r="L23" s="3">
        <v>51.357170000000004</v>
      </c>
      <c r="M23" s="3">
        <v>51.670189999999998</v>
      </c>
      <c r="N23" s="3">
        <v>51.11459</v>
      </c>
      <c r="O23" s="2">
        <f t="shared" si="25"/>
        <v>51.2</v>
      </c>
      <c r="P23" s="1">
        <f t="shared" si="26"/>
        <v>3.0697265625000136E-3</v>
      </c>
      <c r="Q23" s="1">
        <f t="shared" si="14"/>
        <v>9.4888671874999997E-3</v>
      </c>
      <c r="R23" s="1">
        <f t="shared" si="15"/>
        <v>1.0828124999999467E-3</v>
      </c>
      <c r="S23" s="1">
        <f t="shared" si="16"/>
        <v>8.8775390624999673E-3</v>
      </c>
      <c r="T23" s="1">
        <f t="shared" si="17"/>
        <v>6.7378906249999926E-3</v>
      </c>
      <c r="U23" s="1">
        <f t="shared" si="18"/>
        <v>1.5755273437499939E-2</v>
      </c>
      <c r="V23" s="1">
        <f t="shared" si="19"/>
        <v>7.7734374999999245E-4</v>
      </c>
      <c r="W23" s="1">
        <f t="shared" si="20"/>
        <v>1.1017382812500004E-2</v>
      </c>
      <c r="X23" s="1">
        <f t="shared" si="21"/>
        <v>-2.4322265625000006E-3</v>
      </c>
      <c r="Y23" s="1">
        <f t="shared" si="22"/>
        <v>3.0697265625000136E-3</v>
      </c>
      <c r="Z23" s="1">
        <f t="shared" si="23"/>
        <v>9.1833984374999067E-3</v>
      </c>
      <c r="AA23" s="1">
        <f t="shared" si="24"/>
        <v>-1.6681640625000604E-3</v>
      </c>
    </row>
    <row r="26" spans="2:27" x14ac:dyDescent="0.6">
      <c r="B26" s="2" t="s">
        <v>0</v>
      </c>
      <c r="C26" s="2">
        <v>3276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2:27" x14ac:dyDescent="0.6">
      <c r="B27" s="2" t="s">
        <v>5</v>
      </c>
      <c r="C27" s="2" t="s">
        <v>6</v>
      </c>
      <c r="D27" s="2" t="s">
        <v>7</v>
      </c>
      <c r="E27" s="2" t="s">
        <v>8</v>
      </c>
      <c r="F27" s="2" t="s">
        <v>9</v>
      </c>
      <c r="G27" s="2" t="s">
        <v>10</v>
      </c>
      <c r="H27" s="2" t="s">
        <v>11</v>
      </c>
      <c r="I27" s="2" t="s">
        <v>12</v>
      </c>
      <c r="J27" s="2" t="s">
        <v>13</v>
      </c>
      <c r="K27" s="2" t="s">
        <v>14</v>
      </c>
      <c r="L27" s="2" t="s">
        <v>15</v>
      </c>
      <c r="M27" s="2" t="s">
        <v>16</v>
      </c>
      <c r="N27" s="2" t="s">
        <v>17</v>
      </c>
      <c r="O27" s="2" t="s">
        <v>18</v>
      </c>
      <c r="P27" s="2" t="s">
        <v>1</v>
      </c>
      <c r="Q27" s="2" t="s">
        <v>2</v>
      </c>
      <c r="R27" s="2" t="s">
        <v>3</v>
      </c>
      <c r="S27" s="2" t="s">
        <v>4</v>
      </c>
      <c r="T27" s="2" t="s">
        <v>21</v>
      </c>
      <c r="U27" s="2" t="s">
        <v>19</v>
      </c>
      <c r="V27" s="2" t="s">
        <v>20</v>
      </c>
      <c r="W27" s="2" t="s">
        <v>22</v>
      </c>
      <c r="X27" s="2" t="s">
        <v>23</v>
      </c>
      <c r="Y27" s="2" t="s">
        <v>24</v>
      </c>
      <c r="Z27" s="2" t="s">
        <v>25</v>
      </c>
      <c r="AA27" s="2" t="s">
        <v>26</v>
      </c>
    </row>
    <row r="28" spans="2:27" x14ac:dyDescent="0.6">
      <c r="B28" s="2">
        <v>4</v>
      </c>
      <c r="C28" s="3">
        <v>3.2553100000000001</v>
      </c>
      <c r="D28" s="3">
        <v>3.17706</v>
      </c>
      <c r="E28" s="3">
        <v>3.2553100000000001</v>
      </c>
      <c r="F28" s="3">
        <v>3.2553100000000001</v>
      </c>
      <c r="G28" s="3">
        <v>3.21618</v>
      </c>
      <c r="H28" s="4">
        <v>3.1848800000000002</v>
      </c>
      <c r="I28" s="4">
        <v>3.21618</v>
      </c>
      <c r="J28" s="4">
        <v>3.2240099999999998</v>
      </c>
      <c r="K28" s="4">
        <v>3.23183</v>
      </c>
      <c r="L28" s="3">
        <v>3.1848800000000002</v>
      </c>
      <c r="M28" s="3">
        <v>3.23183</v>
      </c>
      <c r="N28" s="3">
        <v>3.2553100000000001</v>
      </c>
      <c r="O28" s="2">
        <f>B28*$C$2/4095</f>
        <v>3.2</v>
      </c>
      <c r="P28" s="1">
        <f>(C28-$O28)/$O28</f>
        <v>1.7284374999999991E-2</v>
      </c>
      <c r="Q28" s="1">
        <f t="shared" ref="Q28:Q35" si="27">(D28-$O28)/$O28</f>
        <v>-7.168750000000057E-3</v>
      </c>
      <c r="R28" s="1">
        <f t="shared" ref="R28:R35" si="28">(E28-$O28)/$O28</f>
        <v>1.7284374999999991E-2</v>
      </c>
      <c r="S28" s="1">
        <f t="shared" ref="S28:S35" si="29">(F28-$O28)/$O28</f>
        <v>1.7284374999999991E-2</v>
      </c>
      <c r="T28" s="1">
        <f t="shared" ref="T28:T35" si="30">(G28-$O28)/$O28</f>
        <v>5.0562499999999566E-3</v>
      </c>
      <c r="U28" s="1">
        <f t="shared" ref="U28:U35" si="31">(H28-$O28)/$O28</f>
        <v>-4.725000000000007E-3</v>
      </c>
      <c r="V28" s="1">
        <f t="shared" ref="V28:V35" si="32">(I28-$O28)/$O28</f>
        <v>5.0562499999999566E-3</v>
      </c>
      <c r="W28" s="1">
        <f t="shared" ref="W28:W35" si="33">(J28-$O28)/$O28</f>
        <v>7.5031249999998884E-3</v>
      </c>
      <c r="X28" s="1">
        <f t="shared" ref="X28:X35" si="34">(K28-$O28)/$O28</f>
        <v>9.9468749999999384E-3</v>
      </c>
      <c r="Y28" s="1">
        <f t="shared" ref="Y28:Y35" si="35">(L28-$O28)/$O28</f>
        <v>-4.725000000000007E-3</v>
      </c>
      <c r="Z28" s="1">
        <f t="shared" ref="Z28:Z35" si="36">(M28-$O28)/$O28</f>
        <v>9.9468749999999384E-3</v>
      </c>
      <c r="AA28" s="1">
        <f t="shared" ref="AA28:AA35" si="37">(N28-$O28)/$O28</f>
        <v>1.7284374999999991E-2</v>
      </c>
    </row>
    <row r="29" spans="2:27" x14ac:dyDescent="0.6">
      <c r="B29" s="2">
        <v>8</v>
      </c>
      <c r="C29" s="3">
        <v>6.4323600000000001</v>
      </c>
      <c r="D29" s="3">
        <v>6.4323600000000001</v>
      </c>
      <c r="E29" s="3">
        <v>6.4558400000000002</v>
      </c>
      <c r="F29" s="3">
        <v>6.4558400000000002</v>
      </c>
      <c r="G29" s="3">
        <v>6.4323600000000001</v>
      </c>
      <c r="H29" s="4">
        <v>6.4401900000000003</v>
      </c>
      <c r="I29" s="4">
        <v>6.4245400000000004</v>
      </c>
      <c r="J29" s="4">
        <v>6.4401900000000003</v>
      </c>
      <c r="K29" s="4">
        <v>6.4245400000000004</v>
      </c>
      <c r="L29" s="3">
        <v>6.4323600000000001</v>
      </c>
      <c r="M29" s="3">
        <v>6.4245400000000004</v>
      </c>
      <c r="N29" s="3">
        <v>6.4558400000000002</v>
      </c>
      <c r="O29" s="2">
        <f t="shared" ref="O29:O35" si="38">B29*$C$2/4095</f>
        <v>6.4</v>
      </c>
      <c r="P29" s="1">
        <f t="shared" ref="P29:P35" si="39">(C29-$O29)/$O29</f>
        <v>5.0562499999999566E-3</v>
      </c>
      <c r="Q29" s="1">
        <f t="shared" si="27"/>
        <v>5.0562499999999566E-3</v>
      </c>
      <c r="R29" s="1">
        <f t="shared" si="28"/>
        <v>8.7249999999999828E-3</v>
      </c>
      <c r="S29" s="1">
        <f t="shared" si="29"/>
        <v>8.7249999999999828E-3</v>
      </c>
      <c r="T29" s="1">
        <f t="shared" si="30"/>
        <v>5.0562499999999566E-3</v>
      </c>
      <c r="U29" s="1">
        <f t="shared" si="31"/>
        <v>6.2796874999999919E-3</v>
      </c>
      <c r="V29" s="1">
        <f t="shared" si="32"/>
        <v>3.834375000000001E-3</v>
      </c>
      <c r="W29" s="1">
        <f t="shared" si="33"/>
        <v>6.2796874999999919E-3</v>
      </c>
      <c r="X29" s="1">
        <f t="shared" si="34"/>
        <v>3.834375000000001E-3</v>
      </c>
      <c r="Y29" s="1">
        <f t="shared" si="35"/>
        <v>5.0562499999999566E-3</v>
      </c>
      <c r="Z29" s="1">
        <f t="shared" si="36"/>
        <v>3.834375000000001E-3</v>
      </c>
      <c r="AA29" s="1">
        <f t="shared" si="37"/>
        <v>8.7249999999999828E-3</v>
      </c>
    </row>
    <row r="30" spans="2:27" x14ac:dyDescent="0.6">
      <c r="B30" s="2">
        <v>12</v>
      </c>
      <c r="C30" s="3">
        <v>9.5781200000000002</v>
      </c>
      <c r="D30" s="3">
        <v>9.6720199999999998</v>
      </c>
      <c r="E30" s="3">
        <v>9.6328899999999997</v>
      </c>
      <c r="F30" s="3">
        <v>9.6172400000000007</v>
      </c>
      <c r="G30" s="3">
        <v>9.6563700000000008</v>
      </c>
      <c r="H30" s="4">
        <v>9.7033199999999997</v>
      </c>
      <c r="I30" s="4">
        <v>9.6172400000000007</v>
      </c>
      <c r="J30" s="4">
        <v>9.6172400000000007</v>
      </c>
      <c r="K30" s="4">
        <v>9.5859400000000008</v>
      </c>
      <c r="L30" s="3">
        <v>9.6954999999999991</v>
      </c>
      <c r="M30" s="3">
        <v>9.5937699999999992</v>
      </c>
      <c r="N30" s="3">
        <v>9.6172400000000007</v>
      </c>
      <c r="O30" s="2">
        <f t="shared" si="38"/>
        <v>9.6</v>
      </c>
      <c r="P30" s="1">
        <f t="shared" si="39"/>
        <v>-2.2791666666666099E-3</v>
      </c>
      <c r="Q30" s="1">
        <f t="shared" si="27"/>
        <v>7.5020833333333536E-3</v>
      </c>
      <c r="R30" s="1">
        <f t="shared" si="28"/>
        <v>3.4260416666666758E-3</v>
      </c>
      <c r="S30" s="1">
        <f t="shared" si="29"/>
        <v>1.7958333333334409E-3</v>
      </c>
      <c r="T30" s="1">
        <f t="shared" si="30"/>
        <v>5.8718750000001192E-3</v>
      </c>
      <c r="U30" s="1">
        <f t="shared" si="31"/>
        <v>1.0762500000000008E-2</v>
      </c>
      <c r="V30" s="1">
        <f t="shared" si="32"/>
        <v>1.7958333333334409E-3</v>
      </c>
      <c r="W30" s="1">
        <f t="shared" si="33"/>
        <v>1.7958333333334409E-3</v>
      </c>
      <c r="X30" s="1">
        <f t="shared" si="34"/>
        <v>-1.4645833333332137E-3</v>
      </c>
      <c r="Y30" s="1">
        <f t="shared" si="35"/>
        <v>9.9479166666666119E-3</v>
      </c>
      <c r="Z30" s="1">
        <f t="shared" si="36"/>
        <v>-6.4895833333337527E-4</v>
      </c>
      <c r="AA30" s="1">
        <f t="shared" si="37"/>
        <v>1.7958333333334409E-3</v>
      </c>
    </row>
    <row r="31" spans="2:27" x14ac:dyDescent="0.6">
      <c r="B31" s="2">
        <v>16</v>
      </c>
      <c r="C31" s="3">
        <v>12.68474</v>
      </c>
      <c r="D31" s="3">
        <v>12.89603</v>
      </c>
      <c r="E31" s="3">
        <v>12.770820000000001</v>
      </c>
      <c r="F31" s="3">
        <v>12.747350000000001</v>
      </c>
      <c r="G31" s="3">
        <v>12.8569</v>
      </c>
      <c r="H31" s="4">
        <v>12.94298</v>
      </c>
      <c r="I31" s="4">
        <v>12.7943</v>
      </c>
      <c r="J31" s="4">
        <v>12.75517</v>
      </c>
      <c r="K31" s="4">
        <v>12.69257</v>
      </c>
      <c r="L31" s="3">
        <v>12.94298</v>
      </c>
      <c r="M31" s="3">
        <v>12.72387</v>
      </c>
      <c r="N31" s="3">
        <v>12.7317</v>
      </c>
      <c r="O31" s="2">
        <f t="shared" si="38"/>
        <v>12.8</v>
      </c>
      <c r="P31" s="1">
        <f t="shared" si="39"/>
        <v>-9.0046875000000803E-3</v>
      </c>
      <c r="Q31" s="1">
        <f t="shared" si="27"/>
        <v>7.5023437499999179E-3</v>
      </c>
      <c r="R31" s="1">
        <f t="shared" si="28"/>
        <v>-2.2796875000000161E-3</v>
      </c>
      <c r="S31" s="1">
        <f t="shared" si="29"/>
        <v>-4.1132812499999893E-3</v>
      </c>
      <c r="T31" s="1">
        <f t="shared" si="30"/>
        <v>4.4453124999999094E-3</v>
      </c>
      <c r="U31" s="1">
        <f t="shared" si="31"/>
        <v>1.1170312499999974E-2</v>
      </c>
      <c r="V31" s="1">
        <f t="shared" si="32"/>
        <v>-4.4531250000007239E-4</v>
      </c>
      <c r="W31" s="1">
        <f t="shared" si="33"/>
        <v>-3.5023437500000809E-3</v>
      </c>
      <c r="X31" s="1">
        <f t="shared" si="34"/>
        <v>-8.3929687500000627E-3</v>
      </c>
      <c r="Y31" s="1">
        <f t="shared" si="35"/>
        <v>1.1170312499999974E-2</v>
      </c>
      <c r="Z31" s="1">
        <f t="shared" si="36"/>
        <v>-5.9476562500000718E-3</v>
      </c>
      <c r="AA31" s="1">
        <f t="shared" si="37"/>
        <v>-5.3359375000000542E-3</v>
      </c>
    </row>
    <row r="32" spans="2:27" x14ac:dyDescent="0.6">
      <c r="B32" s="2">
        <v>24</v>
      </c>
      <c r="C32" s="3">
        <v>19.265789999999999</v>
      </c>
      <c r="D32" s="3">
        <v>19.148409999999998</v>
      </c>
      <c r="E32" s="3">
        <v>19.203189999999999</v>
      </c>
      <c r="F32" s="3">
        <v>19.257960000000001</v>
      </c>
      <c r="G32" s="3">
        <v>19.195360000000001</v>
      </c>
      <c r="H32" s="4">
        <v>19.070160000000001</v>
      </c>
      <c r="I32" s="4">
        <v>19.171880000000002</v>
      </c>
      <c r="J32" s="4">
        <v>19.195360000000001</v>
      </c>
      <c r="K32" s="4">
        <v>19.28144</v>
      </c>
      <c r="L32" s="3">
        <v>19.101459999999999</v>
      </c>
      <c r="M32" s="3">
        <v>19.250139999999998</v>
      </c>
      <c r="N32" s="3">
        <v>19.328389999999999</v>
      </c>
      <c r="O32" s="2">
        <f t="shared" si="38"/>
        <v>19.2</v>
      </c>
      <c r="P32" s="1">
        <f t="shared" si="39"/>
        <v>3.4265624999999895E-3</v>
      </c>
      <c r="Q32" s="1">
        <f t="shared" si="27"/>
        <v>-2.6869791666667142E-3</v>
      </c>
      <c r="R32" s="1">
        <f t="shared" si="28"/>
        <v>1.6614583333333471E-4</v>
      </c>
      <c r="S32" s="1">
        <f t="shared" si="29"/>
        <v>3.01875000000007E-3</v>
      </c>
      <c r="T32" s="1">
        <f t="shared" si="30"/>
        <v>-2.4166666666658454E-4</v>
      </c>
      <c r="U32" s="1">
        <f t="shared" si="31"/>
        <v>-6.7624999999998936E-3</v>
      </c>
      <c r="V32" s="1">
        <f t="shared" si="32"/>
        <v>-1.4645833333332137E-3</v>
      </c>
      <c r="W32" s="1">
        <f t="shared" si="33"/>
        <v>-2.4166666666658454E-4</v>
      </c>
      <c r="X32" s="1">
        <f t="shared" si="34"/>
        <v>4.2416666666666991E-3</v>
      </c>
      <c r="Y32" s="1">
        <f t="shared" si="35"/>
        <v>-5.1322916666666591E-3</v>
      </c>
      <c r="Z32" s="1">
        <f t="shared" si="36"/>
        <v>2.6114583333332795E-3</v>
      </c>
      <c r="AA32" s="1">
        <f t="shared" si="37"/>
        <v>6.686979166666644E-3</v>
      </c>
    </row>
    <row r="33" spans="2:27" x14ac:dyDescent="0.6">
      <c r="B33" s="2">
        <v>32</v>
      </c>
      <c r="C33" s="3">
        <v>25.549469999999999</v>
      </c>
      <c r="D33" s="3">
        <v>25.494689999999999</v>
      </c>
      <c r="E33" s="3">
        <v>25.510339999999999</v>
      </c>
      <c r="F33" s="3">
        <v>25.56512</v>
      </c>
      <c r="G33" s="3">
        <v>25.596419999999998</v>
      </c>
      <c r="H33" s="4">
        <v>25.46339</v>
      </c>
      <c r="I33" s="4">
        <v>25.494689999999999</v>
      </c>
      <c r="J33" s="4">
        <v>25.48687</v>
      </c>
      <c r="K33" s="4">
        <v>25.557289999999998</v>
      </c>
      <c r="L33" s="3">
        <v>25.526</v>
      </c>
      <c r="M33" s="3">
        <v>25.5886</v>
      </c>
      <c r="N33" s="3">
        <v>25.62772</v>
      </c>
      <c r="O33" s="2">
        <f t="shared" si="38"/>
        <v>25.6</v>
      </c>
      <c r="P33" s="1">
        <f t="shared" si="39"/>
        <v>-1.9738281250000766E-3</v>
      </c>
      <c r="Q33" s="1">
        <f t="shared" si="27"/>
        <v>-4.1136718750001133E-3</v>
      </c>
      <c r="R33" s="1">
        <f t="shared" si="28"/>
        <v>-3.5023437500000809E-3</v>
      </c>
      <c r="S33" s="1">
        <f t="shared" si="29"/>
        <v>-1.3625000000000442E-3</v>
      </c>
      <c r="T33" s="1">
        <f t="shared" si="30"/>
        <v>-1.3984375000011817E-4</v>
      </c>
      <c r="U33" s="1">
        <f t="shared" si="31"/>
        <v>-5.3363281250000394E-3</v>
      </c>
      <c r="V33" s="1">
        <f t="shared" si="32"/>
        <v>-4.1136718750001133E-3</v>
      </c>
      <c r="W33" s="1">
        <f t="shared" si="33"/>
        <v>-4.4191406250000675E-3</v>
      </c>
      <c r="X33" s="1">
        <f t="shared" si="34"/>
        <v>-1.6683593750001224E-3</v>
      </c>
      <c r="Y33" s="1">
        <f t="shared" si="35"/>
        <v>-2.8906250000000633E-3</v>
      </c>
      <c r="Z33" s="1">
        <f t="shared" si="36"/>
        <v>-4.4531250000007239E-4</v>
      </c>
      <c r="AA33" s="1">
        <f t="shared" si="37"/>
        <v>1.0828124999999467E-3</v>
      </c>
    </row>
    <row r="34" spans="2:27" x14ac:dyDescent="0.6">
      <c r="B34" s="2">
        <v>46</v>
      </c>
      <c r="C34" s="3">
        <v>36.676990000000004</v>
      </c>
      <c r="D34" s="3">
        <v>36.755240000000001</v>
      </c>
      <c r="E34" s="3">
        <v>36.71611</v>
      </c>
      <c r="F34" s="3">
        <v>36.763069999999999</v>
      </c>
      <c r="G34" s="3">
        <v>36.950870000000002</v>
      </c>
      <c r="H34" s="4">
        <v>36.794370000000001</v>
      </c>
      <c r="I34" s="4">
        <v>36.684809999999999</v>
      </c>
      <c r="J34" s="4">
        <v>36.669159999999998</v>
      </c>
      <c r="K34" s="4">
        <v>36.70046</v>
      </c>
      <c r="L34" s="3">
        <v>36.974350000000001</v>
      </c>
      <c r="M34" s="3">
        <v>36.825670000000002</v>
      </c>
      <c r="N34" s="3">
        <v>36.802190000000003</v>
      </c>
      <c r="O34" s="2">
        <f t="shared" si="38"/>
        <v>36.799999999999997</v>
      </c>
      <c r="P34" s="1">
        <f t="shared" si="39"/>
        <v>-3.3426630434780879E-3</v>
      </c>
      <c r="Q34" s="1">
        <f t="shared" si="27"/>
        <v>-1.2163043478259942E-3</v>
      </c>
      <c r="R34" s="1">
        <f t="shared" si="28"/>
        <v>-2.2796195652173014E-3</v>
      </c>
      <c r="S34" s="1">
        <f t="shared" si="29"/>
        <v>-1.0035326086956014E-3</v>
      </c>
      <c r="T34" s="1">
        <f t="shared" si="30"/>
        <v>4.0997282608696934E-3</v>
      </c>
      <c r="U34" s="1">
        <f t="shared" si="31"/>
        <v>-1.5298913043468673E-4</v>
      </c>
      <c r="V34" s="1">
        <f t="shared" si="32"/>
        <v>-3.1301630434782163E-3</v>
      </c>
      <c r="W34" s="1">
        <f t="shared" si="33"/>
        <v>-3.5554347826086737E-3</v>
      </c>
      <c r="X34" s="1">
        <f t="shared" si="34"/>
        <v>-2.7048913043477589E-3</v>
      </c>
      <c r="Y34" s="1">
        <f t="shared" si="35"/>
        <v>4.7377717391305441E-3</v>
      </c>
      <c r="Z34" s="1">
        <f t="shared" si="36"/>
        <v>6.9755434782622797E-4</v>
      </c>
      <c r="AA34" s="1">
        <f t="shared" si="37"/>
        <v>5.951086956537798E-5</v>
      </c>
    </row>
    <row r="35" spans="2:27" x14ac:dyDescent="0.6">
      <c r="B35" s="2">
        <v>64</v>
      </c>
      <c r="C35" s="3">
        <v>51.263269999999999</v>
      </c>
      <c r="D35" s="3">
        <v>51.4589</v>
      </c>
      <c r="E35" s="3">
        <v>51.380650000000003</v>
      </c>
      <c r="F35" s="3">
        <v>51.404130000000002</v>
      </c>
      <c r="G35" s="3">
        <v>51.818860000000001</v>
      </c>
      <c r="H35" s="4">
        <v>51.654530000000001</v>
      </c>
      <c r="I35" s="4">
        <v>51.357170000000004</v>
      </c>
      <c r="J35" s="4">
        <v>51.29457</v>
      </c>
      <c r="K35" s="4">
        <v>51.239800000000002</v>
      </c>
      <c r="L35" s="3">
        <v>52.022320000000001</v>
      </c>
      <c r="M35" s="3">
        <v>51.513680000000001</v>
      </c>
      <c r="N35" s="3">
        <v>51.427599999999998</v>
      </c>
      <c r="O35" s="2">
        <f t="shared" si="38"/>
        <v>51.2</v>
      </c>
      <c r="P35" s="1">
        <f t="shared" si="39"/>
        <v>1.2357421874999164E-3</v>
      </c>
      <c r="Q35" s="1">
        <f t="shared" si="27"/>
        <v>5.0566406249999418E-3</v>
      </c>
      <c r="R35" s="1">
        <f t="shared" si="28"/>
        <v>3.5283203124999996E-3</v>
      </c>
      <c r="S35" s="1">
        <f t="shared" si="29"/>
        <v>3.9869140624999855E-3</v>
      </c>
      <c r="T35" s="1">
        <f t="shared" si="30"/>
        <v>1.208710937499996E-2</v>
      </c>
      <c r="U35" s="1">
        <f t="shared" si="31"/>
        <v>8.8775390624999673E-3</v>
      </c>
      <c r="V35" s="1">
        <f t="shared" si="32"/>
        <v>3.0697265625000136E-3</v>
      </c>
      <c r="W35" s="1">
        <f t="shared" si="33"/>
        <v>1.8470703124999488E-3</v>
      </c>
      <c r="X35" s="1">
        <f t="shared" si="34"/>
        <v>7.7734374999999245E-4</v>
      </c>
      <c r="Y35" s="1">
        <f t="shared" si="35"/>
        <v>1.6060937499999955E-2</v>
      </c>
      <c r="Z35" s="1">
        <f t="shared" si="36"/>
        <v>6.1265624999999602E-3</v>
      </c>
      <c r="AA35" s="1">
        <f t="shared" si="37"/>
        <v>4.4453124999999094E-3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2025-04-07T00:18:37Z</dcterms:modified>
</cp:coreProperties>
</file>