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A8AAA7A1-34F6-4A09-AD4E-93AC6198C715}" xr6:coauthVersionLast="47" xr6:coauthVersionMax="47" xr10:uidLastSave="{00000000-0000-0000-0000-000000000000}"/>
  <bookViews>
    <workbookView xWindow="71880" yWindow="10515" windowWidth="29040" windowHeight="15720" xr2:uid="{8D392BAB-A46B-475F-BD83-31B15FAAB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5" i="1"/>
  <c r="N14" i="1"/>
  <c r="N22" i="1"/>
  <c r="N21" i="1"/>
  <c r="N20" i="1"/>
  <c r="N19" i="1"/>
  <c r="N11" i="1"/>
  <c r="N10" i="1"/>
  <c r="N9" i="1"/>
  <c r="N8" i="1"/>
  <c r="N4" i="1"/>
  <c r="N5" i="1"/>
  <c r="N6" i="1"/>
  <c r="N3" i="1"/>
  <c r="H4" i="1"/>
  <c r="J4" i="1" s="1"/>
  <c r="H5" i="1"/>
  <c r="J5" i="1" s="1"/>
  <c r="H6" i="1"/>
  <c r="J6" i="1" s="1"/>
  <c r="H3" i="1"/>
  <c r="J3" i="1" s="1"/>
</calcChain>
</file>

<file path=xl/sharedStrings.xml><?xml version="1.0" encoding="utf-8"?>
<sst xmlns="http://schemas.openxmlformats.org/spreadsheetml/2006/main" count="18" uniqueCount="10">
  <si>
    <t>max current</t>
    <phoneticPr fontId="1" type="noConversion"/>
  </si>
  <si>
    <t>0x06</t>
    <phoneticPr fontId="1" type="noConversion"/>
  </si>
  <si>
    <t>0x1F0</t>
    <phoneticPr fontId="1" type="noConversion"/>
  </si>
  <si>
    <t>0x2F0</t>
    <phoneticPr fontId="1" type="noConversion"/>
  </si>
  <si>
    <t>0x3F0</t>
    <phoneticPr fontId="1" type="noConversion"/>
  </si>
  <si>
    <t>0x4F0</t>
    <phoneticPr fontId="1" type="noConversion"/>
  </si>
  <si>
    <t>VREF</t>
    <phoneticPr fontId="1" type="noConversion"/>
  </si>
  <si>
    <t>0x08</t>
    <phoneticPr fontId="1" type="noConversion"/>
  </si>
  <si>
    <t>#1</t>
    <phoneticPr fontId="1" type="noConversion"/>
  </si>
  <si>
    <t>#2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</si>
</sst>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mA&quot;"/>
    <numFmt numFmtId="179" formatCode="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EA3E-9F38-4B90-A749-F3CB3F108472}">
  <dimension ref="B2:O22"/>
  <sheetViews>
    <sheetView tabSelected="1" workbookViewId="0"/>
  </sheetViews>
  <sheetFormatPr defaultRowHeight="17" x14ac:dyDescent="0.45"/>
  <cols>
    <col min="3" max="3" width="11.75" bestFit="1" customWidth="1"/>
    <col min="4" max="4" width="11.75" customWidth="1"/>
  </cols>
  <sheetData>
    <row r="2" spans="2:15" x14ac:dyDescent="0.45">
      <c r="C2" t="s">
        <v>0</v>
      </c>
      <c r="H2" t="s">
        <v>6</v>
      </c>
      <c r="O2">
        <v>10.032</v>
      </c>
    </row>
    <row r="3" spans="2:15" x14ac:dyDescent="0.45">
      <c r="B3">
        <v>5</v>
      </c>
      <c r="C3" s="1">
        <v>8</v>
      </c>
      <c r="D3" s="1"/>
      <c r="E3" t="s">
        <v>1</v>
      </c>
      <c r="F3" t="s">
        <v>2</v>
      </c>
      <c r="H3">
        <f>ROUND(B3/C3*4095, )</f>
        <v>2559</v>
      </c>
      <c r="I3" t="s">
        <v>7</v>
      </c>
      <c r="J3" t="str">
        <f>_xlfn.CONCAT("0x", DEC2HEX(H3))</f>
        <v>0x9FF</v>
      </c>
      <c r="L3" t="s">
        <v>8</v>
      </c>
      <c r="M3">
        <v>36.6</v>
      </c>
      <c r="N3" s="2">
        <f>M3/$O$2</f>
        <v>3.6483253588516749</v>
      </c>
    </row>
    <row r="4" spans="2:15" x14ac:dyDescent="0.45">
      <c r="B4">
        <v>10</v>
      </c>
      <c r="C4" s="1">
        <v>12</v>
      </c>
      <c r="D4" s="1"/>
      <c r="E4" t="s">
        <v>1</v>
      </c>
      <c r="F4" t="s">
        <v>3</v>
      </c>
      <c r="H4">
        <f t="shared" ref="H4:H6" si="0">ROUND(B4/C4*4095, )</f>
        <v>3413</v>
      </c>
      <c r="I4" t="s">
        <v>7</v>
      </c>
      <c r="J4" t="str">
        <f t="shared" ref="J4:J6" si="1">_xlfn.CONCAT("0x", DEC2HEX(H4))</f>
        <v>0xD55</v>
      </c>
      <c r="M4">
        <v>39.54</v>
      </c>
      <c r="N4" s="2">
        <f>M4/$O$2</f>
        <v>3.9413875598086126</v>
      </c>
    </row>
    <row r="5" spans="2:15" x14ac:dyDescent="0.45">
      <c r="B5">
        <v>15</v>
      </c>
      <c r="C5" s="1">
        <v>16</v>
      </c>
      <c r="D5" s="1"/>
      <c r="E5" t="s">
        <v>1</v>
      </c>
      <c r="F5" t="s">
        <v>4</v>
      </c>
      <c r="H5">
        <f t="shared" si="0"/>
        <v>3839</v>
      </c>
      <c r="I5" t="s">
        <v>7</v>
      </c>
      <c r="J5" t="str">
        <f t="shared" si="1"/>
        <v>0xEFF</v>
      </c>
      <c r="M5">
        <v>42.2</v>
      </c>
      <c r="N5" s="2">
        <f>M5/$O$2</f>
        <v>4.2065390749601281</v>
      </c>
    </row>
    <row r="6" spans="2:15" x14ac:dyDescent="0.45">
      <c r="B6">
        <v>20</v>
      </c>
      <c r="C6" s="1">
        <v>24</v>
      </c>
      <c r="D6" s="1"/>
      <c r="E6" t="s">
        <v>1</v>
      </c>
      <c r="F6" t="s">
        <v>5</v>
      </c>
      <c r="H6">
        <f t="shared" si="0"/>
        <v>3413</v>
      </c>
      <c r="I6" t="s">
        <v>7</v>
      </c>
      <c r="J6" t="str">
        <f t="shared" si="1"/>
        <v>0xD55</v>
      </c>
      <c r="M6">
        <v>45.6</v>
      </c>
      <c r="N6" s="2">
        <f>M6/$O$2</f>
        <v>4.5454545454545459</v>
      </c>
    </row>
    <row r="8" spans="2:15" x14ac:dyDescent="0.45">
      <c r="L8" t="s">
        <v>9</v>
      </c>
      <c r="M8">
        <v>36.799999999999997</v>
      </c>
      <c r="N8" s="2">
        <f>M8/$O$2</f>
        <v>3.668261562998405</v>
      </c>
    </row>
    <row r="9" spans="2:15" x14ac:dyDescent="0.45">
      <c r="M9">
        <v>39.9</v>
      </c>
      <c r="N9" s="2">
        <f>M9/$O$2</f>
        <v>3.9772727272727271</v>
      </c>
    </row>
    <row r="10" spans="2:15" x14ac:dyDescent="0.45">
      <c r="M10">
        <v>42.8</v>
      </c>
      <c r="N10" s="2">
        <f>M10/$O$2</f>
        <v>4.2663476874003186</v>
      </c>
    </row>
    <row r="11" spans="2:15" x14ac:dyDescent="0.45">
      <c r="M11">
        <v>46.6</v>
      </c>
      <c r="N11" s="2">
        <f>M11/$O$2</f>
        <v>4.6451355661881983</v>
      </c>
    </row>
    <row r="14" spans="2:15" x14ac:dyDescent="0.45">
      <c r="L14" t="s">
        <v>8</v>
      </c>
      <c r="M14">
        <v>36.700000000000003</v>
      </c>
      <c r="N14" s="2">
        <f>M14/$O$2</f>
        <v>3.6582934609250399</v>
      </c>
    </row>
    <row r="15" spans="2:15" x14ac:dyDescent="0.45">
      <c r="M15">
        <v>38.5</v>
      </c>
      <c r="N15" s="2">
        <f>M15/$O$2</f>
        <v>3.8377192982456139</v>
      </c>
    </row>
    <row r="16" spans="2:15" x14ac:dyDescent="0.45">
      <c r="M16">
        <v>40.200000000000003</v>
      </c>
      <c r="N16" s="2">
        <f>M16/$O$2</f>
        <v>4.0071770334928232</v>
      </c>
    </row>
    <row r="17" spans="12:14" x14ac:dyDescent="0.45">
      <c r="M17">
        <v>42.3</v>
      </c>
      <c r="N17" s="2">
        <f>M17/$O$2</f>
        <v>4.2165071770334928</v>
      </c>
    </row>
    <row r="19" spans="12:14" x14ac:dyDescent="0.45">
      <c r="L19" t="s">
        <v>9</v>
      </c>
      <c r="M19">
        <v>36.9</v>
      </c>
      <c r="N19" s="2">
        <f>M19/$O$2</f>
        <v>3.6782296650717701</v>
      </c>
    </row>
    <row r="20" spans="12:14" x14ac:dyDescent="0.45">
      <c r="M20">
        <v>38.9</v>
      </c>
      <c r="N20" s="2">
        <f>M20/$O$2</f>
        <v>3.8775917065390746</v>
      </c>
    </row>
    <row r="21" spans="12:14" x14ac:dyDescent="0.45">
      <c r="M21">
        <v>40.700000000000003</v>
      </c>
      <c r="N21" s="2">
        <f>M21/$O$2</f>
        <v>4.057017543859649</v>
      </c>
    </row>
    <row r="22" spans="12:14" x14ac:dyDescent="0.45">
      <c r="M22">
        <v>43.2</v>
      </c>
      <c r="N22" s="2">
        <f>M22/$O$2</f>
        <v>4.3062200956937806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2025-06-13T07:00:01Z</dcterms:created>
  <dcterms:modified xsi:type="dcterms:W3CDTF">2025-06-13T07:22:54Z</dcterms:modified>
</cp:coreProperties>
</file>