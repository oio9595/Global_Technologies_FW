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B1F5D8D8-2E88-4AD5-B8BB-90276D62BF27}" xr6:coauthVersionLast="47" xr6:coauthVersionMax="47" xr10:uidLastSave="{00000000-0000-0000-0000-000000000000}"/>
  <bookViews>
    <workbookView xWindow="43080" yWindow="4095" windowWidth="29040" windowHeight="15720" xr2:uid="{52918AFD-5943-4704-A5CD-7BB0240B7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Q5" i="1"/>
  <c r="Q4" i="1"/>
  <c r="Q3" i="1"/>
  <c r="P7" i="1"/>
  <c r="P6" i="1"/>
  <c r="P5" i="1"/>
  <c r="P4" i="1"/>
  <c r="P3" i="1"/>
  <c r="O4" i="1"/>
  <c r="O5" i="1"/>
  <c r="O6" i="1"/>
  <c r="O7" i="1"/>
  <c r="O3" i="1"/>
  <c r="N7" i="1"/>
  <c r="N6" i="1"/>
  <c r="N5" i="1"/>
  <c r="N4" i="1"/>
  <c r="L3" i="1"/>
  <c r="M3" i="1"/>
  <c r="N3" i="1" s="1"/>
  <c r="M7" i="1"/>
  <c r="L7" i="1"/>
  <c r="M6" i="1"/>
  <c r="L6" i="1"/>
  <c r="M5" i="1"/>
  <c r="L5" i="1"/>
  <c r="M4" i="1"/>
  <c r="L4" i="1"/>
</calcChain>
</file>

<file path=xl/sharedStrings.xml><?xml version="1.0" encoding="utf-8"?>
<sst xmlns="http://schemas.openxmlformats.org/spreadsheetml/2006/main" count="19" uniqueCount="19">
  <si>
    <t>8mA</t>
    <phoneticPr fontId="1" type="noConversion"/>
  </si>
  <si>
    <t>32mA</t>
    <phoneticPr fontId="1" type="noConversion"/>
  </si>
  <si>
    <t>64mA</t>
    <phoneticPr fontId="1" type="noConversion"/>
  </si>
  <si>
    <t>24mA</t>
    <phoneticPr fontId="1" type="noConversion"/>
  </si>
  <si>
    <t>min</t>
    <phoneticPr fontId="1" type="noConversion"/>
  </si>
  <si>
    <t>max</t>
    <phoneticPr fontId="1" type="noConversion"/>
  </si>
  <si>
    <t>4mA</t>
    <phoneticPr fontId="1" type="noConversion"/>
  </si>
  <si>
    <t>delta</t>
    <phoneticPr fontId="1" type="noConversion"/>
  </si>
  <si>
    <t>delat [uA]</t>
    <phoneticPr fontId="1" type="noConversion"/>
  </si>
  <si>
    <t>step variation</t>
    <phoneticPr fontId="1" type="noConversion"/>
  </si>
  <si>
    <t>try1</t>
    <phoneticPr fontId="1" type="noConversion"/>
  </si>
  <si>
    <t>try2</t>
  </si>
  <si>
    <t>try3</t>
  </si>
  <si>
    <t>try4</t>
  </si>
  <si>
    <t>try5</t>
  </si>
  <si>
    <t>try6</t>
  </si>
  <si>
    <t>try7</t>
  </si>
  <si>
    <t>try8</t>
  </si>
  <si>
    <t>iout/step [uA]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</si>
</sst>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8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1AE2-9A2C-46FB-A739-F2AC0D7EEA67}">
  <dimension ref="B2:Q7"/>
  <sheetViews>
    <sheetView tabSelected="1" workbookViewId="0"/>
  </sheetViews>
  <sheetFormatPr defaultRowHeight="16.899999999999999" x14ac:dyDescent="0.6"/>
  <cols>
    <col min="2" max="2" width="6.3125" bestFit="1" customWidth="1"/>
    <col min="3" max="10" width="7.4375" bestFit="1" customWidth="1"/>
    <col min="12" max="14" width="7.4375" bestFit="1" customWidth="1"/>
    <col min="15" max="15" width="9.9375" bestFit="1" customWidth="1"/>
    <col min="16" max="16" width="13.6875" bestFit="1" customWidth="1"/>
    <col min="17" max="17" width="13.3125" customWidth="1"/>
  </cols>
  <sheetData>
    <row r="2" spans="2:17" x14ac:dyDescent="0.6">
      <c r="B2" s="1"/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L2" s="1" t="s">
        <v>4</v>
      </c>
      <c r="M2" s="1" t="s">
        <v>5</v>
      </c>
      <c r="N2" s="1" t="s">
        <v>7</v>
      </c>
      <c r="O2" s="1" t="s">
        <v>8</v>
      </c>
      <c r="P2" s="1" t="s">
        <v>18</v>
      </c>
      <c r="Q2" s="1" t="s">
        <v>9</v>
      </c>
    </row>
    <row r="3" spans="2:17" x14ac:dyDescent="0.6">
      <c r="B3" s="1" t="s">
        <v>6</v>
      </c>
      <c r="C3">
        <v>3.9891999999999999</v>
      </c>
      <c r="D3">
        <v>3.9906000000000001</v>
      </c>
      <c r="E3">
        <v>3.9912000000000001</v>
      </c>
      <c r="F3">
        <v>3.9935999999999998</v>
      </c>
      <c r="G3">
        <v>3.9895999999999998</v>
      </c>
      <c r="H3">
        <v>3.9931000000000001</v>
      </c>
      <c r="I3">
        <v>3.9881000000000002</v>
      </c>
      <c r="J3">
        <v>3.9923000000000002</v>
      </c>
      <c r="L3">
        <f>MIN(C3:J3)</f>
        <v>3.9881000000000002</v>
      </c>
      <c r="M3">
        <f>MAX(C3:J3)</f>
        <v>3.9935999999999998</v>
      </c>
      <c r="N3">
        <f>M3-L3</f>
        <v>5.4999999999996163E-3</v>
      </c>
      <c r="O3">
        <f>N3*1000</f>
        <v>5.4999999999996163</v>
      </c>
      <c r="P3" s="2">
        <f>4*1000/4095</f>
        <v>0.97680097680097677</v>
      </c>
      <c r="Q3" s="2">
        <f>O3/P3</f>
        <v>5.6306249999996076</v>
      </c>
    </row>
    <row r="4" spans="2:17" x14ac:dyDescent="0.6">
      <c r="B4" s="1" t="s">
        <v>0</v>
      </c>
      <c r="C4">
        <v>7.9581999999999997</v>
      </c>
      <c r="D4">
        <v>7.9588000000000001</v>
      </c>
      <c r="E4">
        <v>7.9569000000000001</v>
      </c>
      <c r="F4">
        <v>7.9592999999999998</v>
      </c>
      <c r="G4">
        <v>7.9626999999999999</v>
      </c>
      <c r="H4">
        <v>7.9515000000000002</v>
      </c>
      <c r="I4">
        <v>7.9657999999999998</v>
      </c>
      <c r="J4">
        <v>7.9653999999999998</v>
      </c>
      <c r="L4">
        <f>MIN(C4:J4)</f>
        <v>7.9515000000000002</v>
      </c>
      <c r="M4">
        <f>MAX(C4:J4)</f>
        <v>7.9657999999999998</v>
      </c>
      <c r="N4">
        <f t="shared" ref="N4:N7" si="0">M4-L4</f>
        <v>1.4299999999999535E-2</v>
      </c>
      <c r="O4">
        <f t="shared" ref="O4:O7" si="1">N4*1000</f>
        <v>14.299999999999535</v>
      </c>
      <c r="P4" s="2">
        <f>8*1000/4095</f>
        <v>1.9536019536019535</v>
      </c>
      <c r="Q4" s="2">
        <f t="shared" ref="Q4:Q7" si="2">O4/P4</f>
        <v>7.3198124999997622</v>
      </c>
    </row>
    <row r="5" spans="2:17" x14ac:dyDescent="0.6">
      <c r="B5" s="1" t="s">
        <v>3</v>
      </c>
      <c r="C5">
        <v>23.922999999999998</v>
      </c>
      <c r="D5">
        <v>23.920999999999999</v>
      </c>
      <c r="E5">
        <v>23.93</v>
      </c>
      <c r="F5">
        <v>23.931999999999999</v>
      </c>
      <c r="G5">
        <v>23.931999999999999</v>
      </c>
      <c r="H5">
        <v>23.951000000000001</v>
      </c>
      <c r="I5">
        <v>23.943000000000001</v>
      </c>
      <c r="J5">
        <v>23.92</v>
      </c>
      <c r="L5">
        <f>MIN(C5:J5)</f>
        <v>23.92</v>
      </c>
      <c r="M5">
        <f>MAX(C5:J5)</f>
        <v>23.951000000000001</v>
      </c>
      <c r="N5">
        <f t="shared" si="0"/>
        <v>3.0999999999998806E-2</v>
      </c>
      <c r="O5">
        <f t="shared" si="1"/>
        <v>30.999999999998806</v>
      </c>
      <c r="P5" s="2">
        <f>24*1000/4095</f>
        <v>5.8608058608058604</v>
      </c>
      <c r="Q5" s="2">
        <f t="shared" si="2"/>
        <v>5.2893749999997963</v>
      </c>
    </row>
    <row r="6" spans="2:17" x14ac:dyDescent="0.6">
      <c r="B6" s="1" t="s">
        <v>1</v>
      </c>
      <c r="C6">
        <v>31.706</v>
      </c>
      <c r="D6">
        <v>31.695</v>
      </c>
      <c r="E6">
        <v>31.710999999999999</v>
      </c>
      <c r="F6">
        <v>31.7</v>
      </c>
      <c r="G6">
        <v>31.693999999999999</v>
      </c>
      <c r="H6">
        <v>31.722000000000001</v>
      </c>
      <c r="I6">
        <v>31.702000000000002</v>
      </c>
      <c r="J6">
        <v>31.725000000000001</v>
      </c>
      <c r="L6">
        <f>MIN(C6:J6)</f>
        <v>31.693999999999999</v>
      </c>
      <c r="M6">
        <f>MAX(C6:J6)</f>
        <v>31.725000000000001</v>
      </c>
      <c r="N6">
        <f t="shared" si="0"/>
        <v>3.1000000000002359E-2</v>
      </c>
      <c r="O6">
        <f t="shared" si="1"/>
        <v>31.000000000002359</v>
      </c>
      <c r="P6" s="2">
        <f>32*1000/4095</f>
        <v>7.8144078144078142</v>
      </c>
      <c r="Q6" s="2">
        <f t="shared" si="2"/>
        <v>3.9670312500003022</v>
      </c>
    </row>
    <row r="7" spans="2:17" x14ac:dyDescent="0.6">
      <c r="B7" s="1" t="s">
        <v>2</v>
      </c>
      <c r="C7">
        <v>63.231999999999999</v>
      </c>
      <c r="D7">
        <v>63.216999999999999</v>
      </c>
      <c r="E7">
        <v>63.243000000000002</v>
      </c>
      <c r="F7">
        <v>63.228000000000002</v>
      </c>
      <c r="G7">
        <v>63.252000000000002</v>
      </c>
      <c r="H7">
        <v>63.244</v>
      </c>
      <c r="I7">
        <v>63.235999999999997</v>
      </c>
      <c r="J7">
        <v>63.213999999999999</v>
      </c>
      <c r="L7">
        <f>MIN(C7:J7)</f>
        <v>63.213999999999999</v>
      </c>
      <c r="M7">
        <f>MAX(C7:J7)</f>
        <v>63.252000000000002</v>
      </c>
      <c r="N7">
        <f t="shared" si="0"/>
        <v>3.8000000000003809E-2</v>
      </c>
      <c r="O7">
        <f t="shared" si="1"/>
        <v>38.000000000003809</v>
      </c>
      <c r="P7" s="2">
        <f>64*1000/4095</f>
        <v>15.628815628815628</v>
      </c>
      <c r="Q7" s="2">
        <f t="shared" si="2"/>
        <v>2.4314062500002436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2025-04-08T08:21:29Z</dcterms:created>
  <dcterms:modified xsi:type="dcterms:W3CDTF">2025-04-08T08:33:42Z</dcterms:modified>
</cp:coreProperties>
</file>