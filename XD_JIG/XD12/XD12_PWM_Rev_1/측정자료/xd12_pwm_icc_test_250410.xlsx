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12\XD12_PWM_Rev_1\측정자료\"/>
    </mc:Choice>
  </mc:AlternateContent>
  <xr:revisionPtr revIDLastSave="0" documentId="13_ncr:1_{CB4951A9-CC12-4641-9BB4-D13A014317F4}" xr6:coauthVersionLast="47" xr6:coauthVersionMax="47" xr10:uidLastSave="{00000000-0000-0000-0000-000000000000}"/>
  <bookViews>
    <workbookView xWindow="43080" yWindow="5760" windowWidth="29040" windowHeight="15720" activeTab="1" xr2:uid="{00000000-000D-0000-FFFF-FFFF00000000}"/>
  </bookViews>
  <sheets>
    <sheet name="ICC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2" l="1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E20" i="2"/>
</calcChain>
</file>

<file path=xl/sharedStrings.xml><?xml version="1.0" encoding="utf-8"?>
<sst xmlns="http://schemas.openxmlformats.org/spreadsheetml/2006/main" count="77" uniqueCount="58">
  <si>
    <t>ICC</t>
    <phoneticPr fontId="1" type="noConversion"/>
  </si>
  <si>
    <t>Parameter</t>
  </si>
  <si>
    <t>Note</t>
    <phoneticPr fontId="1" type="noConversion"/>
  </si>
  <si>
    <t>12CH</t>
    <phoneticPr fontId="1" type="noConversion"/>
  </si>
  <si>
    <t>VREF =4095
Sim</t>
    <phoneticPr fontId="1" type="noConversion"/>
  </si>
  <si>
    <t>VREF =2048
Sim</t>
    <phoneticPr fontId="1" type="noConversion"/>
  </si>
  <si>
    <r>
      <t xml:space="preserve">VREF =4095
</t>
    </r>
    <r>
      <rPr>
        <b/>
        <sz val="10"/>
        <color rgb="FFC00000"/>
        <rFont val="Arial"/>
        <family val="2"/>
      </rPr>
      <t>Meas</t>
    </r>
    <phoneticPr fontId="1" type="noConversion"/>
  </si>
  <si>
    <r>
      <t xml:space="preserve">VREF =2048
</t>
    </r>
    <r>
      <rPr>
        <b/>
        <sz val="10"/>
        <color rgb="FFC00000"/>
        <rFont val="Arial"/>
        <family val="2"/>
      </rPr>
      <t>Meas</t>
    </r>
    <phoneticPr fontId="1" type="noConversion"/>
  </si>
  <si>
    <t>Analog</t>
    <phoneticPr fontId="1" type="noConversion"/>
  </si>
  <si>
    <t>Constant Analog</t>
    <phoneticPr fontId="1" type="noConversion"/>
  </si>
  <si>
    <t>CH OFF (Stanby)</t>
    <phoneticPr fontId="1" type="noConversion"/>
  </si>
  <si>
    <t>IOUT = 4mA</t>
    <phoneticPr fontId="1" type="noConversion"/>
  </si>
  <si>
    <t>IOUT = 8mA</t>
    <phoneticPr fontId="1" type="noConversion"/>
  </si>
  <si>
    <t>IOUT = 12mA</t>
    <phoneticPr fontId="1" type="noConversion"/>
  </si>
  <si>
    <t>IOUT = 16mA</t>
    <phoneticPr fontId="1" type="noConversion"/>
  </si>
  <si>
    <t>IOUT = 24mA</t>
    <phoneticPr fontId="1" type="noConversion"/>
  </si>
  <si>
    <t>IOUT = 32mA</t>
    <phoneticPr fontId="1" type="noConversion"/>
  </si>
  <si>
    <t>IOUT = 46mA</t>
    <phoneticPr fontId="1" type="noConversion"/>
  </si>
  <si>
    <t>IOUT = 64mA</t>
    <phoneticPr fontId="1" type="noConversion"/>
  </si>
  <si>
    <t>FLL</t>
    <phoneticPr fontId="1" type="noConversion"/>
  </si>
  <si>
    <t>Digital</t>
    <phoneticPr fontId="1" type="noConversion"/>
  </si>
  <si>
    <t>Standy</t>
    <phoneticPr fontId="1" type="noConversion"/>
  </si>
  <si>
    <t>Active</t>
    <phoneticPr fontId="1" type="noConversion"/>
  </si>
  <si>
    <r>
      <t xml:space="preserve">ICC_Total
</t>
    </r>
    <r>
      <rPr>
        <b/>
        <sz val="10"/>
        <color rgb="FFC00000"/>
        <rFont val="Arial"/>
        <family val="2"/>
      </rPr>
      <t>(Analog+Digital)</t>
    </r>
    <phoneticPr fontId="1" type="noConversion"/>
  </si>
  <si>
    <t>Analog + OSC + Digital</t>
    <phoneticPr fontId="1" type="noConversion"/>
  </si>
  <si>
    <t>IOUT OFF (Stanby)</t>
    <phoneticPr fontId="1" type="noConversion"/>
  </si>
  <si>
    <t>input</t>
    <phoneticPr fontId="1" type="noConversion"/>
  </si>
  <si>
    <t>output</t>
    <phoneticPr fontId="1" type="noConversion"/>
  </si>
  <si>
    <t>4000-1</t>
    <phoneticPr fontId="1" type="noConversion"/>
  </si>
  <si>
    <t>4000-2</t>
  </si>
  <si>
    <t>4000-3</t>
  </si>
  <si>
    <t>4000-4</t>
  </si>
  <si>
    <t>4000-5</t>
  </si>
  <si>
    <t>4000-6</t>
  </si>
  <si>
    <t>4000-7</t>
  </si>
  <si>
    <t>4000-8</t>
  </si>
  <si>
    <t>4000-9</t>
  </si>
  <si>
    <t>4000-10</t>
  </si>
  <si>
    <t>4001-1</t>
    <phoneticPr fontId="1" type="noConversion"/>
  </si>
  <si>
    <t>4001-2</t>
  </si>
  <si>
    <t>4001-3</t>
  </si>
  <si>
    <t>4001-4</t>
  </si>
  <si>
    <t>4001-5</t>
  </si>
  <si>
    <t>4001-6</t>
  </si>
  <si>
    <t>4001-7</t>
  </si>
  <si>
    <t>4001-8</t>
  </si>
  <si>
    <t>4001-9</t>
  </si>
  <si>
    <t>4001-10</t>
  </si>
  <si>
    <t>4002-1</t>
    <phoneticPr fontId="1" type="noConversion"/>
  </si>
  <si>
    <t>4002-2</t>
  </si>
  <si>
    <t>4002-3</t>
  </si>
  <si>
    <t>4002-4</t>
  </si>
  <si>
    <t>4002-5</t>
  </si>
  <si>
    <t>4002-6</t>
  </si>
  <si>
    <t>4002-7</t>
  </si>
  <si>
    <t>4002-8</t>
  </si>
  <si>
    <t>4002-9</t>
  </si>
  <si>
    <t>4002-10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</si>
</sst>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sz val="10"/>
      <color rgb="FF000000"/>
      <name val="Arial"/>
      <family val="2"/>
    </font>
    <font>
      <b/>
      <sz val="8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6F0F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4" fillId="3" borderId="20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8" xfId="0" applyFont="1" applyBorder="1" applyAlignment="1">
      <alignment horizontal="center" vertical="center" wrapText="1"/>
    </xf>
    <xf numFmtId="0" fontId="4" fillId="4" borderId="19" xfId="0" applyFont="1" applyFill="1" applyBorder="1" applyAlignment="1">
      <alignment horizontal="center" vertical="center" wrapText="1"/>
    </xf>
    <xf numFmtId="0" fontId="4" fillId="4" borderId="20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0" fillId="0" borderId="0" xfId="0" quotePrefix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0.11877341898210664"/>
          <c:y val="0.11142022209234366"/>
          <c:w val="0.8465961487640753"/>
          <c:h val="0.77692982415771961"/>
        </c:manualLayout>
      </c:layout>
      <c:scatterChart>
        <c:scatterStyle val="lineMarker"/>
        <c:varyColors val="0"/>
        <c:ser>
          <c:idx val="0"/>
          <c:order val="0"/>
          <c:tx>
            <c:v>4000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strRef>
              <c:f>Sheet1!$B$3:$B$12</c:f>
              <c:strCache>
                <c:ptCount val="10"/>
                <c:pt idx="0">
                  <c:v>4000-1</c:v>
                </c:pt>
                <c:pt idx="1">
                  <c:v>4000-2</c:v>
                </c:pt>
                <c:pt idx="2">
                  <c:v>4000-3</c:v>
                </c:pt>
                <c:pt idx="3">
                  <c:v>4000-4</c:v>
                </c:pt>
                <c:pt idx="4">
                  <c:v>4000-5</c:v>
                </c:pt>
                <c:pt idx="5">
                  <c:v>4000-6</c:v>
                </c:pt>
                <c:pt idx="6">
                  <c:v>4000-7</c:v>
                </c:pt>
                <c:pt idx="7">
                  <c:v>4000-8</c:v>
                </c:pt>
                <c:pt idx="8">
                  <c:v>4000-9</c:v>
                </c:pt>
                <c:pt idx="9">
                  <c:v>4000-10</c:v>
                </c:pt>
              </c:strCache>
            </c:strRef>
          </c:xVal>
          <c:yVal>
            <c:numRef>
              <c:f>Sheet1!$C$3:$C$12</c:f>
              <c:numCache>
                <c:formatCode>General</c:formatCode>
                <c:ptCount val="10"/>
                <c:pt idx="0">
                  <c:v>3999.258476232008</c:v>
                </c:pt>
                <c:pt idx="1">
                  <c:v>3999.5266334063567</c:v>
                </c:pt>
                <c:pt idx="2">
                  <c:v>3999.5957982641262</c:v>
                </c:pt>
                <c:pt idx="3">
                  <c:v>3999.6354293975787</c:v>
                </c:pt>
                <c:pt idx="4">
                  <c:v>3999.7677197212797</c:v>
                </c:pt>
                <c:pt idx="5">
                  <c:v>3999.839496980831</c:v>
                </c:pt>
                <c:pt idx="6">
                  <c:v>3999.8653479761851</c:v>
                </c:pt>
                <c:pt idx="7">
                  <c:v>4000.2297938343709</c:v>
                </c:pt>
                <c:pt idx="8">
                  <c:v>4000.4447107268243</c:v>
                </c:pt>
                <c:pt idx="9">
                  <c:v>4000.5570748546584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25-4891-BE85-16BB029CF756}"/>
            </c:ext>
          </c:extLst>
        </c:ser>
        <c:ser>
          <c:idx val="1"/>
          <c:order val="1"/>
          <c:tx>
            <c:v>4001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strRef>
              <c:f>Sheet1!$B$13:$B$22</c:f>
              <c:strCache>
                <c:ptCount val="10"/>
                <c:pt idx="0">
                  <c:v>4001-10</c:v>
                </c:pt>
                <c:pt idx="1">
                  <c:v>4001-2</c:v>
                </c:pt>
                <c:pt idx="2">
                  <c:v>4001-1</c:v>
                </c:pt>
                <c:pt idx="3">
                  <c:v>4001-6</c:v>
                </c:pt>
                <c:pt idx="4">
                  <c:v>4001-7</c:v>
                </c:pt>
                <c:pt idx="5">
                  <c:v>4001-4</c:v>
                </c:pt>
                <c:pt idx="6">
                  <c:v>4001-3</c:v>
                </c:pt>
                <c:pt idx="7">
                  <c:v>4001-5</c:v>
                </c:pt>
                <c:pt idx="8">
                  <c:v>4001-8</c:v>
                </c:pt>
                <c:pt idx="9">
                  <c:v>4001-9</c:v>
                </c:pt>
              </c:strCache>
            </c:strRef>
          </c:xVal>
          <c:yVal>
            <c:numRef>
              <c:f>Sheet1!$C$13:$C$22</c:f>
              <c:numCache>
                <c:formatCode>General</c:formatCode>
                <c:ptCount val="10"/>
                <c:pt idx="0">
                  <c:v>4000.0111393536617</c:v>
                </c:pt>
                <c:pt idx="1">
                  <c:v>4000.0900916391497</c:v>
                </c:pt>
                <c:pt idx="2">
                  <c:v>4000.2212110879213</c:v>
                </c:pt>
                <c:pt idx="3">
                  <c:v>4000.244588423182</c:v>
                </c:pt>
                <c:pt idx="4">
                  <c:v>4000.3173864462897</c:v>
                </c:pt>
                <c:pt idx="5">
                  <c:v>4001.071106422919</c:v>
                </c:pt>
                <c:pt idx="6">
                  <c:v>4001.305715690065</c:v>
                </c:pt>
                <c:pt idx="7">
                  <c:v>4001.8062978800413</c:v>
                </c:pt>
                <c:pt idx="8">
                  <c:v>4001.9521901974808</c:v>
                </c:pt>
                <c:pt idx="9">
                  <c:v>4001.996828182997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25-4891-BE85-16BB029CF756}"/>
            </c:ext>
          </c:extLst>
        </c:ser>
        <c:ser>
          <c:idx val="2"/>
          <c:order val="2"/>
          <c:tx>
            <c:v>4002</c:v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strRef>
              <c:f>Sheet1!$B$23:$B$32</c:f>
              <c:strCache>
                <c:ptCount val="10"/>
                <c:pt idx="0">
                  <c:v>4002-7</c:v>
                </c:pt>
                <c:pt idx="1">
                  <c:v>4002-9</c:v>
                </c:pt>
                <c:pt idx="2">
                  <c:v>4002-8</c:v>
                </c:pt>
                <c:pt idx="3">
                  <c:v>4002-3</c:v>
                </c:pt>
                <c:pt idx="4">
                  <c:v>4002-2</c:v>
                </c:pt>
                <c:pt idx="5">
                  <c:v>4002-10</c:v>
                </c:pt>
                <c:pt idx="6">
                  <c:v>4002-5</c:v>
                </c:pt>
                <c:pt idx="7">
                  <c:v>4002-6</c:v>
                </c:pt>
                <c:pt idx="8">
                  <c:v>4002-4</c:v>
                </c:pt>
                <c:pt idx="9">
                  <c:v>4002-1</c:v>
                </c:pt>
              </c:strCache>
            </c:strRef>
          </c:xVal>
          <c:yVal>
            <c:numRef>
              <c:f>Sheet1!$C$23:$C$32</c:f>
              <c:numCache>
                <c:formatCode>General</c:formatCode>
                <c:ptCount val="10"/>
                <c:pt idx="0">
                  <c:v>4001.3639439486242</c:v>
                </c:pt>
                <c:pt idx="1">
                  <c:v>4001.3867418526502</c:v>
                </c:pt>
                <c:pt idx="2">
                  <c:v>4001.6901364119635</c:v>
                </c:pt>
                <c:pt idx="3">
                  <c:v>4001.8261576603786</c:v>
                </c:pt>
                <c:pt idx="4">
                  <c:v>4001.879065535873</c:v>
                </c:pt>
                <c:pt idx="5">
                  <c:v>4002.1209211984947</c:v>
                </c:pt>
                <c:pt idx="6">
                  <c:v>4002.6428186092794</c:v>
                </c:pt>
                <c:pt idx="7">
                  <c:v>4002.837630977172</c:v>
                </c:pt>
                <c:pt idx="8">
                  <c:v>4002.8667586667398</c:v>
                </c:pt>
                <c:pt idx="9">
                  <c:v>4002.8736699580254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25-4891-BE85-16BB029CF75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9532719"/>
        <c:axId val="179525039"/>
      </c:scatterChart>
      <c:valAx>
        <c:axId val="17953271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525039"/>
        <c:crosses val="autoZero"/>
        <c:crossBetween val="midCat"/>
      </c:valAx>
      <c:valAx>
        <c:axId val="179525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5327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441130730897076"/>
          <c:y val="1.349894384183859E-2"/>
          <c:w val="8.3334082721421718E-2"/>
          <c:h val="8.56232713751225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322264</xdr:colOff>
      <xdr:row>25</xdr:row>
      <xdr:rowOff>171450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61EB2EA-DD9D-495A-AFC1-E8DDC262D3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F9B3C-4F59-4680-86CB-4ABF86107B5C}">
  <dimension ref="B2:N30"/>
  <sheetViews>
    <sheetView zoomScale="85" zoomScaleNormal="85" workbookViewId="0">
      <selection activeCell="D26" sqref="D26:N26"/>
    </sheetView>
  </sheetViews>
  <sheetFormatPr defaultRowHeight="17" x14ac:dyDescent="0.45"/>
  <cols>
    <col min="2" max="2" width="14.25" bestFit="1" customWidth="1"/>
    <col min="3" max="3" width="23" customWidth="1"/>
    <col min="4" max="4" width="23.4140625" customWidth="1"/>
    <col min="5" max="7" width="12.9140625" customWidth="1"/>
    <col min="8" max="20" width="12.6640625" customWidth="1"/>
  </cols>
  <sheetData>
    <row r="2" spans="2:8" ht="17.5" thickBot="1" x14ac:dyDescent="0.5"/>
    <row r="3" spans="2:8" x14ac:dyDescent="0.45">
      <c r="B3" s="32" t="s">
        <v>0</v>
      </c>
      <c r="C3" s="36" t="s">
        <v>1</v>
      </c>
      <c r="D3" s="38" t="s">
        <v>2</v>
      </c>
      <c r="E3" s="32" t="s">
        <v>3</v>
      </c>
      <c r="F3" s="36"/>
      <c r="G3" s="36"/>
      <c r="H3" s="40"/>
    </row>
    <row r="4" spans="2:8" ht="26.5" thickBot="1" x14ac:dyDescent="0.5">
      <c r="B4" s="41"/>
      <c r="C4" s="42"/>
      <c r="D4" s="43"/>
      <c r="E4" s="1" t="s">
        <v>4</v>
      </c>
      <c r="F4" s="2" t="s">
        <v>5</v>
      </c>
      <c r="G4" s="2" t="s">
        <v>6</v>
      </c>
      <c r="H4" s="3" t="s">
        <v>7</v>
      </c>
    </row>
    <row r="5" spans="2:8" x14ac:dyDescent="0.45">
      <c r="B5" s="46" t="s">
        <v>8</v>
      </c>
      <c r="C5" s="49" t="s">
        <v>9</v>
      </c>
      <c r="D5" s="4" t="s">
        <v>10</v>
      </c>
      <c r="E5" s="28">
        <v>0.85</v>
      </c>
      <c r="F5" s="29"/>
      <c r="G5" s="5"/>
      <c r="H5" s="6"/>
    </row>
    <row r="6" spans="2:8" x14ac:dyDescent="0.45">
      <c r="B6" s="47"/>
      <c r="C6" s="50"/>
      <c r="D6" s="7" t="s">
        <v>11</v>
      </c>
      <c r="E6" s="8">
        <v>1.2</v>
      </c>
      <c r="F6" s="9">
        <v>1.1000000000000001</v>
      </c>
      <c r="G6" s="10"/>
      <c r="H6" s="11"/>
    </row>
    <row r="7" spans="2:8" x14ac:dyDescent="0.45">
      <c r="B7" s="47"/>
      <c r="C7" s="50"/>
      <c r="D7" s="12" t="s">
        <v>12</v>
      </c>
      <c r="E7" s="8">
        <v>1.5</v>
      </c>
      <c r="F7" s="9">
        <v>1.2</v>
      </c>
      <c r="G7" s="10"/>
      <c r="H7" s="11"/>
    </row>
    <row r="8" spans="2:8" x14ac:dyDescent="0.45">
      <c r="B8" s="47"/>
      <c r="C8" s="50"/>
      <c r="D8" s="7" t="s">
        <v>13</v>
      </c>
      <c r="E8" s="8">
        <v>1.75</v>
      </c>
      <c r="F8" s="9">
        <v>1.3</v>
      </c>
      <c r="G8" s="10"/>
      <c r="H8" s="11"/>
    </row>
    <row r="9" spans="2:8" x14ac:dyDescent="0.45">
      <c r="B9" s="47"/>
      <c r="C9" s="50"/>
      <c r="D9" s="7" t="s">
        <v>14</v>
      </c>
      <c r="E9" s="8">
        <v>1.95</v>
      </c>
      <c r="F9" s="9">
        <v>1.45</v>
      </c>
      <c r="G9" s="10"/>
      <c r="H9" s="11"/>
    </row>
    <row r="10" spans="2:8" x14ac:dyDescent="0.45">
      <c r="B10" s="47"/>
      <c r="C10" s="50"/>
      <c r="D10" s="12" t="s">
        <v>15</v>
      </c>
      <c r="E10" s="8">
        <v>2.5</v>
      </c>
      <c r="F10" s="9">
        <v>1.7</v>
      </c>
      <c r="G10" s="10"/>
      <c r="H10" s="11"/>
    </row>
    <row r="11" spans="2:8" x14ac:dyDescent="0.45">
      <c r="B11" s="47"/>
      <c r="C11" s="50"/>
      <c r="D11" s="7" t="s">
        <v>16</v>
      </c>
      <c r="E11" s="8">
        <v>3</v>
      </c>
      <c r="F11" s="9">
        <v>2</v>
      </c>
      <c r="G11" s="10"/>
      <c r="H11" s="11"/>
    </row>
    <row r="12" spans="2:8" x14ac:dyDescent="0.45">
      <c r="B12" s="47"/>
      <c r="C12" s="50"/>
      <c r="D12" s="12" t="s">
        <v>17</v>
      </c>
      <c r="E12" s="8">
        <v>3.9</v>
      </c>
      <c r="F12" s="9">
        <v>2.4</v>
      </c>
      <c r="G12" s="10"/>
      <c r="H12" s="11"/>
    </row>
    <row r="13" spans="2:8" x14ac:dyDescent="0.45">
      <c r="B13" s="47"/>
      <c r="C13" s="51"/>
      <c r="D13" s="7" t="s">
        <v>18</v>
      </c>
      <c r="E13" s="8">
        <v>5.0999999999999996</v>
      </c>
      <c r="F13" s="9">
        <v>3</v>
      </c>
      <c r="G13" s="10"/>
      <c r="H13" s="11"/>
    </row>
    <row r="14" spans="2:8" ht="17.5" thickBot="1" x14ac:dyDescent="0.5">
      <c r="B14" s="48"/>
      <c r="C14" s="13" t="s">
        <v>19</v>
      </c>
      <c r="D14" s="14"/>
      <c r="E14" s="30">
        <v>0.3</v>
      </c>
      <c r="F14" s="31"/>
      <c r="G14" s="15"/>
      <c r="H14" s="16"/>
    </row>
    <row r="15" spans="2:8" x14ac:dyDescent="0.45">
      <c r="B15" s="44" t="s">
        <v>20</v>
      </c>
      <c r="C15" s="17" t="s">
        <v>21</v>
      </c>
      <c r="D15" s="4"/>
      <c r="E15" s="28">
        <v>0.6</v>
      </c>
      <c r="F15" s="29"/>
      <c r="G15" s="5"/>
      <c r="H15" s="6"/>
    </row>
    <row r="16" spans="2:8" ht="17.5" thickBot="1" x14ac:dyDescent="0.5">
      <c r="B16" s="45"/>
      <c r="C16" s="13" t="s">
        <v>22</v>
      </c>
      <c r="D16" s="14"/>
      <c r="E16" s="30">
        <v>1</v>
      </c>
      <c r="F16" s="31"/>
      <c r="G16" s="15"/>
      <c r="H16" s="16"/>
    </row>
    <row r="17" spans="2:14" ht="17.5" thickBot="1" x14ac:dyDescent="0.5">
      <c r="B17" s="18"/>
      <c r="C17" s="18"/>
      <c r="D17" s="18"/>
      <c r="E17" s="18"/>
      <c r="F17" s="18"/>
      <c r="G17" s="18"/>
      <c r="H17" s="18"/>
    </row>
    <row r="18" spans="2:14" x14ac:dyDescent="0.45">
      <c r="B18" s="32"/>
      <c r="C18" s="36" t="s">
        <v>1</v>
      </c>
      <c r="D18" s="38" t="s">
        <v>2</v>
      </c>
      <c r="E18" s="32" t="s">
        <v>3</v>
      </c>
      <c r="F18" s="36"/>
      <c r="G18" s="36"/>
      <c r="H18" s="40"/>
    </row>
    <row r="19" spans="2:14" ht="26.5" thickBot="1" x14ac:dyDescent="0.5">
      <c r="B19" s="33"/>
      <c r="C19" s="37"/>
      <c r="D19" s="39"/>
      <c r="E19" s="1" t="s">
        <v>4</v>
      </c>
      <c r="F19" s="2" t="s">
        <v>5</v>
      </c>
      <c r="G19" s="2" t="s">
        <v>6</v>
      </c>
      <c r="H19" s="3" t="s">
        <v>7</v>
      </c>
      <c r="J19" s="2" t="s">
        <v>6</v>
      </c>
      <c r="K19" s="3" t="s">
        <v>7</v>
      </c>
      <c r="M19" s="2" t="s">
        <v>6</v>
      </c>
      <c r="N19" s="3" t="s">
        <v>7</v>
      </c>
    </row>
    <row r="20" spans="2:14" x14ac:dyDescent="0.45">
      <c r="B20" s="52" t="s">
        <v>23</v>
      </c>
      <c r="C20" s="25" t="s">
        <v>24</v>
      </c>
      <c r="D20" s="4" t="s">
        <v>25</v>
      </c>
      <c r="E20" s="28">
        <f>E5+$E$14+$E$15</f>
        <v>1.75</v>
      </c>
      <c r="F20" s="29"/>
      <c r="G20" s="34">
        <v>3.2</v>
      </c>
      <c r="H20" s="35"/>
      <c r="J20" s="34">
        <v>3.153</v>
      </c>
      <c r="K20" s="35"/>
      <c r="M20" s="34">
        <v>3.2</v>
      </c>
      <c r="N20" s="35"/>
    </row>
    <row r="21" spans="2:14" x14ac:dyDescent="0.45">
      <c r="B21" s="53"/>
      <c r="C21" s="26"/>
      <c r="D21" s="7" t="s">
        <v>11</v>
      </c>
      <c r="E21" s="8">
        <f>E6+$E$14+$E$16</f>
        <v>2.5</v>
      </c>
      <c r="F21" s="9">
        <f>F6+$E$14+$E$16</f>
        <v>2.4000000000000004</v>
      </c>
      <c r="G21" s="20">
        <v>3.3439999999999999</v>
      </c>
      <c r="H21" s="21">
        <v>3.21</v>
      </c>
      <c r="J21" s="20">
        <v>3.26</v>
      </c>
      <c r="K21" s="21">
        <v>3.173</v>
      </c>
      <c r="M21" s="20">
        <v>3.327</v>
      </c>
      <c r="N21" s="21">
        <v>3.222</v>
      </c>
    </row>
    <row r="22" spans="2:14" x14ac:dyDescent="0.45">
      <c r="B22" s="53"/>
      <c r="C22" s="26"/>
      <c r="D22" s="7" t="s">
        <v>12</v>
      </c>
      <c r="E22" s="8">
        <f t="shared" ref="E22:F28" si="0">E7+$E$14+$E$16</f>
        <v>2.8</v>
      </c>
      <c r="F22" s="9">
        <f t="shared" si="0"/>
        <v>2.5</v>
      </c>
      <c r="G22" s="20">
        <v>3.62</v>
      </c>
      <c r="H22" s="21">
        <v>3.3719999999999999</v>
      </c>
      <c r="J22" s="20">
        <v>3.5329999999999999</v>
      </c>
      <c r="K22" s="21">
        <v>3.2879999999999998</v>
      </c>
      <c r="M22" s="20">
        <v>3.605</v>
      </c>
      <c r="N22" s="21">
        <v>3.3450000000000002</v>
      </c>
    </row>
    <row r="23" spans="2:14" x14ac:dyDescent="0.45">
      <c r="B23" s="53"/>
      <c r="C23" s="26"/>
      <c r="D23" s="7" t="s">
        <v>13</v>
      </c>
      <c r="E23" s="8">
        <f t="shared" si="0"/>
        <v>3.05</v>
      </c>
      <c r="F23" s="9">
        <f t="shared" si="0"/>
        <v>2.6</v>
      </c>
      <c r="G23" s="20">
        <v>3.9</v>
      </c>
      <c r="H23" s="21">
        <v>3.5110000000000001</v>
      </c>
      <c r="J23" s="20">
        <v>3.8029999999999999</v>
      </c>
      <c r="K23" s="21">
        <v>3.42</v>
      </c>
      <c r="M23" s="20">
        <v>3.8809999999999998</v>
      </c>
      <c r="N23" s="21">
        <v>3.4740000000000002</v>
      </c>
    </row>
    <row r="24" spans="2:14" x14ac:dyDescent="0.45">
      <c r="B24" s="53"/>
      <c r="C24" s="26"/>
      <c r="D24" s="7" t="s">
        <v>14</v>
      </c>
      <c r="E24" s="8">
        <f t="shared" si="0"/>
        <v>3.25</v>
      </c>
      <c r="F24" s="9">
        <f t="shared" si="0"/>
        <v>2.75</v>
      </c>
      <c r="G24" s="20">
        <v>4.1660000000000004</v>
      </c>
      <c r="H24" s="21">
        <v>3.6520000000000001</v>
      </c>
      <c r="J24" s="20">
        <v>4.0640000000000001</v>
      </c>
      <c r="K24" s="21">
        <v>3.556</v>
      </c>
      <c r="M24" s="20">
        <v>4.1529999999999996</v>
      </c>
      <c r="N24" s="21">
        <v>3.6040000000000001</v>
      </c>
    </row>
    <row r="25" spans="2:14" x14ac:dyDescent="0.45">
      <c r="B25" s="53"/>
      <c r="C25" s="26"/>
      <c r="D25" s="7" t="s">
        <v>15</v>
      </c>
      <c r="E25" s="8">
        <f t="shared" si="0"/>
        <v>3.8</v>
      </c>
      <c r="F25" s="9">
        <f t="shared" si="0"/>
        <v>3</v>
      </c>
      <c r="G25" s="20">
        <v>4.72</v>
      </c>
      <c r="H25" s="21">
        <v>3.927</v>
      </c>
      <c r="J25" s="20">
        <v>4.6120000000000001</v>
      </c>
      <c r="K25" s="21">
        <v>3.835</v>
      </c>
      <c r="M25" s="20">
        <v>4.71</v>
      </c>
      <c r="N25" s="21">
        <v>3.8730000000000002</v>
      </c>
    </row>
    <row r="26" spans="2:14" x14ac:dyDescent="0.45">
      <c r="B26" s="53"/>
      <c r="C26" s="26"/>
      <c r="D26" s="7" t="s">
        <v>16</v>
      </c>
      <c r="E26" s="8">
        <f t="shared" si="0"/>
        <v>4.3</v>
      </c>
      <c r="F26" s="9">
        <f t="shared" si="0"/>
        <v>3.3</v>
      </c>
      <c r="G26" s="20">
        <v>5.2729999999999997</v>
      </c>
      <c r="H26" s="21">
        <v>4.1980000000000004</v>
      </c>
      <c r="J26" s="20">
        <v>5.18</v>
      </c>
      <c r="K26" s="21">
        <v>4.0979999999999999</v>
      </c>
      <c r="M26" s="20">
        <v>5.2610000000000001</v>
      </c>
      <c r="N26" s="21">
        <v>4.1360000000000001</v>
      </c>
    </row>
    <row r="27" spans="2:14" x14ac:dyDescent="0.45">
      <c r="B27" s="53"/>
      <c r="C27" s="26"/>
      <c r="D27" s="7" t="s">
        <v>17</v>
      </c>
      <c r="E27" s="8">
        <f t="shared" si="0"/>
        <v>5.2</v>
      </c>
      <c r="F27" s="9">
        <f t="shared" si="0"/>
        <v>3.6999999999999997</v>
      </c>
      <c r="G27" s="20">
        <v>6.2359999999999998</v>
      </c>
      <c r="H27" s="21">
        <v>4.6900000000000004</v>
      </c>
      <c r="J27" s="20">
        <v>6.1379999999999999</v>
      </c>
      <c r="K27" s="21">
        <v>4.5750000000000002</v>
      </c>
      <c r="M27" s="20">
        <v>6.23</v>
      </c>
      <c r="N27" s="21">
        <v>4.633</v>
      </c>
    </row>
    <row r="28" spans="2:14" ht="17.5" thickBot="1" x14ac:dyDescent="0.5">
      <c r="B28" s="54"/>
      <c r="C28" s="27"/>
      <c r="D28" s="14" t="s">
        <v>18</v>
      </c>
      <c r="E28" s="19">
        <f t="shared" si="0"/>
        <v>6.3999999999999995</v>
      </c>
      <c r="F28" s="13">
        <f t="shared" si="0"/>
        <v>4.3</v>
      </c>
      <c r="G28" s="22">
        <v>7.5439999999999996</v>
      </c>
      <c r="H28" s="23">
        <v>5.31</v>
      </c>
      <c r="J28" s="22">
        <v>7.3979999999999997</v>
      </c>
      <c r="K28" s="23">
        <v>5.2350000000000003</v>
      </c>
      <c r="M28" s="22">
        <v>7.492</v>
      </c>
      <c r="N28" s="23">
        <v>5.2329999999999997</v>
      </c>
    </row>
    <row r="30" spans="2:14" x14ac:dyDescent="0.45">
      <c r="D30" s="24"/>
    </row>
  </sheetData>
  <mergeCells count="21">
    <mergeCell ref="B3:B4"/>
    <mergeCell ref="C3:C4"/>
    <mergeCell ref="D3:D4"/>
    <mergeCell ref="E3:H3"/>
    <mergeCell ref="G20:H20"/>
    <mergeCell ref="E14:F14"/>
    <mergeCell ref="B15:B16"/>
    <mergeCell ref="E15:F15"/>
    <mergeCell ref="B5:B14"/>
    <mergeCell ref="C5:C13"/>
    <mergeCell ref="E5:F5"/>
    <mergeCell ref="B20:B28"/>
    <mergeCell ref="C20:C28"/>
    <mergeCell ref="E20:F20"/>
    <mergeCell ref="E16:F16"/>
    <mergeCell ref="B18:B19"/>
    <mergeCell ref="M20:N20"/>
    <mergeCell ref="C18:C19"/>
    <mergeCell ref="D18:D19"/>
    <mergeCell ref="E18:H18"/>
    <mergeCell ref="J20:K20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3A57B-3069-43D0-9DEA-B85DAA59E243}">
  <dimension ref="B2:C32"/>
  <sheetViews>
    <sheetView tabSelected="1" workbookViewId="0"/>
  </sheetViews>
  <sheetFormatPr defaultRowHeight="17" x14ac:dyDescent="0.45"/>
  <sheetData>
    <row r="2" spans="2:3" x14ac:dyDescent="0.45">
      <c r="B2" t="s">
        <v>26</v>
      </c>
      <c r="C2" t="s">
        <v>27</v>
      </c>
    </row>
    <row r="3" spans="2:3" x14ac:dyDescent="0.45">
      <c r="B3" s="55" t="s">
        <v>28</v>
      </c>
      <c r="C3">
        <v>3999.258476232008</v>
      </c>
    </row>
    <row r="4" spans="2:3" x14ac:dyDescent="0.45">
      <c r="B4" s="55" t="s">
        <v>29</v>
      </c>
      <c r="C4">
        <v>3999.5266334063567</v>
      </c>
    </row>
    <row r="5" spans="2:3" x14ac:dyDescent="0.45">
      <c r="B5" s="55" t="s">
        <v>30</v>
      </c>
      <c r="C5">
        <v>3999.5957982641262</v>
      </c>
    </row>
    <row r="6" spans="2:3" x14ac:dyDescent="0.45">
      <c r="B6" s="55" t="s">
        <v>31</v>
      </c>
      <c r="C6">
        <v>3999.6354293975787</v>
      </c>
    </row>
    <row r="7" spans="2:3" x14ac:dyDescent="0.45">
      <c r="B7" s="55" t="s">
        <v>32</v>
      </c>
      <c r="C7">
        <v>3999.7677197212797</v>
      </c>
    </row>
    <row r="8" spans="2:3" x14ac:dyDescent="0.45">
      <c r="B8" s="55" t="s">
        <v>33</v>
      </c>
      <c r="C8">
        <v>3999.839496980831</v>
      </c>
    </row>
    <row r="9" spans="2:3" x14ac:dyDescent="0.45">
      <c r="B9" s="55" t="s">
        <v>34</v>
      </c>
      <c r="C9">
        <v>3999.8653479761851</v>
      </c>
    </row>
    <row r="10" spans="2:3" x14ac:dyDescent="0.45">
      <c r="B10" s="55" t="s">
        <v>35</v>
      </c>
      <c r="C10">
        <v>4000.2297938343709</v>
      </c>
    </row>
    <row r="11" spans="2:3" x14ac:dyDescent="0.45">
      <c r="B11" s="55" t="s">
        <v>36</v>
      </c>
      <c r="C11">
        <v>4000.4447107268243</v>
      </c>
    </row>
    <row r="12" spans="2:3" x14ac:dyDescent="0.45">
      <c r="B12" s="55" t="s">
        <v>37</v>
      </c>
      <c r="C12">
        <v>4000.5570748546584</v>
      </c>
    </row>
    <row r="13" spans="2:3" x14ac:dyDescent="0.45">
      <c r="B13" s="55" t="s">
        <v>47</v>
      </c>
      <c r="C13">
        <v>4000.0111393536617</v>
      </c>
    </row>
    <row r="14" spans="2:3" x14ac:dyDescent="0.45">
      <c r="B14" s="55" t="s">
        <v>39</v>
      </c>
      <c r="C14">
        <v>4000.0900916391497</v>
      </c>
    </row>
    <row r="15" spans="2:3" x14ac:dyDescent="0.45">
      <c r="B15" s="55" t="s">
        <v>38</v>
      </c>
      <c r="C15">
        <v>4000.2212110879213</v>
      </c>
    </row>
    <row r="16" spans="2:3" x14ac:dyDescent="0.45">
      <c r="B16" s="55" t="s">
        <v>43</v>
      </c>
      <c r="C16">
        <v>4000.244588423182</v>
      </c>
    </row>
    <row r="17" spans="2:3" x14ac:dyDescent="0.45">
      <c r="B17" s="55" t="s">
        <v>44</v>
      </c>
      <c r="C17">
        <v>4000.3173864462897</v>
      </c>
    </row>
    <row r="18" spans="2:3" x14ac:dyDescent="0.45">
      <c r="B18" s="55" t="s">
        <v>41</v>
      </c>
      <c r="C18">
        <v>4001.071106422919</v>
      </c>
    </row>
    <row r="19" spans="2:3" x14ac:dyDescent="0.45">
      <c r="B19" s="55" t="s">
        <v>40</v>
      </c>
      <c r="C19">
        <v>4001.305715690065</v>
      </c>
    </row>
    <row r="20" spans="2:3" x14ac:dyDescent="0.45">
      <c r="B20" s="55" t="s">
        <v>42</v>
      </c>
      <c r="C20">
        <v>4001.8062978800413</v>
      </c>
    </row>
    <row r="21" spans="2:3" x14ac:dyDescent="0.45">
      <c r="B21" s="55" t="s">
        <v>45</v>
      </c>
      <c r="C21">
        <v>4001.9521901974808</v>
      </c>
    </row>
    <row r="22" spans="2:3" x14ac:dyDescent="0.45">
      <c r="B22" s="55" t="s">
        <v>46</v>
      </c>
      <c r="C22">
        <v>4001.996828182997</v>
      </c>
    </row>
    <row r="23" spans="2:3" x14ac:dyDescent="0.45">
      <c r="B23" s="55" t="s">
        <v>54</v>
      </c>
      <c r="C23">
        <v>4001.3639439486242</v>
      </c>
    </row>
    <row r="24" spans="2:3" x14ac:dyDescent="0.45">
      <c r="B24" s="55" t="s">
        <v>56</v>
      </c>
      <c r="C24">
        <v>4001.3867418526502</v>
      </c>
    </row>
    <row r="25" spans="2:3" x14ac:dyDescent="0.45">
      <c r="B25" s="55" t="s">
        <v>55</v>
      </c>
      <c r="C25">
        <v>4001.6901364119635</v>
      </c>
    </row>
    <row r="26" spans="2:3" x14ac:dyDescent="0.45">
      <c r="B26" s="55" t="s">
        <v>50</v>
      </c>
      <c r="C26">
        <v>4001.8261576603786</v>
      </c>
    </row>
    <row r="27" spans="2:3" x14ac:dyDescent="0.45">
      <c r="B27" s="55" t="s">
        <v>49</v>
      </c>
      <c r="C27">
        <v>4001.879065535873</v>
      </c>
    </row>
    <row r="28" spans="2:3" x14ac:dyDescent="0.45">
      <c r="B28" s="55" t="s">
        <v>57</v>
      </c>
      <c r="C28">
        <v>4002.1209211984947</v>
      </c>
    </row>
    <row r="29" spans="2:3" x14ac:dyDescent="0.45">
      <c r="B29" s="55" t="s">
        <v>52</v>
      </c>
      <c r="C29">
        <v>4002.6428186092794</v>
      </c>
    </row>
    <row r="30" spans="2:3" x14ac:dyDescent="0.45">
      <c r="B30" s="55" t="s">
        <v>53</v>
      </c>
      <c r="C30">
        <v>4002.837630977172</v>
      </c>
    </row>
    <row r="31" spans="2:3" x14ac:dyDescent="0.45">
      <c r="B31" s="55" t="s">
        <v>51</v>
      </c>
      <c r="C31">
        <v>4002.8667586667398</v>
      </c>
    </row>
    <row r="32" spans="2:3" x14ac:dyDescent="0.45">
      <c r="B32" s="55" t="s">
        <v>48</v>
      </c>
      <c r="C32">
        <v>4002.8736699580254</v>
      </c>
    </row>
  </sheetData>
  <sortState xmlns:xlrd2="http://schemas.microsoft.com/office/spreadsheetml/2017/richdata2" ref="B23:C32">
    <sortCondition ref="C23:C32"/>
  </sortState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ICC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김영훈</dc:creator>
  <cp:lastModifiedBy>이 준영</cp:lastModifiedBy>
  <dcterms:created xsi:type="dcterms:W3CDTF">2015-06-05T18:19:34Z</dcterms:created>
  <dcterms:modified xsi:type="dcterms:W3CDTF">2025-05-08T04:46:10Z</dcterms:modified>
</cp:coreProperties>
</file>