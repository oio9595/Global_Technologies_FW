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2B127856-9065-42FE-97FB-A65C22A985DC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IC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8" i="2" l="1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E20" i="2"/>
</calcChain>
</file>

<file path=xl/sharedStrings.xml><?xml version="1.0" encoding="utf-8"?>
<sst xmlns="http://schemas.openxmlformats.org/spreadsheetml/2006/main" count="45" uniqueCount="26">
  <si>
    <t>ICC</t>
    <phoneticPr fontId="1" type="noConversion"/>
  </si>
  <si>
    <t>Parameter</t>
  </si>
  <si>
    <t>Note</t>
    <phoneticPr fontId="1" type="noConversion"/>
  </si>
  <si>
    <t>12CH</t>
    <phoneticPr fontId="1" type="noConversion"/>
  </si>
  <si>
    <t>VREF =4095
Sim</t>
    <phoneticPr fontId="1" type="noConversion"/>
  </si>
  <si>
    <t>VREF =2048
Sim</t>
    <phoneticPr fontId="1" type="noConversion"/>
  </si>
  <si>
    <r>
      <t xml:space="preserve">VREF =4095
</t>
    </r>
    <r>
      <rPr>
        <b/>
        <sz val="10"/>
        <color rgb="FFC00000"/>
        <rFont val="Arial"/>
        <family val="2"/>
      </rPr>
      <t>Meas</t>
    </r>
    <phoneticPr fontId="1" type="noConversion"/>
  </si>
  <si>
    <r>
      <t xml:space="preserve">VREF =2048
</t>
    </r>
    <r>
      <rPr>
        <b/>
        <sz val="10"/>
        <color rgb="FFC00000"/>
        <rFont val="Arial"/>
        <family val="2"/>
      </rPr>
      <t>Meas</t>
    </r>
    <phoneticPr fontId="1" type="noConversion"/>
  </si>
  <si>
    <t>Analog</t>
    <phoneticPr fontId="1" type="noConversion"/>
  </si>
  <si>
    <t>Constant Analog</t>
    <phoneticPr fontId="1" type="noConversion"/>
  </si>
  <si>
    <t>CH OFF (Stanby)</t>
    <phoneticPr fontId="1" type="noConversion"/>
  </si>
  <si>
    <t>IOUT = 4mA</t>
    <phoneticPr fontId="1" type="noConversion"/>
  </si>
  <si>
    <t>IOUT = 8mA</t>
    <phoneticPr fontId="1" type="noConversion"/>
  </si>
  <si>
    <t>IOUT = 12mA</t>
    <phoneticPr fontId="1" type="noConversion"/>
  </si>
  <si>
    <t>IOUT = 16mA</t>
    <phoneticPr fontId="1" type="noConversion"/>
  </si>
  <si>
    <t>IOUT = 24mA</t>
    <phoneticPr fontId="1" type="noConversion"/>
  </si>
  <si>
    <t>IOUT = 32mA</t>
    <phoneticPr fontId="1" type="noConversion"/>
  </si>
  <si>
    <t>IOUT = 46mA</t>
    <phoneticPr fontId="1" type="noConversion"/>
  </si>
  <si>
    <t>IOUT = 64mA</t>
    <phoneticPr fontId="1" type="noConversion"/>
  </si>
  <si>
    <t>FLL</t>
    <phoneticPr fontId="1" type="noConversion"/>
  </si>
  <si>
    <t>Digital</t>
    <phoneticPr fontId="1" type="noConversion"/>
  </si>
  <si>
    <t>Standy</t>
    <phoneticPr fontId="1" type="noConversion"/>
  </si>
  <si>
    <t>Active</t>
    <phoneticPr fontId="1" type="noConversion"/>
  </si>
  <si>
    <r>
      <t xml:space="preserve">ICC_Total
</t>
    </r>
    <r>
      <rPr>
        <b/>
        <sz val="10"/>
        <color rgb="FFC00000"/>
        <rFont val="Arial"/>
        <family val="2"/>
      </rPr>
      <t>(Analog+Digital)</t>
    </r>
    <phoneticPr fontId="1" type="noConversion"/>
  </si>
  <si>
    <t>Analog + OSC + Digital</t>
    <phoneticPr fontId="1" type="noConversion"/>
  </si>
  <si>
    <t>IOUT OFF (Stanby)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</si>
</sst>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000000"/>
      <name val="Arial"/>
      <family val="2"/>
    </font>
    <font>
      <b/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8" xfId="0" applyFont="1" applyBorder="1" applyAlignment="1">
      <alignment horizontal="center"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2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F9B3C-4F59-4680-86CB-4ABF86107B5C}">
  <dimension ref="B2:N30"/>
  <sheetViews>
    <sheetView tabSelected="1" zoomScale="85" zoomScaleNormal="85" workbookViewId="0"/>
  </sheetViews>
  <sheetFormatPr defaultRowHeight="16.899999999999999" x14ac:dyDescent="0.6"/>
  <cols>
    <col min="2" max="2" width="14.25" bestFit="1" customWidth="1"/>
    <col min="3" max="3" width="23" customWidth="1"/>
    <col min="4" max="4" width="23.4375" customWidth="1"/>
    <col min="5" max="7" width="12.9375" customWidth="1"/>
    <col min="8" max="20" width="12.6875" customWidth="1"/>
  </cols>
  <sheetData>
    <row r="2" spans="2:8" ht="17.25" thickBot="1" x14ac:dyDescent="0.65"/>
    <row r="3" spans="2:8" x14ac:dyDescent="0.6">
      <c r="B3" s="29" t="s">
        <v>0</v>
      </c>
      <c r="C3" s="25" t="s">
        <v>1</v>
      </c>
      <c r="D3" s="27" t="s">
        <v>2</v>
      </c>
      <c r="E3" s="29" t="s">
        <v>3</v>
      </c>
      <c r="F3" s="25"/>
      <c r="G3" s="25"/>
      <c r="H3" s="30"/>
    </row>
    <row r="4" spans="2:8" ht="26.65" thickBot="1" x14ac:dyDescent="0.65">
      <c r="B4" s="33"/>
      <c r="C4" s="34"/>
      <c r="D4" s="35"/>
      <c r="E4" s="1" t="s">
        <v>4</v>
      </c>
      <c r="F4" s="2" t="s">
        <v>5</v>
      </c>
      <c r="G4" s="2" t="s">
        <v>6</v>
      </c>
      <c r="H4" s="3" t="s">
        <v>7</v>
      </c>
    </row>
    <row r="5" spans="2:8" x14ac:dyDescent="0.6">
      <c r="B5" s="42" t="s">
        <v>8</v>
      </c>
      <c r="C5" s="45" t="s">
        <v>9</v>
      </c>
      <c r="D5" s="4" t="s">
        <v>10</v>
      </c>
      <c r="E5" s="40">
        <v>0.85</v>
      </c>
      <c r="F5" s="41"/>
      <c r="G5" s="5"/>
      <c r="H5" s="6"/>
    </row>
    <row r="6" spans="2:8" x14ac:dyDescent="0.6">
      <c r="B6" s="43"/>
      <c r="C6" s="46"/>
      <c r="D6" s="7" t="s">
        <v>11</v>
      </c>
      <c r="E6" s="8">
        <v>1.2</v>
      </c>
      <c r="F6" s="9">
        <v>1.1000000000000001</v>
      </c>
      <c r="G6" s="10"/>
      <c r="H6" s="11"/>
    </row>
    <row r="7" spans="2:8" x14ac:dyDescent="0.6">
      <c r="B7" s="43"/>
      <c r="C7" s="46"/>
      <c r="D7" s="12" t="s">
        <v>12</v>
      </c>
      <c r="E7" s="8">
        <v>1.5</v>
      </c>
      <c r="F7" s="9">
        <v>1.2</v>
      </c>
      <c r="G7" s="10"/>
      <c r="H7" s="11"/>
    </row>
    <row r="8" spans="2:8" x14ac:dyDescent="0.6">
      <c r="B8" s="43"/>
      <c r="C8" s="46"/>
      <c r="D8" s="7" t="s">
        <v>13</v>
      </c>
      <c r="E8" s="8">
        <v>1.75</v>
      </c>
      <c r="F8" s="9">
        <v>1.3</v>
      </c>
      <c r="G8" s="10"/>
      <c r="H8" s="11"/>
    </row>
    <row r="9" spans="2:8" x14ac:dyDescent="0.6">
      <c r="B9" s="43"/>
      <c r="C9" s="46"/>
      <c r="D9" s="7" t="s">
        <v>14</v>
      </c>
      <c r="E9" s="8">
        <v>1.95</v>
      </c>
      <c r="F9" s="9">
        <v>1.45</v>
      </c>
      <c r="G9" s="10"/>
      <c r="H9" s="11"/>
    </row>
    <row r="10" spans="2:8" x14ac:dyDescent="0.6">
      <c r="B10" s="43"/>
      <c r="C10" s="46"/>
      <c r="D10" s="12" t="s">
        <v>15</v>
      </c>
      <c r="E10" s="8">
        <v>2.5</v>
      </c>
      <c r="F10" s="9">
        <v>1.7</v>
      </c>
      <c r="G10" s="10"/>
      <c r="H10" s="11"/>
    </row>
    <row r="11" spans="2:8" x14ac:dyDescent="0.6">
      <c r="B11" s="43"/>
      <c r="C11" s="46"/>
      <c r="D11" s="7" t="s">
        <v>16</v>
      </c>
      <c r="E11" s="8">
        <v>3</v>
      </c>
      <c r="F11" s="9">
        <v>2</v>
      </c>
      <c r="G11" s="10"/>
      <c r="H11" s="11"/>
    </row>
    <row r="12" spans="2:8" x14ac:dyDescent="0.6">
      <c r="B12" s="43"/>
      <c r="C12" s="46"/>
      <c r="D12" s="12" t="s">
        <v>17</v>
      </c>
      <c r="E12" s="8">
        <v>3.9</v>
      </c>
      <c r="F12" s="9">
        <v>2.4</v>
      </c>
      <c r="G12" s="10"/>
      <c r="H12" s="11"/>
    </row>
    <row r="13" spans="2:8" x14ac:dyDescent="0.6">
      <c r="B13" s="43"/>
      <c r="C13" s="47"/>
      <c r="D13" s="7" t="s">
        <v>18</v>
      </c>
      <c r="E13" s="8">
        <v>5.0999999999999996</v>
      </c>
      <c r="F13" s="9">
        <v>3</v>
      </c>
      <c r="G13" s="10"/>
      <c r="H13" s="11"/>
    </row>
    <row r="14" spans="2:8" ht="17.25" thickBot="1" x14ac:dyDescent="0.65">
      <c r="B14" s="44"/>
      <c r="C14" s="13" t="s">
        <v>19</v>
      </c>
      <c r="D14" s="14"/>
      <c r="E14" s="36">
        <v>0.3</v>
      </c>
      <c r="F14" s="37"/>
      <c r="G14" s="15"/>
      <c r="H14" s="16"/>
    </row>
    <row r="15" spans="2:8" x14ac:dyDescent="0.6">
      <c r="B15" s="38" t="s">
        <v>20</v>
      </c>
      <c r="C15" s="17" t="s">
        <v>21</v>
      </c>
      <c r="D15" s="4"/>
      <c r="E15" s="40">
        <v>0.6</v>
      </c>
      <c r="F15" s="41"/>
      <c r="G15" s="5"/>
      <c r="H15" s="6"/>
    </row>
    <row r="16" spans="2:8" ht="17.25" thickBot="1" x14ac:dyDescent="0.65">
      <c r="B16" s="39"/>
      <c r="C16" s="13" t="s">
        <v>22</v>
      </c>
      <c r="D16" s="14"/>
      <c r="E16" s="36">
        <v>1</v>
      </c>
      <c r="F16" s="37"/>
      <c r="G16" s="15"/>
      <c r="H16" s="16"/>
    </row>
    <row r="17" spans="2:14" ht="17.25" thickBot="1" x14ac:dyDescent="0.65">
      <c r="B17" s="18"/>
      <c r="C17" s="18"/>
      <c r="D17" s="18"/>
      <c r="E17" s="18"/>
      <c r="F17" s="18"/>
      <c r="G17" s="18"/>
      <c r="H17" s="18"/>
    </row>
    <row r="18" spans="2:14" x14ac:dyDescent="0.6">
      <c r="B18" s="29"/>
      <c r="C18" s="25" t="s">
        <v>1</v>
      </c>
      <c r="D18" s="27" t="s">
        <v>2</v>
      </c>
      <c r="E18" s="29" t="s">
        <v>3</v>
      </c>
      <c r="F18" s="25"/>
      <c r="G18" s="25"/>
      <c r="H18" s="30"/>
    </row>
    <row r="19" spans="2:14" ht="26.65" thickBot="1" x14ac:dyDescent="0.65">
      <c r="B19" s="54"/>
      <c r="C19" s="26"/>
      <c r="D19" s="28"/>
      <c r="E19" s="1" t="s">
        <v>4</v>
      </c>
      <c r="F19" s="2" t="s">
        <v>5</v>
      </c>
      <c r="G19" s="2" t="s">
        <v>6</v>
      </c>
      <c r="H19" s="3" t="s">
        <v>7</v>
      </c>
      <c r="J19" s="2" t="s">
        <v>6</v>
      </c>
      <c r="K19" s="3" t="s">
        <v>7</v>
      </c>
      <c r="M19" s="2" t="s">
        <v>6</v>
      </c>
      <c r="N19" s="3" t="s">
        <v>7</v>
      </c>
    </row>
    <row r="20" spans="2:14" x14ac:dyDescent="0.6">
      <c r="B20" s="48" t="s">
        <v>23</v>
      </c>
      <c r="C20" s="51" t="s">
        <v>24</v>
      </c>
      <c r="D20" s="4" t="s">
        <v>25</v>
      </c>
      <c r="E20" s="40">
        <f>E5+$E$14+$E$15</f>
        <v>1.75</v>
      </c>
      <c r="F20" s="41"/>
      <c r="G20" s="31">
        <v>3.2</v>
      </c>
      <c r="H20" s="32"/>
      <c r="J20" s="31">
        <v>3.153</v>
      </c>
      <c r="K20" s="32"/>
      <c r="M20" s="31">
        <v>3.2</v>
      </c>
      <c r="N20" s="32"/>
    </row>
    <row r="21" spans="2:14" x14ac:dyDescent="0.6">
      <c r="B21" s="49"/>
      <c r="C21" s="52"/>
      <c r="D21" s="7" t="s">
        <v>11</v>
      </c>
      <c r="E21" s="8">
        <f>E6+$E$14+$E$16</f>
        <v>2.5</v>
      </c>
      <c r="F21" s="9">
        <f>F6+$E$14+$E$16</f>
        <v>2.4000000000000004</v>
      </c>
      <c r="G21" s="20">
        <v>3.3439999999999999</v>
      </c>
      <c r="H21" s="21">
        <v>3.21</v>
      </c>
      <c r="J21" s="20">
        <v>3.26</v>
      </c>
      <c r="K21" s="21">
        <v>3.173</v>
      </c>
      <c r="M21" s="20">
        <v>3.327</v>
      </c>
      <c r="N21" s="21">
        <v>3.222</v>
      </c>
    </row>
    <row r="22" spans="2:14" x14ac:dyDescent="0.6">
      <c r="B22" s="49"/>
      <c r="C22" s="52"/>
      <c r="D22" s="7" t="s">
        <v>12</v>
      </c>
      <c r="E22" s="8">
        <f t="shared" ref="E22:F28" si="0">E7+$E$14+$E$16</f>
        <v>2.8</v>
      </c>
      <c r="F22" s="9">
        <f t="shared" si="0"/>
        <v>2.5</v>
      </c>
      <c r="G22" s="20">
        <v>3.62</v>
      </c>
      <c r="H22" s="21">
        <v>3.3719999999999999</v>
      </c>
      <c r="J22" s="20">
        <v>3.5329999999999999</v>
      </c>
      <c r="K22" s="21">
        <v>3.2879999999999998</v>
      </c>
      <c r="M22" s="20">
        <v>3.605</v>
      </c>
      <c r="N22" s="21">
        <v>3.3450000000000002</v>
      </c>
    </row>
    <row r="23" spans="2:14" x14ac:dyDescent="0.6">
      <c r="B23" s="49"/>
      <c r="C23" s="52"/>
      <c r="D23" s="7" t="s">
        <v>13</v>
      </c>
      <c r="E23" s="8">
        <f t="shared" si="0"/>
        <v>3.05</v>
      </c>
      <c r="F23" s="9">
        <f t="shared" si="0"/>
        <v>2.6</v>
      </c>
      <c r="G23" s="20">
        <v>3.9</v>
      </c>
      <c r="H23" s="21">
        <v>3.5110000000000001</v>
      </c>
      <c r="J23" s="20">
        <v>3.8029999999999999</v>
      </c>
      <c r="K23" s="21">
        <v>3.42</v>
      </c>
      <c r="M23" s="20">
        <v>3.8809999999999998</v>
      </c>
      <c r="N23" s="21">
        <v>3.4740000000000002</v>
      </c>
    </row>
    <row r="24" spans="2:14" x14ac:dyDescent="0.6">
      <c r="B24" s="49"/>
      <c r="C24" s="52"/>
      <c r="D24" s="7" t="s">
        <v>14</v>
      </c>
      <c r="E24" s="8">
        <f t="shared" si="0"/>
        <v>3.25</v>
      </c>
      <c r="F24" s="9">
        <f t="shared" si="0"/>
        <v>2.75</v>
      </c>
      <c r="G24" s="20">
        <v>4.1660000000000004</v>
      </c>
      <c r="H24" s="21">
        <v>3.6520000000000001</v>
      </c>
      <c r="J24" s="20">
        <v>4.0640000000000001</v>
      </c>
      <c r="K24" s="21">
        <v>3.556</v>
      </c>
      <c r="M24" s="20">
        <v>4.1529999999999996</v>
      </c>
      <c r="N24" s="21">
        <v>3.6040000000000001</v>
      </c>
    </row>
    <row r="25" spans="2:14" x14ac:dyDescent="0.6">
      <c r="B25" s="49"/>
      <c r="C25" s="52"/>
      <c r="D25" s="7" t="s">
        <v>15</v>
      </c>
      <c r="E25" s="8">
        <f t="shared" si="0"/>
        <v>3.8</v>
      </c>
      <c r="F25" s="9">
        <f t="shared" si="0"/>
        <v>3</v>
      </c>
      <c r="G25" s="20">
        <v>4.72</v>
      </c>
      <c r="H25" s="21">
        <v>3.927</v>
      </c>
      <c r="J25" s="20">
        <v>4.6120000000000001</v>
      </c>
      <c r="K25" s="21">
        <v>3.835</v>
      </c>
      <c r="M25" s="20">
        <v>4.71</v>
      </c>
      <c r="N25" s="21">
        <v>3.8730000000000002</v>
      </c>
    </row>
    <row r="26" spans="2:14" x14ac:dyDescent="0.6">
      <c r="B26" s="49"/>
      <c r="C26" s="52"/>
      <c r="D26" s="7" t="s">
        <v>16</v>
      </c>
      <c r="E26" s="8">
        <f t="shared" si="0"/>
        <v>4.3</v>
      </c>
      <c r="F26" s="9">
        <f t="shared" si="0"/>
        <v>3.3</v>
      </c>
      <c r="G26" s="20">
        <v>5.2729999999999997</v>
      </c>
      <c r="H26" s="21">
        <v>4.1980000000000004</v>
      </c>
      <c r="J26" s="20">
        <v>5.18</v>
      </c>
      <c r="K26" s="21">
        <v>4.0979999999999999</v>
      </c>
      <c r="M26" s="20">
        <v>5.2610000000000001</v>
      </c>
      <c r="N26" s="21">
        <v>4.1360000000000001</v>
      </c>
    </row>
    <row r="27" spans="2:14" x14ac:dyDescent="0.6">
      <c r="B27" s="49"/>
      <c r="C27" s="52"/>
      <c r="D27" s="7" t="s">
        <v>17</v>
      </c>
      <c r="E27" s="8">
        <f t="shared" si="0"/>
        <v>5.2</v>
      </c>
      <c r="F27" s="9">
        <f t="shared" si="0"/>
        <v>3.6999999999999997</v>
      </c>
      <c r="G27" s="20">
        <v>6.2359999999999998</v>
      </c>
      <c r="H27" s="21">
        <v>4.6900000000000004</v>
      </c>
      <c r="J27" s="20">
        <v>6.1379999999999999</v>
      </c>
      <c r="K27" s="21">
        <v>4.5750000000000002</v>
      </c>
      <c r="M27" s="20">
        <v>6.23</v>
      </c>
      <c r="N27" s="21">
        <v>4.633</v>
      </c>
    </row>
    <row r="28" spans="2:14" ht="17.25" thickBot="1" x14ac:dyDescent="0.65">
      <c r="B28" s="50"/>
      <c r="C28" s="53"/>
      <c r="D28" s="14" t="s">
        <v>18</v>
      </c>
      <c r="E28" s="19">
        <f t="shared" si="0"/>
        <v>6.3999999999999995</v>
      </c>
      <c r="F28" s="13">
        <f t="shared" si="0"/>
        <v>4.3</v>
      </c>
      <c r="G28" s="22">
        <v>7.5439999999999996</v>
      </c>
      <c r="H28" s="23">
        <v>5.31</v>
      </c>
      <c r="J28" s="22">
        <v>7.3979999999999997</v>
      </c>
      <c r="K28" s="23">
        <v>5.2350000000000003</v>
      </c>
      <c r="M28" s="22">
        <v>7.492</v>
      </c>
      <c r="N28" s="23">
        <v>5.2329999999999997</v>
      </c>
    </row>
    <row r="30" spans="2:14" x14ac:dyDescent="0.6">
      <c r="D30" s="24"/>
    </row>
  </sheetData>
  <mergeCells count="21">
    <mergeCell ref="C20:C28"/>
    <mergeCell ref="E20:F20"/>
    <mergeCell ref="E16:F16"/>
    <mergeCell ref="B18:B19"/>
    <mergeCell ref="M20:N20"/>
    <mergeCell ref="C18:C19"/>
    <mergeCell ref="D18:D19"/>
    <mergeCell ref="E18:H18"/>
    <mergeCell ref="J20:K20"/>
    <mergeCell ref="B3:B4"/>
    <mergeCell ref="C3:C4"/>
    <mergeCell ref="D3:D4"/>
    <mergeCell ref="E3:H3"/>
    <mergeCell ref="G20:H20"/>
    <mergeCell ref="E14:F14"/>
    <mergeCell ref="B15:B16"/>
    <mergeCell ref="E15:F15"/>
    <mergeCell ref="B5:B14"/>
    <mergeCell ref="C5:C13"/>
    <mergeCell ref="E5:F5"/>
    <mergeCell ref="B20:B2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2025-04-10T07:36:11Z</dcterms:modified>
</cp:coreProperties>
</file>