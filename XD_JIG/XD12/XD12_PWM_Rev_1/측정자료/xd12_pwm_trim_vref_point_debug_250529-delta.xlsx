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6F6543A9-23AC-49B4-BDD2-5FA1DAAE9122}" xr6:coauthVersionLast="47" xr6:coauthVersionMax="47" xr10:uidLastSave="{00000000-0000-0000-0000-000000000000}"/>
  <bookViews>
    <workbookView xWindow="71880" yWindow="10515" windowWidth="29040" windowHeight="15720" activeTab="4" xr2:uid="{DEE1707E-8513-44E2-A074-C4A1F536778D}"/>
  </bookViews>
  <sheets>
    <sheet name="Sheet1" sheetId="11" r:id="rId1"/>
    <sheet name="800, 3000" sheetId="9" r:id="rId2"/>
    <sheet name="400, 3000" sheetId="12" r:id="rId3"/>
    <sheet name="400, 1500" sheetId="13" r:id="rId4"/>
    <sheet name="400, 2000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7" i="15" l="1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N37" i="15"/>
  <c r="J37" i="15"/>
  <c r="I37" i="15"/>
  <c r="H37" i="15"/>
  <c r="G37" i="15"/>
  <c r="B37" i="15"/>
  <c r="AP36" i="15"/>
  <c r="AO36" i="15"/>
  <c r="AN36" i="15"/>
  <c r="AM36" i="15"/>
  <c r="AG36" i="15"/>
  <c r="AF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K36" i="15"/>
  <c r="J36" i="15"/>
  <c r="B36" i="15"/>
  <c r="P35" i="15"/>
  <c r="O35" i="15"/>
  <c r="N35" i="15"/>
  <c r="M35" i="15"/>
  <c r="B35" i="15"/>
  <c r="AO34" i="15"/>
  <c r="I34" i="15"/>
  <c r="B34" i="15"/>
  <c r="AH33" i="15"/>
  <c r="AG33" i="15"/>
  <c r="AF33" i="15"/>
  <c r="AD33" i="15"/>
  <c r="AC33" i="15"/>
  <c r="AB33" i="15"/>
  <c r="AA33" i="15"/>
  <c r="T33" i="15"/>
  <c r="O33" i="15"/>
  <c r="N33" i="15"/>
  <c r="M33" i="15"/>
  <c r="L33" i="15"/>
  <c r="K33" i="15"/>
  <c r="J33" i="15"/>
  <c r="I33" i="15"/>
  <c r="H33" i="15"/>
  <c r="G33" i="15"/>
  <c r="B33" i="15"/>
  <c r="AN32" i="15"/>
  <c r="AM32" i="15"/>
  <c r="AL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R32" i="15"/>
  <c r="Q32" i="15"/>
  <c r="P32" i="15"/>
  <c r="M32" i="15"/>
  <c r="L32" i="15"/>
  <c r="K32" i="15"/>
  <c r="J32" i="15"/>
  <c r="I32" i="15"/>
  <c r="H32" i="15"/>
  <c r="G32" i="15"/>
  <c r="B32" i="15"/>
  <c r="AP31" i="15"/>
  <c r="AO31" i="15"/>
  <c r="AK31" i="15"/>
  <c r="AJ31" i="15"/>
  <c r="AI31" i="15"/>
  <c r="AH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O31" i="15"/>
  <c r="N31" i="15"/>
  <c r="M31" i="15"/>
  <c r="L31" i="15"/>
  <c r="J31" i="15"/>
  <c r="I31" i="15"/>
  <c r="H31" i="15"/>
  <c r="G31" i="15"/>
  <c r="B31" i="15"/>
  <c r="AP30" i="15"/>
  <c r="Q30" i="15"/>
  <c r="P30" i="15"/>
  <c r="O30" i="15"/>
  <c r="H30" i="15"/>
  <c r="B30" i="15"/>
  <c r="AP29" i="15"/>
  <c r="AO29" i="15"/>
  <c r="AN29" i="15"/>
  <c r="K29" i="15"/>
  <c r="B29" i="15"/>
  <c r="B28" i="15"/>
  <c r="AP27" i="15"/>
  <c r="AO27" i="15"/>
  <c r="AN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U27" i="15"/>
  <c r="T27" i="15"/>
  <c r="S27" i="15"/>
  <c r="R27" i="15"/>
  <c r="P27" i="15"/>
  <c r="O27" i="15"/>
  <c r="N27" i="15"/>
  <c r="M27" i="15"/>
  <c r="L27" i="15"/>
  <c r="K27" i="15"/>
  <c r="J27" i="15"/>
  <c r="I27" i="15"/>
  <c r="H27" i="15"/>
  <c r="G27" i="15"/>
  <c r="B27" i="15"/>
  <c r="AJ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N26" i="15"/>
  <c r="J26" i="15"/>
  <c r="I26" i="15"/>
  <c r="H26" i="15"/>
  <c r="G26" i="15"/>
  <c r="B26" i="15"/>
  <c r="AP25" i="15"/>
  <c r="AO25" i="15"/>
  <c r="AN25" i="15"/>
  <c r="AM25" i="15"/>
  <c r="AG25" i="15"/>
  <c r="AF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K25" i="15"/>
  <c r="J25" i="15"/>
  <c r="B25" i="15"/>
  <c r="AP24" i="15"/>
  <c r="AO24" i="15"/>
  <c r="AN24" i="15"/>
  <c r="AM24" i="15"/>
  <c r="AL24" i="15"/>
  <c r="AK24" i="15"/>
  <c r="B24" i="15"/>
  <c r="AM23" i="15"/>
  <c r="AL23" i="15"/>
  <c r="B23" i="15"/>
  <c r="AP22" i="15"/>
  <c r="AI22" i="15"/>
  <c r="AH22" i="15"/>
  <c r="AG22" i="15"/>
  <c r="AF22" i="15"/>
  <c r="AD22" i="15"/>
  <c r="AC22" i="15"/>
  <c r="AB22" i="15"/>
  <c r="AA22" i="15"/>
  <c r="T22" i="15"/>
  <c r="P22" i="15"/>
  <c r="O22" i="15"/>
  <c r="N22" i="15"/>
  <c r="M22" i="15"/>
  <c r="L22" i="15"/>
  <c r="K22" i="15"/>
  <c r="J22" i="15"/>
  <c r="I22" i="15"/>
  <c r="H22" i="15"/>
  <c r="B22" i="15"/>
  <c r="F18" i="15"/>
  <c r="E18" i="15"/>
  <c r="D18" i="15"/>
  <c r="B18" i="15"/>
  <c r="AP37" i="15" s="1"/>
  <c r="F17" i="15"/>
  <c r="E17" i="15"/>
  <c r="D17" i="15"/>
  <c r="B17" i="15"/>
  <c r="AL36" i="15" s="1"/>
  <c r="F16" i="15"/>
  <c r="E16" i="15"/>
  <c r="D16" i="15"/>
  <c r="B16" i="15"/>
  <c r="AO35" i="15" s="1"/>
  <c r="F15" i="15"/>
  <c r="E15" i="15"/>
  <c r="D15" i="15"/>
  <c r="B15" i="15"/>
  <c r="AM34" i="15" s="1"/>
  <c r="F14" i="15"/>
  <c r="E14" i="15"/>
  <c r="D14" i="15"/>
  <c r="B14" i="15"/>
  <c r="AJ33" i="15" s="1"/>
  <c r="F13" i="15"/>
  <c r="E13" i="15"/>
  <c r="D13" i="15"/>
  <c r="B13" i="15"/>
  <c r="V32" i="15" s="1"/>
  <c r="F12" i="15"/>
  <c r="E12" i="15"/>
  <c r="D12" i="15"/>
  <c r="B12" i="15"/>
  <c r="AN31" i="15" s="1"/>
  <c r="F11" i="15"/>
  <c r="E11" i="15"/>
  <c r="D11" i="15"/>
  <c r="B11" i="15"/>
  <c r="AL30" i="15" s="1"/>
  <c r="F10" i="15"/>
  <c r="E10" i="15"/>
  <c r="D10" i="15"/>
  <c r="B10" i="15"/>
  <c r="AH29" i="15" s="1"/>
  <c r="F9" i="15"/>
  <c r="E9" i="15"/>
  <c r="D9" i="15"/>
  <c r="B9" i="15"/>
  <c r="AE28" i="15" s="1"/>
  <c r="F8" i="15"/>
  <c r="E8" i="15"/>
  <c r="D8" i="15"/>
  <c r="B8" i="15"/>
  <c r="X27" i="15" s="1"/>
  <c r="F7" i="15"/>
  <c r="E7" i="15"/>
  <c r="D7" i="15"/>
  <c r="B7" i="15"/>
  <c r="AP26" i="15" s="1"/>
  <c r="F6" i="15"/>
  <c r="E6" i="15"/>
  <c r="D6" i="15"/>
  <c r="B6" i="15"/>
  <c r="AL25" i="15" s="1"/>
  <c r="F5" i="15"/>
  <c r="E5" i="15"/>
  <c r="D5" i="15"/>
  <c r="B5" i="15"/>
  <c r="F4" i="15"/>
  <c r="E4" i="15"/>
  <c r="D4" i="15"/>
  <c r="B4" i="15"/>
  <c r="F3" i="15"/>
  <c r="E3" i="15"/>
  <c r="D3" i="15"/>
  <c r="B3" i="15"/>
  <c r="AJ22" i="15" s="1"/>
  <c r="AJ37" i="13"/>
  <c r="AH37" i="13"/>
  <c r="AG37" i="13"/>
  <c r="AF37" i="13"/>
  <c r="AE37" i="13"/>
  <c r="AD37" i="13"/>
  <c r="AC37" i="13"/>
  <c r="AB37" i="13"/>
  <c r="AA37" i="13"/>
  <c r="Z37" i="13"/>
  <c r="Y37" i="13"/>
  <c r="X37" i="13"/>
  <c r="W37" i="13"/>
  <c r="V37" i="13"/>
  <c r="U37" i="13"/>
  <c r="N37" i="13"/>
  <c r="L37" i="13"/>
  <c r="K37" i="13"/>
  <c r="J37" i="13"/>
  <c r="I37" i="13"/>
  <c r="H37" i="13"/>
  <c r="G37" i="13"/>
  <c r="B37" i="13"/>
  <c r="AP36" i="13"/>
  <c r="AO36" i="13"/>
  <c r="AN36" i="13"/>
  <c r="AM36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B36" i="13"/>
  <c r="AP35" i="13"/>
  <c r="AO35" i="13"/>
  <c r="AN35" i="13"/>
  <c r="AM35" i="13"/>
  <c r="AL35" i="13"/>
  <c r="AK35" i="13"/>
  <c r="AJ35" i="13"/>
  <c r="AI35" i="13"/>
  <c r="T35" i="13"/>
  <c r="S35" i="13"/>
  <c r="R35" i="13"/>
  <c r="Q35" i="13"/>
  <c r="P35" i="13"/>
  <c r="O35" i="13"/>
  <c r="N35" i="13"/>
  <c r="M35" i="13"/>
  <c r="B35" i="13"/>
  <c r="AH34" i="13"/>
  <c r="AG34" i="13"/>
  <c r="AF34" i="13"/>
  <c r="AE34" i="13"/>
  <c r="L34" i="13"/>
  <c r="K34" i="13"/>
  <c r="J34" i="13"/>
  <c r="I34" i="13"/>
  <c r="B34" i="13"/>
  <c r="B33" i="13"/>
  <c r="AL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P32" i="13"/>
  <c r="N32" i="13"/>
  <c r="M32" i="13"/>
  <c r="L32" i="13"/>
  <c r="K32" i="13"/>
  <c r="J32" i="13"/>
  <c r="I32" i="13"/>
  <c r="H32" i="13"/>
  <c r="G32" i="13"/>
  <c r="B32" i="13"/>
  <c r="AP31" i="13"/>
  <c r="AO31" i="13"/>
  <c r="AH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L31" i="13"/>
  <c r="J31" i="13"/>
  <c r="I31" i="13"/>
  <c r="H31" i="13"/>
  <c r="G31" i="13"/>
  <c r="B31" i="13"/>
  <c r="AP30" i="13"/>
  <c r="AO30" i="13"/>
  <c r="AN30" i="13"/>
  <c r="AM30" i="13"/>
  <c r="AL30" i="13"/>
  <c r="AK30" i="13"/>
  <c r="X30" i="13"/>
  <c r="W30" i="13"/>
  <c r="V30" i="13"/>
  <c r="U30" i="13"/>
  <c r="T30" i="13"/>
  <c r="S30" i="13"/>
  <c r="R30" i="13"/>
  <c r="Q30" i="13"/>
  <c r="P30" i="13"/>
  <c r="O30" i="13"/>
  <c r="B30" i="13"/>
  <c r="AL29" i="13"/>
  <c r="AK29" i="13"/>
  <c r="AJ29" i="13"/>
  <c r="AI29" i="13"/>
  <c r="AH29" i="13"/>
  <c r="AG29" i="13"/>
  <c r="P29" i="13"/>
  <c r="O29" i="13"/>
  <c r="N29" i="13"/>
  <c r="M29" i="13"/>
  <c r="L29" i="13"/>
  <c r="K29" i="13"/>
  <c r="B29" i="13"/>
  <c r="AD28" i="13"/>
  <c r="AC28" i="13"/>
  <c r="H28" i="13"/>
  <c r="G28" i="13"/>
  <c r="B28" i="13"/>
  <c r="AP27" i="13"/>
  <c r="AN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T27" i="13"/>
  <c r="R27" i="13"/>
  <c r="P27" i="13"/>
  <c r="O27" i="13"/>
  <c r="N27" i="13"/>
  <c r="M27" i="13"/>
  <c r="L27" i="13"/>
  <c r="K27" i="13"/>
  <c r="J27" i="13"/>
  <c r="I27" i="13"/>
  <c r="H27" i="13"/>
  <c r="G27" i="13"/>
  <c r="B27" i="13"/>
  <c r="AL26" i="13"/>
  <c r="AJ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P26" i="13"/>
  <c r="N26" i="13"/>
  <c r="L26" i="13"/>
  <c r="K26" i="13"/>
  <c r="J26" i="13"/>
  <c r="I26" i="13"/>
  <c r="H26" i="13"/>
  <c r="G26" i="13"/>
  <c r="B26" i="13"/>
  <c r="AP25" i="13"/>
  <c r="AO25" i="13"/>
  <c r="AN25" i="13"/>
  <c r="AM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B25" i="13"/>
  <c r="AP24" i="13"/>
  <c r="AO24" i="13"/>
  <c r="AN24" i="13"/>
  <c r="AM24" i="13"/>
  <c r="AL24" i="13"/>
  <c r="AK24" i="13"/>
  <c r="AJ24" i="13"/>
  <c r="AI24" i="13"/>
  <c r="T24" i="13"/>
  <c r="S24" i="13"/>
  <c r="R24" i="13"/>
  <c r="Q24" i="13"/>
  <c r="P24" i="13"/>
  <c r="O24" i="13"/>
  <c r="N24" i="13"/>
  <c r="M24" i="13"/>
  <c r="B24" i="13"/>
  <c r="AH23" i="13"/>
  <c r="AG23" i="13"/>
  <c r="AF23" i="13"/>
  <c r="AE23" i="13"/>
  <c r="L23" i="13"/>
  <c r="K23" i="13"/>
  <c r="J23" i="13"/>
  <c r="I23" i="13"/>
  <c r="B23" i="13"/>
  <c r="B22" i="13"/>
  <c r="F18" i="13"/>
  <c r="E18" i="13"/>
  <c r="D18" i="13"/>
  <c r="B18" i="13"/>
  <c r="AP37" i="13" s="1"/>
  <c r="F17" i="13"/>
  <c r="E17" i="13"/>
  <c r="D17" i="13"/>
  <c r="B17" i="13"/>
  <c r="AL36" i="13" s="1"/>
  <c r="F16" i="13"/>
  <c r="E16" i="13"/>
  <c r="D16" i="13"/>
  <c r="B16" i="13"/>
  <c r="AH35" i="13" s="1"/>
  <c r="F15" i="13"/>
  <c r="E15" i="13"/>
  <c r="D15" i="13"/>
  <c r="B15" i="13"/>
  <c r="AD34" i="13" s="1"/>
  <c r="F14" i="13"/>
  <c r="E14" i="13"/>
  <c r="D14" i="13"/>
  <c r="B14" i="13"/>
  <c r="Z33" i="13" s="1"/>
  <c r="F13" i="13"/>
  <c r="E13" i="13"/>
  <c r="D13" i="13"/>
  <c r="B13" i="13"/>
  <c r="V32" i="13" s="1"/>
  <c r="F12" i="13"/>
  <c r="E12" i="13"/>
  <c r="D12" i="13"/>
  <c r="B12" i="13"/>
  <c r="AN31" i="13" s="1"/>
  <c r="F11" i="13"/>
  <c r="E11" i="13"/>
  <c r="D11" i="13"/>
  <c r="B11" i="13"/>
  <c r="AJ30" i="13" s="1"/>
  <c r="F10" i="13"/>
  <c r="E10" i="13"/>
  <c r="D10" i="13"/>
  <c r="B10" i="13"/>
  <c r="AF29" i="13" s="1"/>
  <c r="F9" i="13"/>
  <c r="E9" i="13"/>
  <c r="D9" i="13"/>
  <c r="B9" i="13"/>
  <c r="AB28" i="13" s="1"/>
  <c r="F8" i="13"/>
  <c r="E8" i="13"/>
  <c r="D8" i="13"/>
  <c r="B8" i="13"/>
  <c r="X27" i="13" s="1"/>
  <c r="F7" i="13"/>
  <c r="E7" i="13"/>
  <c r="D7" i="13"/>
  <c r="B7" i="13"/>
  <c r="AP26" i="13" s="1"/>
  <c r="F6" i="13"/>
  <c r="E6" i="13"/>
  <c r="D6" i="13"/>
  <c r="B6" i="13"/>
  <c r="AL25" i="13" s="1"/>
  <c r="F5" i="13"/>
  <c r="E5" i="13"/>
  <c r="D5" i="13"/>
  <c r="B5" i="13"/>
  <c r="AH24" i="13" s="1"/>
  <c r="F4" i="13"/>
  <c r="E4" i="13"/>
  <c r="D4" i="13"/>
  <c r="B4" i="13"/>
  <c r="AD23" i="13" s="1"/>
  <c r="F3" i="13"/>
  <c r="E3" i="13"/>
  <c r="D3" i="13"/>
  <c r="B3" i="13"/>
  <c r="Z22" i="13" s="1"/>
  <c r="AJ37" i="12"/>
  <c r="AI37" i="12"/>
  <c r="AH37" i="12"/>
  <c r="AG37" i="12"/>
  <c r="AF37" i="12"/>
  <c r="AE37" i="12"/>
  <c r="AD37" i="12"/>
  <c r="AC37" i="12"/>
  <c r="AB37" i="12"/>
  <c r="AA37" i="12"/>
  <c r="Z37" i="12"/>
  <c r="Y37" i="12"/>
  <c r="X37" i="12"/>
  <c r="W37" i="12"/>
  <c r="V37" i="12"/>
  <c r="U37" i="12"/>
  <c r="N37" i="12"/>
  <c r="M37" i="12"/>
  <c r="L37" i="12"/>
  <c r="K37" i="12"/>
  <c r="J37" i="12"/>
  <c r="I37" i="12"/>
  <c r="H37" i="12"/>
  <c r="G37" i="12"/>
  <c r="B37" i="12"/>
  <c r="AP36" i="12"/>
  <c r="AO36" i="12"/>
  <c r="AN36" i="12"/>
  <c r="AM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B36" i="12"/>
  <c r="AP35" i="12"/>
  <c r="AO35" i="12"/>
  <c r="AN35" i="12"/>
  <c r="AM35" i="12"/>
  <c r="AL35" i="12"/>
  <c r="AK35" i="12"/>
  <c r="AJ35" i="12"/>
  <c r="AI35" i="12"/>
  <c r="T35" i="12"/>
  <c r="S35" i="12"/>
  <c r="R35" i="12"/>
  <c r="Q35" i="12"/>
  <c r="P35" i="12"/>
  <c r="O35" i="12"/>
  <c r="N35" i="12"/>
  <c r="M35" i="12"/>
  <c r="B35" i="12"/>
  <c r="AH34" i="12"/>
  <c r="AG34" i="12"/>
  <c r="AF34" i="12"/>
  <c r="AE34" i="12"/>
  <c r="L34" i="12"/>
  <c r="K34" i="12"/>
  <c r="J34" i="12"/>
  <c r="I34" i="12"/>
  <c r="B34" i="12"/>
  <c r="B33" i="12"/>
  <c r="AL32" i="12"/>
  <c r="AK32" i="12"/>
  <c r="AJ32" i="12"/>
  <c r="AI32" i="12"/>
  <c r="AH32" i="12"/>
  <c r="AG32" i="12"/>
  <c r="AF32" i="12"/>
  <c r="AE32" i="12"/>
  <c r="AD32" i="12"/>
  <c r="AC32" i="12"/>
  <c r="AB32" i="12"/>
  <c r="AA32" i="12"/>
  <c r="Z32" i="12"/>
  <c r="Y32" i="12"/>
  <c r="X32" i="12"/>
  <c r="W32" i="12"/>
  <c r="P32" i="12"/>
  <c r="O32" i="12"/>
  <c r="N32" i="12"/>
  <c r="M32" i="12"/>
  <c r="L32" i="12"/>
  <c r="K32" i="12"/>
  <c r="J32" i="12"/>
  <c r="I32" i="12"/>
  <c r="H32" i="12"/>
  <c r="G32" i="12"/>
  <c r="B32" i="12"/>
  <c r="AP31" i="12"/>
  <c r="AO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J31" i="12"/>
  <c r="I31" i="12"/>
  <c r="H31" i="12"/>
  <c r="G31" i="12"/>
  <c r="B31" i="12"/>
  <c r="AP30" i="12"/>
  <c r="AO30" i="12"/>
  <c r="AN30" i="12"/>
  <c r="AM30" i="12"/>
  <c r="AL30" i="12"/>
  <c r="AK30" i="12"/>
  <c r="X30" i="12"/>
  <c r="W30" i="12"/>
  <c r="V30" i="12"/>
  <c r="U30" i="12"/>
  <c r="T30" i="12"/>
  <c r="S30" i="12"/>
  <c r="R30" i="12"/>
  <c r="Q30" i="12"/>
  <c r="P30" i="12"/>
  <c r="O30" i="12"/>
  <c r="B30" i="12"/>
  <c r="AL29" i="12"/>
  <c r="AK29" i="12"/>
  <c r="AJ29" i="12"/>
  <c r="AI29" i="12"/>
  <c r="AH29" i="12"/>
  <c r="AG29" i="12"/>
  <c r="P29" i="12"/>
  <c r="O29" i="12"/>
  <c r="N29" i="12"/>
  <c r="M29" i="12"/>
  <c r="L29" i="12"/>
  <c r="K29" i="12"/>
  <c r="B29" i="12"/>
  <c r="AD28" i="12"/>
  <c r="AC28" i="12"/>
  <c r="H28" i="12"/>
  <c r="G28" i="12"/>
  <c r="B28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B27" i="12"/>
  <c r="AA27" i="12"/>
  <c r="Z27" i="12"/>
  <c r="Y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B27" i="12"/>
  <c r="AJ26" i="12"/>
  <c r="AI26" i="12"/>
  <c r="AH26" i="12"/>
  <c r="AG26" i="12"/>
  <c r="AF26" i="12"/>
  <c r="AE26" i="12"/>
  <c r="AD26" i="12"/>
  <c r="AC26" i="12"/>
  <c r="AB26" i="12"/>
  <c r="AA26" i="12"/>
  <c r="Z26" i="12"/>
  <c r="Y26" i="12"/>
  <c r="X26" i="12"/>
  <c r="W26" i="12"/>
  <c r="V26" i="12"/>
  <c r="U26" i="12"/>
  <c r="N26" i="12"/>
  <c r="M26" i="12"/>
  <c r="L26" i="12"/>
  <c r="K26" i="12"/>
  <c r="J26" i="12"/>
  <c r="I26" i="12"/>
  <c r="H26" i="12"/>
  <c r="G26" i="12"/>
  <c r="B26" i="12"/>
  <c r="AP25" i="12"/>
  <c r="AO25" i="12"/>
  <c r="AN25" i="12"/>
  <c r="AM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B25" i="12"/>
  <c r="AP24" i="12"/>
  <c r="AO24" i="12"/>
  <c r="AN24" i="12"/>
  <c r="AM24" i="12"/>
  <c r="AL24" i="12"/>
  <c r="AK24" i="12"/>
  <c r="AJ24" i="12"/>
  <c r="AI24" i="12"/>
  <c r="T24" i="12"/>
  <c r="S24" i="12"/>
  <c r="R24" i="12"/>
  <c r="Q24" i="12"/>
  <c r="P24" i="12"/>
  <c r="O24" i="12"/>
  <c r="N24" i="12"/>
  <c r="M24" i="12"/>
  <c r="B24" i="12"/>
  <c r="AH23" i="12"/>
  <c r="AG23" i="12"/>
  <c r="AF23" i="12"/>
  <c r="AE23" i="12"/>
  <c r="L23" i="12"/>
  <c r="K23" i="12"/>
  <c r="J23" i="12"/>
  <c r="I23" i="12"/>
  <c r="B23" i="12"/>
  <c r="B22" i="12"/>
  <c r="F18" i="12"/>
  <c r="E18" i="12"/>
  <c r="D18" i="12"/>
  <c r="B18" i="12"/>
  <c r="AP37" i="12" s="1"/>
  <c r="F17" i="12"/>
  <c r="E17" i="12"/>
  <c r="D17" i="12"/>
  <c r="B17" i="12"/>
  <c r="AL36" i="12" s="1"/>
  <c r="F16" i="12"/>
  <c r="E16" i="12"/>
  <c r="D16" i="12"/>
  <c r="B16" i="12"/>
  <c r="AH35" i="12" s="1"/>
  <c r="F15" i="12"/>
  <c r="E15" i="12"/>
  <c r="D15" i="12"/>
  <c r="B15" i="12"/>
  <c r="AD34" i="12" s="1"/>
  <c r="F14" i="12"/>
  <c r="E14" i="12"/>
  <c r="D14" i="12"/>
  <c r="B14" i="12"/>
  <c r="Z33" i="12" s="1"/>
  <c r="F13" i="12"/>
  <c r="E13" i="12"/>
  <c r="D13" i="12"/>
  <c r="B13" i="12"/>
  <c r="V32" i="12" s="1"/>
  <c r="F12" i="12"/>
  <c r="E12" i="12"/>
  <c r="D12" i="12"/>
  <c r="B12" i="12"/>
  <c r="AN31" i="12" s="1"/>
  <c r="F11" i="12"/>
  <c r="E11" i="12"/>
  <c r="D11" i="12"/>
  <c r="B11" i="12"/>
  <c r="AJ30" i="12" s="1"/>
  <c r="F10" i="12"/>
  <c r="E10" i="12"/>
  <c r="D10" i="12"/>
  <c r="B10" i="12"/>
  <c r="AF29" i="12" s="1"/>
  <c r="F9" i="12"/>
  <c r="E9" i="12"/>
  <c r="D9" i="12"/>
  <c r="B9" i="12"/>
  <c r="AB28" i="12" s="1"/>
  <c r="F8" i="12"/>
  <c r="E8" i="12"/>
  <c r="D8" i="12"/>
  <c r="B8" i="12"/>
  <c r="X27" i="12" s="1"/>
  <c r="F7" i="12"/>
  <c r="E7" i="12"/>
  <c r="D7" i="12"/>
  <c r="B7" i="12"/>
  <c r="AP26" i="12" s="1"/>
  <c r="F6" i="12"/>
  <c r="E6" i="12"/>
  <c r="D6" i="12"/>
  <c r="B6" i="12"/>
  <c r="AL25" i="12" s="1"/>
  <c r="F5" i="12"/>
  <c r="E5" i="12"/>
  <c r="D5" i="12"/>
  <c r="B5" i="12"/>
  <c r="AH24" i="12" s="1"/>
  <c r="F4" i="12"/>
  <c r="E4" i="12"/>
  <c r="D4" i="12"/>
  <c r="B4" i="12"/>
  <c r="AD23" i="12" s="1"/>
  <c r="F3" i="12"/>
  <c r="E3" i="12"/>
  <c r="D3" i="12"/>
  <c r="B3" i="12"/>
  <c r="Z22" i="12" s="1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AI22" i="9"/>
  <c r="AC23" i="9"/>
  <c r="AD23" i="9"/>
  <c r="AE24" i="9"/>
  <c r="AF24" i="9"/>
  <c r="AG24" i="9"/>
  <c r="Y25" i="9"/>
  <c r="Z25" i="9"/>
  <c r="AA25" i="9"/>
  <c r="AB25" i="9"/>
  <c r="H26" i="9"/>
  <c r="I26" i="9"/>
  <c r="J26" i="9"/>
  <c r="K26" i="9"/>
  <c r="L26" i="9"/>
  <c r="M26" i="9"/>
  <c r="N26" i="9"/>
  <c r="O26" i="9"/>
  <c r="P26" i="9"/>
  <c r="Q26" i="9"/>
  <c r="U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H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D27" i="9"/>
  <c r="AG27" i="9"/>
  <c r="AH27" i="9"/>
  <c r="AI27" i="9"/>
  <c r="AJ27" i="9"/>
  <c r="AK27" i="9"/>
  <c r="AL27" i="9"/>
  <c r="AM27" i="9"/>
  <c r="AN27" i="9"/>
  <c r="AO27" i="9"/>
  <c r="AP27" i="9"/>
  <c r="H28" i="9"/>
  <c r="I28" i="9"/>
  <c r="J28" i="9"/>
  <c r="K28" i="9"/>
  <c r="L28" i="9"/>
  <c r="M28" i="9"/>
  <c r="AC28" i="9"/>
  <c r="AD28" i="9"/>
  <c r="AE28" i="9"/>
  <c r="AF28" i="9"/>
  <c r="AG28" i="9"/>
  <c r="AH28" i="9"/>
  <c r="AI28" i="9"/>
  <c r="I29" i="9"/>
  <c r="J29" i="9"/>
  <c r="K29" i="9"/>
  <c r="L29" i="9"/>
  <c r="M29" i="9"/>
  <c r="N29" i="9"/>
  <c r="O29" i="9"/>
  <c r="P29" i="9"/>
  <c r="AG29" i="9"/>
  <c r="AH29" i="9"/>
  <c r="AI29" i="9"/>
  <c r="AJ29" i="9"/>
  <c r="AK29" i="9"/>
  <c r="AL29" i="9"/>
  <c r="AM29" i="9"/>
  <c r="AN29" i="9"/>
  <c r="AO29" i="9"/>
  <c r="AP29" i="9"/>
  <c r="H30" i="9"/>
  <c r="I30" i="9"/>
  <c r="K30" i="9"/>
  <c r="L30" i="9"/>
  <c r="M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G30" i="9"/>
  <c r="AH30" i="9"/>
  <c r="AI30" i="9"/>
  <c r="AK30" i="9"/>
  <c r="AL30" i="9"/>
  <c r="AM30" i="9"/>
  <c r="AN30" i="9"/>
  <c r="AO30" i="9"/>
  <c r="AP30" i="9"/>
  <c r="N32" i="9"/>
  <c r="O32" i="9"/>
  <c r="P32" i="9"/>
  <c r="Q32" i="9"/>
  <c r="R32" i="9"/>
  <c r="S32" i="9"/>
  <c r="T32" i="9"/>
  <c r="U32" i="9"/>
  <c r="V32" i="9"/>
  <c r="W32" i="9"/>
  <c r="X32" i="9"/>
  <c r="Y32" i="9"/>
  <c r="Z32" i="9"/>
  <c r="AA32" i="9"/>
  <c r="AK32" i="9"/>
  <c r="AL32" i="9"/>
  <c r="AM32" i="9"/>
  <c r="AN32" i="9"/>
  <c r="AO32" i="9"/>
  <c r="AP32" i="9"/>
  <c r="H33" i="9"/>
  <c r="I33" i="9"/>
  <c r="J33" i="9"/>
  <c r="K33" i="9"/>
  <c r="L33" i="9"/>
  <c r="M33" i="9"/>
  <c r="N33" i="9"/>
  <c r="W33" i="9"/>
  <c r="X33" i="9"/>
  <c r="Y33" i="9"/>
  <c r="Z33" i="9"/>
  <c r="AA33" i="9"/>
  <c r="AB33" i="9"/>
  <c r="AC33" i="9"/>
  <c r="AD33" i="9"/>
  <c r="AG33" i="9"/>
  <c r="AH33" i="9"/>
  <c r="AI33" i="9"/>
  <c r="AJ33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AF34" i="9"/>
  <c r="AG34" i="9"/>
  <c r="AK34" i="9"/>
  <c r="AL34" i="9"/>
  <c r="AM34" i="9"/>
  <c r="AN34" i="9"/>
  <c r="AO34" i="9"/>
  <c r="AP34" i="9"/>
  <c r="H35" i="9"/>
  <c r="I35" i="9"/>
  <c r="J35" i="9"/>
  <c r="S35" i="9"/>
  <c r="T35" i="9"/>
  <c r="U35" i="9"/>
  <c r="V35" i="9"/>
  <c r="W35" i="9"/>
  <c r="X35" i="9"/>
  <c r="Y35" i="9"/>
  <c r="Z35" i="9"/>
  <c r="AA35" i="9"/>
  <c r="AB35" i="9"/>
  <c r="AO35" i="9"/>
  <c r="I36" i="9"/>
  <c r="J36" i="9"/>
  <c r="K36" i="9"/>
  <c r="L36" i="9"/>
  <c r="M36" i="9"/>
  <c r="N36" i="9"/>
  <c r="O36" i="9"/>
  <c r="P36" i="9"/>
  <c r="Q36" i="9"/>
  <c r="R36" i="9"/>
  <c r="S36" i="9"/>
  <c r="AA36" i="9"/>
  <c r="AB36" i="9"/>
  <c r="AC36" i="9"/>
  <c r="AD36" i="9"/>
  <c r="AL36" i="9"/>
  <c r="AM36" i="9"/>
  <c r="AN36" i="9"/>
  <c r="AO36" i="9"/>
  <c r="O37" i="9"/>
  <c r="P37" i="9"/>
  <c r="Q37" i="9"/>
  <c r="R37" i="9"/>
  <c r="S37" i="9"/>
  <c r="T37" i="9"/>
  <c r="U37" i="9"/>
  <c r="V37" i="9"/>
  <c r="W37" i="9"/>
  <c r="X37" i="9"/>
  <c r="Y37" i="9"/>
  <c r="AL37" i="9"/>
  <c r="AN37" i="9"/>
  <c r="AO37" i="9"/>
  <c r="AP37" i="9"/>
  <c r="G26" i="9"/>
  <c r="G27" i="9"/>
  <c r="G28" i="9"/>
  <c r="G29" i="9"/>
  <c r="G30" i="9"/>
  <c r="D4" i="9"/>
  <c r="E4" i="9"/>
  <c r="F4" i="9"/>
  <c r="D5" i="9"/>
  <c r="E5" i="9"/>
  <c r="F5" i="9"/>
  <c r="D6" i="9"/>
  <c r="E6" i="9"/>
  <c r="F6" i="9"/>
  <c r="D7" i="9"/>
  <c r="E7" i="9"/>
  <c r="F7" i="9"/>
  <c r="D8" i="9"/>
  <c r="E8" i="9"/>
  <c r="F8" i="9"/>
  <c r="D9" i="9"/>
  <c r="E9" i="9"/>
  <c r="F9" i="9"/>
  <c r="D10" i="9"/>
  <c r="E10" i="9"/>
  <c r="F10" i="9"/>
  <c r="D11" i="9"/>
  <c r="E11" i="9"/>
  <c r="F11" i="9"/>
  <c r="D12" i="9"/>
  <c r="E12" i="9"/>
  <c r="F12" i="9"/>
  <c r="D13" i="9"/>
  <c r="E13" i="9"/>
  <c r="F13" i="9"/>
  <c r="D14" i="9"/>
  <c r="E14" i="9"/>
  <c r="F14" i="9"/>
  <c r="D15" i="9"/>
  <c r="E15" i="9"/>
  <c r="F15" i="9"/>
  <c r="D16" i="9"/>
  <c r="E16" i="9"/>
  <c r="F16" i="9"/>
  <c r="D17" i="9"/>
  <c r="E17" i="9"/>
  <c r="F17" i="9"/>
  <c r="D18" i="9"/>
  <c r="E18" i="9"/>
  <c r="F18" i="9"/>
  <c r="F3" i="9"/>
  <c r="E3" i="9"/>
  <c r="D3" i="9"/>
  <c r="B12" i="9"/>
  <c r="AH31" i="9" s="1"/>
  <c r="B13" i="9"/>
  <c r="B14" i="9"/>
  <c r="B15" i="9"/>
  <c r="B16" i="9"/>
  <c r="AD35" i="9" s="1"/>
  <c r="B17" i="9"/>
  <c r="AG36" i="9" s="1"/>
  <c r="B18" i="9"/>
  <c r="B9" i="9"/>
  <c r="W28" i="9" s="1"/>
  <c r="B10" i="9"/>
  <c r="V29" i="9" s="1"/>
  <c r="E3" i="11"/>
  <c r="E2" i="11"/>
  <c r="D3" i="11"/>
  <c r="C3" i="11"/>
  <c r="D2" i="11"/>
  <c r="C2" i="11"/>
  <c r="B11" i="9"/>
  <c r="J30" i="9" s="1"/>
  <c r="B8" i="9"/>
  <c r="AA27" i="9" s="1"/>
  <c r="B7" i="9"/>
  <c r="R26" i="9" s="1"/>
  <c r="B6" i="9"/>
  <c r="AP25" i="9" s="1"/>
  <c r="B5" i="9"/>
  <c r="N24" i="9" s="1"/>
  <c r="B4" i="9"/>
  <c r="AA23" i="9" s="1"/>
  <c r="B3" i="9"/>
  <c r="AM22" i="9" s="1"/>
  <c r="AD23" i="15" l="1"/>
  <c r="H23" i="15"/>
  <c r="AA23" i="15"/>
  <c r="Y23" i="15"/>
  <c r="AC23" i="15"/>
  <c r="G23" i="15"/>
  <c r="AB23" i="15"/>
  <c r="Z23" i="15"/>
  <c r="W23" i="15"/>
  <c r="V23" i="15"/>
  <c r="U23" i="15"/>
  <c r="I23" i="15"/>
  <c r="K34" i="15"/>
  <c r="AP23" i="15"/>
  <c r="L29" i="15"/>
  <c r="AH24" i="15"/>
  <c r="L24" i="15"/>
  <c r="AE24" i="15"/>
  <c r="H24" i="15"/>
  <c r="AC24" i="15"/>
  <c r="AG24" i="15"/>
  <c r="K24" i="15"/>
  <c r="AF24" i="15"/>
  <c r="J24" i="15"/>
  <c r="I24" i="15"/>
  <c r="AD24" i="15"/>
  <c r="G24" i="15"/>
  <c r="AA24" i="15"/>
  <c r="Z24" i="15"/>
  <c r="Y24" i="15"/>
  <c r="M23" i="15"/>
  <c r="N23" i="15"/>
  <c r="O23" i="15"/>
  <c r="R30" i="15"/>
  <c r="O24" i="15"/>
  <c r="P28" i="15"/>
  <c r="Q23" i="15"/>
  <c r="R29" i="15"/>
  <c r="R23" i="15"/>
  <c r="Q24" i="15"/>
  <c r="V28" i="15"/>
  <c r="S29" i="15"/>
  <c r="U30" i="15"/>
  <c r="S34" i="15"/>
  <c r="V35" i="15"/>
  <c r="S23" i="15"/>
  <c r="R24" i="15"/>
  <c r="AC28" i="15"/>
  <c r="T29" i="15"/>
  <c r="V30" i="15"/>
  <c r="AE34" i="15"/>
  <c r="W35" i="15"/>
  <c r="T23" i="15"/>
  <c r="S24" i="15"/>
  <c r="AD28" i="15"/>
  <c r="U29" i="15"/>
  <c r="W30" i="15"/>
  <c r="AF34" i="15"/>
  <c r="AI35" i="15"/>
  <c r="AE22" i="15"/>
  <c r="X23" i="15"/>
  <c r="T24" i="15"/>
  <c r="Z29" i="15"/>
  <c r="X30" i="15"/>
  <c r="AE33" i="15"/>
  <c r="AG34" i="15"/>
  <c r="AJ35" i="15"/>
  <c r="AB28" i="15"/>
  <c r="X28" i="15"/>
  <c r="W28" i="15"/>
  <c r="AA28" i="15"/>
  <c r="Z28" i="15"/>
  <c r="Y28" i="15"/>
  <c r="U28" i="15"/>
  <c r="AP28" i="15"/>
  <c r="T28" i="15"/>
  <c r="AO28" i="15"/>
  <c r="S28" i="15"/>
  <c r="AN28" i="15"/>
  <c r="R28" i="15"/>
  <c r="AM28" i="15"/>
  <c r="AN23" i="15"/>
  <c r="J34" i="15"/>
  <c r="AO23" i="15"/>
  <c r="L23" i="15"/>
  <c r="M29" i="15"/>
  <c r="N34" i="15"/>
  <c r="O29" i="15"/>
  <c r="O34" i="15"/>
  <c r="N24" i="15"/>
  <c r="S35" i="15"/>
  <c r="Q34" i="15"/>
  <c r="P24" i="15"/>
  <c r="Q28" i="15"/>
  <c r="U24" i="15"/>
  <c r="AG29" i="15"/>
  <c r="AH34" i="15"/>
  <c r="V24" i="15"/>
  <c r="AI34" i="15"/>
  <c r="AG23" i="15"/>
  <c r="AH28" i="15"/>
  <c r="AK30" i="15"/>
  <c r="X24" i="15"/>
  <c r="J23" i="15"/>
  <c r="J28" i="15"/>
  <c r="AF29" i="15"/>
  <c r="J29" i="15"/>
  <c r="G29" i="15"/>
  <c r="AB29" i="15"/>
  <c r="AA29" i="15"/>
  <c r="AE29" i="15"/>
  <c r="I29" i="15"/>
  <c r="AD29" i="15"/>
  <c r="H29" i="15"/>
  <c r="AC29" i="15"/>
  <c r="Y29" i="15"/>
  <c r="X29" i="15"/>
  <c r="W29" i="15"/>
  <c r="V29" i="15"/>
  <c r="K23" i="15"/>
  <c r="K28" i="15"/>
  <c r="L28" i="15"/>
  <c r="M34" i="15"/>
  <c r="M28" i="15"/>
  <c r="Q35" i="15"/>
  <c r="N28" i="15"/>
  <c r="R35" i="15"/>
  <c r="AJ30" i="15"/>
  <c r="N30" i="15"/>
  <c r="AG30" i="15"/>
  <c r="K30" i="15"/>
  <c r="AE30" i="15"/>
  <c r="AI30" i="15"/>
  <c r="M30" i="15"/>
  <c r="AH30" i="15"/>
  <c r="L30" i="15"/>
  <c r="AF30" i="15"/>
  <c r="J30" i="15"/>
  <c r="I30" i="15"/>
  <c r="AC30" i="15"/>
  <c r="G30" i="15"/>
  <c r="AB30" i="15"/>
  <c r="AA30" i="15"/>
  <c r="Z30" i="15"/>
  <c r="O28" i="15"/>
  <c r="P34" i="15"/>
  <c r="P23" i="15"/>
  <c r="Q29" i="15"/>
  <c r="T35" i="15"/>
  <c r="T30" i="15"/>
  <c r="U35" i="15"/>
  <c r="AE23" i="15"/>
  <c r="AF28" i="15"/>
  <c r="AF23" i="15"/>
  <c r="AI29" i="15"/>
  <c r="AH23" i="15"/>
  <c r="AI28" i="15"/>
  <c r="AJ29" i="15"/>
  <c r="AI33" i="15"/>
  <c r="AK34" i="15"/>
  <c r="AN35" i="15"/>
  <c r="AI23" i="15"/>
  <c r="AB24" i="15"/>
  <c r="AJ28" i="15"/>
  <c r="AK29" i="15"/>
  <c r="AM30" i="15"/>
  <c r="AL34" i="15"/>
  <c r="AJ34" i="15"/>
  <c r="Z22" i="15"/>
  <c r="W22" i="15"/>
  <c r="U22" i="15"/>
  <c r="Y22" i="15"/>
  <c r="X22" i="15"/>
  <c r="V22" i="15"/>
  <c r="AO22" i="15"/>
  <c r="S22" i="15"/>
  <c r="AN22" i="15"/>
  <c r="R22" i="15"/>
  <c r="AM22" i="15"/>
  <c r="Q22" i="15"/>
  <c r="Z33" i="15"/>
  <c r="Y33" i="15"/>
  <c r="X33" i="15"/>
  <c r="W33" i="15"/>
  <c r="V33" i="15"/>
  <c r="U33" i="15"/>
  <c r="AO33" i="15"/>
  <c r="S33" i="15"/>
  <c r="AN33" i="15"/>
  <c r="R33" i="15"/>
  <c r="AM33" i="15"/>
  <c r="Q33" i="15"/>
  <c r="AL33" i="15"/>
  <c r="P33" i="15"/>
  <c r="AK22" i="15"/>
  <c r="AK33" i="15"/>
  <c r="G28" i="15"/>
  <c r="H28" i="15"/>
  <c r="AD34" i="15"/>
  <c r="H34" i="15"/>
  <c r="AA34" i="15"/>
  <c r="X34" i="15"/>
  <c r="AC34" i="15"/>
  <c r="G34" i="15"/>
  <c r="AB34" i="15"/>
  <c r="Z34" i="15"/>
  <c r="Y34" i="15"/>
  <c r="W34" i="15"/>
  <c r="V34" i="15"/>
  <c r="U34" i="15"/>
  <c r="AP34" i="15"/>
  <c r="T34" i="15"/>
  <c r="I28" i="15"/>
  <c r="L34" i="15"/>
  <c r="AH35" i="15"/>
  <c r="L35" i="15"/>
  <c r="AE35" i="15"/>
  <c r="H35" i="15"/>
  <c r="G35" i="15"/>
  <c r="AG35" i="15"/>
  <c r="K35" i="15"/>
  <c r="AF35" i="15"/>
  <c r="J35" i="15"/>
  <c r="I35" i="15"/>
  <c r="AD35" i="15"/>
  <c r="AC35" i="15"/>
  <c r="AB35" i="15"/>
  <c r="AA35" i="15"/>
  <c r="Z35" i="15"/>
  <c r="Y35" i="15"/>
  <c r="X35" i="15"/>
  <c r="N29" i="15"/>
  <c r="M24" i="15"/>
  <c r="P29" i="15"/>
  <c r="S30" i="15"/>
  <c r="R34" i="15"/>
  <c r="Y30" i="15"/>
  <c r="AK35" i="15"/>
  <c r="AG28" i="15"/>
  <c r="AD30" i="15"/>
  <c r="AL35" i="15"/>
  <c r="W24" i="15"/>
  <c r="AM35" i="15"/>
  <c r="AJ23" i="15"/>
  <c r="AI24" i="15"/>
  <c r="AK28" i="15"/>
  <c r="AL29" i="15"/>
  <c r="AN30" i="15"/>
  <c r="AP35" i="15"/>
  <c r="G22" i="15"/>
  <c r="AL22" i="15"/>
  <c r="AK23" i="15"/>
  <c r="AJ24" i="15"/>
  <c r="AL28" i="15"/>
  <c r="AM29" i="15"/>
  <c r="AO30" i="15"/>
  <c r="AP33" i="15"/>
  <c r="AN34" i="15"/>
  <c r="G25" i="15"/>
  <c r="AC25" i="15"/>
  <c r="K26" i="15"/>
  <c r="AG26" i="15"/>
  <c r="G36" i="15"/>
  <c r="AC36" i="15"/>
  <c r="K37" i="15"/>
  <c r="AG37" i="15"/>
  <c r="H25" i="15"/>
  <c r="AD25" i="15"/>
  <c r="L26" i="15"/>
  <c r="AH26" i="15"/>
  <c r="N32" i="15"/>
  <c r="AJ32" i="15"/>
  <c r="H36" i="15"/>
  <c r="AD36" i="15"/>
  <c r="L37" i="15"/>
  <c r="AH37" i="15"/>
  <c r="I25" i="15"/>
  <c r="AE25" i="15"/>
  <c r="M26" i="15"/>
  <c r="AI26" i="15"/>
  <c r="Q27" i="15"/>
  <c r="AM27" i="15"/>
  <c r="K31" i="15"/>
  <c r="AG31" i="15"/>
  <c r="O32" i="15"/>
  <c r="AK32" i="15"/>
  <c r="I36" i="15"/>
  <c r="AE36" i="15"/>
  <c r="M37" i="15"/>
  <c r="AI37" i="15"/>
  <c r="AK26" i="15"/>
  <c r="O37" i="15"/>
  <c r="AH25" i="15"/>
  <c r="AL37" i="15"/>
  <c r="M25" i="15"/>
  <c r="Q26" i="15"/>
  <c r="AO32" i="15"/>
  <c r="Q37" i="15"/>
  <c r="N25" i="15"/>
  <c r="AJ25" i="15"/>
  <c r="R26" i="15"/>
  <c r="AN26" i="15"/>
  <c r="V27" i="15"/>
  <c r="P31" i="15"/>
  <c r="AL31" i="15"/>
  <c r="T32" i="15"/>
  <c r="AP32" i="15"/>
  <c r="N36" i="15"/>
  <c r="AJ36" i="15"/>
  <c r="R37" i="15"/>
  <c r="AN37" i="15"/>
  <c r="AH36" i="15"/>
  <c r="AI36" i="15"/>
  <c r="O25" i="15"/>
  <c r="AK25" i="15"/>
  <c r="S26" i="15"/>
  <c r="AO26" i="15"/>
  <c r="W27" i="15"/>
  <c r="Q31" i="15"/>
  <c r="AM31" i="15"/>
  <c r="U32" i="15"/>
  <c r="O36" i="15"/>
  <c r="AK36" i="15"/>
  <c r="S37" i="15"/>
  <c r="AO37" i="15"/>
  <c r="O26" i="15"/>
  <c r="AK37" i="15"/>
  <c r="L25" i="15"/>
  <c r="P26" i="15"/>
  <c r="AL26" i="15"/>
  <c r="L36" i="15"/>
  <c r="P37" i="15"/>
  <c r="AI25" i="15"/>
  <c r="AM26" i="15"/>
  <c r="S32" i="15"/>
  <c r="M36" i="15"/>
  <c r="AM37" i="15"/>
  <c r="P25" i="15"/>
  <c r="T26" i="15"/>
  <c r="R31" i="15"/>
  <c r="P36" i="15"/>
  <c r="T37" i="15"/>
  <c r="AB33" i="13"/>
  <c r="H33" i="13"/>
  <c r="AE22" i="13"/>
  <c r="N23" i="13"/>
  <c r="AK23" i="13"/>
  <c r="U24" i="13"/>
  <c r="O28" i="13"/>
  <c r="U35" i="13"/>
  <c r="AL28" i="13"/>
  <c r="V35" i="13"/>
  <c r="AK22" i="13"/>
  <c r="Y30" i="13"/>
  <c r="Q22" i="13"/>
  <c r="AC36" i="13"/>
  <c r="R22" i="13"/>
  <c r="AN22" i="13"/>
  <c r="V23" i="13"/>
  <c r="Z24" i="13"/>
  <c r="AP28" i="13"/>
  <c r="X29" i="13"/>
  <c r="AB30" i="13"/>
  <c r="R33" i="13"/>
  <c r="AN33" i="13"/>
  <c r="V34" i="13"/>
  <c r="Z35" i="13"/>
  <c r="H36" i="13"/>
  <c r="AD36" i="13"/>
  <c r="S22" i="13"/>
  <c r="AO22" i="13"/>
  <c r="W23" i="13"/>
  <c r="AA24" i="13"/>
  <c r="I25" i="13"/>
  <c r="AE25" i="13"/>
  <c r="M26" i="13"/>
  <c r="AI26" i="13"/>
  <c r="Q27" i="13"/>
  <c r="AM27" i="13"/>
  <c r="U28" i="13"/>
  <c r="Y29" i="13"/>
  <c r="G30" i="13"/>
  <c r="AC30" i="13"/>
  <c r="K31" i="13"/>
  <c r="AG31" i="13"/>
  <c r="O32" i="13"/>
  <c r="AK32" i="13"/>
  <c r="S33" i="13"/>
  <c r="AO33" i="13"/>
  <c r="W34" i="13"/>
  <c r="AA35" i="13"/>
  <c r="I36" i="13"/>
  <c r="AE36" i="13"/>
  <c r="M37" i="13"/>
  <c r="AI37" i="13"/>
  <c r="AB22" i="13"/>
  <c r="AC22" i="13"/>
  <c r="I22" i="13"/>
  <c r="AI23" i="13"/>
  <c r="AI34" i="13"/>
  <c r="AG22" i="13"/>
  <c r="AH22" i="13"/>
  <c r="N28" i="13"/>
  <c r="L33" i="13"/>
  <c r="AI22" i="13"/>
  <c r="S29" i="13"/>
  <c r="R23" i="13"/>
  <c r="AP29" i="13"/>
  <c r="W24" i="13"/>
  <c r="Q28" i="13"/>
  <c r="AP23" i="13"/>
  <c r="AP34" i="13"/>
  <c r="AC25" i="13"/>
  <c r="Q33" i="13"/>
  <c r="AD25" i="13"/>
  <c r="AB24" i="13"/>
  <c r="Z29" i="13"/>
  <c r="U22" i="13"/>
  <c r="Y23" i="13"/>
  <c r="G24" i="13"/>
  <c r="AC24" i="13"/>
  <c r="K25" i="13"/>
  <c r="AG25" i="13"/>
  <c r="O26" i="13"/>
  <c r="AK26" i="13"/>
  <c r="S27" i="13"/>
  <c r="AO27" i="13"/>
  <c r="W28" i="13"/>
  <c r="AA29" i="13"/>
  <c r="I30" i="13"/>
  <c r="AE30" i="13"/>
  <c r="M31" i="13"/>
  <c r="AI31" i="13"/>
  <c r="Q32" i="13"/>
  <c r="AM32" i="13"/>
  <c r="U33" i="13"/>
  <c r="Y34" i="13"/>
  <c r="G35" i="13"/>
  <c r="AC35" i="13"/>
  <c r="K36" i="13"/>
  <c r="AG36" i="13"/>
  <c r="O37" i="13"/>
  <c r="AK37" i="13"/>
  <c r="AC33" i="13"/>
  <c r="AD22" i="13"/>
  <c r="J22" i="13"/>
  <c r="AJ23" i="13"/>
  <c r="L28" i="13"/>
  <c r="AF33" i="13"/>
  <c r="AJ34" i="13"/>
  <c r="L22" i="13"/>
  <c r="AL23" i="13"/>
  <c r="R29" i="13"/>
  <c r="P34" i="13"/>
  <c r="AK28" i="13"/>
  <c r="AJ22" i="13"/>
  <c r="T29" i="13"/>
  <c r="N33" i="13"/>
  <c r="AM28" i="13"/>
  <c r="AK33" i="13"/>
  <c r="S34" i="13"/>
  <c r="U23" i="13"/>
  <c r="W29" i="13"/>
  <c r="U34" i="13"/>
  <c r="T28" i="13"/>
  <c r="T22" i="13"/>
  <c r="V28" i="13"/>
  <c r="V22" i="13"/>
  <c r="Z23" i="13"/>
  <c r="H24" i="13"/>
  <c r="AD24" i="13"/>
  <c r="L25" i="13"/>
  <c r="AH25" i="13"/>
  <c r="X28" i="13"/>
  <c r="AB29" i="13"/>
  <c r="J30" i="13"/>
  <c r="AF30" i="13"/>
  <c r="N31" i="13"/>
  <c r="AJ31" i="13"/>
  <c r="R32" i="13"/>
  <c r="AN32" i="13"/>
  <c r="V33" i="13"/>
  <c r="Z34" i="13"/>
  <c r="H35" i="13"/>
  <c r="AD35" i="13"/>
  <c r="L36" i="13"/>
  <c r="AH36" i="13"/>
  <c r="P37" i="13"/>
  <c r="AL37" i="13"/>
  <c r="AA33" i="13"/>
  <c r="I28" i="13"/>
  <c r="J28" i="13"/>
  <c r="M23" i="13"/>
  <c r="I33" i="13"/>
  <c r="M34" i="13"/>
  <c r="J33" i="13"/>
  <c r="M28" i="13"/>
  <c r="AG33" i="13"/>
  <c r="AK34" i="13"/>
  <c r="AH33" i="13"/>
  <c r="AM23" i="13"/>
  <c r="AO29" i="13"/>
  <c r="M33" i="13"/>
  <c r="V24" i="13"/>
  <c r="S23" i="13"/>
  <c r="U29" i="13"/>
  <c r="O33" i="13"/>
  <c r="T23" i="13"/>
  <c r="V29" i="13"/>
  <c r="P33" i="13"/>
  <c r="T34" i="13"/>
  <c r="AM22" i="13"/>
  <c r="AA30" i="13"/>
  <c r="AM33" i="13"/>
  <c r="H25" i="13"/>
  <c r="AF25" i="13"/>
  <c r="AP33" i="13"/>
  <c r="AF36" i="13"/>
  <c r="W22" i="13"/>
  <c r="AA23" i="13"/>
  <c r="I24" i="13"/>
  <c r="AE24" i="13"/>
  <c r="M25" i="13"/>
  <c r="AI25" i="13"/>
  <c r="Q26" i="13"/>
  <c r="AM26" i="13"/>
  <c r="U27" i="13"/>
  <c r="Y28" i="13"/>
  <c r="G29" i="13"/>
  <c r="AC29" i="13"/>
  <c r="K30" i="13"/>
  <c r="AG30" i="13"/>
  <c r="O31" i="13"/>
  <c r="AK31" i="13"/>
  <c r="S32" i="13"/>
  <c r="AO32" i="13"/>
  <c r="W33" i="13"/>
  <c r="AA34" i="13"/>
  <c r="I35" i="13"/>
  <c r="AE35" i="13"/>
  <c r="M36" i="13"/>
  <c r="AI36" i="13"/>
  <c r="Q37" i="13"/>
  <c r="AM37" i="13"/>
  <c r="AA22" i="13"/>
  <c r="AD33" i="13"/>
  <c r="K28" i="13"/>
  <c r="K22" i="13"/>
  <c r="AI28" i="13"/>
  <c r="K33" i="13"/>
  <c r="P23" i="13"/>
  <c r="AJ28" i="13"/>
  <c r="M22" i="13"/>
  <c r="Q34" i="13"/>
  <c r="AJ33" i="13"/>
  <c r="AN34" i="13"/>
  <c r="O22" i="13"/>
  <c r="AL22" i="13"/>
  <c r="R28" i="13"/>
  <c r="Z30" i="13"/>
  <c r="AL33" i="13"/>
  <c r="X35" i="13"/>
  <c r="G25" i="13"/>
  <c r="AO28" i="13"/>
  <c r="G36" i="13"/>
  <c r="AP22" i="13"/>
  <c r="J25" i="13"/>
  <c r="H30" i="13"/>
  <c r="X34" i="13"/>
  <c r="J36" i="13"/>
  <c r="X22" i="13"/>
  <c r="AB23" i="13"/>
  <c r="J24" i="13"/>
  <c r="AF24" i="13"/>
  <c r="N25" i="13"/>
  <c r="AJ25" i="13"/>
  <c r="R26" i="13"/>
  <c r="AN26" i="13"/>
  <c r="V27" i="13"/>
  <c r="Z28" i="13"/>
  <c r="H29" i="13"/>
  <c r="AD29" i="13"/>
  <c r="L30" i="13"/>
  <c r="AH30" i="13"/>
  <c r="P31" i="13"/>
  <c r="AL31" i="13"/>
  <c r="T32" i="13"/>
  <c r="AP32" i="13"/>
  <c r="X33" i="13"/>
  <c r="AB34" i="13"/>
  <c r="J35" i="13"/>
  <c r="AF35" i="13"/>
  <c r="N36" i="13"/>
  <c r="AJ36" i="13"/>
  <c r="R37" i="13"/>
  <c r="AN37" i="13"/>
  <c r="G22" i="13"/>
  <c r="G33" i="13"/>
  <c r="H22" i="13"/>
  <c r="AF28" i="13"/>
  <c r="AH28" i="13"/>
  <c r="Q29" i="13"/>
  <c r="AL34" i="13"/>
  <c r="AI33" i="13"/>
  <c r="N22" i="13"/>
  <c r="P28" i="13"/>
  <c r="AO23" i="13"/>
  <c r="AO34" i="13"/>
  <c r="X24" i="13"/>
  <c r="AN28" i="13"/>
  <c r="AD30" i="13"/>
  <c r="Y22" i="13"/>
  <c r="G23" i="13"/>
  <c r="AC23" i="13"/>
  <c r="K24" i="13"/>
  <c r="AG24" i="13"/>
  <c r="O25" i="13"/>
  <c r="AK25" i="13"/>
  <c r="S26" i="13"/>
  <c r="AO26" i="13"/>
  <c r="W27" i="13"/>
  <c r="AA28" i="13"/>
  <c r="I29" i="13"/>
  <c r="AE29" i="13"/>
  <c r="M30" i="13"/>
  <c r="AI30" i="13"/>
  <c r="Q31" i="13"/>
  <c r="AM31" i="13"/>
  <c r="U32" i="13"/>
  <c r="Y33" i="13"/>
  <c r="G34" i="13"/>
  <c r="AC34" i="13"/>
  <c r="K35" i="13"/>
  <c r="AG35" i="13"/>
  <c r="O36" i="13"/>
  <c r="AK36" i="13"/>
  <c r="S37" i="13"/>
  <c r="AO37" i="13"/>
  <c r="AE28" i="13"/>
  <c r="AG28" i="13"/>
  <c r="AE33" i="13"/>
  <c r="AF22" i="13"/>
  <c r="N34" i="13"/>
  <c r="O23" i="13"/>
  <c r="AM29" i="13"/>
  <c r="O34" i="13"/>
  <c r="AN29" i="13"/>
  <c r="Q23" i="13"/>
  <c r="AM34" i="13"/>
  <c r="AN23" i="13"/>
  <c r="R34" i="13"/>
  <c r="W35" i="13"/>
  <c r="P22" i="13"/>
  <c r="Y24" i="13"/>
  <c r="S28" i="13"/>
  <c r="Y35" i="13"/>
  <c r="X23" i="13"/>
  <c r="T33" i="13"/>
  <c r="AB35" i="13"/>
  <c r="H23" i="13"/>
  <c r="L24" i="13"/>
  <c r="P25" i="13"/>
  <c r="T26" i="13"/>
  <c r="J29" i="13"/>
  <c r="N30" i="13"/>
  <c r="R31" i="13"/>
  <c r="H34" i="13"/>
  <c r="L35" i="13"/>
  <c r="P36" i="13"/>
  <c r="T37" i="13"/>
  <c r="AA22" i="12"/>
  <c r="AC22" i="12"/>
  <c r="AE28" i="12"/>
  <c r="AF22" i="12"/>
  <c r="AK23" i="12"/>
  <c r="AI28" i="12"/>
  <c r="O34" i="12"/>
  <c r="P23" i="12"/>
  <c r="P28" i="12"/>
  <c r="AJ33" i="12"/>
  <c r="AO23" i="12"/>
  <c r="U29" i="12"/>
  <c r="AO34" i="12"/>
  <c r="T23" i="12"/>
  <c r="AN28" i="12"/>
  <c r="AL33" i="12"/>
  <c r="AM22" i="12"/>
  <c r="W29" i="12"/>
  <c r="AC36" i="12"/>
  <c r="S22" i="12"/>
  <c r="AE25" i="12"/>
  <c r="G30" i="12"/>
  <c r="T22" i="12"/>
  <c r="J25" i="12"/>
  <c r="L31" i="12"/>
  <c r="X34" i="12"/>
  <c r="U22" i="12"/>
  <c r="Y23" i="12"/>
  <c r="G24" i="12"/>
  <c r="AC24" i="12"/>
  <c r="K25" i="12"/>
  <c r="AG25" i="12"/>
  <c r="O26" i="12"/>
  <c r="AK26" i="12"/>
  <c r="S27" i="12"/>
  <c r="AO27" i="12"/>
  <c r="W28" i="12"/>
  <c r="AA29" i="12"/>
  <c r="I30" i="12"/>
  <c r="AE30" i="12"/>
  <c r="M31" i="12"/>
  <c r="AI31" i="12"/>
  <c r="Q32" i="12"/>
  <c r="AM32" i="12"/>
  <c r="U33" i="12"/>
  <c r="Y34" i="12"/>
  <c r="G35" i="12"/>
  <c r="AC35" i="12"/>
  <c r="K36" i="12"/>
  <c r="AG36" i="12"/>
  <c r="O37" i="12"/>
  <c r="AK37" i="12"/>
  <c r="AC33" i="12"/>
  <c r="H22" i="12"/>
  <c r="J28" i="12"/>
  <c r="AI23" i="12"/>
  <c r="AG28" i="12"/>
  <c r="M34" i="12"/>
  <c r="L28" i="12"/>
  <c r="K22" i="12"/>
  <c r="L22" i="12"/>
  <c r="N28" i="12"/>
  <c r="L33" i="12"/>
  <c r="AL34" i="12"/>
  <c r="O28" i="12"/>
  <c r="S29" i="12"/>
  <c r="Q34" i="12"/>
  <c r="R23" i="12"/>
  <c r="R34" i="12"/>
  <c r="S23" i="12"/>
  <c r="Y30" i="12"/>
  <c r="AK33" i="12"/>
  <c r="AP23" i="12"/>
  <c r="Q22" i="12"/>
  <c r="G25" i="12"/>
  <c r="AM33" i="12"/>
  <c r="V23" i="12"/>
  <c r="AD25" i="12"/>
  <c r="AP28" i="12"/>
  <c r="Z35" i="12"/>
  <c r="I25" i="12"/>
  <c r="I36" i="12"/>
  <c r="AP22" i="12"/>
  <c r="AD30" i="12"/>
  <c r="V22" i="12"/>
  <c r="Z23" i="12"/>
  <c r="H24" i="12"/>
  <c r="AD24" i="12"/>
  <c r="L25" i="12"/>
  <c r="AH25" i="12"/>
  <c r="P26" i="12"/>
  <c r="AL26" i="12"/>
  <c r="T27" i="12"/>
  <c r="AP27" i="12"/>
  <c r="X28" i="12"/>
  <c r="AB29" i="12"/>
  <c r="J30" i="12"/>
  <c r="AF30" i="12"/>
  <c r="N31" i="12"/>
  <c r="AJ31" i="12"/>
  <c r="R32" i="12"/>
  <c r="AN32" i="12"/>
  <c r="V33" i="12"/>
  <c r="Z34" i="12"/>
  <c r="H35" i="12"/>
  <c r="AD35" i="12"/>
  <c r="L36" i="12"/>
  <c r="AH36" i="12"/>
  <c r="P37" i="12"/>
  <c r="AL37" i="12"/>
  <c r="AB33" i="12"/>
  <c r="I28" i="12"/>
  <c r="G33" i="12"/>
  <c r="AF28" i="12"/>
  <c r="H33" i="12"/>
  <c r="AE33" i="12"/>
  <c r="N23" i="12"/>
  <c r="J33" i="12"/>
  <c r="N34" i="12"/>
  <c r="O23" i="12"/>
  <c r="Q29" i="12"/>
  <c r="AL23" i="12"/>
  <c r="R29" i="12"/>
  <c r="AI22" i="12"/>
  <c r="M33" i="12"/>
  <c r="U35" i="12"/>
  <c r="AN23" i="12"/>
  <c r="AL28" i="12"/>
  <c r="N33" i="12"/>
  <c r="V35" i="12"/>
  <c r="Q28" i="12"/>
  <c r="X24" i="12"/>
  <c r="U23" i="12"/>
  <c r="AC25" i="12"/>
  <c r="AO28" i="12"/>
  <c r="U34" i="12"/>
  <c r="Y35" i="12"/>
  <c r="Z24" i="12"/>
  <c r="AB30" i="12"/>
  <c r="R33" i="12"/>
  <c r="V34" i="12"/>
  <c r="AD36" i="12"/>
  <c r="AC30" i="12"/>
  <c r="W34" i="12"/>
  <c r="V28" i="12"/>
  <c r="Z29" i="12"/>
  <c r="AH31" i="12"/>
  <c r="AP33" i="12"/>
  <c r="AB35" i="12"/>
  <c r="W22" i="12"/>
  <c r="AA23" i="12"/>
  <c r="I24" i="12"/>
  <c r="AE24" i="12"/>
  <c r="M25" i="12"/>
  <c r="AI25" i="12"/>
  <c r="Q26" i="12"/>
  <c r="AM26" i="12"/>
  <c r="U27" i="12"/>
  <c r="Y28" i="12"/>
  <c r="G29" i="12"/>
  <c r="AC29" i="12"/>
  <c r="K30" i="12"/>
  <c r="AG30" i="12"/>
  <c r="O31" i="12"/>
  <c r="AK31" i="12"/>
  <c r="S32" i="12"/>
  <c r="AO32" i="12"/>
  <c r="W33" i="12"/>
  <c r="AA34" i="12"/>
  <c r="I35" i="12"/>
  <c r="AE35" i="12"/>
  <c r="M36" i="12"/>
  <c r="AI36" i="12"/>
  <c r="Q37" i="12"/>
  <c r="AM37" i="12"/>
  <c r="AB22" i="12"/>
  <c r="M23" i="12"/>
  <c r="AH28" i="12"/>
  <c r="AF33" i="12"/>
  <c r="AJ34" i="12"/>
  <c r="AK34" i="12"/>
  <c r="AN29" i="12"/>
  <c r="P34" i="12"/>
  <c r="Q23" i="12"/>
  <c r="AK28" i="12"/>
  <c r="AJ22" i="12"/>
  <c r="V24" i="12"/>
  <c r="AP29" i="12"/>
  <c r="O22" i="12"/>
  <c r="AL22" i="12"/>
  <c r="Z30" i="12"/>
  <c r="AP34" i="12"/>
  <c r="AA30" i="12"/>
  <c r="H25" i="12"/>
  <c r="X29" i="12"/>
  <c r="H36" i="12"/>
  <c r="AF25" i="12"/>
  <c r="J36" i="12"/>
  <c r="X22" i="12"/>
  <c r="AB23" i="12"/>
  <c r="J24" i="12"/>
  <c r="AF24" i="12"/>
  <c r="N25" i="12"/>
  <c r="AJ25" i="12"/>
  <c r="R26" i="12"/>
  <c r="AN26" i="12"/>
  <c r="V27" i="12"/>
  <c r="Z28" i="12"/>
  <c r="H29" i="12"/>
  <c r="AD29" i="12"/>
  <c r="L30" i="12"/>
  <c r="AH30" i="12"/>
  <c r="P31" i="12"/>
  <c r="AL31" i="12"/>
  <c r="T32" i="12"/>
  <c r="AP32" i="12"/>
  <c r="X33" i="12"/>
  <c r="AB34" i="12"/>
  <c r="J35" i="12"/>
  <c r="AF35" i="12"/>
  <c r="N36" i="12"/>
  <c r="AJ36" i="12"/>
  <c r="R37" i="12"/>
  <c r="AN37" i="12"/>
  <c r="AD22" i="12"/>
  <c r="I22" i="12"/>
  <c r="K28" i="12"/>
  <c r="J22" i="12"/>
  <c r="AJ23" i="12"/>
  <c r="AM29" i="12"/>
  <c r="K33" i="12"/>
  <c r="AH33" i="12"/>
  <c r="M22" i="12"/>
  <c r="U24" i="12"/>
  <c r="AO29" i="12"/>
  <c r="AM34" i="12"/>
  <c r="N22" i="12"/>
  <c r="T29" i="12"/>
  <c r="AN34" i="12"/>
  <c r="AK22" i="12"/>
  <c r="AM28" i="12"/>
  <c r="S34" i="12"/>
  <c r="P22" i="12"/>
  <c r="V29" i="12"/>
  <c r="P33" i="12"/>
  <c r="Y24" i="12"/>
  <c r="S28" i="12"/>
  <c r="R22" i="12"/>
  <c r="T28" i="12"/>
  <c r="W23" i="12"/>
  <c r="AA24" i="12"/>
  <c r="U28" i="12"/>
  <c r="Y29" i="12"/>
  <c r="AG31" i="12"/>
  <c r="S33" i="12"/>
  <c r="AA35" i="12"/>
  <c r="AB24" i="12"/>
  <c r="Y22" i="12"/>
  <c r="G23" i="12"/>
  <c r="AC23" i="12"/>
  <c r="K24" i="12"/>
  <c r="AG24" i="12"/>
  <c r="O25" i="12"/>
  <c r="AK25" i="12"/>
  <c r="S26" i="12"/>
  <c r="AO26" i="12"/>
  <c r="W27" i="12"/>
  <c r="AA28" i="12"/>
  <c r="I29" i="12"/>
  <c r="AE29" i="12"/>
  <c r="M30" i="12"/>
  <c r="AI30" i="12"/>
  <c r="Q31" i="12"/>
  <c r="AM31" i="12"/>
  <c r="U32" i="12"/>
  <c r="Y33" i="12"/>
  <c r="G34" i="12"/>
  <c r="AC34" i="12"/>
  <c r="K35" i="12"/>
  <c r="AG35" i="12"/>
  <c r="O36" i="12"/>
  <c r="AK36" i="12"/>
  <c r="S37" i="12"/>
  <c r="AO37" i="12"/>
  <c r="AA33" i="12"/>
  <c r="G22" i="12"/>
  <c r="AD33" i="12"/>
  <c r="AE22" i="12"/>
  <c r="I33" i="12"/>
  <c r="AI34" i="12"/>
  <c r="AG22" i="12"/>
  <c r="M28" i="12"/>
  <c r="AG33" i="12"/>
  <c r="AH22" i="12"/>
  <c r="AJ28" i="12"/>
  <c r="AM23" i="12"/>
  <c r="AI33" i="12"/>
  <c r="W24" i="12"/>
  <c r="O33" i="12"/>
  <c r="W35" i="12"/>
  <c r="R28" i="12"/>
  <c r="T34" i="12"/>
  <c r="X35" i="12"/>
  <c r="Q33" i="12"/>
  <c r="G36" i="12"/>
  <c r="AN22" i="12"/>
  <c r="AN33" i="12"/>
  <c r="AO22" i="12"/>
  <c r="K31" i="12"/>
  <c r="AO33" i="12"/>
  <c r="AE36" i="12"/>
  <c r="X23" i="12"/>
  <c r="H30" i="12"/>
  <c r="T33" i="12"/>
  <c r="AF36" i="12"/>
  <c r="H23" i="12"/>
  <c r="L24" i="12"/>
  <c r="P25" i="12"/>
  <c r="T26" i="12"/>
  <c r="J29" i="12"/>
  <c r="N30" i="12"/>
  <c r="R31" i="12"/>
  <c r="H34" i="12"/>
  <c r="L35" i="12"/>
  <c r="P36" i="12"/>
  <c r="T37" i="12"/>
  <c r="T24" i="9"/>
  <c r="T22" i="9"/>
  <c r="P24" i="9"/>
  <c r="L23" i="9"/>
  <c r="Q25" i="9"/>
  <c r="K23" i="9"/>
  <c r="P22" i="9"/>
  <c r="AE31" i="9"/>
  <c r="V24" i="9"/>
  <c r="X24" i="9"/>
  <c r="Y24" i="9"/>
  <c r="W24" i="9"/>
  <c r="Z24" i="9"/>
  <c r="AA24" i="9"/>
  <c r="AB24" i="9"/>
  <c r="AC24" i="9"/>
  <c r="AC31" i="9"/>
  <c r="AB31" i="9"/>
  <c r="Z23" i="9"/>
  <c r="AA31" i="9"/>
  <c r="S24" i="9"/>
  <c r="W23" i="9"/>
  <c r="V23" i="9"/>
  <c r="O31" i="9"/>
  <c r="L31" i="9"/>
  <c r="AF31" i="9"/>
  <c r="AB23" i="9"/>
  <c r="X25" i="9"/>
  <c r="V22" i="9"/>
  <c r="R31" i="9"/>
  <c r="Q24" i="9"/>
  <c r="AP24" i="9"/>
  <c r="L24" i="9"/>
  <c r="I23" i="9"/>
  <c r="N22" i="9"/>
  <c r="AD31" i="9"/>
  <c r="V25" i="9"/>
  <c r="Q31" i="9"/>
  <c r="U25" i="9"/>
  <c r="R22" i="9"/>
  <c r="G24" i="9"/>
  <c r="M31" i="9"/>
  <c r="O22" i="9"/>
  <c r="J31" i="9"/>
  <c r="AF29" i="9"/>
  <c r="M22" i="9"/>
  <c r="AK36" i="9"/>
  <c r="H36" i="9"/>
  <c r="AM31" i="9"/>
  <c r="I31" i="9"/>
  <c r="AE29" i="9"/>
  <c r="AB28" i="9"/>
  <c r="AN24" i="9"/>
  <c r="J24" i="9"/>
  <c r="AP22" i="9"/>
  <c r="L22" i="9"/>
  <c r="AC37" i="9"/>
  <c r="AD37" i="9"/>
  <c r="AF37" i="9"/>
  <c r="N37" i="9"/>
  <c r="H37" i="9"/>
  <c r="I37" i="9"/>
  <c r="AE37" i="9"/>
  <c r="J37" i="9"/>
  <c r="AJ37" i="9"/>
  <c r="K37" i="9"/>
  <c r="AG37" i="9"/>
  <c r="L37" i="9"/>
  <c r="AH37" i="9"/>
  <c r="M37" i="9"/>
  <c r="AI37" i="9"/>
  <c r="G37" i="9"/>
  <c r="AM37" i="9"/>
  <c r="AJ36" i="9"/>
  <c r="AP35" i="9"/>
  <c r="AL31" i="9"/>
  <c r="H31" i="9"/>
  <c r="AA28" i="9"/>
  <c r="AM24" i="9"/>
  <c r="I24" i="9"/>
  <c r="AO22" i="9"/>
  <c r="AH22" i="9"/>
  <c r="M23" i="9"/>
  <c r="AI23" i="9"/>
  <c r="O23" i="9"/>
  <c r="AK23" i="9"/>
  <c r="P23" i="9"/>
  <c r="N23" i="9"/>
  <c r="AJ23" i="9"/>
  <c r="AL23" i="9"/>
  <c r="Q23" i="9"/>
  <c r="AM23" i="9"/>
  <c r="R23" i="9"/>
  <c r="AN23" i="9"/>
  <c r="S23" i="9"/>
  <c r="AO23" i="9"/>
  <c r="T23" i="9"/>
  <c r="AP23" i="9"/>
  <c r="I25" i="9"/>
  <c r="AE25" i="9"/>
  <c r="AF25" i="9"/>
  <c r="AG25" i="9"/>
  <c r="AH25" i="9"/>
  <c r="J25" i="9"/>
  <c r="K25" i="9"/>
  <c r="L25" i="9"/>
  <c r="M25" i="9"/>
  <c r="AI25" i="9"/>
  <c r="N25" i="9"/>
  <c r="AJ25" i="9"/>
  <c r="O25" i="9"/>
  <c r="AK25" i="9"/>
  <c r="P25" i="9"/>
  <c r="AL25" i="9"/>
  <c r="W22" i="9"/>
  <c r="W25" i="9"/>
  <c r="U22" i="9"/>
  <c r="P31" i="9"/>
  <c r="N31" i="9"/>
  <c r="Q22" i="9"/>
  <c r="G23" i="9"/>
  <c r="M24" i="9"/>
  <c r="W29" i="9"/>
  <c r="X29" i="9"/>
  <c r="Y29" i="9"/>
  <c r="Z29" i="9"/>
  <c r="AA29" i="9"/>
  <c r="AB29" i="9"/>
  <c r="AC29" i="9"/>
  <c r="AD29" i="9"/>
  <c r="H29" i="9"/>
  <c r="F29" i="9" s="1"/>
  <c r="AN31" i="9"/>
  <c r="AO24" i="9"/>
  <c r="K24" i="9"/>
  <c r="H23" i="9"/>
  <c r="Z22" i="9"/>
  <c r="AB22" i="9"/>
  <c r="AA22" i="9"/>
  <c r="AC22" i="9"/>
  <c r="H22" i="9"/>
  <c r="AD22" i="9"/>
  <c r="I22" i="9"/>
  <c r="AE22" i="9"/>
  <c r="J22" i="9"/>
  <c r="AF22" i="9"/>
  <c r="K22" i="9"/>
  <c r="AG22" i="9"/>
  <c r="X22" i="9"/>
  <c r="U24" i="9"/>
  <c r="Y23" i="9"/>
  <c r="X23" i="9"/>
  <c r="R24" i="9"/>
  <c r="S22" i="9"/>
  <c r="S25" i="9"/>
  <c r="R25" i="9"/>
  <c r="H25" i="9"/>
  <c r="X34" i="9"/>
  <c r="Y34" i="9"/>
  <c r="Z34" i="9"/>
  <c r="AA34" i="9"/>
  <c r="G34" i="9"/>
  <c r="AE34" i="9"/>
  <c r="AB34" i="9"/>
  <c r="AC34" i="9"/>
  <c r="H34" i="9"/>
  <c r="AD34" i="9"/>
  <c r="I34" i="9"/>
  <c r="AB37" i="9"/>
  <c r="AJ34" i="9"/>
  <c r="X28" i="9"/>
  <c r="AJ24" i="9"/>
  <c r="AL22" i="9"/>
  <c r="AA37" i="9"/>
  <c r="AI34" i="9"/>
  <c r="R29" i="9"/>
  <c r="AD25" i="9"/>
  <c r="AI24" i="9"/>
  <c r="AF23" i="9"/>
  <c r="AK22" i="9"/>
  <c r="S31" i="9"/>
  <c r="AO31" i="9"/>
  <c r="G31" i="9"/>
  <c r="T31" i="9"/>
  <c r="AP31" i="9"/>
  <c r="V31" i="9"/>
  <c r="U31" i="9"/>
  <c r="W31" i="9"/>
  <c r="X31" i="9"/>
  <c r="Z31" i="9"/>
  <c r="Y31" i="9"/>
  <c r="Y22" i="9"/>
  <c r="AD24" i="9"/>
  <c r="T25" i="9"/>
  <c r="U23" i="9"/>
  <c r="G25" i="9"/>
  <c r="O24" i="9"/>
  <c r="J23" i="9"/>
  <c r="K31" i="9"/>
  <c r="N28" i="9"/>
  <c r="D28" i="9" s="1"/>
  <c r="AJ28" i="9"/>
  <c r="AK28" i="9"/>
  <c r="AL28" i="9"/>
  <c r="Q28" i="9"/>
  <c r="AM28" i="9"/>
  <c r="O28" i="9"/>
  <c r="P28" i="9"/>
  <c r="R28" i="9"/>
  <c r="AN28" i="9"/>
  <c r="S28" i="9"/>
  <c r="T28" i="9"/>
  <c r="AP28" i="9"/>
  <c r="U28" i="9"/>
  <c r="AO28" i="9"/>
  <c r="T36" i="9"/>
  <c r="AP36" i="9"/>
  <c r="U36" i="9"/>
  <c r="V36" i="9"/>
  <c r="W36" i="9"/>
  <c r="X36" i="9"/>
  <c r="Y36" i="9"/>
  <c r="G36" i="9"/>
  <c r="Z36" i="9"/>
  <c r="AI36" i="9"/>
  <c r="AK31" i="9"/>
  <c r="U29" i="9"/>
  <c r="D29" i="9" s="1"/>
  <c r="Z28" i="9"/>
  <c r="AO25" i="9"/>
  <c r="AL24" i="9"/>
  <c r="H24" i="9"/>
  <c r="AN22" i="9"/>
  <c r="K35" i="9"/>
  <c r="AG35" i="9"/>
  <c r="L35" i="9"/>
  <c r="M35" i="9"/>
  <c r="N35" i="9"/>
  <c r="R35" i="9"/>
  <c r="AH35" i="9"/>
  <c r="AI35" i="9"/>
  <c r="AJ35" i="9"/>
  <c r="O35" i="9"/>
  <c r="AK35" i="9"/>
  <c r="G35" i="9"/>
  <c r="P35" i="9"/>
  <c r="AL35" i="9"/>
  <c r="Q35" i="9"/>
  <c r="AM35" i="9"/>
  <c r="AN35" i="9"/>
  <c r="AK37" i="9"/>
  <c r="AH36" i="9"/>
  <c r="AF35" i="9"/>
  <c r="AJ31" i="9"/>
  <c r="T29" i="9"/>
  <c r="Y28" i="9"/>
  <c r="AN25" i="9"/>
  <c r="AK24" i="9"/>
  <c r="AH23" i="9"/>
  <c r="AE35" i="9"/>
  <c r="AI31" i="9"/>
  <c r="S29" i="9"/>
  <c r="AM25" i="9"/>
  <c r="AG23" i="9"/>
  <c r="O33" i="9"/>
  <c r="AK33" i="9"/>
  <c r="AL33" i="9"/>
  <c r="AM33" i="9"/>
  <c r="G33" i="9"/>
  <c r="AN33" i="9"/>
  <c r="P33" i="9"/>
  <c r="Q33" i="9"/>
  <c r="R33" i="9"/>
  <c r="S33" i="9"/>
  <c r="AO33" i="9"/>
  <c r="T33" i="9"/>
  <c r="AP33" i="9"/>
  <c r="U33" i="9"/>
  <c r="V33" i="9"/>
  <c r="AF36" i="9"/>
  <c r="AF33" i="9"/>
  <c r="AB32" i="9"/>
  <c r="AC32" i="9"/>
  <c r="H32" i="9"/>
  <c r="AE32" i="9"/>
  <c r="G32" i="9"/>
  <c r="AD32" i="9"/>
  <c r="I32" i="9"/>
  <c r="J32" i="9"/>
  <c r="AF32" i="9"/>
  <c r="K32" i="9"/>
  <c r="AG32" i="9"/>
  <c r="L32" i="9"/>
  <c r="AH32" i="9"/>
  <c r="AI32" i="9"/>
  <c r="M32" i="9"/>
  <c r="Z37" i="9"/>
  <c r="AE36" i="9"/>
  <c r="AC35" i="9"/>
  <c r="AH34" i="9"/>
  <c r="AE33" i="9"/>
  <c r="AJ32" i="9"/>
  <c r="AG31" i="9"/>
  <c r="Q29" i="9"/>
  <c r="V28" i="9"/>
  <c r="AC25" i="9"/>
  <c r="AH24" i="9"/>
  <c r="AE23" i="9"/>
  <c r="AJ22" i="9"/>
  <c r="X26" i="9"/>
  <c r="AF27" i="9"/>
  <c r="J27" i="9"/>
  <c r="W26" i="9"/>
  <c r="AJ30" i="9"/>
  <c r="N30" i="9"/>
  <c r="E30" i="9" s="1"/>
  <c r="AE27" i="9"/>
  <c r="I27" i="9"/>
  <c r="F27" i="9" s="1"/>
  <c r="V26" i="9"/>
  <c r="D26" i="9" s="1"/>
  <c r="AP26" i="9"/>
  <c r="AO26" i="9"/>
  <c r="S26" i="9"/>
  <c r="E26" i="9" s="1"/>
  <c r="AC27" i="9"/>
  <c r="T26" i="9"/>
  <c r="AB27" i="9"/>
  <c r="AF30" i="9"/>
  <c r="AN26" i="9"/>
  <c r="G22" i="9"/>
  <c r="E33" i="15" l="1"/>
  <c r="E32" i="15"/>
  <c r="F32" i="15"/>
  <c r="D32" i="15"/>
  <c r="D23" i="15"/>
  <c r="F23" i="15"/>
  <c r="E23" i="15"/>
  <c r="F37" i="15"/>
  <c r="D37" i="15"/>
  <c r="E37" i="15"/>
  <c r="F36" i="15"/>
  <c r="D36" i="15"/>
  <c r="E36" i="15"/>
  <c r="F35" i="15"/>
  <c r="E35" i="15"/>
  <c r="D35" i="15"/>
  <c r="D33" i="15"/>
  <c r="F33" i="15"/>
  <c r="F31" i="15"/>
  <c r="D31" i="15"/>
  <c r="E31" i="15"/>
  <c r="D26" i="15"/>
  <c r="E26" i="15"/>
  <c r="F26" i="15"/>
  <c r="F28" i="15"/>
  <c r="E28" i="15"/>
  <c r="D28" i="15"/>
  <c r="F30" i="15"/>
  <c r="E30" i="15"/>
  <c r="D30" i="15"/>
  <c r="F29" i="15"/>
  <c r="E29" i="15"/>
  <c r="D29" i="15"/>
  <c r="D22" i="15"/>
  <c r="F22" i="15"/>
  <c r="E22" i="15"/>
  <c r="E34" i="15"/>
  <c r="D34" i="15"/>
  <c r="F34" i="15"/>
  <c r="E24" i="15"/>
  <c r="D24" i="15"/>
  <c r="F24" i="15"/>
  <c r="E27" i="15"/>
  <c r="D27" i="15"/>
  <c r="F27" i="15"/>
  <c r="E25" i="15"/>
  <c r="D25" i="15"/>
  <c r="F25" i="15"/>
  <c r="F28" i="13"/>
  <c r="D28" i="13"/>
  <c r="E28" i="13"/>
  <c r="F24" i="13"/>
  <c r="E24" i="13"/>
  <c r="D24" i="13"/>
  <c r="D29" i="13"/>
  <c r="F29" i="13"/>
  <c r="E29" i="13"/>
  <c r="F27" i="13"/>
  <c r="D27" i="13"/>
  <c r="E27" i="13"/>
  <c r="E26" i="13"/>
  <c r="D26" i="13"/>
  <c r="F26" i="13"/>
  <c r="F23" i="13"/>
  <c r="E23" i="13"/>
  <c r="D23" i="13"/>
  <c r="F35" i="13"/>
  <c r="E35" i="13"/>
  <c r="D35" i="13"/>
  <c r="E37" i="13"/>
  <c r="D37" i="13"/>
  <c r="F37" i="13"/>
  <c r="E31" i="13"/>
  <c r="D31" i="13"/>
  <c r="F31" i="13"/>
  <c r="E30" i="13"/>
  <c r="F30" i="13"/>
  <c r="D30" i="13"/>
  <c r="D22" i="13"/>
  <c r="F22" i="13"/>
  <c r="E22" i="13"/>
  <c r="E36" i="13"/>
  <c r="D36" i="13"/>
  <c r="F36" i="13"/>
  <c r="F34" i="13"/>
  <c r="E34" i="13"/>
  <c r="D34" i="13"/>
  <c r="E25" i="13"/>
  <c r="F25" i="13"/>
  <c r="D25" i="13"/>
  <c r="D33" i="13"/>
  <c r="F33" i="13"/>
  <c r="E33" i="13"/>
  <c r="F32" i="13"/>
  <c r="D32" i="13"/>
  <c r="E32" i="13"/>
  <c r="E28" i="12"/>
  <c r="F28" i="12"/>
  <c r="D26" i="12"/>
  <c r="F26" i="12"/>
  <c r="E26" i="12"/>
  <c r="F29" i="12"/>
  <c r="E29" i="12"/>
  <c r="D29" i="12"/>
  <c r="D28" i="12"/>
  <c r="D37" i="12"/>
  <c r="E37" i="12"/>
  <c r="F37" i="12"/>
  <c r="F36" i="12"/>
  <c r="E36" i="12"/>
  <c r="D36" i="12"/>
  <c r="F23" i="12"/>
  <c r="E23" i="12"/>
  <c r="D23" i="12"/>
  <c r="F27" i="12"/>
  <c r="E27" i="12"/>
  <c r="D27" i="12"/>
  <c r="F32" i="12"/>
  <c r="E32" i="12"/>
  <c r="D32" i="12"/>
  <c r="F31" i="12"/>
  <c r="D31" i="12"/>
  <c r="E31" i="12"/>
  <c r="D33" i="12"/>
  <c r="E33" i="12"/>
  <c r="F33" i="12"/>
  <c r="F35" i="12"/>
  <c r="D35" i="12"/>
  <c r="E35" i="12"/>
  <c r="D22" i="12"/>
  <c r="E22" i="12"/>
  <c r="F22" i="12"/>
  <c r="F24" i="12"/>
  <c r="E24" i="12"/>
  <c r="D24" i="12"/>
  <c r="F34" i="12"/>
  <c r="E34" i="12"/>
  <c r="D34" i="12"/>
  <c r="F25" i="12"/>
  <c r="E25" i="12"/>
  <c r="D25" i="12"/>
  <c r="E30" i="12"/>
  <c r="D30" i="12"/>
  <c r="F30" i="12"/>
  <c r="F34" i="9"/>
  <c r="E34" i="9"/>
  <c r="D34" i="9"/>
  <c r="F26" i="9"/>
  <c r="E31" i="9"/>
  <c r="D31" i="9"/>
  <c r="F31" i="9"/>
  <c r="F36" i="9"/>
  <c r="D36" i="9"/>
  <c r="E36" i="9"/>
  <c r="F28" i="9"/>
  <c r="D30" i="9"/>
  <c r="F30" i="9"/>
  <c r="F37" i="9"/>
  <c r="D37" i="9"/>
  <c r="E37" i="9"/>
  <c r="F35" i="9"/>
  <c r="E35" i="9"/>
  <c r="D35" i="9"/>
  <c r="D25" i="9"/>
  <c r="E25" i="9"/>
  <c r="F25" i="9"/>
  <c r="D27" i="9"/>
  <c r="D32" i="9"/>
  <c r="E32" i="9"/>
  <c r="F32" i="9"/>
  <c r="F33" i="9"/>
  <c r="D33" i="9"/>
  <c r="E33" i="9"/>
  <c r="E29" i="9"/>
  <c r="D24" i="9"/>
  <c r="E24" i="9"/>
  <c r="F24" i="9"/>
  <c r="E27" i="9"/>
  <c r="E28" i="9"/>
  <c r="E22" i="9"/>
  <c r="D22" i="9"/>
  <c r="F22" i="9"/>
  <c r="D23" i="9"/>
  <c r="F23" i="9"/>
  <c r="E23" i="9"/>
</calcChain>
</file>

<file path=xl/sharedStrings.xml><?xml version="1.0" encoding="utf-8"?>
<sst xmlns="http://schemas.openxmlformats.org/spreadsheetml/2006/main" count="328" uniqueCount="17">
  <si>
    <t>data</t>
  </si>
  <si>
    <t xml:space="preserve"> io_1</t>
  </si>
  <si>
    <t xml:space="preserve"> io_2</t>
  </si>
  <si>
    <t xml:space="preserve"> io_3</t>
  </si>
  <si>
    <t xml:space="preserve"> io_4</t>
  </si>
  <si>
    <t xml:space="preserve"> io_5</t>
  </si>
  <si>
    <t xml:space="preserve"> io_6</t>
  </si>
  <si>
    <t xml:space="preserve"> io_7</t>
  </si>
  <si>
    <t xml:space="preserve"> io_8</t>
  </si>
  <si>
    <t xml:space="preserve"> io_9</t>
  </si>
  <si>
    <t xml:space="preserve"> io_10</t>
  </si>
  <si>
    <t xml:space="preserve"> io_11</t>
  </si>
  <si>
    <t xml:space="preserve"> io_12</t>
  </si>
  <si>
    <t>min</t>
    <phoneticPr fontId="1" type="noConversion"/>
  </si>
  <si>
    <t>max</t>
    <phoneticPr fontId="1" type="noConversion"/>
  </si>
  <si>
    <t>avg</t>
    <phoneticPr fontId="1" type="noConversion"/>
  </si>
  <si>
    <t>ideal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</si>
</sst>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0" fontId="0" fillId="0" borderId="0" xfId="1" applyNumberFormat="1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F9F3-A916-43E3-918D-29494DE27E0F}">
  <dimension ref="B1:E3"/>
  <sheetViews>
    <sheetView workbookViewId="0">
      <selection activeCell="J6" sqref="J6"/>
    </sheetView>
  </sheetViews>
  <sheetFormatPr defaultRowHeight="17" x14ac:dyDescent="0.45"/>
  <sheetData>
    <row r="1" spans="2:5" x14ac:dyDescent="0.45">
      <c r="C1">
        <v>800</v>
      </c>
      <c r="D1">
        <v>3000</v>
      </c>
    </row>
    <row r="2" spans="2:5" x14ac:dyDescent="0.45">
      <c r="B2">
        <v>8</v>
      </c>
      <c r="C2" s="5">
        <f>$B2*C$1/4095</f>
        <v>1.5628815628815629</v>
      </c>
      <c r="D2" s="5">
        <f>$B2*D$1/4095</f>
        <v>5.8608058608058604</v>
      </c>
      <c r="E2" s="5">
        <f>D2-C2</f>
        <v>4.2979242979242978</v>
      </c>
    </row>
    <row r="3" spans="2:5" x14ac:dyDescent="0.45">
      <c r="B3">
        <v>32</v>
      </c>
      <c r="C3" s="5">
        <f>$B3*C$1/4095</f>
        <v>6.2515262515262515</v>
      </c>
      <c r="D3" s="5">
        <f>$B3*D$1/4095</f>
        <v>23.443223443223442</v>
      </c>
      <c r="E3" s="5">
        <f>D3-C3</f>
        <v>17.191697191697191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34CA-26C2-44F2-A7F0-EB66496617B6}">
  <dimension ref="B2:AP40"/>
  <sheetViews>
    <sheetView zoomScale="70" zoomScaleNormal="70" workbookViewId="0">
      <selection activeCell="H39" sqref="H39"/>
    </sheetView>
  </sheetViews>
  <sheetFormatPr defaultRowHeight="17" x14ac:dyDescent="0.45"/>
  <cols>
    <col min="2" max="2" width="8.6640625" customWidth="1"/>
  </cols>
  <sheetData>
    <row r="2" spans="2:42" x14ac:dyDescent="0.45">
      <c r="B2" t="s">
        <v>16</v>
      </c>
      <c r="C2" s="2" t="s">
        <v>0</v>
      </c>
      <c r="D2" s="2" t="s">
        <v>13</v>
      </c>
      <c r="E2" s="2" t="s">
        <v>14</v>
      </c>
      <c r="F2" s="2" t="s">
        <v>15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  <c r="AE2" s="2" t="s">
        <v>1</v>
      </c>
      <c r="AF2" s="2" t="s">
        <v>2</v>
      </c>
      <c r="AG2" s="2" t="s">
        <v>3</v>
      </c>
      <c r="AH2" s="2" t="s">
        <v>4</v>
      </c>
      <c r="AI2" s="2" t="s">
        <v>5</v>
      </c>
      <c r="AJ2" s="2" t="s">
        <v>6</v>
      </c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</row>
    <row r="3" spans="2:42" x14ac:dyDescent="0.45">
      <c r="B3" s="6">
        <f t="shared" ref="B3:B10" si="0">8*C3/4095</f>
        <v>0.68962148962148961</v>
      </c>
      <c r="C3" s="3">
        <v>353</v>
      </c>
      <c r="D3" s="5">
        <f>MIN(G3:AP3)</f>
        <v>0.67</v>
      </c>
      <c r="E3" s="5">
        <f>MAX(G3:AP3)</f>
        <v>0.77900000000000003</v>
      </c>
      <c r="F3" s="5">
        <f>AVERAGE(G3:AP3)</f>
        <v>0.71655555555555572</v>
      </c>
      <c r="G3">
        <v>0.73399999999999999</v>
      </c>
      <c r="H3">
        <v>0.73899999999999999</v>
      </c>
      <c r="I3">
        <v>0.76700000000000002</v>
      </c>
      <c r="J3">
        <v>0.75900000000000001</v>
      </c>
      <c r="K3">
        <v>0.72099999999999997</v>
      </c>
      <c r="L3">
        <v>0.68300000000000005</v>
      </c>
      <c r="M3">
        <v>0.754</v>
      </c>
      <c r="N3">
        <v>0.73199999999999998</v>
      </c>
      <c r="O3">
        <v>0.72699999999999998</v>
      </c>
      <c r="P3">
        <v>0.69899999999999995</v>
      </c>
      <c r="Q3">
        <v>0.75</v>
      </c>
      <c r="R3">
        <v>0.752</v>
      </c>
      <c r="S3">
        <v>0.70699999999999996</v>
      </c>
      <c r="T3">
        <v>0.69399999999999995</v>
      </c>
      <c r="U3">
        <v>0.67</v>
      </c>
      <c r="V3">
        <v>0.67600000000000005</v>
      </c>
      <c r="W3">
        <v>0.69899999999999995</v>
      </c>
      <c r="X3">
        <v>0.67400000000000004</v>
      </c>
      <c r="Y3">
        <v>0.68100000000000005</v>
      </c>
      <c r="Z3">
        <v>0.73</v>
      </c>
      <c r="AA3">
        <v>0.69899999999999995</v>
      </c>
      <c r="AB3">
        <v>0.68700000000000006</v>
      </c>
      <c r="AC3">
        <v>0.70699999999999996</v>
      </c>
      <c r="AD3">
        <v>0.71599999999999997</v>
      </c>
      <c r="AE3">
        <v>0.71399999999999997</v>
      </c>
      <c r="AF3">
        <v>0.69899999999999995</v>
      </c>
      <c r="AG3">
        <v>0.70299999999999996</v>
      </c>
      <c r="AH3">
        <v>0.70299999999999996</v>
      </c>
      <c r="AI3">
        <v>0.72499999999999998</v>
      </c>
      <c r="AJ3">
        <v>0.69599999999999995</v>
      </c>
      <c r="AK3">
        <v>0.73399999999999999</v>
      </c>
      <c r="AL3">
        <v>0.69399999999999995</v>
      </c>
      <c r="AM3">
        <v>0.73399999999999999</v>
      </c>
      <c r="AN3">
        <v>0.72799999999999998</v>
      </c>
      <c r="AO3">
        <v>0.73</v>
      </c>
      <c r="AP3">
        <v>0.77900000000000003</v>
      </c>
    </row>
    <row r="4" spans="2:42" x14ac:dyDescent="0.45">
      <c r="B4" s="6">
        <f t="shared" si="0"/>
        <v>0.98656898656898662</v>
      </c>
      <c r="C4" s="3">
        <v>505</v>
      </c>
      <c r="D4" s="5">
        <f t="shared" ref="D4:D18" si="1">MIN(G4:AP4)</f>
        <v>0.96599999999999997</v>
      </c>
      <c r="E4" s="5">
        <f t="shared" ref="E4:E18" si="2">MAX(G4:AP4)</f>
        <v>1.0880000000000001</v>
      </c>
      <c r="F4" s="5">
        <f t="shared" ref="F4:F18" si="3">AVERAGE(G4:AP4)</f>
        <v>1.0131666666666668</v>
      </c>
      <c r="G4">
        <v>1.028</v>
      </c>
      <c r="H4">
        <v>1.0369999999999999</v>
      </c>
      <c r="I4">
        <v>1.0660000000000001</v>
      </c>
      <c r="J4">
        <v>1.0569999999999999</v>
      </c>
      <c r="K4">
        <v>1.012</v>
      </c>
      <c r="L4">
        <v>0.97199999999999998</v>
      </c>
      <c r="M4">
        <v>1.054</v>
      </c>
      <c r="N4">
        <v>1.028</v>
      </c>
      <c r="O4">
        <v>1.0189999999999999</v>
      </c>
      <c r="P4">
        <v>0.98099999999999998</v>
      </c>
      <c r="Q4">
        <v>1.052</v>
      </c>
      <c r="R4">
        <v>1.05</v>
      </c>
      <c r="S4">
        <v>1.008</v>
      </c>
      <c r="T4">
        <v>0.99399999999999999</v>
      </c>
      <c r="U4">
        <v>0.96599999999999997</v>
      </c>
      <c r="V4">
        <v>0.97199999999999998</v>
      </c>
      <c r="W4">
        <v>0.997</v>
      </c>
      <c r="X4">
        <v>0.97199999999999998</v>
      </c>
      <c r="Y4">
        <v>0.97899999999999998</v>
      </c>
      <c r="Z4">
        <v>1.0349999999999999</v>
      </c>
      <c r="AA4">
        <v>0.997</v>
      </c>
      <c r="AB4">
        <v>0.98299999999999998</v>
      </c>
      <c r="AC4">
        <v>1.006</v>
      </c>
      <c r="AD4">
        <v>1.0169999999999999</v>
      </c>
      <c r="AE4">
        <v>1.01</v>
      </c>
      <c r="AF4">
        <v>0.99199999999999999</v>
      </c>
      <c r="AG4">
        <v>0.99399999999999999</v>
      </c>
      <c r="AH4">
        <v>0.997</v>
      </c>
      <c r="AI4">
        <v>1.0229999999999999</v>
      </c>
      <c r="AJ4">
        <v>0.98499999999999999</v>
      </c>
      <c r="AK4">
        <v>1.032</v>
      </c>
      <c r="AL4">
        <v>0.98299999999999998</v>
      </c>
      <c r="AM4">
        <v>1.034</v>
      </c>
      <c r="AN4">
        <v>1.026</v>
      </c>
      <c r="AO4">
        <v>1.028</v>
      </c>
      <c r="AP4">
        <v>1.0880000000000001</v>
      </c>
    </row>
    <row r="5" spans="2:42" x14ac:dyDescent="0.45">
      <c r="B5" s="6">
        <f t="shared" si="0"/>
        <v>1.5628815628815629</v>
      </c>
      <c r="C5" s="3">
        <v>800</v>
      </c>
      <c r="D5" s="5">
        <f t="shared" si="1"/>
        <v>1.5389999999999999</v>
      </c>
      <c r="E5" s="5">
        <f t="shared" si="2"/>
        <v>1.68</v>
      </c>
      <c r="F5" s="5">
        <f t="shared" si="3"/>
        <v>1.5931388888888884</v>
      </c>
      <c r="G5">
        <v>1.613</v>
      </c>
      <c r="H5">
        <v>1.6279999999999999</v>
      </c>
      <c r="I5">
        <v>1.657</v>
      </c>
      <c r="J5">
        <v>1.6479999999999999</v>
      </c>
      <c r="K5">
        <v>1.593</v>
      </c>
      <c r="L5">
        <v>1.55</v>
      </c>
      <c r="M5">
        <v>1.6439999999999999</v>
      </c>
      <c r="N5">
        <v>1.611</v>
      </c>
      <c r="O5">
        <v>1.6040000000000001</v>
      </c>
      <c r="P5">
        <v>1.548</v>
      </c>
      <c r="Q5">
        <v>1.639</v>
      </c>
      <c r="R5">
        <v>1.639</v>
      </c>
      <c r="S5">
        <v>1.593</v>
      </c>
      <c r="T5">
        <v>1.575</v>
      </c>
      <c r="U5">
        <v>1.5389999999999999</v>
      </c>
      <c r="V5">
        <v>1.546</v>
      </c>
      <c r="W5">
        <v>1.575</v>
      </c>
      <c r="X5">
        <v>1.548</v>
      </c>
      <c r="Y5">
        <v>1.5509999999999999</v>
      </c>
      <c r="Z5">
        <v>1.6220000000000001</v>
      </c>
      <c r="AA5">
        <v>1.575</v>
      </c>
      <c r="AB5">
        <v>1.5569999999999999</v>
      </c>
      <c r="AC5">
        <v>1.5860000000000001</v>
      </c>
      <c r="AD5">
        <v>1.6</v>
      </c>
      <c r="AE5">
        <v>1.5860000000000001</v>
      </c>
      <c r="AF5">
        <v>1.5589999999999999</v>
      </c>
      <c r="AG5">
        <v>1.56</v>
      </c>
      <c r="AH5">
        <v>1.571</v>
      </c>
      <c r="AI5">
        <v>1.6080000000000001</v>
      </c>
      <c r="AJ5">
        <v>1.5509999999999999</v>
      </c>
      <c r="AK5">
        <v>1.611</v>
      </c>
      <c r="AL5">
        <v>1.5549999999999999</v>
      </c>
      <c r="AM5">
        <v>1.615</v>
      </c>
      <c r="AN5">
        <v>1.6080000000000001</v>
      </c>
      <c r="AO5">
        <v>1.6080000000000001</v>
      </c>
      <c r="AP5">
        <v>1.68</v>
      </c>
    </row>
    <row r="6" spans="2:42" x14ac:dyDescent="0.45">
      <c r="B6" s="6">
        <f t="shared" si="0"/>
        <v>4.2979242979242978</v>
      </c>
      <c r="C6" s="3">
        <v>2200</v>
      </c>
      <c r="D6" s="5">
        <f t="shared" si="1"/>
        <v>4.2649999999999997</v>
      </c>
      <c r="E6" s="5">
        <f t="shared" si="2"/>
        <v>4.4269999999999996</v>
      </c>
      <c r="F6" s="5">
        <f t="shared" si="3"/>
        <v>4.3248055555555549</v>
      </c>
      <c r="G6">
        <v>4.3579999999999997</v>
      </c>
      <c r="H6">
        <v>4.3600000000000003</v>
      </c>
      <c r="I6">
        <v>4.4029999999999996</v>
      </c>
      <c r="J6">
        <v>4.3940000000000001</v>
      </c>
      <c r="K6">
        <v>4.3289999999999997</v>
      </c>
      <c r="L6">
        <v>4.274</v>
      </c>
      <c r="M6">
        <v>4.383</v>
      </c>
      <c r="N6">
        <v>4.3470000000000004</v>
      </c>
      <c r="O6">
        <v>4.3419999999999996</v>
      </c>
      <c r="P6">
        <v>4.2759999999999998</v>
      </c>
      <c r="Q6">
        <v>4.3819999999999997</v>
      </c>
      <c r="R6">
        <v>4.3730000000000002</v>
      </c>
      <c r="S6">
        <v>4.3289999999999997</v>
      </c>
      <c r="T6">
        <v>4.3140000000000001</v>
      </c>
      <c r="U6">
        <v>4.2709999999999999</v>
      </c>
      <c r="V6">
        <v>4.2759999999999998</v>
      </c>
      <c r="W6">
        <v>4.3029999999999999</v>
      </c>
      <c r="X6">
        <v>4.2779999999999996</v>
      </c>
      <c r="Y6">
        <v>4.2759999999999998</v>
      </c>
      <c r="Z6">
        <v>4.3650000000000002</v>
      </c>
      <c r="AA6">
        <v>4.3049999999999997</v>
      </c>
      <c r="AB6">
        <v>4.2889999999999997</v>
      </c>
      <c r="AC6">
        <v>4.3159999999999998</v>
      </c>
      <c r="AD6">
        <v>4.3330000000000002</v>
      </c>
      <c r="AE6">
        <v>4.3179999999999996</v>
      </c>
      <c r="AF6">
        <v>4.2759999999999998</v>
      </c>
      <c r="AG6">
        <v>4.2729999999999997</v>
      </c>
      <c r="AH6">
        <v>4.298</v>
      </c>
      <c r="AI6">
        <v>4.3339999999999996</v>
      </c>
      <c r="AJ6">
        <v>4.2649999999999997</v>
      </c>
      <c r="AK6">
        <v>4.3360000000000003</v>
      </c>
      <c r="AL6">
        <v>4.2729999999999997</v>
      </c>
      <c r="AM6">
        <v>4.351</v>
      </c>
      <c r="AN6">
        <v>4.3330000000000002</v>
      </c>
      <c r="AO6">
        <v>4.3330000000000002</v>
      </c>
      <c r="AP6">
        <v>4.4269999999999996</v>
      </c>
    </row>
    <row r="7" spans="2:42" x14ac:dyDescent="0.45">
      <c r="B7" s="6">
        <f t="shared" si="0"/>
        <v>5.8608058608058604</v>
      </c>
      <c r="C7" s="3">
        <v>3000</v>
      </c>
      <c r="D7" s="5">
        <f t="shared" si="1"/>
        <v>5.8289999999999997</v>
      </c>
      <c r="E7" s="5">
        <f t="shared" si="2"/>
        <v>5.9660000000000002</v>
      </c>
      <c r="F7" s="5">
        <f t="shared" si="3"/>
        <v>5.8836666666666657</v>
      </c>
      <c r="G7">
        <v>5.9180000000000001</v>
      </c>
      <c r="H7">
        <v>5.9020000000000001</v>
      </c>
      <c r="I7">
        <v>5.9660000000000002</v>
      </c>
      <c r="J7">
        <v>5.9489999999999998</v>
      </c>
      <c r="K7">
        <v>5.8890000000000002</v>
      </c>
      <c r="L7">
        <v>5.8380000000000001</v>
      </c>
      <c r="M7">
        <v>5.9329999999999998</v>
      </c>
      <c r="N7">
        <v>5.9089999999999998</v>
      </c>
      <c r="O7">
        <v>5.9</v>
      </c>
      <c r="P7">
        <v>5.8730000000000002</v>
      </c>
      <c r="Q7">
        <v>5.9349999999999996</v>
      </c>
      <c r="R7">
        <v>5.9219999999999997</v>
      </c>
      <c r="S7">
        <v>5.8860000000000001</v>
      </c>
      <c r="T7">
        <v>5.8710000000000004</v>
      </c>
      <c r="U7">
        <v>5.8289999999999997</v>
      </c>
      <c r="V7">
        <v>5.8369999999999997</v>
      </c>
      <c r="W7">
        <v>5.8620000000000001</v>
      </c>
      <c r="X7">
        <v>5.8289999999999997</v>
      </c>
      <c r="Y7">
        <v>5.8289999999999997</v>
      </c>
      <c r="Z7">
        <v>5.9180000000000001</v>
      </c>
      <c r="AA7">
        <v>5.8570000000000002</v>
      </c>
      <c r="AB7">
        <v>5.8460000000000001</v>
      </c>
      <c r="AC7">
        <v>5.8689999999999998</v>
      </c>
      <c r="AD7">
        <v>5.8879999999999999</v>
      </c>
      <c r="AE7">
        <v>5.8730000000000002</v>
      </c>
      <c r="AF7">
        <v>5.8529999999999998</v>
      </c>
      <c r="AG7">
        <v>5.8490000000000002</v>
      </c>
      <c r="AH7">
        <v>5.8579999999999997</v>
      </c>
      <c r="AI7">
        <v>5.8970000000000002</v>
      </c>
      <c r="AJ7">
        <v>5.8460000000000001</v>
      </c>
      <c r="AK7">
        <v>5.8879999999999999</v>
      </c>
      <c r="AL7">
        <v>5.8460000000000001</v>
      </c>
      <c r="AM7">
        <v>5.9080000000000004</v>
      </c>
      <c r="AN7">
        <v>5.8890000000000002</v>
      </c>
      <c r="AO7">
        <v>5.8840000000000003</v>
      </c>
      <c r="AP7">
        <v>5.9660000000000002</v>
      </c>
    </row>
    <row r="8" spans="2:42" x14ac:dyDescent="0.45">
      <c r="B8" s="6">
        <f t="shared" si="0"/>
        <v>6.233943833943834</v>
      </c>
      <c r="C8" s="3">
        <v>3191</v>
      </c>
      <c r="D8" s="5">
        <f t="shared" si="1"/>
        <v>6.2039999999999997</v>
      </c>
      <c r="E8" s="5">
        <f t="shared" si="2"/>
        <v>6.34</v>
      </c>
      <c r="F8" s="5">
        <f t="shared" si="3"/>
        <v>6.2595277777777767</v>
      </c>
      <c r="G8">
        <v>6.2910000000000004</v>
      </c>
      <c r="H8">
        <v>6.2640000000000002</v>
      </c>
      <c r="I8">
        <v>6.34</v>
      </c>
      <c r="J8">
        <v>6.3250000000000002</v>
      </c>
      <c r="K8">
        <v>6.26</v>
      </c>
      <c r="L8">
        <v>6.2089999999999996</v>
      </c>
      <c r="M8">
        <v>6.3040000000000003</v>
      </c>
      <c r="N8">
        <v>6.2850000000000001</v>
      </c>
      <c r="O8">
        <v>6.274</v>
      </c>
      <c r="P8">
        <v>6.2560000000000002</v>
      </c>
      <c r="Q8">
        <v>6.3049999999999997</v>
      </c>
      <c r="R8">
        <v>6.2930000000000001</v>
      </c>
      <c r="S8">
        <v>6.2619999999999996</v>
      </c>
      <c r="T8">
        <v>6.2489999999999997</v>
      </c>
      <c r="U8">
        <v>6.2130000000000001</v>
      </c>
      <c r="V8">
        <v>6.2149999999999999</v>
      </c>
      <c r="W8">
        <v>6.2439999999999998</v>
      </c>
      <c r="X8">
        <v>6.2039999999999997</v>
      </c>
      <c r="Y8">
        <v>6.2039999999999997</v>
      </c>
      <c r="Z8">
        <v>6.2869999999999999</v>
      </c>
      <c r="AA8">
        <v>6.2329999999999997</v>
      </c>
      <c r="AB8">
        <v>6.2270000000000003</v>
      </c>
      <c r="AC8">
        <v>6.2450000000000001</v>
      </c>
      <c r="AD8">
        <v>6.2539999999999996</v>
      </c>
      <c r="AE8">
        <v>6.2510000000000003</v>
      </c>
      <c r="AF8">
        <v>6.2380000000000004</v>
      </c>
      <c r="AG8">
        <v>6.2359999999999998</v>
      </c>
      <c r="AH8">
        <v>6.2329999999999997</v>
      </c>
      <c r="AI8">
        <v>6.2709999999999999</v>
      </c>
      <c r="AJ8">
        <v>6.2249999999999996</v>
      </c>
      <c r="AK8">
        <v>6.2670000000000003</v>
      </c>
      <c r="AL8">
        <v>6.2270000000000003</v>
      </c>
      <c r="AM8">
        <v>6.2869999999999999</v>
      </c>
      <c r="AN8">
        <v>6.2649999999999997</v>
      </c>
      <c r="AO8">
        <v>6.26</v>
      </c>
      <c r="AP8">
        <v>6.34</v>
      </c>
    </row>
    <row r="9" spans="2:42" x14ac:dyDescent="0.45">
      <c r="B9" s="6">
        <f t="shared" si="0"/>
        <v>6.4</v>
      </c>
      <c r="C9" s="3">
        <v>3276</v>
      </c>
      <c r="D9" s="5">
        <f t="shared" si="1"/>
        <v>6.367</v>
      </c>
      <c r="E9" s="5">
        <f t="shared" si="2"/>
        <v>6.5</v>
      </c>
      <c r="F9" s="5">
        <f t="shared" si="3"/>
        <v>6.4237500000000001</v>
      </c>
      <c r="G9">
        <v>6.4560000000000004</v>
      </c>
      <c r="H9">
        <v>6.4219999999999997</v>
      </c>
      <c r="I9">
        <v>6.4980000000000002</v>
      </c>
      <c r="J9">
        <v>6.4850000000000003</v>
      </c>
      <c r="K9">
        <v>6.423</v>
      </c>
      <c r="L9">
        <v>6.3730000000000002</v>
      </c>
      <c r="M9">
        <v>6.4630000000000001</v>
      </c>
      <c r="N9">
        <v>6.44</v>
      </c>
      <c r="O9">
        <v>6.4340000000000002</v>
      </c>
      <c r="P9">
        <v>6.4290000000000003</v>
      </c>
      <c r="Q9">
        <v>6.4669999999999996</v>
      </c>
      <c r="R9">
        <v>6.4509999999999996</v>
      </c>
      <c r="S9">
        <v>6.431</v>
      </c>
      <c r="T9">
        <v>6.4109999999999996</v>
      </c>
      <c r="U9">
        <v>6.3760000000000003</v>
      </c>
      <c r="V9">
        <v>6.3760000000000003</v>
      </c>
      <c r="W9">
        <v>6.407</v>
      </c>
      <c r="X9">
        <v>6.367</v>
      </c>
      <c r="Y9">
        <v>6.3689999999999998</v>
      </c>
      <c r="Z9">
        <v>6.4509999999999996</v>
      </c>
      <c r="AA9">
        <v>6.4</v>
      </c>
      <c r="AB9">
        <v>6.3869999999999996</v>
      </c>
      <c r="AC9">
        <v>6.4089999999999998</v>
      </c>
      <c r="AD9">
        <v>6.4219999999999997</v>
      </c>
      <c r="AE9">
        <v>6.4219999999999997</v>
      </c>
      <c r="AF9">
        <v>6.407</v>
      </c>
      <c r="AG9">
        <v>6.4109999999999996</v>
      </c>
      <c r="AH9">
        <v>6.4</v>
      </c>
      <c r="AI9">
        <v>6.4379999999999997</v>
      </c>
      <c r="AJ9">
        <v>6.4</v>
      </c>
      <c r="AK9">
        <v>6.4329999999999998</v>
      </c>
      <c r="AL9">
        <v>6.3890000000000002</v>
      </c>
      <c r="AM9">
        <v>6.4560000000000004</v>
      </c>
      <c r="AN9">
        <v>6.4269999999999996</v>
      </c>
      <c r="AO9">
        <v>6.4249999999999998</v>
      </c>
      <c r="AP9">
        <v>6.5</v>
      </c>
    </row>
    <row r="10" spans="2:42" x14ac:dyDescent="0.45">
      <c r="B10" s="6">
        <f t="shared" si="0"/>
        <v>8</v>
      </c>
      <c r="C10" s="3">
        <v>4095</v>
      </c>
      <c r="D10" s="5">
        <f t="shared" si="1"/>
        <v>7.944</v>
      </c>
      <c r="E10" s="5">
        <f t="shared" si="2"/>
        <v>8.1</v>
      </c>
      <c r="F10" s="5">
        <f t="shared" si="3"/>
        <v>8.0163888888888888</v>
      </c>
      <c r="G10">
        <v>8.0459999999999994</v>
      </c>
      <c r="H10">
        <v>8.0069999999999997</v>
      </c>
      <c r="I10">
        <v>8.0890000000000004</v>
      </c>
      <c r="J10">
        <v>8.0779999999999994</v>
      </c>
      <c r="K10">
        <v>8.0459999999999994</v>
      </c>
      <c r="L10">
        <v>7.9729999999999999</v>
      </c>
      <c r="M10">
        <v>8.0459999999999994</v>
      </c>
      <c r="N10">
        <v>8.0329999999999995</v>
      </c>
      <c r="O10">
        <v>8.0259999999999998</v>
      </c>
      <c r="P10">
        <v>8.1</v>
      </c>
      <c r="Q10">
        <v>8.06</v>
      </c>
      <c r="R10">
        <v>8.0239999999999991</v>
      </c>
      <c r="S10">
        <v>8.0150000000000006</v>
      </c>
      <c r="T10">
        <v>8.0020000000000007</v>
      </c>
      <c r="U10">
        <v>7.9729999999999999</v>
      </c>
      <c r="V10">
        <v>7.9710000000000001</v>
      </c>
      <c r="W10">
        <v>8</v>
      </c>
      <c r="X10">
        <v>7.944</v>
      </c>
      <c r="Y10">
        <v>7.9550000000000001</v>
      </c>
      <c r="Z10">
        <v>8.0259999999999998</v>
      </c>
      <c r="AA10">
        <v>7.984</v>
      </c>
      <c r="AB10">
        <v>7.9859999999999998</v>
      </c>
      <c r="AC10">
        <v>7.9930000000000003</v>
      </c>
      <c r="AD10">
        <v>7.9950000000000001</v>
      </c>
      <c r="AE10">
        <v>8.0129999999999999</v>
      </c>
      <c r="AF10">
        <v>8.0259999999999998</v>
      </c>
      <c r="AG10">
        <v>8.0440000000000005</v>
      </c>
      <c r="AH10">
        <v>7.9870000000000001</v>
      </c>
      <c r="AI10">
        <v>8.0220000000000002</v>
      </c>
      <c r="AJ10">
        <v>8.0220000000000002</v>
      </c>
      <c r="AK10">
        <v>8.0150000000000006</v>
      </c>
      <c r="AL10">
        <v>7.9950000000000001</v>
      </c>
      <c r="AM10">
        <v>8.0399999999999991</v>
      </c>
      <c r="AN10">
        <v>8.0069999999999997</v>
      </c>
      <c r="AO10">
        <v>7.9980000000000002</v>
      </c>
      <c r="AP10">
        <v>8.0489999999999995</v>
      </c>
    </row>
    <row r="11" spans="2:42" x14ac:dyDescent="0.45">
      <c r="B11" s="6">
        <f t="shared" ref="B11:B18" si="4">32*C11/4095</f>
        <v>2.7584859584859585</v>
      </c>
      <c r="C11" s="4">
        <v>353</v>
      </c>
      <c r="D11" s="5">
        <f t="shared" si="1"/>
        <v>2.6269999999999998</v>
      </c>
      <c r="E11" s="5">
        <f t="shared" si="2"/>
        <v>3.081</v>
      </c>
      <c r="F11" s="5">
        <f t="shared" si="3"/>
        <v>2.8374166666666665</v>
      </c>
      <c r="G11">
        <v>2.9140000000000001</v>
      </c>
      <c r="H11">
        <v>2.9830000000000001</v>
      </c>
      <c r="I11">
        <v>2.956</v>
      </c>
      <c r="J11">
        <v>2.9590000000000001</v>
      </c>
      <c r="K11">
        <v>2.847</v>
      </c>
      <c r="L11">
        <v>2.8159999999999998</v>
      </c>
      <c r="M11">
        <v>2.99</v>
      </c>
      <c r="N11">
        <v>2.883</v>
      </c>
      <c r="O11">
        <v>2.91</v>
      </c>
      <c r="P11">
        <v>2.6269999999999998</v>
      </c>
      <c r="Q11">
        <v>2.948</v>
      </c>
      <c r="R11">
        <v>2.9849999999999999</v>
      </c>
      <c r="S11">
        <v>2.7879999999999998</v>
      </c>
      <c r="T11">
        <v>2.77</v>
      </c>
      <c r="U11">
        <v>2.698</v>
      </c>
      <c r="V11">
        <v>2.7189999999999999</v>
      </c>
      <c r="W11">
        <v>2.734</v>
      </c>
      <c r="X11">
        <v>2.7559999999999998</v>
      </c>
      <c r="Y11">
        <v>2.734</v>
      </c>
      <c r="Z11">
        <v>2.8740000000000001</v>
      </c>
      <c r="AA11">
        <v>2.77</v>
      </c>
      <c r="AB11">
        <v>2.7160000000000002</v>
      </c>
      <c r="AC11">
        <v>2.7959999999999998</v>
      </c>
      <c r="AD11">
        <v>2.83</v>
      </c>
      <c r="AE11">
        <v>2.847</v>
      </c>
      <c r="AF11">
        <v>2.7320000000000002</v>
      </c>
      <c r="AG11">
        <v>2.694</v>
      </c>
      <c r="AH11">
        <v>2.8410000000000002</v>
      </c>
      <c r="AI11">
        <v>2.8769999999999998</v>
      </c>
      <c r="AJ11">
        <v>2.7010000000000001</v>
      </c>
      <c r="AK11">
        <v>2.899</v>
      </c>
      <c r="AL11">
        <v>2.758</v>
      </c>
      <c r="AM11">
        <v>2.89</v>
      </c>
      <c r="AN11">
        <v>2.9140000000000001</v>
      </c>
      <c r="AO11">
        <v>2.91</v>
      </c>
      <c r="AP11">
        <v>3.081</v>
      </c>
    </row>
    <row r="12" spans="2:42" x14ac:dyDescent="0.45">
      <c r="B12" s="6">
        <f t="shared" si="4"/>
        <v>3.9462759462759465</v>
      </c>
      <c r="C12" s="4">
        <v>505</v>
      </c>
      <c r="D12" s="5">
        <f t="shared" si="1"/>
        <v>3.7170000000000001</v>
      </c>
      <c r="E12" s="5">
        <f t="shared" si="2"/>
        <v>4.3159999999999998</v>
      </c>
      <c r="F12" s="5">
        <f t="shared" si="3"/>
        <v>4.0198888888888895</v>
      </c>
      <c r="G12">
        <v>4.0869999999999997</v>
      </c>
      <c r="H12">
        <v>4.1840000000000002</v>
      </c>
      <c r="I12">
        <v>4.1349999999999998</v>
      </c>
      <c r="J12">
        <v>4.1440000000000001</v>
      </c>
      <c r="K12">
        <v>4.0090000000000003</v>
      </c>
      <c r="L12">
        <v>3.984</v>
      </c>
      <c r="M12">
        <v>4.1840000000000002</v>
      </c>
      <c r="N12">
        <v>4.0490000000000004</v>
      </c>
      <c r="O12">
        <v>4.093</v>
      </c>
      <c r="P12">
        <v>3.7170000000000001</v>
      </c>
      <c r="Q12">
        <v>4.1310000000000002</v>
      </c>
      <c r="R12">
        <v>4.1779999999999999</v>
      </c>
      <c r="S12">
        <v>3.9870000000000001</v>
      </c>
      <c r="T12">
        <v>3.9660000000000002</v>
      </c>
      <c r="U12">
        <v>3.8780000000000001</v>
      </c>
      <c r="V12">
        <v>3.9060000000000001</v>
      </c>
      <c r="W12">
        <v>3.9129999999999998</v>
      </c>
      <c r="X12">
        <v>3.9510000000000001</v>
      </c>
      <c r="Y12">
        <v>3.927</v>
      </c>
      <c r="Z12">
        <v>4.093</v>
      </c>
      <c r="AA12">
        <v>3.9670000000000001</v>
      </c>
      <c r="AB12">
        <v>3.895</v>
      </c>
      <c r="AC12">
        <v>3.9910000000000001</v>
      </c>
      <c r="AD12">
        <v>4.0350000000000001</v>
      </c>
      <c r="AE12">
        <v>4.0270000000000001</v>
      </c>
      <c r="AF12">
        <v>3.8780000000000001</v>
      </c>
      <c r="AG12">
        <v>3.8220000000000001</v>
      </c>
      <c r="AH12">
        <v>4.0289999999999999</v>
      </c>
      <c r="AI12">
        <v>4.0709999999999997</v>
      </c>
      <c r="AJ12">
        <v>3.8420000000000001</v>
      </c>
      <c r="AK12">
        <v>4.093</v>
      </c>
      <c r="AL12">
        <v>3.9239999999999999</v>
      </c>
      <c r="AM12">
        <v>4.0839999999999996</v>
      </c>
      <c r="AN12">
        <v>4.1150000000000002</v>
      </c>
      <c r="AO12">
        <v>4.1109999999999998</v>
      </c>
      <c r="AP12">
        <v>4.3159999999999998</v>
      </c>
    </row>
    <row r="13" spans="2:42" x14ac:dyDescent="0.45">
      <c r="B13" s="6">
        <f t="shared" si="4"/>
        <v>6.2515262515262515</v>
      </c>
      <c r="C13" s="4">
        <v>800</v>
      </c>
      <c r="D13" s="5">
        <f t="shared" si="1"/>
        <v>5.9240000000000004</v>
      </c>
      <c r="E13" s="5">
        <f t="shared" si="2"/>
        <v>6.6920000000000002</v>
      </c>
      <c r="F13" s="5">
        <f t="shared" si="3"/>
        <v>6.3356666666666666</v>
      </c>
      <c r="G13">
        <v>6.4219999999999997</v>
      </c>
      <c r="H13">
        <v>6.5540000000000003</v>
      </c>
      <c r="I13">
        <v>6.4619999999999997</v>
      </c>
      <c r="J13">
        <v>6.4889999999999999</v>
      </c>
      <c r="K13">
        <v>6.3220000000000001</v>
      </c>
      <c r="L13">
        <v>6.3019999999999996</v>
      </c>
      <c r="M13">
        <v>6.5339999999999998</v>
      </c>
      <c r="N13">
        <v>6.3689999999999998</v>
      </c>
      <c r="O13">
        <v>6.4329999999999998</v>
      </c>
      <c r="P13">
        <v>5.9240000000000004</v>
      </c>
      <c r="Q13">
        <v>6.4720000000000004</v>
      </c>
      <c r="R13">
        <v>6.5309999999999997</v>
      </c>
      <c r="S13">
        <v>6.3</v>
      </c>
      <c r="T13">
        <v>6.28</v>
      </c>
      <c r="U13">
        <v>6.1689999999999996</v>
      </c>
      <c r="V13">
        <v>6.2110000000000003</v>
      </c>
      <c r="W13">
        <v>6.202</v>
      </c>
      <c r="X13">
        <v>6.2709999999999999</v>
      </c>
      <c r="Y13">
        <v>6.2359999999999998</v>
      </c>
      <c r="Z13">
        <v>6.4379999999999997</v>
      </c>
      <c r="AA13">
        <v>6.2690000000000001</v>
      </c>
      <c r="AB13">
        <v>6.1840000000000002</v>
      </c>
      <c r="AC13">
        <v>6.3109999999999999</v>
      </c>
      <c r="AD13">
        <v>6.3579999999999997</v>
      </c>
      <c r="AE13">
        <v>6.3419999999999996</v>
      </c>
      <c r="AF13">
        <v>6.1420000000000003</v>
      </c>
      <c r="AG13">
        <v>6.0670000000000002</v>
      </c>
      <c r="AH13">
        <v>6.3559999999999999</v>
      </c>
      <c r="AI13">
        <v>6.4089999999999998</v>
      </c>
      <c r="AJ13">
        <v>6.093</v>
      </c>
      <c r="AK13">
        <v>6.4249999999999998</v>
      </c>
      <c r="AL13">
        <v>6.2069999999999999</v>
      </c>
      <c r="AM13">
        <v>6.4050000000000002</v>
      </c>
      <c r="AN13">
        <v>6.4560000000000004</v>
      </c>
      <c r="AO13">
        <v>6.4470000000000001</v>
      </c>
      <c r="AP13">
        <v>6.6920000000000002</v>
      </c>
    </row>
    <row r="14" spans="2:42" x14ac:dyDescent="0.45">
      <c r="B14" s="6">
        <f t="shared" si="4"/>
        <v>17.191697191697191</v>
      </c>
      <c r="C14" s="4">
        <v>2200</v>
      </c>
      <c r="D14" s="5">
        <f t="shared" si="1"/>
        <v>16.762</v>
      </c>
      <c r="E14" s="5">
        <f t="shared" si="2"/>
        <v>17.712</v>
      </c>
      <c r="F14" s="5">
        <f t="shared" si="3"/>
        <v>17.271305555555553</v>
      </c>
      <c r="G14">
        <v>17.356000000000002</v>
      </c>
      <c r="H14">
        <v>17.545000000000002</v>
      </c>
      <c r="I14">
        <v>17.385999999999999</v>
      </c>
      <c r="J14">
        <v>17.460999999999999</v>
      </c>
      <c r="K14">
        <v>17.263000000000002</v>
      </c>
      <c r="L14">
        <v>17.231999999999999</v>
      </c>
      <c r="M14">
        <v>17.515000000000001</v>
      </c>
      <c r="N14">
        <v>17.283000000000001</v>
      </c>
      <c r="O14">
        <v>17.376000000000001</v>
      </c>
      <c r="P14">
        <v>16.762</v>
      </c>
      <c r="Q14">
        <v>17.399000000000001</v>
      </c>
      <c r="R14">
        <v>17.47</v>
      </c>
      <c r="S14">
        <v>17.196000000000002</v>
      </c>
      <c r="T14">
        <v>17.23</v>
      </c>
      <c r="U14">
        <v>17.071999999999999</v>
      </c>
      <c r="V14">
        <v>17.135999999999999</v>
      </c>
      <c r="W14">
        <v>17.106999999999999</v>
      </c>
      <c r="X14">
        <v>17.201000000000001</v>
      </c>
      <c r="Y14">
        <v>17.158999999999999</v>
      </c>
      <c r="Z14">
        <v>17.445</v>
      </c>
      <c r="AA14">
        <v>17.231999999999999</v>
      </c>
      <c r="AB14">
        <v>17.088999999999999</v>
      </c>
      <c r="AC14">
        <v>17.271999999999998</v>
      </c>
      <c r="AD14">
        <v>17.309999999999999</v>
      </c>
      <c r="AE14">
        <v>17.260999999999999</v>
      </c>
      <c r="AF14">
        <v>17.053999999999998</v>
      </c>
      <c r="AG14">
        <v>16.960999999999999</v>
      </c>
      <c r="AH14">
        <v>17.309999999999999</v>
      </c>
      <c r="AI14">
        <v>17.327000000000002</v>
      </c>
      <c r="AJ14">
        <v>16.983000000000001</v>
      </c>
      <c r="AK14">
        <v>17.396000000000001</v>
      </c>
      <c r="AL14">
        <v>17.091999999999999</v>
      </c>
      <c r="AM14">
        <v>17.329999999999998</v>
      </c>
      <c r="AN14">
        <v>17.443000000000001</v>
      </c>
      <c r="AO14">
        <v>17.401</v>
      </c>
      <c r="AP14">
        <v>17.712</v>
      </c>
    </row>
    <row r="15" spans="2:42" x14ac:dyDescent="0.45">
      <c r="B15" s="6">
        <f t="shared" si="4"/>
        <v>23.443223443223442</v>
      </c>
      <c r="C15" s="4">
        <v>3000</v>
      </c>
      <c r="D15" s="5">
        <f t="shared" si="1"/>
        <v>23.149000000000001</v>
      </c>
      <c r="E15" s="5">
        <f t="shared" si="2"/>
        <v>23.901</v>
      </c>
      <c r="F15" s="5">
        <f t="shared" si="3"/>
        <v>23.520416666666662</v>
      </c>
      <c r="G15">
        <v>23.623000000000001</v>
      </c>
      <c r="H15">
        <v>23.77</v>
      </c>
      <c r="I15">
        <v>23.611999999999998</v>
      </c>
      <c r="J15">
        <v>23.731999999999999</v>
      </c>
      <c r="K15">
        <v>23.521000000000001</v>
      </c>
      <c r="L15">
        <v>23.483000000000001</v>
      </c>
      <c r="M15">
        <v>23.741</v>
      </c>
      <c r="N15">
        <v>23.527999999999999</v>
      </c>
      <c r="O15">
        <v>23.591999999999999</v>
      </c>
      <c r="P15">
        <v>23.149000000000001</v>
      </c>
      <c r="Q15">
        <v>23.65</v>
      </c>
      <c r="R15">
        <v>23.645</v>
      </c>
      <c r="S15">
        <v>23.431999999999999</v>
      </c>
      <c r="T15">
        <v>23.484999999999999</v>
      </c>
      <c r="U15">
        <v>23.31</v>
      </c>
      <c r="V15">
        <v>23.372</v>
      </c>
      <c r="W15">
        <v>23.363</v>
      </c>
      <c r="X15">
        <v>23.405000000000001</v>
      </c>
      <c r="Y15">
        <v>23.381</v>
      </c>
      <c r="Z15">
        <v>23.657</v>
      </c>
      <c r="AA15">
        <v>23.494</v>
      </c>
      <c r="AB15">
        <v>23.324999999999999</v>
      </c>
      <c r="AC15">
        <v>23.521000000000001</v>
      </c>
      <c r="AD15">
        <v>23.513999999999999</v>
      </c>
      <c r="AE15">
        <v>23.521000000000001</v>
      </c>
      <c r="AF15">
        <v>23.378</v>
      </c>
      <c r="AG15">
        <v>23.303000000000001</v>
      </c>
      <c r="AH15">
        <v>23.565999999999999</v>
      </c>
      <c r="AI15">
        <v>23.591999999999999</v>
      </c>
      <c r="AJ15">
        <v>23.327000000000002</v>
      </c>
      <c r="AK15">
        <v>23.634</v>
      </c>
      <c r="AL15">
        <v>23.372</v>
      </c>
      <c r="AM15">
        <v>23.53</v>
      </c>
      <c r="AN15">
        <v>23.672000000000001</v>
      </c>
      <c r="AO15">
        <v>23.634</v>
      </c>
      <c r="AP15">
        <v>23.901</v>
      </c>
    </row>
    <row r="16" spans="2:42" x14ac:dyDescent="0.45">
      <c r="B16" s="6">
        <f t="shared" si="4"/>
        <v>24.935775335775336</v>
      </c>
      <c r="C16" s="4">
        <v>3191</v>
      </c>
      <c r="D16" s="5">
        <f t="shared" si="1"/>
        <v>24.713000000000001</v>
      </c>
      <c r="E16" s="5">
        <f t="shared" si="2"/>
        <v>25.411999999999999</v>
      </c>
      <c r="F16" s="5">
        <f t="shared" si="3"/>
        <v>25.02877777777778</v>
      </c>
      <c r="G16">
        <v>25.111000000000001</v>
      </c>
      <c r="H16">
        <v>25.274000000000001</v>
      </c>
      <c r="I16">
        <v>25.117999999999999</v>
      </c>
      <c r="J16">
        <v>25.231999999999999</v>
      </c>
      <c r="K16">
        <v>25.021999999999998</v>
      </c>
      <c r="L16">
        <v>24.992000000000001</v>
      </c>
      <c r="M16">
        <v>25.231999999999999</v>
      </c>
      <c r="N16">
        <v>25.027000000000001</v>
      </c>
      <c r="O16">
        <v>25.076000000000001</v>
      </c>
      <c r="P16">
        <v>24.713000000000001</v>
      </c>
      <c r="Q16">
        <v>25.152000000000001</v>
      </c>
      <c r="R16">
        <v>25.109000000000002</v>
      </c>
      <c r="S16">
        <v>24.933</v>
      </c>
      <c r="T16">
        <v>25.004999999999999</v>
      </c>
      <c r="U16">
        <v>24.831</v>
      </c>
      <c r="V16">
        <v>24.878</v>
      </c>
      <c r="W16">
        <v>24.907</v>
      </c>
      <c r="X16">
        <v>24.911000000000001</v>
      </c>
      <c r="Y16">
        <v>24.893999999999998</v>
      </c>
      <c r="Z16">
        <v>25.167000000000002</v>
      </c>
      <c r="AA16">
        <v>25.010999999999999</v>
      </c>
      <c r="AB16">
        <v>24.844999999999999</v>
      </c>
      <c r="AC16">
        <v>25.027000000000001</v>
      </c>
      <c r="AD16">
        <v>25.021999999999998</v>
      </c>
      <c r="AE16">
        <v>25.032</v>
      </c>
      <c r="AF16">
        <v>24.911000000000001</v>
      </c>
      <c r="AG16">
        <v>24.827000000000002</v>
      </c>
      <c r="AH16">
        <v>25.071000000000002</v>
      </c>
      <c r="AI16">
        <v>25.056000000000001</v>
      </c>
      <c r="AJ16">
        <v>24.861999999999998</v>
      </c>
      <c r="AK16">
        <v>25.143000000000001</v>
      </c>
      <c r="AL16">
        <v>24.885000000000002</v>
      </c>
      <c r="AM16">
        <v>25.038</v>
      </c>
      <c r="AN16">
        <v>25.178000000000001</v>
      </c>
      <c r="AO16">
        <v>25.132000000000001</v>
      </c>
      <c r="AP16">
        <v>25.411999999999999</v>
      </c>
    </row>
    <row r="17" spans="2:42" x14ac:dyDescent="0.45">
      <c r="B17" s="6">
        <f t="shared" si="4"/>
        <v>25.6</v>
      </c>
      <c r="C17" s="4">
        <v>3276</v>
      </c>
      <c r="D17" s="5">
        <f t="shared" si="1"/>
        <v>25.41</v>
      </c>
      <c r="E17" s="5">
        <f t="shared" si="2"/>
        <v>26.045999999999999</v>
      </c>
      <c r="F17" s="5">
        <f t="shared" si="3"/>
        <v>25.686722222222222</v>
      </c>
      <c r="G17">
        <v>25.765999999999998</v>
      </c>
      <c r="H17">
        <v>25.893999999999998</v>
      </c>
      <c r="I17">
        <v>25.765999999999998</v>
      </c>
      <c r="J17">
        <v>25.885999999999999</v>
      </c>
      <c r="K17">
        <v>25.687999999999999</v>
      </c>
      <c r="L17">
        <v>25.63</v>
      </c>
      <c r="M17">
        <v>25.873999999999999</v>
      </c>
      <c r="N17">
        <v>25.664999999999999</v>
      </c>
      <c r="O17">
        <v>25.712</v>
      </c>
      <c r="P17">
        <v>25.41</v>
      </c>
      <c r="Q17">
        <v>25.779</v>
      </c>
      <c r="R17">
        <v>25.757000000000001</v>
      </c>
      <c r="S17">
        <v>25.611999999999998</v>
      </c>
      <c r="T17">
        <v>25.658999999999999</v>
      </c>
      <c r="U17">
        <v>25.475999999999999</v>
      </c>
      <c r="V17">
        <v>25.539000000000001</v>
      </c>
      <c r="W17">
        <v>25.561</v>
      </c>
      <c r="X17">
        <v>25.562999999999999</v>
      </c>
      <c r="Y17">
        <v>25.559000000000001</v>
      </c>
      <c r="Z17">
        <v>25.812000000000001</v>
      </c>
      <c r="AA17">
        <v>25.664999999999999</v>
      </c>
      <c r="AB17">
        <v>25.507000000000001</v>
      </c>
      <c r="AC17">
        <v>25.686</v>
      </c>
      <c r="AD17">
        <v>25.677</v>
      </c>
      <c r="AE17">
        <v>25.707999999999998</v>
      </c>
      <c r="AF17">
        <v>25.596</v>
      </c>
      <c r="AG17">
        <v>25.539000000000001</v>
      </c>
      <c r="AH17">
        <v>25.725999999999999</v>
      </c>
      <c r="AI17">
        <v>25.721</v>
      </c>
      <c r="AJ17">
        <v>25.559000000000001</v>
      </c>
      <c r="AK17">
        <v>25.803999999999998</v>
      </c>
      <c r="AL17">
        <v>25.556000000000001</v>
      </c>
      <c r="AM17">
        <v>25.69</v>
      </c>
      <c r="AN17">
        <v>25.837</v>
      </c>
      <c r="AO17">
        <v>25.797000000000001</v>
      </c>
      <c r="AP17">
        <v>26.045999999999999</v>
      </c>
    </row>
    <row r="18" spans="2:42" x14ac:dyDescent="0.45">
      <c r="B18" s="6">
        <f t="shared" si="4"/>
        <v>32</v>
      </c>
      <c r="C18" s="4">
        <v>4095</v>
      </c>
      <c r="D18" s="5">
        <f t="shared" si="1"/>
        <v>31.844999999999999</v>
      </c>
      <c r="E18" s="5">
        <f t="shared" si="2"/>
        <v>32.35</v>
      </c>
      <c r="F18" s="5">
        <f t="shared" si="3"/>
        <v>32.061277777777775</v>
      </c>
      <c r="G18">
        <v>32.158999999999999</v>
      </c>
      <c r="H18">
        <v>32.255000000000003</v>
      </c>
      <c r="I18">
        <v>32.137</v>
      </c>
      <c r="J18">
        <v>32.273000000000003</v>
      </c>
      <c r="K18">
        <v>32.119</v>
      </c>
      <c r="L18">
        <v>32.049999999999997</v>
      </c>
      <c r="M18">
        <v>32.212000000000003</v>
      </c>
      <c r="N18">
        <v>32.063000000000002</v>
      </c>
      <c r="O18">
        <v>32.043999999999997</v>
      </c>
      <c r="P18">
        <v>32.033999999999999</v>
      </c>
      <c r="Q18">
        <v>32.134999999999998</v>
      </c>
      <c r="R18">
        <v>32.058999999999997</v>
      </c>
      <c r="S18">
        <v>31.95</v>
      </c>
      <c r="T18">
        <v>32.055</v>
      </c>
      <c r="U18">
        <v>31.844999999999999</v>
      </c>
      <c r="V18">
        <v>31.87</v>
      </c>
      <c r="W18">
        <v>31.960999999999999</v>
      </c>
      <c r="X18">
        <v>31.87</v>
      </c>
      <c r="Y18">
        <v>31.879000000000001</v>
      </c>
      <c r="Z18">
        <v>32.128</v>
      </c>
      <c r="AA18">
        <v>32.034999999999997</v>
      </c>
      <c r="AB18">
        <v>31.876999999999999</v>
      </c>
      <c r="AC18">
        <v>32.026000000000003</v>
      </c>
      <c r="AD18">
        <v>32.015000000000001</v>
      </c>
      <c r="AE18">
        <v>32.079000000000001</v>
      </c>
      <c r="AF18">
        <v>32.061</v>
      </c>
      <c r="AG18">
        <v>32.036999999999999</v>
      </c>
      <c r="AH18">
        <v>32.07</v>
      </c>
      <c r="AI18">
        <v>32.094999999999999</v>
      </c>
      <c r="AJ18">
        <v>32.075000000000003</v>
      </c>
      <c r="AK18">
        <v>32.155000000000001</v>
      </c>
      <c r="AL18">
        <v>31.968</v>
      </c>
      <c r="AM18">
        <v>32.003999999999998</v>
      </c>
      <c r="AN18">
        <v>32.177</v>
      </c>
      <c r="AO18">
        <v>32.084000000000003</v>
      </c>
      <c r="AP18">
        <v>32.35</v>
      </c>
    </row>
    <row r="21" spans="2:42" x14ac:dyDescent="0.45">
      <c r="B21" t="s">
        <v>16</v>
      </c>
      <c r="C21" s="2" t="s">
        <v>0</v>
      </c>
      <c r="D21" s="2" t="s">
        <v>13</v>
      </c>
      <c r="E21" s="2" t="s">
        <v>14</v>
      </c>
      <c r="F21" s="2" t="s">
        <v>15</v>
      </c>
      <c r="G21" s="2" t="s">
        <v>1</v>
      </c>
      <c r="H21" s="2" t="s">
        <v>2</v>
      </c>
      <c r="I21" s="2" t="s">
        <v>3</v>
      </c>
      <c r="J21" s="2" t="s">
        <v>4</v>
      </c>
      <c r="K21" s="2" t="s">
        <v>5</v>
      </c>
      <c r="L21" s="2" t="s">
        <v>6</v>
      </c>
      <c r="M21" s="2" t="s">
        <v>7</v>
      </c>
      <c r="N21" s="2" t="s">
        <v>8</v>
      </c>
      <c r="O21" s="2" t="s">
        <v>9</v>
      </c>
      <c r="P21" s="2" t="s">
        <v>10</v>
      </c>
      <c r="Q21" s="2" t="s">
        <v>11</v>
      </c>
      <c r="R21" s="2" t="s">
        <v>12</v>
      </c>
      <c r="S21" s="2" t="s">
        <v>1</v>
      </c>
      <c r="T21" s="2" t="s">
        <v>2</v>
      </c>
      <c r="U21" s="2" t="s">
        <v>3</v>
      </c>
      <c r="V21" s="2" t="s">
        <v>4</v>
      </c>
      <c r="W21" s="2" t="s">
        <v>5</v>
      </c>
      <c r="X21" s="2" t="s">
        <v>6</v>
      </c>
      <c r="Y21" s="2" t="s">
        <v>7</v>
      </c>
      <c r="Z21" s="2" t="s">
        <v>8</v>
      </c>
      <c r="AA21" s="2" t="s">
        <v>9</v>
      </c>
      <c r="AB21" s="2" t="s">
        <v>10</v>
      </c>
      <c r="AC21" s="2" t="s">
        <v>11</v>
      </c>
      <c r="AD21" s="2" t="s">
        <v>12</v>
      </c>
      <c r="AE21" s="2" t="s">
        <v>1</v>
      </c>
      <c r="AF21" s="2" t="s">
        <v>2</v>
      </c>
      <c r="AG21" s="2" t="s">
        <v>3</v>
      </c>
      <c r="AH21" s="2" t="s">
        <v>4</v>
      </c>
      <c r="AI21" s="2" t="s">
        <v>5</v>
      </c>
      <c r="AJ21" s="2" t="s">
        <v>6</v>
      </c>
      <c r="AK21" s="2" t="s">
        <v>7</v>
      </c>
      <c r="AL21" s="2" t="s">
        <v>8</v>
      </c>
      <c r="AM21" s="2" t="s">
        <v>9</v>
      </c>
      <c r="AN21" s="2" t="s">
        <v>10</v>
      </c>
      <c r="AO21" s="2" t="s">
        <v>11</v>
      </c>
      <c r="AP21" s="2" t="s">
        <v>12</v>
      </c>
    </row>
    <row r="22" spans="2:42" x14ac:dyDescent="0.45">
      <c r="B22" s="6">
        <f t="shared" ref="B22:B29" si="5">8*C22/4095</f>
        <v>0.68962148962148961</v>
      </c>
      <c r="C22" s="3">
        <v>353</v>
      </c>
      <c r="D22" s="1">
        <f>MIN(G22:AP22)</f>
        <v>-2.8452549575070752E-2</v>
      </c>
      <c r="E22" s="1">
        <f>MAX(G22:AP22)</f>
        <v>0.12960516997167143</v>
      </c>
      <c r="F22" s="1">
        <f>AVERAGE(G22:AP22)</f>
        <v>3.9056303116147301E-2</v>
      </c>
      <c r="G22" s="1">
        <f t="shared" ref="G22:AP22" si="6">(G3-$B3)/$B3</f>
        <v>6.4351983002832847E-2</v>
      </c>
      <c r="H22" s="1">
        <f t="shared" si="6"/>
        <v>7.1602337110481584E-2</v>
      </c>
      <c r="I22" s="1">
        <f t="shared" si="6"/>
        <v>0.11220432011331448</v>
      </c>
      <c r="J22" s="1">
        <f t="shared" si="6"/>
        <v>0.10060375354107651</v>
      </c>
      <c r="K22" s="1">
        <f t="shared" si="6"/>
        <v>4.5501062322946151E-2</v>
      </c>
      <c r="L22" s="1">
        <f t="shared" si="6"/>
        <v>-9.6016288951840511E-3</v>
      </c>
      <c r="M22" s="1">
        <f t="shared" si="6"/>
        <v>9.3353399433427783E-2</v>
      </c>
      <c r="N22" s="1">
        <f t="shared" si="6"/>
        <v>6.1451841359773357E-2</v>
      </c>
      <c r="O22" s="1">
        <f t="shared" si="6"/>
        <v>5.4201487252124626E-2</v>
      </c>
      <c r="P22" s="1">
        <f t="shared" si="6"/>
        <v>1.359950424929173E-2</v>
      </c>
      <c r="Q22" s="1">
        <f t="shared" si="6"/>
        <v>8.755311614730879E-2</v>
      </c>
      <c r="R22" s="1">
        <f t="shared" si="6"/>
        <v>9.045325779036828E-2</v>
      </c>
      <c r="S22" s="1">
        <f t="shared" si="6"/>
        <v>2.52000708215297E-2</v>
      </c>
      <c r="T22" s="1">
        <f t="shared" si="6"/>
        <v>6.3491501416429981E-3</v>
      </c>
      <c r="U22" s="1">
        <f t="shared" si="6"/>
        <v>-2.8452549575070752E-2</v>
      </c>
      <c r="V22" s="1">
        <f t="shared" si="6"/>
        <v>-1.9752124645892277E-2</v>
      </c>
      <c r="W22" s="1">
        <f t="shared" si="6"/>
        <v>1.359950424929173E-2</v>
      </c>
      <c r="X22" s="1">
        <f t="shared" si="6"/>
        <v>-2.2652266288951766E-2</v>
      </c>
      <c r="Y22" s="1">
        <f t="shared" si="6"/>
        <v>-1.2501770538243542E-2</v>
      </c>
      <c r="Z22" s="1">
        <f t="shared" si="6"/>
        <v>5.8551699716713868E-2</v>
      </c>
      <c r="AA22" s="1">
        <f t="shared" si="6"/>
        <v>1.359950424929173E-2</v>
      </c>
      <c r="AB22" s="1">
        <f t="shared" si="6"/>
        <v>-3.8013456090650651E-3</v>
      </c>
      <c r="AC22" s="1">
        <f t="shared" si="6"/>
        <v>2.52000708215297E-2</v>
      </c>
      <c r="AD22" s="1">
        <f t="shared" si="6"/>
        <v>3.825070821529742E-2</v>
      </c>
      <c r="AE22" s="1">
        <f t="shared" si="6"/>
        <v>3.5350566572237924E-2</v>
      </c>
      <c r="AF22" s="1">
        <f t="shared" si="6"/>
        <v>1.359950424929173E-2</v>
      </c>
      <c r="AG22" s="1">
        <f t="shared" si="6"/>
        <v>1.9399787535410714E-2</v>
      </c>
      <c r="AH22" s="1">
        <f t="shared" si="6"/>
        <v>1.9399787535410714E-2</v>
      </c>
      <c r="AI22" s="1">
        <f t="shared" si="6"/>
        <v>5.1301345609065137E-2</v>
      </c>
      <c r="AJ22" s="1">
        <f t="shared" si="6"/>
        <v>9.2492917847024902E-3</v>
      </c>
      <c r="AK22" s="1">
        <f t="shared" si="6"/>
        <v>6.4351983002832847E-2</v>
      </c>
      <c r="AL22" s="1">
        <f t="shared" si="6"/>
        <v>6.3491501416429981E-3</v>
      </c>
      <c r="AM22" s="1">
        <f t="shared" si="6"/>
        <v>6.4351983002832847E-2</v>
      </c>
      <c r="AN22" s="1">
        <f t="shared" si="6"/>
        <v>5.5651558073654371E-2</v>
      </c>
      <c r="AO22" s="1">
        <f t="shared" si="6"/>
        <v>5.8551699716713868E-2</v>
      </c>
      <c r="AP22" s="1">
        <f t="shared" si="6"/>
        <v>0.12960516997167143</v>
      </c>
    </row>
    <row r="23" spans="2:42" x14ac:dyDescent="0.45">
      <c r="B23" s="6">
        <f t="shared" si="5"/>
        <v>0.98656898656898662</v>
      </c>
      <c r="C23" s="3">
        <v>505</v>
      </c>
      <c r="D23" s="1">
        <f t="shared" ref="D23:D37" si="7">MIN(G23:AP23)</f>
        <v>-2.0849009900990177E-2</v>
      </c>
      <c r="E23" s="1">
        <f t="shared" ref="E23:E37" si="8">MAX(G23:AP23)</f>
        <v>0.10281188118811883</v>
      </c>
      <c r="F23" s="1">
        <f t="shared" ref="F23:F37" si="9">AVERAGE(G23:AP23)</f>
        <v>2.6959777227722709E-2</v>
      </c>
      <c r="G23" s="1">
        <f t="shared" ref="G23:AP23" si="10">(G4-$B4)/$B4</f>
        <v>4.199504950495047E-2</v>
      </c>
      <c r="H23" s="1">
        <f t="shared" si="10"/>
        <v>5.1117574257425615E-2</v>
      </c>
      <c r="I23" s="1">
        <f t="shared" si="10"/>
        <v>8.0512376237623764E-2</v>
      </c>
      <c r="J23" s="1">
        <f t="shared" si="10"/>
        <v>7.1389851485148398E-2</v>
      </c>
      <c r="K23" s="1">
        <f t="shared" si="10"/>
        <v>2.5777227722772238E-2</v>
      </c>
      <c r="L23" s="1">
        <f t="shared" si="10"/>
        <v>-1.4767326732673339E-2</v>
      </c>
      <c r="M23" s="1">
        <f t="shared" si="10"/>
        <v>6.834900990099009E-2</v>
      </c>
      <c r="N23" s="1">
        <f t="shared" si="10"/>
        <v>4.199504950495047E-2</v>
      </c>
      <c r="O23" s="1">
        <f t="shared" si="10"/>
        <v>3.2872524752475103E-2</v>
      </c>
      <c r="P23" s="1">
        <f t="shared" si="10"/>
        <v>-5.6448019801980847E-3</v>
      </c>
      <c r="Q23" s="1">
        <f t="shared" si="10"/>
        <v>6.6321782178217811E-2</v>
      </c>
      <c r="R23" s="1">
        <f t="shared" si="10"/>
        <v>6.4294554455445532E-2</v>
      </c>
      <c r="S23" s="1">
        <f t="shared" si="10"/>
        <v>2.172277227722768E-2</v>
      </c>
      <c r="T23" s="1">
        <f t="shared" si="10"/>
        <v>7.5321782178217282E-3</v>
      </c>
      <c r="U23" s="1">
        <f t="shared" si="10"/>
        <v>-2.0849009900990177E-2</v>
      </c>
      <c r="V23" s="1">
        <f t="shared" si="10"/>
        <v>-1.4767326732673339E-2</v>
      </c>
      <c r="W23" s="1">
        <f t="shared" si="10"/>
        <v>1.0573019801980147E-2</v>
      </c>
      <c r="X23" s="1">
        <f t="shared" si="10"/>
        <v>-1.4767326732673339E-2</v>
      </c>
      <c r="Y23" s="1">
        <f t="shared" si="10"/>
        <v>-7.6720297029703637E-3</v>
      </c>
      <c r="Z23" s="1">
        <f t="shared" si="10"/>
        <v>4.9090346534653335E-2</v>
      </c>
      <c r="AA23" s="1">
        <f t="shared" si="10"/>
        <v>1.0573019801980147E-2</v>
      </c>
      <c r="AB23" s="1">
        <f t="shared" si="10"/>
        <v>-3.6175742574258061E-3</v>
      </c>
      <c r="AC23" s="1">
        <f t="shared" si="10"/>
        <v>1.9695544554455401E-2</v>
      </c>
      <c r="AD23" s="1">
        <f t="shared" si="10"/>
        <v>3.0845297029702824E-2</v>
      </c>
      <c r="AE23" s="1">
        <f t="shared" si="10"/>
        <v>2.3749999999999959E-2</v>
      </c>
      <c r="AF23" s="1">
        <f t="shared" si="10"/>
        <v>5.5049504950494491E-3</v>
      </c>
      <c r="AG23" s="1">
        <f t="shared" si="10"/>
        <v>7.5321782178217282E-3</v>
      </c>
      <c r="AH23" s="1">
        <f t="shared" si="10"/>
        <v>1.0573019801980147E-2</v>
      </c>
      <c r="AI23" s="1">
        <f t="shared" si="10"/>
        <v>3.6926980198019661E-2</v>
      </c>
      <c r="AJ23" s="1">
        <f t="shared" si="10"/>
        <v>-1.590346534653527E-3</v>
      </c>
      <c r="AK23" s="1">
        <f t="shared" si="10"/>
        <v>4.6049504950495028E-2</v>
      </c>
      <c r="AL23" s="1">
        <f t="shared" si="10"/>
        <v>-3.6175742574258061E-3</v>
      </c>
      <c r="AM23" s="1">
        <f t="shared" si="10"/>
        <v>4.8076732673267307E-2</v>
      </c>
      <c r="AN23" s="1">
        <f t="shared" si="10"/>
        <v>3.9967821782178191E-2</v>
      </c>
      <c r="AO23" s="1">
        <f t="shared" si="10"/>
        <v>4.199504950495047E-2</v>
      </c>
      <c r="AP23" s="1">
        <f t="shared" si="10"/>
        <v>0.10281188118811883</v>
      </c>
    </row>
    <row r="24" spans="2:42" x14ac:dyDescent="0.45">
      <c r="B24" s="6">
        <f t="shared" si="5"/>
        <v>1.5628815628815629</v>
      </c>
      <c r="C24" s="3">
        <v>800</v>
      </c>
      <c r="D24" s="1">
        <f t="shared" si="7"/>
        <v>-1.5280468750000048E-2</v>
      </c>
      <c r="E24" s="1">
        <f t="shared" si="8"/>
        <v>7.4937499999999962E-2</v>
      </c>
      <c r="F24" s="1">
        <f t="shared" si="9"/>
        <v>1.9359960937500011E-2</v>
      </c>
      <c r="G24" s="1">
        <f t="shared" ref="G24:AP24" si="11">(G5-$B5)/$B5</f>
        <v>3.2067968749999995E-2</v>
      </c>
      <c r="H24" s="1">
        <f t="shared" si="11"/>
        <v>4.1665624999999928E-2</v>
      </c>
      <c r="I24" s="1">
        <f t="shared" si="11"/>
        <v>6.0221093750000017E-2</v>
      </c>
      <c r="J24" s="1">
        <f t="shared" si="11"/>
        <v>5.4462499999999942E-2</v>
      </c>
      <c r="K24" s="1">
        <f t="shared" si="11"/>
        <v>1.9271093749999982E-2</v>
      </c>
      <c r="L24" s="1">
        <f t="shared" si="11"/>
        <v>-8.24218749999997E-3</v>
      </c>
      <c r="M24" s="1">
        <f t="shared" si="11"/>
        <v>5.1903124999999939E-2</v>
      </c>
      <c r="N24" s="1">
        <f t="shared" si="11"/>
        <v>3.0788281249999994E-2</v>
      </c>
      <c r="O24" s="1">
        <f t="shared" si="11"/>
        <v>2.6309375000000058E-2</v>
      </c>
      <c r="P24" s="1">
        <f t="shared" si="11"/>
        <v>-9.5218749999999713E-3</v>
      </c>
      <c r="Q24" s="1">
        <f t="shared" si="11"/>
        <v>4.8703906250000012E-2</v>
      </c>
      <c r="R24" s="1">
        <f t="shared" si="11"/>
        <v>4.8703906250000012E-2</v>
      </c>
      <c r="S24" s="1">
        <f t="shared" si="11"/>
        <v>1.9271093749999982E-2</v>
      </c>
      <c r="T24" s="1">
        <f t="shared" si="11"/>
        <v>7.7539062499999726E-3</v>
      </c>
      <c r="U24" s="1">
        <f t="shared" si="11"/>
        <v>-1.5280468750000048E-2</v>
      </c>
      <c r="V24" s="1">
        <f t="shared" si="11"/>
        <v>-1.0801562499999973E-2</v>
      </c>
      <c r="W24" s="1">
        <f t="shared" si="11"/>
        <v>7.7539062499999726E-3</v>
      </c>
      <c r="X24" s="1">
        <f t="shared" si="11"/>
        <v>-9.5218749999999713E-3</v>
      </c>
      <c r="Y24" s="1">
        <f t="shared" si="11"/>
        <v>-7.6023437500000414E-3</v>
      </c>
      <c r="Z24" s="1">
        <f t="shared" si="11"/>
        <v>3.782656250000007E-2</v>
      </c>
      <c r="AA24" s="1">
        <f t="shared" si="11"/>
        <v>7.7539062499999726E-3</v>
      </c>
      <c r="AB24" s="1">
        <f t="shared" si="11"/>
        <v>-3.7632812500000379E-3</v>
      </c>
      <c r="AC24" s="1">
        <f t="shared" si="11"/>
        <v>1.479218750000005E-2</v>
      </c>
      <c r="AD24" s="1">
        <f t="shared" si="11"/>
        <v>2.3750000000000059E-2</v>
      </c>
      <c r="AE24" s="1">
        <f t="shared" si="11"/>
        <v>1.479218750000005E-2</v>
      </c>
      <c r="AF24" s="1">
        <f t="shared" si="11"/>
        <v>-2.4835937500000366E-3</v>
      </c>
      <c r="AG24" s="1">
        <f t="shared" si="11"/>
        <v>-1.843749999999965E-3</v>
      </c>
      <c r="AH24" s="1">
        <f t="shared" si="11"/>
        <v>5.19453124999997E-3</v>
      </c>
      <c r="AI24" s="1">
        <f t="shared" si="11"/>
        <v>2.8868750000000061E-2</v>
      </c>
      <c r="AJ24" s="1">
        <f t="shared" si="11"/>
        <v>-7.6023437500000414E-3</v>
      </c>
      <c r="AK24" s="1">
        <f t="shared" si="11"/>
        <v>3.0788281249999994E-2</v>
      </c>
      <c r="AL24" s="1">
        <f t="shared" si="11"/>
        <v>-5.0429687500000387E-3</v>
      </c>
      <c r="AM24" s="1">
        <f t="shared" si="11"/>
        <v>3.3347656249999996E-2</v>
      </c>
      <c r="AN24" s="1">
        <f t="shared" si="11"/>
        <v>2.8868750000000061E-2</v>
      </c>
      <c r="AO24" s="1">
        <f t="shared" si="11"/>
        <v>2.8868750000000061E-2</v>
      </c>
      <c r="AP24" s="1">
        <f t="shared" si="11"/>
        <v>7.4937499999999962E-2</v>
      </c>
    </row>
    <row r="25" spans="2:42" x14ac:dyDescent="0.45">
      <c r="B25" s="6">
        <f t="shared" si="5"/>
        <v>4.2979242979242978</v>
      </c>
      <c r="C25" s="3">
        <v>2200</v>
      </c>
      <c r="D25" s="1">
        <f t="shared" si="7"/>
        <v>-7.6605113636363988E-3</v>
      </c>
      <c r="E25" s="1">
        <f t="shared" si="8"/>
        <v>3.0032102272727221E-2</v>
      </c>
      <c r="F25" s="1">
        <f t="shared" si="9"/>
        <v>6.2544744318181961E-3</v>
      </c>
      <c r="G25" s="1">
        <f t="shared" ref="G25:AP25" si="12">(G6-$B6)/$B6</f>
        <v>1.3977840909090869E-2</v>
      </c>
      <c r="H25" s="1">
        <f t="shared" si="12"/>
        <v>1.4443181818181933E-2</v>
      </c>
      <c r="I25" s="1">
        <f t="shared" si="12"/>
        <v>2.4448011363636307E-2</v>
      </c>
      <c r="J25" s="1">
        <f t="shared" si="12"/>
        <v>2.2353977272727341E-2</v>
      </c>
      <c r="K25" s="1">
        <f t="shared" si="12"/>
        <v>7.230397727272706E-3</v>
      </c>
      <c r="L25" s="1">
        <f t="shared" si="12"/>
        <v>-5.5664772727272282E-3</v>
      </c>
      <c r="M25" s="1">
        <f t="shared" si="12"/>
        <v>1.9794602272727314E-2</v>
      </c>
      <c r="N25" s="1">
        <f t="shared" si="12"/>
        <v>1.1418465909091046E-2</v>
      </c>
      <c r="O25" s="1">
        <f t="shared" si="12"/>
        <v>1.0255113636363592E-2</v>
      </c>
      <c r="P25" s="1">
        <f t="shared" si="12"/>
        <v>-5.1011363636363702E-3</v>
      </c>
      <c r="Q25" s="1">
        <f t="shared" si="12"/>
        <v>1.9561931818181784E-2</v>
      </c>
      <c r="R25" s="1">
        <f t="shared" si="12"/>
        <v>1.7467897727272818E-2</v>
      </c>
      <c r="S25" s="1">
        <f t="shared" si="12"/>
        <v>7.230397727272706E-3</v>
      </c>
      <c r="T25" s="1">
        <f t="shared" si="12"/>
        <v>3.7403409090909622E-3</v>
      </c>
      <c r="U25" s="1">
        <f t="shared" si="12"/>
        <v>-6.2644886363636184E-3</v>
      </c>
      <c r="V25" s="1">
        <f t="shared" si="12"/>
        <v>-5.1011363636363702E-3</v>
      </c>
      <c r="W25" s="1">
        <f t="shared" si="12"/>
        <v>1.1809659090909338E-3</v>
      </c>
      <c r="X25" s="1">
        <f t="shared" si="12"/>
        <v>-4.6357954545455131E-3</v>
      </c>
      <c r="Y25" s="1">
        <f t="shared" si="12"/>
        <v>-5.1011363636363702E-3</v>
      </c>
      <c r="Z25" s="1">
        <f t="shared" si="12"/>
        <v>1.5606534090909181E-2</v>
      </c>
      <c r="AA25" s="1">
        <f t="shared" si="12"/>
        <v>1.6463068181817918E-3</v>
      </c>
      <c r="AB25" s="1">
        <f t="shared" si="12"/>
        <v>-2.0764204545454844E-3</v>
      </c>
      <c r="AC25" s="1">
        <f t="shared" si="12"/>
        <v>4.2056818181818202E-3</v>
      </c>
      <c r="AD25" s="1">
        <f t="shared" si="12"/>
        <v>8.1610795454546275E-3</v>
      </c>
      <c r="AE25" s="1">
        <f t="shared" si="12"/>
        <v>4.6710227272726782E-3</v>
      </c>
      <c r="AF25" s="1">
        <f t="shared" si="12"/>
        <v>-5.1011363636363702E-3</v>
      </c>
      <c r="AG25" s="1">
        <f t="shared" si="12"/>
        <v>-5.7991477272727604E-3</v>
      </c>
      <c r="AH25" s="1">
        <f t="shared" si="12"/>
        <v>1.7613636363685897E-5</v>
      </c>
      <c r="AI25" s="1">
        <f t="shared" si="12"/>
        <v>8.3937499999999533E-3</v>
      </c>
      <c r="AJ25" s="1">
        <f t="shared" si="12"/>
        <v>-7.6605113636363988E-3</v>
      </c>
      <c r="AK25" s="1">
        <f t="shared" si="12"/>
        <v>8.8590909090910178E-3</v>
      </c>
      <c r="AL25" s="1">
        <f t="shared" si="12"/>
        <v>-5.7991477272727604E-3</v>
      </c>
      <c r="AM25" s="1">
        <f t="shared" si="12"/>
        <v>1.2349147727272762E-2</v>
      </c>
      <c r="AN25" s="1">
        <f t="shared" si="12"/>
        <v>8.1610795454546275E-3</v>
      </c>
      <c r="AO25" s="1">
        <f t="shared" si="12"/>
        <v>8.1610795454546275E-3</v>
      </c>
      <c r="AP25" s="1">
        <f t="shared" si="12"/>
        <v>3.0032102272727221E-2</v>
      </c>
    </row>
    <row r="26" spans="2:42" x14ac:dyDescent="0.45">
      <c r="B26" s="6">
        <f t="shared" si="5"/>
        <v>5.8608058608058604</v>
      </c>
      <c r="C26" s="3">
        <v>3000</v>
      </c>
      <c r="D26" s="1">
        <f t="shared" si="7"/>
        <v>-5.4268749999999777E-3</v>
      </c>
      <c r="E26" s="1">
        <f t="shared" si="8"/>
        <v>1.79487500000001E-2</v>
      </c>
      <c r="F26" s="1">
        <f t="shared" si="9"/>
        <v>3.900625000000072E-3</v>
      </c>
      <c r="G26" s="1">
        <f t="shared" ref="G26:AP26" si="13">(G7-$B7)/$B7</f>
        <v>9.7587500000000937E-3</v>
      </c>
      <c r="H26" s="1">
        <f t="shared" si="13"/>
        <v>7.0287500000000905E-3</v>
      </c>
      <c r="I26" s="1">
        <f t="shared" si="13"/>
        <v>1.79487500000001E-2</v>
      </c>
      <c r="J26" s="1">
        <f t="shared" si="13"/>
        <v>1.5048125000000042E-2</v>
      </c>
      <c r="K26" s="1">
        <f t="shared" si="13"/>
        <v>4.8106250000001073E-3</v>
      </c>
      <c r="L26" s="1">
        <f t="shared" si="13"/>
        <v>-3.8912499999999199E-3</v>
      </c>
      <c r="M26" s="1">
        <f t="shared" si="13"/>
        <v>1.2318125000000039E-2</v>
      </c>
      <c r="N26" s="1">
        <f t="shared" si="13"/>
        <v>8.2231250000000342E-3</v>
      </c>
      <c r="O26" s="1">
        <f t="shared" si="13"/>
        <v>6.6875000000001282E-3</v>
      </c>
      <c r="P26" s="1">
        <f t="shared" si="13"/>
        <v>2.080625000000105E-3</v>
      </c>
      <c r="Q26" s="1">
        <f t="shared" si="13"/>
        <v>1.2659375E-2</v>
      </c>
      <c r="R26" s="1">
        <f t="shared" si="13"/>
        <v>1.0441250000000018E-2</v>
      </c>
      <c r="S26" s="1">
        <f t="shared" si="13"/>
        <v>4.2987500000000881E-3</v>
      </c>
      <c r="T26" s="1">
        <f t="shared" si="13"/>
        <v>1.7393750000001425E-3</v>
      </c>
      <c r="U26" s="1">
        <f t="shared" si="13"/>
        <v>-5.4268749999999777E-3</v>
      </c>
      <c r="V26" s="1">
        <f t="shared" si="13"/>
        <v>-4.061874999999977E-3</v>
      </c>
      <c r="W26" s="1">
        <f t="shared" si="13"/>
        <v>2.0375000000008415E-4</v>
      </c>
      <c r="X26" s="1">
        <f t="shared" si="13"/>
        <v>-5.4268749999999777E-3</v>
      </c>
      <c r="Y26" s="1">
        <f t="shared" si="13"/>
        <v>-5.4268749999999777E-3</v>
      </c>
      <c r="Z26" s="1">
        <f t="shared" si="13"/>
        <v>9.7587500000000937E-3</v>
      </c>
      <c r="AA26" s="1">
        <f t="shared" si="13"/>
        <v>-6.4937499999989776E-4</v>
      </c>
      <c r="AB26" s="1">
        <f t="shared" si="13"/>
        <v>-2.5262499999999183E-3</v>
      </c>
      <c r="AC26" s="1">
        <f t="shared" si="13"/>
        <v>1.3981250000000285E-3</v>
      </c>
      <c r="AD26" s="1">
        <f t="shared" si="13"/>
        <v>4.6400000000000503E-3</v>
      </c>
      <c r="AE26" s="1">
        <f t="shared" si="13"/>
        <v>2.080625000000105E-3</v>
      </c>
      <c r="AF26" s="1">
        <f t="shared" si="13"/>
        <v>-1.3318749999999741E-3</v>
      </c>
      <c r="AG26" s="1">
        <f t="shared" si="13"/>
        <v>-2.0143749999998991E-3</v>
      </c>
      <c r="AH26" s="1">
        <f t="shared" si="13"/>
        <v>-4.7874999999999226E-4</v>
      </c>
      <c r="AI26" s="1">
        <f t="shared" si="13"/>
        <v>6.175625000000109E-3</v>
      </c>
      <c r="AJ26" s="1">
        <f t="shared" si="13"/>
        <v>-2.5262499999999183E-3</v>
      </c>
      <c r="AK26" s="1">
        <f t="shared" si="13"/>
        <v>4.6400000000000503E-3</v>
      </c>
      <c r="AL26" s="1">
        <f t="shared" si="13"/>
        <v>-2.5262499999999183E-3</v>
      </c>
      <c r="AM26" s="1">
        <f t="shared" si="13"/>
        <v>8.052500000000129E-3</v>
      </c>
      <c r="AN26" s="1">
        <f t="shared" si="13"/>
        <v>4.8106250000001073E-3</v>
      </c>
      <c r="AO26" s="1">
        <f t="shared" si="13"/>
        <v>3.9575000000001258E-3</v>
      </c>
      <c r="AP26" s="1">
        <f t="shared" si="13"/>
        <v>1.79487500000001E-2</v>
      </c>
    </row>
    <row r="27" spans="2:42" x14ac:dyDescent="0.45">
      <c r="B27" s="6">
        <f t="shared" si="5"/>
        <v>6.233943833943834</v>
      </c>
      <c r="C27" s="3">
        <v>3191</v>
      </c>
      <c r="D27" s="1">
        <f t="shared" si="7"/>
        <v>-4.8033531808211105E-3</v>
      </c>
      <c r="E27" s="1">
        <f t="shared" si="8"/>
        <v>1.701269194609837E-2</v>
      </c>
      <c r="F27" s="1">
        <f t="shared" si="9"/>
        <v>4.1039740676903609E-3</v>
      </c>
      <c r="G27" s="1">
        <f t="shared" ref="G27:AP27" si="14">(G8-$B8)/$B8</f>
        <v>9.1524992165465877E-3</v>
      </c>
      <c r="H27" s="1">
        <f t="shared" si="14"/>
        <v>4.8213726104669669E-3</v>
      </c>
      <c r="I27" s="1">
        <f t="shared" si="14"/>
        <v>1.701269194609837E-2</v>
      </c>
      <c r="J27" s="1">
        <f t="shared" si="14"/>
        <v>1.4606510498276421E-2</v>
      </c>
      <c r="K27" s="1">
        <f t="shared" si="14"/>
        <v>4.1797242243810286E-3</v>
      </c>
      <c r="L27" s="1">
        <f t="shared" si="14"/>
        <v>-4.0012926982137941E-3</v>
      </c>
      <c r="M27" s="1">
        <f t="shared" si="14"/>
        <v>1.1237856471325637E-2</v>
      </c>
      <c r="N27" s="1">
        <f t="shared" si="14"/>
        <v>8.1900266374177518E-3</v>
      </c>
      <c r="O27" s="1">
        <f t="shared" si="14"/>
        <v>6.4254935756815987E-3</v>
      </c>
      <c r="P27" s="1">
        <f t="shared" si="14"/>
        <v>3.5380758382952326E-3</v>
      </c>
      <c r="Q27" s="1">
        <f t="shared" si="14"/>
        <v>1.1398268567847016E-2</v>
      </c>
      <c r="R27" s="1">
        <f t="shared" si="14"/>
        <v>9.4733234095894844E-3</v>
      </c>
      <c r="S27" s="1">
        <f t="shared" si="14"/>
        <v>4.5005484174239262E-3</v>
      </c>
      <c r="T27" s="1">
        <f t="shared" si="14"/>
        <v>2.415191162644876E-3</v>
      </c>
      <c r="U27" s="1">
        <f t="shared" si="14"/>
        <v>-3.3596443121278563E-3</v>
      </c>
      <c r="V27" s="1">
        <f t="shared" si="14"/>
        <v>-3.0388201190849583E-3</v>
      </c>
      <c r="W27" s="1">
        <f t="shared" si="14"/>
        <v>1.6131306800375601E-3</v>
      </c>
      <c r="X27" s="1">
        <f t="shared" si="14"/>
        <v>-4.8033531808211105E-3</v>
      </c>
      <c r="Y27" s="1">
        <f t="shared" si="14"/>
        <v>-4.8033531808211105E-3</v>
      </c>
      <c r="Z27" s="1">
        <f t="shared" si="14"/>
        <v>8.5108508304606485E-3</v>
      </c>
      <c r="AA27" s="1">
        <f t="shared" si="14"/>
        <v>-1.5140238169859211E-4</v>
      </c>
      <c r="AB27" s="1">
        <f t="shared" si="14"/>
        <v>-1.1138749608272859E-3</v>
      </c>
      <c r="AC27" s="1">
        <f t="shared" si="14"/>
        <v>1.7735427765590804E-3</v>
      </c>
      <c r="AD27" s="1">
        <f t="shared" si="14"/>
        <v>3.2172516452521924E-3</v>
      </c>
      <c r="AE27" s="1">
        <f t="shared" si="14"/>
        <v>2.7360153556879167E-3</v>
      </c>
      <c r="AF27" s="1">
        <f t="shared" si="14"/>
        <v>6.5065810090886636E-4</v>
      </c>
      <c r="AG27" s="1">
        <f t="shared" si="14"/>
        <v>3.29833907865826E-4</v>
      </c>
      <c r="AH27" s="1">
        <f t="shared" si="14"/>
        <v>-1.5140238169859211E-4</v>
      </c>
      <c r="AI27" s="1">
        <f t="shared" si="14"/>
        <v>5.9442572861171808E-3</v>
      </c>
      <c r="AJ27" s="1">
        <f t="shared" si="14"/>
        <v>-1.4346991538703262E-3</v>
      </c>
      <c r="AK27" s="1">
        <f t="shared" si="14"/>
        <v>5.3026089000313848E-3</v>
      </c>
      <c r="AL27" s="1">
        <f t="shared" si="14"/>
        <v>-1.1138749608272859E-3</v>
      </c>
      <c r="AM27" s="1">
        <f t="shared" si="14"/>
        <v>8.5108508304606485E-3</v>
      </c>
      <c r="AN27" s="1">
        <f t="shared" si="14"/>
        <v>4.9817847069883441E-3</v>
      </c>
      <c r="AO27" s="1">
        <f t="shared" si="14"/>
        <v>4.1797242243810286E-3</v>
      </c>
      <c r="AP27" s="1">
        <f t="shared" si="14"/>
        <v>1.701269194609837E-2</v>
      </c>
    </row>
    <row r="28" spans="2:42" x14ac:dyDescent="0.45">
      <c r="B28" s="6">
        <f t="shared" si="5"/>
        <v>6.4</v>
      </c>
      <c r="C28" s="3">
        <v>3276</v>
      </c>
      <c r="D28" s="1">
        <f t="shared" si="7"/>
        <v>-5.1562500000000566E-3</v>
      </c>
      <c r="E28" s="1">
        <f t="shared" si="8"/>
        <v>1.5624999999999944E-2</v>
      </c>
      <c r="F28" s="1">
        <f t="shared" si="9"/>
        <v>3.7109374999999439E-3</v>
      </c>
      <c r="G28" s="1">
        <f t="shared" ref="G28:AP28" si="15">(G9-$B9)/$B9</f>
        <v>8.7500000000000078E-3</v>
      </c>
      <c r="H28" s="1">
        <f t="shared" si="15"/>
        <v>3.437499999999899E-3</v>
      </c>
      <c r="I28" s="1">
        <f t="shared" si="15"/>
        <v>1.5312499999999979E-2</v>
      </c>
      <c r="J28" s="1">
        <f t="shared" si="15"/>
        <v>1.3281249999999994E-2</v>
      </c>
      <c r="K28" s="1">
        <f t="shared" si="15"/>
        <v>3.5937499999999512E-3</v>
      </c>
      <c r="L28" s="1">
        <f t="shared" si="15"/>
        <v>-4.2187500000000211E-3</v>
      </c>
      <c r="M28" s="1">
        <f t="shared" si="15"/>
        <v>9.8437499999999567E-3</v>
      </c>
      <c r="N28" s="1">
        <f t="shared" si="15"/>
        <v>6.2500000000000056E-3</v>
      </c>
      <c r="O28" s="1">
        <f t="shared" si="15"/>
        <v>5.31249999999997E-3</v>
      </c>
      <c r="P28" s="1">
        <f t="shared" si="15"/>
        <v>4.5312499999999867E-3</v>
      </c>
      <c r="Q28" s="1">
        <f t="shared" si="15"/>
        <v>1.0468749999999888E-2</v>
      </c>
      <c r="R28" s="1">
        <f t="shared" si="15"/>
        <v>7.9687499999998856E-3</v>
      </c>
      <c r="S28" s="1">
        <f t="shared" si="15"/>
        <v>4.8437499999999523E-3</v>
      </c>
      <c r="T28" s="1">
        <f t="shared" si="15"/>
        <v>1.7187499999998801E-3</v>
      </c>
      <c r="U28" s="1">
        <f t="shared" si="15"/>
        <v>-3.7500000000000033E-3</v>
      </c>
      <c r="V28" s="1">
        <f t="shared" si="15"/>
        <v>-3.7500000000000033E-3</v>
      </c>
      <c r="W28" s="1">
        <f t="shared" si="15"/>
        <v>1.0937499999999489E-3</v>
      </c>
      <c r="X28" s="1">
        <f t="shared" si="15"/>
        <v>-5.1562500000000566E-3</v>
      </c>
      <c r="Y28" s="1">
        <f t="shared" si="15"/>
        <v>-4.843750000000091E-3</v>
      </c>
      <c r="Z28" s="1">
        <f t="shared" si="15"/>
        <v>7.9687499999998856E-3</v>
      </c>
      <c r="AA28" s="1">
        <f t="shared" si="15"/>
        <v>0</v>
      </c>
      <c r="AB28" s="1">
        <f t="shared" si="15"/>
        <v>-2.0312500000001232E-3</v>
      </c>
      <c r="AC28" s="1">
        <f t="shared" si="15"/>
        <v>1.4062499999999145E-3</v>
      </c>
      <c r="AD28" s="1">
        <f t="shared" si="15"/>
        <v>3.437499999999899E-3</v>
      </c>
      <c r="AE28" s="1">
        <f t="shared" si="15"/>
        <v>3.437499999999899E-3</v>
      </c>
      <c r="AF28" s="1">
        <f t="shared" si="15"/>
        <v>1.0937499999999489E-3</v>
      </c>
      <c r="AG28" s="1">
        <f t="shared" si="15"/>
        <v>1.7187499999998801E-3</v>
      </c>
      <c r="AH28" s="1">
        <f t="shared" si="15"/>
        <v>0</v>
      </c>
      <c r="AI28" s="1">
        <f t="shared" si="15"/>
        <v>5.9374999999999012E-3</v>
      </c>
      <c r="AJ28" s="1">
        <f t="shared" si="15"/>
        <v>0</v>
      </c>
      <c r="AK28" s="1">
        <f t="shared" si="15"/>
        <v>5.1562499999999178E-3</v>
      </c>
      <c r="AL28" s="1">
        <f t="shared" si="15"/>
        <v>-1.7187500000000189E-3</v>
      </c>
      <c r="AM28" s="1">
        <f t="shared" si="15"/>
        <v>8.7500000000000078E-3</v>
      </c>
      <c r="AN28" s="1">
        <f t="shared" si="15"/>
        <v>4.2187499999998823E-3</v>
      </c>
      <c r="AO28" s="1">
        <f t="shared" si="15"/>
        <v>3.9062499999999167E-3</v>
      </c>
      <c r="AP28" s="1">
        <f t="shared" si="15"/>
        <v>1.5624999999999944E-2</v>
      </c>
    </row>
    <row r="29" spans="2:42" x14ac:dyDescent="0.45">
      <c r="B29" s="6">
        <f t="shared" si="5"/>
        <v>8</v>
      </c>
      <c r="C29" s="3">
        <v>4095</v>
      </c>
      <c r="D29" s="1">
        <f t="shared" si="7"/>
        <v>-7.0000000000000062E-3</v>
      </c>
      <c r="E29" s="1">
        <f t="shared" si="8"/>
        <v>1.2499999999999956E-2</v>
      </c>
      <c r="F29" s="1">
        <f t="shared" si="9"/>
        <v>2.0486111111111013E-3</v>
      </c>
      <c r="G29" s="1">
        <f t="shared" ref="G29:AP29" si="16">(G10-$B10)/$B10</f>
        <v>5.7499999999999218E-3</v>
      </c>
      <c r="H29" s="1">
        <f t="shared" si="16"/>
        <v>8.7499999999995914E-4</v>
      </c>
      <c r="I29" s="1">
        <f t="shared" si="16"/>
        <v>1.1125000000000052E-2</v>
      </c>
      <c r="J29" s="1">
        <f t="shared" si="16"/>
        <v>9.7499999999999254E-3</v>
      </c>
      <c r="K29" s="1">
        <f t="shared" si="16"/>
        <v>5.7499999999999218E-3</v>
      </c>
      <c r="L29" s="1">
        <f t="shared" si="16"/>
        <v>-3.3750000000000169E-3</v>
      </c>
      <c r="M29" s="1">
        <f t="shared" si="16"/>
        <v>5.7499999999999218E-3</v>
      </c>
      <c r="N29" s="1">
        <f t="shared" si="16"/>
        <v>4.1249999999999343E-3</v>
      </c>
      <c r="O29" s="1">
        <f t="shared" si="16"/>
        <v>3.2499999999999751E-3</v>
      </c>
      <c r="P29" s="1">
        <f t="shared" si="16"/>
        <v>1.2499999999999956E-2</v>
      </c>
      <c r="Q29" s="1">
        <f t="shared" si="16"/>
        <v>7.5000000000000622E-3</v>
      </c>
      <c r="R29" s="1">
        <f t="shared" si="16"/>
        <v>2.9999999999998916E-3</v>
      </c>
      <c r="S29" s="1">
        <f t="shared" si="16"/>
        <v>1.8750000000000711E-3</v>
      </c>
      <c r="T29" s="1">
        <f t="shared" si="16"/>
        <v>2.5000000000008349E-4</v>
      </c>
      <c r="U29" s="1">
        <f t="shared" si="16"/>
        <v>-3.3750000000000169E-3</v>
      </c>
      <c r="V29" s="1">
        <f t="shared" si="16"/>
        <v>-3.6249999999999893E-3</v>
      </c>
      <c r="W29" s="1">
        <f t="shared" si="16"/>
        <v>0</v>
      </c>
      <c r="X29" s="1">
        <f t="shared" si="16"/>
        <v>-7.0000000000000062E-3</v>
      </c>
      <c r="Y29" s="1">
        <f t="shared" si="16"/>
        <v>-5.6249999999999911E-3</v>
      </c>
      <c r="Z29" s="1">
        <f t="shared" si="16"/>
        <v>3.2499999999999751E-3</v>
      </c>
      <c r="AA29" s="1">
        <f t="shared" si="16"/>
        <v>-2.0000000000000018E-3</v>
      </c>
      <c r="AB29" s="1">
        <f t="shared" si="16"/>
        <v>-1.7500000000000293E-3</v>
      </c>
      <c r="AC29" s="1">
        <f t="shared" si="16"/>
        <v>-8.7499999999995914E-4</v>
      </c>
      <c r="AD29" s="1">
        <f t="shared" si="16"/>
        <v>-6.2499999999998668E-4</v>
      </c>
      <c r="AE29" s="1">
        <f t="shared" si="16"/>
        <v>1.6249999999999876E-3</v>
      </c>
      <c r="AF29" s="1">
        <f t="shared" si="16"/>
        <v>3.2499999999999751E-3</v>
      </c>
      <c r="AG29" s="1">
        <f t="shared" si="16"/>
        <v>5.5000000000000604E-3</v>
      </c>
      <c r="AH29" s="1">
        <f t="shared" si="16"/>
        <v>-1.6249999999999876E-3</v>
      </c>
      <c r="AI29" s="1">
        <f t="shared" si="16"/>
        <v>2.7500000000000302E-3</v>
      </c>
      <c r="AJ29" s="1">
        <f t="shared" si="16"/>
        <v>2.7500000000000302E-3</v>
      </c>
      <c r="AK29" s="1">
        <f t="shared" si="16"/>
        <v>1.8750000000000711E-3</v>
      </c>
      <c r="AL29" s="1">
        <f t="shared" si="16"/>
        <v>-6.2499999999998668E-4</v>
      </c>
      <c r="AM29" s="1">
        <f t="shared" si="16"/>
        <v>4.9999999999998934E-3</v>
      </c>
      <c r="AN29" s="1">
        <f t="shared" si="16"/>
        <v>8.7499999999995914E-4</v>
      </c>
      <c r="AO29" s="1">
        <f t="shared" si="16"/>
        <v>-2.4999999999997247E-4</v>
      </c>
      <c r="AP29" s="1">
        <f t="shared" si="16"/>
        <v>6.1249999999999361E-3</v>
      </c>
    </row>
    <row r="30" spans="2:42" x14ac:dyDescent="0.45">
      <c r="B30" s="6">
        <f t="shared" ref="B30:B37" si="17">32*C30/4095</f>
        <v>2.7584859584859585</v>
      </c>
      <c r="C30" s="4">
        <v>353</v>
      </c>
      <c r="D30" s="1">
        <f t="shared" si="7"/>
        <v>-4.7665987960340016E-2</v>
      </c>
      <c r="E30" s="1">
        <f t="shared" si="8"/>
        <v>0.11691705028328611</v>
      </c>
      <c r="F30" s="1">
        <f t="shared" si="9"/>
        <v>2.8613779213881037E-2</v>
      </c>
      <c r="G30" s="1">
        <f t="shared" ref="G30:AP30" si="18">(G11-$B11)/$B11</f>
        <v>5.6376593484419327E-2</v>
      </c>
      <c r="H30" s="1">
        <f t="shared" si="18"/>
        <v>8.1390315155807413E-2</v>
      </c>
      <c r="I30" s="1">
        <f t="shared" si="18"/>
        <v>7.1602337110481584E-2</v>
      </c>
      <c r="J30" s="1">
        <f t="shared" si="18"/>
        <v>7.2689890226628931E-2</v>
      </c>
      <c r="K30" s="1">
        <f t="shared" si="18"/>
        <v>3.2087907223796036E-2</v>
      </c>
      <c r="L30" s="1">
        <f t="shared" si="18"/>
        <v>2.0849858356940462E-2</v>
      </c>
      <c r="M30" s="1">
        <f t="shared" si="18"/>
        <v>8.3927939093484505E-2</v>
      </c>
      <c r="N30" s="1">
        <f t="shared" si="18"/>
        <v>4.5138544617563753E-2</v>
      </c>
      <c r="O30" s="1">
        <f t="shared" si="18"/>
        <v>5.4926522662889582E-2</v>
      </c>
      <c r="P30" s="1">
        <f t="shared" si="18"/>
        <v>-4.7665987960340016E-2</v>
      </c>
      <c r="Q30" s="1">
        <f t="shared" si="18"/>
        <v>6.8702195467422095E-2</v>
      </c>
      <c r="R30" s="1">
        <f t="shared" si="18"/>
        <v>8.2115350566572209E-2</v>
      </c>
      <c r="S30" s="1">
        <f t="shared" si="18"/>
        <v>1.0699362606232237E-2</v>
      </c>
      <c r="T30" s="1">
        <f t="shared" si="18"/>
        <v>4.1740439093484591E-3</v>
      </c>
      <c r="U30" s="1">
        <f t="shared" si="18"/>
        <v>-2.1927230878186973E-2</v>
      </c>
      <c r="V30" s="1">
        <f t="shared" si="18"/>
        <v>-1.4314359065155846E-2</v>
      </c>
      <c r="W30" s="1">
        <f t="shared" si="18"/>
        <v>-8.8765934844192585E-3</v>
      </c>
      <c r="X30" s="1">
        <f t="shared" si="18"/>
        <v>-9.0120396600573336E-4</v>
      </c>
      <c r="Y30" s="1">
        <f t="shared" si="18"/>
        <v>-8.8765934844192585E-3</v>
      </c>
      <c r="Z30" s="1">
        <f t="shared" si="18"/>
        <v>4.1875885269121865E-2</v>
      </c>
      <c r="AA30" s="1">
        <f t="shared" si="18"/>
        <v>4.1740439093484591E-3</v>
      </c>
      <c r="AB30" s="1">
        <f t="shared" si="18"/>
        <v>-1.5401912181303035E-2</v>
      </c>
      <c r="AC30" s="1">
        <f t="shared" si="18"/>
        <v>1.359950424929173E-2</v>
      </c>
      <c r="AD30" s="1">
        <f t="shared" si="18"/>
        <v>2.5925106232294656E-2</v>
      </c>
      <c r="AE30" s="1">
        <f t="shared" si="18"/>
        <v>3.2087907223796036E-2</v>
      </c>
      <c r="AF30" s="1">
        <f t="shared" si="18"/>
        <v>-9.6016288951840511E-3</v>
      </c>
      <c r="AG30" s="1">
        <f t="shared" si="18"/>
        <v>-2.3377301699716722E-2</v>
      </c>
      <c r="AH30" s="1">
        <f t="shared" si="18"/>
        <v>2.9912800991501499E-2</v>
      </c>
      <c r="AI30" s="1">
        <f t="shared" si="18"/>
        <v>4.2963438385269052E-2</v>
      </c>
      <c r="AJ30" s="1">
        <f t="shared" si="18"/>
        <v>-2.0839677762039623E-2</v>
      </c>
      <c r="AK30" s="1">
        <f t="shared" si="18"/>
        <v>5.0938827903682739E-2</v>
      </c>
      <c r="AL30" s="1">
        <f t="shared" si="18"/>
        <v>-1.7616855524077969E-4</v>
      </c>
      <c r="AM30" s="1">
        <f t="shared" si="18"/>
        <v>4.7676168555240851E-2</v>
      </c>
      <c r="AN30" s="1">
        <f t="shared" si="18"/>
        <v>5.6376593484419327E-2</v>
      </c>
      <c r="AO30" s="1">
        <f t="shared" si="18"/>
        <v>5.4926522662889582E-2</v>
      </c>
      <c r="AP30" s="1">
        <f t="shared" si="18"/>
        <v>0.11691705028328611</v>
      </c>
    </row>
    <row r="31" spans="2:42" x14ac:dyDescent="0.45">
      <c r="B31" s="6">
        <f t="shared" si="17"/>
        <v>3.9462759462759465</v>
      </c>
      <c r="C31" s="4">
        <v>505</v>
      </c>
      <c r="D31" s="1">
        <f t="shared" si="7"/>
        <v>-5.809931930693072E-2</v>
      </c>
      <c r="E31" s="1">
        <f t="shared" si="8"/>
        <v>9.3689356435643467E-2</v>
      </c>
      <c r="F31" s="1">
        <f t="shared" si="9"/>
        <v>1.8653774752475209E-2</v>
      </c>
      <c r="G31" s="1">
        <f t="shared" ref="G31:AP31" si="19">(G12-$B12)/$B12</f>
        <v>3.5659962871287011E-2</v>
      </c>
      <c r="H31" s="1">
        <f t="shared" si="19"/>
        <v>6.0240099009900981E-2</v>
      </c>
      <c r="I31" s="1">
        <f t="shared" si="19"/>
        <v>4.7823329207920685E-2</v>
      </c>
      <c r="J31" s="1">
        <f t="shared" si="19"/>
        <v>5.0103960396039586E-2</v>
      </c>
      <c r="K31" s="1">
        <f t="shared" si="19"/>
        <v>1.5894492574257464E-2</v>
      </c>
      <c r="L31" s="1">
        <f t="shared" si="19"/>
        <v>9.5594059405940072E-3</v>
      </c>
      <c r="M31" s="1">
        <f t="shared" si="19"/>
        <v>6.0240099009900981E-2</v>
      </c>
      <c r="N31" s="1">
        <f t="shared" si="19"/>
        <v>2.6030631188118859E-2</v>
      </c>
      <c r="O31" s="1">
        <f t="shared" si="19"/>
        <v>3.7180383663366276E-2</v>
      </c>
      <c r="P31" s="1">
        <f t="shared" si="19"/>
        <v>-5.809931930693072E-2</v>
      </c>
      <c r="Q31" s="1">
        <f t="shared" si="19"/>
        <v>4.6809715346534664E-2</v>
      </c>
      <c r="R31" s="1">
        <f t="shared" si="19"/>
        <v>5.8719678217821716E-2</v>
      </c>
      <c r="S31" s="1">
        <f t="shared" si="19"/>
        <v>1.031961633663364E-2</v>
      </c>
      <c r="T31" s="1">
        <f t="shared" si="19"/>
        <v>4.9981435643564357E-3</v>
      </c>
      <c r="U31" s="1">
        <f t="shared" si="19"/>
        <v>-1.7301361386138633E-2</v>
      </c>
      <c r="V31" s="1">
        <f t="shared" si="19"/>
        <v>-1.0206064356435656E-2</v>
      </c>
      <c r="W31" s="1">
        <f t="shared" si="19"/>
        <v>-8.432240099009997E-3</v>
      </c>
      <c r="X31" s="1">
        <f t="shared" si="19"/>
        <v>1.1970915841583846E-3</v>
      </c>
      <c r="Y31" s="1">
        <f t="shared" si="19"/>
        <v>-4.8845915841584523E-3</v>
      </c>
      <c r="Z31" s="1">
        <f t="shared" si="19"/>
        <v>3.7180383663366276E-2</v>
      </c>
      <c r="AA31" s="1">
        <f t="shared" si="19"/>
        <v>5.251547029702942E-3</v>
      </c>
      <c r="AB31" s="1">
        <f t="shared" si="19"/>
        <v>-1.2993502475247568E-2</v>
      </c>
      <c r="AC31" s="1">
        <f t="shared" si="19"/>
        <v>1.1333230198019779E-2</v>
      </c>
      <c r="AD31" s="1">
        <f t="shared" si="19"/>
        <v>2.2482982673267312E-2</v>
      </c>
      <c r="AE31" s="1">
        <f t="shared" si="19"/>
        <v>2.0455754950495033E-2</v>
      </c>
      <c r="AF31" s="1">
        <f t="shared" si="19"/>
        <v>-1.7301361386138633E-2</v>
      </c>
      <c r="AG31" s="1">
        <f t="shared" si="19"/>
        <v>-3.1491955445544582E-2</v>
      </c>
      <c r="AH31" s="1">
        <f t="shared" si="19"/>
        <v>2.0962561881188047E-2</v>
      </c>
      <c r="AI31" s="1">
        <f t="shared" si="19"/>
        <v>3.1605507425742453E-2</v>
      </c>
      <c r="AJ31" s="1">
        <f t="shared" si="19"/>
        <v>-2.6423886138613888E-2</v>
      </c>
      <c r="AK31" s="1">
        <f t="shared" si="19"/>
        <v>3.7180383663366276E-2</v>
      </c>
      <c r="AL31" s="1">
        <f t="shared" si="19"/>
        <v>-5.6448019801980847E-3</v>
      </c>
      <c r="AM31" s="1">
        <f t="shared" si="19"/>
        <v>3.4899752475247382E-2</v>
      </c>
      <c r="AN31" s="1">
        <f t="shared" si="19"/>
        <v>4.2755259900990106E-2</v>
      </c>
      <c r="AO31" s="1">
        <f t="shared" si="19"/>
        <v>4.1741646039603848E-2</v>
      </c>
      <c r="AP31" s="1">
        <f t="shared" si="19"/>
        <v>9.3689356435643467E-2</v>
      </c>
    </row>
    <row r="32" spans="2:42" x14ac:dyDescent="0.45">
      <c r="B32" s="6">
        <f t="shared" si="17"/>
        <v>6.2515262515262515</v>
      </c>
      <c r="C32" s="4">
        <v>800</v>
      </c>
      <c r="D32" s="1">
        <f t="shared" si="7"/>
        <v>-5.2391406249999939E-2</v>
      </c>
      <c r="E32" s="1">
        <f t="shared" si="8"/>
        <v>7.0458593750000034E-2</v>
      </c>
      <c r="F32" s="1">
        <f t="shared" si="9"/>
        <v>1.3459179687499998E-2</v>
      </c>
      <c r="G32" s="1">
        <f t="shared" ref="G32:AP32" si="20">(G13-$B13)/$B13</f>
        <v>2.7269140624999955E-2</v>
      </c>
      <c r="H32" s="1">
        <f t="shared" si="20"/>
        <v>4.8383984375000043E-2</v>
      </c>
      <c r="I32" s="1">
        <f t="shared" si="20"/>
        <v>3.3667578124999958E-2</v>
      </c>
      <c r="J32" s="1">
        <f t="shared" si="20"/>
        <v>3.7986523437499982E-2</v>
      </c>
      <c r="K32" s="1">
        <f t="shared" si="20"/>
        <v>1.1273046875000012E-2</v>
      </c>
      <c r="L32" s="1">
        <f t="shared" si="20"/>
        <v>8.0738281249999374E-3</v>
      </c>
      <c r="M32" s="1">
        <f t="shared" si="20"/>
        <v>4.518476562499997E-2</v>
      </c>
      <c r="N32" s="1">
        <f t="shared" si="20"/>
        <v>1.8791210937499966E-2</v>
      </c>
      <c r="O32" s="1">
        <f t="shared" si="20"/>
        <v>2.9028710937499973E-2</v>
      </c>
      <c r="P32" s="1">
        <f t="shared" si="20"/>
        <v>-5.2391406249999939E-2</v>
      </c>
      <c r="Q32" s="1">
        <f t="shared" si="20"/>
        <v>3.5267187500000068E-2</v>
      </c>
      <c r="R32" s="1">
        <f t="shared" si="20"/>
        <v>4.4704882812499951E-2</v>
      </c>
      <c r="S32" s="1">
        <f t="shared" si="20"/>
        <v>7.7539062499999726E-3</v>
      </c>
      <c r="T32" s="1">
        <f t="shared" si="20"/>
        <v>4.5546875000000405E-3</v>
      </c>
      <c r="U32" s="1">
        <f t="shared" si="20"/>
        <v>-1.3200976562500064E-2</v>
      </c>
      <c r="V32" s="1">
        <f t="shared" si="20"/>
        <v>-6.4826171874999517E-3</v>
      </c>
      <c r="W32" s="1">
        <f t="shared" si="20"/>
        <v>-7.9222656250000061E-3</v>
      </c>
      <c r="X32" s="1">
        <f t="shared" si="20"/>
        <v>3.1150390624999861E-3</v>
      </c>
      <c r="Y32" s="1">
        <f t="shared" si="20"/>
        <v>-2.4835937500000366E-3</v>
      </c>
      <c r="Z32" s="1">
        <f t="shared" si="20"/>
        <v>2.9828515624999958E-2</v>
      </c>
      <c r="AA32" s="1">
        <f t="shared" si="20"/>
        <v>2.7951171875000213E-3</v>
      </c>
      <c r="AB32" s="1">
        <f t="shared" si="20"/>
        <v>-1.0801562499999973E-2</v>
      </c>
      <c r="AC32" s="1">
        <f t="shared" si="20"/>
        <v>9.5134765624999926E-3</v>
      </c>
      <c r="AD32" s="1">
        <f t="shared" si="20"/>
        <v>1.7031640624999945E-2</v>
      </c>
      <c r="AE32" s="1">
        <f t="shared" si="20"/>
        <v>1.4472265624999942E-2</v>
      </c>
      <c r="AF32" s="1">
        <f t="shared" si="20"/>
        <v>-1.7519921874999945E-2</v>
      </c>
      <c r="AG32" s="1">
        <f t="shared" si="20"/>
        <v>-2.9516992187499973E-2</v>
      </c>
      <c r="AH32" s="1">
        <f t="shared" si="20"/>
        <v>1.6711718749999979E-2</v>
      </c>
      <c r="AI32" s="1">
        <f t="shared" si="20"/>
        <v>2.5189648437499969E-2</v>
      </c>
      <c r="AJ32" s="1">
        <f t="shared" si="20"/>
        <v>-2.5358007812500003E-2</v>
      </c>
      <c r="AK32" s="1">
        <f t="shared" si="20"/>
        <v>2.7749023437499971E-2</v>
      </c>
      <c r="AL32" s="1">
        <f t="shared" si="20"/>
        <v>-7.1224609375000227E-3</v>
      </c>
      <c r="AM32" s="1">
        <f t="shared" si="20"/>
        <v>2.4549804687500041E-2</v>
      </c>
      <c r="AN32" s="1">
        <f t="shared" si="20"/>
        <v>3.2707812500000065E-2</v>
      </c>
      <c r="AO32" s="1">
        <f t="shared" si="20"/>
        <v>3.1268164062500013E-2</v>
      </c>
      <c r="AP32" s="1">
        <f t="shared" si="20"/>
        <v>7.0458593750000034E-2</v>
      </c>
    </row>
    <row r="33" spans="2:42" x14ac:dyDescent="0.45">
      <c r="B33" s="6">
        <f t="shared" si="17"/>
        <v>17.191697191697191</v>
      </c>
      <c r="C33" s="4">
        <v>2200</v>
      </c>
      <c r="D33" s="1">
        <f t="shared" si="7"/>
        <v>-2.4994460227272662E-2</v>
      </c>
      <c r="E33" s="1">
        <f t="shared" si="8"/>
        <v>3.0264772727272755E-2</v>
      </c>
      <c r="F33" s="1">
        <f t="shared" si="9"/>
        <v>4.6306285511363973E-3</v>
      </c>
      <c r="G33" s="1">
        <f t="shared" ref="G33:AP33" si="21">(G14-$B14)/$B14</f>
        <v>9.557102272727408E-3</v>
      </c>
      <c r="H33" s="1">
        <f t="shared" si="21"/>
        <v>2.0550781250000139E-2</v>
      </c>
      <c r="I33" s="1">
        <f t="shared" si="21"/>
        <v>1.1302130681818177E-2</v>
      </c>
      <c r="J33" s="1">
        <f t="shared" si="21"/>
        <v>1.5664701704545408E-2</v>
      </c>
      <c r="K33" s="1">
        <f t="shared" si="21"/>
        <v>4.147514204545592E-3</v>
      </c>
      <c r="L33" s="1">
        <f t="shared" si="21"/>
        <v>2.3443181818181818E-3</v>
      </c>
      <c r="M33" s="1">
        <f t="shared" si="21"/>
        <v>1.8805752840909164E-2</v>
      </c>
      <c r="N33" s="1">
        <f t="shared" si="21"/>
        <v>5.3108664772728402E-3</v>
      </c>
      <c r="O33" s="1">
        <f t="shared" si="21"/>
        <v>1.0720454545454656E-2</v>
      </c>
      <c r="P33" s="1">
        <f t="shared" si="21"/>
        <v>-2.4994460227272662E-2</v>
      </c>
      <c r="Q33" s="1">
        <f t="shared" si="21"/>
        <v>1.2058309659091002E-2</v>
      </c>
      <c r="R33" s="1">
        <f t="shared" si="21"/>
        <v>1.6188210227272702E-2</v>
      </c>
      <c r="S33" s="1">
        <f t="shared" si="21"/>
        <v>2.5028409090921817E-4</v>
      </c>
      <c r="T33" s="1">
        <f t="shared" si="21"/>
        <v>2.2279829545455189E-3</v>
      </c>
      <c r="U33" s="1">
        <f t="shared" si="21"/>
        <v>-6.9625000000000086E-3</v>
      </c>
      <c r="V33" s="1">
        <f t="shared" si="21"/>
        <v>-3.2397727272727326E-3</v>
      </c>
      <c r="W33" s="1">
        <f t="shared" si="21"/>
        <v>-4.9266335227272726E-3</v>
      </c>
      <c r="X33" s="1">
        <f t="shared" si="21"/>
        <v>5.4112215909097846E-4</v>
      </c>
      <c r="Y33" s="1">
        <f t="shared" si="21"/>
        <v>-1.9019176136363869E-3</v>
      </c>
      <c r="Z33" s="1">
        <f t="shared" si="21"/>
        <v>1.4734019886363693E-2</v>
      </c>
      <c r="AA33" s="1">
        <f t="shared" si="21"/>
        <v>2.3443181818181818E-3</v>
      </c>
      <c r="AB33" s="1">
        <f t="shared" si="21"/>
        <v>-5.973650568181858E-3</v>
      </c>
      <c r="AC33" s="1">
        <f t="shared" si="21"/>
        <v>4.6710227272726782E-3</v>
      </c>
      <c r="AD33" s="1">
        <f t="shared" si="21"/>
        <v>6.8813920454545109E-3</v>
      </c>
      <c r="AE33" s="1">
        <f t="shared" si="21"/>
        <v>4.0311789772727227E-3</v>
      </c>
      <c r="AF33" s="1">
        <f t="shared" si="21"/>
        <v>-8.0095170454545939E-3</v>
      </c>
      <c r="AG33" s="1">
        <f t="shared" si="21"/>
        <v>-1.341910511363641E-2</v>
      </c>
      <c r="AH33" s="1">
        <f t="shared" si="21"/>
        <v>6.8813920454545109E-3</v>
      </c>
      <c r="AI33" s="1">
        <f t="shared" si="21"/>
        <v>7.8702414772728688E-3</v>
      </c>
      <c r="AJ33" s="1">
        <f t="shared" si="21"/>
        <v>-1.2139417613636292E-2</v>
      </c>
      <c r="AK33" s="1">
        <f t="shared" si="21"/>
        <v>1.1883806818181904E-2</v>
      </c>
      <c r="AL33" s="1">
        <f t="shared" si="21"/>
        <v>-5.7991477272727604E-3</v>
      </c>
      <c r="AM33" s="1">
        <f t="shared" si="21"/>
        <v>8.0447443181817582E-3</v>
      </c>
      <c r="AN33" s="1">
        <f t="shared" si="21"/>
        <v>1.4617684659091031E-2</v>
      </c>
      <c r="AO33" s="1">
        <f t="shared" si="21"/>
        <v>1.2174644886363665E-2</v>
      </c>
      <c r="AP33" s="1">
        <f t="shared" si="21"/>
        <v>3.0264772727272755E-2</v>
      </c>
    </row>
    <row r="34" spans="2:42" x14ac:dyDescent="0.45">
      <c r="B34" s="6">
        <f t="shared" si="17"/>
        <v>23.443223443223442</v>
      </c>
      <c r="C34" s="4">
        <v>3000</v>
      </c>
      <c r="D34" s="1">
        <f t="shared" si="7"/>
        <v>-1.2550468749999894E-2</v>
      </c>
      <c r="E34" s="1">
        <f t="shared" si="8"/>
        <v>1.9527031250000059E-2</v>
      </c>
      <c r="F34" s="1">
        <f t="shared" si="9"/>
        <v>3.2927734375000632E-3</v>
      </c>
      <c r="G34" s="1">
        <f t="shared" ref="G34:AP34" si="22">(G15-$B15)/$B15</f>
        <v>7.6685937500001146E-3</v>
      </c>
      <c r="H34" s="1">
        <f t="shared" si="22"/>
        <v>1.393906250000005E-2</v>
      </c>
      <c r="I34" s="1">
        <f t="shared" si="22"/>
        <v>7.1993749999999957E-3</v>
      </c>
      <c r="J34" s="1">
        <f t="shared" si="22"/>
        <v>1.2318125000000039E-2</v>
      </c>
      <c r="K34" s="1">
        <f t="shared" si="22"/>
        <v>3.3176562500001013E-3</v>
      </c>
      <c r="L34" s="1">
        <f t="shared" si="22"/>
        <v>1.6967187500000903E-3</v>
      </c>
      <c r="M34" s="1">
        <f t="shared" si="22"/>
        <v>1.2702031250000053E-2</v>
      </c>
      <c r="N34" s="1">
        <f t="shared" si="22"/>
        <v>3.6162500000000118E-3</v>
      </c>
      <c r="O34" s="1">
        <f t="shared" si="22"/>
        <v>6.3462500000000142E-3</v>
      </c>
      <c r="P34" s="1">
        <f t="shared" si="22"/>
        <v>-1.2550468749999894E-2</v>
      </c>
      <c r="Q34" s="1">
        <f t="shared" si="22"/>
        <v>8.820312500000007E-3</v>
      </c>
      <c r="R34" s="1">
        <f t="shared" si="22"/>
        <v>8.6070312500000495E-3</v>
      </c>
      <c r="S34" s="1">
        <f t="shared" si="22"/>
        <v>-4.7874999999999226E-4</v>
      </c>
      <c r="T34" s="1">
        <f t="shared" si="22"/>
        <v>1.7820312500000431E-3</v>
      </c>
      <c r="U34" s="1">
        <f t="shared" si="22"/>
        <v>-5.6828124999999874E-3</v>
      </c>
      <c r="V34" s="1">
        <f t="shared" si="22"/>
        <v>-3.038124999999938E-3</v>
      </c>
      <c r="W34" s="1">
        <f t="shared" si="22"/>
        <v>-3.4220312499999525E-3</v>
      </c>
      <c r="X34" s="1">
        <f t="shared" si="22"/>
        <v>-1.6304687499998844E-3</v>
      </c>
      <c r="Y34" s="1">
        <f t="shared" si="22"/>
        <v>-2.6542187499999231E-3</v>
      </c>
      <c r="Z34" s="1">
        <f t="shared" si="22"/>
        <v>9.1189062500000688E-3</v>
      </c>
      <c r="AA34" s="1">
        <f t="shared" si="22"/>
        <v>2.1659375000000576E-3</v>
      </c>
      <c r="AB34" s="1">
        <f t="shared" si="22"/>
        <v>-5.0429687499999633E-3</v>
      </c>
      <c r="AC34" s="1">
        <f t="shared" si="22"/>
        <v>3.3176562500001013E-3</v>
      </c>
      <c r="AD34" s="1">
        <f t="shared" si="22"/>
        <v>3.0190625000000395E-3</v>
      </c>
      <c r="AE34" s="1">
        <f t="shared" si="22"/>
        <v>3.3176562500001013E-3</v>
      </c>
      <c r="AF34" s="1">
        <f t="shared" si="22"/>
        <v>-2.7821874999999284E-3</v>
      </c>
      <c r="AG34" s="1">
        <f t="shared" si="22"/>
        <v>-5.9814062499998983E-3</v>
      </c>
      <c r="AH34" s="1">
        <f t="shared" si="22"/>
        <v>5.2371875000000231E-3</v>
      </c>
      <c r="AI34" s="1">
        <f t="shared" si="22"/>
        <v>6.3462500000000142E-3</v>
      </c>
      <c r="AJ34" s="1">
        <f t="shared" si="22"/>
        <v>-4.9576562499998589E-3</v>
      </c>
      <c r="AK34" s="1">
        <f t="shared" si="22"/>
        <v>8.1378125000000825E-3</v>
      </c>
      <c r="AL34" s="1">
        <f t="shared" si="22"/>
        <v>-3.038124999999938E-3</v>
      </c>
      <c r="AM34" s="1">
        <f t="shared" si="22"/>
        <v>3.7015625000001158E-3</v>
      </c>
      <c r="AN34" s="1">
        <f t="shared" si="22"/>
        <v>9.7587500000000937E-3</v>
      </c>
      <c r="AO34" s="1">
        <f t="shared" si="22"/>
        <v>8.1378125000000825E-3</v>
      </c>
      <c r="AP34" s="1">
        <f t="shared" si="22"/>
        <v>1.9527031250000059E-2</v>
      </c>
    </row>
    <row r="35" spans="2:42" x14ac:dyDescent="0.45">
      <c r="B35" s="6">
        <f t="shared" si="17"/>
        <v>24.935775335775336</v>
      </c>
      <c r="C35" s="4">
        <v>3191</v>
      </c>
      <c r="D35" s="1">
        <f t="shared" si="7"/>
        <v>-8.9339646662487948E-3</v>
      </c>
      <c r="E35" s="1">
        <f t="shared" si="8"/>
        <v>1.9098049200877421E-2</v>
      </c>
      <c r="F35" s="1">
        <f t="shared" si="9"/>
        <v>3.7296791758069567E-3</v>
      </c>
      <c r="G35" s="1">
        <f t="shared" ref="G35:AP35" si="23">(G16-$B16)/$B16</f>
        <v>7.0270389376371209E-3</v>
      </c>
      <c r="H35" s="1">
        <f t="shared" si="23"/>
        <v>1.3563831870886896E-2</v>
      </c>
      <c r="I35" s="1">
        <f t="shared" si="23"/>
        <v>7.3077601065496033E-3</v>
      </c>
      <c r="J35" s="1">
        <f t="shared" si="23"/>
        <v>1.1879504857411433E-2</v>
      </c>
      <c r="K35" s="1">
        <f t="shared" si="23"/>
        <v>3.4578697900344013E-3</v>
      </c>
      <c r="L35" s="1">
        <f t="shared" si="23"/>
        <v>2.2547790661234983E-3</v>
      </c>
      <c r="M35" s="1">
        <f t="shared" si="23"/>
        <v>1.1879504857411433E-2</v>
      </c>
      <c r="N35" s="1">
        <f t="shared" si="23"/>
        <v>3.6583849106863369E-3</v>
      </c>
      <c r="O35" s="1">
        <f t="shared" si="23"/>
        <v>5.6234330930742824E-3</v>
      </c>
      <c r="P35" s="1">
        <f t="shared" si="23"/>
        <v>-8.9339646662487948E-3</v>
      </c>
      <c r="Q35" s="1">
        <f t="shared" si="23"/>
        <v>8.6712629269821689E-3</v>
      </c>
      <c r="R35" s="1">
        <f t="shared" si="23"/>
        <v>6.9468328893764328E-3</v>
      </c>
      <c r="S35" s="1">
        <f t="shared" si="23"/>
        <v>-1.1129935756817644E-4</v>
      </c>
      <c r="T35" s="1">
        <f t="shared" si="23"/>
        <v>2.7761183798181896E-3</v>
      </c>
      <c r="U35" s="1">
        <f t="shared" si="23"/>
        <v>-4.2018078188655883E-3</v>
      </c>
      <c r="V35" s="1">
        <f t="shared" si="23"/>
        <v>-2.316965684738331E-3</v>
      </c>
      <c r="W35" s="1">
        <f t="shared" si="23"/>
        <v>-1.1539779849577016E-3</v>
      </c>
      <c r="X35" s="1">
        <f t="shared" si="23"/>
        <v>-9.9356588843618125E-4</v>
      </c>
      <c r="Y35" s="1">
        <f t="shared" si="23"/>
        <v>-1.6753172986525354E-3</v>
      </c>
      <c r="Z35" s="1">
        <f t="shared" si="23"/>
        <v>9.2728082889376919E-3</v>
      </c>
      <c r="AA35" s="1">
        <f t="shared" si="23"/>
        <v>3.0167365246003986E-3</v>
      </c>
      <c r="AB35" s="1">
        <f t="shared" si="23"/>
        <v>-3.6403654810404809E-3</v>
      </c>
      <c r="AC35" s="1">
        <f t="shared" si="23"/>
        <v>3.6583849106863369E-3</v>
      </c>
      <c r="AD35" s="1">
        <f t="shared" si="23"/>
        <v>3.4578697900344013E-3</v>
      </c>
      <c r="AE35" s="1">
        <f t="shared" si="23"/>
        <v>3.8589000313381306E-3</v>
      </c>
      <c r="AF35" s="1">
        <f t="shared" si="23"/>
        <v>-9.9356588843618125E-4</v>
      </c>
      <c r="AG35" s="1">
        <f t="shared" si="23"/>
        <v>-4.3622199153869655E-3</v>
      </c>
      <c r="AH35" s="1">
        <f t="shared" si="23"/>
        <v>5.4229179724224891E-3</v>
      </c>
      <c r="AI35" s="1">
        <f t="shared" si="23"/>
        <v>4.8213726104669669E-3</v>
      </c>
      <c r="AJ35" s="1">
        <f t="shared" si="23"/>
        <v>-2.9586140708242692E-3</v>
      </c>
      <c r="AK35" s="1">
        <f t="shared" si="23"/>
        <v>8.3103357098088561E-3</v>
      </c>
      <c r="AL35" s="1">
        <f t="shared" si="23"/>
        <v>-2.0362445158257064E-3</v>
      </c>
      <c r="AM35" s="1">
        <f t="shared" si="23"/>
        <v>4.0995181761203396E-3</v>
      </c>
      <c r="AN35" s="1">
        <f t="shared" si="23"/>
        <v>9.7139415543716946E-3</v>
      </c>
      <c r="AO35" s="1">
        <f t="shared" si="23"/>
        <v>7.8692024443748534E-3</v>
      </c>
      <c r="AP35" s="1">
        <f t="shared" si="23"/>
        <v>1.9098049200877421E-2</v>
      </c>
    </row>
    <row r="36" spans="2:42" x14ac:dyDescent="0.45">
      <c r="B36" s="6">
        <f t="shared" si="17"/>
        <v>25.6</v>
      </c>
      <c r="C36" s="4">
        <v>3276</v>
      </c>
      <c r="D36" s="1">
        <f t="shared" si="7"/>
        <v>-7.42187500000005E-3</v>
      </c>
      <c r="E36" s="1">
        <f t="shared" si="8"/>
        <v>1.742187499999992E-2</v>
      </c>
      <c r="F36" s="1">
        <f t="shared" si="9"/>
        <v>3.3875868055554901E-3</v>
      </c>
      <c r="G36" s="1">
        <f t="shared" ref="G36:AP36" si="24">(G17-$B17)/$B17</f>
        <v>6.4843749999998757E-3</v>
      </c>
      <c r="H36" s="1">
        <f t="shared" si="24"/>
        <v>1.148437499999988E-2</v>
      </c>
      <c r="I36" s="1">
        <f t="shared" si="24"/>
        <v>6.4843749999998757E-3</v>
      </c>
      <c r="J36" s="1">
        <f t="shared" si="24"/>
        <v>1.1171874999999915E-2</v>
      </c>
      <c r="K36" s="1">
        <f t="shared" si="24"/>
        <v>3.437499999999899E-3</v>
      </c>
      <c r="L36" s="1">
        <f t="shared" si="24"/>
        <v>1.1718749999999056E-3</v>
      </c>
      <c r="M36" s="1">
        <f t="shared" si="24"/>
        <v>1.0703124999999897E-2</v>
      </c>
      <c r="N36" s="1">
        <f t="shared" si="24"/>
        <v>2.5390624999999112E-3</v>
      </c>
      <c r="O36" s="1">
        <f t="shared" si="24"/>
        <v>4.3749999999999345E-3</v>
      </c>
      <c r="P36" s="1">
        <f t="shared" si="24"/>
        <v>-7.42187500000005E-3</v>
      </c>
      <c r="Q36" s="1">
        <f t="shared" si="24"/>
        <v>6.9921874999999412E-3</v>
      </c>
      <c r="R36" s="1">
        <f t="shared" si="24"/>
        <v>6.1328125000000011E-3</v>
      </c>
      <c r="S36" s="1">
        <f t="shared" si="24"/>
        <v>4.6874999999987899E-4</v>
      </c>
      <c r="T36" s="1">
        <f t="shared" si="24"/>
        <v>2.3046874999999023E-3</v>
      </c>
      <c r="U36" s="1">
        <f t="shared" si="24"/>
        <v>-4.843750000000091E-3</v>
      </c>
      <c r="V36" s="1">
        <f t="shared" si="24"/>
        <v>-2.3828124999999978E-3</v>
      </c>
      <c r="W36" s="1">
        <f t="shared" si="24"/>
        <v>-1.5234375000000577E-3</v>
      </c>
      <c r="X36" s="1">
        <f t="shared" si="24"/>
        <v>-1.445312500000101E-3</v>
      </c>
      <c r="Y36" s="1">
        <f t="shared" si="24"/>
        <v>-1.6015625000000144E-3</v>
      </c>
      <c r="Z36" s="1">
        <f t="shared" si="24"/>
        <v>8.28124999999999E-3</v>
      </c>
      <c r="AA36" s="1">
        <f t="shared" si="24"/>
        <v>2.5390624999999112E-3</v>
      </c>
      <c r="AB36" s="1">
        <f t="shared" si="24"/>
        <v>-3.6328124999999989E-3</v>
      </c>
      <c r="AC36" s="1">
        <f t="shared" si="24"/>
        <v>3.3593749999999423E-3</v>
      </c>
      <c r="AD36" s="1">
        <f t="shared" si="24"/>
        <v>3.0078124999999289E-3</v>
      </c>
      <c r="AE36" s="1">
        <f t="shared" si="24"/>
        <v>4.2187499999998823E-3</v>
      </c>
      <c r="AF36" s="1">
        <f t="shared" si="24"/>
        <v>-1.5625000000005218E-4</v>
      </c>
      <c r="AG36" s="1">
        <f t="shared" si="24"/>
        <v>-2.3828124999999978E-3</v>
      </c>
      <c r="AH36" s="1">
        <f t="shared" si="24"/>
        <v>4.921874999999909E-3</v>
      </c>
      <c r="AI36" s="1">
        <f t="shared" si="24"/>
        <v>4.7265624999999478E-3</v>
      </c>
      <c r="AJ36" s="1">
        <f t="shared" si="24"/>
        <v>-1.6015625000000144E-3</v>
      </c>
      <c r="AK36" s="1">
        <f t="shared" si="24"/>
        <v>7.9687499999998856E-3</v>
      </c>
      <c r="AL36" s="1">
        <f t="shared" si="24"/>
        <v>-1.7187500000000189E-3</v>
      </c>
      <c r="AM36" s="1">
        <f t="shared" si="24"/>
        <v>3.5156249999999944E-3</v>
      </c>
      <c r="AN36" s="1">
        <f t="shared" si="24"/>
        <v>9.2578124999999345E-3</v>
      </c>
      <c r="AO36" s="1">
        <f t="shared" si="24"/>
        <v>7.6953124999999678E-3</v>
      </c>
      <c r="AP36" s="1">
        <f t="shared" si="24"/>
        <v>1.742187499999992E-2</v>
      </c>
    </row>
    <row r="37" spans="2:42" x14ac:dyDescent="0.45">
      <c r="B37" s="6">
        <f t="shared" si="17"/>
        <v>32</v>
      </c>
      <c r="C37" s="4">
        <v>4095</v>
      </c>
      <c r="D37" s="1">
        <f t="shared" si="7"/>
        <v>-4.8437500000000355E-3</v>
      </c>
      <c r="E37" s="1">
        <f t="shared" si="8"/>
        <v>1.0937500000000044E-2</v>
      </c>
      <c r="F37" s="1">
        <f t="shared" si="9"/>
        <v>1.9149305555555582E-3</v>
      </c>
      <c r="G37" s="1">
        <f t="shared" ref="G37:AP37" si="25">(G18-$B18)/$B18</f>
        <v>4.9687499999999662E-3</v>
      </c>
      <c r="H37" s="1">
        <f t="shared" si="25"/>
        <v>7.9687500000000799E-3</v>
      </c>
      <c r="I37" s="1">
        <f t="shared" si="25"/>
        <v>4.2812500000000142E-3</v>
      </c>
      <c r="J37" s="1">
        <f t="shared" si="25"/>
        <v>8.5312500000001013E-3</v>
      </c>
      <c r="K37" s="1">
        <f t="shared" si="25"/>
        <v>3.7187499999999929E-3</v>
      </c>
      <c r="L37" s="1">
        <f t="shared" si="25"/>
        <v>1.5624999999999112E-3</v>
      </c>
      <c r="M37" s="1">
        <f t="shared" si="25"/>
        <v>6.625000000000103E-3</v>
      </c>
      <c r="N37" s="1">
        <f t="shared" si="25"/>
        <v>1.9687500000000746E-3</v>
      </c>
      <c r="O37" s="1">
        <f t="shared" si="25"/>
        <v>1.3749999999999041E-3</v>
      </c>
      <c r="P37" s="1">
        <f t="shared" si="25"/>
        <v>1.0624999999999662E-3</v>
      </c>
      <c r="Q37" s="1">
        <f t="shared" si="25"/>
        <v>4.2187499999999378E-3</v>
      </c>
      <c r="R37" s="1">
        <f t="shared" si="25"/>
        <v>1.8437499999999218E-3</v>
      </c>
      <c r="S37" s="1">
        <f t="shared" si="25"/>
        <v>-1.5625000000000222E-3</v>
      </c>
      <c r="T37" s="1">
        <f t="shared" si="25"/>
        <v>1.7187499999999911E-3</v>
      </c>
      <c r="U37" s="1">
        <f t="shared" si="25"/>
        <v>-4.8437500000000355E-3</v>
      </c>
      <c r="V37" s="1">
        <f t="shared" si="25"/>
        <v>-4.0624999999999689E-3</v>
      </c>
      <c r="W37" s="1">
        <f t="shared" si="25"/>
        <v>-1.2187500000000462E-3</v>
      </c>
      <c r="X37" s="1">
        <f t="shared" si="25"/>
        <v>-4.0624999999999689E-3</v>
      </c>
      <c r="Y37" s="1">
        <f t="shared" si="25"/>
        <v>-3.7812499999999583E-3</v>
      </c>
      <c r="Z37" s="1">
        <f t="shared" si="25"/>
        <v>4.0000000000000036E-3</v>
      </c>
      <c r="AA37" s="1">
        <f t="shared" si="25"/>
        <v>1.0937499999998934E-3</v>
      </c>
      <c r="AB37" s="1">
        <f t="shared" si="25"/>
        <v>-3.8437500000000346E-3</v>
      </c>
      <c r="AC37" s="1">
        <f t="shared" si="25"/>
        <v>8.1250000000010481E-4</v>
      </c>
      <c r="AD37" s="1">
        <f t="shared" si="25"/>
        <v>4.6875000000001776E-4</v>
      </c>
      <c r="AE37" s="1">
        <f t="shared" si="25"/>
        <v>2.4687500000000195E-3</v>
      </c>
      <c r="AF37" s="1">
        <f t="shared" si="25"/>
        <v>1.9062499999999982E-3</v>
      </c>
      <c r="AG37" s="1">
        <f t="shared" si="25"/>
        <v>1.1562499999999698E-3</v>
      </c>
      <c r="AH37" s="1">
        <f t="shared" si="25"/>
        <v>2.1875000000000089E-3</v>
      </c>
      <c r="AI37" s="1">
        <f t="shared" si="25"/>
        <v>2.9687499999999645E-3</v>
      </c>
      <c r="AJ37" s="1">
        <f t="shared" si="25"/>
        <v>2.3437500000000888E-3</v>
      </c>
      <c r="AK37" s="1">
        <f t="shared" si="25"/>
        <v>4.8437500000000355E-3</v>
      </c>
      <c r="AL37" s="1">
        <f t="shared" si="25"/>
        <v>-1.0000000000000009E-3</v>
      </c>
      <c r="AM37" s="1">
        <f t="shared" si="25"/>
        <v>1.2499999999993072E-4</v>
      </c>
      <c r="AN37" s="1">
        <f t="shared" si="25"/>
        <v>5.5312499999999876E-3</v>
      </c>
      <c r="AO37" s="1">
        <f t="shared" si="25"/>
        <v>2.6250000000000995E-3</v>
      </c>
      <c r="AP37" s="1">
        <f t="shared" si="25"/>
        <v>1.0937500000000044E-2</v>
      </c>
    </row>
    <row r="38" spans="2:42" x14ac:dyDescent="0.45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2:42" x14ac:dyDescent="0.45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2:42" x14ac:dyDescent="0.45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DECC-EBE7-48BC-96F9-78643E09B7D2}">
  <dimension ref="B2:AP40"/>
  <sheetViews>
    <sheetView zoomScale="70" zoomScaleNormal="70" workbookViewId="0"/>
  </sheetViews>
  <sheetFormatPr defaultRowHeight="17" x14ac:dyDescent="0.45"/>
  <cols>
    <col min="2" max="2" width="8.6640625" customWidth="1"/>
  </cols>
  <sheetData>
    <row r="2" spans="2:42" x14ac:dyDescent="0.45">
      <c r="B2" t="s">
        <v>16</v>
      </c>
      <c r="C2" s="2" t="s">
        <v>0</v>
      </c>
      <c r="D2" s="2" t="s">
        <v>13</v>
      </c>
      <c r="E2" s="2" t="s">
        <v>14</v>
      </c>
      <c r="F2" s="2" t="s">
        <v>15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  <c r="AE2" s="2" t="s">
        <v>1</v>
      </c>
      <c r="AF2" s="2" t="s">
        <v>2</v>
      </c>
      <c r="AG2" s="2" t="s">
        <v>3</v>
      </c>
      <c r="AH2" s="2" t="s">
        <v>4</v>
      </c>
      <c r="AI2" s="2" t="s">
        <v>5</v>
      </c>
      <c r="AJ2" s="2" t="s">
        <v>6</v>
      </c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</row>
    <row r="3" spans="2:42" x14ac:dyDescent="0.45">
      <c r="B3" s="6">
        <f t="shared" ref="B3:B10" si="0">8*C3/4095</f>
        <v>0.68962148962148961</v>
      </c>
      <c r="C3" s="3">
        <v>353</v>
      </c>
      <c r="D3" s="5">
        <f>MIN(G3:AP3)</f>
        <v>0.67400000000000004</v>
      </c>
      <c r="E3" s="5">
        <f>MAX(G3:AP3)</f>
        <v>0.77200000000000002</v>
      </c>
      <c r="F3" s="5">
        <f>AVERAGE(G3:AP3)</f>
        <v>0.71558333333333302</v>
      </c>
      <c r="G3">
        <v>0.72799999999999998</v>
      </c>
      <c r="H3">
        <v>0.73799999999999999</v>
      </c>
      <c r="I3">
        <v>0.76100000000000001</v>
      </c>
      <c r="J3">
        <v>0.754</v>
      </c>
      <c r="K3">
        <v>0.72099999999999997</v>
      </c>
      <c r="L3">
        <v>0.68300000000000005</v>
      </c>
      <c r="M3">
        <v>0.752</v>
      </c>
      <c r="N3">
        <v>0.73199999999999998</v>
      </c>
      <c r="O3">
        <v>0.72499999999999998</v>
      </c>
      <c r="P3">
        <v>0.69599999999999995</v>
      </c>
      <c r="Q3">
        <v>0.747</v>
      </c>
      <c r="R3">
        <v>0.75</v>
      </c>
      <c r="S3">
        <v>0.70499999999999996</v>
      </c>
      <c r="T3">
        <v>0.69599999999999995</v>
      </c>
      <c r="U3">
        <v>0.67400000000000004</v>
      </c>
      <c r="V3">
        <v>0.67600000000000005</v>
      </c>
      <c r="W3">
        <v>0.69899999999999995</v>
      </c>
      <c r="X3">
        <v>0.67600000000000005</v>
      </c>
      <c r="Y3">
        <v>0.68100000000000005</v>
      </c>
      <c r="Z3">
        <v>0.72499999999999998</v>
      </c>
      <c r="AA3">
        <v>0.69799999999999995</v>
      </c>
      <c r="AB3">
        <v>0.68700000000000006</v>
      </c>
      <c r="AC3">
        <v>0.70499999999999996</v>
      </c>
      <c r="AD3">
        <v>0.71399999999999997</v>
      </c>
      <c r="AE3">
        <v>0.71399999999999997</v>
      </c>
      <c r="AF3">
        <v>0.69899999999999995</v>
      </c>
      <c r="AG3">
        <v>0.70499999999999996</v>
      </c>
      <c r="AH3">
        <v>0.70299999999999996</v>
      </c>
      <c r="AI3">
        <v>0.72499999999999998</v>
      </c>
      <c r="AJ3">
        <v>0.69799999999999995</v>
      </c>
      <c r="AK3">
        <v>0.73399999999999999</v>
      </c>
      <c r="AL3">
        <v>0.69399999999999995</v>
      </c>
      <c r="AM3">
        <v>0.73399999999999999</v>
      </c>
      <c r="AN3">
        <v>0.73</v>
      </c>
      <c r="AO3">
        <v>0.73</v>
      </c>
      <c r="AP3">
        <v>0.77200000000000002</v>
      </c>
    </row>
    <row r="4" spans="2:42" x14ac:dyDescent="0.45">
      <c r="B4" s="6">
        <f t="shared" si="0"/>
        <v>0.98656898656898662</v>
      </c>
      <c r="C4" s="3">
        <v>505</v>
      </c>
      <c r="D4" s="5">
        <f t="shared" ref="D4:D18" si="1">MIN(G4:AP4)</f>
        <v>0.96799999999999997</v>
      </c>
      <c r="E4" s="5">
        <f t="shared" ref="E4:E18" si="2">MAX(G4:AP4)</f>
        <v>1.081</v>
      </c>
      <c r="F4" s="5">
        <f t="shared" ref="F4:F18" si="3">AVERAGE(G4:AP4)</f>
        <v>1.0123055555555556</v>
      </c>
      <c r="G4">
        <v>1.0229999999999999</v>
      </c>
      <c r="H4">
        <v>1.0349999999999999</v>
      </c>
      <c r="I4">
        <v>1.0609999999999999</v>
      </c>
      <c r="J4">
        <v>1.052</v>
      </c>
      <c r="K4">
        <v>1.012</v>
      </c>
      <c r="L4">
        <v>0.97199999999999998</v>
      </c>
      <c r="M4">
        <v>1.052</v>
      </c>
      <c r="N4">
        <v>1.028</v>
      </c>
      <c r="O4">
        <v>1.0189999999999999</v>
      </c>
      <c r="P4">
        <v>0.98299999999999998</v>
      </c>
      <c r="Q4">
        <v>1.0429999999999999</v>
      </c>
      <c r="R4">
        <v>1.05</v>
      </c>
      <c r="S4">
        <v>1.0049999999999999</v>
      </c>
      <c r="T4">
        <v>0.995</v>
      </c>
      <c r="U4">
        <v>0.96799999999999997</v>
      </c>
      <c r="V4">
        <v>0.97199999999999998</v>
      </c>
      <c r="W4">
        <v>0.997</v>
      </c>
      <c r="X4">
        <v>0.97399999999999998</v>
      </c>
      <c r="Y4">
        <v>0.97699999999999998</v>
      </c>
      <c r="Z4">
        <v>1.028</v>
      </c>
      <c r="AA4">
        <v>0.999</v>
      </c>
      <c r="AB4">
        <v>0.98299999999999998</v>
      </c>
      <c r="AC4">
        <v>1.0049999999999999</v>
      </c>
      <c r="AD4">
        <v>1.0169999999999999</v>
      </c>
      <c r="AE4">
        <v>1.01</v>
      </c>
      <c r="AF4">
        <v>0.99199999999999999</v>
      </c>
      <c r="AG4">
        <v>0.995</v>
      </c>
      <c r="AH4">
        <v>0.995</v>
      </c>
      <c r="AI4">
        <v>1.0229999999999999</v>
      </c>
      <c r="AJ4">
        <v>0.99</v>
      </c>
      <c r="AK4">
        <v>1.032</v>
      </c>
      <c r="AL4">
        <v>0.98499999999999999</v>
      </c>
      <c r="AM4">
        <v>1.034</v>
      </c>
      <c r="AN4">
        <v>1.028</v>
      </c>
      <c r="AO4">
        <v>1.028</v>
      </c>
      <c r="AP4">
        <v>1.081</v>
      </c>
    </row>
    <row r="5" spans="2:42" x14ac:dyDescent="0.45">
      <c r="B5" s="6">
        <f t="shared" si="0"/>
        <v>1.5628815628815629</v>
      </c>
      <c r="C5" s="3">
        <v>800</v>
      </c>
      <c r="D5" s="5">
        <f t="shared" si="1"/>
        <v>1.544</v>
      </c>
      <c r="E5" s="5">
        <f t="shared" si="2"/>
        <v>1.673</v>
      </c>
      <c r="F5" s="5">
        <f t="shared" si="3"/>
        <v>1.5919444444444444</v>
      </c>
      <c r="G5">
        <v>1.6080000000000001</v>
      </c>
      <c r="H5">
        <v>1.6220000000000001</v>
      </c>
      <c r="I5">
        <v>1.649</v>
      </c>
      <c r="J5">
        <v>1.637</v>
      </c>
      <c r="K5">
        <v>1.59</v>
      </c>
      <c r="L5">
        <v>1.55</v>
      </c>
      <c r="M5">
        <v>1.6419999999999999</v>
      </c>
      <c r="N5">
        <v>1.613</v>
      </c>
      <c r="O5">
        <v>1.6020000000000001</v>
      </c>
      <c r="P5">
        <v>1.5509999999999999</v>
      </c>
      <c r="Q5">
        <v>1.6279999999999999</v>
      </c>
      <c r="R5">
        <v>1.639</v>
      </c>
      <c r="S5">
        <v>1.5860000000000001</v>
      </c>
      <c r="T5">
        <v>1.575</v>
      </c>
      <c r="U5">
        <v>1.544</v>
      </c>
      <c r="V5">
        <v>1.546</v>
      </c>
      <c r="W5">
        <v>1.575</v>
      </c>
      <c r="X5">
        <v>1.548</v>
      </c>
      <c r="Y5">
        <v>1.5529999999999999</v>
      </c>
      <c r="Z5">
        <v>1.613</v>
      </c>
      <c r="AA5">
        <v>1.577</v>
      </c>
      <c r="AB5">
        <v>1.5589999999999999</v>
      </c>
      <c r="AC5">
        <v>1.5840000000000001</v>
      </c>
      <c r="AD5">
        <v>1.6</v>
      </c>
      <c r="AE5">
        <v>1.5880000000000001</v>
      </c>
      <c r="AF5">
        <v>1.56</v>
      </c>
      <c r="AG5">
        <v>1.5620000000000001</v>
      </c>
      <c r="AH5">
        <v>1.573</v>
      </c>
      <c r="AI5">
        <v>1.6020000000000001</v>
      </c>
      <c r="AJ5">
        <v>1.5589999999999999</v>
      </c>
      <c r="AK5">
        <v>1.611</v>
      </c>
      <c r="AL5">
        <v>1.5569999999999999</v>
      </c>
      <c r="AM5">
        <v>1.617</v>
      </c>
      <c r="AN5">
        <v>1.6080000000000001</v>
      </c>
      <c r="AO5">
        <v>1.609</v>
      </c>
      <c r="AP5">
        <v>1.673</v>
      </c>
    </row>
    <row r="6" spans="2:42" x14ac:dyDescent="0.45">
      <c r="B6" s="6">
        <f t="shared" si="0"/>
        <v>4.2979242979242978</v>
      </c>
      <c r="C6" s="3">
        <v>2200</v>
      </c>
      <c r="D6" s="5">
        <f t="shared" si="1"/>
        <v>4.274</v>
      </c>
      <c r="E6" s="5">
        <f t="shared" si="2"/>
        <v>4.4020000000000001</v>
      </c>
      <c r="F6" s="5">
        <f t="shared" si="3"/>
        <v>4.322055555555556</v>
      </c>
      <c r="G6">
        <v>4.3310000000000004</v>
      </c>
      <c r="H6">
        <v>4.3470000000000004</v>
      </c>
      <c r="I6">
        <v>4.3819999999999997</v>
      </c>
      <c r="J6">
        <v>4.3600000000000003</v>
      </c>
      <c r="K6">
        <v>4.3230000000000004</v>
      </c>
      <c r="L6">
        <v>4.2759999999999998</v>
      </c>
      <c r="M6">
        <v>4.38</v>
      </c>
      <c r="N6">
        <v>4.351</v>
      </c>
      <c r="O6">
        <v>4.3380000000000001</v>
      </c>
      <c r="P6">
        <v>4.2869999999999999</v>
      </c>
      <c r="Q6">
        <v>4.351</v>
      </c>
      <c r="R6">
        <v>4.3760000000000003</v>
      </c>
      <c r="S6">
        <v>4.3129999999999997</v>
      </c>
      <c r="T6">
        <v>4.3159999999999998</v>
      </c>
      <c r="U6">
        <v>4.2779999999999996</v>
      </c>
      <c r="V6">
        <v>4.274</v>
      </c>
      <c r="W6">
        <v>4.3109999999999999</v>
      </c>
      <c r="X6">
        <v>4.2759999999999998</v>
      </c>
      <c r="Y6">
        <v>4.2779999999999996</v>
      </c>
      <c r="Z6">
        <v>4.34</v>
      </c>
      <c r="AA6">
        <v>4.3090000000000002</v>
      </c>
      <c r="AB6">
        <v>4.2869999999999999</v>
      </c>
      <c r="AC6">
        <v>4.3179999999999996</v>
      </c>
      <c r="AD6">
        <v>4.3330000000000002</v>
      </c>
      <c r="AE6">
        <v>4.3159999999999998</v>
      </c>
      <c r="AF6">
        <v>4.2869999999999999</v>
      </c>
      <c r="AG6">
        <v>4.2869999999999999</v>
      </c>
      <c r="AH6">
        <v>4.2960000000000003</v>
      </c>
      <c r="AI6">
        <v>4.3339999999999996</v>
      </c>
      <c r="AJ6">
        <v>4.2779999999999996</v>
      </c>
      <c r="AK6">
        <v>4.34</v>
      </c>
      <c r="AL6">
        <v>4.2850000000000001</v>
      </c>
      <c r="AM6">
        <v>4.3540000000000001</v>
      </c>
      <c r="AN6">
        <v>4.3380000000000001</v>
      </c>
      <c r="AO6">
        <v>4.3419999999999996</v>
      </c>
      <c r="AP6">
        <v>4.4020000000000001</v>
      </c>
    </row>
    <row r="7" spans="2:42" x14ac:dyDescent="0.45">
      <c r="B7" s="6">
        <f t="shared" si="0"/>
        <v>5.8608058608058604</v>
      </c>
      <c r="C7" s="3">
        <v>3000</v>
      </c>
      <c r="D7" s="5">
        <f t="shared" si="1"/>
        <v>5.8259999999999996</v>
      </c>
      <c r="E7" s="5">
        <f t="shared" si="2"/>
        <v>5.94</v>
      </c>
      <c r="F7" s="5">
        <f t="shared" si="3"/>
        <v>5.880805555555555</v>
      </c>
      <c r="G7">
        <v>5.8929999999999998</v>
      </c>
      <c r="H7">
        <v>5.891</v>
      </c>
      <c r="I7">
        <v>5.9290000000000003</v>
      </c>
      <c r="J7">
        <v>5.9109999999999996</v>
      </c>
      <c r="K7">
        <v>5.8879999999999999</v>
      </c>
      <c r="L7">
        <v>5.835</v>
      </c>
      <c r="M7">
        <v>5.9290000000000003</v>
      </c>
      <c r="N7">
        <v>5.9080000000000004</v>
      </c>
      <c r="O7">
        <v>5.8929999999999998</v>
      </c>
      <c r="P7">
        <v>5.88</v>
      </c>
      <c r="Q7">
        <v>5.8979999999999997</v>
      </c>
      <c r="R7">
        <v>5.9219999999999997</v>
      </c>
      <c r="S7">
        <v>5.8689999999999998</v>
      </c>
      <c r="T7">
        <v>5.875</v>
      </c>
      <c r="U7">
        <v>5.8380000000000001</v>
      </c>
      <c r="V7">
        <v>5.8380000000000001</v>
      </c>
      <c r="W7">
        <v>5.8659999999999997</v>
      </c>
      <c r="X7">
        <v>5.8259999999999996</v>
      </c>
      <c r="Y7">
        <v>5.8330000000000002</v>
      </c>
      <c r="Z7">
        <v>5.8769999999999998</v>
      </c>
      <c r="AA7">
        <v>5.8620000000000001</v>
      </c>
      <c r="AB7">
        <v>5.8460000000000001</v>
      </c>
      <c r="AC7">
        <v>5.8680000000000003</v>
      </c>
      <c r="AD7">
        <v>5.8890000000000002</v>
      </c>
      <c r="AE7">
        <v>5.88</v>
      </c>
      <c r="AF7">
        <v>5.8570000000000002</v>
      </c>
      <c r="AG7">
        <v>5.8819999999999997</v>
      </c>
      <c r="AH7">
        <v>5.8570000000000002</v>
      </c>
      <c r="AI7">
        <v>5.8949999999999996</v>
      </c>
      <c r="AJ7">
        <v>5.8680000000000003</v>
      </c>
      <c r="AK7">
        <v>5.8979999999999997</v>
      </c>
      <c r="AL7">
        <v>5.86</v>
      </c>
      <c r="AM7">
        <v>5.9180000000000001</v>
      </c>
      <c r="AN7">
        <v>5.8929999999999998</v>
      </c>
      <c r="AO7">
        <v>5.8970000000000002</v>
      </c>
      <c r="AP7">
        <v>5.94</v>
      </c>
    </row>
    <row r="8" spans="2:42" x14ac:dyDescent="0.45">
      <c r="B8" s="6">
        <f t="shared" si="0"/>
        <v>6.233943833943834</v>
      </c>
      <c r="C8" s="3">
        <v>3191</v>
      </c>
      <c r="D8" s="5">
        <f t="shared" si="1"/>
        <v>6.2</v>
      </c>
      <c r="E8" s="5">
        <f t="shared" si="2"/>
        <v>6.3</v>
      </c>
      <c r="F8" s="5">
        <f t="shared" si="3"/>
        <v>6.2560833333333328</v>
      </c>
      <c r="G8">
        <v>6.2640000000000002</v>
      </c>
      <c r="H8">
        <v>6.2649999999999997</v>
      </c>
      <c r="I8">
        <v>6.3</v>
      </c>
      <c r="J8">
        <v>6.282</v>
      </c>
      <c r="K8">
        <v>6.2690000000000001</v>
      </c>
      <c r="L8">
        <v>6.2160000000000002</v>
      </c>
      <c r="M8">
        <v>6.3</v>
      </c>
      <c r="N8">
        <v>6.28</v>
      </c>
      <c r="O8">
        <v>6.2670000000000003</v>
      </c>
      <c r="P8">
        <v>6.282</v>
      </c>
      <c r="Q8">
        <v>6.2670000000000003</v>
      </c>
      <c r="R8">
        <v>6.2910000000000004</v>
      </c>
      <c r="S8">
        <v>6.234</v>
      </c>
      <c r="T8">
        <v>6.2530000000000001</v>
      </c>
      <c r="U8">
        <v>6.218</v>
      </c>
      <c r="V8">
        <v>6.218</v>
      </c>
      <c r="W8">
        <v>6.2439999999999998</v>
      </c>
      <c r="X8">
        <v>6.2</v>
      </c>
      <c r="Y8">
        <v>6.2089999999999996</v>
      </c>
      <c r="Z8">
        <v>6.2510000000000003</v>
      </c>
      <c r="AA8">
        <v>6.234</v>
      </c>
      <c r="AB8">
        <v>6.2240000000000002</v>
      </c>
      <c r="AC8">
        <v>6.2469999999999999</v>
      </c>
      <c r="AD8">
        <v>6.2670000000000003</v>
      </c>
      <c r="AE8">
        <v>6.2539999999999996</v>
      </c>
      <c r="AF8">
        <v>6.2380000000000004</v>
      </c>
      <c r="AG8">
        <v>6.26</v>
      </c>
      <c r="AH8">
        <v>6.2329999999999997</v>
      </c>
      <c r="AI8">
        <v>6.2690000000000001</v>
      </c>
      <c r="AJ8">
        <v>6.258</v>
      </c>
      <c r="AK8">
        <v>6.2619999999999996</v>
      </c>
      <c r="AL8">
        <v>6.2439999999999998</v>
      </c>
      <c r="AM8">
        <v>6.2910000000000004</v>
      </c>
      <c r="AN8">
        <v>6.2670000000000003</v>
      </c>
      <c r="AO8">
        <v>6.2649999999999997</v>
      </c>
      <c r="AP8">
        <v>6.2960000000000003</v>
      </c>
    </row>
    <row r="9" spans="2:42" x14ac:dyDescent="0.45">
      <c r="B9" s="6">
        <f t="shared" si="0"/>
        <v>6.4</v>
      </c>
      <c r="C9" s="3">
        <v>3276</v>
      </c>
      <c r="D9" s="5">
        <f t="shared" si="1"/>
        <v>6.3650000000000002</v>
      </c>
      <c r="E9" s="5">
        <f t="shared" si="2"/>
        <v>6.4649999999999999</v>
      </c>
      <c r="F9" s="5">
        <f t="shared" si="3"/>
        <v>6.4193611111111109</v>
      </c>
      <c r="G9">
        <v>6.423</v>
      </c>
      <c r="H9">
        <v>6.4219999999999997</v>
      </c>
      <c r="I9">
        <v>6.4630000000000001</v>
      </c>
      <c r="J9">
        <v>6.4420000000000002</v>
      </c>
      <c r="K9">
        <v>6.4290000000000003</v>
      </c>
      <c r="L9">
        <v>6.3730000000000002</v>
      </c>
      <c r="M9">
        <v>6.4580000000000002</v>
      </c>
      <c r="N9">
        <v>6.4450000000000003</v>
      </c>
      <c r="O9">
        <v>6.4329999999999998</v>
      </c>
      <c r="P9">
        <v>6.4450000000000003</v>
      </c>
      <c r="Q9">
        <v>6.4290000000000003</v>
      </c>
      <c r="R9">
        <v>6.452</v>
      </c>
      <c r="S9">
        <v>6.391</v>
      </c>
      <c r="T9">
        <v>6.4160000000000004</v>
      </c>
      <c r="U9">
        <v>6.383</v>
      </c>
      <c r="V9">
        <v>6.38</v>
      </c>
      <c r="W9">
        <v>6.4050000000000002</v>
      </c>
      <c r="X9">
        <v>6.3650000000000002</v>
      </c>
      <c r="Y9">
        <v>6.3710000000000004</v>
      </c>
      <c r="Z9">
        <v>6.4089999999999998</v>
      </c>
      <c r="AA9">
        <v>6.407</v>
      </c>
      <c r="AB9">
        <v>6.3869999999999996</v>
      </c>
      <c r="AC9">
        <v>6.4089999999999998</v>
      </c>
      <c r="AD9">
        <v>6.4269999999999996</v>
      </c>
      <c r="AE9">
        <v>6.42</v>
      </c>
      <c r="AF9">
        <v>6.4130000000000003</v>
      </c>
      <c r="AG9">
        <v>6.4329999999999998</v>
      </c>
      <c r="AH9">
        <v>6.3959999999999999</v>
      </c>
      <c r="AI9">
        <v>6.4329999999999998</v>
      </c>
      <c r="AJ9">
        <v>6.4249999999999998</v>
      </c>
      <c r="AK9">
        <v>6.4249999999999998</v>
      </c>
      <c r="AL9">
        <v>6.4109999999999996</v>
      </c>
      <c r="AM9">
        <v>6.452</v>
      </c>
      <c r="AN9">
        <v>6.4290000000000003</v>
      </c>
      <c r="AO9">
        <v>6.431</v>
      </c>
      <c r="AP9">
        <v>6.4649999999999999</v>
      </c>
    </row>
    <row r="10" spans="2:42" x14ac:dyDescent="0.45">
      <c r="B10" s="6">
        <f t="shared" si="0"/>
        <v>8</v>
      </c>
      <c r="C10" s="3">
        <v>4095</v>
      </c>
      <c r="D10" s="5">
        <f t="shared" si="1"/>
        <v>7.9459999999999997</v>
      </c>
      <c r="E10" s="5">
        <f t="shared" si="2"/>
        <v>8.1180000000000003</v>
      </c>
      <c r="F10" s="5">
        <f t="shared" si="3"/>
        <v>8.0108055555555548</v>
      </c>
      <c r="G10">
        <v>8.0069999999999997</v>
      </c>
      <c r="H10">
        <v>7.9889999999999999</v>
      </c>
      <c r="I10">
        <v>8.0440000000000005</v>
      </c>
      <c r="J10">
        <v>8.02</v>
      </c>
      <c r="K10">
        <v>8.0220000000000002</v>
      </c>
      <c r="L10">
        <v>7.9749999999999996</v>
      </c>
      <c r="M10">
        <v>8.0380000000000003</v>
      </c>
      <c r="N10">
        <v>8.0459999999999994</v>
      </c>
      <c r="O10">
        <v>8.0239999999999991</v>
      </c>
      <c r="P10">
        <v>8.1180000000000003</v>
      </c>
      <c r="Q10">
        <v>8.0129999999999999</v>
      </c>
      <c r="R10">
        <v>8.0289999999999999</v>
      </c>
      <c r="S10">
        <v>7.9779999999999998</v>
      </c>
      <c r="T10">
        <v>8.0069999999999997</v>
      </c>
      <c r="U10">
        <v>7.984</v>
      </c>
      <c r="V10">
        <v>7.9729999999999999</v>
      </c>
      <c r="W10">
        <v>8</v>
      </c>
      <c r="X10">
        <v>7.9459999999999997</v>
      </c>
      <c r="Y10">
        <v>7.9569999999999999</v>
      </c>
      <c r="Z10">
        <v>7.9779999999999998</v>
      </c>
      <c r="AA10">
        <v>7.9870000000000001</v>
      </c>
      <c r="AB10">
        <v>7.984</v>
      </c>
      <c r="AC10">
        <v>7.9889999999999999</v>
      </c>
      <c r="AD10">
        <v>7.9980000000000002</v>
      </c>
      <c r="AE10">
        <v>8.0129999999999999</v>
      </c>
      <c r="AF10">
        <v>8.0380000000000003</v>
      </c>
      <c r="AG10">
        <v>8.0749999999999993</v>
      </c>
      <c r="AH10">
        <v>7.9859999999999998</v>
      </c>
      <c r="AI10">
        <v>8.0180000000000007</v>
      </c>
      <c r="AJ10">
        <v>8.0510000000000002</v>
      </c>
      <c r="AK10">
        <v>8.0150000000000006</v>
      </c>
      <c r="AL10">
        <v>8.0180000000000007</v>
      </c>
      <c r="AM10">
        <v>8.0419999999999998</v>
      </c>
      <c r="AN10">
        <v>8.0090000000000003</v>
      </c>
      <c r="AO10">
        <v>8.0090000000000003</v>
      </c>
      <c r="AP10">
        <v>8.0090000000000003</v>
      </c>
    </row>
    <row r="11" spans="2:42" x14ac:dyDescent="0.45">
      <c r="B11" s="6">
        <f t="shared" ref="B11:B18" si="4">32*C11/4095</f>
        <v>2.7584859584859585</v>
      </c>
      <c r="C11" s="4">
        <v>353</v>
      </c>
      <c r="D11" s="5">
        <f t="shared" si="1"/>
        <v>2.6339999999999999</v>
      </c>
      <c r="E11" s="5">
        <f t="shared" si="2"/>
        <v>3.0680000000000001</v>
      </c>
      <c r="F11" s="5">
        <f t="shared" si="3"/>
        <v>2.8384166666666664</v>
      </c>
      <c r="G11">
        <v>2.9159999999999999</v>
      </c>
      <c r="H11">
        <v>2.9649999999999999</v>
      </c>
      <c r="I11">
        <v>2.956</v>
      </c>
      <c r="J11">
        <v>2.9430000000000001</v>
      </c>
      <c r="K11">
        <v>2.843</v>
      </c>
      <c r="L11">
        <v>2.8180000000000001</v>
      </c>
      <c r="M11">
        <v>2.9860000000000002</v>
      </c>
      <c r="N11">
        <v>2.887</v>
      </c>
      <c r="O11">
        <v>2.9119999999999999</v>
      </c>
      <c r="P11">
        <v>2.6339999999999999</v>
      </c>
      <c r="Q11">
        <v>2.948</v>
      </c>
      <c r="R11">
        <v>2.9860000000000002</v>
      </c>
      <c r="S11">
        <v>2.794</v>
      </c>
      <c r="T11">
        <v>2.7719999999999998</v>
      </c>
      <c r="U11">
        <v>2.7029999999999998</v>
      </c>
      <c r="V11">
        <v>2.7229999999999999</v>
      </c>
      <c r="W11">
        <v>2.7360000000000002</v>
      </c>
      <c r="X11">
        <v>2.754</v>
      </c>
      <c r="Y11">
        <v>2.7360000000000002</v>
      </c>
      <c r="Z11">
        <v>2.8559999999999999</v>
      </c>
      <c r="AA11">
        <v>2.774</v>
      </c>
      <c r="AB11">
        <v>2.7320000000000002</v>
      </c>
      <c r="AC11">
        <v>2.794</v>
      </c>
      <c r="AD11">
        <v>2.83</v>
      </c>
      <c r="AE11">
        <v>2.843</v>
      </c>
      <c r="AF11">
        <v>2.7410000000000001</v>
      </c>
      <c r="AG11">
        <v>2.7210000000000001</v>
      </c>
      <c r="AH11">
        <v>2.843</v>
      </c>
      <c r="AI11">
        <v>2.8809999999999998</v>
      </c>
      <c r="AJ11">
        <v>2.714</v>
      </c>
      <c r="AK11">
        <v>2.9009999999999998</v>
      </c>
      <c r="AL11">
        <v>2.7650000000000001</v>
      </c>
      <c r="AM11">
        <v>2.8919999999999999</v>
      </c>
      <c r="AN11">
        <v>2.899</v>
      </c>
      <c r="AO11">
        <v>2.9169999999999998</v>
      </c>
      <c r="AP11">
        <v>3.0680000000000001</v>
      </c>
    </row>
    <row r="12" spans="2:42" x14ac:dyDescent="0.45">
      <c r="B12" s="6">
        <f t="shared" si="4"/>
        <v>3.9462759462759465</v>
      </c>
      <c r="C12" s="4">
        <v>505</v>
      </c>
      <c r="D12" s="5">
        <f t="shared" si="1"/>
        <v>3.7330000000000001</v>
      </c>
      <c r="E12" s="5">
        <f t="shared" si="2"/>
        <v>4.2960000000000003</v>
      </c>
      <c r="F12" s="5">
        <f t="shared" si="3"/>
        <v>4.0212500000000002</v>
      </c>
      <c r="G12">
        <v>4.0910000000000002</v>
      </c>
      <c r="H12">
        <v>4.1559999999999997</v>
      </c>
      <c r="I12">
        <v>4.1349999999999998</v>
      </c>
      <c r="J12">
        <v>4.12</v>
      </c>
      <c r="K12">
        <v>4.0039999999999996</v>
      </c>
      <c r="L12">
        <v>3.984</v>
      </c>
      <c r="M12">
        <v>4.1820000000000004</v>
      </c>
      <c r="N12">
        <v>4.0549999999999997</v>
      </c>
      <c r="O12">
        <v>4.093</v>
      </c>
      <c r="P12">
        <v>3.7330000000000001</v>
      </c>
      <c r="Q12">
        <v>4.133</v>
      </c>
      <c r="R12">
        <v>4.18</v>
      </c>
      <c r="S12">
        <v>3.9870000000000001</v>
      </c>
      <c r="T12">
        <v>3.9670000000000001</v>
      </c>
      <c r="U12">
        <v>3.8839999999999999</v>
      </c>
      <c r="V12">
        <v>3.9060000000000001</v>
      </c>
      <c r="W12">
        <v>3.911</v>
      </c>
      <c r="X12">
        <v>3.9550000000000001</v>
      </c>
      <c r="Y12">
        <v>3.9289999999999998</v>
      </c>
      <c r="Z12">
        <v>4.069</v>
      </c>
      <c r="AA12">
        <v>3.9670000000000001</v>
      </c>
      <c r="AB12">
        <v>3.9220000000000002</v>
      </c>
      <c r="AC12">
        <v>3.9950000000000001</v>
      </c>
      <c r="AD12">
        <v>4.0380000000000003</v>
      </c>
      <c r="AE12">
        <v>4.0289999999999999</v>
      </c>
      <c r="AF12">
        <v>3.8929999999999998</v>
      </c>
      <c r="AG12">
        <v>3.8660000000000001</v>
      </c>
      <c r="AH12">
        <v>4.0350000000000001</v>
      </c>
      <c r="AI12">
        <v>4.0750000000000002</v>
      </c>
      <c r="AJ12">
        <v>3.86</v>
      </c>
      <c r="AK12">
        <v>4.093</v>
      </c>
      <c r="AL12">
        <v>3.9289999999999998</v>
      </c>
      <c r="AM12">
        <v>4.085</v>
      </c>
      <c r="AN12">
        <v>4.093</v>
      </c>
      <c r="AO12">
        <v>4.1150000000000002</v>
      </c>
      <c r="AP12">
        <v>4.2960000000000003</v>
      </c>
    </row>
    <row r="13" spans="2:42" x14ac:dyDescent="0.45">
      <c r="B13" s="6">
        <f t="shared" si="4"/>
        <v>6.2515262515262515</v>
      </c>
      <c r="C13" s="4">
        <v>800</v>
      </c>
      <c r="D13" s="5">
        <f t="shared" si="1"/>
        <v>5.9569999999999999</v>
      </c>
      <c r="E13" s="5">
        <f t="shared" si="2"/>
        <v>6.66</v>
      </c>
      <c r="F13" s="5">
        <f t="shared" si="3"/>
        <v>6.3379722222222217</v>
      </c>
      <c r="G13">
        <v>6.431</v>
      </c>
      <c r="H13">
        <v>6.5</v>
      </c>
      <c r="I13">
        <v>6.4649999999999999</v>
      </c>
      <c r="J13">
        <v>6.4470000000000001</v>
      </c>
      <c r="K13">
        <v>6.3220000000000001</v>
      </c>
      <c r="L13">
        <v>6.3019999999999996</v>
      </c>
      <c r="M13">
        <v>6.54</v>
      </c>
      <c r="N13">
        <v>6.3780000000000001</v>
      </c>
      <c r="O13">
        <v>6.4329999999999998</v>
      </c>
      <c r="P13">
        <v>5.9569999999999999</v>
      </c>
      <c r="Q13">
        <v>6.4710000000000001</v>
      </c>
      <c r="R13">
        <v>6.5289999999999999</v>
      </c>
      <c r="S13">
        <v>6.3129999999999997</v>
      </c>
      <c r="T13">
        <v>6.2869999999999999</v>
      </c>
      <c r="U13">
        <v>6.1849999999999996</v>
      </c>
      <c r="V13">
        <v>6.218</v>
      </c>
      <c r="W13">
        <v>6.2069999999999999</v>
      </c>
      <c r="X13">
        <v>6.2709999999999999</v>
      </c>
      <c r="Y13">
        <v>6.2380000000000004</v>
      </c>
      <c r="Z13">
        <v>6.4020000000000001</v>
      </c>
      <c r="AA13">
        <v>6.28</v>
      </c>
      <c r="AB13">
        <v>6.2220000000000004</v>
      </c>
      <c r="AC13">
        <v>6.3129999999999997</v>
      </c>
      <c r="AD13">
        <v>6.3710000000000004</v>
      </c>
      <c r="AE13">
        <v>6.3449999999999998</v>
      </c>
      <c r="AF13">
        <v>6.1529999999999996</v>
      </c>
      <c r="AG13">
        <v>6.1310000000000002</v>
      </c>
      <c r="AH13">
        <v>6.3559999999999999</v>
      </c>
      <c r="AI13">
        <v>6.3959999999999999</v>
      </c>
      <c r="AJ13">
        <v>6.1239999999999997</v>
      </c>
      <c r="AK13">
        <v>6.4160000000000004</v>
      </c>
      <c r="AL13">
        <v>6.2220000000000004</v>
      </c>
      <c r="AM13">
        <v>6.4050000000000002</v>
      </c>
      <c r="AN13">
        <v>6.423</v>
      </c>
      <c r="AO13">
        <v>6.4539999999999997</v>
      </c>
      <c r="AP13">
        <v>6.66</v>
      </c>
    </row>
    <row r="14" spans="2:42" x14ac:dyDescent="0.45">
      <c r="B14" s="6">
        <f t="shared" si="4"/>
        <v>17.191697191697191</v>
      </c>
      <c r="C14" s="4">
        <v>2200</v>
      </c>
      <c r="D14" s="5">
        <f t="shared" si="1"/>
        <v>16.852</v>
      </c>
      <c r="E14" s="5">
        <f t="shared" si="2"/>
        <v>17.584</v>
      </c>
      <c r="F14" s="5">
        <f t="shared" si="3"/>
        <v>17.274527777777781</v>
      </c>
      <c r="G14">
        <v>17.379000000000001</v>
      </c>
      <c r="H14">
        <v>17.416</v>
      </c>
      <c r="I14">
        <v>17.381</v>
      </c>
      <c r="J14">
        <v>17.356999999999999</v>
      </c>
      <c r="K14">
        <v>17.254000000000001</v>
      </c>
      <c r="L14">
        <v>17.242999999999999</v>
      </c>
      <c r="M14">
        <v>17.510000000000002</v>
      </c>
      <c r="N14">
        <v>17.309999999999999</v>
      </c>
      <c r="O14">
        <v>17.373999999999999</v>
      </c>
      <c r="P14">
        <v>16.852</v>
      </c>
      <c r="Q14">
        <v>17.416</v>
      </c>
      <c r="R14">
        <v>17.465</v>
      </c>
      <c r="S14">
        <v>17.228000000000002</v>
      </c>
      <c r="T14">
        <v>17.241</v>
      </c>
      <c r="U14">
        <v>17.097999999999999</v>
      </c>
      <c r="V14">
        <v>17.140999999999998</v>
      </c>
      <c r="W14">
        <v>17.096</v>
      </c>
      <c r="X14">
        <v>17.187999999999999</v>
      </c>
      <c r="Y14">
        <v>17.161000000000001</v>
      </c>
      <c r="Z14">
        <v>17.344999999999999</v>
      </c>
      <c r="AA14">
        <v>17.236000000000001</v>
      </c>
      <c r="AB14">
        <v>17.187000000000001</v>
      </c>
      <c r="AC14">
        <v>17.285</v>
      </c>
      <c r="AD14">
        <v>17.324999999999999</v>
      </c>
      <c r="AE14">
        <v>17.266999999999999</v>
      </c>
      <c r="AF14">
        <v>17.088999999999999</v>
      </c>
      <c r="AG14">
        <v>17.103000000000002</v>
      </c>
      <c r="AH14">
        <v>17.317</v>
      </c>
      <c r="AI14">
        <v>17.334</v>
      </c>
      <c r="AJ14">
        <v>17.071999999999999</v>
      </c>
      <c r="AK14">
        <v>17.372</v>
      </c>
      <c r="AL14">
        <v>17.175999999999998</v>
      </c>
      <c r="AM14">
        <v>17.329999999999998</v>
      </c>
      <c r="AN14">
        <v>17.353999999999999</v>
      </c>
      <c r="AO14">
        <v>17.396999999999998</v>
      </c>
      <c r="AP14">
        <v>17.584</v>
      </c>
    </row>
    <row r="15" spans="2:42" x14ac:dyDescent="0.45">
      <c r="B15" s="6">
        <f t="shared" si="4"/>
        <v>23.443223443223442</v>
      </c>
      <c r="C15" s="4">
        <v>3000</v>
      </c>
      <c r="D15" s="5">
        <f t="shared" si="1"/>
        <v>23.279</v>
      </c>
      <c r="E15" s="5">
        <f t="shared" si="2"/>
        <v>23.744</v>
      </c>
      <c r="F15" s="5">
        <f t="shared" si="3"/>
        <v>23.520361111111114</v>
      </c>
      <c r="G15">
        <v>23.632000000000001</v>
      </c>
      <c r="H15">
        <v>23.579000000000001</v>
      </c>
      <c r="I15">
        <v>23.620999999999999</v>
      </c>
      <c r="J15">
        <v>23.571999999999999</v>
      </c>
      <c r="K15">
        <v>23.512</v>
      </c>
      <c r="L15">
        <v>23.494</v>
      </c>
      <c r="M15">
        <v>23.728000000000002</v>
      </c>
      <c r="N15">
        <v>23.547999999999998</v>
      </c>
      <c r="O15">
        <v>23.579000000000001</v>
      </c>
      <c r="P15">
        <v>23.279</v>
      </c>
      <c r="Q15">
        <v>23.634</v>
      </c>
      <c r="R15">
        <v>23.638999999999999</v>
      </c>
      <c r="S15">
        <v>23.457000000000001</v>
      </c>
      <c r="T15">
        <v>23.494</v>
      </c>
      <c r="U15">
        <v>23.341000000000001</v>
      </c>
      <c r="V15">
        <v>23.378</v>
      </c>
      <c r="W15">
        <v>23.359000000000002</v>
      </c>
      <c r="X15">
        <v>23.401</v>
      </c>
      <c r="Y15">
        <v>23.398</v>
      </c>
      <c r="Z15">
        <v>23.521000000000001</v>
      </c>
      <c r="AA15">
        <v>23.497</v>
      </c>
      <c r="AB15">
        <v>23.477</v>
      </c>
      <c r="AC15">
        <v>23.524999999999999</v>
      </c>
      <c r="AD15">
        <v>23.533999999999999</v>
      </c>
      <c r="AE15">
        <v>23.518999999999998</v>
      </c>
      <c r="AF15">
        <v>23.402999999999999</v>
      </c>
      <c r="AG15">
        <v>23.475999999999999</v>
      </c>
      <c r="AH15">
        <v>23.561</v>
      </c>
      <c r="AI15">
        <v>23.553999999999998</v>
      </c>
      <c r="AJ15">
        <v>23.428000000000001</v>
      </c>
      <c r="AK15">
        <v>23.626000000000001</v>
      </c>
      <c r="AL15">
        <v>23.495999999999999</v>
      </c>
      <c r="AM15">
        <v>23.545000000000002</v>
      </c>
      <c r="AN15">
        <v>23.556000000000001</v>
      </c>
      <c r="AO15">
        <v>23.626000000000001</v>
      </c>
      <c r="AP15">
        <v>23.744</v>
      </c>
    </row>
    <row r="16" spans="2:42" x14ac:dyDescent="0.45">
      <c r="B16" s="6">
        <f t="shared" si="4"/>
        <v>24.935775335775336</v>
      </c>
      <c r="C16" s="4">
        <v>3191</v>
      </c>
      <c r="D16" s="5">
        <f t="shared" si="1"/>
        <v>24.811</v>
      </c>
      <c r="E16" s="5">
        <f t="shared" si="2"/>
        <v>25.242999999999999</v>
      </c>
      <c r="F16" s="5">
        <f t="shared" si="3"/>
        <v>25.024222222222214</v>
      </c>
      <c r="G16">
        <v>25.131</v>
      </c>
      <c r="H16">
        <v>25.067</v>
      </c>
      <c r="I16">
        <v>25.117999999999999</v>
      </c>
      <c r="J16">
        <v>25.062000000000001</v>
      </c>
      <c r="K16">
        <v>25.012</v>
      </c>
      <c r="L16">
        <v>24.995999999999999</v>
      </c>
      <c r="M16">
        <v>25.213999999999999</v>
      </c>
      <c r="N16">
        <v>25.056000000000001</v>
      </c>
      <c r="O16">
        <v>25.062999999999999</v>
      </c>
      <c r="P16">
        <v>24.811</v>
      </c>
      <c r="Q16">
        <v>25.129000000000001</v>
      </c>
      <c r="R16">
        <v>25.100999999999999</v>
      </c>
      <c r="S16">
        <v>24.965</v>
      </c>
      <c r="T16">
        <v>24.998000000000001</v>
      </c>
      <c r="U16">
        <v>24.849</v>
      </c>
      <c r="V16">
        <v>24.870999999999999</v>
      </c>
      <c r="W16">
        <v>24.888999999999999</v>
      </c>
      <c r="X16">
        <v>24.893999999999998</v>
      </c>
      <c r="Y16">
        <v>24.888999999999999</v>
      </c>
      <c r="Z16">
        <v>25.007000000000001</v>
      </c>
      <c r="AA16">
        <v>24.975999999999999</v>
      </c>
      <c r="AB16">
        <v>24.995999999999999</v>
      </c>
      <c r="AC16">
        <v>25.036000000000001</v>
      </c>
      <c r="AD16">
        <v>25.036000000000001</v>
      </c>
      <c r="AE16">
        <v>25.02</v>
      </c>
      <c r="AF16">
        <v>24.943000000000001</v>
      </c>
      <c r="AG16">
        <v>25.045000000000002</v>
      </c>
      <c r="AH16">
        <v>25.053999999999998</v>
      </c>
      <c r="AI16">
        <v>25.042000000000002</v>
      </c>
      <c r="AJ16">
        <v>25.001999999999999</v>
      </c>
      <c r="AK16">
        <v>25.129000000000001</v>
      </c>
      <c r="AL16">
        <v>25.015999999999998</v>
      </c>
      <c r="AM16">
        <v>25.030999999999999</v>
      </c>
      <c r="AN16">
        <v>25.06</v>
      </c>
      <c r="AO16">
        <v>25.120999999999999</v>
      </c>
      <c r="AP16">
        <v>25.242999999999999</v>
      </c>
    </row>
    <row r="17" spans="2:42" x14ac:dyDescent="0.45">
      <c r="B17" s="6">
        <f t="shared" si="4"/>
        <v>25.6</v>
      </c>
      <c r="C17" s="4">
        <v>3276</v>
      </c>
      <c r="D17" s="5">
        <f t="shared" si="1"/>
        <v>25.498999999999999</v>
      </c>
      <c r="E17" s="5">
        <f t="shared" si="2"/>
        <v>25.881</v>
      </c>
      <c r="F17" s="5">
        <f t="shared" si="3"/>
        <v>25.679388888888884</v>
      </c>
      <c r="G17">
        <v>25.763000000000002</v>
      </c>
      <c r="H17">
        <v>25.706</v>
      </c>
      <c r="I17">
        <v>25.759</v>
      </c>
      <c r="J17">
        <v>25.716999999999999</v>
      </c>
      <c r="K17">
        <v>25.675999999999998</v>
      </c>
      <c r="L17">
        <v>25.640999999999998</v>
      </c>
      <c r="M17">
        <v>25.87</v>
      </c>
      <c r="N17">
        <v>25.692</v>
      </c>
      <c r="O17">
        <v>25.702999999999999</v>
      </c>
      <c r="P17">
        <v>25.518999999999998</v>
      </c>
      <c r="Q17">
        <v>25.774000000000001</v>
      </c>
      <c r="R17">
        <v>25.739000000000001</v>
      </c>
      <c r="S17">
        <v>25.637</v>
      </c>
      <c r="T17">
        <v>25.661000000000001</v>
      </c>
      <c r="U17">
        <v>25.498999999999999</v>
      </c>
      <c r="V17">
        <v>25.527000000000001</v>
      </c>
      <c r="W17">
        <v>25.533999999999999</v>
      </c>
      <c r="X17">
        <v>25.542999999999999</v>
      </c>
      <c r="Y17">
        <v>25.53</v>
      </c>
      <c r="Z17">
        <v>25.640999999999998</v>
      </c>
      <c r="AA17">
        <v>25.655999999999999</v>
      </c>
      <c r="AB17">
        <v>25.632000000000001</v>
      </c>
      <c r="AC17">
        <v>25.672000000000001</v>
      </c>
      <c r="AD17">
        <v>25.693999999999999</v>
      </c>
      <c r="AE17">
        <v>25.675999999999998</v>
      </c>
      <c r="AF17">
        <v>25.605</v>
      </c>
      <c r="AG17">
        <v>25.722999999999999</v>
      </c>
      <c r="AH17">
        <v>25.725000000000001</v>
      </c>
      <c r="AI17">
        <v>25.725999999999999</v>
      </c>
      <c r="AJ17">
        <v>25.67</v>
      </c>
      <c r="AK17">
        <v>25.785</v>
      </c>
      <c r="AL17">
        <v>25.696999999999999</v>
      </c>
      <c r="AM17">
        <v>25.702999999999999</v>
      </c>
      <c r="AN17">
        <v>25.71</v>
      </c>
      <c r="AO17">
        <v>25.771999999999998</v>
      </c>
      <c r="AP17">
        <v>25.881</v>
      </c>
    </row>
    <row r="18" spans="2:42" x14ac:dyDescent="0.45">
      <c r="B18" s="6">
        <f t="shared" si="4"/>
        <v>32</v>
      </c>
      <c r="C18" s="4">
        <v>4095</v>
      </c>
      <c r="D18" s="5">
        <f t="shared" si="1"/>
        <v>31.867999999999999</v>
      </c>
      <c r="E18" s="5">
        <f t="shared" si="2"/>
        <v>32.274999999999999</v>
      </c>
      <c r="F18" s="5">
        <f t="shared" si="3"/>
        <v>32.057388888888887</v>
      </c>
      <c r="G18">
        <v>32.179000000000002</v>
      </c>
      <c r="H18">
        <v>32.027999999999999</v>
      </c>
      <c r="I18">
        <v>32.155000000000001</v>
      </c>
      <c r="J18">
        <v>32.066000000000003</v>
      </c>
      <c r="K18">
        <v>32.094999999999999</v>
      </c>
      <c r="L18">
        <v>32.061</v>
      </c>
      <c r="M18">
        <v>32.201999999999998</v>
      </c>
      <c r="N18">
        <v>32.090000000000003</v>
      </c>
      <c r="O18">
        <v>32.027999999999999</v>
      </c>
      <c r="P18">
        <v>32.180999999999997</v>
      </c>
      <c r="Q18">
        <v>32.143999999999998</v>
      </c>
      <c r="R18">
        <v>32.027999999999999</v>
      </c>
      <c r="S18">
        <v>31.986000000000001</v>
      </c>
      <c r="T18">
        <v>32.055</v>
      </c>
      <c r="U18">
        <v>31.908000000000001</v>
      </c>
      <c r="V18">
        <v>31.893999999999998</v>
      </c>
      <c r="W18">
        <v>31.960999999999999</v>
      </c>
      <c r="X18">
        <v>31.867999999999999</v>
      </c>
      <c r="Y18">
        <v>31.882999999999999</v>
      </c>
      <c r="Z18">
        <v>31.937000000000001</v>
      </c>
      <c r="AA18">
        <v>32.039000000000001</v>
      </c>
      <c r="AB18">
        <v>32.067999999999998</v>
      </c>
      <c r="AC18">
        <v>32.03</v>
      </c>
      <c r="AD18">
        <v>32.026000000000003</v>
      </c>
      <c r="AE18">
        <v>32.058999999999997</v>
      </c>
      <c r="AF18">
        <v>32.106000000000002</v>
      </c>
      <c r="AG18">
        <v>32.274999999999999</v>
      </c>
      <c r="AH18">
        <v>32.061</v>
      </c>
      <c r="AI18">
        <v>32.033999999999999</v>
      </c>
      <c r="AJ18">
        <v>32.219000000000001</v>
      </c>
      <c r="AK18">
        <v>32.122999999999998</v>
      </c>
      <c r="AL18">
        <v>32.124000000000002</v>
      </c>
      <c r="AM18">
        <v>31.984000000000002</v>
      </c>
      <c r="AN18">
        <v>31.988</v>
      </c>
      <c r="AO18">
        <v>32.067999999999998</v>
      </c>
      <c r="AP18">
        <v>32.113</v>
      </c>
    </row>
    <row r="21" spans="2:42" x14ac:dyDescent="0.45">
      <c r="B21" t="s">
        <v>16</v>
      </c>
      <c r="C21" s="2" t="s">
        <v>0</v>
      </c>
      <c r="D21" s="2" t="s">
        <v>13</v>
      </c>
      <c r="E21" s="2" t="s">
        <v>14</v>
      </c>
      <c r="F21" s="2" t="s">
        <v>15</v>
      </c>
      <c r="G21" s="2" t="s">
        <v>1</v>
      </c>
      <c r="H21" s="2" t="s">
        <v>2</v>
      </c>
      <c r="I21" s="2" t="s">
        <v>3</v>
      </c>
      <c r="J21" s="2" t="s">
        <v>4</v>
      </c>
      <c r="K21" s="2" t="s">
        <v>5</v>
      </c>
      <c r="L21" s="2" t="s">
        <v>6</v>
      </c>
      <c r="M21" s="2" t="s">
        <v>7</v>
      </c>
      <c r="N21" s="2" t="s">
        <v>8</v>
      </c>
      <c r="O21" s="2" t="s">
        <v>9</v>
      </c>
      <c r="P21" s="2" t="s">
        <v>10</v>
      </c>
      <c r="Q21" s="2" t="s">
        <v>11</v>
      </c>
      <c r="R21" s="2" t="s">
        <v>12</v>
      </c>
      <c r="S21" s="2" t="s">
        <v>1</v>
      </c>
      <c r="T21" s="2" t="s">
        <v>2</v>
      </c>
      <c r="U21" s="2" t="s">
        <v>3</v>
      </c>
      <c r="V21" s="2" t="s">
        <v>4</v>
      </c>
      <c r="W21" s="2" t="s">
        <v>5</v>
      </c>
      <c r="X21" s="2" t="s">
        <v>6</v>
      </c>
      <c r="Y21" s="2" t="s">
        <v>7</v>
      </c>
      <c r="Z21" s="2" t="s">
        <v>8</v>
      </c>
      <c r="AA21" s="2" t="s">
        <v>9</v>
      </c>
      <c r="AB21" s="2" t="s">
        <v>10</v>
      </c>
      <c r="AC21" s="2" t="s">
        <v>11</v>
      </c>
      <c r="AD21" s="2" t="s">
        <v>12</v>
      </c>
      <c r="AE21" s="2" t="s">
        <v>1</v>
      </c>
      <c r="AF21" s="2" t="s">
        <v>2</v>
      </c>
      <c r="AG21" s="2" t="s">
        <v>3</v>
      </c>
      <c r="AH21" s="2" t="s">
        <v>4</v>
      </c>
      <c r="AI21" s="2" t="s">
        <v>5</v>
      </c>
      <c r="AJ21" s="2" t="s">
        <v>6</v>
      </c>
      <c r="AK21" s="2" t="s">
        <v>7</v>
      </c>
      <c r="AL21" s="2" t="s">
        <v>8</v>
      </c>
      <c r="AM21" s="2" t="s">
        <v>9</v>
      </c>
      <c r="AN21" s="2" t="s">
        <v>10</v>
      </c>
      <c r="AO21" s="2" t="s">
        <v>11</v>
      </c>
      <c r="AP21" s="2" t="s">
        <v>12</v>
      </c>
    </row>
    <row r="22" spans="2:42" x14ac:dyDescent="0.45">
      <c r="B22" s="6">
        <f t="shared" ref="B22:B29" si="5">8*C22/4095</f>
        <v>0.68962148962148961</v>
      </c>
      <c r="C22" s="3">
        <v>353</v>
      </c>
      <c r="D22" s="1">
        <f>MIN(G22:AP22)</f>
        <v>-2.2652266288951766E-2</v>
      </c>
      <c r="E22" s="1">
        <f>MAX(G22:AP22)</f>
        <v>0.11945467422096322</v>
      </c>
      <c r="F22" s="1">
        <f>AVERAGE(G22:AP22)</f>
        <v>3.7646512039660046E-2</v>
      </c>
      <c r="G22" s="1">
        <f t="shared" ref="G22:AP22" si="6">(G3-$B3)/$B3</f>
        <v>5.5651558073654371E-2</v>
      </c>
      <c r="H22" s="1">
        <f t="shared" si="6"/>
        <v>7.0152266288951839E-2</v>
      </c>
      <c r="I22" s="1">
        <f t="shared" si="6"/>
        <v>0.103503895184136</v>
      </c>
      <c r="J22" s="1">
        <f t="shared" si="6"/>
        <v>9.3353399433427783E-2</v>
      </c>
      <c r="K22" s="1">
        <f t="shared" si="6"/>
        <v>4.5501062322946151E-2</v>
      </c>
      <c r="L22" s="1">
        <f t="shared" si="6"/>
        <v>-9.6016288951840511E-3</v>
      </c>
      <c r="M22" s="1">
        <f t="shared" si="6"/>
        <v>9.045325779036828E-2</v>
      </c>
      <c r="N22" s="1">
        <f t="shared" si="6"/>
        <v>6.1451841359773357E-2</v>
      </c>
      <c r="O22" s="1">
        <f t="shared" si="6"/>
        <v>5.1301345609065137E-2</v>
      </c>
      <c r="P22" s="1">
        <f t="shared" si="6"/>
        <v>9.2492917847024902E-3</v>
      </c>
      <c r="Q22" s="1">
        <f t="shared" si="6"/>
        <v>8.3202903682719556E-2</v>
      </c>
      <c r="R22" s="1">
        <f t="shared" si="6"/>
        <v>8.755311614730879E-2</v>
      </c>
      <c r="S22" s="1">
        <f t="shared" si="6"/>
        <v>2.2299929178470207E-2</v>
      </c>
      <c r="T22" s="1">
        <f t="shared" si="6"/>
        <v>9.2492917847024902E-3</v>
      </c>
      <c r="U22" s="1">
        <f t="shared" si="6"/>
        <v>-2.2652266288951766E-2</v>
      </c>
      <c r="V22" s="1">
        <f t="shared" si="6"/>
        <v>-1.9752124645892277E-2</v>
      </c>
      <c r="W22" s="1">
        <f t="shared" si="6"/>
        <v>1.359950424929173E-2</v>
      </c>
      <c r="X22" s="1">
        <f t="shared" si="6"/>
        <v>-1.9752124645892277E-2</v>
      </c>
      <c r="Y22" s="1">
        <f t="shared" si="6"/>
        <v>-1.2501770538243542E-2</v>
      </c>
      <c r="Z22" s="1">
        <f t="shared" si="6"/>
        <v>5.1301345609065137E-2</v>
      </c>
      <c r="AA22" s="1">
        <f t="shared" si="6"/>
        <v>1.2149433427761983E-2</v>
      </c>
      <c r="AB22" s="1">
        <f t="shared" si="6"/>
        <v>-3.8013456090650651E-3</v>
      </c>
      <c r="AC22" s="1">
        <f t="shared" si="6"/>
        <v>2.2299929178470207E-2</v>
      </c>
      <c r="AD22" s="1">
        <f t="shared" si="6"/>
        <v>3.5350566572237924E-2</v>
      </c>
      <c r="AE22" s="1">
        <f t="shared" si="6"/>
        <v>3.5350566572237924E-2</v>
      </c>
      <c r="AF22" s="1">
        <f t="shared" si="6"/>
        <v>1.359950424929173E-2</v>
      </c>
      <c r="AG22" s="1">
        <f t="shared" si="6"/>
        <v>2.2299929178470207E-2</v>
      </c>
      <c r="AH22" s="1">
        <f t="shared" si="6"/>
        <v>1.9399787535410714E-2</v>
      </c>
      <c r="AI22" s="1">
        <f t="shared" si="6"/>
        <v>5.1301345609065137E-2</v>
      </c>
      <c r="AJ22" s="1">
        <f t="shared" si="6"/>
        <v>1.2149433427761983E-2</v>
      </c>
      <c r="AK22" s="1">
        <f t="shared" si="6"/>
        <v>6.4351983002832847E-2</v>
      </c>
      <c r="AL22" s="1">
        <f t="shared" si="6"/>
        <v>6.3491501416429981E-3</v>
      </c>
      <c r="AM22" s="1">
        <f t="shared" si="6"/>
        <v>6.4351983002832847E-2</v>
      </c>
      <c r="AN22" s="1">
        <f t="shared" si="6"/>
        <v>5.8551699716713868E-2</v>
      </c>
      <c r="AO22" s="1">
        <f t="shared" si="6"/>
        <v>5.8551699716713868E-2</v>
      </c>
      <c r="AP22" s="1">
        <f t="shared" si="6"/>
        <v>0.11945467422096322</v>
      </c>
    </row>
    <row r="23" spans="2:42" x14ac:dyDescent="0.45">
      <c r="B23" s="6">
        <f t="shared" si="5"/>
        <v>0.98656898656898662</v>
      </c>
      <c r="C23" s="3">
        <v>505</v>
      </c>
      <c r="D23" s="1">
        <f t="shared" ref="D23:D37" si="7">MIN(G23:AP23)</f>
        <v>-1.8821782178217897E-2</v>
      </c>
      <c r="E23" s="1">
        <f t="shared" ref="E23:E37" si="8">MAX(G23:AP23)</f>
        <v>9.5716584158415746E-2</v>
      </c>
      <c r="F23" s="1">
        <f t="shared" ref="F23:F37" si="9">AVERAGE(G23:AP23)</f>
        <v>2.6086943069306857E-2</v>
      </c>
      <c r="G23" s="1">
        <f t="shared" ref="G23:AP23" si="10">(G4-$B4)/$B4</f>
        <v>3.6926980198019661E-2</v>
      </c>
      <c r="H23" s="1">
        <f t="shared" si="10"/>
        <v>4.9090346534653335E-2</v>
      </c>
      <c r="I23" s="1">
        <f t="shared" si="10"/>
        <v>7.5444306930692956E-2</v>
      </c>
      <c r="J23" s="1">
        <f t="shared" si="10"/>
        <v>6.6321782178217811E-2</v>
      </c>
      <c r="K23" s="1">
        <f t="shared" si="10"/>
        <v>2.5777227722772238E-2</v>
      </c>
      <c r="L23" s="1">
        <f t="shared" si="10"/>
        <v>-1.4767326732673339E-2</v>
      </c>
      <c r="M23" s="1">
        <f t="shared" si="10"/>
        <v>6.6321782178217811E-2</v>
      </c>
      <c r="N23" s="1">
        <f t="shared" si="10"/>
        <v>4.199504950495047E-2</v>
      </c>
      <c r="O23" s="1">
        <f t="shared" si="10"/>
        <v>3.2872524752475103E-2</v>
      </c>
      <c r="P23" s="1">
        <f t="shared" si="10"/>
        <v>-3.6175742574258061E-3</v>
      </c>
      <c r="Q23" s="1">
        <f t="shared" si="10"/>
        <v>5.7199257425742452E-2</v>
      </c>
      <c r="R23" s="1">
        <f t="shared" si="10"/>
        <v>6.4294554455445532E-2</v>
      </c>
      <c r="S23" s="1">
        <f t="shared" si="10"/>
        <v>1.868193069306915E-2</v>
      </c>
      <c r="T23" s="1">
        <f t="shared" si="10"/>
        <v>8.5457920792078677E-3</v>
      </c>
      <c r="U23" s="1">
        <f t="shared" si="10"/>
        <v>-1.8821782178217897E-2</v>
      </c>
      <c r="V23" s="1">
        <f t="shared" si="10"/>
        <v>-1.4767326732673339E-2</v>
      </c>
      <c r="W23" s="1">
        <f t="shared" si="10"/>
        <v>1.0573019801980147E-2</v>
      </c>
      <c r="X23" s="1">
        <f t="shared" si="10"/>
        <v>-1.274009900990106E-2</v>
      </c>
      <c r="Y23" s="1">
        <f t="shared" si="10"/>
        <v>-9.6992574257426436E-3</v>
      </c>
      <c r="Z23" s="1">
        <f t="shared" si="10"/>
        <v>4.199504950495047E-2</v>
      </c>
      <c r="AA23" s="1">
        <f t="shared" si="10"/>
        <v>1.2600247524752426E-2</v>
      </c>
      <c r="AB23" s="1">
        <f t="shared" si="10"/>
        <v>-3.6175742574258061E-3</v>
      </c>
      <c r="AC23" s="1">
        <f t="shared" si="10"/>
        <v>1.868193069306915E-2</v>
      </c>
      <c r="AD23" s="1">
        <f t="shared" si="10"/>
        <v>3.0845297029702824E-2</v>
      </c>
      <c r="AE23" s="1">
        <f t="shared" si="10"/>
        <v>2.3749999999999959E-2</v>
      </c>
      <c r="AF23" s="1">
        <f t="shared" si="10"/>
        <v>5.5049504950494491E-3</v>
      </c>
      <c r="AG23" s="1">
        <f t="shared" si="10"/>
        <v>8.5457920792078677E-3</v>
      </c>
      <c r="AH23" s="1">
        <f t="shared" si="10"/>
        <v>8.5457920792078677E-3</v>
      </c>
      <c r="AI23" s="1">
        <f t="shared" si="10"/>
        <v>3.6926980198019661E-2</v>
      </c>
      <c r="AJ23" s="1">
        <f t="shared" si="10"/>
        <v>3.4777227722771701E-3</v>
      </c>
      <c r="AK23" s="1">
        <f t="shared" si="10"/>
        <v>4.6049504950495028E-2</v>
      </c>
      <c r="AL23" s="1">
        <f t="shared" si="10"/>
        <v>-1.590346534653527E-3</v>
      </c>
      <c r="AM23" s="1">
        <f t="shared" si="10"/>
        <v>4.8076732673267307E-2</v>
      </c>
      <c r="AN23" s="1">
        <f t="shared" si="10"/>
        <v>4.199504950495047E-2</v>
      </c>
      <c r="AO23" s="1">
        <f t="shared" si="10"/>
        <v>4.199504950495047E-2</v>
      </c>
      <c r="AP23" s="1">
        <f t="shared" si="10"/>
        <v>9.5716584158415746E-2</v>
      </c>
    </row>
    <row r="24" spans="2:42" x14ac:dyDescent="0.45">
      <c r="B24" s="6">
        <f t="shared" si="5"/>
        <v>1.5628815628815629</v>
      </c>
      <c r="C24" s="3">
        <v>800</v>
      </c>
      <c r="D24" s="1">
        <f t="shared" si="7"/>
        <v>-1.2081249999999974E-2</v>
      </c>
      <c r="E24" s="1">
        <f t="shared" si="8"/>
        <v>7.0458593750000034E-2</v>
      </c>
      <c r="F24" s="1">
        <f t="shared" si="9"/>
        <v>1.8595703125000015E-2</v>
      </c>
      <c r="G24" s="1">
        <f t="shared" ref="G24:AP24" si="11">(G5-$B5)/$B5</f>
        <v>2.8868750000000061E-2</v>
      </c>
      <c r="H24" s="1">
        <f t="shared" si="11"/>
        <v>3.782656250000007E-2</v>
      </c>
      <c r="I24" s="1">
        <f t="shared" si="11"/>
        <v>5.5102343750000012E-2</v>
      </c>
      <c r="J24" s="1">
        <f t="shared" si="11"/>
        <v>4.7424218750000011E-2</v>
      </c>
      <c r="K24" s="1">
        <f t="shared" si="11"/>
        <v>1.7351562500000053E-2</v>
      </c>
      <c r="L24" s="1">
        <f t="shared" si="11"/>
        <v>-8.24218749999997E-3</v>
      </c>
      <c r="M24" s="1">
        <f t="shared" si="11"/>
        <v>5.0623437499999938E-2</v>
      </c>
      <c r="N24" s="1">
        <f t="shared" si="11"/>
        <v>3.2067968749999995E-2</v>
      </c>
      <c r="O24" s="1">
        <f t="shared" si="11"/>
        <v>2.5029687500000061E-2</v>
      </c>
      <c r="P24" s="1">
        <f t="shared" si="11"/>
        <v>-7.6023437500000414E-3</v>
      </c>
      <c r="Q24" s="1">
        <f t="shared" si="11"/>
        <v>4.1665624999999928E-2</v>
      </c>
      <c r="R24" s="1">
        <f t="shared" si="11"/>
        <v>4.8703906250000012E-2</v>
      </c>
      <c r="S24" s="1">
        <f t="shared" si="11"/>
        <v>1.479218750000005E-2</v>
      </c>
      <c r="T24" s="1">
        <f t="shared" si="11"/>
        <v>7.7539062499999726E-3</v>
      </c>
      <c r="U24" s="1">
        <f t="shared" si="11"/>
        <v>-1.2081249999999974E-2</v>
      </c>
      <c r="V24" s="1">
        <f t="shared" si="11"/>
        <v>-1.0801562499999973E-2</v>
      </c>
      <c r="W24" s="1">
        <f t="shared" si="11"/>
        <v>7.7539062499999726E-3</v>
      </c>
      <c r="X24" s="1">
        <f t="shared" si="11"/>
        <v>-9.5218749999999713E-3</v>
      </c>
      <c r="Y24" s="1">
        <f t="shared" si="11"/>
        <v>-6.32265625000004E-3</v>
      </c>
      <c r="Z24" s="1">
        <f t="shared" si="11"/>
        <v>3.2067968749999995E-2</v>
      </c>
      <c r="AA24" s="1">
        <f t="shared" si="11"/>
        <v>9.0335937499999731E-3</v>
      </c>
      <c r="AB24" s="1">
        <f t="shared" si="11"/>
        <v>-2.4835937500000366E-3</v>
      </c>
      <c r="AC24" s="1">
        <f t="shared" si="11"/>
        <v>1.3512500000000049E-2</v>
      </c>
      <c r="AD24" s="1">
        <f t="shared" si="11"/>
        <v>2.3750000000000059E-2</v>
      </c>
      <c r="AE24" s="1">
        <f t="shared" si="11"/>
        <v>1.6071875000000051E-2</v>
      </c>
      <c r="AF24" s="1">
        <f t="shared" si="11"/>
        <v>-1.843749999999965E-3</v>
      </c>
      <c r="AG24" s="1">
        <f t="shared" si="11"/>
        <v>-5.640624999999639E-4</v>
      </c>
      <c r="AH24" s="1">
        <f t="shared" si="11"/>
        <v>6.4742187499999713E-3</v>
      </c>
      <c r="AI24" s="1">
        <f t="shared" si="11"/>
        <v>2.5029687500000061E-2</v>
      </c>
      <c r="AJ24" s="1">
        <f t="shared" si="11"/>
        <v>-2.4835937500000366E-3</v>
      </c>
      <c r="AK24" s="1">
        <f t="shared" si="11"/>
        <v>3.0788281249999994E-2</v>
      </c>
      <c r="AL24" s="1">
        <f t="shared" si="11"/>
        <v>-3.7632812500000379E-3</v>
      </c>
      <c r="AM24" s="1">
        <f t="shared" si="11"/>
        <v>3.4627343749999998E-2</v>
      </c>
      <c r="AN24" s="1">
        <f t="shared" si="11"/>
        <v>2.8868750000000061E-2</v>
      </c>
      <c r="AO24" s="1">
        <f t="shared" si="11"/>
        <v>2.9508593749999992E-2</v>
      </c>
      <c r="AP24" s="1">
        <f t="shared" si="11"/>
        <v>7.0458593750000034E-2</v>
      </c>
    </row>
    <row r="25" spans="2:42" x14ac:dyDescent="0.45">
      <c r="B25" s="6">
        <f t="shared" si="5"/>
        <v>4.2979242979242978</v>
      </c>
      <c r="C25" s="3">
        <v>2200</v>
      </c>
      <c r="D25" s="1">
        <f t="shared" si="7"/>
        <v>-5.5664772727272282E-3</v>
      </c>
      <c r="E25" s="1">
        <f t="shared" si="8"/>
        <v>2.4215340909090981E-2</v>
      </c>
      <c r="F25" s="1">
        <f t="shared" si="9"/>
        <v>5.6146306818182102E-3</v>
      </c>
      <c r="G25" s="1">
        <f t="shared" ref="G25:AP25" si="12">(G6-$B6)/$B6</f>
        <v>7.6957386363637704E-3</v>
      </c>
      <c r="H25" s="1">
        <f t="shared" si="12"/>
        <v>1.1418465909091046E-2</v>
      </c>
      <c r="I25" s="1">
        <f t="shared" si="12"/>
        <v>1.9561931818181784E-2</v>
      </c>
      <c r="J25" s="1">
        <f t="shared" si="12"/>
        <v>1.4443181818181933E-2</v>
      </c>
      <c r="K25" s="1">
        <f t="shared" si="12"/>
        <v>5.8343750000001329E-3</v>
      </c>
      <c r="L25" s="1">
        <f t="shared" si="12"/>
        <v>-5.1011363636363702E-3</v>
      </c>
      <c r="M25" s="1">
        <f t="shared" si="12"/>
        <v>1.9096590909090924E-2</v>
      </c>
      <c r="N25" s="1">
        <f t="shared" si="12"/>
        <v>1.2349147727272762E-2</v>
      </c>
      <c r="O25" s="1">
        <f t="shared" si="12"/>
        <v>9.3244318181818758E-3</v>
      </c>
      <c r="P25" s="1">
        <f t="shared" si="12"/>
        <v>-2.5417613636363424E-3</v>
      </c>
      <c r="Q25" s="1">
        <f t="shared" si="12"/>
        <v>1.2349147727272762E-2</v>
      </c>
      <c r="R25" s="1">
        <f t="shared" si="12"/>
        <v>1.8165909090909208E-2</v>
      </c>
      <c r="S25" s="1">
        <f t="shared" si="12"/>
        <v>3.50767045454543E-3</v>
      </c>
      <c r="T25" s="1">
        <f t="shared" si="12"/>
        <v>4.2056818181818202E-3</v>
      </c>
      <c r="U25" s="1">
        <f t="shared" si="12"/>
        <v>-4.6357954545455131E-3</v>
      </c>
      <c r="V25" s="1">
        <f t="shared" si="12"/>
        <v>-5.5664772727272282E-3</v>
      </c>
      <c r="W25" s="1">
        <f t="shared" si="12"/>
        <v>3.042329545454572E-3</v>
      </c>
      <c r="X25" s="1">
        <f t="shared" si="12"/>
        <v>-5.1011363636363702E-3</v>
      </c>
      <c r="Y25" s="1">
        <f t="shared" si="12"/>
        <v>-4.6357954545455131E-3</v>
      </c>
      <c r="Z25" s="1">
        <f t="shared" si="12"/>
        <v>9.7897727272727338E-3</v>
      </c>
      <c r="AA25" s="1">
        <f t="shared" si="12"/>
        <v>2.576988636363714E-3</v>
      </c>
      <c r="AB25" s="1">
        <f t="shared" si="12"/>
        <v>-2.5417613636363424E-3</v>
      </c>
      <c r="AC25" s="1">
        <f t="shared" si="12"/>
        <v>4.6710227272726782E-3</v>
      </c>
      <c r="AD25" s="1">
        <f t="shared" si="12"/>
        <v>8.1610795454546275E-3</v>
      </c>
      <c r="AE25" s="1">
        <f t="shared" si="12"/>
        <v>4.2056818181818202E-3</v>
      </c>
      <c r="AF25" s="1">
        <f t="shared" si="12"/>
        <v>-2.5417613636363424E-3</v>
      </c>
      <c r="AG25" s="1">
        <f t="shared" si="12"/>
        <v>-2.5417613636363424E-3</v>
      </c>
      <c r="AH25" s="1">
        <f t="shared" si="12"/>
        <v>-4.4772727272717199E-4</v>
      </c>
      <c r="AI25" s="1">
        <f t="shared" si="12"/>
        <v>8.3937499999999533E-3</v>
      </c>
      <c r="AJ25" s="1">
        <f t="shared" si="12"/>
        <v>-4.6357954545455131E-3</v>
      </c>
      <c r="AK25" s="1">
        <f t="shared" si="12"/>
        <v>9.7897727272727338E-3</v>
      </c>
      <c r="AL25" s="1">
        <f t="shared" si="12"/>
        <v>-3.0071022727272E-3</v>
      </c>
      <c r="AM25" s="1">
        <f t="shared" si="12"/>
        <v>1.3047159090909153E-2</v>
      </c>
      <c r="AN25" s="1">
        <f t="shared" si="12"/>
        <v>9.3244318181818758E-3</v>
      </c>
      <c r="AO25" s="1">
        <f t="shared" si="12"/>
        <v>1.0255113636363592E-2</v>
      </c>
      <c r="AP25" s="1">
        <f t="shared" si="12"/>
        <v>2.4215340909090981E-2</v>
      </c>
    </row>
    <row r="26" spans="2:42" x14ac:dyDescent="0.45">
      <c r="B26" s="6">
        <f t="shared" si="5"/>
        <v>5.8608058608058604</v>
      </c>
      <c r="C26" s="3">
        <v>3000</v>
      </c>
      <c r="D26" s="1">
        <f t="shared" si="7"/>
        <v>-5.9387499999999979E-3</v>
      </c>
      <c r="E26" s="1">
        <f t="shared" si="8"/>
        <v>1.3512500000000136E-2</v>
      </c>
      <c r="F26" s="1">
        <f t="shared" si="9"/>
        <v>3.4124479166667328E-3</v>
      </c>
      <c r="G26" s="1">
        <f t="shared" ref="G26:AP26" si="13">(G7-$B7)/$B7</f>
        <v>5.4931250000000327E-3</v>
      </c>
      <c r="H26" s="1">
        <f t="shared" si="13"/>
        <v>5.1518750000000696E-3</v>
      </c>
      <c r="I26" s="1">
        <f t="shared" si="13"/>
        <v>1.1635625000000115E-2</v>
      </c>
      <c r="J26" s="1">
        <f t="shared" si="13"/>
        <v>8.5643749999999973E-3</v>
      </c>
      <c r="K26" s="1">
        <f t="shared" si="13"/>
        <v>4.6400000000000503E-3</v>
      </c>
      <c r="L26" s="1">
        <f t="shared" si="13"/>
        <v>-4.4031249999999392E-3</v>
      </c>
      <c r="M26" s="1">
        <f t="shared" si="13"/>
        <v>1.1635625000000115E-2</v>
      </c>
      <c r="N26" s="1">
        <f t="shared" si="13"/>
        <v>8.052500000000129E-3</v>
      </c>
      <c r="O26" s="1">
        <f t="shared" si="13"/>
        <v>5.4931250000000327E-3</v>
      </c>
      <c r="P26" s="1">
        <f t="shared" si="13"/>
        <v>3.2750000000000491E-3</v>
      </c>
      <c r="Q26" s="1">
        <f t="shared" si="13"/>
        <v>6.3462500000000142E-3</v>
      </c>
      <c r="R26" s="1">
        <f t="shared" si="13"/>
        <v>1.0441250000000018E-2</v>
      </c>
      <c r="S26" s="1">
        <f t="shared" si="13"/>
        <v>1.3981250000000285E-3</v>
      </c>
      <c r="T26" s="1">
        <f t="shared" si="13"/>
        <v>2.4218750000000672E-3</v>
      </c>
      <c r="U26" s="1">
        <f t="shared" si="13"/>
        <v>-3.8912499999999199E-3</v>
      </c>
      <c r="V26" s="1">
        <f t="shared" si="13"/>
        <v>-3.8912499999999199E-3</v>
      </c>
      <c r="W26" s="1">
        <f t="shared" si="13"/>
        <v>8.8625000000000899E-4</v>
      </c>
      <c r="X26" s="1">
        <f t="shared" si="13"/>
        <v>-5.9387499999999979E-3</v>
      </c>
      <c r="Y26" s="1">
        <f t="shared" si="13"/>
        <v>-4.7443749999999014E-3</v>
      </c>
      <c r="Z26" s="1">
        <f t="shared" si="13"/>
        <v>2.7631250000000299E-3</v>
      </c>
      <c r="AA26" s="1">
        <f t="shared" si="13"/>
        <v>2.0375000000008415E-4</v>
      </c>
      <c r="AB26" s="1">
        <f t="shared" si="13"/>
        <v>-2.5262499999999183E-3</v>
      </c>
      <c r="AC26" s="1">
        <f t="shared" si="13"/>
        <v>1.227500000000123E-3</v>
      </c>
      <c r="AD26" s="1">
        <f t="shared" si="13"/>
        <v>4.8106250000001073E-3</v>
      </c>
      <c r="AE26" s="1">
        <f t="shared" si="13"/>
        <v>3.2750000000000491E-3</v>
      </c>
      <c r="AF26" s="1">
        <f t="shared" si="13"/>
        <v>-6.4937499999989776E-4</v>
      </c>
      <c r="AG26" s="1">
        <f t="shared" si="13"/>
        <v>3.6162500000000118E-3</v>
      </c>
      <c r="AH26" s="1">
        <f t="shared" si="13"/>
        <v>-6.4937499999989776E-4</v>
      </c>
      <c r="AI26" s="1">
        <f t="shared" si="13"/>
        <v>5.8343749999999949E-3</v>
      </c>
      <c r="AJ26" s="1">
        <f t="shared" si="13"/>
        <v>1.227500000000123E-3</v>
      </c>
      <c r="AK26" s="1">
        <f t="shared" si="13"/>
        <v>6.3462500000000142E-3</v>
      </c>
      <c r="AL26" s="1">
        <f t="shared" si="13"/>
        <v>-1.3749999999987828E-4</v>
      </c>
      <c r="AM26" s="1">
        <f t="shared" si="13"/>
        <v>9.7587500000000937E-3</v>
      </c>
      <c r="AN26" s="1">
        <f t="shared" si="13"/>
        <v>5.4931250000000327E-3</v>
      </c>
      <c r="AO26" s="1">
        <f t="shared" si="13"/>
        <v>6.175625000000109E-3</v>
      </c>
      <c r="AP26" s="1">
        <f t="shared" si="13"/>
        <v>1.3512500000000136E-2</v>
      </c>
    </row>
    <row r="27" spans="2:42" x14ac:dyDescent="0.45">
      <c r="B27" s="6">
        <f t="shared" si="5"/>
        <v>6.233943833943834</v>
      </c>
      <c r="C27" s="3">
        <v>3191</v>
      </c>
      <c r="D27" s="1">
        <f t="shared" si="7"/>
        <v>-5.4450015669069065E-3</v>
      </c>
      <c r="E27" s="1">
        <f t="shared" si="8"/>
        <v>1.0596208085239698E-2</v>
      </c>
      <c r="F27" s="1">
        <f t="shared" si="9"/>
        <v>3.5514435130053232E-3</v>
      </c>
      <c r="G27" s="1">
        <f t="shared" ref="G27:AP27" si="14">(G8-$B8)/$B8</f>
        <v>4.8213726104669669E-3</v>
      </c>
      <c r="H27" s="1">
        <f t="shared" si="14"/>
        <v>4.9817847069883441E-3</v>
      </c>
      <c r="I27" s="1">
        <f t="shared" si="14"/>
        <v>1.0596208085239698E-2</v>
      </c>
      <c r="J27" s="1">
        <f t="shared" si="14"/>
        <v>7.708790347853333E-3</v>
      </c>
      <c r="K27" s="1">
        <f t="shared" si="14"/>
        <v>5.6234330930742824E-3</v>
      </c>
      <c r="L27" s="1">
        <f t="shared" si="14"/>
        <v>-2.8784080225634379E-3</v>
      </c>
      <c r="M27" s="1">
        <f t="shared" si="14"/>
        <v>1.0596208085239698E-2</v>
      </c>
      <c r="N27" s="1">
        <f t="shared" si="14"/>
        <v>7.3879661548104346E-3</v>
      </c>
      <c r="O27" s="1">
        <f t="shared" si="14"/>
        <v>5.3026089000313848E-3</v>
      </c>
      <c r="P27" s="1">
        <f t="shared" si="14"/>
        <v>7.708790347853333E-3</v>
      </c>
      <c r="Q27" s="1">
        <f t="shared" si="14"/>
        <v>5.3026089000313848E-3</v>
      </c>
      <c r="R27" s="1">
        <f t="shared" si="14"/>
        <v>9.1524992165465877E-3</v>
      </c>
      <c r="S27" s="1">
        <f t="shared" si="14"/>
        <v>9.0097148229280882E-6</v>
      </c>
      <c r="T27" s="1">
        <f t="shared" si="14"/>
        <v>3.0568395487308143E-3</v>
      </c>
      <c r="U27" s="1">
        <f t="shared" si="14"/>
        <v>-2.5575838295205404E-3</v>
      </c>
      <c r="V27" s="1">
        <f t="shared" si="14"/>
        <v>-2.5575838295205404E-3</v>
      </c>
      <c r="W27" s="1">
        <f t="shared" si="14"/>
        <v>1.6131306800375601E-3</v>
      </c>
      <c r="X27" s="1">
        <f t="shared" si="14"/>
        <v>-5.4450015669069065E-3</v>
      </c>
      <c r="Y27" s="1">
        <f t="shared" si="14"/>
        <v>-4.0012926982137941E-3</v>
      </c>
      <c r="Z27" s="1">
        <f t="shared" si="14"/>
        <v>2.7360153556879167E-3</v>
      </c>
      <c r="AA27" s="1">
        <f t="shared" si="14"/>
        <v>9.0097148229280882E-6</v>
      </c>
      <c r="AB27" s="1">
        <f t="shared" si="14"/>
        <v>-1.5951112503917039E-3</v>
      </c>
      <c r="AC27" s="1">
        <f t="shared" si="14"/>
        <v>2.0943669696019784E-3</v>
      </c>
      <c r="AD27" s="1">
        <f t="shared" si="14"/>
        <v>5.3026089000313848E-3</v>
      </c>
      <c r="AE27" s="1">
        <f t="shared" si="14"/>
        <v>3.2172516452521924E-3</v>
      </c>
      <c r="AF27" s="1">
        <f t="shared" si="14"/>
        <v>6.5065810090886636E-4</v>
      </c>
      <c r="AG27" s="1">
        <f t="shared" si="14"/>
        <v>4.1797242243810286E-3</v>
      </c>
      <c r="AH27" s="1">
        <f t="shared" si="14"/>
        <v>-1.5140238169859211E-4</v>
      </c>
      <c r="AI27" s="1">
        <f t="shared" si="14"/>
        <v>5.6234330930742824E-3</v>
      </c>
      <c r="AJ27" s="1">
        <f t="shared" si="14"/>
        <v>3.8589000313381306E-3</v>
      </c>
      <c r="AK27" s="1">
        <f t="shared" si="14"/>
        <v>4.5005484174239262E-3</v>
      </c>
      <c r="AL27" s="1">
        <f t="shared" si="14"/>
        <v>1.6131306800375601E-3</v>
      </c>
      <c r="AM27" s="1">
        <f t="shared" si="14"/>
        <v>9.1524992165465877E-3</v>
      </c>
      <c r="AN27" s="1">
        <f t="shared" si="14"/>
        <v>5.3026089000313848E-3</v>
      </c>
      <c r="AO27" s="1">
        <f t="shared" si="14"/>
        <v>4.9817847069883441E-3</v>
      </c>
      <c r="AP27" s="1">
        <f t="shared" si="14"/>
        <v>9.9545596991539032E-3</v>
      </c>
    </row>
    <row r="28" spans="2:42" x14ac:dyDescent="0.45">
      <c r="B28" s="6">
        <f t="shared" si="5"/>
        <v>6.4</v>
      </c>
      <c r="C28" s="3">
        <v>3276</v>
      </c>
      <c r="D28" s="1">
        <f t="shared" si="7"/>
        <v>-5.4687500000000222E-3</v>
      </c>
      <c r="E28" s="1">
        <f t="shared" si="8"/>
        <v>1.0156249999999922E-2</v>
      </c>
      <c r="F28" s="1">
        <f t="shared" si="9"/>
        <v>3.0251736111110575E-3</v>
      </c>
      <c r="G28" s="1">
        <f t="shared" ref="G28:AP28" si="15">(G9-$B9)/$B9</f>
        <v>3.5937499999999512E-3</v>
      </c>
      <c r="H28" s="1">
        <f t="shared" si="15"/>
        <v>3.437499999999899E-3</v>
      </c>
      <c r="I28" s="1">
        <f t="shared" si="15"/>
        <v>9.8437499999999567E-3</v>
      </c>
      <c r="J28" s="1">
        <f t="shared" si="15"/>
        <v>6.5624999999999711E-3</v>
      </c>
      <c r="K28" s="1">
        <f t="shared" si="15"/>
        <v>4.5312499999999867E-3</v>
      </c>
      <c r="L28" s="1">
        <f t="shared" si="15"/>
        <v>-4.2187500000000211E-3</v>
      </c>
      <c r="M28" s="1">
        <f t="shared" si="15"/>
        <v>9.0624999999999734E-3</v>
      </c>
      <c r="N28" s="1">
        <f t="shared" si="15"/>
        <v>7.0312499999999889E-3</v>
      </c>
      <c r="O28" s="1">
        <f t="shared" si="15"/>
        <v>5.1562499999999178E-3</v>
      </c>
      <c r="P28" s="1">
        <f t="shared" si="15"/>
        <v>7.0312499999999889E-3</v>
      </c>
      <c r="Q28" s="1">
        <f t="shared" si="15"/>
        <v>4.5312499999999867E-3</v>
      </c>
      <c r="R28" s="1">
        <f t="shared" si="15"/>
        <v>8.1249999999999378E-3</v>
      </c>
      <c r="S28" s="1">
        <f t="shared" si="15"/>
        <v>-1.4062500000000533E-3</v>
      </c>
      <c r="T28" s="1">
        <f t="shared" si="15"/>
        <v>2.5000000000000022E-3</v>
      </c>
      <c r="U28" s="1">
        <f t="shared" si="15"/>
        <v>-2.6562500000000544E-3</v>
      </c>
      <c r="V28" s="1">
        <f t="shared" si="15"/>
        <v>-3.1250000000000722E-3</v>
      </c>
      <c r="W28" s="1">
        <f t="shared" si="15"/>
        <v>7.8124999999998335E-4</v>
      </c>
      <c r="X28" s="1">
        <f t="shared" si="15"/>
        <v>-5.4687500000000222E-3</v>
      </c>
      <c r="Y28" s="1">
        <f t="shared" si="15"/>
        <v>-4.5312499999999867E-3</v>
      </c>
      <c r="Z28" s="1">
        <f t="shared" si="15"/>
        <v>1.4062499999999145E-3</v>
      </c>
      <c r="AA28" s="1">
        <f t="shared" si="15"/>
        <v>1.0937499999999489E-3</v>
      </c>
      <c r="AB28" s="1">
        <f t="shared" si="15"/>
        <v>-2.0312500000001232E-3</v>
      </c>
      <c r="AC28" s="1">
        <f t="shared" si="15"/>
        <v>1.4062499999999145E-3</v>
      </c>
      <c r="AD28" s="1">
        <f t="shared" si="15"/>
        <v>4.2187499999998823E-3</v>
      </c>
      <c r="AE28" s="1">
        <f t="shared" si="15"/>
        <v>3.1249999999999334E-3</v>
      </c>
      <c r="AF28" s="1">
        <f t="shared" si="15"/>
        <v>2.0312499999999845E-3</v>
      </c>
      <c r="AG28" s="1">
        <f t="shared" si="15"/>
        <v>5.1562499999999178E-3</v>
      </c>
      <c r="AH28" s="1">
        <f t="shared" si="15"/>
        <v>-6.2500000000006994E-4</v>
      </c>
      <c r="AI28" s="1">
        <f t="shared" si="15"/>
        <v>5.1562499999999178E-3</v>
      </c>
      <c r="AJ28" s="1">
        <f t="shared" si="15"/>
        <v>3.9062499999999167E-3</v>
      </c>
      <c r="AK28" s="1">
        <f t="shared" si="15"/>
        <v>3.9062499999999167E-3</v>
      </c>
      <c r="AL28" s="1">
        <f t="shared" si="15"/>
        <v>1.7187499999998801E-3</v>
      </c>
      <c r="AM28" s="1">
        <f t="shared" si="15"/>
        <v>8.1249999999999378E-3</v>
      </c>
      <c r="AN28" s="1">
        <f t="shared" si="15"/>
        <v>4.5312499999999867E-3</v>
      </c>
      <c r="AO28" s="1">
        <f t="shared" si="15"/>
        <v>4.8437499999999523E-3</v>
      </c>
      <c r="AP28" s="1">
        <f t="shared" si="15"/>
        <v>1.0156249999999922E-2</v>
      </c>
    </row>
    <row r="29" spans="2:42" x14ac:dyDescent="0.45">
      <c r="B29" s="6">
        <f t="shared" si="5"/>
        <v>8</v>
      </c>
      <c r="C29" s="3">
        <v>4095</v>
      </c>
      <c r="D29" s="1">
        <f t="shared" si="7"/>
        <v>-6.7500000000000338E-3</v>
      </c>
      <c r="E29" s="1">
        <f t="shared" si="8"/>
        <v>1.4750000000000041E-2</v>
      </c>
      <c r="F29" s="1">
        <f t="shared" si="9"/>
        <v>1.3506944444444421E-3</v>
      </c>
      <c r="G29" s="1">
        <f t="shared" ref="G29:AP29" si="16">(G10-$B10)/$B10</f>
        <v>8.7499999999995914E-4</v>
      </c>
      <c r="H29" s="1">
        <f t="shared" si="16"/>
        <v>-1.3750000000000151E-3</v>
      </c>
      <c r="I29" s="1">
        <f t="shared" si="16"/>
        <v>5.5000000000000604E-3</v>
      </c>
      <c r="J29" s="1">
        <f t="shared" si="16"/>
        <v>2.4999999999999467E-3</v>
      </c>
      <c r="K29" s="1">
        <f t="shared" si="16"/>
        <v>2.7500000000000302E-3</v>
      </c>
      <c r="L29" s="1">
        <f t="shared" si="16"/>
        <v>-3.1250000000000444E-3</v>
      </c>
      <c r="M29" s="1">
        <f t="shared" si="16"/>
        <v>4.750000000000032E-3</v>
      </c>
      <c r="N29" s="1">
        <f t="shared" si="16"/>
        <v>5.7499999999999218E-3</v>
      </c>
      <c r="O29" s="1">
        <f t="shared" si="16"/>
        <v>2.9999999999998916E-3</v>
      </c>
      <c r="P29" s="1">
        <f t="shared" si="16"/>
        <v>1.4750000000000041E-2</v>
      </c>
      <c r="Q29" s="1">
        <f t="shared" si="16"/>
        <v>1.6249999999999876E-3</v>
      </c>
      <c r="R29" s="1">
        <f t="shared" si="16"/>
        <v>3.6249999999999893E-3</v>
      </c>
      <c r="S29" s="1">
        <f t="shared" si="16"/>
        <v>-2.7500000000000302E-3</v>
      </c>
      <c r="T29" s="1">
        <f t="shared" si="16"/>
        <v>8.7499999999995914E-4</v>
      </c>
      <c r="U29" s="1">
        <f t="shared" si="16"/>
        <v>-2.0000000000000018E-3</v>
      </c>
      <c r="V29" s="1">
        <f t="shared" si="16"/>
        <v>-3.3750000000000169E-3</v>
      </c>
      <c r="W29" s="1">
        <f t="shared" si="16"/>
        <v>0</v>
      </c>
      <c r="X29" s="1">
        <f t="shared" si="16"/>
        <v>-6.7500000000000338E-3</v>
      </c>
      <c r="Y29" s="1">
        <f t="shared" si="16"/>
        <v>-5.3750000000000187E-3</v>
      </c>
      <c r="Z29" s="1">
        <f t="shared" si="16"/>
        <v>-2.7500000000000302E-3</v>
      </c>
      <c r="AA29" s="1">
        <f t="shared" si="16"/>
        <v>-1.6249999999999876E-3</v>
      </c>
      <c r="AB29" s="1">
        <f t="shared" si="16"/>
        <v>-2.0000000000000018E-3</v>
      </c>
      <c r="AC29" s="1">
        <f t="shared" si="16"/>
        <v>-1.3750000000000151E-3</v>
      </c>
      <c r="AD29" s="1">
        <f t="shared" si="16"/>
        <v>-2.4999999999997247E-4</v>
      </c>
      <c r="AE29" s="1">
        <f t="shared" si="16"/>
        <v>1.6249999999999876E-3</v>
      </c>
      <c r="AF29" s="1">
        <f t="shared" si="16"/>
        <v>4.750000000000032E-3</v>
      </c>
      <c r="AG29" s="1">
        <f t="shared" si="16"/>
        <v>9.3749999999999112E-3</v>
      </c>
      <c r="AH29" s="1">
        <f t="shared" si="16"/>
        <v>-1.7500000000000293E-3</v>
      </c>
      <c r="AI29" s="1">
        <f t="shared" si="16"/>
        <v>2.2500000000000853E-3</v>
      </c>
      <c r="AJ29" s="1">
        <f t="shared" si="16"/>
        <v>6.3750000000000195E-3</v>
      </c>
      <c r="AK29" s="1">
        <f t="shared" si="16"/>
        <v>1.8750000000000711E-3</v>
      </c>
      <c r="AL29" s="1">
        <f t="shared" si="16"/>
        <v>2.2500000000000853E-3</v>
      </c>
      <c r="AM29" s="1">
        <f t="shared" si="16"/>
        <v>5.2499999999999769E-3</v>
      </c>
      <c r="AN29" s="1">
        <f t="shared" si="16"/>
        <v>1.1250000000000426E-3</v>
      </c>
      <c r="AO29" s="1">
        <f t="shared" si="16"/>
        <v>1.1250000000000426E-3</v>
      </c>
      <c r="AP29" s="1">
        <f t="shared" si="16"/>
        <v>1.1250000000000426E-3</v>
      </c>
    </row>
    <row r="30" spans="2:42" x14ac:dyDescent="0.45">
      <c r="B30" s="6">
        <f t="shared" ref="B30:B37" si="17">32*C30/4095</f>
        <v>2.7584859584859585</v>
      </c>
      <c r="C30" s="4">
        <v>353</v>
      </c>
      <c r="D30" s="1">
        <f t="shared" si="7"/>
        <v>-4.5128364022662917E-2</v>
      </c>
      <c r="E30" s="1">
        <f t="shared" si="8"/>
        <v>0.11220432011331448</v>
      </c>
      <c r="F30" s="1">
        <f t="shared" si="9"/>
        <v>2.8976296919263463E-2</v>
      </c>
      <c r="G30" s="1">
        <f t="shared" ref="G30:AP30" si="18">(G11-$B11)/$B11</f>
        <v>5.7101628895184123E-2</v>
      </c>
      <c r="H30" s="1">
        <f t="shared" si="18"/>
        <v>7.4864996458923472E-2</v>
      </c>
      <c r="I30" s="1">
        <f t="shared" si="18"/>
        <v>7.1602337110481584E-2</v>
      </c>
      <c r="J30" s="1">
        <f t="shared" si="18"/>
        <v>6.6889606940509952E-2</v>
      </c>
      <c r="K30" s="1">
        <f t="shared" si="18"/>
        <v>3.0637836402266291E-2</v>
      </c>
      <c r="L30" s="1">
        <f t="shared" si="18"/>
        <v>2.1574893767705414E-2</v>
      </c>
      <c r="M30" s="1">
        <f t="shared" si="18"/>
        <v>8.247786827195476E-2</v>
      </c>
      <c r="N30" s="1">
        <f t="shared" si="18"/>
        <v>4.6588615439093498E-2</v>
      </c>
      <c r="O30" s="1">
        <f t="shared" si="18"/>
        <v>5.5651558073654371E-2</v>
      </c>
      <c r="P30" s="1">
        <f t="shared" si="18"/>
        <v>-4.5128364022662917E-2</v>
      </c>
      <c r="Q30" s="1">
        <f t="shared" si="18"/>
        <v>6.8702195467422095E-2</v>
      </c>
      <c r="R30" s="1">
        <f t="shared" si="18"/>
        <v>8.247786827195476E-2</v>
      </c>
      <c r="S30" s="1">
        <f t="shared" si="18"/>
        <v>1.2874468838526937E-2</v>
      </c>
      <c r="T30" s="1">
        <f t="shared" si="18"/>
        <v>4.8990793201132516E-3</v>
      </c>
      <c r="U30" s="1">
        <f t="shared" si="18"/>
        <v>-2.0114642351274831E-2</v>
      </c>
      <c r="V30" s="1">
        <f t="shared" si="18"/>
        <v>-1.28642882436261E-2</v>
      </c>
      <c r="W30" s="1">
        <f t="shared" si="18"/>
        <v>-8.1515580736543046E-3</v>
      </c>
      <c r="X30" s="1">
        <f t="shared" si="18"/>
        <v>-1.626239376770526E-3</v>
      </c>
      <c r="Y30" s="1">
        <f t="shared" si="18"/>
        <v>-8.1515580736543046E-3</v>
      </c>
      <c r="Z30" s="1">
        <f t="shared" si="18"/>
        <v>3.5350566572237924E-2</v>
      </c>
      <c r="AA30" s="1">
        <f t="shared" si="18"/>
        <v>5.6241147308782055E-3</v>
      </c>
      <c r="AB30" s="1">
        <f t="shared" si="18"/>
        <v>-9.6016288951840511E-3</v>
      </c>
      <c r="AC30" s="1">
        <f t="shared" si="18"/>
        <v>1.2874468838526937E-2</v>
      </c>
      <c r="AD30" s="1">
        <f t="shared" si="18"/>
        <v>2.5925106232294656E-2</v>
      </c>
      <c r="AE30" s="1">
        <f t="shared" si="18"/>
        <v>3.0637836402266291E-2</v>
      </c>
      <c r="AF30" s="1">
        <f t="shared" si="18"/>
        <v>-6.3389695467421618E-3</v>
      </c>
      <c r="AG30" s="1">
        <f t="shared" si="18"/>
        <v>-1.3589323654390893E-2</v>
      </c>
      <c r="AH30" s="1">
        <f t="shared" si="18"/>
        <v>3.0637836402266291E-2</v>
      </c>
      <c r="AI30" s="1">
        <f t="shared" si="18"/>
        <v>4.4413509206798797E-2</v>
      </c>
      <c r="AJ30" s="1">
        <f t="shared" si="18"/>
        <v>-1.6126947592067991E-2</v>
      </c>
      <c r="AK30" s="1">
        <f t="shared" si="18"/>
        <v>5.1663863314447535E-2</v>
      </c>
      <c r="AL30" s="1">
        <f t="shared" si="18"/>
        <v>2.3614553824363167E-3</v>
      </c>
      <c r="AM30" s="1">
        <f t="shared" si="18"/>
        <v>4.840120396600564E-2</v>
      </c>
      <c r="AN30" s="1">
        <f t="shared" si="18"/>
        <v>5.0938827903682739E-2</v>
      </c>
      <c r="AO30" s="1">
        <f t="shared" si="18"/>
        <v>5.7464146600566514E-2</v>
      </c>
      <c r="AP30" s="1">
        <f t="shared" si="18"/>
        <v>0.11220432011331448</v>
      </c>
    </row>
    <row r="31" spans="2:42" x14ac:dyDescent="0.45">
      <c r="B31" s="6">
        <f t="shared" si="17"/>
        <v>3.9462759462759465</v>
      </c>
      <c r="C31" s="4">
        <v>505</v>
      </c>
      <c r="D31" s="1">
        <f t="shared" si="7"/>
        <v>-5.4044863861386162E-2</v>
      </c>
      <c r="E31" s="1">
        <f t="shared" si="8"/>
        <v>8.8621287128712881E-2</v>
      </c>
      <c r="F31" s="1">
        <f t="shared" si="9"/>
        <v>1.8998685024752424E-2</v>
      </c>
      <c r="G31" s="1">
        <f t="shared" ref="G31:AP31" si="19">(G12-$B12)/$B12</f>
        <v>3.6673576732673269E-2</v>
      </c>
      <c r="H31" s="1">
        <f t="shared" si="19"/>
        <v>5.3144801980197894E-2</v>
      </c>
      <c r="I31" s="1">
        <f t="shared" si="19"/>
        <v>4.7823329207920685E-2</v>
      </c>
      <c r="J31" s="1">
        <f t="shared" si="19"/>
        <v>4.4022277227722749E-2</v>
      </c>
      <c r="K31" s="1">
        <f t="shared" si="19"/>
        <v>1.4627475247524592E-2</v>
      </c>
      <c r="L31" s="1">
        <f t="shared" si="19"/>
        <v>9.5594059405940072E-3</v>
      </c>
      <c r="M31" s="1">
        <f t="shared" si="19"/>
        <v>5.9733292079207967E-2</v>
      </c>
      <c r="N31" s="1">
        <f t="shared" si="19"/>
        <v>2.7551051980197899E-2</v>
      </c>
      <c r="O31" s="1">
        <f t="shared" si="19"/>
        <v>3.7180383663366276E-2</v>
      </c>
      <c r="P31" s="1">
        <f t="shared" si="19"/>
        <v>-5.4044863861386162E-2</v>
      </c>
      <c r="Q31" s="1">
        <f t="shared" si="19"/>
        <v>4.7316522277227671E-2</v>
      </c>
      <c r="R31" s="1">
        <f t="shared" si="19"/>
        <v>5.9226485148514731E-2</v>
      </c>
      <c r="S31" s="1">
        <f t="shared" si="19"/>
        <v>1.031961633663364E-2</v>
      </c>
      <c r="T31" s="1">
        <f t="shared" si="19"/>
        <v>5.251547029702942E-3</v>
      </c>
      <c r="U31" s="1">
        <f t="shared" si="19"/>
        <v>-1.5780940594059479E-2</v>
      </c>
      <c r="V31" s="1">
        <f t="shared" si="19"/>
        <v>-1.0206064356435656E-2</v>
      </c>
      <c r="W31" s="1">
        <f t="shared" si="19"/>
        <v>-8.9390470297030095E-3</v>
      </c>
      <c r="X31" s="1">
        <f t="shared" si="19"/>
        <v>2.2107054455445239E-3</v>
      </c>
      <c r="Y31" s="1">
        <f t="shared" si="19"/>
        <v>-4.3777846534654389E-3</v>
      </c>
      <c r="Z31" s="1">
        <f t="shared" si="19"/>
        <v>3.1098700495049442E-2</v>
      </c>
      <c r="AA31" s="1">
        <f t="shared" si="19"/>
        <v>5.251547029702942E-3</v>
      </c>
      <c r="AB31" s="1">
        <f t="shared" si="19"/>
        <v>-6.151608910891098E-3</v>
      </c>
      <c r="AC31" s="1">
        <f t="shared" si="19"/>
        <v>1.2346844059405919E-2</v>
      </c>
      <c r="AD31" s="1">
        <f t="shared" si="19"/>
        <v>2.3243193069306944E-2</v>
      </c>
      <c r="AE31" s="1">
        <f t="shared" si="19"/>
        <v>2.0962561881188047E-2</v>
      </c>
      <c r="AF31" s="1">
        <f t="shared" si="19"/>
        <v>-1.3500309405940695E-2</v>
      </c>
      <c r="AG31" s="1">
        <f t="shared" si="19"/>
        <v>-2.0342202970297051E-2</v>
      </c>
      <c r="AH31" s="1">
        <f t="shared" si="19"/>
        <v>2.2482982673267312E-2</v>
      </c>
      <c r="AI31" s="1">
        <f t="shared" si="19"/>
        <v>3.2619121287128711E-2</v>
      </c>
      <c r="AJ31" s="1">
        <f t="shared" si="19"/>
        <v>-2.1862623762376316E-2</v>
      </c>
      <c r="AK31" s="1">
        <f t="shared" si="19"/>
        <v>3.7180383663366276E-2</v>
      </c>
      <c r="AL31" s="1">
        <f t="shared" si="19"/>
        <v>-4.3777846534654389E-3</v>
      </c>
      <c r="AM31" s="1">
        <f t="shared" si="19"/>
        <v>3.5153155940593997E-2</v>
      </c>
      <c r="AN31" s="1">
        <f t="shared" si="19"/>
        <v>3.7180383663366276E-2</v>
      </c>
      <c r="AO31" s="1">
        <f t="shared" si="19"/>
        <v>4.2755259900990106E-2</v>
      </c>
      <c r="AP31" s="1">
        <f t="shared" si="19"/>
        <v>8.8621287128712881E-2</v>
      </c>
    </row>
    <row r="32" spans="2:42" x14ac:dyDescent="0.45">
      <c r="B32" s="6">
        <f t="shared" si="17"/>
        <v>6.2515262515262515</v>
      </c>
      <c r="C32" s="4">
        <v>800</v>
      </c>
      <c r="D32" s="1">
        <f t="shared" si="7"/>
        <v>-4.7112695312500022E-2</v>
      </c>
      <c r="E32" s="1">
        <f t="shared" si="8"/>
        <v>6.5339843750000029E-2</v>
      </c>
      <c r="F32" s="1">
        <f t="shared" si="9"/>
        <v>1.3827978515625002E-2</v>
      </c>
      <c r="G32" s="1">
        <f t="shared" ref="G32:AP32" si="20">(G13-$B13)/$B13</f>
        <v>2.8708789062500011E-2</v>
      </c>
      <c r="H32" s="1">
        <f t="shared" si="20"/>
        <v>3.9746093750000003E-2</v>
      </c>
      <c r="I32" s="1">
        <f t="shared" si="20"/>
        <v>3.4147460937499978E-2</v>
      </c>
      <c r="J32" s="1">
        <f t="shared" si="20"/>
        <v>3.1268164062500013E-2</v>
      </c>
      <c r="K32" s="1">
        <f t="shared" si="20"/>
        <v>1.1273046875000012E-2</v>
      </c>
      <c r="L32" s="1">
        <f t="shared" si="20"/>
        <v>8.0738281249999374E-3</v>
      </c>
      <c r="M32" s="1">
        <f t="shared" si="20"/>
        <v>4.6144531250000009E-2</v>
      </c>
      <c r="N32" s="1">
        <f t="shared" si="20"/>
        <v>2.0230859375000017E-2</v>
      </c>
      <c r="O32" s="1">
        <f t="shared" si="20"/>
        <v>2.9028710937499973E-2</v>
      </c>
      <c r="P32" s="1">
        <f t="shared" si="20"/>
        <v>-4.7112695312500022E-2</v>
      </c>
      <c r="Q32" s="1">
        <f t="shared" si="20"/>
        <v>3.5107226562500017E-2</v>
      </c>
      <c r="R32" s="1">
        <f t="shared" si="20"/>
        <v>4.4384960937499988E-2</v>
      </c>
      <c r="S32" s="1">
        <f t="shared" si="20"/>
        <v>9.8333984374999565E-3</v>
      </c>
      <c r="T32" s="1">
        <f t="shared" si="20"/>
        <v>5.6744140624999887E-3</v>
      </c>
      <c r="U32" s="1">
        <f t="shared" si="20"/>
        <v>-1.0641601562500061E-2</v>
      </c>
      <c r="V32" s="1">
        <f t="shared" si="20"/>
        <v>-5.3628906250000035E-3</v>
      </c>
      <c r="W32" s="1">
        <f t="shared" si="20"/>
        <v>-7.1224609375000227E-3</v>
      </c>
      <c r="X32" s="1">
        <f t="shared" si="20"/>
        <v>3.1150390624999861E-3</v>
      </c>
      <c r="Y32" s="1">
        <f t="shared" si="20"/>
        <v>-2.16367187499993E-3</v>
      </c>
      <c r="Z32" s="1">
        <f t="shared" si="20"/>
        <v>2.4069921875000021E-2</v>
      </c>
      <c r="AA32" s="1">
        <f t="shared" si="20"/>
        <v>4.5546875000000405E-3</v>
      </c>
      <c r="AB32" s="1">
        <f t="shared" si="20"/>
        <v>-4.7230468749999317E-3</v>
      </c>
      <c r="AC32" s="1">
        <f t="shared" si="20"/>
        <v>9.8333984374999565E-3</v>
      </c>
      <c r="AD32" s="1">
        <f t="shared" si="20"/>
        <v>1.911113281250007E-2</v>
      </c>
      <c r="AE32" s="1">
        <f t="shared" si="20"/>
        <v>1.4952148437499962E-2</v>
      </c>
      <c r="AF32" s="1">
        <f t="shared" si="20"/>
        <v>-1.5760351562500066E-2</v>
      </c>
      <c r="AG32" s="1">
        <f t="shared" si="20"/>
        <v>-1.9279492187499962E-2</v>
      </c>
      <c r="AH32" s="1">
        <f t="shared" si="20"/>
        <v>1.6711718749999979E-2</v>
      </c>
      <c r="AI32" s="1">
        <f t="shared" si="20"/>
        <v>2.3110156249999986E-2</v>
      </c>
      <c r="AJ32" s="1">
        <f t="shared" si="20"/>
        <v>-2.0399218750000052E-2</v>
      </c>
      <c r="AK32" s="1">
        <f t="shared" si="20"/>
        <v>2.6309375000000058E-2</v>
      </c>
      <c r="AL32" s="1">
        <f t="shared" si="20"/>
        <v>-4.7230468749999317E-3</v>
      </c>
      <c r="AM32" s="1">
        <f t="shared" si="20"/>
        <v>2.4549804687500041E-2</v>
      </c>
      <c r="AN32" s="1">
        <f t="shared" si="20"/>
        <v>2.7429101562500009E-2</v>
      </c>
      <c r="AO32" s="1">
        <f t="shared" si="20"/>
        <v>3.2387890624999957E-2</v>
      </c>
      <c r="AP32" s="1">
        <f t="shared" si="20"/>
        <v>6.5339843750000029E-2</v>
      </c>
    </row>
    <row r="33" spans="2:42" x14ac:dyDescent="0.45">
      <c r="B33" s="6">
        <f t="shared" si="17"/>
        <v>17.191697191697191</v>
      </c>
      <c r="C33" s="4">
        <v>2200</v>
      </c>
      <c r="D33" s="1">
        <f t="shared" si="7"/>
        <v>-1.9759374999999944E-2</v>
      </c>
      <c r="E33" s="1">
        <f t="shared" si="8"/>
        <v>2.2819318181818201E-2</v>
      </c>
      <c r="F33" s="1">
        <f t="shared" si="9"/>
        <v>4.8180575284091191E-3</v>
      </c>
      <c r="G33" s="1">
        <f t="shared" ref="G33:AP33" si="21">(G14-$B14)/$B14</f>
        <v>1.0894957386363754E-2</v>
      </c>
      <c r="H33" s="1">
        <f t="shared" si="21"/>
        <v>1.3047159090909153E-2</v>
      </c>
      <c r="I33" s="1">
        <f t="shared" si="21"/>
        <v>1.1011292613636417E-2</v>
      </c>
      <c r="J33" s="1">
        <f t="shared" si="21"/>
        <v>9.6152698863636362E-3</v>
      </c>
      <c r="K33" s="1">
        <f t="shared" si="21"/>
        <v>3.6240056818182993E-3</v>
      </c>
      <c r="L33" s="1">
        <f t="shared" si="21"/>
        <v>2.9841619318181373E-3</v>
      </c>
      <c r="M33" s="1">
        <f t="shared" si="21"/>
        <v>1.8514914772727403E-2</v>
      </c>
      <c r="N33" s="1">
        <f t="shared" si="21"/>
        <v>6.8813920454545109E-3</v>
      </c>
      <c r="O33" s="1">
        <f t="shared" si="21"/>
        <v>1.0604119318181787E-2</v>
      </c>
      <c r="P33" s="1">
        <f t="shared" si="21"/>
        <v>-1.9759374999999944E-2</v>
      </c>
      <c r="Q33" s="1">
        <f t="shared" si="21"/>
        <v>1.3047159090909153E-2</v>
      </c>
      <c r="R33" s="1">
        <f t="shared" si="21"/>
        <v>1.5897372159090942E-2</v>
      </c>
      <c r="S33" s="1">
        <f t="shared" si="21"/>
        <v>2.1116477272728564E-3</v>
      </c>
      <c r="T33" s="1">
        <f t="shared" si="21"/>
        <v>2.8678267045454744E-3</v>
      </c>
      <c r="U33" s="1">
        <f t="shared" si="21"/>
        <v>-5.4501420454545653E-3</v>
      </c>
      <c r="V33" s="1">
        <f t="shared" si="21"/>
        <v>-2.9489346590909722E-3</v>
      </c>
      <c r="W33" s="1">
        <f t="shared" si="21"/>
        <v>-5.5664772727272282E-3</v>
      </c>
      <c r="X33" s="1">
        <f t="shared" si="21"/>
        <v>-2.1505681818184637E-4</v>
      </c>
      <c r="Y33" s="1">
        <f t="shared" si="21"/>
        <v>-1.7855823863635175E-3</v>
      </c>
      <c r="Z33" s="1">
        <f t="shared" si="21"/>
        <v>8.917258522727246E-3</v>
      </c>
      <c r="AA33" s="1">
        <f t="shared" si="21"/>
        <v>2.576988636363714E-3</v>
      </c>
      <c r="AB33" s="1">
        <f t="shared" si="21"/>
        <v>-2.7322443181807443E-4</v>
      </c>
      <c r="AC33" s="1">
        <f t="shared" si="21"/>
        <v>5.4272017045455022E-3</v>
      </c>
      <c r="AD33" s="1">
        <f t="shared" si="21"/>
        <v>7.7539062499999986E-3</v>
      </c>
      <c r="AE33" s="1">
        <f t="shared" si="21"/>
        <v>4.3801846590909178E-3</v>
      </c>
      <c r="AF33" s="1">
        <f t="shared" si="21"/>
        <v>-5.973650568181858E-3</v>
      </c>
      <c r="AG33" s="1">
        <f t="shared" si="21"/>
        <v>-5.1593039772725984E-3</v>
      </c>
      <c r="AH33" s="1">
        <f t="shared" si="21"/>
        <v>7.2885653409091406E-3</v>
      </c>
      <c r="AI33" s="1">
        <f t="shared" si="21"/>
        <v>8.2774147727272904E-3</v>
      </c>
      <c r="AJ33" s="1">
        <f t="shared" si="21"/>
        <v>-6.9625000000000086E-3</v>
      </c>
      <c r="AK33" s="1">
        <f t="shared" si="21"/>
        <v>1.0487784090909124E-2</v>
      </c>
      <c r="AL33" s="1">
        <f t="shared" si="21"/>
        <v>-9.1306818181823653E-4</v>
      </c>
      <c r="AM33" s="1">
        <f t="shared" si="21"/>
        <v>8.0447443181817582E-3</v>
      </c>
      <c r="AN33" s="1">
        <f t="shared" si="21"/>
        <v>9.4407670454545387E-3</v>
      </c>
      <c r="AO33" s="1">
        <f t="shared" si="21"/>
        <v>1.1941974431818133E-2</v>
      </c>
      <c r="AP33" s="1">
        <f t="shared" si="21"/>
        <v>2.2819318181818201E-2</v>
      </c>
    </row>
    <row r="34" spans="2:42" x14ac:dyDescent="0.45">
      <c r="B34" s="6">
        <f t="shared" si="17"/>
        <v>23.443223443223442</v>
      </c>
      <c r="C34" s="4">
        <v>3000</v>
      </c>
      <c r="D34" s="1">
        <f t="shared" si="7"/>
        <v>-7.0051562499999368E-3</v>
      </c>
      <c r="E34" s="1">
        <f t="shared" si="8"/>
        <v>1.2830000000000058E-2</v>
      </c>
      <c r="F34" s="1">
        <f t="shared" si="9"/>
        <v>3.2904036458334014E-3</v>
      </c>
      <c r="G34" s="1">
        <f t="shared" ref="G34:AP34" si="22">(G15-$B15)/$B15</f>
        <v>8.052500000000129E-3</v>
      </c>
      <c r="H34" s="1">
        <f t="shared" si="22"/>
        <v>5.7917187500000945E-3</v>
      </c>
      <c r="I34" s="1">
        <f t="shared" si="22"/>
        <v>7.583281250000011E-3</v>
      </c>
      <c r="J34" s="1">
        <f t="shared" si="22"/>
        <v>5.4931250000000327E-3</v>
      </c>
      <c r="K34" s="1">
        <f t="shared" si="22"/>
        <v>2.9337500000000869E-3</v>
      </c>
      <c r="L34" s="1">
        <f t="shared" si="22"/>
        <v>2.1659375000000576E-3</v>
      </c>
      <c r="M34" s="1">
        <f t="shared" si="22"/>
        <v>1.2147500000000134E-2</v>
      </c>
      <c r="N34" s="1">
        <f t="shared" si="22"/>
        <v>4.4693749999999933E-3</v>
      </c>
      <c r="O34" s="1">
        <f t="shared" si="22"/>
        <v>5.7917187500000945E-3</v>
      </c>
      <c r="P34" s="1">
        <f t="shared" si="22"/>
        <v>-7.0051562499999368E-3</v>
      </c>
      <c r="Q34" s="1">
        <f t="shared" si="22"/>
        <v>8.1378125000000825E-3</v>
      </c>
      <c r="R34" s="1">
        <f t="shared" si="22"/>
        <v>8.3510937500000399E-3</v>
      </c>
      <c r="S34" s="1">
        <f t="shared" si="22"/>
        <v>5.8765625000009873E-4</v>
      </c>
      <c r="T34" s="1">
        <f t="shared" si="22"/>
        <v>2.1659375000000576E-3</v>
      </c>
      <c r="U34" s="1">
        <f t="shared" si="22"/>
        <v>-4.360468749999887E-3</v>
      </c>
      <c r="V34" s="1">
        <f t="shared" si="22"/>
        <v>-2.7821874999999284E-3</v>
      </c>
      <c r="W34" s="1">
        <f t="shared" si="22"/>
        <v>-3.5926562499998581E-3</v>
      </c>
      <c r="X34" s="1">
        <f t="shared" si="22"/>
        <v>-1.8010937499999414E-3</v>
      </c>
      <c r="Y34" s="1">
        <f t="shared" si="22"/>
        <v>-1.9290624999999462E-3</v>
      </c>
      <c r="Z34" s="1">
        <f t="shared" si="22"/>
        <v>3.3176562500001013E-3</v>
      </c>
      <c r="AA34" s="1">
        <f t="shared" si="22"/>
        <v>2.2939062500000624E-3</v>
      </c>
      <c r="AB34" s="1">
        <f t="shared" si="22"/>
        <v>1.4407812500000807E-3</v>
      </c>
      <c r="AC34" s="1">
        <f t="shared" si="22"/>
        <v>3.488281250000007E-3</v>
      </c>
      <c r="AD34" s="1">
        <f t="shared" si="22"/>
        <v>3.8721875000000214E-3</v>
      </c>
      <c r="AE34" s="1">
        <f t="shared" si="22"/>
        <v>3.2323437499999969E-3</v>
      </c>
      <c r="AF34" s="1">
        <f t="shared" si="22"/>
        <v>-1.7157812499999888E-3</v>
      </c>
      <c r="AG34" s="1">
        <f t="shared" si="22"/>
        <v>1.3981250000000285E-3</v>
      </c>
      <c r="AH34" s="1">
        <f t="shared" si="22"/>
        <v>5.0239062500000648E-3</v>
      </c>
      <c r="AI34" s="1">
        <f t="shared" si="22"/>
        <v>4.7253125000000029E-3</v>
      </c>
      <c r="AJ34" s="1">
        <f t="shared" si="22"/>
        <v>-6.4937499999989776E-4</v>
      </c>
      <c r="AK34" s="1">
        <f t="shared" si="22"/>
        <v>7.7965625000001202E-3</v>
      </c>
      <c r="AL34" s="1">
        <f t="shared" si="22"/>
        <v>2.2512500000000102E-3</v>
      </c>
      <c r="AM34" s="1">
        <f t="shared" si="22"/>
        <v>4.3414062500001403E-3</v>
      </c>
      <c r="AN34" s="1">
        <f t="shared" si="22"/>
        <v>4.8106250000001073E-3</v>
      </c>
      <c r="AO34" s="1">
        <f t="shared" si="22"/>
        <v>7.7965625000001202E-3</v>
      </c>
      <c r="AP34" s="1">
        <f t="shared" si="22"/>
        <v>1.2830000000000058E-2</v>
      </c>
    </row>
    <row r="35" spans="2:42" x14ac:dyDescent="0.45">
      <c r="B35" s="6">
        <f t="shared" si="17"/>
        <v>24.935775335775336</v>
      </c>
      <c r="C35" s="4">
        <v>3191</v>
      </c>
      <c r="D35" s="1">
        <f t="shared" si="7"/>
        <v>-5.0038683014729038E-3</v>
      </c>
      <c r="E35" s="1">
        <f t="shared" si="8"/>
        <v>1.2320638122845435E-2</v>
      </c>
      <c r="F35" s="1">
        <f t="shared" si="9"/>
        <v>3.5469876214352697E-3</v>
      </c>
      <c r="G35" s="1">
        <f t="shared" ref="G35:AP35" si="23">(G16-$B16)/$B16</f>
        <v>7.8290994202444373E-3</v>
      </c>
      <c r="H35" s="1">
        <f t="shared" si="23"/>
        <v>5.2625058759009687E-3</v>
      </c>
      <c r="I35" s="1">
        <f t="shared" si="23"/>
        <v>7.3077601065496033E-3</v>
      </c>
      <c r="J35" s="1">
        <f t="shared" si="23"/>
        <v>5.0619907552491754E-3</v>
      </c>
      <c r="K35" s="1">
        <f t="shared" si="23"/>
        <v>3.0568395487308143E-3</v>
      </c>
      <c r="L35" s="1">
        <f t="shared" si="23"/>
        <v>2.415191162644876E-3</v>
      </c>
      <c r="M35" s="1">
        <f t="shared" si="23"/>
        <v>1.1157650423064805E-2</v>
      </c>
      <c r="N35" s="1">
        <f t="shared" si="23"/>
        <v>4.8213726104669669E-3</v>
      </c>
      <c r="O35" s="1">
        <f t="shared" si="23"/>
        <v>5.1020937793794493E-3</v>
      </c>
      <c r="P35" s="1">
        <f t="shared" si="23"/>
        <v>-5.0038683014729038E-3</v>
      </c>
      <c r="Q35" s="1">
        <f t="shared" si="23"/>
        <v>7.7488933719837482E-3</v>
      </c>
      <c r="R35" s="1">
        <f t="shared" si="23"/>
        <v>6.6260086963333921E-3</v>
      </c>
      <c r="S35" s="1">
        <f t="shared" si="23"/>
        <v>1.1719974146035578E-3</v>
      </c>
      <c r="T35" s="1">
        <f t="shared" si="23"/>
        <v>2.4953972109057073E-3</v>
      </c>
      <c r="U35" s="1">
        <f t="shared" si="23"/>
        <v>-3.4799533845189605E-3</v>
      </c>
      <c r="V35" s="1">
        <f t="shared" si="23"/>
        <v>-2.597686853650956E-3</v>
      </c>
      <c r="W35" s="1">
        <f t="shared" si="23"/>
        <v>-1.8758324193043287E-3</v>
      </c>
      <c r="X35" s="1">
        <f t="shared" si="23"/>
        <v>-1.6753172986525354E-3</v>
      </c>
      <c r="Y35" s="1">
        <f t="shared" si="23"/>
        <v>-1.8758324193043287E-3</v>
      </c>
      <c r="Z35" s="1">
        <f t="shared" si="23"/>
        <v>2.8563244280790209E-3</v>
      </c>
      <c r="AA35" s="1">
        <f t="shared" si="23"/>
        <v>1.6131306800375601E-3</v>
      </c>
      <c r="AB35" s="1">
        <f t="shared" si="23"/>
        <v>2.415191162644876E-3</v>
      </c>
      <c r="AC35" s="1">
        <f t="shared" si="23"/>
        <v>4.0193121278596505E-3</v>
      </c>
      <c r="AD35" s="1">
        <f t="shared" si="23"/>
        <v>4.0193121278596505E-3</v>
      </c>
      <c r="AE35" s="1">
        <f t="shared" si="23"/>
        <v>3.3776637417737123E-3</v>
      </c>
      <c r="AF35" s="1">
        <f t="shared" si="23"/>
        <v>2.8973088373555281E-4</v>
      </c>
      <c r="AG35" s="1">
        <f t="shared" si="23"/>
        <v>4.3802393450329642E-3</v>
      </c>
      <c r="AH35" s="1">
        <f t="shared" si="23"/>
        <v>4.7411665622061356E-3</v>
      </c>
      <c r="AI35" s="1">
        <f t="shared" si="23"/>
        <v>4.2599302726418599E-3</v>
      </c>
      <c r="AJ35" s="1">
        <f t="shared" si="23"/>
        <v>2.6558093074270854E-3</v>
      </c>
      <c r="AK35" s="1">
        <f t="shared" si="23"/>
        <v>7.7488933719837482E-3</v>
      </c>
      <c r="AL35" s="1">
        <f t="shared" si="23"/>
        <v>3.2172516452521924E-3</v>
      </c>
      <c r="AM35" s="1">
        <f t="shared" si="23"/>
        <v>3.818797007207715E-3</v>
      </c>
      <c r="AN35" s="1">
        <f t="shared" si="23"/>
        <v>4.9817847069883441E-3</v>
      </c>
      <c r="AO35" s="1">
        <f t="shared" si="23"/>
        <v>7.4280691789407084E-3</v>
      </c>
      <c r="AP35" s="1">
        <f t="shared" si="23"/>
        <v>1.2320638122845435E-2</v>
      </c>
    </row>
    <row r="36" spans="2:42" x14ac:dyDescent="0.45">
      <c r="B36" s="6">
        <f t="shared" si="17"/>
        <v>25.6</v>
      </c>
      <c r="C36" s="4">
        <v>3276</v>
      </c>
      <c r="D36" s="1">
        <f t="shared" si="7"/>
        <v>-3.9453125000001033E-3</v>
      </c>
      <c r="E36" s="1">
        <f t="shared" si="8"/>
        <v>1.0976562499999953E-2</v>
      </c>
      <c r="F36" s="1">
        <f t="shared" si="9"/>
        <v>3.101128472222161E-3</v>
      </c>
      <c r="G36" s="1">
        <f t="shared" ref="G36:AP36" si="24">(G17-$B17)/$B17</f>
        <v>6.36718750000001E-3</v>
      </c>
      <c r="H36" s="1">
        <f t="shared" si="24"/>
        <v>4.1406249999999256E-3</v>
      </c>
      <c r="I36" s="1">
        <f t="shared" si="24"/>
        <v>6.2109374999999578E-3</v>
      </c>
      <c r="J36" s="1">
        <f t="shared" si="24"/>
        <v>4.5703124999998956E-3</v>
      </c>
      <c r="K36" s="1">
        <f t="shared" si="24"/>
        <v>2.9687499999998812E-3</v>
      </c>
      <c r="L36" s="1">
        <f t="shared" si="24"/>
        <v>1.6015624999998757E-3</v>
      </c>
      <c r="M36" s="1">
        <f t="shared" si="24"/>
        <v>1.0546874999999983E-2</v>
      </c>
      <c r="N36" s="1">
        <f t="shared" si="24"/>
        <v>3.5937499999999512E-3</v>
      </c>
      <c r="O36" s="1">
        <f t="shared" si="24"/>
        <v>4.0234374999999212E-3</v>
      </c>
      <c r="P36" s="1">
        <f t="shared" si="24"/>
        <v>-3.1640625000001199E-3</v>
      </c>
      <c r="Q36" s="1">
        <f t="shared" si="24"/>
        <v>6.79687499999998E-3</v>
      </c>
      <c r="R36" s="1">
        <f t="shared" si="24"/>
        <v>5.4296874999999745E-3</v>
      </c>
      <c r="S36" s="1">
        <f t="shared" si="24"/>
        <v>1.4453124999999623E-3</v>
      </c>
      <c r="T36" s="1">
        <f t="shared" si="24"/>
        <v>2.3828124999999978E-3</v>
      </c>
      <c r="U36" s="1">
        <f t="shared" si="24"/>
        <v>-3.9453125000001033E-3</v>
      </c>
      <c r="V36" s="1">
        <f t="shared" si="24"/>
        <v>-2.8515625000000155E-3</v>
      </c>
      <c r="W36" s="1">
        <f t="shared" si="24"/>
        <v>-2.5781250000000977E-3</v>
      </c>
      <c r="X36" s="1">
        <f t="shared" si="24"/>
        <v>-2.2265625000000844E-3</v>
      </c>
      <c r="Y36" s="1">
        <f t="shared" si="24"/>
        <v>-2.7343750000000111E-3</v>
      </c>
      <c r="Z36" s="1">
        <f t="shared" si="24"/>
        <v>1.6015624999998757E-3</v>
      </c>
      <c r="AA36" s="1">
        <f t="shared" si="24"/>
        <v>2.1874999999998979E-3</v>
      </c>
      <c r="AB36" s="1">
        <f t="shared" si="24"/>
        <v>1.2500000000000011E-3</v>
      </c>
      <c r="AC36" s="1">
        <f t="shared" si="24"/>
        <v>2.8124999999999678E-3</v>
      </c>
      <c r="AD36" s="1">
        <f t="shared" si="24"/>
        <v>3.6718749999999079E-3</v>
      </c>
      <c r="AE36" s="1">
        <f t="shared" si="24"/>
        <v>2.9687499999998812E-3</v>
      </c>
      <c r="AF36" s="1">
        <f t="shared" si="24"/>
        <v>1.9531249999996114E-4</v>
      </c>
      <c r="AG36" s="1">
        <f t="shared" si="24"/>
        <v>4.8046874999999045E-3</v>
      </c>
      <c r="AH36" s="1">
        <f t="shared" si="24"/>
        <v>4.8828125E-3</v>
      </c>
      <c r="AI36" s="1">
        <f t="shared" si="24"/>
        <v>4.921874999999909E-3</v>
      </c>
      <c r="AJ36" s="1">
        <f t="shared" si="24"/>
        <v>2.7343750000000111E-3</v>
      </c>
      <c r="AK36" s="1">
        <f t="shared" si="24"/>
        <v>7.22656249999995E-3</v>
      </c>
      <c r="AL36" s="1">
        <f t="shared" si="24"/>
        <v>3.7890624999999123E-3</v>
      </c>
      <c r="AM36" s="1">
        <f t="shared" si="24"/>
        <v>4.0234374999999212E-3</v>
      </c>
      <c r="AN36" s="1">
        <f t="shared" si="24"/>
        <v>4.2968749999999778E-3</v>
      </c>
      <c r="AO36" s="1">
        <f t="shared" si="24"/>
        <v>6.7187499999998845E-3</v>
      </c>
      <c r="AP36" s="1">
        <f t="shared" si="24"/>
        <v>1.0976562499999953E-2</v>
      </c>
    </row>
    <row r="37" spans="2:42" x14ac:dyDescent="0.45">
      <c r="B37" s="6">
        <f t="shared" si="17"/>
        <v>32</v>
      </c>
      <c r="C37" s="4">
        <v>4095</v>
      </c>
      <c r="D37" s="1">
        <f t="shared" si="7"/>
        <v>-4.1250000000000453E-3</v>
      </c>
      <c r="E37" s="1">
        <f t="shared" si="8"/>
        <v>8.5937499999999556E-3</v>
      </c>
      <c r="F37" s="1">
        <f t="shared" si="9"/>
        <v>1.7934027777777738E-3</v>
      </c>
      <c r="G37" s="1">
        <f t="shared" ref="G37:AP37" si="25">(G18-$B18)/$B18</f>
        <v>5.5937500000000639E-3</v>
      </c>
      <c r="H37" s="1">
        <f t="shared" si="25"/>
        <v>8.7499999999995914E-4</v>
      </c>
      <c r="I37" s="1">
        <f t="shared" si="25"/>
        <v>4.8437500000000355E-3</v>
      </c>
      <c r="J37" s="1">
        <f t="shared" si="25"/>
        <v>2.0625000000000782E-3</v>
      </c>
      <c r="K37" s="1">
        <f t="shared" si="25"/>
        <v>2.9687499999999645E-3</v>
      </c>
      <c r="L37" s="1">
        <f t="shared" si="25"/>
        <v>1.9062499999999982E-3</v>
      </c>
      <c r="M37" s="1">
        <f t="shared" si="25"/>
        <v>6.3124999999999432E-3</v>
      </c>
      <c r="N37" s="1">
        <f t="shared" si="25"/>
        <v>2.8125000000001066E-3</v>
      </c>
      <c r="O37" s="1">
        <f t="shared" si="25"/>
        <v>8.7499999999995914E-4</v>
      </c>
      <c r="P37" s="1">
        <f t="shared" si="25"/>
        <v>5.6562499999999183E-3</v>
      </c>
      <c r="Q37" s="1">
        <f t="shared" si="25"/>
        <v>4.4999999999999485E-3</v>
      </c>
      <c r="R37" s="1">
        <f t="shared" si="25"/>
        <v>8.7499999999995914E-4</v>
      </c>
      <c r="S37" s="1">
        <f t="shared" si="25"/>
        <v>-4.3749999999997957E-4</v>
      </c>
      <c r="T37" s="1">
        <f t="shared" si="25"/>
        <v>1.7187499999999911E-3</v>
      </c>
      <c r="U37" s="1">
        <f t="shared" si="25"/>
        <v>-2.8749999999999609E-3</v>
      </c>
      <c r="V37" s="1">
        <f t="shared" si="25"/>
        <v>-3.3125000000000515E-3</v>
      </c>
      <c r="W37" s="1">
        <f t="shared" si="25"/>
        <v>-1.2187500000000462E-3</v>
      </c>
      <c r="X37" s="1">
        <f t="shared" si="25"/>
        <v>-4.1250000000000453E-3</v>
      </c>
      <c r="Y37" s="1">
        <f t="shared" si="25"/>
        <v>-3.6562500000000275E-3</v>
      </c>
      <c r="Z37" s="1">
        <f t="shared" si="25"/>
        <v>-1.9687499999999636E-3</v>
      </c>
      <c r="AA37" s="1">
        <f t="shared" si="25"/>
        <v>1.2187500000000462E-3</v>
      </c>
      <c r="AB37" s="1">
        <f t="shared" si="25"/>
        <v>2.1249999999999325E-3</v>
      </c>
      <c r="AC37" s="1">
        <f t="shared" si="25"/>
        <v>9.3750000000003553E-4</v>
      </c>
      <c r="AD37" s="1">
        <f t="shared" si="25"/>
        <v>8.1250000000010481E-4</v>
      </c>
      <c r="AE37" s="1">
        <f t="shared" si="25"/>
        <v>1.8437499999999218E-3</v>
      </c>
      <c r="AF37" s="1">
        <f t="shared" si="25"/>
        <v>3.3125000000000515E-3</v>
      </c>
      <c r="AG37" s="1">
        <f t="shared" si="25"/>
        <v>8.5937499999999556E-3</v>
      </c>
      <c r="AH37" s="1">
        <f t="shared" si="25"/>
        <v>1.9062499999999982E-3</v>
      </c>
      <c r="AI37" s="1">
        <f t="shared" si="25"/>
        <v>1.0624999999999662E-3</v>
      </c>
      <c r="AJ37" s="1">
        <f t="shared" si="25"/>
        <v>6.8437500000000373E-3</v>
      </c>
      <c r="AK37" s="1">
        <f t="shared" si="25"/>
        <v>3.8437499999999236E-3</v>
      </c>
      <c r="AL37" s="1">
        <f t="shared" si="25"/>
        <v>3.8750000000000728E-3</v>
      </c>
      <c r="AM37" s="1">
        <f t="shared" si="25"/>
        <v>-4.9999999999994493E-4</v>
      </c>
      <c r="AN37" s="1">
        <f t="shared" si="25"/>
        <v>-3.7500000000001421E-4</v>
      </c>
      <c r="AO37" s="1">
        <f t="shared" si="25"/>
        <v>2.1249999999999325E-3</v>
      </c>
      <c r="AP37" s="1">
        <f t="shared" si="25"/>
        <v>3.5312499999999858E-3</v>
      </c>
    </row>
    <row r="38" spans="2:42" x14ac:dyDescent="0.45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2:42" x14ac:dyDescent="0.45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2:42" x14ac:dyDescent="0.45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1AEB-46A7-44F4-8D4F-2D00FDD72AA8}">
  <dimension ref="B2:AP40"/>
  <sheetViews>
    <sheetView zoomScale="70" zoomScaleNormal="70" workbookViewId="0">
      <selection activeCell="H43" sqref="H43"/>
    </sheetView>
  </sheetViews>
  <sheetFormatPr defaultRowHeight="17" x14ac:dyDescent="0.45"/>
  <cols>
    <col min="2" max="2" width="8.6640625" customWidth="1"/>
  </cols>
  <sheetData>
    <row r="2" spans="2:42" x14ac:dyDescent="0.45">
      <c r="B2" t="s">
        <v>16</v>
      </c>
      <c r="C2" s="2" t="s">
        <v>0</v>
      </c>
      <c r="D2" s="2" t="s">
        <v>13</v>
      </c>
      <c r="E2" s="2" t="s">
        <v>14</v>
      </c>
      <c r="F2" s="2" t="s">
        <v>15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  <c r="AE2" s="2" t="s">
        <v>1</v>
      </c>
      <c r="AF2" s="2" t="s">
        <v>2</v>
      </c>
      <c r="AG2" s="2" t="s">
        <v>3</v>
      </c>
      <c r="AH2" s="2" t="s">
        <v>4</v>
      </c>
      <c r="AI2" s="2" t="s">
        <v>5</v>
      </c>
      <c r="AJ2" s="2" t="s">
        <v>6</v>
      </c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</row>
    <row r="3" spans="2:42" x14ac:dyDescent="0.45">
      <c r="B3" s="6">
        <f t="shared" ref="B3:B10" si="0">8*C3/4095</f>
        <v>0.68962148962148961</v>
      </c>
      <c r="C3" s="3">
        <v>353</v>
      </c>
      <c r="D3" s="5">
        <f>MIN(G3:AP3)</f>
        <v>0.67</v>
      </c>
      <c r="E3" s="5">
        <f>MAX(G3:AP3)</f>
        <v>0.76100000000000001</v>
      </c>
      <c r="F3" s="5">
        <f>AVERAGE(G3:AP3)</f>
        <v>0.71466666666666667</v>
      </c>
      <c r="G3">
        <v>0.72699999999999998</v>
      </c>
      <c r="H3">
        <v>0.73399999999999999</v>
      </c>
      <c r="I3">
        <v>0.75800000000000001</v>
      </c>
      <c r="J3">
        <v>0.754</v>
      </c>
      <c r="K3">
        <v>0.72499999999999998</v>
      </c>
      <c r="L3">
        <v>0.68500000000000005</v>
      </c>
      <c r="M3">
        <v>0.748</v>
      </c>
      <c r="N3">
        <v>0.73199999999999998</v>
      </c>
      <c r="O3">
        <v>0.72499999999999998</v>
      </c>
      <c r="P3">
        <v>0.70499999999999996</v>
      </c>
      <c r="Q3">
        <v>0.747</v>
      </c>
      <c r="R3">
        <v>0.747</v>
      </c>
      <c r="S3">
        <v>0.69899999999999995</v>
      </c>
      <c r="T3">
        <v>0.69</v>
      </c>
      <c r="U3">
        <v>0.67</v>
      </c>
      <c r="V3">
        <v>0.67600000000000005</v>
      </c>
      <c r="W3">
        <v>0.69799999999999995</v>
      </c>
      <c r="X3">
        <v>0.67400000000000004</v>
      </c>
      <c r="Y3">
        <v>0.68100000000000005</v>
      </c>
      <c r="Z3">
        <v>0.71899999999999997</v>
      </c>
      <c r="AA3">
        <v>0.69799999999999995</v>
      </c>
      <c r="AB3">
        <v>0.68500000000000005</v>
      </c>
      <c r="AC3">
        <v>0.70099999999999996</v>
      </c>
      <c r="AD3">
        <v>0.70699999999999996</v>
      </c>
      <c r="AE3">
        <v>0.71399999999999997</v>
      </c>
      <c r="AF3">
        <v>0.70499999999999996</v>
      </c>
      <c r="AG3">
        <v>0.71399999999999997</v>
      </c>
      <c r="AH3">
        <v>0.70299999999999996</v>
      </c>
      <c r="AI3">
        <v>0.72499999999999998</v>
      </c>
      <c r="AJ3">
        <v>0.70299999999999996</v>
      </c>
      <c r="AK3">
        <v>0.73399999999999999</v>
      </c>
      <c r="AL3">
        <v>0.70099999999999996</v>
      </c>
      <c r="AM3">
        <v>0.73</v>
      </c>
      <c r="AN3">
        <v>0.72799999999999998</v>
      </c>
      <c r="AO3">
        <v>0.72499999999999998</v>
      </c>
      <c r="AP3">
        <v>0.76100000000000001</v>
      </c>
    </row>
    <row r="4" spans="2:42" x14ac:dyDescent="0.45">
      <c r="B4" s="6">
        <f t="shared" si="0"/>
        <v>0.98656898656898662</v>
      </c>
      <c r="C4" s="3">
        <v>505</v>
      </c>
      <c r="D4" s="5">
        <f t="shared" ref="D4:D18" si="1">MIN(G4:AP4)</f>
        <v>0.96499999999999997</v>
      </c>
      <c r="E4" s="5">
        <f t="shared" ref="E4:E18" si="2">MAX(G4:AP4)</f>
        <v>1.0649999999999999</v>
      </c>
      <c r="F4" s="5">
        <f t="shared" ref="F4:F18" si="3">AVERAGE(G4:AP4)</f>
        <v>1.0108055555555555</v>
      </c>
      <c r="G4">
        <v>1.0209999999999999</v>
      </c>
      <c r="H4">
        <v>1.028</v>
      </c>
      <c r="I4">
        <v>1.054</v>
      </c>
      <c r="J4">
        <v>1.052</v>
      </c>
      <c r="K4">
        <v>1.0169999999999999</v>
      </c>
      <c r="L4">
        <v>0.97599999999999998</v>
      </c>
      <c r="M4">
        <v>1.046</v>
      </c>
      <c r="N4">
        <v>1.026</v>
      </c>
      <c r="O4">
        <v>1.0189999999999999</v>
      </c>
      <c r="P4">
        <v>0.99</v>
      </c>
      <c r="Q4">
        <v>1.0449999999999999</v>
      </c>
      <c r="R4">
        <v>1.0429999999999999</v>
      </c>
      <c r="S4">
        <v>0.999</v>
      </c>
      <c r="T4">
        <v>0.99</v>
      </c>
      <c r="U4">
        <v>0.96499999999999997</v>
      </c>
      <c r="V4">
        <v>0.97</v>
      </c>
      <c r="W4">
        <v>0.995</v>
      </c>
      <c r="X4">
        <v>0.97199999999999998</v>
      </c>
      <c r="Y4">
        <v>0.97599999999999998</v>
      </c>
      <c r="Z4">
        <v>1.0209999999999999</v>
      </c>
      <c r="AA4">
        <v>0.997</v>
      </c>
      <c r="AB4">
        <v>0.98299999999999998</v>
      </c>
      <c r="AC4">
        <v>0.999</v>
      </c>
      <c r="AD4">
        <v>1.0049999999999999</v>
      </c>
      <c r="AE4">
        <v>1.012</v>
      </c>
      <c r="AF4">
        <v>0.999</v>
      </c>
      <c r="AG4">
        <v>1.008</v>
      </c>
      <c r="AH4">
        <v>0.997</v>
      </c>
      <c r="AI4">
        <v>1.0229999999999999</v>
      </c>
      <c r="AJ4">
        <v>0.999</v>
      </c>
      <c r="AK4">
        <v>1.03</v>
      </c>
      <c r="AL4">
        <v>0.99199999999999999</v>
      </c>
      <c r="AM4">
        <v>1.028</v>
      </c>
      <c r="AN4">
        <v>1.026</v>
      </c>
      <c r="AO4">
        <v>1.0209999999999999</v>
      </c>
      <c r="AP4">
        <v>1.0649999999999999</v>
      </c>
    </row>
    <row r="5" spans="2:42" x14ac:dyDescent="0.45">
      <c r="B5" s="6">
        <f t="shared" si="0"/>
        <v>1.5628815628815629</v>
      </c>
      <c r="C5" s="3">
        <v>800</v>
      </c>
      <c r="D5" s="5">
        <f t="shared" si="1"/>
        <v>1.5369999999999999</v>
      </c>
      <c r="E5" s="5">
        <f t="shared" si="2"/>
        <v>1.649</v>
      </c>
      <c r="F5" s="5">
        <f t="shared" si="3"/>
        <v>1.5906388888888887</v>
      </c>
      <c r="G5">
        <v>1.6080000000000001</v>
      </c>
      <c r="H5">
        <v>1.613</v>
      </c>
      <c r="I5">
        <v>1.637</v>
      </c>
      <c r="J5">
        <v>1.639</v>
      </c>
      <c r="K5">
        <v>1.6</v>
      </c>
      <c r="L5">
        <v>1.5569999999999999</v>
      </c>
      <c r="M5">
        <v>1.635</v>
      </c>
      <c r="N5">
        <v>1.613</v>
      </c>
      <c r="O5">
        <v>1.6040000000000001</v>
      </c>
      <c r="P5">
        <v>1.57</v>
      </c>
      <c r="Q5">
        <v>1.631</v>
      </c>
      <c r="R5">
        <v>1.629</v>
      </c>
      <c r="S5">
        <v>1.575</v>
      </c>
      <c r="T5">
        <v>1.5660000000000001</v>
      </c>
      <c r="U5">
        <v>1.5369999999999999</v>
      </c>
      <c r="V5">
        <v>1.546</v>
      </c>
      <c r="W5">
        <v>1.573</v>
      </c>
      <c r="X5">
        <v>1.55</v>
      </c>
      <c r="Y5">
        <v>1.5509999999999999</v>
      </c>
      <c r="Z5">
        <v>1.6020000000000001</v>
      </c>
      <c r="AA5">
        <v>1.577</v>
      </c>
      <c r="AB5">
        <v>1.5589999999999999</v>
      </c>
      <c r="AC5">
        <v>1.575</v>
      </c>
      <c r="AD5">
        <v>1.5820000000000001</v>
      </c>
      <c r="AE5">
        <v>1.5880000000000001</v>
      </c>
      <c r="AF5">
        <v>1.575</v>
      </c>
      <c r="AG5">
        <v>1.5820000000000001</v>
      </c>
      <c r="AH5">
        <v>1.571</v>
      </c>
      <c r="AI5">
        <v>1.6020000000000001</v>
      </c>
      <c r="AJ5">
        <v>1.573</v>
      </c>
      <c r="AK5">
        <v>1.611</v>
      </c>
      <c r="AL5">
        <v>1.57</v>
      </c>
      <c r="AM5">
        <v>1.6060000000000001</v>
      </c>
      <c r="AN5">
        <v>1.6080000000000001</v>
      </c>
      <c r="AO5">
        <v>1.599</v>
      </c>
      <c r="AP5">
        <v>1.649</v>
      </c>
    </row>
    <row r="6" spans="2:42" x14ac:dyDescent="0.45">
      <c r="B6" s="6">
        <f t="shared" si="0"/>
        <v>4.2979242979242978</v>
      </c>
      <c r="C6" s="3">
        <v>2200</v>
      </c>
      <c r="D6" s="5">
        <f t="shared" si="1"/>
        <v>4.2640000000000002</v>
      </c>
      <c r="E6" s="5">
        <f t="shared" si="2"/>
        <v>4.367</v>
      </c>
      <c r="F6" s="5">
        <f t="shared" si="3"/>
        <v>4.318722222222223</v>
      </c>
      <c r="G6">
        <v>4.3380000000000001</v>
      </c>
      <c r="H6">
        <v>4.3230000000000004</v>
      </c>
      <c r="I6">
        <v>4.3529999999999998</v>
      </c>
      <c r="J6">
        <v>4.367</v>
      </c>
      <c r="K6">
        <v>4.3470000000000004</v>
      </c>
      <c r="L6">
        <v>4.2960000000000003</v>
      </c>
      <c r="M6">
        <v>4.3579999999999997</v>
      </c>
      <c r="N6">
        <v>4.343</v>
      </c>
      <c r="O6">
        <v>4.34</v>
      </c>
      <c r="P6">
        <v>4.3250000000000002</v>
      </c>
      <c r="Q6">
        <v>4.3559999999999999</v>
      </c>
      <c r="R6">
        <v>4.351</v>
      </c>
      <c r="S6">
        <v>4.2850000000000001</v>
      </c>
      <c r="T6">
        <v>4.2889999999999997</v>
      </c>
      <c r="U6">
        <v>4.2640000000000002</v>
      </c>
      <c r="V6">
        <v>4.274</v>
      </c>
      <c r="W6">
        <v>4.3049999999999997</v>
      </c>
      <c r="X6">
        <v>4.28</v>
      </c>
      <c r="Y6">
        <v>4.2759999999999998</v>
      </c>
      <c r="Z6">
        <v>4.3109999999999999</v>
      </c>
      <c r="AA6">
        <v>4.3090000000000002</v>
      </c>
      <c r="AB6">
        <v>4.2869999999999999</v>
      </c>
      <c r="AC6">
        <v>4.2930000000000001</v>
      </c>
      <c r="AD6">
        <v>4.2850000000000001</v>
      </c>
      <c r="AE6">
        <v>4.32</v>
      </c>
      <c r="AF6">
        <v>4.3230000000000004</v>
      </c>
      <c r="AG6">
        <v>4.351</v>
      </c>
      <c r="AH6">
        <v>4.2939999999999996</v>
      </c>
      <c r="AI6">
        <v>4.3360000000000003</v>
      </c>
      <c r="AJ6">
        <v>4.327</v>
      </c>
      <c r="AK6">
        <v>4.3339999999999996</v>
      </c>
      <c r="AL6">
        <v>4.3159999999999998</v>
      </c>
      <c r="AM6">
        <v>4.3289999999999997</v>
      </c>
      <c r="AN6">
        <v>4.3380000000000001</v>
      </c>
      <c r="AO6">
        <v>4.3090000000000002</v>
      </c>
      <c r="AP6">
        <v>4.3419999999999996</v>
      </c>
    </row>
    <row r="7" spans="2:42" x14ac:dyDescent="0.45">
      <c r="B7" s="6">
        <f t="shared" si="0"/>
        <v>5.8608058608058604</v>
      </c>
      <c r="C7" s="3">
        <v>3000</v>
      </c>
      <c r="D7" s="5">
        <f t="shared" si="1"/>
        <v>5.8179999999999996</v>
      </c>
      <c r="E7" s="5">
        <f t="shared" si="2"/>
        <v>5.9489999999999998</v>
      </c>
      <c r="F7" s="5">
        <f t="shared" si="3"/>
        <v>5.8758055555555559</v>
      </c>
      <c r="G7">
        <v>5.8840000000000003</v>
      </c>
      <c r="H7">
        <v>5.8620000000000001</v>
      </c>
      <c r="I7">
        <v>5.891</v>
      </c>
      <c r="J7">
        <v>5.9169999999999998</v>
      </c>
      <c r="K7">
        <v>5.9180000000000001</v>
      </c>
      <c r="L7">
        <v>5.8639999999999999</v>
      </c>
      <c r="M7">
        <v>5.8890000000000002</v>
      </c>
      <c r="N7">
        <v>5.9020000000000001</v>
      </c>
      <c r="O7">
        <v>5.8979999999999997</v>
      </c>
      <c r="P7">
        <v>5.9470000000000001</v>
      </c>
      <c r="Q7">
        <v>5.9059999999999997</v>
      </c>
      <c r="R7">
        <v>5.8860000000000001</v>
      </c>
      <c r="S7">
        <v>5.8289999999999997</v>
      </c>
      <c r="T7">
        <v>5.8380000000000001</v>
      </c>
      <c r="U7">
        <v>5.8280000000000003</v>
      </c>
      <c r="V7">
        <v>5.8380000000000001</v>
      </c>
      <c r="W7">
        <v>5.86</v>
      </c>
      <c r="X7">
        <v>5.835</v>
      </c>
      <c r="Y7">
        <v>5.8289999999999997</v>
      </c>
      <c r="Z7">
        <v>5.8440000000000003</v>
      </c>
      <c r="AA7">
        <v>5.8659999999999997</v>
      </c>
      <c r="AB7">
        <v>5.8440000000000003</v>
      </c>
      <c r="AC7">
        <v>5.8369999999999997</v>
      </c>
      <c r="AD7">
        <v>5.8179999999999996</v>
      </c>
      <c r="AE7">
        <v>5.8819999999999997</v>
      </c>
      <c r="AF7">
        <v>5.9130000000000003</v>
      </c>
      <c r="AG7">
        <v>5.9489999999999998</v>
      </c>
      <c r="AH7">
        <v>5.8529999999999998</v>
      </c>
      <c r="AI7">
        <v>5.8949999999999996</v>
      </c>
      <c r="AJ7">
        <v>5.9269999999999996</v>
      </c>
      <c r="AK7">
        <v>5.8929999999999998</v>
      </c>
      <c r="AL7">
        <v>5.9039999999999999</v>
      </c>
      <c r="AM7">
        <v>5.8819999999999997</v>
      </c>
      <c r="AN7">
        <v>5.8929999999999998</v>
      </c>
      <c r="AO7">
        <v>5.8529999999999998</v>
      </c>
      <c r="AP7">
        <v>5.8550000000000004</v>
      </c>
    </row>
    <row r="8" spans="2:42" x14ac:dyDescent="0.45">
      <c r="B8" s="6">
        <f t="shared" si="0"/>
        <v>6.233943833943834</v>
      </c>
      <c r="C8" s="3">
        <v>3191</v>
      </c>
      <c r="D8" s="5">
        <f t="shared" si="1"/>
        <v>6.1909999999999998</v>
      </c>
      <c r="E8" s="5">
        <f t="shared" si="2"/>
        <v>6.3470000000000004</v>
      </c>
      <c r="F8" s="5">
        <f t="shared" si="3"/>
        <v>6.2517777777777761</v>
      </c>
      <c r="G8">
        <v>6.2619999999999996</v>
      </c>
      <c r="H8">
        <v>6.2249999999999996</v>
      </c>
      <c r="I8">
        <v>6.26</v>
      </c>
      <c r="J8">
        <v>6.282</v>
      </c>
      <c r="K8">
        <v>6.2930000000000001</v>
      </c>
      <c r="L8">
        <v>6.242</v>
      </c>
      <c r="M8">
        <v>6.258</v>
      </c>
      <c r="N8">
        <v>6.274</v>
      </c>
      <c r="O8">
        <v>6.2690000000000001</v>
      </c>
      <c r="P8">
        <v>6.343</v>
      </c>
      <c r="Q8">
        <v>6.2709999999999999</v>
      </c>
      <c r="R8">
        <v>6.2619999999999996</v>
      </c>
      <c r="S8">
        <v>6.2</v>
      </c>
      <c r="T8">
        <v>6.2110000000000003</v>
      </c>
      <c r="U8">
        <v>6.2050000000000001</v>
      </c>
      <c r="V8">
        <v>6.2149999999999999</v>
      </c>
      <c r="W8">
        <v>6.2450000000000001</v>
      </c>
      <c r="X8">
        <v>6.2089999999999996</v>
      </c>
      <c r="Y8">
        <v>6.2039999999999997</v>
      </c>
      <c r="Z8">
        <v>6.2110000000000003</v>
      </c>
      <c r="AA8">
        <v>6.2380000000000004</v>
      </c>
      <c r="AB8">
        <v>6.22</v>
      </c>
      <c r="AC8">
        <v>6.2130000000000001</v>
      </c>
      <c r="AD8">
        <v>6.1909999999999998</v>
      </c>
      <c r="AE8">
        <v>6.2649999999999997</v>
      </c>
      <c r="AF8">
        <v>6.3070000000000004</v>
      </c>
      <c r="AG8">
        <v>6.3470000000000004</v>
      </c>
      <c r="AH8">
        <v>6.2329999999999997</v>
      </c>
      <c r="AI8">
        <v>6.2709999999999999</v>
      </c>
      <c r="AJ8">
        <v>6.3140000000000001</v>
      </c>
      <c r="AK8">
        <v>6.2619999999999996</v>
      </c>
      <c r="AL8">
        <v>6.2839999999999998</v>
      </c>
      <c r="AM8">
        <v>6.2619999999999996</v>
      </c>
      <c r="AN8">
        <v>6.2709999999999999</v>
      </c>
      <c r="AO8">
        <v>6.2270000000000003</v>
      </c>
      <c r="AP8">
        <v>6.218</v>
      </c>
    </row>
    <row r="9" spans="2:42" x14ac:dyDescent="0.45">
      <c r="B9" s="6">
        <f t="shared" si="0"/>
        <v>6.4</v>
      </c>
      <c r="C9" s="3">
        <v>3276</v>
      </c>
      <c r="D9" s="5">
        <f t="shared" si="1"/>
        <v>6.3490000000000002</v>
      </c>
      <c r="E9" s="5">
        <f t="shared" si="2"/>
        <v>6.52</v>
      </c>
      <c r="F9" s="5">
        <f t="shared" si="3"/>
        <v>6.4140833333333331</v>
      </c>
      <c r="G9">
        <v>6.4219999999999997</v>
      </c>
      <c r="H9">
        <v>6.3780000000000001</v>
      </c>
      <c r="I9">
        <v>6.4180000000000001</v>
      </c>
      <c r="J9">
        <v>6.4470000000000001</v>
      </c>
      <c r="K9">
        <v>6.4619999999999997</v>
      </c>
      <c r="L9">
        <v>6.4</v>
      </c>
      <c r="M9">
        <v>6.423</v>
      </c>
      <c r="N9">
        <v>6.4359999999999999</v>
      </c>
      <c r="O9">
        <v>6.4290000000000003</v>
      </c>
      <c r="P9">
        <v>6.52</v>
      </c>
      <c r="Q9">
        <v>6.4340000000000002</v>
      </c>
      <c r="R9">
        <v>6.4160000000000004</v>
      </c>
      <c r="S9">
        <v>6.3650000000000002</v>
      </c>
      <c r="T9">
        <v>6.3739999999999997</v>
      </c>
      <c r="U9">
        <v>6.367</v>
      </c>
      <c r="V9">
        <v>6.3780000000000001</v>
      </c>
      <c r="W9">
        <v>6.4050000000000002</v>
      </c>
      <c r="X9">
        <v>6.3579999999999997</v>
      </c>
      <c r="Y9">
        <v>6.367</v>
      </c>
      <c r="Z9">
        <v>6.3730000000000002</v>
      </c>
      <c r="AA9">
        <v>6.4020000000000001</v>
      </c>
      <c r="AB9">
        <v>6.383</v>
      </c>
      <c r="AC9">
        <v>6.3689999999999998</v>
      </c>
      <c r="AD9">
        <v>6.3490000000000002</v>
      </c>
      <c r="AE9">
        <v>6.4269999999999996</v>
      </c>
      <c r="AF9">
        <v>6.4690000000000003</v>
      </c>
      <c r="AG9">
        <v>6.5140000000000002</v>
      </c>
      <c r="AH9">
        <v>6.4</v>
      </c>
      <c r="AI9">
        <v>6.4340000000000002</v>
      </c>
      <c r="AJ9">
        <v>6.4889999999999999</v>
      </c>
      <c r="AK9">
        <v>6.4290000000000003</v>
      </c>
      <c r="AL9">
        <v>6.452</v>
      </c>
      <c r="AM9">
        <v>6.4160000000000004</v>
      </c>
      <c r="AN9">
        <v>6.4329999999999998</v>
      </c>
      <c r="AO9">
        <v>6.3929999999999998</v>
      </c>
      <c r="AP9">
        <v>6.3760000000000003</v>
      </c>
    </row>
    <row r="10" spans="2:42" x14ac:dyDescent="0.45">
      <c r="B10" s="6">
        <f t="shared" si="0"/>
        <v>8</v>
      </c>
      <c r="C10" s="3">
        <v>4095</v>
      </c>
      <c r="D10" s="5">
        <f t="shared" si="1"/>
        <v>7.9020000000000001</v>
      </c>
      <c r="E10" s="5">
        <f t="shared" si="2"/>
        <v>8.2050000000000001</v>
      </c>
      <c r="F10" s="5">
        <f t="shared" si="3"/>
        <v>8.0041111111111096</v>
      </c>
      <c r="G10">
        <v>8.0129999999999999</v>
      </c>
      <c r="H10">
        <v>7.9550000000000001</v>
      </c>
      <c r="I10">
        <v>7.9889999999999999</v>
      </c>
      <c r="J10">
        <v>8.0259999999999998</v>
      </c>
      <c r="K10">
        <v>8.0709999999999997</v>
      </c>
      <c r="L10">
        <v>8.0069999999999997</v>
      </c>
      <c r="M10">
        <v>7.9870000000000001</v>
      </c>
      <c r="N10">
        <v>8.0310000000000006</v>
      </c>
      <c r="O10">
        <v>8.0180000000000007</v>
      </c>
      <c r="P10">
        <v>8.2050000000000001</v>
      </c>
      <c r="Q10">
        <v>8.0090000000000003</v>
      </c>
      <c r="R10">
        <v>7.9859999999999998</v>
      </c>
      <c r="S10">
        <v>7.9279999999999999</v>
      </c>
      <c r="T10">
        <v>7.9530000000000003</v>
      </c>
      <c r="U10">
        <v>7.9640000000000004</v>
      </c>
      <c r="V10">
        <v>7.9710000000000001</v>
      </c>
      <c r="W10">
        <v>8</v>
      </c>
      <c r="X10">
        <v>7.9370000000000003</v>
      </c>
      <c r="Y10">
        <v>7.9509999999999996</v>
      </c>
      <c r="Z10">
        <v>7.9260000000000002</v>
      </c>
      <c r="AA10">
        <v>7.9859999999999998</v>
      </c>
      <c r="AB10">
        <v>7.9729999999999999</v>
      </c>
      <c r="AC10">
        <v>7.944</v>
      </c>
      <c r="AD10">
        <v>7.9020000000000001</v>
      </c>
      <c r="AE10">
        <v>8.0150000000000006</v>
      </c>
      <c r="AF10">
        <v>8.1129999999999995</v>
      </c>
      <c r="AG10">
        <v>8.1639999999999997</v>
      </c>
      <c r="AH10">
        <v>7.9889999999999999</v>
      </c>
      <c r="AI10">
        <v>8.0419999999999998</v>
      </c>
      <c r="AJ10">
        <v>8.1349999999999998</v>
      </c>
      <c r="AK10">
        <v>8.0069999999999997</v>
      </c>
      <c r="AL10">
        <v>8.077</v>
      </c>
      <c r="AM10">
        <v>7.9930000000000003</v>
      </c>
      <c r="AN10">
        <v>8.0169999999999995</v>
      </c>
      <c r="AO10">
        <v>7.9580000000000002</v>
      </c>
      <c r="AP10">
        <v>7.9059999999999997</v>
      </c>
    </row>
    <row r="11" spans="2:42" x14ac:dyDescent="0.45">
      <c r="B11" s="6">
        <f t="shared" ref="B11:B18" si="4">32*C11/4095</f>
        <v>2.7584859584859585</v>
      </c>
      <c r="C11" s="4">
        <v>353</v>
      </c>
      <c r="D11" s="5">
        <f t="shared" si="1"/>
        <v>2.7050000000000001</v>
      </c>
      <c r="E11" s="5">
        <f t="shared" si="2"/>
        <v>3.0259999999999998</v>
      </c>
      <c r="F11" s="5">
        <f t="shared" si="3"/>
        <v>2.8399444444444444</v>
      </c>
      <c r="G11">
        <v>2.919</v>
      </c>
      <c r="H11">
        <v>2.9630000000000001</v>
      </c>
      <c r="I11">
        <v>2.9660000000000002</v>
      </c>
      <c r="J11">
        <v>2.9430000000000001</v>
      </c>
      <c r="K11">
        <v>2.8559999999999999</v>
      </c>
      <c r="L11">
        <v>2.83</v>
      </c>
      <c r="M11">
        <v>2.97</v>
      </c>
      <c r="N11">
        <v>2.8969999999999998</v>
      </c>
      <c r="O11">
        <v>2.91</v>
      </c>
      <c r="P11">
        <v>2.7229999999999999</v>
      </c>
      <c r="Q11">
        <v>2.9540000000000002</v>
      </c>
      <c r="R11">
        <v>2.97</v>
      </c>
      <c r="S11">
        <v>2.794</v>
      </c>
      <c r="T11">
        <v>2.7679999999999998</v>
      </c>
      <c r="U11">
        <v>2.7050000000000001</v>
      </c>
      <c r="V11">
        <v>2.7189999999999999</v>
      </c>
      <c r="W11">
        <v>2.7480000000000002</v>
      </c>
      <c r="X11">
        <v>2.7360000000000002</v>
      </c>
      <c r="Y11">
        <v>2.738</v>
      </c>
      <c r="Z11">
        <v>2.8410000000000002</v>
      </c>
      <c r="AA11">
        <v>2.7719999999999998</v>
      </c>
      <c r="AB11">
        <v>2.73</v>
      </c>
      <c r="AC11">
        <v>2.7759999999999998</v>
      </c>
      <c r="AD11">
        <v>2.8119999999999998</v>
      </c>
      <c r="AE11">
        <v>2.8479999999999999</v>
      </c>
      <c r="AF11">
        <v>2.7869999999999999</v>
      </c>
      <c r="AG11">
        <v>2.7519999999999998</v>
      </c>
      <c r="AH11">
        <v>2.8250000000000002</v>
      </c>
      <c r="AI11">
        <v>2.879</v>
      </c>
      <c r="AJ11">
        <v>2.7450000000000001</v>
      </c>
      <c r="AK11">
        <v>2.879</v>
      </c>
      <c r="AL11">
        <v>2.7829999999999999</v>
      </c>
      <c r="AM11">
        <v>2.89</v>
      </c>
      <c r="AN11">
        <v>2.8849999999999998</v>
      </c>
      <c r="AO11">
        <v>2.899</v>
      </c>
      <c r="AP11">
        <v>3.0259999999999998</v>
      </c>
    </row>
    <row r="12" spans="2:42" x14ac:dyDescent="0.45">
      <c r="B12" s="6">
        <f t="shared" si="4"/>
        <v>3.9462759462759465</v>
      </c>
      <c r="C12" s="4">
        <v>505</v>
      </c>
      <c r="D12" s="5">
        <f t="shared" si="1"/>
        <v>3.8570000000000002</v>
      </c>
      <c r="E12" s="5">
        <f t="shared" si="2"/>
        <v>4.2329999999999997</v>
      </c>
      <c r="F12" s="5">
        <f t="shared" si="3"/>
        <v>4.0224166666666674</v>
      </c>
      <c r="G12">
        <v>4.093</v>
      </c>
      <c r="H12">
        <v>4.1559999999999997</v>
      </c>
      <c r="I12">
        <v>4.1529999999999996</v>
      </c>
      <c r="J12">
        <v>4.1180000000000003</v>
      </c>
      <c r="K12">
        <v>4.0289999999999999</v>
      </c>
      <c r="L12">
        <v>4.0019999999999998</v>
      </c>
      <c r="M12">
        <v>4.1550000000000002</v>
      </c>
      <c r="N12">
        <v>4.069</v>
      </c>
      <c r="O12">
        <v>4.085</v>
      </c>
      <c r="P12">
        <v>3.8570000000000002</v>
      </c>
      <c r="Q12">
        <v>4.133</v>
      </c>
      <c r="R12">
        <v>4.1550000000000002</v>
      </c>
      <c r="S12">
        <v>3.9910000000000001</v>
      </c>
      <c r="T12">
        <v>3.9620000000000002</v>
      </c>
      <c r="U12">
        <v>3.891</v>
      </c>
      <c r="V12">
        <v>3.9039999999999999</v>
      </c>
      <c r="W12">
        <v>3.9329999999999998</v>
      </c>
      <c r="X12">
        <v>3.9260000000000002</v>
      </c>
      <c r="Y12">
        <v>3.9239999999999999</v>
      </c>
      <c r="Z12">
        <v>4.04</v>
      </c>
      <c r="AA12">
        <v>3.9580000000000002</v>
      </c>
      <c r="AB12">
        <v>3.915</v>
      </c>
      <c r="AC12">
        <v>3.9689999999999999</v>
      </c>
      <c r="AD12">
        <v>4.0129999999999999</v>
      </c>
      <c r="AE12">
        <v>4.0350000000000001</v>
      </c>
      <c r="AF12">
        <v>3.9489999999999998</v>
      </c>
      <c r="AG12">
        <v>3.9060000000000001</v>
      </c>
      <c r="AH12">
        <v>4.0039999999999996</v>
      </c>
      <c r="AI12">
        <v>4.0709999999999997</v>
      </c>
      <c r="AJ12">
        <v>3.911</v>
      </c>
      <c r="AK12">
        <v>4.0670000000000002</v>
      </c>
      <c r="AL12">
        <v>3.9620000000000002</v>
      </c>
      <c r="AM12">
        <v>4.08</v>
      </c>
      <c r="AN12">
        <v>4.0709999999999997</v>
      </c>
      <c r="AO12">
        <v>4.0869999999999997</v>
      </c>
      <c r="AP12">
        <v>4.2329999999999997</v>
      </c>
    </row>
    <row r="13" spans="2:42" x14ac:dyDescent="0.45">
      <c r="B13" s="6">
        <f t="shared" si="4"/>
        <v>6.2515262515262515</v>
      </c>
      <c r="C13" s="4">
        <v>800</v>
      </c>
      <c r="D13" s="5">
        <f t="shared" si="1"/>
        <v>6.1580000000000004</v>
      </c>
      <c r="E13" s="5">
        <f t="shared" si="2"/>
        <v>6.569</v>
      </c>
      <c r="F13" s="5">
        <f t="shared" si="3"/>
        <v>6.3406388888888872</v>
      </c>
      <c r="G13">
        <v>6.423</v>
      </c>
      <c r="H13">
        <v>6.5030000000000001</v>
      </c>
      <c r="I13">
        <v>6.492</v>
      </c>
      <c r="J13">
        <v>6.4470000000000001</v>
      </c>
      <c r="K13">
        <v>6.3559999999999999</v>
      </c>
      <c r="L13">
        <v>6.3330000000000002</v>
      </c>
      <c r="M13">
        <v>6.4980000000000002</v>
      </c>
      <c r="N13">
        <v>6.4</v>
      </c>
      <c r="O13">
        <v>6.4290000000000003</v>
      </c>
      <c r="P13">
        <v>6.1580000000000004</v>
      </c>
      <c r="Q13">
        <v>6.4710000000000001</v>
      </c>
      <c r="R13">
        <v>6.4980000000000002</v>
      </c>
      <c r="S13">
        <v>6.2960000000000003</v>
      </c>
      <c r="T13">
        <v>6.274</v>
      </c>
      <c r="U13">
        <v>6.1929999999999996</v>
      </c>
      <c r="V13">
        <v>6.2089999999999996</v>
      </c>
      <c r="W13">
        <v>6.234</v>
      </c>
      <c r="X13">
        <v>6.2359999999999998</v>
      </c>
      <c r="Y13">
        <v>6.2309999999999999</v>
      </c>
      <c r="Z13">
        <v>6.3579999999999997</v>
      </c>
      <c r="AA13">
        <v>6.274</v>
      </c>
      <c r="AB13">
        <v>6.2160000000000002</v>
      </c>
      <c r="AC13">
        <v>6.2729999999999997</v>
      </c>
      <c r="AD13">
        <v>6.3250000000000002</v>
      </c>
      <c r="AE13">
        <v>6.3449999999999998</v>
      </c>
      <c r="AF13">
        <v>6.2510000000000003</v>
      </c>
      <c r="AG13">
        <v>6.2050000000000001</v>
      </c>
      <c r="AH13">
        <v>6.3159999999999998</v>
      </c>
      <c r="AI13">
        <v>6.3959999999999999</v>
      </c>
      <c r="AJ13">
        <v>6.2039999999999997</v>
      </c>
      <c r="AK13">
        <v>6.3780000000000001</v>
      </c>
      <c r="AL13">
        <v>6.2649999999999997</v>
      </c>
      <c r="AM13">
        <v>6.407</v>
      </c>
      <c r="AN13">
        <v>6.391</v>
      </c>
      <c r="AO13">
        <v>6.4089999999999998</v>
      </c>
      <c r="AP13">
        <v>6.569</v>
      </c>
    </row>
    <row r="14" spans="2:42" x14ac:dyDescent="0.45">
      <c r="B14" s="6">
        <f t="shared" si="4"/>
        <v>17.191697191697191</v>
      </c>
      <c r="C14" s="4">
        <v>2200</v>
      </c>
      <c r="D14" s="5">
        <f t="shared" si="1"/>
        <v>17.088999999999999</v>
      </c>
      <c r="E14" s="5">
        <f t="shared" si="2"/>
        <v>17.466000000000001</v>
      </c>
      <c r="F14" s="5">
        <f t="shared" si="3"/>
        <v>17.291333333333327</v>
      </c>
      <c r="G14">
        <v>17.388000000000002</v>
      </c>
      <c r="H14">
        <v>17.425000000000001</v>
      </c>
      <c r="I14">
        <v>17.466000000000001</v>
      </c>
      <c r="J14">
        <v>17.361000000000001</v>
      </c>
      <c r="K14">
        <v>17.347000000000001</v>
      </c>
      <c r="L14">
        <v>17.324999999999999</v>
      </c>
      <c r="M14">
        <v>17.408000000000001</v>
      </c>
      <c r="N14">
        <v>17.376999999999999</v>
      </c>
      <c r="O14">
        <v>17.359000000000002</v>
      </c>
      <c r="P14">
        <v>17.41</v>
      </c>
      <c r="Q14">
        <v>17.41</v>
      </c>
      <c r="R14">
        <v>17.379000000000001</v>
      </c>
      <c r="S14">
        <v>17.219000000000001</v>
      </c>
      <c r="T14">
        <v>17.238</v>
      </c>
      <c r="U14">
        <v>17.155999999999999</v>
      </c>
      <c r="V14">
        <v>17.138000000000002</v>
      </c>
      <c r="W14">
        <v>17.216000000000001</v>
      </c>
      <c r="X14">
        <v>17.088999999999999</v>
      </c>
      <c r="Y14">
        <v>17.158999999999999</v>
      </c>
      <c r="Z14">
        <v>17.227</v>
      </c>
      <c r="AA14">
        <v>17.23</v>
      </c>
      <c r="AB14">
        <v>17.173999999999999</v>
      </c>
      <c r="AC14">
        <v>17.175999999999998</v>
      </c>
      <c r="AD14">
        <v>17.201000000000001</v>
      </c>
      <c r="AE14">
        <v>17.277000000000001</v>
      </c>
      <c r="AF14">
        <v>17.356000000000002</v>
      </c>
      <c r="AG14">
        <v>17.305</v>
      </c>
      <c r="AH14">
        <v>17.201000000000001</v>
      </c>
      <c r="AI14">
        <v>17.327999999999999</v>
      </c>
      <c r="AJ14">
        <v>17.306999999999999</v>
      </c>
      <c r="AK14">
        <v>17.283000000000001</v>
      </c>
      <c r="AL14">
        <v>17.280999999999999</v>
      </c>
      <c r="AM14">
        <v>17.323</v>
      </c>
      <c r="AN14">
        <v>17.260999999999999</v>
      </c>
      <c r="AO14">
        <v>17.303000000000001</v>
      </c>
      <c r="AP14">
        <v>17.385000000000002</v>
      </c>
    </row>
    <row r="15" spans="2:42" x14ac:dyDescent="0.45">
      <c r="B15" s="6">
        <f t="shared" si="4"/>
        <v>23.443223443223442</v>
      </c>
      <c r="C15" s="4">
        <v>3000</v>
      </c>
      <c r="D15" s="5">
        <f t="shared" si="1"/>
        <v>23.251999999999999</v>
      </c>
      <c r="E15" s="5">
        <f t="shared" si="2"/>
        <v>24.065999999999999</v>
      </c>
      <c r="F15" s="5">
        <f t="shared" si="3"/>
        <v>23.545249999999996</v>
      </c>
      <c r="G15">
        <v>23.632000000000001</v>
      </c>
      <c r="H15">
        <v>23.623000000000001</v>
      </c>
      <c r="I15">
        <v>23.731999999999999</v>
      </c>
      <c r="J15">
        <v>23.59</v>
      </c>
      <c r="K15">
        <v>23.634</v>
      </c>
      <c r="L15">
        <v>23.596</v>
      </c>
      <c r="M15">
        <v>23.585000000000001</v>
      </c>
      <c r="N15">
        <v>23.635000000000002</v>
      </c>
      <c r="O15">
        <v>23.565999999999999</v>
      </c>
      <c r="P15">
        <v>24.065999999999999</v>
      </c>
      <c r="Q15">
        <v>23.637</v>
      </c>
      <c r="R15">
        <v>23.539000000000001</v>
      </c>
      <c r="S15">
        <v>23.439</v>
      </c>
      <c r="T15">
        <v>23.477</v>
      </c>
      <c r="U15">
        <v>23.440999999999999</v>
      </c>
      <c r="V15">
        <v>23.373999999999999</v>
      </c>
      <c r="W15">
        <v>23.492000000000001</v>
      </c>
      <c r="X15">
        <v>23.251999999999999</v>
      </c>
      <c r="Y15">
        <v>23.376000000000001</v>
      </c>
      <c r="Z15">
        <v>23.379000000000001</v>
      </c>
      <c r="AA15">
        <v>23.492000000000001</v>
      </c>
      <c r="AB15">
        <v>23.465</v>
      </c>
      <c r="AC15">
        <v>23.378</v>
      </c>
      <c r="AD15">
        <v>23.378</v>
      </c>
      <c r="AE15">
        <v>23.524999999999999</v>
      </c>
      <c r="AF15">
        <v>23.760999999999999</v>
      </c>
      <c r="AG15">
        <v>23.780999999999999</v>
      </c>
      <c r="AH15">
        <v>23.408000000000001</v>
      </c>
      <c r="AI15">
        <v>23.582999999999998</v>
      </c>
      <c r="AJ15">
        <v>23.780999999999999</v>
      </c>
      <c r="AK15">
        <v>23.477</v>
      </c>
      <c r="AL15">
        <v>23.648</v>
      </c>
      <c r="AM15">
        <v>23.533999999999999</v>
      </c>
      <c r="AN15">
        <v>23.414000000000001</v>
      </c>
      <c r="AO15">
        <v>23.475999999999999</v>
      </c>
      <c r="AP15">
        <v>23.463000000000001</v>
      </c>
    </row>
    <row r="16" spans="2:42" x14ac:dyDescent="0.45">
      <c r="B16" s="6">
        <f t="shared" si="4"/>
        <v>24.935775335775336</v>
      </c>
      <c r="C16" s="4">
        <v>3191</v>
      </c>
      <c r="D16" s="5">
        <f t="shared" si="1"/>
        <v>24.756</v>
      </c>
      <c r="E16" s="5">
        <f t="shared" si="2"/>
        <v>25.675999999999998</v>
      </c>
      <c r="F16" s="5">
        <f t="shared" si="3"/>
        <v>25.054500000000001</v>
      </c>
      <c r="G16">
        <v>25.129000000000001</v>
      </c>
      <c r="H16">
        <v>25.111999999999998</v>
      </c>
      <c r="I16">
        <v>25.218</v>
      </c>
      <c r="J16">
        <v>25.068999999999999</v>
      </c>
      <c r="K16">
        <v>25.154</v>
      </c>
      <c r="L16">
        <v>25.105</v>
      </c>
      <c r="M16">
        <v>25.047000000000001</v>
      </c>
      <c r="N16">
        <v>25.151</v>
      </c>
      <c r="O16">
        <v>25.058</v>
      </c>
      <c r="P16">
        <v>25.675999999999998</v>
      </c>
      <c r="Q16">
        <v>25.134</v>
      </c>
      <c r="R16">
        <v>25.003</v>
      </c>
      <c r="S16">
        <v>24.943000000000001</v>
      </c>
      <c r="T16">
        <v>24.983000000000001</v>
      </c>
      <c r="U16">
        <v>24.945</v>
      </c>
      <c r="V16">
        <v>24.878</v>
      </c>
      <c r="W16">
        <v>25.042000000000002</v>
      </c>
      <c r="X16">
        <v>24.756</v>
      </c>
      <c r="Y16">
        <v>24.882999999999999</v>
      </c>
      <c r="Z16">
        <v>24.867000000000001</v>
      </c>
      <c r="AA16">
        <v>25.009</v>
      </c>
      <c r="AB16">
        <v>24.994</v>
      </c>
      <c r="AC16">
        <v>24.882999999999999</v>
      </c>
      <c r="AD16">
        <v>24.864999999999998</v>
      </c>
      <c r="AE16">
        <v>25.030999999999999</v>
      </c>
      <c r="AF16">
        <v>25.338000000000001</v>
      </c>
      <c r="AG16">
        <v>25.381</v>
      </c>
      <c r="AH16">
        <v>24.913</v>
      </c>
      <c r="AI16">
        <v>25.067</v>
      </c>
      <c r="AJ16">
        <v>25.349</v>
      </c>
      <c r="AK16">
        <v>24.974</v>
      </c>
      <c r="AL16">
        <v>25.170999999999999</v>
      </c>
      <c r="AM16">
        <v>25.024999999999999</v>
      </c>
      <c r="AN16">
        <v>24.917999999999999</v>
      </c>
      <c r="AO16">
        <v>24.957999999999998</v>
      </c>
      <c r="AP16">
        <v>24.933</v>
      </c>
    </row>
    <row r="17" spans="2:42" x14ac:dyDescent="0.45">
      <c r="B17" s="6">
        <f t="shared" si="4"/>
        <v>25.6</v>
      </c>
      <c r="C17" s="4">
        <v>3276</v>
      </c>
      <c r="D17" s="5">
        <f t="shared" si="1"/>
        <v>25.398</v>
      </c>
      <c r="E17" s="5">
        <f t="shared" si="2"/>
        <v>26.4</v>
      </c>
      <c r="F17" s="5">
        <f t="shared" si="3"/>
        <v>25.7135</v>
      </c>
      <c r="G17">
        <v>25.786000000000001</v>
      </c>
      <c r="H17">
        <v>25.739000000000001</v>
      </c>
      <c r="I17">
        <v>25.882999999999999</v>
      </c>
      <c r="J17">
        <v>25.725999999999999</v>
      </c>
      <c r="K17">
        <v>25.818999999999999</v>
      </c>
      <c r="L17">
        <v>25.77</v>
      </c>
      <c r="M17">
        <v>25.725000000000001</v>
      </c>
      <c r="N17">
        <v>25.812000000000001</v>
      </c>
      <c r="O17">
        <v>25.699000000000002</v>
      </c>
      <c r="P17">
        <v>26.4</v>
      </c>
      <c r="Q17">
        <v>25.780999999999999</v>
      </c>
      <c r="R17">
        <v>25.635999999999999</v>
      </c>
      <c r="S17">
        <v>25.603000000000002</v>
      </c>
      <c r="T17">
        <v>25.658999999999999</v>
      </c>
      <c r="U17">
        <v>25.617000000000001</v>
      </c>
      <c r="V17">
        <v>25.523</v>
      </c>
      <c r="W17">
        <v>25.716999999999999</v>
      </c>
      <c r="X17">
        <v>25.398</v>
      </c>
      <c r="Y17">
        <v>25.536999999999999</v>
      </c>
      <c r="Z17">
        <v>25.492000000000001</v>
      </c>
      <c r="AA17">
        <v>25.658999999999999</v>
      </c>
      <c r="AB17">
        <v>25.643000000000001</v>
      </c>
      <c r="AC17">
        <v>25.518999999999998</v>
      </c>
      <c r="AD17">
        <v>25.507999999999999</v>
      </c>
      <c r="AE17">
        <v>25.696999999999999</v>
      </c>
      <c r="AF17">
        <v>26.03</v>
      </c>
      <c r="AG17">
        <v>26.056999999999999</v>
      </c>
      <c r="AH17">
        <v>25.559000000000001</v>
      </c>
      <c r="AI17">
        <v>25.712</v>
      </c>
      <c r="AJ17">
        <v>26.055</v>
      </c>
      <c r="AK17">
        <v>25.635999999999999</v>
      </c>
      <c r="AL17">
        <v>25.846</v>
      </c>
      <c r="AM17">
        <v>25.699000000000002</v>
      </c>
      <c r="AN17">
        <v>25.567</v>
      </c>
      <c r="AO17">
        <v>25.623000000000001</v>
      </c>
      <c r="AP17">
        <v>25.553999999999998</v>
      </c>
    </row>
    <row r="18" spans="2:42" x14ac:dyDescent="0.45">
      <c r="B18" s="6">
        <f t="shared" si="4"/>
        <v>32</v>
      </c>
      <c r="C18" s="4">
        <v>4095</v>
      </c>
      <c r="D18" s="5">
        <f t="shared" si="1"/>
        <v>31.678999999999998</v>
      </c>
      <c r="E18" s="5">
        <f t="shared" si="2"/>
        <v>33.24</v>
      </c>
      <c r="F18" s="5">
        <f t="shared" si="3"/>
        <v>32.092555555555549</v>
      </c>
      <c r="G18">
        <v>32.182000000000002</v>
      </c>
      <c r="H18">
        <v>32.017000000000003</v>
      </c>
      <c r="I18">
        <v>32.290999999999997</v>
      </c>
      <c r="J18">
        <v>32.067999999999998</v>
      </c>
      <c r="K18">
        <v>32.25</v>
      </c>
      <c r="L18">
        <v>32.19</v>
      </c>
      <c r="M18">
        <v>32.006</v>
      </c>
      <c r="N18">
        <v>32.232999999999997</v>
      </c>
      <c r="O18">
        <v>32.015000000000001</v>
      </c>
      <c r="P18">
        <v>33.24</v>
      </c>
      <c r="Q18">
        <v>32.155000000000001</v>
      </c>
      <c r="R18">
        <v>31.875</v>
      </c>
      <c r="S18">
        <v>31.975000000000001</v>
      </c>
      <c r="T18">
        <v>32.036999999999999</v>
      </c>
      <c r="U18">
        <v>32.012</v>
      </c>
      <c r="V18">
        <v>31.864999999999998</v>
      </c>
      <c r="W18">
        <v>32.164000000000001</v>
      </c>
      <c r="X18">
        <v>31.678999999999998</v>
      </c>
      <c r="Y18">
        <v>31.863</v>
      </c>
      <c r="Z18">
        <v>31.731999999999999</v>
      </c>
      <c r="AA18">
        <v>32.039000000000001</v>
      </c>
      <c r="AB18">
        <v>32.061</v>
      </c>
      <c r="AC18">
        <v>31.846</v>
      </c>
      <c r="AD18">
        <v>31.800999999999998</v>
      </c>
      <c r="AE18">
        <v>32.064</v>
      </c>
      <c r="AF18">
        <v>32.610999999999997</v>
      </c>
      <c r="AG18">
        <v>32.697000000000003</v>
      </c>
      <c r="AH18">
        <v>31.872</v>
      </c>
      <c r="AI18">
        <v>32.042999999999999</v>
      </c>
      <c r="AJ18">
        <v>32.691000000000003</v>
      </c>
      <c r="AK18">
        <v>31.981000000000002</v>
      </c>
      <c r="AL18">
        <v>32.335000000000001</v>
      </c>
      <c r="AM18">
        <v>31.998999999999999</v>
      </c>
      <c r="AN18">
        <v>31.792000000000002</v>
      </c>
      <c r="AO18">
        <v>31.901</v>
      </c>
      <c r="AP18">
        <v>31.75</v>
      </c>
    </row>
    <row r="21" spans="2:42" x14ac:dyDescent="0.45">
      <c r="B21" t="s">
        <v>16</v>
      </c>
      <c r="C21" s="2" t="s">
        <v>0</v>
      </c>
      <c r="D21" s="2" t="s">
        <v>13</v>
      </c>
      <c r="E21" s="2" t="s">
        <v>14</v>
      </c>
      <c r="F21" s="2" t="s">
        <v>15</v>
      </c>
      <c r="G21" s="2" t="s">
        <v>1</v>
      </c>
      <c r="H21" s="2" t="s">
        <v>2</v>
      </c>
      <c r="I21" s="2" t="s">
        <v>3</v>
      </c>
      <c r="J21" s="2" t="s">
        <v>4</v>
      </c>
      <c r="K21" s="2" t="s">
        <v>5</v>
      </c>
      <c r="L21" s="2" t="s">
        <v>6</v>
      </c>
      <c r="M21" s="2" t="s">
        <v>7</v>
      </c>
      <c r="N21" s="2" t="s">
        <v>8</v>
      </c>
      <c r="O21" s="2" t="s">
        <v>9</v>
      </c>
      <c r="P21" s="2" t="s">
        <v>10</v>
      </c>
      <c r="Q21" s="2" t="s">
        <v>11</v>
      </c>
      <c r="R21" s="2" t="s">
        <v>12</v>
      </c>
      <c r="S21" s="2" t="s">
        <v>1</v>
      </c>
      <c r="T21" s="2" t="s">
        <v>2</v>
      </c>
      <c r="U21" s="2" t="s">
        <v>3</v>
      </c>
      <c r="V21" s="2" t="s">
        <v>4</v>
      </c>
      <c r="W21" s="2" t="s">
        <v>5</v>
      </c>
      <c r="X21" s="2" t="s">
        <v>6</v>
      </c>
      <c r="Y21" s="2" t="s">
        <v>7</v>
      </c>
      <c r="Z21" s="2" t="s">
        <v>8</v>
      </c>
      <c r="AA21" s="2" t="s">
        <v>9</v>
      </c>
      <c r="AB21" s="2" t="s">
        <v>10</v>
      </c>
      <c r="AC21" s="2" t="s">
        <v>11</v>
      </c>
      <c r="AD21" s="2" t="s">
        <v>12</v>
      </c>
      <c r="AE21" s="2" t="s">
        <v>1</v>
      </c>
      <c r="AF21" s="2" t="s">
        <v>2</v>
      </c>
      <c r="AG21" s="2" t="s">
        <v>3</v>
      </c>
      <c r="AH21" s="2" t="s">
        <v>4</v>
      </c>
      <c r="AI21" s="2" t="s">
        <v>5</v>
      </c>
      <c r="AJ21" s="2" t="s">
        <v>6</v>
      </c>
      <c r="AK21" s="2" t="s">
        <v>7</v>
      </c>
      <c r="AL21" s="2" t="s">
        <v>8</v>
      </c>
      <c r="AM21" s="2" t="s">
        <v>9</v>
      </c>
      <c r="AN21" s="2" t="s">
        <v>10</v>
      </c>
      <c r="AO21" s="2" t="s">
        <v>11</v>
      </c>
      <c r="AP21" s="2" t="s">
        <v>12</v>
      </c>
    </row>
    <row r="22" spans="2:42" x14ac:dyDescent="0.45">
      <c r="B22" s="6">
        <f t="shared" ref="B22:B29" si="5">8*C22/4095</f>
        <v>0.68962148962148961</v>
      </c>
      <c r="C22" s="3">
        <v>353</v>
      </c>
      <c r="D22" s="1">
        <f>MIN(G22:AP22)</f>
        <v>-2.8452549575070752E-2</v>
      </c>
      <c r="E22" s="1">
        <f>MAX(G22:AP22)</f>
        <v>0.103503895184136</v>
      </c>
      <c r="F22" s="1">
        <f>AVERAGE(G22:AP22)</f>
        <v>3.6317280453257786E-2</v>
      </c>
      <c r="G22" s="1">
        <f t="shared" ref="G22:AP29" si="6">(G3-$B3)/$B3</f>
        <v>5.4201487252124626E-2</v>
      </c>
      <c r="H22" s="1">
        <f t="shared" si="6"/>
        <v>6.4351983002832847E-2</v>
      </c>
      <c r="I22" s="1">
        <f t="shared" si="6"/>
        <v>9.9153682719546762E-2</v>
      </c>
      <c r="J22" s="1">
        <f t="shared" si="6"/>
        <v>9.3353399433427783E-2</v>
      </c>
      <c r="K22" s="1">
        <f t="shared" si="6"/>
        <v>5.1301345609065137E-2</v>
      </c>
      <c r="L22" s="1">
        <f t="shared" si="6"/>
        <v>-6.7014872521245581E-3</v>
      </c>
      <c r="M22" s="1">
        <f t="shared" si="6"/>
        <v>8.4652974504249301E-2</v>
      </c>
      <c r="N22" s="1">
        <f t="shared" si="6"/>
        <v>6.1451841359773357E-2</v>
      </c>
      <c r="O22" s="1">
        <f t="shared" si="6"/>
        <v>5.1301345609065137E-2</v>
      </c>
      <c r="P22" s="1">
        <f t="shared" si="6"/>
        <v>2.2299929178470207E-2</v>
      </c>
      <c r="Q22" s="1">
        <f t="shared" si="6"/>
        <v>8.3202903682719556E-2</v>
      </c>
      <c r="R22" s="1">
        <f t="shared" si="6"/>
        <v>8.3202903682719556E-2</v>
      </c>
      <c r="S22" s="1">
        <f t="shared" si="6"/>
        <v>1.359950424929173E-2</v>
      </c>
      <c r="T22" s="1">
        <f t="shared" si="6"/>
        <v>5.4886685552401303E-4</v>
      </c>
      <c r="U22" s="1">
        <f t="shared" si="6"/>
        <v>-2.8452549575070752E-2</v>
      </c>
      <c r="V22" s="1">
        <f t="shared" si="6"/>
        <v>-1.9752124645892277E-2</v>
      </c>
      <c r="W22" s="1">
        <f t="shared" si="6"/>
        <v>1.2149433427761983E-2</v>
      </c>
      <c r="X22" s="1">
        <f t="shared" si="6"/>
        <v>-2.2652266288951766E-2</v>
      </c>
      <c r="Y22" s="1">
        <f t="shared" si="6"/>
        <v>-1.2501770538243542E-2</v>
      </c>
      <c r="Z22" s="1">
        <f t="shared" si="6"/>
        <v>4.2600920679886654E-2</v>
      </c>
      <c r="AA22" s="1">
        <f t="shared" si="6"/>
        <v>1.2149433427761983E-2</v>
      </c>
      <c r="AB22" s="1">
        <f t="shared" si="6"/>
        <v>-6.7014872521245581E-3</v>
      </c>
      <c r="AC22" s="1">
        <f t="shared" si="6"/>
        <v>1.6499645892351224E-2</v>
      </c>
      <c r="AD22" s="1">
        <f t="shared" si="6"/>
        <v>2.52000708215297E-2</v>
      </c>
      <c r="AE22" s="1">
        <f t="shared" si="6"/>
        <v>3.5350566572237924E-2</v>
      </c>
      <c r="AF22" s="1">
        <f t="shared" si="6"/>
        <v>2.2299929178470207E-2</v>
      </c>
      <c r="AG22" s="1">
        <f t="shared" si="6"/>
        <v>3.5350566572237924E-2</v>
      </c>
      <c r="AH22" s="1">
        <f t="shared" si="6"/>
        <v>1.9399787535410714E-2</v>
      </c>
      <c r="AI22" s="1">
        <f t="shared" si="6"/>
        <v>5.1301345609065137E-2</v>
      </c>
      <c r="AJ22" s="1">
        <f t="shared" si="6"/>
        <v>1.9399787535410714E-2</v>
      </c>
      <c r="AK22" s="1">
        <f t="shared" si="6"/>
        <v>6.4351983002832847E-2</v>
      </c>
      <c r="AL22" s="1">
        <f t="shared" si="6"/>
        <v>1.6499645892351224E-2</v>
      </c>
      <c r="AM22" s="1">
        <f t="shared" si="6"/>
        <v>5.8551699716713868E-2</v>
      </c>
      <c r="AN22" s="1">
        <f t="shared" si="6"/>
        <v>5.5651558073654371E-2</v>
      </c>
      <c r="AO22" s="1">
        <f t="shared" si="6"/>
        <v>5.1301345609065137E-2</v>
      </c>
      <c r="AP22" s="1">
        <f t="shared" si="6"/>
        <v>0.103503895184136</v>
      </c>
    </row>
    <row r="23" spans="2:42" x14ac:dyDescent="0.45">
      <c r="B23" s="6">
        <f t="shared" si="5"/>
        <v>0.98656898656898662</v>
      </c>
      <c r="C23" s="3">
        <v>505</v>
      </c>
      <c r="D23" s="1">
        <f t="shared" ref="D23:D37" si="7">MIN(G23:AP23)</f>
        <v>-2.1862623762376316E-2</v>
      </c>
      <c r="E23" s="1">
        <f t="shared" ref="E23:E37" si="8">MAX(G23:AP23)</f>
        <v>7.9498762376237514E-2</v>
      </c>
      <c r="F23" s="1">
        <f t="shared" ref="F23:F37" si="9">AVERAGE(G23:AP23)</f>
        <v>2.4566522277227651E-2</v>
      </c>
      <c r="G23" s="1">
        <f t="shared" si="6"/>
        <v>3.4899752475247382E-2</v>
      </c>
      <c r="H23" s="1">
        <f t="shared" si="6"/>
        <v>4.199504950495047E-2</v>
      </c>
      <c r="I23" s="1">
        <f t="shared" si="6"/>
        <v>6.834900990099009E-2</v>
      </c>
      <c r="J23" s="1">
        <f t="shared" si="6"/>
        <v>6.6321782178217811E-2</v>
      </c>
      <c r="K23" s="1">
        <f t="shared" si="6"/>
        <v>3.0845297029702824E-2</v>
      </c>
      <c r="L23" s="1">
        <f t="shared" si="6"/>
        <v>-1.0712871287128783E-2</v>
      </c>
      <c r="M23" s="1">
        <f t="shared" si="6"/>
        <v>6.0240099009900981E-2</v>
      </c>
      <c r="N23" s="1">
        <f t="shared" si="6"/>
        <v>3.9967821782178191E-2</v>
      </c>
      <c r="O23" s="1">
        <f t="shared" si="6"/>
        <v>3.2872524752475103E-2</v>
      </c>
      <c r="P23" s="1">
        <f t="shared" si="6"/>
        <v>3.4777227722771701E-3</v>
      </c>
      <c r="Q23" s="1">
        <f t="shared" si="6"/>
        <v>5.9226485148514731E-2</v>
      </c>
      <c r="R23" s="1">
        <f t="shared" si="6"/>
        <v>5.7199257425742452E-2</v>
      </c>
      <c r="S23" s="1">
        <f t="shared" si="6"/>
        <v>1.2600247524752426E-2</v>
      </c>
      <c r="T23" s="1">
        <f t="shared" si="6"/>
        <v>3.4777227722771701E-3</v>
      </c>
      <c r="U23" s="1">
        <f t="shared" si="6"/>
        <v>-2.1862623762376316E-2</v>
      </c>
      <c r="V23" s="1">
        <f t="shared" si="6"/>
        <v>-1.6794554455445618E-2</v>
      </c>
      <c r="W23" s="1">
        <f t="shared" si="6"/>
        <v>8.5457920792078677E-3</v>
      </c>
      <c r="X23" s="1">
        <f t="shared" si="6"/>
        <v>-1.4767326732673339E-2</v>
      </c>
      <c r="Y23" s="1">
        <f t="shared" si="6"/>
        <v>-1.0712871287128783E-2</v>
      </c>
      <c r="Z23" s="1">
        <f t="shared" si="6"/>
        <v>3.4899752475247382E-2</v>
      </c>
      <c r="AA23" s="1">
        <f t="shared" si="6"/>
        <v>1.0573019801980147E-2</v>
      </c>
      <c r="AB23" s="1">
        <f t="shared" si="6"/>
        <v>-3.6175742574258061E-3</v>
      </c>
      <c r="AC23" s="1">
        <f t="shared" si="6"/>
        <v>1.2600247524752426E-2</v>
      </c>
      <c r="AD23" s="1">
        <f t="shared" si="6"/>
        <v>1.868193069306915E-2</v>
      </c>
      <c r="AE23" s="1">
        <f t="shared" si="6"/>
        <v>2.5777227722772238E-2</v>
      </c>
      <c r="AF23" s="1">
        <f t="shared" si="6"/>
        <v>1.2600247524752426E-2</v>
      </c>
      <c r="AG23" s="1">
        <f t="shared" si="6"/>
        <v>2.172277227722768E-2</v>
      </c>
      <c r="AH23" s="1">
        <f t="shared" si="6"/>
        <v>1.0573019801980147E-2</v>
      </c>
      <c r="AI23" s="1">
        <f t="shared" si="6"/>
        <v>3.6926980198019661E-2</v>
      </c>
      <c r="AJ23" s="1">
        <f t="shared" si="6"/>
        <v>1.2600247524752426E-2</v>
      </c>
      <c r="AK23" s="1">
        <f t="shared" si="6"/>
        <v>4.4022277227722749E-2</v>
      </c>
      <c r="AL23" s="1">
        <f t="shared" si="6"/>
        <v>5.5049504950494491E-3</v>
      </c>
      <c r="AM23" s="1">
        <f t="shared" si="6"/>
        <v>4.199504950495047E-2</v>
      </c>
      <c r="AN23" s="1">
        <f t="shared" si="6"/>
        <v>3.9967821782178191E-2</v>
      </c>
      <c r="AO23" s="1">
        <f t="shared" si="6"/>
        <v>3.4899752475247382E-2</v>
      </c>
      <c r="AP23" s="1">
        <f t="shared" si="6"/>
        <v>7.9498762376237514E-2</v>
      </c>
    </row>
    <row r="24" spans="2:42" x14ac:dyDescent="0.45">
      <c r="B24" s="6">
        <f t="shared" si="5"/>
        <v>1.5628815628815629</v>
      </c>
      <c r="C24" s="3">
        <v>800</v>
      </c>
      <c r="D24" s="1">
        <f t="shared" si="7"/>
        <v>-1.6560156250000048E-2</v>
      </c>
      <c r="E24" s="1">
        <f t="shared" si="8"/>
        <v>5.5102343750000012E-2</v>
      </c>
      <c r="F24" s="1">
        <f t="shared" si="9"/>
        <v>1.7760351562500012E-2</v>
      </c>
      <c r="G24" s="1">
        <f t="shared" si="6"/>
        <v>2.8868750000000061E-2</v>
      </c>
      <c r="H24" s="1">
        <f t="shared" si="6"/>
        <v>3.2067968749999995E-2</v>
      </c>
      <c r="I24" s="1">
        <f t="shared" si="6"/>
        <v>4.7424218750000011E-2</v>
      </c>
      <c r="J24" s="1">
        <f t="shared" si="6"/>
        <v>4.8703906250000012E-2</v>
      </c>
      <c r="K24" s="1">
        <f t="shared" si="6"/>
        <v>2.3750000000000059E-2</v>
      </c>
      <c r="L24" s="1">
        <f t="shared" si="6"/>
        <v>-3.7632812500000379E-3</v>
      </c>
      <c r="M24" s="1">
        <f t="shared" si="6"/>
        <v>4.6144531250000009E-2</v>
      </c>
      <c r="N24" s="1">
        <f t="shared" si="6"/>
        <v>3.2067968749999995E-2</v>
      </c>
      <c r="O24" s="1">
        <f t="shared" si="6"/>
        <v>2.6309375000000058E-2</v>
      </c>
      <c r="P24" s="1">
        <f t="shared" si="6"/>
        <v>4.5546875000000405E-3</v>
      </c>
      <c r="Q24" s="1">
        <f t="shared" si="6"/>
        <v>4.3585156250000007E-2</v>
      </c>
      <c r="R24" s="1">
        <f t="shared" si="6"/>
        <v>4.2305468750000005E-2</v>
      </c>
      <c r="S24" s="1">
        <f t="shared" si="6"/>
        <v>7.7539062499999726E-3</v>
      </c>
      <c r="T24" s="1">
        <f t="shared" si="6"/>
        <v>1.9953125000000383E-3</v>
      </c>
      <c r="U24" s="1">
        <f t="shared" si="6"/>
        <v>-1.6560156250000048E-2</v>
      </c>
      <c r="V24" s="1">
        <f t="shared" si="6"/>
        <v>-1.0801562499999973E-2</v>
      </c>
      <c r="W24" s="1">
        <f t="shared" si="6"/>
        <v>6.4742187499999713E-3</v>
      </c>
      <c r="X24" s="1">
        <f t="shared" si="6"/>
        <v>-8.24218749999997E-3</v>
      </c>
      <c r="Y24" s="1">
        <f t="shared" si="6"/>
        <v>-7.6023437500000414E-3</v>
      </c>
      <c r="Z24" s="1">
        <f t="shared" si="6"/>
        <v>2.5029687500000061E-2</v>
      </c>
      <c r="AA24" s="1">
        <f t="shared" si="6"/>
        <v>9.0335937499999731E-3</v>
      </c>
      <c r="AB24" s="1">
        <f t="shared" si="6"/>
        <v>-2.4835937500000366E-3</v>
      </c>
      <c r="AC24" s="1">
        <f t="shared" si="6"/>
        <v>7.7539062499999726E-3</v>
      </c>
      <c r="AD24" s="1">
        <f t="shared" si="6"/>
        <v>1.2232812500000047E-2</v>
      </c>
      <c r="AE24" s="1">
        <f t="shared" si="6"/>
        <v>1.6071875000000051E-2</v>
      </c>
      <c r="AF24" s="1">
        <f t="shared" si="6"/>
        <v>7.7539062499999726E-3</v>
      </c>
      <c r="AG24" s="1">
        <f t="shared" si="6"/>
        <v>1.2232812500000047E-2</v>
      </c>
      <c r="AH24" s="1">
        <f t="shared" si="6"/>
        <v>5.19453124999997E-3</v>
      </c>
      <c r="AI24" s="1">
        <f t="shared" si="6"/>
        <v>2.5029687500000061E-2</v>
      </c>
      <c r="AJ24" s="1">
        <f t="shared" si="6"/>
        <v>6.4742187499999713E-3</v>
      </c>
      <c r="AK24" s="1">
        <f t="shared" si="6"/>
        <v>3.0788281249999994E-2</v>
      </c>
      <c r="AL24" s="1">
        <f t="shared" si="6"/>
        <v>4.5546875000000405E-3</v>
      </c>
      <c r="AM24" s="1">
        <f t="shared" si="6"/>
        <v>2.758906250000006E-2</v>
      </c>
      <c r="AN24" s="1">
        <f t="shared" si="6"/>
        <v>2.8868750000000061E-2</v>
      </c>
      <c r="AO24" s="1">
        <f t="shared" si="6"/>
        <v>2.3110156249999986E-2</v>
      </c>
      <c r="AP24" s="1">
        <f t="shared" si="6"/>
        <v>5.5102343750000012E-2</v>
      </c>
    </row>
    <row r="25" spans="2:42" x14ac:dyDescent="0.45">
      <c r="B25" s="6">
        <f t="shared" si="5"/>
        <v>4.2979242979242978</v>
      </c>
      <c r="C25" s="3">
        <v>2200</v>
      </c>
      <c r="D25" s="1">
        <f t="shared" si="7"/>
        <v>-7.8931818181817246E-3</v>
      </c>
      <c r="E25" s="1">
        <f t="shared" si="8"/>
        <v>1.6071875000000038E-2</v>
      </c>
      <c r="F25" s="1">
        <f t="shared" si="9"/>
        <v>4.8390625000000404E-3</v>
      </c>
      <c r="G25" s="1">
        <f t="shared" si="6"/>
        <v>9.3244318181818758E-3</v>
      </c>
      <c r="H25" s="1">
        <f t="shared" si="6"/>
        <v>5.8343750000001329E-3</v>
      </c>
      <c r="I25" s="1">
        <f t="shared" si="6"/>
        <v>1.281448863636362E-2</v>
      </c>
      <c r="J25" s="1">
        <f t="shared" si="6"/>
        <v>1.6071875000000038E-2</v>
      </c>
      <c r="K25" s="1">
        <f t="shared" si="6"/>
        <v>1.1418465909091046E-2</v>
      </c>
      <c r="L25" s="1">
        <f t="shared" si="6"/>
        <v>-4.4772727272717199E-4</v>
      </c>
      <c r="M25" s="1">
        <f t="shared" si="6"/>
        <v>1.3977840909090869E-2</v>
      </c>
      <c r="N25" s="1">
        <f t="shared" si="6"/>
        <v>1.0487784090909124E-2</v>
      </c>
      <c r="O25" s="1">
        <f t="shared" si="6"/>
        <v>9.7897727272727338E-3</v>
      </c>
      <c r="P25" s="1">
        <f t="shared" si="6"/>
        <v>6.29971590909099E-3</v>
      </c>
      <c r="Q25" s="1">
        <f t="shared" si="6"/>
        <v>1.3512500000000011E-2</v>
      </c>
      <c r="R25" s="1">
        <f t="shared" si="6"/>
        <v>1.2349147727272762E-2</v>
      </c>
      <c r="S25" s="1">
        <f t="shared" si="6"/>
        <v>-3.0071022727272E-3</v>
      </c>
      <c r="T25" s="1">
        <f t="shared" si="6"/>
        <v>-2.0764204545454844E-3</v>
      </c>
      <c r="U25" s="1">
        <f t="shared" si="6"/>
        <v>-7.8931818181817246E-3</v>
      </c>
      <c r="V25" s="1">
        <f t="shared" si="6"/>
        <v>-5.5664772727272282E-3</v>
      </c>
      <c r="W25" s="1">
        <f t="shared" si="6"/>
        <v>1.6463068181817918E-3</v>
      </c>
      <c r="X25" s="1">
        <f t="shared" si="6"/>
        <v>-4.1704545454544478E-3</v>
      </c>
      <c r="Y25" s="1">
        <f t="shared" si="6"/>
        <v>-5.1011363636363702E-3</v>
      </c>
      <c r="Z25" s="1">
        <f t="shared" si="6"/>
        <v>3.042329545454572E-3</v>
      </c>
      <c r="AA25" s="1">
        <f t="shared" si="6"/>
        <v>2.576988636363714E-3</v>
      </c>
      <c r="AB25" s="1">
        <f t="shared" si="6"/>
        <v>-2.5417613636363424E-3</v>
      </c>
      <c r="AC25" s="1">
        <f t="shared" si="6"/>
        <v>-1.145738636363562E-3</v>
      </c>
      <c r="AD25" s="1">
        <f t="shared" si="6"/>
        <v>-3.0071022727272E-3</v>
      </c>
      <c r="AE25" s="1">
        <f t="shared" si="6"/>
        <v>5.1363636363637426E-3</v>
      </c>
      <c r="AF25" s="1">
        <f t="shared" si="6"/>
        <v>5.8343750000001329E-3</v>
      </c>
      <c r="AG25" s="1">
        <f t="shared" si="6"/>
        <v>1.2349147727272762E-2</v>
      </c>
      <c r="AH25" s="1">
        <f t="shared" si="6"/>
        <v>-9.1306818181823653E-4</v>
      </c>
      <c r="AI25" s="1">
        <f t="shared" si="6"/>
        <v>8.8590909090910178E-3</v>
      </c>
      <c r="AJ25" s="1">
        <f t="shared" si="6"/>
        <v>6.765056818181848E-3</v>
      </c>
      <c r="AK25" s="1">
        <f t="shared" si="6"/>
        <v>8.3937499999999533E-3</v>
      </c>
      <c r="AL25" s="1">
        <f t="shared" si="6"/>
        <v>4.2056818181818202E-3</v>
      </c>
      <c r="AM25" s="1">
        <f t="shared" si="6"/>
        <v>7.230397727272706E-3</v>
      </c>
      <c r="AN25" s="1">
        <f t="shared" si="6"/>
        <v>9.3244318181818758E-3</v>
      </c>
      <c r="AO25" s="1">
        <f t="shared" si="6"/>
        <v>2.576988636363714E-3</v>
      </c>
      <c r="AP25" s="1">
        <f t="shared" si="6"/>
        <v>1.0255113636363592E-2</v>
      </c>
    </row>
    <row r="26" spans="2:42" x14ac:dyDescent="0.45">
      <c r="B26" s="6">
        <f t="shared" si="5"/>
        <v>5.8608058608058604</v>
      </c>
      <c r="C26" s="3">
        <v>3000</v>
      </c>
      <c r="D26" s="1">
        <f t="shared" si="7"/>
        <v>-7.3037499999999986E-3</v>
      </c>
      <c r="E26" s="1">
        <f t="shared" si="8"/>
        <v>1.5048125000000042E-2</v>
      </c>
      <c r="F26" s="1">
        <f t="shared" si="9"/>
        <v>2.5593229166667253E-3</v>
      </c>
      <c r="G26" s="1">
        <f t="shared" si="6"/>
        <v>3.9575000000001258E-3</v>
      </c>
      <c r="H26" s="1">
        <f t="shared" si="6"/>
        <v>2.0375000000008415E-4</v>
      </c>
      <c r="I26" s="1">
        <f t="shared" si="6"/>
        <v>5.1518750000000696E-3</v>
      </c>
      <c r="J26" s="1">
        <f t="shared" si="6"/>
        <v>9.5881250000000359E-3</v>
      </c>
      <c r="K26" s="1">
        <f t="shared" si="6"/>
        <v>9.7587500000000937E-3</v>
      </c>
      <c r="L26" s="1">
        <f t="shared" si="6"/>
        <v>5.4500000000004664E-4</v>
      </c>
      <c r="M26" s="1">
        <f t="shared" si="6"/>
        <v>4.8106250000001073E-3</v>
      </c>
      <c r="N26" s="1">
        <f t="shared" si="6"/>
        <v>7.0287500000000905E-3</v>
      </c>
      <c r="O26" s="1">
        <f t="shared" si="6"/>
        <v>6.3462500000000142E-3</v>
      </c>
      <c r="P26" s="1">
        <f t="shared" si="6"/>
        <v>1.4706875000000079E-2</v>
      </c>
      <c r="Q26" s="1">
        <f t="shared" si="6"/>
        <v>7.7112500000000158E-3</v>
      </c>
      <c r="R26" s="1">
        <f t="shared" si="6"/>
        <v>4.2987500000000881E-3</v>
      </c>
      <c r="S26" s="1">
        <f t="shared" si="6"/>
        <v>-5.4268749999999777E-3</v>
      </c>
      <c r="T26" s="1">
        <f t="shared" si="6"/>
        <v>-3.8912499999999199E-3</v>
      </c>
      <c r="U26" s="1">
        <f t="shared" si="6"/>
        <v>-5.5974999999998838E-3</v>
      </c>
      <c r="V26" s="1">
        <f t="shared" si="6"/>
        <v>-3.8912499999999199E-3</v>
      </c>
      <c r="W26" s="1">
        <f t="shared" si="6"/>
        <v>-1.3749999999987828E-4</v>
      </c>
      <c r="X26" s="1">
        <f t="shared" si="6"/>
        <v>-4.4031249999999392E-3</v>
      </c>
      <c r="Y26" s="1">
        <f t="shared" si="6"/>
        <v>-5.4268749999999777E-3</v>
      </c>
      <c r="Z26" s="1">
        <f t="shared" si="6"/>
        <v>-2.867499999999881E-3</v>
      </c>
      <c r="AA26" s="1">
        <f t="shared" si="6"/>
        <v>8.8625000000000899E-4</v>
      </c>
      <c r="AB26" s="1">
        <f t="shared" si="6"/>
        <v>-2.867499999999881E-3</v>
      </c>
      <c r="AC26" s="1">
        <f t="shared" si="6"/>
        <v>-4.061874999999977E-3</v>
      </c>
      <c r="AD26" s="1">
        <f t="shared" si="6"/>
        <v>-7.3037499999999986E-3</v>
      </c>
      <c r="AE26" s="1">
        <f t="shared" si="6"/>
        <v>3.6162500000000118E-3</v>
      </c>
      <c r="AF26" s="1">
        <f t="shared" si="6"/>
        <v>8.9056250000001114E-3</v>
      </c>
      <c r="AG26" s="1">
        <f t="shared" si="6"/>
        <v>1.5048125000000042E-2</v>
      </c>
      <c r="AH26" s="1">
        <f t="shared" si="6"/>
        <v>-1.3318749999999741E-3</v>
      </c>
      <c r="AI26" s="1">
        <f t="shared" si="6"/>
        <v>5.8343749999999949E-3</v>
      </c>
      <c r="AJ26" s="1">
        <f t="shared" si="6"/>
        <v>1.1294375000000001E-2</v>
      </c>
      <c r="AK26" s="1">
        <f t="shared" si="6"/>
        <v>5.4931250000000327E-3</v>
      </c>
      <c r="AL26" s="1">
        <f t="shared" si="6"/>
        <v>7.3700000000000527E-3</v>
      </c>
      <c r="AM26" s="1">
        <f t="shared" si="6"/>
        <v>3.6162500000000118E-3</v>
      </c>
      <c r="AN26" s="1">
        <f t="shared" si="6"/>
        <v>5.4931250000000327E-3</v>
      </c>
      <c r="AO26" s="1">
        <f t="shared" si="6"/>
        <v>-1.3318749999999741E-3</v>
      </c>
      <c r="AP26" s="1">
        <f t="shared" si="6"/>
        <v>-9.9062499999986011E-4</v>
      </c>
    </row>
    <row r="27" spans="2:42" x14ac:dyDescent="0.45">
      <c r="B27" s="6">
        <f t="shared" si="5"/>
        <v>6.233943833943834</v>
      </c>
      <c r="C27" s="3">
        <v>3191</v>
      </c>
      <c r="D27" s="1">
        <f t="shared" si="7"/>
        <v>-6.8887104356001603E-3</v>
      </c>
      <c r="E27" s="1">
        <f t="shared" si="8"/>
        <v>1.8135576621748726E-2</v>
      </c>
      <c r="F27" s="1">
        <f t="shared" si="9"/>
        <v>2.8607803196489963E-3</v>
      </c>
      <c r="G27" s="1">
        <f t="shared" si="6"/>
        <v>4.5005484174239262E-3</v>
      </c>
      <c r="H27" s="1">
        <f t="shared" si="6"/>
        <v>-1.4346991538703262E-3</v>
      </c>
      <c r="I27" s="1">
        <f t="shared" si="6"/>
        <v>4.1797242243810286E-3</v>
      </c>
      <c r="J27" s="1">
        <f t="shared" si="6"/>
        <v>7.708790347853333E-3</v>
      </c>
      <c r="K27" s="1">
        <f t="shared" si="6"/>
        <v>9.4733234095894844E-3</v>
      </c>
      <c r="L27" s="1">
        <f t="shared" si="6"/>
        <v>1.2923064869946623E-3</v>
      </c>
      <c r="M27" s="1">
        <f t="shared" si="6"/>
        <v>3.8589000313381306E-3</v>
      </c>
      <c r="N27" s="1">
        <f t="shared" si="6"/>
        <v>6.4254935756815987E-3</v>
      </c>
      <c r="O27" s="1">
        <f t="shared" si="6"/>
        <v>5.6234330930742824E-3</v>
      </c>
      <c r="P27" s="1">
        <f t="shared" si="6"/>
        <v>1.7493928235662787E-2</v>
      </c>
      <c r="Q27" s="1">
        <f t="shared" si="6"/>
        <v>5.9442572861171808E-3</v>
      </c>
      <c r="R27" s="1">
        <f t="shared" si="6"/>
        <v>4.5005484174239262E-3</v>
      </c>
      <c r="S27" s="1">
        <f t="shared" si="6"/>
        <v>-5.4450015669069065E-3</v>
      </c>
      <c r="T27" s="1">
        <f t="shared" si="6"/>
        <v>-3.6804685051707543E-3</v>
      </c>
      <c r="U27" s="1">
        <f t="shared" si="6"/>
        <v>-4.6429410842995901E-3</v>
      </c>
      <c r="V27" s="1">
        <f t="shared" si="6"/>
        <v>-3.0388201190849583E-3</v>
      </c>
      <c r="W27" s="1">
        <f t="shared" si="6"/>
        <v>1.7735427765590804E-3</v>
      </c>
      <c r="X27" s="1">
        <f t="shared" si="6"/>
        <v>-4.0012926982137941E-3</v>
      </c>
      <c r="Y27" s="1">
        <f t="shared" si="6"/>
        <v>-4.8033531808211105E-3</v>
      </c>
      <c r="Z27" s="1">
        <f t="shared" si="6"/>
        <v>-3.6804685051707543E-3</v>
      </c>
      <c r="AA27" s="1">
        <f t="shared" si="6"/>
        <v>6.5065810090886636E-4</v>
      </c>
      <c r="AB27" s="1">
        <f t="shared" si="6"/>
        <v>-2.2367596364776423E-3</v>
      </c>
      <c r="AC27" s="1">
        <f t="shared" si="6"/>
        <v>-3.3596443121278563E-3</v>
      </c>
      <c r="AD27" s="1">
        <f t="shared" si="6"/>
        <v>-6.8887104356001603E-3</v>
      </c>
      <c r="AE27" s="1">
        <f t="shared" si="6"/>
        <v>4.9817847069883441E-3</v>
      </c>
      <c r="AF27" s="1">
        <f t="shared" si="6"/>
        <v>1.1719092760890056E-2</v>
      </c>
      <c r="AG27" s="1">
        <f t="shared" si="6"/>
        <v>1.8135576621748726E-2</v>
      </c>
      <c r="AH27" s="1">
        <f t="shared" si="6"/>
        <v>-1.5140238169859211E-4</v>
      </c>
      <c r="AI27" s="1">
        <f t="shared" si="6"/>
        <v>5.9442572861171808E-3</v>
      </c>
      <c r="AJ27" s="1">
        <f t="shared" si="6"/>
        <v>1.284197743654027E-2</v>
      </c>
      <c r="AK27" s="1">
        <f t="shared" si="6"/>
        <v>4.5005484174239262E-3</v>
      </c>
      <c r="AL27" s="1">
        <f t="shared" si="6"/>
        <v>8.0296145408962315E-3</v>
      </c>
      <c r="AM27" s="1">
        <f t="shared" si="6"/>
        <v>4.5005484174239262E-3</v>
      </c>
      <c r="AN27" s="1">
        <f t="shared" si="6"/>
        <v>5.9442572861171808E-3</v>
      </c>
      <c r="AO27" s="1">
        <f t="shared" si="6"/>
        <v>-1.1138749608272859E-3</v>
      </c>
      <c r="AP27" s="1">
        <f t="shared" si="6"/>
        <v>-2.5575838295205404E-3</v>
      </c>
    </row>
    <row r="28" spans="2:42" x14ac:dyDescent="0.45">
      <c r="B28" s="6">
        <f t="shared" si="5"/>
        <v>6.4</v>
      </c>
      <c r="C28" s="3">
        <v>3276</v>
      </c>
      <c r="D28" s="1">
        <f t="shared" si="7"/>
        <v>-7.9687500000000244E-3</v>
      </c>
      <c r="E28" s="1">
        <f t="shared" si="8"/>
        <v>1.8749999999999878E-2</v>
      </c>
      <c r="F28" s="1">
        <f t="shared" si="9"/>
        <v>2.2005208333332857E-3</v>
      </c>
      <c r="G28" s="1">
        <f t="shared" si="6"/>
        <v>3.437499999999899E-3</v>
      </c>
      <c r="H28" s="1">
        <f t="shared" si="6"/>
        <v>-3.4375000000000377E-3</v>
      </c>
      <c r="I28" s="1">
        <f t="shared" si="6"/>
        <v>2.8124999999999678E-3</v>
      </c>
      <c r="J28" s="1">
        <f t="shared" si="6"/>
        <v>7.3437499999999545E-3</v>
      </c>
      <c r="K28" s="1">
        <f t="shared" si="6"/>
        <v>9.6874999999999045E-3</v>
      </c>
      <c r="L28" s="1">
        <f t="shared" si="6"/>
        <v>0</v>
      </c>
      <c r="M28" s="1">
        <f t="shared" si="6"/>
        <v>3.5937499999999512E-3</v>
      </c>
      <c r="N28" s="1">
        <f t="shared" si="6"/>
        <v>5.6249999999999356E-3</v>
      </c>
      <c r="O28" s="1">
        <f t="shared" si="6"/>
        <v>4.5312499999999867E-3</v>
      </c>
      <c r="P28" s="1">
        <f t="shared" si="6"/>
        <v>1.8749999999999878E-2</v>
      </c>
      <c r="Q28" s="1">
        <f t="shared" si="6"/>
        <v>5.31249999999997E-3</v>
      </c>
      <c r="R28" s="1">
        <f t="shared" si="6"/>
        <v>2.5000000000000022E-3</v>
      </c>
      <c r="S28" s="1">
        <f t="shared" si="6"/>
        <v>-5.4687500000000222E-3</v>
      </c>
      <c r="T28" s="1">
        <f t="shared" si="6"/>
        <v>-4.0625000000001077E-3</v>
      </c>
      <c r="U28" s="1">
        <f t="shared" si="6"/>
        <v>-5.1562500000000566E-3</v>
      </c>
      <c r="V28" s="1">
        <f t="shared" si="6"/>
        <v>-3.4375000000000377E-3</v>
      </c>
      <c r="W28" s="1">
        <f t="shared" si="6"/>
        <v>7.8124999999998335E-4</v>
      </c>
      <c r="X28" s="1">
        <f t="shared" si="6"/>
        <v>-6.5625000000001099E-3</v>
      </c>
      <c r="Y28" s="1">
        <f t="shared" si="6"/>
        <v>-5.1562500000000566E-3</v>
      </c>
      <c r="Z28" s="1">
        <f t="shared" si="6"/>
        <v>-4.2187500000000211E-3</v>
      </c>
      <c r="AA28" s="1">
        <f t="shared" si="6"/>
        <v>3.1249999999996558E-4</v>
      </c>
      <c r="AB28" s="1">
        <f t="shared" si="6"/>
        <v>-2.6562500000000544E-3</v>
      </c>
      <c r="AC28" s="1">
        <f t="shared" si="6"/>
        <v>-4.843750000000091E-3</v>
      </c>
      <c r="AD28" s="1">
        <f t="shared" si="6"/>
        <v>-7.9687500000000244E-3</v>
      </c>
      <c r="AE28" s="1">
        <f t="shared" si="6"/>
        <v>4.2187499999998823E-3</v>
      </c>
      <c r="AF28" s="1">
        <f t="shared" si="6"/>
        <v>1.0781249999999992E-2</v>
      </c>
      <c r="AG28" s="1">
        <f t="shared" si="6"/>
        <v>1.7812499999999981E-2</v>
      </c>
      <c r="AH28" s="1">
        <f t="shared" si="6"/>
        <v>0</v>
      </c>
      <c r="AI28" s="1">
        <f t="shared" si="6"/>
        <v>5.31249999999997E-3</v>
      </c>
      <c r="AJ28" s="1">
        <f t="shared" si="6"/>
        <v>1.3906249999999926E-2</v>
      </c>
      <c r="AK28" s="1">
        <f t="shared" si="6"/>
        <v>4.5312499999999867E-3</v>
      </c>
      <c r="AL28" s="1">
        <f t="shared" si="6"/>
        <v>8.1249999999999378E-3</v>
      </c>
      <c r="AM28" s="1">
        <f t="shared" si="6"/>
        <v>2.5000000000000022E-3</v>
      </c>
      <c r="AN28" s="1">
        <f t="shared" si="6"/>
        <v>5.1562499999999178E-3</v>
      </c>
      <c r="AO28" s="1">
        <f t="shared" si="6"/>
        <v>-1.0937500000000877E-3</v>
      </c>
      <c r="AP28" s="1">
        <f t="shared" si="6"/>
        <v>-3.7500000000000033E-3</v>
      </c>
    </row>
    <row r="29" spans="2:42" x14ac:dyDescent="0.45">
      <c r="B29" s="6">
        <f t="shared" si="5"/>
        <v>8</v>
      </c>
      <c r="C29" s="3">
        <v>4095</v>
      </c>
      <c r="D29" s="1">
        <f t="shared" si="7"/>
        <v>-1.2249999999999983E-2</v>
      </c>
      <c r="E29" s="1">
        <f t="shared" si="8"/>
        <v>2.5625000000000009E-2</v>
      </c>
      <c r="F29" s="1">
        <f t="shared" si="9"/>
        <v>5.1388888888888784E-4</v>
      </c>
      <c r="G29" s="1">
        <f t="shared" si="6"/>
        <v>1.6249999999999876E-3</v>
      </c>
      <c r="H29" s="1">
        <f t="shared" si="6"/>
        <v>-5.6249999999999911E-3</v>
      </c>
      <c r="I29" s="1">
        <f t="shared" si="6"/>
        <v>-1.3750000000000151E-3</v>
      </c>
      <c r="J29" s="1">
        <f t="shared" ref="J29:AP29" si="10">(J10-$B10)/$B10</f>
        <v>3.2499999999999751E-3</v>
      </c>
      <c r="K29" s="1">
        <f t="shared" si="10"/>
        <v>8.8749999999999662E-3</v>
      </c>
      <c r="L29" s="1">
        <f t="shared" si="10"/>
        <v>8.7499999999995914E-4</v>
      </c>
      <c r="M29" s="1">
        <f t="shared" si="10"/>
        <v>-1.6249999999999876E-3</v>
      </c>
      <c r="N29" s="1">
        <f t="shared" si="10"/>
        <v>3.8750000000000728E-3</v>
      </c>
      <c r="O29" s="1">
        <f t="shared" si="10"/>
        <v>2.2500000000000853E-3</v>
      </c>
      <c r="P29" s="1">
        <f t="shared" si="10"/>
        <v>2.5625000000000009E-2</v>
      </c>
      <c r="Q29" s="1">
        <f t="shared" si="10"/>
        <v>1.1250000000000426E-3</v>
      </c>
      <c r="R29" s="1">
        <f t="shared" si="10"/>
        <v>-1.7500000000000293E-3</v>
      </c>
      <c r="S29" s="1">
        <f t="shared" si="10"/>
        <v>-9.000000000000008E-3</v>
      </c>
      <c r="T29" s="1">
        <f t="shared" si="10"/>
        <v>-5.8749999999999636E-3</v>
      </c>
      <c r="U29" s="1">
        <f t="shared" si="10"/>
        <v>-4.4999999999999485E-3</v>
      </c>
      <c r="V29" s="1">
        <f t="shared" si="10"/>
        <v>-3.6249999999999893E-3</v>
      </c>
      <c r="W29" s="1">
        <f t="shared" si="10"/>
        <v>0</v>
      </c>
      <c r="X29" s="1">
        <f t="shared" si="10"/>
        <v>-7.8749999999999654E-3</v>
      </c>
      <c r="Y29" s="1">
        <f t="shared" si="10"/>
        <v>-6.1250000000000471E-3</v>
      </c>
      <c r="Z29" s="1">
        <f t="shared" si="10"/>
        <v>-9.2499999999999805E-3</v>
      </c>
      <c r="AA29" s="1">
        <f t="shared" si="10"/>
        <v>-1.7500000000000293E-3</v>
      </c>
      <c r="AB29" s="1">
        <f t="shared" si="10"/>
        <v>-3.3750000000000169E-3</v>
      </c>
      <c r="AC29" s="1">
        <f t="shared" si="10"/>
        <v>-7.0000000000000062E-3</v>
      </c>
      <c r="AD29" s="1">
        <f t="shared" si="10"/>
        <v>-1.2249999999999983E-2</v>
      </c>
      <c r="AE29" s="1">
        <f t="shared" si="10"/>
        <v>1.8750000000000711E-3</v>
      </c>
      <c r="AF29" s="1">
        <f t="shared" si="10"/>
        <v>1.4124999999999943E-2</v>
      </c>
      <c r="AG29" s="1">
        <f t="shared" si="10"/>
        <v>2.0499999999999963E-2</v>
      </c>
      <c r="AH29" s="1">
        <f t="shared" si="10"/>
        <v>-1.3750000000000151E-3</v>
      </c>
      <c r="AI29" s="1">
        <f t="shared" si="10"/>
        <v>5.2499999999999769E-3</v>
      </c>
      <c r="AJ29" s="1">
        <f t="shared" si="10"/>
        <v>1.6874999999999973E-2</v>
      </c>
      <c r="AK29" s="1">
        <f t="shared" si="10"/>
        <v>8.7499999999995914E-4</v>
      </c>
      <c r="AL29" s="1">
        <f t="shared" si="10"/>
        <v>9.6249999999999947E-3</v>
      </c>
      <c r="AM29" s="1">
        <f t="shared" si="10"/>
        <v>-8.7499999999995914E-4</v>
      </c>
      <c r="AN29" s="1">
        <f t="shared" si="10"/>
        <v>2.1249999999999325E-3</v>
      </c>
      <c r="AO29" s="1">
        <f t="shared" si="10"/>
        <v>-5.2499999999999769E-3</v>
      </c>
      <c r="AP29" s="1">
        <f t="shared" si="10"/>
        <v>-1.1750000000000038E-2</v>
      </c>
    </row>
    <row r="30" spans="2:42" x14ac:dyDescent="0.45">
      <c r="B30" s="6">
        <f t="shared" ref="B30:B37" si="11">32*C30/4095</f>
        <v>2.7584859584859585</v>
      </c>
      <c r="C30" s="4">
        <v>353</v>
      </c>
      <c r="D30" s="1">
        <f t="shared" si="7"/>
        <v>-1.9389606940509879E-2</v>
      </c>
      <c r="E30" s="1">
        <f t="shared" si="8"/>
        <v>9.6978576487252069E-2</v>
      </c>
      <c r="F30" s="1">
        <f t="shared" si="9"/>
        <v>2.9530143413597752E-2</v>
      </c>
      <c r="G30" s="1">
        <f t="shared" ref="G30:AP37" si="12">(G11-$B11)/$B11</f>
        <v>5.818918201133147E-2</v>
      </c>
      <c r="H30" s="1">
        <f t="shared" si="12"/>
        <v>7.4139961048158676E-2</v>
      </c>
      <c r="I30" s="1">
        <f t="shared" si="12"/>
        <v>7.5227514164306036E-2</v>
      </c>
      <c r="J30" s="1">
        <f t="shared" si="12"/>
        <v>6.6889606940509952E-2</v>
      </c>
      <c r="K30" s="1">
        <f t="shared" si="12"/>
        <v>3.5350566572237924E-2</v>
      </c>
      <c r="L30" s="1">
        <f t="shared" si="12"/>
        <v>2.5925106232294656E-2</v>
      </c>
      <c r="M30" s="1">
        <f t="shared" si="12"/>
        <v>7.6677584985835781E-2</v>
      </c>
      <c r="N30" s="1">
        <f t="shared" si="12"/>
        <v>5.0213792492917783E-2</v>
      </c>
      <c r="O30" s="1">
        <f t="shared" si="12"/>
        <v>5.4926522662889582E-2</v>
      </c>
      <c r="P30" s="1">
        <f t="shared" si="12"/>
        <v>-1.28642882436261E-2</v>
      </c>
      <c r="Q30" s="1">
        <f t="shared" si="12"/>
        <v>7.0877301699716788E-2</v>
      </c>
      <c r="R30" s="1">
        <f t="shared" si="12"/>
        <v>7.6677584985835781E-2</v>
      </c>
      <c r="S30" s="1">
        <f t="shared" si="12"/>
        <v>1.2874468838526937E-2</v>
      </c>
      <c r="T30" s="1">
        <f t="shared" si="12"/>
        <v>3.4490084985835056E-3</v>
      </c>
      <c r="U30" s="1">
        <f t="shared" si="12"/>
        <v>-1.9389606940509879E-2</v>
      </c>
      <c r="V30" s="1">
        <f t="shared" si="12"/>
        <v>-1.4314359065155846E-2</v>
      </c>
      <c r="W30" s="1">
        <f t="shared" si="12"/>
        <v>-3.8013456090650651E-3</v>
      </c>
      <c r="X30" s="1">
        <f t="shared" si="12"/>
        <v>-8.1515580736543046E-3</v>
      </c>
      <c r="Y30" s="1">
        <f t="shared" si="12"/>
        <v>-7.4265226628895111E-3</v>
      </c>
      <c r="Z30" s="1">
        <f t="shared" si="12"/>
        <v>2.9912800991501499E-2</v>
      </c>
      <c r="AA30" s="1">
        <f t="shared" si="12"/>
        <v>4.8990793201132516E-3</v>
      </c>
      <c r="AB30" s="1">
        <f t="shared" si="12"/>
        <v>-1.0326664305949003E-2</v>
      </c>
      <c r="AC30" s="1">
        <f t="shared" si="12"/>
        <v>6.3491501416429981E-3</v>
      </c>
      <c r="AD30" s="1">
        <f t="shared" si="12"/>
        <v>1.9399787535410714E-2</v>
      </c>
      <c r="AE30" s="1">
        <f t="shared" si="12"/>
        <v>3.2450424929178434E-2</v>
      </c>
      <c r="AF30" s="1">
        <f t="shared" si="12"/>
        <v>1.033684490084984E-2</v>
      </c>
      <c r="AG30" s="1">
        <f t="shared" si="12"/>
        <v>-2.3512747875354795E-3</v>
      </c>
      <c r="AH30" s="1">
        <f t="shared" si="12"/>
        <v>2.4112517705382513E-2</v>
      </c>
      <c r="AI30" s="1">
        <f t="shared" si="12"/>
        <v>4.3688473796034008E-2</v>
      </c>
      <c r="AJ30" s="1">
        <f t="shared" si="12"/>
        <v>-4.8888987252124153E-3</v>
      </c>
      <c r="AK30" s="1">
        <f t="shared" si="12"/>
        <v>4.3688473796034008E-2</v>
      </c>
      <c r="AL30" s="1">
        <f t="shared" si="12"/>
        <v>8.886774079320094E-3</v>
      </c>
      <c r="AM30" s="1">
        <f t="shared" si="12"/>
        <v>4.7676168555240851E-2</v>
      </c>
      <c r="AN30" s="1">
        <f t="shared" si="12"/>
        <v>4.5863580028328549E-2</v>
      </c>
      <c r="AO30" s="1">
        <f t="shared" si="12"/>
        <v>5.0938827903682739E-2</v>
      </c>
      <c r="AP30" s="1">
        <f t="shared" si="12"/>
        <v>9.6978576487252069E-2</v>
      </c>
    </row>
    <row r="31" spans="2:42" x14ac:dyDescent="0.45">
      <c r="B31" s="6">
        <f t="shared" si="11"/>
        <v>3.9462759462759465</v>
      </c>
      <c r="C31" s="4">
        <v>505</v>
      </c>
      <c r="D31" s="1">
        <f t="shared" si="7"/>
        <v>-2.2622834158415837E-2</v>
      </c>
      <c r="E31" s="1">
        <f t="shared" si="8"/>
        <v>7.2656868811881048E-2</v>
      </c>
      <c r="F31" s="1">
        <f t="shared" si="9"/>
        <v>1.9294322400990039E-2</v>
      </c>
      <c r="G31" s="1">
        <f t="shared" si="12"/>
        <v>3.7180383663366276E-2</v>
      </c>
      <c r="H31" s="1">
        <f t="shared" si="12"/>
        <v>5.3144801980197894E-2</v>
      </c>
      <c r="I31" s="1">
        <f t="shared" si="12"/>
        <v>5.2384591584158258E-2</v>
      </c>
      <c r="J31" s="1">
        <f t="shared" si="12"/>
        <v>4.3515470297029735E-2</v>
      </c>
      <c r="K31" s="1">
        <f t="shared" si="12"/>
        <v>2.0962561881188047E-2</v>
      </c>
      <c r="L31" s="1">
        <f t="shared" si="12"/>
        <v>1.4120668316831578E-2</v>
      </c>
      <c r="M31" s="1">
        <f t="shared" si="12"/>
        <v>5.2891398514851494E-2</v>
      </c>
      <c r="N31" s="1">
        <f t="shared" si="12"/>
        <v>3.1098700495049442E-2</v>
      </c>
      <c r="O31" s="1">
        <f t="shared" si="12"/>
        <v>3.5153155940593997E-2</v>
      </c>
      <c r="P31" s="1">
        <f t="shared" si="12"/>
        <v>-2.2622834158415837E-2</v>
      </c>
      <c r="Q31" s="1">
        <f t="shared" si="12"/>
        <v>4.7316522277227671E-2</v>
      </c>
      <c r="R31" s="1">
        <f t="shared" si="12"/>
        <v>5.2891398514851494E-2</v>
      </c>
      <c r="S31" s="1">
        <f t="shared" si="12"/>
        <v>1.1333230198019779E-2</v>
      </c>
      <c r="T31" s="1">
        <f t="shared" si="12"/>
        <v>3.9845297029702962E-3</v>
      </c>
      <c r="U31" s="1">
        <f t="shared" si="12"/>
        <v>-1.4007116336633707E-2</v>
      </c>
      <c r="V31" s="1">
        <f t="shared" si="12"/>
        <v>-1.0712871287128783E-2</v>
      </c>
      <c r="W31" s="1">
        <f t="shared" si="12"/>
        <v>-3.3641707920792994E-3</v>
      </c>
      <c r="X31" s="1">
        <f t="shared" si="12"/>
        <v>-5.1379950495049594E-3</v>
      </c>
      <c r="Y31" s="1">
        <f t="shared" si="12"/>
        <v>-5.6448019801980847E-3</v>
      </c>
      <c r="Z31" s="1">
        <f t="shared" si="12"/>
        <v>2.3749999999999959E-2</v>
      </c>
      <c r="AA31" s="1">
        <f t="shared" si="12"/>
        <v>2.9709158415841567E-3</v>
      </c>
      <c r="AB31" s="1">
        <f t="shared" si="12"/>
        <v>-7.9254331683168699E-3</v>
      </c>
      <c r="AC31" s="1">
        <f t="shared" si="12"/>
        <v>5.7583539603959562E-3</v>
      </c>
      <c r="AD31" s="1">
        <f t="shared" si="12"/>
        <v>1.6908106435643489E-2</v>
      </c>
      <c r="AE31" s="1">
        <f t="shared" si="12"/>
        <v>2.2482982673267312E-2</v>
      </c>
      <c r="AF31" s="1">
        <f t="shared" si="12"/>
        <v>6.9028465346525857E-4</v>
      </c>
      <c r="AG31" s="1">
        <f t="shared" si="12"/>
        <v>-1.0206064356435656E-2</v>
      </c>
      <c r="AH31" s="1">
        <f t="shared" si="12"/>
        <v>1.4627475247524592E-2</v>
      </c>
      <c r="AI31" s="1">
        <f t="shared" si="12"/>
        <v>3.1605507425742453E-2</v>
      </c>
      <c r="AJ31" s="1">
        <f t="shared" si="12"/>
        <v>-8.9390470297030095E-3</v>
      </c>
      <c r="AK31" s="1">
        <f t="shared" si="12"/>
        <v>3.0591893564356428E-2</v>
      </c>
      <c r="AL31" s="1">
        <f t="shared" si="12"/>
        <v>3.9845297029702962E-3</v>
      </c>
      <c r="AM31" s="1">
        <f t="shared" si="12"/>
        <v>3.3886138613861354E-2</v>
      </c>
      <c r="AN31" s="1">
        <f t="shared" si="12"/>
        <v>3.1605507425742453E-2</v>
      </c>
      <c r="AO31" s="1">
        <f t="shared" si="12"/>
        <v>3.5659962871287011E-2</v>
      </c>
      <c r="AP31" s="1">
        <f t="shared" si="12"/>
        <v>7.2656868811881048E-2</v>
      </c>
    </row>
    <row r="32" spans="2:42" x14ac:dyDescent="0.45">
      <c r="B32" s="6">
        <f t="shared" si="11"/>
        <v>6.2515262515262515</v>
      </c>
      <c r="C32" s="4">
        <v>800</v>
      </c>
      <c r="D32" s="1">
        <f t="shared" si="7"/>
        <v>-1.496054687499994E-2</v>
      </c>
      <c r="E32" s="1">
        <f t="shared" si="8"/>
        <v>5.0783398437499995E-2</v>
      </c>
      <c r="F32" s="1">
        <f t="shared" si="9"/>
        <v>1.4254541015625002E-2</v>
      </c>
      <c r="G32" s="1">
        <f t="shared" si="12"/>
        <v>2.7429101562500009E-2</v>
      </c>
      <c r="H32" s="1">
        <f t="shared" si="12"/>
        <v>4.0225976562500022E-2</v>
      </c>
      <c r="I32" s="1">
        <f t="shared" si="12"/>
        <v>3.8466406250000001E-2</v>
      </c>
      <c r="J32" s="1">
        <f t="shared" si="12"/>
        <v>3.1268164062500013E-2</v>
      </c>
      <c r="K32" s="1">
        <f t="shared" si="12"/>
        <v>1.6711718749999979E-2</v>
      </c>
      <c r="L32" s="1">
        <f t="shared" si="12"/>
        <v>1.3032617187500031E-2</v>
      </c>
      <c r="M32" s="1">
        <f t="shared" si="12"/>
        <v>3.9426171875000034E-2</v>
      </c>
      <c r="N32" s="1">
        <f t="shared" si="12"/>
        <v>2.3750000000000059E-2</v>
      </c>
      <c r="O32" s="1">
        <f t="shared" si="12"/>
        <v>2.8388867187500045E-2</v>
      </c>
      <c r="P32" s="1">
        <f t="shared" si="12"/>
        <v>-1.496054687499994E-2</v>
      </c>
      <c r="Q32" s="1">
        <f t="shared" si="12"/>
        <v>3.5107226562500017E-2</v>
      </c>
      <c r="R32" s="1">
        <f t="shared" si="12"/>
        <v>3.9426171875000034E-2</v>
      </c>
      <c r="S32" s="1">
        <f t="shared" si="12"/>
        <v>7.1140625000000431E-3</v>
      </c>
      <c r="T32" s="1">
        <f t="shared" si="12"/>
        <v>3.5949218750000044E-3</v>
      </c>
      <c r="U32" s="1">
        <f t="shared" si="12"/>
        <v>-9.3619140625000614E-3</v>
      </c>
      <c r="V32" s="1">
        <f t="shared" si="12"/>
        <v>-6.8025390625000579E-3</v>
      </c>
      <c r="W32" s="1">
        <f t="shared" si="12"/>
        <v>-2.8035156250000013E-3</v>
      </c>
      <c r="X32" s="1">
        <f t="shared" si="12"/>
        <v>-2.4835937500000366E-3</v>
      </c>
      <c r="Y32" s="1">
        <f t="shared" si="12"/>
        <v>-3.2833984375000196E-3</v>
      </c>
      <c r="Z32" s="1">
        <f t="shared" si="12"/>
        <v>1.7031640624999945E-2</v>
      </c>
      <c r="AA32" s="1">
        <f t="shared" si="12"/>
        <v>3.5949218750000044E-3</v>
      </c>
      <c r="AB32" s="1">
        <f t="shared" si="12"/>
        <v>-5.6828124999999683E-3</v>
      </c>
      <c r="AC32" s="1">
        <f t="shared" si="12"/>
        <v>3.4349609374999509E-3</v>
      </c>
      <c r="AD32" s="1">
        <f t="shared" si="12"/>
        <v>1.175292968750003E-2</v>
      </c>
      <c r="AE32" s="1">
        <f t="shared" si="12"/>
        <v>1.4952148437499962E-2</v>
      </c>
      <c r="AF32" s="1">
        <f t="shared" si="12"/>
        <v>-8.4179687499945707E-5</v>
      </c>
      <c r="AG32" s="1">
        <f t="shared" si="12"/>
        <v>-7.4423828124999874E-3</v>
      </c>
      <c r="AH32" s="1">
        <f t="shared" si="12"/>
        <v>1.0313281249999974E-2</v>
      </c>
      <c r="AI32" s="1">
        <f t="shared" si="12"/>
        <v>2.3110156249999986E-2</v>
      </c>
      <c r="AJ32" s="1">
        <f t="shared" si="12"/>
        <v>-7.6023437500000414E-3</v>
      </c>
      <c r="AK32" s="1">
        <f t="shared" si="12"/>
        <v>2.0230859375000017E-2</v>
      </c>
      <c r="AL32" s="1">
        <f t="shared" si="12"/>
        <v>2.1552734374999495E-3</v>
      </c>
      <c r="AM32" s="1">
        <f t="shared" si="12"/>
        <v>2.4869726562500007E-2</v>
      </c>
      <c r="AN32" s="1">
        <f t="shared" si="12"/>
        <v>2.2310351562500004E-2</v>
      </c>
      <c r="AO32" s="1">
        <f t="shared" si="12"/>
        <v>2.5189648437499969E-2</v>
      </c>
      <c r="AP32" s="1">
        <f t="shared" si="12"/>
        <v>5.0783398437499995E-2</v>
      </c>
    </row>
    <row r="33" spans="2:42" x14ac:dyDescent="0.45">
      <c r="B33" s="6">
        <f t="shared" si="11"/>
        <v>17.191697191697191</v>
      </c>
      <c r="C33" s="4">
        <v>2200</v>
      </c>
      <c r="D33" s="1">
        <f t="shared" si="7"/>
        <v>-5.973650568181858E-3</v>
      </c>
      <c r="E33" s="1">
        <f t="shared" si="8"/>
        <v>1.5955539772727376E-2</v>
      </c>
      <c r="F33" s="1">
        <f t="shared" si="9"/>
        <v>5.7955965909091455E-3</v>
      </c>
      <c r="G33" s="1">
        <f t="shared" si="12"/>
        <v>1.1418465909091046E-2</v>
      </c>
      <c r="H33" s="1">
        <f t="shared" si="12"/>
        <v>1.3570667613636445E-2</v>
      </c>
      <c r="I33" s="1">
        <f t="shared" si="12"/>
        <v>1.5955539772727376E-2</v>
      </c>
      <c r="J33" s="1">
        <f t="shared" si="12"/>
        <v>9.8479403409091684E-3</v>
      </c>
      <c r="K33" s="1">
        <f t="shared" si="12"/>
        <v>9.0335937500001153E-3</v>
      </c>
      <c r="L33" s="1">
        <f t="shared" si="12"/>
        <v>7.7539062499999986E-3</v>
      </c>
      <c r="M33" s="1">
        <f t="shared" si="12"/>
        <v>1.2581818181818295E-2</v>
      </c>
      <c r="N33" s="1">
        <f t="shared" si="12"/>
        <v>1.0778622159090884E-2</v>
      </c>
      <c r="O33" s="1">
        <f t="shared" si="12"/>
        <v>9.7316051136365055E-3</v>
      </c>
      <c r="P33" s="1">
        <f t="shared" si="12"/>
        <v>1.2698153409090958E-2</v>
      </c>
      <c r="Q33" s="1">
        <f t="shared" si="12"/>
        <v>1.2698153409090958E-2</v>
      </c>
      <c r="R33" s="1">
        <f t="shared" si="12"/>
        <v>1.0894957386363754E-2</v>
      </c>
      <c r="S33" s="1">
        <f t="shared" si="12"/>
        <v>1.5881392045455636E-3</v>
      </c>
      <c r="T33" s="1">
        <f t="shared" si="12"/>
        <v>2.6933238636363769E-3</v>
      </c>
      <c r="U33" s="1">
        <f t="shared" si="12"/>
        <v>-2.0764204545454844E-3</v>
      </c>
      <c r="V33" s="1">
        <f t="shared" si="12"/>
        <v>-3.1234374999998629E-3</v>
      </c>
      <c r="W33" s="1">
        <f t="shared" si="12"/>
        <v>1.4136363636364662E-3</v>
      </c>
      <c r="X33" s="1">
        <f t="shared" si="12"/>
        <v>-5.973650568181858E-3</v>
      </c>
      <c r="Y33" s="1">
        <f t="shared" si="12"/>
        <v>-1.9019176136363869E-3</v>
      </c>
      <c r="Z33" s="1">
        <f t="shared" si="12"/>
        <v>2.0534801136364213E-3</v>
      </c>
      <c r="AA33" s="1">
        <f t="shared" si="12"/>
        <v>2.2279829545455189E-3</v>
      </c>
      <c r="AB33" s="1">
        <f t="shared" si="12"/>
        <v>-1.0294034090908993E-3</v>
      </c>
      <c r="AC33" s="1">
        <f t="shared" si="12"/>
        <v>-9.1306818181823653E-4</v>
      </c>
      <c r="AD33" s="1">
        <f t="shared" si="12"/>
        <v>5.4112215909097846E-4</v>
      </c>
      <c r="AE33" s="1">
        <f t="shared" si="12"/>
        <v>4.9618607954546451E-3</v>
      </c>
      <c r="AF33" s="1">
        <f t="shared" si="12"/>
        <v>9.557102272727408E-3</v>
      </c>
      <c r="AG33" s="1">
        <f t="shared" si="12"/>
        <v>6.5905539772727504E-3</v>
      </c>
      <c r="AH33" s="1">
        <f t="shared" si="12"/>
        <v>5.4112215909097846E-4</v>
      </c>
      <c r="AI33" s="1">
        <f t="shared" si="12"/>
        <v>7.9284090909090953E-3</v>
      </c>
      <c r="AJ33" s="1">
        <f t="shared" si="12"/>
        <v>6.7068892045454133E-3</v>
      </c>
      <c r="AK33" s="1">
        <f t="shared" si="12"/>
        <v>5.3108664772728402E-3</v>
      </c>
      <c r="AL33" s="1">
        <f t="shared" si="12"/>
        <v>5.19453124999997E-3</v>
      </c>
      <c r="AM33" s="1">
        <f t="shared" si="12"/>
        <v>7.6375710227273358E-3</v>
      </c>
      <c r="AN33" s="1">
        <f t="shared" si="12"/>
        <v>4.0311789772727227E-3</v>
      </c>
      <c r="AO33" s="1">
        <f t="shared" si="12"/>
        <v>6.4742187500000875E-3</v>
      </c>
      <c r="AP33" s="1">
        <f t="shared" si="12"/>
        <v>1.1243963068181949E-2</v>
      </c>
    </row>
    <row r="34" spans="2:42" x14ac:dyDescent="0.45">
      <c r="B34" s="6">
        <f t="shared" si="11"/>
        <v>23.443223443223442</v>
      </c>
      <c r="C34" s="4">
        <v>3000</v>
      </c>
      <c r="D34" s="1">
        <f t="shared" si="7"/>
        <v>-8.1568749999999801E-3</v>
      </c>
      <c r="E34" s="1">
        <f t="shared" si="8"/>
        <v>2.6565312500000025E-2</v>
      </c>
      <c r="F34" s="1">
        <f t="shared" si="9"/>
        <v>4.3520703125000679E-3</v>
      </c>
      <c r="G34" s="1">
        <f t="shared" si="12"/>
        <v>8.052500000000129E-3</v>
      </c>
      <c r="H34" s="1">
        <f t="shared" si="12"/>
        <v>7.6685937500001146E-3</v>
      </c>
      <c r="I34" s="1">
        <f t="shared" si="12"/>
        <v>1.2318125000000039E-2</v>
      </c>
      <c r="J34" s="1">
        <f t="shared" si="12"/>
        <v>6.2609375000000616E-3</v>
      </c>
      <c r="K34" s="1">
        <f t="shared" si="12"/>
        <v>8.1378125000000825E-3</v>
      </c>
      <c r="L34" s="1">
        <f t="shared" si="12"/>
        <v>6.5168750000000712E-3</v>
      </c>
      <c r="M34" s="1">
        <f t="shared" si="12"/>
        <v>6.0476562500001042E-3</v>
      </c>
      <c r="N34" s="1">
        <f t="shared" si="12"/>
        <v>8.1804687500001347E-3</v>
      </c>
      <c r="O34" s="1">
        <f t="shared" si="12"/>
        <v>5.2371875000000231E-3</v>
      </c>
      <c r="P34" s="1">
        <f t="shared" si="12"/>
        <v>2.6565312500000025E-2</v>
      </c>
      <c r="Q34" s="1">
        <f t="shared" si="12"/>
        <v>8.2657812500000864E-3</v>
      </c>
      <c r="R34" s="1">
        <f t="shared" si="12"/>
        <v>4.0854687500001307E-3</v>
      </c>
      <c r="S34" s="1">
        <f t="shared" si="12"/>
        <v>-1.8015624999993043E-4</v>
      </c>
      <c r="T34" s="1">
        <f t="shared" si="12"/>
        <v>1.4407812500000807E-3</v>
      </c>
      <c r="U34" s="1">
        <f t="shared" si="12"/>
        <v>-9.4843749999977691E-5</v>
      </c>
      <c r="V34" s="1">
        <f t="shared" si="12"/>
        <v>-2.952812499999985E-3</v>
      </c>
      <c r="W34" s="1">
        <f t="shared" si="12"/>
        <v>2.080625000000105E-3</v>
      </c>
      <c r="X34" s="1">
        <f t="shared" si="12"/>
        <v>-8.1568749999999801E-3</v>
      </c>
      <c r="Y34" s="1">
        <f t="shared" si="12"/>
        <v>-2.867499999999881E-3</v>
      </c>
      <c r="Z34" s="1">
        <f t="shared" si="12"/>
        <v>-2.7395312499998762E-3</v>
      </c>
      <c r="AA34" s="1">
        <f t="shared" si="12"/>
        <v>2.080625000000105E-3</v>
      </c>
      <c r="AB34" s="1">
        <f t="shared" si="12"/>
        <v>9.2890625000006119E-4</v>
      </c>
      <c r="AC34" s="1">
        <f t="shared" si="12"/>
        <v>-2.7821874999999284E-3</v>
      </c>
      <c r="AD34" s="1">
        <f t="shared" si="12"/>
        <v>-2.7821874999999284E-3</v>
      </c>
      <c r="AE34" s="1">
        <f t="shared" si="12"/>
        <v>3.488281250000007E-3</v>
      </c>
      <c r="AF34" s="1">
        <f t="shared" si="12"/>
        <v>1.3555156250000035E-2</v>
      </c>
      <c r="AG34" s="1">
        <f t="shared" si="12"/>
        <v>1.4408281250000017E-2</v>
      </c>
      <c r="AH34" s="1">
        <f t="shared" si="12"/>
        <v>-1.5024999999998796E-3</v>
      </c>
      <c r="AI34" s="1">
        <f t="shared" si="12"/>
        <v>5.9623437499999998E-3</v>
      </c>
      <c r="AJ34" s="1">
        <f t="shared" si="12"/>
        <v>1.4408281250000017E-2</v>
      </c>
      <c r="AK34" s="1">
        <f t="shared" si="12"/>
        <v>1.4407812500000807E-3</v>
      </c>
      <c r="AL34" s="1">
        <f t="shared" si="12"/>
        <v>8.7350000000000552E-3</v>
      </c>
      <c r="AM34" s="1">
        <f t="shared" si="12"/>
        <v>3.8721875000000214E-3</v>
      </c>
      <c r="AN34" s="1">
        <f t="shared" si="12"/>
        <v>-1.24656249999987E-3</v>
      </c>
      <c r="AO34" s="1">
        <f t="shared" si="12"/>
        <v>1.3981250000000285E-3</v>
      </c>
      <c r="AP34" s="1">
        <f t="shared" si="12"/>
        <v>8.4359375000010847E-4</v>
      </c>
    </row>
    <row r="35" spans="2:42" x14ac:dyDescent="0.45">
      <c r="B35" s="6">
        <f t="shared" si="11"/>
        <v>24.935775335775336</v>
      </c>
      <c r="C35" s="4">
        <v>3191</v>
      </c>
      <c r="D35" s="1">
        <f t="shared" si="7"/>
        <v>-7.2095346286430587E-3</v>
      </c>
      <c r="E35" s="1">
        <f t="shared" si="8"/>
        <v>2.968524757129419E-2</v>
      </c>
      <c r="F35" s="1">
        <f t="shared" si="9"/>
        <v>4.7612180742713757E-3</v>
      </c>
      <c r="G35" s="1">
        <f t="shared" si="12"/>
        <v>7.7488933719837482E-3</v>
      </c>
      <c r="H35" s="1">
        <f t="shared" si="12"/>
        <v>7.0671419617673948E-3</v>
      </c>
      <c r="I35" s="1">
        <f t="shared" si="12"/>
        <v>1.1318062519586326E-2</v>
      </c>
      <c r="J35" s="1">
        <f t="shared" si="12"/>
        <v>5.3427119241616578E-3</v>
      </c>
      <c r="K35" s="1">
        <f t="shared" si="12"/>
        <v>8.7514689752428588E-3</v>
      </c>
      <c r="L35" s="1">
        <f t="shared" si="12"/>
        <v>6.7864207928549124E-3</v>
      </c>
      <c r="M35" s="1">
        <f t="shared" si="12"/>
        <v>4.4604453932936532E-3</v>
      </c>
      <c r="N35" s="1">
        <f t="shared" si="12"/>
        <v>8.6311599028517528E-3</v>
      </c>
      <c r="O35" s="1">
        <f t="shared" si="12"/>
        <v>4.9015786587276559E-3</v>
      </c>
      <c r="P35" s="1">
        <f t="shared" si="12"/>
        <v>2.968524757129419E-2</v>
      </c>
      <c r="Q35" s="1">
        <f t="shared" si="12"/>
        <v>7.9494084926355416E-3</v>
      </c>
      <c r="R35" s="1">
        <f t="shared" si="12"/>
        <v>2.695912331557501E-3</v>
      </c>
      <c r="S35" s="1">
        <f t="shared" si="12"/>
        <v>2.8973088373555281E-4</v>
      </c>
      <c r="T35" s="1">
        <f t="shared" si="12"/>
        <v>1.8938518489501849E-3</v>
      </c>
      <c r="U35" s="1">
        <f t="shared" si="12"/>
        <v>3.6993693199624165E-4</v>
      </c>
      <c r="V35" s="1">
        <f t="shared" si="12"/>
        <v>-2.316965684738331E-3</v>
      </c>
      <c r="W35" s="1">
        <f t="shared" si="12"/>
        <v>4.2599302726418599E-3</v>
      </c>
      <c r="X35" s="1">
        <f t="shared" si="12"/>
        <v>-7.2095346286430587E-3</v>
      </c>
      <c r="Y35" s="1">
        <f t="shared" si="12"/>
        <v>-2.1164505640865377E-3</v>
      </c>
      <c r="Z35" s="1">
        <f t="shared" si="12"/>
        <v>-2.7580989501723337E-3</v>
      </c>
      <c r="AA35" s="1">
        <f t="shared" si="12"/>
        <v>2.93653047633971E-3</v>
      </c>
      <c r="AB35" s="1">
        <f t="shared" si="12"/>
        <v>2.3349851143841874E-3</v>
      </c>
      <c r="AC35" s="1">
        <f t="shared" si="12"/>
        <v>-2.1164505640865377E-3</v>
      </c>
      <c r="AD35" s="1">
        <f t="shared" si="12"/>
        <v>-2.838304998433165E-3</v>
      </c>
      <c r="AE35" s="1">
        <f t="shared" si="12"/>
        <v>3.818797007207715E-3</v>
      </c>
      <c r="AF35" s="1">
        <f t="shared" si="12"/>
        <v>1.6130425415230364E-2</v>
      </c>
      <c r="AG35" s="1">
        <f t="shared" si="12"/>
        <v>1.7854855452836101E-2</v>
      </c>
      <c r="AH35" s="1">
        <f t="shared" si="12"/>
        <v>-9.1335984017549242E-4</v>
      </c>
      <c r="AI35" s="1">
        <f t="shared" si="12"/>
        <v>5.2625058759009687E-3</v>
      </c>
      <c r="AJ35" s="1">
        <f t="shared" si="12"/>
        <v>1.6571558680664369E-2</v>
      </c>
      <c r="AK35" s="1">
        <f t="shared" si="12"/>
        <v>1.5329246317768712E-3</v>
      </c>
      <c r="AL35" s="1">
        <f t="shared" si="12"/>
        <v>9.43322038545907E-3</v>
      </c>
      <c r="AM35" s="1">
        <f t="shared" si="12"/>
        <v>3.5781788624255056E-3</v>
      </c>
      <c r="AN35" s="1">
        <f t="shared" si="12"/>
        <v>-7.1284471952369911E-4</v>
      </c>
      <c r="AO35" s="1">
        <f t="shared" si="12"/>
        <v>8.9127624569093297E-4</v>
      </c>
      <c r="AP35" s="1">
        <f t="shared" si="12"/>
        <v>-1.1129935756817644E-4</v>
      </c>
    </row>
    <row r="36" spans="2:42" x14ac:dyDescent="0.45">
      <c r="B36" s="6">
        <f t="shared" si="11"/>
        <v>25.6</v>
      </c>
      <c r="C36" s="4">
        <v>3276</v>
      </c>
      <c r="D36" s="1">
        <f t="shared" si="7"/>
        <v>-7.8906250000000677E-3</v>
      </c>
      <c r="E36" s="1">
        <f t="shared" si="8"/>
        <v>3.1249999999999889E-2</v>
      </c>
      <c r="F36" s="1">
        <f t="shared" si="9"/>
        <v>4.4335937499999402E-3</v>
      </c>
      <c r="G36" s="1">
        <f t="shared" si="12"/>
        <v>7.2656249999999978E-3</v>
      </c>
      <c r="H36" s="1">
        <f t="shared" si="12"/>
        <v>5.4296874999999745E-3</v>
      </c>
      <c r="I36" s="1">
        <f t="shared" si="12"/>
        <v>1.105468749999991E-2</v>
      </c>
      <c r="J36" s="1">
        <f t="shared" si="12"/>
        <v>4.921874999999909E-3</v>
      </c>
      <c r="K36" s="1">
        <f t="shared" si="12"/>
        <v>8.5546874999999079E-3</v>
      </c>
      <c r="L36" s="1">
        <f t="shared" si="12"/>
        <v>6.6406249999999278E-3</v>
      </c>
      <c r="M36" s="1">
        <f t="shared" si="12"/>
        <v>4.8828125E-3</v>
      </c>
      <c r="N36" s="1">
        <f t="shared" si="12"/>
        <v>8.28124999999999E-3</v>
      </c>
      <c r="O36" s="1">
        <f t="shared" si="12"/>
        <v>3.8671875000000078E-3</v>
      </c>
      <c r="P36" s="1">
        <f t="shared" si="12"/>
        <v>3.1249999999999889E-2</v>
      </c>
      <c r="Q36" s="1">
        <f t="shared" si="12"/>
        <v>7.0703124999998979E-3</v>
      </c>
      <c r="R36" s="1">
        <f t="shared" si="12"/>
        <v>1.4062499999999145E-3</v>
      </c>
      <c r="S36" s="1">
        <f t="shared" si="12"/>
        <v>1.1718750000000444E-4</v>
      </c>
      <c r="T36" s="1">
        <f t="shared" si="12"/>
        <v>2.3046874999999023E-3</v>
      </c>
      <c r="U36" s="1">
        <f t="shared" si="12"/>
        <v>6.6406249999997891E-4</v>
      </c>
      <c r="V36" s="1">
        <f t="shared" si="12"/>
        <v>-3.0078125000000677E-3</v>
      </c>
      <c r="W36" s="1">
        <f t="shared" si="12"/>
        <v>4.5703124999998956E-3</v>
      </c>
      <c r="X36" s="1">
        <f t="shared" si="12"/>
        <v>-7.8906250000000677E-3</v>
      </c>
      <c r="Y36" s="1">
        <f t="shared" si="12"/>
        <v>-2.4609375000000933E-3</v>
      </c>
      <c r="Z36" s="1">
        <f t="shared" si="12"/>
        <v>-4.2187500000000211E-3</v>
      </c>
      <c r="AA36" s="1">
        <f t="shared" si="12"/>
        <v>2.3046874999999023E-3</v>
      </c>
      <c r="AB36" s="1">
        <f t="shared" si="12"/>
        <v>1.6796874999999711E-3</v>
      </c>
      <c r="AC36" s="1">
        <f t="shared" si="12"/>
        <v>-3.1640625000001199E-3</v>
      </c>
      <c r="AD36" s="1">
        <f t="shared" si="12"/>
        <v>-3.5937500000000899E-3</v>
      </c>
      <c r="AE36" s="1">
        <f t="shared" si="12"/>
        <v>3.7890624999999123E-3</v>
      </c>
      <c r="AF36" s="1">
        <f t="shared" si="12"/>
        <v>1.6796874999999989E-2</v>
      </c>
      <c r="AG36" s="1">
        <f t="shared" si="12"/>
        <v>1.785156249999989E-2</v>
      </c>
      <c r="AH36" s="1">
        <f t="shared" si="12"/>
        <v>-1.6015625000000144E-3</v>
      </c>
      <c r="AI36" s="1">
        <f t="shared" si="12"/>
        <v>4.3749999999999345E-3</v>
      </c>
      <c r="AJ36" s="1">
        <f t="shared" si="12"/>
        <v>1.7773437499999933E-2</v>
      </c>
      <c r="AK36" s="1">
        <f t="shared" si="12"/>
        <v>1.4062499999999145E-3</v>
      </c>
      <c r="AL36" s="1">
        <f t="shared" si="12"/>
        <v>9.6093749999999478E-3</v>
      </c>
      <c r="AM36" s="1">
        <f t="shared" si="12"/>
        <v>3.8671875000000078E-3</v>
      </c>
      <c r="AN36" s="1">
        <f t="shared" si="12"/>
        <v>-1.2890625000000488E-3</v>
      </c>
      <c r="AO36" s="1">
        <f t="shared" si="12"/>
        <v>8.9843749999998779E-4</v>
      </c>
      <c r="AP36" s="1">
        <f t="shared" si="12"/>
        <v>-1.7968750000001144E-3</v>
      </c>
    </row>
    <row r="37" spans="2:42" x14ac:dyDescent="0.45">
      <c r="B37" s="6">
        <f t="shared" si="11"/>
        <v>32</v>
      </c>
      <c r="C37" s="4">
        <v>4095</v>
      </c>
      <c r="D37" s="1">
        <f t="shared" si="7"/>
        <v>-1.0031250000000047E-2</v>
      </c>
      <c r="E37" s="1">
        <f t="shared" si="8"/>
        <v>3.8750000000000062E-2</v>
      </c>
      <c r="F37" s="1">
        <f t="shared" si="9"/>
        <v>2.8923611111111116E-3</v>
      </c>
      <c r="G37" s="1">
        <f t="shared" si="12"/>
        <v>5.6875000000000675E-3</v>
      </c>
      <c r="H37" s="1">
        <f t="shared" si="12"/>
        <v>5.3125000000009415E-4</v>
      </c>
      <c r="I37" s="1">
        <f t="shared" si="12"/>
        <v>9.0937499999999005E-3</v>
      </c>
      <c r="J37" s="1">
        <f t="shared" ref="J37:AP37" si="13">(J18-$B18)/$B18</f>
        <v>2.1249999999999325E-3</v>
      </c>
      <c r="K37" s="1">
        <f t="shared" si="13"/>
        <v>7.8125E-3</v>
      </c>
      <c r="L37" s="1">
        <f t="shared" si="13"/>
        <v>5.9374999999999289E-3</v>
      </c>
      <c r="M37" s="1">
        <f t="shared" si="13"/>
        <v>1.8750000000000711E-4</v>
      </c>
      <c r="N37" s="1">
        <f t="shared" si="13"/>
        <v>7.2812499999999059E-3</v>
      </c>
      <c r="O37" s="1">
        <f t="shared" si="13"/>
        <v>4.6875000000001776E-4</v>
      </c>
      <c r="P37" s="1">
        <f t="shared" si="13"/>
        <v>3.8750000000000062E-2</v>
      </c>
      <c r="Q37" s="1">
        <f t="shared" si="13"/>
        <v>4.8437500000000355E-3</v>
      </c>
      <c r="R37" s="1">
        <f t="shared" si="13"/>
        <v>-3.90625E-3</v>
      </c>
      <c r="S37" s="1">
        <f t="shared" si="13"/>
        <v>-7.8124999999995559E-4</v>
      </c>
      <c r="T37" s="1">
        <f t="shared" si="13"/>
        <v>1.1562499999999698E-3</v>
      </c>
      <c r="U37" s="1">
        <f t="shared" si="13"/>
        <v>3.7500000000001421E-4</v>
      </c>
      <c r="V37" s="1">
        <f t="shared" si="13"/>
        <v>-4.2187500000000488E-3</v>
      </c>
      <c r="W37" s="1">
        <f t="shared" si="13"/>
        <v>5.1250000000000462E-3</v>
      </c>
      <c r="X37" s="1">
        <f t="shared" si="13"/>
        <v>-1.0031250000000047E-2</v>
      </c>
      <c r="Y37" s="1">
        <f t="shared" si="13"/>
        <v>-4.2812500000000142E-3</v>
      </c>
      <c r="Z37" s="1">
        <f t="shared" si="13"/>
        <v>-8.3750000000000213E-3</v>
      </c>
      <c r="AA37" s="1">
        <f t="shared" si="13"/>
        <v>1.2187500000000462E-3</v>
      </c>
      <c r="AB37" s="1">
        <f t="shared" si="13"/>
        <v>1.9062499999999982E-3</v>
      </c>
      <c r="AC37" s="1">
        <f t="shared" si="13"/>
        <v>-4.8124999999999973E-3</v>
      </c>
      <c r="AD37" s="1">
        <f t="shared" si="13"/>
        <v>-6.2187500000000506E-3</v>
      </c>
      <c r="AE37" s="1">
        <f t="shared" si="13"/>
        <v>2.0000000000000018E-3</v>
      </c>
      <c r="AF37" s="1">
        <f t="shared" si="13"/>
        <v>1.9093749999999909E-2</v>
      </c>
      <c r="AG37" s="1">
        <f t="shared" si="13"/>
        <v>2.1781250000000085E-2</v>
      </c>
      <c r="AH37" s="1">
        <f t="shared" si="13"/>
        <v>-4.0000000000000036E-3</v>
      </c>
      <c r="AI37" s="1">
        <f t="shared" si="13"/>
        <v>1.3437499999999769E-3</v>
      </c>
      <c r="AJ37" s="1">
        <f t="shared" si="13"/>
        <v>2.1593750000000078E-2</v>
      </c>
      <c r="AK37" s="1">
        <f t="shared" si="13"/>
        <v>-5.9374999999994849E-4</v>
      </c>
      <c r="AL37" s="1">
        <f t="shared" si="13"/>
        <v>1.0468750000000027E-2</v>
      </c>
      <c r="AM37" s="1">
        <f t="shared" si="13"/>
        <v>-3.1250000000038192E-5</v>
      </c>
      <c r="AN37" s="1">
        <f t="shared" si="13"/>
        <v>-6.4999999999999503E-3</v>
      </c>
      <c r="AO37" s="1">
        <f t="shared" si="13"/>
        <v>-3.0937500000000062E-3</v>
      </c>
      <c r="AP37" s="1">
        <f t="shared" si="13"/>
        <v>-7.8125E-3</v>
      </c>
    </row>
    <row r="38" spans="2:42" x14ac:dyDescent="0.45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2:42" x14ac:dyDescent="0.45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2:42" x14ac:dyDescent="0.45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77A2-F7FE-40B6-B6A3-845CCF94A8EA}">
  <dimension ref="B2:AP40"/>
  <sheetViews>
    <sheetView tabSelected="1" zoomScale="70" zoomScaleNormal="70" workbookViewId="0"/>
  </sheetViews>
  <sheetFormatPr defaultRowHeight="17" x14ac:dyDescent="0.45"/>
  <cols>
    <col min="2" max="2" width="8.6640625" customWidth="1"/>
  </cols>
  <sheetData>
    <row r="2" spans="2:42" x14ac:dyDescent="0.45">
      <c r="B2" t="s">
        <v>16</v>
      </c>
      <c r="C2" s="2" t="s">
        <v>0</v>
      </c>
      <c r="D2" s="2" t="s">
        <v>13</v>
      </c>
      <c r="E2" s="2" t="s">
        <v>14</v>
      </c>
      <c r="F2" s="2" t="s">
        <v>15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  <c r="AE2" s="2" t="s">
        <v>1</v>
      </c>
      <c r="AF2" s="2" t="s">
        <v>2</v>
      </c>
      <c r="AG2" s="2" t="s">
        <v>3</v>
      </c>
      <c r="AH2" s="2" t="s">
        <v>4</v>
      </c>
      <c r="AI2" s="2" t="s">
        <v>5</v>
      </c>
      <c r="AJ2" s="2" t="s">
        <v>6</v>
      </c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</row>
    <row r="3" spans="2:42" x14ac:dyDescent="0.45">
      <c r="B3" s="6">
        <f t="shared" ref="B3:B10" si="0">8*C3/4095</f>
        <v>0.68962148962148961</v>
      </c>
      <c r="C3" s="3">
        <v>353</v>
      </c>
      <c r="D3" s="5">
        <f>MIN(G3:AP3)</f>
        <v>0.67</v>
      </c>
      <c r="E3" s="5">
        <f>MAX(G3:AP3)</f>
        <v>0.77</v>
      </c>
      <c r="F3" s="5">
        <f>AVERAGE(G3:AP3)</f>
        <v>0.71497222222222223</v>
      </c>
      <c r="G3">
        <v>0.72699999999999998</v>
      </c>
      <c r="H3">
        <v>0.73399999999999999</v>
      </c>
      <c r="I3">
        <v>0.75800000000000001</v>
      </c>
      <c r="J3">
        <v>0.754</v>
      </c>
      <c r="K3">
        <v>0.72099999999999997</v>
      </c>
      <c r="L3">
        <v>0.68500000000000005</v>
      </c>
      <c r="M3">
        <v>0.748</v>
      </c>
      <c r="N3">
        <v>0.73</v>
      </c>
      <c r="O3">
        <v>0.72099999999999997</v>
      </c>
      <c r="P3">
        <v>0.70299999999999996</v>
      </c>
      <c r="Q3">
        <v>0.745</v>
      </c>
      <c r="R3">
        <v>0.747</v>
      </c>
      <c r="S3">
        <v>0.70299999999999996</v>
      </c>
      <c r="T3">
        <v>0.69</v>
      </c>
      <c r="U3">
        <v>0.67</v>
      </c>
      <c r="V3">
        <v>0.67600000000000005</v>
      </c>
      <c r="W3">
        <v>0.69899999999999995</v>
      </c>
      <c r="X3">
        <v>0.67400000000000004</v>
      </c>
      <c r="Y3">
        <v>0.68300000000000005</v>
      </c>
      <c r="Z3">
        <v>0.71899999999999997</v>
      </c>
      <c r="AA3">
        <v>0.69399999999999995</v>
      </c>
      <c r="AB3">
        <v>0.68700000000000006</v>
      </c>
      <c r="AC3">
        <v>0.70099999999999996</v>
      </c>
      <c r="AD3">
        <v>0.71</v>
      </c>
      <c r="AE3">
        <v>0.71599999999999997</v>
      </c>
      <c r="AF3">
        <v>0.70299999999999996</v>
      </c>
      <c r="AG3">
        <v>0.71199999999999997</v>
      </c>
      <c r="AH3">
        <v>0.70799999999999996</v>
      </c>
      <c r="AI3">
        <v>0.72699999999999998</v>
      </c>
      <c r="AJ3">
        <v>0.69899999999999995</v>
      </c>
      <c r="AK3">
        <v>0.73599999999999999</v>
      </c>
      <c r="AL3">
        <v>0.69899999999999995</v>
      </c>
      <c r="AM3">
        <v>0.73199999999999998</v>
      </c>
      <c r="AN3">
        <v>0.72799999999999998</v>
      </c>
      <c r="AO3">
        <v>0.73</v>
      </c>
      <c r="AP3">
        <v>0.77</v>
      </c>
    </row>
    <row r="4" spans="2:42" x14ac:dyDescent="0.45">
      <c r="B4" s="6">
        <f t="shared" si="0"/>
        <v>0.98656898656898662</v>
      </c>
      <c r="C4" s="3">
        <v>505</v>
      </c>
      <c r="D4" s="5">
        <f t="shared" ref="D4:D18" si="1">MIN(G4:AP4)</f>
        <v>0.96499999999999997</v>
      </c>
      <c r="E4" s="5">
        <f t="shared" ref="E4:E18" si="2">MAX(G4:AP4)</f>
        <v>1.075</v>
      </c>
      <c r="F4" s="5">
        <f t="shared" ref="F4:F18" si="3">AVERAGE(G4:AP4)</f>
        <v>1.0110555555555556</v>
      </c>
      <c r="G4">
        <v>1.0229999999999999</v>
      </c>
      <c r="H4">
        <v>1.03</v>
      </c>
      <c r="I4">
        <v>1.054</v>
      </c>
      <c r="J4">
        <v>1.054</v>
      </c>
      <c r="K4">
        <v>1.012</v>
      </c>
      <c r="L4">
        <v>0.97699999999999998</v>
      </c>
      <c r="M4">
        <v>1.046</v>
      </c>
      <c r="N4">
        <v>1.0249999999999999</v>
      </c>
      <c r="O4">
        <v>1.014</v>
      </c>
      <c r="P4">
        <v>0.98799999999999999</v>
      </c>
      <c r="Q4">
        <v>1.0429999999999999</v>
      </c>
      <c r="R4">
        <v>1.0429999999999999</v>
      </c>
      <c r="S4">
        <v>1.0049999999999999</v>
      </c>
      <c r="T4">
        <v>0.99</v>
      </c>
      <c r="U4">
        <v>0.96499999999999997</v>
      </c>
      <c r="V4">
        <v>0.97199999999999998</v>
      </c>
      <c r="W4">
        <v>0.997</v>
      </c>
      <c r="X4">
        <v>0.97199999999999998</v>
      </c>
      <c r="Y4">
        <v>0.97699999999999998</v>
      </c>
      <c r="Z4">
        <v>1.0229999999999999</v>
      </c>
      <c r="AA4">
        <v>0.99</v>
      </c>
      <c r="AB4">
        <v>0.98499999999999999</v>
      </c>
      <c r="AC4">
        <v>1.0009999999999999</v>
      </c>
      <c r="AD4">
        <v>1.008</v>
      </c>
      <c r="AE4">
        <v>1.012</v>
      </c>
      <c r="AF4">
        <v>0.99399999999999999</v>
      </c>
      <c r="AG4">
        <v>1.0049999999999999</v>
      </c>
      <c r="AH4">
        <v>1.0029999999999999</v>
      </c>
      <c r="AI4">
        <v>1.0249999999999999</v>
      </c>
      <c r="AJ4">
        <v>0.99</v>
      </c>
      <c r="AK4">
        <v>1.03</v>
      </c>
      <c r="AL4">
        <v>0.99</v>
      </c>
      <c r="AM4">
        <v>1.028</v>
      </c>
      <c r="AN4">
        <v>1.026</v>
      </c>
      <c r="AO4">
        <v>1.026</v>
      </c>
      <c r="AP4">
        <v>1.075</v>
      </c>
    </row>
    <row r="5" spans="2:42" x14ac:dyDescent="0.45">
      <c r="B5" s="6">
        <f t="shared" si="0"/>
        <v>1.5628815628815629</v>
      </c>
      <c r="C5" s="3">
        <v>800</v>
      </c>
      <c r="D5" s="5">
        <f t="shared" si="1"/>
        <v>1.54</v>
      </c>
      <c r="E5" s="5">
        <f t="shared" si="2"/>
        <v>1.6619999999999999</v>
      </c>
      <c r="F5" s="5">
        <f t="shared" si="3"/>
        <v>1.5900555555555558</v>
      </c>
      <c r="G5">
        <v>1.6020000000000001</v>
      </c>
      <c r="H5">
        <v>1.613</v>
      </c>
      <c r="I5">
        <v>1.639</v>
      </c>
      <c r="J5">
        <v>1.639</v>
      </c>
      <c r="K5">
        <v>1.591</v>
      </c>
      <c r="L5">
        <v>1.5569999999999999</v>
      </c>
      <c r="M5">
        <v>1.633</v>
      </c>
      <c r="N5">
        <v>1.6060000000000001</v>
      </c>
      <c r="O5">
        <v>1.595</v>
      </c>
      <c r="P5">
        <v>1.5589999999999999</v>
      </c>
      <c r="Q5">
        <v>1.6259999999999999</v>
      </c>
      <c r="R5">
        <v>1.629</v>
      </c>
      <c r="S5">
        <v>1.5860000000000001</v>
      </c>
      <c r="T5">
        <v>1.5660000000000001</v>
      </c>
      <c r="U5">
        <v>1.54</v>
      </c>
      <c r="V5">
        <v>1.546</v>
      </c>
      <c r="W5">
        <v>1.577</v>
      </c>
      <c r="X5">
        <v>1.548</v>
      </c>
      <c r="Y5">
        <v>1.5529999999999999</v>
      </c>
      <c r="Z5">
        <v>1.6020000000000001</v>
      </c>
      <c r="AA5">
        <v>1.5660000000000001</v>
      </c>
      <c r="AB5">
        <v>1.5569999999999999</v>
      </c>
      <c r="AC5">
        <v>1.579</v>
      </c>
      <c r="AD5">
        <v>1.59</v>
      </c>
      <c r="AE5">
        <v>1.5880000000000001</v>
      </c>
      <c r="AF5">
        <v>1.5680000000000001</v>
      </c>
      <c r="AG5">
        <v>1.575</v>
      </c>
      <c r="AH5">
        <v>1.5820000000000001</v>
      </c>
      <c r="AI5">
        <v>1.6040000000000001</v>
      </c>
      <c r="AJ5">
        <v>1.56</v>
      </c>
      <c r="AK5">
        <v>1.613</v>
      </c>
      <c r="AL5">
        <v>1.5660000000000001</v>
      </c>
      <c r="AM5">
        <v>1.6080000000000001</v>
      </c>
      <c r="AN5">
        <v>1.6080000000000001</v>
      </c>
      <c r="AO5">
        <v>1.609</v>
      </c>
      <c r="AP5">
        <v>1.6619999999999999</v>
      </c>
    </row>
    <row r="6" spans="2:42" x14ac:dyDescent="0.45">
      <c r="B6" s="6">
        <f t="shared" si="0"/>
        <v>4.2979242979242978</v>
      </c>
      <c r="C6" s="3">
        <v>2200</v>
      </c>
      <c r="D6" s="5">
        <f t="shared" si="1"/>
        <v>4.2729999999999997</v>
      </c>
      <c r="E6" s="5">
        <f t="shared" si="2"/>
        <v>4.3710000000000004</v>
      </c>
      <c r="F6" s="5">
        <f t="shared" si="3"/>
        <v>4.3171944444444446</v>
      </c>
      <c r="G6">
        <v>4.3250000000000002</v>
      </c>
      <c r="H6">
        <v>4.3220000000000001</v>
      </c>
      <c r="I6">
        <v>4.3540000000000001</v>
      </c>
      <c r="J6">
        <v>4.3630000000000004</v>
      </c>
      <c r="K6">
        <v>4.327</v>
      </c>
      <c r="L6">
        <v>4.2939999999999996</v>
      </c>
      <c r="M6">
        <v>4.3540000000000001</v>
      </c>
      <c r="N6">
        <v>4.3310000000000004</v>
      </c>
      <c r="O6">
        <v>4.3140000000000001</v>
      </c>
      <c r="P6">
        <v>4.3090000000000002</v>
      </c>
      <c r="Q6">
        <v>4.3470000000000004</v>
      </c>
      <c r="R6">
        <v>4.3470000000000004</v>
      </c>
      <c r="S6">
        <v>4.3129999999999997</v>
      </c>
      <c r="T6">
        <v>4.2910000000000004</v>
      </c>
      <c r="U6">
        <v>4.2729999999999997</v>
      </c>
      <c r="V6">
        <v>4.2759999999999998</v>
      </c>
      <c r="W6">
        <v>4.3049999999999997</v>
      </c>
      <c r="X6">
        <v>4.2779999999999996</v>
      </c>
      <c r="Y6">
        <v>4.274</v>
      </c>
      <c r="Z6">
        <v>4.3129999999999997</v>
      </c>
      <c r="AA6">
        <v>4.2779999999999996</v>
      </c>
      <c r="AB6">
        <v>4.2889999999999997</v>
      </c>
      <c r="AC6">
        <v>4.2939999999999996</v>
      </c>
      <c r="AD6">
        <v>4.3070000000000004</v>
      </c>
      <c r="AE6">
        <v>4.32</v>
      </c>
      <c r="AF6">
        <v>4.3029999999999999</v>
      </c>
      <c r="AG6">
        <v>4.327</v>
      </c>
      <c r="AH6">
        <v>4.3220000000000001</v>
      </c>
      <c r="AI6">
        <v>4.3470000000000004</v>
      </c>
      <c r="AJ6">
        <v>4.298</v>
      </c>
      <c r="AK6">
        <v>4.34</v>
      </c>
      <c r="AL6">
        <v>4.3090000000000002</v>
      </c>
      <c r="AM6">
        <v>4.3360000000000003</v>
      </c>
      <c r="AN6">
        <v>4.3339999999999996</v>
      </c>
      <c r="AO6">
        <v>4.3339999999999996</v>
      </c>
      <c r="AP6">
        <v>4.3710000000000004</v>
      </c>
    </row>
    <row r="7" spans="2:42" x14ac:dyDescent="0.45">
      <c r="B7" s="6">
        <f t="shared" si="0"/>
        <v>5.8608058608058604</v>
      </c>
      <c r="C7" s="3">
        <v>3000</v>
      </c>
      <c r="D7" s="5">
        <f t="shared" si="1"/>
        <v>5.8239999999999998</v>
      </c>
      <c r="E7" s="5">
        <f t="shared" si="2"/>
        <v>5.92</v>
      </c>
      <c r="F7" s="5">
        <f t="shared" si="3"/>
        <v>5.8739444444444437</v>
      </c>
      <c r="G7">
        <v>5.88</v>
      </c>
      <c r="H7">
        <v>5.8579999999999997</v>
      </c>
      <c r="I7">
        <v>5.8979999999999997</v>
      </c>
      <c r="J7">
        <v>5.915</v>
      </c>
      <c r="K7">
        <v>5.8949999999999996</v>
      </c>
      <c r="L7">
        <v>5.8620000000000001</v>
      </c>
      <c r="M7">
        <v>5.8929999999999998</v>
      </c>
      <c r="N7">
        <v>5.8840000000000003</v>
      </c>
      <c r="O7">
        <v>5.8659999999999997</v>
      </c>
      <c r="P7">
        <v>5.9169999999999998</v>
      </c>
      <c r="Q7">
        <v>5.8949999999999996</v>
      </c>
      <c r="R7">
        <v>5.8860000000000001</v>
      </c>
      <c r="S7">
        <v>5.8639999999999999</v>
      </c>
      <c r="T7">
        <v>5.84</v>
      </c>
      <c r="U7">
        <v>5.8369999999999997</v>
      </c>
      <c r="V7">
        <v>5.8380000000000001</v>
      </c>
      <c r="W7">
        <v>5.8680000000000003</v>
      </c>
      <c r="X7">
        <v>5.8310000000000004</v>
      </c>
      <c r="Y7">
        <v>5.8310000000000004</v>
      </c>
      <c r="Z7">
        <v>5.8460000000000001</v>
      </c>
      <c r="AA7">
        <v>5.8239999999999998</v>
      </c>
      <c r="AB7">
        <v>5.8490000000000002</v>
      </c>
      <c r="AC7">
        <v>5.84</v>
      </c>
      <c r="AD7">
        <v>5.8460000000000001</v>
      </c>
      <c r="AE7">
        <v>5.8840000000000003</v>
      </c>
      <c r="AF7">
        <v>5.88</v>
      </c>
      <c r="AG7">
        <v>5.92</v>
      </c>
      <c r="AH7">
        <v>5.8890000000000002</v>
      </c>
      <c r="AI7">
        <v>5.8929999999999998</v>
      </c>
      <c r="AJ7">
        <v>5.8929999999999998</v>
      </c>
      <c r="AK7">
        <v>5.8890000000000002</v>
      </c>
      <c r="AL7">
        <v>5.8929999999999998</v>
      </c>
      <c r="AM7">
        <v>5.8879999999999999</v>
      </c>
      <c r="AN7">
        <v>5.8890000000000002</v>
      </c>
      <c r="AO7">
        <v>5.8840000000000003</v>
      </c>
      <c r="AP7">
        <v>5.8970000000000002</v>
      </c>
    </row>
    <row r="8" spans="2:42" x14ac:dyDescent="0.45">
      <c r="B8" s="6">
        <f t="shared" si="0"/>
        <v>6.233943833943834</v>
      </c>
      <c r="C8" s="3">
        <v>3191</v>
      </c>
      <c r="D8" s="5">
        <f t="shared" si="1"/>
        <v>6.2</v>
      </c>
      <c r="E8" s="5">
        <f t="shared" si="2"/>
        <v>6.3159999999999998</v>
      </c>
      <c r="F8" s="5">
        <f t="shared" si="3"/>
        <v>6.2502222222222219</v>
      </c>
      <c r="G8">
        <v>6.2450000000000001</v>
      </c>
      <c r="H8">
        <v>6.2249999999999996</v>
      </c>
      <c r="I8">
        <v>6.2649999999999997</v>
      </c>
      <c r="J8">
        <v>6.2850000000000001</v>
      </c>
      <c r="K8">
        <v>6.2690000000000001</v>
      </c>
      <c r="L8">
        <v>6.2380000000000004</v>
      </c>
      <c r="M8">
        <v>6.2640000000000002</v>
      </c>
      <c r="N8">
        <v>6.2560000000000002</v>
      </c>
      <c r="O8">
        <v>6.2329999999999997</v>
      </c>
      <c r="P8">
        <v>6.3140000000000001</v>
      </c>
      <c r="Q8">
        <v>6.2670000000000003</v>
      </c>
      <c r="R8">
        <v>6.2530000000000001</v>
      </c>
      <c r="S8">
        <v>6.234</v>
      </c>
      <c r="T8">
        <v>6.218</v>
      </c>
      <c r="U8">
        <v>6.2130000000000001</v>
      </c>
      <c r="V8">
        <v>6.2160000000000002</v>
      </c>
      <c r="W8">
        <v>6.2530000000000001</v>
      </c>
      <c r="X8">
        <v>6.2069999999999999</v>
      </c>
      <c r="Y8">
        <v>6.2050000000000001</v>
      </c>
      <c r="Z8">
        <v>6.2160000000000002</v>
      </c>
      <c r="AA8">
        <v>6.2</v>
      </c>
      <c r="AB8">
        <v>6.2309999999999999</v>
      </c>
      <c r="AC8">
        <v>6.2160000000000002</v>
      </c>
      <c r="AD8">
        <v>6.2160000000000002</v>
      </c>
      <c r="AE8">
        <v>6.2619999999999996</v>
      </c>
      <c r="AF8">
        <v>6.2690000000000001</v>
      </c>
      <c r="AG8">
        <v>6.3159999999999998</v>
      </c>
      <c r="AH8">
        <v>6.2729999999999997</v>
      </c>
      <c r="AI8">
        <v>6.2649999999999997</v>
      </c>
      <c r="AJ8">
        <v>6.282</v>
      </c>
      <c r="AK8">
        <v>6.2649999999999997</v>
      </c>
      <c r="AL8">
        <v>6.282</v>
      </c>
      <c r="AM8">
        <v>6.26</v>
      </c>
      <c r="AN8">
        <v>6.2729999999999997</v>
      </c>
      <c r="AO8">
        <v>6.258</v>
      </c>
      <c r="AP8">
        <v>6.2640000000000002</v>
      </c>
    </row>
    <row r="9" spans="2:42" x14ac:dyDescent="0.45">
      <c r="B9" s="6">
        <f t="shared" si="0"/>
        <v>6.4</v>
      </c>
      <c r="C9" s="3">
        <v>3276</v>
      </c>
      <c r="D9" s="5">
        <f t="shared" si="1"/>
        <v>6.36</v>
      </c>
      <c r="E9" s="5">
        <f t="shared" si="2"/>
        <v>6.4850000000000003</v>
      </c>
      <c r="F9" s="5">
        <f t="shared" si="3"/>
        <v>6.4147500000000006</v>
      </c>
      <c r="G9">
        <v>6.4139999999999997</v>
      </c>
      <c r="H9">
        <v>6.3819999999999997</v>
      </c>
      <c r="I9">
        <v>6.4269999999999996</v>
      </c>
      <c r="J9">
        <v>6.4470000000000001</v>
      </c>
      <c r="K9">
        <v>6.4359999999999999</v>
      </c>
      <c r="L9">
        <v>6.4029999999999996</v>
      </c>
      <c r="M9">
        <v>6.4219999999999997</v>
      </c>
      <c r="N9">
        <v>6.42</v>
      </c>
      <c r="O9">
        <v>6.3929999999999998</v>
      </c>
      <c r="P9">
        <v>6.4829999999999997</v>
      </c>
      <c r="Q9">
        <v>6.4329999999999998</v>
      </c>
      <c r="R9">
        <v>6.4160000000000004</v>
      </c>
      <c r="S9">
        <v>6.4029999999999996</v>
      </c>
      <c r="T9">
        <v>6.38</v>
      </c>
      <c r="U9">
        <v>6.38</v>
      </c>
      <c r="V9">
        <v>6.3819999999999997</v>
      </c>
      <c r="W9">
        <v>6.4089999999999998</v>
      </c>
      <c r="X9">
        <v>6.3689999999999998</v>
      </c>
      <c r="Y9">
        <v>6.3710000000000004</v>
      </c>
      <c r="Z9">
        <v>6.3780000000000001</v>
      </c>
      <c r="AA9">
        <v>6.36</v>
      </c>
      <c r="AB9">
        <v>6.3979999999999997</v>
      </c>
      <c r="AC9">
        <v>6.3780000000000001</v>
      </c>
      <c r="AD9">
        <v>6.3819999999999997</v>
      </c>
      <c r="AE9">
        <v>6.4269999999999996</v>
      </c>
      <c r="AF9">
        <v>6.4269999999999996</v>
      </c>
      <c r="AG9">
        <v>6.4850000000000003</v>
      </c>
      <c r="AH9">
        <v>6.4359999999999999</v>
      </c>
      <c r="AI9">
        <v>6.452</v>
      </c>
      <c r="AJ9">
        <v>6.452</v>
      </c>
      <c r="AK9">
        <v>6.431</v>
      </c>
      <c r="AL9">
        <v>6.4470000000000001</v>
      </c>
      <c r="AM9">
        <v>6.4219999999999997</v>
      </c>
      <c r="AN9">
        <v>6.4379999999999997</v>
      </c>
      <c r="AO9">
        <v>6.423</v>
      </c>
      <c r="AP9">
        <v>6.4249999999999998</v>
      </c>
    </row>
    <row r="10" spans="2:42" x14ac:dyDescent="0.45">
      <c r="B10" s="6">
        <f t="shared" si="0"/>
        <v>8</v>
      </c>
      <c r="C10" s="3">
        <v>4095</v>
      </c>
      <c r="D10" s="5">
        <f t="shared" si="1"/>
        <v>7.931</v>
      </c>
      <c r="E10" s="5">
        <f t="shared" si="2"/>
        <v>8.1639999999999997</v>
      </c>
      <c r="F10" s="5">
        <f t="shared" si="3"/>
        <v>8.004555555555557</v>
      </c>
      <c r="G10">
        <v>7.9930000000000003</v>
      </c>
      <c r="H10">
        <v>7.9480000000000004</v>
      </c>
      <c r="I10">
        <v>8</v>
      </c>
      <c r="J10">
        <v>8.0329999999999995</v>
      </c>
      <c r="K10">
        <v>8.0380000000000003</v>
      </c>
      <c r="L10">
        <v>8.0090000000000003</v>
      </c>
      <c r="M10">
        <v>7.9909999999999997</v>
      </c>
      <c r="N10">
        <v>8.0069999999999997</v>
      </c>
      <c r="O10">
        <v>7.9749999999999996</v>
      </c>
      <c r="P10">
        <v>8.1639999999999997</v>
      </c>
      <c r="Q10">
        <v>8.0060000000000002</v>
      </c>
      <c r="R10">
        <v>7.9779999999999998</v>
      </c>
      <c r="S10">
        <v>7.9859999999999998</v>
      </c>
      <c r="T10">
        <v>7.9640000000000004</v>
      </c>
      <c r="U10">
        <v>7.98</v>
      </c>
      <c r="V10">
        <v>7.9820000000000002</v>
      </c>
      <c r="W10">
        <v>8.0090000000000003</v>
      </c>
      <c r="X10">
        <v>7.9509999999999996</v>
      </c>
      <c r="Y10">
        <v>7.9640000000000004</v>
      </c>
      <c r="Z10">
        <v>7.931</v>
      </c>
      <c r="AA10">
        <v>7.9489999999999998</v>
      </c>
      <c r="AB10">
        <v>7.9909999999999997</v>
      </c>
      <c r="AC10">
        <v>7.9569999999999999</v>
      </c>
      <c r="AD10">
        <v>7.9459999999999997</v>
      </c>
      <c r="AE10">
        <v>8.0169999999999995</v>
      </c>
      <c r="AF10">
        <v>8.0459999999999994</v>
      </c>
      <c r="AG10">
        <v>8.1349999999999998</v>
      </c>
      <c r="AH10">
        <v>8.0329999999999995</v>
      </c>
      <c r="AI10">
        <v>8.02</v>
      </c>
      <c r="AJ10">
        <v>8.0909999999999993</v>
      </c>
      <c r="AK10">
        <v>8.0150000000000006</v>
      </c>
      <c r="AL10">
        <v>8.0709999999999997</v>
      </c>
      <c r="AM10">
        <v>8.0020000000000007</v>
      </c>
      <c r="AN10">
        <v>8.0180000000000007</v>
      </c>
      <c r="AO10">
        <v>7.9980000000000002</v>
      </c>
      <c r="AP10">
        <v>7.9660000000000002</v>
      </c>
    </row>
    <row r="11" spans="2:42" x14ac:dyDescent="0.45">
      <c r="B11" s="6">
        <f t="shared" ref="B11:B18" si="4">32*C11/4095</f>
        <v>2.7584859584859585</v>
      </c>
      <c r="C11" s="4">
        <v>353</v>
      </c>
      <c r="D11" s="5">
        <f t="shared" si="1"/>
        <v>2.6789999999999998</v>
      </c>
      <c r="E11" s="5">
        <f t="shared" si="2"/>
        <v>3.0459999999999998</v>
      </c>
      <c r="F11" s="5">
        <f t="shared" si="3"/>
        <v>2.8345555555555557</v>
      </c>
      <c r="G11">
        <v>2.907</v>
      </c>
      <c r="H11">
        <v>2.9609999999999999</v>
      </c>
      <c r="I11">
        <v>2.9540000000000002</v>
      </c>
      <c r="J11">
        <v>2.9430000000000001</v>
      </c>
      <c r="K11">
        <v>2.8450000000000002</v>
      </c>
      <c r="L11">
        <v>2.8140000000000001</v>
      </c>
      <c r="M11">
        <v>2.968</v>
      </c>
      <c r="N11">
        <v>2.887</v>
      </c>
      <c r="O11">
        <v>2.8940000000000001</v>
      </c>
      <c r="P11">
        <v>2.6789999999999998</v>
      </c>
      <c r="Q11">
        <v>2.9340000000000002</v>
      </c>
      <c r="R11">
        <v>2.9660000000000002</v>
      </c>
      <c r="S11">
        <v>2.794</v>
      </c>
      <c r="T11">
        <v>2.758</v>
      </c>
      <c r="U11">
        <v>2.698</v>
      </c>
      <c r="V11">
        <v>2.7210000000000001</v>
      </c>
      <c r="W11">
        <v>2.7519999999999998</v>
      </c>
      <c r="X11">
        <v>2.7610000000000001</v>
      </c>
      <c r="Y11">
        <v>2.738</v>
      </c>
      <c r="Z11">
        <v>2.8410000000000002</v>
      </c>
      <c r="AA11">
        <v>2.7519999999999998</v>
      </c>
      <c r="AB11">
        <v>2.7360000000000002</v>
      </c>
      <c r="AC11">
        <v>2.7829999999999999</v>
      </c>
      <c r="AD11">
        <v>2.8140000000000001</v>
      </c>
      <c r="AE11">
        <v>2.843</v>
      </c>
      <c r="AF11">
        <v>2.7629999999999999</v>
      </c>
      <c r="AG11">
        <v>2.7229999999999999</v>
      </c>
      <c r="AH11">
        <v>2.823</v>
      </c>
      <c r="AI11">
        <v>2.8809999999999998</v>
      </c>
      <c r="AJ11">
        <v>2.7189999999999999</v>
      </c>
      <c r="AK11">
        <v>2.883</v>
      </c>
      <c r="AL11">
        <v>2.7669999999999999</v>
      </c>
      <c r="AM11">
        <v>2.8959999999999999</v>
      </c>
      <c r="AN11">
        <v>2.903</v>
      </c>
      <c r="AO11">
        <v>2.8969999999999998</v>
      </c>
      <c r="AP11">
        <v>3.0459999999999998</v>
      </c>
    </row>
    <row r="12" spans="2:42" x14ac:dyDescent="0.45">
      <c r="B12" s="6">
        <f t="shared" si="4"/>
        <v>3.9462759462759465</v>
      </c>
      <c r="C12" s="4">
        <v>505</v>
      </c>
      <c r="D12" s="5">
        <f t="shared" si="1"/>
        <v>3.7879999999999998</v>
      </c>
      <c r="E12" s="5">
        <f t="shared" si="2"/>
        <v>4.2649999999999997</v>
      </c>
      <c r="F12" s="5">
        <f t="shared" si="3"/>
        <v>4.0161666666666669</v>
      </c>
      <c r="G12">
        <v>4.0839999999999996</v>
      </c>
      <c r="H12">
        <v>4.1550000000000002</v>
      </c>
      <c r="I12">
        <v>4.1310000000000002</v>
      </c>
      <c r="J12">
        <v>4.1239999999999997</v>
      </c>
      <c r="K12">
        <v>4.0090000000000003</v>
      </c>
      <c r="L12">
        <v>3.98</v>
      </c>
      <c r="M12">
        <v>4.1580000000000004</v>
      </c>
      <c r="N12">
        <v>4.0599999999999996</v>
      </c>
      <c r="O12">
        <v>4.0670000000000002</v>
      </c>
      <c r="P12">
        <v>3.7879999999999998</v>
      </c>
      <c r="Q12">
        <v>4.109</v>
      </c>
      <c r="R12">
        <v>4.1529999999999996</v>
      </c>
      <c r="S12">
        <v>3.9870000000000001</v>
      </c>
      <c r="T12">
        <v>3.9460000000000002</v>
      </c>
      <c r="U12">
        <v>3.88</v>
      </c>
      <c r="V12">
        <v>3.9060000000000001</v>
      </c>
      <c r="W12">
        <v>3.9369999999999998</v>
      </c>
      <c r="X12">
        <v>3.9529999999999998</v>
      </c>
      <c r="Y12">
        <v>3.9260000000000002</v>
      </c>
      <c r="Z12">
        <v>4.0439999999999996</v>
      </c>
      <c r="AA12">
        <v>3.9380000000000002</v>
      </c>
      <c r="AB12">
        <v>3.9169999999999998</v>
      </c>
      <c r="AC12">
        <v>3.9729999999999999</v>
      </c>
      <c r="AD12">
        <v>4.0090000000000003</v>
      </c>
      <c r="AE12">
        <v>4.0330000000000004</v>
      </c>
      <c r="AF12">
        <v>3.9329999999999998</v>
      </c>
      <c r="AG12">
        <v>3.8780000000000001</v>
      </c>
      <c r="AH12">
        <v>4.0090000000000003</v>
      </c>
      <c r="AI12">
        <v>4.0750000000000002</v>
      </c>
      <c r="AJ12">
        <v>3.871</v>
      </c>
      <c r="AK12">
        <v>4.0709999999999997</v>
      </c>
      <c r="AL12">
        <v>3.9350000000000001</v>
      </c>
      <c r="AM12">
        <v>4.0869999999999997</v>
      </c>
      <c r="AN12">
        <v>4.0999999999999996</v>
      </c>
      <c r="AO12">
        <v>4.0910000000000002</v>
      </c>
      <c r="AP12">
        <v>4.2649999999999997</v>
      </c>
    </row>
    <row r="13" spans="2:42" x14ac:dyDescent="0.45">
      <c r="B13" s="6">
        <f t="shared" si="4"/>
        <v>6.2515262515262515</v>
      </c>
      <c r="C13" s="4">
        <v>800</v>
      </c>
      <c r="D13" s="5">
        <f t="shared" si="1"/>
        <v>6.06</v>
      </c>
      <c r="E13" s="5">
        <f t="shared" si="2"/>
        <v>6.62</v>
      </c>
      <c r="F13" s="5">
        <f t="shared" si="3"/>
        <v>6.3293055555555551</v>
      </c>
      <c r="G13">
        <v>6.4109999999999996</v>
      </c>
      <c r="H13">
        <v>6.5049999999999999</v>
      </c>
      <c r="I13">
        <v>6.4580000000000002</v>
      </c>
      <c r="J13">
        <v>6.4509999999999996</v>
      </c>
      <c r="K13">
        <v>6.3239999999999998</v>
      </c>
      <c r="L13">
        <v>6.2960000000000003</v>
      </c>
      <c r="M13">
        <v>6.4980000000000002</v>
      </c>
      <c r="N13">
        <v>6.3739999999999997</v>
      </c>
      <c r="O13">
        <v>6.3959999999999999</v>
      </c>
      <c r="P13">
        <v>6.06</v>
      </c>
      <c r="Q13">
        <v>6.4379999999999997</v>
      </c>
      <c r="R13">
        <v>6.4960000000000004</v>
      </c>
      <c r="S13">
        <v>6.3019999999999996</v>
      </c>
      <c r="T13">
        <v>6.2489999999999997</v>
      </c>
      <c r="U13">
        <v>6.1749999999999998</v>
      </c>
      <c r="V13">
        <v>6.2149999999999999</v>
      </c>
      <c r="W13">
        <v>6.2359999999999998</v>
      </c>
      <c r="X13">
        <v>6.274</v>
      </c>
      <c r="Y13">
        <v>6.2380000000000004</v>
      </c>
      <c r="Z13">
        <v>6.3650000000000002</v>
      </c>
      <c r="AA13">
        <v>6.2450000000000001</v>
      </c>
      <c r="AB13">
        <v>6.2220000000000004</v>
      </c>
      <c r="AC13">
        <v>6.2839999999999998</v>
      </c>
      <c r="AD13">
        <v>6.3239999999999998</v>
      </c>
      <c r="AE13">
        <v>6.3449999999999998</v>
      </c>
      <c r="AF13">
        <v>6.2050000000000001</v>
      </c>
      <c r="AG13">
        <v>6.1449999999999996</v>
      </c>
      <c r="AH13">
        <v>6.3220000000000001</v>
      </c>
      <c r="AI13">
        <v>6.391</v>
      </c>
      <c r="AJ13">
        <v>6.1440000000000001</v>
      </c>
      <c r="AK13">
        <v>6.3849999999999998</v>
      </c>
      <c r="AL13">
        <v>6.22</v>
      </c>
      <c r="AM13">
        <v>6.4089999999999998</v>
      </c>
      <c r="AN13">
        <v>6.4219999999999997</v>
      </c>
      <c r="AO13">
        <v>6.4109999999999996</v>
      </c>
      <c r="AP13">
        <v>6.62</v>
      </c>
    </row>
    <row r="14" spans="2:42" x14ac:dyDescent="0.45">
      <c r="B14" s="6">
        <f t="shared" si="4"/>
        <v>17.191697191697191</v>
      </c>
      <c r="C14" s="4">
        <v>2200</v>
      </c>
      <c r="D14" s="5">
        <f t="shared" si="1"/>
        <v>17.096</v>
      </c>
      <c r="E14" s="5">
        <f t="shared" si="2"/>
        <v>17.503</v>
      </c>
      <c r="F14" s="5">
        <f t="shared" si="3"/>
        <v>17.258972222222223</v>
      </c>
      <c r="G14">
        <v>17.352</v>
      </c>
      <c r="H14">
        <v>17.419</v>
      </c>
      <c r="I14">
        <v>17.366</v>
      </c>
      <c r="J14">
        <v>17.367999999999999</v>
      </c>
      <c r="K14">
        <v>17.257000000000001</v>
      </c>
      <c r="L14">
        <v>17.219000000000001</v>
      </c>
      <c r="M14">
        <v>17.41</v>
      </c>
      <c r="N14">
        <v>17.323</v>
      </c>
      <c r="O14">
        <v>17.277000000000001</v>
      </c>
      <c r="P14">
        <v>17.138999999999999</v>
      </c>
      <c r="Q14">
        <v>17.323</v>
      </c>
      <c r="R14">
        <v>17.356999999999999</v>
      </c>
      <c r="S14">
        <v>17.234000000000002</v>
      </c>
      <c r="T14">
        <v>17.140999999999998</v>
      </c>
      <c r="U14">
        <v>17.096</v>
      </c>
      <c r="V14">
        <v>17.145</v>
      </c>
      <c r="W14">
        <v>17.222999999999999</v>
      </c>
      <c r="X14">
        <v>17.207999999999998</v>
      </c>
      <c r="Y14">
        <v>17.175999999999998</v>
      </c>
      <c r="Z14">
        <v>17.245000000000001</v>
      </c>
      <c r="AA14">
        <v>17.146999999999998</v>
      </c>
      <c r="AB14">
        <v>17.196000000000002</v>
      </c>
      <c r="AC14">
        <v>17.204999999999998</v>
      </c>
      <c r="AD14">
        <v>17.216000000000001</v>
      </c>
      <c r="AE14">
        <v>17.277000000000001</v>
      </c>
      <c r="AF14">
        <v>17.241</v>
      </c>
      <c r="AG14">
        <v>17.149999999999999</v>
      </c>
      <c r="AH14">
        <v>17.207000000000001</v>
      </c>
      <c r="AI14">
        <v>17.324999999999999</v>
      </c>
      <c r="AJ14">
        <v>17.138000000000002</v>
      </c>
      <c r="AK14">
        <v>17.288</v>
      </c>
      <c r="AL14">
        <v>17.167999999999999</v>
      </c>
      <c r="AM14">
        <v>17.337</v>
      </c>
      <c r="AN14">
        <v>17.350000000000001</v>
      </c>
      <c r="AO14">
        <v>17.297000000000001</v>
      </c>
      <c r="AP14">
        <v>17.503</v>
      </c>
    </row>
    <row r="15" spans="2:42" x14ac:dyDescent="0.45">
      <c r="B15" s="6">
        <f t="shared" si="4"/>
        <v>23.443223443223442</v>
      </c>
      <c r="C15" s="4">
        <v>3000</v>
      </c>
      <c r="D15" s="5">
        <f t="shared" si="1"/>
        <v>23.338999999999999</v>
      </c>
      <c r="E15" s="5">
        <f t="shared" si="2"/>
        <v>23.638999999999999</v>
      </c>
      <c r="F15" s="5">
        <f t="shared" si="3"/>
        <v>23.49891666666667</v>
      </c>
      <c r="G15">
        <v>23.59</v>
      </c>
      <c r="H15">
        <v>23.620999999999999</v>
      </c>
      <c r="I15">
        <v>23.608000000000001</v>
      </c>
      <c r="J15">
        <v>23.594000000000001</v>
      </c>
      <c r="K15">
        <v>23.51</v>
      </c>
      <c r="L15">
        <v>23.477</v>
      </c>
      <c r="M15">
        <v>23.588000000000001</v>
      </c>
      <c r="N15">
        <v>23.57</v>
      </c>
      <c r="O15">
        <v>23.445</v>
      </c>
      <c r="P15">
        <v>23.638999999999999</v>
      </c>
      <c r="Q15">
        <v>23.515999999999998</v>
      </c>
      <c r="R15">
        <v>23.507999999999999</v>
      </c>
      <c r="S15">
        <v>23.468</v>
      </c>
      <c r="T15">
        <v>23.363</v>
      </c>
      <c r="U15">
        <v>23.338999999999999</v>
      </c>
      <c r="V15">
        <v>23.376000000000001</v>
      </c>
      <c r="W15">
        <v>23.536999999999999</v>
      </c>
      <c r="X15">
        <v>23.414000000000001</v>
      </c>
      <c r="Y15">
        <v>23.41</v>
      </c>
      <c r="Z15">
        <v>23.39</v>
      </c>
      <c r="AA15">
        <v>23.344999999999999</v>
      </c>
      <c r="AB15">
        <v>23.474</v>
      </c>
      <c r="AC15">
        <v>23.407</v>
      </c>
      <c r="AD15">
        <v>23.378</v>
      </c>
      <c r="AE15">
        <v>23.521000000000001</v>
      </c>
      <c r="AF15">
        <v>23.608000000000001</v>
      </c>
      <c r="AG15">
        <v>23.559000000000001</v>
      </c>
      <c r="AH15">
        <v>23.422999999999998</v>
      </c>
      <c r="AI15">
        <v>23.542999999999999</v>
      </c>
      <c r="AJ15">
        <v>23.536000000000001</v>
      </c>
      <c r="AK15">
        <v>23.513999999999999</v>
      </c>
      <c r="AL15">
        <v>23.49</v>
      </c>
      <c r="AM15">
        <v>23.552</v>
      </c>
      <c r="AN15">
        <v>23.545999999999999</v>
      </c>
      <c r="AO15">
        <v>23.477</v>
      </c>
      <c r="AP15">
        <v>23.625</v>
      </c>
    </row>
    <row r="16" spans="2:42" x14ac:dyDescent="0.45">
      <c r="B16" s="6">
        <f t="shared" si="4"/>
        <v>24.935775335775336</v>
      </c>
      <c r="C16" s="4">
        <v>3191</v>
      </c>
      <c r="D16" s="5">
        <f t="shared" si="1"/>
        <v>24.841999999999999</v>
      </c>
      <c r="E16" s="5">
        <f t="shared" si="2"/>
        <v>25.228999999999999</v>
      </c>
      <c r="F16" s="5">
        <f t="shared" si="3"/>
        <v>25.004361111111116</v>
      </c>
      <c r="G16">
        <v>25.082999999999998</v>
      </c>
      <c r="H16">
        <v>25.111000000000001</v>
      </c>
      <c r="I16">
        <v>25.094000000000001</v>
      </c>
      <c r="J16">
        <v>25.08</v>
      </c>
      <c r="K16">
        <v>25.015999999999998</v>
      </c>
      <c r="L16">
        <v>24.984999999999999</v>
      </c>
      <c r="M16">
        <v>25.065000000000001</v>
      </c>
      <c r="N16">
        <v>25.050999999999998</v>
      </c>
      <c r="O16">
        <v>24.908999999999999</v>
      </c>
      <c r="P16">
        <v>25.228999999999999</v>
      </c>
      <c r="Q16">
        <v>25.003</v>
      </c>
      <c r="R16">
        <v>24.98</v>
      </c>
      <c r="S16">
        <v>24.98</v>
      </c>
      <c r="T16">
        <v>24.864999999999998</v>
      </c>
      <c r="U16">
        <v>24.841999999999999</v>
      </c>
      <c r="V16">
        <v>24.88</v>
      </c>
      <c r="W16">
        <v>25.062000000000001</v>
      </c>
      <c r="X16">
        <v>24.92</v>
      </c>
      <c r="Y16">
        <v>24.9</v>
      </c>
      <c r="Z16">
        <v>24.873999999999999</v>
      </c>
      <c r="AA16">
        <v>24.847000000000001</v>
      </c>
      <c r="AB16">
        <v>25.001999999999999</v>
      </c>
      <c r="AC16">
        <v>24.887</v>
      </c>
      <c r="AD16">
        <v>24.873000000000001</v>
      </c>
      <c r="AE16">
        <v>25.029</v>
      </c>
      <c r="AF16">
        <v>25.183</v>
      </c>
      <c r="AG16">
        <v>25.143000000000001</v>
      </c>
      <c r="AH16">
        <v>24.917999999999999</v>
      </c>
      <c r="AI16">
        <v>25.050999999999998</v>
      </c>
      <c r="AJ16">
        <v>25.1</v>
      </c>
      <c r="AK16">
        <v>25</v>
      </c>
      <c r="AL16">
        <v>25.02</v>
      </c>
      <c r="AM16">
        <v>25.048999999999999</v>
      </c>
      <c r="AN16">
        <v>25.047000000000001</v>
      </c>
      <c r="AO16">
        <v>24.965</v>
      </c>
      <c r="AP16">
        <v>25.114000000000001</v>
      </c>
    </row>
    <row r="17" spans="2:42" x14ac:dyDescent="0.45">
      <c r="B17" s="6">
        <f t="shared" si="4"/>
        <v>25.6</v>
      </c>
      <c r="C17" s="4">
        <v>3276</v>
      </c>
      <c r="D17" s="5">
        <f t="shared" si="1"/>
        <v>25.501000000000001</v>
      </c>
      <c r="E17" s="5">
        <f t="shared" si="2"/>
        <v>25.940999999999999</v>
      </c>
      <c r="F17" s="5">
        <f t="shared" si="3"/>
        <v>25.662083333333328</v>
      </c>
      <c r="G17">
        <v>25.725000000000001</v>
      </c>
      <c r="H17">
        <v>25.739000000000001</v>
      </c>
      <c r="I17">
        <v>25.765000000000001</v>
      </c>
      <c r="J17">
        <v>25.741</v>
      </c>
      <c r="K17">
        <v>25.684999999999999</v>
      </c>
      <c r="L17">
        <v>25.640999999999998</v>
      </c>
      <c r="M17">
        <v>25.71</v>
      </c>
      <c r="N17">
        <v>25.719000000000001</v>
      </c>
      <c r="O17">
        <v>25.568000000000001</v>
      </c>
      <c r="P17">
        <v>25.940999999999999</v>
      </c>
      <c r="Q17">
        <v>25.628</v>
      </c>
      <c r="R17">
        <v>25.617000000000001</v>
      </c>
      <c r="S17">
        <v>25.648</v>
      </c>
      <c r="T17">
        <v>25.523</v>
      </c>
      <c r="U17">
        <v>25.504999999999999</v>
      </c>
      <c r="V17">
        <v>25.536000000000001</v>
      </c>
      <c r="W17">
        <v>25.719000000000001</v>
      </c>
      <c r="X17">
        <v>25.565000000000001</v>
      </c>
      <c r="Y17">
        <v>25.552</v>
      </c>
      <c r="Z17">
        <v>25.501000000000001</v>
      </c>
      <c r="AA17">
        <v>25.51</v>
      </c>
      <c r="AB17">
        <v>25.664999999999999</v>
      </c>
      <c r="AC17">
        <v>25.521000000000001</v>
      </c>
      <c r="AD17">
        <v>25.516999999999999</v>
      </c>
      <c r="AE17">
        <v>25.715</v>
      </c>
      <c r="AF17">
        <v>25.876999999999999</v>
      </c>
      <c r="AG17">
        <v>25.795000000000002</v>
      </c>
      <c r="AH17">
        <v>25.567</v>
      </c>
      <c r="AI17">
        <v>25.696999999999999</v>
      </c>
      <c r="AJ17">
        <v>25.785</v>
      </c>
      <c r="AK17">
        <v>25.655999999999999</v>
      </c>
      <c r="AL17">
        <v>25.702999999999999</v>
      </c>
      <c r="AM17">
        <v>25.712</v>
      </c>
      <c r="AN17">
        <v>25.707999999999998</v>
      </c>
      <c r="AO17">
        <v>25.645</v>
      </c>
      <c r="AP17">
        <v>25.734000000000002</v>
      </c>
    </row>
    <row r="18" spans="2:42" x14ac:dyDescent="0.45">
      <c r="B18" s="6">
        <f t="shared" si="4"/>
        <v>32</v>
      </c>
      <c r="C18" s="4">
        <v>4095</v>
      </c>
      <c r="D18" s="5">
        <f t="shared" si="1"/>
        <v>31.741</v>
      </c>
      <c r="E18" s="5">
        <f t="shared" si="2"/>
        <v>32.697000000000003</v>
      </c>
      <c r="F18" s="5">
        <f t="shared" si="3"/>
        <v>32.03058333333334</v>
      </c>
      <c r="G18">
        <v>32.143999999999998</v>
      </c>
      <c r="H18">
        <v>32.023000000000003</v>
      </c>
      <c r="I18">
        <v>32.140999999999998</v>
      </c>
      <c r="J18">
        <v>32.084000000000003</v>
      </c>
      <c r="K18">
        <v>32.094999999999999</v>
      </c>
      <c r="L18">
        <v>32.045999999999999</v>
      </c>
      <c r="M18">
        <v>32.014000000000003</v>
      </c>
      <c r="N18">
        <v>32.107999999999997</v>
      </c>
      <c r="O18">
        <v>31.847999999999999</v>
      </c>
      <c r="P18">
        <v>32.697000000000003</v>
      </c>
      <c r="Q18">
        <v>31.978999999999999</v>
      </c>
      <c r="R18">
        <v>31.899000000000001</v>
      </c>
      <c r="S18">
        <v>31.978999999999999</v>
      </c>
      <c r="T18">
        <v>31.864999999999998</v>
      </c>
      <c r="U18">
        <v>31.888000000000002</v>
      </c>
      <c r="V18">
        <v>31.873999999999999</v>
      </c>
      <c r="W18">
        <v>32.174999999999997</v>
      </c>
      <c r="X18">
        <v>31.89</v>
      </c>
      <c r="Y18">
        <v>31.893999999999998</v>
      </c>
      <c r="Z18">
        <v>31.741</v>
      </c>
      <c r="AA18">
        <v>31.863</v>
      </c>
      <c r="AB18">
        <v>32.088000000000001</v>
      </c>
      <c r="AC18">
        <v>31.859000000000002</v>
      </c>
      <c r="AD18">
        <v>31.812000000000001</v>
      </c>
      <c r="AE18">
        <v>32.064</v>
      </c>
      <c r="AF18">
        <v>32.396999999999998</v>
      </c>
      <c r="AG18">
        <v>32.395000000000003</v>
      </c>
      <c r="AH18">
        <v>31.863</v>
      </c>
      <c r="AI18">
        <v>32.073999999999998</v>
      </c>
      <c r="AJ18">
        <v>32.335000000000001</v>
      </c>
      <c r="AK18">
        <v>31.966000000000001</v>
      </c>
      <c r="AL18">
        <v>32.130000000000003</v>
      </c>
      <c r="AM18">
        <v>32.018999999999998</v>
      </c>
      <c r="AN18">
        <v>32.008000000000003</v>
      </c>
      <c r="AO18">
        <v>31.893999999999998</v>
      </c>
      <c r="AP18">
        <v>31.95</v>
      </c>
    </row>
    <row r="21" spans="2:42" x14ac:dyDescent="0.45">
      <c r="B21" t="s">
        <v>16</v>
      </c>
      <c r="C21" s="2" t="s">
        <v>0</v>
      </c>
      <c r="D21" s="2" t="s">
        <v>13</v>
      </c>
      <c r="E21" s="2" t="s">
        <v>14</v>
      </c>
      <c r="F21" s="2" t="s">
        <v>15</v>
      </c>
      <c r="G21" s="2" t="s">
        <v>1</v>
      </c>
      <c r="H21" s="2" t="s">
        <v>2</v>
      </c>
      <c r="I21" s="2" t="s">
        <v>3</v>
      </c>
      <c r="J21" s="2" t="s">
        <v>4</v>
      </c>
      <c r="K21" s="2" t="s">
        <v>5</v>
      </c>
      <c r="L21" s="2" t="s">
        <v>6</v>
      </c>
      <c r="M21" s="2" t="s">
        <v>7</v>
      </c>
      <c r="N21" s="2" t="s">
        <v>8</v>
      </c>
      <c r="O21" s="2" t="s">
        <v>9</v>
      </c>
      <c r="P21" s="2" t="s">
        <v>10</v>
      </c>
      <c r="Q21" s="2" t="s">
        <v>11</v>
      </c>
      <c r="R21" s="2" t="s">
        <v>12</v>
      </c>
      <c r="S21" s="2" t="s">
        <v>1</v>
      </c>
      <c r="T21" s="2" t="s">
        <v>2</v>
      </c>
      <c r="U21" s="2" t="s">
        <v>3</v>
      </c>
      <c r="V21" s="2" t="s">
        <v>4</v>
      </c>
      <c r="W21" s="2" t="s">
        <v>5</v>
      </c>
      <c r="X21" s="2" t="s">
        <v>6</v>
      </c>
      <c r="Y21" s="2" t="s">
        <v>7</v>
      </c>
      <c r="Z21" s="2" t="s">
        <v>8</v>
      </c>
      <c r="AA21" s="2" t="s">
        <v>9</v>
      </c>
      <c r="AB21" s="2" t="s">
        <v>10</v>
      </c>
      <c r="AC21" s="2" t="s">
        <v>11</v>
      </c>
      <c r="AD21" s="2" t="s">
        <v>12</v>
      </c>
      <c r="AE21" s="2" t="s">
        <v>1</v>
      </c>
      <c r="AF21" s="2" t="s">
        <v>2</v>
      </c>
      <c r="AG21" s="2" t="s">
        <v>3</v>
      </c>
      <c r="AH21" s="2" t="s">
        <v>4</v>
      </c>
      <c r="AI21" s="2" t="s">
        <v>5</v>
      </c>
      <c r="AJ21" s="2" t="s">
        <v>6</v>
      </c>
      <c r="AK21" s="2" t="s">
        <v>7</v>
      </c>
      <c r="AL21" s="2" t="s">
        <v>8</v>
      </c>
      <c r="AM21" s="2" t="s">
        <v>9</v>
      </c>
      <c r="AN21" s="2" t="s">
        <v>10</v>
      </c>
      <c r="AO21" s="2" t="s">
        <v>11</v>
      </c>
      <c r="AP21" s="2" t="s">
        <v>12</v>
      </c>
    </row>
    <row r="22" spans="2:42" x14ac:dyDescent="0.45">
      <c r="B22" s="6">
        <f t="shared" ref="B22:B29" si="5">8*C22/4095</f>
        <v>0.68962148962148961</v>
      </c>
      <c r="C22" s="3">
        <v>353</v>
      </c>
      <c r="D22" s="1">
        <f>MIN(G22:AP22)</f>
        <v>-2.8452549575070752E-2</v>
      </c>
      <c r="E22" s="1">
        <f>MAX(G22:AP22)</f>
        <v>0.11655453257790373</v>
      </c>
      <c r="F22" s="1">
        <f>AVERAGE(G22:AP22)</f>
        <v>3.6760357648725206E-2</v>
      </c>
      <c r="G22" s="1">
        <f t="shared" ref="G22:AP29" si="6">(G3-$B3)/$B3</f>
        <v>5.4201487252124626E-2</v>
      </c>
      <c r="H22" s="1">
        <f t="shared" si="6"/>
        <v>6.4351983002832847E-2</v>
      </c>
      <c r="I22" s="1">
        <f t="shared" si="6"/>
        <v>9.9153682719546762E-2</v>
      </c>
      <c r="J22" s="1">
        <f t="shared" si="6"/>
        <v>9.3353399433427783E-2</v>
      </c>
      <c r="K22" s="1">
        <f t="shared" si="6"/>
        <v>4.5501062322946151E-2</v>
      </c>
      <c r="L22" s="1">
        <f t="shared" si="6"/>
        <v>-6.7014872521245581E-3</v>
      </c>
      <c r="M22" s="1">
        <f t="shared" si="6"/>
        <v>8.4652974504249301E-2</v>
      </c>
      <c r="N22" s="1">
        <f t="shared" si="6"/>
        <v>5.8551699716713868E-2</v>
      </c>
      <c r="O22" s="1">
        <f t="shared" si="6"/>
        <v>4.5501062322946151E-2</v>
      </c>
      <c r="P22" s="1">
        <f t="shared" si="6"/>
        <v>1.9399787535410714E-2</v>
      </c>
      <c r="Q22" s="1">
        <f t="shared" si="6"/>
        <v>8.0302762039660067E-2</v>
      </c>
      <c r="R22" s="1">
        <f t="shared" si="6"/>
        <v>8.3202903682719556E-2</v>
      </c>
      <c r="S22" s="1">
        <f t="shared" si="6"/>
        <v>1.9399787535410714E-2</v>
      </c>
      <c r="T22" s="1">
        <f t="shared" si="6"/>
        <v>5.4886685552401303E-4</v>
      </c>
      <c r="U22" s="1">
        <f t="shared" si="6"/>
        <v>-2.8452549575070752E-2</v>
      </c>
      <c r="V22" s="1">
        <f t="shared" si="6"/>
        <v>-1.9752124645892277E-2</v>
      </c>
      <c r="W22" s="1">
        <f t="shared" si="6"/>
        <v>1.359950424929173E-2</v>
      </c>
      <c r="X22" s="1">
        <f t="shared" si="6"/>
        <v>-2.2652266288951766E-2</v>
      </c>
      <c r="Y22" s="1">
        <f t="shared" si="6"/>
        <v>-9.6016288951840511E-3</v>
      </c>
      <c r="Z22" s="1">
        <f t="shared" si="6"/>
        <v>4.2600920679886654E-2</v>
      </c>
      <c r="AA22" s="1">
        <f t="shared" si="6"/>
        <v>6.3491501416429981E-3</v>
      </c>
      <c r="AB22" s="1">
        <f t="shared" si="6"/>
        <v>-3.8013456090650651E-3</v>
      </c>
      <c r="AC22" s="1">
        <f t="shared" si="6"/>
        <v>1.6499645892351224E-2</v>
      </c>
      <c r="AD22" s="1">
        <f t="shared" si="6"/>
        <v>2.9550283286118941E-2</v>
      </c>
      <c r="AE22" s="1">
        <f t="shared" si="6"/>
        <v>3.825070821529742E-2</v>
      </c>
      <c r="AF22" s="1">
        <f t="shared" si="6"/>
        <v>1.9399787535410714E-2</v>
      </c>
      <c r="AG22" s="1">
        <f t="shared" si="6"/>
        <v>3.2450424929178434E-2</v>
      </c>
      <c r="AH22" s="1">
        <f t="shared" si="6"/>
        <v>2.6650141643059448E-2</v>
      </c>
      <c r="AI22" s="1">
        <f t="shared" si="6"/>
        <v>5.4201487252124626E-2</v>
      </c>
      <c r="AJ22" s="1">
        <f t="shared" si="6"/>
        <v>1.359950424929173E-2</v>
      </c>
      <c r="AK22" s="1">
        <f t="shared" si="6"/>
        <v>6.725212464589235E-2</v>
      </c>
      <c r="AL22" s="1">
        <f t="shared" si="6"/>
        <v>1.359950424929173E-2</v>
      </c>
      <c r="AM22" s="1">
        <f t="shared" si="6"/>
        <v>6.1451841359773357E-2</v>
      </c>
      <c r="AN22" s="1">
        <f t="shared" si="6"/>
        <v>5.5651558073654371E-2</v>
      </c>
      <c r="AO22" s="1">
        <f t="shared" si="6"/>
        <v>5.8551699716713868E-2</v>
      </c>
      <c r="AP22" s="1">
        <f t="shared" si="6"/>
        <v>0.11655453257790373</v>
      </c>
    </row>
    <row r="23" spans="2:42" x14ac:dyDescent="0.45">
      <c r="B23" s="6">
        <f t="shared" si="5"/>
        <v>0.98656898656898662</v>
      </c>
      <c r="C23" s="3">
        <v>505</v>
      </c>
      <c r="D23" s="1">
        <f t="shared" ref="D23:D37" si="7">MIN(G23:AP23)</f>
        <v>-2.1862623762376316E-2</v>
      </c>
      <c r="E23" s="1">
        <f t="shared" ref="E23:E37" si="8">MAX(G23:AP23)</f>
        <v>8.9634900990098909E-2</v>
      </c>
      <c r="F23" s="1">
        <f t="shared" ref="F23:F37" si="9">AVERAGE(G23:AP23)</f>
        <v>2.4819925742574182E-2</v>
      </c>
      <c r="G23" s="1">
        <f t="shared" si="6"/>
        <v>3.6926980198019661E-2</v>
      </c>
      <c r="H23" s="1">
        <f t="shared" si="6"/>
        <v>4.4022277227722749E-2</v>
      </c>
      <c r="I23" s="1">
        <f t="shared" si="6"/>
        <v>6.834900990099009E-2</v>
      </c>
      <c r="J23" s="1">
        <f t="shared" si="6"/>
        <v>6.834900990099009E-2</v>
      </c>
      <c r="K23" s="1">
        <f t="shared" si="6"/>
        <v>2.5777227722772238E-2</v>
      </c>
      <c r="L23" s="1">
        <f t="shared" si="6"/>
        <v>-9.6992574257426436E-3</v>
      </c>
      <c r="M23" s="1">
        <f t="shared" si="6"/>
        <v>6.0240099009900981E-2</v>
      </c>
      <c r="N23" s="1">
        <f t="shared" si="6"/>
        <v>3.895420792079194E-2</v>
      </c>
      <c r="O23" s="1">
        <f t="shared" si="6"/>
        <v>2.7804455445544517E-2</v>
      </c>
      <c r="P23" s="1">
        <f t="shared" si="6"/>
        <v>1.4504950495048913E-3</v>
      </c>
      <c r="Q23" s="1">
        <f t="shared" si="6"/>
        <v>5.7199257425742452E-2</v>
      </c>
      <c r="R23" s="1">
        <f t="shared" si="6"/>
        <v>5.7199257425742452E-2</v>
      </c>
      <c r="S23" s="1">
        <f t="shared" si="6"/>
        <v>1.868193069306915E-2</v>
      </c>
      <c r="T23" s="1">
        <f t="shared" si="6"/>
        <v>3.4777227722771701E-3</v>
      </c>
      <c r="U23" s="1">
        <f t="shared" si="6"/>
        <v>-2.1862623762376316E-2</v>
      </c>
      <c r="V23" s="1">
        <f t="shared" si="6"/>
        <v>-1.4767326732673339E-2</v>
      </c>
      <c r="W23" s="1">
        <f t="shared" si="6"/>
        <v>1.0573019801980147E-2</v>
      </c>
      <c r="X23" s="1">
        <f t="shared" si="6"/>
        <v>-1.4767326732673339E-2</v>
      </c>
      <c r="Y23" s="1">
        <f t="shared" si="6"/>
        <v>-9.6992574257426436E-3</v>
      </c>
      <c r="Z23" s="1">
        <f t="shared" si="6"/>
        <v>3.6926980198019661E-2</v>
      </c>
      <c r="AA23" s="1">
        <f t="shared" si="6"/>
        <v>3.4777227722771701E-3</v>
      </c>
      <c r="AB23" s="1">
        <f t="shared" si="6"/>
        <v>-1.590346534653527E-3</v>
      </c>
      <c r="AC23" s="1">
        <f t="shared" si="6"/>
        <v>1.4627475247524592E-2</v>
      </c>
      <c r="AD23" s="1">
        <f t="shared" si="6"/>
        <v>2.172277227722768E-2</v>
      </c>
      <c r="AE23" s="1">
        <f t="shared" si="6"/>
        <v>2.5777227722772238E-2</v>
      </c>
      <c r="AF23" s="1">
        <f t="shared" si="6"/>
        <v>7.5321782178217282E-3</v>
      </c>
      <c r="AG23" s="1">
        <f t="shared" si="6"/>
        <v>1.868193069306915E-2</v>
      </c>
      <c r="AH23" s="1">
        <f t="shared" si="6"/>
        <v>1.6654702970296871E-2</v>
      </c>
      <c r="AI23" s="1">
        <f t="shared" si="6"/>
        <v>3.895420792079194E-2</v>
      </c>
      <c r="AJ23" s="1">
        <f t="shared" si="6"/>
        <v>3.4777227722771701E-3</v>
      </c>
      <c r="AK23" s="1">
        <f t="shared" si="6"/>
        <v>4.4022277227722749E-2</v>
      </c>
      <c r="AL23" s="1">
        <f t="shared" si="6"/>
        <v>3.4777227722771701E-3</v>
      </c>
      <c r="AM23" s="1">
        <f t="shared" si="6"/>
        <v>4.199504950495047E-2</v>
      </c>
      <c r="AN23" s="1">
        <f t="shared" si="6"/>
        <v>3.9967821782178191E-2</v>
      </c>
      <c r="AO23" s="1">
        <f t="shared" si="6"/>
        <v>3.9967821782178191E-2</v>
      </c>
      <c r="AP23" s="1">
        <f t="shared" si="6"/>
        <v>8.9634900990098909E-2</v>
      </c>
    </row>
    <row r="24" spans="2:42" x14ac:dyDescent="0.45">
      <c r="B24" s="6">
        <f t="shared" si="5"/>
        <v>1.5628815628815629</v>
      </c>
      <c r="C24" s="3">
        <v>800</v>
      </c>
      <c r="D24" s="1">
        <f t="shared" si="7"/>
        <v>-1.4640624999999977E-2</v>
      </c>
      <c r="E24" s="1">
        <f t="shared" si="8"/>
        <v>6.3420312499999951E-2</v>
      </c>
      <c r="F24" s="1">
        <f t="shared" si="9"/>
        <v>1.7387109375000015E-2</v>
      </c>
      <c r="G24" s="1">
        <f t="shared" si="6"/>
        <v>2.5029687500000061E-2</v>
      </c>
      <c r="H24" s="1">
        <f t="shared" si="6"/>
        <v>3.2067968749999995E-2</v>
      </c>
      <c r="I24" s="1">
        <f t="shared" si="6"/>
        <v>4.8703906250000012E-2</v>
      </c>
      <c r="J24" s="1">
        <f t="shared" si="6"/>
        <v>4.8703906250000012E-2</v>
      </c>
      <c r="K24" s="1">
        <f t="shared" si="6"/>
        <v>1.7991406249999981E-2</v>
      </c>
      <c r="L24" s="1">
        <f t="shared" si="6"/>
        <v>-3.7632812500000379E-3</v>
      </c>
      <c r="M24" s="1">
        <f t="shared" si="6"/>
        <v>4.4864843750000008E-2</v>
      </c>
      <c r="N24" s="1">
        <f t="shared" si="6"/>
        <v>2.758906250000006E-2</v>
      </c>
      <c r="O24" s="1">
        <f t="shared" si="6"/>
        <v>2.0550781249999983E-2</v>
      </c>
      <c r="P24" s="1">
        <f t="shared" si="6"/>
        <v>-2.4835937500000366E-3</v>
      </c>
      <c r="Q24" s="1">
        <f t="shared" si="6"/>
        <v>4.0385937499999927E-2</v>
      </c>
      <c r="R24" s="1">
        <f t="shared" si="6"/>
        <v>4.2305468750000005E-2</v>
      </c>
      <c r="S24" s="1">
        <f t="shared" si="6"/>
        <v>1.479218750000005E-2</v>
      </c>
      <c r="T24" s="1">
        <f t="shared" si="6"/>
        <v>1.9953125000000383E-3</v>
      </c>
      <c r="U24" s="1">
        <f t="shared" si="6"/>
        <v>-1.4640624999999977E-2</v>
      </c>
      <c r="V24" s="1">
        <f t="shared" si="6"/>
        <v>-1.0801562499999973E-2</v>
      </c>
      <c r="W24" s="1">
        <f t="shared" si="6"/>
        <v>9.0335937499999731E-3</v>
      </c>
      <c r="X24" s="1">
        <f t="shared" si="6"/>
        <v>-9.5218749999999713E-3</v>
      </c>
      <c r="Y24" s="1">
        <f t="shared" si="6"/>
        <v>-6.32265625000004E-3</v>
      </c>
      <c r="Z24" s="1">
        <f t="shared" si="6"/>
        <v>2.5029687500000061E-2</v>
      </c>
      <c r="AA24" s="1">
        <f t="shared" si="6"/>
        <v>1.9953125000000383E-3</v>
      </c>
      <c r="AB24" s="1">
        <f t="shared" si="6"/>
        <v>-3.7632812500000379E-3</v>
      </c>
      <c r="AC24" s="1">
        <f t="shared" si="6"/>
        <v>1.0313281249999974E-2</v>
      </c>
      <c r="AD24" s="1">
        <f t="shared" si="6"/>
        <v>1.7351562500000053E-2</v>
      </c>
      <c r="AE24" s="1">
        <f t="shared" si="6"/>
        <v>1.6071875000000051E-2</v>
      </c>
      <c r="AF24" s="1">
        <f t="shared" si="6"/>
        <v>3.2750000000000396E-3</v>
      </c>
      <c r="AG24" s="1">
        <f t="shared" si="6"/>
        <v>7.7539062499999726E-3</v>
      </c>
      <c r="AH24" s="1">
        <f t="shared" si="6"/>
        <v>1.2232812500000047E-2</v>
      </c>
      <c r="AI24" s="1">
        <f t="shared" si="6"/>
        <v>2.6309375000000058E-2</v>
      </c>
      <c r="AJ24" s="1">
        <f t="shared" si="6"/>
        <v>-1.843749999999965E-3</v>
      </c>
      <c r="AK24" s="1">
        <f t="shared" si="6"/>
        <v>3.2067968749999995E-2</v>
      </c>
      <c r="AL24" s="1">
        <f t="shared" si="6"/>
        <v>1.9953125000000383E-3</v>
      </c>
      <c r="AM24" s="1">
        <f t="shared" si="6"/>
        <v>2.8868750000000061E-2</v>
      </c>
      <c r="AN24" s="1">
        <f t="shared" si="6"/>
        <v>2.8868750000000061E-2</v>
      </c>
      <c r="AO24" s="1">
        <f t="shared" si="6"/>
        <v>2.9508593749999992E-2</v>
      </c>
      <c r="AP24" s="1">
        <f t="shared" si="6"/>
        <v>6.3420312499999951E-2</v>
      </c>
    </row>
    <row r="25" spans="2:42" x14ac:dyDescent="0.45">
      <c r="B25" s="6">
        <f t="shared" si="5"/>
        <v>4.2979242979242978</v>
      </c>
      <c r="C25" s="3">
        <v>2200</v>
      </c>
      <c r="D25" s="1">
        <f t="shared" si="7"/>
        <v>-5.7991477272727604E-3</v>
      </c>
      <c r="E25" s="1">
        <f t="shared" si="8"/>
        <v>1.7002556818181962E-2</v>
      </c>
      <c r="F25" s="1">
        <f t="shared" si="9"/>
        <v>4.4835937500000431E-3</v>
      </c>
      <c r="G25" s="1">
        <f t="shared" si="6"/>
        <v>6.29971590909099E-3</v>
      </c>
      <c r="H25" s="1">
        <f t="shared" si="6"/>
        <v>5.6017045454545998E-3</v>
      </c>
      <c r="I25" s="1">
        <f t="shared" si="6"/>
        <v>1.3047159090909153E-2</v>
      </c>
      <c r="J25" s="1">
        <f t="shared" si="6"/>
        <v>1.5141193181818323E-2</v>
      </c>
      <c r="K25" s="1">
        <f t="shared" si="6"/>
        <v>6.765056818181848E-3</v>
      </c>
      <c r="L25" s="1">
        <f t="shared" si="6"/>
        <v>-9.1306818181823653E-4</v>
      </c>
      <c r="M25" s="1">
        <f t="shared" si="6"/>
        <v>1.3047159090909153E-2</v>
      </c>
      <c r="N25" s="1">
        <f t="shared" si="6"/>
        <v>7.6957386363637704E-3</v>
      </c>
      <c r="O25" s="1">
        <f t="shared" si="6"/>
        <v>3.7403409090909622E-3</v>
      </c>
      <c r="P25" s="1">
        <f t="shared" si="6"/>
        <v>2.576988636363714E-3</v>
      </c>
      <c r="Q25" s="1">
        <f t="shared" si="6"/>
        <v>1.1418465909091046E-2</v>
      </c>
      <c r="R25" s="1">
        <f t="shared" si="6"/>
        <v>1.1418465909091046E-2</v>
      </c>
      <c r="S25" s="1">
        <f t="shared" si="6"/>
        <v>3.50767045454543E-3</v>
      </c>
      <c r="T25" s="1">
        <f t="shared" si="6"/>
        <v>-1.61107954545442E-3</v>
      </c>
      <c r="U25" s="1">
        <f t="shared" si="6"/>
        <v>-5.7991477272727604E-3</v>
      </c>
      <c r="V25" s="1">
        <f t="shared" si="6"/>
        <v>-5.1011363636363702E-3</v>
      </c>
      <c r="W25" s="1">
        <f t="shared" si="6"/>
        <v>1.6463068181817918E-3</v>
      </c>
      <c r="X25" s="1">
        <f t="shared" si="6"/>
        <v>-4.6357954545455131E-3</v>
      </c>
      <c r="Y25" s="1">
        <f t="shared" si="6"/>
        <v>-5.5664772727272282E-3</v>
      </c>
      <c r="Z25" s="1">
        <f t="shared" si="6"/>
        <v>3.50767045454543E-3</v>
      </c>
      <c r="AA25" s="1">
        <f t="shared" si="6"/>
        <v>-4.6357954545455131E-3</v>
      </c>
      <c r="AB25" s="1">
        <f t="shared" si="6"/>
        <v>-2.0764204545454844E-3</v>
      </c>
      <c r="AC25" s="1">
        <f t="shared" si="6"/>
        <v>-9.1306818181823653E-4</v>
      </c>
      <c r="AD25" s="1">
        <f t="shared" si="6"/>
        <v>2.1116477272728564E-3</v>
      </c>
      <c r="AE25" s="1">
        <f t="shared" si="6"/>
        <v>5.1363636363637426E-3</v>
      </c>
      <c r="AF25" s="1">
        <f t="shared" si="6"/>
        <v>1.1809659090909338E-3</v>
      </c>
      <c r="AG25" s="1">
        <f t="shared" si="6"/>
        <v>6.765056818181848E-3</v>
      </c>
      <c r="AH25" s="1">
        <f t="shared" si="6"/>
        <v>5.6017045454545998E-3</v>
      </c>
      <c r="AI25" s="1">
        <f t="shared" si="6"/>
        <v>1.1418465909091046E-2</v>
      </c>
      <c r="AJ25" s="1">
        <f t="shared" si="6"/>
        <v>1.7613636363685897E-5</v>
      </c>
      <c r="AK25" s="1">
        <f t="shared" si="6"/>
        <v>9.7897727272727338E-3</v>
      </c>
      <c r="AL25" s="1">
        <f t="shared" si="6"/>
        <v>2.576988636363714E-3</v>
      </c>
      <c r="AM25" s="1">
        <f t="shared" si="6"/>
        <v>8.8590909090910178E-3</v>
      </c>
      <c r="AN25" s="1">
        <f t="shared" si="6"/>
        <v>8.3937499999999533E-3</v>
      </c>
      <c r="AO25" s="1">
        <f t="shared" si="6"/>
        <v>8.3937499999999533E-3</v>
      </c>
      <c r="AP25" s="1">
        <f t="shared" si="6"/>
        <v>1.7002556818181962E-2</v>
      </c>
    </row>
    <row r="26" spans="2:42" x14ac:dyDescent="0.45">
      <c r="B26" s="6">
        <f t="shared" si="5"/>
        <v>5.8608058608058604</v>
      </c>
      <c r="C26" s="3">
        <v>3000</v>
      </c>
      <c r="D26" s="1">
        <f t="shared" si="7"/>
        <v>-6.2799999999999601E-3</v>
      </c>
      <c r="E26" s="1">
        <f t="shared" si="8"/>
        <v>1.0100000000000055E-2</v>
      </c>
      <c r="F26" s="1">
        <f t="shared" si="9"/>
        <v>2.2417708333333998E-3</v>
      </c>
      <c r="G26" s="1">
        <f t="shared" si="6"/>
        <v>3.2750000000000491E-3</v>
      </c>
      <c r="H26" s="1">
        <f t="shared" si="6"/>
        <v>-4.7874999999999226E-4</v>
      </c>
      <c r="I26" s="1">
        <f t="shared" si="6"/>
        <v>6.3462500000000142E-3</v>
      </c>
      <c r="J26" s="1">
        <f t="shared" si="6"/>
        <v>9.2468750000000745E-3</v>
      </c>
      <c r="K26" s="1">
        <f t="shared" si="6"/>
        <v>5.8343749999999949E-3</v>
      </c>
      <c r="L26" s="1">
        <f t="shared" si="6"/>
        <v>2.0375000000008415E-4</v>
      </c>
      <c r="M26" s="1">
        <f t="shared" si="6"/>
        <v>5.4931250000000327E-3</v>
      </c>
      <c r="N26" s="1">
        <f t="shared" si="6"/>
        <v>3.9575000000001258E-3</v>
      </c>
      <c r="O26" s="1">
        <f t="shared" si="6"/>
        <v>8.8625000000000899E-4</v>
      </c>
      <c r="P26" s="1">
        <f t="shared" si="6"/>
        <v>9.5881250000000359E-3</v>
      </c>
      <c r="Q26" s="1">
        <f t="shared" si="6"/>
        <v>5.8343749999999949E-3</v>
      </c>
      <c r="R26" s="1">
        <f t="shared" si="6"/>
        <v>4.2987500000000881E-3</v>
      </c>
      <c r="S26" s="1">
        <f t="shared" si="6"/>
        <v>5.4500000000004664E-4</v>
      </c>
      <c r="T26" s="1">
        <f t="shared" si="6"/>
        <v>-3.5499999999999573E-3</v>
      </c>
      <c r="U26" s="1">
        <f t="shared" si="6"/>
        <v>-4.061874999999977E-3</v>
      </c>
      <c r="V26" s="1">
        <f t="shared" si="6"/>
        <v>-3.8912499999999199E-3</v>
      </c>
      <c r="W26" s="1">
        <f t="shared" si="6"/>
        <v>1.227500000000123E-3</v>
      </c>
      <c r="X26" s="1">
        <f t="shared" si="6"/>
        <v>-5.0856249999998637E-3</v>
      </c>
      <c r="Y26" s="1">
        <f t="shared" si="6"/>
        <v>-5.0856249999998637E-3</v>
      </c>
      <c r="Z26" s="1">
        <f t="shared" si="6"/>
        <v>-2.5262499999999183E-3</v>
      </c>
      <c r="AA26" s="1">
        <f t="shared" si="6"/>
        <v>-6.2799999999999601E-3</v>
      </c>
      <c r="AB26" s="1">
        <f t="shared" si="6"/>
        <v>-2.0143749999998991E-3</v>
      </c>
      <c r="AC26" s="1">
        <f t="shared" si="6"/>
        <v>-3.5499999999999573E-3</v>
      </c>
      <c r="AD26" s="1">
        <f t="shared" si="6"/>
        <v>-2.5262499999999183E-3</v>
      </c>
      <c r="AE26" s="1">
        <f t="shared" si="6"/>
        <v>3.9575000000001258E-3</v>
      </c>
      <c r="AF26" s="1">
        <f t="shared" si="6"/>
        <v>3.2750000000000491E-3</v>
      </c>
      <c r="AG26" s="1">
        <f t="shared" si="6"/>
        <v>1.0100000000000055E-2</v>
      </c>
      <c r="AH26" s="1">
        <f t="shared" si="6"/>
        <v>4.8106250000001073E-3</v>
      </c>
      <c r="AI26" s="1">
        <f t="shared" si="6"/>
        <v>5.4931250000000327E-3</v>
      </c>
      <c r="AJ26" s="1">
        <f t="shared" si="6"/>
        <v>5.4931250000000327E-3</v>
      </c>
      <c r="AK26" s="1">
        <f t="shared" si="6"/>
        <v>4.8106250000001073E-3</v>
      </c>
      <c r="AL26" s="1">
        <f t="shared" si="6"/>
        <v>5.4931250000000327E-3</v>
      </c>
      <c r="AM26" s="1">
        <f t="shared" si="6"/>
        <v>4.6400000000000503E-3</v>
      </c>
      <c r="AN26" s="1">
        <f t="shared" si="6"/>
        <v>4.8106250000001073E-3</v>
      </c>
      <c r="AO26" s="1">
        <f t="shared" si="6"/>
        <v>3.9575000000001258E-3</v>
      </c>
      <c r="AP26" s="1">
        <f t="shared" si="6"/>
        <v>6.175625000000109E-3</v>
      </c>
    </row>
    <row r="27" spans="2:42" x14ac:dyDescent="0.45">
      <c r="B27" s="6">
        <f t="shared" si="5"/>
        <v>6.233943833943834</v>
      </c>
      <c r="C27" s="3">
        <v>3191</v>
      </c>
      <c r="D27" s="1">
        <f t="shared" si="7"/>
        <v>-5.4450015669069065E-3</v>
      </c>
      <c r="E27" s="1">
        <f t="shared" si="8"/>
        <v>1.3162801629583167E-2</v>
      </c>
      <c r="F27" s="1">
        <f t="shared" si="9"/>
        <v>2.6112503917267225E-3</v>
      </c>
      <c r="G27" s="1">
        <f t="shared" si="6"/>
        <v>1.7735427765590804E-3</v>
      </c>
      <c r="H27" s="1">
        <f t="shared" si="6"/>
        <v>-1.4346991538703262E-3</v>
      </c>
      <c r="I27" s="1">
        <f t="shared" si="6"/>
        <v>4.9817847069883441E-3</v>
      </c>
      <c r="J27" s="1">
        <f t="shared" si="6"/>
        <v>8.1900266374177518E-3</v>
      </c>
      <c r="K27" s="1">
        <f t="shared" si="6"/>
        <v>5.6234330930742824E-3</v>
      </c>
      <c r="L27" s="1">
        <f t="shared" si="6"/>
        <v>6.5065810090886636E-4</v>
      </c>
      <c r="M27" s="1">
        <f t="shared" si="6"/>
        <v>4.8213726104669669E-3</v>
      </c>
      <c r="N27" s="1">
        <f t="shared" si="6"/>
        <v>3.5380758382952326E-3</v>
      </c>
      <c r="O27" s="1">
        <f t="shared" si="6"/>
        <v>-1.5140238169859211E-4</v>
      </c>
      <c r="P27" s="1">
        <f t="shared" si="6"/>
        <v>1.284197743654027E-2</v>
      </c>
      <c r="Q27" s="1">
        <f t="shared" si="6"/>
        <v>5.3026089000313848E-3</v>
      </c>
      <c r="R27" s="1">
        <f t="shared" si="6"/>
        <v>3.0568395487308143E-3</v>
      </c>
      <c r="S27" s="1">
        <f t="shared" si="6"/>
        <v>9.0097148229280882E-6</v>
      </c>
      <c r="T27" s="1">
        <f t="shared" si="6"/>
        <v>-2.5575838295205404E-3</v>
      </c>
      <c r="U27" s="1">
        <f t="shared" si="6"/>
        <v>-3.3596443121278563E-3</v>
      </c>
      <c r="V27" s="1">
        <f t="shared" si="6"/>
        <v>-2.8784080225634379E-3</v>
      </c>
      <c r="W27" s="1">
        <f t="shared" si="6"/>
        <v>3.0568395487308143E-3</v>
      </c>
      <c r="X27" s="1">
        <f t="shared" si="6"/>
        <v>-4.3221168912566926E-3</v>
      </c>
      <c r="Y27" s="1">
        <f t="shared" si="6"/>
        <v>-4.6429410842995901E-3</v>
      </c>
      <c r="Z27" s="1">
        <f t="shared" si="6"/>
        <v>-2.8784080225634379E-3</v>
      </c>
      <c r="AA27" s="1">
        <f t="shared" si="6"/>
        <v>-5.4450015669069065E-3</v>
      </c>
      <c r="AB27" s="1">
        <f t="shared" si="6"/>
        <v>-4.7222657474149004E-4</v>
      </c>
      <c r="AC27" s="1">
        <f t="shared" si="6"/>
        <v>-2.8784080225634379E-3</v>
      </c>
      <c r="AD27" s="1">
        <f t="shared" si="6"/>
        <v>-2.8784080225634379E-3</v>
      </c>
      <c r="AE27" s="1">
        <f t="shared" si="6"/>
        <v>4.5005484174239262E-3</v>
      </c>
      <c r="AF27" s="1">
        <f t="shared" si="6"/>
        <v>5.6234330930742824E-3</v>
      </c>
      <c r="AG27" s="1">
        <f t="shared" si="6"/>
        <v>1.3162801629583167E-2</v>
      </c>
      <c r="AH27" s="1">
        <f t="shared" si="6"/>
        <v>6.2650814791600784E-3</v>
      </c>
      <c r="AI27" s="1">
        <f t="shared" si="6"/>
        <v>4.9817847069883441E-3</v>
      </c>
      <c r="AJ27" s="1">
        <f t="shared" si="6"/>
        <v>7.708790347853333E-3</v>
      </c>
      <c r="AK27" s="1">
        <f t="shared" si="6"/>
        <v>4.9817847069883441E-3</v>
      </c>
      <c r="AL27" s="1">
        <f t="shared" si="6"/>
        <v>7.708790347853333E-3</v>
      </c>
      <c r="AM27" s="1">
        <f t="shared" si="6"/>
        <v>4.1797242243810286E-3</v>
      </c>
      <c r="AN27" s="1">
        <f t="shared" si="6"/>
        <v>6.2650814791600784E-3</v>
      </c>
      <c r="AO27" s="1">
        <f t="shared" si="6"/>
        <v>3.8589000313381306E-3</v>
      </c>
      <c r="AP27" s="1">
        <f t="shared" si="6"/>
        <v>4.8213726104669669E-3</v>
      </c>
    </row>
    <row r="28" spans="2:42" x14ac:dyDescent="0.45">
      <c r="B28" s="6">
        <f t="shared" si="5"/>
        <v>6.4</v>
      </c>
      <c r="C28" s="3">
        <v>3276</v>
      </c>
      <c r="D28" s="1">
        <f t="shared" si="7"/>
        <v>-6.2500000000000056E-3</v>
      </c>
      <c r="E28" s="1">
        <f t="shared" si="8"/>
        <v>1.3281249999999994E-2</v>
      </c>
      <c r="F28" s="1">
        <f t="shared" si="9"/>
        <v>2.3046874999999253E-3</v>
      </c>
      <c r="G28" s="1">
        <f t="shared" si="6"/>
        <v>2.1874999999998979E-3</v>
      </c>
      <c r="H28" s="1">
        <f t="shared" si="6"/>
        <v>-2.8125000000001066E-3</v>
      </c>
      <c r="I28" s="1">
        <f t="shared" si="6"/>
        <v>4.2187499999998823E-3</v>
      </c>
      <c r="J28" s="1">
        <f t="shared" si="6"/>
        <v>7.3437499999999545E-3</v>
      </c>
      <c r="K28" s="1">
        <f t="shared" si="6"/>
        <v>5.6249999999999356E-3</v>
      </c>
      <c r="L28" s="1">
        <f t="shared" si="6"/>
        <v>4.6874999999987899E-4</v>
      </c>
      <c r="M28" s="1">
        <f t="shared" si="6"/>
        <v>3.437499999999899E-3</v>
      </c>
      <c r="N28" s="1">
        <f t="shared" si="6"/>
        <v>3.1249999999999334E-3</v>
      </c>
      <c r="O28" s="1">
        <f t="shared" si="6"/>
        <v>-1.0937500000000877E-3</v>
      </c>
      <c r="P28" s="1">
        <f t="shared" si="6"/>
        <v>1.296874999999989E-2</v>
      </c>
      <c r="Q28" s="1">
        <f t="shared" si="6"/>
        <v>5.1562499999999178E-3</v>
      </c>
      <c r="R28" s="1">
        <f t="shared" si="6"/>
        <v>2.5000000000000022E-3</v>
      </c>
      <c r="S28" s="1">
        <f t="shared" si="6"/>
        <v>4.6874999999987899E-4</v>
      </c>
      <c r="T28" s="1">
        <f t="shared" si="6"/>
        <v>-3.1250000000000722E-3</v>
      </c>
      <c r="U28" s="1">
        <f t="shared" si="6"/>
        <v>-3.1250000000000722E-3</v>
      </c>
      <c r="V28" s="1">
        <f t="shared" si="6"/>
        <v>-2.8125000000001066E-3</v>
      </c>
      <c r="W28" s="1">
        <f t="shared" si="6"/>
        <v>1.4062499999999145E-3</v>
      </c>
      <c r="X28" s="1">
        <f t="shared" si="6"/>
        <v>-4.843750000000091E-3</v>
      </c>
      <c r="Y28" s="1">
        <f t="shared" si="6"/>
        <v>-4.5312499999999867E-3</v>
      </c>
      <c r="Z28" s="1">
        <f t="shared" si="6"/>
        <v>-3.4375000000000377E-3</v>
      </c>
      <c r="AA28" s="1">
        <f t="shared" si="6"/>
        <v>-6.2500000000000056E-3</v>
      </c>
      <c r="AB28" s="1">
        <f t="shared" si="6"/>
        <v>-3.1250000000010436E-4</v>
      </c>
      <c r="AC28" s="1">
        <f t="shared" si="6"/>
        <v>-3.4375000000000377E-3</v>
      </c>
      <c r="AD28" s="1">
        <f t="shared" si="6"/>
        <v>-2.8125000000001066E-3</v>
      </c>
      <c r="AE28" s="1">
        <f t="shared" si="6"/>
        <v>4.2187499999998823E-3</v>
      </c>
      <c r="AF28" s="1">
        <f t="shared" si="6"/>
        <v>4.2187499999998823E-3</v>
      </c>
      <c r="AG28" s="1">
        <f t="shared" si="6"/>
        <v>1.3281249999999994E-2</v>
      </c>
      <c r="AH28" s="1">
        <f t="shared" si="6"/>
        <v>5.6249999999999356E-3</v>
      </c>
      <c r="AI28" s="1">
        <f t="shared" si="6"/>
        <v>8.1249999999999378E-3</v>
      </c>
      <c r="AJ28" s="1">
        <f t="shared" si="6"/>
        <v>8.1249999999999378E-3</v>
      </c>
      <c r="AK28" s="1">
        <f t="shared" si="6"/>
        <v>4.8437499999999523E-3</v>
      </c>
      <c r="AL28" s="1">
        <f t="shared" si="6"/>
        <v>7.3437499999999545E-3</v>
      </c>
      <c r="AM28" s="1">
        <f t="shared" si="6"/>
        <v>3.437499999999899E-3</v>
      </c>
      <c r="AN28" s="1">
        <f t="shared" si="6"/>
        <v>5.9374999999999012E-3</v>
      </c>
      <c r="AO28" s="1">
        <f t="shared" si="6"/>
        <v>3.5937499999999512E-3</v>
      </c>
      <c r="AP28" s="1">
        <f t="shared" si="6"/>
        <v>3.9062499999999167E-3</v>
      </c>
    </row>
    <row r="29" spans="2:42" x14ac:dyDescent="0.45">
      <c r="B29" s="6">
        <f t="shared" si="5"/>
        <v>8</v>
      </c>
      <c r="C29" s="3">
        <v>4095</v>
      </c>
      <c r="D29" s="1">
        <f t="shared" si="7"/>
        <v>-8.6249999999999938E-3</v>
      </c>
      <c r="E29" s="1">
        <f t="shared" si="8"/>
        <v>2.0499999999999963E-2</v>
      </c>
      <c r="F29" s="1">
        <f t="shared" si="9"/>
        <v>5.6944444444444035E-4</v>
      </c>
      <c r="G29" s="1">
        <f t="shared" si="6"/>
        <v>-8.7499999999995914E-4</v>
      </c>
      <c r="H29" s="1">
        <f t="shared" si="6"/>
        <v>-6.4999999999999503E-3</v>
      </c>
      <c r="I29" s="1">
        <f t="shared" si="6"/>
        <v>0</v>
      </c>
      <c r="J29" s="1">
        <f t="shared" ref="J29:AP29" si="10">(J10-$B10)/$B10</f>
        <v>4.1249999999999343E-3</v>
      </c>
      <c r="K29" s="1">
        <f t="shared" si="10"/>
        <v>4.750000000000032E-3</v>
      </c>
      <c r="L29" s="1">
        <f t="shared" si="10"/>
        <v>1.1250000000000426E-3</v>
      </c>
      <c r="M29" s="1">
        <f t="shared" si="10"/>
        <v>-1.1250000000000426E-3</v>
      </c>
      <c r="N29" s="1">
        <f t="shared" si="10"/>
        <v>8.7499999999995914E-4</v>
      </c>
      <c r="O29" s="1">
        <f t="shared" si="10"/>
        <v>-3.1250000000000444E-3</v>
      </c>
      <c r="P29" s="1">
        <f t="shared" si="10"/>
        <v>2.0499999999999963E-2</v>
      </c>
      <c r="Q29" s="1">
        <f t="shared" si="10"/>
        <v>7.5000000000002842E-4</v>
      </c>
      <c r="R29" s="1">
        <f t="shared" si="10"/>
        <v>-2.7500000000000302E-3</v>
      </c>
      <c r="S29" s="1">
        <f t="shared" si="10"/>
        <v>-1.7500000000000293E-3</v>
      </c>
      <c r="T29" s="1">
        <f t="shared" si="10"/>
        <v>-4.4999999999999485E-3</v>
      </c>
      <c r="U29" s="1">
        <f t="shared" si="10"/>
        <v>-2.4999999999999467E-3</v>
      </c>
      <c r="V29" s="1">
        <f t="shared" si="10"/>
        <v>-2.2499999999999742E-3</v>
      </c>
      <c r="W29" s="1">
        <f t="shared" si="10"/>
        <v>1.1250000000000426E-3</v>
      </c>
      <c r="X29" s="1">
        <f t="shared" si="10"/>
        <v>-6.1250000000000471E-3</v>
      </c>
      <c r="Y29" s="1">
        <f t="shared" si="10"/>
        <v>-4.4999999999999485E-3</v>
      </c>
      <c r="Z29" s="1">
        <f t="shared" si="10"/>
        <v>-8.6249999999999938E-3</v>
      </c>
      <c r="AA29" s="1">
        <f t="shared" si="10"/>
        <v>-6.3750000000000195E-3</v>
      </c>
      <c r="AB29" s="1">
        <f t="shared" si="10"/>
        <v>-1.1250000000000426E-3</v>
      </c>
      <c r="AC29" s="1">
        <f t="shared" si="10"/>
        <v>-5.3750000000000187E-3</v>
      </c>
      <c r="AD29" s="1">
        <f t="shared" si="10"/>
        <v>-6.7500000000000338E-3</v>
      </c>
      <c r="AE29" s="1">
        <f t="shared" si="10"/>
        <v>2.1249999999999325E-3</v>
      </c>
      <c r="AF29" s="1">
        <f t="shared" si="10"/>
        <v>5.7499999999999218E-3</v>
      </c>
      <c r="AG29" s="1">
        <f t="shared" si="10"/>
        <v>1.6874999999999973E-2</v>
      </c>
      <c r="AH29" s="1">
        <f t="shared" si="10"/>
        <v>4.1249999999999343E-3</v>
      </c>
      <c r="AI29" s="1">
        <f t="shared" si="10"/>
        <v>2.4999999999999467E-3</v>
      </c>
      <c r="AJ29" s="1">
        <f t="shared" si="10"/>
        <v>1.1374999999999913E-2</v>
      </c>
      <c r="AK29" s="1">
        <f t="shared" si="10"/>
        <v>1.8750000000000711E-3</v>
      </c>
      <c r="AL29" s="1">
        <f t="shared" si="10"/>
        <v>8.8749999999999662E-3</v>
      </c>
      <c r="AM29" s="1">
        <f t="shared" si="10"/>
        <v>2.5000000000008349E-4</v>
      </c>
      <c r="AN29" s="1">
        <f t="shared" si="10"/>
        <v>2.2500000000000853E-3</v>
      </c>
      <c r="AO29" s="1">
        <f t="shared" si="10"/>
        <v>-2.4999999999997247E-4</v>
      </c>
      <c r="AP29" s="1">
        <f t="shared" si="10"/>
        <v>-4.249999999999976E-3</v>
      </c>
    </row>
    <row r="30" spans="2:42" x14ac:dyDescent="0.45">
      <c r="B30" s="6">
        <f t="shared" ref="B30:B37" si="11">32*C30/4095</f>
        <v>2.7584859584859585</v>
      </c>
      <c r="C30" s="4">
        <v>353</v>
      </c>
      <c r="D30" s="1">
        <f t="shared" si="7"/>
        <v>-2.881506728045331E-2</v>
      </c>
      <c r="E30" s="1">
        <f t="shared" si="8"/>
        <v>0.10422893059490079</v>
      </c>
      <c r="F30" s="1">
        <f t="shared" si="9"/>
        <v>2.7576575779036834E-2</v>
      </c>
      <c r="G30" s="1">
        <f t="shared" ref="G30:AP37" si="12">(G11-$B11)/$B11</f>
        <v>5.3838969546742228E-2</v>
      </c>
      <c r="H30" s="1">
        <f t="shared" si="12"/>
        <v>7.3414925637393727E-2</v>
      </c>
      <c r="I30" s="1">
        <f t="shared" si="12"/>
        <v>7.0877301699716788E-2</v>
      </c>
      <c r="J30" s="1">
        <f t="shared" si="12"/>
        <v>6.6889606940509952E-2</v>
      </c>
      <c r="K30" s="1">
        <f t="shared" si="12"/>
        <v>3.1362871813031247E-2</v>
      </c>
      <c r="L30" s="1">
        <f t="shared" si="12"/>
        <v>2.012482294617567E-2</v>
      </c>
      <c r="M30" s="1">
        <f t="shared" si="12"/>
        <v>7.5952549575070818E-2</v>
      </c>
      <c r="N30" s="1">
        <f t="shared" si="12"/>
        <v>4.6588615439093498E-2</v>
      </c>
      <c r="O30" s="1">
        <f t="shared" si="12"/>
        <v>4.9126239376770596E-2</v>
      </c>
      <c r="P30" s="1">
        <f t="shared" si="12"/>
        <v>-2.881506728045331E-2</v>
      </c>
      <c r="Q30" s="1">
        <f t="shared" si="12"/>
        <v>6.3626947592068064E-2</v>
      </c>
      <c r="R30" s="1">
        <f t="shared" si="12"/>
        <v>7.5227514164306036E-2</v>
      </c>
      <c r="S30" s="1">
        <f t="shared" si="12"/>
        <v>1.2874468838526937E-2</v>
      </c>
      <c r="T30" s="1">
        <f t="shared" si="12"/>
        <v>-1.7616855524077969E-4</v>
      </c>
      <c r="U30" s="1">
        <f t="shared" si="12"/>
        <v>-2.1927230878186973E-2</v>
      </c>
      <c r="V30" s="1">
        <f t="shared" si="12"/>
        <v>-1.3589323654390893E-2</v>
      </c>
      <c r="W30" s="1">
        <f t="shared" si="12"/>
        <v>-2.3512747875354795E-3</v>
      </c>
      <c r="X30" s="1">
        <f t="shared" si="12"/>
        <v>9.1138456090657032E-4</v>
      </c>
      <c r="Y30" s="1">
        <f t="shared" si="12"/>
        <v>-7.4265226628895111E-3</v>
      </c>
      <c r="Z30" s="1">
        <f t="shared" si="12"/>
        <v>2.9912800991501499E-2</v>
      </c>
      <c r="AA30" s="1">
        <f t="shared" si="12"/>
        <v>-2.3512747875354795E-3</v>
      </c>
      <c r="AB30" s="1">
        <f t="shared" si="12"/>
        <v>-8.1515580736543046E-3</v>
      </c>
      <c r="AC30" s="1">
        <f t="shared" si="12"/>
        <v>8.886774079320094E-3</v>
      </c>
      <c r="AD30" s="1">
        <f t="shared" si="12"/>
        <v>2.012482294617567E-2</v>
      </c>
      <c r="AE30" s="1">
        <f t="shared" si="12"/>
        <v>3.0637836402266291E-2</v>
      </c>
      <c r="AF30" s="1">
        <f t="shared" si="12"/>
        <v>1.636419971671363E-3</v>
      </c>
      <c r="AG30" s="1">
        <f t="shared" si="12"/>
        <v>-1.28642882436261E-2</v>
      </c>
      <c r="AH30" s="1">
        <f t="shared" si="12"/>
        <v>2.3387482294617557E-2</v>
      </c>
      <c r="AI30" s="1">
        <f t="shared" si="12"/>
        <v>4.4413509206798797E-2</v>
      </c>
      <c r="AJ30" s="1">
        <f t="shared" si="12"/>
        <v>-1.4314359065155846E-2</v>
      </c>
      <c r="AK30" s="1">
        <f t="shared" si="12"/>
        <v>4.5138544617563753E-2</v>
      </c>
      <c r="AL30" s="1">
        <f t="shared" si="12"/>
        <v>3.0864907932011093E-3</v>
      </c>
      <c r="AM30" s="1">
        <f t="shared" si="12"/>
        <v>4.9851274787535392E-2</v>
      </c>
      <c r="AN30" s="1">
        <f t="shared" si="12"/>
        <v>5.2388898725212484E-2</v>
      </c>
      <c r="AO30" s="1">
        <f t="shared" si="12"/>
        <v>5.0213792492917783E-2</v>
      </c>
      <c r="AP30" s="1">
        <f t="shared" si="12"/>
        <v>0.10422893059490079</v>
      </c>
    </row>
    <row r="31" spans="2:42" x14ac:dyDescent="0.45">
      <c r="B31" s="6">
        <f t="shared" si="11"/>
        <v>3.9462759462759465</v>
      </c>
      <c r="C31" s="4">
        <v>505</v>
      </c>
      <c r="D31" s="1">
        <f t="shared" si="7"/>
        <v>-4.0107673267326824E-2</v>
      </c>
      <c r="E31" s="1">
        <f t="shared" si="8"/>
        <v>8.0765779702970164E-2</v>
      </c>
      <c r="F31" s="1">
        <f t="shared" si="9"/>
        <v>1.7710550742574202E-2</v>
      </c>
      <c r="G31" s="1">
        <f t="shared" si="12"/>
        <v>3.4899752475247382E-2</v>
      </c>
      <c r="H31" s="1">
        <f t="shared" si="12"/>
        <v>5.2891398514851494E-2</v>
      </c>
      <c r="I31" s="1">
        <f t="shared" si="12"/>
        <v>4.6809715346534664E-2</v>
      </c>
      <c r="J31" s="1">
        <f t="shared" si="12"/>
        <v>4.5035891089108777E-2</v>
      </c>
      <c r="K31" s="1">
        <f t="shared" si="12"/>
        <v>1.5894492574257464E-2</v>
      </c>
      <c r="L31" s="1">
        <f t="shared" si="12"/>
        <v>8.5457920792078677E-3</v>
      </c>
      <c r="M31" s="1">
        <f t="shared" si="12"/>
        <v>5.365160891089113E-2</v>
      </c>
      <c r="N31" s="1">
        <f t="shared" si="12"/>
        <v>2.8818069306930545E-2</v>
      </c>
      <c r="O31" s="1">
        <f t="shared" si="12"/>
        <v>3.0591893564356428E-2</v>
      </c>
      <c r="P31" s="1">
        <f t="shared" si="12"/>
        <v>-4.0107673267326824E-2</v>
      </c>
      <c r="Q31" s="1">
        <f t="shared" si="12"/>
        <v>4.1234839108910834E-2</v>
      </c>
      <c r="R31" s="1">
        <f t="shared" si="12"/>
        <v>5.2384591584158258E-2</v>
      </c>
      <c r="S31" s="1">
        <f t="shared" si="12"/>
        <v>1.031961633663364E-2</v>
      </c>
      <c r="T31" s="1">
        <f t="shared" si="12"/>
        <v>-6.9925742574261676E-5</v>
      </c>
      <c r="U31" s="1">
        <f t="shared" si="12"/>
        <v>-1.6794554455445618E-2</v>
      </c>
      <c r="V31" s="1">
        <f t="shared" si="12"/>
        <v>-1.0206064356435656E-2</v>
      </c>
      <c r="W31" s="1">
        <f t="shared" si="12"/>
        <v>-2.3505569306931599E-3</v>
      </c>
      <c r="X31" s="1">
        <f t="shared" si="12"/>
        <v>1.703898514851398E-3</v>
      </c>
      <c r="Y31" s="1">
        <f t="shared" si="12"/>
        <v>-5.1379950495049594E-3</v>
      </c>
      <c r="Z31" s="1">
        <f t="shared" si="12"/>
        <v>2.4763613861385987E-2</v>
      </c>
      <c r="AA31" s="1">
        <f t="shared" si="12"/>
        <v>-2.0971534653465404E-3</v>
      </c>
      <c r="AB31" s="1">
        <f t="shared" si="12"/>
        <v>-7.4186262376238574E-3</v>
      </c>
      <c r="AC31" s="1">
        <f t="shared" si="12"/>
        <v>6.7719678217820949E-3</v>
      </c>
      <c r="AD31" s="1">
        <f t="shared" si="12"/>
        <v>1.5894492574257464E-2</v>
      </c>
      <c r="AE31" s="1">
        <f t="shared" si="12"/>
        <v>2.1976175742574301E-2</v>
      </c>
      <c r="AF31" s="1">
        <f t="shared" si="12"/>
        <v>-3.3641707920792994E-3</v>
      </c>
      <c r="AG31" s="1">
        <f t="shared" si="12"/>
        <v>-1.7301361386138633E-2</v>
      </c>
      <c r="AH31" s="1">
        <f t="shared" si="12"/>
        <v>1.5894492574257464E-2</v>
      </c>
      <c r="AI31" s="1">
        <f t="shared" si="12"/>
        <v>3.2619121287128711E-2</v>
      </c>
      <c r="AJ31" s="1">
        <f t="shared" si="12"/>
        <v>-1.9075185643564405E-2</v>
      </c>
      <c r="AK31" s="1">
        <f t="shared" si="12"/>
        <v>3.1605507425742453E-2</v>
      </c>
      <c r="AL31" s="1">
        <f t="shared" si="12"/>
        <v>-2.8573638613861732E-3</v>
      </c>
      <c r="AM31" s="1">
        <f t="shared" si="12"/>
        <v>3.5659962871287011E-2</v>
      </c>
      <c r="AN31" s="1">
        <f t="shared" si="12"/>
        <v>3.895420792079194E-2</v>
      </c>
      <c r="AO31" s="1">
        <f t="shared" si="12"/>
        <v>3.6673576732673269E-2</v>
      </c>
      <c r="AP31" s="1">
        <f t="shared" si="12"/>
        <v>8.0765779702970164E-2</v>
      </c>
    </row>
    <row r="32" spans="2:42" x14ac:dyDescent="0.45">
      <c r="B32" s="6">
        <f t="shared" si="11"/>
        <v>6.2515262515262515</v>
      </c>
      <c r="C32" s="4">
        <v>800</v>
      </c>
      <c r="D32" s="1">
        <f t="shared" si="7"/>
        <v>-3.0636718750000062E-2</v>
      </c>
      <c r="E32" s="1">
        <f t="shared" si="8"/>
        <v>5.8941406250000015E-2</v>
      </c>
      <c r="F32" s="1">
        <f t="shared" si="9"/>
        <v>1.2441650390624991E-2</v>
      </c>
      <c r="G32" s="1">
        <f t="shared" si="12"/>
        <v>2.5509570312499934E-2</v>
      </c>
      <c r="H32" s="1">
        <f t="shared" si="12"/>
        <v>4.0545898437499985E-2</v>
      </c>
      <c r="I32" s="1">
        <f t="shared" si="12"/>
        <v>3.3027734375000027E-2</v>
      </c>
      <c r="J32" s="1">
        <f t="shared" si="12"/>
        <v>3.1908007812499938E-2</v>
      </c>
      <c r="K32" s="1">
        <f t="shared" si="12"/>
        <v>1.1592968749999976E-2</v>
      </c>
      <c r="L32" s="1">
        <f t="shared" si="12"/>
        <v>7.1140625000000431E-3</v>
      </c>
      <c r="M32" s="1">
        <f t="shared" si="12"/>
        <v>3.9426171875000034E-2</v>
      </c>
      <c r="N32" s="1">
        <f t="shared" si="12"/>
        <v>1.9591015624999947E-2</v>
      </c>
      <c r="O32" s="1">
        <f t="shared" si="12"/>
        <v>2.3110156249999986E-2</v>
      </c>
      <c r="P32" s="1">
        <f t="shared" si="12"/>
        <v>-3.0636718750000062E-2</v>
      </c>
      <c r="Q32" s="1">
        <f t="shared" si="12"/>
        <v>2.9828515624999958E-2</v>
      </c>
      <c r="R32" s="1">
        <f t="shared" si="12"/>
        <v>3.9106250000000072E-2</v>
      </c>
      <c r="S32" s="1">
        <f t="shared" si="12"/>
        <v>8.0738281249999374E-3</v>
      </c>
      <c r="T32" s="1">
        <f t="shared" si="12"/>
        <v>-4.0410156250005253E-4</v>
      </c>
      <c r="U32" s="1">
        <f t="shared" si="12"/>
        <v>-1.2241210937500028E-2</v>
      </c>
      <c r="V32" s="1">
        <f t="shared" si="12"/>
        <v>-5.8427734375000222E-3</v>
      </c>
      <c r="W32" s="1">
        <f t="shared" si="12"/>
        <v>-2.4835937500000366E-3</v>
      </c>
      <c r="X32" s="1">
        <f t="shared" si="12"/>
        <v>3.5949218750000044E-3</v>
      </c>
      <c r="Y32" s="1">
        <f t="shared" si="12"/>
        <v>-2.16367187499993E-3</v>
      </c>
      <c r="Z32" s="1">
        <f t="shared" si="12"/>
        <v>1.8151367187500034E-2</v>
      </c>
      <c r="AA32" s="1">
        <f t="shared" si="12"/>
        <v>-1.0439453124999822E-3</v>
      </c>
      <c r="AB32" s="1">
        <f t="shared" si="12"/>
        <v>-4.7230468749999317E-3</v>
      </c>
      <c r="AC32" s="1">
        <f t="shared" si="12"/>
        <v>5.19453124999997E-3</v>
      </c>
      <c r="AD32" s="1">
        <f t="shared" si="12"/>
        <v>1.1592968749999976E-2</v>
      </c>
      <c r="AE32" s="1">
        <f t="shared" si="12"/>
        <v>1.4952148437499962E-2</v>
      </c>
      <c r="AF32" s="1">
        <f t="shared" si="12"/>
        <v>-7.4423828124999874E-3</v>
      </c>
      <c r="AG32" s="1">
        <f t="shared" si="12"/>
        <v>-1.7040039062500068E-2</v>
      </c>
      <c r="AH32" s="1">
        <f t="shared" si="12"/>
        <v>1.1273046875000012E-2</v>
      </c>
      <c r="AI32" s="1">
        <f t="shared" si="12"/>
        <v>2.2310351562500004E-2</v>
      </c>
      <c r="AJ32" s="1">
        <f t="shared" si="12"/>
        <v>-1.7199999999999979E-2</v>
      </c>
      <c r="AK32" s="1">
        <f t="shared" si="12"/>
        <v>2.1350585937499968E-2</v>
      </c>
      <c r="AL32" s="1">
        <f t="shared" si="12"/>
        <v>-5.0429687500000387E-3</v>
      </c>
      <c r="AM32" s="1">
        <f t="shared" si="12"/>
        <v>2.5189648437499969E-2</v>
      </c>
      <c r="AN32" s="1">
        <f t="shared" si="12"/>
        <v>2.7269140624999955E-2</v>
      </c>
      <c r="AO32" s="1">
        <f t="shared" si="12"/>
        <v>2.5509570312499934E-2</v>
      </c>
      <c r="AP32" s="1">
        <f t="shared" si="12"/>
        <v>5.8941406250000015E-2</v>
      </c>
    </row>
    <row r="33" spans="2:42" x14ac:dyDescent="0.45">
      <c r="B33" s="6">
        <f t="shared" si="11"/>
        <v>17.191697191697191</v>
      </c>
      <c r="C33" s="4">
        <v>2200</v>
      </c>
      <c r="D33" s="1">
        <f t="shared" si="7"/>
        <v>-5.5664772727272282E-3</v>
      </c>
      <c r="E33" s="1">
        <f t="shared" si="8"/>
        <v>1.8107741477272774E-2</v>
      </c>
      <c r="F33" s="1">
        <f t="shared" si="9"/>
        <v>3.9132279829545858E-3</v>
      </c>
      <c r="G33" s="1">
        <f t="shared" si="12"/>
        <v>9.3244318181818758E-3</v>
      </c>
      <c r="H33" s="1">
        <f t="shared" si="12"/>
        <v>1.322166193181825E-2</v>
      </c>
      <c r="I33" s="1">
        <f t="shared" si="12"/>
        <v>1.0138778409090929E-2</v>
      </c>
      <c r="J33" s="1">
        <f t="shared" si="12"/>
        <v>1.0255113636363592E-2</v>
      </c>
      <c r="K33" s="1">
        <f t="shared" si="12"/>
        <v>3.7985085227273969E-3</v>
      </c>
      <c r="L33" s="1">
        <f t="shared" si="12"/>
        <v>1.5881392045455636E-3</v>
      </c>
      <c r="M33" s="1">
        <f t="shared" si="12"/>
        <v>1.2698153409090958E-2</v>
      </c>
      <c r="N33" s="1">
        <f t="shared" si="12"/>
        <v>7.6375710227273358E-3</v>
      </c>
      <c r="O33" s="1">
        <f t="shared" si="12"/>
        <v>4.9618607954546451E-3</v>
      </c>
      <c r="P33" s="1">
        <f t="shared" si="12"/>
        <v>-3.0652698863636351E-3</v>
      </c>
      <c r="Q33" s="1">
        <f t="shared" si="12"/>
        <v>7.6375710227273358E-3</v>
      </c>
      <c r="R33" s="1">
        <f t="shared" si="12"/>
        <v>9.6152698863636362E-3</v>
      </c>
      <c r="S33" s="1">
        <f t="shared" si="12"/>
        <v>2.4606534090910511E-3</v>
      </c>
      <c r="T33" s="1">
        <f t="shared" si="12"/>
        <v>-2.9489346590909722E-3</v>
      </c>
      <c r="U33" s="1">
        <f t="shared" si="12"/>
        <v>-5.5664772727272282E-3</v>
      </c>
      <c r="V33" s="1">
        <f t="shared" si="12"/>
        <v>-2.71626420454544E-3</v>
      </c>
      <c r="W33" s="1">
        <f t="shared" si="12"/>
        <v>1.8208096590908893E-3</v>
      </c>
      <c r="X33" s="1">
        <f t="shared" si="12"/>
        <v>9.4829545454540158E-4</v>
      </c>
      <c r="Y33" s="1">
        <f t="shared" si="12"/>
        <v>-9.1306818181823653E-4</v>
      </c>
      <c r="Z33" s="1">
        <f t="shared" si="12"/>
        <v>3.1004971590910067E-3</v>
      </c>
      <c r="AA33" s="1">
        <f t="shared" si="12"/>
        <v>-2.5999289772727771E-3</v>
      </c>
      <c r="AB33" s="1">
        <f t="shared" si="12"/>
        <v>2.5028409090921817E-4</v>
      </c>
      <c r="AC33" s="1">
        <f t="shared" si="12"/>
        <v>7.7379261363630413E-4</v>
      </c>
      <c r="AD33" s="1">
        <f t="shared" si="12"/>
        <v>1.4136363636364662E-3</v>
      </c>
      <c r="AE33" s="1">
        <f t="shared" si="12"/>
        <v>4.9618607954546451E-3</v>
      </c>
      <c r="AF33" s="1">
        <f t="shared" si="12"/>
        <v>2.8678267045454744E-3</v>
      </c>
      <c r="AG33" s="1">
        <f t="shared" si="12"/>
        <v>-2.4254261363636795E-3</v>
      </c>
      <c r="AH33" s="1">
        <f t="shared" si="12"/>
        <v>8.9012784090917356E-4</v>
      </c>
      <c r="AI33" s="1">
        <f t="shared" si="12"/>
        <v>7.7539062499999986E-3</v>
      </c>
      <c r="AJ33" s="1">
        <f t="shared" si="12"/>
        <v>-3.1234374999998629E-3</v>
      </c>
      <c r="AK33" s="1">
        <f t="shared" si="12"/>
        <v>5.6017045454545998E-3</v>
      </c>
      <c r="AL33" s="1">
        <f t="shared" si="12"/>
        <v>-1.3784090909090944E-3</v>
      </c>
      <c r="AM33" s="1">
        <f t="shared" si="12"/>
        <v>8.451917613636388E-3</v>
      </c>
      <c r="AN33" s="1">
        <f t="shared" si="12"/>
        <v>9.2080965909092129E-3</v>
      </c>
      <c r="AO33" s="1">
        <f t="shared" si="12"/>
        <v>6.1252130681818924E-3</v>
      </c>
      <c r="AP33" s="1">
        <f t="shared" si="12"/>
        <v>1.8107741477272774E-2</v>
      </c>
    </row>
    <row r="34" spans="2:42" x14ac:dyDescent="0.45">
      <c r="B34" s="6">
        <f t="shared" si="11"/>
        <v>23.443223443223442</v>
      </c>
      <c r="C34" s="4">
        <v>3000</v>
      </c>
      <c r="D34" s="1">
        <f t="shared" si="7"/>
        <v>-4.4457812499999914E-3</v>
      </c>
      <c r="E34" s="1">
        <f t="shared" si="8"/>
        <v>8.3510937500000399E-3</v>
      </c>
      <c r="F34" s="1">
        <f t="shared" si="9"/>
        <v>2.3756640625000654E-3</v>
      </c>
      <c r="G34" s="1">
        <f t="shared" si="12"/>
        <v>6.2609375000000616E-3</v>
      </c>
      <c r="H34" s="1">
        <f t="shared" si="12"/>
        <v>7.583281250000011E-3</v>
      </c>
      <c r="I34" s="1">
        <f t="shared" si="12"/>
        <v>7.0287500000000905E-3</v>
      </c>
      <c r="J34" s="1">
        <f t="shared" si="12"/>
        <v>6.4315625000001186E-3</v>
      </c>
      <c r="K34" s="1">
        <f t="shared" si="12"/>
        <v>2.8484375000001338E-3</v>
      </c>
      <c r="L34" s="1">
        <f t="shared" si="12"/>
        <v>1.4407812500000807E-3</v>
      </c>
      <c r="M34" s="1">
        <f t="shared" si="12"/>
        <v>6.175625000000109E-3</v>
      </c>
      <c r="N34" s="1">
        <f t="shared" si="12"/>
        <v>5.4078125000000792E-3</v>
      </c>
      <c r="O34" s="1">
        <f t="shared" si="12"/>
        <v>7.5781250000079298E-5</v>
      </c>
      <c r="P34" s="1">
        <f t="shared" si="12"/>
        <v>8.3510937500000399E-3</v>
      </c>
      <c r="Q34" s="1">
        <f t="shared" si="12"/>
        <v>3.1043749999999921E-3</v>
      </c>
      <c r="R34" s="1">
        <f t="shared" si="12"/>
        <v>2.7631250000000299E-3</v>
      </c>
      <c r="S34" s="1">
        <f t="shared" si="12"/>
        <v>1.056875000000066E-3</v>
      </c>
      <c r="T34" s="1">
        <f t="shared" si="12"/>
        <v>-3.4220312499999525E-3</v>
      </c>
      <c r="U34" s="1">
        <f t="shared" si="12"/>
        <v>-4.4457812499999914E-3</v>
      </c>
      <c r="V34" s="1">
        <f t="shared" si="12"/>
        <v>-2.867499999999881E-3</v>
      </c>
      <c r="W34" s="1">
        <f t="shared" si="12"/>
        <v>4.0001562500000263E-3</v>
      </c>
      <c r="X34" s="1">
        <f t="shared" si="12"/>
        <v>-1.24656249999987E-3</v>
      </c>
      <c r="Y34" s="1">
        <f t="shared" si="12"/>
        <v>-1.417187499999927E-3</v>
      </c>
      <c r="Z34" s="1">
        <f t="shared" si="12"/>
        <v>-2.2703124999999087E-3</v>
      </c>
      <c r="AA34" s="1">
        <f t="shared" si="12"/>
        <v>-4.1898437499999818E-3</v>
      </c>
      <c r="AB34" s="1">
        <f t="shared" si="12"/>
        <v>1.3128125000000756E-3</v>
      </c>
      <c r="AC34" s="1">
        <f t="shared" si="12"/>
        <v>-1.5451562499999318E-3</v>
      </c>
      <c r="AD34" s="1">
        <f t="shared" si="12"/>
        <v>-2.7821874999999284E-3</v>
      </c>
      <c r="AE34" s="1">
        <f t="shared" si="12"/>
        <v>3.3176562500001013E-3</v>
      </c>
      <c r="AF34" s="1">
        <f t="shared" si="12"/>
        <v>7.0287500000000905E-3</v>
      </c>
      <c r="AG34" s="1">
        <f t="shared" si="12"/>
        <v>4.9385937500001122E-3</v>
      </c>
      <c r="AH34" s="1">
        <f t="shared" si="12"/>
        <v>-8.6265625000000686E-4</v>
      </c>
      <c r="AI34" s="1">
        <f t="shared" si="12"/>
        <v>4.2560937500000359E-3</v>
      </c>
      <c r="AJ34" s="1">
        <f t="shared" si="12"/>
        <v>3.9575000000001258E-3</v>
      </c>
      <c r="AK34" s="1">
        <f t="shared" si="12"/>
        <v>3.0190625000000395E-3</v>
      </c>
      <c r="AL34" s="1">
        <f t="shared" si="12"/>
        <v>1.9953125000000006E-3</v>
      </c>
      <c r="AM34" s="1">
        <f t="shared" si="12"/>
        <v>4.6400000000000503E-3</v>
      </c>
      <c r="AN34" s="1">
        <f t="shared" si="12"/>
        <v>4.3840625000000407E-3</v>
      </c>
      <c r="AO34" s="1">
        <f t="shared" si="12"/>
        <v>1.4407812500000807E-3</v>
      </c>
      <c r="AP34" s="1">
        <f t="shared" si="12"/>
        <v>7.753906250000068E-3</v>
      </c>
    </row>
    <row r="35" spans="2:42" x14ac:dyDescent="0.45">
      <c r="B35" s="6">
        <f t="shared" si="11"/>
        <v>24.935775335775336</v>
      </c>
      <c r="C35" s="4">
        <v>3191</v>
      </c>
      <c r="D35" s="1">
        <f t="shared" si="7"/>
        <v>-3.7606745534315856E-3</v>
      </c>
      <c r="E35" s="1">
        <f t="shared" si="8"/>
        <v>1.1759195785020328E-2</v>
      </c>
      <c r="F35" s="1">
        <f t="shared" si="9"/>
        <v>2.7504970032904874E-3</v>
      </c>
      <c r="G35" s="1">
        <f t="shared" si="12"/>
        <v>5.9041542619867647E-3</v>
      </c>
      <c r="H35" s="1">
        <f t="shared" si="12"/>
        <v>7.0270389376371209E-3</v>
      </c>
      <c r="I35" s="1">
        <f t="shared" si="12"/>
        <v>6.3452875274209097E-3</v>
      </c>
      <c r="J35" s="1">
        <f t="shared" si="12"/>
        <v>5.7838451895956605E-3</v>
      </c>
      <c r="K35" s="1">
        <f t="shared" si="12"/>
        <v>3.2172516452521924E-3</v>
      </c>
      <c r="L35" s="1">
        <f t="shared" si="12"/>
        <v>1.9740578972108737E-3</v>
      </c>
      <c r="M35" s="1">
        <f t="shared" si="12"/>
        <v>5.1822998276402805E-3</v>
      </c>
      <c r="N35" s="1">
        <f t="shared" si="12"/>
        <v>4.6208574898150305E-3</v>
      </c>
      <c r="O35" s="1">
        <f t="shared" si="12"/>
        <v>-1.0737719366970125E-3</v>
      </c>
      <c r="P35" s="1">
        <f t="shared" si="12"/>
        <v>1.1759195785020328E-2</v>
      </c>
      <c r="Q35" s="1">
        <f t="shared" si="12"/>
        <v>2.695912331557501E-3</v>
      </c>
      <c r="R35" s="1">
        <f t="shared" si="12"/>
        <v>1.7735427765590804E-3</v>
      </c>
      <c r="S35" s="1">
        <f t="shared" si="12"/>
        <v>1.7735427765590804E-3</v>
      </c>
      <c r="T35" s="1">
        <f t="shared" si="12"/>
        <v>-2.838304998433165E-3</v>
      </c>
      <c r="U35" s="1">
        <f t="shared" si="12"/>
        <v>-3.7606745534315856E-3</v>
      </c>
      <c r="V35" s="1">
        <f t="shared" si="12"/>
        <v>-2.2367596364776423E-3</v>
      </c>
      <c r="W35" s="1">
        <f t="shared" si="12"/>
        <v>5.0619907552491754E-3</v>
      </c>
      <c r="X35" s="1">
        <f t="shared" si="12"/>
        <v>-6.326386712628677E-4</v>
      </c>
      <c r="Y35" s="1">
        <f t="shared" si="12"/>
        <v>-1.4346991538703262E-3</v>
      </c>
      <c r="Z35" s="1">
        <f t="shared" si="12"/>
        <v>-2.4773777812598513E-3</v>
      </c>
      <c r="AA35" s="1">
        <f t="shared" si="12"/>
        <v>-3.5601594327796496E-3</v>
      </c>
      <c r="AB35" s="1">
        <f t="shared" si="12"/>
        <v>2.6558093074270854E-3</v>
      </c>
      <c r="AC35" s="1">
        <f t="shared" si="12"/>
        <v>-1.9560384675650177E-3</v>
      </c>
      <c r="AD35" s="1">
        <f t="shared" si="12"/>
        <v>-2.5174808053901247E-3</v>
      </c>
      <c r="AE35" s="1">
        <f t="shared" si="12"/>
        <v>3.7385909589470259E-3</v>
      </c>
      <c r="AF35" s="1">
        <f t="shared" si="12"/>
        <v>9.9144566750234871E-3</v>
      </c>
      <c r="AG35" s="1">
        <f t="shared" si="12"/>
        <v>8.3103357098088561E-3</v>
      </c>
      <c r="AH35" s="1">
        <f t="shared" si="12"/>
        <v>-7.1284471952369911E-4</v>
      </c>
      <c r="AI35" s="1">
        <f t="shared" si="12"/>
        <v>4.6208574898150305E-3</v>
      </c>
      <c r="AJ35" s="1">
        <f t="shared" si="12"/>
        <v>6.5859056722031191E-3</v>
      </c>
      <c r="AK35" s="1">
        <f t="shared" si="12"/>
        <v>2.5756032591663963E-3</v>
      </c>
      <c r="AL35" s="1">
        <f t="shared" si="12"/>
        <v>3.3776637417737123E-3</v>
      </c>
      <c r="AM35" s="1">
        <f t="shared" si="12"/>
        <v>4.5406514415543423E-3</v>
      </c>
      <c r="AN35" s="1">
        <f t="shared" si="12"/>
        <v>4.4604453932936532E-3</v>
      </c>
      <c r="AO35" s="1">
        <f t="shared" si="12"/>
        <v>1.1719974146035578E-3</v>
      </c>
      <c r="AP35" s="1">
        <f t="shared" si="12"/>
        <v>7.1473480100282261E-3</v>
      </c>
    </row>
    <row r="36" spans="2:42" x14ac:dyDescent="0.45">
      <c r="B36" s="6">
        <f t="shared" si="11"/>
        <v>25.6</v>
      </c>
      <c r="C36" s="4">
        <v>3276</v>
      </c>
      <c r="D36" s="1">
        <f t="shared" si="7"/>
        <v>-3.8671875000000078E-3</v>
      </c>
      <c r="E36" s="1">
        <f t="shared" si="8"/>
        <v>1.3320312499999903E-2</v>
      </c>
      <c r="F36" s="1">
        <f t="shared" si="9"/>
        <v>2.4251302083332827E-3</v>
      </c>
      <c r="G36" s="1">
        <f t="shared" si="12"/>
        <v>4.8828125E-3</v>
      </c>
      <c r="H36" s="1">
        <f t="shared" si="12"/>
        <v>5.4296874999999745E-3</v>
      </c>
      <c r="I36" s="1">
        <f t="shared" si="12"/>
        <v>6.4453124999999667E-3</v>
      </c>
      <c r="J36" s="1">
        <f t="shared" si="12"/>
        <v>5.5078124999999312E-3</v>
      </c>
      <c r="K36" s="1">
        <f t="shared" si="12"/>
        <v>3.3203124999998945E-3</v>
      </c>
      <c r="L36" s="1">
        <f t="shared" si="12"/>
        <v>1.6015624999998757E-3</v>
      </c>
      <c r="M36" s="1">
        <f t="shared" si="12"/>
        <v>4.2968749999999778E-3</v>
      </c>
      <c r="N36" s="1">
        <f t="shared" si="12"/>
        <v>4.6484374999999911E-3</v>
      </c>
      <c r="O36" s="1">
        <f t="shared" si="12"/>
        <v>-1.2500000000000011E-3</v>
      </c>
      <c r="P36" s="1">
        <f t="shared" si="12"/>
        <v>1.3320312499999903E-2</v>
      </c>
      <c r="Q36" s="1">
        <f t="shared" si="12"/>
        <v>1.0937499999999489E-3</v>
      </c>
      <c r="R36" s="1">
        <f t="shared" si="12"/>
        <v>6.6406249999997891E-4</v>
      </c>
      <c r="S36" s="1">
        <f t="shared" si="12"/>
        <v>1.8749999999999323E-3</v>
      </c>
      <c r="T36" s="1">
        <f t="shared" si="12"/>
        <v>-3.0078125000000677E-3</v>
      </c>
      <c r="U36" s="1">
        <f t="shared" si="12"/>
        <v>-3.7109375000000944E-3</v>
      </c>
      <c r="V36" s="1">
        <f t="shared" si="12"/>
        <v>-2.5000000000000022E-3</v>
      </c>
      <c r="W36" s="1">
        <f t="shared" si="12"/>
        <v>4.6484374999999911E-3</v>
      </c>
      <c r="X36" s="1">
        <f t="shared" si="12"/>
        <v>-1.3671875000000056E-3</v>
      </c>
      <c r="Y36" s="1">
        <f t="shared" si="12"/>
        <v>-1.8750000000000711E-3</v>
      </c>
      <c r="Z36" s="1">
        <f t="shared" si="12"/>
        <v>-3.8671875000000078E-3</v>
      </c>
      <c r="AA36" s="1">
        <f t="shared" si="12"/>
        <v>-3.5156249999999944E-3</v>
      </c>
      <c r="AB36" s="1">
        <f t="shared" si="12"/>
        <v>2.5390624999999112E-3</v>
      </c>
      <c r="AC36" s="1">
        <f t="shared" si="12"/>
        <v>-3.0859375000000244E-3</v>
      </c>
      <c r="AD36" s="1">
        <f t="shared" si="12"/>
        <v>-3.2421875000000766E-3</v>
      </c>
      <c r="AE36" s="1">
        <f t="shared" si="12"/>
        <v>4.4921874999999389E-3</v>
      </c>
      <c r="AF36" s="1">
        <f t="shared" si="12"/>
        <v>1.0820312499999901E-2</v>
      </c>
      <c r="AG36" s="1">
        <f t="shared" si="12"/>
        <v>7.6171875000000111E-3</v>
      </c>
      <c r="AH36" s="1">
        <f t="shared" si="12"/>
        <v>-1.2890625000000488E-3</v>
      </c>
      <c r="AI36" s="1">
        <f t="shared" si="12"/>
        <v>3.7890624999999123E-3</v>
      </c>
      <c r="AJ36" s="1">
        <f t="shared" si="12"/>
        <v>7.22656249999995E-3</v>
      </c>
      <c r="AK36" s="1">
        <f t="shared" si="12"/>
        <v>2.1874999999998979E-3</v>
      </c>
      <c r="AL36" s="1">
        <f t="shared" si="12"/>
        <v>4.0234374999999212E-3</v>
      </c>
      <c r="AM36" s="1">
        <f t="shared" si="12"/>
        <v>4.3749999999999345E-3</v>
      </c>
      <c r="AN36" s="1">
        <f t="shared" si="12"/>
        <v>4.2187499999998823E-3</v>
      </c>
      <c r="AO36" s="1">
        <f t="shared" si="12"/>
        <v>1.7578124999999278E-3</v>
      </c>
      <c r="AP36" s="1">
        <f t="shared" si="12"/>
        <v>5.2343750000000133E-3</v>
      </c>
    </row>
    <row r="37" spans="2:42" x14ac:dyDescent="0.45">
      <c r="B37" s="6">
        <f t="shared" si="11"/>
        <v>32</v>
      </c>
      <c r="C37" s="4">
        <v>4095</v>
      </c>
      <c r="D37" s="1">
        <f t="shared" si="7"/>
        <v>-8.0937500000000107E-3</v>
      </c>
      <c r="E37" s="1">
        <f t="shared" si="8"/>
        <v>2.1781250000000085E-2</v>
      </c>
      <c r="F37" s="1">
        <f t="shared" si="9"/>
        <v>9.5572916666666896E-4</v>
      </c>
      <c r="G37" s="1">
        <f t="shared" si="12"/>
        <v>4.4999999999999485E-3</v>
      </c>
      <c r="H37" s="1">
        <f t="shared" si="12"/>
        <v>7.1875000000010125E-4</v>
      </c>
      <c r="I37" s="1">
        <f t="shared" si="12"/>
        <v>4.4062499999999449E-3</v>
      </c>
      <c r="J37" s="1">
        <f t="shared" ref="J37:AP37" si="13">(J18-$B18)/$B18</f>
        <v>2.6250000000000995E-3</v>
      </c>
      <c r="K37" s="1">
        <f t="shared" si="13"/>
        <v>2.9687499999999645E-3</v>
      </c>
      <c r="L37" s="1">
        <f t="shared" si="13"/>
        <v>1.4374999999999805E-3</v>
      </c>
      <c r="M37" s="1">
        <f t="shared" si="13"/>
        <v>4.3750000000009059E-4</v>
      </c>
      <c r="N37" s="1">
        <f t="shared" si="13"/>
        <v>3.3749999999999059E-3</v>
      </c>
      <c r="O37" s="1">
        <f t="shared" si="13"/>
        <v>-4.750000000000032E-3</v>
      </c>
      <c r="P37" s="1">
        <f t="shared" si="13"/>
        <v>2.1781250000000085E-2</v>
      </c>
      <c r="Q37" s="1">
        <f t="shared" si="13"/>
        <v>-6.5625000000002487E-4</v>
      </c>
      <c r="R37" s="1">
        <f t="shared" si="13"/>
        <v>-3.1562499999999716E-3</v>
      </c>
      <c r="S37" s="1">
        <f t="shared" si="13"/>
        <v>-6.5625000000002487E-4</v>
      </c>
      <c r="T37" s="1">
        <f t="shared" si="13"/>
        <v>-4.2187500000000488E-3</v>
      </c>
      <c r="U37" s="1">
        <f t="shared" si="13"/>
        <v>-3.4999999999999476E-3</v>
      </c>
      <c r="V37" s="1">
        <f t="shared" si="13"/>
        <v>-3.9375000000000382E-3</v>
      </c>
      <c r="W37" s="1">
        <f t="shared" si="13"/>
        <v>5.4687499999999112E-3</v>
      </c>
      <c r="X37" s="1">
        <f t="shared" si="13"/>
        <v>-3.4374999999999822E-3</v>
      </c>
      <c r="Y37" s="1">
        <f t="shared" si="13"/>
        <v>-3.3125000000000515E-3</v>
      </c>
      <c r="Z37" s="1">
        <f t="shared" si="13"/>
        <v>-8.0937500000000107E-3</v>
      </c>
      <c r="AA37" s="1">
        <f t="shared" si="13"/>
        <v>-4.2812500000000142E-3</v>
      </c>
      <c r="AB37" s="1">
        <f t="shared" si="13"/>
        <v>2.7500000000000302E-3</v>
      </c>
      <c r="AC37" s="1">
        <f t="shared" si="13"/>
        <v>-4.4062499999999449E-3</v>
      </c>
      <c r="AD37" s="1">
        <f t="shared" si="13"/>
        <v>-5.8749999999999636E-3</v>
      </c>
      <c r="AE37" s="1">
        <f t="shared" si="13"/>
        <v>2.0000000000000018E-3</v>
      </c>
      <c r="AF37" s="1">
        <f t="shared" si="13"/>
        <v>1.2406249999999952E-2</v>
      </c>
      <c r="AG37" s="1">
        <f t="shared" si="13"/>
        <v>1.2343750000000098E-2</v>
      </c>
      <c r="AH37" s="1">
        <f t="shared" si="13"/>
        <v>-4.2812500000000142E-3</v>
      </c>
      <c r="AI37" s="1">
        <f t="shared" si="13"/>
        <v>2.3124999999999396E-3</v>
      </c>
      <c r="AJ37" s="1">
        <f t="shared" si="13"/>
        <v>1.0468750000000027E-2</v>
      </c>
      <c r="AK37" s="1">
        <f t="shared" si="13"/>
        <v>-1.0624999999999662E-3</v>
      </c>
      <c r="AL37" s="1">
        <f t="shared" si="13"/>
        <v>4.0625000000000799E-3</v>
      </c>
      <c r="AM37" s="1">
        <f t="shared" si="13"/>
        <v>5.9374999999994849E-4</v>
      </c>
      <c r="AN37" s="1">
        <f t="shared" si="13"/>
        <v>2.5000000000008349E-4</v>
      </c>
      <c r="AO37" s="1">
        <f t="shared" si="13"/>
        <v>-3.3125000000000515E-3</v>
      </c>
      <c r="AP37" s="1">
        <f t="shared" si="13"/>
        <v>-1.5625000000000222E-3</v>
      </c>
    </row>
    <row r="38" spans="2:42" x14ac:dyDescent="0.45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2:42" x14ac:dyDescent="0.45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2:42" x14ac:dyDescent="0.45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800, 3000</vt:lpstr>
      <vt:lpstr>400, 3000</vt:lpstr>
      <vt:lpstr>400, 1500</vt:lpstr>
      <vt:lpstr>400, 2000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2025-05-28T08:04:59Z</dcterms:created>
  <dcterms:modified xsi:type="dcterms:W3CDTF">2025-05-29T08:37:10Z</dcterms:modified>
</cp:coreProperties>
</file>