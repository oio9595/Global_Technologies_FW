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_PWM_Rev_1\Docs\GT\"/>
    </mc:Choice>
  </mc:AlternateContent>
  <xr:revisionPtr revIDLastSave="0" documentId="13_ncr:1_{83DF8029-405F-46AC-BC1A-8A89339400D3}" xr6:coauthVersionLast="47" xr6:coauthVersionMax="47" xr10:uidLastSave="{00000000-0000-0000-0000-000000000000}"/>
  <bookViews>
    <workbookView xWindow="-110" yWindow="-110" windowWidth="25820" windowHeight="15500" firstSheet="4" activeTab="4" xr2:uid="{6E253F25-89D9-4CFB-91D3-179DBBF2E33D}"/>
  </bookViews>
  <sheets>
    <sheet name="spi_protocol" sheetId="18" r:id="rId1"/>
    <sheet name="serial_protocol" sheetId="17" r:id="rId2"/>
    <sheet name="serial_protocol (2)" sheetId="24" r:id="rId3"/>
    <sheet name="xc(mp)_reg" sheetId="20" r:id="rId4"/>
    <sheet name="xd_pwm(mp)_reg" sheetId="15" r:id="rId5"/>
    <sheet name="spi2serial_thruput" sheetId="26" r:id="rId6"/>
    <sheet name="mclk_transition" sheetId="27" r:id="rId7"/>
    <sheet name="mclk_pwm" sheetId="14" r:id="rId8"/>
    <sheet name="xc_pwm" sheetId="28" r:id="rId9"/>
    <sheet name="mclk_variable" sheetId="25" r:id="rId10"/>
    <sheet name="serial_latency" sheetId="29" r:id="rId11"/>
    <sheet name="ld_format" sheetId="23" r:id="rId12"/>
    <sheet name="ext_vs&amp;fb" sheetId="9" r:id="rId13"/>
    <sheet name="package" sheetId="10" r:id="rId14"/>
    <sheet name="misc" sheetId="22" r:id="rId15"/>
    <sheet name="misc2" sheetId="2" r:id="rId16"/>
    <sheet name="misc3" sheetId="7" r:id="rId17"/>
    <sheet name="misc4" sheetId="1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9" l="1"/>
  <c r="G6" i="29"/>
  <c r="G5" i="29"/>
  <c r="D7" i="29"/>
  <c r="D6" i="29"/>
  <c r="D5" i="29"/>
  <c r="B35" i="15"/>
  <c r="B36" i="15" s="1"/>
  <c r="C14" i="28"/>
  <c r="C10" i="28"/>
  <c r="C11" i="28" s="1"/>
  <c r="E11" i="28" s="1"/>
  <c r="C6" i="28"/>
  <c r="C7" i="28" s="1"/>
  <c r="E7" i="28" s="1"/>
  <c r="C3" i="28"/>
  <c r="AT20" i="27"/>
  <c r="AN20" i="27"/>
  <c r="AH20" i="27"/>
  <c r="AB20" i="27"/>
  <c r="AX16" i="27"/>
  <c r="AR16" i="27"/>
  <c r="AT16" i="27" s="1"/>
  <c r="AV16" i="27" s="1"/>
  <c r="AL16" i="27"/>
  <c r="AF16" i="27"/>
  <c r="AN16" i="27"/>
  <c r="AP16" i="27" s="1"/>
  <c r="AH16" i="27"/>
  <c r="AJ16" i="27" s="1"/>
  <c r="AV6" i="27"/>
  <c r="AT6" i="27"/>
  <c r="AP6" i="27"/>
  <c r="AN6" i="27"/>
  <c r="AJ6" i="27"/>
  <c r="AH6" i="27"/>
  <c r="BD18" i="27"/>
  <c r="BE18" i="27"/>
  <c r="BF18" i="27"/>
  <c r="BC18" i="27"/>
  <c r="BI18" i="27"/>
  <c r="BJ18" i="27"/>
  <c r="BK18" i="27"/>
  <c r="BH18" i="27"/>
  <c r="AT10" i="27"/>
  <c r="AN10" i="27"/>
  <c r="AH10" i="27"/>
  <c r="AB10" i="27"/>
  <c r="AR6" i="27"/>
  <c r="AL6" i="27"/>
  <c r="AF6" i="27"/>
  <c r="AP44" i="27"/>
  <c r="AR44" i="27" s="1"/>
  <c r="AT44" i="27" s="1"/>
  <c r="AN44" i="27"/>
  <c r="AB44" i="27"/>
  <c r="AB54" i="27"/>
  <c r="AN34" i="27"/>
  <c r="AH34" i="27"/>
  <c r="AB34" i="27"/>
  <c r="AT54" i="27"/>
  <c r="AN54" i="27"/>
  <c r="W27" i="27"/>
  <c r="AH54" i="27"/>
  <c r="BJ10" i="27"/>
  <c r="BC10" i="27"/>
  <c r="BE9" i="27"/>
  <c r="BF9" i="27" s="1"/>
  <c r="BG9" i="27" s="1"/>
  <c r="BH9" i="27" s="1"/>
  <c r="BI9" i="27" s="1"/>
  <c r="BJ9" i="27" s="1"/>
  <c r="BK9" i="27" s="1"/>
  <c r="BK10" i="27" s="1"/>
  <c r="BD9" i="27"/>
  <c r="BD10" i="27" s="1"/>
  <c r="BC16" i="27"/>
  <c r="BC6" i="27"/>
  <c r="BD5" i="27"/>
  <c r="BC4" i="27"/>
  <c r="BC11" i="27" s="1"/>
  <c r="Q4" i="27"/>
  <c r="U48" i="27"/>
  <c r="V48" i="27" s="1"/>
  <c r="W48" i="27" s="1"/>
  <c r="P48" i="27"/>
  <c r="Q40" i="27"/>
  <c r="R40" i="27" s="1"/>
  <c r="S40" i="27" s="1"/>
  <c r="U40" i="27" s="1"/>
  <c r="V40" i="27" s="1"/>
  <c r="W40" i="27" s="1"/>
  <c r="X40" i="27" s="1"/>
  <c r="P38" i="27"/>
  <c r="Q37" i="27"/>
  <c r="R37" i="27" s="1"/>
  <c r="P36" i="27"/>
  <c r="Q35" i="27"/>
  <c r="Q36" i="27" s="1"/>
  <c r="L10" i="14"/>
  <c r="K10" i="14"/>
  <c r="J10" i="14"/>
  <c r="I10" i="14"/>
  <c r="W10" i="14"/>
  <c r="X10" i="14"/>
  <c r="Y10" i="14"/>
  <c r="V10" i="14"/>
  <c r="V9" i="14"/>
  <c r="AX21" i="14"/>
  <c r="J15" i="14"/>
  <c r="J9" i="14" s="1"/>
  <c r="K9" i="14"/>
  <c r="L9" i="14"/>
  <c r="I9" i="14"/>
  <c r="W9" i="14"/>
  <c r="X9" i="14"/>
  <c r="Y9" i="14"/>
  <c r="U9" i="14"/>
  <c r="I15" i="14"/>
  <c r="K15" i="14"/>
  <c r="L15" i="14"/>
  <c r="W8" i="14"/>
  <c r="W7" i="14"/>
  <c r="U32" i="27"/>
  <c r="V32" i="27" s="1"/>
  <c r="W32" i="27" s="1"/>
  <c r="Q21" i="27"/>
  <c r="Q22" i="27" s="1"/>
  <c r="X3" i="14"/>
  <c r="V7" i="14"/>
  <c r="V5" i="14"/>
  <c r="V3" i="14"/>
  <c r="Q24" i="27"/>
  <c r="R24" i="27" s="1"/>
  <c r="S24" i="27" s="1"/>
  <c r="U24" i="27" s="1"/>
  <c r="V24" i="27" s="1"/>
  <c r="Q19" i="27"/>
  <c r="Q20" i="27" s="1"/>
  <c r="P32" i="27"/>
  <c r="P22" i="27"/>
  <c r="P20" i="27"/>
  <c r="P7" i="27"/>
  <c r="P6" i="27"/>
  <c r="Q5" i="27"/>
  <c r="Q16" i="27" s="1"/>
  <c r="R4" i="27"/>
  <c r="S4" i="27"/>
  <c r="T4" i="27"/>
  <c r="U4" i="27"/>
  <c r="V4" i="27"/>
  <c r="W4" i="27"/>
  <c r="X4" i="27"/>
  <c r="P4" i="27"/>
  <c r="P10" i="27" s="1"/>
  <c r="P16" i="27"/>
  <c r="L31" i="27"/>
  <c r="K31" i="27"/>
  <c r="J31" i="27"/>
  <c r="I31" i="27"/>
  <c r="H31" i="27"/>
  <c r="G31" i="27"/>
  <c r="F31" i="27"/>
  <c r="E31" i="27"/>
  <c r="D31" i="27"/>
  <c r="L16" i="27"/>
  <c r="K16" i="27"/>
  <c r="J16" i="27"/>
  <c r="I16" i="27"/>
  <c r="H16" i="27"/>
  <c r="G16" i="27"/>
  <c r="F16" i="27"/>
  <c r="E16" i="27"/>
  <c r="D16" i="27"/>
  <c r="D13" i="27"/>
  <c r="J23" i="27"/>
  <c r="I23" i="27"/>
  <c r="G23" i="27"/>
  <c r="K23" i="27" s="1"/>
  <c r="F23" i="27"/>
  <c r="K8" i="27"/>
  <c r="J8" i="27"/>
  <c r="I8" i="27"/>
  <c r="H8" i="27"/>
  <c r="L8" i="27" s="1"/>
  <c r="L21" i="27"/>
  <c r="K21" i="27"/>
  <c r="J21" i="27"/>
  <c r="I21" i="27"/>
  <c r="H21" i="27"/>
  <c r="G21" i="27"/>
  <c r="F21" i="27"/>
  <c r="E21" i="27"/>
  <c r="D21" i="27"/>
  <c r="L6" i="27"/>
  <c r="K6" i="27"/>
  <c r="J6" i="27"/>
  <c r="I6" i="27"/>
  <c r="H6" i="27"/>
  <c r="G6" i="27"/>
  <c r="F6" i="27"/>
  <c r="E6" i="27"/>
  <c r="D6" i="27"/>
  <c r="H19" i="27"/>
  <c r="G19" i="27"/>
  <c r="F19" i="27"/>
  <c r="F22" i="27" s="1"/>
  <c r="E19" i="27"/>
  <c r="D19" i="27"/>
  <c r="H4" i="27"/>
  <c r="G4" i="27"/>
  <c r="F4" i="27"/>
  <c r="E4" i="27"/>
  <c r="D4" i="27"/>
  <c r="L18" i="27"/>
  <c r="L19" i="27" s="1"/>
  <c r="K18" i="27"/>
  <c r="K19" i="27" s="1"/>
  <c r="J18" i="27"/>
  <c r="J19" i="27" s="1"/>
  <c r="I18" i="27"/>
  <c r="I19" i="27" s="1"/>
  <c r="L3" i="27"/>
  <c r="L4" i="27" s="1"/>
  <c r="K3" i="27"/>
  <c r="K4" i="27" s="1"/>
  <c r="J3" i="27"/>
  <c r="J4" i="27" s="1"/>
  <c r="I3" i="27"/>
  <c r="I4" i="27" s="1"/>
  <c r="I13" i="26"/>
  <c r="N14" i="26"/>
  <c r="L13" i="26"/>
  <c r="O14" i="26" s="1"/>
  <c r="I17" i="26"/>
  <c r="I16" i="26"/>
  <c r="D35" i="26"/>
  <c r="D5" i="26"/>
  <c r="D11" i="26" s="1"/>
  <c r="D19" i="26"/>
  <c r="D16" i="26"/>
  <c r="D22" i="26" s="1"/>
  <c r="D3" i="26"/>
  <c r="AC38" i="25"/>
  <c r="Y39" i="25"/>
  <c r="Y40" i="25"/>
  <c r="Y38" i="25"/>
  <c r="X39" i="25"/>
  <c r="W40" i="25"/>
  <c r="W39" i="25"/>
  <c r="AC39" i="25" s="1"/>
  <c r="W38" i="25"/>
  <c r="T29" i="25"/>
  <c r="V29" i="25" s="1"/>
  <c r="V31" i="25" s="1"/>
  <c r="T28" i="25"/>
  <c r="V28" i="25" s="1"/>
  <c r="V30" i="25" s="1"/>
  <c r="E15" i="28" l="1"/>
  <c r="C15" i="28"/>
  <c r="BC7" i="27"/>
  <c r="BH10" i="27"/>
  <c r="BG10" i="27"/>
  <c r="BF10" i="27"/>
  <c r="BE10" i="27"/>
  <c r="Q26" i="27"/>
  <c r="BI10" i="27"/>
  <c r="BE5" i="27"/>
  <c r="BD6" i="27"/>
  <c r="BD4" i="27" s="1"/>
  <c r="BD16" i="27"/>
  <c r="H7" i="27"/>
  <c r="P39" i="27"/>
  <c r="R19" i="27"/>
  <c r="S19" i="27" s="1"/>
  <c r="R21" i="27"/>
  <c r="S21" i="27" s="1"/>
  <c r="U21" i="27" s="1"/>
  <c r="V21" i="27" s="1"/>
  <c r="W21" i="27" s="1"/>
  <c r="G22" i="27"/>
  <c r="V22" i="27"/>
  <c r="E22" i="27"/>
  <c r="P23" i="27"/>
  <c r="Q27" i="27"/>
  <c r="W24" i="27"/>
  <c r="P42" i="27"/>
  <c r="P43" i="27" s="1"/>
  <c r="P45" i="27" s="1"/>
  <c r="P46" i="27" s="1"/>
  <c r="R35" i="27"/>
  <c r="R36" i="27" s="1"/>
  <c r="R39" i="27" s="1"/>
  <c r="R38" i="27"/>
  <c r="S37" i="27"/>
  <c r="P44" i="27"/>
  <c r="Q38" i="27"/>
  <c r="Q39" i="27" s="1"/>
  <c r="Q25" i="27"/>
  <c r="P26" i="27"/>
  <c r="Q23" i="27"/>
  <c r="P11" i="27"/>
  <c r="H22" i="27"/>
  <c r="P9" i="27"/>
  <c r="R5" i="27"/>
  <c r="Q6" i="27"/>
  <c r="Q7" i="27" s="1"/>
  <c r="G10" i="27"/>
  <c r="G11" i="27" s="1"/>
  <c r="G12" i="27" s="1"/>
  <c r="D7" i="27"/>
  <c r="H23" i="27"/>
  <c r="L23" i="27" s="1"/>
  <c r="L25" i="27" s="1"/>
  <c r="E10" i="27"/>
  <c r="E9" i="27" s="1"/>
  <c r="F10" i="27"/>
  <c r="F11" i="27" s="1"/>
  <c r="F12" i="27" s="1"/>
  <c r="G7" i="27"/>
  <c r="J10" i="27"/>
  <c r="J9" i="27" s="1"/>
  <c r="D25" i="27"/>
  <c r="D24" i="27" s="1"/>
  <c r="J7" i="27"/>
  <c r="I22" i="27"/>
  <c r="I25" i="27"/>
  <c r="I24" i="27" s="1"/>
  <c r="J22" i="27"/>
  <c r="J25" i="27"/>
  <c r="J24" i="27" s="1"/>
  <c r="K25" i="27"/>
  <c r="K24" i="27" s="1"/>
  <c r="K22" i="27"/>
  <c r="I7" i="27"/>
  <c r="I10" i="27"/>
  <c r="I11" i="27" s="1"/>
  <c r="I12" i="27" s="1"/>
  <c r="L22" i="27"/>
  <c r="K7" i="27"/>
  <c r="K10" i="27"/>
  <c r="K9" i="27" s="1"/>
  <c r="L10" i="27"/>
  <c r="L11" i="27" s="1"/>
  <c r="L12" i="27" s="1"/>
  <c r="L7" i="27"/>
  <c r="E25" i="27"/>
  <c r="E24" i="27" s="1"/>
  <c r="E7" i="27"/>
  <c r="D22" i="27"/>
  <c r="H10" i="27"/>
  <c r="F25" i="27"/>
  <c r="F24" i="27" s="1"/>
  <c r="G14" i="27"/>
  <c r="F7" i="27"/>
  <c r="G25" i="27"/>
  <c r="J14" i="27"/>
  <c r="D10" i="27"/>
  <c r="D11" i="27" s="1"/>
  <c r="D12" i="26"/>
  <c r="D21" i="26"/>
  <c r="AC40" i="25"/>
  <c r="O45" i="25"/>
  <c r="H45" i="25"/>
  <c r="L39" i="25"/>
  <c r="E39" i="25"/>
  <c r="L38" i="25"/>
  <c r="E38" i="25"/>
  <c r="M37" i="25"/>
  <c r="L35" i="25"/>
  <c r="E35" i="25"/>
  <c r="M32" i="25"/>
  <c r="M31" i="25"/>
  <c r="L31" i="25"/>
  <c r="F31" i="25"/>
  <c r="E31" i="25"/>
  <c r="M29" i="25"/>
  <c r="F29" i="25"/>
  <c r="O27" i="25"/>
  <c r="O28" i="25" s="1"/>
  <c r="O42" i="25" s="1"/>
  <c r="H27" i="25"/>
  <c r="H28" i="25" s="1"/>
  <c r="H42" i="25" s="1"/>
  <c r="L24" i="25"/>
  <c r="Q20" i="25"/>
  <c r="N20" i="25"/>
  <c r="J20" i="25"/>
  <c r="G20" i="25"/>
  <c r="U19" i="25"/>
  <c r="U20" i="25" s="1"/>
  <c r="L19" i="25"/>
  <c r="E19" i="25"/>
  <c r="P17" i="25"/>
  <c r="P21" i="25" s="1"/>
  <c r="O17" i="25"/>
  <c r="O21" i="25" s="1"/>
  <c r="M17" i="25"/>
  <c r="M21" i="25" s="1"/>
  <c r="L17" i="25"/>
  <c r="L21" i="25" s="1"/>
  <c r="J17" i="25"/>
  <c r="J21" i="25" s="1"/>
  <c r="I17" i="25"/>
  <c r="I21" i="25" s="1"/>
  <c r="H17" i="25"/>
  <c r="H21" i="25" s="1"/>
  <c r="F17" i="25"/>
  <c r="F21" i="25" s="1"/>
  <c r="E17" i="25"/>
  <c r="E21" i="25" s="1"/>
  <c r="AC16" i="25"/>
  <c r="AE11" i="25" s="1"/>
  <c r="W16" i="25"/>
  <c r="Q16" i="25"/>
  <c r="Q17" i="25" s="1"/>
  <c r="Q21" i="25" s="1"/>
  <c r="N16" i="25"/>
  <c r="N17" i="25" s="1"/>
  <c r="N21" i="25" s="1"/>
  <c r="J16" i="25"/>
  <c r="G16" i="25"/>
  <c r="G17" i="25" s="1"/>
  <c r="G21" i="25" s="1"/>
  <c r="Q15" i="25"/>
  <c r="N15" i="25"/>
  <c r="J15" i="25"/>
  <c r="G15" i="25"/>
  <c r="Y12" i="25"/>
  <c r="Y11" i="25"/>
  <c r="U11" i="25"/>
  <c r="Y15" i="25" s="1"/>
  <c r="Q11" i="25"/>
  <c r="N11" i="25"/>
  <c r="J11" i="25"/>
  <c r="G11" i="25"/>
  <c r="AE10" i="25"/>
  <c r="Y10" i="25"/>
  <c r="U10" i="25"/>
  <c r="L10" i="25"/>
  <c r="E10" i="25"/>
  <c r="P8" i="25"/>
  <c r="P12" i="25" s="1"/>
  <c r="O8" i="25"/>
  <c r="O12" i="25" s="1"/>
  <c r="M8" i="25"/>
  <c r="M12" i="25" s="1"/>
  <c r="L8" i="25"/>
  <c r="L12" i="25" s="1"/>
  <c r="I8" i="25"/>
  <c r="I12" i="25" s="1"/>
  <c r="H8" i="25"/>
  <c r="H12" i="25" s="1"/>
  <c r="F8" i="25"/>
  <c r="F12" i="25" s="1"/>
  <c r="E8" i="25"/>
  <c r="E12" i="25" s="1"/>
  <c r="Q7" i="25"/>
  <c r="N7" i="25"/>
  <c r="N8" i="25" s="1"/>
  <c r="N12" i="25" s="1"/>
  <c r="J7" i="25"/>
  <c r="J8" i="25" s="1"/>
  <c r="J12" i="25" s="1"/>
  <c r="G7" i="25"/>
  <c r="G8" i="25" s="1"/>
  <c r="G12" i="25" s="1"/>
  <c r="Q6" i="25"/>
  <c r="Q8" i="25" s="1"/>
  <c r="Q12" i="25" s="1"/>
  <c r="N6" i="25"/>
  <c r="J6" i="25"/>
  <c r="G6" i="25"/>
  <c r="M3" i="25"/>
  <c r="M2" i="25"/>
  <c r="I5" i="23"/>
  <c r="I6" i="23"/>
  <c r="I7" i="23"/>
  <c r="I8" i="23"/>
  <c r="I9" i="23"/>
  <c r="I10" i="23"/>
  <c r="I11" i="23"/>
  <c r="I12" i="23"/>
  <c r="I13" i="23"/>
  <c r="I14" i="23"/>
  <c r="I15" i="23"/>
  <c r="I4" i="23"/>
  <c r="D12" i="14"/>
  <c r="R22" i="27" l="1"/>
  <c r="BD11" i="27"/>
  <c r="BD13" i="27" s="1"/>
  <c r="BD3" i="27"/>
  <c r="R20" i="27"/>
  <c r="R26" i="27" s="1"/>
  <c r="BD7" i="27"/>
  <c r="BE16" i="27"/>
  <c r="BE6" i="27"/>
  <c r="BE4" i="27" s="1"/>
  <c r="BF5" i="27"/>
  <c r="U22" i="27"/>
  <c r="S20" i="27"/>
  <c r="U19" i="27"/>
  <c r="G9" i="27"/>
  <c r="S35" i="27"/>
  <c r="H25" i="27"/>
  <c r="H24" i="27" s="1"/>
  <c r="X21" i="27"/>
  <c r="X22" i="27" s="1"/>
  <c r="W22" i="27"/>
  <c r="P25" i="27"/>
  <c r="P27" i="27"/>
  <c r="P29" i="27" s="1"/>
  <c r="P30" i="27" s="1"/>
  <c r="X24" i="27"/>
  <c r="P41" i="27"/>
  <c r="R42" i="27"/>
  <c r="R41" i="27"/>
  <c r="R43" i="27"/>
  <c r="S38" i="27"/>
  <c r="U37" i="27"/>
  <c r="U35" i="27"/>
  <c r="S36" i="27"/>
  <c r="Q42" i="27"/>
  <c r="Q29" i="27"/>
  <c r="P28" i="27"/>
  <c r="S22" i="27"/>
  <c r="R16" i="27"/>
  <c r="R6" i="27"/>
  <c r="S5" i="27"/>
  <c r="P13" i="27"/>
  <c r="P12" i="27"/>
  <c r="Q10" i="27"/>
  <c r="Q11" i="27" s="1"/>
  <c r="Q13" i="27" s="1"/>
  <c r="Q17" i="27" s="1"/>
  <c r="L24" i="27"/>
  <c r="L26" i="27"/>
  <c r="L27" i="27" s="1"/>
  <c r="K14" i="27"/>
  <c r="D26" i="27"/>
  <c r="D27" i="27" s="1"/>
  <c r="J11" i="27"/>
  <c r="J12" i="27" s="1"/>
  <c r="F26" i="27"/>
  <c r="F27" i="27" s="1"/>
  <c r="F14" i="27"/>
  <c r="E26" i="27"/>
  <c r="E27" i="27" s="1"/>
  <c r="E11" i="27"/>
  <c r="E12" i="27" s="1"/>
  <c r="F9" i="27"/>
  <c r="E14" i="27"/>
  <c r="K26" i="27"/>
  <c r="K27" i="27" s="1"/>
  <c r="D12" i="27"/>
  <c r="D15" i="27"/>
  <c r="H9" i="27"/>
  <c r="H11" i="27"/>
  <c r="H12" i="27" s="1"/>
  <c r="G24" i="27"/>
  <c r="G26" i="27"/>
  <c r="G27" i="27" s="1"/>
  <c r="J26" i="27"/>
  <c r="J27" i="27" s="1"/>
  <c r="I26" i="27"/>
  <c r="I27" i="27" s="1"/>
  <c r="D14" i="27"/>
  <c r="D9" i="27"/>
  <c r="K11" i="27"/>
  <c r="K12" i="27" s="1"/>
  <c r="I9" i="27"/>
  <c r="I14" i="27"/>
  <c r="H14" i="27"/>
  <c r="L14" i="27"/>
  <c r="L9" i="27"/>
  <c r="D24" i="26"/>
  <c r="D23" i="26"/>
  <c r="V32" i="25"/>
  <c r="AE15" i="25"/>
  <c r="U23" i="25"/>
  <c r="U24" i="25" s="1"/>
  <c r="AE14" i="25"/>
  <c r="Y17" i="25"/>
  <c r="Y20" i="25" s="1"/>
  <c r="Y23" i="25" s="1"/>
  <c r="AA14" i="25"/>
  <c r="AA16" i="25" s="1"/>
  <c r="AA19" i="25" s="1"/>
  <c r="AA22" i="25" s="1"/>
  <c r="AE12" i="25"/>
  <c r="U14" i="25"/>
  <c r="U15" i="25" s="1"/>
  <c r="Y14" i="25"/>
  <c r="R25" i="27" l="1"/>
  <c r="R27" i="27"/>
  <c r="R29" i="27" s="1"/>
  <c r="S26" i="27"/>
  <c r="S27" i="27" s="1"/>
  <c r="BE3" i="27"/>
  <c r="BE11" i="27"/>
  <c r="Q30" i="27"/>
  <c r="R23" i="27"/>
  <c r="BF16" i="27"/>
  <c r="BF6" i="27"/>
  <c r="BF4" i="27" s="1"/>
  <c r="BG5" i="27"/>
  <c r="BE7" i="27"/>
  <c r="BD14" i="27"/>
  <c r="BD12" i="27"/>
  <c r="P14" i="27"/>
  <c r="V19" i="27"/>
  <c r="U20" i="27"/>
  <c r="U26" i="27" s="1"/>
  <c r="U27" i="27" s="1"/>
  <c r="U29" i="27" s="1"/>
  <c r="U30" i="27" s="1"/>
  <c r="U23" i="27"/>
  <c r="H26" i="27"/>
  <c r="H27" i="27" s="1"/>
  <c r="Q41" i="27"/>
  <c r="Q43" i="27"/>
  <c r="V37" i="27"/>
  <c r="U38" i="27"/>
  <c r="S42" i="27"/>
  <c r="S41" i="27" s="1"/>
  <c r="S39" i="27"/>
  <c r="R45" i="27"/>
  <c r="R46" i="27" s="1"/>
  <c r="R44" i="27"/>
  <c r="V35" i="27"/>
  <c r="U36" i="27"/>
  <c r="Q28" i="27"/>
  <c r="R30" i="27"/>
  <c r="S23" i="27"/>
  <c r="Q9" i="27"/>
  <c r="T5" i="27"/>
  <c r="S6" i="27"/>
  <c r="S16" i="27"/>
  <c r="R7" i="27"/>
  <c r="R10" i="27"/>
  <c r="D27" i="26"/>
  <c r="D29" i="26"/>
  <c r="Y16" i="25"/>
  <c r="Y19" i="25" s="1"/>
  <c r="Y22" i="25" s="1"/>
  <c r="AA15" i="25"/>
  <c r="AA17" i="25" s="1"/>
  <c r="AA20" i="25" s="1"/>
  <c r="AA23" i="25" s="1"/>
  <c r="AE16" i="25"/>
  <c r="AE19" i="25" s="1"/>
  <c r="AE22" i="25" s="1"/>
  <c r="AG15" i="25"/>
  <c r="AG17" i="25" s="1"/>
  <c r="AG20" i="25" s="1"/>
  <c r="AG23" i="25" s="1"/>
  <c r="AG14" i="25"/>
  <c r="AG16" i="25" s="1"/>
  <c r="AG19" i="25" s="1"/>
  <c r="AG22" i="25" s="1"/>
  <c r="AE17" i="25"/>
  <c r="AE20" i="25" s="1"/>
  <c r="AE23" i="25" s="1"/>
  <c r="F20" i="14"/>
  <c r="U25" i="27" l="1"/>
  <c r="U28" i="27"/>
  <c r="BF3" i="27"/>
  <c r="BF11" i="27"/>
  <c r="R28" i="27"/>
  <c r="BG16" i="27"/>
  <c r="BG6" i="27"/>
  <c r="BG4" i="27" s="1"/>
  <c r="BH5" i="27"/>
  <c r="BE13" i="27"/>
  <c r="BF7" i="27"/>
  <c r="W19" i="27"/>
  <c r="V20" i="27"/>
  <c r="S43" i="27"/>
  <c r="S45" i="27" s="1"/>
  <c r="S46" i="27" s="1"/>
  <c r="S44" i="27"/>
  <c r="W37" i="27"/>
  <c r="V38" i="27"/>
  <c r="U42" i="27"/>
  <c r="U41" i="27" s="1"/>
  <c r="U39" i="27"/>
  <c r="W35" i="27"/>
  <c r="V36" i="27"/>
  <c r="Q45" i="27"/>
  <c r="Q46" i="27" s="1"/>
  <c r="Q44" i="27"/>
  <c r="S25" i="27"/>
  <c r="S29" i="27"/>
  <c r="T6" i="27"/>
  <c r="U5" i="27"/>
  <c r="T16" i="27"/>
  <c r="Q12" i="27"/>
  <c r="R11" i="27"/>
  <c r="R9" i="27"/>
  <c r="S10" i="27"/>
  <c r="S7" i="27"/>
  <c r="D36" i="26"/>
  <c r="D38" i="26" s="1"/>
  <c r="D39" i="26" s="1"/>
  <c r="D31" i="26"/>
  <c r="F11" i="23"/>
  <c r="G11" i="23" s="1"/>
  <c r="H11" i="23" s="1"/>
  <c r="F12" i="23"/>
  <c r="G12" i="23" s="1"/>
  <c r="H12" i="23" s="1"/>
  <c r="F13" i="23"/>
  <c r="G13" i="23" s="1"/>
  <c r="H13" i="23" s="1"/>
  <c r="F14" i="23"/>
  <c r="G14" i="23" s="1"/>
  <c r="H14" i="23" s="1"/>
  <c r="F15" i="23"/>
  <c r="G15" i="23" s="1"/>
  <c r="H15" i="23" s="1"/>
  <c r="F10" i="23"/>
  <c r="G10" i="23" s="1"/>
  <c r="H10" i="23" s="1"/>
  <c r="F5" i="23"/>
  <c r="G5" i="23" s="1"/>
  <c r="H5" i="23" s="1"/>
  <c r="F6" i="23"/>
  <c r="G6" i="23" s="1"/>
  <c r="H6" i="23" s="1"/>
  <c r="F7" i="23"/>
  <c r="G7" i="23" s="1"/>
  <c r="H7" i="23" s="1"/>
  <c r="F8" i="23"/>
  <c r="G8" i="23" s="1"/>
  <c r="H8" i="23" s="1"/>
  <c r="F9" i="23"/>
  <c r="G9" i="23" s="1"/>
  <c r="H9" i="23" s="1"/>
  <c r="F4" i="23"/>
  <c r="G4" i="23" s="1"/>
  <c r="H4" i="23" s="1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29" i="20" s="1"/>
  <c r="B30" i="20" s="1"/>
  <c r="B31" i="20" s="1"/>
  <c r="B32" i="20" s="1"/>
  <c r="B34" i="20" s="1"/>
  <c r="B36" i="20" s="1"/>
  <c r="B37" i="20" s="1"/>
  <c r="B38" i="20" s="1"/>
  <c r="B39" i="20" s="1"/>
  <c r="B40" i="20" s="1"/>
  <c r="B41" i="20" s="1"/>
  <c r="B42" i="20" s="1"/>
  <c r="B43" i="20" s="1"/>
  <c r="B45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  <c r="B57" i="20" s="1"/>
  <c r="B58" i="20" s="1"/>
  <c r="B59" i="20" s="1"/>
  <c r="B60" i="20" s="1"/>
  <c r="B61" i="20" s="1"/>
  <c r="B62" i="20" s="1"/>
  <c r="B63" i="20" s="1"/>
  <c r="B64" i="20" s="1"/>
  <c r="B65" i="20" s="1"/>
  <c r="B66" i="20" s="1"/>
  <c r="B68" i="20" s="1"/>
  <c r="B69" i="20" s="1"/>
  <c r="B70" i="20" s="1"/>
  <c r="B71" i="20" s="1"/>
  <c r="B72" i="20" s="1"/>
  <c r="B73" i="20" s="1"/>
  <c r="B74" i="20" s="1"/>
  <c r="B75" i="20" s="1"/>
  <c r="B76" i="20" s="1"/>
  <c r="B77" i="20" s="1"/>
  <c r="B80" i="20" s="1"/>
  <c r="B81" i="20" s="1"/>
  <c r="B82" i="20" s="1"/>
  <c r="B83" i="20" s="1"/>
  <c r="B84" i="20" s="1"/>
  <c r="B85" i="20" s="1"/>
  <c r="B86" i="20" s="1"/>
  <c r="B87" i="20" s="1"/>
  <c r="B88" i="20" s="1"/>
  <c r="B89" i="20" s="1"/>
  <c r="B90" i="20" s="1"/>
  <c r="B91" i="20" s="1"/>
  <c r="B92" i="20" s="1"/>
  <c r="B93" i="20" s="1"/>
  <c r="B94" i="20" s="1"/>
  <c r="B95" i="20" s="1"/>
  <c r="B96" i="20" s="1"/>
  <c r="B97" i="20" s="1"/>
  <c r="B98" i="20" s="1"/>
  <c r="B99" i="20" s="1"/>
  <c r="B100" i="20" s="1"/>
  <c r="B101" i="20" s="1"/>
  <c r="B102" i="20" s="1"/>
  <c r="B103" i="20" s="1"/>
  <c r="B104" i="20" s="1"/>
  <c r="B105" i="20" s="1"/>
  <c r="B106" i="20" s="1"/>
  <c r="B107" i="20" s="1"/>
  <c r="B108" i="20" s="1"/>
  <c r="B109" i="20" s="1"/>
  <c r="B110" i="20" s="1"/>
  <c r="B111" i="20" s="1"/>
  <c r="B112" i="20" s="1"/>
  <c r="B113" i="20" s="1"/>
  <c r="B114" i="20" s="1"/>
  <c r="B115" i="20" s="1"/>
  <c r="B116" i="20" s="1"/>
  <c r="B117" i="20" s="1"/>
  <c r="B118" i="20" s="1"/>
  <c r="B119" i="20" s="1"/>
  <c r="B120" i="20" s="1"/>
  <c r="B121" i="20" s="1"/>
  <c r="B122" i="20" s="1"/>
  <c r="B123" i="20" s="1"/>
  <c r="B124" i="20" s="1"/>
  <c r="B125" i="20" s="1"/>
  <c r="B126" i="20" s="1"/>
  <c r="B127" i="20" s="1"/>
  <c r="B128" i="20" s="1"/>
  <c r="B129" i="20" s="1"/>
  <c r="B130" i="20" s="1"/>
  <c r="B131" i="20" s="1"/>
  <c r="B132" i="20" s="1"/>
  <c r="B133" i="20" s="1"/>
  <c r="B134" i="20" s="1"/>
  <c r="B135" i="20" s="1"/>
  <c r="B136" i="20" s="1"/>
  <c r="B137" i="20" s="1"/>
  <c r="B138" i="20" s="1"/>
  <c r="B139" i="20" s="1"/>
  <c r="B140" i="20" s="1"/>
  <c r="B141" i="20" s="1"/>
  <c r="B142" i="20" s="1"/>
  <c r="B143" i="20" s="1"/>
  <c r="B144" i="20" s="1"/>
  <c r="B145" i="20" s="1"/>
  <c r="B146" i="20" s="1"/>
  <c r="B147" i="20" s="1"/>
  <c r="B148" i="20" s="1"/>
  <c r="B149" i="20" s="1"/>
  <c r="B150" i="20" s="1"/>
  <c r="B151" i="20" s="1"/>
  <c r="B152" i="20" s="1"/>
  <c r="B153" i="20" s="1"/>
  <c r="B154" i="20" s="1"/>
  <c r="B155" i="20" s="1"/>
  <c r="B156" i="20" s="1"/>
  <c r="B157" i="20" s="1"/>
  <c r="B158" i="20" s="1"/>
  <c r="B159" i="20" s="1"/>
  <c r="B160" i="20" s="1"/>
  <c r="B161" i="20" s="1"/>
  <c r="B162" i="20" s="1"/>
  <c r="B163" i="20" s="1"/>
  <c r="B164" i="20" s="1"/>
  <c r="B165" i="20" s="1"/>
  <c r="B166" i="20" s="1"/>
  <c r="B167" i="20" s="1"/>
  <c r="B168" i="20" s="1"/>
  <c r="B169" i="20" s="1"/>
  <c r="B170" i="20" s="1"/>
  <c r="B171" i="20" s="1"/>
  <c r="B172" i="20" s="1"/>
  <c r="B173" i="20" s="1"/>
  <c r="B174" i="20" s="1"/>
  <c r="B175" i="20" s="1"/>
  <c r="B176" i="20" s="1"/>
  <c r="B177" i="20" s="1"/>
  <c r="B178" i="20" s="1"/>
  <c r="B179" i="20" s="1"/>
  <c r="B180" i="20" s="1"/>
  <c r="B181" i="20" s="1"/>
  <c r="B182" i="20" s="1"/>
  <c r="B183" i="20" s="1"/>
  <c r="B184" i="20" s="1"/>
  <c r="B185" i="20" s="1"/>
  <c r="B186" i="20" s="1"/>
  <c r="B187" i="20" s="1"/>
  <c r="B188" i="20" s="1"/>
  <c r="B189" i="20" s="1"/>
  <c r="B190" i="20" s="1"/>
  <c r="B191" i="20" s="1"/>
  <c r="B192" i="20" s="1"/>
  <c r="B193" i="20" s="1"/>
  <c r="B194" i="20" s="1"/>
  <c r="B195" i="20" s="1"/>
  <c r="B196" i="20" s="1"/>
  <c r="B197" i="20" s="1"/>
  <c r="B198" i="20" s="1"/>
  <c r="B199" i="20" s="1"/>
  <c r="B200" i="20" s="1"/>
  <c r="B201" i="20" s="1"/>
  <c r="B202" i="20" s="1"/>
  <c r="B203" i="20" s="1"/>
  <c r="B204" i="20" s="1"/>
  <c r="B205" i="20" s="1"/>
  <c r="B206" i="20" s="1"/>
  <c r="B207" i="20" s="1"/>
  <c r="BG11" i="27" l="1"/>
  <c r="BG3" i="27"/>
  <c r="BF13" i="27"/>
  <c r="BH16" i="27"/>
  <c r="BH6" i="27"/>
  <c r="BH4" i="27" s="1"/>
  <c r="BI5" i="27"/>
  <c r="BG7" i="27"/>
  <c r="BE14" i="27"/>
  <c r="BE12" i="27"/>
  <c r="S11" i="27"/>
  <c r="Q14" i="27"/>
  <c r="V26" i="27"/>
  <c r="V23" i="27"/>
  <c r="W20" i="27"/>
  <c r="X19" i="27"/>
  <c r="X20" i="27" s="1"/>
  <c r="U43" i="27"/>
  <c r="U45" i="27" s="1"/>
  <c r="U46" i="27" s="1"/>
  <c r="W36" i="27"/>
  <c r="X35" i="27"/>
  <c r="X36" i="27" s="1"/>
  <c r="X37" i="27"/>
  <c r="X38" i="27" s="1"/>
  <c r="W38" i="27"/>
  <c r="V42" i="27"/>
  <c r="V41" i="27" s="1"/>
  <c r="V39" i="27"/>
  <c r="S28" i="27"/>
  <c r="S30" i="27"/>
  <c r="S9" i="27"/>
  <c r="R13" i="27"/>
  <c r="R17" i="27" s="1"/>
  <c r="R12" i="27"/>
  <c r="U6" i="27"/>
  <c r="V5" i="27"/>
  <c r="U16" i="27"/>
  <c r="T10" i="27"/>
  <c r="T7" i="27"/>
  <c r="O22" i="19"/>
  <c r="U22" i="19"/>
  <c r="AC22" i="19"/>
  <c r="BH11" i="27" l="1"/>
  <c r="BH3" i="27"/>
  <c r="U44" i="27"/>
  <c r="BG13" i="27"/>
  <c r="BI6" i="27"/>
  <c r="BI4" i="27" s="1"/>
  <c r="BJ5" i="27"/>
  <c r="BI16" i="27"/>
  <c r="BH7" i="27"/>
  <c r="BF12" i="27"/>
  <c r="BF14" i="27"/>
  <c r="R14" i="27"/>
  <c r="X23" i="27"/>
  <c r="X26" i="27"/>
  <c r="X25" i="27" s="1"/>
  <c r="X27" i="27"/>
  <c r="W26" i="27"/>
  <c r="W25" i="27" s="1"/>
  <c r="W23" i="27"/>
  <c r="V27" i="27"/>
  <c r="V25" i="27"/>
  <c r="X39" i="27"/>
  <c r="X42" i="27"/>
  <c r="X41" i="27" s="1"/>
  <c r="V43" i="27"/>
  <c r="W39" i="27"/>
  <c r="W42" i="27"/>
  <c r="W41" i="27" s="1"/>
  <c r="V6" i="27"/>
  <c r="V16" i="27"/>
  <c r="W5" i="27"/>
  <c r="T9" i="27"/>
  <c r="T11" i="27"/>
  <c r="U10" i="27"/>
  <c r="U7" i="27"/>
  <c r="S13" i="27"/>
  <c r="S17" i="27" s="1"/>
  <c r="S12" i="27"/>
  <c r="BA2" i="14"/>
  <c r="Y2" i="14"/>
  <c r="X2" i="14"/>
  <c r="L2" i="14"/>
  <c r="K2" i="14"/>
  <c r="K7" i="14"/>
  <c r="BI3" i="27" l="1"/>
  <c r="BI11" i="27"/>
  <c r="BH13" i="27"/>
  <c r="BJ6" i="27"/>
  <c r="BJ4" i="27" s="1"/>
  <c r="BK5" i="27"/>
  <c r="BJ16" i="27"/>
  <c r="BI7" i="27"/>
  <c r="BG14" i="27"/>
  <c r="BG12" i="27"/>
  <c r="S14" i="27"/>
  <c r="V29" i="27"/>
  <c r="V30" i="27" s="1"/>
  <c r="V28" i="27"/>
  <c r="W28" i="27"/>
  <c r="W29" i="27"/>
  <c r="W30" i="27" s="1"/>
  <c r="X29" i="27"/>
  <c r="X30" i="27" s="1"/>
  <c r="X28" i="27"/>
  <c r="W43" i="27"/>
  <c r="V44" i="27"/>
  <c r="V45" i="27"/>
  <c r="V46" i="27" s="1"/>
  <c r="X43" i="27"/>
  <c r="U9" i="27"/>
  <c r="U11" i="27"/>
  <c r="W6" i="27"/>
  <c r="X5" i="27"/>
  <c r="W16" i="27"/>
  <c r="T13" i="27"/>
  <c r="T12" i="27"/>
  <c r="V7" i="27"/>
  <c r="V10" i="27"/>
  <c r="B4" i="15"/>
  <c r="B5" i="15" s="1"/>
  <c r="B6" i="15" s="1"/>
  <c r="B8" i="15" s="1"/>
  <c r="BJ11" i="27" l="1"/>
  <c r="BJ3" i="27"/>
  <c r="T14" i="27"/>
  <c r="BI13" i="27"/>
  <c r="BJ7" i="27"/>
  <c r="BK6" i="27"/>
  <c r="BK4" i="27" s="1"/>
  <c r="BK16" i="27"/>
  <c r="BH14" i="27"/>
  <c r="BH12" i="27"/>
  <c r="W45" i="27"/>
  <c r="W46" i="27" s="1"/>
  <c r="W44" i="27"/>
  <c r="X45" i="27"/>
  <c r="X46" i="27" s="1"/>
  <c r="X44" i="27"/>
  <c r="V11" i="27"/>
  <c r="V9" i="27"/>
  <c r="U12" i="27"/>
  <c r="U13" i="27"/>
  <c r="U14" i="27" s="1"/>
  <c r="X6" i="27"/>
  <c r="X16" i="27"/>
  <c r="W10" i="27"/>
  <c r="W7" i="27"/>
  <c r="B9" i="15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7" i="15" s="1"/>
  <c r="B28" i="15" s="1"/>
  <c r="B29" i="15" s="1"/>
  <c r="B30" i="15" s="1"/>
  <c r="BK11" i="27" l="1"/>
  <c r="BK3" i="27"/>
  <c r="BK7" i="27"/>
  <c r="BJ13" i="27"/>
  <c r="BI14" i="27"/>
  <c r="BI12" i="27"/>
  <c r="W11" i="27"/>
  <c r="W9" i="27"/>
  <c r="X10" i="27"/>
  <c r="X7" i="27"/>
  <c r="V12" i="27"/>
  <c r="V13" i="27"/>
  <c r="V14" i="27" s="1"/>
  <c r="B32" i="15"/>
  <c r="B33" i="15" s="1"/>
  <c r="B34" i="15" s="1"/>
  <c r="B45" i="15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38" i="15"/>
  <c r="B39" i="15" s="1"/>
  <c r="B40" i="15" s="1"/>
  <c r="B41" i="15" s="1"/>
  <c r="B42" i="15" s="1"/>
  <c r="BJ14" i="27" l="1"/>
  <c r="BJ12" i="27"/>
  <c r="BK13" i="27"/>
  <c r="X11" i="27"/>
  <c r="X9" i="27"/>
  <c r="W13" i="27"/>
  <c r="W14" i="27" s="1"/>
  <c r="W12" i="27"/>
  <c r="AF15" i="14"/>
  <c r="AI2" i="14"/>
  <c r="AH2" i="14"/>
  <c r="AH3" i="14" s="1"/>
  <c r="AF2" i="14"/>
  <c r="AF3" i="14" s="1"/>
  <c r="AG5" i="14"/>
  <c r="AH5" i="14"/>
  <c r="AI5" i="14"/>
  <c r="AJ5" i="14"/>
  <c r="AK5" i="14"/>
  <c r="AL5" i="14"/>
  <c r="AM5" i="14"/>
  <c r="AN5" i="14"/>
  <c r="AO5" i="14"/>
  <c r="AF5" i="14"/>
  <c r="AG2" i="14"/>
  <c r="AG3" i="14" s="1"/>
  <c r="AI15" i="14"/>
  <c r="AH15" i="14"/>
  <c r="AG15" i="14"/>
  <c r="AS18" i="14"/>
  <c r="AX18" i="14" s="1"/>
  <c r="AT18" i="14"/>
  <c r="AY18" i="14" s="1"/>
  <c r="AZ18" i="14"/>
  <c r="H15" i="14"/>
  <c r="G15" i="14"/>
  <c r="F15" i="14"/>
  <c r="E15" i="14"/>
  <c r="D15" i="14"/>
  <c r="I2" i="14"/>
  <c r="I3" i="14" s="1"/>
  <c r="L3" i="14"/>
  <c r="K3" i="14"/>
  <c r="J2" i="14"/>
  <c r="J3" i="14" s="1"/>
  <c r="AO15" i="14"/>
  <c r="AN15" i="14"/>
  <c r="AM15" i="14"/>
  <c r="AL15" i="14"/>
  <c r="AK15" i="14"/>
  <c r="AJ15" i="14"/>
  <c r="AE15" i="14"/>
  <c r="AD15" i="14"/>
  <c r="V2" i="14"/>
  <c r="R15" i="14"/>
  <c r="Q15" i="14"/>
  <c r="S15" i="14"/>
  <c r="AK2" i="14"/>
  <c r="AM2" i="14" s="1"/>
  <c r="AJ2" i="14"/>
  <c r="AL2" i="14" s="1"/>
  <c r="AN2" i="14" s="1"/>
  <c r="Y3" i="14"/>
  <c r="W2" i="14"/>
  <c r="W3" i="14" s="1"/>
  <c r="T15" i="14"/>
  <c r="U15" i="14"/>
  <c r="I7" i="14"/>
  <c r="W5" i="14"/>
  <c r="X5" i="14"/>
  <c r="Y5" i="14"/>
  <c r="Q5" i="14"/>
  <c r="J5" i="14"/>
  <c r="K5" i="14"/>
  <c r="L5" i="14"/>
  <c r="I5" i="14"/>
  <c r="AE5" i="14"/>
  <c r="AD5" i="14"/>
  <c r="AE3" i="14"/>
  <c r="AD3" i="14"/>
  <c r="BA16" i="14"/>
  <c r="AZ16" i="14"/>
  <c r="AY16" i="14"/>
  <c r="AX16" i="14"/>
  <c r="AW16" i="14"/>
  <c r="AV16" i="14"/>
  <c r="AU16" i="14"/>
  <c r="AT16" i="14"/>
  <c r="AS16" i="14"/>
  <c r="AW14" i="14"/>
  <c r="AV14" i="14"/>
  <c r="AU14" i="14"/>
  <c r="AT14" i="14"/>
  <c r="AS14" i="14"/>
  <c r="BA13" i="14"/>
  <c r="BA14" i="14" s="1"/>
  <c r="AZ13" i="14"/>
  <c r="AZ14" i="14" s="1"/>
  <c r="AY13" i="14"/>
  <c r="AY14" i="14" s="1"/>
  <c r="AX13" i="14"/>
  <c r="AX14" i="14" s="1"/>
  <c r="AV7" i="14"/>
  <c r="AZ7" i="14" s="1"/>
  <c r="AU7" i="14"/>
  <c r="AT7" i="14"/>
  <c r="AY7" i="14" s="1"/>
  <c r="AS7" i="14"/>
  <c r="AX7" i="14" s="1"/>
  <c r="BA5" i="14"/>
  <c r="AZ5" i="14"/>
  <c r="AY5" i="14"/>
  <c r="AX5" i="14"/>
  <c r="AW5" i="14"/>
  <c r="AV5" i="14"/>
  <c r="AU5" i="14"/>
  <c r="AT5" i="14"/>
  <c r="AS5" i="14"/>
  <c r="AW3" i="14"/>
  <c r="AV3" i="14"/>
  <c r="AU3" i="14"/>
  <c r="AT3" i="14"/>
  <c r="AS3" i="14"/>
  <c r="BA3" i="14"/>
  <c r="AZ2" i="14"/>
  <c r="AZ3" i="14" s="1"/>
  <c r="AY2" i="14"/>
  <c r="AY3" i="14" s="1"/>
  <c r="AX2" i="14"/>
  <c r="AX3" i="14" s="1"/>
  <c r="T7" i="14"/>
  <c r="X7" i="14" s="1"/>
  <c r="S7" i="14"/>
  <c r="J7" i="14"/>
  <c r="H7" i="14"/>
  <c r="U5" i="14"/>
  <c r="T5" i="14"/>
  <c r="S5" i="14"/>
  <c r="R5" i="14"/>
  <c r="H5" i="14"/>
  <c r="G5" i="14"/>
  <c r="F5" i="14"/>
  <c r="E5" i="14"/>
  <c r="D5" i="14"/>
  <c r="U3" i="14"/>
  <c r="T3" i="14"/>
  <c r="S3" i="14"/>
  <c r="R3" i="14"/>
  <c r="Q3" i="14"/>
  <c r="H3" i="14"/>
  <c r="G3" i="14"/>
  <c r="F3" i="14"/>
  <c r="E3" i="14"/>
  <c r="D3" i="14"/>
  <c r="BK14" i="27" l="1"/>
  <c r="BK12" i="27"/>
  <c r="X13" i="27"/>
  <c r="X14" i="27" s="1"/>
  <c r="X12" i="27"/>
  <c r="D9" i="14"/>
  <c r="D8" i="14" s="1"/>
  <c r="D6" i="14"/>
  <c r="D10" i="14"/>
  <c r="U7" i="14"/>
  <c r="Y7" i="14" s="1"/>
  <c r="L7" i="14"/>
  <c r="L11" i="14" s="1"/>
  <c r="K8" i="14"/>
  <c r="AZ17" i="14"/>
  <c r="Q6" i="14"/>
  <c r="AV17" i="14"/>
  <c r="AK3" i="14"/>
  <c r="AK6" i="14" s="1"/>
  <c r="AT17" i="14"/>
  <c r="AU17" i="14"/>
  <c r="AX17" i="14"/>
  <c r="AF6" i="14"/>
  <c r="AD7" i="14"/>
  <c r="AF7" i="14" s="1"/>
  <c r="AH7" i="14" s="1"/>
  <c r="BA17" i="14"/>
  <c r="AE7" i="14"/>
  <c r="AS17" i="14"/>
  <c r="AI3" i="14"/>
  <c r="AH6" i="14"/>
  <c r="AG6" i="14"/>
  <c r="AW17" i="14"/>
  <c r="AY17" i="14"/>
  <c r="AD6" i="14"/>
  <c r="AW18" i="14"/>
  <c r="BA18" i="14" s="1"/>
  <c r="BA20" i="14" s="1"/>
  <c r="BA19" i="14" s="1"/>
  <c r="AO2" i="14"/>
  <c r="AO3" i="14" s="1"/>
  <c r="AM3" i="14"/>
  <c r="AJ3" i="14"/>
  <c r="AN3" i="14"/>
  <c r="AL3" i="14"/>
  <c r="AS6" i="14"/>
  <c r="AU6" i="14"/>
  <c r="E9" i="14"/>
  <c r="E8" i="14" s="1"/>
  <c r="BA6" i="14"/>
  <c r="AV6" i="14"/>
  <c r="AE6" i="14"/>
  <c r="F9" i="14"/>
  <c r="F13" i="14" s="1"/>
  <c r="K6" i="14"/>
  <c r="AW6" i="14"/>
  <c r="R9" i="14"/>
  <c r="R10" i="14" s="1"/>
  <c r="AT9" i="14"/>
  <c r="AT8" i="14" s="1"/>
  <c r="V6" i="14"/>
  <c r="I8" i="14"/>
  <c r="T9" i="14"/>
  <c r="T10" i="14" s="1"/>
  <c r="T11" i="14" s="1"/>
  <c r="AT6" i="14"/>
  <c r="E6" i="14"/>
  <c r="Q9" i="14"/>
  <c r="Q10" i="14" s="1"/>
  <c r="G6" i="14"/>
  <c r="S6" i="14"/>
  <c r="AX20" i="14"/>
  <c r="AX19" i="14" s="1"/>
  <c r="J6" i="14"/>
  <c r="J8" i="14"/>
  <c r="AY20" i="14"/>
  <c r="AY19" i="14" s="1"/>
  <c r="Y6" i="14"/>
  <c r="L6" i="14"/>
  <c r="AX9" i="14"/>
  <c r="AX8" i="14" s="1"/>
  <c r="AX6" i="14"/>
  <c r="W6" i="14"/>
  <c r="AY9" i="14"/>
  <c r="AY8" i="14" s="1"/>
  <c r="AY6" i="14"/>
  <c r="X6" i="14"/>
  <c r="AZ6" i="14"/>
  <c r="AZ9" i="14"/>
  <c r="AZ8" i="14" s="1"/>
  <c r="G9" i="14"/>
  <c r="F6" i="14"/>
  <c r="R6" i="14"/>
  <c r="H9" i="14"/>
  <c r="S9" i="14"/>
  <c r="AW7" i="14"/>
  <c r="BA7" i="14" s="1"/>
  <c r="BA9" i="14" s="1"/>
  <c r="AS9" i="14"/>
  <c r="AS8" i="14" s="1"/>
  <c r="H6" i="14"/>
  <c r="T6" i="14"/>
  <c r="AU9" i="14"/>
  <c r="AU8" i="14" s="1"/>
  <c r="AS20" i="14"/>
  <c r="AS19" i="14" s="1"/>
  <c r="AZ20" i="14"/>
  <c r="AZ19" i="14" s="1"/>
  <c r="I6" i="14"/>
  <c r="U6" i="14"/>
  <c r="AV9" i="14"/>
  <c r="AV8" i="14" s="1"/>
  <c r="AT20" i="14"/>
  <c r="AT19" i="14" s="1"/>
  <c r="AU20" i="14"/>
  <c r="AU19" i="14" s="1"/>
  <c r="AV20" i="14"/>
  <c r="AV19" i="14" s="1"/>
  <c r="G10" i="14" l="1"/>
  <c r="G11" i="14" s="1"/>
  <c r="G18" i="14"/>
  <c r="G19" i="14"/>
  <c r="G20" i="14"/>
  <c r="U10" i="14"/>
  <c r="U11" i="14" s="1"/>
  <c r="E10" i="14"/>
  <c r="BB19" i="14"/>
  <c r="BC19" i="14"/>
  <c r="E13" i="14"/>
  <c r="AH9" i="14"/>
  <c r="AJ7" i="14"/>
  <c r="AL7" i="14" s="1"/>
  <c r="AN7" i="14" s="1"/>
  <c r="AN9" i="14" s="1"/>
  <c r="AN8" i="14" s="1"/>
  <c r="AJ6" i="14"/>
  <c r="AF9" i="14"/>
  <c r="F10" i="14"/>
  <c r="F11" i="14" s="1"/>
  <c r="AM6" i="14"/>
  <c r="AI6" i="14"/>
  <c r="AG7" i="14"/>
  <c r="AE9" i="14"/>
  <c r="W11" i="14"/>
  <c r="AL6" i="14"/>
  <c r="AN6" i="14"/>
  <c r="E11" i="14"/>
  <c r="F8" i="14"/>
  <c r="N8" i="14" s="1"/>
  <c r="R8" i="14"/>
  <c r="AO6" i="14"/>
  <c r="AV10" i="14"/>
  <c r="AV11" i="14" s="1"/>
  <c r="T8" i="14"/>
  <c r="AD9" i="14"/>
  <c r="AW9" i="14"/>
  <c r="AW8" i="14" s="1"/>
  <c r="AU10" i="14"/>
  <c r="AU11" i="14" s="1"/>
  <c r="I13" i="14"/>
  <c r="I11" i="14"/>
  <c r="R11" i="14"/>
  <c r="AT10" i="14"/>
  <c r="AT11" i="14" s="1"/>
  <c r="X8" i="14"/>
  <c r="X11" i="14"/>
  <c r="S10" i="14"/>
  <c r="S11" i="14" s="1"/>
  <c r="V11" i="14"/>
  <c r="Y8" i="14"/>
  <c r="Y11" i="14"/>
  <c r="BB20" i="14"/>
  <c r="BB9" i="14"/>
  <c r="AU21" i="14"/>
  <c r="AU22" i="14" s="1"/>
  <c r="Q8" i="14"/>
  <c r="AY21" i="14"/>
  <c r="AY22" i="14" s="1"/>
  <c r="AS10" i="14"/>
  <c r="AS11" i="14" s="1"/>
  <c r="BA8" i="14"/>
  <c r="BA10" i="14"/>
  <c r="BA11" i="14" s="1"/>
  <c r="AZ10" i="14"/>
  <c r="AZ11" i="14" s="1"/>
  <c r="BA21" i="14"/>
  <c r="BA22" i="14" s="1"/>
  <c r="V8" i="14"/>
  <c r="AV21" i="14"/>
  <c r="AV22" i="14" s="1"/>
  <c r="U8" i="14"/>
  <c r="H8" i="14"/>
  <c r="H13" i="14"/>
  <c r="AW20" i="14"/>
  <c r="AW19" i="14" s="1"/>
  <c r="AX10" i="14"/>
  <c r="AX11" i="14" s="1"/>
  <c r="J11" i="14"/>
  <c r="L8" i="14"/>
  <c r="L13" i="14"/>
  <c r="M9" i="14"/>
  <c r="D13" i="14"/>
  <c r="G8" i="14"/>
  <c r="BB8" i="14"/>
  <c r="BC8" i="14"/>
  <c r="AT21" i="14"/>
  <c r="AT22" i="14" s="1"/>
  <c r="H10" i="14"/>
  <c r="H11" i="14" s="1"/>
  <c r="K11" i="14"/>
  <c r="S8" i="14"/>
  <c r="AZ21" i="14"/>
  <c r="AZ22" i="14" s="1"/>
  <c r="G13" i="14"/>
  <c r="AX22" i="14"/>
  <c r="J13" i="14"/>
  <c r="AS21" i="14"/>
  <c r="AS22" i="14" s="1"/>
  <c r="AY10" i="14"/>
  <c r="AY11" i="14" s="1"/>
  <c r="K13" i="14"/>
  <c r="Z9" i="14" l="1"/>
  <c r="Z8" i="14"/>
  <c r="G21" i="14"/>
  <c r="J20" i="14"/>
  <c r="K20" i="14"/>
  <c r="I20" i="14"/>
  <c r="J19" i="14"/>
  <c r="I19" i="14"/>
  <c r="K19" i="14"/>
  <c r="D17" i="14"/>
  <c r="M8" i="14"/>
  <c r="I18" i="14"/>
  <c r="K18" i="14"/>
  <c r="J18" i="14"/>
  <c r="AJ9" i="14"/>
  <c r="AL9" i="14"/>
  <c r="AL8" i="14" s="1"/>
  <c r="AD10" i="14"/>
  <c r="AD8" i="14"/>
  <c r="AE8" i="14"/>
  <c r="AE10" i="14"/>
  <c r="AE11" i="14" s="1"/>
  <c r="AF10" i="14"/>
  <c r="AF11" i="14" s="1"/>
  <c r="AF8" i="14"/>
  <c r="AG9" i="14"/>
  <c r="AI7" i="14"/>
  <c r="AN10" i="14"/>
  <c r="AN11" i="14" s="1"/>
  <c r="AH10" i="14"/>
  <c r="AH11" i="14" s="1"/>
  <c r="AH8" i="14"/>
  <c r="AW10" i="14"/>
  <c r="AW11" i="14" s="1"/>
  <c r="AA8" i="14"/>
  <c r="Q11" i="14"/>
  <c r="D14" i="14"/>
  <c r="D11" i="14"/>
  <c r="AW21" i="14"/>
  <c r="AW22" i="14" s="1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U8" i="2" s="1"/>
  <c r="T7" i="2"/>
  <c r="T6" i="2"/>
  <c r="T5" i="2"/>
  <c r="T4" i="2"/>
  <c r="T3" i="2"/>
  <c r="T2" i="2"/>
  <c r="P4" i="2"/>
  <c r="P5" i="2"/>
  <c r="P6" i="2"/>
  <c r="P7" i="2"/>
  <c r="P8" i="2"/>
  <c r="Q8" i="2" s="1"/>
  <c r="P9" i="2"/>
  <c r="Q9" i="2" s="1"/>
  <c r="P10" i="2"/>
  <c r="P11" i="2"/>
  <c r="P12" i="2"/>
  <c r="P13" i="2"/>
  <c r="P14" i="2"/>
  <c r="P15" i="2"/>
  <c r="P16" i="2"/>
  <c r="Q16" i="2" s="1"/>
  <c r="P17" i="2"/>
  <c r="Q17" i="2" s="1"/>
  <c r="P18" i="2"/>
  <c r="P19" i="2"/>
  <c r="P20" i="2"/>
  <c r="P21" i="2"/>
  <c r="P22" i="2"/>
  <c r="Q22" i="2" s="1"/>
  <c r="P23" i="2"/>
  <c r="P24" i="2"/>
  <c r="Q24" i="2" s="1"/>
  <c r="P25" i="2"/>
  <c r="Q25" i="2" s="1"/>
  <c r="P26" i="2"/>
  <c r="P27" i="2"/>
  <c r="P28" i="2"/>
  <c r="P29" i="2"/>
  <c r="Q29" i="2" s="1"/>
  <c r="P30" i="2"/>
  <c r="Q30" i="2" s="1"/>
  <c r="P31" i="2"/>
  <c r="Q31" i="2" s="1"/>
  <c r="P32" i="2"/>
  <c r="Q32" i="2" s="1"/>
  <c r="P33" i="2"/>
  <c r="Q33" i="2" s="1"/>
  <c r="P34" i="2"/>
  <c r="P2" i="2"/>
  <c r="P3" i="2"/>
  <c r="D18" i="14" l="1"/>
  <c r="G17" i="14"/>
  <c r="D19" i="14"/>
  <c r="AL10" i="14"/>
  <c r="AL11" i="14" s="1"/>
  <c r="AJ8" i="14"/>
  <c r="AJ10" i="14"/>
  <c r="AJ11" i="14" s="1"/>
  <c r="AI9" i="14"/>
  <c r="AK7" i="14"/>
  <c r="AG10" i="14"/>
  <c r="AG11" i="14" s="1"/>
  <c r="AG8" i="14"/>
  <c r="AD11" i="14"/>
  <c r="Q23" i="2"/>
  <c r="Q15" i="2"/>
  <c r="Q7" i="2"/>
  <c r="Q14" i="2"/>
  <c r="Q6" i="2"/>
  <c r="U16" i="2"/>
  <c r="V16" i="2" s="1"/>
  <c r="Q28" i="2"/>
  <c r="Q34" i="2"/>
  <c r="Q21" i="2"/>
  <c r="Q13" i="2"/>
  <c r="Q5" i="2"/>
  <c r="U24" i="2"/>
  <c r="U32" i="2"/>
  <c r="V32" i="2" s="1"/>
  <c r="Q20" i="2"/>
  <c r="Q12" i="2"/>
  <c r="Q4" i="2"/>
  <c r="U33" i="2"/>
  <c r="Q3" i="2"/>
  <c r="Q27" i="2"/>
  <c r="Q19" i="2"/>
  <c r="Q11" i="2"/>
  <c r="U10" i="2"/>
  <c r="V10" i="2" s="1"/>
  <c r="Q26" i="2"/>
  <c r="Q18" i="2"/>
  <c r="Q10" i="2"/>
  <c r="V33" i="2"/>
  <c r="V24" i="2"/>
  <c r="U9" i="2"/>
  <c r="V9" i="2" s="1"/>
  <c r="U17" i="2"/>
  <c r="V17" i="2" s="1"/>
  <c r="U25" i="2"/>
  <c r="V25" i="2" s="1"/>
  <c r="U34" i="2"/>
  <c r="V34" i="2" s="1"/>
  <c r="U3" i="2"/>
  <c r="V3" i="2" s="1"/>
  <c r="U11" i="2"/>
  <c r="U19" i="2"/>
  <c r="U27" i="2"/>
  <c r="V27" i="2" s="1"/>
  <c r="U4" i="2"/>
  <c r="U12" i="2"/>
  <c r="V12" i="2" s="1"/>
  <c r="U20" i="2"/>
  <c r="U28" i="2"/>
  <c r="V28" i="2" s="1"/>
  <c r="U5" i="2"/>
  <c r="V5" i="2" s="1"/>
  <c r="U13" i="2"/>
  <c r="V13" i="2" s="1"/>
  <c r="U21" i="2"/>
  <c r="V21" i="2" s="1"/>
  <c r="U29" i="2"/>
  <c r="V29" i="2" s="1"/>
  <c r="V8" i="2"/>
  <c r="U18" i="2"/>
  <c r="U6" i="2"/>
  <c r="V6" i="2" s="1"/>
  <c r="U14" i="2"/>
  <c r="V14" i="2" s="1"/>
  <c r="U22" i="2"/>
  <c r="V22" i="2" s="1"/>
  <c r="U30" i="2"/>
  <c r="V30" i="2" s="1"/>
  <c r="U26" i="2"/>
  <c r="U7" i="2"/>
  <c r="V7" i="2" s="1"/>
  <c r="U15" i="2"/>
  <c r="V15" i="2" s="1"/>
  <c r="U23" i="2"/>
  <c r="V23" i="2" s="1"/>
  <c r="U31" i="2"/>
  <c r="V31" i="2" s="1"/>
  <c r="AM7" i="14" l="1"/>
  <c r="AK9" i="14"/>
  <c r="AI8" i="14"/>
  <c r="AI10" i="14"/>
  <c r="AI11" i="14" s="1"/>
  <c r="V19" i="2"/>
  <c r="V18" i="2"/>
  <c r="V11" i="2"/>
  <c r="V4" i="2"/>
  <c r="V26" i="2"/>
  <c r="V20" i="2"/>
  <c r="AK10" i="14" l="1"/>
  <c r="AK11" i="14" s="1"/>
  <c r="AK8" i="14"/>
  <c r="AO7" i="14"/>
  <c r="AO9" i="14" s="1"/>
  <c r="AM9" i="14"/>
  <c r="AM8" i="14" l="1"/>
  <c r="AM10" i="14"/>
  <c r="AM11" i="14" s="1"/>
  <c r="AO8" i="14"/>
  <c r="AO10" i="14"/>
  <c r="AO11" i="14" s="1"/>
  <c r="C20" i="14"/>
  <c r="D20" i="14" s="1"/>
  <c r="D21" i="14" s="1"/>
  <c r="BC13" i="27"/>
  <c r="BC14" i="27" s="1"/>
  <c r="BC12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R3" authorId="0" shapeId="0" xr:uid="{125F2488-ABE3-4A2A-8EE3-C7B29A3A763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8" authorId="0" shapeId="0" xr:uid="{6A401933-700D-4E17-892B-51D1CB6A1AD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</t>
        </r>
        <r>
          <rPr>
            <sz val="9"/>
            <color indexed="81"/>
            <rFont val="돋움"/>
            <family val="3"/>
            <charset val="129"/>
          </rPr>
          <t>부터</t>
        </r>
        <r>
          <rPr>
            <sz val="9"/>
            <color indexed="81"/>
            <rFont val="Tahoma"/>
            <family val="2"/>
          </rPr>
          <t xml:space="preserve"> timer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|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H9" authorId="0" shapeId="0" xr:uid="{DE8F82A3-89AC-4ACD-9136-231FDF8DFD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 xml:space="preserve">  (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, ld_rd_start_pointer </t>
        </r>
        <r>
          <rPr>
            <sz val="9"/>
            <color indexed="81"/>
            <rFont val="돋움"/>
            <family val="3"/>
            <charset val="129"/>
          </rPr>
          <t>설정값은</t>
        </r>
        <r>
          <rPr>
            <sz val="9"/>
            <color indexed="81"/>
            <rFont val="Tahoma"/>
            <family val="2"/>
          </rPr>
          <t xml:space="preserve"> 0</t>
        </r>
        <r>
          <rPr>
            <sz val="9"/>
            <color indexed="81"/>
            <rFont val="돋움"/>
            <family val="3"/>
            <charset val="129"/>
          </rPr>
          <t>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 ld_rd_start_pointer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C10" authorId="0" shapeId="0" xr:uid="{0C3CC9D3-C679-476B-9B5A-E749AF65851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작업</t>
        </r>
        <r>
          <rPr>
            <sz val="9"/>
            <color indexed="81"/>
            <rFont val="Tahoma"/>
            <family val="2"/>
          </rPr>
          <t xml:space="preserve"> (fault auto read </t>
        </r>
        <r>
          <rPr>
            <sz val="9"/>
            <color indexed="81"/>
            <rFont val="돋움"/>
            <family val="3"/>
            <charset val="129"/>
          </rPr>
          <t>등</t>
        </r>
        <r>
          <rPr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돋움"/>
            <family val="3"/>
            <charset val="129"/>
          </rPr>
          <t>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중이면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안됨</t>
        </r>
        <r>
          <rPr>
            <sz val="9"/>
            <color indexed="81"/>
            <rFont val="Tahoma"/>
            <family val="2"/>
          </rPr>
          <t xml:space="preserve">.
    vsync_rst_en2 enable </t>
        </r>
        <r>
          <rPr>
            <sz val="9"/>
            <color indexed="81"/>
            <rFont val="돋움"/>
            <family val="3"/>
            <charset val="129"/>
          </rPr>
          <t xml:space="preserve">필요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하더라도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fault readback </t>
        </r>
        <r>
          <rPr>
            <sz val="9"/>
            <color indexed="81"/>
            <rFont val="돋움"/>
            <family val="3"/>
            <charset val="129"/>
          </rPr>
          <t>중인데</t>
        </r>
        <r>
          <rPr>
            <sz val="9"/>
            <color indexed="81"/>
            <rFont val="Tahoma"/>
            <family val="2"/>
          </rPr>
          <t xml:space="preserve"> xc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나가면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충돌발생해서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안됨
</t>
        </r>
        <r>
          <rPr>
            <sz val="9"/>
            <color indexed="81"/>
            <rFont val="Tahoma"/>
            <family val="2"/>
          </rPr>
          <t xml:space="preserve">    </t>
        </r>
        <r>
          <rPr>
            <sz val="9"/>
            <color indexed="81"/>
            <rFont val="돋움"/>
            <family val="3"/>
            <charset val="129"/>
          </rPr>
          <t>무조건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다른</t>
        </r>
        <r>
          <rPr>
            <sz val="9"/>
            <color indexed="81"/>
            <rFont val="Tahoma"/>
            <family val="2"/>
          </rPr>
          <t xml:space="preserve"> command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발생하지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</text>
    </comment>
    <comment ref="H10" authorId="0" shapeId="0" xr:uid="{C8858102-F7CA-46D7-8739-7D3910C962D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- spi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수동으로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- auto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동작할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vsync </t>
        </r>
        <r>
          <rPr>
            <sz val="9"/>
            <color indexed="81"/>
            <rFont val="돋움"/>
            <family val="3"/>
            <charset val="129"/>
          </rPr>
          <t>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설정됨</t>
        </r>
      </text>
    </comment>
    <comment ref="O11" authorId="0" shapeId="0" xr:uid="{1DF65B32-4C93-46FD-B4C2-8958FC4E23E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13-bit, 8,191ea</t>
        </r>
      </text>
    </comment>
    <comment ref="C12" authorId="0" shapeId="0" xr:uid="{EE9BBDD3-CCC7-4D6D-9A32-37CC3EEDA7F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1-line </t>
        </r>
        <r>
          <rPr>
            <sz val="9"/>
            <color indexed="81"/>
            <rFont val="돋움"/>
            <family val="3"/>
            <charset val="129"/>
          </rPr>
          <t>마지막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시점에</t>
        </r>
        <r>
          <rPr>
            <sz val="9"/>
            <color indexed="81"/>
            <rFont val="Tahoma"/>
            <family val="2"/>
          </rPr>
          <t xml:space="preserve"> increment</t>
        </r>
      </text>
    </comment>
    <comment ref="O12" authorId="0" shapeId="0" xr:uid="{FAD34B87-F5D3-412E-AC13-A547579A3609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</t>
        </r>
        <r>
          <rPr>
            <sz val="9"/>
            <color indexed="81"/>
            <rFont val="돋움"/>
            <family val="3"/>
            <charset val="129"/>
          </rPr>
          <t>까지</t>
        </r>
        <r>
          <rPr>
            <sz val="9"/>
            <color indexed="81"/>
            <rFont val="Tahoma"/>
            <family val="2"/>
          </rPr>
          <t xml:space="preserve">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3" authorId="0" shapeId="0" xr:uid="{7CD86F75-9AD6-405D-B55C-4B645145EDD1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옮긴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13" authorId="0" shapeId="0" xr:uid="{34A506AB-6DDB-47C3-A309-8E41E3556E2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511 counting </t>
        </r>
        <r>
          <rPr>
            <sz val="9"/>
            <color indexed="81"/>
            <rFont val="돋움"/>
            <family val="3"/>
            <charset val="129"/>
          </rPr>
          <t xml:space="preserve">가능
</t>
        </r>
        <r>
          <rPr>
            <sz val="9"/>
            <color indexed="81"/>
            <rFont val="Tahoma"/>
            <family val="2"/>
          </rPr>
          <t>vsync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reset</t>
        </r>
      </text>
    </comment>
    <comment ref="C16" authorId="0" shapeId="0" xr:uid="{5F71021E-7E03-4E2F-890A-4E830150CA5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C17" authorId="0" shapeId="0" xr:uid="{289DB6CB-6848-4D46-A5A6-27AB543D81F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spi writing </t>
        </r>
        <r>
          <rPr>
            <sz val="9"/>
            <color indexed="81"/>
            <rFont val="돋움"/>
            <family val="3"/>
            <charset val="129"/>
          </rPr>
          <t>마지막에</t>
        </r>
        <r>
          <rPr>
            <sz val="9"/>
            <color indexed="81"/>
            <rFont val="Tahoma"/>
            <family val="2"/>
          </rPr>
          <t xml:space="preserve"> increment
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읽어내자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마자</t>
        </r>
        <r>
          <rPr>
            <sz val="9"/>
            <color indexed="81"/>
            <rFont val="Tahoma"/>
            <family val="2"/>
          </rPr>
          <t xml:space="preserve"> increment
</t>
        </r>
        <r>
          <rPr>
            <sz val="9"/>
            <color indexed="81"/>
            <rFont val="돋움"/>
            <family val="3"/>
            <charset val="129"/>
          </rPr>
          <t>그리고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중간</t>
        </r>
        <r>
          <rPr>
            <sz val="9"/>
            <color indexed="81"/>
            <rFont val="Tahoma"/>
            <family val="2"/>
          </rPr>
          <t xml:space="preserve"> buffer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serializing</t>
        </r>
      </text>
    </comment>
    <comment ref="O26" authorId="0" shapeId="0" xr:uid="{C4D65CA7-3002-4655-8EF7-A875E0DC7DE2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readout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auto-cleared</t>
        </r>
      </text>
    </comment>
    <comment ref="J29" authorId="0" shapeId="0" xr:uid="{1576E113-1BB2-4224-A494-C1ED2F42954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'0'  internal high active : open_drain output=low active ; npn gate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연결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평할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정전압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</t>
        </r>
        <r>
          <rPr>
            <sz val="9"/>
            <color indexed="81"/>
            <rFont val="Tahoma"/>
            <family val="2"/>
          </rPr>
          <t xml:space="preserve">)
'1'  internal low active : open_drain output=high active ; fet gate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연결</t>
        </r>
        <r>
          <rPr>
            <sz val="9"/>
            <color indexed="81"/>
            <rFont val="Tahoma"/>
            <family val="2"/>
          </rPr>
          <t xml:space="preserve"> (smps fb pwm direct control)</t>
        </r>
      </text>
    </comment>
    <comment ref="C36" authorId="0" shapeId="0" xr:uid="{DACBDA02-0E47-4D4E-93C2-71AFC615CF8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>0x20~0x27 reg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read </t>
        </r>
        <r>
          <rPr>
            <sz val="9"/>
            <color indexed="81"/>
            <rFont val="돋움"/>
            <family val="3"/>
            <charset val="129"/>
          </rPr>
          <t>가능함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하지만</t>
        </r>
        <r>
          <rPr>
            <sz val="9"/>
            <color indexed="81"/>
            <rFont val="Tahoma"/>
            <family val="2"/>
          </rPr>
          <t xml:space="preserve">, dasied dev ch size 1 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동일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적용됨</t>
        </r>
      </text>
    </comment>
    <comment ref="C47" authorId="0" shapeId="0" xr:uid="{3B302F57-10D6-49F8-9E33-D8E6D3C5A0E3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Daisied device </t>
        </r>
        <r>
          <rPr>
            <sz val="9"/>
            <color indexed="81"/>
            <rFont val="돋움"/>
            <family val="3"/>
            <charset val="129"/>
          </rPr>
          <t>최대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개수는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한정</t>
        </r>
      </text>
    </comment>
    <comment ref="C55" authorId="0" shapeId="0" xr:uid="{E547E80A-4C7A-43BA-9D01-10888C3BBC7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 transfer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때는</t>
        </r>
        <r>
          <rPr>
            <sz val="9"/>
            <color indexed="81"/>
            <rFont val="Tahoma"/>
            <family val="2"/>
          </rPr>
          <t xml:space="preserve"> daisy_size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않고</t>
        </r>
        <r>
          <rPr>
            <sz val="9"/>
            <color indexed="81"/>
            <rFont val="Tahoma"/>
            <family val="2"/>
          </rPr>
          <t>,
block_size</t>
        </r>
        <r>
          <rPr>
            <sz val="9"/>
            <color indexed="81"/>
            <rFont val="돋움"/>
            <family val="3"/>
            <charset val="129"/>
          </rPr>
          <t>만</t>
        </r>
        <r>
          <rPr>
            <sz val="9"/>
            <color indexed="81"/>
            <rFont val="Tahoma"/>
            <family val="2"/>
          </rPr>
          <t xml:space="preserve"> referencing</t>
        </r>
        <r>
          <rPr>
            <sz val="9"/>
            <color indexed="81"/>
            <rFont val="돋움"/>
            <family val="3"/>
            <charset val="129"/>
          </rPr>
          <t>함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따라서</t>
        </r>
        <r>
          <rPr>
            <sz val="9"/>
            <color indexed="81"/>
            <rFont val="Tahoma"/>
            <family val="2"/>
          </rPr>
          <t>, daisy_size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연계할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없음</t>
        </r>
        <r>
          <rPr>
            <sz val="9"/>
            <color indexed="81"/>
            <rFont val="Tahoma"/>
            <family val="2"/>
          </rPr>
          <t>.
daisy_size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31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</t>
        </r>
        <r>
          <rPr>
            <sz val="9"/>
            <color indexed="81"/>
            <rFont val="Tahoma"/>
            <family val="2"/>
          </rPr>
          <t>, block_size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10ea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.</t>
        </r>
      </text>
    </comment>
    <comment ref="H69" authorId="0" shapeId="0" xr:uid="{9C0DE745-CFA7-4B3D-BD81-70D37FADEF7F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ld_width =
'00' spi 24bit ; serializing pam 10bit + pwm 10bit
'01' spi 24bit ; serializing pam 10bit + pwm 11bit
'10' spi 24bit ; serializing pam 10bit + pwm 12bit
'11' spi 16bit ; serializing 16bit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I9" authorId="0" shapeId="0" xr:uid="{15A3A059-EDEB-4C21-BCBD-9D25EAEB52F5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000(4mA), 001(8mA),
010(12mA), 011(16mA),
100(24mA), 101(32mA),
110(46mA), 111(64mA)
8.xx mA </t>
        </r>
        <r>
          <rPr>
            <sz val="9"/>
            <color indexed="81"/>
            <rFont val="돋움"/>
            <family val="3"/>
            <charset val="129"/>
          </rPr>
          <t>경우</t>
        </r>
        <r>
          <rPr>
            <sz val="9"/>
            <color indexed="81"/>
            <rFont val="Tahoma"/>
            <family val="2"/>
          </rPr>
          <t xml:space="preserve"> 8mA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하고난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다음</t>
        </r>
        <r>
          <rPr>
            <sz val="9"/>
            <color indexed="81"/>
            <rFont val="Tahoma"/>
            <family val="2"/>
          </rPr>
          <t>,
 ICTL_GLB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8.xx mA</t>
        </r>
        <r>
          <rPr>
            <sz val="9"/>
            <color indexed="81"/>
            <rFont val="돋움"/>
            <family val="3"/>
            <charset val="129"/>
          </rPr>
          <t>까지를</t>
        </r>
        <r>
          <rPr>
            <sz val="9"/>
            <color indexed="81"/>
            <rFont val="Tahoma"/>
            <family val="2"/>
          </rPr>
          <t xml:space="preserve"> max current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조정을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--&gt; </t>
        </r>
        <r>
          <rPr>
            <sz val="9"/>
            <color indexed="81"/>
            <rFont val="돋움"/>
            <family val="3"/>
            <charset val="129"/>
          </rPr>
          <t>이렇게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하면</t>
        </r>
        <r>
          <rPr>
            <sz val="9"/>
            <color indexed="81"/>
            <rFont val="Tahoma"/>
            <family val="2"/>
          </rPr>
          <t xml:space="preserve"> vref 12bit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ana 0~1023 </t>
        </r>
        <r>
          <rPr>
            <sz val="9"/>
            <color indexed="81"/>
            <rFont val="돋움"/>
            <family val="3"/>
            <charset val="129"/>
          </rPr>
          <t>표현력이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좋아짐</t>
        </r>
      </text>
    </comment>
    <comment ref="M9" authorId="0" shapeId="0" xr:uid="{EE172380-B8FC-4995-B2BB-4F644ABA2C3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(3.0V),
001 (4.0V),
010 (6.0V),
011 (8.0V),
100 (12.0V),
101 (16.0V),
110 (24.0V),
111 (36.0V)</t>
        </r>
      </text>
    </comment>
    <comment ref="Q9" authorId="0" shapeId="0" xr:uid="{A7548FBD-1A10-4654-925F-B4ADF1A37A5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000 (0.4V),
001 (0.5V),
010 (0.6V),
011 (0.7V),
100 (0.85V),
101 (1.0V),
110 (1.15V),
111 (1.3V)</t>
        </r>
      </text>
    </comment>
    <comment ref="H10" authorId="0" shapeId="0" xr:uid="{F2134AC5-9A46-4491-A316-EDBDD5E57768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31ea x 8-bit x 0.4mbps = 620us
620us/0.25=24,800ea
15-bit, default=0x7FFF</t>
        </r>
      </text>
    </comment>
    <comment ref="U10" authorId="0" shapeId="0" xr:uid="{AC60CC74-53D6-4B4C-ADAC-FF0ED8693EDE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  <comment ref="V10" authorId="0" shapeId="0" xr:uid="{FF48AC13-C990-47B8-A50B-B83C441C37F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ES0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E3" authorId="0" shapeId="0" xr:uid="{5D7DF47B-5E3A-4F4F-AE4D-626B56D53B2B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writing
4. mclk_cnt unlocking</t>
        </r>
      </text>
    </comment>
    <comment ref="G3" authorId="0" shapeId="0" xr:uid="{24FCF4E5-2DAD-4FEE-BED5-B14C0D7FC0B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[mclk slow to faster]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조금씩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증가시켜서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증가시켜나감
</t>
        </r>
        <r>
          <rPr>
            <sz val="9"/>
            <color indexed="81"/>
            <rFont val="Tahoma"/>
            <family val="2"/>
          </rPr>
          <t xml:space="preserve">[mclk fast to slower]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줄여나감
</t>
        </r>
        <r>
          <rPr>
            <sz val="9"/>
            <color indexed="81"/>
            <rFont val="Tahoma"/>
            <family val="2"/>
          </rPr>
          <t xml:space="preserve">* [mclk slow to faster] </t>
        </r>
        <r>
          <rPr>
            <sz val="9"/>
            <color indexed="81"/>
            <rFont val="돋움"/>
            <family val="3"/>
            <charset val="129"/>
          </rPr>
          <t xml:space="preserve">경우에는
</t>
        </r>
        <r>
          <rPr>
            <sz val="9"/>
            <color indexed="81"/>
            <rFont val="Tahoma"/>
            <family val="2"/>
          </rPr>
          <t xml:space="preserve">   mclk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변경은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지양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* [mclk fast to slower] </t>
        </r>
        <r>
          <rPr>
            <sz val="9"/>
            <color indexed="81"/>
            <rFont val="돋움"/>
            <family val="3"/>
            <charset val="129"/>
          </rPr>
          <t xml:space="preserve">경우에는
</t>
        </r>
        <r>
          <rPr>
            <sz val="9"/>
            <color indexed="81"/>
            <rFont val="Tahoma"/>
            <family val="2"/>
          </rPr>
          <t xml:space="preserve">   mclk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변경</t>
        </r>
      </text>
    </comment>
    <comment ref="H3" authorId="0" shapeId="0" xr:uid="{13064BD4-C0DE-46C0-8B78-A1B986FFFF47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writing
4. mclk_cnt unlocking</t>
        </r>
      </text>
    </comment>
    <comment ref="I3" authorId="0" shapeId="0" xr:uid="{8ACBA3DB-83EF-4348-A473-EAD5D0466D4A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[x1 to x8]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줄여나감
</t>
        </r>
        <r>
          <rPr>
            <sz val="9"/>
            <color indexed="81"/>
            <rFont val="Tahoma"/>
            <family val="2"/>
          </rPr>
          <t xml:space="preserve">[x8 to x1]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줄여나감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E2" authorId="0" shapeId="0" xr:uid="{2710ED36-7D97-43DB-9974-30F76F5932E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writing
4. mclk_cnt unlocking</t>
        </r>
      </text>
    </comment>
    <comment ref="G2" authorId="0" shapeId="0" xr:uid="{E8653D3C-2764-47BC-9E4F-A9BF09A8D02D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[mclk slow to faster]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조금씩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증가시켜서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증가시켜나감
</t>
        </r>
        <r>
          <rPr>
            <sz val="9"/>
            <color indexed="81"/>
            <rFont val="Tahoma"/>
            <family val="2"/>
          </rPr>
          <t xml:space="preserve">[mclk fast to slower]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줄여나감
</t>
        </r>
        <r>
          <rPr>
            <sz val="9"/>
            <color indexed="81"/>
            <rFont val="Tahoma"/>
            <family val="2"/>
          </rPr>
          <t xml:space="preserve">* [mclk slow to faster] </t>
        </r>
        <r>
          <rPr>
            <sz val="9"/>
            <color indexed="81"/>
            <rFont val="돋움"/>
            <family val="3"/>
            <charset val="129"/>
          </rPr>
          <t xml:space="preserve">경우에는
</t>
        </r>
        <r>
          <rPr>
            <sz val="9"/>
            <color indexed="81"/>
            <rFont val="Tahoma"/>
            <family val="2"/>
          </rPr>
          <t xml:space="preserve">   mclk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변경은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지양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* [mclk fast to slower] </t>
        </r>
        <r>
          <rPr>
            <sz val="9"/>
            <color indexed="81"/>
            <rFont val="돋움"/>
            <family val="3"/>
            <charset val="129"/>
          </rPr>
          <t xml:space="preserve">경우에는
</t>
        </r>
        <r>
          <rPr>
            <sz val="9"/>
            <color indexed="81"/>
            <rFont val="Tahoma"/>
            <family val="2"/>
          </rPr>
          <t xml:space="preserve">   mclk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target</t>
        </r>
        <r>
          <rPr>
            <sz val="9"/>
            <color indexed="81"/>
            <rFont val="돋움"/>
            <family val="3"/>
            <charset val="129"/>
          </rPr>
          <t>값에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맞춘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fpwm_div </t>
        </r>
        <r>
          <rPr>
            <sz val="9"/>
            <color indexed="81"/>
            <rFont val="돋움"/>
            <family val="3"/>
            <charset val="129"/>
          </rPr>
          <t>변경</t>
        </r>
      </text>
    </comment>
    <comment ref="H2" authorId="0" shapeId="0" xr:uid="{E90E85CD-4B6F-43A8-826A-C66337FE968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writing
4. mclk_cnt unlocking</t>
        </r>
      </text>
    </comment>
    <comment ref="I2" authorId="0" shapeId="0" xr:uid="{83723F75-A353-4113-A4D1-96BA1B6C889C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[x1 to x8]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줄여나감
</t>
        </r>
        <r>
          <rPr>
            <sz val="9"/>
            <color indexed="81"/>
            <rFont val="Tahoma"/>
            <family val="2"/>
          </rPr>
          <t xml:space="preserve">[x8 to x1]
1. mclk_cnt locking
2. fpwm_div </t>
        </r>
        <r>
          <rPr>
            <sz val="9"/>
            <color indexed="81"/>
            <rFont val="돋움"/>
            <family val="3"/>
            <charset val="129"/>
          </rPr>
          <t xml:space="preserve">변경
</t>
        </r>
        <r>
          <rPr>
            <sz val="9"/>
            <color indexed="81"/>
            <rFont val="Tahoma"/>
            <family val="2"/>
          </rPr>
          <t>3. mclk_cnt target</t>
        </r>
        <r>
          <rPr>
            <sz val="9"/>
            <color indexed="81"/>
            <rFont val="돋움"/>
            <family val="3"/>
            <charset val="129"/>
          </rPr>
          <t>값보다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줄여서</t>
        </r>
        <r>
          <rPr>
            <sz val="9"/>
            <color indexed="81"/>
            <rFont val="Tahoma"/>
            <family val="2"/>
          </rPr>
          <t xml:space="preserve"> writing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unlocking
4. mclk_cnt target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되도록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계속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줄여나감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Jinsu Yun</author>
  </authors>
  <commentList>
    <comment ref="U35" authorId="0" shapeId="0" xr:uid="{2A176F1B-AB58-4CE5-B9A4-3218C0C4B8B0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Vdd ramp-up time &lt; analog por time</t>
        </r>
      </text>
    </comment>
    <comment ref="AC36" authorId="0" shapeId="0" xr:uid="{16ED2A8E-3CD8-4F2B-B845-B372E67EA976}">
      <text>
        <r>
          <rPr>
            <b/>
            <sz val="9"/>
            <color indexed="81"/>
            <rFont val="Tahoma"/>
            <family val="2"/>
          </rPr>
          <t>Jinsu Yun:</t>
        </r>
        <r>
          <rPr>
            <sz val="9"/>
            <color indexed="81"/>
            <rFont val="Tahoma"/>
            <family val="2"/>
          </rPr>
          <t xml:space="preserve">
XC/XD Load switch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상태이면</t>
        </r>
        <r>
          <rPr>
            <sz val="9"/>
            <color indexed="81"/>
            <rFont val="Tahoma"/>
            <family val="2"/>
          </rPr>
          <t xml:space="preserve">,
Power </t>
        </r>
        <r>
          <rPr>
            <sz val="9"/>
            <color indexed="81"/>
            <rFont val="돋움"/>
            <family val="3"/>
            <charset val="129"/>
          </rPr>
          <t>인가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MCU Booting </t>
        </r>
        <r>
          <rPr>
            <sz val="9"/>
            <color indexed="81"/>
            <rFont val="돋움"/>
            <family val="3"/>
            <charset val="129"/>
          </rPr>
          <t>시작</t>
        </r>
        <r>
          <rPr>
            <sz val="9"/>
            <color indexed="81"/>
            <rFont val="Tahoma"/>
            <family val="2"/>
          </rPr>
          <t>.
XC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SPI CLK/MCLK </t>
        </r>
        <r>
          <rPr>
            <sz val="9"/>
            <color indexed="81"/>
            <rFont val="돋움"/>
            <family val="3"/>
            <charset val="129"/>
          </rPr>
          <t>입력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1st command.
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>, XD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전원</t>
        </r>
        <r>
          <rPr>
            <sz val="9"/>
            <color indexed="81"/>
            <rFont val="Tahoma"/>
            <family val="2"/>
          </rPr>
          <t xml:space="preserve"> ON</t>
        </r>
        <r>
          <rPr>
            <sz val="9"/>
            <color indexed="81"/>
            <rFont val="돋움"/>
            <family val="3"/>
            <charset val="129"/>
          </rPr>
          <t>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내부적으로</t>
        </r>
        <r>
          <rPr>
            <sz val="9"/>
            <color indexed="81"/>
            <rFont val="Tahoma"/>
            <family val="2"/>
          </rPr>
          <t xml:space="preserve"> MCLK ON</t>
        </r>
        <r>
          <rPr>
            <sz val="9"/>
            <color indexed="81"/>
            <rFont val="돋움"/>
            <family val="3"/>
            <charset val="129"/>
          </rPr>
          <t>되므로</t>
        </r>
        <r>
          <rPr>
            <sz val="9"/>
            <color indexed="81"/>
            <rFont val="Tahoma"/>
            <family val="2"/>
          </rPr>
          <t xml:space="preserve"> XC Waiting</t>
        </r>
        <r>
          <rPr>
            <sz val="9"/>
            <color indexed="81"/>
            <rFont val="돋움"/>
            <family val="3"/>
            <charset val="129"/>
          </rPr>
          <t>시간안에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포함됨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단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이때</t>
        </r>
        <r>
          <rPr>
            <sz val="9"/>
            <color indexed="81"/>
            <rFont val="Tahoma"/>
            <family val="2"/>
          </rPr>
          <t xml:space="preserve"> XC MCLK frequency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상이</t>
        </r>
        <r>
          <rPr>
            <sz val="9"/>
            <color indexed="81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<sst xmlns="http://schemas.openxmlformats.org/spreadsheetml/2006/main" count="3188" uniqueCount="1342">
  <si>
    <t>mhz</t>
    <phoneticPr fontId="2" type="noConversion"/>
  </si>
  <si>
    <t>us</t>
    <phoneticPr fontId="2" type="noConversion"/>
  </si>
  <si>
    <t>mclk</t>
    <phoneticPr fontId="2" type="noConversion"/>
  </si>
  <si>
    <t>frame</t>
    <phoneticPr fontId="2" type="noConversion"/>
  </si>
  <si>
    <t>hz</t>
    <phoneticPr fontId="2" type="noConversion"/>
  </si>
  <si>
    <t>ea</t>
    <phoneticPr fontId="2" type="noConversion"/>
  </si>
  <si>
    <t>pwm clk</t>
    <phoneticPr fontId="2" type="noConversion"/>
  </si>
  <si>
    <t>FFF</t>
    <phoneticPr fontId="2" type="noConversion"/>
  </si>
  <si>
    <t>FF0</t>
    <phoneticPr fontId="2" type="noConversion"/>
  </si>
  <si>
    <t>FE8</t>
  </si>
  <si>
    <t>FF8</t>
  </si>
  <si>
    <t>FE0</t>
    <phoneticPr fontId="2" type="noConversion"/>
  </si>
  <si>
    <t>FE1</t>
  </si>
  <si>
    <t>FE2</t>
  </si>
  <si>
    <t>FE3</t>
  </si>
  <si>
    <t>FE4</t>
  </si>
  <si>
    <t>FE5</t>
  </si>
  <si>
    <t>FE6</t>
  </si>
  <si>
    <t>FE7</t>
  </si>
  <si>
    <t>FE9</t>
  </si>
  <si>
    <t>FF1</t>
  </si>
  <si>
    <t>FF2</t>
  </si>
  <si>
    <t>FF3</t>
  </si>
  <si>
    <t>FF4</t>
  </si>
  <si>
    <t>FF5</t>
  </si>
  <si>
    <t>FF6</t>
  </si>
  <si>
    <t>FF7</t>
  </si>
  <si>
    <t>FF9</t>
  </si>
  <si>
    <t>FEA</t>
    <phoneticPr fontId="2" type="noConversion"/>
  </si>
  <si>
    <t>FEB</t>
    <phoneticPr fontId="2" type="noConversion"/>
  </si>
  <si>
    <t>FEC</t>
    <phoneticPr fontId="2" type="noConversion"/>
  </si>
  <si>
    <t>FED</t>
    <phoneticPr fontId="2" type="noConversion"/>
  </si>
  <si>
    <t>FEE</t>
    <phoneticPr fontId="2" type="noConversion"/>
  </si>
  <si>
    <t>FEF</t>
    <phoneticPr fontId="2" type="noConversion"/>
  </si>
  <si>
    <t>FFA</t>
    <phoneticPr fontId="2" type="noConversion"/>
  </si>
  <si>
    <t>FFB</t>
    <phoneticPr fontId="2" type="noConversion"/>
  </si>
  <si>
    <t>FFC</t>
    <phoneticPr fontId="2" type="noConversion"/>
  </si>
  <si>
    <t>FFD</t>
    <phoneticPr fontId="2" type="noConversion"/>
  </si>
  <si>
    <t>FFE</t>
    <phoneticPr fontId="2" type="noConversion"/>
  </si>
  <si>
    <t>1FF</t>
  </si>
  <si>
    <t>1FF</t>
    <phoneticPr fontId="2" type="noConversion"/>
  </si>
  <si>
    <t>1FC</t>
    <phoneticPr fontId="2" type="noConversion"/>
  </si>
  <si>
    <t>1FD</t>
    <phoneticPr fontId="2" type="noConversion"/>
  </si>
  <si>
    <t>1FE</t>
    <phoneticPr fontId="2" type="noConversion"/>
  </si>
  <si>
    <t>serial high</t>
    <phoneticPr fontId="2" type="noConversion"/>
  </si>
  <si>
    <t>serial low</t>
    <phoneticPr fontId="2" type="noConversion"/>
  </si>
  <si>
    <t>serial 1bit</t>
    <phoneticPr fontId="2" type="noConversion"/>
  </si>
  <si>
    <t>baudrate</t>
    <phoneticPr fontId="2" type="noConversion"/>
  </si>
  <si>
    <t>mbps</t>
    <phoneticPr fontId="2" type="noConversion"/>
  </si>
  <si>
    <t>mclk_cnt</t>
    <phoneticPr fontId="2" type="noConversion"/>
  </si>
  <si>
    <t>hex</t>
    <phoneticPr fontId="2" type="noConversion"/>
  </si>
  <si>
    <t>vsync</t>
    <phoneticPr fontId="2" type="noConversion"/>
  </si>
  <si>
    <t>pwm out chx</t>
    <phoneticPr fontId="2" type="noConversion"/>
  </si>
  <si>
    <t>ch1</t>
    <phoneticPr fontId="2" type="noConversion"/>
  </si>
  <si>
    <t>ch2</t>
    <phoneticPr fontId="2" type="noConversion"/>
  </si>
  <si>
    <t>ch3</t>
  </si>
  <si>
    <t>ch4</t>
  </si>
  <si>
    <t>ch5</t>
  </si>
  <si>
    <t>4 (cnt=2)</t>
    <phoneticPr fontId="2" type="noConversion"/>
  </si>
  <si>
    <r>
      <t>2 (cnt=</t>
    </r>
    <r>
      <rPr>
        <sz val="11"/>
        <color rgb="FFFF0000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)</t>
    </r>
    <phoneticPr fontId="2" type="noConversion"/>
  </si>
  <si>
    <t>4095 (cnt=4095)</t>
    <phoneticPr fontId="2" type="noConversion"/>
  </si>
  <si>
    <t>2 (cnt=2)</t>
    <phoneticPr fontId="2" type="noConversion"/>
  </si>
  <si>
    <r>
      <t>4 (cnt=</t>
    </r>
    <r>
      <rPr>
        <sz val="11"/>
        <color rgb="FFFF0000"/>
        <rFont val="Aptos Narrow"/>
        <family val="2"/>
      </rPr>
      <t>4</t>
    </r>
    <r>
      <rPr>
        <sz val="11"/>
        <color rgb="FF000000"/>
        <rFont val="Aptos Narrow"/>
        <family val="2"/>
      </rPr>
      <t>)</t>
    </r>
    <phoneticPr fontId="2" type="noConversion"/>
  </si>
  <si>
    <t>4091 (cnt=4091)</t>
    <phoneticPr fontId="2" type="noConversion"/>
  </si>
  <si>
    <t>4093 (cnt=4093)</t>
    <phoneticPr fontId="2" type="noConversion"/>
  </si>
  <si>
    <r>
      <t>4091 (cnt=</t>
    </r>
    <r>
      <rPr>
        <sz val="11"/>
        <color rgb="FFFF0000"/>
        <rFont val="Aptos Narrow"/>
        <family val="2"/>
      </rPr>
      <t>4091</t>
    </r>
    <r>
      <rPr>
        <sz val="11"/>
        <color rgb="FF000000"/>
        <rFont val="Aptos Narrow"/>
        <family val="2"/>
      </rPr>
      <t>)</t>
    </r>
    <phoneticPr fontId="2" type="noConversion"/>
  </si>
  <si>
    <r>
      <t xml:space="preserve">4092 (cnt=4092) </t>
    </r>
    <r>
      <rPr>
        <sz val="11"/>
        <color rgb="FFFF0000"/>
        <rFont val="맑은 고딕"/>
        <family val="3"/>
        <charset val="129"/>
        <scheme val="minor"/>
      </rPr>
      <t>@ ld=4092</t>
    </r>
    <phoneticPr fontId="2" type="noConversion"/>
  </si>
  <si>
    <t>1 (cnt=1)</t>
  </si>
  <si>
    <r>
      <t xml:space="preserve">4094 (cnt=4094) </t>
    </r>
    <r>
      <rPr>
        <sz val="11"/>
        <color rgb="FFFF0000"/>
        <rFont val="맑은 고딕"/>
        <family val="3"/>
        <charset val="129"/>
        <scheme val="minor"/>
      </rPr>
      <t>@ ld=4095</t>
    </r>
    <phoneticPr fontId="2" type="noConversion"/>
  </si>
  <si>
    <t>delay=4093</t>
    <phoneticPr fontId="2" type="noConversion"/>
  </si>
  <si>
    <t>2 (on=1)</t>
    <phoneticPr fontId="2" type="noConversion"/>
  </si>
  <si>
    <t>4094 (on=4093)</t>
    <phoneticPr fontId="2" type="noConversion"/>
  </si>
  <si>
    <t>ch</t>
    <phoneticPr fontId="2" type="noConversion"/>
  </si>
  <si>
    <t>VDD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</si>
  <si>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IO</t>
    </r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</si>
  <si>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>DIO</t>
    </r>
    <phoneticPr fontId="2" type="noConversion"/>
  </si>
  <si>
    <t>VSS</t>
    <phoneticPr fontId="2" type="noConversion"/>
  </si>
  <si>
    <t>FB</t>
    <phoneticPr fontId="2" type="noConversion"/>
  </si>
  <si>
    <t>scan#</t>
    <phoneticPr fontId="2" type="noConversion"/>
  </si>
  <si>
    <t>14-bit</t>
    <phoneticPr fontId="2" type="noConversion"/>
  </si>
  <si>
    <t>12-bit</t>
    <phoneticPr fontId="2" type="noConversion"/>
  </si>
  <si>
    <t>000A</t>
    <phoneticPr fontId="2" type="noConversion"/>
  </si>
  <si>
    <t>000B</t>
    <phoneticPr fontId="2" type="noConversion"/>
  </si>
  <si>
    <t>000C</t>
    <phoneticPr fontId="2" type="noConversion"/>
  </si>
  <si>
    <t>000D</t>
    <phoneticPr fontId="2" type="noConversion"/>
  </si>
  <si>
    <t>000E</t>
    <phoneticPr fontId="2" type="noConversion"/>
  </si>
  <si>
    <t>000F</t>
    <phoneticPr fontId="2" type="noConversion"/>
  </si>
  <si>
    <t>00A</t>
    <phoneticPr fontId="2" type="noConversion"/>
  </si>
  <si>
    <t>00B</t>
    <phoneticPr fontId="2" type="noConversion"/>
  </si>
  <si>
    <t>00C</t>
    <phoneticPr fontId="2" type="noConversion"/>
  </si>
  <si>
    <t>00D</t>
    <phoneticPr fontId="2" type="noConversion"/>
  </si>
  <si>
    <t>00E</t>
    <phoneticPr fontId="2" type="noConversion"/>
  </si>
  <si>
    <t>00F</t>
    <phoneticPr fontId="2" type="noConversion"/>
  </si>
  <si>
    <t>3FFF</t>
    <phoneticPr fontId="2" type="noConversion"/>
  </si>
  <si>
    <t>0FFF</t>
    <phoneticPr fontId="2" type="noConversion"/>
  </si>
  <si>
    <t>fpwm_div</t>
    <phoneticPr fontId="2" type="noConversion"/>
  </si>
  <si>
    <t>50hz</t>
    <phoneticPr fontId="2" type="noConversion"/>
  </si>
  <si>
    <t>[ms]</t>
    <phoneticPr fontId="2" type="noConversion"/>
  </si>
  <si>
    <t>xd mclk</t>
    <phoneticPr fontId="2" type="noConversion"/>
  </si>
  <si>
    <t>pwm_res</t>
    <phoneticPr fontId="2" type="noConversion"/>
  </si>
  <si>
    <t>bit</t>
    <phoneticPr fontId="2" type="noConversion"/>
  </si>
  <si>
    <t>register</t>
    <phoneticPr fontId="2" type="noConversion"/>
  </si>
  <si>
    <t>access</t>
    <phoneticPr fontId="2" type="noConversion"/>
  </si>
  <si>
    <t>address</t>
    <phoneticPr fontId="2" type="noConversion"/>
  </si>
  <si>
    <t>default</t>
    <phoneticPr fontId="2" type="noConversion"/>
  </si>
  <si>
    <t>bit11</t>
    <phoneticPr fontId="2" type="noConversion"/>
  </si>
  <si>
    <t>bit10</t>
    <phoneticPr fontId="2" type="noConversion"/>
  </si>
  <si>
    <t>bit9</t>
  </si>
  <si>
    <t>bit8</t>
  </si>
  <si>
    <t>bit7</t>
  </si>
  <si>
    <t>bit6</t>
  </si>
  <si>
    <t>bit5</t>
  </si>
  <si>
    <t>bit4</t>
  </si>
  <si>
    <t>bit3</t>
  </si>
  <si>
    <t>bit2</t>
  </si>
  <si>
    <t>bit1</t>
  </si>
  <si>
    <t>bit0</t>
  </si>
  <si>
    <t>description</t>
    <phoneticPr fontId="2" type="noConversion"/>
  </si>
  <si>
    <t>feature</t>
    <phoneticPr fontId="2" type="noConversion"/>
  </si>
  <si>
    <t>r/w</t>
    <phoneticPr fontId="2" type="noConversion"/>
  </si>
  <si>
    <t>0x00</t>
    <phoneticPr fontId="2" type="noConversion"/>
  </si>
  <si>
    <t>0x000</t>
    <phoneticPr fontId="2" type="noConversion"/>
  </si>
  <si>
    <t>ID [4:0]</t>
    <phoneticPr fontId="2" type="noConversion"/>
  </si>
  <si>
    <t>0x01</t>
    <phoneticPr fontId="2" type="noConversion"/>
  </si>
  <si>
    <t>LD_DIR</t>
    <phoneticPr fontId="2" type="noConversion"/>
  </si>
  <si>
    <t>0x03</t>
  </si>
  <si>
    <t>0x04</t>
  </si>
  <si>
    <t>CH_SIZE [3:0]</t>
    <phoneticPr fontId="2" type="noConversion"/>
  </si>
  <si>
    <t>0x06</t>
  </si>
  <si>
    <t>0x000</t>
  </si>
  <si>
    <t>MAX_CURR_VREF</t>
    <phoneticPr fontId="2" type="noConversion"/>
  </si>
  <si>
    <t>0x08</t>
  </si>
  <si>
    <t>MAX_CURR_VREF[11:0]</t>
    <phoneticPr fontId="2" type="noConversion"/>
  </si>
  <si>
    <t>CHANNEL ENABLE1</t>
    <phoneticPr fontId="2" type="noConversion"/>
  </si>
  <si>
    <t>0x09</t>
  </si>
  <si>
    <t>CH12_EN</t>
  </si>
  <si>
    <t>CH11_EN</t>
  </si>
  <si>
    <t>CH10_EN</t>
  </si>
  <si>
    <t>CH9_EN</t>
  </si>
  <si>
    <t>CH8_EN</t>
  </si>
  <si>
    <t>CH7_EN</t>
  </si>
  <si>
    <t>CH6_EN</t>
  </si>
  <si>
    <t>CH5_EN</t>
  </si>
  <si>
    <t>CH4_EN</t>
  </si>
  <si>
    <t>CH3_EN</t>
  </si>
  <si>
    <t>CH2_EN</t>
  </si>
  <si>
    <t>CH1_EN</t>
  </si>
  <si>
    <t>FAULT STATUS</t>
    <phoneticPr fontId="2" type="noConversion"/>
  </si>
  <si>
    <t>ro</t>
    <phoneticPr fontId="2" type="noConversion"/>
  </si>
  <si>
    <t>0x0B</t>
    <phoneticPr fontId="2" type="noConversion"/>
  </si>
  <si>
    <t>THERMAL</t>
    <phoneticPr fontId="2" type="noConversion"/>
  </si>
  <si>
    <t>SHORT</t>
    <phoneticPr fontId="2" type="noConversion"/>
  </si>
  <si>
    <t>OPEN</t>
    <phoneticPr fontId="2" type="noConversion"/>
  </si>
  <si>
    <t>FAULT LEVEL</t>
    <phoneticPr fontId="2" type="noConversion"/>
  </si>
  <si>
    <t>0x0C</t>
    <phoneticPr fontId="2" type="noConversion"/>
  </si>
  <si>
    <t>DEV_MAX_CURR_LEVEL [2:0]</t>
    <phoneticPr fontId="2" type="noConversion"/>
  </si>
  <si>
    <t>SHORT_LEVEL [2:0]</t>
    <phoneticPr fontId="2" type="noConversion"/>
  </si>
  <si>
    <t>FB_LEVEL [2:0]</t>
    <phoneticPr fontId="2" type="noConversion"/>
  </si>
  <si>
    <t>0x0D</t>
    <phoneticPr fontId="2" type="noConversion"/>
  </si>
  <si>
    <t>0x800</t>
    <phoneticPr fontId="2" type="noConversion"/>
  </si>
  <si>
    <t>DELAY_CH1</t>
    <phoneticPr fontId="2" type="noConversion"/>
  </si>
  <si>
    <t>0x0E</t>
    <phoneticPr fontId="2" type="noConversion"/>
  </si>
  <si>
    <t>DELAY_CH2</t>
  </si>
  <si>
    <t>0x0F</t>
    <phoneticPr fontId="2" type="noConversion"/>
  </si>
  <si>
    <t>DELAY_CH3</t>
  </si>
  <si>
    <t>0x10</t>
    <phoneticPr fontId="2" type="noConversion"/>
  </si>
  <si>
    <t>DELAY_CH4</t>
  </si>
  <si>
    <t>DELAY_CH5</t>
  </si>
  <si>
    <t>0x12</t>
  </si>
  <si>
    <t>DELAY_CH6</t>
  </si>
  <si>
    <t>0x13</t>
  </si>
  <si>
    <t>DELAY_CH7</t>
  </si>
  <si>
    <t>0x14</t>
  </si>
  <si>
    <t>DELAY_CH8</t>
  </si>
  <si>
    <t>0x15</t>
  </si>
  <si>
    <t>DELAY_CH9</t>
  </si>
  <si>
    <t>0x16</t>
  </si>
  <si>
    <t>DELAY_CH10</t>
  </si>
  <si>
    <t>DELAY_CH11</t>
  </si>
  <si>
    <t>DELAY_CH12</t>
  </si>
  <si>
    <t>0x26</t>
  </si>
  <si>
    <t>0x27</t>
  </si>
  <si>
    <t>OFS_TEMP [3:0]</t>
    <phoneticPr fontId="2" type="noConversion"/>
  </si>
  <si>
    <t>0x28</t>
  </si>
  <si>
    <t>MCLK_LOCK [11:0]</t>
    <phoneticPr fontId="2" type="noConversion"/>
  </si>
  <si>
    <t>0x2A</t>
    <phoneticPr fontId="2" type="noConversion"/>
  </si>
  <si>
    <t>MCLK_LOCK_E</t>
    <phoneticPr fontId="2" type="noConversion"/>
  </si>
  <si>
    <t>0x2B</t>
    <phoneticPr fontId="2" type="noConversion"/>
  </si>
  <si>
    <t>OP MODE</t>
    <phoneticPr fontId="2" type="noConversion"/>
  </si>
  <si>
    <t>0x3F</t>
    <phoneticPr fontId="2" type="noConversion"/>
  </si>
  <si>
    <t>TEST_EN</t>
    <phoneticPr fontId="2" type="noConversion"/>
  </si>
  <si>
    <t>ADDR_EXT</t>
    <phoneticPr fontId="2" type="noConversion"/>
  </si>
  <si>
    <t>OTP ACCESS1</t>
  </si>
  <si>
    <t>0x3A</t>
    <phoneticPr fontId="2" type="noConversion"/>
  </si>
  <si>
    <t>OTP_PG_ACC_CYCLE [15:12]</t>
    <phoneticPr fontId="2" type="noConversion"/>
  </si>
  <si>
    <t>OTP ACCESS2</t>
    <phoneticPr fontId="2" type="noConversion"/>
  </si>
  <si>
    <t>0x3B</t>
    <phoneticPr fontId="2" type="noConversion"/>
  </si>
  <si>
    <t>OTP_PG_ACC_CYCLE [11:0] (default : decimal 320)</t>
    <phoneticPr fontId="2" type="noConversion"/>
  </si>
  <si>
    <t>OTP WRITE</t>
    <phoneticPr fontId="2" type="noConversion"/>
  </si>
  <si>
    <t>0x3C</t>
    <phoneticPr fontId="2" type="noConversion"/>
  </si>
  <si>
    <t>0x004</t>
    <phoneticPr fontId="2" type="noConversion"/>
  </si>
  <si>
    <t>OTP_WSEL [3:0]</t>
    <phoneticPr fontId="2" type="noConversion"/>
  </si>
  <si>
    <t>OTP RD/PROG</t>
    <phoneticPr fontId="2" type="noConversion"/>
  </si>
  <si>
    <t>0x3D</t>
    <phoneticPr fontId="2" type="noConversion"/>
  </si>
  <si>
    <t>OTP_RD_S</t>
    <phoneticPr fontId="2" type="noConversion"/>
  </si>
  <si>
    <t>OTP_PG_S</t>
    <phoneticPr fontId="2" type="noConversion"/>
  </si>
  <si>
    <t>OTP PROTECT</t>
    <phoneticPr fontId="2" type="noConversion"/>
  </si>
  <si>
    <t>0x3E</t>
    <phoneticPr fontId="2" type="noConversion"/>
  </si>
  <si>
    <t>PROTECT_EN (0x5A5), PROTECT_DIS (0xA5A)</t>
    <phoneticPr fontId="2" type="noConversion"/>
  </si>
  <si>
    <t>OTP CRC</t>
    <phoneticPr fontId="2" type="noConversion"/>
  </si>
  <si>
    <t>OTP_CRC_CHECKSUM [7:0]</t>
    <phoneticPr fontId="2" type="noConversion"/>
  </si>
  <si>
    <t>OSC</t>
    <phoneticPr fontId="2" type="noConversion"/>
  </si>
  <si>
    <t>0x01</t>
  </si>
  <si>
    <t>0x040</t>
    <phoneticPr fontId="2" type="noConversion"/>
  </si>
  <si>
    <t>VREF_CTL</t>
    <phoneticPr fontId="2" type="noConversion"/>
  </si>
  <si>
    <t>0x02</t>
  </si>
  <si>
    <t>OFS1</t>
    <phoneticPr fontId="2" type="noConversion"/>
  </si>
  <si>
    <t>OFS2</t>
    <phoneticPr fontId="2" type="noConversion"/>
  </si>
  <si>
    <t>OFS3</t>
  </si>
  <si>
    <t>0x05</t>
  </si>
  <si>
    <t>OFS4</t>
  </si>
  <si>
    <t>OFS5</t>
  </si>
  <si>
    <t>0x07</t>
  </si>
  <si>
    <t>OFS6</t>
  </si>
  <si>
    <t>OFS7</t>
  </si>
  <si>
    <t>OFS8</t>
  </si>
  <si>
    <t>0x0A</t>
    <phoneticPr fontId="2" type="noConversion"/>
  </si>
  <si>
    <t>OFS9</t>
  </si>
  <si>
    <t>OFS10</t>
  </si>
  <si>
    <t>OFS11</t>
  </si>
  <si>
    <t>OFS12</t>
  </si>
  <si>
    <t>GAIN1</t>
    <phoneticPr fontId="2" type="noConversion"/>
  </si>
  <si>
    <t>0x1B</t>
    <phoneticPr fontId="2" type="noConversion"/>
  </si>
  <si>
    <t>0x040</t>
  </si>
  <si>
    <t>GAIN2</t>
  </si>
  <si>
    <t>0x1C</t>
    <phoneticPr fontId="2" type="noConversion"/>
  </si>
  <si>
    <t>GAIN3</t>
  </si>
  <si>
    <t>0x1D</t>
    <phoneticPr fontId="2" type="noConversion"/>
  </si>
  <si>
    <t>GAIN4</t>
  </si>
  <si>
    <t>0x1E</t>
    <phoneticPr fontId="2" type="noConversion"/>
  </si>
  <si>
    <t>GAIN5</t>
  </si>
  <si>
    <t>0x1F</t>
    <phoneticPr fontId="2" type="noConversion"/>
  </si>
  <si>
    <t>GAIN6</t>
  </si>
  <si>
    <t>0x20</t>
  </si>
  <si>
    <t>`</t>
    <phoneticPr fontId="2" type="noConversion"/>
  </si>
  <si>
    <t>GAIN7</t>
  </si>
  <si>
    <t>0x21</t>
  </si>
  <si>
    <t>GAIN8</t>
  </si>
  <si>
    <t>0x22</t>
  </si>
  <si>
    <t>GAIN9</t>
  </si>
  <si>
    <t>0x23</t>
  </si>
  <si>
    <t>GAIN10</t>
  </si>
  <si>
    <t>0x24</t>
  </si>
  <si>
    <t>GAIN11</t>
  </si>
  <si>
    <t>0x25</t>
  </si>
  <si>
    <t>GAIN12</t>
  </si>
  <si>
    <t>RST</t>
    <phoneticPr fontId="2" type="noConversion"/>
  </si>
  <si>
    <t>PWM_RES</t>
    <phoneticPr fontId="2" type="noConversion"/>
  </si>
  <si>
    <t>OVER_TO_E</t>
    <phoneticPr fontId="2" type="noConversion"/>
  </si>
  <si>
    <t>RST : all logics reset, auto-cleared
ID #1~#31 ('0' invalid) : not writable</t>
    <phoneticPr fontId="2" type="noConversion"/>
  </si>
  <si>
    <t>PWM_FULL_O</t>
    <phoneticPr fontId="2" type="noConversion"/>
  </si>
  <si>
    <t>VREF_O</t>
    <phoneticPr fontId="2" type="noConversion"/>
  </si>
  <si>
    <t>uploaded at a vsync</t>
    <phoneticPr fontId="2" type="noConversion"/>
  </si>
  <si>
    <t>FPWM_DIV</t>
    <phoneticPr fontId="2" type="noConversion"/>
  </si>
  <si>
    <t>FPWM_DIV [6:0]</t>
    <phoneticPr fontId="2" type="noConversion"/>
  </si>
  <si>
    <t>MCLK_LOCK [19:12]</t>
    <phoneticPr fontId="2" type="noConversion"/>
  </si>
  <si>
    <t>start dimming from (set value+1)th pwmclk</t>
    <phoneticPr fontId="2" type="noConversion"/>
  </si>
  <si>
    <t>DELAY_CH1 [11:0]</t>
    <phoneticPr fontId="2" type="noConversion"/>
  </si>
  <si>
    <t>DELAY_CH2 [11:0]</t>
    <phoneticPr fontId="2" type="noConversion"/>
  </si>
  <si>
    <t>DELAY_CH3 [11:0]</t>
    <phoneticPr fontId="2" type="noConversion"/>
  </si>
  <si>
    <t>DELAY_CH4 [11:0]</t>
    <phoneticPr fontId="2" type="noConversion"/>
  </si>
  <si>
    <t>DELAY_CH5 [11:0]</t>
    <phoneticPr fontId="2" type="noConversion"/>
  </si>
  <si>
    <t>DELAY_CH6 [11:0]</t>
    <phoneticPr fontId="2" type="noConversion"/>
  </si>
  <si>
    <t>DELAY_CH7 [11:0]</t>
    <phoneticPr fontId="2" type="noConversion"/>
  </si>
  <si>
    <t>DELAY_CH8 [11:0]</t>
    <phoneticPr fontId="2" type="noConversion"/>
  </si>
  <si>
    <t>DELAY_CH9 [11:0]</t>
    <phoneticPr fontId="2" type="noConversion"/>
  </si>
  <si>
    <t>DELAY_CH10 [11:0]</t>
    <phoneticPr fontId="2" type="noConversion"/>
  </si>
  <si>
    <t>DELAY_CH11 [11:0]</t>
    <phoneticPr fontId="2" type="noConversion"/>
  </si>
  <si>
    <t>DELAY_CH12 [11:0]</t>
    <phoneticPr fontId="2" type="noConversion"/>
  </si>
  <si>
    <t>DELAY_CH1 [13:12]</t>
    <phoneticPr fontId="2" type="noConversion"/>
  </si>
  <si>
    <t>DELAY_CH2 [13:12]</t>
    <phoneticPr fontId="2" type="noConversion"/>
  </si>
  <si>
    <t>DELAY_CH3 [13:12]</t>
    <phoneticPr fontId="2" type="noConversion"/>
  </si>
  <si>
    <t>DELAY_CH4 [13:12]</t>
    <phoneticPr fontId="2" type="noConversion"/>
  </si>
  <si>
    <t>DELAY_CH5 [13:12]</t>
    <phoneticPr fontId="2" type="noConversion"/>
  </si>
  <si>
    <t>DELAY_CH6 [13:12]</t>
    <phoneticPr fontId="2" type="noConversion"/>
  </si>
  <si>
    <t>DELAY_CH7 [13:12]</t>
    <phoneticPr fontId="2" type="noConversion"/>
  </si>
  <si>
    <t>DELAY_CH8 [13:12]</t>
    <phoneticPr fontId="2" type="noConversion"/>
  </si>
  <si>
    <t>DELAY_CH9 [13:12]</t>
    <phoneticPr fontId="2" type="noConversion"/>
  </si>
  <si>
    <t>DELAY_CH10 [13:12]</t>
    <phoneticPr fontId="2" type="noConversion"/>
  </si>
  <si>
    <t>DELAY_CH11 [13:12]</t>
    <phoneticPr fontId="2" type="noConversion"/>
  </si>
  <si>
    <t>DELAY_CH12 [13:12]</t>
    <phoneticPr fontId="2" type="noConversion"/>
  </si>
  <si>
    <t>reserved</t>
    <phoneticPr fontId="2" type="noConversion"/>
  </si>
  <si>
    <t>DELAY_CH_EX1</t>
    <phoneticPr fontId="2" type="noConversion"/>
  </si>
  <si>
    <t>DELAY_CH_EX2</t>
  </si>
  <si>
    <t>0x11</t>
    <phoneticPr fontId="2" type="noConversion"/>
  </si>
  <si>
    <t>~0x24</t>
    <phoneticPr fontId="2" type="noConversion"/>
  </si>
  <si>
    <t>MCLK_LOCK1</t>
    <phoneticPr fontId="2" type="noConversion"/>
  </si>
  <si>
    <t>MCLK_LOCK2</t>
  </si>
  <si>
    <t>SERIAL CLK GEN</t>
    <phoneticPr fontId="2" type="noConversion"/>
  </si>
  <si>
    <t>MISS_VS_LOCK</t>
    <phoneticPr fontId="2" type="noConversion"/>
  </si>
  <si>
    <t>MISS_VS</t>
    <phoneticPr fontId="2" type="noConversion"/>
  </si>
  <si>
    <t>MISS_VS_DIMM</t>
    <phoneticPr fontId="2" type="noConversion"/>
  </si>
  <si>
    <t>SCAN_NO [2:0]</t>
    <phoneticPr fontId="2" type="noConversion"/>
  </si>
  <si>
    <t>FAULT CONTROL</t>
    <phoneticPr fontId="2" type="noConversion"/>
  </si>
  <si>
    <t>MISS_VS_DET_E</t>
    <phoneticPr fontId="2" type="noConversion"/>
  </si>
  <si>
    <t>O_OFF_E</t>
    <phoneticPr fontId="2" type="noConversion"/>
  </si>
  <si>
    <t>S_OFF_E</t>
    <phoneticPr fontId="2" type="noConversion"/>
  </si>
  <si>
    <t>T_OFF_E</t>
    <phoneticPr fontId="2" type="noConversion"/>
  </si>
  <si>
    <t>OPEN_FB_E</t>
    <phoneticPr fontId="2" type="noConversion"/>
  </si>
  <si>
    <t>TIMEOUT_E</t>
    <phoneticPr fontId="2" type="noConversion"/>
  </si>
  <si>
    <t>0x020</t>
    <phoneticPr fontId="2" type="noConversion"/>
  </si>
  <si>
    <t>max current 24/ 32/ 46/ 64mA 설정 시 작동</t>
    <phoneticPr fontId="2" type="noConversion"/>
  </si>
  <si>
    <t>OSC_FLL_MAN [11:0]</t>
    <phoneticPr fontId="2" type="noConversion"/>
  </si>
  <si>
    <t>OSC_MAN_E</t>
    <phoneticPr fontId="2" type="noConversion"/>
  </si>
  <si>
    <t>FLT_GAIN [1:0]</t>
    <phoneticPr fontId="2" type="noConversion"/>
  </si>
  <si>
    <t>OSC_FLL_MAN1</t>
    <phoneticPr fontId="2" type="noConversion"/>
  </si>
  <si>
    <t>OSC_FLL_MAN2</t>
  </si>
  <si>
    <t>FBO drives the real-time state of FB on pin#6</t>
    <phoneticPr fontId="2" type="noConversion"/>
  </si>
  <si>
    <t>FBO</t>
    <phoneticPr fontId="2" type="noConversion"/>
  </si>
  <si>
    <t>FBI</t>
    <phoneticPr fontId="2" type="noConversion"/>
  </si>
  <si>
    <t>FBO_E</t>
    <phoneticPr fontId="2" type="noConversion"/>
  </si>
  <si>
    <t>External VSYNC</t>
    <phoneticPr fontId="2" type="noConversion"/>
  </si>
  <si>
    <t>FBO_OEN (tri-state output enable, active-low) =</t>
    <phoneticPr fontId="2" type="noConversion"/>
  </si>
  <si>
    <t>FBI_OEN = HIGH (always disabled)</t>
    <phoneticPr fontId="2" type="noConversion"/>
  </si>
  <si>
    <t>EXT_VS_OEN (tri-state output enable, active-low) = ~(EXT_VS_E &amp;&amp; ~TEST_E)</t>
    <phoneticPr fontId="2" type="noConversion"/>
  </si>
  <si>
    <t>internal VSYNC = command VSYNC || external VSYNC</t>
    <phoneticPr fontId="2" type="noConversion"/>
  </si>
  <si>
    <t>external VSYNC = filtered VSYNCI</t>
    <phoneticPr fontId="2" type="noConversion"/>
  </si>
  <si>
    <t>LD_DIR/PWM_RES/OVER_TO_E/SCAN_NO
updated at a vsync</t>
    <phoneticPr fontId="2" type="noConversion"/>
  </si>
  <si>
    <t>OSC [5:0]</t>
    <phoneticPr fontId="2" type="noConversion"/>
  </si>
  <si>
    <t>VREF_CTL [5:0]</t>
    <phoneticPr fontId="2" type="noConversion"/>
  </si>
  <si>
    <t>ICTL_L_CH1[6:0]</t>
    <phoneticPr fontId="2" type="noConversion"/>
  </si>
  <si>
    <t>ICTL_L_CH2[6:0]</t>
    <phoneticPr fontId="2" type="noConversion"/>
  </si>
  <si>
    <t>ICTL_L_CH3[6:0]</t>
    <phoneticPr fontId="2" type="noConversion"/>
  </si>
  <si>
    <t>ICTL_L_CH4[6:0]</t>
    <phoneticPr fontId="2" type="noConversion"/>
  </si>
  <si>
    <t>ICTL_L_CH5[6:0]</t>
    <phoneticPr fontId="2" type="noConversion"/>
  </si>
  <si>
    <t>ICTL_L_CH6[6:0]</t>
    <phoneticPr fontId="2" type="noConversion"/>
  </si>
  <si>
    <t>ICTL_L_CH7[6:0]</t>
    <phoneticPr fontId="2" type="noConversion"/>
  </si>
  <si>
    <t>ICTL_L_CH8[6:0]</t>
    <phoneticPr fontId="2" type="noConversion"/>
  </si>
  <si>
    <t>ICTL_L_CH9[6:0]</t>
    <phoneticPr fontId="2" type="noConversion"/>
  </si>
  <si>
    <t>ICTL_L_CH10[6:0]</t>
    <phoneticPr fontId="2" type="noConversion"/>
  </si>
  <si>
    <t>ICTL_L_CH11[6:0]</t>
    <phoneticPr fontId="2" type="noConversion"/>
  </si>
  <si>
    <t>ICTL_L_CH12[6:0]</t>
    <phoneticPr fontId="2" type="noConversion"/>
  </si>
  <si>
    <t>ICTL_H_CH1[6:0]</t>
    <phoneticPr fontId="2" type="noConversion"/>
  </si>
  <si>
    <t>ICTL_H_CH2[6:0]</t>
    <phoneticPr fontId="2" type="noConversion"/>
  </si>
  <si>
    <t>ICTL_H_CH3[6:0]</t>
    <phoneticPr fontId="2" type="noConversion"/>
  </si>
  <si>
    <t>ICTL_H_CH4[6:0]</t>
    <phoneticPr fontId="2" type="noConversion"/>
  </si>
  <si>
    <t>ICTL_H_CH5[6:0]</t>
    <phoneticPr fontId="2" type="noConversion"/>
  </si>
  <si>
    <t>ICTL_H_CH6[6:0]</t>
    <phoneticPr fontId="2" type="noConversion"/>
  </si>
  <si>
    <t>ICTL_H_CH7[6:0]</t>
    <phoneticPr fontId="2" type="noConversion"/>
  </si>
  <si>
    <t>ICTL_H_CH8[6:0]</t>
    <phoneticPr fontId="2" type="noConversion"/>
  </si>
  <si>
    <t>ICTL_H_CH9[6:0]</t>
    <phoneticPr fontId="2" type="noConversion"/>
  </si>
  <si>
    <t>ICTL_H_CH10[6:0]</t>
    <phoneticPr fontId="2" type="noConversion"/>
  </si>
  <si>
    <t>ICTL_H_CH11[6:0]</t>
    <phoneticPr fontId="2" type="noConversion"/>
  </si>
  <si>
    <t>ICTL_H_CH12[6:0]</t>
    <phoneticPr fontId="2" type="noConversion"/>
  </si>
  <si>
    <t>T/S/O/FB storage required
(fault read time, 1block FB)</t>
    <phoneticPr fontId="2" type="noConversion"/>
  </si>
  <si>
    <t>serializer/de-serializer</t>
    <phoneticPr fontId="2" type="noConversion"/>
  </si>
  <si>
    <t>data format</t>
    <phoneticPr fontId="2" type="noConversion"/>
  </si>
  <si>
    <t>protocol</t>
    <phoneticPr fontId="2" type="noConversion"/>
  </si>
  <si>
    <t>bit21</t>
  </si>
  <si>
    <t>bit20</t>
    <phoneticPr fontId="2" type="noConversion"/>
  </si>
  <si>
    <t>bit19</t>
    <phoneticPr fontId="2" type="noConversion"/>
  </si>
  <si>
    <t>bit18</t>
    <phoneticPr fontId="2" type="noConversion"/>
  </si>
  <si>
    <t>bit17</t>
    <phoneticPr fontId="2" type="noConversion"/>
  </si>
  <si>
    <t>bit16</t>
    <phoneticPr fontId="2" type="noConversion"/>
  </si>
  <si>
    <t>bit15</t>
    <phoneticPr fontId="2" type="noConversion"/>
  </si>
  <si>
    <t>bit14</t>
    <phoneticPr fontId="2" type="noConversion"/>
  </si>
  <si>
    <t>bit13</t>
    <phoneticPr fontId="2" type="noConversion"/>
  </si>
  <si>
    <t>bit12</t>
    <phoneticPr fontId="2" type="noConversion"/>
  </si>
  <si>
    <t>bit11</t>
  </si>
  <si>
    <t>bit10</t>
  </si>
  <si>
    <t>(serializer)</t>
    <phoneticPr fontId="2" type="noConversion"/>
  </si>
  <si>
    <t>start</t>
    <phoneticPr fontId="2" type="noConversion"/>
  </si>
  <si>
    <t>command code [2:0]</t>
    <phoneticPr fontId="2" type="noConversion"/>
  </si>
  <si>
    <t>addr [5:0]</t>
    <phoneticPr fontId="2" type="noConversion"/>
  </si>
  <si>
    <t>data [11:0]</t>
    <phoneticPr fontId="2" type="noConversion"/>
  </si>
  <si>
    <t>write command</t>
    <phoneticPr fontId="2" type="noConversion"/>
  </si>
  <si>
    <t>bit9</t>
    <phoneticPr fontId="2" type="noConversion"/>
  </si>
  <si>
    <t>bit8</t>
    <phoneticPr fontId="2" type="noConversion"/>
  </si>
  <si>
    <t>bit7</t>
    <phoneticPr fontId="2" type="noConversion"/>
  </si>
  <si>
    <t>bit6</t>
    <phoneticPr fontId="2" type="noConversion"/>
  </si>
  <si>
    <t>bit5</t>
    <phoneticPr fontId="2" type="noConversion"/>
  </si>
  <si>
    <t>read command</t>
    <phoneticPr fontId="2" type="noConversion"/>
  </si>
  <si>
    <t>(ld_width=00,01,10)</t>
    <phoneticPr fontId="2" type="noConversion"/>
  </si>
  <si>
    <t>bit16</t>
  </si>
  <si>
    <t>bit15</t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</si>
  <si>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#1</t>
    </r>
    <phoneticPr fontId="2" type="noConversion"/>
  </si>
  <si>
    <t>write cmd #1</t>
    <phoneticPr fontId="2" type="noConversion"/>
  </si>
  <si>
    <t>addr #1</t>
    <phoneticPr fontId="2" type="noConversion"/>
  </si>
  <si>
    <t>data #1</t>
    <phoneticPr fontId="2" type="noConversion"/>
  </si>
  <si>
    <t>write cmd #2</t>
    <phoneticPr fontId="2" type="noConversion"/>
  </si>
  <si>
    <t>addr #2</t>
    <phoneticPr fontId="2" type="noConversion"/>
  </si>
  <si>
    <t>data #2</t>
    <phoneticPr fontId="2" type="noConversion"/>
  </si>
  <si>
    <t>write cmd #n</t>
    <phoneticPr fontId="2" type="noConversion"/>
  </si>
  <si>
    <t>addr #n</t>
    <phoneticPr fontId="2" type="noConversion"/>
  </si>
  <si>
    <t>data #n</t>
    <phoneticPr fontId="2" type="noConversion"/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</si>
  <si>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IO </t>
    </r>
    <r>
      <rPr>
        <sz val="11"/>
        <rFont val="맑은 고딕"/>
        <family val="3"/>
        <charset val="129"/>
        <scheme val="minor"/>
      </rPr>
      <t>#1</t>
    </r>
    <phoneticPr fontId="2" type="noConversion"/>
  </si>
  <si>
    <t>ld cmd #1</t>
    <phoneticPr fontId="2" type="noConversion"/>
  </si>
  <si>
    <t>pam1 #1</t>
    <phoneticPr fontId="2" type="noConversion"/>
  </si>
  <si>
    <t>pwm1 #1</t>
    <phoneticPr fontId="2" type="noConversion"/>
  </si>
  <si>
    <t>pam2 #1</t>
    <phoneticPr fontId="2" type="noConversion"/>
  </si>
  <si>
    <t>pwm8 #1</t>
    <phoneticPr fontId="2" type="noConversion"/>
  </si>
  <si>
    <t>ld cmd #2</t>
    <phoneticPr fontId="2" type="noConversion"/>
  </si>
  <si>
    <t>pam1 #2</t>
    <phoneticPr fontId="2" type="noConversion"/>
  </si>
  <si>
    <t>pwm1 #2</t>
    <phoneticPr fontId="2" type="noConversion"/>
  </si>
  <si>
    <t>pam2 #2</t>
    <phoneticPr fontId="2" type="noConversion"/>
  </si>
  <si>
    <t>pwm8 #n</t>
    <phoneticPr fontId="2" type="noConversion"/>
  </si>
  <si>
    <t>sync gen cmd #1</t>
    <phoneticPr fontId="2" type="noConversion"/>
  </si>
  <si>
    <t>sync gen cmd #2</t>
    <phoneticPr fontId="2" type="noConversion"/>
  </si>
  <si>
    <t>sync gen cmd #n</t>
    <phoneticPr fontId="2" type="noConversion"/>
  </si>
  <si>
    <t>fault read cmd #1</t>
    <phoneticPr fontId="2" type="noConversion"/>
  </si>
  <si>
    <t>fault read cmd #2</t>
    <phoneticPr fontId="2" type="noConversion"/>
  </si>
  <si>
    <t>fault read cmd #n</t>
    <phoneticPr fontId="2" type="noConversion"/>
  </si>
  <si>
    <t>fault read cmd</t>
    <phoneticPr fontId="2" type="noConversion"/>
  </si>
  <si>
    <t>d2 | d1</t>
    <phoneticPr fontId="2" type="noConversion"/>
  </si>
  <si>
    <t>(de-serializer)</t>
    <phoneticPr fontId="2" type="noConversion"/>
  </si>
  <si>
    <t>ld [4:0]</t>
    <phoneticPr fontId="2" type="noConversion"/>
  </si>
  <si>
    <t>read receive format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</si>
  <si>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#2</t>
    </r>
    <r>
      <rPr>
        <sz val="11"/>
        <color theme="1"/>
        <rFont val="맑은 고딕"/>
        <family val="2"/>
        <charset val="129"/>
        <scheme val="minor"/>
      </rPr>
      <t/>
    </r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</si>
  <si>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IO </t>
    </r>
    <r>
      <rPr>
        <sz val="11"/>
        <rFont val="맑은 고딕"/>
        <family val="3"/>
        <charset val="129"/>
        <scheme val="minor"/>
      </rPr>
      <t>#2</t>
    </r>
    <r>
      <rPr>
        <sz val="11"/>
        <color theme="1"/>
        <rFont val="맑은 고딕"/>
        <family val="2"/>
        <charset val="129"/>
        <scheme val="minor"/>
      </rPr>
      <t/>
    </r>
  </si>
  <si>
    <t>fault read cmd#2</t>
    <phoneticPr fontId="2" type="noConversion"/>
  </si>
  <si>
    <t>d3 | d2</t>
    <phoneticPr fontId="2" type="noConversion"/>
  </si>
  <si>
    <t>bit23</t>
  </si>
  <si>
    <t>bit22</t>
  </si>
  <si>
    <t>bit20</t>
  </si>
  <si>
    <t>bit19</t>
  </si>
  <si>
    <t>bit18</t>
  </si>
  <si>
    <t>bit17</t>
  </si>
  <si>
    <t>bit14</t>
  </si>
  <si>
    <t>bit13</t>
  </si>
  <si>
    <t>bit12</t>
  </si>
  <si>
    <t>pam [9:0]</t>
    <phoneticPr fontId="2" type="noConversion"/>
  </si>
  <si>
    <t>pwm [9:0]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</si>
  <si>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DO </t>
    </r>
    <r>
      <rPr>
        <sz val="11"/>
        <color theme="1"/>
        <rFont val="맑은 고딕"/>
        <family val="3"/>
        <charset val="129"/>
        <scheme val="minor"/>
      </rPr>
      <t>#2</t>
    </r>
    <phoneticPr fontId="2" type="noConversion"/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</si>
  <si>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DO </t>
    </r>
    <r>
      <rPr>
        <sz val="11"/>
        <rFont val="맑은 고딕"/>
        <family val="3"/>
        <charset val="129"/>
        <scheme val="minor"/>
      </rPr>
      <t>#2</t>
    </r>
    <phoneticPr fontId="2" type="noConversion"/>
  </si>
  <si>
    <t>d4 | d3</t>
    <phoneticPr fontId="2" type="noConversion"/>
  </si>
  <si>
    <t>ld transfer @ld_width='00'</t>
    <phoneticPr fontId="2" type="noConversion"/>
  </si>
  <si>
    <t>bit24</t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</si>
  <si>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#n</t>
    </r>
    <phoneticPr fontId="2" type="noConversion"/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</si>
  <si>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IO </t>
    </r>
    <r>
      <rPr>
        <sz val="11"/>
        <rFont val="맑은 고딕"/>
        <family val="3"/>
        <charset val="129"/>
        <scheme val="minor"/>
      </rPr>
      <t>#n</t>
    </r>
    <phoneticPr fontId="2" type="noConversion"/>
  </si>
  <si>
    <t>4'bxxxx</t>
    <phoneticPr fontId="2" type="noConversion"/>
  </si>
  <si>
    <t>pwm [10:0]</t>
    <phoneticPr fontId="2" type="noConversion"/>
  </si>
  <si>
    <t>ld transfer @ld_width='01'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</si>
  <si>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DO </t>
    </r>
    <r>
      <rPr>
        <sz val="11"/>
        <color theme="1"/>
        <rFont val="맑은 고딕"/>
        <family val="3"/>
        <charset val="129"/>
        <scheme val="minor"/>
      </rPr>
      <t>#n</t>
    </r>
    <phoneticPr fontId="2" type="noConversion"/>
  </si>
  <si>
    <r>
      <t>D</t>
    </r>
    <r>
      <rPr>
        <vertAlign val="subscript"/>
        <sz val="11"/>
        <rFont val="맑은 고딕"/>
        <family val="3"/>
        <charset val="129"/>
        <scheme val="minor"/>
      </rPr>
      <t xml:space="preserve">DO </t>
    </r>
    <r>
      <rPr>
        <sz val="11"/>
        <rFont val="맑은 고딕"/>
        <family val="3"/>
        <charset val="129"/>
        <scheme val="minor"/>
      </rPr>
      <t>#n</t>
    </r>
    <phoneticPr fontId="2" type="noConversion"/>
  </si>
  <si>
    <t>bit25</t>
  </si>
  <si>
    <t>pwm [11:0]</t>
    <phoneticPr fontId="2" type="noConversion"/>
  </si>
  <si>
    <t>ld transfer @ld_width='10'</t>
    <phoneticPr fontId="2" type="noConversion"/>
  </si>
  <si>
    <t>ld [15:0]</t>
    <phoneticPr fontId="2" type="noConversion"/>
  </si>
  <si>
    <t>(ld_width=11)</t>
    <phoneticPr fontId="2" type="noConversion"/>
  </si>
  <si>
    <t>ld transfer @ld_width='11'</t>
    <phoneticPr fontId="2" type="noConversion"/>
  </si>
  <si>
    <t>read_in cmd #1</t>
    <phoneticPr fontId="2" type="noConversion"/>
  </si>
  <si>
    <t>read_in cmd #2</t>
    <phoneticPr fontId="2" type="noConversion"/>
  </si>
  <si>
    <t>read_in cmd #n</t>
    <phoneticPr fontId="2" type="noConversion"/>
  </si>
  <si>
    <r>
      <t>ld1</t>
    </r>
    <r>
      <rPr>
        <sz val="8"/>
        <color theme="1"/>
        <rFont val="맑은 고딕"/>
        <family val="3"/>
        <charset val="129"/>
        <scheme val="minor"/>
      </rPr>
      <t>(16-b)</t>
    </r>
    <r>
      <rPr>
        <sz val="11"/>
        <color theme="1"/>
        <rFont val="맑은 고딕"/>
        <family val="2"/>
        <charset val="129"/>
        <scheme val="minor"/>
      </rPr>
      <t>#1</t>
    </r>
    <phoneticPr fontId="2" type="noConversion"/>
  </si>
  <si>
    <r>
      <t>ld2</t>
    </r>
    <r>
      <rPr>
        <sz val="8"/>
        <color theme="1"/>
        <rFont val="맑은 고딕"/>
        <family val="3"/>
        <charset val="129"/>
        <scheme val="minor"/>
      </rPr>
      <t>(16-b)</t>
    </r>
    <r>
      <rPr>
        <sz val="11"/>
        <color theme="1"/>
        <rFont val="맑은 고딕"/>
        <family val="2"/>
        <charset val="129"/>
        <scheme val="minor"/>
      </rPr>
      <t>#1</t>
    </r>
    <phoneticPr fontId="2" type="noConversion"/>
  </si>
  <si>
    <r>
      <t>ld3</t>
    </r>
    <r>
      <rPr>
        <sz val="8"/>
        <color theme="1"/>
        <rFont val="맑은 고딕"/>
        <family val="3"/>
        <charset val="129"/>
        <scheme val="minor"/>
      </rPr>
      <t>(16-b)</t>
    </r>
    <r>
      <rPr>
        <sz val="11"/>
        <color theme="1"/>
        <rFont val="맑은 고딕"/>
        <family val="2"/>
        <charset val="129"/>
        <scheme val="minor"/>
      </rPr>
      <t>#1</t>
    </r>
    <phoneticPr fontId="2" type="noConversion"/>
  </si>
  <si>
    <r>
      <t>ld8</t>
    </r>
    <r>
      <rPr>
        <sz val="8"/>
        <color theme="1"/>
        <rFont val="맑은 고딕"/>
        <family val="3"/>
        <charset val="129"/>
        <scheme val="minor"/>
      </rPr>
      <t>(16-b)</t>
    </r>
    <r>
      <rPr>
        <sz val="11"/>
        <color theme="1"/>
        <rFont val="맑은 고딕"/>
        <family val="2"/>
        <charset val="129"/>
        <scheme val="minor"/>
      </rPr>
      <t>#1</t>
    </r>
    <phoneticPr fontId="2" type="noConversion"/>
  </si>
  <si>
    <t>fault (auto) read command</t>
    <phoneticPr fontId="2" type="noConversion"/>
  </si>
  <si>
    <t>bit4</t>
    <phoneticPr fontId="2" type="noConversion"/>
  </si>
  <si>
    <t>bit1</t>
    <phoneticPr fontId="2" type="noConversion"/>
  </si>
  <si>
    <t>bit0</t>
    <phoneticPr fontId="2" type="noConversion"/>
  </si>
  <si>
    <t>thermal</t>
    <phoneticPr fontId="2" type="noConversion"/>
  </si>
  <si>
    <t>short</t>
    <phoneticPr fontId="2" type="noConversion"/>
  </si>
  <si>
    <t>open</t>
    <phoneticPr fontId="2" type="noConversion"/>
  </si>
  <si>
    <t>fb</t>
    <phoneticPr fontId="2" type="noConversion"/>
  </si>
  <si>
    <t>fault (auto) receive format</t>
    <phoneticPr fontId="2" type="noConversion"/>
  </si>
  <si>
    <t>bit3</t>
    <phoneticPr fontId="2" type="noConversion"/>
  </si>
  <si>
    <t>bit2</t>
    <phoneticPr fontId="2" type="noConversion"/>
  </si>
  <si>
    <t>sync (auto) gen</t>
    <phoneticPr fontId="2" type="noConversion"/>
  </si>
  <si>
    <t>id gen</t>
    <phoneticPr fontId="2" type="noConversion"/>
  </si>
  <si>
    <t>read_out cmd #n</t>
    <phoneticPr fontId="2" type="noConversion"/>
  </si>
  <si>
    <t>id #n</t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</si>
  <si>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#n-1</t>
    </r>
    <phoneticPr fontId="2" type="noConversion"/>
  </si>
  <si>
    <r>
      <t>D</t>
    </r>
    <r>
      <rPr>
        <vertAlign val="subscript"/>
        <sz val="11"/>
        <color theme="1"/>
        <rFont val="맑은 고딕"/>
        <family val="3"/>
        <charset val="129"/>
        <scheme val="minor"/>
      </rPr>
      <t xml:space="preserve">IO </t>
    </r>
    <r>
      <rPr>
        <sz val="11"/>
        <color theme="1"/>
        <rFont val="맑은 고딕"/>
        <family val="3"/>
        <charset val="129"/>
        <scheme val="minor"/>
      </rPr>
      <t>#2</t>
    </r>
    <phoneticPr fontId="2" type="noConversion"/>
  </si>
  <si>
    <t>read_out cmd #2</t>
    <phoneticPr fontId="2" type="noConversion"/>
  </si>
  <si>
    <t>id #2</t>
    <phoneticPr fontId="2" type="noConversion"/>
  </si>
  <si>
    <t>read_out cmd #1</t>
    <phoneticPr fontId="2" type="noConversion"/>
  </si>
  <si>
    <t>id #1</t>
    <phoneticPr fontId="2" type="noConversion"/>
  </si>
  <si>
    <t>spi protocol</t>
    <phoneticPr fontId="2" type="noConversion"/>
  </si>
  <si>
    <t>data format (16-bit command+16-bit data)</t>
    <phoneticPr fontId="2" type="noConversion"/>
  </si>
  <si>
    <t>single write : size = 1</t>
    <phoneticPr fontId="2" type="noConversion"/>
  </si>
  <si>
    <t>reset</t>
    <phoneticPr fontId="2" type="noConversion"/>
  </si>
  <si>
    <t>nSCS</t>
    <phoneticPr fontId="2" type="noConversion"/>
  </si>
  <si>
    <t>command</t>
    <phoneticPr fontId="2" type="noConversion"/>
  </si>
  <si>
    <t>command code [1:0]</t>
    <phoneticPr fontId="2" type="noConversion"/>
  </si>
  <si>
    <t>addr [7:0]</t>
    <phoneticPr fontId="2" type="noConversion"/>
  </si>
  <si>
    <t>size [5:0]</t>
    <phoneticPr fontId="2" type="noConversion"/>
  </si>
  <si>
    <t>SCLK</t>
    <phoneticPr fontId="2" type="noConversion"/>
  </si>
  <si>
    <t>register read</t>
    <phoneticPr fontId="2" type="noConversion"/>
  </si>
  <si>
    <t>start address</t>
    <phoneticPr fontId="2" type="noConversion"/>
  </si>
  <si>
    <t>burst size</t>
    <phoneticPr fontId="2" type="noConversion"/>
  </si>
  <si>
    <t>register write</t>
    <phoneticPr fontId="2" type="noConversion"/>
  </si>
  <si>
    <t>MOSI</t>
    <phoneticPr fontId="2" type="noConversion"/>
  </si>
  <si>
    <t>dev#1 command</t>
    <phoneticPr fontId="2" type="noConversion"/>
  </si>
  <si>
    <t>dev#1 data</t>
    <phoneticPr fontId="2" type="noConversion"/>
  </si>
  <si>
    <t>dev#2 command</t>
  </si>
  <si>
    <t>dev#2 data</t>
  </si>
  <si>
    <t>dev#3 command</t>
  </si>
  <si>
    <t>dev#3 data</t>
  </si>
  <si>
    <t>ld transfer</t>
    <phoneticPr fontId="2" type="noConversion"/>
  </si>
  <si>
    <t>8'hxx</t>
    <phoneticPr fontId="2" type="noConversion"/>
  </si>
  <si>
    <t>line size (max 63)</t>
    <phoneticPr fontId="2" type="noConversion"/>
  </si>
  <si>
    <t>SCLKO1</t>
    <phoneticPr fontId="2" type="noConversion"/>
  </si>
  <si>
    <t>register data</t>
    <phoneticPr fontId="2" type="noConversion"/>
  </si>
  <si>
    <t>SDO1</t>
    <phoneticPr fontId="2" type="noConversion"/>
  </si>
  <si>
    <t>register data [15:0]</t>
    <phoneticPr fontId="2" type="noConversion"/>
  </si>
  <si>
    <t>ld data</t>
    <phoneticPr fontId="2" type="noConversion"/>
  </si>
  <si>
    <t>ld_width = '00' 24-bit (pam 12-bit + pwm 12-bit)</t>
    <phoneticPr fontId="2" type="noConversion"/>
  </si>
  <si>
    <t>SCLKO2</t>
    <phoneticPr fontId="2" type="noConversion"/>
  </si>
  <si>
    <t>ld_width = '01' 24-bit (pam 12-bit + pwm 12-bit)</t>
    <phoneticPr fontId="2" type="noConversion"/>
  </si>
  <si>
    <t>SDO2</t>
    <phoneticPr fontId="2" type="noConversion"/>
  </si>
  <si>
    <t>ld_width = '00' 16-bit</t>
    <phoneticPr fontId="2" type="noConversion"/>
  </si>
  <si>
    <t>burst write : size dev#1/2/3 = 1/4/2</t>
    <phoneticPr fontId="2" type="noConversion"/>
  </si>
  <si>
    <t>addr=0x2</t>
    <phoneticPr fontId="2" type="noConversion"/>
  </si>
  <si>
    <t>dev#1 cmd</t>
    <phoneticPr fontId="2" type="noConversion"/>
  </si>
  <si>
    <t>dev#1 data1</t>
    <phoneticPr fontId="2" type="noConversion"/>
  </si>
  <si>
    <t>dev#2 cmd</t>
    <phoneticPr fontId="2" type="noConversion"/>
  </si>
  <si>
    <t>dev#2 data1</t>
    <phoneticPr fontId="2" type="noConversion"/>
  </si>
  <si>
    <t>dev#2 data2</t>
    <phoneticPr fontId="2" type="noConversion"/>
  </si>
  <si>
    <t>dev#2 data3</t>
    <phoneticPr fontId="2" type="noConversion"/>
  </si>
  <si>
    <t>dev#2 data4</t>
    <phoneticPr fontId="2" type="noConversion"/>
  </si>
  <si>
    <t>dev#3 cmd</t>
    <phoneticPr fontId="2" type="noConversion"/>
  </si>
  <si>
    <t>dev#3 data1</t>
    <phoneticPr fontId="2" type="noConversion"/>
  </si>
  <si>
    <t>dev#3 data2</t>
    <phoneticPr fontId="2" type="noConversion"/>
  </si>
  <si>
    <t>addr=0x7</t>
    <phoneticPr fontId="2" type="noConversion"/>
  </si>
  <si>
    <t>addr=0x8</t>
  </si>
  <si>
    <t>addr=0x9</t>
  </si>
  <si>
    <t>addr=0x0A</t>
    <phoneticPr fontId="2" type="noConversion"/>
  </si>
  <si>
    <t>addr=0x05</t>
    <phoneticPr fontId="2" type="noConversion"/>
  </si>
  <si>
    <t>addr=0x06</t>
  </si>
  <si>
    <t>single read : size = 1</t>
    <phoneticPr fontId="2" type="noConversion"/>
  </si>
  <si>
    <t>don’t care</t>
    <phoneticPr fontId="2" type="noConversion"/>
  </si>
  <si>
    <t>MISO1</t>
    <phoneticPr fontId="2" type="noConversion"/>
  </si>
  <si>
    <t>MISO2</t>
    <phoneticPr fontId="2" type="noConversion"/>
  </si>
  <si>
    <t>dev#2 data</t>
    <phoneticPr fontId="2" type="noConversion"/>
  </si>
  <si>
    <t>MISO3</t>
    <phoneticPr fontId="2" type="noConversion"/>
  </si>
  <si>
    <t>burst read : size dev#1/2/3 = 1/4/2</t>
    <phoneticPr fontId="2" type="noConversion"/>
  </si>
  <si>
    <t>special write</t>
    <phoneticPr fontId="2" type="noConversion"/>
  </si>
  <si>
    <t>dev#1 special command</t>
    <phoneticPr fontId="2" type="noConversion"/>
  </si>
  <si>
    <t>dev#3 command</t>
    <phoneticPr fontId="2" type="noConversion"/>
  </si>
  <si>
    <t>ld burst size : n (where, n means the number of line to be transferred, n=1, 2, … , 63)</t>
    <phoneticPr fontId="2" type="noConversion"/>
  </si>
  <si>
    <t>ld transfer size : ch_size * (pam 12-bit + pwm 12-bit) * burst size n  @ld_width=00, 01, 10</t>
    <phoneticPr fontId="2" type="noConversion"/>
  </si>
  <si>
    <t>ch_size * (ld 16-bit) * burst size n  @ld_width=11</t>
    <phoneticPr fontId="2" type="noConversion"/>
  </si>
  <si>
    <t>ld1_ch1</t>
    <phoneticPr fontId="2" type="noConversion"/>
  </si>
  <si>
    <t>ld1_chx</t>
    <phoneticPr fontId="2" type="noConversion"/>
  </si>
  <si>
    <t>(x=1,2,…,24)</t>
    <phoneticPr fontId="2" type="noConversion"/>
  </si>
  <si>
    <t>FBI_PS = FBO_E</t>
    <phoneticPr fontId="2" type="noConversion"/>
  </si>
  <si>
    <t>0x3FF</t>
    <phoneticPr fontId="2" type="noConversion"/>
  </si>
  <si>
    <t>SERIAL_LATENCY</t>
    <phoneticPr fontId="2" type="noConversion"/>
  </si>
  <si>
    <t>pwmclk</t>
    <phoneticPr fontId="2" type="noConversion"/>
  </si>
  <si>
    <t>pwm_out1</t>
    <phoneticPr fontId="2" type="noConversion"/>
  </si>
  <si>
    <t>pwm_out2</t>
    <phoneticPr fontId="2" type="noConversion"/>
  </si>
  <si>
    <t>FLL cnt</t>
    <phoneticPr fontId="2" type="noConversion"/>
  </si>
  <si>
    <t>S_DET_E</t>
    <phoneticPr fontId="2" type="noConversion"/>
  </si>
  <si>
    <t>0x29</t>
    <phoneticPr fontId="2" type="noConversion"/>
  </si>
  <si>
    <t>TEMP</t>
    <phoneticPr fontId="2" type="noConversion"/>
  </si>
  <si>
    <t>0x26</t>
    <phoneticPr fontId="2" type="noConversion"/>
  </si>
  <si>
    <t>spi</t>
    <phoneticPr fontId="2" type="noConversion"/>
  </si>
  <si>
    <t>RESET</t>
    <phoneticPr fontId="2" type="noConversion"/>
  </si>
  <si>
    <t>0x0000</t>
    <phoneticPr fontId="2" type="noConversion"/>
  </si>
  <si>
    <t>vsync_rst_en2</t>
    <phoneticPr fontId="2" type="noConversion"/>
  </si>
  <si>
    <t>vsync_rst_en1</t>
    <phoneticPr fontId="2" type="noConversion"/>
  </si>
  <si>
    <t>rst3</t>
    <phoneticPr fontId="2" type="noConversion"/>
  </si>
  <si>
    <t>rst2</t>
    <phoneticPr fontId="2" type="noConversion"/>
  </si>
  <si>
    <t>rst1</t>
    <phoneticPr fontId="2" type="noConversion"/>
  </si>
  <si>
    <t>GLOBAL WRITE COMMAND</t>
    <phoneticPr fontId="2" type="noConversion"/>
  </si>
  <si>
    <t>enable</t>
    <phoneticPr fontId="2" type="noConversion"/>
  </si>
  <si>
    <t>LOCAL WRITE COMMAND</t>
    <phoneticPr fontId="2" type="noConversion"/>
  </si>
  <si>
    <t>ch_seg[1:0]</t>
    <phoneticPr fontId="2" type="noConversion"/>
  </si>
  <si>
    <t>LOCAL READ COMMAND</t>
    <phoneticPr fontId="2" type="noConversion"/>
  </si>
  <si>
    <t>ID GEN COMMAND</t>
    <phoneticPr fontId="2" type="noConversion"/>
  </si>
  <si>
    <t>0x04</t>
    <phoneticPr fontId="2" type="noConversion"/>
  </si>
  <si>
    <t>0x0000</t>
  </si>
  <si>
    <t>FAULT READ COMMAND</t>
    <phoneticPr fontId="2" type="noConversion"/>
  </si>
  <si>
    <t>LD TRANSFER COMMAND</t>
    <phoneticPr fontId="2" type="noConversion"/>
  </si>
  <si>
    <t>SYNC GEN COMMAND</t>
    <phoneticPr fontId="2" type="noConversion"/>
  </si>
  <si>
    <t>COMMAND AUTO ENABLE</t>
    <phoneticPr fontId="2" type="noConversion"/>
  </si>
  <si>
    <t>0x0111</t>
    <phoneticPr fontId="2" type="noConversion"/>
  </si>
  <si>
    <t>timeout_en</t>
    <phoneticPr fontId="2" type="noConversion"/>
  </si>
  <si>
    <t>fault auto_en</t>
    <phoneticPr fontId="2" type="noConversion"/>
  </si>
  <si>
    <t>sync auto_en</t>
    <phoneticPr fontId="2" type="noConversion"/>
  </si>
  <si>
    <t>LD WRITE POINTER</t>
    <phoneticPr fontId="2" type="noConversion"/>
  </si>
  <si>
    <t>ld_wr_pointer [8:0]</t>
    <phoneticPr fontId="2" type="noConversion"/>
  </si>
  <si>
    <t>LD READ POINTER</t>
    <phoneticPr fontId="2" type="noConversion"/>
  </si>
  <si>
    <t>ld_rd_pointer [8:0]</t>
    <phoneticPr fontId="2" type="noConversion"/>
  </si>
  <si>
    <t>LD DIFFERENCE POINTER</t>
    <phoneticPr fontId="2" type="noConversion"/>
  </si>
  <si>
    <t>ld_diff_pointer [5:0]</t>
    <phoneticPr fontId="2" type="noConversion"/>
  </si>
  <si>
    <t>LD START POINTER/TH</t>
    <phoneticPr fontId="2" type="noConversion"/>
  </si>
  <si>
    <t>ld_rd_start_pointer [5:0]</t>
    <phoneticPr fontId="2" type="noConversion"/>
  </si>
  <si>
    <t>int_ld_sign</t>
    <phoneticPr fontId="2" type="noConversion"/>
  </si>
  <si>
    <t>ld_diff_threshold [5:0]</t>
    <phoneticPr fontId="2" type="noConversion"/>
  </si>
  <si>
    <t>LOCAL WRITE TRANSFER POINTER</t>
    <phoneticPr fontId="2" type="noConversion"/>
  </si>
  <si>
    <t>local_wr_transfer_read_pointer [5:0]</t>
    <phoneticPr fontId="2" type="noConversion"/>
  </si>
  <si>
    <t>local_wr_transfer_write_pointer [5:0]</t>
    <phoneticPr fontId="2" type="noConversion"/>
  </si>
  <si>
    <t>LOCAL READ RECEIVE POINTER</t>
    <phoneticPr fontId="2" type="noConversion"/>
  </si>
  <si>
    <t>local_rd_receive_read_pointer [5:0]</t>
    <phoneticPr fontId="2" type="noConversion"/>
  </si>
  <si>
    <t>local_rd_receive_write_pointer [5:0]</t>
    <phoneticPr fontId="2" type="noConversion"/>
  </si>
  <si>
    <t>LOCAL RW DIFFERENCE POINTER</t>
    <phoneticPr fontId="2" type="noConversion"/>
  </si>
  <si>
    <t>local_rd_receive_diff_pointer [5:0]</t>
    <phoneticPr fontId="2" type="noConversion"/>
  </si>
  <si>
    <t>local_wr_transfer_diff_pointer [5:0]</t>
    <phoneticPr fontId="2" type="noConversion"/>
  </si>
  <si>
    <t>LOCAL RW POINTER RESET</t>
    <phoneticPr fontId="2" type="noConversion"/>
  </si>
  <si>
    <t>wo</t>
    <phoneticPr fontId="2" type="noConversion"/>
  </si>
  <si>
    <t>0x11</t>
  </si>
  <si>
    <t>local_receive_pointer_rst</t>
    <phoneticPr fontId="2" type="noConversion"/>
  </si>
  <si>
    <t>local_transfer_pointer_rst</t>
    <phoneticPr fontId="2" type="noConversion"/>
  </si>
  <si>
    <t>FAULT AUTO READ INTERVAL</t>
    <phoneticPr fontId="2" type="noConversion"/>
  </si>
  <si>
    <t>fault_auto_rd_interval [15:0]</t>
    <phoneticPr fontId="2" type="noConversion"/>
  </si>
  <si>
    <t>FAULT AUTO READ EVENT</t>
    <phoneticPr fontId="2" type="noConversion"/>
  </si>
  <si>
    <t>fault_auto_rd_timer_event [7:0]</t>
    <phoneticPr fontId="2" type="noConversion"/>
  </si>
  <si>
    <t>fault_auto_rd_interval [16]</t>
    <phoneticPr fontId="2" type="noConversion"/>
  </si>
  <si>
    <t>SERIALIZER CLOCK GEN</t>
    <phoneticPr fontId="2" type="noConversion"/>
  </si>
  <si>
    <t>0x0408</t>
    <phoneticPr fontId="2" type="noConversion"/>
  </si>
  <si>
    <t>serial_clk_low [3:0]</t>
    <phoneticPr fontId="2" type="noConversion"/>
  </si>
  <si>
    <t>serial_clk_high [4:0]</t>
    <phoneticPr fontId="2" type="noConversion"/>
  </si>
  <si>
    <t>INTERRUPT ENABLE</t>
    <phoneticPr fontId="2" type="noConversion"/>
  </si>
  <si>
    <t>int_timeout_err_en</t>
    <phoneticPr fontId="2" type="noConversion"/>
  </si>
  <si>
    <t>int_fault_rec_fail_en</t>
    <phoneticPr fontId="2" type="noConversion"/>
  </si>
  <si>
    <t>int_fault_auto_rec_fail_en</t>
    <phoneticPr fontId="2" type="noConversion"/>
  </si>
  <si>
    <t>int_rd_rec_fail_en</t>
    <phoneticPr fontId="2" type="noConversion"/>
  </si>
  <si>
    <t>int_ld_en</t>
    <phoneticPr fontId="2" type="noConversion"/>
  </si>
  <si>
    <t>int_thermal_en</t>
    <phoneticPr fontId="2" type="noConversion"/>
  </si>
  <si>
    <t>int_short_en</t>
    <phoneticPr fontId="2" type="noConversion"/>
  </si>
  <si>
    <t>int_open_en</t>
    <phoneticPr fontId="2" type="noConversion"/>
  </si>
  <si>
    <t>int_fb_en</t>
    <phoneticPr fontId="2" type="noConversion"/>
  </si>
  <si>
    <t>COMMAND STATUS 1</t>
    <phoneticPr fontId="2" type="noConversion"/>
  </si>
  <si>
    <t>local_r_done</t>
    <phoneticPr fontId="2" type="noConversion"/>
  </si>
  <si>
    <t>local_r_doing</t>
    <phoneticPr fontId="2" type="noConversion"/>
  </si>
  <si>
    <t>local_w_done</t>
    <phoneticPr fontId="2" type="noConversion"/>
  </si>
  <si>
    <t>local_w_doing</t>
    <phoneticPr fontId="2" type="noConversion"/>
  </si>
  <si>
    <t>glbl_w_done</t>
    <phoneticPr fontId="2" type="noConversion"/>
  </si>
  <si>
    <t>glbl_w_doing</t>
    <phoneticPr fontId="2" type="noConversion"/>
  </si>
  <si>
    <t>ld_done</t>
    <phoneticPr fontId="2" type="noConversion"/>
  </si>
  <si>
    <t>ld_doing</t>
    <phoneticPr fontId="2" type="noConversion"/>
  </si>
  <si>
    <t>fault_done</t>
    <phoneticPr fontId="2" type="noConversion"/>
  </si>
  <si>
    <t>fault_doing</t>
    <phoneticPr fontId="2" type="noConversion"/>
  </si>
  <si>
    <t>fault_auto_done</t>
    <phoneticPr fontId="2" type="noConversion"/>
  </si>
  <si>
    <t>fault_auto_doing</t>
    <phoneticPr fontId="2" type="noConversion"/>
  </si>
  <si>
    <t>sync_auto_done</t>
    <phoneticPr fontId="2" type="noConversion"/>
  </si>
  <si>
    <t>sync_auto_doing</t>
    <phoneticPr fontId="2" type="noConversion"/>
  </si>
  <si>
    <t>sync_done</t>
    <phoneticPr fontId="2" type="noConversion"/>
  </si>
  <si>
    <t>sync_doing</t>
    <phoneticPr fontId="2" type="noConversion"/>
  </si>
  <si>
    <t>COMMAND STATUS 2</t>
    <phoneticPr fontId="2" type="noConversion"/>
  </si>
  <si>
    <t>0x17</t>
  </si>
  <si>
    <t>id_done</t>
    <phoneticPr fontId="2" type="noConversion"/>
  </si>
  <si>
    <t>id_doing</t>
    <phoneticPr fontId="2" type="noConversion"/>
  </si>
  <si>
    <t>RECEIVE STATUS</t>
    <phoneticPr fontId="2" type="noConversion"/>
  </si>
  <si>
    <t>0x18</t>
  </si>
  <si>
    <t>fault_receive_fail</t>
    <phoneticPr fontId="2" type="noConversion"/>
  </si>
  <si>
    <t>fault_auto_rec_fail</t>
    <phoneticPr fontId="2" type="noConversion"/>
  </si>
  <si>
    <t>rd_receive_fail</t>
    <phoneticPr fontId="2" type="noConversion"/>
  </si>
  <si>
    <t>timeout_err</t>
    <phoneticPr fontId="2" type="noConversion"/>
  </si>
  <si>
    <t>fault_receive_done</t>
    <phoneticPr fontId="2" type="noConversion"/>
  </si>
  <si>
    <t>fault_receive_doing</t>
    <phoneticPr fontId="2" type="noConversion"/>
  </si>
  <si>
    <t>fault_auto_rec_done</t>
    <phoneticPr fontId="2" type="noConversion"/>
  </si>
  <si>
    <t>fault_auto_rec_doing</t>
    <phoneticPr fontId="2" type="noConversion"/>
  </si>
  <si>
    <t>rd_receive_done</t>
    <phoneticPr fontId="2" type="noConversion"/>
  </si>
  <si>
    <t>rd_receive_doing</t>
    <phoneticPr fontId="2" type="noConversion"/>
  </si>
  <si>
    <t>INTERRUPT STATUS</t>
    <phoneticPr fontId="2" type="noConversion"/>
  </si>
  <si>
    <t>0x19</t>
  </si>
  <si>
    <t>int_timeout_err
_source</t>
    <phoneticPr fontId="2" type="noConversion"/>
  </si>
  <si>
    <t>int_fault_rec_fail
_source</t>
    <phoneticPr fontId="2" type="noConversion"/>
  </si>
  <si>
    <t>int_fault_auto_rec_fail
_source</t>
    <phoneticPr fontId="2" type="noConversion"/>
  </si>
  <si>
    <t>int_rd_rec_fail
_source</t>
    <phoneticPr fontId="2" type="noConversion"/>
  </si>
  <si>
    <t>int_ld_source</t>
    <phoneticPr fontId="2" type="noConversion"/>
  </si>
  <si>
    <t>int_thermal_source</t>
    <phoneticPr fontId="2" type="noConversion"/>
  </si>
  <si>
    <t>int_short_source</t>
    <phoneticPr fontId="2" type="noConversion"/>
  </si>
  <si>
    <t>int_open_source</t>
    <phoneticPr fontId="2" type="noConversion"/>
  </si>
  <si>
    <t>int_fb_source</t>
    <phoneticPr fontId="2" type="noConversion"/>
  </si>
  <si>
    <t>int_ld
(= nINT_LD
open-drain out)</t>
    <phoneticPr fontId="2" type="noConversion"/>
  </si>
  <si>
    <t>int_fault
(= nINT_FAULT
open-drain out)</t>
    <phoneticPr fontId="2" type="noConversion"/>
  </si>
  <si>
    <t>FB PWM PERIOD</t>
    <phoneticPr fontId="2" type="noConversion"/>
  </si>
  <si>
    <t>0x1A</t>
    <phoneticPr fontId="2" type="noConversion"/>
  </si>
  <si>
    <t>fb_pwm_en</t>
    <phoneticPr fontId="2" type="noConversion"/>
  </si>
  <si>
    <t>fb_pwm_polarity</t>
    <phoneticPr fontId="2" type="noConversion"/>
  </si>
  <si>
    <t>t_fb_en</t>
    <phoneticPr fontId="2" type="noConversion"/>
  </si>
  <si>
    <t>fb_pwm_period [10:0]</t>
    <phoneticPr fontId="2" type="noConversion"/>
  </si>
  <si>
    <t>FB PWM DUTY 1</t>
    <phoneticPr fontId="2" type="noConversion"/>
  </si>
  <si>
    <t>fb_pwm_duty_inc [8:0]</t>
    <phoneticPr fontId="2" type="noConversion"/>
  </si>
  <si>
    <t>FB PWM DUTY 2</t>
    <phoneticPr fontId="2" type="noConversion"/>
  </si>
  <si>
    <t>fb_pwm_duty_wait [3:0]</t>
    <phoneticPr fontId="2" type="noConversion"/>
  </si>
  <si>
    <t>fb_pwm_duty_dec [7:0]</t>
    <phoneticPr fontId="2" type="noConversion"/>
  </si>
  <si>
    <t>FB PWM DUTY 3</t>
  </si>
  <si>
    <t>fb_pwm_duty [10:0]</t>
    <phoneticPr fontId="2" type="noConversion"/>
  </si>
  <si>
    <t>COMMAND LATENCY</t>
    <phoneticPr fontId="2" type="noConversion"/>
  </si>
  <si>
    <t>0x001F</t>
    <phoneticPr fontId="2" type="noConversion"/>
  </si>
  <si>
    <t>cmd_latency  [7:0]</t>
    <phoneticPr fontId="2" type="noConversion"/>
  </si>
  <si>
    <t>DAISIED DEVICE CH SIZE 1</t>
    <phoneticPr fontId="2" type="noConversion"/>
  </si>
  <si>
    <t>0x20</t>
    <phoneticPr fontId="2" type="noConversion"/>
  </si>
  <si>
    <t>daisied_dev_ch_size3[4:0]</t>
    <phoneticPr fontId="2" type="noConversion"/>
  </si>
  <si>
    <t>daisied_dev_ch_size2[4:0]</t>
    <phoneticPr fontId="2" type="noConversion"/>
  </si>
  <si>
    <t>daisied_dev_ch_size1 [4:0]</t>
    <phoneticPr fontId="2" type="noConversion"/>
  </si>
  <si>
    <t>DAISIED DEVICE CH SIZE 2</t>
  </si>
  <si>
    <t>daisied_dev_ch_size6[4:0]</t>
    <phoneticPr fontId="2" type="noConversion"/>
  </si>
  <si>
    <t>daisied_dev_ch_size5[4:0]</t>
    <phoneticPr fontId="2" type="noConversion"/>
  </si>
  <si>
    <t>daisied_dev_ch_size4[4:0]</t>
    <phoneticPr fontId="2" type="noConversion"/>
  </si>
  <si>
    <t>DAISIED DEVICE CH SIZE 3</t>
  </si>
  <si>
    <t>daisied_dev_ch_size9[4:0]</t>
    <phoneticPr fontId="2" type="noConversion"/>
  </si>
  <si>
    <t>daisied_dev_ch_size8[4:0]</t>
    <phoneticPr fontId="2" type="noConversion"/>
  </si>
  <si>
    <t>daisied_dev_ch_size7[4:0]</t>
    <phoneticPr fontId="2" type="noConversion"/>
  </si>
  <si>
    <t>DAISIED DEVICE CH SIZE 4</t>
  </si>
  <si>
    <t>daisied_dev_ch_size12[4:0]</t>
    <phoneticPr fontId="2" type="noConversion"/>
  </si>
  <si>
    <t>daisied_dev_ch_size11[4:0]</t>
    <phoneticPr fontId="2" type="noConversion"/>
  </si>
  <si>
    <t>daisied_dev_ch_size10[4:0]</t>
    <phoneticPr fontId="2" type="noConversion"/>
  </si>
  <si>
    <t>DAISIED DEVICE CH SIZE 5</t>
  </si>
  <si>
    <t>daisied_dev_ch_size15[4:0]</t>
    <phoneticPr fontId="2" type="noConversion"/>
  </si>
  <si>
    <t>daisied_dev_ch_size14[4:0]</t>
    <phoneticPr fontId="2" type="noConversion"/>
  </si>
  <si>
    <t>daisied_dev_ch_size13[4:0]</t>
    <phoneticPr fontId="2" type="noConversion"/>
  </si>
  <si>
    <t>DAISIED DEVICE CH SIZE 6</t>
  </si>
  <si>
    <t>daisied_dev_ch_size18[4:0]</t>
    <phoneticPr fontId="2" type="noConversion"/>
  </si>
  <si>
    <t>daisied_dev_ch_size17[4:0]</t>
    <phoneticPr fontId="2" type="noConversion"/>
  </si>
  <si>
    <t>daisied_dev_ch_size16[4:0]</t>
    <phoneticPr fontId="2" type="noConversion"/>
  </si>
  <si>
    <t>DAISIED DEVICE CH SIZE 7</t>
  </si>
  <si>
    <t>daisied_dev_ch_size21[4:0]</t>
    <phoneticPr fontId="2" type="noConversion"/>
  </si>
  <si>
    <t>daisied_dev_ch_size20[4:0]</t>
    <phoneticPr fontId="2" type="noConversion"/>
  </si>
  <si>
    <t>daisied_dev_ch_size19[4:0]</t>
    <phoneticPr fontId="2" type="noConversion"/>
  </si>
  <si>
    <t>DAISIED DEVICE CH SIZE 8</t>
  </si>
  <si>
    <t>daisied_dev_ch_size24[4:0]</t>
    <phoneticPr fontId="2" type="noConversion"/>
  </si>
  <si>
    <t>daisied_dev_ch_size23[4:0]</t>
    <phoneticPr fontId="2" type="noConversion"/>
  </si>
  <si>
    <t>daisied_dev_ch_size22[4:0]</t>
    <phoneticPr fontId="2" type="noConversion"/>
  </si>
  <si>
    <t>LDO</t>
    <phoneticPr fontId="2" type="noConversion"/>
  </si>
  <si>
    <t>0x0008</t>
    <phoneticPr fontId="2" type="noConversion"/>
  </si>
  <si>
    <t>ldo [3:0]</t>
    <phoneticPr fontId="2" type="noConversion"/>
  </si>
  <si>
    <t>DAISY SIZE 1</t>
    <phoneticPr fontId="2" type="noConversion"/>
  </si>
  <si>
    <t>0x30</t>
    <phoneticPr fontId="2" type="noConversion"/>
  </si>
  <si>
    <t>daisy_size_ch3[4:0]</t>
    <phoneticPr fontId="2" type="noConversion"/>
  </si>
  <si>
    <t>daisy_size_ch2[4:0]</t>
    <phoneticPr fontId="2" type="noConversion"/>
  </si>
  <si>
    <t>daisy_size_ch1[4:0]</t>
    <phoneticPr fontId="2" type="noConversion"/>
  </si>
  <si>
    <t>DAISY SIZE 2</t>
  </si>
  <si>
    <t>0x31</t>
  </si>
  <si>
    <t>daisy_size_ch6[4:0]</t>
    <phoneticPr fontId="2" type="noConversion"/>
  </si>
  <si>
    <t>daisy_size_ch5[4:0]</t>
    <phoneticPr fontId="2" type="noConversion"/>
  </si>
  <si>
    <t>daisy_size_ch4[4:0]</t>
    <phoneticPr fontId="2" type="noConversion"/>
  </si>
  <si>
    <t>DAISY SIZE 3</t>
  </si>
  <si>
    <t>0x32</t>
  </si>
  <si>
    <t>daisy_size_ch9[4:0]</t>
    <phoneticPr fontId="2" type="noConversion"/>
  </si>
  <si>
    <t>daisy_size_ch8[4:0]</t>
    <phoneticPr fontId="2" type="noConversion"/>
  </si>
  <si>
    <t>daisy_size_ch7[4:0]</t>
    <phoneticPr fontId="2" type="noConversion"/>
  </si>
  <si>
    <t>DAISY SIZE 4</t>
  </si>
  <si>
    <t>0x33</t>
  </si>
  <si>
    <t>daisy_size_ch12[4:0]</t>
    <phoneticPr fontId="2" type="noConversion"/>
  </si>
  <si>
    <t>daisy_size_ch11[4:0]</t>
    <phoneticPr fontId="2" type="noConversion"/>
  </si>
  <si>
    <t>daisy_size_ch10[4:0]</t>
    <phoneticPr fontId="2" type="noConversion"/>
  </si>
  <si>
    <t>DAISY SIZE 5</t>
  </si>
  <si>
    <t>0x34</t>
  </si>
  <si>
    <t>daisy_size_ch15[4:0]</t>
    <phoneticPr fontId="2" type="noConversion"/>
  </si>
  <si>
    <t>daisy_size_ch14[4:0]</t>
    <phoneticPr fontId="2" type="noConversion"/>
  </si>
  <si>
    <t>daisy_size_ch13[4:0]</t>
    <phoneticPr fontId="2" type="noConversion"/>
  </si>
  <si>
    <t>DAISY SIZE 6</t>
  </si>
  <si>
    <t>0x35</t>
  </si>
  <si>
    <t>daisy_size_ch18[4:0]</t>
    <phoneticPr fontId="2" type="noConversion"/>
  </si>
  <si>
    <t>daisy_size_ch17[4:0]</t>
    <phoneticPr fontId="2" type="noConversion"/>
  </si>
  <si>
    <t>daisy_size_ch16[4:0]</t>
    <phoneticPr fontId="2" type="noConversion"/>
  </si>
  <si>
    <t>DAISY SIZE 7</t>
  </si>
  <si>
    <t>0x36</t>
  </si>
  <si>
    <t>daisy_size_ch21[4:0]</t>
    <phoneticPr fontId="2" type="noConversion"/>
  </si>
  <si>
    <t>daisy_size_ch20[4:0]</t>
    <phoneticPr fontId="2" type="noConversion"/>
  </si>
  <si>
    <t>daisy_size_ch19[4:0]</t>
    <phoneticPr fontId="2" type="noConversion"/>
  </si>
  <si>
    <t>DAISY SIZE 8</t>
  </si>
  <si>
    <t>0x37</t>
  </si>
  <si>
    <t>daisy_size_ch24[4:0]</t>
    <phoneticPr fontId="2" type="noConversion"/>
  </si>
  <si>
    <t>daisy_size_ch23[4:0]</t>
    <phoneticPr fontId="2" type="noConversion"/>
  </si>
  <si>
    <t>daisy_size_ch22[4:0]</t>
    <phoneticPr fontId="2" type="noConversion"/>
  </si>
  <si>
    <t>BLOCK SIZE 1</t>
    <phoneticPr fontId="2" type="noConversion"/>
  </si>
  <si>
    <t>0x38</t>
  </si>
  <si>
    <t>block_size_ch2 [7:0]</t>
    <phoneticPr fontId="2" type="noConversion"/>
  </si>
  <si>
    <t>block_size_ch1 [7:0]</t>
    <phoneticPr fontId="2" type="noConversion"/>
  </si>
  <si>
    <t>BLOCK SIZE 2</t>
  </si>
  <si>
    <t>0x39</t>
  </si>
  <si>
    <t>block_size_ch4 [7:0]</t>
    <phoneticPr fontId="2" type="noConversion"/>
  </si>
  <si>
    <t>block_size_ch3 [7:0]</t>
    <phoneticPr fontId="2" type="noConversion"/>
  </si>
  <si>
    <t>BLOCK SIZE 3</t>
  </si>
  <si>
    <t>block_size_ch6 [7:0]</t>
    <phoneticPr fontId="2" type="noConversion"/>
  </si>
  <si>
    <t>block_size_ch5 [7:0]</t>
    <phoneticPr fontId="2" type="noConversion"/>
  </si>
  <si>
    <t>BLOCK SIZE 4</t>
  </si>
  <si>
    <t>block_size_ch8 [7:0]</t>
    <phoneticPr fontId="2" type="noConversion"/>
  </si>
  <si>
    <t>block_size_ch7 [7:0]</t>
    <phoneticPr fontId="2" type="noConversion"/>
  </si>
  <si>
    <t>BLOCK SIZE 5</t>
  </si>
  <si>
    <t>block_size_ch10 [7:0]</t>
    <phoneticPr fontId="2" type="noConversion"/>
  </si>
  <si>
    <t>block_size_ch9 [7:0]</t>
    <phoneticPr fontId="2" type="noConversion"/>
  </si>
  <si>
    <t>BLOCK SIZE 6</t>
  </si>
  <si>
    <t>block_size_ch12 [7:0]</t>
    <phoneticPr fontId="2" type="noConversion"/>
  </si>
  <si>
    <t>block_size_ch11 [7:0]</t>
    <phoneticPr fontId="2" type="noConversion"/>
  </si>
  <si>
    <t>BLOCK SIZE 7</t>
  </si>
  <si>
    <t>block_size_ch14 [7:0]</t>
    <phoneticPr fontId="2" type="noConversion"/>
  </si>
  <si>
    <t>block_size_ch13 [7:0]</t>
    <phoneticPr fontId="2" type="noConversion"/>
  </si>
  <si>
    <t>BLOCK SIZE 8</t>
  </si>
  <si>
    <t>block_size_ch16 [7:0]</t>
    <phoneticPr fontId="2" type="noConversion"/>
  </si>
  <si>
    <t>block_size_ch15 [7:0]</t>
    <phoneticPr fontId="2" type="noConversion"/>
  </si>
  <si>
    <t>BLOCK SIZE 9</t>
  </si>
  <si>
    <t>0x40</t>
    <phoneticPr fontId="2" type="noConversion"/>
  </si>
  <si>
    <t>block_size_ch18 [7:0]</t>
    <phoneticPr fontId="2" type="noConversion"/>
  </si>
  <si>
    <t>block_size_ch17 [7:0]</t>
    <phoneticPr fontId="2" type="noConversion"/>
  </si>
  <si>
    <t>BLOCK SIZE 10</t>
  </si>
  <si>
    <t>0x41</t>
  </si>
  <si>
    <t>block_size_ch20 [7:0]</t>
    <phoneticPr fontId="2" type="noConversion"/>
  </si>
  <si>
    <t>block_size_ch19 [7:0]</t>
    <phoneticPr fontId="2" type="noConversion"/>
  </si>
  <si>
    <t>BLOCK SIZE 11</t>
  </si>
  <si>
    <t>0x42</t>
  </si>
  <si>
    <t>block_size_ch22 [7:0]</t>
    <phoneticPr fontId="2" type="noConversion"/>
  </si>
  <si>
    <t>block_size_ch21 [7:0]</t>
    <phoneticPr fontId="2" type="noConversion"/>
  </si>
  <si>
    <t>BLOCK SIZE 12</t>
  </si>
  <si>
    <t>0x43</t>
  </si>
  <si>
    <t>block_size_ch24 [7:0]</t>
    <phoneticPr fontId="2" type="noConversion"/>
  </si>
  <si>
    <t>block_size_ch23 [7:0]</t>
    <phoneticPr fontId="2" type="noConversion"/>
  </si>
  <si>
    <t>CHANNEL ENALBE 1</t>
    <phoneticPr fontId="2" type="noConversion"/>
  </si>
  <si>
    <t>0x45</t>
  </si>
  <si>
    <t>ch16_en</t>
    <phoneticPr fontId="2" type="noConversion"/>
  </si>
  <si>
    <t>ch15_en</t>
    <phoneticPr fontId="2" type="noConversion"/>
  </si>
  <si>
    <t>ch14_en</t>
    <phoneticPr fontId="2" type="noConversion"/>
  </si>
  <si>
    <t>ch13_en</t>
    <phoneticPr fontId="2" type="noConversion"/>
  </si>
  <si>
    <t>ch12_en</t>
    <phoneticPr fontId="2" type="noConversion"/>
  </si>
  <si>
    <t>ch11_en</t>
    <phoneticPr fontId="2" type="noConversion"/>
  </si>
  <si>
    <t>ch10_en</t>
    <phoneticPr fontId="2" type="noConversion"/>
  </si>
  <si>
    <t>ch9_en</t>
    <phoneticPr fontId="2" type="noConversion"/>
  </si>
  <si>
    <t>ch8_en</t>
    <phoneticPr fontId="2" type="noConversion"/>
  </si>
  <si>
    <t>ch7_en</t>
    <phoneticPr fontId="2" type="noConversion"/>
  </si>
  <si>
    <t>ch6_en</t>
    <phoneticPr fontId="2" type="noConversion"/>
  </si>
  <si>
    <t>ch5_en</t>
    <phoneticPr fontId="2" type="noConversion"/>
  </si>
  <si>
    <t>ch4_en</t>
    <phoneticPr fontId="2" type="noConversion"/>
  </si>
  <si>
    <t>ch3_en</t>
    <phoneticPr fontId="2" type="noConversion"/>
  </si>
  <si>
    <t>ch2_en</t>
    <phoneticPr fontId="2" type="noConversion"/>
  </si>
  <si>
    <t>ch1_en</t>
    <phoneticPr fontId="2" type="noConversion"/>
  </si>
  <si>
    <t>CHANNEL ENABLE 2</t>
    <phoneticPr fontId="2" type="noConversion"/>
  </si>
  <si>
    <t>0x46</t>
  </si>
  <si>
    <t>ld_width [1:0]</t>
    <phoneticPr fontId="2" type="noConversion"/>
  </si>
  <si>
    <t>ch_size [4:0]</t>
    <phoneticPr fontId="2" type="noConversion"/>
  </si>
  <si>
    <t>ch24_en</t>
    <phoneticPr fontId="2" type="noConversion"/>
  </si>
  <si>
    <t>ch23_en</t>
    <phoneticPr fontId="2" type="noConversion"/>
  </si>
  <si>
    <t>ch22_en</t>
    <phoneticPr fontId="2" type="noConversion"/>
  </si>
  <si>
    <t>ch21_en</t>
    <phoneticPr fontId="2" type="noConversion"/>
  </si>
  <si>
    <t>ch20_en</t>
    <phoneticPr fontId="2" type="noConversion"/>
  </si>
  <si>
    <t>ch19_en</t>
    <phoneticPr fontId="2" type="noConversion"/>
  </si>
  <si>
    <t>ch18_en</t>
    <phoneticPr fontId="2" type="noConversion"/>
  </si>
  <si>
    <t>ch17_en</t>
    <phoneticPr fontId="2" type="noConversion"/>
  </si>
  <si>
    <t>GLOBAL DATA PORT</t>
    <phoneticPr fontId="2" type="noConversion"/>
  </si>
  <si>
    <t>GLOBAL WRITE DATA</t>
    <phoneticPr fontId="2" type="noConversion"/>
  </si>
  <si>
    <t>0x60</t>
    <phoneticPr fontId="2" type="noConversion"/>
  </si>
  <si>
    <t>data[11:0]</t>
    <phoneticPr fontId="2" type="noConversion"/>
  </si>
  <si>
    <t>GLOBAL FAULT READ DATA1</t>
    <phoneticPr fontId="2" type="noConversion"/>
  </si>
  <si>
    <t>0x61</t>
  </si>
  <si>
    <t>fault_ch4 [3:0]</t>
    <phoneticPr fontId="2" type="noConversion"/>
  </si>
  <si>
    <t>fault_ch3 [3:0]</t>
    <phoneticPr fontId="2" type="noConversion"/>
  </si>
  <si>
    <t>fault_ch2 [3:0]</t>
    <phoneticPr fontId="2" type="noConversion"/>
  </si>
  <si>
    <t>fault_ch1 [3:0]</t>
    <phoneticPr fontId="2" type="noConversion"/>
  </si>
  <si>
    <t>GLOBAL FAULT READ DATA2</t>
    <phoneticPr fontId="2" type="noConversion"/>
  </si>
  <si>
    <t>0x62</t>
  </si>
  <si>
    <t>fault_ch8 [3:0]</t>
    <phoneticPr fontId="2" type="noConversion"/>
  </si>
  <si>
    <t>fault_ch7 [3:0]</t>
    <phoneticPr fontId="2" type="noConversion"/>
  </si>
  <si>
    <t>fault_ch6 [3:0]</t>
    <phoneticPr fontId="2" type="noConversion"/>
  </si>
  <si>
    <t>fault_ch5 [3:0]</t>
    <phoneticPr fontId="2" type="noConversion"/>
  </si>
  <si>
    <t>GLOBAL FAULT READ DATA3</t>
    <phoneticPr fontId="2" type="noConversion"/>
  </si>
  <si>
    <t>0x63</t>
  </si>
  <si>
    <t>fault_ch12 [3:0]</t>
    <phoneticPr fontId="2" type="noConversion"/>
  </si>
  <si>
    <t>fault_ch11 [3:0]</t>
    <phoneticPr fontId="2" type="noConversion"/>
  </si>
  <si>
    <t>fault_ch10 [3:0]</t>
    <phoneticPr fontId="2" type="noConversion"/>
  </si>
  <si>
    <t>fault_ch9 [3:0]</t>
    <phoneticPr fontId="2" type="noConversion"/>
  </si>
  <si>
    <t>GLOBAL FAULT READ DATA4</t>
    <phoneticPr fontId="2" type="noConversion"/>
  </si>
  <si>
    <t>0x64</t>
  </si>
  <si>
    <t>fault_ch16 [3:0]</t>
    <phoneticPr fontId="2" type="noConversion"/>
  </si>
  <si>
    <t>fault_ch15 [3:0]</t>
    <phoneticPr fontId="2" type="noConversion"/>
  </si>
  <si>
    <t>fault_ch14 [3:0]</t>
    <phoneticPr fontId="2" type="noConversion"/>
  </si>
  <si>
    <t>fault_ch13 [3:0]</t>
    <phoneticPr fontId="2" type="noConversion"/>
  </si>
  <si>
    <t>GLOBAL FAULT READ DATA5</t>
    <phoneticPr fontId="2" type="noConversion"/>
  </si>
  <si>
    <t>0x65</t>
  </si>
  <si>
    <t>fault_ch20 [3:0]</t>
    <phoneticPr fontId="2" type="noConversion"/>
  </si>
  <si>
    <t>fault_ch19 [3:0]</t>
    <phoneticPr fontId="2" type="noConversion"/>
  </si>
  <si>
    <t>fault_ch18 [3:0]</t>
    <phoneticPr fontId="2" type="noConversion"/>
  </si>
  <si>
    <t>fault_ch17 [3:0]</t>
    <phoneticPr fontId="2" type="noConversion"/>
  </si>
  <si>
    <t>GLOBAL FAULT READ DATA6</t>
    <phoneticPr fontId="2" type="noConversion"/>
  </si>
  <si>
    <t>0x66</t>
  </si>
  <si>
    <t>fault_ch24 [3:0]</t>
    <phoneticPr fontId="2" type="noConversion"/>
  </si>
  <si>
    <t>fault_ch23 [3:0]</t>
    <phoneticPr fontId="2" type="noConversion"/>
  </si>
  <si>
    <t>fault_ch22 [3:0]</t>
    <phoneticPr fontId="2" type="noConversion"/>
  </si>
  <si>
    <t>fault_ch21 [3:0]</t>
    <phoneticPr fontId="2" type="noConversion"/>
  </si>
  <si>
    <t>LOCAL DATA PORT</t>
    <phoneticPr fontId="2" type="noConversion"/>
  </si>
  <si>
    <t>PORT1 LOCAL RW DATA1</t>
    <phoneticPr fontId="2" type="noConversion"/>
  </si>
  <si>
    <t>0x70</t>
    <phoneticPr fontId="2" type="noConversion"/>
  </si>
  <si>
    <t>PORT2 LOCAL RW DATA1</t>
    <phoneticPr fontId="2" type="noConversion"/>
  </si>
  <si>
    <t>0x71</t>
  </si>
  <si>
    <t>PORT3 LOCAL RW DATA1</t>
    <phoneticPr fontId="2" type="noConversion"/>
  </si>
  <si>
    <t>0x72</t>
  </si>
  <si>
    <t>data[11:0]</t>
  </si>
  <si>
    <t>PORT4 LOCAL RW DATA1</t>
    <phoneticPr fontId="2" type="noConversion"/>
  </si>
  <si>
    <t>0x73</t>
  </si>
  <si>
    <t>PORT5 LOCAL RW DATA1</t>
    <phoneticPr fontId="2" type="noConversion"/>
  </si>
  <si>
    <t>0x74</t>
  </si>
  <si>
    <t>PORT6 LOCAL RW DATA1</t>
    <phoneticPr fontId="2" type="noConversion"/>
  </si>
  <si>
    <t>0x75</t>
  </si>
  <si>
    <t>PORT7 LOCAL RW DATA1</t>
    <phoneticPr fontId="2" type="noConversion"/>
  </si>
  <si>
    <t>0x76</t>
  </si>
  <si>
    <t>PORT8 LOCAL RW DATA1</t>
    <phoneticPr fontId="2" type="noConversion"/>
  </si>
  <si>
    <t>0x77</t>
  </si>
  <si>
    <t>PORT1 LOCAL RW DATA2</t>
    <phoneticPr fontId="2" type="noConversion"/>
  </si>
  <si>
    <t>0x78</t>
  </si>
  <si>
    <t>PORT2 LOCAL RW DATA2</t>
    <phoneticPr fontId="2" type="noConversion"/>
  </si>
  <si>
    <t>0x79</t>
  </si>
  <si>
    <t>PORT3 LOCAL RW DATA2</t>
    <phoneticPr fontId="2" type="noConversion"/>
  </si>
  <si>
    <t>0x7A</t>
    <phoneticPr fontId="2" type="noConversion"/>
  </si>
  <si>
    <t>PORT4 LOCAL RW DATA2</t>
    <phoneticPr fontId="2" type="noConversion"/>
  </si>
  <si>
    <t>0x7B</t>
    <phoneticPr fontId="2" type="noConversion"/>
  </si>
  <si>
    <t>PORT5 LOCAL RW DATA2</t>
    <phoneticPr fontId="2" type="noConversion"/>
  </si>
  <si>
    <t>0x7C</t>
    <phoneticPr fontId="2" type="noConversion"/>
  </si>
  <si>
    <t>PORT6 LOCAL RW DATA2</t>
    <phoneticPr fontId="2" type="noConversion"/>
  </si>
  <si>
    <t>0x7D</t>
    <phoneticPr fontId="2" type="noConversion"/>
  </si>
  <si>
    <t>PORT7 LOCAL RW DATA2</t>
    <phoneticPr fontId="2" type="noConversion"/>
  </si>
  <si>
    <t>0x7E</t>
    <phoneticPr fontId="2" type="noConversion"/>
  </si>
  <si>
    <t>PORT8 LOCAL RW DATA2</t>
    <phoneticPr fontId="2" type="noConversion"/>
  </si>
  <si>
    <t>0x7F</t>
    <phoneticPr fontId="2" type="noConversion"/>
  </si>
  <si>
    <t>PORT1 LOCAL RW DATA3</t>
    <phoneticPr fontId="2" type="noConversion"/>
  </si>
  <si>
    <t>0x80</t>
    <phoneticPr fontId="2" type="noConversion"/>
  </si>
  <si>
    <t>PORT2 LOCAL RW DATA3</t>
    <phoneticPr fontId="2" type="noConversion"/>
  </si>
  <si>
    <t>0x81</t>
    <phoneticPr fontId="2" type="noConversion"/>
  </si>
  <si>
    <t>PORT3 LOCAL RW DATA3</t>
    <phoneticPr fontId="2" type="noConversion"/>
  </si>
  <si>
    <t>0x82</t>
  </si>
  <si>
    <t>PORT4 LOCAL RW DATA3</t>
    <phoneticPr fontId="2" type="noConversion"/>
  </si>
  <si>
    <t>0x83</t>
  </si>
  <si>
    <t>PORT5 LOCAL RW DATA3</t>
    <phoneticPr fontId="2" type="noConversion"/>
  </si>
  <si>
    <t>0x84</t>
  </si>
  <si>
    <t>PORT6 LOCAL RW DATA3</t>
    <phoneticPr fontId="2" type="noConversion"/>
  </si>
  <si>
    <t>0x85</t>
  </si>
  <si>
    <t>PORT7 LOCAL RW DATA3</t>
    <phoneticPr fontId="2" type="noConversion"/>
  </si>
  <si>
    <t>0x86</t>
  </si>
  <si>
    <t>PORT8 LOCAL RW DATA3</t>
    <phoneticPr fontId="2" type="noConversion"/>
  </si>
  <si>
    <t>0x87</t>
  </si>
  <si>
    <t>PORT1 LOCAL RW DATA4</t>
    <phoneticPr fontId="2" type="noConversion"/>
  </si>
  <si>
    <t>0x88</t>
  </si>
  <si>
    <t>PORT2 LOCAL RW DATA4</t>
    <phoneticPr fontId="2" type="noConversion"/>
  </si>
  <si>
    <t>0x89</t>
  </si>
  <si>
    <t>PORT3 LOCAL RW DATA4</t>
    <phoneticPr fontId="2" type="noConversion"/>
  </si>
  <si>
    <t>0x8A</t>
    <phoneticPr fontId="2" type="noConversion"/>
  </si>
  <si>
    <t>PORT4 LOCAL RW DATA4</t>
    <phoneticPr fontId="2" type="noConversion"/>
  </si>
  <si>
    <t>0x8B</t>
    <phoneticPr fontId="2" type="noConversion"/>
  </si>
  <si>
    <t>PORT5 LOCAL RW DATA4</t>
    <phoneticPr fontId="2" type="noConversion"/>
  </si>
  <si>
    <t>0x8C</t>
    <phoneticPr fontId="2" type="noConversion"/>
  </si>
  <si>
    <t>PORT6 LOCAL RW DATA4</t>
    <phoneticPr fontId="2" type="noConversion"/>
  </si>
  <si>
    <t>0x8D</t>
    <phoneticPr fontId="2" type="noConversion"/>
  </si>
  <si>
    <t>PORT7 LOCAL RW DATA4</t>
    <phoneticPr fontId="2" type="noConversion"/>
  </si>
  <si>
    <t>0x8E</t>
    <phoneticPr fontId="2" type="noConversion"/>
  </si>
  <si>
    <t>PORT8 LOCAL RW DATA4</t>
    <phoneticPr fontId="2" type="noConversion"/>
  </si>
  <si>
    <t>0x8F</t>
    <phoneticPr fontId="2" type="noConversion"/>
  </si>
  <si>
    <t>PORT1 LOCAL RW DATA5</t>
    <phoneticPr fontId="2" type="noConversion"/>
  </si>
  <si>
    <t>0x90</t>
    <phoneticPr fontId="2" type="noConversion"/>
  </si>
  <si>
    <t>PORT2 LOCAL RW DATA5</t>
    <phoneticPr fontId="2" type="noConversion"/>
  </si>
  <si>
    <t>0x91</t>
  </si>
  <si>
    <t>PORT3 LOCAL RW DATA5</t>
    <phoneticPr fontId="2" type="noConversion"/>
  </si>
  <si>
    <t>0x92</t>
  </si>
  <si>
    <t>PORT4 LOCAL RW DATA5</t>
    <phoneticPr fontId="2" type="noConversion"/>
  </si>
  <si>
    <t>0x93</t>
  </si>
  <si>
    <t>PORT5 LOCAL RW DATA5</t>
    <phoneticPr fontId="2" type="noConversion"/>
  </si>
  <si>
    <t>0x94</t>
  </si>
  <si>
    <t>PORT6 LOCAL RW DATA5</t>
    <phoneticPr fontId="2" type="noConversion"/>
  </si>
  <si>
    <t>0x95</t>
  </si>
  <si>
    <t>PORT7 LOCAL RW DATA5</t>
    <phoneticPr fontId="2" type="noConversion"/>
  </si>
  <si>
    <t>0x96</t>
  </si>
  <si>
    <t>PORT8 LOCAL RW DATA5</t>
    <phoneticPr fontId="2" type="noConversion"/>
  </si>
  <si>
    <t>0x97</t>
  </si>
  <si>
    <t>PORT1 LOCAL RW DATA6</t>
    <phoneticPr fontId="2" type="noConversion"/>
  </si>
  <si>
    <t>0x98</t>
  </si>
  <si>
    <t>PORT2 LOCAL RW DATA6</t>
    <phoneticPr fontId="2" type="noConversion"/>
  </si>
  <si>
    <t>0x99</t>
  </si>
  <si>
    <t>PORT3 LOCAL RW DATA6</t>
    <phoneticPr fontId="2" type="noConversion"/>
  </si>
  <si>
    <t>0x9A</t>
    <phoneticPr fontId="2" type="noConversion"/>
  </si>
  <si>
    <t>PORT4 LOCAL RW DATA6</t>
    <phoneticPr fontId="2" type="noConversion"/>
  </si>
  <si>
    <t>0x9B</t>
    <phoneticPr fontId="2" type="noConversion"/>
  </si>
  <si>
    <t>PORT5 LOCAL RW DATA6</t>
    <phoneticPr fontId="2" type="noConversion"/>
  </si>
  <si>
    <t>0x9C</t>
    <phoneticPr fontId="2" type="noConversion"/>
  </si>
  <si>
    <t>PORT6 LOCAL RW DATA6</t>
    <phoneticPr fontId="2" type="noConversion"/>
  </si>
  <si>
    <t>0x9D</t>
    <phoneticPr fontId="2" type="noConversion"/>
  </si>
  <si>
    <t>PORT7 LOCAL RW DATA6</t>
    <phoneticPr fontId="2" type="noConversion"/>
  </si>
  <si>
    <t>0x9E</t>
    <phoneticPr fontId="2" type="noConversion"/>
  </si>
  <si>
    <t>PORT8 LOCAL RW DATA6</t>
    <phoneticPr fontId="2" type="noConversion"/>
  </si>
  <si>
    <t>0x9F</t>
    <phoneticPr fontId="2" type="noConversion"/>
  </si>
  <si>
    <t>PORT1 LOCAL RW DATA7</t>
    <phoneticPr fontId="2" type="noConversion"/>
  </si>
  <si>
    <t>0xA0</t>
    <phoneticPr fontId="2" type="noConversion"/>
  </si>
  <si>
    <t>PORT2 LOCAL RW DATA7</t>
    <phoneticPr fontId="2" type="noConversion"/>
  </si>
  <si>
    <t>0xA1</t>
    <phoneticPr fontId="2" type="noConversion"/>
  </si>
  <si>
    <t>PORT3 LOCAL RW DATA7</t>
    <phoneticPr fontId="2" type="noConversion"/>
  </si>
  <si>
    <t>0xA2</t>
  </si>
  <si>
    <t>PORT4 LOCAL RW DATA7</t>
    <phoneticPr fontId="2" type="noConversion"/>
  </si>
  <si>
    <t>0xA3</t>
  </si>
  <si>
    <t>PORT5 LOCAL RW DATA7</t>
    <phoneticPr fontId="2" type="noConversion"/>
  </si>
  <si>
    <t>0xA4</t>
  </si>
  <si>
    <t>PORT6 LOCAL RW DATA7</t>
    <phoneticPr fontId="2" type="noConversion"/>
  </si>
  <si>
    <t>0xA5</t>
  </si>
  <si>
    <t>PORT7 LOCAL RW DATA7</t>
    <phoneticPr fontId="2" type="noConversion"/>
  </si>
  <si>
    <t>0xA6</t>
  </si>
  <si>
    <t>PORT8 LOCAL RW DATA7</t>
    <phoneticPr fontId="2" type="noConversion"/>
  </si>
  <si>
    <t>0xA7</t>
  </si>
  <si>
    <t>PORT1 LOCAL RW DATA8</t>
    <phoneticPr fontId="2" type="noConversion"/>
  </si>
  <si>
    <t>0xA8</t>
  </si>
  <si>
    <t>PORT2 LOCAL RW DATA8</t>
    <phoneticPr fontId="2" type="noConversion"/>
  </si>
  <si>
    <t>0xA9</t>
  </si>
  <si>
    <t>PORT3 LOCAL RW DATA8</t>
    <phoneticPr fontId="2" type="noConversion"/>
  </si>
  <si>
    <t>0xAA</t>
    <phoneticPr fontId="2" type="noConversion"/>
  </si>
  <si>
    <t>PORT4 LOCAL RW DATA8</t>
    <phoneticPr fontId="2" type="noConversion"/>
  </si>
  <si>
    <t>0xAB</t>
    <phoneticPr fontId="2" type="noConversion"/>
  </si>
  <si>
    <t>PORT5 LOCAL RW DATA8</t>
    <phoneticPr fontId="2" type="noConversion"/>
  </si>
  <si>
    <t>0xAC</t>
    <phoneticPr fontId="2" type="noConversion"/>
  </si>
  <si>
    <t>PORT6 LOCAL RW DATA8</t>
    <phoneticPr fontId="2" type="noConversion"/>
  </si>
  <si>
    <t>0xAD</t>
    <phoneticPr fontId="2" type="noConversion"/>
  </si>
  <si>
    <t>PORT7 LOCAL RW DATA8</t>
    <phoneticPr fontId="2" type="noConversion"/>
  </si>
  <si>
    <t>0xAE</t>
    <phoneticPr fontId="2" type="noConversion"/>
  </si>
  <si>
    <t>PORT8 LOCAL RW DATA8</t>
    <phoneticPr fontId="2" type="noConversion"/>
  </si>
  <si>
    <t>0xAF</t>
    <phoneticPr fontId="2" type="noConversion"/>
  </si>
  <si>
    <t>PORT1 LOCAL RW DATA9</t>
    <phoneticPr fontId="2" type="noConversion"/>
  </si>
  <si>
    <t>0xB0</t>
    <phoneticPr fontId="2" type="noConversion"/>
  </si>
  <si>
    <t>PORT2 LOCAL RW DATA9</t>
    <phoneticPr fontId="2" type="noConversion"/>
  </si>
  <si>
    <t>0xB1</t>
  </si>
  <si>
    <t>PORT3 LOCAL RW DATA9</t>
    <phoneticPr fontId="2" type="noConversion"/>
  </si>
  <si>
    <t>0xB2</t>
  </si>
  <si>
    <t>PORT4 LOCAL RW DATA9</t>
    <phoneticPr fontId="2" type="noConversion"/>
  </si>
  <si>
    <t>0xB3</t>
  </si>
  <si>
    <t>PORT5 LOCAL RW DATA9</t>
    <phoneticPr fontId="2" type="noConversion"/>
  </si>
  <si>
    <t>0xB4</t>
  </si>
  <si>
    <t>PORT6 LOCAL RW DATA9</t>
    <phoneticPr fontId="2" type="noConversion"/>
  </si>
  <si>
    <t>0xB5</t>
  </si>
  <si>
    <t>PORT7 LOCAL RW DATA9</t>
    <phoneticPr fontId="2" type="noConversion"/>
  </si>
  <si>
    <t>0xB6</t>
  </si>
  <si>
    <t>PORT8 LOCAL RW DATA9</t>
    <phoneticPr fontId="2" type="noConversion"/>
  </si>
  <si>
    <t>0xB7</t>
  </si>
  <si>
    <t>PORT1 LOCAL RW DATA10</t>
    <phoneticPr fontId="2" type="noConversion"/>
  </si>
  <si>
    <t>0xB8</t>
  </si>
  <si>
    <t>PORT2 LOCAL RW DATA10</t>
    <phoneticPr fontId="2" type="noConversion"/>
  </si>
  <si>
    <t>0xB9</t>
  </si>
  <si>
    <t>PORT3 LOCAL RW DATA10</t>
    <phoneticPr fontId="2" type="noConversion"/>
  </si>
  <si>
    <t>0xBA</t>
    <phoneticPr fontId="2" type="noConversion"/>
  </si>
  <si>
    <t>PORT4 LOCAL RW DATA10</t>
    <phoneticPr fontId="2" type="noConversion"/>
  </si>
  <si>
    <t>0xBB</t>
    <phoneticPr fontId="2" type="noConversion"/>
  </si>
  <si>
    <t>PORT5 LOCAL RW DATA10</t>
    <phoneticPr fontId="2" type="noConversion"/>
  </si>
  <si>
    <t>0xBC</t>
    <phoneticPr fontId="2" type="noConversion"/>
  </si>
  <si>
    <t>PORT6 LOCAL RW DATA10</t>
    <phoneticPr fontId="2" type="noConversion"/>
  </si>
  <si>
    <t>0xBD</t>
    <phoneticPr fontId="2" type="noConversion"/>
  </si>
  <si>
    <t>PORT7 LOCAL RW DATA10</t>
    <phoneticPr fontId="2" type="noConversion"/>
  </si>
  <si>
    <t>0xBE</t>
    <phoneticPr fontId="2" type="noConversion"/>
  </si>
  <si>
    <t>PORT8 LOCAL RW DATA10</t>
    <phoneticPr fontId="2" type="noConversion"/>
  </si>
  <si>
    <t>0xBF</t>
    <phoneticPr fontId="2" type="noConversion"/>
  </si>
  <si>
    <t>PORT1 LOCAL RW DATA11</t>
    <phoneticPr fontId="2" type="noConversion"/>
  </si>
  <si>
    <t>0xC0</t>
    <phoneticPr fontId="2" type="noConversion"/>
  </si>
  <si>
    <t>PORT2 LOCAL RW DATA11</t>
    <phoneticPr fontId="2" type="noConversion"/>
  </si>
  <si>
    <t>0xC1</t>
    <phoneticPr fontId="2" type="noConversion"/>
  </si>
  <si>
    <t>PORT3 LOCAL RW DATA11</t>
    <phoneticPr fontId="2" type="noConversion"/>
  </si>
  <si>
    <t>0xC2</t>
  </si>
  <si>
    <t>PORT4 LOCAL RW DATA11</t>
    <phoneticPr fontId="2" type="noConversion"/>
  </si>
  <si>
    <t>0xC3</t>
  </si>
  <si>
    <t>PORT5 LOCAL RW DATA11</t>
    <phoneticPr fontId="2" type="noConversion"/>
  </si>
  <si>
    <t>0xC4</t>
  </si>
  <si>
    <t>PORT6 LOCAL RW DATA11</t>
    <phoneticPr fontId="2" type="noConversion"/>
  </si>
  <si>
    <t>0xC5</t>
  </si>
  <si>
    <t>PORT7 LOCAL RW DATA11</t>
    <phoneticPr fontId="2" type="noConversion"/>
  </si>
  <si>
    <t>0xC6</t>
  </si>
  <si>
    <t>PORT8 LOCAL RW DATA11</t>
    <phoneticPr fontId="2" type="noConversion"/>
  </si>
  <si>
    <t>0xC7</t>
  </si>
  <si>
    <t>PORT1 LOCAL RW DATA12</t>
    <phoneticPr fontId="2" type="noConversion"/>
  </si>
  <si>
    <t>0xC8</t>
  </si>
  <si>
    <t>PORT2 LOCAL RW DATA12</t>
    <phoneticPr fontId="2" type="noConversion"/>
  </si>
  <si>
    <t>0xC9</t>
  </si>
  <si>
    <t>PORT3 LOCAL RW DATA12</t>
    <phoneticPr fontId="2" type="noConversion"/>
  </si>
  <si>
    <t>0xCA</t>
    <phoneticPr fontId="2" type="noConversion"/>
  </si>
  <si>
    <t>PORT4 LOCAL RW DATA12</t>
    <phoneticPr fontId="2" type="noConversion"/>
  </si>
  <si>
    <t>0xCB</t>
    <phoneticPr fontId="2" type="noConversion"/>
  </si>
  <si>
    <t>PORT5 LOCAL RW DATA12</t>
    <phoneticPr fontId="2" type="noConversion"/>
  </si>
  <si>
    <t>0xCC</t>
    <phoneticPr fontId="2" type="noConversion"/>
  </si>
  <si>
    <t>PORT6 LOCAL RW DATA12</t>
    <phoneticPr fontId="2" type="noConversion"/>
  </si>
  <si>
    <t>0xCD</t>
    <phoneticPr fontId="2" type="noConversion"/>
  </si>
  <si>
    <t>PORT7 LOCAL RW DATA12</t>
    <phoneticPr fontId="2" type="noConversion"/>
  </si>
  <si>
    <t>0xCE</t>
    <phoneticPr fontId="2" type="noConversion"/>
  </si>
  <si>
    <t>PORT8 LOCAL RW DATA12</t>
    <phoneticPr fontId="2" type="noConversion"/>
  </si>
  <si>
    <t>0xCF</t>
    <phoneticPr fontId="2" type="noConversion"/>
  </si>
  <si>
    <t>PORT1 LOCAL RW DATA13</t>
    <phoneticPr fontId="2" type="noConversion"/>
  </si>
  <si>
    <t>0xD0</t>
    <phoneticPr fontId="2" type="noConversion"/>
  </si>
  <si>
    <t>PORT2 LOCAL RW DATA13</t>
    <phoneticPr fontId="2" type="noConversion"/>
  </si>
  <si>
    <t>0xD1</t>
  </si>
  <si>
    <t>PORT3 LOCAL RW DATA13</t>
    <phoneticPr fontId="2" type="noConversion"/>
  </si>
  <si>
    <t>0xD2</t>
  </si>
  <si>
    <t>PORT4 LOCAL RW DATA13</t>
    <phoneticPr fontId="2" type="noConversion"/>
  </si>
  <si>
    <t>0xD3</t>
  </si>
  <si>
    <t>PORT5 LOCAL RW DATA13</t>
    <phoneticPr fontId="2" type="noConversion"/>
  </si>
  <si>
    <t>0xD4</t>
  </si>
  <si>
    <t>PORT6 LOCAL RW DATA13</t>
    <phoneticPr fontId="2" type="noConversion"/>
  </si>
  <si>
    <t>0xD5</t>
  </si>
  <si>
    <t>PORT7 LOCAL RW DATA13</t>
    <phoneticPr fontId="2" type="noConversion"/>
  </si>
  <si>
    <t>0xD6</t>
  </si>
  <si>
    <t>PORT8 LOCAL RW DATA13</t>
    <phoneticPr fontId="2" type="noConversion"/>
  </si>
  <si>
    <t>0xD7</t>
  </si>
  <si>
    <t>PORT1 LOCAL RW DATA14</t>
    <phoneticPr fontId="2" type="noConversion"/>
  </si>
  <si>
    <t>0xD8</t>
  </si>
  <si>
    <t>PORT2 LOCAL RW DATA14</t>
    <phoneticPr fontId="2" type="noConversion"/>
  </si>
  <si>
    <t>0xD9</t>
  </si>
  <si>
    <t>PORT3 LOCAL RW DATA14</t>
    <phoneticPr fontId="2" type="noConversion"/>
  </si>
  <si>
    <t>0xDA</t>
    <phoneticPr fontId="2" type="noConversion"/>
  </si>
  <si>
    <t>PORT4 LOCAL RW DATA14</t>
    <phoneticPr fontId="2" type="noConversion"/>
  </si>
  <si>
    <t>0xDB</t>
    <phoneticPr fontId="2" type="noConversion"/>
  </si>
  <si>
    <t>PORT5 LOCAL RW DATA14</t>
    <phoneticPr fontId="2" type="noConversion"/>
  </si>
  <si>
    <t>0xDC</t>
    <phoneticPr fontId="2" type="noConversion"/>
  </si>
  <si>
    <t>PORT6 LOCAL RW DATA14</t>
    <phoneticPr fontId="2" type="noConversion"/>
  </si>
  <si>
    <t>0xDD</t>
    <phoneticPr fontId="2" type="noConversion"/>
  </si>
  <si>
    <t>PORT7 LOCAL RW DATA14</t>
    <phoneticPr fontId="2" type="noConversion"/>
  </si>
  <si>
    <t>0xDE</t>
    <phoneticPr fontId="2" type="noConversion"/>
  </si>
  <si>
    <t>PORT8 LOCAL RW DATA14</t>
    <phoneticPr fontId="2" type="noConversion"/>
  </si>
  <si>
    <t>0xDF</t>
    <phoneticPr fontId="2" type="noConversion"/>
  </si>
  <si>
    <t>PORT1 LOCAL RW DATA15</t>
    <phoneticPr fontId="2" type="noConversion"/>
  </si>
  <si>
    <t>0xE0</t>
    <phoneticPr fontId="2" type="noConversion"/>
  </si>
  <si>
    <t>PORT2 LOCAL RW DATA15</t>
    <phoneticPr fontId="2" type="noConversion"/>
  </si>
  <si>
    <t>0xE1</t>
  </si>
  <si>
    <t>PORT3 LOCAL RW DATA15</t>
    <phoneticPr fontId="2" type="noConversion"/>
  </si>
  <si>
    <t>0xE2</t>
  </si>
  <si>
    <t>PORT4 LOCAL RW DATA15</t>
    <phoneticPr fontId="2" type="noConversion"/>
  </si>
  <si>
    <t>0xE3</t>
  </si>
  <si>
    <t>PORT5 LOCAL RW DATA15</t>
    <phoneticPr fontId="2" type="noConversion"/>
  </si>
  <si>
    <t>0xE4</t>
  </si>
  <si>
    <t>PORT6 LOCAL RW DATA15</t>
    <phoneticPr fontId="2" type="noConversion"/>
  </si>
  <si>
    <t>0xE5</t>
  </si>
  <si>
    <t>PORT7 LOCAL RW DATA15</t>
    <phoneticPr fontId="2" type="noConversion"/>
  </si>
  <si>
    <t>0xE6</t>
  </si>
  <si>
    <t>PORT8 LOCAL RW DATA15</t>
    <phoneticPr fontId="2" type="noConversion"/>
  </si>
  <si>
    <t>0xE7</t>
  </si>
  <si>
    <t>PORT1 LOCAL RW DATA16</t>
    <phoneticPr fontId="2" type="noConversion"/>
  </si>
  <si>
    <t>0xE8</t>
  </si>
  <si>
    <t>PORT2 LOCAL RW DATA16</t>
    <phoneticPr fontId="2" type="noConversion"/>
  </si>
  <si>
    <t>0xE9</t>
  </si>
  <si>
    <t>PORT3 LOCAL RW DATA16</t>
    <phoneticPr fontId="2" type="noConversion"/>
  </si>
  <si>
    <t>0xEA</t>
    <phoneticPr fontId="2" type="noConversion"/>
  </si>
  <si>
    <t>PORT4 LOCAL RW DATA16</t>
    <phoneticPr fontId="2" type="noConversion"/>
  </si>
  <si>
    <t>0xEB</t>
    <phoneticPr fontId="2" type="noConversion"/>
  </si>
  <si>
    <t>PORT5 LOCAL RW DATA16</t>
    <phoneticPr fontId="2" type="noConversion"/>
  </si>
  <si>
    <t>0xEC</t>
    <phoneticPr fontId="2" type="noConversion"/>
  </si>
  <si>
    <t>PORT6 LOCAL RW DATA16</t>
    <phoneticPr fontId="2" type="noConversion"/>
  </si>
  <si>
    <t>0xED</t>
    <phoneticPr fontId="2" type="noConversion"/>
  </si>
  <si>
    <t>PORT7 LOCAL RW DATA16</t>
    <phoneticPr fontId="2" type="noConversion"/>
  </si>
  <si>
    <t>0xEE</t>
    <phoneticPr fontId="2" type="noConversion"/>
  </si>
  <si>
    <t>PORT8 LOCAL RW DATA16</t>
    <phoneticPr fontId="2" type="noConversion"/>
  </si>
  <si>
    <t>0xEF</t>
    <phoneticPr fontId="2" type="noConversion"/>
  </si>
  <si>
    <t>4ffb0</t>
    <phoneticPr fontId="2" type="noConversion"/>
  </si>
  <si>
    <t>0xFB0</t>
    <phoneticPr fontId="2" type="noConversion"/>
  </si>
  <si>
    <t>0' original mclk</t>
    <phoneticPr fontId="2" type="noConversion"/>
  </si>
  <si>
    <t>VSYNCO = EXT_VS_E &amp;&amp; ~TEST_E &amp;&amp; VSYNCI</t>
    <phoneticPr fontId="2" type="noConversion"/>
  </si>
  <si>
    <t>(note) FBO_E=1 일 때, FBI pin을 사용하지 않는다면 Pullup or Open시켜야 함 (GND 연결 불가)</t>
    <phoneticPr fontId="2" type="noConversion"/>
  </si>
  <si>
    <t>Sub frame #</t>
    <phoneticPr fontId="2" type="noConversion"/>
  </si>
  <si>
    <t>STEP #</t>
    <phoneticPr fontId="2" type="noConversion"/>
  </si>
  <si>
    <t>[bit]</t>
    <phoneticPr fontId="2" type="noConversion"/>
  </si>
  <si>
    <t>value</t>
    <phoneticPr fontId="2" type="noConversion"/>
  </si>
  <si>
    <t>[ea]</t>
    <phoneticPr fontId="2" type="noConversion"/>
  </si>
  <si>
    <t>LD width[15:0]</t>
    <phoneticPr fontId="2" type="noConversion"/>
  </si>
  <si>
    <t>xc mhz</t>
    <phoneticPr fontId="2" type="noConversion"/>
  </si>
  <si>
    <t>xd mhz</t>
    <phoneticPr fontId="2" type="noConversion"/>
  </si>
  <si>
    <t>Max 1-bit length=(SCLK_HIGH+SCLK_LOW)=127</t>
    <phoneticPr fontId="2" type="noConversion"/>
  </si>
  <si>
    <t>SCAN_NO[2:0]</t>
    <phoneticPr fontId="2" type="noConversion"/>
  </si>
  <si>
    <t>0x318</t>
    <phoneticPr fontId="2" type="noConversion"/>
  </si>
  <si>
    <t>OSC_FLL_MAN [15:12]</t>
    <phoneticPr fontId="2" type="noConversion"/>
  </si>
  <si>
    <t>SCLK_LOW [5:0] default 12ea</t>
    <phoneticPr fontId="2" type="noConversion"/>
  </si>
  <si>
    <t>SCLK_HIGH [5:0] default 24ea</t>
    <phoneticPr fontId="2" type="noConversion"/>
  </si>
  <si>
    <t>when reg readout, output the current status of fault
'FB/OPEN can be asserted at the same time
OPEN : detecting while PWM_OUTx is low
MISS_VS : when MISS_VS_DET_E=1, auto-cleared at a vsync
FB/OPEN/SHORT/THERMAL : auto-cleared after fault-(auto)-read or reg-read</t>
    <phoneticPr fontId="2" type="noConversion"/>
  </si>
  <si>
    <t>O_DET_E</t>
    <phoneticPr fontId="2" type="noConversion"/>
  </si>
  <si>
    <r>
      <t xml:space="preserve">FBx = FB_INx &amp; CHx_EN &amp; (~OPEN_FB_E || ~OPENx &amp; OPEN_FB_E))
</t>
    </r>
    <r>
      <rPr>
        <b/>
        <sz val="11"/>
        <rFont val="맑은 고딕"/>
        <family val="3"/>
        <charset val="129"/>
        <scheme val="minor"/>
      </rPr>
      <t>FB_ALL</t>
    </r>
    <r>
      <rPr>
        <sz val="11"/>
        <rFont val="맑은 고딕"/>
        <family val="3"/>
        <charset val="129"/>
        <scheme val="minor"/>
      </rPr>
      <t xml:space="preserve"> = DFF &lt;= 1 (FB1 || FB2 || … || FB12), auto-clear at readout
FBOUT drives the real-time state of FB on pin#6, refer to 'vsync_fb' sheet
OPENx = DFF &lt;= OPEN_INx &amp; CHx_EN &amp; ~PWM_OUTx &amp; O_DET_E
             auto_clear(readout)
</t>
    </r>
    <r>
      <rPr>
        <b/>
        <sz val="11"/>
        <rFont val="맑은 고딕"/>
        <family val="3"/>
        <charset val="129"/>
        <scheme val="minor"/>
      </rPr>
      <t>OPEN_AL</t>
    </r>
    <r>
      <rPr>
        <sz val="11"/>
        <rFont val="맑은 고딕"/>
        <family val="3"/>
        <charset val="129"/>
        <scheme val="minor"/>
      </rPr>
      <t xml:space="preserve">L = OPEN1 || OPEN2 || … || OPEN12
SHORTx = SHORT_INx &amp; CHx_EN
SHORT_Ex = S_DET_E &amp;&amp; PWM_OUTx
</t>
    </r>
    <r>
      <rPr>
        <b/>
        <sz val="11"/>
        <rFont val="맑은 고딕"/>
        <family val="3"/>
        <charset val="129"/>
        <scheme val="minor"/>
      </rPr>
      <t>SHORT_ALL</t>
    </r>
    <r>
      <rPr>
        <sz val="11"/>
        <rFont val="맑은 고딕"/>
        <family val="3"/>
        <charset val="129"/>
        <scheme val="minor"/>
      </rPr>
      <t xml:space="preserve"> = DFF&lt;=1 (SHORT1 || ... || SHORT12), auto-clear at readout
</t>
    </r>
    <r>
      <rPr>
        <b/>
        <sz val="11"/>
        <rFont val="맑은 고딕"/>
        <family val="3"/>
        <charset val="129"/>
        <scheme val="minor"/>
      </rPr>
      <t>THERMAL</t>
    </r>
    <r>
      <rPr>
        <sz val="11"/>
        <rFont val="맑은 고딕"/>
        <family val="3"/>
        <charset val="129"/>
        <scheme val="minor"/>
      </rPr>
      <t xml:space="preserve"> = THERMAL_IN</t>
    </r>
    <phoneticPr fontId="2" type="noConversion"/>
  </si>
  <si>
    <t>if the bit high or low length goes over this value,
then the decoder state goes to the idle (for noise pulse or cycle end)</t>
    <phoneticPr fontId="2" type="noConversion"/>
  </si>
  <si>
    <t>MCLK_LOCK_E : mclk_lock_cnt '1' disable and stop ACC input(0), '1' disable
when mclk_lock_cnt==MCLK_LOCK, calculate and auto-stop/start at a vsync</t>
    <phoneticPr fontId="2" type="noConversion"/>
  </si>
  <si>
    <r>
      <t xml:space="preserve">when MISS_VS_LOCK &amp; MISS_VS, stop ACC input(0)
when MISS_VS_DIMM &amp; MISS_VS, PWM_OUT_CHx=1 and max_current_vref=0x1FF fixed
MISS_VS_DET_E : enable detection of missing vsync
PWM_OUT_CHx = </t>
    </r>
    <r>
      <rPr>
        <b/>
        <sz val="11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(MISS_VS_DIMM &amp; MISS_VS) || (TEST_E &amp; PWM_FULL_O) </t>
    </r>
    <r>
      <rPr>
        <b/>
        <sz val="11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&amp; CHx_EN  ? 1'b1 :
        PWM_OUTx &amp; ~</t>
    </r>
    <r>
      <rPr>
        <b/>
        <sz val="11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(O_OFF_E &amp; OPENx) || (S_OFF_E &amp; SHORTx || (T_OFF_E &amp; THERMAL_IN)</t>
    </r>
    <r>
      <rPr>
        <b/>
        <sz val="11"/>
        <rFont val="맑은 고딕"/>
        <family val="3"/>
        <charset val="129"/>
        <scheme val="minor"/>
      </rPr>
      <t xml:space="preserve"> )
</t>
    </r>
    <r>
      <rPr>
        <sz val="11"/>
        <rFont val="맑은 고딕"/>
        <family val="3"/>
        <charset val="129"/>
        <scheme val="minor"/>
      </rPr>
      <t xml:space="preserve">
TIMEOUT_E : TIMEOUT cnt bit = 15-bit (819us)</t>
    </r>
    <phoneticPr fontId="2" type="noConversion"/>
  </si>
  <si>
    <t>despite of normal operation, OT_RD_S can start downloaing</t>
    <phoneticPr fontId="2" type="noConversion"/>
  </si>
  <si>
    <t>LD CONTROL</t>
    <phoneticPr fontId="2" type="noConversion"/>
  </si>
  <si>
    <t>RST/ID</t>
    <phoneticPr fontId="2" type="noConversion"/>
  </si>
  <si>
    <t>0x5A5</t>
    <phoneticPr fontId="2" type="noConversion"/>
  </si>
  <si>
    <t>PWM out ch1</t>
    <phoneticPr fontId="2" type="noConversion"/>
  </si>
  <si>
    <t>PWM out ch2</t>
    <phoneticPr fontId="2" type="noConversion"/>
  </si>
  <si>
    <t>LD [15:0]</t>
    <phoneticPr fontId="2" type="noConversion"/>
  </si>
  <si>
    <t>ld transmit</t>
    <phoneticPr fontId="2" type="noConversion"/>
  </si>
  <si>
    <t>PROTOCOL</t>
    <phoneticPr fontId="2" type="noConversion"/>
  </si>
  <si>
    <t>readout response</t>
    <phoneticPr fontId="2" type="noConversion"/>
  </si>
  <si>
    <t>fault read command</t>
    <phoneticPr fontId="2" type="noConversion"/>
  </si>
  <si>
    <t>fault readout response</t>
    <phoneticPr fontId="2" type="noConversion"/>
  </si>
  <si>
    <t>sync  gen command</t>
    <phoneticPr fontId="2" type="noConversion"/>
  </si>
  <si>
    <t>cmd code [2:0]</t>
    <phoneticPr fontId="2" type="noConversion"/>
  </si>
  <si>
    <t>frame format</t>
    <phoneticPr fontId="2" type="noConversion"/>
  </si>
  <si>
    <t>variation</t>
    <phoneticPr fontId="2" type="noConversion"/>
  </si>
  <si>
    <t>gap</t>
    <phoneticPr fontId="2" type="noConversion"/>
  </si>
  <si>
    <t>XC</t>
    <phoneticPr fontId="2" type="noConversion"/>
  </si>
  <si>
    <t xml:space="preserve">POR Initialize </t>
    <phoneticPr fontId="2" type="noConversion"/>
  </si>
  <si>
    <t>max</t>
    <phoneticPr fontId="2" type="noConversion"/>
  </si>
  <si>
    <t>digital [ea]</t>
    <phoneticPr fontId="2" type="noConversion"/>
  </si>
  <si>
    <t>XD_BFI</t>
    <phoneticPr fontId="2" type="noConversion"/>
  </si>
  <si>
    <t>XD_PWM</t>
    <phoneticPr fontId="2" type="noConversion"/>
  </si>
  <si>
    <t xml:space="preserve"> [mhz]</t>
    <phoneticPr fontId="2" type="noConversion"/>
  </si>
  <si>
    <r>
      <t xml:space="preserve">digital por </t>
    </r>
    <r>
      <rPr>
        <b/>
        <sz val="11"/>
        <color rgb="FF0000FF"/>
        <rFont val="맑은 고딕"/>
        <family val="3"/>
        <charset val="129"/>
        <scheme val="minor"/>
      </rPr>
      <t>after mclk activation</t>
    </r>
    <phoneticPr fontId="2" type="noConversion"/>
  </si>
  <si>
    <t>otp down</t>
    <phoneticPr fontId="2" type="noConversion"/>
  </si>
  <si>
    <t>total wait</t>
    <phoneticPr fontId="2" type="noConversion"/>
  </si>
  <si>
    <t>wait for 1st cmd</t>
    <phoneticPr fontId="2" type="noConversion"/>
  </si>
  <si>
    <t>pwm(max)</t>
    <phoneticPr fontId="2" type="noConversion"/>
  </si>
  <si>
    <t>pwm(typ)</t>
    <phoneticPr fontId="2" type="noConversion"/>
  </si>
  <si>
    <t>XD</t>
    <phoneticPr fontId="2" type="noConversion"/>
  </si>
  <si>
    <t>BDIO to BDDIO delay</t>
    <phoneticPr fontId="2" type="noConversion"/>
  </si>
  <si>
    <t>ns</t>
    <phoneticPr fontId="2" type="noConversion"/>
  </si>
  <si>
    <t>BDDIO to BDIO delay</t>
    <phoneticPr fontId="2" type="noConversion"/>
  </si>
  <si>
    <t>BDIO to BDDIO skew</t>
    <phoneticPr fontId="2" type="noConversion"/>
  </si>
  <si>
    <t>high</t>
    <phoneticPr fontId="2" type="noConversion"/>
  </si>
  <si>
    <t>low</t>
    <phoneticPr fontId="2" type="noConversion"/>
  </si>
  <si>
    <t>#1 dio</t>
    <phoneticPr fontId="2" type="noConversion"/>
  </si>
  <si>
    <t>#1 ddio</t>
    <phoneticPr fontId="2" type="noConversion"/>
  </si>
  <si>
    <t>downstream</t>
    <phoneticPr fontId="2" type="noConversion"/>
  </si>
  <si>
    <t>upstream</t>
    <phoneticPr fontId="2" type="noConversion"/>
  </si>
  <si>
    <t>#1 skew</t>
    <phoneticPr fontId="2" type="noConversion"/>
  </si>
  <si>
    <t>xc mclk</t>
    <phoneticPr fontId="2" type="noConversion"/>
  </si>
  <si>
    <t>daisy</t>
    <phoneticPr fontId="2" type="noConversion"/>
  </si>
  <si>
    <t>#</t>
    <phoneticPr fontId="2" type="noConversion"/>
  </si>
  <si>
    <t>dev</t>
    <phoneticPr fontId="2" type="noConversion"/>
  </si>
  <si>
    <t>skew/dev</t>
    <phoneticPr fontId="2" type="noConversion"/>
  </si>
  <si>
    <t>s high</t>
    <phoneticPr fontId="2" type="noConversion"/>
  </si>
  <si>
    <t>#31 total delay</t>
    <phoneticPr fontId="2" type="noConversion"/>
  </si>
  <si>
    <t>s low</t>
    <phoneticPr fontId="2" type="noConversion"/>
  </si>
  <si>
    <t>#31 dio</t>
    <phoneticPr fontId="2" type="noConversion"/>
  </si>
  <si>
    <t>total skew</t>
    <phoneticPr fontId="2" type="noConversion"/>
  </si>
  <si>
    <t>#31 skew</t>
    <phoneticPr fontId="2" type="noConversion"/>
  </si>
  <si>
    <t>high#</t>
    <phoneticPr fontId="2" type="noConversion"/>
  </si>
  <si>
    <t>low#</t>
    <phoneticPr fontId="2" type="noConversion"/>
  </si>
  <si>
    <t>logic 1</t>
    <phoneticPr fontId="2" type="noConversion"/>
  </si>
  <si>
    <t>logic 0</t>
    <phoneticPr fontId="2" type="noConversion"/>
  </si>
  <si>
    <t>BDDIO to BDIO skew</t>
    <phoneticPr fontId="2" type="noConversion"/>
  </si>
  <si>
    <t>#30 ddio</t>
    <phoneticPr fontId="2" type="noConversion"/>
  </si>
  <si>
    <t>#30 dio</t>
    <phoneticPr fontId="2" type="noConversion"/>
  </si>
  <si>
    <t>#30 skew</t>
    <phoneticPr fontId="2" type="noConversion"/>
  </si>
  <si>
    <t>spl#@last dev</t>
    <phoneticPr fontId="2" type="noConversion"/>
  </si>
  <si>
    <t>#1 delay</t>
    <phoneticPr fontId="2" type="noConversion"/>
  </si>
  <si>
    <t>worst case</t>
    <phoneticPr fontId="2" type="noConversion"/>
  </si>
  <si>
    <t>VSYNCI to VSYNCO delay(max)</t>
    <phoneticPr fontId="2" type="noConversion"/>
  </si>
  <si>
    <t>VSYNCI to VSYNCO delay(typ)</t>
    <phoneticPr fontId="2" type="noConversion"/>
  </si>
  <si>
    <t>typ</t>
    <phoneticPr fontId="2" type="noConversion"/>
  </si>
  <si>
    <t>es2</t>
    <phoneticPr fontId="2" type="noConversion"/>
  </si>
  <si>
    <t>SCLKO</t>
    <phoneticPr fontId="2" type="noConversion"/>
  </si>
  <si>
    <t>SCLK to SCLKO skew</t>
    <phoneticPr fontId="2" type="noConversion"/>
  </si>
  <si>
    <t>SCLK to SCLKO delay</t>
    <phoneticPr fontId="2" type="noConversion"/>
  </si>
  <si>
    <t>MOSI to SDO delay</t>
    <phoneticPr fontId="2" type="noConversion"/>
  </si>
  <si>
    <t>SCLKO to SDO skew</t>
    <phoneticPr fontId="2" type="noConversion"/>
  </si>
  <si>
    <t>SCLK to MISO delay</t>
    <phoneticPr fontId="2" type="noConversion"/>
  </si>
  <si>
    <t>SCLK to #2 MISO delay</t>
    <phoneticPr fontId="2" type="noConversion"/>
  </si>
  <si>
    <t>SCLK to #3 MISO delay</t>
  </si>
  <si>
    <t>#1 max write access</t>
    <phoneticPr fontId="2" type="noConversion"/>
  </si>
  <si>
    <t>na</t>
    <phoneticPr fontId="2" type="noConversion"/>
  </si>
  <si>
    <t>up to 30mhz</t>
    <phoneticPr fontId="2" type="noConversion"/>
  </si>
  <si>
    <t>#1 read margin</t>
    <phoneticPr fontId="2" type="noConversion"/>
  </si>
  <si>
    <t>min setup time</t>
    <phoneticPr fontId="2" type="noConversion"/>
  </si>
  <si>
    <t>#2 daisied max write access</t>
    <phoneticPr fontId="2" type="noConversion"/>
  </si>
  <si>
    <t>#2 daisied read margin</t>
    <phoneticPr fontId="2" type="noConversion"/>
  </si>
  <si>
    <t>max readable freq</t>
    <phoneticPr fontId="2" type="noConversion"/>
  </si>
  <si>
    <t>validation</t>
    <phoneticPr fontId="2" type="noConversion"/>
  </si>
  <si>
    <r>
      <rPr>
        <b/>
        <sz val="11"/>
        <color rgb="FF0000FF"/>
        <rFont val="맑은 고딕"/>
        <family val="3"/>
        <charset val="129"/>
      </rPr>
      <t>①</t>
    </r>
    <r>
      <rPr>
        <b/>
        <sz val="11"/>
        <color rgb="FF0000FF"/>
        <rFont val="맑은 고딕"/>
        <family val="3"/>
        <charset val="129"/>
        <scheme val="minor"/>
      </rPr>
      <t xml:space="preserve">min # ≥ 2ea  </t>
    </r>
    <r>
      <rPr>
        <b/>
        <sz val="11"/>
        <color rgb="FF0000FF"/>
        <rFont val="맑은 고딕"/>
        <family val="3"/>
        <charset val="129"/>
      </rPr>
      <t>② min gap# ≥</t>
    </r>
    <r>
      <rPr>
        <b/>
        <sz val="11"/>
        <color rgb="FF0000FF"/>
        <rFont val="맑은 고딕"/>
        <family val="3"/>
        <charset val="129"/>
        <scheme val="minor"/>
      </rPr>
      <t xml:space="preserve"> 2ea</t>
    </r>
    <phoneticPr fontId="2" type="noConversion"/>
  </si>
  <si>
    <t>@xc</t>
    <phoneticPr fontId="2" type="noConversion"/>
  </si>
  <si>
    <t>@last xd</t>
    <phoneticPr fontId="2" type="noConversion"/>
  </si>
  <si>
    <r>
      <rPr>
        <b/>
        <sz val="11"/>
        <color rgb="FF0000FF"/>
        <rFont val="맑은 고딕"/>
        <family val="3"/>
        <charset val="129"/>
        <scheme val="minor"/>
      </rPr>
      <t>serial latency</t>
    </r>
    <r>
      <rPr>
        <b/>
        <sz val="11"/>
        <color theme="1"/>
        <rFont val="맑은 고딕"/>
        <family val="3"/>
        <charset val="129"/>
        <scheme val="minor"/>
      </rPr>
      <t xml:space="preserve"> according to mclk variation</t>
    </r>
    <phoneticPr fontId="2" type="noConversion"/>
  </si>
  <si>
    <r>
      <rPr>
        <b/>
        <sz val="11"/>
        <color rgb="FF0000FF"/>
        <rFont val="맑은 고딕"/>
        <family val="3"/>
        <charset val="129"/>
        <scheme val="minor"/>
      </rPr>
      <t>proper baudrate</t>
    </r>
    <r>
      <rPr>
        <b/>
        <sz val="11"/>
        <color theme="1"/>
        <rFont val="맑은 고딕"/>
        <family val="3"/>
        <charset val="129"/>
        <scheme val="minor"/>
      </rPr>
      <t xml:space="preserve"> accord</t>
    </r>
    <r>
      <rPr>
        <b/>
        <sz val="11"/>
        <rFont val="맑은 고딕"/>
        <family val="3"/>
        <charset val="129"/>
        <scheme val="minor"/>
      </rPr>
      <t>ing daisy # and mclk</t>
    </r>
    <phoneticPr fontId="2" type="noConversion"/>
  </si>
  <si>
    <t>3~5</t>
    <phoneticPr fontId="2" type="noConversion"/>
  </si>
  <si>
    <t>2~5</t>
    <phoneticPr fontId="2" type="noConversion"/>
  </si>
  <si>
    <t>max [ms]</t>
    <phoneticPr fontId="2" type="noConversion"/>
  </si>
  <si>
    <t>analog por</t>
    <phoneticPr fontId="2" type="noConversion"/>
  </si>
  <si>
    <t>Vdd ramp-up</t>
    <phoneticPr fontId="2" type="noConversion"/>
  </si>
  <si>
    <t>release</t>
    <phoneticPr fontId="2" type="noConversion"/>
  </si>
  <si>
    <t>spi clock</t>
    <phoneticPr fontId="2" type="noConversion"/>
  </si>
  <si>
    <t>ch#</t>
    <phoneticPr fontId="2" type="noConversion"/>
  </si>
  <si>
    <t>line#</t>
    <phoneticPr fontId="2" type="noConversion"/>
  </si>
  <si>
    <t>scs latency1</t>
    <phoneticPr fontId="2" type="noConversion"/>
  </si>
  <si>
    <t>s_high</t>
    <phoneticPr fontId="2" type="noConversion"/>
  </si>
  <si>
    <t>s_low</t>
    <phoneticPr fontId="2" type="noConversion"/>
  </si>
  <si>
    <t>ch#/dev</t>
    <phoneticPr fontId="2" type="noConversion"/>
  </si>
  <si>
    <t>daisied dev#</t>
    <phoneticPr fontId="2" type="noConversion"/>
  </si>
  <si>
    <t>daisied block#</t>
    <phoneticPr fontId="2" type="noConversion"/>
  </si>
  <si>
    <t>thruput gap</t>
    <phoneticPr fontId="2" type="noConversion"/>
  </si>
  <si>
    <t>line#/transmit</t>
    <phoneticPr fontId="2" type="noConversion"/>
  </si>
  <si>
    <t>transmit#</t>
    <phoneticPr fontId="2" type="noConversion"/>
  </si>
  <si>
    <t>transmit time</t>
    <phoneticPr fontId="2" type="noConversion"/>
  </si>
  <si>
    <t>scs latency3</t>
  </si>
  <si>
    <t>scs latency3</t>
    <phoneticPr fontId="2" type="noConversion"/>
  </si>
  <si>
    <t>trans_buf_line#</t>
    <phoneticPr fontId="2" type="noConversion"/>
  </si>
  <si>
    <t>wasted tran time</t>
    <phoneticPr fontId="2" type="noConversion"/>
  </si>
  <si>
    <t>frame margin</t>
    <phoneticPr fontId="2" type="noConversion"/>
  </si>
  <si>
    <t>%</t>
    <phoneticPr fontId="2" type="noConversion"/>
  </si>
  <si>
    <t>block/plate</t>
    <phoneticPr fontId="2" type="noConversion"/>
  </si>
  <si>
    <t>plate</t>
    <phoneticPr fontId="2" type="noConversion"/>
  </si>
  <si>
    <t>dev/plate</t>
    <phoneticPr fontId="2" type="noConversion"/>
  </si>
  <si>
    <t>ch/plate</t>
    <phoneticPr fontId="2" type="noConversion"/>
  </si>
  <si>
    <t>ms</t>
    <phoneticPr fontId="2" type="noConversion"/>
  </si>
  <si>
    <t>comp</t>
    <phoneticPr fontId="2" type="noConversion"/>
  </si>
  <si>
    <t>REFERENCE</t>
    <phoneticPr fontId="2" type="noConversion"/>
  </si>
  <si>
    <t>TRANSITION</t>
    <phoneticPr fontId="2" type="noConversion"/>
  </si>
  <si>
    <t>freq [hz]</t>
    <phoneticPr fontId="2" type="noConversion"/>
  </si>
  <si>
    <t>mclk_cnt_en</t>
    <phoneticPr fontId="2" type="noConversion"/>
  </si>
  <si>
    <t>iteration</t>
    <phoneticPr fontId="2" type="noConversion"/>
  </si>
  <si>
    <t>scan_no</t>
    <phoneticPr fontId="2" type="noConversion"/>
  </si>
  <si>
    <t>khz</t>
    <phoneticPr fontId="2" type="noConversion"/>
  </si>
  <si>
    <t>ea/period</t>
    <phoneticPr fontId="2" type="noConversion"/>
  </si>
  <si>
    <t>pwm_period</t>
    <phoneticPr fontId="2" type="noConversion"/>
  </si>
  <si>
    <t>pwm_duty_inc</t>
    <phoneticPr fontId="2" type="noConversion"/>
  </si>
  <si>
    <t>pwm_duty_dec</t>
    <phoneticPr fontId="2" type="noConversion"/>
  </si>
  <si>
    <t>0x078</t>
    <phoneticPr fontId="2" type="noConversion"/>
  </si>
  <si>
    <t>0x808</t>
    <phoneticPr fontId="2" type="noConversion"/>
  </si>
  <si>
    <r>
      <t xml:space="preserve">FBx = FB_INx &amp; CHx_EN &amp; (~OPEN_FB_E || </t>
    </r>
    <r>
      <rPr>
        <sz val="11"/>
        <color rgb="FFFF0000"/>
        <rFont val="맑은 고딕"/>
        <family val="3"/>
        <charset val="129"/>
        <scheme val="minor"/>
      </rPr>
      <t>~OPENx</t>
    </r>
    <r>
      <rPr>
        <sz val="11"/>
        <rFont val="맑은 고딕"/>
        <family val="3"/>
        <charset val="129"/>
        <scheme val="minor"/>
      </rPr>
      <t xml:space="preserve"> &amp; OPEN_FB_E))
        </t>
    </r>
    <r>
      <rPr>
        <sz val="11"/>
        <color rgb="FFFF0000"/>
        <rFont val="맑은 고딕"/>
        <family val="3"/>
        <charset val="129"/>
        <scheme val="minor"/>
      </rPr>
      <t>OPENx는 DFF아니라 analog OPEN신호</t>
    </r>
    <r>
      <rPr>
        <sz val="11"/>
        <rFont val="맑은 고딕"/>
        <family val="3"/>
        <charset val="129"/>
        <scheme val="minor"/>
      </rPr>
      <t xml:space="preserve">
</t>
    </r>
    <r>
      <rPr>
        <b/>
        <sz val="11"/>
        <rFont val="맑은 고딕"/>
        <family val="3"/>
        <charset val="129"/>
        <scheme val="minor"/>
      </rPr>
      <t>FB_ALL</t>
    </r>
    <r>
      <rPr>
        <sz val="11"/>
        <rFont val="맑은 고딕"/>
        <family val="3"/>
        <charset val="129"/>
        <scheme val="minor"/>
      </rPr>
      <t xml:space="preserve"> = DFF &lt;= 1 (FB1 || FB2 || … || FB12), auto-clear at readout
FBOUT drives the real-time state of FB on pin#6, refer to 'vsync_fb' sheet
OPENx = DFF &lt;= OPEN_INx &amp; CHx_EN &amp; ~PWM_OUTx &amp; O_DET_E
             auto_clear(readout)
</t>
    </r>
    <r>
      <rPr>
        <b/>
        <sz val="11"/>
        <rFont val="맑은 고딕"/>
        <family val="3"/>
        <charset val="129"/>
        <scheme val="minor"/>
      </rPr>
      <t>OPEN_AL</t>
    </r>
    <r>
      <rPr>
        <sz val="11"/>
        <rFont val="맑은 고딕"/>
        <family val="3"/>
        <charset val="129"/>
        <scheme val="minor"/>
      </rPr>
      <t xml:space="preserve">L = OPEN1 || OPEN2 || … || OPEN12
SHORTx = SHORT_INx &amp; CHx_EN
SHORT_Ex = S_DET_E &amp;&amp; PWM_OUTx
</t>
    </r>
    <r>
      <rPr>
        <b/>
        <sz val="11"/>
        <rFont val="맑은 고딕"/>
        <family val="3"/>
        <charset val="129"/>
        <scheme val="minor"/>
      </rPr>
      <t>SHORT_ALL</t>
    </r>
    <r>
      <rPr>
        <sz val="11"/>
        <rFont val="맑은 고딕"/>
        <family val="3"/>
        <charset val="129"/>
        <scheme val="minor"/>
      </rPr>
      <t xml:space="preserve"> = DFF&lt;=1 (SHORT1 || ... || SHORT12), auto-clear at readout
</t>
    </r>
    <r>
      <rPr>
        <b/>
        <sz val="11"/>
        <rFont val="맑은 고딕"/>
        <family val="3"/>
        <charset val="129"/>
        <scheme val="minor"/>
      </rPr>
      <t>THERMAL</t>
    </r>
    <r>
      <rPr>
        <sz val="11"/>
        <rFont val="맑은 고딕"/>
        <family val="3"/>
        <charset val="129"/>
        <scheme val="minor"/>
      </rPr>
      <t xml:space="preserve"> = THERMAL_IN</t>
    </r>
    <phoneticPr fontId="2" type="noConversion"/>
  </si>
  <si>
    <t>FLL_RANGE [1:0]</t>
    <phoneticPr fontId="2" type="noConversion"/>
  </si>
  <si>
    <t>DAC_RNG</t>
    <phoneticPr fontId="2" type="noConversion"/>
  </si>
  <si>
    <t>FLT_CTL [1:0]</t>
    <phoneticPr fontId="2" type="noConversion"/>
  </si>
  <si>
    <t>TEST_ANA_EN [1:0]</t>
    <phoneticPr fontId="2" type="noConversion"/>
  </si>
  <si>
    <t>0x820</t>
    <phoneticPr fontId="2" type="noConversion"/>
  </si>
  <si>
    <r>
      <t>~</t>
    </r>
    <r>
      <rPr>
        <b/>
        <sz val="11"/>
        <color rgb="FFFF0000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 </t>
    </r>
    <r>
      <rPr>
        <b/>
        <sz val="11"/>
        <color theme="1"/>
        <rFont val="맑은 고딕"/>
        <family val="3"/>
        <charset val="129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 xml:space="preserve"> </t>
    </r>
    <r>
      <rPr>
        <sz val="11"/>
        <color rgb="FFFF00FF"/>
        <rFont val="맑은 고딕"/>
        <family val="3"/>
        <charset val="129"/>
        <scheme val="minor"/>
      </rPr>
      <t>(FB_IN1 &amp; CH1_EN &amp; (~OPEN_FB_E || ~I_OPEN1 &amp; OPEN_FB_E))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>|| ... ||</t>
    </r>
    <r>
      <rPr>
        <sz val="11"/>
        <color rgb="FFFF0000"/>
        <rFont val="맑은 고딕"/>
        <family val="3"/>
        <charset val="129"/>
        <scheme val="minor"/>
      </rPr>
      <t xml:space="preserve"> </t>
    </r>
    <r>
      <rPr>
        <sz val="11"/>
        <color rgb="FF0000FF"/>
        <rFont val="맑은 고딕"/>
        <family val="3"/>
        <charset val="129"/>
        <scheme val="minor"/>
      </rPr>
      <t>(FB_IN12 &amp; CH12_EN &amp; (~OPEN_FB_E || ~I_OPEN12 &amp; OPEN_FB_E))</t>
    </r>
    <r>
      <rPr>
        <sz val="11"/>
        <color theme="1"/>
        <rFont val="맑은 고딕"/>
        <family val="3"/>
        <charset val="129"/>
        <scheme val="minor"/>
      </rPr>
      <t xml:space="preserve"> || </t>
    </r>
    <r>
      <rPr>
        <sz val="11"/>
        <color rgb="FF006600"/>
        <rFont val="맑은 고딕"/>
        <family val="3"/>
        <charset val="129"/>
        <scheme val="minor"/>
      </rPr>
      <t>(~FBI)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color rgb="FF0000FF"/>
        <rFont val="맑은 고딕"/>
        <family val="3"/>
        <charset val="129"/>
        <scheme val="minor"/>
      </rPr>
      <t>)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&amp;&amp; </t>
    </r>
    <r>
      <rPr>
        <sz val="11"/>
        <color rgb="FF00B0F0"/>
        <rFont val="맑은 고딕"/>
        <family val="3"/>
        <charset val="129"/>
        <scheme val="minor"/>
      </rPr>
      <t>FBO_E</t>
    </r>
    <r>
      <rPr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 xml:space="preserve"> )</t>
    </r>
    <phoneticPr fontId="2" type="noConversion"/>
  </si>
  <si>
    <r>
      <t xml:space="preserve">SERIAL_LATENCY [6:0] </t>
    </r>
    <r>
      <rPr>
        <sz val="11"/>
        <color rgb="FFFF00FF"/>
        <rFont val="맑은 고딕"/>
        <family val="3"/>
        <charset val="129"/>
        <scheme val="minor"/>
      </rPr>
      <t>default= 120ea;  &gt; sclk_high + sclk_low</t>
    </r>
    <phoneticPr fontId="2" type="noConversion"/>
  </si>
  <si>
    <t>MCLK32_O1</t>
    <phoneticPr fontId="2" type="noConversion"/>
  </si>
  <si>
    <t>MCLK32_O2</t>
    <phoneticPr fontId="2" type="noConversion"/>
  </si>
  <si>
    <r>
      <t xml:space="preserve">TEST_EN=1 &amp;&amp;
① MCLK_O=1 : mclk/32 clk out to DDIO pin#15
② PWM_FULL_O=1 : </t>
    </r>
    <r>
      <rPr>
        <sz val="11"/>
        <rFont val="맑은 고딕"/>
        <family val="3"/>
        <charset val="129"/>
      </rPr>
      <t>PWM_OUT_CHx=1 (@CHx_EN=1)
        driving a high-active level to a analog part</t>
    </r>
    <r>
      <rPr>
        <sz val="11"/>
        <rFont val="맑은 고딕"/>
        <family val="3"/>
        <charset val="129"/>
        <scheme val="minor"/>
      </rPr>
      <t xml:space="preserve">
③ VREF_O=1 : MAX_CURR_VREF [11:0] reg
        always out regardless of a vsync
TEST_EN=1, </t>
    </r>
    <r>
      <rPr>
        <sz val="11"/>
        <color rgb="FFFF00FF"/>
        <rFont val="맑은 고딕"/>
        <family val="3"/>
        <charset val="129"/>
        <scheme val="minor"/>
      </rPr>
      <t>then stop OTP downloaing</t>
    </r>
    <r>
      <rPr>
        <sz val="11"/>
        <rFont val="맑은 고딕"/>
        <family val="3"/>
        <charset val="129"/>
        <scheme val="minor"/>
      </rPr>
      <t xml:space="preserve">
ADDR_EXT : 0x3F~0x3E (</t>
    </r>
    <r>
      <rPr>
        <u/>
        <sz val="11"/>
        <rFont val="맑은 고딕"/>
        <family val="3"/>
        <charset val="129"/>
        <scheme val="minor"/>
      </rPr>
      <t>common accessible</t>
    </r>
    <r>
      <rPr>
        <sz val="11"/>
        <rFont val="맑은 고딕"/>
        <family val="3"/>
        <charset val="129"/>
        <scheme val="minor"/>
      </rPr>
      <t>)
'0' general reg addr accessible
'1' otp address accesible</t>
    </r>
    <phoneticPr fontId="2" type="noConversion"/>
  </si>
  <si>
    <t>VSYNC</t>
    <phoneticPr fontId="2" type="noConversion"/>
  </si>
  <si>
    <t>OSC_FLL_MONITOR</t>
    <phoneticPr fontId="2" type="noConversion"/>
  </si>
  <si>
    <t>r/o</t>
    <phoneticPr fontId="2" type="noConversion"/>
  </si>
  <si>
    <t>0x2C</t>
    <phoneticPr fontId="2" type="noConversion"/>
  </si>
  <si>
    <t>OSC_FLL_FLT [6:0]</t>
    <phoneticPr fontId="2" type="noConversion"/>
  </si>
  <si>
    <t>monitor FLT [15:9] value of FLL control</t>
    <phoneticPr fontId="2" type="noConversion"/>
  </si>
  <si>
    <t>IO_MODE</t>
    <phoneticPr fontId="2" type="noConversion"/>
  </si>
  <si>
    <r>
      <t xml:space="preserve">LD_DIR : '0' Head Lighting, '1' Tail Lighting
PWM_RES : '0' 12-bit, '1' 14-bit
SCAN_NO : '0'=1, '1'=2, '2'=4, '3'=8, '4'=16, '5'=32
OVER_TO_E : pwmclk free-running, '0' not over, '1' over turn-on
CH_SIZE : the number of LD DATA to be received
</t>
    </r>
    <r>
      <rPr>
        <sz val="11"/>
        <color rgb="FFFF0000"/>
        <rFont val="맑은 고딕"/>
        <family val="3"/>
        <charset val="129"/>
        <scheme val="minor"/>
      </rPr>
      <t xml:space="preserve">IO_MODE : '00'=NOP (input), '01'=EXT_VSYNC (EXT_VSI/EXT_VSO),
               '10'=FBO (FBI/FBO), '11'= EXT_VYI/FBO </t>
    </r>
    <phoneticPr fontId="2" type="noConversion"/>
  </si>
  <si>
    <t>VSO</t>
    <phoneticPr fontId="2" type="noConversion"/>
  </si>
  <si>
    <t>VSI</t>
    <phoneticPr fontId="2" type="noConversion"/>
  </si>
  <si>
    <t>00</t>
    <phoneticPr fontId="2" type="noConversion"/>
  </si>
  <si>
    <t>01</t>
    <phoneticPr fontId="2" type="noConversion"/>
  </si>
  <si>
    <t>10</t>
    <phoneticPr fontId="2" type="noConversion"/>
  </si>
  <si>
    <t>11</t>
    <phoneticPr fontId="2" type="noConversion"/>
  </si>
  <si>
    <t>nop</t>
    <phoneticPr fontId="2" type="noConversion"/>
  </si>
  <si>
    <t>PAD input state</t>
    <phoneticPr fontId="2" type="noConversion"/>
  </si>
  <si>
    <t>remark</t>
    <phoneticPr fontId="2" type="noConversion"/>
  </si>
  <si>
    <t>used</t>
    <phoneticPr fontId="2" type="noConversion"/>
  </si>
  <si>
    <t>FBO_OEN</t>
    <phoneticPr fontId="2" type="noConversion"/>
  </si>
  <si>
    <t>FBO_VSO</t>
    <phoneticPr fontId="2" type="noConversion"/>
  </si>
  <si>
    <t>FBO_VSO_OEN</t>
    <phoneticPr fontId="2" type="noConversion"/>
  </si>
  <si>
    <t>=  FBI_VSI if IO_MODE==01,  0 if IO_MODE==10, else 0</t>
    <phoneticPr fontId="2" type="noConversion"/>
  </si>
  <si>
    <r>
      <t xml:space="preserve">=  ~ </t>
    </r>
    <r>
      <rPr>
        <b/>
        <sz val="18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1"/>
        <rFont val="맑은 고딕"/>
        <family val="3"/>
        <charset val="129"/>
        <scheme val="minor"/>
      </rPr>
      <t xml:space="preserve">( </t>
    </r>
    <r>
      <rPr>
        <b/>
        <u/>
        <sz val="11"/>
        <rFont val="맑은 고딕"/>
        <family val="3"/>
        <charset val="129"/>
        <scheme val="minor"/>
      </rPr>
      <t>FB_IN1 &amp; CH1_EN &amp; (~OPEN_FB_E || ~</t>
    </r>
    <r>
      <rPr>
        <b/>
        <u/>
        <sz val="11"/>
        <color rgb="FFFF00FF"/>
        <rFont val="맑은 고딕"/>
        <family val="3"/>
        <charset val="129"/>
        <scheme val="minor"/>
      </rPr>
      <t>I_OPEN1</t>
    </r>
    <r>
      <rPr>
        <b/>
        <u/>
        <sz val="11"/>
        <rFont val="맑은 고딕"/>
        <family val="3"/>
        <charset val="129"/>
        <scheme val="minor"/>
      </rPr>
      <t xml:space="preserve"> &amp; OPEN_FB_E)</t>
    </r>
    <r>
      <rPr>
        <b/>
        <sz val="11"/>
        <rFont val="맑은 고딕"/>
        <family val="3"/>
        <charset val="129"/>
        <scheme val="minor"/>
      </rPr>
      <t xml:space="preserve"> )</t>
    </r>
    <r>
      <rPr>
        <sz val="11"/>
        <rFont val="맑은 고딕"/>
        <family val="3"/>
        <charset val="129"/>
        <scheme val="minor"/>
      </rPr>
      <t xml:space="preserve">  ||  ...  ||  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( </t>
    </r>
    <r>
      <rPr>
        <b/>
        <u/>
        <sz val="11"/>
        <color theme="5" tint="-0.249977111117893"/>
        <rFont val="맑은 고딕"/>
        <family val="3"/>
        <charset val="129"/>
        <scheme val="minor"/>
      </rPr>
      <t xml:space="preserve">FB_IN12 &amp; CH12_EN &amp; (~OPEN_FB_E || </t>
    </r>
    <r>
      <rPr>
        <b/>
        <u/>
        <sz val="11"/>
        <color rgb="FFFF00FF"/>
        <rFont val="맑은 고딕"/>
        <family val="3"/>
        <charset val="129"/>
        <scheme val="minor"/>
      </rPr>
      <t>~I_OPEN12</t>
    </r>
    <r>
      <rPr>
        <b/>
        <u/>
        <sz val="11"/>
        <color theme="5" tint="-0.249977111117893"/>
        <rFont val="맑은 고딕"/>
        <family val="3"/>
        <charset val="129"/>
        <scheme val="minor"/>
      </rPr>
      <t xml:space="preserve"> &amp; OPEN_FB_E) </t>
    </r>
    <r>
      <rPr>
        <b/>
        <sz val="11"/>
        <color theme="5" tint="-0.249977111117893"/>
        <rFont val="맑은 고딕"/>
        <family val="3"/>
        <charset val="129"/>
        <scheme val="minor"/>
      </rPr>
      <t>)</t>
    </r>
    <r>
      <rPr>
        <b/>
        <u/>
        <sz val="11"/>
        <color theme="5" tint="-0.249977111117893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 ||  </t>
    </r>
    <r>
      <rPr>
        <b/>
        <sz val="11"/>
        <rFont val="맑은 고딕"/>
        <family val="3"/>
        <charset val="129"/>
        <scheme val="minor"/>
      </rPr>
      <t>(</t>
    </r>
    <r>
      <rPr>
        <b/>
        <u/>
        <sz val="11"/>
        <rFont val="맑은 고딕"/>
        <family val="3"/>
        <charset val="129"/>
        <scheme val="minor"/>
      </rPr>
      <t xml:space="preserve"> </t>
    </r>
    <r>
      <rPr>
        <b/>
        <u/>
        <sz val="11"/>
        <color rgb="FFFF00FF"/>
        <rFont val="맑은 고딕"/>
        <family val="3"/>
        <charset val="129"/>
        <scheme val="minor"/>
      </rPr>
      <t>~FBI_VSI &amp;&amp; IO_MODE==10</t>
    </r>
    <r>
      <rPr>
        <b/>
        <sz val="11"/>
        <color rgb="FF0000FF"/>
        <rFont val="맑은 고딕"/>
        <family val="3"/>
        <charset val="129"/>
        <scheme val="minor"/>
      </rPr>
      <t xml:space="preserve"> </t>
    </r>
    <r>
      <rPr>
        <b/>
        <sz val="11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 &amp;&amp; (</t>
    </r>
    <r>
      <rPr>
        <b/>
        <sz val="11"/>
        <color rgb="FFFF00FF"/>
        <rFont val="맑은 고딕"/>
        <family val="3"/>
        <charset val="129"/>
        <scheme val="minor"/>
      </rPr>
      <t>IO_MODE==10</t>
    </r>
    <r>
      <rPr>
        <sz val="11"/>
        <rFont val="맑은 고딕"/>
        <family val="3"/>
        <charset val="129"/>
        <scheme val="minor"/>
      </rPr>
      <t>)</t>
    </r>
    <r>
      <rPr>
        <b/>
        <sz val="14"/>
        <rFont val="맑은 고딕"/>
        <family val="3"/>
        <charset val="129"/>
        <scheme val="minor"/>
      </rPr>
      <t xml:space="preserve"> </t>
    </r>
    <r>
      <rPr>
        <b/>
        <sz val="18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 ||   </t>
    </r>
    <r>
      <rPr>
        <b/>
        <sz val="11"/>
        <rFont val="맑은 고딕"/>
        <family val="3"/>
        <charset val="129"/>
        <scheme val="minor"/>
      </rPr>
      <t>~</t>
    </r>
    <r>
      <rPr>
        <b/>
        <sz val="18"/>
        <rFont val="맑은 고딕"/>
        <family val="3"/>
        <charset val="129"/>
        <scheme val="minor"/>
      </rPr>
      <t>(</t>
    </r>
    <r>
      <rPr>
        <b/>
        <sz val="11"/>
        <rFont val="맑은 고딕"/>
        <family val="3"/>
        <charset val="129"/>
        <scheme val="minor"/>
      </rPr>
      <t>IO_MODE==01</t>
    </r>
    <r>
      <rPr>
        <b/>
        <sz val="18"/>
        <rFont val="맑은 고딕"/>
        <family val="3"/>
        <charset val="129"/>
        <scheme val="minor"/>
      </rPr>
      <t>)</t>
    </r>
    <r>
      <rPr>
        <sz val="11"/>
        <rFont val="맑은 고딕"/>
        <family val="3"/>
        <charset val="129"/>
        <scheme val="minor"/>
      </rPr>
      <t xml:space="preserve">   ||   </t>
    </r>
    <r>
      <rPr>
        <b/>
        <sz val="11"/>
        <rFont val="맑은 고딕"/>
        <family val="3"/>
        <charset val="129"/>
        <scheme val="minor"/>
      </rPr>
      <t>~</t>
    </r>
    <r>
      <rPr>
        <b/>
        <sz val="18"/>
        <rFont val="맑은 고딕"/>
        <family val="3"/>
        <charset val="129"/>
        <scheme val="minor"/>
      </rPr>
      <t>(</t>
    </r>
    <r>
      <rPr>
        <b/>
        <sz val="11"/>
        <rFont val="맑은 고딕"/>
        <family val="3"/>
        <charset val="129"/>
        <scheme val="minor"/>
      </rPr>
      <t>IO_MODE==11</t>
    </r>
    <r>
      <rPr>
        <b/>
        <sz val="18"/>
        <rFont val="맑은 고딕"/>
        <family val="3"/>
        <charset val="129"/>
        <scheme val="minor"/>
      </rPr>
      <t>)</t>
    </r>
    <phoneticPr fontId="2" type="noConversion"/>
  </si>
  <si>
    <t>ES0</t>
    <phoneticPr fontId="2" type="noConversion"/>
  </si>
  <si>
    <t>ES1</t>
    <phoneticPr fontId="2" type="noConversion"/>
  </si>
  <si>
    <t>VSO_OEN</t>
    <phoneticPr fontId="2" type="noConversion"/>
  </si>
  <si>
    <t>= VSI</t>
    <phoneticPr fontId="2" type="noConversion"/>
  </si>
  <si>
    <t>PAD input state; go to PD ( else go to PU )</t>
    <phoneticPr fontId="2" type="noConversion"/>
  </si>
  <si>
    <r>
      <t xml:space="preserve">=  ~ </t>
    </r>
    <r>
      <rPr>
        <b/>
        <sz val="18"/>
        <color theme="1"/>
        <rFont val="맑은 고딕"/>
        <family val="3"/>
        <charset val="129"/>
        <scheme val="minor"/>
      </rPr>
      <t>(</t>
    </r>
    <r>
      <rPr>
        <b/>
        <sz val="11"/>
        <color theme="1"/>
        <rFont val="맑은 고딕"/>
        <family val="3"/>
        <charset val="129"/>
        <scheme val="minor"/>
      </rPr>
      <t xml:space="preserve">  ( IO_MODE==01)  </t>
    </r>
    <r>
      <rPr>
        <b/>
        <sz val="18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</si>
  <si>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=  </t>
    </r>
    <r>
      <rPr>
        <b/>
        <sz val="11"/>
        <rFont val="맑은 고딕"/>
        <family val="3"/>
        <charset val="129"/>
        <scheme val="minor"/>
      </rPr>
      <t xml:space="preserve">~ </t>
    </r>
    <r>
      <rPr>
        <b/>
        <sz val="18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sz val="11"/>
        <rFont val="맑은 고딕"/>
        <family val="3"/>
        <charset val="129"/>
        <scheme val="minor"/>
      </rPr>
      <t xml:space="preserve">  </t>
    </r>
    <r>
      <rPr>
        <b/>
        <sz val="11"/>
        <color rgb="FF0000FF"/>
        <rFont val="맑은 고딕"/>
        <family val="3"/>
        <charset val="129"/>
        <scheme val="minor"/>
      </rPr>
      <t xml:space="preserve">( </t>
    </r>
    <r>
      <rPr>
        <b/>
        <u/>
        <sz val="11"/>
        <color rgb="FF0000FF"/>
        <rFont val="맑은 고딕"/>
        <family val="3"/>
        <charset val="129"/>
        <scheme val="minor"/>
      </rPr>
      <t>FB_IN1 &amp; CH1_EN &amp; (~OPEN_FB_E || ~I_OPEN1 &amp; OPEN_FB_E)</t>
    </r>
    <r>
      <rPr>
        <b/>
        <sz val="11"/>
        <color rgb="FF0000FF"/>
        <rFont val="맑은 고딕"/>
        <family val="3"/>
        <charset val="129"/>
        <scheme val="minor"/>
      </rPr>
      <t xml:space="preserve"> )</t>
    </r>
    <r>
      <rPr>
        <sz val="11"/>
        <rFont val="맑은 고딕"/>
        <family val="3"/>
        <charset val="129"/>
        <scheme val="minor"/>
      </rPr>
      <t xml:space="preserve">  ||  ...  ||  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( </t>
    </r>
    <r>
      <rPr>
        <b/>
        <u/>
        <sz val="11"/>
        <color theme="5" tint="-0.249977111117893"/>
        <rFont val="맑은 고딕"/>
        <family val="3"/>
        <charset val="129"/>
        <scheme val="minor"/>
      </rPr>
      <t>FB_IN12 &amp; CH12_EN &amp; (~OPEN_FB_E || ~I_OPEN12 &amp; OPEN_FB_E</t>
    </r>
    <r>
      <rPr>
        <b/>
        <sz val="11"/>
        <color theme="5" tint="-0.249977111117893"/>
        <rFont val="맑은 고딕"/>
        <family val="3"/>
        <charset val="129"/>
        <scheme val="minor"/>
      </rPr>
      <t xml:space="preserve">) ) </t>
    </r>
    <r>
      <rPr>
        <sz val="11"/>
        <rFont val="맑은 고딕"/>
        <family val="3"/>
        <charset val="129"/>
        <scheme val="minor"/>
      </rPr>
      <t xml:space="preserve"> ||  </t>
    </r>
    <r>
      <rPr>
        <b/>
        <sz val="11"/>
        <color rgb="FFFF00FF"/>
        <rFont val="맑은 고딕"/>
        <family val="3"/>
        <charset val="129"/>
        <scheme val="minor"/>
      </rPr>
      <t xml:space="preserve">( </t>
    </r>
    <r>
      <rPr>
        <b/>
        <u/>
        <sz val="11"/>
        <color rgb="FFFF00FF"/>
        <rFont val="맑은 고딕"/>
        <family val="3"/>
        <charset val="129"/>
        <scheme val="minor"/>
      </rPr>
      <t xml:space="preserve">~FBI_VSO &amp;&amp; IO_MODE==10 </t>
    </r>
    <r>
      <rPr>
        <b/>
        <sz val="11"/>
        <color rgb="FFFF00FF"/>
        <rFont val="맑은 고딕"/>
        <family val="3"/>
        <charset val="129"/>
        <scheme val="minor"/>
      </rPr>
      <t xml:space="preserve">)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b/>
        <sz val="11"/>
        <color rgb="FFFF00FF"/>
        <rFont val="맑은 고딕"/>
        <family val="3"/>
        <charset val="129"/>
        <scheme val="minor"/>
      </rPr>
      <t xml:space="preserve">  </t>
    </r>
    <r>
      <rPr>
        <b/>
        <sz val="11"/>
        <rFont val="맑은 고딕"/>
        <family val="3"/>
        <charset val="129"/>
        <scheme val="minor"/>
      </rPr>
      <t>&amp;&amp;</t>
    </r>
    <r>
      <rPr>
        <b/>
        <sz val="11"/>
        <color rgb="FFFF00FF"/>
        <rFont val="맑은 고딕"/>
        <family val="3"/>
        <charset val="129"/>
        <scheme val="minor"/>
      </rPr>
      <t xml:space="preserve">  </t>
    </r>
    <r>
      <rPr>
        <b/>
        <sz val="16"/>
        <color rgb="FFFF0000"/>
        <rFont val="맑은 고딕"/>
        <family val="3"/>
        <charset val="129"/>
        <scheme val="minor"/>
      </rPr>
      <t>(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b/>
        <sz val="11"/>
        <rFont val="맑은 고딕"/>
        <family val="3"/>
        <charset val="129"/>
        <scheme val="minor"/>
      </rPr>
      <t>IO_MODE==10  ||   IO_MODE==11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b/>
        <sz val="16"/>
        <color rgb="FFFF0000"/>
        <rFont val="맑은 고딕"/>
        <family val="3"/>
        <charset val="129"/>
        <scheme val="minor"/>
      </rPr>
      <t>)</t>
    </r>
    <r>
      <rPr>
        <b/>
        <sz val="11"/>
        <color rgb="FFFF00FF"/>
        <rFont val="맑은 고딕"/>
        <family val="3"/>
        <charset val="129"/>
        <scheme val="minor"/>
      </rPr>
      <t xml:space="preserve"> </t>
    </r>
    <r>
      <rPr>
        <sz val="11"/>
        <rFont val="맑은 고딕"/>
        <family val="3"/>
        <charset val="129"/>
        <scheme val="minor"/>
      </rPr>
      <t xml:space="preserve"> </t>
    </r>
    <r>
      <rPr>
        <b/>
        <sz val="18"/>
        <rFont val="맑은 고딕"/>
        <family val="3"/>
        <charset val="129"/>
        <scheme val="minor"/>
      </rPr>
      <t xml:space="preserve">)  </t>
    </r>
    <phoneticPr fontId="2" type="noConversion"/>
  </si>
  <si>
    <t>1안</t>
    <phoneticPr fontId="2" type="noConversion"/>
  </si>
  <si>
    <t>2안</t>
    <phoneticPr fontId="2" type="noConversion"/>
  </si>
  <si>
    <t>0x84F</t>
    <phoneticPr fontId="2" type="noConversion"/>
  </si>
  <si>
    <t>XD 에서 Serial latency 와 1-bit length</t>
    <phoneticPr fontId="2" type="noConversion"/>
  </si>
  <si>
    <t>serial clock
(MHz)</t>
    <phoneticPr fontId="2" type="noConversion"/>
  </si>
  <si>
    <t>1-bit length
(ns)</t>
    <phoneticPr fontId="2" type="noConversion"/>
  </si>
  <si>
    <t>ideal 1-bit count
(1bit length/25ns)</t>
    <phoneticPr fontId="2" type="noConversion"/>
  </si>
  <si>
    <t>Delay for
next command
(ns)</t>
    <phoneticPr fontId="2" type="noConversion"/>
  </si>
  <si>
    <t>On async. received,
1-bit count
(ea)</t>
    <phoneticPr fontId="2" type="noConversion"/>
  </si>
  <si>
    <t>Minimum
Serial Latency
setting value (ea)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</si>
</sst>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#,##0_ "/>
    <numFmt numFmtId="177" formatCode="0.000000000000000_ "/>
    <numFmt numFmtId="178" formatCode="0.000%"/>
    <numFmt numFmtId="179" formatCode="#,##0.000_ ;[Red]\-#,##0.000\ "/>
    <numFmt numFmtId="180" formatCode="#,##0_ ;[Red]\-#,##0\ "/>
    <numFmt numFmtId="181" formatCode="#,##0.000000_ ;[Red]\-#,##0.000000\ "/>
    <numFmt numFmtId="182" formatCode="#,##0.0_ ;[Red]\-#,##0.0\ "/>
    <numFmt numFmtId="183" formatCode="0000"/>
    <numFmt numFmtId="184" formatCode="0_);[Red]\(0\)"/>
    <numFmt numFmtId="185" formatCode="0.00_);[Red]\(0.00\)"/>
    <numFmt numFmtId="186" formatCode="0.0%"/>
    <numFmt numFmtId="187" formatCode="0.000_ ;[Red]\-0.000\ "/>
    <numFmt numFmtId="188" formatCode="0.0_ ;[Red]\-0.0\ "/>
    <numFmt numFmtId="189" formatCode="#,##0.00000_ ;[Red]\-#,##0.00000\ "/>
  </numFmts>
  <fonts count="55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b/>
      <sz val="11"/>
      <color theme="1"/>
      <name val="Arial"/>
      <family val="2"/>
    </font>
    <font>
      <vertAlign val="subscript"/>
      <sz val="11"/>
      <color theme="1"/>
      <name val="맑은 고딕"/>
      <family val="3"/>
      <charset val="129"/>
      <scheme val="minor"/>
    </font>
    <font>
      <sz val="11"/>
      <color theme="0" tint="-0.499984740745262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1"/>
      <name val="맑은 고딕"/>
      <family val="3"/>
      <charset val="129"/>
    </font>
    <font>
      <u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1"/>
      <color rgb="FFFF00FF"/>
      <name val="맑은 고딕"/>
      <family val="3"/>
      <charset val="129"/>
      <scheme val="minor"/>
    </font>
    <font>
      <sz val="11"/>
      <color rgb="FF00B0F0"/>
      <name val="맑은 고딕"/>
      <family val="3"/>
      <charset val="129"/>
      <scheme val="minor"/>
    </font>
    <font>
      <sz val="11"/>
      <color rgb="FF006600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i/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vertAlign val="subscript"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9"/>
      <color rgb="FFFF0000"/>
      <name val="맑은 고딕"/>
      <family val="2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8" tint="0.59999389629810485"/>
      <name val="맑은 고딕"/>
      <family val="2"/>
      <charset val="129"/>
      <scheme val="minor"/>
    </font>
    <font>
      <strike/>
      <sz val="11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</font>
    <font>
      <sz val="11"/>
      <color rgb="FF0000FF"/>
      <name val="맑은 고딕"/>
      <family val="2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sz val="10"/>
      <color theme="0" tint="-0.249977111117893"/>
      <name val="맑은 고딕"/>
      <family val="3"/>
      <charset val="129"/>
      <scheme val="minor"/>
    </font>
    <font>
      <b/>
      <sz val="11"/>
      <color theme="5" tint="-0.249977111117893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u/>
      <sz val="11"/>
      <name val="맑은 고딕"/>
      <family val="3"/>
      <charset val="129"/>
      <scheme val="minor"/>
    </font>
    <font>
      <b/>
      <u/>
      <sz val="11"/>
      <color theme="5" tint="-0.249977111117893"/>
      <name val="맑은 고딕"/>
      <family val="3"/>
      <charset val="129"/>
      <scheme val="minor"/>
    </font>
    <font>
      <b/>
      <u/>
      <sz val="11"/>
      <color rgb="FF0000FF"/>
      <name val="맑은 고딕"/>
      <family val="3"/>
      <charset val="129"/>
      <scheme val="minor"/>
    </font>
    <font>
      <b/>
      <sz val="11"/>
      <color rgb="FFFF00FF"/>
      <name val="맑은 고딕"/>
      <family val="3"/>
      <charset val="129"/>
      <scheme val="minor"/>
    </font>
    <font>
      <b/>
      <u/>
      <sz val="11"/>
      <color rgb="FFFF00F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F0FAFE"/>
        <bgColor indexed="64"/>
      </patternFill>
    </fill>
    <fill>
      <patternFill patternType="solid">
        <fgColor rgb="FFE3F9E6"/>
        <bgColor indexed="64"/>
      </patternFill>
    </fill>
    <fill>
      <patternFill patternType="solid">
        <fgColor rgb="FFEAFAE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</fills>
  <borders count="83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dotted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tted">
        <color auto="1"/>
      </left>
      <right/>
      <top style="medium">
        <color auto="1"/>
      </top>
      <bottom/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dotted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dotted">
        <color auto="1"/>
      </left>
      <right style="thick">
        <color auto="1"/>
      </right>
      <top/>
      <bottom/>
      <diagonal/>
    </border>
    <border>
      <left style="dotted">
        <color auto="1"/>
      </left>
      <right/>
      <top/>
      <bottom style="thick">
        <color auto="1"/>
      </bottom>
      <diagonal/>
    </border>
    <border>
      <left/>
      <right style="dotted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dotted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02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0" fillId="2" borderId="0" xfId="0" applyFill="1">
      <alignment vertical="center"/>
    </xf>
    <xf numFmtId="11" fontId="0" fillId="0" borderId="0" xfId="0" quotePrefix="1" applyNumberFormat="1" applyAlignment="1">
      <alignment horizontal="right" vertical="center"/>
    </xf>
    <xf numFmtId="178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11" fontId="0" fillId="5" borderId="0" xfId="0" quotePrefix="1" applyNumberFormat="1" applyFill="1" applyAlignment="1">
      <alignment horizontal="right" vertical="center"/>
    </xf>
    <xf numFmtId="0" fontId="0" fillId="5" borderId="0" xfId="0" applyFill="1">
      <alignment vertical="center"/>
    </xf>
    <xf numFmtId="178" fontId="0" fillId="5" borderId="0" xfId="0" applyNumberFormat="1" applyFill="1">
      <alignment vertical="center"/>
    </xf>
    <xf numFmtId="11" fontId="0" fillId="6" borderId="0" xfId="0" quotePrefix="1" applyNumberFormat="1" applyFill="1" applyAlignment="1">
      <alignment horizontal="right" vertical="center"/>
    </xf>
    <xf numFmtId="0" fontId="0" fillId="6" borderId="0" xfId="0" applyFill="1">
      <alignment vertical="center"/>
    </xf>
    <xf numFmtId="178" fontId="0" fillId="6" borderId="0" xfId="0" applyNumberFormat="1" applyFill="1">
      <alignment vertical="center"/>
    </xf>
    <xf numFmtId="11" fontId="0" fillId="7" borderId="0" xfId="0" quotePrefix="1" applyNumberFormat="1" applyFill="1" applyAlignment="1">
      <alignment horizontal="right" vertical="center"/>
    </xf>
    <xf numFmtId="0" fontId="0" fillId="7" borderId="0" xfId="0" applyFill="1">
      <alignment vertical="center"/>
    </xf>
    <xf numFmtId="178" fontId="0" fillId="7" borderId="0" xfId="0" applyNumberFormat="1" applyFill="1">
      <alignment vertical="center"/>
    </xf>
    <xf numFmtId="11" fontId="0" fillId="8" borderId="0" xfId="0" quotePrefix="1" applyNumberFormat="1" applyFill="1" applyAlignment="1">
      <alignment horizontal="right" vertical="center"/>
    </xf>
    <xf numFmtId="0" fontId="0" fillId="8" borderId="0" xfId="0" applyFill="1">
      <alignment vertical="center"/>
    </xf>
    <xf numFmtId="178" fontId="0" fillId="8" borderId="0" xfId="0" applyNumberFormat="1" applyFill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5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9" borderId="16" xfId="0" applyFill="1" applyBorder="1">
      <alignment vertical="center"/>
    </xf>
    <xf numFmtId="0" fontId="0" fillId="9" borderId="17" xfId="0" applyFill="1" applyBorder="1">
      <alignment vertical="center"/>
    </xf>
    <xf numFmtId="0" fontId="0" fillId="0" borderId="18" xfId="0" applyBorder="1">
      <alignment vertical="center"/>
    </xf>
    <xf numFmtId="0" fontId="0" fillId="10" borderId="16" xfId="0" applyFill="1" applyBorder="1">
      <alignment vertical="center"/>
    </xf>
    <xf numFmtId="0" fontId="0" fillId="10" borderId="17" xfId="0" applyFill="1" applyBorder="1">
      <alignment vertical="center"/>
    </xf>
    <xf numFmtId="0" fontId="0" fillId="11" borderId="16" xfId="0" applyFill="1" applyBorder="1">
      <alignment vertical="center"/>
    </xf>
    <xf numFmtId="0" fontId="0" fillId="11" borderId="17" xfId="0" applyFill="1" applyBorder="1">
      <alignment vertical="center"/>
    </xf>
    <xf numFmtId="0" fontId="0" fillId="0" borderId="19" xfId="0" applyBorder="1">
      <alignment vertical="center"/>
    </xf>
    <xf numFmtId="0" fontId="0" fillId="0" borderId="13" xfId="0" applyBorder="1" applyAlignment="1">
      <alignment horizontal="left" vertical="center"/>
    </xf>
    <xf numFmtId="0" fontId="0" fillId="0" borderId="10" xfId="0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0" fontId="0" fillId="12" borderId="15" xfId="0" applyFill="1" applyBorder="1" applyAlignment="1">
      <alignment horizontal="right" vertical="center"/>
    </xf>
    <xf numFmtId="0" fontId="0" fillId="12" borderId="16" xfId="0" applyFill="1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12" borderId="17" xfId="0" applyFill="1" applyBorder="1" applyAlignment="1">
      <alignment horizontal="right" vertical="center"/>
    </xf>
    <xf numFmtId="0" fontId="0" fillId="11" borderId="15" xfId="0" applyFill="1" applyBorder="1" applyAlignment="1">
      <alignment horizontal="right" vertical="center"/>
    </xf>
    <xf numFmtId="0" fontId="0" fillId="11" borderId="16" xfId="0" applyFill="1" applyBorder="1" applyAlignment="1">
      <alignment horizontal="right" vertical="center"/>
    </xf>
    <xf numFmtId="0" fontId="0" fillId="12" borderId="16" xfId="0" applyFill="1" applyBorder="1" applyAlignment="1">
      <alignment horizontal="left" vertical="center"/>
    </xf>
    <xf numFmtId="0" fontId="0" fillId="0" borderId="25" xfId="0" applyBorder="1" applyAlignment="1">
      <alignment horizontal="right" vertical="center"/>
    </xf>
    <xf numFmtId="0" fontId="4" fillId="12" borderId="16" xfId="0" applyFont="1" applyFill="1" applyBorder="1" applyAlignment="1">
      <alignment horizontal="left" vertical="center"/>
    </xf>
    <xf numFmtId="0" fontId="0" fillId="11" borderId="16" xfId="0" applyFill="1" applyBorder="1" applyAlignment="1">
      <alignment horizontal="left" vertical="center"/>
    </xf>
    <xf numFmtId="0" fontId="4" fillId="11" borderId="16" xfId="0" applyFont="1" applyFill="1" applyBorder="1" applyAlignment="1">
      <alignment horizontal="left" vertical="center"/>
    </xf>
    <xf numFmtId="0" fontId="0" fillId="0" borderId="27" xfId="0" applyBorder="1" applyAlignment="1">
      <alignment horizontal="right" vertical="center"/>
    </xf>
    <xf numFmtId="0" fontId="0" fillId="12" borderId="27" xfId="0" applyFill="1" applyBorder="1" applyAlignment="1">
      <alignment horizontal="right" vertical="center"/>
    </xf>
    <xf numFmtId="0" fontId="0" fillId="11" borderId="27" xfId="0" applyFill="1" applyBorder="1" applyAlignment="1">
      <alignment horizontal="right" vertical="center"/>
    </xf>
    <xf numFmtId="0" fontId="0" fillId="0" borderId="12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12" borderId="15" xfId="0" applyFill="1" applyBorder="1" applyAlignment="1">
      <alignment horizontal="left" vertical="center"/>
    </xf>
    <xf numFmtId="0" fontId="0" fillId="12" borderId="30" xfId="0" applyFill="1" applyBorder="1" applyAlignment="1">
      <alignment horizontal="righ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30" xfId="0" applyBorder="1" applyAlignment="1">
      <alignment horizontal="right" vertical="center"/>
    </xf>
    <xf numFmtId="0" fontId="0" fillId="2" borderId="3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3" borderId="0" xfId="0" applyFill="1">
      <alignment vertical="center"/>
    </xf>
    <xf numFmtId="0" fontId="8" fillId="2" borderId="0" xfId="0" applyFont="1" applyFill="1">
      <alignment vertical="center"/>
    </xf>
    <xf numFmtId="181" fontId="0" fillId="0" borderId="0" xfId="0" applyNumberFormat="1">
      <alignment vertical="center"/>
    </xf>
    <xf numFmtId="182" fontId="0" fillId="0" borderId="0" xfId="0" applyNumberFormat="1">
      <alignment vertical="center"/>
    </xf>
    <xf numFmtId="183" fontId="0" fillId="0" borderId="0" xfId="0" applyNumberFormat="1">
      <alignment vertical="center"/>
    </xf>
    <xf numFmtId="183" fontId="0" fillId="0" borderId="0" xfId="0" applyNumberFormat="1" applyAlignment="1">
      <alignment horizontal="right" vertical="center"/>
    </xf>
    <xf numFmtId="0" fontId="0" fillId="13" borderId="0" xfId="0" applyFill="1">
      <alignment vertical="center"/>
    </xf>
    <xf numFmtId="180" fontId="0" fillId="0" borderId="0" xfId="0" applyNumberFormat="1" applyAlignment="1">
      <alignment horizontal="left" vertical="center"/>
    </xf>
    <xf numFmtId="10" fontId="0" fillId="0" borderId="0" xfId="0" applyNumberFormat="1" applyAlignment="1">
      <alignment horizontal="left" vertical="center"/>
    </xf>
    <xf numFmtId="179" fontId="8" fillId="0" borderId="0" xfId="0" applyNumberFormat="1" applyFont="1">
      <alignment vertical="center"/>
    </xf>
    <xf numFmtId="0" fontId="8" fillId="0" borderId="0" xfId="0" applyFont="1">
      <alignment vertical="center"/>
    </xf>
    <xf numFmtId="181" fontId="8" fillId="0" borderId="0" xfId="0" applyNumberFormat="1" applyFont="1">
      <alignment vertical="center"/>
    </xf>
    <xf numFmtId="0" fontId="8" fillId="6" borderId="0" xfId="0" applyFont="1" applyFill="1">
      <alignment vertical="center"/>
    </xf>
    <xf numFmtId="0" fontId="8" fillId="3" borderId="0" xfId="0" applyFont="1" applyFill="1">
      <alignment vertical="center"/>
    </xf>
    <xf numFmtId="180" fontId="8" fillId="0" borderId="0" xfId="0" applyNumberFormat="1" applyFont="1">
      <alignment vertical="center"/>
    </xf>
    <xf numFmtId="0" fontId="8" fillId="0" borderId="0" xfId="0" applyFont="1" applyAlignment="1">
      <alignment horizontal="right" vertical="center"/>
    </xf>
    <xf numFmtId="182" fontId="8" fillId="0" borderId="0" xfId="0" applyNumberFormat="1" applyFont="1">
      <alignment vertical="center"/>
    </xf>
    <xf numFmtId="0" fontId="13" fillId="0" borderId="0" xfId="0" applyFont="1">
      <alignment vertical="center"/>
    </xf>
    <xf numFmtId="0" fontId="13" fillId="2" borderId="0" xfId="0" applyFont="1" applyFill="1" applyAlignment="1">
      <alignment horizontal="right" vertical="center"/>
    </xf>
    <xf numFmtId="0" fontId="12" fillId="2" borderId="0" xfId="0" applyFont="1" applyFill="1">
      <alignment vertical="center"/>
    </xf>
    <xf numFmtId="0" fontId="12" fillId="0" borderId="0" xfId="0" applyFont="1" applyAlignment="1">
      <alignment horizontal="left" vertical="center"/>
    </xf>
    <xf numFmtId="179" fontId="12" fillId="0" borderId="0" xfId="0" applyNumberFormat="1" applyFont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6" borderId="0" xfId="0" applyFont="1" applyFill="1">
      <alignment vertical="center"/>
    </xf>
    <xf numFmtId="10" fontId="12" fillId="0" borderId="0" xfId="0" applyNumberFormat="1" applyFont="1" applyAlignment="1">
      <alignment horizontal="left" vertical="center"/>
    </xf>
    <xf numFmtId="0" fontId="12" fillId="3" borderId="0" xfId="0" applyFont="1" applyFill="1">
      <alignment vertical="center"/>
    </xf>
    <xf numFmtId="180" fontId="12" fillId="2" borderId="0" xfId="0" applyNumberFormat="1" applyFont="1" applyFill="1" applyAlignment="1">
      <alignment horizontal="right" vertical="center"/>
    </xf>
    <xf numFmtId="0" fontId="12" fillId="0" borderId="0" xfId="0" applyFont="1" applyAlignment="1">
      <alignment horizontal="right" vertical="center"/>
    </xf>
    <xf numFmtId="179" fontId="14" fillId="0" borderId="0" xfId="0" applyNumberFormat="1" applyFont="1">
      <alignment vertical="center"/>
    </xf>
    <xf numFmtId="0" fontId="14" fillId="0" borderId="0" xfId="0" applyFont="1">
      <alignment vertical="center"/>
    </xf>
    <xf numFmtId="181" fontId="14" fillId="0" borderId="0" xfId="0" applyNumberFormat="1" applyFont="1">
      <alignment vertical="center"/>
    </xf>
    <xf numFmtId="0" fontId="14" fillId="6" borderId="0" xfId="0" applyFont="1" applyFill="1">
      <alignment vertical="center"/>
    </xf>
    <xf numFmtId="0" fontId="14" fillId="3" borderId="0" xfId="0" applyFont="1" applyFill="1">
      <alignment vertical="center"/>
    </xf>
    <xf numFmtId="180" fontId="14" fillId="0" borderId="0" xfId="0" applyNumberFormat="1" applyFont="1">
      <alignment vertical="center"/>
    </xf>
    <xf numFmtId="0" fontId="14" fillId="0" borderId="0" xfId="0" applyFont="1" applyAlignment="1">
      <alignment horizontal="right" vertical="center"/>
    </xf>
    <xf numFmtId="182" fontId="14" fillId="0" borderId="0" xfId="0" applyNumberFormat="1" applyFont="1">
      <alignment vertical="center"/>
    </xf>
    <xf numFmtId="0" fontId="0" fillId="6" borderId="0" xfId="0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180" fontId="12" fillId="0" borderId="0" xfId="0" applyNumberFormat="1" applyFont="1" applyAlignment="1">
      <alignment horizontal="right" vertical="center"/>
    </xf>
    <xf numFmtId="179" fontId="12" fillId="0" borderId="0" xfId="0" applyNumberFormat="1" applyFont="1" applyAlignment="1">
      <alignment horizontal="right" vertical="center"/>
    </xf>
    <xf numFmtId="176" fontId="12" fillId="2" borderId="0" xfId="0" applyNumberFormat="1" applyFont="1" applyFill="1" applyAlignment="1">
      <alignment horizontal="right" vertical="center"/>
    </xf>
    <xf numFmtId="177" fontId="12" fillId="2" borderId="0" xfId="0" applyNumberFormat="1" applyFont="1" applyFill="1" applyAlignment="1">
      <alignment horizontal="right" vertical="center"/>
    </xf>
    <xf numFmtId="176" fontId="0" fillId="2" borderId="0" xfId="0" applyNumberFormat="1" applyFill="1" applyAlignment="1">
      <alignment horizontal="right" vertical="center"/>
    </xf>
    <xf numFmtId="177" fontId="0" fillId="2" borderId="0" xfId="0" applyNumberFormat="1" applyFill="1" applyAlignment="1">
      <alignment horizontal="right" vertical="center"/>
    </xf>
    <xf numFmtId="0" fontId="12" fillId="6" borderId="0" xfId="0" applyFont="1" applyFill="1" applyAlignment="1">
      <alignment horizontal="right" vertical="center"/>
    </xf>
    <xf numFmtId="0" fontId="13" fillId="6" borderId="0" xfId="0" applyFont="1" applyFill="1" applyAlignment="1">
      <alignment horizontal="right" vertical="center"/>
    </xf>
    <xf numFmtId="0" fontId="8" fillId="6" borderId="0" xfId="0" applyFont="1" applyFill="1" applyAlignment="1">
      <alignment horizontal="right" vertical="center"/>
    </xf>
    <xf numFmtId="0" fontId="14" fillId="2" borderId="0" xfId="0" applyFont="1" applyFill="1">
      <alignment vertical="center"/>
    </xf>
    <xf numFmtId="0" fontId="14" fillId="2" borderId="0" xfId="0" applyFont="1" applyFill="1" applyAlignment="1">
      <alignment horizontal="right" vertical="center"/>
    </xf>
    <xf numFmtId="182" fontId="12" fillId="0" borderId="0" xfId="0" applyNumberFormat="1" applyFont="1" applyAlignment="1">
      <alignment horizontal="right" vertical="center"/>
    </xf>
    <xf numFmtId="182" fontId="14" fillId="0" borderId="0" xfId="0" applyNumberFormat="1" applyFont="1" applyAlignment="1">
      <alignment horizontal="right" vertical="center"/>
    </xf>
    <xf numFmtId="0" fontId="14" fillId="6" borderId="0" xfId="0" applyFont="1" applyFill="1" applyAlignment="1">
      <alignment horizontal="right" vertical="center"/>
    </xf>
    <xf numFmtId="179" fontId="14" fillId="0" borderId="0" xfId="0" applyNumberFormat="1" applyFont="1" applyAlignment="1">
      <alignment horizontal="right" vertical="center"/>
    </xf>
    <xf numFmtId="179" fontId="12" fillId="3" borderId="0" xfId="0" applyNumberFormat="1" applyFont="1" applyFill="1" applyAlignment="1">
      <alignment horizontal="right" vertical="center"/>
    </xf>
    <xf numFmtId="179" fontId="14" fillId="3" borderId="0" xfId="0" applyNumberFormat="1" applyFont="1" applyFill="1" applyAlignment="1">
      <alignment horizontal="right" vertical="center"/>
    </xf>
    <xf numFmtId="180" fontId="14" fillId="0" borderId="0" xfId="0" applyNumberFormat="1" applyFont="1" applyAlignment="1">
      <alignment horizontal="right" vertical="center"/>
    </xf>
    <xf numFmtId="0" fontId="3" fillId="6" borderId="0" xfId="0" applyFont="1" applyFill="1" applyAlignment="1">
      <alignment horizontal="right" vertical="center"/>
    </xf>
    <xf numFmtId="180" fontId="12" fillId="0" borderId="0" xfId="0" applyNumberFormat="1" applyFont="1">
      <alignment vertical="center"/>
    </xf>
    <xf numFmtId="182" fontId="12" fillId="0" borderId="0" xfId="0" applyNumberFormat="1" applyFont="1">
      <alignment vertical="center"/>
    </xf>
    <xf numFmtId="0" fontId="12" fillId="2" borderId="31" xfId="0" applyFont="1" applyFill="1" applyBorder="1">
      <alignment vertical="center"/>
    </xf>
    <xf numFmtId="0" fontId="12" fillId="2" borderId="25" xfId="0" applyFont="1" applyFill="1" applyBorder="1">
      <alignment vertical="center"/>
    </xf>
    <xf numFmtId="0" fontId="12" fillId="2" borderId="33" xfId="0" applyFont="1" applyFill="1" applyBorder="1">
      <alignment vertical="center"/>
    </xf>
    <xf numFmtId="179" fontId="12" fillId="0" borderId="34" xfId="0" applyNumberFormat="1" applyFont="1" applyBorder="1">
      <alignment vertical="center"/>
    </xf>
    <xf numFmtId="179" fontId="12" fillId="0" borderId="29" xfId="0" applyNumberFormat="1" applyFont="1" applyBorder="1">
      <alignment vertical="center"/>
    </xf>
    <xf numFmtId="0" fontId="12" fillId="6" borderId="34" xfId="0" applyFont="1" applyFill="1" applyBorder="1" applyAlignment="1">
      <alignment horizontal="right" vertical="center"/>
    </xf>
    <xf numFmtId="0" fontId="12" fillId="6" borderId="29" xfId="0" applyFont="1" applyFill="1" applyBorder="1">
      <alignment vertical="center"/>
    </xf>
    <xf numFmtId="0" fontId="12" fillId="0" borderId="34" xfId="0" applyFont="1" applyBorder="1">
      <alignment vertical="center"/>
    </xf>
    <xf numFmtId="0" fontId="12" fillId="0" borderId="29" xfId="0" applyFont="1" applyBorder="1">
      <alignment vertical="center"/>
    </xf>
    <xf numFmtId="181" fontId="12" fillId="0" borderId="34" xfId="0" applyNumberFormat="1" applyFont="1" applyBorder="1">
      <alignment vertical="center"/>
    </xf>
    <xf numFmtId="181" fontId="12" fillId="0" borderId="29" xfId="0" applyNumberFormat="1" applyFont="1" applyBorder="1">
      <alignment vertical="center"/>
    </xf>
    <xf numFmtId="0" fontId="12" fillId="6" borderId="34" xfId="0" applyFont="1" applyFill="1" applyBorder="1">
      <alignment vertical="center"/>
    </xf>
    <xf numFmtId="0" fontId="12" fillId="3" borderId="34" xfId="0" applyFont="1" applyFill="1" applyBorder="1">
      <alignment vertical="center"/>
    </xf>
    <xf numFmtId="0" fontId="12" fillId="3" borderId="29" xfId="0" applyFont="1" applyFill="1" applyBorder="1">
      <alignment vertical="center"/>
    </xf>
    <xf numFmtId="180" fontId="12" fillId="0" borderId="34" xfId="0" applyNumberFormat="1" applyFont="1" applyBorder="1">
      <alignment vertical="center"/>
    </xf>
    <xf numFmtId="180" fontId="0" fillId="0" borderId="29" xfId="0" applyNumberFormat="1" applyBorder="1">
      <alignment vertical="center"/>
    </xf>
    <xf numFmtId="0" fontId="12" fillId="0" borderId="34" xfId="0" applyFont="1" applyBorder="1" applyAlignment="1">
      <alignment horizontal="right" vertical="center"/>
    </xf>
    <xf numFmtId="0" fontId="12" fillId="0" borderId="29" xfId="0" applyFont="1" applyBorder="1" applyAlignment="1">
      <alignment horizontal="right" vertical="center"/>
    </xf>
    <xf numFmtId="182" fontId="12" fillId="0" borderId="34" xfId="0" applyNumberFormat="1" applyFont="1" applyBorder="1">
      <alignment vertical="center"/>
    </xf>
    <xf numFmtId="182" fontId="12" fillId="0" borderId="29" xfId="0" applyNumberFormat="1" applyFont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0" borderId="24" xfId="0" applyBorder="1">
      <alignment vertical="center"/>
    </xf>
    <xf numFmtId="180" fontId="0" fillId="0" borderId="34" xfId="0" applyNumberFormat="1" applyBorder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vertical="top"/>
    </xf>
    <xf numFmtId="0" fontId="12" fillId="14" borderId="0" xfId="0" applyFont="1" applyFill="1">
      <alignment vertical="center"/>
    </xf>
    <xf numFmtId="0" fontId="12" fillId="14" borderId="0" xfId="0" applyFont="1" applyFill="1" applyAlignment="1">
      <alignment horizontal="right" vertical="center"/>
    </xf>
    <xf numFmtId="0" fontId="12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top"/>
    </xf>
    <xf numFmtId="0" fontId="12" fillId="4" borderId="36" xfId="0" applyFont="1" applyFill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2" fillId="0" borderId="39" xfId="0" applyFont="1" applyBorder="1" applyAlignment="1">
      <alignment horizontal="left" vertical="top" wrapText="1"/>
    </xf>
    <xf numFmtId="0" fontId="12" fillId="0" borderId="39" xfId="0" applyFont="1" applyBorder="1" applyAlignment="1">
      <alignment vertical="top"/>
    </xf>
    <xf numFmtId="0" fontId="12" fillId="0" borderId="39" xfId="0" applyFont="1" applyBorder="1" applyAlignment="1">
      <alignment horizontal="left" vertical="top"/>
    </xf>
    <xf numFmtId="0" fontId="12" fillId="15" borderId="36" xfId="0" applyFont="1" applyFill="1" applyBorder="1" applyAlignment="1">
      <alignment horizontal="center" vertical="center"/>
    </xf>
    <xf numFmtId="0" fontId="12" fillId="0" borderId="39" xfId="0" quotePrefix="1" applyFont="1" applyBorder="1" applyAlignment="1">
      <alignment horizontal="left" vertical="top" wrapText="1"/>
    </xf>
    <xf numFmtId="0" fontId="12" fillId="0" borderId="39" xfId="0" applyFont="1" applyBorder="1" applyAlignment="1">
      <alignment vertical="top" wrapText="1"/>
    </xf>
    <xf numFmtId="0" fontId="12" fillId="0" borderId="36" xfId="0" applyFont="1" applyBorder="1" applyAlignment="1">
      <alignment horizontal="center" vertical="top"/>
    </xf>
    <xf numFmtId="0" fontId="12" fillId="5" borderId="0" xfId="0" applyFont="1" applyFill="1" applyAlignment="1">
      <alignment horizontal="center" vertical="center"/>
    </xf>
    <xf numFmtId="180" fontId="12" fillId="0" borderId="39" xfId="0" applyNumberFormat="1" applyFont="1" applyBorder="1" applyAlignment="1">
      <alignment horizontal="left" vertical="top"/>
    </xf>
    <xf numFmtId="176" fontId="12" fillId="0" borderId="0" xfId="0" applyNumberFormat="1" applyFont="1" applyAlignment="1">
      <alignment horizontal="center" vertical="center"/>
    </xf>
    <xf numFmtId="0" fontId="0" fillId="0" borderId="19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0" fontId="12" fillId="0" borderId="39" xfId="0" quotePrefix="1" applyFont="1" applyBorder="1" applyAlignment="1">
      <alignment horizontal="left" vertical="top"/>
    </xf>
    <xf numFmtId="0" fontId="12" fillId="0" borderId="0" xfId="0" applyFont="1" applyAlignment="1">
      <alignment horizontal="left" vertical="top" wrapText="1"/>
    </xf>
    <xf numFmtId="0" fontId="3" fillId="0" borderId="0" xfId="0" applyFont="1" applyAlignment="1">
      <alignment horizontal="right" vertical="center"/>
    </xf>
    <xf numFmtId="0" fontId="0" fillId="0" borderId="36" xfId="0" applyBorder="1">
      <alignment vertical="center"/>
    </xf>
    <xf numFmtId="0" fontId="0" fillId="2" borderId="36" xfId="0" applyFill="1" applyBorder="1" applyAlignment="1">
      <alignment horizontal="left" vertical="center"/>
    </xf>
    <xf numFmtId="0" fontId="20" fillId="0" borderId="0" xfId="0" applyFont="1">
      <alignment vertical="center"/>
    </xf>
    <xf numFmtId="0" fontId="0" fillId="2" borderId="2" xfId="0" applyFill="1" applyBorder="1" applyAlignment="1">
      <alignment vertical="center" wrapText="1"/>
    </xf>
    <xf numFmtId="0" fontId="27" fillId="0" borderId="0" xfId="0" applyFont="1">
      <alignment vertical="center"/>
    </xf>
    <xf numFmtId="0" fontId="0" fillId="2" borderId="3" xfId="0" applyFill="1" applyBorder="1" applyAlignment="1">
      <alignment horizontal="left" vertical="center"/>
    </xf>
    <xf numFmtId="180" fontId="0" fillId="0" borderId="0" xfId="0" applyNumberFormat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28" fillId="2" borderId="0" xfId="0" applyFont="1" applyFill="1" applyAlignment="1">
      <alignment horizontal="right" vertical="center"/>
    </xf>
    <xf numFmtId="0" fontId="13" fillId="15" borderId="43" xfId="0" applyFont="1" applyFill="1" applyBorder="1" applyAlignment="1">
      <alignment horizontal="center" vertical="center"/>
    </xf>
    <xf numFmtId="0" fontId="12" fillId="2" borderId="40" xfId="0" applyFont="1" applyFill="1" applyBorder="1" applyAlignment="1">
      <alignment horizontal="center" vertical="center"/>
    </xf>
    <xf numFmtId="0" fontId="12" fillId="2" borderId="41" xfId="0" applyFont="1" applyFill="1" applyBorder="1" applyAlignment="1">
      <alignment horizontal="center" vertical="center"/>
    </xf>
    <xf numFmtId="0" fontId="12" fillId="2" borderId="42" xfId="0" applyFont="1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0" xfId="0" quotePrefix="1" applyAlignment="1">
      <alignment horizontal="right" vertical="center"/>
    </xf>
    <xf numFmtId="0" fontId="0" fillId="15" borderId="49" xfId="0" applyFill="1" applyBorder="1" applyAlignment="1">
      <alignment horizontal="center" vertical="center"/>
    </xf>
    <xf numFmtId="0" fontId="0" fillId="15" borderId="50" xfId="0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0" fillId="6" borderId="36" xfId="0" applyFill="1" applyBorder="1" applyAlignment="1">
      <alignment horizontal="center" vertical="center"/>
    </xf>
    <xf numFmtId="0" fontId="0" fillId="2" borderId="37" xfId="0" applyFill="1" applyBorder="1">
      <alignment vertical="center"/>
    </xf>
    <xf numFmtId="0" fontId="0" fillId="2" borderId="38" xfId="0" applyFill="1" applyBorder="1">
      <alignment vertical="center"/>
    </xf>
    <xf numFmtId="0" fontId="0" fillId="7" borderId="36" xfId="0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20" fillId="5" borderId="36" xfId="0" applyFont="1" applyFill="1" applyBorder="1" applyAlignment="1">
      <alignment horizontal="center" vertical="center"/>
    </xf>
    <xf numFmtId="0" fontId="20" fillId="6" borderId="36" xfId="0" applyFont="1" applyFill="1" applyBorder="1" applyAlignment="1">
      <alignment horizontal="center" vertical="center"/>
    </xf>
    <xf numFmtId="0" fontId="20" fillId="2" borderId="37" xfId="0" applyFont="1" applyFill="1" applyBorder="1" applyAlignment="1">
      <alignment horizontal="center" vertical="center"/>
    </xf>
    <xf numFmtId="0" fontId="20" fillId="2" borderId="38" xfId="0" applyFont="1" applyFill="1" applyBorder="1" applyAlignment="1">
      <alignment horizontal="center" vertical="center"/>
    </xf>
    <xf numFmtId="0" fontId="20" fillId="7" borderId="36" xfId="0" applyFont="1" applyFill="1" applyBorder="1" applyAlignment="1">
      <alignment horizontal="center" vertical="center"/>
    </xf>
    <xf numFmtId="0" fontId="27" fillId="5" borderId="37" xfId="0" applyFont="1" applyFill="1" applyBorder="1" applyAlignment="1">
      <alignment horizontal="center" vertical="center"/>
    </xf>
    <xf numFmtId="0" fontId="27" fillId="6" borderId="36" xfId="0" applyFont="1" applyFill="1" applyBorder="1" applyAlignment="1">
      <alignment horizontal="center" vertical="center"/>
    </xf>
    <xf numFmtId="0" fontId="27" fillId="2" borderId="37" xfId="0" applyFont="1" applyFill="1" applyBorder="1" applyAlignment="1">
      <alignment horizontal="center" vertical="center"/>
    </xf>
    <xf numFmtId="0" fontId="27" fillId="0" borderId="0" xfId="0" applyFont="1" applyAlignment="1">
      <alignment horizontal="right" vertical="center"/>
    </xf>
    <xf numFmtId="0" fontId="27" fillId="2" borderId="38" xfId="0" applyFont="1" applyFill="1" applyBorder="1" applyAlignment="1">
      <alignment horizontal="center" vertical="center"/>
    </xf>
    <xf numFmtId="0" fontId="27" fillId="7" borderId="36" xfId="0" applyFont="1" applyFill="1" applyBorder="1" applyAlignment="1">
      <alignment horizontal="center" vertical="center"/>
    </xf>
    <xf numFmtId="0" fontId="27" fillId="0" borderId="4" xfId="0" applyFont="1" applyBorder="1">
      <alignment vertical="center"/>
    </xf>
    <xf numFmtId="0" fontId="27" fillId="5" borderId="36" xfId="0" applyFont="1" applyFill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15" borderId="49" xfId="0" applyFont="1" applyFill="1" applyBorder="1">
      <alignment vertical="center"/>
    </xf>
    <xf numFmtId="0" fontId="12" fillId="15" borderId="50" xfId="0" applyFont="1" applyFill="1" applyBorder="1">
      <alignment vertical="center"/>
    </xf>
    <xf numFmtId="0" fontId="27" fillId="2" borderId="36" xfId="0" applyFont="1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27" fillId="0" borderId="4" xfId="0" applyFont="1" applyBorder="1" applyAlignment="1">
      <alignment horizontal="right" vertical="center"/>
    </xf>
    <xf numFmtId="0" fontId="0" fillId="2" borderId="53" xfId="0" applyFill="1" applyBorder="1" applyAlignment="1">
      <alignment horizontal="center" vertical="center"/>
    </xf>
    <xf numFmtId="0" fontId="0" fillId="2" borderId="54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13" fillId="15" borderId="57" xfId="0" applyFont="1" applyFill="1" applyBorder="1" applyAlignment="1">
      <alignment horizontal="center" vertical="center"/>
    </xf>
    <xf numFmtId="0" fontId="12" fillId="15" borderId="58" xfId="0" applyFont="1" applyFill="1" applyBorder="1">
      <alignment vertical="center"/>
    </xf>
    <xf numFmtId="0" fontId="12" fillId="15" borderId="59" xfId="0" applyFont="1" applyFill="1" applyBorder="1">
      <alignment vertical="center"/>
    </xf>
    <xf numFmtId="0" fontId="31" fillId="7" borderId="36" xfId="0" applyFont="1" applyFill="1" applyBorder="1" applyAlignment="1">
      <alignment horizontal="center" vertical="center"/>
    </xf>
    <xf numFmtId="0" fontId="3" fillId="7" borderId="3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2" fillId="6" borderId="36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33" fillId="6" borderId="36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0" fillId="0" borderId="0" xfId="0" applyAlignment="1">
      <alignment horizontal="left"/>
    </xf>
    <xf numFmtId="0" fontId="34" fillId="0" borderId="5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0" fillId="0" borderId="0" xfId="0" applyAlignment="1"/>
    <xf numFmtId="0" fontId="34" fillId="0" borderId="4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4" fillId="0" borderId="2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4" fillId="0" borderId="5" xfId="0" applyFont="1" applyBorder="1" applyAlignment="1"/>
    <xf numFmtId="0" fontId="34" fillId="0" borderId="0" xfId="0" applyFont="1" applyAlignment="1"/>
    <xf numFmtId="0" fontId="34" fillId="0" borderId="0" xfId="0" applyFont="1">
      <alignment vertical="center"/>
    </xf>
    <xf numFmtId="0" fontId="30" fillId="0" borderId="4" xfId="0" applyFont="1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30" fillId="0" borderId="4" xfId="0" applyFont="1" applyBorder="1" applyAlignment="1"/>
    <xf numFmtId="0" fontId="30" fillId="0" borderId="0" xfId="0" applyFont="1" applyAlignment="1">
      <alignment horizontal="center"/>
    </xf>
    <xf numFmtId="0" fontId="35" fillId="5" borderId="37" xfId="0" applyFont="1" applyFill="1" applyBorder="1">
      <alignment vertical="center"/>
    </xf>
    <xf numFmtId="0" fontId="36" fillId="5" borderId="38" xfId="0" applyFont="1" applyFill="1" applyBorder="1">
      <alignment vertical="center"/>
    </xf>
    <xf numFmtId="0" fontId="35" fillId="6" borderId="37" xfId="0" applyFont="1" applyFill="1" applyBorder="1">
      <alignment vertical="center"/>
    </xf>
    <xf numFmtId="0" fontId="36" fillId="6" borderId="38" xfId="0" applyFont="1" applyFill="1" applyBorder="1">
      <alignment vertical="center"/>
    </xf>
    <xf numFmtId="0" fontId="35" fillId="8" borderId="37" xfId="0" applyFont="1" applyFill="1" applyBorder="1">
      <alignment vertical="center"/>
    </xf>
    <xf numFmtId="0" fontId="36" fillId="8" borderId="38" xfId="0" applyFont="1" applyFill="1" applyBorder="1">
      <alignment vertical="center"/>
    </xf>
    <xf numFmtId="0" fontId="35" fillId="0" borderId="0" xfId="0" applyFont="1" applyAlignment="1">
      <alignment horizontal="right"/>
    </xf>
    <xf numFmtId="0" fontId="35" fillId="0" borderId="0" xfId="0" applyFont="1" applyAlignment="1"/>
    <xf numFmtId="0" fontId="35" fillId="0" borderId="0" xfId="0" applyFont="1" applyAlignment="1">
      <alignment horizontal="right" vertical="top"/>
    </xf>
    <xf numFmtId="0" fontId="35" fillId="0" borderId="0" xfId="0" applyFont="1" applyAlignment="1">
      <alignment horizontal="left" vertical="top"/>
    </xf>
    <xf numFmtId="0" fontId="0" fillId="0" borderId="37" xfId="0" applyBorder="1">
      <alignment vertical="center"/>
    </xf>
    <xf numFmtId="0" fontId="0" fillId="0" borderId="60" xfId="0" applyBorder="1">
      <alignment vertical="center"/>
    </xf>
    <xf numFmtId="0" fontId="0" fillId="0" borderId="61" xfId="0" applyBorder="1">
      <alignment vertical="center"/>
    </xf>
    <xf numFmtId="0" fontId="0" fillId="0" borderId="62" xfId="0" applyBorder="1">
      <alignment vertical="center"/>
    </xf>
    <xf numFmtId="0" fontId="37" fillId="6" borderId="9" xfId="0" applyFont="1" applyFill="1" applyBorder="1">
      <alignment vertical="center"/>
    </xf>
    <xf numFmtId="0" fontId="37" fillId="6" borderId="38" xfId="0" applyFont="1" applyFill="1" applyBorder="1">
      <alignment vertical="center"/>
    </xf>
    <xf numFmtId="0" fontId="0" fillId="5" borderId="37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38" xfId="0" applyFill="1" applyBorder="1">
      <alignment vertical="center"/>
    </xf>
    <xf numFmtId="0" fontId="37" fillId="6" borderId="37" xfId="0" applyFont="1" applyFill="1" applyBorder="1">
      <alignment vertical="center"/>
    </xf>
    <xf numFmtId="0" fontId="0" fillId="0" borderId="63" xfId="0" applyBorder="1">
      <alignment vertical="center"/>
    </xf>
    <xf numFmtId="0" fontId="35" fillId="0" borderId="0" xfId="0" applyFont="1" applyAlignment="1">
      <alignment vertical="top"/>
    </xf>
    <xf numFmtId="0" fontId="0" fillId="6" borderId="9" xfId="0" applyFill="1" applyBorder="1">
      <alignment vertical="center"/>
    </xf>
    <xf numFmtId="0" fontId="0" fillId="6" borderId="38" xfId="0" applyFill="1" applyBorder="1">
      <alignment vertical="center"/>
    </xf>
    <xf numFmtId="0" fontId="0" fillId="6" borderId="37" xfId="0" applyFill="1" applyBorder="1">
      <alignment vertical="center"/>
    </xf>
    <xf numFmtId="0" fontId="12" fillId="0" borderId="36" xfId="0" applyFont="1" applyBorder="1" applyAlignment="1">
      <alignment horizontal="center" vertical="center" wrapText="1"/>
    </xf>
    <xf numFmtId="0" fontId="12" fillId="4" borderId="3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38" fillId="0" borderId="36" xfId="0" applyFont="1" applyBorder="1" applyAlignment="1">
      <alignment horizontal="center" vertical="center"/>
    </xf>
    <xf numFmtId="0" fontId="38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180" fontId="0" fillId="0" borderId="64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79" fontId="0" fillId="0" borderId="18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9" fontId="0" fillId="0" borderId="64" xfId="0" applyNumberFormat="1" applyBorder="1" applyAlignment="1">
      <alignment horizontal="right" vertical="center"/>
    </xf>
    <xf numFmtId="179" fontId="0" fillId="0" borderId="1" xfId="0" applyNumberFormat="1" applyBorder="1" applyAlignment="1">
      <alignment horizontal="right" vertical="center"/>
    </xf>
    <xf numFmtId="0" fontId="0" fillId="4" borderId="7" xfId="0" applyFill="1" applyBorder="1" applyAlignment="1">
      <alignment horizontal="right" vertical="center"/>
    </xf>
    <xf numFmtId="0" fontId="0" fillId="4" borderId="8" xfId="0" applyFill="1" applyBorder="1" applyAlignment="1">
      <alignment horizontal="right" vertical="center"/>
    </xf>
    <xf numFmtId="184" fontId="0" fillId="4" borderId="2" xfId="0" applyNumberFormat="1" applyFill="1" applyBorder="1" applyAlignment="1">
      <alignment horizontal="right" vertical="center"/>
    </xf>
    <xf numFmtId="0" fontId="0" fillId="4" borderId="0" xfId="0" applyFill="1">
      <alignment vertical="center"/>
    </xf>
    <xf numFmtId="179" fontId="0" fillId="4" borderId="0" xfId="0" applyNumberFormat="1" applyFill="1">
      <alignment vertical="center"/>
    </xf>
    <xf numFmtId="185" fontId="0" fillId="4" borderId="2" xfId="0" applyNumberFormat="1" applyFill="1" applyBorder="1" applyAlignment="1">
      <alignment horizontal="right" vertical="center"/>
    </xf>
    <xf numFmtId="0" fontId="26" fillId="3" borderId="0" xfId="0" applyFont="1" applyFill="1">
      <alignment vertical="center"/>
    </xf>
    <xf numFmtId="0" fontId="17" fillId="0" borderId="0" xfId="0" applyFont="1">
      <alignment vertical="center"/>
    </xf>
    <xf numFmtId="0" fontId="17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0" fillId="16" borderId="37" xfId="0" applyFill="1" applyBorder="1">
      <alignment vertical="center"/>
    </xf>
    <xf numFmtId="0" fontId="0" fillId="16" borderId="9" xfId="0" applyFill="1" applyBorder="1">
      <alignment vertical="center"/>
    </xf>
    <xf numFmtId="0" fontId="0" fillId="16" borderId="3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5" xfId="0" applyFill="1" applyBorder="1">
      <alignment vertical="center"/>
    </xf>
    <xf numFmtId="0" fontId="0" fillId="16" borderId="8" xfId="0" applyFill="1" applyBorder="1">
      <alignment vertical="center"/>
    </xf>
    <xf numFmtId="0" fontId="37" fillId="16" borderId="7" xfId="0" applyFont="1" applyFill="1" applyBorder="1">
      <alignment vertical="center"/>
    </xf>
    <xf numFmtId="0" fontId="37" fillId="16" borderId="5" xfId="0" applyFont="1" applyFill="1" applyBorder="1">
      <alignment vertical="center"/>
    </xf>
    <xf numFmtId="0" fontId="37" fillId="16" borderId="8" xfId="0" applyFont="1" applyFill="1" applyBorder="1">
      <alignment vertical="center"/>
    </xf>
    <xf numFmtId="0" fontId="35" fillId="0" borderId="4" xfId="0" applyFont="1" applyBorder="1" applyAlignment="1">
      <alignment horizontal="left" vertical="top"/>
    </xf>
    <xf numFmtId="0" fontId="0" fillId="17" borderId="37" xfId="0" applyFill="1" applyBorder="1">
      <alignment vertical="center"/>
    </xf>
    <xf numFmtId="0" fontId="0" fillId="17" borderId="9" xfId="0" applyFill="1" applyBorder="1">
      <alignment vertical="center"/>
    </xf>
    <xf numFmtId="0" fontId="0" fillId="17" borderId="38" xfId="0" applyFill="1" applyBorder="1">
      <alignment vertical="center"/>
    </xf>
    <xf numFmtId="0" fontId="0" fillId="18" borderId="37" xfId="0" applyFill="1" applyBorder="1">
      <alignment vertical="center"/>
    </xf>
    <xf numFmtId="0" fontId="0" fillId="18" borderId="9" xfId="0" applyFill="1" applyBorder="1">
      <alignment vertical="center"/>
    </xf>
    <xf numFmtId="0" fontId="0" fillId="18" borderId="38" xfId="0" applyFill="1" applyBorder="1">
      <alignment vertical="center"/>
    </xf>
    <xf numFmtId="0" fontId="0" fillId="18" borderId="7" xfId="0" applyFill="1" applyBorder="1">
      <alignment vertical="center"/>
    </xf>
    <xf numFmtId="0" fontId="0" fillId="18" borderId="5" xfId="0" applyFill="1" applyBorder="1">
      <alignment vertical="center"/>
    </xf>
    <xf numFmtId="0" fontId="0" fillId="18" borderId="8" xfId="0" applyFill="1" applyBorder="1">
      <alignment vertical="center"/>
    </xf>
    <xf numFmtId="0" fontId="37" fillId="18" borderId="7" xfId="0" applyFont="1" applyFill="1" applyBorder="1">
      <alignment vertical="center"/>
    </xf>
    <xf numFmtId="0" fontId="37" fillId="18" borderId="5" xfId="0" applyFont="1" applyFill="1" applyBorder="1">
      <alignment vertical="center"/>
    </xf>
    <xf numFmtId="0" fontId="37" fillId="18" borderId="8" xfId="0" applyFont="1" applyFill="1" applyBorder="1">
      <alignment vertical="center"/>
    </xf>
    <xf numFmtId="0" fontId="37" fillId="0" borderId="4" xfId="0" applyFont="1" applyBorder="1">
      <alignment vertical="center"/>
    </xf>
    <xf numFmtId="0" fontId="35" fillId="0" borderId="2" xfId="0" applyFont="1" applyBorder="1" applyAlignment="1">
      <alignment horizontal="left" vertical="top"/>
    </xf>
    <xf numFmtId="0" fontId="35" fillId="0" borderId="3" xfId="0" applyFont="1" applyBorder="1" applyAlignment="1">
      <alignment horizontal="left" vertical="top"/>
    </xf>
    <xf numFmtId="0" fontId="35" fillId="0" borderId="2" xfId="0" applyFont="1" applyBorder="1" applyAlignment="1"/>
    <xf numFmtId="0" fontId="35" fillId="0" borderId="2" xfId="0" applyFont="1" applyBorder="1" applyAlignment="1">
      <alignment vertical="top"/>
    </xf>
    <xf numFmtId="0" fontId="35" fillId="16" borderId="5" xfId="0" applyFont="1" applyFill="1" applyBorder="1" applyAlignment="1">
      <alignment horizontal="left" vertical="top"/>
    </xf>
    <xf numFmtId="0" fontId="0" fillId="2" borderId="0" xfId="0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right" vertical="center"/>
    </xf>
    <xf numFmtId="0" fontId="0" fillId="4" borderId="0" xfId="0" applyFill="1" applyAlignment="1">
      <alignment horizontal="right" vertical="center"/>
    </xf>
    <xf numFmtId="0" fontId="0" fillId="4" borderId="0" xfId="0" applyFill="1" applyAlignment="1">
      <alignment horizontal="left" vertical="center"/>
    </xf>
    <xf numFmtId="0" fontId="0" fillId="2" borderId="36" xfId="0" applyFill="1" applyBorder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0" fontId="0" fillId="2" borderId="0" xfId="0" applyFill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3" borderId="0" xfId="0" applyFill="1" applyAlignment="1">
      <alignment horizontal="right" vertical="center"/>
    </xf>
    <xf numFmtId="179" fontId="0" fillId="2" borderId="0" xfId="0" applyNumberFormat="1" applyFill="1">
      <alignment vertical="center"/>
    </xf>
    <xf numFmtId="187" fontId="0" fillId="19" borderId="0" xfId="0" applyNumberFormat="1" applyFill="1" applyAlignment="1">
      <alignment horizontal="right" vertical="center"/>
    </xf>
    <xf numFmtId="187" fontId="0" fillId="0" borderId="0" xfId="0" applyNumberFormat="1" applyAlignment="1">
      <alignment horizontal="right" vertical="center"/>
    </xf>
    <xf numFmtId="187" fontId="0" fillId="2" borderId="0" xfId="0" applyNumberFormat="1" applyFill="1" applyAlignment="1">
      <alignment horizontal="right" vertical="center"/>
    </xf>
    <xf numFmtId="188" fontId="0" fillId="0" borderId="0" xfId="0" applyNumberFormat="1">
      <alignment vertical="center"/>
    </xf>
    <xf numFmtId="182" fontId="0" fillId="0" borderId="0" xfId="0" applyNumberFormat="1" applyAlignment="1">
      <alignment horizontal="right" vertical="center"/>
    </xf>
    <xf numFmtId="0" fontId="0" fillId="2" borderId="65" xfId="0" applyFill="1" applyBorder="1">
      <alignment vertical="center"/>
    </xf>
    <xf numFmtId="0" fontId="0" fillId="0" borderId="66" xfId="0" applyBorder="1" applyAlignment="1">
      <alignment horizontal="right" vertical="center"/>
    </xf>
    <xf numFmtId="180" fontId="0" fillId="0" borderId="66" xfId="0" applyNumberFormat="1" applyBorder="1">
      <alignment vertical="center"/>
    </xf>
    <xf numFmtId="0" fontId="0" fillId="0" borderId="66" xfId="0" applyBorder="1">
      <alignment vertical="center"/>
    </xf>
    <xf numFmtId="0" fontId="0" fillId="2" borderId="66" xfId="0" applyFill="1" applyBorder="1">
      <alignment vertical="center"/>
    </xf>
    <xf numFmtId="0" fontId="0" fillId="0" borderId="67" xfId="0" applyBorder="1">
      <alignment vertical="center"/>
    </xf>
    <xf numFmtId="188" fontId="0" fillId="2" borderId="0" xfId="0" applyNumberFormat="1" applyFill="1">
      <alignment vertical="center"/>
    </xf>
    <xf numFmtId="0" fontId="0" fillId="0" borderId="69" xfId="0" applyBorder="1">
      <alignment vertical="center"/>
    </xf>
    <xf numFmtId="178" fontId="0" fillId="0" borderId="0" xfId="0" applyNumberFormat="1" applyAlignment="1">
      <alignment horizontal="right" vertical="center"/>
    </xf>
    <xf numFmtId="179" fontId="0" fillId="3" borderId="0" xfId="0" applyNumberFormat="1" applyFill="1" applyAlignment="1">
      <alignment horizontal="right" vertical="center"/>
    </xf>
    <xf numFmtId="187" fontId="0" fillId="0" borderId="0" xfId="0" applyNumberFormat="1" applyAlignment="1">
      <alignment horizontal="left" vertical="center"/>
    </xf>
    <xf numFmtId="187" fontId="0" fillId="0" borderId="0" xfId="0" applyNumberFormat="1">
      <alignment vertical="center"/>
    </xf>
    <xf numFmtId="0" fontId="25" fillId="2" borderId="70" xfId="0" applyFont="1" applyFill="1" applyBorder="1">
      <alignment vertical="center"/>
    </xf>
    <xf numFmtId="0" fontId="25" fillId="2" borderId="71" xfId="0" applyFont="1" applyFill="1" applyBorder="1" applyAlignment="1">
      <alignment horizontal="left" vertical="center"/>
    </xf>
    <xf numFmtId="179" fontId="25" fillId="2" borderId="71" xfId="0" applyNumberFormat="1" applyFont="1" applyFill="1" applyBorder="1">
      <alignment vertical="center"/>
    </xf>
    <xf numFmtId="0" fontId="25" fillId="2" borderId="71" xfId="0" applyFont="1" applyFill="1" applyBorder="1">
      <alignment vertical="center"/>
    </xf>
    <xf numFmtId="0" fontId="25" fillId="2" borderId="72" xfId="0" applyFont="1" applyFill="1" applyBorder="1">
      <alignment vertical="center"/>
    </xf>
    <xf numFmtId="0" fontId="0" fillId="2" borderId="68" xfId="0" quotePrefix="1" applyFill="1" applyBorder="1">
      <alignment vertical="center"/>
    </xf>
    <xf numFmtId="0" fontId="0" fillId="2" borderId="0" xfId="0" quotePrefix="1" applyFill="1">
      <alignment vertical="center"/>
    </xf>
    <xf numFmtId="0" fontId="25" fillId="2" borderId="0" xfId="0" applyFont="1" applyFill="1" applyAlignment="1">
      <alignment horizontal="left" vertical="center"/>
    </xf>
    <xf numFmtId="0" fontId="0" fillId="2" borderId="19" xfId="0" applyFill="1" applyBorder="1">
      <alignment vertical="center"/>
    </xf>
    <xf numFmtId="0" fontId="0" fillId="19" borderId="0" xfId="0" applyFill="1" applyAlignment="1">
      <alignment horizontal="right" vertical="center"/>
    </xf>
    <xf numFmtId="179" fontId="0" fillId="19" borderId="0" xfId="0" applyNumberFormat="1" applyFill="1" applyAlignment="1">
      <alignment horizontal="right" vertical="center"/>
    </xf>
    <xf numFmtId="179" fontId="0" fillId="19" borderId="0" xfId="0" applyNumberFormat="1" applyFill="1">
      <alignment vertical="center"/>
    </xf>
    <xf numFmtId="0" fontId="17" fillId="19" borderId="0" xfId="0" applyFont="1" applyFill="1" applyAlignment="1">
      <alignment horizontal="right" vertical="center"/>
    </xf>
    <xf numFmtId="186" fontId="17" fillId="19" borderId="0" xfId="0" applyNumberFormat="1" applyFont="1" applyFill="1" applyAlignment="1">
      <alignment horizontal="right" vertical="center"/>
    </xf>
    <xf numFmtId="180" fontId="17" fillId="19" borderId="0" xfId="0" applyNumberFormat="1" applyFont="1" applyFill="1" applyAlignment="1">
      <alignment horizontal="right" vertical="center"/>
    </xf>
    <xf numFmtId="186" fontId="0" fillId="19" borderId="0" xfId="0" applyNumberFormat="1" applyFill="1" applyAlignment="1">
      <alignment horizontal="right" vertical="center"/>
    </xf>
    <xf numFmtId="0" fontId="0" fillId="2" borderId="65" xfId="0" applyFill="1" applyBorder="1" applyAlignment="1">
      <alignment horizontal="right" vertical="center"/>
    </xf>
    <xf numFmtId="0" fontId="0" fillId="8" borderId="66" xfId="0" applyFill="1" applyBorder="1" applyAlignment="1">
      <alignment horizontal="right" vertical="center"/>
    </xf>
    <xf numFmtId="0" fontId="0" fillId="2" borderId="68" xfId="0" applyFill="1" applyBorder="1" applyAlignment="1">
      <alignment horizontal="right" vertical="center"/>
    </xf>
    <xf numFmtId="0" fontId="0" fillId="8" borderId="0" xfId="0" applyFill="1" applyAlignment="1">
      <alignment horizontal="right" vertical="center"/>
    </xf>
    <xf numFmtId="0" fontId="0" fillId="2" borderId="73" xfId="0" applyFill="1" applyBorder="1" applyAlignment="1">
      <alignment horizontal="right" vertical="center"/>
    </xf>
    <xf numFmtId="0" fontId="0" fillId="0" borderId="74" xfId="0" applyBorder="1" applyAlignment="1">
      <alignment horizontal="right" vertical="center"/>
    </xf>
    <xf numFmtId="0" fontId="0" fillId="0" borderId="75" xfId="0" applyBorder="1">
      <alignment vertical="center"/>
    </xf>
    <xf numFmtId="0" fontId="0" fillId="2" borderId="66" xfId="0" applyFill="1" applyBorder="1" applyAlignment="1">
      <alignment horizontal="right" vertical="center"/>
    </xf>
    <xf numFmtId="0" fontId="0" fillId="2" borderId="67" xfId="0" applyFill="1" applyBorder="1" applyAlignment="1">
      <alignment horizontal="right" vertical="center"/>
    </xf>
    <xf numFmtId="189" fontId="0" fillId="0" borderId="0" xfId="0" applyNumberFormat="1" applyAlignment="1">
      <alignment horizontal="right" vertical="center"/>
    </xf>
    <xf numFmtId="182" fontId="0" fillId="8" borderId="0" xfId="0" applyNumberFormat="1" applyFill="1" applyAlignment="1">
      <alignment horizontal="right" vertical="center"/>
    </xf>
    <xf numFmtId="0" fontId="17" fillId="2" borderId="68" xfId="0" applyFont="1" applyFill="1" applyBorder="1" applyAlignment="1">
      <alignment horizontal="right" vertical="center"/>
    </xf>
    <xf numFmtId="182" fontId="17" fillId="0" borderId="0" xfId="0" applyNumberFormat="1" applyFont="1" applyAlignment="1">
      <alignment horizontal="right" vertical="center"/>
    </xf>
    <xf numFmtId="0" fontId="17" fillId="0" borderId="69" xfId="0" applyFont="1" applyBorder="1">
      <alignment vertical="center"/>
    </xf>
    <xf numFmtId="179" fontId="17" fillId="0" borderId="0" xfId="0" applyNumberFormat="1" applyFont="1" applyAlignment="1">
      <alignment horizontal="right" vertical="center"/>
    </xf>
    <xf numFmtId="0" fontId="17" fillId="2" borderId="73" xfId="0" applyFont="1" applyFill="1" applyBorder="1" applyAlignment="1">
      <alignment horizontal="right" vertical="center"/>
    </xf>
    <xf numFmtId="0" fontId="17" fillId="0" borderId="74" xfId="0" applyFont="1" applyBorder="1" applyAlignment="1">
      <alignment horizontal="right" vertical="center"/>
    </xf>
    <xf numFmtId="186" fontId="17" fillId="0" borderId="74" xfId="0" applyNumberFormat="1" applyFont="1" applyBorder="1" applyAlignment="1">
      <alignment horizontal="right" vertical="center"/>
    </xf>
    <xf numFmtId="0" fontId="12" fillId="4" borderId="0" xfId="0" applyFont="1" applyFill="1">
      <alignment vertical="center"/>
    </xf>
    <xf numFmtId="179" fontId="12" fillId="4" borderId="0" xfId="0" applyNumberFormat="1" applyFont="1" applyFill="1">
      <alignment vertical="center"/>
    </xf>
    <xf numFmtId="0" fontId="12" fillId="4" borderId="0" xfId="0" applyFont="1" applyFill="1" applyAlignment="1">
      <alignment horizontal="right" vertical="center"/>
    </xf>
    <xf numFmtId="181" fontId="12" fillId="4" borderId="0" xfId="0" applyNumberFormat="1" applyFont="1" applyFill="1">
      <alignment vertical="center"/>
    </xf>
    <xf numFmtId="180" fontId="0" fillId="4" borderId="0" xfId="0" applyNumberFormat="1" applyFill="1">
      <alignment vertical="center"/>
    </xf>
    <xf numFmtId="180" fontId="0" fillId="4" borderId="0" xfId="0" applyNumberFormat="1" applyFill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0" fontId="21" fillId="4" borderId="0" xfId="0" applyFont="1" applyFill="1">
      <alignment vertical="center"/>
    </xf>
    <xf numFmtId="0" fontId="21" fillId="0" borderId="0" xfId="0" applyFont="1">
      <alignment vertical="center"/>
    </xf>
    <xf numFmtId="0" fontId="14" fillId="4" borderId="0" xfId="0" applyFont="1" applyFill="1">
      <alignment vertical="center"/>
    </xf>
    <xf numFmtId="10" fontId="0" fillId="19" borderId="0" xfId="0" applyNumberFormat="1" applyFill="1" applyAlignment="1">
      <alignment horizontal="right" vertical="center"/>
    </xf>
    <xf numFmtId="180" fontId="40" fillId="4" borderId="0" xfId="0" applyNumberFormat="1" applyFont="1" applyFill="1">
      <alignment vertical="center"/>
    </xf>
    <xf numFmtId="180" fontId="40" fillId="0" borderId="0" xfId="0" applyNumberFormat="1" applyFont="1">
      <alignment vertical="center"/>
    </xf>
    <xf numFmtId="0" fontId="40" fillId="0" borderId="0" xfId="0" applyFont="1">
      <alignment vertical="center"/>
    </xf>
    <xf numFmtId="0" fontId="40" fillId="4" borderId="0" xfId="0" applyFont="1" applyFill="1">
      <alignment vertical="center"/>
    </xf>
    <xf numFmtId="0" fontId="0" fillId="0" borderId="77" xfId="0" applyBorder="1">
      <alignment vertical="center"/>
    </xf>
    <xf numFmtId="0" fontId="0" fillId="0" borderId="65" xfId="0" applyBorder="1">
      <alignment vertical="center"/>
    </xf>
    <xf numFmtId="0" fontId="0" fillId="0" borderId="81" xfId="0" applyBorder="1">
      <alignment vertical="center"/>
    </xf>
    <xf numFmtId="0" fontId="0" fillId="0" borderId="68" xfId="0" applyBorder="1">
      <alignment vertical="center"/>
    </xf>
    <xf numFmtId="10" fontId="0" fillId="0" borderId="0" xfId="0" applyNumberForma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4" borderId="36" xfId="0" applyFont="1" applyFill="1" applyBorder="1" applyAlignment="1">
      <alignment horizontal="center" vertical="center"/>
    </xf>
    <xf numFmtId="0" fontId="41" fillId="2" borderId="35" xfId="0" applyFont="1" applyFill="1" applyBorder="1" applyAlignment="1">
      <alignment horizontal="center" vertical="center"/>
    </xf>
    <xf numFmtId="0" fontId="25" fillId="2" borderId="35" xfId="0" applyFont="1" applyFill="1" applyBorder="1" applyAlignment="1">
      <alignment horizontal="center" vertical="center"/>
    </xf>
    <xf numFmtId="0" fontId="28" fillId="0" borderId="0" xfId="0" applyFont="1">
      <alignment vertical="center"/>
    </xf>
    <xf numFmtId="0" fontId="28" fillId="0" borderId="0" xfId="0" applyFont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28" fillId="0" borderId="36" xfId="0" applyFont="1" applyBorder="1" applyAlignment="1">
      <alignment horizontal="center" vertical="center" shrinkToFit="1"/>
    </xf>
    <xf numFmtId="0" fontId="28" fillId="0" borderId="0" xfId="0" applyFont="1" applyAlignment="1">
      <alignment vertical="top"/>
    </xf>
    <xf numFmtId="0" fontId="42" fillId="0" borderId="0" xfId="0" applyFont="1" applyAlignment="1">
      <alignment horizontal="left" vertical="top"/>
    </xf>
    <xf numFmtId="0" fontId="28" fillId="4" borderId="36" xfId="0" applyFont="1" applyFill="1" applyBorder="1" applyAlignment="1">
      <alignment horizontal="center" vertical="center" shrinkToFit="1"/>
    </xf>
    <xf numFmtId="0" fontId="1" fillId="2" borderId="35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0" fillId="4" borderId="36" xfId="0" applyFill="1" applyBorder="1" applyAlignment="1">
      <alignment horizontal="center" vertical="center"/>
    </xf>
    <xf numFmtId="0" fontId="0" fillId="4" borderId="36" xfId="0" quotePrefix="1" applyFill="1" applyBorder="1" applyAlignment="1">
      <alignment horizontal="center" vertical="center"/>
    </xf>
    <xf numFmtId="0" fontId="12" fillId="0" borderId="0" xfId="0" quotePrefix="1" applyFont="1">
      <alignment vertical="center"/>
    </xf>
    <xf numFmtId="0" fontId="0" fillId="3" borderId="0" xfId="0" applyFill="1" applyAlignment="1">
      <alignment horizontal="left" vertical="center"/>
    </xf>
    <xf numFmtId="0" fontId="52" fillId="20" borderId="0" xfId="0" applyFont="1" applyFill="1">
      <alignment vertical="center"/>
    </xf>
    <xf numFmtId="0" fontId="17" fillId="0" borderId="0" xfId="0" quotePrefix="1" applyFont="1">
      <alignment vertical="center"/>
    </xf>
    <xf numFmtId="0" fontId="54" fillId="4" borderId="36" xfId="0" applyFont="1" applyFill="1" applyBorder="1" applyAlignment="1">
      <alignment horizontal="center" vertical="center"/>
    </xf>
    <xf numFmtId="0" fontId="17" fillId="0" borderId="36" xfId="0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34" fillId="0" borderId="5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5" fillId="8" borderId="37" xfId="0" applyFont="1" applyFill="1" applyBorder="1" applyAlignment="1">
      <alignment horizontal="center" vertical="center"/>
    </xf>
    <xf numFmtId="0" fontId="36" fillId="8" borderId="9" xfId="0" applyFont="1" applyFill="1" applyBorder="1" applyAlignment="1">
      <alignment horizontal="center" vertical="center"/>
    </xf>
    <xf numFmtId="0" fontId="36" fillId="8" borderId="38" xfId="0" applyFont="1" applyFill="1" applyBorder="1" applyAlignment="1">
      <alignment horizontal="center" vertical="center"/>
    </xf>
    <xf numFmtId="0" fontId="35" fillId="6" borderId="37" xfId="0" applyFont="1" applyFill="1" applyBorder="1" applyAlignment="1">
      <alignment horizontal="center" vertical="center"/>
    </xf>
    <xf numFmtId="0" fontId="36" fillId="6" borderId="9" xfId="0" applyFont="1" applyFill="1" applyBorder="1" applyAlignment="1">
      <alignment horizontal="center" vertical="center"/>
    </xf>
    <xf numFmtId="0" fontId="36" fillId="6" borderId="38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5" fillId="5" borderId="37" xfId="0" applyFont="1" applyFill="1" applyBorder="1" applyAlignment="1">
      <alignment horizontal="center" vertical="center"/>
    </xf>
    <xf numFmtId="0" fontId="36" fillId="5" borderId="9" xfId="0" applyFont="1" applyFill="1" applyBorder="1" applyAlignment="1">
      <alignment horizontal="center" vertical="center"/>
    </xf>
    <xf numFmtId="0" fontId="36" fillId="5" borderId="38" xfId="0" applyFont="1" applyFill="1" applyBorder="1" applyAlignment="1">
      <alignment horizontal="center" vertical="center"/>
    </xf>
    <xf numFmtId="0" fontId="35" fillId="8" borderId="36" xfId="0" applyFont="1" applyFill="1" applyBorder="1" applyAlignment="1">
      <alignment horizontal="center" vertical="center"/>
    </xf>
    <xf numFmtId="0" fontId="0" fillId="6" borderId="36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30" fillId="0" borderId="4" xfId="0" applyFont="1" applyBorder="1" applyAlignment="1">
      <alignment horizontal="center"/>
    </xf>
    <xf numFmtId="0" fontId="35" fillId="8" borderId="9" xfId="0" applyFont="1" applyFill="1" applyBorder="1" applyAlignment="1">
      <alignment horizontal="center" vertical="center"/>
    </xf>
    <xf numFmtId="0" fontId="35" fillId="8" borderId="38" xfId="0" applyFont="1" applyFill="1" applyBorder="1" applyAlignment="1">
      <alignment horizontal="center" vertical="center"/>
    </xf>
    <xf numFmtId="0" fontId="35" fillId="6" borderId="9" xfId="0" applyFont="1" applyFill="1" applyBorder="1" applyAlignment="1">
      <alignment horizontal="center" vertical="center"/>
    </xf>
    <xf numFmtId="0" fontId="35" fillId="6" borderId="3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38" xfId="0" applyFont="1" applyFill="1" applyBorder="1" applyAlignment="1">
      <alignment horizontal="center" vertical="center"/>
    </xf>
    <xf numFmtId="0" fontId="0" fillId="8" borderId="37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34" fillId="0" borderId="5" xfId="0" applyFont="1" applyBorder="1" applyAlignment="1">
      <alignment horizontal="left" vertical="center"/>
    </xf>
    <xf numFmtId="0" fontId="0" fillId="5" borderId="37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38" xfId="0" applyFill="1" applyBorder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0" fillId="15" borderId="47" xfId="0" applyFill="1" applyBorder="1" applyAlignment="1">
      <alignment horizontal="center" vertical="center"/>
    </xf>
    <xf numFmtId="0" fontId="0" fillId="15" borderId="45" xfId="0" applyFill="1" applyBorder="1" applyAlignment="1">
      <alignment horizontal="center" vertical="center"/>
    </xf>
    <xf numFmtId="0" fontId="0" fillId="15" borderId="4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12" fillId="15" borderId="44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46" xfId="0" applyFont="1" applyFill="1" applyBorder="1" applyAlignment="1">
      <alignment horizontal="center" vertical="center"/>
    </xf>
    <xf numFmtId="0" fontId="32" fillId="5" borderId="37" xfId="0" applyFont="1" applyFill="1" applyBorder="1" applyAlignment="1">
      <alignment horizontal="center" vertical="center"/>
    </xf>
    <xf numFmtId="0" fontId="32" fillId="5" borderId="9" xfId="0" applyFont="1" applyFill="1" applyBorder="1" applyAlignment="1">
      <alignment horizontal="center" vertical="center"/>
    </xf>
    <xf numFmtId="0" fontId="32" fillId="5" borderId="38" xfId="0" applyFont="1" applyFill="1" applyBorder="1" applyAlignment="1">
      <alignment horizontal="center" vertical="center"/>
    </xf>
    <xf numFmtId="0" fontId="12" fillId="15" borderId="49" xfId="0" applyFont="1" applyFill="1" applyBorder="1" applyAlignment="1">
      <alignment horizontal="center" vertical="center"/>
    </xf>
    <xf numFmtId="0" fontId="12" fillId="15" borderId="50" xfId="0" applyFont="1" applyFill="1" applyBorder="1" applyAlignment="1">
      <alignment horizontal="center" vertical="center"/>
    </xf>
    <xf numFmtId="0" fontId="12" fillId="4" borderId="45" xfId="0" applyFont="1" applyFill="1" applyBorder="1" applyAlignment="1">
      <alignment horizontal="center" vertical="center"/>
    </xf>
    <xf numFmtId="0" fontId="12" fillId="4" borderId="47" xfId="0" applyFont="1" applyFill="1" applyBorder="1" applyAlignment="1">
      <alignment horizontal="center" vertical="center"/>
    </xf>
    <xf numFmtId="0" fontId="12" fillId="4" borderId="46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3" fillId="4" borderId="43" xfId="0" applyFont="1" applyFill="1" applyBorder="1" applyAlignment="1">
      <alignment horizontal="center" vertical="center"/>
    </xf>
    <xf numFmtId="0" fontId="12" fillId="4" borderId="49" xfId="0" applyFont="1" applyFill="1" applyBorder="1" applyAlignment="1">
      <alignment horizontal="center" vertical="center"/>
    </xf>
    <xf numFmtId="0" fontId="12" fillId="4" borderId="50" xfId="0" applyFont="1" applyFill="1" applyBorder="1" applyAlignment="1">
      <alignment horizontal="center" vertical="center"/>
    </xf>
    <xf numFmtId="0" fontId="0" fillId="4" borderId="47" xfId="0" applyFill="1" applyBorder="1" applyAlignment="1">
      <alignment horizontal="center" vertical="center"/>
    </xf>
    <xf numFmtId="0" fontId="0" fillId="4" borderId="45" xfId="0" applyFill="1" applyBorder="1" applyAlignment="1">
      <alignment horizontal="center" vertical="center"/>
    </xf>
    <xf numFmtId="0" fontId="0" fillId="4" borderId="46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15" borderId="51" xfId="0" applyFill="1" applyBorder="1" applyAlignment="1">
      <alignment horizontal="center" vertical="center"/>
    </xf>
    <xf numFmtId="0" fontId="0" fillId="15" borderId="49" xfId="0" applyFill="1" applyBorder="1" applyAlignment="1">
      <alignment horizontal="center" vertical="center"/>
    </xf>
    <xf numFmtId="0" fontId="0" fillId="15" borderId="50" xfId="0" applyFill="1" applyBorder="1" applyAlignment="1">
      <alignment horizontal="center" vertical="center"/>
    </xf>
    <xf numFmtId="0" fontId="12" fillId="4" borderId="36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12" fillId="4" borderId="38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 wrapText="1"/>
    </xf>
    <xf numFmtId="0" fontId="12" fillId="4" borderId="38" xfId="0" applyFont="1" applyFill="1" applyBorder="1" applyAlignment="1">
      <alignment horizontal="center" vertical="center" wrapText="1"/>
    </xf>
    <xf numFmtId="0" fontId="38" fillId="4" borderId="37" xfId="0" applyFont="1" applyFill="1" applyBorder="1" applyAlignment="1">
      <alignment horizontal="center" vertical="center"/>
    </xf>
    <xf numFmtId="0" fontId="38" fillId="4" borderId="9" xfId="0" applyFont="1" applyFill="1" applyBorder="1" applyAlignment="1">
      <alignment horizontal="center" vertical="center"/>
    </xf>
    <xf numFmtId="0" fontId="38" fillId="4" borderId="38" xfId="0" applyFont="1" applyFill="1" applyBorder="1" applyAlignment="1">
      <alignment horizontal="center" vertical="center"/>
    </xf>
    <xf numFmtId="0" fontId="33" fillId="4" borderId="36" xfId="0" applyFont="1" applyFill="1" applyBorder="1" applyAlignment="1">
      <alignment horizontal="center" vertical="center" shrinkToFit="1"/>
    </xf>
    <xf numFmtId="0" fontId="3" fillId="4" borderId="36" xfId="0" applyFont="1" applyFill="1" applyBorder="1" applyAlignment="1">
      <alignment horizontal="center" vertical="center" shrinkToFit="1"/>
    </xf>
    <xf numFmtId="0" fontId="3" fillId="4" borderId="37" xfId="0" applyFont="1" applyFill="1" applyBorder="1" applyAlignment="1">
      <alignment horizontal="center" vertical="center" shrinkToFit="1"/>
    </xf>
    <xf numFmtId="0" fontId="3" fillId="4" borderId="38" xfId="0" applyFont="1" applyFill="1" applyBorder="1" applyAlignment="1">
      <alignment horizontal="center" vertical="center" shrinkToFit="1"/>
    </xf>
    <xf numFmtId="0" fontId="3" fillId="4" borderId="37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  <xf numFmtId="0" fontId="28" fillId="4" borderId="37" xfId="0" applyFont="1" applyFill="1" applyBorder="1" applyAlignment="1">
      <alignment horizontal="center" vertical="center" shrinkToFit="1"/>
    </xf>
    <xf numFmtId="0" fontId="28" fillId="4" borderId="9" xfId="0" applyFont="1" applyFill="1" applyBorder="1" applyAlignment="1">
      <alignment horizontal="center" vertical="center" shrinkToFit="1"/>
    </xf>
    <xf numFmtId="0" fontId="28" fillId="4" borderId="38" xfId="0" applyFont="1" applyFill="1" applyBorder="1" applyAlignment="1">
      <alignment horizontal="center" vertical="center" shrinkToFit="1"/>
    </xf>
    <xf numFmtId="0" fontId="12" fillId="4" borderId="37" xfId="0" applyFont="1" applyFill="1" applyBorder="1" applyAlignment="1">
      <alignment horizontal="center" vertical="top" wrapText="1"/>
    </xf>
    <xf numFmtId="0" fontId="12" fillId="4" borderId="9" xfId="0" applyFont="1" applyFill="1" applyBorder="1" applyAlignment="1">
      <alignment horizontal="center" vertical="top" wrapText="1"/>
    </xf>
    <xf numFmtId="0" fontId="12" fillId="4" borderId="38" xfId="0" applyFont="1" applyFill="1" applyBorder="1" applyAlignment="1">
      <alignment horizontal="center" vertical="top" wrapText="1"/>
    </xf>
    <xf numFmtId="0" fontId="12" fillId="15" borderId="37" xfId="0" applyFont="1" applyFill="1" applyBorder="1" applyAlignment="1">
      <alignment horizontal="center" vertical="center"/>
    </xf>
    <xf numFmtId="0" fontId="12" fillId="15" borderId="9" xfId="0" applyFont="1" applyFill="1" applyBorder="1" applyAlignment="1">
      <alignment horizontal="center" vertical="center"/>
    </xf>
    <xf numFmtId="0" fontId="12" fillId="15" borderId="38" xfId="0" applyFont="1" applyFill="1" applyBorder="1" applyAlignment="1">
      <alignment horizontal="center" vertical="center"/>
    </xf>
    <xf numFmtId="0" fontId="12" fillId="15" borderId="37" xfId="0" applyFont="1" applyFill="1" applyBorder="1" applyAlignment="1">
      <alignment horizontal="center" vertical="top" wrapText="1"/>
    </xf>
    <xf numFmtId="0" fontId="12" fillId="15" borderId="9" xfId="0" applyFont="1" applyFill="1" applyBorder="1" applyAlignment="1">
      <alignment horizontal="center" vertical="top"/>
    </xf>
    <xf numFmtId="0" fontId="12" fillId="15" borderId="38" xfId="0" applyFont="1" applyFill="1" applyBorder="1" applyAlignment="1">
      <alignment horizontal="center" vertical="top"/>
    </xf>
    <xf numFmtId="0" fontId="12" fillId="15" borderId="9" xfId="0" applyFont="1" applyFill="1" applyBorder="1" applyAlignment="1">
      <alignment horizontal="center" vertical="top" wrapText="1"/>
    </xf>
    <xf numFmtId="0" fontId="12" fillId="15" borderId="38" xfId="0" applyFont="1" applyFill="1" applyBorder="1" applyAlignment="1">
      <alignment horizontal="center" vertical="top" wrapText="1"/>
    </xf>
    <xf numFmtId="0" fontId="12" fillId="8" borderId="37" xfId="0" applyFont="1" applyFill="1" applyBorder="1" applyAlignment="1">
      <alignment horizontal="center" vertical="center"/>
    </xf>
    <xf numFmtId="0" fontId="12" fillId="8" borderId="9" xfId="0" applyFont="1" applyFill="1" applyBorder="1" applyAlignment="1">
      <alignment horizontal="center" vertical="center"/>
    </xf>
    <xf numFmtId="0" fontId="12" fillId="8" borderId="38" xfId="0" applyFont="1" applyFill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13" borderId="79" xfId="0" applyFill="1" applyBorder="1" applyAlignment="1">
      <alignment horizontal="center" vertical="center"/>
    </xf>
    <xf numFmtId="0" fontId="0" fillId="13" borderId="80" xfId="0" applyFill="1" applyBorder="1" applyAlignment="1">
      <alignment horizontal="center" vertical="center"/>
    </xf>
    <xf numFmtId="0" fontId="0" fillId="13" borderId="75" xfId="0" applyFill="1" applyBorder="1" applyAlignment="1">
      <alignment horizontal="center" vertical="center"/>
    </xf>
    <xf numFmtId="180" fontId="0" fillId="6" borderId="82" xfId="0" applyNumberFormat="1" applyFill="1" applyBorder="1" applyAlignment="1">
      <alignment horizontal="center" vertical="center"/>
    </xf>
    <xf numFmtId="0" fontId="0" fillId="6" borderId="76" xfId="0" applyFill="1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7" borderId="76" xfId="0" applyFill="1" applyBorder="1" applyAlignment="1">
      <alignment horizontal="center" vertical="center"/>
    </xf>
    <xf numFmtId="0" fontId="0" fillId="7" borderId="78" xfId="0" applyFill="1" applyBorder="1" applyAlignment="1">
      <alignment horizontal="center" vertical="center"/>
    </xf>
    <xf numFmtId="0" fontId="0" fillId="8" borderId="76" xfId="0" applyFill="1" applyBorder="1" applyAlignment="1">
      <alignment horizontal="center" vertical="center"/>
    </xf>
    <xf numFmtId="0" fontId="0" fillId="8" borderId="78" xfId="0" applyFill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180" fontId="0" fillId="0" borderId="82" xfId="0" applyNumberFormat="1" applyBorder="1" applyAlignment="1">
      <alignment horizontal="center" vertical="center"/>
    </xf>
    <xf numFmtId="180" fontId="0" fillId="8" borderId="82" xfId="0" applyNumberFormat="1" applyFill="1" applyBorder="1" applyAlignment="1">
      <alignment horizontal="center" vertical="center"/>
    </xf>
    <xf numFmtId="180" fontId="0" fillId="8" borderId="76" xfId="0" applyNumberFormat="1" applyFill="1" applyBorder="1" applyAlignment="1">
      <alignment horizontal="center" vertical="center"/>
    </xf>
    <xf numFmtId="0" fontId="0" fillId="13" borderId="73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35" fillId="0" borderId="0" xfId="0" applyFont="1" applyAlignment="1">
      <alignment horizontal="left"/>
    </xf>
    <xf numFmtId="0" fontId="35" fillId="0" borderId="0" xfId="0" applyFont="1" applyAlignment="1">
      <alignment horizontal="left" vertical="top"/>
    </xf>
    <xf numFmtId="0" fontId="35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00FF"/>
      <color rgb="FF0000FF"/>
      <color rgb="FF00FF00"/>
      <color rgb="FFF0FAFE"/>
      <color rgb="FFEAFAEC"/>
      <color rgb="FFD3F5D8"/>
      <color rgb="FFE3F9E6"/>
      <color rgb="FFE3F5FD"/>
      <color rgb="FFE9F7FD"/>
      <color rgb="FFE3F6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48</xdr:row>
      <xdr:rowOff>114300</xdr:rowOff>
    </xdr:from>
    <xdr:to>
      <xdr:col>39</xdr:col>
      <xdr:colOff>0</xdr:colOff>
      <xdr:row>48</xdr:row>
      <xdr:rowOff>114300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9F2A4327-D69B-439D-8C55-F92C7B16FCF5}"/>
            </a:ext>
          </a:extLst>
        </xdr:cNvPr>
        <xdr:cNvCxnSpPr/>
      </xdr:nvCxnSpPr>
      <xdr:spPr>
        <a:xfrm>
          <a:off x="9417050" y="10502900"/>
          <a:ext cx="1803400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6350</xdr:colOff>
      <xdr:row>48</xdr:row>
      <xdr:rowOff>95250</xdr:rowOff>
    </xdr:from>
    <xdr:to>
      <xdr:col>119</xdr:col>
      <xdr:colOff>97655</xdr:colOff>
      <xdr:row>48</xdr:row>
      <xdr:rowOff>95250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B81D1910-2035-46D9-A3D5-818D064A5CFE}"/>
            </a:ext>
          </a:extLst>
        </xdr:cNvPr>
        <xdr:cNvCxnSpPr/>
      </xdr:nvCxnSpPr>
      <xdr:spPr>
        <a:xfrm>
          <a:off x="12649200" y="10483850"/>
          <a:ext cx="6796905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76200</xdr:colOff>
      <xdr:row>50</xdr:row>
      <xdr:rowOff>88900</xdr:rowOff>
    </xdr:from>
    <xdr:to>
      <xdr:col>67</xdr:col>
      <xdr:colOff>12700</xdr:colOff>
      <xdr:row>50</xdr:row>
      <xdr:rowOff>88900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A460C92B-9C70-47EB-A1B5-62CCCE5B388C}"/>
            </a:ext>
          </a:extLst>
        </xdr:cNvPr>
        <xdr:cNvCxnSpPr/>
      </xdr:nvCxnSpPr>
      <xdr:spPr>
        <a:xfrm>
          <a:off x="9467850" y="10909300"/>
          <a:ext cx="4610100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57150</xdr:colOff>
      <xdr:row>52</xdr:row>
      <xdr:rowOff>101600</xdr:rowOff>
    </xdr:from>
    <xdr:to>
      <xdr:col>94</xdr:col>
      <xdr:colOff>95250</xdr:colOff>
      <xdr:row>52</xdr:row>
      <xdr:rowOff>101600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6A26C862-7F8D-47D2-A65E-1D99B0447CA0}"/>
            </a:ext>
          </a:extLst>
        </xdr:cNvPr>
        <xdr:cNvCxnSpPr/>
      </xdr:nvCxnSpPr>
      <xdr:spPr>
        <a:xfrm flipV="1">
          <a:off x="9448800" y="11353800"/>
          <a:ext cx="7454900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12700</xdr:colOff>
      <xdr:row>50</xdr:row>
      <xdr:rowOff>107950</xdr:rowOff>
    </xdr:from>
    <xdr:to>
      <xdr:col>119</xdr:col>
      <xdr:colOff>100178</xdr:colOff>
      <xdr:row>50</xdr:row>
      <xdr:rowOff>107950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11A61A50-9D74-4543-BEE2-B0A9125C3ED1}"/>
            </a:ext>
          </a:extLst>
        </xdr:cNvPr>
        <xdr:cNvCxnSpPr/>
      </xdr:nvCxnSpPr>
      <xdr:spPr>
        <a:xfrm>
          <a:off x="15500350" y="10928350"/>
          <a:ext cx="3948278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109</xdr:col>
      <xdr:colOff>0</xdr:colOff>
      <xdr:row>52</xdr:row>
      <xdr:rowOff>107950</xdr:rowOff>
    </xdr:from>
    <xdr:to>
      <xdr:col>119</xdr:col>
      <xdr:colOff>83652</xdr:colOff>
      <xdr:row>52</xdr:row>
      <xdr:rowOff>107950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5B202EBE-C309-422C-AE48-84CF96B5126D}"/>
            </a:ext>
          </a:extLst>
        </xdr:cNvPr>
        <xdr:cNvCxnSpPr/>
      </xdr:nvCxnSpPr>
      <xdr:spPr>
        <a:xfrm>
          <a:off x="18332450" y="11360150"/>
          <a:ext cx="1099652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31750</xdr:colOff>
      <xdr:row>47</xdr:row>
      <xdr:rowOff>133350</xdr:rowOff>
    </xdr:from>
    <xdr:ext cx="371384" cy="248851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E72BBAE-46F8-4560-8BB4-994444A797D8}"/>
            </a:ext>
          </a:extLst>
        </xdr:cNvPr>
        <xdr:cNvSpPr txBox="1"/>
      </xdr:nvSpPr>
      <xdr:spPr>
        <a:xfrm>
          <a:off x="12674600" y="10306050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oneCellAnchor>
    <xdr:from>
      <xdr:col>80</xdr:col>
      <xdr:colOff>95250</xdr:colOff>
      <xdr:row>49</xdr:row>
      <xdr:rowOff>133350</xdr:rowOff>
    </xdr:from>
    <xdr:ext cx="371384" cy="248851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31AA289-D5E5-4A2A-945F-2E2CDE1EE199}"/>
            </a:ext>
          </a:extLst>
        </xdr:cNvPr>
        <xdr:cNvSpPr txBox="1"/>
      </xdr:nvSpPr>
      <xdr:spPr>
        <a:xfrm>
          <a:off x="15481300" y="10737850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oneCellAnchor>
    <xdr:from>
      <xdr:col>109</xdr:col>
      <xdr:colOff>6350</xdr:colOff>
      <xdr:row>51</xdr:row>
      <xdr:rowOff>133350</xdr:rowOff>
    </xdr:from>
    <xdr:ext cx="371384" cy="248851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BE6E5D01-F2EF-4181-85DC-8DC7FC817AAE}"/>
            </a:ext>
          </a:extLst>
        </xdr:cNvPr>
        <xdr:cNvSpPr txBox="1"/>
      </xdr:nvSpPr>
      <xdr:spPr>
        <a:xfrm>
          <a:off x="18338800" y="11169650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twoCellAnchor>
    <xdr:from>
      <xdr:col>1</xdr:col>
      <xdr:colOff>852686</xdr:colOff>
      <xdr:row>20</xdr:row>
      <xdr:rowOff>169839</xdr:rowOff>
    </xdr:from>
    <xdr:to>
      <xdr:col>16</xdr:col>
      <xdr:colOff>99943</xdr:colOff>
      <xdr:row>27</xdr:row>
      <xdr:rowOff>194966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494AD967-2F88-480D-998B-BD56F0F6DF64}"/>
            </a:ext>
          </a:extLst>
        </xdr:cNvPr>
        <xdr:cNvGrpSpPr/>
      </xdr:nvGrpSpPr>
      <xdr:grpSpPr>
        <a:xfrm>
          <a:off x="1538392" y="4532663"/>
          <a:ext cx="5712491" cy="1543243"/>
          <a:chOff x="22408176" y="528751"/>
          <a:chExt cx="5714593" cy="1522897"/>
        </a:xfrm>
      </xdr:grpSpPr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D9A6647F-54DE-88B5-10AD-FCA9E9DE7B1E}"/>
              </a:ext>
            </a:extLst>
          </xdr:cNvPr>
          <xdr:cNvSpPr/>
        </xdr:nvSpPr>
        <xdr:spPr>
          <a:xfrm>
            <a:off x="23464834" y="802426"/>
            <a:ext cx="889452" cy="970081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dev#1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3" name="직사각형 12">
            <a:extLst>
              <a:ext uri="{FF2B5EF4-FFF2-40B4-BE49-F238E27FC236}">
                <a16:creationId xmlns:a16="http://schemas.microsoft.com/office/drawing/2014/main" id="{95370938-7A95-523A-BC6A-96D9CFD3DEE8}"/>
              </a:ext>
            </a:extLst>
          </xdr:cNvPr>
          <xdr:cNvSpPr/>
        </xdr:nvSpPr>
        <xdr:spPr>
          <a:xfrm>
            <a:off x="25342056" y="808728"/>
            <a:ext cx="890113" cy="970081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dev#2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B37923AF-3302-15B5-D6CC-43ABF238F3EC}"/>
              </a:ext>
            </a:extLst>
          </xdr:cNvPr>
          <xdr:cNvSpPr/>
        </xdr:nvSpPr>
        <xdr:spPr>
          <a:xfrm>
            <a:off x="27232656" y="802426"/>
            <a:ext cx="890113" cy="970081"/>
          </a:xfrm>
          <a:prstGeom prst="rect">
            <a:avLst/>
          </a:prstGeom>
          <a:solidFill>
            <a:schemeClr val="accent2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dev#3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15" name="직선 화살표 연결선 14">
            <a:extLst>
              <a:ext uri="{FF2B5EF4-FFF2-40B4-BE49-F238E27FC236}">
                <a16:creationId xmlns:a16="http://schemas.microsoft.com/office/drawing/2014/main" id="{A01904E5-2BBE-060D-8ADF-100870A29049}"/>
              </a:ext>
            </a:extLst>
          </xdr:cNvPr>
          <xdr:cNvCxnSpPr/>
        </xdr:nvCxnSpPr>
        <xdr:spPr>
          <a:xfrm flipV="1">
            <a:off x="22800118" y="922178"/>
            <a:ext cx="65844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직선 화살표 연결선 15">
            <a:extLst>
              <a:ext uri="{FF2B5EF4-FFF2-40B4-BE49-F238E27FC236}">
                <a16:creationId xmlns:a16="http://schemas.microsoft.com/office/drawing/2014/main" id="{099E1966-06D4-75AB-5C22-36B7DB556235}"/>
              </a:ext>
            </a:extLst>
          </xdr:cNvPr>
          <xdr:cNvCxnSpPr/>
        </xdr:nvCxnSpPr>
        <xdr:spPr>
          <a:xfrm flipV="1">
            <a:off x="23088630" y="549815"/>
            <a:ext cx="3735698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37439878-6859-C6FD-B256-BD3A9C42B35E}"/>
              </a:ext>
            </a:extLst>
          </xdr:cNvPr>
          <xdr:cNvSpPr txBox="1"/>
        </xdr:nvSpPr>
        <xdr:spPr>
          <a:xfrm>
            <a:off x="22486834" y="827636"/>
            <a:ext cx="275222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nSCS</a:t>
            </a:r>
            <a:endParaRPr lang="ko-KR" altLang="en-US" sz="1100"/>
          </a:p>
        </xdr:txBody>
      </xdr:sp>
      <xdr:sp macro="" textlink="">
        <xdr:nvSpPr>
          <xdr:cNvPr id="18" name="TextBox 17">
            <a:extLst>
              <a:ext uri="{FF2B5EF4-FFF2-40B4-BE49-F238E27FC236}">
                <a16:creationId xmlns:a16="http://schemas.microsoft.com/office/drawing/2014/main" id="{05D2A8A0-FBFA-90B0-E4C8-C3D8C9CA2502}"/>
              </a:ext>
            </a:extLst>
          </xdr:cNvPr>
          <xdr:cNvSpPr txBox="1"/>
        </xdr:nvSpPr>
        <xdr:spPr>
          <a:xfrm>
            <a:off x="22499550" y="1082901"/>
            <a:ext cx="268948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SCLK</a:t>
            </a:r>
            <a:endParaRPr lang="ko-KR" altLang="en-US" sz="1100"/>
          </a:p>
        </xdr:txBody>
      </xdr:sp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DF19B8BF-FF40-7370-7BAC-F5CBC2084615}"/>
              </a:ext>
            </a:extLst>
          </xdr:cNvPr>
          <xdr:cNvSpPr txBox="1"/>
        </xdr:nvSpPr>
        <xdr:spPr>
          <a:xfrm>
            <a:off x="22468171" y="1334514"/>
            <a:ext cx="310201" cy="1722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MOSI</a:t>
            </a:r>
            <a:endParaRPr lang="ko-KR" altLang="en-US" sz="1100"/>
          </a:p>
        </xdr:txBody>
      </xdr: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B2F4012D-B434-DD38-4E60-83BFC2C7CD29}"/>
              </a:ext>
            </a:extLst>
          </xdr:cNvPr>
          <xdr:cNvSpPr txBox="1"/>
        </xdr:nvSpPr>
        <xdr:spPr>
          <a:xfrm>
            <a:off x="23072115" y="1472676"/>
            <a:ext cx="380857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MISO1</a:t>
            </a:r>
            <a:endParaRPr lang="ko-KR" altLang="en-US" sz="1100"/>
          </a:p>
        </xdr:txBody>
      </xdr:sp>
      <xdr:cxnSp macro="">
        <xdr:nvCxnSpPr>
          <xdr:cNvPr id="21" name="직선 화살표 연결선 20">
            <a:extLst>
              <a:ext uri="{FF2B5EF4-FFF2-40B4-BE49-F238E27FC236}">
                <a16:creationId xmlns:a16="http://schemas.microsoft.com/office/drawing/2014/main" id="{2A30E966-710C-8F09-FDB0-25194A373CA9}"/>
              </a:ext>
            </a:extLst>
          </xdr:cNvPr>
          <xdr:cNvCxnSpPr/>
        </xdr:nvCxnSpPr>
        <xdr:spPr>
          <a:xfrm flipV="1">
            <a:off x="22806393" y="1181920"/>
            <a:ext cx="65844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직선 화살표 연결선 21">
            <a:extLst>
              <a:ext uri="{FF2B5EF4-FFF2-40B4-BE49-F238E27FC236}">
                <a16:creationId xmlns:a16="http://schemas.microsoft.com/office/drawing/2014/main" id="{50DA235B-E75C-D64B-2FBE-9E0D756F2A04}"/>
              </a:ext>
            </a:extLst>
          </xdr:cNvPr>
          <xdr:cNvCxnSpPr/>
        </xdr:nvCxnSpPr>
        <xdr:spPr>
          <a:xfrm flipV="1">
            <a:off x="22800118" y="1422753"/>
            <a:ext cx="65844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7633D81-D3B1-24CC-1DF5-2557109CAC52}"/>
              </a:ext>
            </a:extLst>
          </xdr:cNvPr>
          <xdr:cNvCxnSpPr/>
        </xdr:nvCxnSpPr>
        <xdr:spPr>
          <a:xfrm flipV="1">
            <a:off x="24902436" y="922178"/>
            <a:ext cx="42726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직선 화살표 연결선 23">
            <a:extLst>
              <a:ext uri="{FF2B5EF4-FFF2-40B4-BE49-F238E27FC236}">
                <a16:creationId xmlns:a16="http://schemas.microsoft.com/office/drawing/2014/main" id="{F96048C2-D123-1760-09B8-851BBC4A3BD1}"/>
              </a:ext>
            </a:extLst>
          </xdr:cNvPr>
          <xdr:cNvCxnSpPr/>
        </xdr:nvCxnSpPr>
        <xdr:spPr>
          <a:xfrm>
            <a:off x="24354286" y="1220220"/>
            <a:ext cx="98777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직선 화살표 연결선 24">
            <a:extLst>
              <a:ext uri="{FF2B5EF4-FFF2-40B4-BE49-F238E27FC236}">
                <a16:creationId xmlns:a16="http://schemas.microsoft.com/office/drawing/2014/main" id="{62D845E8-05EB-B636-E387-356F4E749903}"/>
              </a:ext>
            </a:extLst>
          </xdr:cNvPr>
          <xdr:cNvCxnSpPr/>
        </xdr:nvCxnSpPr>
        <xdr:spPr>
          <a:xfrm>
            <a:off x="24360561" y="1421909"/>
            <a:ext cx="987771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6" name="직선 화살표 연결선 25">
            <a:extLst>
              <a:ext uri="{FF2B5EF4-FFF2-40B4-BE49-F238E27FC236}">
                <a16:creationId xmlns:a16="http://schemas.microsoft.com/office/drawing/2014/main" id="{9220DF92-E69C-1100-7599-85152BFE5323}"/>
              </a:ext>
            </a:extLst>
          </xdr:cNvPr>
          <xdr:cNvCxnSpPr/>
        </xdr:nvCxnSpPr>
        <xdr:spPr>
          <a:xfrm>
            <a:off x="26238445" y="1181076"/>
            <a:ext cx="98793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" name="직선 화살표 연결선 26">
            <a:extLst>
              <a:ext uri="{FF2B5EF4-FFF2-40B4-BE49-F238E27FC236}">
                <a16:creationId xmlns:a16="http://schemas.microsoft.com/office/drawing/2014/main" id="{2D620D9E-B075-CD2F-E649-33A71D182E65}"/>
              </a:ext>
            </a:extLst>
          </xdr:cNvPr>
          <xdr:cNvCxnSpPr/>
        </xdr:nvCxnSpPr>
        <xdr:spPr>
          <a:xfrm>
            <a:off x="26238445" y="1421909"/>
            <a:ext cx="987936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927D4FAF-5A95-E0C5-378C-A3B813AD088F}"/>
              </a:ext>
            </a:extLst>
          </xdr:cNvPr>
          <xdr:cNvSpPr txBox="1"/>
        </xdr:nvSpPr>
        <xdr:spPr>
          <a:xfrm>
            <a:off x="24418721" y="1036956"/>
            <a:ext cx="432923" cy="1709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SCLKO1</a:t>
            </a:r>
            <a:endParaRPr lang="ko-KR" altLang="en-US" sz="11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1601D16B-4DEB-C510-B387-E921C6A4CA35}"/>
              </a:ext>
            </a:extLst>
          </xdr:cNvPr>
          <xdr:cNvSpPr txBox="1"/>
        </xdr:nvSpPr>
        <xdr:spPr>
          <a:xfrm>
            <a:off x="24424997" y="1252578"/>
            <a:ext cx="313347" cy="1709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SDO1</a:t>
            </a:r>
            <a:endParaRPr lang="ko-KR" altLang="en-US" sz="11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4BD75D5-D005-63C2-DFB6-080C2AA558F6}"/>
              </a:ext>
            </a:extLst>
          </xdr:cNvPr>
          <xdr:cNvSpPr txBox="1"/>
        </xdr:nvSpPr>
        <xdr:spPr>
          <a:xfrm>
            <a:off x="26334589" y="1011744"/>
            <a:ext cx="432428" cy="1709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SCLKO2</a:t>
            </a:r>
            <a:endParaRPr lang="ko-KR" altLang="en-US" sz="11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4AE26C10-18EA-5CFA-8677-732B0334EE0D}"/>
              </a:ext>
            </a:extLst>
          </xdr:cNvPr>
          <xdr:cNvSpPr txBox="1"/>
        </xdr:nvSpPr>
        <xdr:spPr>
          <a:xfrm>
            <a:off x="26340864" y="1252578"/>
            <a:ext cx="312852" cy="1709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SDO2</a:t>
            </a:r>
            <a:endParaRPr lang="ko-KR" altLang="en-US" sz="1100"/>
          </a:p>
        </xdr:txBody>
      </xdr:sp>
      <xdr:cxnSp macro="">
        <xdr:nvCxnSpPr>
          <xdr:cNvPr id="32" name="직선 화살표 연결선 31">
            <a:extLst>
              <a:ext uri="{FF2B5EF4-FFF2-40B4-BE49-F238E27FC236}">
                <a16:creationId xmlns:a16="http://schemas.microsoft.com/office/drawing/2014/main" id="{74A51628-ABAF-D715-5490-737E78931DB0}"/>
              </a:ext>
            </a:extLst>
          </xdr:cNvPr>
          <xdr:cNvCxnSpPr/>
        </xdr:nvCxnSpPr>
        <xdr:spPr>
          <a:xfrm flipV="1">
            <a:off x="26811862" y="922178"/>
            <a:ext cx="427267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96EF2B83-8C3B-FF69-A67A-7720E596682B}"/>
              </a:ext>
            </a:extLst>
          </xdr:cNvPr>
          <xdr:cNvCxnSpPr/>
        </xdr:nvCxnSpPr>
        <xdr:spPr>
          <a:xfrm flipV="1">
            <a:off x="24908711" y="553962"/>
            <a:ext cx="0" cy="359977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7884A9CA-D07B-E456-EAD7-2A59E8F5AD3F}"/>
              </a:ext>
            </a:extLst>
          </xdr:cNvPr>
          <xdr:cNvCxnSpPr/>
        </xdr:nvCxnSpPr>
        <xdr:spPr>
          <a:xfrm flipV="1">
            <a:off x="26818138" y="553962"/>
            <a:ext cx="0" cy="359977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5" name="직선 화살표 연결선 34">
            <a:extLst>
              <a:ext uri="{FF2B5EF4-FFF2-40B4-BE49-F238E27FC236}">
                <a16:creationId xmlns:a16="http://schemas.microsoft.com/office/drawing/2014/main" id="{70947671-CE0F-7F65-9EC3-E3D1847A3757}"/>
              </a:ext>
            </a:extLst>
          </xdr:cNvPr>
          <xdr:cNvCxnSpPr/>
        </xdr:nvCxnSpPr>
        <xdr:spPr>
          <a:xfrm flipV="1">
            <a:off x="23095070" y="557610"/>
            <a:ext cx="0" cy="358651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6" name="타원 35">
            <a:extLst>
              <a:ext uri="{FF2B5EF4-FFF2-40B4-BE49-F238E27FC236}">
                <a16:creationId xmlns:a16="http://schemas.microsoft.com/office/drawing/2014/main" id="{ABB0BE8F-ECCE-324D-AAB0-B2D6A4C3FD52}"/>
              </a:ext>
            </a:extLst>
          </xdr:cNvPr>
          <xdr:cNvSpPr/>
        </xdr:nvSpPr>
        <xdr:spPr>
          <a:xfrm>
            <a:off x="23063692" y="890664"/>
            <a:ext cx="71156" cy="71465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7" name="타원 36">
            <a:extLst>
              <a:ext uri="{FF2B5EF4-FFF2-40B4-BE49-F238E27FC236}">
                <a16:creationId xmlns:a16="http://schemas.microsoft.com/office/drawing/2014/main" id="{23A1285A-3EA1-760D-706A-04FABDC9ED9C}"/>
              </a:ext>
            </a:extLst>
          </xdr:cNvPr>
          <xdr:cNvSpPr/>
        </xdr:nvSpPr>
        <xdr:spPr>
          <a:xfrm>
            <a:off x="24871058" y="528751"/>
            <a:ext cx="71156" cy="72792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8" name="직선 화살표 연결선 37">
            <a:extLst>
              <a:ext uri="{FF2B5EF4-FFF2-40B4-BE49-F238E27FC236}">
                <a16:creationId xmlns:a16="http://schemas.microsoft.com/office/drawing/2014/main" id="{5E0CADC9-19ED-CAF1-340E-A9569D094EB3}"/>
              </a:ext>
            </a:extLst>
          </xdr:cNvPr>
          <xdr:cNvCxnSpPr/>
        </xdr:nvCxnSpPr>
        <xdr:spPr>
          <a:xfrm flipV="1">
            <a:off x="22806393" y="1652306"/>
            <a:ext cx="658441" cy="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9" name="직선 화살표 연결선 38">
            <a:extLst>
              <a:ext uri="{FF2B5EF4-FFF2-40B4-BE49-F238E27FC236}">
                <a16:creationId xmlns:a16="http://schemas.microsoft.com/office/drawing/2014/main" id="{74B4DE59-5EFF-44A2-EB69-61CD237812C4}"/>
              </a:ext>
            </a:extLst>
          </xdr:cNvPr>
          <xdr:cNvCxnSpPr/>
        </xdr:nvCxnSpPr>
        <xdr:spPr>
          <a:xfrm flipV="1">
            <a:off x="24945738" y="1652306"/>
            <a:ext cx="391688" cy="0"/>
          </a:xfrm>
          <a:prstGeom prst="straightConnector1">
            <a:avLst/>
          </a:prstGeom>
          <a:ln w="3175">
            <a:solidFill>
              <a:schemeClr val="tx1"/>
            </a:solidFill>
            <a:headEnd type="none"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0" name="직선 화살표 연결선 39">
            <a:extLst>
              <a:ext uri="{FF2B5EF4-FFF2-40B4-BE49-F238E27FC236}">
                <a16:creationId xmlns:a16="http://schemas.microsoft.com/office/drawing/2014/main" id="{B417239C-3FEA-114A-9A49-617AE5F7D1B6}"/>
              </a:ext>
            </a:extLst>
          </xdr:cNvPr>
          <xdr:cNvCxnSpPr/>
        </xdr:nvCxnSpPr>
        <xdr:spPr>
          <a:xfrm flipV="1">
            <a:off x="26836965" y="1652306"/>
            <a:ext cx="391688" cy="0"/>
          </a:xfrm>
          <a:prstGeom prst="straightConnector1">
            <a:avLst/>
          </a:prstGeom>
          <a:ln w="3175">
            <a:solidFill>
              <a:schemeClr val="tx1"/>
            </a:solidFill>
            <a:headEnd type="none"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51404060-E2FB-4816-91F1-FF7D7D35CE66}"/>
              </a:ext>
            </a:extLst>
          </xdr:cNvPr>
          <xdr:cNvSpPr txBox="1"/>
        </xdr:nvSpPr>
        <xdr:spPr>
          <a:xfrm>
            <a:off x="24927538" y="1474502"/>
            <a:ext cx="381682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MISO2</a:t>
            </a:r>
            <a:endParaRPr lang="ko-KR" altLang="en-US" sz="1100"/>
          </a:p>
        </xdr:txBody>
      </xdr:sp>
      <xdr:sp macro="" textlink="">
        <xdr:nvSpPr>
          <xdr:cNvPr id="42" name="TextBox 41">
            <a:extLst>
              <a:ext uri="{FF2B5EF4-FFF2-40B4-BE49-F238E27FC236}">
                <a16:creationId xmlns:a16="http://schemas.microsoft.com/office/drawing/2014/main" id="{02D50FC6-8EE5-64A7-92D4-359448AE3B1E}"/>
              </a:ext>
            </a:extLst>
          </xdr:cNvPr>
          <xdr:cNvSpPr txBox="1"/>
        </xdr:nvSpPr>
        <xdr:spPr>
          <a:xfrm>
            <a:off x="26799311" y="1474502"/>
            <a:ext cx="381352" cy="1722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MISO3</a:t>
            </a:r>
            <a:endParaRPr lang="ko-KR" altLang="en-US" sz="1100"/>
          </a:p>
        </xdr:txBody>
      </xdr:sp>
      <xdr:cxnSp macro="">
        <xdr:nvCxnSpPr>
          <xdr:cNvPr id="43" name="직선 화살표 연결선 42">
            <a:extLst>
              <a:ext uri="{FF2B5EF4-FFF2-40B4-BE49-F238E27FC236}">
                <a16:creationId xmlns:a16="http://schemas.microsoft.com/office/drawing/2014/main" id="{64589A3F-7878-ED6F-A2A0-60B213F22617}"/>
              </a:ext>
            </a:extLst>
          </xdr:cNvPr>
          <xdr:cNvCxnSpPr/>
        </xdr:nvCxnSpPr>
        <xdr:spPr>
          <a:xfrm flipV="1">
            <a:off x="24945904" y="1656231"/>
            <a:ext cx="0" cy="36033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4" name="직선 화살표 연결선 43">
            <a:extLst>
              <a:ext uri="{FF2B5EF4-FFF2-40B4-BE49-F238E27FC236}">
                <a16:creationId xmlns:a16="http://schemas.microsoft.com/office/drawing/2014/main" id="{549E4AEF-9600-6A8D-CABD-560AAD94C9A0}"/>
              </a:ext>
            </a:extLst>
          </xdr:cNvPr>
          <xdr:cNvCxnSpPr/>
        </xdr:nvCxnSpPr>
        <xdr:spPr>
          <a:xfrm flipV="1">
            <a:off x="26826093" y="1649913"/>
            <a:ext cx="0" cy="36033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5" name="직선 화살표 연결선 44">
            <a:extLst>
              <a:ext uri="{FF2B5EF4-FFF2-40B4-BE49-F238E27FC236}">
                <a16:creationId xmlns:a16="http://schemas.microsoft.com/office/drawing/2014/main" id="{58742D86-7003-5D67-CBCF-D1C15FDD6AC0}"/>
              </a:ext>
            </a:extLst>
          </xdr:cNvPr>
          <xdr:cNvCxnSpPr/>
        </xdr:nvCxnSpPr>
        <xdr:spPr>
          <a:xfrm flipV="1">
            <a:off x="23053781" y="2005286"/>
            <a:ext cx="3779215" cy="0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타원 45">
            <a:extLst>
              <a:ext uri="{FF2B5EF4-FFF2-40B4-BE49-F238E27FC236}">
                <a16:creationId xmlns:a16="http://schemas.microsoft.com/office/drawing/2014/main" id="{0C0D4B87-2691-6466-CA8B-32F8F5EFC7A5}"/>
              </a:ext>
            </a:extLst>
          </xdr:cNvPr>
          <xdr:cNvSpPr/>
        </xdr:nvSpPr>
        <xdr:spPr>
          <a:xfrm>
            <a:off x="24913532" y="1980015"/>
            <a:ext cx="70332" cy="7163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47" name="직선 화살표 연결선 46">
            <a:extLst>
              <a:ext uri="{FF2B5EF4-FFF2-40B4-BE49-F238E27FC236}">
                <a16:creationId xmlns:a16="http://schemas.microsoft.com/office/drawing/2014/main" id="{2EEF8418-CEF3-346C-959C-7CC8E264EBAD}"/>
              </a:ext>
            </a:extLst>
          </xdr:cNvPr>
          <xdr:cNvCxnSpPr/>
        </xdr:nvCxnSpPr>
        <xdr:spPr>
          <a:xfrm flipV="1">
            <a:off x="23053246" y="1651159"/>
            <a:ext cx="0" cy="360334"/>
          </a:xfrm>
          <a:prstGeom prst="straightConnector1">
            <a:avLst/>
          </a:prstGeom>
          <a:ln w="3175">
            <a:solidFill>
              <a:schemeClr val="tx1"/>
            </a:solidFill>
            <a:headEnd w="sm" len="sm"/>
            <a:tailEnd type="non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타원 47">
            <a:extLst>
              <a:ext uri="{FF2B5EF4-FFF2-40B4-BE49-F238E27FC236}">
                <a16:creationId xmlns:a16="http://schemas.microsoft.com/office/drawing/2014/main" id="{4FD2D030-9ECB-B52D-C223-66DA792F3162}"/>
              </a:ext>
            </a:extLst>
          </xdr:cNvPr>
          <xdr:cNvSpPr/>
        </xdr:nvSpPr>
        <xdr:spPr>
          <a:xfrm>
            <a:off x="23015042" y="1623641"/>
            <a:ext cx="72197" cy="73803"/>
          </a:xfrm>
          <a:prstGeom prst="ellipse">
            <a:avLst/>
          </a:prstGeom>
          <a:solidFill>
            <a:schemeClr val="tx1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14AA01A-96E9-0FDD-D069-6A44AA71A4E1}"/>
              </a:ext>
            </a:extLst>
          </xdr:cNvPr>
          <xdr:cNvSpPr txBox="1"/>
        </xdr:nvSpPr>
        <xdr:spPr>
          <a:xfrm>
            <a:off x="22408176" y="1601293"/>
            <a:ext cx="314020" cy="1735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/>
              <a:t>MISO</a:t>
            </a:r>
            <a:endParaRPr lang="ko-KR" altLang="en-US" sz="1100"/>
          </a:p>
        </xdr:txBody>
      </xdr:sp>
    </xdr:grpSp>
    <xdr:clientData/>
  </xdr:twoCellAnchor>
  <xdr:twoCellAnchor>
    <xdr:from>
      <xdr:col>21</xdr:col>
      <xdr:colOff>25400</xdr:colOff>
      <xdr:row>70</xdr:row>
      <xdr:rowOff>114300</xdr:rowOff>
    </xdr:from>
    <xdr:to>
      <xdr:col>33</xdr:col>
      <xdr:colOff>6414</xdr:colOff>
      <xdr:row>70</xdr:row>
      <xdr:rowOff>115455</xdr:rowOff>
    </xdr:to>
    <xdr:cxnSp macro="">
      <xdr:nvCxnSpPr>
        <xdr:cNvPr id="50" name="직선 연결선 49">
          <a:extLst>
            <a:ext uri="{FF2B5EF4-FFF2-40B4-BE49-F238E27FC236}">
              <a16:creationId xmlns:a16="http://schemas.microsoft.com/office/drawing/2014/main" id="{89C641CF-0683-46A3-92C0-D313933C39A0}"/>
            </a:ext>
          </a:extLst>
        </xdr:cNvPr>
        <xdr:cNvCxnSpPr/>
      </xdr:nvCxnSpPr>
      <xdr:spPr>
        <a:xfrm>
          <a:off x="9417050" y="15252700"/>
          <a:ext cx="1200214" cy="1155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12828</xdr:colOff>
      <xdr:row>70</xdr:row>
      <xdr:rowOff>95250</xdr:rowOff>
    </xdr:from>
    <xdr:to>
      <xdr:col>120</xdr:col>
      <xdr:colOff>480</xdr:colOff>
      <xdr:row>70</xdr:row>
      <xdr:rowOff>96212</xdr:rowOff>
    </xdr:to>
    <xdr:cxnSp macro="">
      <xdr:nvCxnSpPr>
        <xdr:cNvPr id="51" name="직선 연결선 50">
          <a:extLst>
            <a:ext uri="{FF2B5EF4-FFF2-40B4-BE49-F238E27FC236}">
              <a16:creationId xmlns:a16="http://schemas.microsoft.com/office/drawing/2014/main" id="{400A422C-11A1-42E8-8729-210507C68B0D}"/>
            </a:ext>
          </a:extLst>
        </xdr:cNvPr>
        <xdr:cNvCxnSpPr/>
      </xdr:nvCxnSpPr>
      <xdr:spPr>
        <a:xfrm flipV="1">
          <a:off x="11436478" y="15233650"/>
          <a:ext cx="8014052" cy="962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76200</xdr:colOff>
      <xdr:row>72</xdr:row>
      <xdr:rowOff>88900</xdr:rowOff>
    </xdr:from>
    <xdr:to>
      <xdr:col>49</xdr:col>
      <xdr:colOff>102626</xdr:colOff>
      <xdr:row>72</xdr:row>
      <xdr:rowOff>88900</xdr:rowOff>
    </xdr:to>
    <xdr:cxnSp macro="">
      <xdr:nvCxnSpPr>
        <xdr:cNvPr id="52" name="직선 연결선 51">
          <a:extLst>
            <a:ext uri="{FF2B5EF4-FFF2-40B4-BE49-F238E27FC236}">
              <a16:creationId xmlns:a16="http://schemas.microsoft.com/office/drawing/2014/main" id="{EDFAA0B7-B651-4B2C-963E-77F00D06AF1D}"/>
            </a:ext>
          </a:extLst>
        </xdr:cNvPr>
        <xdr:cNvCxnSpPr/>
      </xdr:nvCxnSpPr>
      <xdr:spPr>
        <a:xfrm>
          <a:off x="9467850" y="15659100"/>
          <a:ext cx="2871226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57150</xdr:colOff>
      <xdr:row>74</xdr:row>
      <xdr:rowOff>101600</xdr:rowOff>
    </xdr:from>
    <xdr:to>
      <xdr:col>89</xdr:col>
      <xdr:colOff>94403</xdr:colOff>
      <xdr:row>74</xdr:row>
      <xdr:rowOff>101600</xdr:rowOff>
    </xdr:to>
    <xdr:cxnSp macro="">
      <xdr:nvCxnSpPr>
        <xdr:cNvPr id="53" name="직선 연결선 52">
          <a:extLst>
            <a:ext uri="{FF2B5EF4-FFF2-40B4-BE49-F238E27FC236}">
              <a16:creationId xmlns:a16="http://schemas.microsoft.com/office/drawing/2014/main" id="{9E9C6DEC-77A4-47D3-9CFB-5037441DF809}"/>
            </a:ext>
          </a:extLst>
        </xdr:cNvPr>
        <xdr:cNvCxnSpPr/>
      </xdr:nvCxnSpPr>
      <xdr:spPr>
        <a:xfrm flipV="1">
          <a:off x="9448800" y="16103600"/>
          <a:ext cx="6946053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82</xdr:col>
      <xdr:colOff>6415</xdr:colOff>
      <xdr:row>72</xdr:row>
      <xdr:rowOff>107950</xdr:rowOff>
    </xdr:from>
    <xdr:to>
      <xdr:col>120</xdr:col>
      <xdr:colOff>21893</xdr:colOff>
      <xdr:row>72</xdr:row>
      <xdr:rowOff>107950</xdr:rowOff>
    </xdr:to>
    <xdr:cxnSp macro="">
      <xdr:nvCxnSpPr>
        <xdr:cNvPr id="54" name="직선 연결선 53">
          <a:extLst>
            <a:ext uri="{FF2B5EF4-FFF2-40B4-BE49-F238E27FC236}">
              <a16:creationId xmlns:a16="http://schemas.microsoft.com/office/drawing/2014/main" id="{A51FD9AA-B769-44A3-9124-7236B72C330E}"/>
            </a:ext>
          </a:extLst>
        </xdr:cNvPr>
        <xdr:cNvCxnSpPr/>
      </xdr:nvCxnSpPr>
      <xdr:spPr>
        <a:xfrm flipV="1">
          <a:off x="15595665" y="15678150"/>
          <a:ext cx="3876278" cy="0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106</xdr:col>
      <xdr:colOff>6414</xdr:colOff>
      <xdr:row>74</xdr:row>
      <xdr:rowOff>107950</xdr:rowOff>
    </xdr:from>
    <xdr:to>
      <xdr:col>120</xdr:col>
      <xdr:colOff>8327</xdr:colOff>
      <xdr:row>74</xdr:row>
      <xdr:rowOff>109041</xdr:rowOff>
    </xdr:to>
    <xdr:cxnSp macro="">
      <xdr:nvCxnSpPr>
        <xdr:cNvPr id="55" name="직선 연결선 54">
          <a:extLst>
            <a:ext uri="{FF2B5EF4-FFF2-40B4-BE49-F238E27FC236}">
              <a16:creationId xmlns:a16="http://schemas.microsoft.com/office/drawing/2014/main" id="{FF89FB99-6313-41F6-B36A-9EBF1D4C9C97}"/>
            </a:ext>
          </a:extLst>
        </xdr:cNvPr>
        <xdr:cNvCxnSpPr/>
      </xdr:nvCxnSpPr>
      <xdr:spPr>
        <a:xfrm flipV="1">
          <a:off x="18034064" y="16109950"/>
          <a:ext cx="1424313" cy="1091"/>
        </a:xfrm>
        <a:prstGeom prst="line">
          <a:avLst/>
        </a:prstGeom>
        <a:ln w="31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41</xdr:col>
      <xdr:colOff>18921</xdr:colOff>
      <xdr:row>69</xdr:row>
      <xdr:rowOff>101279</xdr:rowOff>
    </xdr:from>
    <xdr:ext cx="371384" cy="248851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EECAF7C-CCE7-4340-A323-6AEE10563C89}"/>
            </a:ext>
          </a:extLst>
        </xdr:cNvPr>
        <xdr:cNvSpPr txBox="1"/>
      </xdr:nvSpPr>
      <xdr:spPr>
        <a:xfrm>
          <a:off x="11442571" y="15023779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oneCellAnchor>
    <xdr:from>
      <xdr:col>82</xdr:col>
      <xdr:colOff>24696</xdr:colOff>
      <xdr:row>71</xdr:row>
      <xdr:rowOff>120522</xdr:rowOff>
    </xdr:from>
    <xdr:ext cx="371384" cy="248851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165EAF91-58C5-4EAF-BC2B-A83C83DE7646}"/>
            </a:ext>
          </a:extLst>
        </xdr:cNvPr>
        <xdr:cNvSpPr txBox="1"/>
      </xdr:nvSpPr>
      <xdr:spPr>
        <a:xfrm>
          <a:off x="15613946" y="15474822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oneCellAnchor>
    <xdr:from>
      <xdr:col>106</xdr:col>
      <xdr:colOff>32007</xdr:colOff>
      <xdr:row>73</xdr:row>
      <xdr:rowOff>120522</xdr:rowOff>
    </xdr:from>
    <xdr:ext cx="371384" cy="248851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6167F09D-87F5-4B6B-8C69-DF9C2459B2D4}"/>
            </a:ext>
          </a:extLst>
        </xdr:cNvPr>
        <xdr:cNvSpPr txBox="1"/>
      </xdr:nvSpPr>
      <xdr:spPr>
        <a:xfrm>
          <a:off x="18059657" y="15906622"/>
          <a:ext cx="371384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>
              <a:solidFill>
                <a:srgbClr val="FF0000"/>
              </a:solidFill>
            </a:rPr>
            <a:t>hi-z</a:t>
          </a:r>
          <a:endParaRPr lang="ko-KR" altLang="en-US" sz="1000">
            <a:solidFill>
              <a:srgbClr val="FF0000"/>
            </a:solidFill>
          </a:endParaRPr>
        </a:p>
      </xdr:txBody>
    </xdr:sp>
    <xdr:clientData/>
  </xdr:oneCellAnchor>
  <xdr:twoCellAnchor>
    <xdr:from>
      <xdr:col>31</xdr:col>
      <xdr:colOff>12829</xdr:colOff>
      <xdr:row>4</xdr:row>
      <xdr:rowOff>51313</xdr:rowOff>
    </xdr:from>
    <xdr:to>
      <xdr:col>31</xdr:col>
      <xdr:colOff>84829</xdr:colOff>
      <xdr:row>5</xdr:row>
      <xdr:rowOff>13232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BD6B21B2-DF82-42DF-93DE-CED714600210}"/>
            </a:ext>
          </a:extLst>
        </xdr:cNvPr>
        <xdr:cNvGrpSpPr/>
      </xdr:nvGrpSpPr>
      <xdr:grpSpPr>
        <a:xfrm>
          <a:off x="10477535" y="923784"/>
          <a:ext cx="76763" cy="186036"/>
          <a:chOff x="8889969" y="717550"/>
          <a:chExt cx="95415" cy="260350"/>
        </a:xfrm>
      </xdr:grpSpPr>
      <xdr:sp macro="" textlink="">
        <xdr:nvSpPr>
          <xdr:cNvPr id="60" name="자유형: 도형 59">
            <a:extLst>
              <a:ext uri="{FF2B5EF4-FFF2-40B4-BE49-F238E27FC236}">
                <a16:creationId xmlns:a16="http://schemas.microsoft.com/office/drawing/2014/main" id="{B5917A47-9FE5-FC45-9609-F897E516B06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1" name="자유형: 도형 60">
            <a:extLst>
              <a:ext uri="{FF2B5EF4-FFF2-40B4-BE49-F238E27FC236}">
                <a16:creationId xmlns:a16="http://schemas.microsoft.com/office/drawing/2014/main" id="{D451AF92-658E-734D-86FF-B5D658CBEF7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24119</xdr:colOff>
      <xdr:row>4</xdr:row>
      <xdr:rowOff>49774</xdr:rowOff>
    </xdr:from>
    <xdr:to>
      <xdr:col>45</xdr:col>
      <xdr:colOff>96119</xdr:colOff>
      <xdr:row>5</xdr:row>
      <xdr:rowOff>11693</xdr:rowOff>
    </xdr:to>
    <xdr:grpSp>
      <xdr:nvGrpSpPr>
        <xdr:cNvPr id="62" name="그룹 61">
          <a:extLst>
            <a:ext uri="{FF2B5EF4-FFF2-40B4-BE49-F238E27FC236}">
              <a16:creationId xmlns:a16="http://schemas.microsoft.com/office/drawing/2014/main" id="{3A16BB9D-B478-4412-A0B8-20B002EEA27C}"/>
            </a:ext>
          </a:extLst>
        </xdr:cNvPr>
        <xdr:cNvGrpSpPr/>
      </xdr:nvGrpSpPr>
      <xdr:grpSpPr>
        <a:xfrm>
          <a:off x="11956235" y="927008"/>
          <a:ext cx="70413" cy="186036"/>
          <a:chOff x="8889969" y="717550"/>
          <a:chExt cx="95415" cy="260350"/>
        </a:xfrm>
      </xdr:grpSpPr>
      <xdr:sp macro="" textlink="">
        <xdr:nvSpPr>
          <xdr:cNvPr id="63" name="자유형: 도형 62">
            <a:extLst>
              <a:ext uri="{FF2B5EF4-FFF2-40B4-BE49-F238E27FC236}">
                <a16:creationId xmlns:a16="http://schemas.microsoft.com/office/drawing/2014/main" id="{911F2EEC-310C-950F-FDC9-17CD61DE3A9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4" name="자유형: 도형 63">
            <a:extLst>
              <a:ext uri="{FF2B5EF4-FFF2-40B4-BE49-F238E27FC236}">
                <a16:creationId xmlns:a16="http://schemas.microsoft.com/office/drawing/2014/main" id="{BB5E917B-5E6E-649C-E1AE-746F5458760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59</xdr:col>
      <xdr:colOff>22580</xdr:colOff>
      <xdr:row>4</xdr:row>
      <xdr:rowOff>41820</xdr:rowOff>
    </xdr:from>
    <xdr:to>
      <xdr:col>59</xdr:col>
      <xdr:colOff>94580</xdr:colOff>
      <xdr:row>5</xdr:row>
      <xdr:rowOff>3739</xdr:rowOff>
    </xdr:to>
    <xdr:grpSp>
      <xdr:nvGrpSpPr>
        <xdr:cNvPr id="65" name="그룹 64">
          <a:extLst>
            <a:ext uri="{FF2B5EF4-FFF2-40B4-BE49-F238E27FC236}">
              <a16:creationId xmlns:a16="http://schemas.microsoft.com/office/drawing/2014/main" id="{063105A1-686F-417A-B104-D123E330941F}"/>
            </a:ext>
          </a:extLst>
        </xdr:cNvPr>
        <xdr:cNvGrpSpPr/>
      </xdr:nvGrpSpPr>
      <xdr:grpSpPr>
        <a:xfrm>
          <a:off x="13418932" y="917466"/>
          <a:ext cx="70413" cy="186036"/>
          <a:chOff x="8889969" y="717550"/>
          <a:chExt cx="95415" cy="260350"/>
        </a:xfrm>
      </xdr:grpSpPr>
      <xdr:sp macro="" textlink="">
        <xdr:nvSpPr>
          <xdr:cNvPr id="66" name="자유형: 도형 65">
            <a:extLst>
              <a:ext uri="{FF2B5EF4-FFF2-40B4-BE49-F238E27FC236}">
                <a16:creationId xmlns:a16="http://schemas.microsoft.com/office/drawing/2014/main" id="{B16C475B-0083-079E-FF6E-C76D9604A4D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7" name="자유형: 도형 66">
            <a:extLst>
              <a:ext uri="{FF2B5EF4-FFF2-40B4-BE49-F238E27FC236}">
                <a16:creationId xmlns:a16="http://schemas.microsoft.com/office/drawing/2014/main" id="{64800E45-F5BA-DE5D-1176-71E9E4C3190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73</xdr:col>
      <xdr:colOff>27455</xdr:colOff>
      <xdr:row>4</xdr:row>
      <xdr:rowOff>40281</xdr:rowOff>
    </xdr:from>
    <xdr:to>
      <xdr:col>73</xdr:col>
      <xdr:colOff>99455</xdr:colOff>
      <xdr:row>5</xdr:row>
      <xdr:rowOff>2200</xdr:rowOff>
    </xdr:to>
    <xdr:grpSp>
      <xdr:nvGrpSpPr>
        <xdr:cNvPr id="68" name="그룹 67">
          <a:extLst>
            <a:ext uri="{FF2B5EF4-FFF2-40B4-BE49-F238E27FC236}">
              <a16:creationId xmlns:a16="http://schemas.microsoft.com/office/drawing/2014/main" id="{4CF935F4-562B-4D6A-A9E7-98173C8BB612}"/>
            </a:ext>
          </a:extLst>
        </xdr:cNvPr>
        <xdr:cNvGrpSpPr/>
      </xdr:nvGrpSpPr>
      <xdr:grpSpPr>
        <a:xfrm>
          <a:off x="14889630" y="914340"/>
          <a:ext cx="70412" cy="186036"/>
          <a:chOff x="8889969" y="717550"/>
          <a:chExt cx="95415" cy="260350"/>
        </a:xfrm>
      </xdr:grpSpPr>
      <xdr:sp macro="" textlink="">
        <xdr:nvSpPr>
          <xdr:cNvPr id="69" name="자유형: 도형 68">
            <a:extLst>
              <a:ext uri="{FF2B5EF4-FFF2-40B4-BE49-F238E27FC236}">
                <a16:creationId xmlns:a16="http://schemas.microsoft.com/office/drawing/2014/main" id="{B2F2AE2A-5EE9-3E66-2BEB-A31734C8AC7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0" name="자유형: 도형 69">
            <a:extLst>
              <a:ext uri="{FF2B5EF4-FFF2-40B4-BE49-F238E27FC236}">
                <a16:creationId xmlns:a16="http://schemas.microsoft.com/office/drawing/2014/main" id="{9FF3DF25-169A-FBEC-9CAF-3D7C7597173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87</xdr:col>
      <xdr:colOff>13088</xdr:colOff>
      <xdr:row>4</xdr:row>
      <xdr:rowOff>45156</xdr:rowOff>
    </xdr:from>
    <xdr:to>
      <xdr:col>87</xdr:col>
      <xdr:colOff>85088</xdr:colOff>
      <xdr:row>5</xdr:row>
      <xdr:rowOff>7075</xdr:rowOff>
    </xdr:to>
    <xdr:grpSp>
      <xdr:nvGrpSpPr>
        <xdr:cNvPr id="71" name="그룹 70">
          <a:extLst>
            <a:ext uri="{FF2B5EF4-FFF2-40B4-BE49-F238E27FC236}">
              <a16:creationId xmlns:a16="http://schemas.microsoft.com/office/drawing/2014/main" id="{358F748D-F3DF-4B47-821D-AC808EB95CB5}"/>
            </a:ext>
          </a:extLst>
        </xdr:cNvPr>
        <xdr:cNvGrpSpPr/>
      </xdr:nvGrpSpPr>
      <xdr:grpSpPr>
        <a:xfrm>
          <a:off x="16334735" y="920802"/>
          <a:ext cx="76763" cy="186036"/>
          <a:chOff x="8889969" y="717550"/>
          <a:chExt cx="95415" cy="260350"/>
        </a:xfrm>
      </xdr:grpSpPr>
      <xdr:sp macro="" textlink="">
        <xdr:nvSpPr>
          <xdr:cNvPr id="72" name="자유형: 도형 71">
            <a:extLst>
              <a:ext uri="{FF2B5EF4-FFF2-40B4-BE49-F238E27FC236}">
                <a16:creationId xmlns:a16="http://schemas.microsoft.com/office/drawing/2014/main" id="{3BB82946-F99F-246D-AD89-BE36A0D5091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3" name="자유형: 도형 72">
            <a:extLst>
              <a:ext uri="{FF2B5EF4-FFF2-40B4-BE49-F238E27FC236}">
                <a16:creationId xmlns:a16="http://schemas.microsoft.com/office/drawing/2014/main" id="{0D6C966A-01DF-86E2-035B-6FC9F17F80C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17962</xdr:colOff>
      <xdr:row>4</xdr:row>
      <xdr:rowOff>43617</xdr:rowOff>
    </xdr:from>
    <xdr:to>
      <xdr:col>101</xdr:col>
      <xdr:colOff>89962</xdr:colOff>
      <xdr:row>5</xdr:row>
      <xdr:rowOff>5536</xdr:rowOff>
    </xdr:to>
    <xdr:grpSp>
      <xdr:nvGrpSpPr>
        <xdr:cNvPr id="74" name="그룹 73">
          <a:extLst>
            <a:ext uri="{FF2B5EF4-FFF2-40B4-BE49-F238E27FC236}">
              <a16:creationId xmlns:a16="http://schemas.microsoft.com/office/drawing/2014/main" id="{876EC2E0-419D-4042-A9C9-CF2426B385C2}"/>
            </a:ext>
          </a:extLst>
        </xdr:cNvPr>
        <xdr:cNvGrpSpPr/>
      </xdr:nvGrpSpPr>
      <xdr:grpSpPr>
        <a:xfrm>
          <a:off x="17805433" y="919263"/>
          <a:ext cx="70412" cy="186036"/>
          <a:chOff x="8889969" y="717550"/>
          <a:chExt cx="95415" cy="260350"/>
        </a:xfrm>
      </xdr:grpSpPr>
      <xdr:sp macro="" textlink="">
        <xdr:nvSpPr>
          <xdr:cNvPr id="75" name="자유형: 도형 74">
            <a:extLst>
              <a:ext uri="{FF2B5EF4-FFF2-40B4-BE49-F238E27FC236}">
                <a16:creationId xmlns:a16="http://schemas.microsoft.com/office/drawing/2014/main" id="{0B7C5B6F-5B67-BAF4-2082-83C46E19C80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6" name="자유형: 도형 75">
            <a:extLst>
              <a:ext uri="{FF2B5EF4-FFF2-40B4-BE49-F238E27FC236}">
                <a16:creationId xmlns:a16="http://schemas.microsoft.com/office/drawing/2014/main" id="{242227F0-0F8E-4EAD-DFDC-5952446C649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29</xdr:col>
      <xdr:colOff>24119</xdr:colOff>
      <xdr:row>20</xdr:row>
      <xdr:rowOff>43359</xdr:rowOff>
    </xdr:from>
    <xdr:to>
      <xdr:col>29</xdr:col>
      <xdr:colOff>96119</xdr:colOff>
      <xdr:row>21</xdr:row>
      <xdr:rowOff>5278</xdr:rowOff>
    </xdr:to>
    <xdr:grpSp>
      <xdr:nvGrpSpPr>
        <xdr:cNvPr id="77" name="그룹 76">
          <a:extLst>
            <a:ext uri="{FF2B5EF4-FFF2-40B4-BE49-F238E27FC236}">
              <a16:creationId xmlns:a16="http://schemas.microsoft.com/office/drawing/2014/main" id="{772C2F8F-F997-4A62-AF0E-6E862A60A3EE}"/>
            </a:ext>
          </a:extLst>
        </xdr:cNvPr>
        <xdr:cNvGrpSpPr/>
      </xdr:nvGrpSpPr>
      <xdr:grpSpPr>
        <a:xfrm>
          <a:off x="10282824" y="4407770"/>
          <a:ext cx="70413" cy="178566"/>
          <a:chOff x="8889969" y="717550"/>
          <a:chExt cx="95415" cy="260350"/>
        </a:xfrm>
      </xdr:grpSpPr>
      <xdr:sp macro="" textlink="">
        <xdr:nvSpPr>
          <xdr:cNvPr id="78" name="자유형: 도형 77">
            <a:extLst>
              <a:ext uri="{FF2B5EF4-FFF2-40B4-BE49-F238E27FC236}">
                <a16:creationId xmlns:a16="http://schemas.microsoft.com/office/drawing/2014/main" id="{E83FE0C3-5094-69B5-8C7F-7C006DFB040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9" name="자유형: 도형 78">
            <a:extLst>
              <a:ext uri="{FF2B5EF4-FFF2-40B4-BE49-F238E27FC236}">
                <a16:creationId xmlns:a16="http://schemas.microsoft.com/office/drawing/2014/main" id="{73E746EF-7837-4522-FCDF-A5CD59E52E0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16166</xdr:colOff>
      <xdr:row>20</xdr:row>
      <xdr:rowOff>41820</xdr:rowOff>
    </xdr:from>
    <xdr:to>
      <xdr:col>37</xdr:col>
      <xdr:colOff>88166</xdr:colOff>
      <xdr:row>21</xdr:row>
      <xdr:rowOff>3739</xdr:rowOff>
    </xdr:to>
    <xdr:grpSp>
      <xdr:nvGrpSpPr>
        <xdr:cNvPr id="80" name="그룹 79">
          <a:extLst>
            <a:ext uri="{FF2B5EF4-FFF2-40B4-BE49-F238E27FC236}">
              <a16:creationId xmlns:a16="http://schemas.microsoft.com/office/drawing/2014/main" id="{E523D1C8-9C1D-4DF3-B119-741BB5C80CFC}"/>
            </a:ext>
          </a:extLst>
        </xdr:cNvPr>
        <xdr:cNvGrpSpPr/>
      </xdr:nvGrpSpPr>
      <xdr:grpSpPr>
        <a:xfrm>
          <a:off x="11108402" y="4406231"/>
          <a:ext cx="72000" cy="178566"/>
          <a:chOff x="8889969" y="717550"/>
          <a:chExt cx="95415" cy="260350"/>
        </a:xfrm>
      </xdr:grpSpPr>
      <xdr:sp macro="" textlink="">
        <xdr:nvSpPr>
          <xdr:cNvPr id="81" name="자유형: 도형 80">
            <a:extLst>
              <a:ext uri="{FF2B5EF4-FFF2-40B4-BE49-F238E27FC236}">
                <a16:creationId xmlns:a16="http://schemas.microsoft.com/office/drawing/2014/main" id="{FE19A33B-13A3-C4B6-958C-6ECA40AEE90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2" name="자유형: 도형 81">
            <a:extLst>
              <a:ext uri="{FF2B5EF4-FFF2-40B4-BE49-F238E27FC236}">
                <a16:creationId xmlns:a16="http://schemas.microsoft.com/office/drawing/2014/main" id="{D13097BD-7CE4-09D5-1A51-286C665DA02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27456</xdr:colOff>
      <xdr:row>20</xdr:row>
      <xdr:rowOff>53108</xdr:rowOff>
    </xdr:from>
    <xdr:to>
      <xdr:col>45</xdr:col>
      <xdr:colOff>99456</xdr:colOff>
      <xdr:row>21</xdr:row>
      <xdr:rowOff>15027</xdr:rowOff>
    </xdr:to>
    <xdr:grpSp>
      <xdr:nvGrpSpPr>
        <xdr:cNvPr id="83" name="그룹 82">
          <a:extLst>
            <a:ext uri="{FF2B5EF4-FFF2-40B4-BE49-F238E27FC236}">
              <a16:creationId xmlns:a16="http://schemas.microsoft.com/office/drawing/2014/main" id="{7AEF47A0-DD9D-4CEB-916A-F8BC780D54FE}"/>
            </a:ext>
          </a:extLst>
        </xdr:cNvPr>
        <xdr:cNvGrpSpPr/>
      </xdr:nvGrpSpPr>
      <xdr:grpSpPr>
        <a:xfrm>
          <a:off x="11961160" y="4414344"/>
          <a:ext cx="70412" cy="178566"/>
          <a:chOff x="8889969" y="717550"/>
          <a:chExt cx="95415" cy="260350"/>
        </a:xfrm>
      </xdr:grpSpPr>
      <xdr:sp macro="" textlink="">
        <xdr:nvSpPr>
          <xdr:cNvPr id="84" name="자유형: 도형 83">
            <a:extLst>
              <a:ext uri="{FF2B5EF4-FFF2-40B4-BE49-F238E27FC236}">
                <a16:creationId xmlns:a16="http://schemas.microsoft.com/office/drawing/2014/main" id="{83106673-98BB-F44C-EDBF-E79FE56A04B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5" name="자유형: 도형 84">
            <a:extLst>
              <a:ext uri="{FF2B5EF4-FFF2-40B4-BE49-F238E27FC236}">
                <a16:creationId xmlns:a16="http://schemas.microsoft.com/office/drawing/2014/main" id="{31629956-F146-062B-AF46-9EA838E7B6E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53</xdr:col>
      <xdr:colOff>32331</xdr:colOff>
      <xdr:row>20</xdr:row>
      <xdr:rowOff>45155</xdr:rowOff>
    </xdr:from>
    <xdr:to>
      <xdr:col>54</xdr:col>
      <xdr:colOff>2731</xdr:colOff>
      <xdr:row>21</xdr:row>
      <xdr:rowOff>7074</xdr:rowOff>
    </xdr:to>
    <xdr:grpSp>
      <xdr:nvGrpSpPr>
        <xdr:cNvPr id="86" name="그룹 85">
          <a:extLst>
            <a:ext uri="{FF2B5EF4-FFF2-40B4-BE49-F238E27FC236}">
              <a16:creationId xmlns:a16="http://schemas.microsoft.com/office/drawing/2014/main" id="{ECAEAD06-1862-41DF-A138-2E4784AA56C0}"/>
            </a:ext>
          </a:extLst>
        </xdr:cNvPr>
        <xdr:cNvGrpSpPr/>
      </xdr:nvGrpSpPr>
      <xdr:grpSpPr>
        <a:xfrm>
          <a:off x="12797978" y="4409566"/>
          <a:ext cx="78164" cy="178566"/>
          <a:chOff x="8889969" y="717550"/>
          <a:chExt cx="95415" cy="260350"/>
        </a:xfrm>
      </xdr:grpSpPr>
      <xdr:sp macro="" textlink="">
        <xdr:nvSpPr>
          <xdr:cNvPr id="87" name="자유형: 도형 86">
            <a:extLst>
              <a:ext uri="{FF2B5EF4-FFF2-40B4-BE49-F238E27FC236}">
                <a16:creationId xmlns:a16="http://schemas.microsoft.com/office/drawing/2014/main" id="{DD8D5ED5-B4D1-8CF2-8BA0-C64C0700BBE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8" name="자유형: 도형 87">
            <a:extLst>
              <a:ext uri="{FF2B5EF4-FFF2-40B4-BE49-F238E27FC236}">
                <a16:creationId xmlns:a16="http://schemas.microsoft.com/office/drawing/2014/main" id="{8F82A17A-68BF-BE54-1962-EACF1996F1A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85</xdr:col>
      <xdr:colOff>24378</xdr:colOff>
      <xdr:row>20</xdr:row>
      <xdr:rowOff>37202</xdr:rowOff>
    </xdr:from>
    <xdr:to>
      <xdr:col>85</xdr:col>
      <xdr:colOff>96378</xdr:colOff>
      <xdr:row>21</xdr:row>
      <xdr:rowOff>1302</xdr:rowOff>
    </xdr:to>
    <xdr:grpSp>
      <xdr:nvGrpSpPr>
        <xdr:cNvPr id="89" name="그룹 88">
          <a:extLst>
            <a:ext uri="{FF2B5EF4-FFF2-40B4-BE49-F238E27FC236}">
              <a16:creationId xmlns:a16="http://schemas.microsoft.com/office/drawing/2014/main" id="{EB64B675-C9BE-421D-9F71-96743DA10527}"/>
            </a:ext>
          </a:extLst>
        </xdr:cNvPr>
        <xdr:cNvGrpSpPr/>
      </xdr:nvGrpSpPr>
      <xdr:grpSpPr>
        <a:xfrm>
          <a:off x="16140024" y="4400026"/>
          <a:ext cx="70413" cy="180747"/>
          <a:chOff x="8889969" y="717550"/>
          <a:chExt cx="95415" cy="260350"/>
        </a:xfrm>
      </xdr:grpSpPr>
      <xdr:sp macro="" textlink="">
        <xdr:nvSpPr>
          <xdr:cNvPr id="90" name="자유형: 도형 89">
            <a:extLst>
              <a:ext uri="{FF2B5EF4-FFF2-40B4-BE49-F238E27FC236}">
                <a16:creationId xmlns:a16="http://schemas.microsoft.com/office/drawing/2014/main" id="{54C12426-FAEB-1C77-E021-E872A98131B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1" name="자유형: 도형 90">
            <a:extLst>
              <a:ext uri="{FF2B5EF4-FFF2-40B4-BE49-F238E27FC236}">
                <a16:creationId xmlns:a16="http://schemas.microsoft.com/office/drawing/2014/main" id="{4035BF90-5F5A-F1DC-EEDC-09E8461E60F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16424</xdr:colOff>
      <xdr:row>20</xdr:row>
      <xdr:rowOff>42078</xdr:rowOff>
    </xdr:from>
    <xdr:to>
      <xdr:col>101</xdr:col>
      <xdr:colOff>88424</xdr:colOff>
      <xdr:row>21</xdr:row>
      <xdr:rowOff>3997</xdr:rowOff>
    </xdr:to>
    <xdr:grpSp>
      <xdr:nvGrpSpPr>
        <xdr:cNvPr id="92" name="그룹 91">
          <a:extLst>
            <a:ext uri="{FF2B5EF4-FFF2-40B4-BE49-F238E27FC236}">
              <a16:creationId xmlns:a16="http://schemas.microsoft.com/office/drawing/2014/main" id="{1453246E-C76E-4E5F-A1C0-B797681FBEFF}"/>
            </a:ext>
          </a:extLst>
        </xdr:cNvPr>
        <xdr:cNvGrpSpPr/>
      </xdr:nvGrpSpPr>
      <xdr:grpSpPr>
        <a:xfrm>
          <a:off x="17802307" y="4406489"/>
          <a:ext cx="72000" cy="178566"/>
          <a:chOff x="8889969" y="717550"/>
          <a:chExt cx="95415" cy="260350"/>
        </a:xfrm>
      </xdr:grpSpPr>
      <xdr:sp macro="" textlink="">
        <xdr:nvSpPr>
          <xdr:cNvPr id="93" name="자유형: 도형 92">
            <a:extLst>
              <a:ext uri="{FF2B5EF4-FFF2-40B4-BE49-F238E27FC236}">
                <a16:creationId xmlns:a16="http://schemas.microsoft.com/office/drawing/2014/main" id="{C3F3148F-E03E-AAE9-4793-CB57773039C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4" name="자유형: 도형 93">
            <a:extLst>
              <a:ext uri="{FF2B5EF4-FFF2-40B4-BE49-F238E27FC236}">
                <a16:creationId xmlns:a16="http://schemas.microsoft.com/office/drawing/2014/main" id="{9A83D79D-17FA-9CF0-9BD7-EADC1EE49BB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31</xdr:col>
      <xdr:colOff>9751</xdr:colOff>
      <xdr:row>36</xdr:row>
      <xdr:rowOff>41820</xdr:rowOff>
    </xdr:from>
    <xdr:to>
      <xdr:col>31</xdr:col>
      <xdr:colOff>81751</xdr:colOff>
      <xdr:row>37</xdr:row>
      <xdr:rowOff>3739</xdr:rowOff>
    </xdr:to>
    <xdr:grpSp>
      <xdr:nvGrpSpPr>
        <xdr:cNvPr id="95" name="그룹 94">
          <a:extLst>
            <a:ext uri="{FF2B5EF4-FFF2-40B4-BE49-F238E27FC236}">
              <a16:creationId xmlns:a16="http://schemas.microsoft.com/office/drawing/2014/main" id="{626547F1-7A34-4689-A42F-A5E865E8D667}"/>
            </a:ext>
          </a:extLst>
        </xdr:cNvPr>
        <xdr:cNvGrpSpPr/>
      </xdr:nvGrpSpPr>
      <xdr:grpSpPr>
        <a:xfrm>
          <a:off x="10479220" y="7872583"/>
          <a:ext cx="70412" cy="178567"/>
          <a:chOff x="8889969" y="717550"/>
          <a:chExt cx="95415" cy="260350"/>
        </a:xfrm>
      </xdr:grpSpPr>
      <xdr:sp macro="" textlink="">
        <xdr:nvSpPr>
          <xdr:cNvPr id="96" name="자유형: 도형 95">
            <a:extLst>
              <a:ext uri="{FF2B5EF4-FFF2-40B4-BE49-F238E27FC236}">
                <a16:creationId xmlns:a16="http://schemas.microsoft.com/office/drawing/2014/main" id="{7E90460B-6B60-B247-9BD0-62C8AD8E213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7" name="자유형: 도형 96">
            <a:extLst>
              <a:ext uri="{FF2B5EF4-FFF2-40B4-BE49-F238E27FC236}">
                <a16:creationId xmlns:a16="http://schemas.microsoft.com/office/drawing/2014/main" id="{9830ECA7-262B-5439-F658-3AC02DAE204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21041</xdr:colOff>
      <xdr:row>36</xdr:row>
      <xdr:rowOff>40281</xdr:rowOff>
    </xdr:from>
    <xdr:to>
      <xdr:col>45</xdr:col>
      <xdr:colOff>93041</xdr:colOff>
      <xdr:row>37</xdr:row>
      <xdr:rowOff>2200</xdr:rowOff>
    </xdr:to>
    <xdr:grpSp>
      <xdr:nvGrpSpPr>
        <xdr:cNvPr id="98" name="그룹 97">
          <a:extLst>
            <a:ext uri="{FF2B5EF4-FFF2-40B4-BE49-F238E27FC236}">
              <a16:creationId xmlns:a16="http://schemas.microsoft.com/office/drawing/2014/main" id="{65533E5E-D695-4470-BF8D-40D1457AE5A4}"/>
            </a:ext>
          </a:extLst>
        </xdr:cNvPr>
        <xdr:cNvGrpSpPr/>
      </xdr:nvGrpSpPr>
      <xdr:grpSpPr>
        <a:xfrm>
          <a:off x="11951570" y="7869457"/>
          <a:ext cx="72000" cy="178567"/>
          <a:chOff x="8889969" y="717550"/>
          <a:chExt cx="95415" cy="260350"/>
        </a:xfrm>
      </xdr:grpSpPr>
      <xdr:sp macro="" textlink="">
        <xdr:nvSpPr>
          <xdr:cNvPr id="99" name="자유형: 도형 98">
            <a:extLst>
              <a:ext uri="{FF2B5EF4-FFF2-40B4-BE49-F238E27FC236}">
                <a16:creationId xmlns:a16="http://schemas.microsoft.com/office/drawing/2014/main" id="{1B142180-5CF9-8A91-AAC0-1D0A027CD76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0" name="자유형: 도형 99">
            <a:extLst>
              <a:ext uri="{FF2B5EF4-FFF2-40B4-BE49-F238E27FC236}">
                <a16:creationId xmlns:a16="http://schemas.microsoft.com/office/drawing/2014/main" id="{49AE63C9-BD94-E70C-FC1D-0C46C46D350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59</xdr:col>
      <xdr:colOff>19502</xdr:colOff>
      <xdr:row>36</xdr:row>
      <xdr:rowOff>32327</xdr:rowOff>
    </xdr:from>
    <xdr:to>
      <xdr:col>59</xdr:col>
      <xdr:colOff>91502</xdr:colOff>
      <xdr:row>36</xdr:row>
      <xdr:rowOff>212327</xdr:rowOff>
    </xdr:to>
    <xdr:grpSp>
      <xdr:nvGrpSpPr>
        <xdr:cNvPr id="101" name="그룹 100">
          <a:extLst>
            <a:ext uri="{FF2B5EF4-FFF2-40B4-BE49-F238E27FC236}">
              <a16:creationId xmlns:a16="http://schemas.microsoft.com/office/drawing/2014/main" id="{DCA012B8-BB02-444D-95B5-E97343DF68D1}"/>
            </a:ext>
          </a:extLst>
        </xdr:cNvPr>
        <xdr:cNvGrpSpPr/>
      </xdr:nvGrpSpPr>
      <xdr:grpSpPr>
        <a:xfrm>
          <a:off x="13414267" y="7859915"/>
          <a:ext cx="70412" cy="183175"/>
          <a:chOff x="8889969" y="717550"/>
          <a:chExt cx="95415" cy="260350"/>
        </a:xfrm>
      </xdr:grpSpPr>
      <xdr:sp macro="" textlink="">
        <xdr:nvSpPr>
          <xdr:cNvPr id="102" name="자유형: 도형 101">
            <a:extLst>
              <a:ext uri="{FF2B5EF4-FFF2-40B4-BE49-F238E27FC236}">
                <a16:creationId xmlns:a16="http://schemas.microsoft.com/office/drawing/2014/main" id="{D9AD2A17-DA80-44DA-4043-E91B1C87759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3" name="자유형: 도형 102">
            <a:extLst>
              <a:ext uri="{FF2B5EF4-FFF2-40B4-BE49-F238E27FC236}">
                <a16:creationId xmlns:a16="http://schemas.microsoft.com/office/drawing/2014/main" id="{BDB75272-587A-A116-00AB-8728BD2EF4E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73</xdr:col>
      <xdr:colOff>24377</xdr:colOff>
      <xdr:row>36</xdr:row>
      <xdr:rowOff>30788</xdr:rowOff>
    </xdr:from>
    <xdr:to>
      <xdr:col>73</xdr:col>
      <xdr:colOff>96377</xdr:colOff>
      <xdr:row>36</xdr:row>
      <xdr:rowOff>210788</xdr:rowOff>
    </xdr:to>
    <xdr:grpSp>
      <xdr:nvGrpSpPr>
        <xdr:cNvPr id="104" name="그룹 103">
          <a:extLst>
            <a:ext uri="{FF2B5EF4-FFF2-40B4-BE49-F238E27FC236}">
              <a16:creationId xmlns:a16="http://schemas.microsoft.com/office/drawing/2014/main" id="{E191D645-32A0-4F12-8FC6-54070D90C312}"/>
            </a:ext>
          </a:extLst>
        </xdr:cNvPr>
        <xdr:cNvGrpSpPr/>
      </xdr:nvGrpSpPr>
      <xdr:grpSpPr>
        <a:xfrm>
          <a:off x="14884964" y="7863139"/>
          <a:ext cx="70413" cy="176825"/>
          <a:chOff x="8889969" y="717550"/>
          <a:chExt cx="95415" cy="260350"/>
        </a:xfrm>
      </xdr:grpSpPr>
      <xdr:sp macro="" textlink="">
        <xdr:nvSpPr>
          <xdr:cNvPr id="105" name="자유형: 도형 104">
            <a:extLst>
              <a:ext uri="{FF2B5EF4-FFF2-40B4-BE49-F238E27FC236}">
                <a16:creationId xmlns:a16="http://schemas.microsoft.com/office/drawing/2014/main" id="{84097E04-880C-FACF-238D-DE63B421244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자유형: 도형 105">
            <a:extLst>
              <a:ext uri="{FF2B5EF4-FFF2-40B4-BE49-F238E27FC236}">
                <a16:creationId xmlns:a16="http://schemas.microsoft.com/office/drawing/2014/main" id="{3EE996DE-A369-C638-7965-AF804B95B16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87</xdr:col>
      <xdr:colOff>10010</xdr:colOff>
      <xdr:row>36</xdr:row>
      <xdr:rowOff>35663</xdr:rowOff>
    </xdr:from>
    <xdr:to>
      <xdr:col>87</xdr:col>
      <xdr:colOff>82010</xdr:colOff>
      <xdr:row>36</xdr:row>
      <xdr:rowOff>215663</xdr:rowOff>
    </xdr:to>
    <xdr:grpSp>
      <xdr:nvGrpSpPr>
        <xdr:cNvPr id="107" name="그룹 106">
          <a:extLst>
            <a:ext uri="{FF2B5EF4-FFF2-40B4-BE49-F238E27FC236}">
              <a16:creationId xmlns:a16="http://schemas.microsoft.com/office/drawing/2014/main" id="{42B12BAB-F5BF-428D-B5E6-49EF09C2C92C}"/>
            </a:ext>
          </a:extLst>
        </xdr:cNvPr>
        <xdr:cNvGrpSpPr/>
      </xdr:nvGrpSpPr>
      <xdr:grpSpPr>
        <a:xfrm>
          <a:off x="16336420" y="7863251"/>
          <a:ext cx="70412" cy="183175"/>
          <a:chOff x="8889969" y="717550"/>
          <a:chExt cx="95415" cy="260350"/>
        </a:xfrm>
      </xdr:grpSpPr>
      <xdr:sp macro="" textlink="">
        <xdr:nvSpPr>
          <xdr:cNvPr id="108" name="자유형: 도형 107">
            <a:extLst>
              <a:ext uri="{FF2B5EF4-FFF2-40B4-BE49-F238E27FC236}">
                <a16:creationId xmlns:a16="http://schemas.microsoft.com/office/drawing/2014/main" id="{FFF30D81-E3AB-C335-E46E-D123ABEED1A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9" name="자유형: 도형 108">
            <a:extLst>
              <a:ext uri="{FF2B5EF4-FFF2-40B4-BE49-F238E27FC236}">
                <a16:creationId xmlns:a16="http://schemas.microsoft.com/office/drawing/2014/main" id="{EF195AFA-6F7D-970C-8478-289D1C8F1DA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14884</xdr:colOff>
      <xdr:row>36</xdr:row>
      <xdr:rowOff>34124</xdr:rowOff>
    </xdr:from>
    <xdr:to>
      <xdr:col>101</xdr:col>
      <xdr:colOff>86884</xdr:colOff>
      <xdr:row>36</xdr:row>
      <xdr:rowOff>214124</xdr:rowOff>
    </xdr:to>
    <xdr:grpSp>
      <xdr:nvGrpSpPr>
        <xdr:cNvPr id="110" name="그룹 109">
          <a:extLst>
            <a:ext uri="{FF2B5EF4-FFF2-40B4-BE49-F238E27FC236}">
              <a16:creationId xmlns:a16="http://schemas.microsoft.com/office/drawing/2014/main" id="{09A02756-7DD5-4C6A-A102-383494E0574C}"/>
            </a:ext>
          </a:extLst>
        </xdr:cNvPr>
        <xdr:cNvGrpSpPr/>
      </xdr:nvGrpSpPr>
      <xdr:grpSpPr>
        <a:xfrm>
          <a:off x="17800767" y="7861712"/>
          <a:ext cx="76763" cy="183175"/>
          <a:chOff x="8889969" y="717550"/>
          <a:chExt cx="95415" cy="260350"/>
        </a:xfrm>
      </xdr:grpSpPr>
      <xdr:sp macro="" textlink="">
        <xdr:nvSpPr>
          <xdr:cNvPr id="111" name="자유형: 도형 110">
            <a:extLst>
              <a:ext uri="{FF2B5EF4-FFF2-40B4-BE49-F238E27FC236}">
                <a16:creationId xmlns:a16="http://schemas.microsoft.com/office/drawing/2014/main" id="{2725A458-FFDB-EA55-EE1E-9C7B509B79D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2" name="자유형: 도형 111">
            <a:extLst>
              <a:ext uri="{FF2B5EF4-FFF2-40B4-BE49-F238E27FC236}">
                <a16:creationId xmlns:a16="http://schemas.microsoft.com/office/drawing/2014/main" id="{85A6D4BE-DAAF-03CF-5836-409FB0C45F6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21299</xdr:colOff>
      <xdr:row>20</xdr:row>
      <xdr:rowOff>53367</xdr:rowOff>
    </xdr:from>
    <xdr:to>
      <xdr:col>93</xdr:col>
      <xdr:colOff>93299</xdr:colOff>
      <xdr:row>21</xdr:row>
      <xdr:rowOff>15286</xdr:rowOff>
    </xdr:to>
    <xdr:grpSp>
      <xdr:nvGrpSpPr>
        <xdr:cNvPr id="113" name="그룹 112">
          <a:extLst>
            <a:ext uri="{FF2B5EF4-FFF2-40B4-BE49-F238E27FC236}">
              <a16:creationId xmlns:a16="http://schemas.microsoft.com/office/drawing/2014/main" id="{86181A78-4907-4DF9-811B-CB9E7609BE7E}"/>
            </a:ext>
          </a:extLst>
        </xdr:cNvPr>
        <xdr:cNvGrpSpPr/>
      </xdr:nvGrpSpPr>
      <xdr:grpSpPr>
        <a:xfrm>
          <a:off x="16972064" y="4414603"/>
          <a:ext cx="72000" cy="178566"/>
          <a:chOff x="8889969" y="717550"/>
          <a:chExt cx="95415" cy="260350"/>
        </a:xfrm>
      </xdr:grpSpPr>
      <xdr:sp macro="" textlink="">
        <xdr:nvSpPr>
          <xdr:cNvPr id="114" name="자유형: 도형 113">
            <a:extLst>
              <a:ext uri="{FF2B5EF4-FFF2-40B4-BE49-F238E27FC236}">
                <a16:creationId xmlns:a16="http://schemas.microsoft.com/office/drawing/2014/main" id="{CC8EFD77-5A6C-0BC2-E057-87726ED12AE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5" name="자유형: 도형 114">
            <a:extLst>
              <a:ext uri="{FF2B5EF4-FFF2-40B4-BE49-F238E27FC236}">
                <a16:creationId xmlns:a16="http://schemas.microsoft.com/office/drawing/2014/main" id="{B6CFC83E-3F53-75E0-A457-78F099743C7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77</xdr:col>
      <xdr:colOff>26175</xdr:colOff>
      <xdr:row>20</xdr:row>
      <xdr:rowOff>45413</xdr:rowOff>
    </xdr:from>
    <xdr:to>
      <xdr:col>77</xdr:col>
      <xdr:colOff>98175</xdr:colOff>
      <xdr:row>21</xdr:row>
      <xdr:rowOff>7332</xdr:rowOff>
    </xdr:to>
    <xdr:grpSp>
      <xdr:nvGrpSpPr>
        <xdr:cNvPr id="116" name="그룹 115">
          <a:extLst>
            <a:ext uri="{FF2B5EF4-FFF2-40B4-BE49-F238E27FC236}">
              <a16:creationId xmlns:a16="http://schemas.microsoft.com/office/drawing/2014/main" id="{435BC014-D3AF-46B0-B79E-F3242F642118}"/>
            </a:ext>
          </a:extLst>
        </xdr:cNvPr>
        <xdr:cNvGrpSpPr/>
      </xdr:nvGrpSpPr>
      <xdr:grpSpPr>
        <a:xfrm>
          <a:off x="15305115" y="4411412"/>
          <a:ext cx="72000" cy="178566"/>
          <a:chOff x="8889969" y="717550"/>
          <a:chExt cx="95415" cy="260350"/>
        </a:xfrm>
      </xdr:grpSpPr>
      <xdr:sp macro="" textlink="">
        <xdr:nvSpPr>
          <xdr:cNvPr id="117" name="자유형: 도형 116">
            <a:extLst>
              <a:ext uri="{FF2B5EF4-FFF2-40B4-BE49-F238E27FC236}">
                <a16:creationId xmlns:a16="http://schemas.microsoft.com/office/drawing/2014/main" id="{1FD754F3-CBDE-D2E0-98A9-0F088578BA1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8" name="자유형: 도형 117">
            <a:extLst>
              <a:ext uri="{FF2B5EF4-FFF2-40B4-BE49-F238E27FC236}">
                <a16:creationId xmlns:a16="http://schemas.microsoft.com/office/drawing/2014/main" id="{691FF948-8E15-815F-D694-AC7A442AEA2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61</xdr:col>
      <xdr:colOff>31049</xdr:colOff>
      <xdr:row>20</xdr:row>
      <xdr:rowOff>43874</xdr:rowOff>
    </xdr:from>
    <xdr:to>
      <xdr:col>62</xdr:col>
      <xdr:colOff>1449</xdr:colOff>
      <xdr:row>21</xdr:row>
      <xdr:rowOff>5793</xdr:rowOff>
    </xdr:to>
    <xdr:grpSp>
      <xdr:nvGrpSpPr>
        <xdr:cNvPr id="119" name="그룹 118">
          <a:extLst>
            <a:ext uri="{FF2B5EF4-FFF2-40B4-BE49-F238E27FC236}">
              <a16:creationId xmlns:a16="http://schemas.microsoft.com/office/drawing/2014/main" id="{1CF888E6-27D6-45FC-9CA3-4537077A04CA}"/>
            </a:ext>
          </a:extLst>
        </xdr:cNvPr>
        <xdr:cNvGrpSpPr/>
      </xdr:nvGrpSpPr>
      <xdr:grpSpPr>
        <a:xfrm>
          <a:off x="13633402" y="4408285"/>
          <a:ext cx="76576" cy="178566"/>
          <a:chOff x="8889969" y="717550"/>
          <a:chExt cx="95415" cy="260350"/>
        </a:xfrm>
      </xdr:grpSpPr>
      <xdr:sp macro="" textlink="">
        <xdr:nvSpPr>
          <xdr:cNvPr id="120" name="자유형: 도형 119">
            <a:extLst>
              <a:ext uri="{FF2B5EF4-FFF2-40B4-BE49-F238E27FC236}">
                <a16:creationId xmlns:a16="http://schemas.microsoft.com/office/drawing/2014/main" id="{1D04230B-60BB-569F-7139-2E7F19DA404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1" name="자유형: 도형 120">
            <a:extLst>
              <a:ext uri="{FF2B5EF4-FFF2-40B4-BE49-F238E27FC236}">
                <a16:creationId xmlns:a16="http://schemas.microsoft.com/office/drawing/2014/main" id="{7882EB25-1F03-A60F-93F1-2D4AFA82B2E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23096</xdr:colOff>
      <xdr:row>20</xdr:row>
      <xdr:rowOff>42335</xdr:rowOff>
    </xdr:from>
    <xdr:to>
      <xdr:col>69</xdr:col>
      <xdr:colOff>95096</xdr:colOff>
      <xdr:row>21</xdr:row>
      <xdr:rowOff>4254</xdr:rowOff>
    </xdr:to>
    <xdr:grpSp>
      <xdr:nvGrpSpPr>
        <xdr:cNvPr id="122" name="그룹 121">
          <a:extLst>
            <a:ext uri="{FF2B5EF4-FFF2-40B4-BE49-F238E27FC236}">
              <a16:creationId xmlns:a16="http://schemas.microsoft.com/office/drawing/2014/main" id="{D48B961D-9F0A-4EF0-A56F-041FC17713F1}"/>
            </a:ext>
          </a:extLst>
        </xdr:cNvPr>
        <xdr:cNvGrpSpPr/>
      </xdr:nvGrpSpPr>
      <xdr:grpSpPr>
        <a:xfrm>
          <a:off x="14465330" y="4406746"/>
          <a:ext cx="70413" cy="178566"/>
          <a:chOff x="8889969" y="717550"/>
          <a:chExt cx="95415" cy="260350"/>
        </a:xfrm>
      </xdr:grpSpPr>
      <xdr:sp macro="" textlink="">
        <xdr:nvSpPr>
          <xdr:cNvPr id="123" name="자유형: 도형 122">
            <a:extLst>
              <a:ext uri="{FF2B5EF4-FFF2-40B4-BE49-F238E27FC236}">
                <a16:creationId xmlns:a16="http://schemas.microsoft.com/office/drawing/2014/main" id="{BFE56ED5-0559-96E2-3FF3-461D6176C12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4" name="자유형: 도형 123">
            <a:extLst>
              <a:ext uri="{FF2B5EF4-FFF2-40B4-BE49-F238E27FC236}">
                <a16:creationId xmlns:a16="http://schemas.microsoft.com/office/drawing/2014/main" id="{E4F17997-E2F5-62AE-B223-34873BE50BA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29</xdr:col>
      <xdr:colOff>22579</xdr:colOff>
      <xdr:row>58</xdr:row>
      <xdr:rowOff>41820</xdr:rowOff>
    </xdr:from>
    <xdr:to>
      <xdr:col>29</xdr:col>
      <xdr:colOff>94579</xdr:colOff>
      <xdr:row>59</xdr:row>
      <xdr:rowOff>3739</xdr:rowOff>
    </xdr:to>
    <xdr:grpSp>
      <xdr:nvGrpSpPr>
        <xdr:cNvPr id="125" name="그룹 124">
          <a:extLst>
            <a:ext uri="{FF2B5EF4-FFF2-40B4-BE49-F238E27FC236}">
              <a16:creationId xmlns:a16="http://schemas.microsoft.com/office/drawing/2014/main" id="{EF15E402-CA00-4E23-892B-D8E91D170799}"/>
            </a:ext>
          </a:extLst>
        </xdr:cNvPr>
        <xdr:cNvGrpSpPr/>
      </xdr:nvGrpSpPr>
      <xdr:grpSpPr>
        <a:xfrm>
          <a:off x="10281284" y="12638819"/>
          <a:ext cx="70413" cy="178566"/>
          <a:chOff x="8889969" y="717550"/>
          <a:chExt cx="95415" cy="260350"/>
        </a:xfrm>
      </xdr:grpSpPr>
      <xdr:sp macro="" textlink="">
        <xdr:nvSpPr>
          <xdr:cNvPr id="126" name="자유형: 도형 125">
            <a:extLst>
              <a:ext uri="{FF2B5EF4-FFF2-40B4-BE49-F238E27FC236}">
                <a16:creationId xmlns:a16="http://schemas.microsoft.com/office/drawing/2014/main" id="{0FD81B1F-5FC5-3A41-CF31-A171ADE5F84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7" name="자유형: 도형 126">
            <a:extLst>
              <a:ext uri="{FF2B5EF4-FFF2-40B4-BE49-F238E27FC236}">
                <a16:creationId xmlns:a16="http://schemas.microsoft.com/office/drawing/2014/main" id="{7AE43A00-E34C-F544-F7DE-D6CCBB35658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14626</xdr:colOff>
      <xdr:row>58</xdr:row>
      <xdr:rowOff>40281</xdr:rowOff>
    </xdr:from>
    <xdr:to>
      <xdr:col>37</xdr:col>
      <xdr:colOff>86626</xdr:colOff>
      <xdr:row>59</xdr:row>
      <xdr:rowOff>2200</xdr:rowOff>
    </xdr:to>
    <xdr:grpSp>
      <xdr:nvGrpSpPr>
        <xdr:cNvPr id="128" name="그룹 127">
          <a:extLst>
            <a:ext uri="{FF2B5EF4-FFF2-40B4-BE49-F238E27FC236}">
              <a16:creationId xmlns:a16="http://schemas.microsoft.com/office/drawing/2014/main" id="{CC3FC4B0-0471-4B38-8634-F7DB8732AAFE}"/>
            </a:ext>
          </a:extLst>
        </xdr:cNvPr>
        <xdr:cNvGrpSpPr/>
      </xdr:nvGrpSpPr>
      <xdr:grpSpPr>
        <a:xfrm>
          <a:off x="11106862" y="12635693"/>
          <a:ext cx="76763" cy="178566"/>
          <a:chOff x="8889969" y="717550"/>
          <a:chExt cx="95415" cy="260350"/>
        </a:xfrm>
      </xdr:grpSpPr>
      <xdr:sp macro="" textlink="">
        <xdr:nvSpPr>
          <xdr:cNvPr id="129" name="자유형: 도형 128">
            <a:extLst>
              <a:ext uri="{FF2B5EF4-FFF2-40B4-BE49-F238E27FC236}">
                <a16:creationId xmlns:a16="http://schemas.microsoft.com/office/drawing/2014/main" id="{7BDE9370-4E5D-76BC-7986-80B08C3361D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0" name="자유형: 도형 129">
            <a:extLst>
              <a:ext uri="{FF2B5EF4-FFF2-40B4-BE49-F238E27FC236}">
                <a16:creationId xmlns:a16="http://schemas.microsoft.com/office/drawing/2014/main" id="{4FE0E1AE-9FCE-31D3-0DED-0604250B5CF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25916</xdr:colOff>
      <xdr:row>58</xdr:row>
      <xdr:rowOff>51569</xdr:rowOff>
    </xdr:from>
    <xdr:to>
      <xdr:col>45</xdr:col>
      <xdr:colOff>97916</xdr:colOff>
      <xdr:row>59</xdr:row>
      <xdr:rowOff>13488</xdr:rowOff>
    </xdr:to>
    <xdr:grpSp>
      <xdr:nvGrpSpPr>
        <xdr:cNvPr id="131" name="그룹 130">
          <a:extLst>
            <a:ext uri="{FF2B5EF4-FFF2-40B4-BE49-F238E27FC236}">
              <a16:creationId xmlns:a16="http://schemas.microsoft.com/office/drawing/2014/main" id="{2D3F5065-49C1-40AF-9924-E98B106D5CA9}"/>
            </a:ext>
          </a:extLst>
        </xdr:cNvPr>
        <xdr:cNvGrpSpPr/>
      </xdr:nvGrpSpPr>
      <xdr:grpSpPr>
        <a:xfrm>
          <a:off x="11958032" y="12645393"/>
          <a:ext cx="72000" cy="178566"/>
          <a:chOff x="8889969" y="717550"/>
          <a:chExt cx="95415" cy="260350"/>
        </a:xfrm>
      </xdr:grpSpPr>
      <xdr:sp macro="" textlink="">
        <xdr:nvSpPr>
          <xdr:cNvPr id="132" name="자유형: 도형 131">
            <a:extLst>
              <a:ext uri="{FF2B5EF4-FFF2-40B4-BE49-F238E27FC236}">
                <a16:creationId xmlns:a16="http://schemas.microsoft.com/office/drawing/2014/main" id="{173BAA84-F8AA-C979-8ACF-09C298DA68C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3" name="자유형: 도형 132">
            <a:extLst>
              <a:ext uri="{FF2B5EF4-FFF2-40B4-BE49-F238E27FC236}">
                <a16:creationId xmlns:a16="http://schemas.microsoft.com/office/drawing/2014/main" id="{A2CA997C-ADAA-FC1C-29B7-A88DC0882DD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53</xdr:col>
      <xdr:colOff>30791</xdr:colOff>
      <xdr:row>58</xdr:row>
      <xdr:rowOff>43616</xdr:rowOff>
    </xdr:from>
    <xdr:to>
      <xdr:col>54</xdr:col>
      <xdr:colOff>1191</xdr:colOff>
      <xdr:row>59</xdr:row>
      <xdr:rowOff>5535</xdr:rowOff>
    </xdr:to>
    <xdr:grpSp>
      <xdr:nvGrpSpPr>
        <xdr:cNvPr id="134" name="그룹 133">
          <a:extLst>
            <a:ext uri="{FF2B5EF4-FFF2-40B4-BE49-F238E27FC236}">
              <a16:creationId xmlns:a16="http://schemas.microsoft.com/office/drawing/2014/main" id="{78F4E62A-FE8D-49CC-B383-5B8C1B5D3B30}"/>
            </a:ext>
          </a:extLst>
        </xdr:cNvPr>
        <xdr:cNvGrpSpPr/>
      </xdr:nvGrpSpPr>
      <xdr:grpSpPr>
        <a:xfrm>
          <a:off x="12801201" y="12640615"/>
          <a:ext cx="71814" cy="178566"/>
          <a:chOff x="8889969" y="717550"/>
          <a:chExt cx="95415" cy="260350"/>
        </a:xfrm>
      </xdr:grpSpPr>
      <xdr:sp macro="" textlink="">
        <xdr:nvSpPr>
          <xdr:cNvPr id="135" name="자유형: 도형 134">
            <a:extLst>
              <a:ext uri="{FF2B5EF4-FFF2-40B4-BE49-F238E27FC236}">
                <a16:creationId xmlns:a16="http://schemas.microsoft.com/office/drawing/2014/main" id="{05D37281-1643-F2BE-C8B5-E74BBBE3268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6" name="자유형: 도형 135">
            <a:extLst>
              <a:ext uri="{FF2B5EF4-FFF2-40B4-BE49-F238E27FC236}">
                <a16:creationId xmlns:a16="http://schemas.microsoft.com/office/drawing/2014/main" id="{F200278E-C0E6-156C-BF8F-D8364BD8D95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85</xdr:col>
      <xdr:colOff>22838</xdr:colOff>
      <xdr:row>58</xdr:row>
      <xdr:rowOff>35663</xdr:rowOff>
    </xdr:from>
    <xdr:to>
      <xdr:col>85</xdr:col>
      <xdr:colOff>94838</xdr:colOff>
      <xdr:row>58</xdr:row>
      <xdr:rowOff>215663</xdr:rowOff>
    </xdr:to>
    <xdr:grpSp>
      <xdr:nvGrpSpPr>
        <xdr:cNvPr id="137" name="그룹 136">
          <a:extLst>
            <a:ext uri="{FF2B5EF4-FFF2-40B4-BE49-F238E27FC236}">
              <a16:creationId xmlns:a16="http://schemas.microsoft.com/office/drawing/2014/main" id="{C24B7421-96CD-4200-A41F-14E9026ABA3E}"/>
            </a:ext>
          </a:extLst>
        </xdr:cNvPr>
        <xdr:cNvGrpSpPr/>
      </xdr:nvGrpSpPr>
      <xdr:grpSpPr>
        <a:xfrm>
          <a:off x="16138484" y="12629487"/>
          <a:ext cx="70413" cy="183175"/>
          <a:chOff x="8889969" y="717550"/>
          <a:chExt cx="95415" cy="260350"/>
        </a:xfrm>
      </xdr:grpSpPr>
      <xdr:sp macro="" textlink="">
        <xdr:nvSpPr>
          <xdr:cNvPr id="138" name="자유형: 도형 137">
            <a:extLst>
              <a:ext uri="{FF2B5EF4-FFF2-40B4-BE49-F238E27FC236}">
                <a16:creationId xmlns:a16="http://schemas.microsoft.com/office/drawing/2014/main" id="{0415649E-EDB7-867C-4E79-D9BBDFD1F20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9" name="자유형: 도형 138">
            <a:extLst>
              <a:ext uri="{FF2B5EF4-FFF2-40B4-BE49-F238E27FC236}">
                <a16:creationId xmlns:a16="http://schemas.microsoft.com/office/drawing/2014/main" id="{91E9E556-23AA-A138-BE2C-3C5FCDCE35D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14884</xdr:colOff>
      <xdr:row>58</xdr:row>
      <xdr:rowOff>40539</xdr:rowOff>
    </xdr:from>
    <xdr:to>
      <xdr:col>101</xdr:col>
      <xdr:colOff>86884</xdr:colOff>
      <xdr:row>59</xdr:row>
      <xdr:rowOff>2458</xdr:rowOff>
    </xdr:to>
    <xdr:grpSp>
      <xdr:nvGrpSpPr>
        <xdr:cNvPr id="140" name="그룹 139">
          <a:extLst>
            <a:ext uri="{FF2B5EF4-FFF2-40B4-BE49-F238E27FC236}">
              <a16:creationId xmlns:a16="http://schemas.microsoft.com/office/drawing/2014/main" id="{9BD2BF90-7663-474D-AE82-FE66D42200FF}"/>
            </a:ext>
          </a:extLst>
        </xdr:cNvPr>
        <xdr:cNvGrpSpPr/>
      </xdr:nvGrpSpPr>
      <xdr:grpSpPr>
        <a:xfrm>
          <a:off x="17800767" y="12637538"/>
          <a:ext cx="76763" cy="178566"/>
          <a:chOff x="8889969" y="717550"/>
          <a:chExt cx="95415" cy="260350"/>
        </a:xfrm>
      </xdr:grpSpPr>
      <xdr:sp macro="" textlink="">
        <xdr:nvSpPr>
          <xdr:cNvPr id="141" name="자유형: 도형 140">
            <a:extLst>
              <a:ext uri="{FF2B5EF4-FFF2-40B4-BE49-F238E27FC236}">
                <a16:creationId xmlns:a16="http://schemas.microsoft.com/office/drawing/2014/main" id="{43E2A3EC-A1B0-C236-6CE4-57D3789AE72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2" name="자유형: 도형 141">
            <a:extLst>
              <a:ext uri="{FF2B5EF4-FFF2-40B4-BE49-F238E27FC236}">
                <a16:creationId xmlns:a16="http://schemas.microsoft.com/office/drawing/2014/main" id="{73135809-0EF8-225A-85E6-C7B48AFD37A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19759</xdr:colOff>
      <xdr:row>58</xdr:row>
      <xdr:rowOff>51828</xdr:rowOff>
    </xdr:from>
    <xdr:to>
      <xdr:col>93</xdr:col>
      <xdr:colOff>91759</xdr:colOff>
      <xdr:row>59</xdr:row>
      <xdr:rowOff>13747</xdr:rowOff>
    </xdr:to>
    <xdr:grpSp>
      <xdr:nvGrpSpPr>
        <xdr:cNvPr id="143" name="그룹 142">
          <a:extLst>
            <a:ext uri="{FF2B5EF4-FFF2-40B4-BE49-F238E27FC236}">
              <a16:creationId xmlns:a16="http://schemas.microsoft.com/office/drawing/2014/main" id="{CAE6B747-0184-48DF-B55C-9A4A3BA08494}"/>
            </a:ext>
          </a:extLst>
        </xdr:cNvPr>
        <xdr:cNvGrpSpPr/>
      </xdr:nvGrpSpPr>
      <xdr:grpSpPr>
        <a:xfrm>
          <a:off x="16970524" y="12645652"/>
          <a:ext cx="70412" cy="178566"/>
          <a:chOff x="8889969" y="717550"/>
          <a:chExt cx="95415" cy="260350"/>
        </a:xfrm>
      </xdr:grpSpPr>
      <xdr:sp macro="" textlink="">
        <xdr:nvSpPr>
          <xdr:cNvPr id="144" name="자유형: 도형 143">
            <a:extLst>
              <a:ext uri="{FF2B5EF4-FFF2-40B4-BE49-F238E27FC236}">
                <a16:creationId xmlns:a16="http://schemas.microsoft.com/office/drawing/2014/main" id="{268072D2-B127-B90B-3EB0-9E0FA17C0DF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5" name="자유형: 도형 144">
            <a:extLst>
              <a:ext uri="{FF2B5EF4-FFF2-40B4-BE49-F238E27FC236}">
                <a16:creationId xmlns:a16="http://schemas.microsoft.com/office/drawing/2014/main" id="{A2292364-6AAB-5CF0-3357-071A92A0D8C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77</xdr:col>
      <xdr:colOff>24635</xdr:colOff>
      <xdr:row>58</xdr:row>
      <xdr:rowOff>43874</xdr:rowOff>
    </xdr:from>
    <xdr:to>
      <xdr:col>77</xdr:col>
      <xdr:colOff>96635</xdr:colOff>
      <xdr:row>59</xdr:row>
      <xdr:rowOff>5793</xdr:rowOff>
    </xdr:to>
    <xdr:grpSp>
      <xdr:nvGrpSpPr>
        <xdr:cNvPr id="146" name="그룹 145">
          <a:extLst>
            <a:ext uri="{FF2B5EF4-FFF2-40B4-BE49-F238E27FC236}">
              <a16:creationId xmlns:a16="http://schemas.microsoft.com/office/drawing/2014/main" id="{724602C1-3FCF-4751-944D-82140B35E461}"/>
            </a:ext>
          </a:extLst>
        </xdr:cNvPr>
        <xdr:cNvGrpSpPr/>
      </xdr:nvGrpSpPr>
      <xdr:grpSpPr>
        <a:xfrm>
          <a:off x="15303575" y="12640873"/>
          <a:ext cx="70413" cy="178566"/>
          <a:chOff x="8889969" y="717550"/>
          <a:chExt cx="95415" cy="260350"/>
        </a:xfrm>
      </xdr:grpSpPr>
      <xdr:sp macro="" textlink="">
        <xdr:nvSpPr>
          <xdr:cNvPr id="147" name="자유형: 도형 146">
            <a:extLst>
              <a:ext uri="{FF2B5EF4-FFF2-40B4-BE49-F238E27FC236}">
                <a16:creationId xmlns:a16="http://schemas.microsoft.com/office/drawing/2014/main" id="{B188CF6A-B338-56F5-709C-5CFDA06D013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8" name="자유형: 도형 147">
            <a:extLst>
              <a:ext uri="{FF2B5EF4-FFF2-40B4-BE49-F238E27FC236}">
                <a16:creationId xmlns:a16="http://schemas.microsoft.com/office/drawing/2014/main" id="{DE9AF9CA-8232-8AD9-3693-CA4E184B5B2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61</xdr:col>
      <xdr:colOff>29509</xdr:colOff>
      <xdr:row>58</xdr:row>
      <xdr:rowOff>42335</xdr:rowOff>
    </xdr:from>
    <xdr:to>
      <xdr:col>61</xdr:col>
      <xdr:colOff>101509</xdr:colOff>
      <xdr:row>59</xdr:row>
      <xdr:rowOff>4254</xdr:rowOff>
    </xdr:to>
    <xdr:grpSp>
      <xdr:nvGrpSpPr>
        <xdr:cNvPr id="149" name="그룹 148">
          <a:extLst>
            <a:ext uri="{FF2B5EF4-FFF2-40B4-BE49-F238E27FC236}">
              <a16:creationId xmlns:a16="http://schemas.microsoft.com/office/drawing/2014/main" id="{F8963233-A55A-403A-B6DD-BC41FDDD7F01}"/>
            </a:ext>
          </a:extLst>
        </xdr:cNvPr>
        <xdr:cNvGrpSpPr/>
      </xdr:nvGrpSpPr>
      <xdr:grpSpPr>
        <a:xfrm>
          <a:off x="13636625" y="12639334"/>
          <a:ext cx="70412" cy="178566"/>
          <a:chOff x="8889969" y="717550"/>
          <a:chExt cx="95415" cy="260350"/>
        </a:xfrm>
      </xdr:grpSpPr>
      <xdr:sp macro="" textlink="">
        <xdr:nvSpPr>
          <xdr:cNvPr id="150" name="자유형: 도형 149">
            <a:extLst>
              <a:ext uri="{FF2B5EF4-FFF2-40B4-BE49-F238E27FC236}">
                <a16:creationId xmlns:a16="http://schemas.microsoft.com/office/drawing/2014/main" id="{64212A47-DC89-049A-9DC9-DF3E6A2E97E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1" name="자유형: 도형 150">
            <a:extLst>
              <a:ext uri="{FF2B5EF4-FFF2-40B4-BE49-F238E27FC236}">
                <a16:creationId xmlns:a16="http://schemas.microsoft.com/office/drawing/2014/main" id="{1C93A496-1F7A-644C-7BD1-37CBDE48D44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21556</xdr:colOff>
      <xdr:row>58</xdr:row>
      <xdr:rowOff>40796</xdr:rowOff>
    </xdr:from>
    <xdr:to>
      <xdr:col>69</xdr:col>
      <xdr:colOff>93556</xdr:colOff>
      <xdr:row>59</xdr:row>
      <xdr:rowOff>2715</xdr:rowOff>
    </xdr:to>
    <xdr:grpSp>
      <xdr:nvGrpSpPr>
        <xdr:cNvPr id="152" name="그룹 151">
          <a:extLst>
            <a:ext uri="{FF2B5EF4-FFF2-40B4-BE49-F238E27FC236}">
              <a16:creationId xmlns:a16="http://schemas.microsoft.com/office/drawing/2014/main" id="{8E23590C-B2BB-44F9-8B91-C3BD18FD8D4F}"/>
            </a:ext>
          </a:extLst>
        </xdr:cNvPr>
        <xdr:cNvGrpSpPr/>
      </xdr:nvGrpSpPr>
      <xdr:grpSpPr>
        <a:xfrm>
          <a:off x="14463790" y="12637795"/>
          <a:ext cx="70413" cy="178566"/>
          <a:chOff x="8889969" y="717550"/>
          <a:chExt cx="95415" cy="260350"/>
        </a:xfrm>
      </xdr:grpSpPr>
      <xdr:sp macro="" textlink="">
        <xdr:nvSpPr>
          <xdr:cNvPr id="153" name="자유형: 도형 152">
            <a:extLst>
              <a:ext uri="{FF2B5EF4-FFF2-40B4-BE49-F238E27FC236}">
                <a16:creationId xmlns:a16="http://schemas.microsoft.com/office/drawing/2014/main" id="{7FE39665-E6CF-4F12-3ACE-E1E1E48C168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4" name="자유형: 도형 153">
            <a:extLst>
              <a:ext uri="{FF2B5EF4-FFF2-40B4-BE49-F238E27FC236}">
                <a16:creationId xmlns:a16="http://schemas.microsoft.com/office/drawing/2014/main" id="{10FB06D0-FE8E-C2AB-0610-C13880C6D63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41</xdr:col>
      <xdr:colOff>7553</xdr:colOff>
      <xdr:row>80</xdr:row>
      <xdr:rowOff>33209</xdr:rowOff>
    </xdr:from>
    <xdr:to>
      <xdr:col>41</xdr:col>
      <xdr:colOff>79553</xdr:colOff>
      <xdr:row>81</xdr:row>
      <xdr:rowOff>2858</xdr:rowOff>
    </xdr:to>
    <xdr:grpSp>
      <xdr:nvGrpSpPr>
        <xdr:cNvPr id="155" name="그룹 154">
          <a:extLst>
            <a:ext uri="{FF2B5EF4-FFF2-40B4-BE49-F238E27FC236}">
              <a16:creationId xmlns:a16="http://schemas.microsoft.com/office/drawing/2014/main" id="{FB629CB2-A8D3-49B3-B5E7-355A09F3E259}"/>
            </a:ext>
          </a:extLst>
        </xdr:cNvPr>
        <xdr:cNvGrpSpPr/>
      </xdr:nvGrpSpPr>
      <xdr:grpSpPr>
        <a:xfrm>
          <a:off x="11522904" y="17393268"/>
          <a:ext cx="70412" cy="189471"/>
          <a:chOff x="8889969" y="717550"/>
          <a:chExt cx="95415" cy="260350"/>
        </a:xfrm>
      </xdr:grpSpPr>
      <xdr:sp macro="" textlink="">
        <xdr:nvSpPr>
          <xdr:cNvPr id="156" name="자유형: 도형 155">
            <a:extLst>
              <a:ext uri="{FF2B5EF4-FFF2-40B4-BE49-F238E27FC236}">
                <a16:creationId xmlns:a16="http://schemas.microsoft.com/office/drawing/2014/main" id="{02F85A68-2917-921E-E56A-72CA4410FC7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7" name="자유형: 도형 156">
            <a:extLst>
              <a:ext uri="{FF2B5EF4-FFF2-40B4-BE49-F238E27FC236}">
                <a16:creationId xmlns:a16="http://schemas.microsoft.com/office/drawing/2014/main" id="{3021478B-4FD0-63B8-83DF-7416226300E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67</xdr:col>
      <xdr:colOff>7553</xdr:colOff>
      <xdr:row>80</xdr:row>
      <xdr:rowOff>33209</xdr:rowOff>
    </xdr:from>
    <xdr:to>
      <xdr:col>67</xdr:col>
      <xdr:colOff>79553</xdr:colOff>
      <xdr:row>81</xdr:row>
      <xdr:rowOff>2858</xdr:rowOff>
    </xdr:to>
    <xdr:grpSp>
      <xdr:nvGrpSpPr>
        <xdr:cNvPr id="158" name="그룹 157">
          <a:extLst>
            <a:ext uri="{FF2B5EF4-FFF2-40B4-BE49-F238E27FC236}">
              <a16:creationId xmlns:a16="http://schemas.microsoft.com/office/drawing/2014/main" id="{6F491910-780E-465E-84E9-EB3D1DFA2BE7}"/>
            </a:ext>
          </a:extLst>
        </xdr:cNvPr>
        <xdr:cNvGrpSpPr/>
      </xdr:nvGrpSpPr>
      <xdr:grpSpPr>
        <a:xfrm>
          <a:off x="14242199" y="17393268"/>
          <a:ext cx="70412" cy="189471"/>
          <a:chOff x="8889969" y="717550"/>
          <a:chExt cx="95415" cy="260350"/>
        </a:xfrm>
      </xdr:grpSpPr>
      <xdr:sp macro="" textlink="">
        <xdr:nvSpPr>
          <xdr:cNvPr id="159" name="자유형: 도형 158">
            <a:extLst>
              <a:ext uri="{FF2B5EF4-FFF2-40B4-BE49-F238E27FC236}">
                <a16:creationId xmlns:a16="http://schemas.microsoft.com/office/drawing/2014/main" id="{4EB7B7C3-9254-9052-B32B-6F4769FA183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0" name="자유형: 도형 159">
            <a:extLst>
              <a:ext uri="{FF2B5EF4-FFF2-40B4-BE49-F238E27FC236}">
                <a16:creationId xmlns:a16="http://schemas.microsoft.com/office/drawing/2014/main" id="{49E44696-E6F6-7A3B-58F5-AD3CBAEC2D7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7553</xdr:colOff>
      <xdr:row>80</xdr:row>
      <xdr:rowOff>33209</xdr:rowOff>
    </xdr:from>
    <xdr:to>
      <xdr:col>93</xdr:col>
      <xdr:colOff>79553</xdr:colOff>
      <xdr:row>81</xdr:row>
      <xdr:rowOff>2858</xdr:rowOff>
    </xdr:to>
    <xdr:grpSp>
      <xdr:nvGrpSpPr>
        <xdr:cNvPr id="161" name="그룹 160">
          <a:extLst>
            <a:ext uri="{FF2B5EF4-FFF2-40B4-BE49-F238E27FC236}">
              <a16:creationId xmlns:a16="http://schemas.microsoft.com/office/drawing/2014/main" id="{A306E711-1949-4FDB-876D-083959B231A6}"/>
            </a:ext>
          </a:extLst>
        </xdr:cNvPr>
        <xdr:cNvGrpSpPr/>
      </xdr:nvGrpSpPr>
      <xdr:grpSpPr>
        <a:xfrm>
          <a:off x="16961493" y="17393268"/>
          <a:ext cx="70412" cy="189471"/>
          <a:chOff x="8889969" y="717550"/>
          <a:chExt cx="95415" cy="260350"/>
        </a:xfrm>
      </xdr:grpSpPr>
      <xdr:sp macro="" textlink="">
        <xdr:nvSpPr>
          <xdr:cNvPr id="162" name="자유형: 도형 161">
            <a:extLst>
              <a:ext uri="{FF2B5EF4-FFF2-40B4-BE49-F238E27FC236}">
                <a16:creationId xmlns:a16="http://schemas.microsoft.com/office/drawing/2014/main" id="{CB15D8AD-90CB-2BEF-FD31-D59DD272410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3" name="자유형: 도형 162">
            <a:extLst>
              <a:ext uri="{FF2B5EF4-FFF2-40B4-BE49-F238E27FC236}">
                <a16:creationId xmlns:a16="http://schemas.microsoft.com/office/drawing/2014/main" id="{113A1001-CA61-9611-DB68-88D8E1F27D9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67</xdr:col>
      <xdr:colOff>7553</xdr:colOff>
      <xdr:row>84</xdr:row>
      <xdr:rowOff>33209</xdr:rowOff>
    </xdr:from>
    <xdr:to>
      <xdr:col>67</xdr:col>
      <xdr:colOff>79553</xdr:colOff>
      <xdr:row>85</xdr:row>
      <xdr:rowOff>2858</xdr:rowOff>
    </xdr:to>
    <xdr:grpSp>
      <xdr:nvGrpSpPr>
        <xdr:cNvPr id="164" name="그룹 163">
          <a:extLst>
            <a:ext uri="{FF2B5EF4-FFF2-40B4-BE49-F238E27FC236}">
              <a16:creationId xmlns:a16="http://schemas.microsoft.com/office/drawing/2014/main" id="{05204EF8-DE26-42D2-9553-B5317CA01906}"/>
            </a:ext>
          </a:extLst>
        </xdr:cNvPr>
        <xdr:cNvGrpSpPr/>
      </xdr:nvGrpSpPr>
      <xdr:grpSpPr>
        <a:xfrm>
          <a:off x="14242199" y="18259856"/>
          <a:ext cx="70412" cy="189471"/>
          <a:chOff x="8889969" y="717550"/>
          <a:chExt cx="95415" cy="260350"/>
        </a:xfrm>
      </xdr:grpSpPr>
      <xdr:sp macro="" textlink="">
        <xdr:nvSpPr>
          <xdr:cNvPr id="165" name="자유형: 도형 164">
            <a:extLst>
              <a:ext uri="{FF2B5EF4-FFF2-40B4-BE49-F238E27FC236}">
                <a16:creationId xmlns:a16="http://schemas.microsoft.com/office/drawing/2014/main" id="{730F73EC-A017-4EDB-7350-E45AF43AA19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6" name="자유형: 도형 165">
            <a:extLst>
              <a:ext uri="{FF2B5EF4-FFF2-40B4-BE49-F238E27FC236}">
                <a16:creationId xmlns:a16="http://schemas.microsoft.com/office/drawing/2014/main" id="{4BF2D62D-409A-DB40-851C-ACC40B2C8C6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7553</xdr:colOff>
      <xdr:row>84</xdr:row>
      <xdr:rowOff>33209</xdr:rowOff>
    </xdr:from>
    <xdr:to>
      <xdr:col>93</xdr:col>
      <xdr:colOff>79553</xdr:colOff>
      <xdr:row>85</xdr:row>
      <xdr:rowOff>2858</xdr:rowOff>
    </xdr:to>
    <xdr:grpSp>
      <xdr:nvGrpSpPr>
        <xdr:cNvPr id="167" name="그룹 166">
          <a:extLst>
            <a:ext uri="{FF2B5EF4-FFF2-40B4-BE49-F238E27FC236}">
              <a16:creationId xmlns:a16="http://schemas.microsoft.com/office/drawing/2014/main" id="{BEC8EE2E-BAE3-4456-8B14-117E142B9F81}"/>
            </a:ext>
          </a:extLst>
        </xdr:cNvPr>
        <xdr:cNvGrpSpPr/>
      </xdr:nvGrpSpPr>
      <xdr:grpSpPr>
        <a:xfrm>
          <a:off x="16961493" y="18259856"/>
          <a:ext cx="70412" cy="189471"/>
          <a:chOff x="8889969" y="717550"/>
          <a:chExt cx="95415" cy="260350"/>
        </a:xfrm>
      </xdr:grpSpPr>
      <xdr:sp macro="" textlink="">
        <xdr:nvSpPr>
          <xdr:cNvPr id="168" name="자유형: 도형 167">
            <a:extLst>
              <a:ext uri="{FF2B5EF4-FFF2-40B4-BE49-F238E27FC236}">
                <a16:creationId xmlns:a16="http://schemas.microsoft.com/office/drawing/2014/main" id="{95820F7E-00D5-7425-B288-D1CD7D2CD34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9" name="자유형: 도형 168">
            <a:extLst>
              <a:ext uri="{FF2B5EF4-FFF2-40B4-BE49-F238E27FC236}">
                <a16:creationId xmlns:a16="http://schemas.microsoft.com/office/drawing/2014/main" id="{96A04992-789D-D29E-70FB-5044C1991F8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7553</xdr:colOff>
      <xdr:row>88</xdr:row>
      <xdr:rowOff>33209</xdr:rowOff>
    </xdr:from>
    <xdr:to>
      <xdr:col>93</xdr:col>
      <xdr:colOff>79553</xdr:colOff>
      <xdr:row>89</xdr:row>
      <xdr:rowOff>2858</xdr:rowOff>
    </xdr:to>
    <xdr:grpSp>
      <xdr:nvGrpSpPr>
        <xdr:cNvPr id="170" name="그룹 169">
          <a:extLst>
            <a:ext uri="{FF2B5EF4-FFF2-40B4-BE49-F238E27FC236}">
              <a16:creationId xmlns:a16="http://schemas.microsoft.com/office/drawing/2014/main" id="{67E4BC3F-2C00-4732-8D35-44C52B0EF18A}"/>
            </a:ext>
          </a:extLst>
        </xdr:cNvPr>
        <xdr:cNvGrpSpPr/>
      </xdr:nvGrpSpPr>
      <xdr:grpSpPr>
        <a:xfrm>
          <a:off x="16961493" y="19126445"/>
          <a:ext cx="70412" cy="189471"/>
          <a:chOff x="8889969" y="717550"/>
          <a:chExt cx="95415" cy="260350"/>
        </a:xfrm>
      </xdr:grpSpPr>
      <xdr:sp macro="" textlink="">
        <xdr:nvSpPr>
          <xdr:cNvPr id="171" name="자유형: 도형 170">
            <a:extLst>
              <a:ext uri="{FF2B5EF4-FFF2-40B4-BE49-F238E27FC236}">
                <a16:creationId xmlns:a16="http://schemas.microsoft.com/office/drawing/2014/main" id="{3B5242E9-2B3F-A430-FDDA-70770F04709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2" name="자유형: 도형 171">
            <a:extLst>
              <a:ext uri="{FF2B5EF4-FFF2-40B4-BE49-F238E27FC236}">
                <a16:creationId xmlns:a16="http://schemas.microsoft.com/office/drawing/2014/main" id="{66F19546-7CDA-F4D6-23D1-E2D3135ADEF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29</xdr:col>
      <xdr:colOff>24119</xdr:colOff>
      <xdr:row>101</xdr:row>
      <xdr:rowOff>43359</xdr:rowOff>
    </xdr:from>
    <xdr:to>
      <xdr:col>29</xdr:col>
      <xdr:colOff>96119</xdr:colOff>
      <xdr:row>102</xdr:row>
      <xdr:rowOff>5278</xdr:rowOff>
    </xdr:to>
    <xdr:grpSp>
      <xdr:nvGrpSpPr>
        <xdr:cNvPr id="173" name="그룹 172">
          <a:extLst>
            <a:ext uri="{FF2B5EF4-FFF2-40B4-BE49-F238E27FC236}">
              <a16:creationId xmlns:a16="http://schemas.microsoft.com/office/drawing/2014/main" id="{2EC81040-56C6-4710-ADB7-7D3098756FE1}"/>
            </a:ext>
          </a:extLst>
        </xdr:cNvPr>
        <xdr:cNvGrpSpPr/>
      </xdr:nvGrpSpPr>
      <xdr:grpSpPr>
        <a:xfrm>
          <a:off x="10282824" y="21956181"/>
          <a:ext cx="70413" cy="178566"/>
          <a:chOff x="8889969" y="717550"/>
          <a:chExt cx="95415" cy="260350"/>
        </a:xfrm>
      </xdr:grpSpPr>
      <xdr:sp macro="" textlink="">
        <xdr:nvSpPr>
          <xdr:cNvPr id="174" name="자유형: 도형 173">
            <a:extLst>
              <a:ext uri="{FF2B5EF4-FFF2-40B4-BE49-F238E27FC236}">
                <a16:creationId xmlns:a16="http://schemas.microsoft.com/office/drawing/2014/main" id="{C1B6D360-7A2E-2155-A1F1-F53B06E28F9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5" name="자유형: 도형 174">
            <a:extLst>
              <a:ext uri="{FF2B5EF4-FFF2-40B4-BE49-F238E27FC236}">
                <a16:creationId xmlns:a16="http://schemas.microsoft.com/office/drawing/2014/main" id="{7FD0FFAE-80E5-67AC-D8E4-1C1383B3C2B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16166</xdr:colOff>
      <xdr:row>101</xdr:row>
      <xdr:rowOff>41820</xdr:rowOff>
    </xdr:from>
    <xdr:to>
      <xdr:col>37</xdr:col>
      <xdr:colOff>88166</xdr:colOff>
      <xdr:row>102</xdr:row>
      <xdr:rowOff>3739</xdr:rowOff>
    </xdr:to>
    <xdr:grpSp>
      <xdr:nvGrpSpPr>
        <xdr:cNvPr id="176" name="그룹 175">
          <a:extLst>
            <a:ext uri="{FF2B5EF4-FFF2-40B4-BE49-F238E27FC236}">
              <a16:creationId xmlns:a16="http://schemas.microsoft.com/office/drawing/2014/main" id="{A6EB39C7-EB38-4143-A033-450D8581DB26}"/>
            </a:ext>
          </a:extLst>
        </xdr:cNvPr>
        <xdr:cNvGrpSpPr/>
      </xdr:nvGrpSpPr>
      <xdr:grpSpPr>
        <a:xfrm>
          <a:off x="11108402" y="21954642"/>
          <a:ext cx="72000" cy="178566"/>
          <a:chOff x="8889969" y="717550"/>
          <a:chExt cx="95415" cy="260350"/>
        </a:xfrm>
      </xdr:grpSpPr>
      <xdr:sp macro="" textlink="">
        <xdr:nvSpPr>
          <xdr:cNvPr id="177" name="자유형: 도형 176">
            <a:extLst>
              <a:ext uri="{FF2B5EF4-FFF2-40B4-BE49-F238E27FC236}">
                <a16:creationId xmlns:a16="http://schemas.microsoft.com/office/drawing/2014/main" id="{972DBBA8-1688-2051-072F-E285E6B135C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8" name="자유형: 도형 177">
            <a:extLst>
              <a:ext uri="{FF2B5EF4-FFF2-40B4-BE49-F238E27FC236}">
                <a16:creationId xmlns:a16="http://schemas.microsoft.com/office/drawing/2014/main" id="{B3AD20E4-BF9B-CD00-86B9-9CD8D6EC4FA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42</xdr:col>
      <xdr:colOff>48714</xdr:colOff>
      <xdr:row>101</xdr:row>
      <xdr:rowOff>46758</xdr:rowOff>
    </xdr:from>
    <xdr:to>
      <xdr:col>43</xdr:col>
      <xdr:colOff>10279</xdr:colOff>
      <xdr:row>102</xdr:row>
      <xdr:rowOff>8677</xdr:rowOff>
    </xdr:to>
    <xdr:grpSp>
      <xdr:nvGrpSpPr>
        <xdr:cNvPr id="179" name="그룹 178">
          <a:extLst>
            <a:ext uri="{FF2B5EF4-FFF2-40B4-BE49-F238E27FC236}">
              <a16:creationId xmlns:a16="http://schemas.microsoft.com/office/drawing/2014/main" id="{76BC6CEE-F94B-49EB-B0D6-7B41F727CB53}"/>
            </a:ext>
          </a:extLst>
        </xdr:cNvPr>
        <xdr:cNvGrpSpPr/>
      </xdr:nvGrpSpPr>
      <xdr:grpSpPr>
        <a:xfrm>
          <a:off x="11668654" y="21961168"/>
          <a:ext cx="66153" cy="178566"/>
          <a:chOff x="8889969" y="717550"/>
          <a:chExt cx="95415" cy="260350"/>
        </a:xfrm>
      </xdr:grpSpPr>
      <xdr:sp macro="" textlink="">
        <xdr:nvSpPr>
          <xdr:cNvPr id="180" name="자유형: 도형 179">
            <a:extLst>
              <a:ext uri="{FF2B5EF4-FFF2-40B4-BE49-F238E27FC236}">
                <a16:creationId xmlns:a16="http://schemas.microsoft.com/office/drawing/2014/main" id="{C1A7E826-E982-9278-F711-A43B14CA0A0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1" name="자유형: 도형 180">
            <a:extLst>
              <a:ext uri="{FF2B5EF4-FFF2-40B4-BE49-F238E27FC236}">
                <a16:creationId xmlns:a16="http://schemas.microsoft.com/office/drawing/2014/main" id="{F90D84AC-5378-B4BC-18DA-3DC5BFDC878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42</xdr:col>
      <xdr:colOff>14756</xdr:colOff>
      <xdr:row>107</xdr:row>
      <xdr:rowOff>26603</xdr:rowOff>
    </xdr:from>
    <xdr:to>
      <xdr:col>42</xdr:col>
      <xdr:colOff>86756</xdr:colOff>
      <xdr:row>107</xdr:row>
      <xdr:rowOff>202489</xdr:rowOff>
    </xdr:to>
    <xdr:grpSp>
      <xdr:nvGrpSpPr>
        <xdr:cNvPr id="182" name="그룹 181">
          <a:extLst>
            <a:ext uri="{FF2B5EF4-FFF2-40B4-BE49-F238E27FC236}">
              <a16:creationId xmlns:a16="http://schemas.microsoft.com/office/drawing/2014/main" id="{9D86974E-910D-42C5-84A2-80499B52DD10}"/>
            </a:ext>
          </a:extLst>
        </xdr:cNvPr>
        <xdr:cNvGrpSpPr/>
      </xdr:nvGrpSpPr>
      <xdr:grpSpPr>
        <a:xfrm>
          <a:off x="11629933" y="23240896"/>
          <a:ext cx="76763" cy="171123"/>
          <a:chOff x="8889969" y="717550"/>
          <a:chExt cx="95415" cy="260350"/>
        </a:xfrm>
      </xdr:grpSpPr>
      <xdr:sp macro="" textlink="">
        <xdr:nvSpPr>
          <xdr:cNvPr id="183" name="자유형: 도형 182">
            <a:extLst>
              <a:ext uri="{FF2B5EF4-FFF2-40B4-BE49-F238E27FC236}">
                <a16:creationId xmlns:a16="http://schemas.microsoft.com/office/drawing/2014/main" id="{1161E851-0081-14C6-2243-74A75E796E7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4" name="자유형: 도형 183">
            <a:extLst>
              <a:ext uri="{FF2B5EF4-FFF2-40B4-BE49-F238E27FC236}">
                <a16:creationId xmlns:a16="http://schemas.microsoft.com/office/drawing/2014/main" id="{386654F5-33FB-32C5-C169-F739F612AAC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15308</xdr:colOff>
      <xdr:row>107</xdr:row>
      <xdr:rowOff>20253</xdr:rowOff>
    </xdr:from>
    <xdr:to>
      <xdr:col>69</xdr:col>
      <xdr:colOff>87308</xdr:colOff>
      <xdr:row>107</xdr:row>
      <xdr:rowOff>196139</xdr:rowOff>
    </xdr:to>
    <xdr:grpSp>
      <xdr:nvGrpSpPr>
        <xdr:cNvPr id="185" name="그룹 184">
          <a:extLst>
            <a:ext uri="{FF2B5EF4-FFF2-40B4-BE49-F238E27FC236}">
              <a16:creationId xmlns:a16="http://schemas.microsoft.com/office/drawing/2014/main" id="{33FDC398-34BB-44C8-A2D9-B0F36289E83D}"/>
            </a:ext>
          </a:extLst>
        </xdr:cNvPr>
        <xdr:cNvGrpSpPr/>
      </xdr:nvGrpSpPr>
      <xdr:grpSpPr>
        <a:xfrm>
          <a:off x="14454367" y="23231371"/>
          <a:ext cx="76763" cy="177473"/>
          <a:chOff x="8889969" y="717550"/>
          <a:chExt cx="95415" cy="260350"/>
        </a:xfrm>
      </xdr:grpSpPr>
      <xdr:sp macro="" textlink="">
        <xdr:nvSpPr>
          <xdr:cNvPr id="186" name="자유형: 도형 185">
            <a:extLst>
              <a:ext uri="{FF2B5EF4-FFF2-40B4-BE49-F238E27FC236}">
                <a16:creationId xmlns:a16="http://schemas.microsoft.com/office/drawing/2014/main" id="{3E2DA3D6-FF21-F2FE-00B2-8C252CE9123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87" name="자유형: 도형 186">
            <a:extLst>
              <a:ext uri="{FF2B5EF4-FFF2-40B4-BE49-F238E27FC236}">
                <a16:creationId xmlns:a16="http://schemas.microsoft.com/office/drawing/2014/main" id="{584491AD-19AC-5273-EB3E-121AC29D631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15860</xdr:colOff>
      <xdr:row>107</xdr:row>
      <xdr:rowOff>7001</xdr:rowOff>
    </xdr:from>
    <xdr:to>
      <xdr:col>96</xdr:col>
      <xdr:colOff>87860</xdr:colOff>
      <xdr:row>107</xdr:row>
      <xdr:rowOff>182887</xdr:rowOff>
    </xdr:to>
    <xdr:grpSp>
      <xdr:nvGrpSpPr>
        <xdr:cNvPr id="188" name="그룹 187">
          <a:extLst>
            <a:ext uri="{FF2B5EF4-FFF2-40B4-BE49-F238E27FC236}">
              <a16:creationId xmlns:a16="http://schemas.microsoft.com/office/drawing/2014/main" id="{D1C256B5-9880-44D6-900F-2604AA356D5D}"/>
            </a:ext>
          </a:extLst>
        </xdr:cNvPr>
        <xdr:cNvGrpSpPr/>
      </xdr:nvGrpSpPr>
      <xdr:grpSpPr>
        <a:xfrm>
          <a:off x="17278801" y="23219706"/>
          <a:ext cx="76763" cy="177474"/>
          <a:chOff x="8889969" y="717550"/>
          <a:chExt cx="95415" cy="260350"/>
        </a:xfrm>
      </xdr:grpSpPr>
      <xdr:sp macro="" textlink="">
        <xdr:nvSpPr>
          <xdr:cNvPr id="189" name="자유형: 도형 188">
            <a:extLst>
              <a:ext uri="{FF2B5EF4-FFF2-40B4-BE49-F238E27FC236}">
                <a16:creationId xmlns:a16="http://schemas.microsoft.com/office/drawing/2014/main" id="{E055CDB8-AED6-FE30-8580-15DA0B57152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0" name="자유형: 도형 189">
            <a:extLst>
              <a:ext uri="{FF2B5EF4-FFF2-40B4-BE49-F238E27FC236}">
                <a16:creationId xmlns:a16="http://schemas.microsoft.com/office/drawing/2014/main" id="{5261A3D4-534C-A403-381E-E4A2313CCCE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48</xdr:col>
      <xdr:colOff>7853</xdr:colOff>
      <xdr:row>101</xdr:row>
      <xdr:rowOff>26604</xdr:rowOff>
    </xdr:from>
    <xdr:to>
      <xdr:col>48</xdr:col>
      <xdr:colOff>79853</xdr:colOff>
      <xdr:row>101</xdr:row>
      <xdr:rowOff>202490</xdr:rowOff>
    </xdr:to>
    <xdr:grpSp>
      <xdr:nvGrpSpPr>
        <xdr:cNvPr id="191" name="그룹 190">
          <a:extLst>
            <a:ext uri="{FF2B5EF4-FFF2-40B4-BE49-F238E27FC236}">
              <a16:creationId xmlns:a16="http://schemas.microsoft.com/office/drawing/2014/main" id="{330EB19E-B5CF-4339-B72B-AE5D899586D5}"/>
            </a:ext>
          </a:extLst>
        </xdr:cNvPr>
        <xdr:cNvGrpSpPr/>
      </xdr:nvGrpSpPr>
      <xdr:grpSpPr>
        <a:xfrm>
          <a:off x="12255322" y="21941014"/>
          <a:ext cx="70412" cy="171123"/>
          <a:chOff x="8889969" y="717550"/>
          <a:chExt cx="95415" cy="260350"/>
        </a:xfrm>
      </xdr:grpSpPr>
      <xdr:sp macro="" textlink="">
        <xdr:nvSpPr>
          <xdr:cNvPr id="192" name="자유형: 도형 191">
            <a:extLst>
              <a:ext uri="{FF2B5EF4-FFF2-40B4-BE49-F238E27FC236}">
                <a16:creationId xmlns:a16="http://schemas.microsoft.com/office/drawing/2014/main" id="{6AD25A02-B5A4-9C1E-37D5-6FAC1763CA3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3" name="자유형: 도형 192">
            <a:extLst>
              <a:ext uri="{FF2B5EF4-FFF2-40B4-BE49-F238E27FC236}">
                <a16:creationId xmlns:a16="http://schemas.microsoft.com/office/drawing/2014/main" id="{9323DD92-B08B-EB30-CFEF-462796F6334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56</xdr:col>
      <xdr:colOff>22210</xdr:colOff>
      <xdr:row>101</xdr:row>
      <xdr:rowOff>27156</xdr:rowOff>
    </xdr:from>
    <xdr:to>
      <xdr:col>56</xdr:col>
      <xdr:colOff>94210</xdr:colOff>
      <xdr:row>101</xdr:row>
      <xdr:rowOff>203042</xdr:rowOff>
    </xdr:to>
    <xdr:grpSp>
      <xdr:nvGrpSpPr>
        <xdr:cNvPr id="194" name="그룹 193">
          <a:extLst>
            <a:ext uri="{FF2B5EF4-FFF2-40B4-BE49-F238E27FC236}">
              <a16:creationId xmlns:a16="http://schemas.microsoft.com/office/drawing/2014/main" id="{30212E1A-8F8A-4036-9251-56A0A309F55F}"/>
            </a:ext>
          </a:extLst>
        </xdr:cNvPr>
        <xdr:cNvGrpSpPr/>
      </xdr:nvGrpSpPr>
      <xdr:grpSpPr>
        <a:xfrm>
          <a:off x="13104797" y="21941566"/>
          <a:ext cx="70413" cy="171123"/>
          <a:chOff x="8889969" y="717550"/>
          <a:chExt cx="95415" cy="260350"/>
        </a:xfrm>
      </xdr:grpSpPr>
      <xdr:sp macro="" textlink="">
        <xdr:nvSpPr>
          <xdr:cNvPr id="195" name="자유형: 도형 194">
            <a:extLst>
              <a:ext uri="{FF2B5EF4-FFF2-40B4-BE49-F238E27FC236}">
                <a16:creationId xmlns:a16="http://schemas.microsoft.com/office/drawing/2014/main" id="{03CE66CC-5BDC-D690-CDAD-04E1DA4B2D1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6" name="자유형: 도형 195">
            <a:extLst>
              <a:ext uri="{FF2B5EF4-FFF2-40B4-BE49-F238E27FC236}">
                <a16:creationId xmlns:a16="http://schemas.microsoft.com/office/drawing/2014/main" id="{21E5407A-915F-4C3E-B4FE-8528BB99F2D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64</xdr:col>
      <xdr:colOff>22762</xdr:colOff>
      <xdr:row>101</xdr:row>
      <xdr:rowOff>20806</xdr:rowOff>
    </xdr:from>
    <xdr:to>
      <xdr:col>64</xdr:col>
      <xdr:colOff>94762</xdr:colOff>
      <xdr:row>101</xdr:row>
      <xdr:rowOff>196692</xdr:rowOff>
    </xdr:to>
    <xdr:grpSp>
      <xdr:nvGrpSpPr>
        <xdr:cNvPr id="197" name="그룹 196">
          <a:extLst>
            <a:ext uri="{FF2B5EF4-FFF2-40B4-BE49-F238E27FC236}">
              <a16:creationId xmlns:a16="http://schemas.microsoft.com/office/drawing/2014/main" id="{161002FC-EED1-4709-9730-4B5343147695}"/>
            </a:ext>
          </a:extLst>
        </xdr:cNvPr>
        <xdr:cNvGrpSpPr/>
      </xdr:nvGrpSpPr>
      <xdr:grpSpPr>
        <a:xfrm>
          <a:off x="13942055" y="21932041"/>
          <a:ext cx="70413" cy="177473"/>
          <a:chOff x="8889969" y="717550"/>
          <a:chExt cx="95415" cy="260350"/>
        </a:xfrm>
      </xdr:grpSpPr>
      <xdr:sp macro="" textlink="">
        <xdr:nvSpPr>
          <xdr:cNvPr id="198" name="자유형: 도형 197">
            <a:extLst>
              <a:ext uri="{FF2B5EF4-FFF2-40B4-BE49-F238E27FC236}">
                <a16:creationId xmlns:a16="http://schemas.microsoft.com/office/drawing/2014/main" id="{87C7D47B-D701-B777-6DB8-44C86B3C54A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99" name="자유형: 도형 198">
            <a:extLst>
              <a:ext uri="{FF2B5EF4-FFF2-40B4-BE49-F238E27FC236}">
                <a16:creationId xmlns:a16="http://schemas.microsoft.com/office/drawing/2014/main" id="{2A37FAB2-A890-4F56-A00D-47E227BDBE3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57825</xdr:colOff>
      <xdr:row>101</xdr:row>
      <xdr:rowOff>35162</xdr:rowOff>
    </xdr:from>
    <xdr:to>
      <xdr:col>70</xdr:col>
      <xdr:colOff>19390</xdr:colOff>
      <xdr:row>101</xdr:row>
      <xdr:rowOff>211048</xdr:rowOff>
    </xdr:to>
    <xdr:grpSp>
      <xdr:nvGrpSpPr>
        <xdr:cNvPr id="200" name="그룹 199">
          <a:extLst>
            <a:ext uri="{FF2B5EF4-FFF2-40B4-BE49-F238E27FC236}">
              <a16:creationId xmlns:a16="http://schemas.microsoft.com/office/drawing/2014/main" id="{FDD512EE-ABB0-4F13-8FE8-8CBFD7DFB46C}"/>
            </a:ext>
          </a:extLst>
        </xdr:cNvPr>
        <xdr:cNvGrpSpPr/>
      </xdr:nvGrpSpPr>
      <xdr:grpSpPr>
        <a:xfrm>
          <a:off x="14498472" y="21944809"/>
          <a:ext cx="66153" cy="177474"/>
          <a:chOff x="8889969" y="717550"/>
          <a:chExt cx="95415" cy="260350"/>
        </a:xfrm>
      </xdr:grpSpPr>
      <xdr:sp macro="" textlink="">
        <xdr:nvSpPr>
          <xdr:cNvPr id="201" name="자유형: 도형 200">
            <a:extLst>
              <a:ext uri="{FF2B5EF4-FFF2-40B4-BE49-F238E27FC236}">
                <a16:creationId xmlns:a16="http://schemas.microsoft.com/office/drawing/2014/main" id="{FAA2B68F-96C3-AC0B-F2E8-C8D03710FB6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2" name="자유형: 도형 201">
            <a:extLst>
              <a:ext uri="{FF2B5EF4-FFF2-40B4-BE49-F238E27FC236}">
                <a16:creationId xmlns:a16="http://schemas.microsoft.com/office/drawing/2014/main" id="{F6D8AC8C-11F0-936E-A983-7B0DF54A2FE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75</xdr:col>
      <xdr:colOff>16964</xdr:colOff>
      <xdr:row>101</xdr:row>
      <xdr:rowOff>28812</xdr:rowOff>
    </xdr:from>
    <xdr:to>
      <xdr:col>75</xdr:col>
      <xdr:colOff>88964</xdr:colOff>
      <xdr:row>101</xdr:row>
      <xdr:rowOff>204698</xdr:rowOff>
    </xdr:to>
    <xdr:grpSp>
      <xdr:nvGrpSpPr>
        <xdr:cNvPr id="203" name="그룹 202">
          <a:extLst>
            <a:ext uri="{FF2B5EF4-FFF2-40B4-BE49-F238E27FC236}">
              <a16:creationId xmlns:a16="http://schemas.microsoft.com/office/drawing/2014/main" id="{4E25E657-5B9C-4044-99CF-08CD3CEF5F6B}"/>
            </a:ext>
          </a:extLst>
        </xdr:cNvPr>
        <xdr:cNvGrpSpPr/>
      </xdr:nvGrpSpPr>
      <xdr:grpSpPr>
        <a:xfrm>
          <a:off x="15085140" y="21943222"/>
          <a:ext cx="70412" cy="171123"/>
          <a:chOff x="8889969" y="717550"/>
          <a:chExt cx="95415" cy="260350"/>
        </a:xfrm>
      </xdr:grpSpPr>
      <xdr:sp macro="" textlink="">
        <xdr:nvSpPr>
          <xdr:cNvPr id="204" name="자유형: 도형 203">
            <a:extLst>
              <a:ext uri="{FF2B5EF4-FFF2-40B4-BE49-F238E27FC236}">
                <a16:creationId xmlns:a16="http://schemas.microsoft.com/office/drawing/2014/main" id="{C7A72D02-E063-830F-C4EF-A1BE74F6CFA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5" name="자유형: 도형 204">
            <a:extLst>
              <a:ext uri="{FF2B5EF4-FFF2-40B4-BE49-F238E27FC236}">
                <a16:creationId xmlns:a16="http://schemas.microsoft.com/office/drawing/2014/main" id="{F78E876A-FC56-963B-B61F-31203905CF6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83</xdr:col>
      <xdr:colOff>17517</xdr:colOff>
      <xdr:row>101</xdr:row>
      <xdr:rowOff>29363</xdr:rowOff>
    </xdr:from>
    <xdr:to>
      <xdr:col>83</xdr:col>
      <xdr:colOff>89517</xdr:colOff>
      <xdr:row>101</xdr:row>
      <xdr:rowOff>205249</xdr:rowOff>
    </xdr:to>
    <xdr:grpSp>
      <xdr:nvGrpSpPr>
        <xdr:cNvPr id="206" name="그룹 205">
          <a:extLst>
            <a:ext uri="{FF2B5EF4-FFF2-40B4-BE49-F238E27FC236}">
              <a16:creationId xmlns:a16="http://schemas.microsoft.com/office/drawing/2014/main" id="{AB3CBCC2-8968-43C7-AFDF-854550D60175}"/>
            </a:ext>
          </a:extLst>
        </xdr:cNvPr>
        <xdr:cNvGrpSpPr/>
      </xdr:nvGrpSpPr>
      <xdr:grpSpPr>
        <a:xfrm>
          <a:off x="15922399" y="21943773"/>
          <a:ext cx="70412" cy="171123"/>
          <a:chOff x="8889969" y="717550"/>
          <a:chExt cx="95415" cy="260350"/>
        </a:xfrm>
      </xdr:grpSpPr>
      <xdr:sp macro="" textlink="">
        <xdr:nvSpPr>
          <xdr:cNvPr id="207" name="자유형: 도형 206">
            <a:extLst>
              <a:ext uri="{FF2B5EF4-FFF2-40B4-BE49-F238E27FC236}">
                <a16:creationId xmlns:a16="http://schemas.microsoft.com/office/drawing/2014/main" id="{58354027-EBCD-E401-7B81-30489E5BE9D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8" name="자유형: 도형 207">
            <a:extLst>
              <a:ext uri="{FF2B5EF4-FFF2-40B4-BE49-F238E27FC236}">
                <a16:creationId xmlns:a16="http://schemas.microsoft.com/office/drawing/2014/main" id="{BA308068-382A-3DC3-487C-3E3174018AC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91</xdr:col>
      <xdr:colOff>31874</xdr:colOff>
      <xdr:row>101</xdr:row>
      <xdr:rowOff>23013</xdr:rowOff>
    </xdr:from>
    <xdr:to>
      <xdr:col>92</xdr:col>
      <xdr:colOff>2274</xdr:colOff>
      <xdr:row>101</xdr:row>
      <xdr:rowOff>198899</xdr:rowOff>
    </xdr:to>
    <xdr:grpSp>
      <xdr:nvGrpSpPr>
        <xdr:cNvPr id="209" name="그룹 208">
          <a:extLst>
            <a:ext uri="{FF2B5EF4-FFF2-40B4-BE49-F238E27FC236}">
              <a16:creationId xmlns:a16="http://schemas.microsoft.com/office/drawing/2014/main" id="{20558869-8A17-459E-98E0-A15368955B03}"/>
            </a:ext>
          </a:extLst>
        </xdr:cNvPr>
        <xdr:cNvGrpSpPr/>
      </xdr:nvGrpSpPr>
      <xdr:grpSpPr>
        <a:xfrm>
          <a:off x="16771874" y="21935835"/>
          <a:ext cx="76576" cy="177474"/>
          <a:chOff x="8889969" y="717550"/>
          <a:chExt cx="95415" cy="260350"/>
        </a:xfrm>
      </xdr:grpSpPr>
      <xdr:sp macro="" textlink="">
        <xdr:nvSpPr>
          <xdr:cNvPr id="210" name="자유형: 도형 209">
            <a:extLst>
              <a:ext uri="{FF2B5EF4-FFF2-40B4-BE49-F238E27FC236}">
                <a16:creationId xmlns:a16="http://schemas.microsoft.com/office/drawing/2014/main" id="{FCB881AD-AC2C-B83C-F669-16D430453F3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1" name="자유형: 도형 210">
            <a:extLst>
              <a:ext uri="{FF2B5EF4-FFF2-40B4-BE49-F238E27FC236}">
                <a16:creationId xmlns:a16="http://schemas.microsoft.com/office/drawing/2014/main" id="{42F031F4-5134-BD26-640C-8751D8827CD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101447</xdr:colOff>
      <xdr:row>101</xdr:row>
      <xdr:rowOff>23565</xdr:rowOff>
    </xdr:from>
    <xdr:to>
      <xdr:col>97</xdr:col>
      <xdr:colOff>63012</xdr:colOff>
      <xdr:row>101</xdr:row>
      <xdr:rowOff>199451</xdr:rowOff>
    </xdr:to>
    <xdr:grpSp>
      <xdr:nvGrpSpPr>
        <xdr:cNvPr id="212" name="그룹 211">
          <a:extLst>
            <a:ext uri="{FF2B5EF4-FFF2-40B4-BE49-F238E27FC236}">
              <a16:creationId xmlns:a16="http://schemas.microsoft.com/office/drawing/2014/main" id="{8006B8F5-68D5-40C1-B7B6-DF580FAF6A27}"/>
            </a:ext>
          </a:extLst>
        </xdr:cNvPr>
        <xdr:cNvGrpSpPr/>
      </xdr:nvGrpSpPr>
      <xdr:grpSpPr>
        <a:xfrm>
          <a:off x="17367563" y="21936387"/>
          <a:ext cx="66154" cy="177474"/>
          <a:chOff x="8889969" y="717550"/>
          <a:chExt cx="95415" cy="260350"/>
        </a:xfrm>
      </xdr:grpSpPr>
      <xdr:sp macro="" textlink="">
        <xdr:nvSpPr>
          <xdr:cNvPr id="213" name="자유형: 도형 212">
            <a:extLst>
              <a:ext uri="{FF2B5EF4-FFF2-40B4-BE49-F238E27FC236}">
                <a16:creationId xmlns:a16="http://schemas.microsoft.com/office/drawing/2014/main" id="{CBC77850-8957-A320-6FE6-FD5607E6BB4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4" name="자유형: 도형 213">
            <a:extLst>
              <a:ext uri="{FF2B5EF4-FFF2-40B4-BE49-F238E27FC236}">
                <a16:creationId xmlns:a16="http://schemas.microsoft.com/office/drawing/2014/main" id="{45318CB2-E4F3-DFA8-E0DA-B376E42821D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102</xdr:col>
      <xdr:colOff>5368</xdr:colOff>
      <xdr:row>101</xdr:row>
      <xdr:rowOff>31020</xdr:rowOff>
    </xdr:from>
    <xdr:to>
      <xdr:col>102</xdr:col>
      <xdr:colOff>77368</xdr:colOff>
      <xdr:row>101</xdr:row>
      <xdr:rowOff>206906</xdr:rowOff>
    </xdr:to>
    <xdr:grpSp>
      <xdr:nvGrpSpPr>
        <xdr:cNvPr id="215" name="그룹 214">
          <a:extLst>
            <a:ext uri="{FF2B5EF4-FFF2-40B4-BE49-F238E27FC236}">
              <a16:creationId xmlns:a16="http://schemas.microsoft.com/office/drawing/2014/main" id="{0E54CC40-DE98-411C-ACDE-9C2CE65679B6}"/>
            </a:ext>
          </a:extLst>
        </xdr:cNvPr>
        <xdr:cNvGrpSpPr/>
      </xdr:nvGrpSpPr>
      <xdr:grpSpPr>
        <a:xfrm>
          <a:off x="17899014" y="21940667"/>
          <a:ext cx="70413" cy="175886"/>
          <a:chOff x="8889969" y="717550"/>
          <a:chExt cx="95415" cy="260350"/>
        </a:xfrm>
      </xdr:grpSpPr>
      <xdr:sp macro="" textlink="">
        <xdr:nvSpPr>
          <xdr:cNvPr id="216" name="자유형: 도형 215">
            <a:extLst>
              <a:ext uri="{FF2B5EF4-FFF2-40B4-BE49-F238E27FC236}">
                <a16:creationId xmlns:a16="http://schemas.microsoft.com/office/drawing/2014/main" id="{B206FE4E-13AE-402A-8FD3-7DF8729A75F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17" name="자유형: 도형 216">
            <a:extLst>
              <a:ext uri="{FF2B5EF4-FFF2-40B4-BE49-F238E27FC236}">
                <a16:creationId xmlns:a16="http://schemas.microsoft.com/office/drawing/2014/main" id="{82889A7A-D2AC-DE13-67BB-6AAE4291B9D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22210</xdr:colOff>
      <xdr:row>111</xdr:row>
      <xdr:rowOff>6449</xdr:rowOff>
    </xdr:from>
    <xdr:to>
      <xdr:col>69</xdr:col>
      <xdr:colOff>94210</xdr:colOff>
      <xdr:row>111</xdr:row>
      <xdr:rowOff>182335</xdr:rowOff>
    </xdr:to>
    <xdr:grpSp>
      <xdr:nvGrpSpPr>
        <xdr:cNvPr id="218" name="그룹 217">
          <a:extLst>
            <a:ext uri="{FF2B5EF4-FFF2-40B4-BE49-F238E27FC236}">
              <a16:creationId xmlns:a16="http://schemas.microsoft.com/office/drawing/2014/main" id="{20CB6545-A1D8-4BCF-9C06-60F070D5D0A1}"/>
            </a:ext>
          </a:extLst>
        </xdr:cNvPr>
        <xdr:cNvGrpSpPr/>
      </xdr:nvGrpSpPr>
      <xdr:grpSpPr>
        <a:xfrm>
          <a:off x="14464444" y="24085742"/>
          <a:ext cx="70413" cy="177474"/>
          <a:chOff x="8889969" y="717550"/>
          <a:chExt cx="95415" cy="260350"/>
        </a:xfrm>
      </xdr:grpSpPr>
      <xdr:sp macro="" textlink="">
        <xdr:nvSpPr>
          <xdr:cNvPr id="219" name="자유형: 도형 218">
            <a:extLst>
              <a:ext uri="{FF2B5EF4-FFF2-40B4-BE49-F238E27FC236}">
                <a16:creationId xmlns:a16="http://schemas.microsoft.com/office/drawing/2014/main" id="{C515170F-A07C-51CA-2F4E-C4222FBA1EC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0" name="자유형: 도형 219">
            <a:extLst>
              <a:ext uri="{FF2B5EF4-FFF2-40B4-BE49-F238E27FC236}">
                <a16:creationId xmlns:a16="http://schemas.microsoft.com/office/drawing/2014/main" id="{D5146DB9-86E9-0E82-A3D8-034CFA41D3C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29664</xdr:colOff>
      <xdr:row>111</xdr:row>
      <xdr:rowOff>7002</xdr:rowOff>
    </xdr:from>
    <xdr:to>
      <xdr:col>97</xdr:col>
      <xdr:colOff>64</xdr:colOff>
      <xdr:row>111</xdr:row>
      <xdr:rowOff>182888</xdr:rowOff>
    </xdr:to>
    <xdr:grpSp>
      <xdr:nvGrpSpPr>
        <xdr:cNvPr id="221" name="그룹 220">
          <a:extLst>
            <a:ext uri="{FF2B5EF4-FFF2-40B4-BE49-F238E27FC236}">
              <a16:creationId xmlns:a16="http://schemas.microsoft.com/office/drawing/2014/main" id="{4D391435-B988-46B0-A420-106FA4741D64}"/>
            </a:ext>
          </a:extLst>
        </xdr:cNvPr>
        <xdr:cNvGrpSpPr/>
      </xdr:nvGrpSpPr>
      <xdr:grpSpPr>
        <a:xfrm>
          <a:off x="17297368" y="24086295"/>
          <a:ext cx="71814" cy="177474"/>
          <a:chOff x="8889969" y="717550"/>
          <a:chExt cx="95415" cy="260350"/>
        </a:xfrm>
      </xdr:grpSpPr>
      <xdr:sp macro="" textlink="">
        <xdr:nvSpPr>
          <xdr:cNvPr id="222" name="자유형: 도형 221">
            <a:extLst>
              <a:ext uri="{FF2B5EF4-FFF2-40B4-BE49-F238E27FC236}">
                <a16:creationId xmlns:a16="http://schemas.microsoft.com/office/drawing/2014/main" id="{11738553-0D57-2794-45DC-F6176267F4E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3" name="자유형: 도형 222">
            <a:extLst>
              <a:ext uri="{FF2B5EF4-FFF2-40B4-BE49-F238E27FC236}">
                <a16:creationId xmlns:a16="http://schemas.microsoft.com/office/drawing/2014/main" id="{FA525ED2-6AE3-98A1-4676-8F3C66CAE34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56</xdr:col>
      <xdr:colOff>22210</xdr:colOff>
      <xdr:row>109</xdr:row>
      <xdr:rowOff>27156</xdr:rowOff>
    </xdr:from>
    <xdr:to>
      <xdr:col>56</xdr:col>
      <xdr:colOff>94210</xdr:colOff>
      <xdr:row>109</xdr:row>
      <xdr:rowOff>203042</xdr:rowOff>
    </xdr:to>
    <xdr:grpSp>
      <xdr:nvGrpSpPr>
        <xdr:cNvPr id="224" name="그룹 223">
          <a:extLst>
            <a:ext uri="{FF2B5EF4-FFF2-40B4-BE49-F238E27FC236}">
              <a16:creationId xmlns:a16="http://schemas.microsoft.com/office/drawing/2014/main" id="{D16D3441-C71B-4997-BBF5-72DD565C94B6}"/>
            </a:ext>
          </a:extLst>
        </xdr:cNvPr>
        <xdr:cNvGrpSpPr/>
      </xdr:nvGrpSpPr>
      <xdr:grpSpPr>
        <a:xfrm>
          <a:off x="13104797" y="23674743"/>
          <a:ext cx="70413" cy="171123"/>
          <a:chOff x="8889969" y="717550"/>
          <a:chExt cx="95415" cy="260350"/>
        </a:xfrm>
      </xdr:grpSpPr>
      <xdr:sp macro="" textlink="">
        <xdr:nvSpPr>
          <xdr:cNvPr id="225" name="자유형: 도형 224">
            <a:extLst>
              <a:ext uri="{FF2B5EF4-FFF2-40B4-BE49-F238E27FC236}">
                <a16:creationId xmlns:a16="http://schemas.microsoft.com/office/drawing/2014/main" id="{57BB7A2E-E016-D1CB-C304-5275456C19A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6" name="자유형: 도형 225">
            <a:extLst>
              <a:ext uri="{FF2B5EF4-FFF2-40B4-BE49-F238E27FC236}">
                <a16:creationId xmlns:a16="http://schemas.microsoft.com/office/drawing/2014/main" id="{186DE749-004F-6108-5413-12723B33C0B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64</xdr:col>
      <xdr:colOff>22762</xdr:colOff>
      <xdr:row>109</xdr:row>
      <xdr:rowOff>20806</xdr:rowOff>
    </xdr:from>
    <xdr:to>
      <xdr:col>64</xdr:col>
      <xdr:colOff>94762</xdr:colOff>
      <xdr:row>109</xdr:row>
      <xdr:rowOff>196692</xdr:rowOff>
    </xdr:to>
    <xdr:grpSp>
      <xdr:nvGrpSpPr>
        <xdr:cNvPr id="227" name="그룹 226">
          <a:extLst>
            <a:ext uri="{FF2B5EF4-FFF2-40B4-BE49-F238E27FC236}">
              <a16:creationId xmlns:a16="http://schemas.microsoft.com/office/drawing/2014/main" id="{4C33A2F1-DC20-4AA1-95FB-175BEDE22D0D}"/>
            </a:ext>
          </a:extLst>
        </xdr:cNvPr>
        <xdr:cNvGrpSpPr/>
      </xdr:nvGrpSpPr>
      <xdr:grpSpPr>
        <a:xfrm>
          <a:off x="13942055" y="23665218"/>
          <a:ext cx="70413" cy="177473"/>
          <a:chOff x="8889969" y="717550"/>
          <a:chExt cx="95415" cy="260350"/>
        </a:xfrm>
      </xdr:grpSpPr>
      <xdr:sp macro="" textlink="">
        <xdr:nvSpPr>
          <xdr:cNvPr id="228" name="자유형: 도형 227">
            <a:extLst>
              <a:ext uri="{FF2B5EF4-FFF2-40B4-BE49-F238E27FC236}">
                <a16:creationId xmlns:a16="http://schemas.microsoft.com/office/drawing/2014/main" id="{EDB0F308-EAFD-9126-EA29-82E857DBC76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9" name="자유형: 도형 228">
            <a:extLst>
              <a:ext uri="{FF2B5EF4-FFF2-40B4-BE49-F238E27FC236}">
                <a16:creationId xmlns:a16="http://schemas.microsoft.com/office/drawing/2014/main" id="{5251B8DF-A80F-132E-CB30-1AEA9ED9204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57825</xdr:colOff>
      <xdr:row>109</xdr:row>
      <xdr:rowOff>35162</xdr:rowOff>
    </xdr:from>
    <xdr:to>
      <xdr:col>70</xdr:col>
      <xdr:colOff>19390</xdr:colOff>
      <xdr:row>109</xdr:row>
      <xdr:rowOff>211048</xdr:rowOff>
    </xdr:to>
    <xdr:grpSp>
      <xdr:nvGrpSpPr>
        <xdr:cNvPr id="230" name="그룹 229">
          <a:extLst>
            <a:ext uri="{FF2B5EF4-FFF2-40B4-BE49-F238E27FC236}">
              <a16:creationId xmlns:a16="http://schemas.microsoft.com/office/drawing/2014/main" id="{919D3EEA-7DDD-4412-AE8B-FC0D9979B3A8}"/>
            </a:ext>
          </a:extLst>
        </xdr:cNvPr>
        <xdr:cNvGrpSpPr/>
      </xdr:nvGrpSpPr>
      <xdr:grpSpPr>
        <a:xfrm>
          <a:off x="14498472" y="23677986"/>
          <a:ext cx="66153" cy="177474"/>
          <a:chOff x="8889969" y="717550"/>
          <a:chExt cx="95415" cy="260350"/>
        </a:xfrm>
      </xdr:grpSpPr>
      <xdr:sp macro="" textlink="">
        <xdr:nvSpPr>
          <xdr:cNvPr id="231" name="자유형: 도형 230">
            <a:extLst>
              <a:ext uri="{FF2B5EF4-FFF2-40B4-BE49-F238E27FC236}">
                <a16:creationId xmlns:a16="http://schemas.microsoft.com/office/drawing/2014/main" id="{2E9AC2F1-EA7E-7C59-F7C6-C08A34078C7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2" name="자유형: 도형 231">
            <a:extLst>
              <a:ext uri="{FF2B5EF4-FFF2-40B4-BE49-F238E27FC236}">
                <a16:creationId xmlns:a16="http://schemas.microsoft.com/office/drawing/2014/main" id="{0CAC5507-EA00-0E0C-5DC1-C0C44573787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75</xdr:col>
      <xdr:colOff>16964</xdr:colOff>
      <xdr:row>109</xdr:row>
      <xdr:rowOff>28812</xdr:rowOff>
    </xdr:from>
    <xdr:to>
      <xdr:col>75</xdr:col>
      <xdr:colOff>88964</xdr:colOff>
      <xdr:row>109</xdr:row>
      <xdr:rowOff>204698</xdr:rowOff>
    </xdr:to>
    <xdr:grpSp>
      <xdr:nvGrpSpPr>
        <xdr:cNvPr id="233" name="그룹 232">
          <a:extLst>
            <a:ext uri="{FF2B5EF4-FFF2-40B4-BE49-F238E27FC236}">
              <a16:creationId xmlns:a16="http://schemas.microsoft.com/office/drawing/2014/main" id="{39DB1179-10AC-4F29-868A-47CEC7F6D48E}"/>
            </a:ext>
          </a:extLst>
        </xdr:cNvPr>
        <xdr:cNvGrpSpPr/>
      </xdr:nvGrpSpPr>
      <xdr:grpSpPr>
        <a:xfrm>
          <a:off x="15085140" y="23676399"/>
          <a:ext cx="70412" cy="171123"/>
          <a:chOff x="8889969" y="717550"/>
          <a:chExt cx="95415" cy="260350"/>
        </a:xfrm>
      </xdr:grpSpPr>
      <xdr:sp macro="" textlink="">
        <xdr:nvSpPr>
          <xdr:cNvPr id="234" name="자유형: 도형 233">
            <a:extLst>
              <a:ext uri="{FF2B5EF4-FFF2-40B4-BE49-F238E27FC236}">
                <a16:creationId xmlns:a16="http://schemas.microsoft.com/office/drawing/2014/main" id="{C735E3BA-93AD-E261-D541-6774BD38A17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5" name="자유형: 도형 234">
            <a:extLst>
              <a:ext uri="{FF2B5EF4-FFF2-40B4-BE49-F238E27FC236}">
                <a16:creationId xmlns:a16="http://schemas.microsoft.com/office/drawing/2014/main" id="{9B4934CB-13B3-1806-BEC8-FED5B4AE1B1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83</xdr:col>
      <xdr:colOff>17517</xdr:colOff>
      <xdr:row>109</xdr:row>
      <xdr:rowOff>29363</xdr:rowOff>
    </xdr:from>
    <xdr:to>
      <xdr:col>83</xdr:col>
      <xdr:colOff>89517</xdr:colOff>
      <xdr:row>109</xdr:row>
      <xdr:rowOff>205249</xdr:rowOff>
    </xdr:to>
    <xdr:grpSp>
      <xdr:nvGrpSpPr>
        <xdr:cNvPr id="236" name="그룹 235">
          <a:extLst>
            <a:ext uri="{FF2B5EF4-FFF2-40B4-BE49-F238E27FC236}">
              <a16:creationId xmlns:a16="http://schemas.microsoft.com/office/drawing/2014/main" id="{615F9664-BAA1-49F5-84F1-C76EFE995365}"/>
            </a:ext>
          </a:extLst>
        </xdr:cNvPr>
        <xdr:cNvGrpSpPr/>
      </xdr:nvGrpSpPr>
      <xdr:grpSpPr>
        <a:xfrm>
          <a:off x="15922399" y="23676950"/>
          <a:ext cx="70412" cy="171123"/>
          <a:chOff x="8889969" y="717550"/>
          <a:chExt cx="95415" cy="260350"/>
        </a:xfrm>
      </xdr:grpSpPr>
      <xdr:sp macro="" textlink="">
        <xdr:nvSpPr>
          <xdr:cNvPr id="237" name="자유형: 도형 236">
            <a:extLst>
              <a:ext uri="{FF2B5EF4-FFF2-40B4-BE49-F238E27FC236}">
                <a16:creationId xmlns:a16="http://schemas.microsoft.com/office/drawing/2014/main" id="{3490DBC0-C6D8-9351-53E9-381A5F603FE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8" name="자유형: 도형 237">
            <a:extLst>
              <a:ext uri="{FF2B5EF4-FFF2-40B4-BE49-F238E27FC236}">
                <a16:creationId xmlns:a16="http://schemas.microsoft.com/office/drawing/2014/main" id="{5DE40B8C-93D7-E727-AE45-627D882A09A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91</xdr:col>
      <xdr:colOff>31874</xdr:colOff>
      <xdr:row>109</xdr:row>
      <xdr:rowOff>23013</xdr:rowOff>
    </xdr:from>
    <xdr:to>
      <xdr:col>92</xdr:col>
      <xdr:colOff>2274</xdr:colOff>
      <xdr:row>109</xdr:row>
      <xdr:rowOff>198899</xdr:rowOff>
    </xdr:to>
    <xdr:grpSp>
      <xdr:nvGrpSpPr>
        <xdr:cNvPr id="239" name="그룹 238">
          <a:extLst>
            <a:ext uri="{FF2B5EF4-FFF2-40B4-BE49-F238E27FC236}">
              <a16:creationId xmlns:a16="http://schemas.microsoft.com/office/drawing/2014/main" id="{C2D3ECD1-FE38-4F2B-9517-E1C1C0CF9AB8}"/>
            </a:ext>
          </a:extLst>
        </xdr:cNvPr>
        <xdr:cNvGrpSpPr/>
      </xdr:nvGrpSpPr>
      <xdr:grpSpPr>
        <a:xfrm>
          <a:off x="16771874" y="23669012"/>
          <a:ext cx="76576" cy="177474"/>
          <a:chOff x="8889969" y="717550"/>
          <a:chExt cx="95415" cy="260350"/>
        </a:xfrm>
      </xdr:grpSpPr>
      <xdr:sp macro="" textlink="">
        <xdr:nvSpPr>
          <xdr:cNvPr id="240" name="자유형: 도형 239">
            <a:extLst>
              <a:ext uri="{FF2B5EF4-FFF2-40B4-BE49-F238E27FC236}">
                <a16:creationId xmlns:a16="http://schemas.microsoft.com/office/drawing/2014/main" id="{B96DC2C2-08EC-62E7-AEA3-EAE1B75A0EA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1" name="자유형: 도형 240">
            <a:extLst>
              <a:ext uri="{FF2B5EF4-FFF2-40B4-BE49-F238E27FC236}">
                <a16:creationId xmlns:a16="http://schemas.microsoft.com/office/drawing/2014/main" id="{B5D486C4-9DD0-F3A2-CFDB-BA2E101FDE8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101447</xdr:colOff>
      <xdr:row>109</xdr:row>
      <xdr:rowOff>23565</xdr:rowOff>
    </xdr:from>
    <xdr:to>
      <xdr:col>97</xdr:col>
      <xdr:colOff>63012</xdr:colOff>
      <xdr:row>109</xdr:row>
      <xdr:rowOff>199451</xdr:rowOff>
    </xdr:to>
    <xdr:grpSp>
      <xdr:nvGrpSpPr>
        <xdr:cNvPr id="242" name="그룹 241">
          <a:extLst>
            <a:ext uri="{FF2B5EF4-FFF2-40B4-BE49-F238E27FC236}">
              <a16:creationId xmlns:a16="http://schemas.microsoft.com/office/drawing/2014/main" id="{9D38AB77-DF99-427C-A8A2-6A7BAD14BD3F}"/>
            </a:ext>
          </a:extLst>
        </xdr:cNvPr>
        <xdr:cNvGrpSpPr/>
      </xdr:nvGrpSpPr>
      <xdr:grpSpPr>
        <a:xfrm>
          <a:off x="17367563" y="23669564"/>
          <a:ext cx="66154" cy="177474"/>
          <a:chOff x="8889969" y="717550"/>
          <a:chExt cx="95415" cy="260350"/>
        </a:xfrm>
      </xdr:grpSpPr>
      <xdr:sp macro="" textlink="">
        <xdr:nvSpPr>
          <xdr:cNvPr id="243" name="자유형: 도형 242">
            <a:extLst>
              <a:ext uri="{FF2B5EF4-FFF2-40B4-BE49-F238E27FC236}">
                <a16:creationId xmlns:a16="http://schemas.microsoft.com/office/drawing/2014/main" id="{2B4D767C-6023-1CF6-BC57-C8CF6BA7827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4" name="자유형: 도형 243">
            <a:extLst>
              <a:ext uri="{FF2B5EF4-FFF2-40B4-BE49-F238E27FC236}">
                <a16:creationId xmlns:a16="http://schemas.microsoft.com/office/drawing/2014/main" id="{C3DDABBE-F972-F66C-CFB7-BF540488478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102</xdr:col>
      <xdr:colOff>5368</xdr:colOff>
      <xdr:row>109</xdr:row>
      <xdr:rowOff>31020</xdr:rowOff>
    </xdr:from>
    <xdr:to>
      <xdr:col>102</xdr:col>
      <xdr:colOff>77368</xdr:colOff>
      <xdr:row>109</xdr:row>
      <xdr:rowOff>206906</xdr:rowOff>
    </xdr:to>
    <xdr:grpSp>
      <xdr:nvGrpSpPr>
        <xdr:cNvPr id="245" name="그룹 244">
          <a:extLst>
            <a:ext uri="{FF2B5EF4-FFF2-40B4-BE49-F238E27FC236}">
              <a16:creationId xmlns:a16="http://schemas.microsoft.com/office/drawing/2014/main" id="{6E3E2EE2-313E-4A21-B92D-A21B32A93974}"/>
            </a:ext>
          </a:extLst>
        </xdr:cNvPr>
        <xdr:cNvGrpSpPr/>
      </xdr:nvGrpSpPr>
      <xdr:grpSpPr>
        <a:xfrm>
          <a:off x="17899014" y="23673844"/>
          <a:ext cx="70413" cy="175886"/>
          <a:chOff x="8889969" y="717550"/>
          <a:chExt cx="95415" cy="260350"/>
        </a:xfrm>
      </xdr:grpSpPr>
      <xdr:sp macro="" textlink="">
        <xdr:nvSpPr>
          <xdr:cNvPr id="246" name="자유형: 도형 245">
            <a:extLst>
              <a:ext uri="{FF2B5EF4-FFF2-40B4-BE49-F238E27FC236}">
                <a16:creationId xmlns:a16="http://schemas.microsoft.com/office/drawing/2014/main" id="{9C3136EB-428D-1279-9046-7F0DE1E0915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7" name="자유형: 도형 246">
            <a:extLst>
              <a:ext uri="{FF2B5EF4-FFF2-40B4-BE49-F238E27FC236}">
                <a16:creationId xmlns:a16="http://schemas.microsoft.com/office/drawing/2014/main" id="{9493E003-F2EB-14C9-AB95-EBCF1008F1C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22762</xdr:colOff>
      <xdr:row>115</xdr:row>
      <xdr:rowOff>99</xdr:rowOff>
    </xdr:from>
    <xdr:to>
      <xdr:col>96</xdr:col>
      <xdr:colOff>94762</xdr:colOff>
      <xdr:row>115</xdr:row>
      <xdr:rowOff>175985</xdr:rowOff>
    </xdr:to>
    <xdr:grpSp>
      <xdr:nvGrpSpPr>
        <xdr:cNvPr id="248" name="그룹 247">
          <a:extLst>
            <a:ext uri="{FF2B5EF4-FFF2-40B4-BE49-F238E27FC236}">
              <a16:creationId xmlns:a16="http://schemas.microsoft.com/office/drawing/2014/main" id="{83BA1456-2F9C-4EB2-8A57-332FE0BDEC22}"/>
            </a:ext>
          </a:extLst>
        </xdr:cNvPr>
        <xdr:cNvGrpSpPr/>
      </xdr:nvGrpSpPr>
      <xdr:grpSpPr>
        <a:xfrm>
          <a:off x="17288878" y="24944393"/>
          <a:ext cx="70413" cy="177473"/>
          <a:chOff x="8889969" y="717550"/>
          <a:chExt cx="95415" cy="260350"/>
        </a:xfrm>
      </xdr:grpSpPr>
      <xdr:sp macro="" textlink="">
        <xdr:nvSpPr>
          <xdr:cNvPr id="249" name="자유형: 도형 248">
            <a:extLst>
              <a:ext uri="{FF2B5EF4-FFF2-40B4-BE49-F238E27FC236}">
                <a16:creationId xmlns:a16="http://schemas.microsoft.com/office/drawing/2014/main" id="{C1BBCA7A-EA5D-F567-9B62-374CD17143B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50" name="자유형: 도형 249">
            <a:extLst>
              <a:ext uri="{FF2B5EF4-FFF2-40B4-BE49-F238E27FC236}">
                <a16:creationId xmlns:a16="http://schemas.microsoft.com/office/drawing/2014/main" id="{A01BA076-F8E9-5A21-BD8D-3C48D8C0A03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83</xdr:col>
      <xdr:colOff>17517</xdr:colOff>
      <xdr:row>113</xdr:row>
      <xdr:rowOff>29363</xdr:rowOff>
    </xdr:from>
    <xdr:to>
      <xdr:col>83</xdr:col>
      <xdr:colOff>89517</xdr:colOff>
      <xdr:row>113</xdr:row>
      <xdr:rowOff>205249</xdr:rowOff>
    </xdr:to>
    <xdr:grpSp>
      <xdr:nvGrpSpPr>
        <xdr:cNvPr id="251" name="그룹 250">
          <a:extLst>
            <a:ext uri="{FF2B5EF4-FFF2-40B4-BE49-F238E27FC236}">
              <a16:creationId xmlns:a16="http://schemas.microsoft.com/office/drawing/2014/main" id="{F0731B29-9B77-4363-A232-3AC0B51D853E}"/>
            </a:ext>
          </a:extLst>
        </xdr:cNvPr>
        <xdr:cNvGrpSpPr/>
      </xdr:nvGrpSpPr>
      <xdr:grpSpPr>
        <a:xfrm>
          <a:off x="15922399" y="24543538"/>
          <a:ext cx="70412" cy="171123"/>
          <a:chOff x="8889969" y="717550"/>
          <a:chExt cx="95415" cy="260350"/>
        </a:xfrm>
      </xdr:grpSpPr>
      <xdr:sp macro="" textlink="">
        <xdr:nvSpPr>
          <xdr:cNvPr id="252" name="자유형: 도형 251">
            <a:extLst>
              <a:ext uri="{FF2B5EF4-FFF2-40B4-BE49-F238E27FC236}">
                <a16:creationId xmlns:a16="http://schemas.microsoft.com/office/drawing/2014/main" id="{2DCC2CD1-BFF8-55B9-8D61-6BC3966AABB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53" name="자유형: 도형 252">
            <a:extLst>
              <a:ext uri="{FF2B5EF4-FFF2-40B4-BE49-F238E27FC236}">
                <a16:creationId xmlns:a16="http://schemas.microsoft.com/office/drawing/2014/main" id="{5E845BE3-140E-8EB5-0298-7C7A2A14A54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91</xdr:col>
      <xdr:colOff>31874</xdr:colOff>
      <xdr:row>113</xdr:row>
      <xdr:rowOff>23013</xdr:rowOff>
    </xdr:from>
    <xdr:to>
      <xdr:col>92</xdr:col>
      <xdr:colOff>2274</xdr:colOff>
      <xdr:row>113</xdr:row>
      <xdr:rowOff>198899</xdr:rowOff>
    </xdr:to>
    <xdr:grpSp>
      <xdr:nvGrpSpPr>
        <xdr:cNvPr id="254" name="그룹 253">
          <a:extLst>
            <a:ext uri="{FF2B5EF4-FFF2-40B4-BE49-F238E27FC236}">
              <a16:creationId xmlns:a16="http://schemas.microsoft.com/office/drawing/2014/main" id="{7853A252-16F3-4E7A-B1F6-F4652337F17C}"/>
            </a:ext>
          </a:extLst>
        </xdr:cNvPr>
        <xdr:cNvGrpSpPr/>
      </xdr:nvGrpSpPr>
      <xdr:grpSpPr>
        <a:xfrm>
          <a:off x="16771874" y="24535600"/>
          <a:ext cx="76576" cy="177474"/>
          <a:chOff x="8889969" y="717550"/>
          <a:chExt cx="95415" cy="260350"/>
        </a:xfrm>
      </xdr:grpSpPr>
      <xdr:sp macro="" textlink="">
        <xdr:nvSpPr>
          <xdr:cNvPr id="255" name="자유형: 도형 254">
            <a:extLst>
              <a:ext uri="{FF2B5EF4-FFF2-40B4-BE49-F238E27FC236}">
                <a16:creationId xmlns:a16="http://schemas.microsoft.com/office/drawing/2014/main" id="{6476E9A7-7483-BCCC-6CCA-9F2E7CFB356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56" name="자유형: 도형 255">
            <a:extLst>
              <a:ext uri="{FF2B5EF4-FFF2-40B4-BE49-F238E27FC236}">
                <a16:creationId xmlns:a16="http://schemas.microsoft.com/office/drawing/2014/main" id="{80D809AC-3081-7374-24BC-0AE88F7780E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96</xdr:col>
      <xdr:colOff>101447</xdr:colOff>
      <xdr:row>113</xdr:row>
      <xdr:rowOff>23565</xdr:rowOff>
    </xdr:from>
    <xdr:to>
      <xdr:col>97</xdr:col>
      <xdr:colOff>63012</xdr:colOff>
      <xdr:row>113</xdr:row>
      <xdr:rowOff>199451</xdr:rowOff>
    </xdr:to>
    <xdr:grpSp>
      <xdr:nvGrpSpPr>
        <xdr:cNvPr id="257" name="그룹 256">
          <a:extLst>
            <a:ext uri="{FF2B5EF4-FFF2-40B4-BE49-F238E27FC236}">
              <a16:creationId xmlns:a16="http://schemas.microsoft.com/office/drawing/2014/main" id="{2BAAA082-EFE3-4ED5-B925-C270DA8951C9}"/>
            </a:ext>
          </a:extLst>
        </xdr:cNvPr>
        <xdr:cNvGrpSpPr/>
      </xdr:nvGrpSpPr>
      <xdr:grpSpPr>
        <a:xfrm>
          <a:off x="17367563" y="24536152"/>
          <a:ext cx="66154" cy="177474"/>
          <a:chOff x="8889969" y="717550"/>
          <a:chExt cx="95415" cy="260350"/>
        </a:xfrm>
      </xdr:grpSpPr>
      <xdr:sp macro="" textlink="">
        <xdr:nvSpPr>
          <xdr:cNvPr id="258" name="자유형: 도형 257">
            <a:extLst>
              <a:ext uri="{FF2B5EF4-FFF2-40B4-BE49-F238E27FC236}">
                <a16:creationId xmlns:a16="http://schemas.microsoft.com/office/drawing/2014/main" id="{19B25302-8F81-B44A-4E75-ACDA41E2748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59" name="자유형: 도형 258">
            <a:extLst>
              <a:ext uri="{FF2B5EF4-FFF2-40B4-BE49-F238E27FC236}">
                <a16:creationId xmlns:a16="http://schemas.microsoft.com/office/drawing/2014/main" id="{9045675B-86B1-6EA8-4541-9040DFD85E1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102</xdr:col>
      <xdr:colOff>5368</xdr:colOff>
      <xdr:row>113</xdr:row>
      <xdr:rowOff>31020</xdr:rowOff>
    </xdr:from>
    <xdr:to>
      <xdr:col>102</xdr:col>
      <xdr:colOff>77368</xdr:colOff>
      <xdr:row>113</xdr:row>
      <xdr:rowOff>206906</xdr:rowOff>
    </xdr:to>
    <xdr:grpSp>
      <xdr:nvGrpSpPr>
        <xdr:cNvPr id="260" name="그룹 259">
          <a:extLst>
            <a:ext uri="{FF2B5EF4-FFF2-40B4-BE49-F238E27FC236}">
              <a16:creationId xmlns:a16="http://schemas.microsoft.com/office/drawing/2014/main" id="{E51A0618-1D36-4F79-ABBB-0BB4749F337A}"/>
            </a:ext>
          </a:extLst>
        </xdr:cNvPr>
        <xdr:cNvGrpSpPr/>
      </xdr:nvGrpSpPr>
      <xdr:grpSpPr>
        <a:xfrm>
          <a:off x="17899014" y="24540432"/>
          <a:ext cx="70413" cy="175886"/>
          <a:chOff x="8889969" y="717550"/>
          <a:chExt cx="95415" cy="260350"/>
        </a:xfrm>
      </xdr:grpSpPr>
      <xdr:sp macro="" textlink="">
        <xdr:nvSpPr>
          <xdr:cNvPr id="261" name="자유형: 도형 260">
            <a:extLst>
              <a:ext uri="{FF2B5EF4-FFF2-40B4-BE49-F238E27FC236}">
                <a16:creationId xmlns:a16="http://schemas.microsoft.com/office/drawing/2014/main" id="{1CB69FD1-B8DC-2354-1E89-956AD382A12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2" name="자유형: 도형 261">
            <a:extLst>
              <a:ext uri="{FF2B5EF4-FFF2-40B4-BE49-F238E27FC236}">
                <a16:creationId xmlns:a16="http://schemas.microsoft.com/office/drawing/2014/main" id="{D33F21F1-73C7-B9AC-C0D5-BF540DBD62B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45</xdr:col>
      <xdr:colOff>23131</xdr:colOff>
      <xdr:row>62</xdr:row>
      <xdr:rowOff>21666</xdr:rowOff>
    </xdr:from>
    <xdr:to>
      <xdr:col>45</xdr:col>
      <xdr:colOff>95131</xdr:colOff>
      <xdr:row>62</xdr:row>
      <xdr:rowOff>197552</xdr:rowOff>
    </xdr:to>
    <xdr:grpSp>
      <xdr:nvGrpSpPr>
        <xdr:cNvPr id="263" name="그룹 262">
          <a:extLst>
            <a:ext uri="{FF2B5EF4-FFF2-40B4-BE49-F238E27FC236}">
              <a16:creationId xmlns:a16="http://schemas.microsoft.com/office/drawing/2014/main" id="{852A57EC-D8E2-4119-BD87-24D96788DA8C}"/>
            </a:ext>
          </a:extLst>
        </xdr:cNvPr>
        <xdr:cNvGrpSpPr/>
      </xdr:nvGrpSpPr>
      <xdr:grpSpPr>
        <a:xfrm>
          <a:off x="11955247" y="13485253"/>
          <a:ext cx="70413" cy="175886"/>
          <a:chOff x="8889969" y="717550"/>
          <a:chExt cx="95415" cy="260350"/>
        </a:xfrm>
      </xdr:grpSpPr>
      <xdr:sp macro="" textlink="">
        <xdr:nvSpPr>
          <xdr:cNvPr id="264" name="자유형: 도형 263">
            <a:extLst>
              <a:ext uri="{FF2B5EF4-FFF2-40B4-BE49-F238E27FC236}">
                <a16:creationId xmlns:a16="http://schemas.microsoft.com/office/drawing/2014/main" id="{426BD796-6C77-DFAC-3444-21E819A4CEA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5" name="자유형: 도형 264">
            <a:extLst>
              <a:ext uri="{FF2B5EF4-FFF2-40B4-BE49-F238E27FC236}">
                <a16:creationId xmlns:a16="http://schemas.microsoft.com/office/drawing/2014/main" id="{C59C5CBD-2DBC-507D-C868-CF283D8EF65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53</xdr:col>
      <xdr:colOff>23682</xdr:colOff>
      <xdr:row>62</xdr:row>
      <xdr:rowOff>42924</xdr:rowOff>
    </xdr:from>
    <xdr:to>
      <xdr:col>53</xdr:col>
      <xdr:colOff>95682</xdr:colOff>
      <xdr:row>63</xdr:row>
      <xdr:rowOff>4842</xdr:rowOff>
    </xdr:to>
    <xdr:grpSp>
      <xdr:nvGrpSpPr>
        <xdr:cNvPr id="266" name="그룹 265">
          <a:extLst>
            <a:ext uri="{FF2B5EF4-FFF2-40B4-BE49-F238E27FC236}">
              <a16:creationId xmlns:a16="http://schemas.microsoft.com/office/drawing/2014/main" id="{73C7FC54-358A-46E1-9A82-8627DB721014}"/>
            </a:ext>
          </a:extLst>
        </xdr:cNvPr>
        <xdr:cNvGrpSpPr/>
      </xdr:nvGrpSpPr>
      <xdr:grpSpPr>
        <a:xfrm>
          <a:off x="12792504" y="13506511"/>
          <a:ext cx="70413" cy="178565"/>
          <a:chOff x="8889969" y="717550"/>
          <a:chExt cx="95415" cy="260350"/>
        </a:xfrm>
      </xdr:grpSpPr>
      <xdr:sp macro="" textlink="">
        <xdr:nvSpPr>
          <xdr:cNvPr id="267" name="자유형: 도형 266">
            <a:extLst>
              <a:ext uri="{FF2B5EF4-FFF2-40B4-BE49-F238E27FC236}">
                <a16:creationId xmlns:a16="http://schemas.microsoft.com/office/drawing/2014/main" id="{B895A870-98D3-FDAD-31D8-D595EE3AE27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8" name="자유형: 도형 267">
            <a:extLst>
              <a:ext uri="{FF2B5EF4-FFF2-40B4-BE49-F238E27FC236}">
                <a16:creationId xmlns:a16="http://schemas.microsoft.com/office/drawing/2014/main" id="{DFEA38A2-9299-AA85-554B-20509EC5AE3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61</xdr:col>
      <xdr:colOff>24235</xdr:colOff>
      <xdr:row>62</xdr:row>
      <xdr:rowOff>43476</xdr:rowOff>
    </xdr:from>
    <xdr:to>
      <xdr:col>61</xdr:col>
      <xdr:colOff>96235</xdr:colOff>
      <xdr:row>63</xdr:row>
      <xdr:rowOff>5394</xdr:rowOff>
    </xdr:to>
    <xdr:grpSp>
      <xdr:nvGrpSpPr>
        <xdr:cNvPr id="269" name="그룹 268">
          <a:extLst>
            <a:ext uri="{FF2B5EF4-FFF2-40B4-BE49-F238E27FC236}">
              <a16:creationId xmlns:a16="http://schemas.microsoft.com/office/drawing/2014/main" id="{22A01B3D-C2FB-4AE0-8BCB-34099BD7E7F3}"/>
            </a:ext>
          </a:extLst>
        </xdr:cNvPr>
        <xdr:cNvGrpSpPr/>
      </xdr:nvGrpSpPr>
      <xdr:grpSpPr>
        <a:xfrm>
          <a:off x="13629763" y="13507063"/>
          <a:ext cx="70413" cy="178565"/>
          <a:chOff x="8889969" y="717550"/>
          <a:chExt cx="95415" cy="260350"/>
        </a:xfrm>
      </xdr:grpSpPr>
      <xdr:sp macro="" textlink="">
        <xdr:nvSpPr>
          <xdr:cNvPr id="270" name="자유형: 도형 269">
            <a:extLst>
              <a:ext uri="{FF2B5EF4-FFF2-40B4-BE49-F238E27FC236}">
                <a16:creationId xmlns:a16="http://schemas.microsoft.com/office/drawing/2014/main" id="{0F2CC7C3-7392-9F11-CB1B-FEBA586FBB9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1" name="자유형: 도형 270">
            <a:extLst>
              <a:ext uri="{FF2B5EF4-FFF2-40B4-BE49-F238E27FC236}">
                <a16:creationId xmlns:a16="http://schemas.microsoft.com/office/drawing/2014/main" id="{1486195D-3ECA-1D22-59C6-BB3D92CB037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69</xdr:col>
      <xdr:colOff>10983</xdr:colOff>
      <xdr:row>62</xdr:row>
      <xdr:rowOff>37126</xdr:rowOff>
    </xdr:from>
    <xdr:to>
      <xdr:col>69</xdr:col>
      <xdr:colOff>82983</xdr:colOff>
      <xdr:row>62</xdr:row>
      <xdr:rowOff>213012</xdr:rowOff>
    </xdr:to>
    <xdr:grpSp>
      <xdr:nvGrpSpPr>
        <xdr:cNvPr id="272" name="그룹 271">
          <a:extLst>
            <a:ext uri="{FF2B5EF4-FFF2-40B4-BE49-F238E27FC236}">
              <a16:creationId xmlns:a16="http://schemas.microsoft.com/office/drawing/2014/main" id="{27F95F2B-3944-4ADB-94D3-B6403AE95DE6}"/>
            </a:ext>
          </a:extLst>
        </xdr:cNvPr>
        <xdr:cNvGrpSpPr/>
      </xdr:nvGrpSpPr>
      <xdr:grpSpPr>
        <a:xfrm>
          <a:off x="14454805" y="13499126"/>
          <a:ext cx="70412" cy="177473"/>
          <a:chOff x="8889969" y="717550"/>
          <a:chExt cx="95415" cy="260350"/>
        </a:xfrm>
      </xdr:grpSpPr>
      <xdr:sp macro="" textlink="">
        <xdr:nvSpPr>
          <xdr:cNvPr id="273" name="자유형: 도형 272">
            <a:extLst>
              <a:ext uri="{FF2B5EF4-FFF2-40B4-BE49-F238E27FC236}">
                <a16:creationId xmlns:a16="http://schemas.microsoft.com/office/drawing/2014/main" id="{54588C8B-E0FC-2CBB-9F4B-D22ECDF20E5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4" name="자유형: 도형 273">
            <a:extLst>
              <a:ext uri="{FF2B5EF4-FFF2-40B4-BE49-F238E27FC236}">
                <a16:creationId xmlns:a16="http://schemas.microsoft.com/office/drawing/2014/main" id="{79242567-F52D-59DC-C454-1CD80D435D8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77</xdr:col>
      <xdr:colOff>11535</xdr:colOff>
      <xdr:row>62</xdr:row>
      <xdr:rowOff>37679</xdr:rowOff>
    </xdr:from>
    <xdr:to>
      <xdr:col>77</xdr:col>
      <xdr:colOff>83535</xdr:colOff>
      <xdr:row>62</xdr:row>
      <xdr:rowOff>213565</xdr:rowOff>
    </xdr:to>
    <xdr:grpSp>
      <xdr:nvGrpSpPr>
        <xdr:cNvPr id="275" name="그룹 274">
          <a:extLst>
            <a:ext uri="{FF2B5EF4-FFF2-40B4-BE49-F238E27FC236}">
              <a16:creationId xmlns:a16="http://schemas.microsoft.com/office/drawing/2014/main" id="{1F169DA1-C098-4142-92F5-901DADCF3D8A}"/>
            </a:ext>
          </a:extLst>
        </xdr:cNvPr>
        <xdr:cNvGrpSpPr/>
      </xdr:nvGrpSpPr>
      <xdr:grpSpPr>
        <a:xfrm>
          <a:off x="15292063" y="13499679"/>
          <a:ext cx="72000" cy="177473"/>
          <a:chOff x="8889969" y="717550"/>
          <a:chExt cx="95415" cy="260350"/>
        </a:xfrm>
      </xdr:grpSpPr>
      <xdr:sp macro="" textlink="">
        <xdr:nvSpPr>
          <xdr:cNvPr id="276" name="자유형: 도형 275">
            <a:extLst>
              <a:ext uri="{FF2B5EF4-FFF2-40B4-BE49-F238E27FC236}">
                <a16:creationId xmlns:a16="http://schemas.microsoft.com/office/drawing/2014/main" id="{E8737D0B-9795-9E2F-AD48-730E3C7AFB9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7" name="자유형: 도형 276">
            <a:extLst>
              <a:ext uri="{FF2B5EF4-FFF2-40B4-BE49-F238E27FC236}">
                <a16:creationId xmlns:a16="http://schemas.microsoft.com/office/drawing/2014/main" id="{74878E13-1648-B70B-F88D-894402CAF2D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84</xdr:col>
      <xdr:colOff>94912</xdr:colOff>
      <xdr:row>62</xdr:row>
      <xdr:rowOff>31329</xdr:rowOff>
    </xdr:from>
    <xdr:to>
      <xdr:col>85</xdr:col>
      <xdr:colOff>56477</xdr:colOff>
      <xdr:row>62</xdr:row>
      <xdr:rowOff>207215</xdr:rowOff>
    </xdr:to>
    <xdr:grpSp>
      <xdr:nvGrpSpPr>
        <xdr:cNvPr id="278" name="그룹 277">
          <a:extLst>
            <a:ext uri="{FF2B5EF4-FFF2-40B4-BE49-F238E27FC236}">
              <a16:creationId xmlns:a16="http://schemas.microsoft.com/office/drawing/2014/main" id="{B35053D3-3B1B-4591-9064-E7CA9EE9DD31}"/>
            </a:ext>
          </a:extLst>
        </xdr:cNvPr>
        <xdr:cNvGrpSpPr/>
      </xdr:nvGrpSpPr>
      <xdr:grpSpPr>
        <a:xfrm>
          <a:off x="16104383" y="13491741"/>
          <a:ext cx="66153" cy="177474"/>
          <a:chOff x="8889969" y="717550"/>
          <a:chExt cx="95415" cy="260350"/>
        </a:xfrm>
      </xdr:grpSpPr>
      <xdr:sp macro="" textlink="">
        <xdr:nvSpPr>
          <xdr:cNvPr id="279" name="자유형: 도형 278">
            <a:extLst>
              <a:ext uri="{FF2B5EF4-FFF2-40B4-BE49-F238E27FC236}">
                <a16:creationId xmlns:a16="http://schemas.microsoft.com/office/drawing/2014/main" id="{DAABECB3-9203-7CAE-37CD-B23EFB8089E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0" name="자유형: 도형 279">
            <a:extLst>
              <a:ext uri="{FF2B5EF4-FFF2-40B4-BE49-F238E27FC236}">
                <a16:creationId xmlns:a16="http://schemas.microsoft.com/office/drawing/2014/main" id="{A3DAE299-4C29-0301-F664-BF3D26A9305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12638</xdr:colOff>
      <xdr:row>62</xdr:row>
      <xdr:rowOff>45686</xdr:rowOff>
    </xdr:from>
    <xdr:to>
      <xdr:col>93</xdr:col>
      <xdr:colOff>84638</xdr:colOff>
      <xdr:row>63</xdr:row>
      <xdr:rowOff>7604</xdr:rowOff>
    </xdr:to>
    <xdr:grpSp>
      <xdr:nvGrpSpPr>
        <xdr:cNvPr id="281" name="그룹 280">
          <a:extLst>
            <a:ext uri="{FF2B5EF4-FFF2-40B4-BE49-F238E27FC236}">
              <a16:creationId xmlns:a16="http://schemas.microsoft.com/office/drawing/2014/main" id="{988DC3AE-C8CE-456C-9694-5113956D2D4D}"/>
            </a:ext>
          </a:extLst>
        </xdr:cNvPr>
        <xdr:cNvGrpSpPr/>
      </xdr:nvGrpSpPr>
      <xdr:grpSpPr>
        <a:xfrm>
          <a:off x="16961815" y="13510861"/>
          <a:ext cx="76763" cy="178565"/>
          <a:chOff x="8889969" y="717550"/>
          <a:chExt cx="95415" cy="260350"/>
        </a:xfrm>
      </xdr:grpSpPr>
      <xdr:sp macro="" textlink="">
        <xdr:nvSpPr>
          <xdr:cNvPr id="282" name="자유형: 도형 281">
            <a:extLst>
              <a:ext uri="{FF2B5EF4-FFF2-40B4-BE49-F238E27FC236}">
                <a16:creationId xmlns:a16="http://schemas.microsoft.com/office/drawing/2014/main" id="{87F413B1-EF68-3C5C-5157-F5B0E6F3606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3" name="자유형: 도형 282">
            <a:extLst>
              <a:ext uri="{FF2B5EF4-FFF2-40B4-BE49-F238E27FC236}">
                <a16:creationId xmlns:a16="http://schemas.microsoft.com/office/drawing/2014/main" id="{8B1846D1-1931-9F2B-5527-36AE78521BB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1871</xdr:colOff>
      <xdr:row>62</xdr:row>
      <xdr:rowOff>39335</xdr:rowOff>
    </xdr:from>
    <xdr:to>
      <xdr:col>101</xdr:col>
      <xdr:colOff>71386</xdr:colOff>
      <xdr:row>63</xdr:row>
      <xdr:rowOff>1253</xdr:rowOff>
    </xdr:to>
    <xdr:grpSp>
      <xdr:nvGrpSpPr>
        <xdr:cNvPr id="284" name="그룹 283">
          <a:extLst>
            <a:ext uri="{FF2B5EF4-FFF2-40B4-BE49-F238E27FC236}">
              <a16:creationId xmlns:a16="http://schemas.microsoft.com/office/drawing/2014/main" id="{320DF0FD-5C1F-4716-A6AE-593185882329}"/>
            </a:ext>
          </a:extLst>
        </xdr:cNvPr>
        <xdr:cNvGrpSpPr/>
      </xdr:nvGrpSpPr>
      <xdr:grpSpPr>
        <a:xfrm>
          <a:off x="17789342" y="13501335"/>
          <a:ext cx="67927" cy="178565"/>
          <a:chOff x="8889969" y="717550"/>
          <a:chExt cx="95415" cy="260350"/>
        </a:xfrm>
      </xdr:grpSpPr>
      <xdr:sp macro="" textlink="">
        <xdr:nvSpPr>
          <xdr:cNvPr id="285" name="자유형: 도형 284">
            <a:extLst>
              <a:ext uri="{FF2B5EF4-FFF2-40B4-BE49-F238E27FC236}">
                <a16:creationId xmlns:a16="http://schemas.microsoft.com/office/drawing/2014/main" id="{0EBB9EB3-F06A-F5DC-7BD7-49F180373BB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6" name="자유형: 도형 285">
            <a:extLst>
              <a:ext uri="{FF2B5EF4-FFF2-40B4-BE49-F238E27FC236}">
                <a16:creationId xmlns:a16="http://schemas.microsoft.com/office/drawing/2014/main" id="{788A358C-32BE-1EEB-AF3E-0248BF77AD0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85</xdr:col>
      <xdr:colOff>24787</xdr:colOff>
      <xdr:row>66</xdr:row>
      <xdr:rowOff>23321</xdr:rowOff>
    </xdr:from>
    <xdr:to>
      <xdr:col>85</xdr:col>
      <xdr:colOff>96787</xdr:colOff>
      <xdr:row>66</xdr:row>
      <xdr:rowOff>199207</xdr:rowOff>
    </xdr:to>
    <xdr:grpSp>
      <xdr:nvGrpSpPr>
        <xdr:cNvPr id="287" name="그룹 286">
          <a:extLst>
            <a:ext uri="{FF2B5EF4-FFF2-40B4-BE49-F238E27FC236}">
              <a16:creationId xmlns:a16="http://schemas.microsoft.com/office/drawing/2014/main" id="{B373B98D-9393-4506-B677-DA45DC25AA7E}"/>
            </a:ext>
          </a:extLst>
        </xdr:cNvPr>
        <xdr:cNvGrpSpPr/>
      </xdr:nvGrpSpPr>
      <xdr:grpSpPr>
        <a:xfrm>
          <a:off x="16140433" y="14353496"/>
          <a:ext cx="70413" cy="177474"/>
          <a:chOff x="8889969" y="717550"/>
          <a:chExt cx="95415" cy="260350"/>
        </a:xfrm>
      </xdr:grpSpPr>
      <xdr:sp macro="" textlink="">
        <xdr:nvSpPr>
          <xdr:cNvPr id="288" name="자유형: 도형 287">
            <a:extLst>
              <a:ext uri="{FF2B5EF4-FFF2-40B4-BE49-F238E27FC236}">
                <a16:creationId xmlns:a16="http://schemas.microsoft.com/office/drawing/2014/main" id="{5811A785-730B-15FE-A001-663EE99B6D8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89" name="자유형: 도형 288">
            <a:extLst>
              <a:ext uri="{FF2B5EF4-FFF2-40B4-BE49-F238E27FC236}">
                <a16:creationId xmlns:a16="http://schemas.microsoft.com/office/drawing/2014/main" id="{E3738752-7310-DAB4-C824-9756AA4DF9E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93</xdr:col>
      <xdr:colOff>18437</xdr:colOff>
      <xdr:row>66</xdr:row>
      <xdr:rowOff>30775</xdr:rowOff>
    </xdr:from>
    <xdr:to>
      <xdr:col>93</xdr:col>
      <xdr:colOff>90437</xdr:colOff>
      <xdr:row>66</xdr:row>
      <xdr:rowOff>206661</xdr:rowOff>
    </xdr:to>
    <xdr:grpSp>
      <xdr:nvGrpSpPr>
        <xdr:cNvPr id="290" name="그룹 289">
          <a:extLst>
            <a:ext uri="{FF2B5EF4-FFF2-40B4-BE49-F238E27FC236}">
              <a16:creationId xmlns:a16="http://schemas.microsoft.com/office/drawing/2014/main" id="{5E1D1CBE-BBEC-4D5B-A0F9-5E066683D6E1}"/>
            </a:ext>
          </a:extLst>
        </xdr:cNvPr>
        <xdr:cNvGrpSpPr/>
      </xdr:nvGrpSpPr>
      <xdr:grpSpPr>
        <a:xfrm>
          <a:off x="16969202" y="14362538"/>
          <a:ext cx="70412" cy="171123"/>
          <a:chOff x="8889969" y="717550"/>
          <a:chExt cx="95415" cy="260350"/>
        </a:xfrm>
      </xdr:grpSpPr>
      <xdr:sp macro="" textlink="">
        <xdr:nvSpPr>
          <xdr:cNvPr id="291" name="자유형: 도형 290">
            <a:extLst>
              <a:ext uri="{FF2B5EF4-FFF2-40B4-BE49-F238E27FC236}">
                <a16:creationId xmlns:a16="http://schemas.microsoft.com/office/drawing/2014/main" id="{DE0F337F-2F79-F46E-0E6F-E8ABF9FD721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2" name="자유형: 도형 291">
            <a:extLst>
              <a:ext uri="{FF2B5EF4-FFF2-40B4-BE49-F238E27FC236}">
                <a16:creationId xmlns:a16="http://schemas.microsoft.com/office/drawing/2014/main" id="{A656B8A4-2BFD-12FB-947F-9BD43314792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101</xdr:col>
      <xdr:colOff>5185</xdr:colOff>
      <xdr:row>66</xdr:row>
      <xdr:rowOff>10621</xdr:rowOff>
    </xdr:from>
    <xdr:to>
      <xdr:col>101</xdr:col>
      <xdr:colOff>77185</xdr:colOff>
      <xdr:row>66</xdr:row>
      <xdr:rowOff>186507</xdr:rowOff>
    </xdr:to>
    <xdr:grpSp>
      <xdr:nvGrpSpPr>
        <xdr:cNvPr id="293" name="그룹 292">
          <a:extLst>
            <a:ext uri="{FF2B5EF4-FFF2-40B4-BE49-F238E27FC236}">
              <a16:creationId xmlns:a16="http://schemas.microsoft.com/office/drawing/2014/main" id="{FEC1C45A-A43C-485F-B72D-7B83FEB5294B}"/>
            </a:ext>
          </a:extLst>
        </xdr:cNvPr>
        <xdr:cNvGrpSpPr/>
      </xdr:nvGrpSpPr>
      <xdr:grpSpPr>
        <a:xfrm>
          <a:off x="17794243" y="14342384"/>
          <a:ext cx="70413" cy="171123"/>
          <a:chOff x="8889969" y="717550"/>
          <a:chExt cx="95415" cy="260350"/>
        </a:xfrm>
      </xdr:grpSpPr>
      <xdr:sp macro="" textlink="">
        <xdr:nvSpPr>
          <xdr:cNvPr id="294" name="자유형: 도형 293">
            <a:extLst>
              <a:ext uri="{FF2B5EF4-FFF2-40B4-BE49-F238E27FC236}">
                <a16:creationId xmlns:a16="http://schemas.microsoft.com/office/drawing/2014/main" id="{DFB7FCD3-1788-BFDA-9221-C8F64005677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5" name="자유형: 도형 294">
            <a:extLst>
              <a:ext uri="{FF2B5EF4-FFF2-40B4-BE49-F238E27FC236}">
                <a16:creationId xmlns:a16="http://schemas.microsoft.com/office/drawing/2014/main" id="{55B37372-3606-4777-4058-F3D41103BC5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32</xdr:col>
      <xdr:colOff>10076</xdr:colOff>
      <xdr:row>103</xdr:row>
      <xdr:rowOff>196991</xdr:rowOff>
    </xdr:from>
    <xdr:ext cx="3640420" cy="264560"/>
    <xdr:sp macro="" textlink="">
      <xdr:nvSpPr>
        <xdr:cNvPr id="296" name="TextBox 295">
          <a:extLst>
            <a:ext uri="{FF2B5EF4-FFF2-40B4-BE49-F238E27FC236}">
              <a16:creationId xmlns:a16="http://schemas.microsoft.com/office/drawing/2014/main" id="{9BAA6752-8E3A-42C5-81A4-749FD21AFBFD}"/>
            </a:ext>
          </a:extLst>
        </xdr:cNvPr>
        <xdr:cNvSpPr txBox="1"/>
      </xdr:nvSpPr>
      <xdr:spPr>
        <a:xfrm>
          <a:off x="10519326" y="22460091"/>
          <a:ext cx="364042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ysClr val="windowText" lastClr="000000"/>
              </a:solidFill>
            </a:rPr>
            <a:t>= ch_size </a:t>
          </a:r>
          <a:r>
            <a:rPr lang="en-US" altLang="ko-KR" sz="1100" baseline="0">
              <a:solidFill>
                <a:sysClr val="windowText" lastClr="000000"/>
              </a:solidFill>
            </a:rPr>
            <a:t>* (pam 12-bit + pwm 12-bit) @ld_width=00, 01, 10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33</xdr:col>
      <xdr:colOff>1</xdr:colOff>
      <xdr:row>103</xdr:row>
      <xdr:rowOff>165654</xdr:rowOff>
    </xdr:from>
    <xdr:to>
      <xdr:col>51</xdr:col>
      <xdr:colOff>100175</xdr:colOff>
      <xdr:row>103</xdr:row>
      <xdr:rowOff>165654</xdr:rowOff>
    </xdr:to>
    <xdr:cxnSp macro="">
      <xdr:nvCxnSpPr>
        <xdr:cNvPr id="297" name="직선 화살표 연결선 296">
          <a:extLst>
            <a:ext uri="{FF2B5EF4-FFF2-40B4-BE49-F238E27FC236}">
              <a16:creationId xmlns:a16="http://schemas.microsoft.com/office/drawing/2014/main" id="{778EE0B6-4BE5-4753-92D0-C87806431D78}"/>
            </a:ext>
          </a:extLst>
        </xdr:cNvPr>
        <xdr:cNvCxnSpPr/>
      </xdr:nvCxnSpPr>
      <xdr:spPr>
        <a:xfrm flipV="1">
          <a:off x="10610851" y="22428754"/>
          <a:ext cx="1928974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89727</xdr:colOff>
      <xdr:row>102</xdr:row>
      <xdr:rowOff>165651</xdr:rowOff>
    </xdr:from>
    <xdr:ext cx="935321" cy="264560"/>
    <xdr:sp macro="" textlink="">
      <xdr:nvSpPr>
        <xdr:cNvPr id="298" name="TextBox 297">
          <a:extLst>
            <a:ext uri="{FF2B5EF4-FFF2-40B4-BE49-F238E27FC236}">
              <a16:creationId xmlns:a16="http://schemas.microsoft.com/office/drawing/2014/main" id="{660085BC-2036-4A16-BF13-9288E6ADBD82}"/>
            </a:ext>
          </a:extLst>
        </xdr:cNvPr>
        <xdr:cNvSpPr txBox="1"/>
      </xdr:nvSpPr>
      <xdr:spPr>
        <a:xfrm>
          <a:off x="11106977" y="22212851"/>
          <a:ext cx="9353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burst size = 1</a:t>
          </a:r>
          <a:endParaRPr lang="ko-KR" altLang="en-US" sz="1100"/>
        </a:p>
      </xdr:txBody>
    </xdr:sp>
    <xdr:clientData/>
  </xdr:oneCellAnchor>
  <xdr:oneCellAnchor>
    <xdr:from>
      <xdr:col>32</xdr:col>
      <xdr:colOff>11181</xdr:colOff>
      <xdr:row>104</xdr:row>
      <xdr:rowOff>162480</xdr:rowOff>
    </xdr:from>
    <xdr:ext cx="3234988" cy="264560"/>
    <xdr:sp macro="" textlink="">
      <xdr:nvSpPr>
        <xdr:cNvPr id="299" name="TextBox 298">
          <a:extLst>
            <a:ext uri="{FF2B5EF4-FFF2-40B4-BE49-F238E27FC236}">
              <a16:creationId xmlns:a16="http://schemas.microsoft.com/office/drawing/2014/main" id="{A434D81A-4004-46B5-A853-DE23844119E4}"/>
            </a:ext>
          </a:extLst>
        </xdr:cNvPr>
        <xdr:cNvSpPr txBox="1"/>
      </xdr:nvSpPr>
      <xdr:spPr>
        <a:xfrm>
          <a:off x="10520431" y="22641480"/>
          <a:ext cx="32349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ysClr val="windowText" lastClr="000000"/>
              </a:solidFill>
            </a:rPr>
            <a:t>= ch_size </a:t>
          </a:r>
          <a:r>
            <a:rPr lang="en-US" altLang="ko-KR" sz="1100" baseline="0">
              <a:solidFill>
                <a:sysClr val="windowText" lastClr="000000"/>
              </a:solidFill>
            </a:rPr>
            <a:t>* (ld 16-bit)                               @ld_width=11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32084</xdr:colOff>
      <xdr:row>9</xdr:row>
      <xdr:rowOff>16043</xdr:rowOff>
    </xdr:from>
    <xdr:to>
      <xdr:col>55</xdr:col>
      <xdr:colOff>104084</xdr:colOff>
      <xdr:row>9</xdr:row>
      <xdr:rowOff>209875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FB2C1C7A-294E-4B08-A481-E5C1E6734CEB}"/>
            </a:ext>
          </a:extLst>
        </xdr:cNvPr>
        <xdr:cNvGrpSpPr/>
      </xdr:nvGrpSpPr>
      <xdr:grpSpPr>
        <a:xfrm>
          <a:off x="27582025" y="2001631"/>
          <a:ext cx="76763" cy="195420"/>
          <a:chOff x="8889969" y="717550"/>
          <a:chExt cx="95415" cy="260350"/>
        </a:xfrm>
      </xdr:grpSpPr>
      <xdr:sp macro="" textlink="">
        <xdr:nvSpPr>
          <xdr:cNvPr id="3" name="자유형: 도형 2">
            <a:extLst>
              <a:ext uri="{FF2B5EF4-FFF2-40B4-BE49-F238E27FC236}">
                <a16:creationId xmlns:a16="http://schemas.microsoft.com/office/drawing/2014/main" id="{460C60FE-F14F-CBF7-DA48-60AA7826C1A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" name="자유형: 도형 3">
            <a:extLst>
              <a:ext uri="{FF2B5EF4-FFF2-40B4-BE49-F238E27FC236}">
                <a16:creationId xmlns:a16="http://schemas.microsoft.com/office/drawing/2014/main" id="{811BA92D-DBCC-29C1-934F-E78BC6142C9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32084</xdr:colOff>
      <xdr:row>11</xdr:row>
      <xdr:rowOff>40107</xdr:rowOff>
    </xdr:from>
    <xdr:to>
      <xdr:col>55</xdr:col>
      <xdr:colOff>104084</xdr:colOff>
      <xdr:row>12</xdr:row>
      <xdr:rowOff>1328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6F6C085B-52C0-47D0-9240-AFE7C2420DE3}"/>
            </a:ext>
          </a:extLst>
        </xdr:cNvPr>
        <xdr:cNvGrpSpPr/>
      </xdr:nvGrpSpPr>
      <xdr:grpSpPr>
        <a:xfrm>
          <a:off x="27582025" y="2468048"/>
          <a:ext cx="76763" cy="185339"/>
          <a:chOff x="8889969" y="717550"/>
          <a:chExt cx="95415" cy="260350"/>
        </a:xfrm>
      </xdr:grpSpPr>
      <xdr:sp macro="" textlink="">
        <xdr:nvSpPr>
          <xdr:cNvPr id="6" name="자유형: 도형 5">
            <a:extLst>
              <a:ext uri="{FF2B5EF4-FFF2-40B4-BE49-F238E27FC236}">
                <a16:creationId xmlns:a16="http://schemas.microsoft.com/office/drawing/2014/main" id="{7D64C764-1F56-5C6E-DCF8-D025EC8716C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7" name="자유형: 도형 6">
            <a:extLst>
              <a:ext uri="{FF2B5EF4-FFF2-40B4-BE49-F238E27FC236}">
                <a16:creationId xmlns:a16="http://schemas.microsoft.com/office/drawing/2014/main" id="{FC5FDFE7-96CC-F235-D1B7-475DCEAE696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24063</xdr:colOff>
      <xdr:row>13</xdr:row>
      <xdr:rowOff>48128</xdr:rowOff>
    </xdr:from>
    <xdr:to>
      <xdr:col>55</xdr:col>
      <xdr:colOff>96063</xdr:colOff>
      <xdr:row>14</xdr:row>
      <xdr:rowOff>9349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A2EF436C-87BD-4AB2-BA08-F1ADFE950764}"/>
            </a:ext>
          </a:extLst>
        </xdr:cNvPr>
        <xdr:cNvGrpSpPr/>
      </xdr:nvGrpSpPr>
      <xdr:grpSpPr>
        <a:xfrm>
          <a:off x="27577179" y="2920009"/>
          <a:ext cx="70413" cy="185339"/>
          <a:chOff x="8889969" y="717550"/>
          <a:chExt cx="95415" cy="260350"/>
        </a:xfrm>
      </xdr:grpSpPr>
      <xdr:sp macro="" textlink="">
        <xdr:nvSpPr>
          <xdr:cNvPr id="9" name="자유형: 도형 8">
            <a:extLst>
              <a:ext uri="{FF2B5EF4-FFF2-40B4-BE49-F238E27FC236}">
                <a16:creationId xmlns:a16="http://schemas.microsoft.com/office/drawing/2014/main" id="{C9A6B6B0-F903-0D28-2D1A-0E6848948D2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0" name="자유형: 도형 9">
            <a:extLst>
              <a:ext uri="{FF2B5EF4-FFF2-40B4-BE49-F238E27FC236}">
                <a16:creationId xmlns:a16="http://schemas.microsoft.com/office/drawing/2014/main" id="{0EA1E626-FE89-DC08-957E-D65E5BBCD89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32084</xdr:colOff>
      <xdr:row>15</xdr:row>
      <xdr:rowOff>32086</xdr:rowOff>
    </xdr:from>
    <xdr:to>
      <xdr:col>55</xdr:col>
      <xdr:colOff>104084</xdr:colOff>
      <xdr:row>16</xdr:row>
      <xdr:rowOff>1328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6B1E537A-5E50-492C-ADDA-BEB42518F9EF}"/>
            </a:ext>
          </a:extLst>
        </xdr:cNvPr>
        <xdr:cNvGrpSpPr/>
      </xdr:nvGrpSpPr>
      <xdr:grpSpPr>
        <a:xfrm>
          <a:off x="27582025" y="3347439"/>
          <a:ext cx="76763" cy="187477"/>
          <a:chOff x="8889969" y="717550"/>
          <a:chExt cx="95415" cy="260350"/>
        </a:xfrm>
      </xdr:grpSpPr>
      <xdr:sp macro="" textlink="">
        <xdr:nvSpPr>
          <xdr:cNvPr id="12" name="자유형: 도형 11">
            <a:extLst>
              <a:ext uri="{FF2B5EF4-FFF2-40B4-BE49-F238E27FC236}">
                <a16:creationId xmlns:a16="http://schemas.microsoft.com/office/drawing/2014/main" id="{E84C9998-2178-C775-9906-CF30B770130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3" name="자유형: 도형 12">
            <a:extLst>
              <a:ext uri="{FF2B5EF4-FFF2-40B4-BE49-F238E27FC236}">
                <a16:creationId xmlns:a16="http://schemas.microsoft.com/office/drawing/2014/main" id="{F65198B0-D118-1450-6593-7C95838EE93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24063</xdr:colOff>
      <xdr:row>17</xdr:row>
      <xdr:rowOff>24065</xdr:rowOff>
    </xdr:from>
    <xdr:to>
      <xdr:col>55</xdr:col>
      <xdr:colOff>96063</xdr:colOff>
      <xdr:row>17</xdr:row>
      <xdr:rowOff>217897</xdr:rowOff>
    </xdr:to>
    <xdr:grpSp>
      <xdr:nvGrpSpPr>
        <xdr:cNvPr id="14" name="그룹 13">
          <a:extLst>
            <a:ext uri="{FF2B5EF4-FFF2-40B4-BE49-F238E27FC236}">
              <a16:creationId xmlns:a16="http://schemas.microsoft.com/office/drawing/2014/main" id="{DEBA97CF-0DCC-4008-8CA6-C85FADD5ECCC}"/>
            </a:ext>
          </a:extLst>
        </xdr:cNvPr>
        <xdr:cNvGrpSpPr/>
      </xdr:nvGrpSpPr>
      <xdr:grpSpPr>
        <a:xfrm>
          <a:off x="27577179" y="3783358"/>
          <a:ext cx="70413" cy="195420"/>
          <a:chOff x="8889969" y="717550"/>
          <a:chExt cx="95415" cy="260350"/>
        </a:xfrm>
      </xdr:grpSpPr>
      <xdr:sp macro="" textlink="">
        <xdr:nvSpPr>
          <xdr:cNvPr id="15" name="자유형: 도형 14">
            <a:extLst>
              <a:ext uri="{FF2B5EF4-FFF2-40B4-BE49-F238E27FC236}">
                <a16:creationId xmlns:a16="http://schemas.microsoft.com/office/drawing/2014/main" id="{42686117-8570-1817-FDA5-AE15BE2F8BD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" name="자유형: 도형 15">
            <a:extLst>
              <a:ext uri="{FF2B5EF4-FFF2-40B4-BE49-F238E27FC236}">
                <a16:creationId xmlns:a16="http://schemas.microsoft.com/office/drawing/2014/main" id="{10D03C17-DA2C-520B-A633-3459085156C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9</xdr:row>
      <xdr:rowOff>25400</xdr:rowOff>
    </xdr:from>
    <xdr:to>
      <xdr:col>63</xdr:col>
      <xdr:colOff>102748</xdr:colOff>
      <xdr:row>9</xdr:row>
      <xdr:rowOff>208538</xdr:rowOff>
    </xdr:to>
    <xdr:grpSp>
      <xdr:nvGrpSpPr>
        <xdr:cNvPr id="17" name="그룹 16">
          <a:extLst>
            <a:ext uri="{FF2B5EF4-FFF2-40B4-BE49-F238E27FC236}">
              <a16:creationId xmlns:a16="http://schemas.microsoft.com/office/drawing/2014/main" id="{927F5E9C-B2D4-46E7-A250-66D57590DA06}"/>
            </a:ext>
          </a:extLst>
        </xdr:cNvPr>
        <xdr:cNvGrpSpPr/>
      </xdr:nvGrpSpPr>
      <xdr:grpSpPr>
        <a:xfrm>
          <a:off x="31432805" y="2014163"/>
          <a:ext cx="72000" cy="181551"/>
          <a:chOff x="8889969" y="717550"/>
          <a:chExt cx="95415" cy="260350"/>
        </a:xfrm>
      </xdr:grpSpPr>
      <xdr:sp macro="" textlink="">
        <xdr:nvSpPr>
          <xdr:cNvPr id="18" name="자유형: 도형 17">
            <a:extLst>
              <a:ext uri="{FF2B5EF4-FFF2-40B4-BE49-F238E27FC236}">
                <a16:creationId xmlns:a16="http://schemas.microsoft.com/office/drawing/2014/main" id="{CB89D8F7-2313-1555-6F22-B3D97661E98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9" name="자유형: 도형 18">
            <a:extLst>
              <a:ext uri="{FF2B5EF4-FFF2-40B4-BE49-F238E27FC236}">
                <a16:creationId xmlns:a16="http://schemas.microsoft.com/office/drawing/2014/main" id="{279C5DD8-DDB4-757E-7287-9BB0EA5AA8F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11</xdr:row>
      <xdr:rowOff>49464</xdr:rowOff>
    </xdr:from>
    <xdr:to>
      <xdr:col>63</xdr:col>
      <xdr:colOff>102748</xdr:colOff>
      <xdr:row>12</xdr:row>
      <xdr:rowOff>10685</xdr:rowOff>
    </xdr:to>
    <xdr:grpSp>
      <xdr:nvGrpSpPr>
        <xdr:cNvPr id="20" name="그룹 19">
          <a:extLst>
            <a:ext uri="{FF2B5EF4-FFF2-40B4-BE49-F238E27FC236}">
              <a16:creationId xmlns:a16="http://schemas.microsoft.com/office/drawing/2014/main" id="{868906C9-5CA0-4864-A9B0-F4437F272E73}"/>
            </a:ext>
          </a:extLst>
        </xdr:cNvPr>
        <xdr:cNvGrpSpPr/>
      </xdr:nvGrpSpPr>
      <xdr:grpSpPr>
        <a:xfrm>
          <a:off x="31432805" y="2480580"/>
          <a:ext cx="72000" cy="185339"/>
          <a:chOff x="8889969" y="717550"/>
          <a:chExt cx="95415" cy="260350"/>
        </a:xfrm>
      </xdr:grpSpPr>
      <xdr:sp macro="" textlink="">
        <xdr:nvSpPr>
          <xdr:cNvPr id="21" name="자유형: 도형 20">
            <a:extLst>
              <a:ext uri="{FF2B5EF4-FFF2-40B4-BE49-F238E27FC236}">
                <a16:creationId xmlns:a16="http://schemas.microsoft.com/office/drawing/2014/main" id="{B9C06512-1806-425B-F833-52234DA179D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22" name="자유형: 도형 21">
            <a:extLst>
              <a:ext uri="{FF2B5EF4-FFF2-40B4-BE49-F238E27FC236}">
                <a16:creationId xmlns:a16="http://schemas.microsoft.com/office/drawing/2014/main" id="{FDD79D3E-D8F8-9A2A-8D04-B3F84892743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22727</xdr:colOff>
      <xdr:row>13</xdr:row>
      <xdr:rowOff>57485</xdr:rowOff>
    </xdr:from>
    <xdr:to>
      <xdr:col>63</xdr:col>
      <xdr:colOff>94727</xdr:colOff>
      <xdr:row>14</xdr:row>
      <xdr:rowOff>18706</xdr:rowOff>
    </xdr:to>
    <xdr:grpSp>
      <xdr:nvGrpSpPr>
        <xdr:cNvPr id="23" name="그룹 22">
          <a:extLst>
            <a:ext uri="{FF2B5EF4-FFF2-40B4-BE49-F238E27FC236}">
              <a16:creationId xmlns:a16="http://schemas.microsoft.com/office/drawing/2014/main" id="{69233420-8687-4B1F-AED1-71908A546F73}"/>
            </a:ext>
          </a:extLst>
        </xdr:cNvPr>
        <xdr:cNvGrpSpPr/>
      </xdr:nvGrpSpPr>
      <xdr:grpSpPr>
        <a:xfrm>
          <a:off x="31423196" y="2926191"/>
          <a:ext cx="70413" cy="185339"/>
          <a:chOff x="8889969" y="717550"/>
          <a:chExt cx="95415" cy="260350"/>
        </a:xfrm>
      </xdr:grpSpPr>
      <xdr:sp macro="" textlink="">
        <xdr:nvSpPr>
          <xdr:cNvPr id="24" name="자유형: 도형 23">
            <a:extLst>
              <a:ext uri="{FF2B5EF4-FFF2-40B4-BE49-F238E27FC236}">
                <a16:creationId xmlns:a16="http://schemas.microsoft.com/office/drawing/2014/main" id="{F3C92292-6FE4-0544-896F-C6F2EC4B8E3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25" name="자유형: 도형 24">
            <a:extLst>
              <a:ext uri="{FF2B5EF4-FFF2-40B4-BE49-F238E27FC236}">
                <a16:creationId xmlns:a16="http://schemas.microsoft.com/office/drawing/2014/main" id="{9F96C60B-96F4-1D86-4FB3-186772B012D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15</xdr:row>
      <xdr:rowOff>41443</xdr:rowOff>
    </xdr:from>
    <xdr:to>
      <xdr:col>63</xdr:col>
      <xdr:colOff>102748</xdr:colOff>
      <xdr:row>16</xdr:row>
      <xdr:rowOff>10685</xdr:rowOff>
    </xdr:to>
    <xdr:grpSp>
      <xdr:nvGrpSpPr>
        <xdr:cNvPr id="26" name="그룹 25">
          <a:extLst>
            <a:ext uri="{FF2B5EF4-FFF2-40B4-BE49-F238E27FC236}">
              <a16:creationId xmlns:a16="http://schemas.microsoft.com/office/drawing/2014/main" id="{6DC70DF6-D30E-4CAD-8DD6-D650ED89ED54}"/>
            </a:ext>
          </a:extLst>
        </xdr:cNvPr>
        <xdr:cNvGrpSpPr/>
      </xdr:nvGrpSpPr>
      <xdr:grpSpPr>
        <a:xfrm>
          <a:off x="31432805" y="3359971"/>
          <a:ext cx="72000" cy="187477"/>
          <a:chOff x="8889969" y="717550"/>
          <a:chExt cx="95415" cy="260350"/>
        </a:xfrm>
      </xdr:grpSpPr>
      <xdr:sp macro="" textlink="">
        <xdr:nvSpPr>
          <xdr:cNvPr id="27" name="자유형: 도형 26">
            <a:extLst>
              <a:ext uri="{FF2B5EF4-FFF2-40B4-BE49-F238E27FC236}">
                <a16:creationId xmlns:a16="http://schemas.microsoft.com/office/drawing/2014/main" id="{093D4D20-5917-5E01-038C-B8A4488F4C9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28" name="자유형: 도형 27">
            <a:extLst>
              <a:ext uri="{FF2B5EF4-FFF2-40B4-BE49-F238E27FC236}">
                <a16:creationId xmlns:a16="http://schemas.microsoft.com/office/drawing/2014/main" id="{3A57C2B8-35AA-9D7F-5E86-63552B78B95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22727</xdr:colOff>
      <xdr:row>17</xdr:row>
      <xdr:rowOff>33422</xdr:rowOff>
    </xdr:from>
    <xdr:to>
      <xdr:col>63</xdr:col>
      <xdr:colOff>94727</xdr:colOff>
      <xdr:row>17</xdr:row>
      <xdr:rowOff>215222</xdr:rowOff>
    </xdr:to>
    <xdr:grpSp>
      <xdr:nvGrpSpPr>
        <xdr:cNvPr id="29" name="그룹 28">
          <a:extLst>
            <a:ext uri="{FF2B5EF4-FFF2-40B4-BE49-F238E27FC236}">
              <a16:creationId xmlns:a16="http://schemas.microsoft.com/office/drawing/2014/main" id="{1AA4B451-7DD8-4FE5-A0F6-2EAC1ED0C190}"/>
            </a:ext>
          </a:extLst>
        </xdr:cNvPr>
        <xdr:cNvGrpSpPr/>
      </xdr:nvGrpSpPr>
      <xdr:grpSpPr>
        <a:xfrm>
          <a:off x="31423196" y="3789540"/>
          <a:ext cx="70413" cy="184975"/>
          <a:chOff x="8889969" y="717550"/>
          <a:chExt cx="95415" cy="260350"/>
        </a:xfrm>
      </xdr:grpSpPr>
      <xdr:sp macro="" textlink="">
        <xdr:nvSpPr>
          <xdr:cNvPr id="30" name="자유형: 도형 29">
            <a:extLst>
              <a:ext uri="{FF2B5EF4-FFF2-40B4-BE49-F238E27FC236}">
                <a16:creationId xmlns:a16="http://schemas.microsoft.com/office/drawing/2014/main" id="{F2C53B01-D6E1-4265-FAD7-D07813D070C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31" name="자유형: 도형 30">
            <a:extLst>
              <a:ext uri="{FF2B5EF4-FFF2-40B4-BE49-F238E27FC236}">
                <a16:creationId xmlns:a16="http://schemas.microsoft.com/office/drawing/2014/main" id="{D08801DD-17E1-EB3C-F9BF-62B360C9026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9</xdr:row>
      <xdr:rowOff>40106</xdr:rowOff>
    </xdr:from>
    <xdr:to>
      <xdr:col>41</xdr:col>
      <xdr:colOff>112106</xdr:colOff>
      <xdr:row>10</xdr:row>
      <xdr:rowOff>9349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ED5A924E-2FEE-4ED4-AF6A-69AF14463E61}"/>
            </a:ext>
          </a:extLst>
        </xdr:cNvPr>
        <xdr:cNvGrpSpPr/>
      </xdr:nvGrpSpPr>
      <xdr:grpSpPr>
        <a:xfrm>
          <a:off x="20165871" y="2027282"/>
          <a:ext cx="72000" cy="189066"/>
          <a:chOff x="8889969" y="717550"/>
          <a:chExt cx="95415" cy="260350"/>
        </a:xfrm>
      </xdr:grpSpPr>
      <xdr:sp macro="" textlink="">
        <xdr:nvSpPr>
          <xdr:cNvPr id="33" name="자유형: 도형 32">
            <a:extLst>
              <a:ext uri="{FF2B5EF4-FFF2-40B4-BE49-F238E27FC236}">
                <a16:creationId xmlns:a16="http://schemas.microsoft.com/office/drawing/2014/main" id="{8E1D8B49-B804-EBD5-0C27-715C04489D0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34" name="자유형: 도형 33">
            <a:extLst>
              <a:ext uri="{FF2B5EF4-FFF2-40B4-BE49-F238E27FC236}">
                <a16:creationId xmlns:a16="http://schemas.microsoft.com/office/drawing/2014/main" id="{D8A4E201-9FF5-53AE-4538-FBA46F9D3A9B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11</xdr:row>
      <xdr:rowOff>64170</xdr:rowOff>
    </xdr:from>
    <xdr:to>
      <xdr:col>41</xdr:col>
      <xdr:colOff>112106</xdr:colOff>
      <xdr:row>12</xdr:row>
      <xdr:rowOff>25391</xdr:rowOff>
    </xdr:to>
    <xdr:grpSp>
      <xdr:nvGrpSpPr>
        <xdr:cNvPr id="35" name="그룹 34">
          <a:extLst>
            <a:ext uri="{FF2B5EF4-FFF2-40B4-BE49-F238E27FC236}">
              <a16:creationId xmlns:a16="http://schemas.microsoft.com/office/drawing/2014/main" id="{A2E8AEB1-1A81-4929-8742-C7C9CBA1BA6A}"/>
            </a:ext>
          </a:extLst>
        </xdr:cNvPr>
        <xdr:cNvGrpSpPr/>
      </xdr:nvGrpSpPr>
      <xdr:grpSpPr>
        <a:xfrm>
          <a:off x="20165871" y="2493698"/>
          <a:ext cx="72000" cy="185339"/>
          <a:chOff x="8889969" y="717550"/>
          <a:chExt cx="95415" cy="260350"/>
        </a:xfrm>
      </xdr:grpSpPr>
      <xdr:sp macro="" textlink="">
        <xdr:nvSpPr>
          <xdr:cNvPr id="36" name="자유형: 도형 35">
            <a:extLst>
              <a:ext uri="{FF2B5EF4-FFF2-40B4-BE49-F238E27FC236}">
                <a16:creationId xmlns:a16="http://schemas.microsoft.com/office/drawing/2014/main" id="{B6CB6F7F-CDF3-900E-9B16-9EB1C56250E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37" name="자유형: 도형 36">
            <a:extLst>
              <a:ext uri="{FF2B5EF4-FFF2-40B4-BE49-F238E27FC236}">
                <a16:creationId xmlns:a16="http://schemas.microsoft.com/office/drawing/2014/main" id="{A5AAC7C7-E856-5787-DEFB-0ED993C2266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32085</xdr:colOff>
      <xdr:row>13</xdr:row>
      <xdr:rowOff>72191</xdr:rowOff>
    </xdr:from>
    <xdr:to>
      <xdr:col>41</xdr:col>
      <xdr:colOff>104085</xdr:colOff>
      <xdr:row>14</xdr:row>
      <xdr:rowOff>33412</xdr:rowOff>
    </xdr:to>
    <xdr:grpSp>
      <xdr:nvGrpSpPr>
        <xdr:cNvPr id="38" name="그룹 37">
          <a:extLst>
            <a:ext uri="{FF2B5EF4-FFF2-40B4-BE49-F238E27FC236}">
              <a16:creationId xmlns:a16="http://schemas.microsoft.com/office/drawing/2014/main" id="{BC351C0E-6AAC-4DDC-BC20-816E6E304D6D}"/>
            </a:ext>
          </a:extLst>
        </xdr:cNvPr>
        <xdr:cNvGrpSpPr/>
      </xdr:nvGrpSpPr>
      <xdr:grpSpPr>
        <a:xfrm>
          <a:off x="20156262" y="2939309"/>
          <a:ext cx="76763" cy="185339"/>
          <a:chOff x="8889969" y="717550"/>
          <a:chExt cx="95415" cy="260350"/>
        </a:xfrm>
      </xdr:grpSpPr>
      <xdr:sp macro="" textlink="">
        <xdr:nvSpPr>
          <xdr:cNvPr id="39" name="자유형: 도형 38">
            <a:extLst>
              <a:ext uri="{FF2B5EF4-FFF2-40B4-BE49-F238E27FC236}">
                <a16:creationId xmlns:a16="http://schemas.microsoft.com/office/drawing/2014/main" id="{409AD693-3839-22C8-069B-C821F0EC7EC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0" name="자유형: 도형 39">
            <a:extLst>
              <a:ext uri="{FF2B5EF4-FFF2-40B4-BE49-F238E27FC236}">
                <a16:creationId xmlns:a16="http://schemas.microsoft.com/office/drawing/2014/main" id="{63227EFF-6520-8606-3E13-66E5D9E6F4A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15</xdr:row>
      <xdr:rowOff>56149</xdr:rowOff>
    </xdr:from>
    <xdr:to>
      <xdr:col>41</xdr:col>
      <xdr:colOff>112106</xdr:colOff>
      <xdr:row>16</xdr:row>
      <xdr:rowOff>25391</xdr:rowOff>
    </xdr:to>
    <xdr:grpSp>
      <xdr:nvGrpSpPr>
        <xdr:cNvPr id="41" name="그룹 40">
          <a:extLst>
            <a:ext uri="{FF2B5EF4-FFF2-40B4-BE49-F238E27FC236}">
              <a16:creationId xmlns:a16="http://schemas.microsoft.com/office/drawing/2014/main" id="{BE78FBCB-0E3C-49C5-8DAD-8F170A11404D}"/>
            </a:ext>
          </a:extLst>
        </xdr:cNvPr>
        <xdr:cNvGrpSpPr/>
      </xdr:nvGrpSpPr>
      <xdr:grpSpPr>
        <a:xfrm>
          <a:off x="20165871" y="3373090"/>
          <a:ext cx="72000" cy="187476"/>
          <a:chOff x="8889969" y="717550"/>
          <a:chExt cx="95415" cy="260350"/>
        </a:xfrm>
      </xdr:grpSpPr>
      <xdr:sp macro="" textlink="">
        <xdr:nvSpPr>
          <xdr:cNvPr id="42" name="자유형: 도형 41">
            <a:extLst>
              <a:ext uri="{FF2B5EF4-FFF2-40B4-BE49-F238E27FC236}">
                <a16:creationId xmlns:a16="http://schemas.microsoft.com/office/drawing/2014/main" id="{F4EC5290-8CA1-31EF-FDCB-9CA1199A7AF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3" name="자유형: 도형 42">
            <a:extLst>
              <a:ext uri="{FF2B5EF4-FFF2-40B4-BE49-F238E27FC236}">
                <a16:creationId xmlns:a16="http://schemas.microsoft.com/office/drawing/2014/main" id="{D1E6859C-B3EA-6F23-F034-9B057AF6A86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32085</xdr:colOff>
      <xdr:row>17</xdr:row>
      <xdr:rowOff>48128</xdr:rowOff>
    </xdr:from>
    <xdr:to>
      <xdr:col>41</xdr:col>
      <xdr:colOff>104085</xdr:colOff>
      <xdr:row>18</xdr:row>
      <xdr:rowOff>9349</xdr:rowOff>
    </xdr:to>
    <xdr:grpSp>
      <xdr:nvGrpSpPr>
        <xdr:cNvPr id="44" name="그룹 43">
          <a:extLst>
            <a:ext uri="{FF2B5EF4-FFF2-40B4-BE49-F238E27FC236}">
              <a16:creationId xmlns:a16="http://schemas.microsoft.com/office/drawing/2014/main" id="{D59E82BF-BADD-40A1-A72A-370668BFB46E}"/>
            </a:ext>
          </a:extLst>
        </xdr:cNvPr>
        <xdr:cNvGrpSpPr/>
      </xdr:nvGrpSpPr>
      <xdr:grpSpPr>
        <a:xfrm>
          <a:off x="20156262" y="3809009"/>
          <a:ext cx="76763" cy="185339"/>
          <a:chOff x="8889969" y="717550"/>
          <a:chExt cx="95415" cy="260350"/>
        </a:xfrm>
      </xdr:grpSpPr>
      <xdr:sp macro="" textlink="">
        <xdr:nvSpPr>
          <xdr:cNvPr id="45" name="자유형: 도형 44">
            <a:extLst>
              <a:ext uri="{FF2B5EF4-FFF2-40B4-BE49-F238E27FC236}">
                <a16:creationId xmlns:a16="http://schemas.microsoft.com/office/drawing/2014/main" id="{85BECA81-1B9C-8245-0C86-313EAD9F423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46" name="자유형: 도형 45">
            <a:extLst>
              <a:ext uri="{FF2B5EF4-FFF2-40B4-BE49-F238E27FC236}">
                <a16:creationId xmlns:a16="http://schemas.microsoft.com/office/drawing/2014/main" id="{1E94E7A6-808C-D393-439C-C5E0B9EBE48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49</xdr:col>
      <xdr:colOff>647033</xdr:colOff>
      <xdr:row>6</xdr:row>
      <xdr:rowOff>204536</xdr:rowOff>
    </xdr:from>
    <xdr:to>
      <xdr:col>66</xdr:col>
      <xdr:colOff>20053</xdr:colOff>
      <xdr:row>6</xdr:row>
      <xdr:rowOff>204536</xdr:rowOff>
    </xdr:to>
    <xdr:cxnSp macro="">
      <xdr:nvCxnSpPr>
        <xdr:cNvPr id="47" name="직선 화살표 연결선 46">
          <a:extLst>
            <a:ext uri="{FF2B5EF4-FFF2-40B4-BE49-F238E27FC236}">
              <a16:creationId xmlns:a16="http://schemas.microsoft.com/office/drawing/2014/main" id="{9B234E8E-10E4-4712-AD8F-4278E277E15B}"/>
            </a:ext>
          </a:extLst>
        </xdr:cNvPr>
        <xdr:cNvCxnSpPr/>
      </xdr:nvCxnSpPr>
      <xdr:spPr>
        <a:xfrm>
          <a:off x="24440483" y="1734886"/>
          <a:ext cx="767882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40106</xdr:colOff>
      <xdr:row>23</xdr:row>
      <xdr:rowOff>40106</xdr:rowOff>
    </xdr:from>
    <xdr:to>
      <xdr:col>41</xdr:col>
      <xdr:colOff>112106</xdr:colOff>
      <xdr:row>24</xdr:row>
      <xdr:rowOff>9349</xdr:rowOff>
    </xdr:to>
    <xdr:grpSp>
      <xdr:nvGrpSpPr>
        <xdr:cNvPr id="48" name="그룹 47">
          <a:extLst>
            <a:ext uri="{FF2B5EF4-FFF2-40B4-BE49-F238E27FC236}">
              <a16:creationId xmlns:a16="http://schemas.microsoft.com/office/drawing/2014/main" id="{8C87C7AF-C7ED-4DEB-87CB-758BD90DB6AD}"/>
            </a:ext>
          </a:extLst>
        </xdr:cNvPr>
        <xdr:cNvGrpSpPr/>
      </xdr:nvGrpSpPr>
      <xdr:grpSpPr>
        <a:xfrm>
          <a:off x="20165871" y="5135047"/>
          <a:ext cx="72000" cy="196536"/>
          <a:chOff x="8889969" y="717550"/>
          <a:chExt cx="95415" cy="260350"/>
        </a:xfrm>
      </xdr:grpSpPr>
      <xdr:sp macro="" textlink="">
        <xdr:nvSpPr>
          <xdr:cNvPr id="49" name="자유형: 도형 48">
            <a:extLst>
              <a:ext uri="{FF2B5EF4-FFF2-40B4-BE49-F238E27FC236}">
                <a16:creationId xmlns:a16="http://schemas.microsoft.com/office/drawing/2014/main" id="{A0220ED0-B832-DA3C-E860-8FE73767215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0" name="자유형: 도형 49">
            <a:extLst>
              <a:ext uri="{FF2B5EF4-FFF2-40B4-BE49-F238E27FC236}">
                <a16:creationId xmlns:a16="http://schemas.microsoft.com/office/drawing/2014/main" id="{29DBFF03-0BF5-6D81-D55E-DACD53E8A21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25</xdr:row>
      <xdr:rowOff>64170</xdr:rowOff>
    </xdr:from>
    <xdr:to>
      <xdr:col>41</xdr:col>
      <xdr:colOff>112106</xdr:colOff>
      <xdr:row>26</xdr:row>
      <xdr:rowOff>25391</xdr:rowOff>
    </xdr:to>
    <xdr:grpSp>
      <xdr:nvGrpSpPr>
        <xdr:cNvPr id="51" name="그룹 50">
          <a:extLst>
            <a:ext uri="{FF2B5EF4-FFF2-40B4-BE49-F238E27FC236}">
              <a16:creationId xmlns:a16="http://schemas.microsoft.com/office/drawing/2014/main" id="{7D4973DB-CB75-40FB-BAD8-DB7D5338C202}"/>
            </a:ext>
          </a:extLst>
        </xdr:cNvPr>
        <xdr:cNvGrpSpPr/>
      </xdr:nvGrpSpPr>
      <xdr:grpSpPr>
        <a:xfrm>
          <a:off x="20165871" y="5601463"/>
          <a:ext cx="72000" cy="185339"/>
          <a:chOff x="8889969" y="717550"/>
          <a:chExt cx="95415" cy="260350"/>
        </a:xfrm>
      </xdr:grpSpPr>
      <xdr:sp macro="" textlink="">
        <xdr:nvSpPr>
          <xdr:cNvPr id="52" name="자유형: 도형 51">
            <a:extLst>
              <a:ext uri="{FF2B5EF4-FFF2-40B4-BE49-F238E27FC236}">
                <a16:creationId xmlns:a16="http://schemas.microsoft.com/office/drawing/2014/main" id="{C39C8473-8B9E-AD66-1922-DE156A490B0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3" name="자유형: 도형 52">
            <a:extLst>
              <a:ext uri="{FF2B5EF4-FFF2-40B4-BE49-F238E27FC236}">
                <a16:creationId xmlns:a16="http://schemas.microsoft.com/office/drawing/2014/main" id="{5451B022-4BFF-723F-5AFC-6B51F803C3D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32085</xdr:colOff>
      <xdr:row>27</xdr:row>
      <xdr:rowOff>72191</xdr:rowOff>
    </xdr:from>
    <xdr:to>
      <xdr:col>41</xdr:col>
      <xdr:colOff>104085</xdr:colOff>
      <xdr:row>28</xdr:row>
      <xdr:rowOff>33412</xdr:rowOff>
    </xdr:to>
    <xdr:grpSp>
      <xdr:nvGrpSpPr>
        <xdr:cNvPr id="54" name="그룹 53">
          <a:extLst>
            <a:ext uri="{FF2B5EF4-FFF2-40B4-BE49-F238E27FC236}">
              <a16:creationId xmlns:a16="http://schemas.microsoft.com/office/drawing/2014/main" id="{44F61FD6-73E5-4849-AFE0-F9A9B587148F}"/>
            </a:ext>
          </a:extLst>
        </xdr:cNvPr>
        <xdr:cNvGrpSpPr/>
      </xdr:nvGrpSpPr>
      <xdr:grpSpPr>
        <a:xfrm>
          <a:off x="20156262" y="6054544"/>
          <a:ext cx="76763" cy="177868"/>
          <a:chOff x="8889969" y="717550"/>
          <a:chExt cx="95415" cy="260350"/>
        </a:xfrm>
      </xdr:grpSpPr>
      <xdr:sp macro="" textlink="">
        <xdr:nvSpPr>
          <xdr:cNvPr id="55" name="자유형: 도형 54">
            <a:extLst>
              <a:ext uri="{FF2B5EF4-FFF2-40B4-BE49-F238E27FC236}">
                <a16:creationId xmlns:a16="http://schemas.microsoft.com/office/drawing/2014/main" id="{E00A8A0F-454E-9CDE-0470-E8951D337E8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6" name="자유형: 도형 55">
            <a:extLst>
              <a:ext uri="{FF2B5EF4-FFF2-40B4-BE49-F238E27FC236}">
                <a16:creationId xmlns:a16="http://schemas.microsoft.com/office/drawing/2014/main" id="{53D43751-D3CE-0EAF-55AD-31C802CF125C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40106</xdr:colOff>
      <xdr:row>29</xdr:row>
      <xdr:rowOff>56149</xdr:rowOff>
    </xdr:from>
    <xdr:to>
      <xdr:col>41</xdr:col>
      <xdr:colOff>112106</xdr:colOff>
      <xdr:row>30</xdr:row>
      <xdr:rowOff>25391</xdr:rowOff>
    </xdr:to>
    <xdr:grpSp>
      <xdr:nvGrpSpPr>
        <xdr:cNvPr id="57" name="그룹 56">
          <a:extLst>
            <a:ext uri="{FF2B5EF4-FFF2-40B4-BE49-F238E27FC236}">
              <a16:creationId xmlns:a16="http://schemas.microsoft.com/office/drawing/2014/main" id="{9C129B7D-3214-4C79-8D6B-3FC5323DC7D7}"/>
            </a:ext>
          </a:extLst>
        </xdr:cNvPr>
        <xdr:cNvGrpSpPr/>
      </xdr:nvGrpSpPr>
      <xdr:grpSpPr>
        <a:xfrm>
          <a:off x="20165871" y="6480855"/>
          <a:ext cx="72000" cy="194947"/>
          <a:chOff x="8889969" y="717550"/>
          <a:chExt cx="95415" cy="260350"/>
        </a:xfrm>
      </xdr:grpSpPr>
      <xdr:sp macro="" textlink="">
        <xdr:nvSpPr>
          <xdr:cNvPr id="58" name="자유형: 도형 57">
            <a:extLst>
              <a:ext uri="{FF2B5EF4-FFF2-40B4-BE49-F238E27FC236}">
                <a16:creationId xmlns:a16="http://schemas.microsoft.com/office/drawing/2014/main" id="{11D0D887-B4FB-5BFA-8266-9E9A759CC215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59" name="자유형: 도형 58">
            <a:extLst>
              <a:ext uri="{FF2B5EF4-FFF2-40B4-BE49-F238E27FC236}">
                <a16:creationId xmlns:a16="http://schemas.microsoft.com/office/drawing/2014/main" id="{FE3FFE4B-D833-FF77-82CC-9305959B7B9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41</xdr:col>
      <xdr:colOff>32085</xdr:colOff>
      <xdr:row>31</xdr:row>
      <xdr:rowOff>48128</xdr:rowOff>
    </xdr:from>
    <xdr:to>
      <xdr:col>41</xdr:col>
      <xdr:colOff>104085</xdr:colOff>
      <xdr:row>32</xdr:row>
      <xdr:rowOff>9349</xdr:rowOff>
    </xdr:to>
    <xdr:grpSp>
      <xdr:nvGrpSpPr>
        <xdr:cNvPr id="60" name="그룹 59">
          <a:extLst>
            <a:ext uri="{FF2B5EF4-FFF2-40B4-BE49-F238E27FC236}">
              <a16:creationId xmlns:a16="http://schemas.microsoft.com/office/drawing/2014/main" id="{B23036E8-AF2D-4F86-91DB-B026F8354636}"/>
            </a:ext>
          </a:extLst>
        </xdr:cNvPr>
        <xdr:cNvGrpSpPr/>
      </xdr:nvGrpSpPr>
      <xdr:grpSpPr>
        <a:xfrm>
          <a:off x="20156262" y="6916774"/>
          <a:ext cx="76763" cy="185338"/>
          <a:chOff x="8889969" y="717550"/>
          <a:chExt cx="95415" cy="260350"/>
        </a:xfrm>
      </xdr:grpSpPr>
      <xdr:sp macro="" textlink="">
        <xdr:nvSpPr>
          <xdr:cNvPr id="61" name="자유형: 도형 60">
            <a:extLst>
              <a:ext uri="{FF2B5EF4-FFF2-40B4-BE49-F238E27FC236}">
                <a16:creationId xmlns:a16="http://schemas.microsoft.com/office/drawing/2014/main" id="{BBB61C18-DFE3-0233-CE0C-02E071B5CD6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62" name="자유형: 도형 61">
            <a:extLst>
              <a:ext uri="{FF2B5EF4-FFF2-40B4-BE49-F238E27FC236}">
                <a16:creationId xmlns:a16="http://schemas.microsoft.com/office/drawing/2014/main" id="{AE5DF865-4786-FB28-A235-825B74404A68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35</xdr:col>
      <xdr:colOff>68329</xdr:colOff>
      <xdr:row>39</xdr:row>
      <xdr:rowOff>28892</xdr:rowOff>
    </xdr:from>
    <xdr:to>
      <xdr:col>35</xdr:col>
      <xdr:colOff>140329</xdr:colOff>
      <xdr:row>39</xdr:row>
      <xdr:rowOff>208835</xdr:rowOff>
    </xdr:to>
    <xdr:grpSp>
      <xdr:nvGrpSpPr>
        <xdr:cNvPr id="63" name="그룹 62">
          <a:extLst>
            <a:ext uri="{FF2B5EF4-FFF2-40B4-BE49-F238E27FC236}">
              <a16:creationId xmlns:a16="http://schemas.microsoft.com/office/drawing/2014/main" id="{559B6552-9733-4404-B55D-AED8BAB34CBC}"/>
            </a:ext>
          </a:extLst>
        </xdr:cNvPr>
        <xdr:cNvGrpSpPr/>
      </xdr:nvGrpSpPr>
      <xdr:grpSpPr>
        <a:xfrm>
          <a:off x="17395798" y="8653126"/>
          <a:ext cx="70412" cy="176768"/>
          <a:chOff x="8889969" y="717550"/>
          <a:chExt cx="95415" cy="260350"/>
        </a:xfrm>
      </xdr:grpSpPr>
      <xdr:sp macro="" textlink="">
        <xdr:nvSpPr>
          <xdr:cNvPr id="64" name="자유형: 도형 63">
            <a:extLst>
              <a:ext uri="{FF2B5EF4-FFF2-40B4-BE49-F238E27FC236}">
                <a16:creationId xmlns:a16="http://schemas.microsoft.com/office/drawing/2014/main" id="{1BB356F2-2C11-4FE1-EE7B-6B8092E23EC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65" name="자유형: 도형 64">
            <a:extLst>
              <a:ext uri="{FF2B5EF4-FFF2-40B4-BE49-F238E27FC236}">
                <a16:creationId xmlns:a16="http://schemas.microsoft.com/office/drawing/2014/main" id="{A1D1E118-FF4D-493D-6C76-5F4E9DA2EAC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35</xdr:col>
      <xdr:colOff>60308</xdr:colOff>
      <xdr:row>41</xdr:row>
      <xdr:rowOff>36913</xdr:rowOff>
    </xdr:from>
    <xdr:to>
      <xdr:col>35</xdr:col>
      <xdr:colOff>132308</xdr:colOff>
      <xdr:row>42</xdr:row>
      <xdr:rowOff>956</xdr:rowOff>
    </xdr:to>
    <xdr:grpSp>
      <xdr:nvGrpSpPr>
        <xdr:cNvPr id="66" name="그룹 65">
          <a:extLst>
            <a:ext uri="{FF2B5EF4-FFF2-40B4-BE49-F238E27FC236}">
              <a16:creationId xmlns:a16="http://schemas.microsoft.com/office/drawing/2014/main" id="{FFA0D671-2DCF-40A9-87C8-774AD217D719}"/>
            </a:ext>
          </a:extLst>
        </xdr:cNvPr>
        <xdr:cNvGrpSpPr/>
      </xdr:nvGrpSpPr>
      <xdr:grpSpPr>
        <a:xfrm>
          <a:off x="17386189" y="9091266"/>
          <a:ext cx="70413" cy="180690"/>
          <a:chOff x="8889969" y="717550"/>
          <a:chExt cx="95415" cy="260350"/>
        </a:xfrm>
      </xdr:grpSpPr>
      <xdr:sp macro="" textlink="">
        <xdr:nvSpPr>
          <xdr:cNvPr id="67" name="자유형: 도형 66">
            <a:extLst>
              <a:ext uri="{FF2B5EF4-FFF2-40B4-BE49-F238E27FC236}">
                <a16:creationId xmlns:a16="http://schemas.microsoft.com/office/drawing/2014/main" id="{EF49496C-6C29-5368-4378-853E4D3C4B6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68" name="자유형: 도형 67">
            <a:extLst>
              <a:ext uri="{FF2B5EF4-FFF2-40B4-BE49-F238E27FC236}">
                <a16:creationId xmlns:a16="http://schemas.microsoft.com/office/drawing/2014/main" id="{13C5872C-D6B8-782A-4EC4-510B7BAD549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35</xdr:col>
      <xdr:colOff>68329</xdr:colOff>
      <xdr:row>43</xdr:row>
      <xdr:rowOff>20871</xdr:rowOff>
    </xdr:from>
    <xdr:to>
      <xdr:col>35</xdr:col>
      <xdr:colOff>140329</xdr:colOff>
      <xdr:row>43</xdr:row>
      <xdr:rowOff>208835</xdr:rowOff>
    </xdr:to>
    <xdr:grpSp>
      <xdr:nvGrpSpPr>
        <xdr:cNvPr id="69" name="그룹 68">
          <a:extLst>
            <a:ext uri="{FF2B5EF4-FFF2-40B4-BE49-F238E27FC236}">
              <a16:creationId xmlns:a16="http://schemas.microsoft.com/office/drawing/2014/main" id="{89834FE9-FCB9-4DD3-B012-D2F3455282F6}"/>
            </a:ext>
          </a:extLst>
        </xdr:cNvPr>
        <xdr:cNvGrpSpPr/>
      </xdr:nvGrpSpPr>
      <xdr:grpSpPr>
        <a:xfrm>
          <a:off x="17395798" y="9508518"/>
          <a:ext cx="70412" cy="187964"/>
          <a:chOff x="8889969" y="717550"/>
          <a:chExt cx="95415" cy="260350"/>
        </a:xfrm>
      </xdr:grpSpPr>
      <xdr:sp macro="" textlink="">
        <xdr:nvSpPr>
          <xdr:cNvPr id="70" name="자유형: 도형 69">
            <a:extLst>
              <a:ext uri="{FF2B5EF4-FFF2-40B4-BE49-F238E27FC236}">
                <a16:creationId xmlns:a16="http://schemas.microsoft.com/office/drawing/2014/main" id="{4ED68E7D-BED6-D8C1-A103-C512A7CC7CA4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71" name="자유형: 도형 70">
            <a:extLst>
              <a:ext uri="{FF2B5EF4-FFF2-40B4-BE49-F238E27FC236}">
                <a16:creationId xmlns:a16="http://schemas.microsoft.com/office/drawing/2014/main" id="{D9F9FCAF-4F03-5D55-75F7-DB351498C58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35</xdr:col>
      <xdr:colOff>60308</xdr:colOff>
      <xdr:row>45</xdr:row>
      <xdr:rowOff>12850</xdr:rowOff>
    </xdr:from>
    <xdr:to>
      <xdr:col>35</xdr:col>
      <xdr:colOff>132308</xdr:colOff>
      <xdr:row>45</xdr:row>
      <xdr:rowOff>192793</xdr:rowOff>
    </xdr:to>
    <xdr:grpSp>
      <xdr:nvGrpSpPr>
        <xdr:cNvPr id="72" name="그룹 71">
          <a:extLst>
            <a:ext uri="{FF2B5EF4-FFF2-40B4-BE49-F238E27FC236}">
              <a16:creationId xmlns:a16="http://schemas.microsoft.com/office/drawing/2014/main" id="{B4523201-B924-4C93-A5D4-579F06CD51B3}"/>
            </a:ext>
          </a:extLst>
        </xdr:cNvPr>
        <xdr:cNvGrpSpPr/>
      </xdr:nvGrpSpPr>
      <xdr:grpSpPr>
        <a:xfrm>
          <a:off x="17386189" y="9932203"/>
          <a:ext cx="70413" cy="181531"/>
          <a:chOff x="8889969" y="717550"/>
          <a:chExt cx="95415" cy="260350"/>
        </a:xfrm>
      </xdr:grpSpPr>
      <xdr:sp macro="" textlink="">
        <xdr:nvSpPr>
          <xdr:cNvPr id="73" name="자유형: 도형 72">
            <a:extLst>
              <a:ext uri="{FF2B5EF4-FFF2-40B4-BE49-F238E27FC236}">
                <a16:creationId xmlns:a16="http://schemas.microsoft.com/office/drawing/2014/main" id="{C98AA9F4-0C74-58FB-D912-B986D2F1A3D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74" name="자유형: 도형 73">
            <a:extLst>
              <a:ext uri="{FF2B5EF4-FFF2-40B4-BE49-F238E27FC236}">
                <a16:creationId xmlns:a16="http://schemas.microsoft.com/office/drawing/2014/main" id="{FB2AC7CA-766A-DD02-C0D9-533F36D68D0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24064</xdr:colOff>
      <xdr:row>9</xdr:row>
      <xdr:rowOff>24064</xdr:rowOff>
    </xdr:from>
    <xdr:to>
      <xdr:col>73</xdr:col>
      <xdr:colOff>96064</xdr:colOff>
      <xdr:row>10</xdr:row>
      <xdr:rowOff>1996</xdr:rowOff>
    </xdr:to>
    <xdr:grpSp>
      <xdr:nvGrpSpPr>
        <xdr:cNvPr id="75" name="그룹 74">
          <a:extLst>
            <a:ext uri="{FF2B5EF4-FFF2-40B4-BE49-F238E27FC236}">
              <a16:creationId xmlns:a16="http://schemas.microsoft.com/office/drawing/2014/main" id="{322DA05D-B566-403F-BAE7-E685E6915178}"/>
            </a:ext>
          </a:extLst>
        </xdr:cNvPr>
        <xdr:cNvGrpSpPr/>
      </xdr:nvGrpSpPr>
      <xdr:grpSpPr>
        <a:xfrm>
          <a:off x="36668886" y="2012827"/>
          <a:ext cx="70413" cy="192993"/>
          <a:chOff x="8889969" y="717550"/>
          <a:chExt cx="95415" cy="260350"/>
        </a:xfrm>
      </xdr:grpSpPr>
      <xdr:sp macro="" textlink="">
        <xdr:nvSpPr>
          <xdr:cNvPr id="76" name="자유형: 도형 75">
            <a:extLst>
              <a:ext uri="{FF2B5EF4-FFF2-40B4-BE49-F238E27FC236}">
                <a16:creationId xmlns:a16="http://schemas.microsoft.com/office/drawing/2014/main" id="{9CB90BB3-8C79-DF83-EFBA-AD1A16AAA4B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77" name="자유형: 도형 76">
            <a:extLst>
              <a:ext uri="{FF2B5EF4-FFF2-40B4-BE49-F238E27FC236}">
                <a16:creationId xmlns:a16="http://schemas.microsoft.com/office/drawing/2014/main" id="{4D2EEFCC-44FE-8BB6-47BB-7C578379E8A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24064</xdr:colOff>
      <xdr:row>11</xdr:row>
      <xdr:rowOff>48128</xdr:rowOff>
    </xdr:from>
    <xdr:to>
      <xdr:col>73</xdr:col>
      <xdr:colOff>96064</xdr:colOff>
      <xdr:row>12</xdr:row>
      <xdr:rowOff>9349</xdr:rowOff>
    </xdr:to>
    <xdr:grpSp>
      <xdr:nvGrpSpPr>
        <xdr:cNvPr id="78" name="그룹 77">
          <a:extLst>
            <a:ext uri="{FF2B5EF4-FFF2-40B4-BE49-F238E27FC236}">
              <a16:creationId xmlns:a16="http://schemas.microsoft.com/office/drawing/2014/main" id="{1275675E-F630-4FCF-9C3F-9F6380E929FA}"/>
            </a:ext>
          </a:extLst>
        </xdr:cNvPr>
        <xdr:cNvGrpSpPr/>
      </xdr:nvGrpSpPr>
      <xdr:grpSpPr>
        <a:xfrm>
          <a:off x="36668886" y="2479244"/>
          <a:ext cx="70413" cy="185339"/>
          <a:chOff x="8889969" y="717550"/>
          <a:chExt cx="95415" cy="260350"/>
        </a:xfrm>
      </xdr:grpSpPr>
      <xdr:sp macro="" textlink="">
        <xdr:nvSpPr>
          <xdr:cNvPr id="79" name="자유형: 도형 78">
            <a:extLst>
              <a:ext uri="{FF2B5EF4-FFF2-40B4-BE49-F238E27FC236}">
                <a16:creationId xmlns:a16="http://schemas.microsoft.com/office/drawing/2014/main" id="{C012655F-3E36-AB3F-A103-3B69F4F83D5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0" name="자유형: 도형 79">
            <a:extLst>
              <a:ext uri="{FF2B5EF4-FFF2-40B4-BE49-F238E27FC236}">
                <a16:creationId xmlns:a16="http://schemas.microsoft.com/office/drawing/2014/main" id="{9F849381-2D25-3AC5-D889-C8604D16AF1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16043</xdr:colOff>
      <xdr:row>13</xdr:row>
      <xdr:rowOff>56149</xdr:rowOff>
    </xdr:from>
    <xdr:to>
      <xdr:col>73</xdr:col>
      <xdr:colOff>88043</xdr:colOff>
      <xdr:row>14</xdr:row>
      <xdr:rowOff>17370</xdr:rowOff>
    </xdr:to>
    <xdr:grpSp>
      <xdr:nvGrpSpPr>
        <xdr:cNvPr id="81" name="그룹 80">
          <a:extLst>
            <a:ext uri="{FF2B5EF4-FFF2-40B4-BE49-F238E27FC236}">
              <a16:creationId xmlns:a16="http://schemas.microsoft.com/office/drawing/2014/main" id="{32D0864D-AC71-42A0-A46C-F9615E9491DA}"/>
            </a:ext>
          </a:extLst>
        </xdr:cNvPr>
        <xdr:cNvGrpSpPr/>
      </xdr:nvGrpSpPr>
      <xdr:grpSpPr>
        <a:xfrm>
          <a:off x="36657690" y="2924855"/>
          <a:ext cx="76763" cy="185339"/>
          <a:chOff x="8889969" y="717550"/>
          <a:chExt cx="95415" cy="260350"/>
        </a:xfrm>
      </xdr:grpSpPr>
      <xdr:sp macro="" textlink="">
        <xdr:nvSpPr>
          <xdr:cNvPr id="82" name="자유형: 도형 81">
            <a:extLst>
              <a:ext uri="{FF2B5EF4-FFF2-40B4-BE49-F238E27FC236}">
                <a16:creationId xmlns:a16="http://schemas.microsoft.com/office/drawing/2014/main" id="{3B91F45D-D7D5-448A-3FEB-3F0D5B3D8E2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3" name="자유형: 도형 82">
            <a:extLst>
              <a:ext uri="{FF2B5EF4-FFF2-40B4-BE49-F238E27FC236}">
                <a16:creationId xmlns:a16="http://schemas.microsoft.com/office/drawing/2014/main" id="{C4C49CB9-B9E2-AB02-CFFE-73147E74360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24064</xdr:colOff>
      <xdr:row>15</xdr:row>
      <xdr:rowOff>40107</xdr:rowOff>
    </xdr:from>
    <xdr:to>
      <xdr:col>73</xdr:col>
      <xdr:colOff>96064</xdr:colOff>
      <xdr:row>16</xdr:row>
      <xdr:rowOff>9349</xdr:rowOff>
    </xdr:to>
    <xdr:grpSp>
      <xdr:nvGrpSpPr>
        <xdr:cNvPr id="84" name="그룹 83">
          <a:extLst>
            <a:ext uri="{FF2B5EF4-FFF2-40B4-BE49-F238E27FC236}">
              <a16:creationId xmlns:a16="http://schemas.microsoft.com/office/drawing/2014/main" id="{4D9132E9-F3BD-4045-8D19-2199947689F1}"/>
            </a:ext>
          </a:extLst>
        </xdr:cNvPr>
        <xdr:cNvGrpSpPr/>
      </xdr:nvGrpSpPr>
      <xdr:grpSpPr>
        <a:xfrm>
          <a:off x="36668886" y="3357048"/>
          <a:ext cx="70413" cy="189064"/>
          <a:chOff x="8889969" y="717550"/>
          <a:chExt cx="95415" cy="260350"/>
        </a:xfrm>
      </xdr:grpSpPr>
      <xdr:sp macro="" textlink="">
        <xdr:nvSpPr>
          <xdr:cNvPr id="85" name="자유형: 도형 84">
            <a:extLst>
              <a:ext uri="{FF2B5EF4-FFF2-40B4-BE49-F238E27FC236}">
                <a16:creationId xmlns:a16="http://schemas.microsoft.com/office/drawing/2014/main" id="{AE9A4C22-25A9-708A-A012-E49CB4030F0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6" name="자유형: 도형 85">
            <a:extLst>
              <a:ext uri="{FF2B5EF4-FFF2-40B4-BE49-F238E27FC236}">
                <a16:creationId xmlns:a16="http://schemas.microsoft.com/office/drawing/2014/main" id="{21A556BC-D631-0E2B-C036-C731A3EF63F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73</xdr:col>
      <xdr:colOff>16043</xdr:colOff>
      <xdr:row>17</xdr:row>
      <xdr:rowOff>32086</xdr:rowOff>
    </xdr:from>
    <xdr:to>
      <xdr:col>73</xdr:col>
      <xdr:colOff>88043</xdr:colOff>
      <xdr:row>17</xdr:row>
      <xdr:rowOff>219568</xdr:rowOff>
    </xdr:to>
    <xdr:grpSp>
      <xdr:nvGrpSpPr>
        <xdr:cNvPr id="87" name="그룹 86">
          <a:extLst>
            <a:ext uri="{FF2B5EF4-FFF2-40B4-BE49-F238E27FC236}">
              <a16:creationId xmlns:a16="http://schemas.microsoft.com/office/drawing/2014/main" id="{6A6AE489-3AA9-431A-B442-94B3E7E18C72}"/>
            </a:ext>
          </a:extLst>
        </xdr:cNvPr>
        <xdr:cNvGrpSpPr/>
      </xdr:nvGrpSpPr>
      <xdr:grpSpPr>
        <a:xfrm>
          <a:off x="36657690" y="3788204"/>
          <a:ext cx="76763" cy="192245"/>
          <a:chOff x="8889969" y="717550"/>
          <a:chExt cx="95415" cy="260350"/>
        </a:xfrm>
      </xdr:grpSpPr>
      <xdr:sp macro="" textlink="">
        <xdr:nvSpPr>
          <xdr:cNvPr id="88" name="자유형: 도형 87">
            <a:extLst>
              <a:ext uri="{FF2B5EF4-FFF2-40B4-BE49-F238E27FC236}">
                <a16:creationId xmlns:a16="http://schemas.microsoft.com/office/drawing/2014/main" id="{286D0C63-C2EF-75A7-C4B6-2834554E8DF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89" name="자유형: 도형 88">
            <a:extLst>
              <a:ext uri="{FF2B5EF4-FFF2-40B4-BE49-F238E27FC236}">
                <a16:creationId xmlns:a16="http://schemas.microsoft.com/office/drawing/2014/main" id="{CE5F9AD9-B75C-4187-53A6-4AEEB891BB6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23</xdr:row>
      <xdr:rowOff>25400</xdr:rowOff>
    </xdr:from>
    <xdr:to>
      <xdr:col>63</xdr:col>
      <xdr:colOff>102748</xdr:colOff>
      <xdr:row>24</xdr:row>
      <xdr:rowOff>909</xdr:rowOff>
    </xdr:to>
    <xdr:grpSp>
      <xdr:nvGrpSpPr>
        <xdr:cNvPr id="90" name="그룹 89">
          <a:extLst>
            <a:ext uri="{FF2B5EF4-FFF2-40B4-BE49-F238E27FC236}">
              <a16:creationId xmlns:a16="http://schemas.microsoft.com/office/drawing/2014/main" id="{C8BADC99-0048-418C-979C-245B66681272}"/>
            </a:ext>
          </a:extLst>
        </xdr:cNvPr>
        <xdr:cNvGrpSpPr/>
      </xdr:nvGrpSpPr>
      <xdr:grpSpPr>
        <a:xfrm>
          <a:off x="31432805" y="5121928"/>
          <a:ext cx="72000" cy="198040"/>
          <a:chOff x="8889969" y="717550"/>
          <a:chExt cx="95415" cy="260350"/>
        </a:xfrm>
      </xdr:grpSpPr>
      <xdr:sp macro="" textlink="">
        <xdr:nvSpPr>
          <xdr:cNvPr id="91" name="자유형: 도형 90">
            <a:extLst>
              <a:ext uri="{FF2B5EF4-FFF2-40B4-BE49-F238E27FC236}">
                <a16:creationId xmlns:a16="http://schemas.microsoft.com/office/drawing/2014/main" id="{E2F77A1C-0081-1333-C612-F892B81D4EFD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92" name="자유형: 도형 91">
            <a:extLst>
              <a:ext uri="{FF2B5EF4-FFF2-40B4-BE49-F238E27FC236}">
                <a16:creationId xmlns:a16="http://schemas.microsoft.com/office/drawing/2014/main" id="{B98E2911-1EA2-9060-5A46-EB606693347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25</xdr:row>
      <xdr:rowOff>49464</xdr:rowOff>
    </xdr:from>
    <xdr:to>
      <xdr:col>63</xdr:col>
      <xdr:colOff>102748</xdr:colOff>
      <xdr:row>26</xdr:row>
      <xdr:rowOff>10685</xdr:rowOff>
    </xdr:to>
    <xdr:grpSp>
      <xdr:nvGrpSpPr>
        <xdr:cNvPr id="93" name="그룹 92">
          <a:extLst>
            <a:ext uri="{FF2B5EF4-FFF2-40B4-BE49-F238E27FC236}">
              <a16:creationId xmlns:a16="http://schemas.microsoft.com/office/drawing/2014/main" id="{1FDBD4B4-2314-4DC7-8288-09F3EACDDAA9}"/>
            </a:ext>
          </a:extLst>
        </xdr:cNvPr>
        <xdr:cNvGrpSpPr/>
      </xdr:nvGrpSpPr>
      <xdr:grpSpPr>
        <a:xfrm>
          <a:off x="31432805" y="5588345"/>
          <a:ext cx="72000" cy="185339"/>
          <a:chOff x="8889969" y="717550"/>
          <a:chExt cx="95415" cy="260350"/>
        </a:xfrm>
      </xdr:grpSpPr>
      <xdr:sp macro="" textlink="">
        <xdr:nvSpPr>
          <xdr:cNvPr id="94" name="자유형: 도형 93">
            <a:extLst>
              <a:ext uri="{FF2B5EF4-FFF2-40B4-BE49-F238E27FC236}">
                <a16:creationId xmlns:a16="http://schemas.microsoft.com/office/drawing/2014/main" id="{89C0E36A-E165-F78E-BC23-9ABFE9C753AB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95" name="자유형: 도형 94">
            <a:extLst>
              <a:ext uri="{FF2B5EF4-FFF2-40B4-BE49-F238E27FC236}">
                <a16:creationId xmlns:a16="http://schemas.microsoft.com/office/drawing/2014/main" id="{C472A1C3-4A05-3CCA-5FEF-BB3306654F4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22727</xdr:colOff>
      <xdr:row>27</xdr:row>
      <xdr:rowOff>57485</xdr:rowOff>
    </xdr:from>
    <xdr:to>
      <xdr:col>63</xdr:col>
      <xdr:colOff>94727</xdr:colOff>
      <xdr:row>28</xdr:row>
      <xdr:rowOff>18706</xdr:rowOff>
    </xdr:to>
    <xdr:grpSp>
      <xdr:nvGrpSpPr>
        <xdr:cNvPr id="96" name="그룹 95">
          <a:extLst>
            <a:ext uri="{FF2B5EF4-FFF2-40B4-BE49-F238E27FC236}">
              <a16:creationId xmlns:a16="http://schemas.microsoft.com/office/drawing/2014/main" id="{A1DA411E-D765-4C72-8CDE-23A71EC0D671}"/>
            </a:ext>
          </a:extLst>
        </xdr:cNvPr>
        <xdr:cNvGrpSpPr/>
      </xdr:nvGrpSpPr>
      <xdr:grpSpPr>
        <a:xfrm>
          <a:off x="31423196" y="6041426"/>
          <a:ext cx="70413" cy="177868"/>
          <a:chOff x="8889969" y="717550"/>
          <a:chExt cx="95415" cy="260350"/>
        </a:xfrm>
      </xdr:grpSpPr>
      <xdr:sp macro="" textlink="">
        <xdr:nvSpPr>
          <xdr:cNvPr id="97" name="자유형: 도형 96">
            <a:extLst>
              <a:ext uri="{FF2B5EF4-FFF2-40B4-BE49-F238E27FC236}">
                <a16:creationId xmlns:a16="http://schemas.microsoft.com/office/drawing/2014/main" id="{B50F40E7-BCA5-714A-4E46-9E8761DA49D6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98" name="자유형: 도형 97">
            <a:extLst>
              <a:ext uri="{FF2B5EF4-FFF2-40B4-BE49-F238E27FC236}">
                <a16:creationId xmlns:a16="http://schemas.microsoft.com/office/drawing/2014/main" id="{9F72A3BD-C093-9E43-351D-2EB9E625E87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30748</xdr:colOff>
      <xdr:row>29</xdr:row>
      <xdr:rowOff>41443</xdr:rowOff>
    </xdr:from>
    <xdr:to>
      <xdr:col>63</xdr:col>
      <xdr:colOff>102748</xdr:colOff>
      <xdr:row>30</xdr:row>
      <xdr:rowOff>10685</xdr:rowOff>
    </xdr:to>
    <xdr:grpSp>
      <xdr:nvGrpSpPr>
        <xdr:cNvPr id="99" name="그룹 98">
          <a:extLst>
            <a:ext uri="{FF2B5EF4-FFF2-40B4-BE49-F238E27FC236}">
              <a16:creationId xmlns:a16="http://schemas.microsoft.com/office/drawing/2014/main" id="{D6C1CA89-3F8F-44AF-AC47-3DD2AFB96393}"/>
            </a:ext>
          </a:extLst>
        </xdr:cNvPr>
        <xdr:cNvGrpSpPr/>
      </xdr:nvGrpSpPr>
      <xdr:grpSpPr>
        <a:xfrm>
          <a:off x="31432805" y="6467736"/>
          <a:ext cx="72000" cy="194948"/>
          <a:chOff x="8889969" y="717550"/>
          <a:chExt cx="95415" cy="260350"/>
        </a:xfrm>
      </xdr:grpSpPr>
      <xdr:sp macro="" textlink="">
        <xdr:nvSpPr>
          <xdr:cNvPr id="100" name="자유형: 도형 99">
            <a:extLst>
              <a:ext uri="{FF2B5EF4-FFF2-40B4-BE49-F238E27FC236}">
                <a16:creationId xmlns:a16="http://schemas.microsoft.com/office/drawing/2014/main" id="{C68C0279-2F8F-6017-0BBF-7A78C8989AFC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01" name="자유형: 도형 100">
            <a:extLst>
              <a:ext uri="{FF2B5EF4-FFF2-40B4-BE49-F238E27FC236}">
                <a16:creationId xmlns:a16="http://schemas.microsoft.com/office/drawing/2014/main" id="{98EBC794-A28E-B21E-251C-7D2474332B0A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63</xdr:col>
      <xdr:colOff>22727</xdr:colOff>
      <xdr:row>31</xdr:row>
      <xdr:rowOff>33422</xdr:rowOff>
    </xdr:from>
    <xdr:to>
      <xdr:col>63</xdr:col>
      <xdr:colOff>94727</xdr:colOff>
      <xdr:row>31</xdr:row>
      <xdr:rowOff>208538</xdr:rowOff>
    </xdr:to>
    <xdr:grpSp>
      <xdr:nvGrpSpPr>
        <xdr:cNvPr id="102" name="그룹 101">
          <a:extLst>
            <a:ext uri="{FF2B5EF4-FFF2-40B4-BE49-F238E27FC236}">
              <a16:creationId xmlns:a16="http://schemas.microsoft.com/office/drawing/2014/main" id="{C9152DFE-B3BE-4628-8859-97B76FDE4586}"/>
            </a:ext>
          </a:extLst>
        </xdr:cNvPr>
        <xdr:cNvGrpSpPr/>
      </xdr:nvGrpSpPr>
      <xdr:grpSpPr>
        <a:xfrm>
          <a:off x="31423196" y="6897305"/>
          <a:ext cx="70413" cy="176704"/>
          <a:chOff x="8889969" y="717550"/>
          <a:chExt cx="95415" cy="260350"/>
        </a:xfrm>
      </xdr:grpSpPr>
      <xdr:sp macro="" textlink="">
        <xdr:nvSpPr>
          <xdr:cNvPr id="103" name="자유형: 도형 102">
            <a:extLst>
              <a:ext uri="{FF2B5EF4-FFF2-40B4-BE49-F238E27FC236}">
                <a16:creationId xmlns:a16="http://schemas.microsoft.com/office/drawing/2014/main" id="{C13E5B6B-9DA7-FD27-8CC8-3F638C4E8E4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04" name="자유형: 도형 103">
            <a:extLst>
              <a:ext uri="{FF2B5EF4-FFF2-40B4-BE49-F238E27FC236}">
                <a16:creationId xmlns:a16="http://schemas.microsoft.com/office/drawing/2014/main" id="{52E08966-718D-D1EB-7B28-C25E91076346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oneCellAnchor>
    <xdr:from>
      <xdr:col>51</xdr:col>
      <xdr:colOff>630434</xdr:colOff>
      <xdr:row>7</xdr:row>
      <xdr:rowOff>76736</xdr:rowOff>
    </xdr:from>
    <xdr:ext cx="1623521" cy="264560"/>
    <xdr:sp macro="" textlink="">
      <xdr:nvSpPr>
        <xdr:cNvPr id="105" name="TextBox 104">
          <a:extLst>
            <a:ext uri="{FF2B5EF4-FFF2-40B4-BE49-F238E27FC236}">
              <a16:creationId xmlns:a16="http://schemas.microsoft.com/office/drawing/2014/main" id="{801A4009-C962-496E-90BA-6C2CDFCCA570}"/>
            </a:ext>
          </a:extLst>
        </xdr:cNvPr>
        <xdr:cNvSpPr txBox="1"/>
      </xdr:nvSpPr>
      <xdr:spPr>
        <a:xfrm>
          <a:off x="25820884" y="1822986"/>
          <a:ext cx="16235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rgbClr val="FF0000"/>
              </a:solidFill>
            </a:rPr>
            <a:t>daised_dev_ch_size [4:0]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>
    <xdr:from>
      <xdr:col>50</xdr:col>
      <xdr:colOff>747290</xdr:colOff>
      <xdr:row>8</xdr:row>
      <xdr:rowOff>62832</xdr:rowOff>
    </xdr:from>
    <xdr:to>
      <xdr:col>57</xdr:col>
      <xdr:colOff>688133</xdr:colOff>
      <xdr:row>8</xdr:row>
      <xdr:rowOff>62832</xdr:rowOff>
    </xdr:to>
    <xdr:cxnSp macro="">
      <xdr:nvCxnSpPr>
        <xdr:cNvPr id="106" name="직선 화살표 연결선 105">
          <a:extLst>
            <a:ext uri="{FF2B5EF4-FFF2-40B4-BE49-F238E27FC236}">
              <a16:creationId xmlns:a16="http://schemas.microsoft.com/office/drawing/2014/main" id="{9AB51C3F-8D05-4613-9B4F-BDB9C1E872C0}"/>
            </a:ext>
          </a:extLst>
        </xdr:cNvPr>
        <xdr:cNvCxnSpPr/>
      </xdr:nvCxnSpPr>
      <xdr:spPr>
        <a:xfrm>
          <a:off x="25188440" y="2031332"/>
          <a:ext cx="3077743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32084</xdr:colOff>
      <xdr:row>23</xdr:row>
      <xdr:rowOff>16043</xdr:rowOff>
    </xdr:from>
    <xdr:to>
      <xdr:col>55</xdr:col>
      <xdr:colOff>104084</xdr:colOff>
      <xdr:row>23</xdr:row>
      <xdr:rowOff>209875</xdr:rowOff>
    </xdr:to>
    <xdr:grpSp>
      <xdr:nvGrpSpPr>
        <xdr:cNvPr id="107" name="그룹 106">
          <a:extLst>
            <a:ext uri="{FF2B5EF4-FFF2-40B4-BE49-F238E27FC236}">
              <a16:creationId xmlns:a16="http://schemas.microsoft.com/office/drawing/2014/main" id="{1C4655EE-1F33-4F8D-807A-93C7C54A21E5}"/>
            </a:ext>
          </a:extLst>
        </xdr:cNvPr>
        <xdr:cNvGrpSpPr/>
      </xdr:nvGrpSpPr>
      <xdr:grpSpPr>
        <a:xfrm>
          <a:off x="27582025" y="5109396"/>
          <a:ext cx="76763" cy="195420"/>
          <a:chOff x="8889969" y="717550"/>
          <a:chExt cx="95415" cy="260350"/>
        </a:xfrm>
      </xdr:grpSpPr>
      <xdr:sp macro="" textlink="">
        <xdr:nvSpPr>
          <xdr:cNvPr id="108" name="자유형: 도형 107">
            <a:extLst>
              <a:ext uri="{FF2B5EF4-FFF2-40B4-BE49-F238E27FC236}">
                <a16:creationId xmlns:a16="http://schemas.microsoft.com/office/drawing/2014/main" id="{BD6E78EA-785C-0B63-301D-725B9029527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09" name="자유형: 도형 108">
            <a:extLst>
              <a:ext uri="{FF2B5EF4-FFF2-40B4-BE49-F238E27FC236}">
                <a16:creationId xmlns:a16="http://schemas.microsoft.com/office/drawing/2014/main" id="{62EB53B4-AC72-2514-3A31-598087DBE34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32084</xdr:colOff>
      <xdr:row>25</xdr:row>
      <xdr:rowOff>40107</xdr:rowOff>
    </xdr:from>
    <xdr:to>
      <xdr:col>55</xdr:col>
      <xdr:colOff>104084</xdr:colOff>
      <xdr:row>26</xdr:row>
      <xdr:rowOff>1328</xdr:rowOff>
    </xdr:to>
    <xdr:grpSp>
      <xdr:nvGrpSpPr>
        <xdr:cNvPr id="110" name="그룹 109">
          <a:extLst>
            <a:ext uri="{FF2B5EF4-FFF2-40B4-BE49-F238E27FC236}">
              <a16:creationId xmlns:a16="http://schemas.microsoft.com/office/drawing/2014/main" id="{91F0D31F-C6CF-4933-8F56-B68B275D8D48}"/>
            </a:ext>
          </a:extLst>
        </xdr:cNvPr>
        <xdr:cNvGrpSpPr/>
      </xdr:nvGrpSpPr>
      <xdr:grpSpPr>
        <a:xfrm>
          <a:off x="27582025" y="5575813"/>
          <a:ext cx="76763" cy="185339"/>
          <a:chOff x="8889969" y="717550"/>
          <a:chExt cx="95415" cy="260350"/>
        </a:xfrm>
      </xdr:grpSpPr>
      <xdr:sp macro="" textlink="">
        <xdr:nvSpPr>
          <xdr:cNvPr id="111" name="자유형: 도형 110">
            <a:extLst>
              <a:ext uri="{FF2B5EF4-FFF2-40B4-BE49-F238E27FC236}">
                <a16:creationId xmlns:a16="http://schemas.microsoft.com/office/drawing/2014/main" id="{609F17C9-BF58-EE67-19B2-54E0DD9A06F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12" name="자유형: 도형 111">
            <a:extLst>
              <a:ext uri="{FF2B5EF4-FFF2-40B4-BE49-F238E27FC236}">
                <a16:creationId xmlns:a16="http://schemas.microsoft.com/office/drawing/2014/main" id="{226395E0-5C4D-EA08-3A87-F5430FA7C0B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24063</xdr:colOff>
      <xdr:row>27</xdr:row>
      <xdr:rowOff>48128</xdr:rowOff>
    </xdr:from>
    <xdr:to>
      <xdr:col>55</xdr:col>
      <xdr:colOff>96063</xdr:colOff>
      <xdr:row>28</xdr:row>
      <xdr:rowOff>9349</xdr:rowOff>
    </xdr:to>
    <xdr:grpSp>
      <xdr:nvGrpSpPr>
        <xdr:cNvPr id="113" name="그룹 112">
          <a:extLst>
            <a:ext uri="{FF2B5EF4-FFF2-40B4-BE49-F238E27FC236}">
              <a16:creationId xmlns:a16="http://schemas.microsoft.com/office/drawing/2014/main" id="{B0056B81-0A97-40E5-9ACF-60A46D985EE5}"/>
            </a:ext>
          </a:extLst>
        </xdr:cNvPr>
        <xdr:cNvGrpSpPr/>
      </xdr:nvGrpSpPr>
      <xdr:grpSpPr>
        <a:xfrm>
          <a:off x="27577179" y="6035244"/>
          <a:ext cx="70413" cy="177868"/>
          <a:chOff x="8889969" y="717550"/>
          <a:chExt cx="95415" cy="260350"/>
        </a:xfrm>
      </xdr:grpSpPr>
      <xdr:sp macro="" textlink="">
        <xdr:nvSpPr>
          <xdr:cNvPr id="114" name="자유형: 도형 113">
            <a:extLst>
              <a:ext uri="{FF2B5EF4-FFF2-40B4-BE49-F238E27FC236}">
                <a16:creationId xmlns:a16="http://schemas.microsoft.com/office/drawing/2014/main" id="{28EF6213-341B-BE85-0BC1-39B932BB640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15" name="자유형: 도형 114">
            <a:extLst>
              <a:ext uri="{FF2B5EF4-FFF2-40B4-BE49-F238E27FC236}">
                <a16:creationId xmlns:a16="http://schemas.microsoft.com/office/drawing/2014/main" id="{5B0F18FF-EB6A-A3F3-D898-9727041D686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32084</xdr:colOff>
      <xdr:row>29</xdr:row>
      <xdr:rowOff>32086</xdr:rowOff>
    </xdr:from>
    <xdr:to>
      <xdr:col>55</xdr:col>
      <xdr:colOff>104084</xdr:colOff>
      <xdr:row>30</xdr:row>
      <xdr:rowOff>1328</xdr:rowOff>
    </xdr:to>
    <xdr:grpSp>
      <xdr:nvGrpSpPr>
        <xdr:cNvPr id="116" name="그룹 115">
          <a:extLst>
            <a:ext uri="{FF2B5EF4-FFF2-40B4-BE49-F238E27FC236}">
              <a16:creationId xmlns:a16="http://schemas.microsoft.com/office/drawing/2014/main" id="{9DB21213-3C7F-48E9-8D56-BA453AA9C536}"/>
            </a:ext>
          </a:extLst>
        </xdr:cNvPr>
        <xdr:cNvGrpSpPr/>
      </xdr:nvGrpSpPr>
      <xdr:grpSpPr>
        <a:xfrm>
          <a:off x="27582025" y="6455204"/>
          <a:ext cx="76763" cy="194948"/>
          <a:chOff x="8889969" y="717550"/>
          <a:chExt cx="95415" cy="260350"/>
        </a:xfrm>
      </xdr:grpSpPr>
      <xdr:sp macro="" textlink="">
        <xdr:nvSpPr>
          <xdr:cNvPr id="117" name="자유형: 도형 116">
            <a:extLst>
              <a:ext uri="{FF2B5EF4-FFF2-40B4-BE49-F238E27FC236}">
                <a16:creationId xmlns:a16="http://schemas.microsoft.com/office/drawing/2014/main" id="{233B7E60-0B0B-96FD-C795-DDFFEC8B874A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18" name="자유형: 도형 117">
            <a:extLst>
              <a:ext uri="{FF2B5EF4-FFF2-40B4-BE49-F238E27FC236}">
                <a16:creationId xmlns:a16="http://schemas.microsoft.com/office/drawing/2014/main" id="{D9E59BFD-C714-67FB-5C88-B3D0D442C7F9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55</xdr:col>
      <xdr:colOff>24063</xdr:colOff>
      <xdr:row>31</xdr:row>
      <xdr:rowOff>24065</xdr:rowOff>
    </xdr:from>
    <xdr:to>
      <xdr:col>55</xdr:col>
      <xdr:colOff>96063</xdr:colOff>
      <xdr:row>32</xdr:row>
      <xdr:rowOff>4002</xdr:rowOff>
    </xdr:to>
    <xdr:grpSp>
      <xdr:nvGrpSpPr>
        <xdr:cNvPr id="119" name="그룹 118">
          <a:extLst>
            <a:ext uri="{FF2B5EF4-FFF2-40B4-BE49-F238E27FC236}">
              <a16:creationId xmlns:a16="http://schemas.microsoft.com/office/drawing/2014/main" id="{B8940BA9-5831-4C28-9812-D8806D1671FE}"/>
            </a:ext>
          </a:extLst>
        </xdr:cNvPr>
        <xdr:cNvGrpSpPr/>
      </xdr:nvGrpSpPr>
      <xdr:grpSpPr>
        <a:xfrm>
          <a:off x="27577179" y="6891123"/>
          <a:ext cx="70413" cy="204054"/>
          <a:chOff x="8889969" y="717550"/>
          <a:chExt cx="95415" cy="260350"/>
        </a:xfrm>
      </xdr:grpSpPr>
      <xdr:sp macro="" textlink="">
        <xdr:nvSpPr>
          <xdr:cNvPr id="120" name="자유형: 도형 119">
            <a:extLst>
              <a:ext uri="{FF2B5EF4-FFF2-40B4-BE49-F238E27FC236}">
                <a16:creationId xmlns:a16="http://schemas.microsoft.com/office/drawing/2014/main" id="{A05E0295-BAD5-D8F3-30FD-B7B9434521C3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21" name="자유형: 도형 120">
            <a:extLst>
              <a:ext uri="{FF2B5EF4-FFF2-40B4-BE49-F238E27FC236}">
                <a16:creationId xmlns:a16="http://schemas.microsoft.com/office/drawing/2014/main" id="{B368FF70-9046-6C2F-0079-4D30A3A18A5F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oneCellAnchor>
    <xdr:from>
      <xdr:col>55</xdr:col>
      <xdr:colOff>96031</xdr:colOff>
      <xdr:row>5</xdr:row>
      <xdr:rowOff>215628</xdr:rowOff>
    </xdr:from>
    <xdr:ext cx="1038169" cy="264560"/>
    <xdr:sp macro="" textlink="">
      <xdr:nvSpPr>
        <xdr:cNvPr id="122" name="TextBox 121">
          <a:extLst>
            <a:ext uri="{FF2B5EF4-FFF2-40B4-BE49-F238E27FC236}">
              <a16:creationId xmlns:a16="http://schemas.microsoft.com/office/drawing/2014/main" id="{BD24AC04-107B-477E-8392-85F2EAADAE7A}"/>
            </a:ext>
          </a:extLst>
        </xdr:cNvPr>
        <xdr:cNvSpPr txBox="1"/>
      </xdr:nvSpPr>
      <xdr:spPr>
        <a:xfrm>
          <a:off x="27432781" y="1523728"/>
          <a:ext cx="103816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ysClr val="windowText" lastClr="000000"/>
              </a:solidFill>
            </a:rPr>
            <a:t>block_size_chx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76</xdr:col>
      <xdr:colOff>0</xdr:colOff>
      <xdr:row>8</xdr:row>
      <xdr:rowOff>125413</xdr:rowOff>
    </xdr:from>
    <xdr:to>
      <xdr:col>76</xdr:col>
      <xdr:colOff>0</xdr:colOff>
      <xdr:row>18</xdr:row>
      <xdr:rowOff>174600</xdr:rowOff>
    </xdr:to>
    <xdr:cxnSp macro="">
      <xdr:nvCxnSpPr>
        <xdr:cNvPr id="123" name="직선 연결선 122">
          <a:extLst>
            <a:ext uri="{FF2B5EF4-FFF2-40B4-BE49-F238E27FC236}">
              <a16:creationId xmlns:a16="http://schemas.microsoft.com/office/drawing/2014/main" id="{21EDC2D5-46A9-4F09-9BFB-477DF8434F98}"/>
            </a:ext>
          </a:extLst>
        </xdr:cNvPr>
        <xdr:cNvCxnSpPr/>
      </xdr:nvCxnSpPr>
      <xdr:spPr>
        <a:xfrm flipH="1">
          <a:off x="37801550" y="2093913"/>
          <a:ext cx="0" cy="2252637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70</xdr:col>
      <xdr:colOff>1091406</xdr:colOff>
      <xdr:row>18</xdr:row>
      <xdr:rowOff>42995</xdr:rowOff>
    </xdr:from>
    <xdr:ext cx="2992009" cy="508473"/>
    <xdr:sp macro="" textlink="">
      <xdr:nvSpPr>
        <xdr:cNvPr id="124" name="TextBox 123">
          <a:extLst>
            <a:ext uri="{FF2B5EF4-FFF2-40B4-BE49-F238E27FC236}">
              <a16:creationId xmlns:a16="http://schemas.microsoft.com/office/drawing/2014/main" id="{C3709256-140C-4B7B-AFF7-A68B60FEFA0D}"/>
            </a:ext>
          </a:extLst>
        </xdr:cNvPr>
        <xdr:cNvSpPr txBox="1"/>
      </xdr:nvSpPr>
      <xdr:spPr>
        <a:xfrm>
          <a:off x="34854356" y="4214945"/>
          <a:ext cx="2992009" cy="5084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r"/>
          <a:r>
            <a:rPr lang="en-US" altLang="ko-KR" sz="1100">
              <a:solidFill>
                <a:sysClr val="windowText" lastClr="000000"/>
              </a:solidFill>
            </a:rPr>
            <a:t>sync time @ driver-side</a:t>
          </a:r>
          <a:r>
            <a:rPr lang="en-US" altLang="ko-KR" sz="1100" baseline="0">
              <a:solidFill>
                <a:sysClr val="windowText" lastClr="000000"/>
              </a:solidFill>
            </a:rPr>
            <a:t> </a:t>
          </a:r>
          <a:r>
            <a:rPr lang="en-US" altLang="ko-KR" sz="1100">
              <a:solidFill>
                <a:sysClr val="windowText" lastClr="000000"/>
              </a:solidFill>
            </a:rPr>
            <a:t>(internally gen. a</a:t>
          </a:r>
          <a:r>
            <a:rPr lang="en-US" altLang="ko-KR" sz="1100" baseline="0">
              <a:solidFill>
                <a:sysClr val="windowText" lastClr="000000"/>
              </a:solidFill>
            </a:rPr>
            <a:t> vsync)</a:t>
          </a:r>
          <a:br>
            <a:rPr lang="en-US" altLang="ko-KR" sz="1100" baseline="0">
              <a:solidFill>
                <a:sysClr val="windowText" lastClr="000000"/>
              </a:solidFill>
            </a:rPr>
          </a:br>
          <a:r>
            <a:rPr lang="en-US" altLang="ko-KR" sz="1100" baseline="0">
              <a:solidFill>
                <a:sysClr val="windowText" lastClr="000000"/>
              </a:solidFill>
            </a:rPr>
            <a:t>start bit time</a:t>
          </a:r>
          <a:r>
            <a:rPr lang="ko-KR" altLang="en-US" sz="1100" baseline="0">
              <a:solidFill>
                <a:sysClr val="windowText" lastClr="000000"/>
              </a:solidFill>
            </a:rPr>
            <a:t>에서 </a:t>
          </a:r>
          <a:r>
            <a:rPr lang="en-US" altLang="ko-KR" sz="1100" baseline="0">
              <a:solidFill>
                <a:sysClr val="windowText" lastClr="000000"/>
              </a:solidFill>
            </a:rPr>
            <a:t>'0' </a:t>
          </a:r>
          <a:r>
            <a:rPr lang="ko-KR" altLang="en-US" sz="1100" baseline="0">
              <a:solidFill>
                <a:sysClr val="windowText" lastClr="000000"/>
              </a:solidFill>
            </a:rPr>
            <a:t>감지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44</xdr:col>
      <xdr:colOff>606331</xdr:colOff>
      <xdr:row>22</xdr:row>
      <xdr:rowOff>112450</xdr:rowOff>
    </xdr:from>
    <xdr:to>
      <xdr:col>44</xdr:col>
      <xdr:colOff>606331</xdr:colOff>
      <xdr:row>32</xdr:row>
      <xdr:rowOff>105793</xdr:rowOff>
    </xdr:to>
    <xdr:cxnSp macro="">
      <xdr:nvCxnSpPr>
        <xdr:cNvPr id="125" name="직선 연결선 124">
          <a:extLst>
            <a:ext uri="{FF2B5EF4-FFF2-40B4-BE49-F238E27FC236}">
              <a16:creationId xmlns:a16="http://schemas.microsoft.com/office/drawing/2014/main" id="{495FDC87-A3C6-47BC-80D0-A0C463C6D65C}"/>
            </a:ext>
          </a:extLst>
        </xdr:cNvPr>
        <xdr:cNvCxnSpPr/>
      </xdr:nvCxnSpPr>
      <xdr:spPr>
        <a:xfrm flipH="1">
          <a:off x="21993131" y="5167050"/>
          <a:ext cx="0" cy="2196793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43</xdr:col>
      <xdr:colOff>592324</xdr:colOff>
      <xdr:row>31</xdr:row>
      <xdr:rowOff>215239</xdr:rowOff>
    </xdr:from>
    <xdr:ext cx="1976695" cy="508473"/>
    <xdr:sp macro="" textlink="">
      <xdr:nvSpPr>
        <xdr:cNvPr id="126" name="TextBox 125">
          <a:extLst>
            <a:ext uri="{FF2B5EF4-FFF2-40B4-BE49-F238E27FC236}">
              <a16:creationId xmlns:a16="http://schemas.microsoft.com/office/drawing/2014/main" id="{8F433076-11FC-405D-90A5-75FB30098C25}"/>
            </a:ext>
          </a:extLst>
        </xdr:cNvPr>
        <xdr:cNvSpPr txBox="1"/>
      </xdr:nvSpPr>
      <xdr:spPr>
        <a:xfrm>
          <a:off x="20855174" y="7251039"/>
          <a:ext cx="1976695" cy="5084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receive</a:t>
          </a:r>
          <a:r>
            <a:rPr lang="en-US" altLang="ko-KR" sz="1100" baseline="0">
              <a:solidFill>
                <a:sysClr val="windowText" lastClr="000000"/>
              </a:solidFill>
            </a:rPr>
            <a:t> complete </a:t>
          </a:r>
          <a:r>
            <a:rPr lang="en-US" altLang="ko-KR" sz="1100">
              <a:solidFill>
                <a:sysClr val="windowText" lastClr="000000"/>
              </a:solidFill>
            </a:rPr>
            <a:t>@ driver-side</a:t>
          </a:r>
          <a:br>
            <a:rPr lang="en-US" altLang="ko-KR" sz="1100" baseline="0">
              <a:solidFill>
                <a:sysClr val="windowText" lastClr="000000"/>
              </a:solidFill>
            </a:rPr>
          </a:br>
          <a:r>
            <a:rPr lang="en-US" altLang="ko-KR" sz="1100" baseline="0">
              <a:solidFill>
                <a:sysClr val="windowText" lastClr="000000"/>
              </a:solidFill>
            </a:rPr>
            <a:t>start bit time</a:t>
          </a:r>
          <a:r>
            <a:rPr lang="ko-KR" altLang="en-US" sz="1100" baseline="0">
              <a:solidFill>
                <a:sysClr val="windowText" lastClr="000000"/>
              </a:solidFill>
            </a:rPr>
            <a:t>에서 </a:t>
          </a:r>
          <a:r>
            <a:rPr lang="en-US" altLang="ko-KR" sz="1100" baseline="0">
              <a:solidFill>
                <a:sysClr val="windowText" lastClr="000000"/>
              </a:solidFill>
            </a:rPr>
            <a:t>'0' </a:t>
          </a:r>
          <a:r>
            <a:rPr lang="ko-KR" altLang="en-US" sz="1100" baseline="0">
              <a:solidFill>
                <a:sysClr val="windowText" lastClr="000000"/>
              </a:solidFill>
            </a:rPr>
            <a:t>감지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31</xdr:col>
      <xdr:colOff>259</xdr:colOff>
      <xdr:row>38</xdr:row>
      <xdr:rowOff>112722</xdr:rowOff>
    </xdr:from>
    <xdr:to>
      <xdr:col>31</xdr:col>
      <xdr:colOff>259</xdr:colOff>
      <xdr:row>48</xdr:row>
      <xdr:rowOff>17910</xdr:rowOff>
    </xdr:to>
    <xdr:cxnSp macro="">
      <xdr:nvCxnSpPr>
        <xdr:cNvPr id="127" name="직선 연결선 126">
          <a:extLst>
            <a:ext uri="{FF2B5EF4-FFF2-40B4-BE49-F238E27FC236}">
              <a16:creationId xmlns:a16="http://schemas.microsoft.com/office/drawing/2014/main" id="{1D17DE0C-DF3E-4E0B-87A1-EB5E8DEB2C81}"/>
            </a:ext>
          </a:extLst>
        </xdr:cNvPr>
        <xdr:cNvCxnSpPr/>
      </xdr:nvCxnSpPr>
      <xdr:spPr>
        <a:xfrm flipH="1">
          <a:off x="14757659" y="8678872"/>
          <a:ext cx="0" cy="2064188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30</xdr:col>
      <xdr:colOff>258200</xdr:colOff>
      <xdr:row>46</xdr:row>
      <xdr:rowOff>56753</xdr:rowOff>
    </xdr:from>
    <xdr:ext cx="2936445" cy="508473"/>
    <xdr:sp macro="" textlink="">
      <xdr:nvSpPr>
        <xdr:cNvPr id="128" name="TextBox 127">
          <a:extLst>
            <a:ext uri="{FF2B5EF4-FFF2-40B4-BE49-F238E27FC236}">
              <a16:creationId xmlns:a16="http://schemas.microsoft.com/office/drawing/2014/main" id="{3B0F91A2-53D0-4113-BE77-075C582FCDA4}"/>
            </a:ext>
          </a:extLst>
        </xdr:cNvPr>
        <xdr:cNvSpPr txBox="1"/>
      </xdr:nvSpPr>
      <xdr:spPr>
        <a:xfrm>
          <a:off x="14742550" y="10350103"/>
          <a:ext cx="2936445" cy="5084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l"/>
          <a:r>
            <a:rPr lang="en-US" altLang="ko-KR" sz="1100">
              <a:solidFill>
                <a:sysClr val="windowText" lastClr="000000"/>
              </a:solidFill>
            </a:rPr>
            <a:t>driving read data out</a:t>
          </a:r>
          <a:r>
            <a:rPr lang="en-US" altLang="ko-KR" sz="1100" baseline="0">
              <a:solidFill>
                <a:sysClr val="windowText" lastClr="000000"/>
              </a:solidFill>
            </a:rPr>
            <a:t> </a:t>
          </a:r>
          <a:r>
            <a:rPr lang="en-US" altLang="ko-KR" sz="1100">
              <a:solidFill>
                <a:sysClr val="windowText" lastClr="000000"/>
              </a:solidFill>
            </a:rPr>
            <a:t>@ driver-side</a:t>
          </a:r>
          <a:br>
            <a:rPr lang="en-US" altLang="ko-KR" sz="1100" baseline="0">
              <a:solidFill>
                <a:sysClr val="windowText" lastClr="000000"/>
              </a:solidFill>
            </a:rPr>
          </a:br>
          <a:r>
            <a:rPr lang="en-US" altLang="ko-KR" sz="1100" baseline="0">
              <a:solidFill>
                <a:sysClr val="windowText" lastClr="000000"/>
              </a:solidFill>
            </a:rPr>
            <a:t>id=1 </a:t>
          </a:r>
          <a:r>
            <a:rPr lang="ko-KR" altLang="en-US" sz="1100" baseline="0">
              <a:solidFill>
                <a:sysClr val="windowText" lastClr="000000"/>
              </a:solidFill>
            </a:rPr>
            <a:t>부터 </a:t>
          </a:r>
          <a:r>
            <a:rPr lang="en-US" altLang="ko-KR" sz="1100" baseline="0">
              <a:solidFill>
                <a:sysClr val="windowText" lastClr="000000"/>
              </a:solidFill>
            </a:rPr>
            <a:t>start (dev #n</a:t>
          </a:r>
          <a:r>
            <a:rPr lang="ko-KR" altLang="en-US" sz="1100" baseline="0">
              <a:solidFill>
                <a:sysClr val="windowText" lastClr="000000"/>
              </a:solidFill>
            </a:rPr>
            <a:t>의 </a:t>
          </a:r>
          <a:r>
            <a:rPr lang="en-US" altLang="ko-KR" sz="1100" baseline="0">
              <a:solidFill>
                <a:sysClr val="windowText" lastClr="000000"/>
              </a:solidFill>
            </a:rPr>
            <a:t>id = 0) and self driving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34</xdr:col>
      <xdr:colOff>2199</xdr:colOff>
      <xdr:row>10</xdr:row>
      <xdr:rowOff>19845</xdr:rowOff>
    </xdr:from>
    <xdr:to>
      <xdr:col>34</xdr:col>
      <xdr:colOff>2199</xdr:colOff>
      <xdr:row>13</xdr:row>
      <xdr:rowOff>35772</xdr:rowOff>
    </xdr:to>
    <xdr:cxnSp macro="">
      <xdr:nvCxnSpPr>
        <xdr:cNvPr id="129" name="직선 연결선 128">
          <a:extLst>
            <a:ext uri="{FF2B5EF4-FFF2-40B4-BE49-F238E27FC236}">
              <a16:creationId xmlns:a16="http://schemas.microsoft.com/office/drawing/2014/main" id="{D5462BC8-1C58-4FD1-9FF2-ED321CF6FAC8}"/>
            </a:ext>
          </a:extLst>
        </xdr:cNvPr>
        <xdr:cNvCxnSpPr/>
      </xdr:nvCxnSpPr>
      <xdr:spPr>
        <a:xfrm>
          <a:off x="16969399" y="2426495"/>
          <a:ext cx="0" cy="676327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1089018</xdr:colOff>
      <xdr:row>12</xdr:row>
      <xdr:rowOff>178593</xdr:rowOff>
    </xdr:from>
    <xdr:to>
      <xdr:col>37</xdr:col>
      <xdr:colOff>249612</xdr:colOff>
      <xdr:row>12</xdr:row>
      <xdr:rowOff>178593</xdr:rowOff>
    </xdr:to>
    <xdr:cxnSp macro="">
      <xdr:nvCxnSpPr>
        <xdr:cNvPr id="130" name="직선 연결선 129">
          <a:extLst>
            <a:ext uri="{FF2B5EF4-FFF2-40B4-BE49-F238E27FC236}">
              <a16:creationId xmlns:a16="http://schemas.microsoft.com/office/drawing/2014/main" id="{B967CED0-D818-4795-B0B0-48F3BDFDD985}"/>
            </a:ext>
          </a:extLst>
        </xdr:cNvPr>
        <xdr:cNvCxnSpPr/>
      </xdr:nvCxnSpPr>
      <xdr:spPr>
        <a:xfrm flipH="1">
          <a:off x="16970368" y="3029743"/>
          <a:ext cx="836994" cy="0"/>
        </a:xfrm>
        <a:prstGeom prst="line">
          <a:avLst/>
        </a:prstGeom>
        <a:ln w="3175">
          <a:solidFill>
            <a:schemeClr val="tx1"/>
          </a:solidFill>
          <a:prstDash val="dash"/>
          <a:head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37</xdr:col>
      <xdr:colOff>337341</xdr:colOff>
      <xdr:row>12</xdr:row>
      <xdr:rowOff>36400</xdr:rowOff>
    </xdr:from>
    <xdr:ext cx="1488283" cy="344453"/>
    <xdr:sp macro="" textlink="">
      <xdr:nvSpPr>
        <xdr:cNvPr id="131" name="TextBox 130">
          <a:extLst>
            <a:ext uri="{FF2B5EF4-FFF2-40B4-BE49-F238E27FC236}">
              <a16:creationId xmlns:a16="http://schemas.microsoft.com/office/drawing/2014/main" id="{27B2912C-B371-4B93-B0B4-A4465DC04CF3}"/>
            </a:ext>
          </a:extLst>
        </xdr:cNvPr>
        <xdr:cNvSpPr txBox="1"/>
      </xdr:nvSpPr>
      <xdr:spPr>
        <a:xfrm>
          <a:off x="17895091" y="2887550"/>
          <a:ext cx="1488283" cy="34445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dev#1 bypass</a:t>
          </a:r>
        </a:p>
        <a:p>
          <a:r>
            <a:rPr lang="en-US" altLang="ko-KR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dev#2</a:t>
          </a:r>
          <a:r>
            <a:rPr lang="en-US" altLang="ko-KR" sz="11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driving output low</a:t>
          </a:r>
          <a:endParaRPr lang="ko-KR" altLang="ko-KR">
            <a:solidFill>
              <a:sysClr val="windowText" lastClr="000000"/>
            </a:solidFill>
            <a:effectLst/>
          </a:endParaRPr>
        </a:p>
      </xdr:txBody>
    </xdr:sp>
    <xdr:clientData/>
  </xdr:oneCellAnchor>
  <xdr:oneCellAnchor>
    <xdr:from>
      <xdr:col>28</xdr:col>
      <xdr:colOff>30909</xdr:colOff>
      <xdr:row>46</xdr:row>
      <xdr:rowOff>63633</xdr:rowOff>
    </xdr:from>
    <xdr:ext cx="1489126" cy="436786"/>
    <xdr:sp macro="" textlink="">
      <xdr:nvSpPr>
        <xdr:cNvPr id="132" name="TextBox 131">
          <a:extLst>
            <a:ext uri="{FF2B5EF4-FFF2-40B4-BE49-F238E27FC236}">
              <a16:creationId xmlns:a16="http://schemas.microsoft.com/office/drawing/2014/main" id="{3D6C64ED-BFE2-4E12-86E2-2C8290EC6438}"/>
            </a:ext>
          </a:extLst>
        </xdr:cNvPr>
        <xdr:cNvSpPr txBox="1"/>
      </xdr:nvSpPr>
      <xdr:spPr>
        <a:xfrm>
          <a:off x="13327809" y="10356983"/>
          <a:ext cx="14891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r"/>
          <a:r>
            <a:rPr lang="en-US" altLang="ko-KR" sz="1100">
              <a:solidFill>
                <a:sysClr val="windowText" lastClr="000000"/>
              </a:solidFill>
            </a:rPr>
            <a:t>all dev</a:t>
          </a:r>
          <a:r>
            <a:rPr lang="en-US" altLang="ko-KR" sz="1100" baseline="0">
              <a:solidFill>
                <a:sysClr val="windowText" lastClr="000000"/>
              </a:solidFill>
            </a:rPr>
            <a:t> ready to bypass</a:t>
          </a:r>
        </a:p>
        <a:p>
          <a:pPr algn="r"/>
          <a:r>
            <a:rPr lang="en-US" altLang="ko-KR" sz="1100" baseline="0">
              <a:solidFill>
                <a:sysClr val="windowText" lastClr="000000"/>
              </a:solidFill>
            </a:rPr>
            <a:t>&amp; driving output low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oneCellAnchor>
    <xdr:from>
      <xdr:col>88</xdr:col>
      <xdr:colOff>63058</xdr:colOff>
      <xdr:row>18</xdr:row>
      <xdr:rowOff>22047</xdr:rowOff>
    </xdr:from>
    <xdr:ext cx="4173803" cy="304272"/>
    <xdr:sp macro="" textlink="">
      <xdr:nvSpPr>
        <xdr:cNvPr id="133" name="TextBox 132">
          <a:extLst>
            <a:ext uri="{FF2B5EF4-FFF2-40B4-BE49-F238E27FC236}">
              <a16:creationId xmlns:a16="http://schemas.microsoft.com/office/drawing/2014/main" id="{2E372817-C492-413E-A837-574D438DF401}"/>
            </a:ext>
          </a:extLst>
        </xdr:cNvPr>
        <xdr:cNvSpPr txBox="1"/>
      </xdr:nvSpPr>
      <xdr:spPr>
        <a:xfrm>
          <a:off x="43554208" y="4193997"/>
          <a:ext cx="4173803" cy="3042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 baseline="0">
              <a:solidFill>
                <a:sysClr val="windowText" lastClr="000000"/>
              </a:solidFill>
            </a:rPr>
            <a:t>re-driving command 4-bit + result 4-bit (</a:t>
          </a:r>
          <a:r>
            <a:rPr lang="ko-KR" altLang="en-US" sz="1100">
              <a:solidFill>
                <a:sysClr val="windowText" lastClr="000000"/>
              </a:solidFill>
            </a:rPr>
            <a:t>수신 </a:t>
          </a:r>
          <a:r>
            <a:rPr lang="en-US" altLang="ko-KR" sz="1100">
              <a:solidFill>
                <a:sysClr val="windowText" lastClr="000000"/>
              </a:solidFill>
            </a:rPr>
            <a:t>4-bit | </a:t>
          </a:r>
          <a:r>
            <a:rPr lang="ko-KR" altLang="en-US" sz="1100">
              <a:solidFill>
                <a:sysClr val="windowText" lastClr="000000"/>
              </a:solidFill>
            </a:rPr>
            <a:t>자신 </a:t>
          </a:r>
          <a:r>
            <a:rPr lang="en-US" altLang="ko-KR" sz="1100">
              <a:solidFill>
                <a:sysClr val="windowText" lastClr="000000"/>
              </a:solidFill>
            </a:rPr>
            <a:t>status 4-bit)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oneCellAnchor>
  <xdr:twoCellAnchor>
    <xdr:from>
      <xdr:col>83</xdr:col>
      <xdr:colOff>22922</xdr:colOff>
      <xdr:row>9</xdr:row>
      <xdr:rowOff>25736</xdr:rowOff>
    </xdr:from>
    <xdr:to>
      <xdr:col>83</xdr:col>
      <xdr:colOff>94922</xdr:colOff>
      <xdr:row>9</xdr:row>
      <xdr:rowOff>213218</xdr:rowOff>
    </xdr:to>
    <xdr:grpSp>
      <xdr:nvGrpSpPr>
        <xdr:cNvPr id="134" name="그룹 133">
          <a:extLst>
            <a:ext uri="{FF2B5EF4-FFF2-40B4-BE49-F238E27FC236}">
              <a16:creationId xmlns:a16="http://schemas.microsoft.com/office/drawing/2014/main" id="{49158685-DA6F-469B-BA1C-05D1864A6C52}"/>
            </a:ext>
          </a:extLst>
        </xdr:cNvPr>
        <xdr:cNvGrpSpPr/>
      </xdr:nvGrpSpPr>
      <xdr:grpSpPr>
        <a:xfrm>
          <a:off x="42345391" y="2014499"/>
          <a:ext cx="70413" cy="187482"/>
          <a:chOff x="8889969" y="717550"/>
          <a:chExt cx="95415" cy="260350"/>
        </a:xfrm>
      </xdr:grpSpPr>
      <xdr:sp macro="" textlink="">
        <xdr:nvSpPr>
          <xdr:cNvPr id="135" name="자유형: 도형 134">
            <a:extLst>
              <a:ext uri="{FF2B5EF4-FFF2-40B4-BE49-F238E27FC236}">
                <a16:creationId xmlns:a16="http://schemas.microsoft.com/office/drawing/2014/main" id="{616B7B71-A1E0-8E38-4320-6022D327A4A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36" name="자유형: 도형 135">
            <a:extLst>
              <a:ext uri="{FF2B5EF4-FFF2-40B4-BE49-F238E27FC236}">
                <a16:creationId xmlns:a16="http://schemas.microsoft.com/office/drawing/2014/main" id="{1D49D5FB-6971-19D4-6BF4-0ECF92D70F8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83</xdr:col>
      <xdr:colOff>29802</xdr:colOff>
      <xdr:row>11</xdr:row>
      <xdr:rowOff>52458</xdr:rowOff>
    </xdr:from>
    <xdr:to>
      <xdr:col>83</xdr:col>
      <xdr:colOff>101802</xdr:colOff>
      <xdr:row>12</xdr:row>
      <xdr:rowOff>15045</xdr:rowOff>
    </xdr:to>
    <xdr:grpSp>
      <xdr:nvGrpSpPr>
        <xdr:cNvPr id="137" name="그룹 136">
          <a:extLst>
            <a:ext uri="{FF2B5EF4-FFF2-40B4-BE49-F238E27FC236}">
              <a16:creationId xmlns:a16="http://schemas.microsoft.com/office/drawing/2014/main" id="{D1FE439D-375D-474B-B5E2-E91029B30ACC}"/>
            </a:ext>
          </a:extLst>
        </xdr:cNvPr>
        <xdr:cNvGrpSpPr/>
      </xdr:nvGrpSpPr>
      <xdr:grpSpPr>
        <a:xfrm>
          <a:off x="42353859" y="2478811"/>
          <a:ext cx="70412" cy="186705"/>
          <a:chOff x="8889969" y="717550"/>
          <a:chExt cx="95415" cy="260350"/>
        </a:xfrm>
      </xdr:grpSpPr>
      <xdr:sp macro="" textlink="">
        <xdr:nvSpPr>
          <xdr:cNvPr id="138" name="자유형: 도형 137">
            <a:extLst>
              <a:ext uri="{FF2B5EF4-FFF2-40B4-BE49-F238E27FC236}">
                <a16:creationId xmlns:a16="http://schemas.microsoft.com/office/drawing/2014/main" id="{9491F67C-2572-56FE-F47E-6E9E47FB32C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39" name="자유형: 도형 138">
            <a:extLst>
              <a:ext uri="{FF2B5EF4-FFF2-40B4-BE49-F238E27FC236}">
                <a16:creationId xmlns:a16="http://schemas.microsoft.com/office/drawing/2014/main" id="{B284BAAD-9365-AF26-BE66-4C580C31D3A4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83</xdr:col>
      <xdr:colOff>23452</xdr:colOff>
      <xdr:row>13</xdr:row>
      <xdr:rowOff>52722</xdr:rowOff>
    </xdr:from>
    <xdr:to>
      <xdr:col>83</xdr:col>
      <xdr:colOff>95452</xdr:colOff>
      <xdr:row>14</xdr:row>
      <xdr:rowOff>15309</xdr:rowOff>
    </xdr:to>
    <xdr:grpSp>
      <xdr:nvGrpSpPr>
        <xdr:cNvPr id="140" name="그룹 139">
          <a:extLst>
            <a:ext uri="{FF2B5EF4-FFF2-40B4-BE49-F238E27FC236}">
              <a16:creationId xmlns:a16="http://schemas.microsoft.com/office/drawing/2014/main" id="{AECF91C8-C89F-488A-8D3E-2E0DE6D9020C}"/>
            </a:ext>
          </a:extLst>
        </xdr:cNvPr>
        <xdr:cNvGrpSpPr/>
      </xdr:nvGrpSpPr>
      <xdr:grpSpPr>
        <a:xfrm>
          <a:off x="42345921" y="2919840"/>
          <a:ext cx="70413" cy="186705"/>
          <a:chOff x="8889969" y="717550"/>
          <a:chExt cx="95415" cy="260350"/>
        </a:xfrm>
      </xdr:grpSpPr>
      <xdr:sp macro="" textlink="">
        <xdr:nvSpPr>
          <xdr:cNvPr id="141" name="자유형: 도형 140">
            <a:extLst>
              <a:ext uri="{FF2B5EF4-FFF2-40B4-BE49-F238E27FC236}">
                <a16:creationId xmlns:a16="http://schemas.microsoft.com/office/drawing/2014/main" id="{87111C6D-8CDE-64CA-2E3C-5715C17574A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42" name="자유형: 도형 141">
            <a:extLst>
              <a:ext uri="{FF2B5EF4-FFF2-40B4-BE49-F238E27FC236}">
                <a16:creationId xmlns:a16="http://schemas.microsoft.com/office/drawing/2014/main" id="{EEBC14CF-F8E1-A075-0DD6-4CA1139E29C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83</xdr:col>
      <xdr:colOff>17102</xdr:colOff>
      <xdr:row>15</xdr:row>
      <xdr:rowOff>33144</xdr:rowOff>
    </xdr:from>
    <xdr:to>
      <xdr:col>83</xdr:col>
      <xdr:colOff>89102</xdr:colOff>
      <xdr:row>16</xdr:row>
      <xdr:rowOff>2344</xdr:rowOff>
    </xdr:to>
    <xdr:grpSp>
      <xdr:nvGrpSpPr>
        <xdr:cNvPr id="143" name="그룹 142">
          <a:extLst>
            <a:ext uri="{FF2B5EF4-FFF2-40B4-BE49-F238E27FC236}">
              <a16:creationId xmlns:a16="http://schemas.microsoft.com/office/drawing/2014/main" id="{FC21536F-EC78-4230-8F43-EC0E8A74A3A7}"/>
            </a:ext>
          </a:extLst>
        </xdr:cNvPr>
        <xdr:cNvGrpSpPr/>
      </xdr:nvGrpSpPr>
      <xdr:grpSpPr>
        <a:xfrm>
          <a:off x="42337984" y="3348497"/>
          <a:ext cx="70412" cy="187435"/>
          <a:chOff x="8889969" y="717550"/>
          <a:chExt cx="95415" cy="260350"/>
        </a:xfrm>
      </xdr:grpSpPr>
      <xdr:sp macro="" textlink="">
        <xdr:nvSpPr>
          <xdr:cNvPr id="144" name="자유형: 도형 143">
            <a:extLst>
              <a:ext uri="{FF2B5EF4-FFF2-40B4-BE49-F238E27FC236}">
                <a16:creationId xmlns:a16="http://schemas.microsoft.com/office/drawing/2014/main" id="{F38CD237-3826-6440-15F9-1A40601D56A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45" name="자유형: 도형 144">
            <a:extLst>
              <a:ext uri="{FF2B5EF4-FFF2-40B4-BE49-F238E27FC236}">
                <a16:creationId xmlns:a16="http://schemas.microsoft.com/office/drawing/2014/main" id="{6508BA69-FF0C-CFE3-1616-47B29E3991D2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83</xdr:col>
      <xdr:colOff>30595</xdr:colOff>
      <xdr:row>17</xdr:row>
      <xdr:rowOff>53252</xdr:rowOff>
    </xdr:from>
    <xdr:to>
      <xdr:col>83</xdr:col>
      <xdr:colOff>102595</xdr:colOff>
      <xdr:row>18</xdr:row>
      <xdr:rowOff>15838</xdr:rowOff>
    </xdr:to>
    <xdr:grpSp>
      <xdr:nvGrpSpPr>
        <xdr:cNvPr id="146" name="그룹 145">
          <a:extLst>
            <a:ext uri="{FF2B5EF4-FFF2-40B4-BE49-F238E27FC236}">
              <a16:creationId xmlns:a16="http://schemas.microsoft.com/office/drawing/2014/main" id="{14FAE6CB-81FF-4575-B9C1-0A26F555B5AF}"/>
            </a:ext>
          </a:extLst>
        </xdr:cNvPr>
        <xdr:cNvGrpSpPr/>
      </xdr:nvGrpSpPr>
      <xdr:grpSpPr>
        <a:xfrm>
          <a:off x="42354652" y="3809370"/>
          <a:ext cx="72000" cy="186704"/>
          <a:chOff x="8889969" y="717550"/>
          <a:chExt cx="95415" cy="260350"/>
        </a:xfrm>
      </xdr:grpSpPr>
      <xdr:sp macro="" textlink="">
        <xdr:nvSpPr>
          <xdr:cNvPr id="147" name="자유형: 도형 146">
            <a:extLst>
              <a:ext uri="{FF2B5EF4-FFF2-40B4-BE49-F238E27FC236}">
                <a16:creationId xmlns:a16="http://schemas.microsoft.com/office/drawing/2014/main" id="{3CA7962C-EC5C-A029-EE4C-177C07063629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48" name="자유형: 도형 147">
            <a:extLst>
              <a:ext uri="{FF2B5EF4-FFF2-40B4-BE49-F238E27FC236}">
                <a16:creationId xmlns:a16="http://schemas.microsoft.com/office/drawing/2014/main" id="{A0F1B5ED-9338-A6A1-E945-9C629C69C81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31</xdr:col>
      <xdr:colOff>220495</xdr:colOff>
      <xdr:row>3</xdr:row>
      <xdr:rowOff>182824</xdr:rowOff>
    </xdr:from>
    <xdr:to>
      <xdr:col>43</xdr:col>
      <xdr:colOff>1046152</xdr:colOff>
      <xdr:row>6</xdr:row>
      <xdr:rowOff>199082</xdr:rowOff>
    </xdr:to>
    <xdr:grpSp>
      <xdr:nvGrpSpPr>
        <xdr:cNvPr id="149" name="그룹 148">
          <a:extLst>
            <a:ext uri="{FF2B5EF4-FFF2-40B4-BE49-F238E27FC236}">
              <a16:creationId xmlns:a16="http://schemas.microsoft.com/office/drawing/2014/main" id="{98FB47DF-E92B-4C3A-B7A8-6C2BB5CD003E}"/>
            </a:ext>
          </a:extLst>
        </xdr:cNvPr>
        <xdr:cNvGrpSpPr/>
      </xdr:nvGrpSpPr>
      <xdr:grpSpPr>
        <a:xfrm>
          <a:off x="15134964" y="843411"/>
          <a:ext cx="6365659" cy="681140"/>
          <a:chOff x="14395105" y="606156"/>
          <a:chExt cx="5846574" cy="686536"/>
        </a:xfrm>
      </xdr:grpSpPr>
      <xdr:sp macro="" textlink="">
        <xdr:nvSpPr>
          <xdr:cNvPr id="150" name="직사각형 149">
            <a:extLst>
              <a:ext uri="{FF2B5EF4-FFF2-40B4-BE49-F238E27FC236}">
                <a16:creationId xmlns:a16="http://schemas.microsoft.com/office/drawing/2014/main" id="{3AF6C6A9-A42A-5AB3-6D4B-386B575E15D0}"/>
              </a:ext>
            </a:extLst>
          </xdr:cNvPr>
          <xdr:cNvSpPr/>
        </xdr:nvSpPr>
        <xdr:spPr>
          <a:xfrm>
            <a:off x="15473510" y="608692"/>
            <a:ext cx="684000" cy="684000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 #1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51" name="직사각형 150">
            <a:extLst>
              <a:ext uri="{FF2B5EF4-FFF2-40B4-BE49-F238E27FC236}">
                <a16:creationId xmlns:a16="http://schemas.microsoft.com/office/drawing/2014/main" id="{A683B5A2-7C2C-A1B6-4E4D-762956FB62A9}"/>
              </a:ext>
            </a:extLst>
          </xdr:cNvPr>
          <xdr:cNvSpPr/>
        </xdr:nvSpPr>
        <xdr:spPr>
          <a:xfrm>
            <a:off x="17189072" y="606156"/>
            <a:ext cx="684000" cy="68400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 #2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52" name="직사각형 151">
            <a:extLst>
              <a:ext uri="{FF2B5EF4-FFF2-40B4-BE49-F238E27FC236}">
                <a16:creationId xmlns:a16="http://schemas.microsoft.com/office/drawing/2014/main" id="{F59B3141-4581-9110-7B69-8E1243365C8B}"/>
              </a:ext>
            </a:extLst>
          </xdr:cNvPr>
          <xdr:cNvSpPr/>
        </xdr:nvSpPr>
        <xdr:spPr>
          <a:xfrm>
            <a:off x="19100543" y="608692"/>
            <a:ext cx="684000" cy="684000"/>
          </a:xfrm>
          <a:prstGeom prst="rect">
            <a:avLst/>
          </a:prstGeom>
          <a:solidFill>
            <a:schemeClr val="accent4">
              <a:lumMod val="20000"/>
              <a:lumOff val="8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algn="ctr"/>
            <a:r>
              <a:rPr lang="en-US" altLang="ko-KR" sz="1100">
                <a:solidFill>
                  <a:sysClr val="windowText" lastClr="000000"/>
                </a:solidFill>
              </a:rPr>
              <a:t>dev #n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153" name="직선 화살표 연결선 152">
            <a:extLst>
              <a:ext uri="{FF2B5EF4-FFF2-40B4-BE49-F238E27FC236}">
                <a16:creationId xmlns:a16="http://schemas.microsoft.com/office/drawing/2014/main" id="{7C486B6E-3DC0-8BD8-4B35-2F0BB7A4BF6C}"/>
              </a:ext>
            </a:extLst>
          </xdr:cNvPr>
          <xdr:cNvCxnSpPr>
            <a:stCxn id="158" idx="3"/>
            <a:endCxn id="150" idx="1"/>
          </xdr:cNvCxnSpPr>
        </xdr:nvCxnSpPr>
        <xdr:spPr>
          <a:xfrm>
            <a:off x="14835884" y="950575"/>
            <a:ext cx="637626" cy="117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4" name="직선 화살표 연결선 153">
            <a:extLst>
              <a:ext uri="{FF2B5EF4-FFF2-40B4-BE49-F238E27FC236}">
                <a16:creationId xmlns:a16="http://schemas.microsoft.com/office/drawing/2014/main" id="{3E6E9FA2-94F0-1AD2-1144-CC70A14C96E0}"/>
              </a:ext>
            </a:extLst>
          </xdr:cNvPr>
          <xdr:cNvCxnSpPr>
            <a:cxnSpLocks/>
            <a:stCxn id="152" idx="3"/>
          </xdr:cNvCxnSpPr>
        </xdr:nvCxnSpPr>
        <xdr:spPr>
          <a:xfrm>
            <a:off x="19784543" y="950692"/>
            <a:ext cx="396000" cy="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5" name="직선 화살표 연결선 154">
            <a:extLst>
              <a:ext uri="{FF2B5EF4-FFF2-40B4-BE49-F238E27FC236}">
                <a16:creationId xmlns:a16="http://schemas.microsoft.com/office/drawing/2014/main" id="{7F51B034-99F2-6412-7374-DBFFE3D88698}"/>
              </a:ext>
            </a:extLst>
          </xdr:cNvPr>
          <xdr:cNvCxnSpPr>
            <a:stCxn id="150" idx="3"/>
            <a:endCxn id="151" idx="1"/>
          </xdr:cNvCxnSpPr>
        </xdr:nvCxnSpPr>
        <xdr:spPr>
          <a:xfrm flipV="1">
            <a:off x="16157510" y="948156"/>
            <a:ext cx="1031562" cy="2536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6" name="직선 화살표 연결선 155">
            <a:extLst>
              <a:ext uri="{FF2B5EF4-FFF2-40B4-BE49-F238E27FC236}">
                <a16:creationId xmlns:a16="http://schemas.microsoft.com/office/drawing/2014/main" id="{135196CA-6C30-12B2-1589-7A6B5E4EC288}"/>
              </a:ext>
            </a:extLst>
          </xdr:cNvPr>
          <xdr:cNvCxnSpPr>
            <a:stCxn id="151" idx="3"/>
          </xdr:cNvCxnSpPr>
        </xdr:nvCxnSpPr>
        <xdr:spPr>
          <a:xfrm flipV="1">
            <a:off x="17873071" y="945444"/>
            <a:ext cx="396000" cy="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7" name="직선 화살표 연결선 156">
            <a:extLst>
              <a:ext uri="{FF2B5EF4-FFF2-40B4-BE49-F238E27FC236}">
                <a16:creationId xmlns:a16="http://schemas.microsoft.com/office/drawing/2014/main" id="{5EA9AFE7-C13F-13DD-2CFA-792DB28E7D28}"/>
              </a:ext>
            </a:extLst>
          </xdr:cNvPr>
          <xdr:cNvCxnSpPr/>
        </xdr:nvCxnSpPr>
        <xdr:spPr>
          <a:xfrm>
            <a:off x="18704285" y="945445"/>
            <a:ext cx="396000" cy="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8" name="TextBox 157">
            <a:extLst>
              <a:ext uri="{FF2B5EF4-FFF2-40B4-BE49-F238E27FC236}">
                <a16:creationId xmlns:a16="http://schemas.microsoft.com/office/drawing/2014/main" id="{FC05A774-88C4-931B-8D76-B01D3774C2B7}"/>
              </a:ext>
            </a:extLst>
          </xdr:cNvPr>
          <xdr:cNvSpPr txBox="1"/>
        </xdr:nvSpPr>
        <xdr:spPr>
          <a:xfrm>
            <a:off x="14395105" y="859672"/>
            <a:ext cx="440779" cy="181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IO  </a:t>
            </a:r>
            <a:r>
              <a:rPr lang="en-US" altLang="ko-KR" sz="1100" baseline="0">
                <a:solidFill>
                  <a:sysClr val="windowText" lastClr="000000"/>
                </a:solidFill>
              </a:rPr>
              <a:t>chx</a:t>
            </a:r>
            <a:endParaRPr lang="ko-KR" altLang="en-US" sz="1100" baseline="-250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59" name="TextBox 158">
            <a:extLst>
              <a:ext uri="{FF2B5EF4-FFF2-40B4-BE49-F238E27FC236}">
                <a16:creationId xmlns:a16="http://schemas.microsoft.com/office/drawing/2014/main" id="{F698E255-7B1F-1260-BFDC-1A250A203905}"/>
              </a:ext>
            </a:extLst>
          </xdr:cNvPr>
          <xdr:cNvSpPr txBox="1"/>
        </xdr:nvSpPr>
        <xdr:spPr>
          <a:xfrm>
            <a:off x="15021278" y="719666"/>
            <a:ext cx="486287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IO</a:t>
            </a:r>
            <a:r>
              <a:rPr lang="en-US" altLang="ko-KR" sz="1100">
                <a:solidFill>
                  <a:sysClr val="windowText" lastClr="000000"/>
                </a:solidFill>
              </a:rPr>
              <a:t> #1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0" name="TextBox 159">
            <a:extLst>
              <a:ext uri="{FF2B5EF4-FFF2-40B4-BE49-F238E27FC236}">
                <a16:creationId xmlns:a16="http://schemas.microsoft.com/office/drawing/2014/main" id="{7AFD2C06-167D-BC5E-A544-58C5A5ACE681}"/>
              </a:ext>
            </a:extLst>
          </xdr:cNvPr>
          <xdr:cNvSpPr txBox="1"/>
        </xdr:nvSpPr>
        <xdr:spPr>
          <a:xfrm>
            <a:off x="18637961" y="716842"/>
            <a:ext cx="533736" cy="277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IO</a:t>
            </a:r>
            <a:r>
              <a:rPr lang="en-US" altLang="ko-KR" sz="1100">
                <a:solidFill>
                  <a:sysClr val="windowText" lastClr="000000"/>
                </a:solidFill>
              </a:rPr>
              <a:t> #n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1" name="TextBox 160">
            <a:extLst>
              <a:ext uri="{FF2B5EF4-FFF2-40B4-BE49-F238E27FC236}">
                <a16:creationId xmlns:a16="http://schemas.microsoft.com/office/drawing/2014/main" id="{F1D29E26-9C23-A07E-A728-4E4B1298B963}"/>
              </a:ext>
            </a:extLst>
          </xdr:cNvPr>
          <xdr:cNvSpPr txBox="1"/>
        </xdr:nvSpPr>
        <xdr:spPr>
          <a:xfrm>
            <a:off x="16730139" y="721075"/>
            <a:ext cx="486287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IO</a:t>
            </a:r>
            <a:r>
              <a:rPr lang="en-US" altLang="ko-KR" sz="1100">
                <a:solidFill>
                  <a:sysClr val="windowText" lastClr="000000"/>
                </a:solidFill>
              </a:rPr>
              <a:t> #2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2" name="TextBox 161">
            <a:extLst>
              <a:ext uri="{FF2B5EF4-FFF2-40B4-BE49-F238E27FC236}">
                <a16:creationId xmlns:a16="http://schemas.microsoft.com/office/drawing/2014/main" id="{EB33F7A6-0A70-59AC-00ED-298958E1176B}"/>
              </a:ext>
            </a:extLst>
          </xdr:cNvPr>
          <xdr:cNvSpPr txBox="1"/>
        </xdr:nvSpPr>
        <xdr:spPr>
          <a:xfrm>
            <a:off x="19721693" y="721077"/>
            <a:ext cx="519986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DO</a:t>
            </a:r>
            <a:r>
              <a:rPr lang="en-US" altLang="ko-KR" sz="1100">
                <a:solidFill>
                  <a:sysClr val="windowText" lastClr="000000"/>
                </a:solidFill>
              </a:rPr>
              <a:t> #n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E58E4C85-6A96-40B9-E771-7046F10E3938}"/>
              </a:ext>
            </a:extLst>
          </xdr:cNvPr>
          <xdr:cNvSpPr txBox="1"/>
        </xdr:nvSpPr>
        <xdr:spPr>
          <a:xfrm>
            <a:off x="17806814" y="718254"/>
            <a:ext cx="517579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DO</a:t>
            </a:r>
            <a:r>
              <a:rPr lang="en-US" altLang="ko-KR" sz="1100">
                <a:solidFill>
                  <a:sysClr val="windowText" lastClr="000000"/>
                </a:solidFill>
              </a:rPr>
              <a:t> #2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32A5879D-B8BC-ACA6-90C1-865745E3BB9D}"/>
              </a:ext>
            </a:extLst>
          </xdr:cNvPr>
          <xdr:cNvSpPr txBox="1"/>
        </xdr:nvSpPr>
        <xdr:spPr>
          <a:xfrm>
            <a:off x="16089488" y="722488"/>
            <a:ext cx="517579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>
                <a:solidFill>
                  <a:sysClr val="windowText" lastClr="000000"/>
                </a:solidFill>
              </a:rPr>
              <a:t>D</a:t>
            </a:r>
            <a:r>
              <a:rPr lang="en-US" altLang="ko-KR" sz="1100" baseline="-25000">
                <a:solidFill>
                  <a:sysClr val="windowText" lastClr="000000"/>
                </a:solidFill>
              </a:rPr>
              <a:t>DO</a:t>
            </a:r>
            <a:r>
              <a:rPr lang="en-US" altLang="ko-KR" sz="1100">
                <a:solidFill>
                  <a:sysClr val="windowText" lastClr="000000"/>
                </a:solidFill>
              </a:rPr>
              <a:t> #1</a:t>
            </a:r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28296</xdr:colOff>
      <xdr:row>9</xdr:row>
      <xdr:rowOff>63575</xdr:rowOff>
    </xdr:from>
    <xdr:to>
      <xdr:col>91</xdr:col>
      <xdr:colOff>87596</xdr:colOff>
      <xdr:row>10</xdr:row>
      <xdr:rowOff>38685</xdr:rowOff>
    </xdr:to>
    <xdr:grpSp>
      <xdr:nvGrpSpPr>
        <xdr:cNvPr id="165" name="그룹 164">
          <a:extLst>
            <a:ext uri="{FF2B5EF4-FFF2-40B4-BE49-F238E27FC236}">
              <a16:creationId xmlns:a16="http://schemas.microsoft.com/office/drawing/2014/main" id="{CC5FBA15-071F-4D0B-AFEC-9CEB3845111D}"/>
            </a:ext>
          </a:extLst>
        </xdr:cNvPr>
        <xdr:cNvGrpSpPr/>
      </xdr:nvGrpSpPr>
      <xdr:grpSpPr>
        <a:xfrm>
          <a:off x="45400353" y="2052338"/>
          <a:ext cx="59300" cy="190171"/>
          <a:chOff x="8889969" y="717550"/>
          <a:chExt cx="95415" cy="260350"/>
        </a:xfrm>
      </xdr:grpSpPr>
      <xdr:sp macro="" textlink="">
        <xdr:nvSpPr>
          <xdr:cNvPr id="166" name="자유형: 도형 165">
            <a:extLst>
              <a:ext uri="{FF2B5EF4-FFF2-40B4-BE49-F238E27FC236}">
                <a16:creationId xmlns:a16="http://schemas.microsoft.com/office/drawing/2014/main" id="{E570AE6D-5B4D-AA48-BF24-F633F69C71A8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67" name="자유형: 도형 166">
            <a:extLst>
              <a:ext uri="{FF2B5EF4-FFF2-40B4-BE49-F238E27FC236}">
                <a16:creationId xmlns:a16="http://schemas.microsoft.com/office/drawing/2014/main" id="{D3147B69-A3FF-B427-0918-AEA1254D15E3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28296</xdr:colOff>
      <xdr:row>11</xdr:row>
      <xdr:rowOff>87639</xdr:rowOff>
    </xdr:from>
    <xdr:to>
      <xdr:col>91</xdr:col>
      <xdr:colOff>87596</xdr:colOff>
      <xdr:row>12</xdr:row>
      <xdr:rowOff>48860</xdr:rowOff>
    </xdr:to>
    <xdr:grpSp>
      <xdr:nvGrpSpPr>
        <xdr:cNvPr id="168" name="그룹 167">
          <a:extLst>
            <a:ext uri="{FF2B5EF4-FFF2-40B4-BE49-F238E27FC236}">
              <a16:creationId xmlns:a16="http://schemas.microsoft.com/office/drawing/2014/main" id="{A6CE6AD4-5C59-4A83-A8A6-7B4A3AA62600}"/>
            </a:ext>
          </a:extLst>
        </xdr:cNvPr>
        <xdr:cNvGrpSpPr/>
      </xdr:nvGrpSpPr>
      <xdr:grpSpPr>
        <a:xfrm>
          <a:off x="45400353" y="2518755"/>
          <a:ext cx="59300" cy="185339"/>
          <a:chOff x="8889969" y="717550"/>
          <a:chExt cx="95415" cy="260350"/>
        </a:xfrm>
      </xdr:grpSpPr>
      <xdr:sp macro="" textlink="">
        <xdr:nvSpPr>
          <xdr:cNvPr id="169" name="자유형: 도형 168">
            <a:extLst>
              <a:ext uri="{FF2B5EF4-FFF2-40B4-BE49-F238E27FC236}">
                <a16:creationId xmlns:a16="http://schemas.microsoft.com/office/drawing/2014/main" id="{E96B6E84-614A-DBAA-9792-ED7FF025153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70" name="자유형: 도형 169">
            <a:extLst>
              <a:ext uri="{FF2B5EF4-FFF2-40B4-BE49-F238E27FC236}">
                <a16:creationId xmlns:a16="http://schemas.microsoft.com/office/drawing/2014/main" id="{972ED602-C534-93D2-357A-D58C6BB4977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20275</xdr:colOff>
      <xdr:row>13</xdr:row>
      <xdr:rowOff>95660</xdr:rowOff>
    </xdr:from>
    <xdr:to>
      <xdr:col>91</xdr:col>
      <xdr:colOff>85925</xdr:colOff>
      <xdr:row>14</xdr:row>
      <xdr:rowOff>56881</xdr:rowOff>
    </xdr:to>
    <xdr:grpSp>
      <xdr:nvGrpSpPr>
        <xdr:cNvPr id="171" name="그룹 170">
          <a:extLst>
            <a:ext uri="{FF2B5EF4-FFF2-40B4-BE49-F238E27FC236}">
              <a16:creationId xmlns:a16="http://schemas.microsoft.com/office/drawing/2014/main" id="{6FA0A5F7-7EA1-491D-8B06-7A6EC1E46DE9}"/>
            </a:ext>
          </a:extLst>
        </xdr:cNvPr>
        <xdr:cNvGrpSpPr/>
      </xdr:nvGrpSpPr>
      <xdr:grpSpPr>
        <a:xfrm>
          <a:off x="45389157" y="2964366"/>
          <a:ext cx="68825" cy="185339"/>
          <a:chOff x="8889969" y="717550"/>
          <a:chExt cx="95415" cy="260350"/>
        </a:xfrm>
      </xdr:grpSpPr>
      <xdr:sp macro="" textlink="">
        <xdr:nvSpPr>
          <xdr:cNvPr id="172" name="자유형: 도형 171">
            <a:extLst>
              <a:ext uri="{FF2B5EF4-FFF2-40B4-BE49-F238E27FC236}">
                <a16:creationId xmlns:a16="http://schemas.microsoft.com/office/drawing/2014/main" id="{7B357771-791F-7E41-4891-3F7C5FAD67B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73" name="자유형: 도형 172">
            <a:extLst>
              <a:ext uri="{FF2B5EF4-FFF2-40B4-BE49-F238E27FC236}">
                <a16:creationId xmlns:a16="http://schemas.microsoft.com/office/drawing/2014/main" id="{D37B986F-FAE7-270F-8953-DB3615DB7F75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28296</xdr:colOff>
      <xdr:row>15</xdr:row>
      <xdr:rowOff>79618</xdr:rowOff>
    </xdr:from>
    <xdr:to>
      <xdr:col>91</xdr:col>
      <xdr:colOff>87596</xdr:colOff>
      <xdr:row>16</xdr:row>
      <xdr:rowOff>48860</xdr:rowOff>
    </xdr:to>
    <xdr:grpSp>
      <xdr:nvGrpSpPr>
        <xdr:cNvPr id="174" name="그룹 173">
          <a:extLst>
            <a:ext uri="{FF2B5EF4-FFF2-40B4-BE49-F238E27FC236}">
              <a16:creationId xmlns:a16="http://schemas.microsoft.com/office/drawing/2014/main" id="{577E0CD1-13D7-4E16-A21E-7454FF9F1848}"/>
            </a:ext>
          </a:extLst>
        </xdr:cNvPr>
        <xdr:cNvGrpSpPr/>
      </xdr:nvGrpSpPr>
      <xdr:grpSpPr>
        <a:xfrm>
          <a:off x="45400353" y="3398146"/>
          <a:ext cx="59300" cy="187477"/>
          <a:chOff x="8889969" y="717550"/>
          <a:chExt cx="95415" cy="260350"/>
        </a:xfrm>
      </xdr:grpSpPr>
      <xdr:sp macro="" textlink="">
        <xdr:nvSpPr>
          <xdr:cNvPr id="175" name="자유형: 도형 174">
            <a:extLst>
              <a:ext uri="{FF2B5EF4-FFF2-40B4-BE49-F238E27FC236}">
                <a16:creationId xmlns:a16="http://schemas.microsoft.com/office/drawing/2014/main" id="{8D63D636-64A2-CE0E-C895-34E48EC638BF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76" name="자유형: 도형 175">
            <a:extLst>
              <a:ext uri="{FF2B5EF4-FFF2-40B4-BE49-F238E27FC236}">
                <a16:creationId xmlns:a16="http://schemas.microsoft.com/office/drawing/2014/main" id="{D5BB8BFA-DCB2-1860-62C7-89E63559F51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91</xdr:col>
      <xdr:colOff>20275</xdr:colOff>
      <xdr:row>17</xdr:row>
      <xdr:rowOff>71597</xdr:rowOff>
    </xdr:from>
    <xdr:to>
      <xdr:col>91</xdr:col>
      <xdr:colOff>85925</xdr:colOff>
      <xdr:row>18</xdr:row>
      <xdr:rowOff>33302</xdr:rowOff>
    </xdr:to>
    <xdr:grpSp>
      <xdr:nvGrpSpPr>
        <xdr:cNvPr id="177" name="그룹 176">
          <a:extLst>
            <a:ext uri="{FF2B5EF4-FFF2-40B4-BE49-F238E27FC236}">
              <a16:creationId xmlns:a16="http://schemas.microsoft.com/office/drawing/2014/main" id="{DFCB0343-F343-4781-8B18-A56483CFCB0A}"/>
            </a:ext>
          </a:extLst>
        </xdr:cNvPr>
        <xdr:cNvGrpSpPr/>
      </xdr:nvGrpSpPr>
      <xdr:grpSpPr>
        <a:xfrm>
          <a:off x="45389157" y="3827715"/>
          <a:ext cx="68825" cy="185823"/>
          <a:chOff x="8889969" y="717550"/>
          <a:chExt cx="95415" cy="260350"/>
        </a:xfrm>
      </xdr:grpSpPr>
      <xdr:sp macro="" textlink="">
        <xdr:nvSpPr>
          <xdr:cNvPr id="178" name="자유형: 도형 177">
            <a:extLst>
              <a:ext uri="{FF2B5EF4-FFF2-40B4-BE49-F238E27FC236}">
                <a16:creationId xmlns:a16="http://schemas.microsoft.com/office/drawing/2014/main" id="{3AA651E3-4DE3-6D6B-180B-90E3D317A342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79" name="자유형: 도형 178">
            <a:extLst>
              <a:ext uri="{FF2B5EF4-FFF2-40B4-BE49-F238E27FC236}">
                <a16:creationId xmlns:a16="http://schemas.microsoft.com/office/drawing/2014/main" id="{B3F802FC-4AD6-7EF9-E35E-A569A196696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39588</xdr:colOff>
      <xdr:row>9</xdr:row>
      <xdr:rowOff>39586</xdr:rowOff>
    </xdr:from>
    <xdr:to>
      <xdr:col>87</xdr:col>
      <xdr:colOff>111588</xdr:colOff>
      <xdr:row>10</xdr:row>
      <xdr:rowOff>14696</xdr:rowOff>
    </xdr:to>
    <xdr:grpSp>
      <xdr:nvGrpSpPr>
        <xdr:cNvPr id="180" name="그룹 179">
          <a:extLst>
            <a:ext uri="{FF2B5EF4-FFF2-40B4-BE49-F238E27FC236}">
              <a16:creationId xmlns:a16="http://schemas.microsoft.com/office/drawing/2014/main" id="{5D043357-F1A4-43D8-89BF-A24752543F6F}"/>
            </a:ext>
          </a:extLst>
        </xdr:cNvPr>
        <xdr:cNvGrpSpPr/>
      </xdr:nvGrpSpPr>
      <xdr:grpSpPr>
        <a:xfrm>
          <a:off x="43824706" y="2026762"/>
          <a:ext cx="70412" cy="190170"/>
          <a:chOff x="8889969" y="717550"/>
          <a:chExt cx="95415" cy="260350"/>
        </a:xfrm>
      </xdr:grpSpPr>
      <xdr:sp macro="" textlink="">
        <xdr:nvSpPr>
          <xdr:cNvPr id="181" name="자유형: 도형 180">
            <a:extLst>
              <a:ext uri="{FF2B5EF4-FFF2-40B4-BE49-F238E27FC236}">
                <a16:creationId xmlns:a16="http://schemas.microsoft.com/office/drawing/2014/main" id="{D80071D3-7074-FBD8-17D5-34C75D406C8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82" name="자유형: 도형 181">
            <a:extLst>
              <a:ext uri="{FF2B5EF4-FFF2-40B4-BE49-F238E27FC236}">
                <a16:creationId xmlns:a16="http://schemas.microsoft.com/office/drawing/2014/main" id="{9FAA07F5-0333-AFA1-A96E-4D90343ECC67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39588</xdr:colOff>
      <xdr:row>11</xdr:row>
      <xdr:rowOff>63650</xdr:rowOff>
    </xdr:from>
    <xdr:to>
      <xdr:col>87</xdr:col>
      <xdr:colOff>111588</xdr:colOff>
      <xdr:row>12</xdr:row>
      <xdr:rowOff>24871</xdr:rowOff>
    </xdr:to>
    <xdr:grpSp>
      <xdr:nvGrpSpPr>
        <xdr:cNvPr id="183" name="그룹 182">
          <a:extLst>
            <a:ext uri="{FF2B5EF4-FFF2-40B4-BE49-F238E27FC236}">
              <a16:creationId xmlns:a16="http://schemas.microsoft.com/office/drawing/2014/main" id="{0E38EDAF-B780-4D8B-90C4-4255FA81F0EE}"/>
            </a:ext>
          </a:extLst>
        </xdr:cNvPr>
        <xdr:cNvGrpSpPr/>
      </xdr:nvGrpSpPr>
      <xdr:grpSpPr>
        <a:xfrm>
          <a:off x="43824706" y="2493178"/>
          <a:ext cx="70412" cy="185339"/>
          <a:chOff x="8889969" y="717550"/>
          <a:chExt cx="95415" cy="260350"/>
        </a:xfrm>
      </xdr:grpSpPr>
      <xdr:sp macro="" textlink="">
        <xdr:nvSpPr>
          <xdr:cNvPr id="184" name="자유형: 도형 183">
            <a:extLst>
              <a:ext uri="{FF2B5EF4-FFF2-40B4-BE49-F238E27FC236}">
                <a16:creationId xmlns:a16="http://schemas.microsoft.com/office/drawing/2014/main" id="{622D5421-7551-2728-6632-2558D9FEE85E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85" name="자유형: 도형 184">
            <a:extLst>
              <a:ext uri="{FF2B5EF4-FFF2-40B4-BE49-F238E27FC236}">
                <a16:creationId xmlns:a16="http://schemas.microsoft.com/office/drawing/2014/main" id="{9704EE0F-3787-5015-61F9-56E8D470767D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31567</xdr:colOff>
      <xdr:row>13</xdr:row>
      <xdr:rowOff>71671</xdr:rowOff>
    </xdr:from>
    <xdr:to>
      <xdr:col>87</xdr:col>
      <xdr:colOff>103567</xdr:colOff>
      <xdr:row>14</xdr:row>
      <xdr:rowOff>32892</xdr:rowOff>
    </xdr:to>
    <xdr:grpSp>
      <xdr:nvGrpSpPr>
        <xdr:cNvPr id="186" name="그룹 185">
          <a:extLst>
            <a:ext uri="{FF2B5EF4-FFF2-40B4-BE49-F238E27FC236}">
              <a16:creationId xmlns:a16="http://schemas.microsoft.com/office/drawing/2014/main" id="{06F6D24B-1E4E-4B7A-AE94-99C644592572}"/>
            </a:ext>
          </a:extLst>
        </xdr:cNvPr>
        <xdr:cNvGrpSpPr/>
      </xdr:nvGrpSpPr>
      <xdr:grpSpPr>
        <a:xfrm>
          <a:off x="43815097" y="2938789"/>
          <a:ext cx="76763" cy="185339"/>
          <a:chOff x="8889969" y="717550"/>
          <a:chExt cx="95415" cy="260350"/>
        </a:xfrm>
      </xdr:grpSpPr>
      <xdr:sp macro="" textlink="">
        <xdr:nvSpPr>
          <xdr:cNvPr id="187" name="자유형: 도형 186">
            <a:extLst>
              <a:ext uri="{FF2B5EF4-FFF2-40B4-BE49-F238E27FC236}">
                <a16:creationId xmlns:a16="http://schemas.microsoft.com/office/drawing/2014/main" id="{62F61A57-0BC1-6C80-FE0D-6DED452F6430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88" name="자유형: 도형 187">
            <a:extLst>
              <a:ext uri="{FF2B5EF4-FFF2-40B4-BE49-F238E27FC236}">
                <a16:creationId xmlns:a16="http://schemas.microsoft.com/office/drawing/2014/main" id="{2F2A8F9A-EE79-9E73-ED68-56A77F596490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39588</xdr:colOff>
      <xdr:row>15</xdr:row>
      <xdr:rowOff>55629</xdr:rowOff>
    </xdr:from>
    <xdr:to>
      <xdr:col>87</xdr:col>
      <xdr:colOff>111588</xdr:colOff>
      <xdr:row>16</xdr:row>
      <xdr:rowOff>24871</xdr:rowOff>
    </xdr:to>
    <xdr:grpSp>
      <xdr:nvGrpSpPr>
        <xdr:cNvPr id="189" name="그룹 188">
          <a:extLst>
            <a:ext uri="{FF2B5EF4-FFF2-40B4-BE49-F238E27FC236}">
              <a16:creationId xmlns:a16="http://schemas.microsoft.com/office/drawing/2014/main" id="{8BB4F34B-621E-41A1-9A45-C0015113AA82}"/>
            </a:ext>
          </a:extLst>
        </xdr:cNvPr>
        <xdr:cNvGrpSpPr/>
      </xdr:nvGrpSpPr>
      <xdr:grpSpPr>
        <a:xfrm>
          <a:off x="43824706" y="3372570"/>
          <a:ext cx="70412" cy="187476"/>
          <a:chOff x="8889969" y="717550"/>
          <a:chExt cx="95415" cy="260350"/>
        </a:xfrm>
      </xdr:grpSpPr>
      <xdr:sp macro="" textlink="">
        <xdr:nvSpPr>
          <xdr:cNvPr id="190" name="자유형: 도형 189">
            <a:extLst>
              <a:ext uri="{FF2B5EF4-FFF2-40B4-BE49-F238E27FC236}">
                <a16:creationId xmlns:a16="http://schemas.microsoft.com/office/drawing/2014/main" id="{FC9AC600-6A66-B1C7-D040-F50FEE3EFC47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91" name="자유형: 도형 190">
            <a:extLst>
              <a:ext uri="{FF2B5EF4-FFF2-40B4-BE49-F238E27FC236}">
                <a16:creationId xmlns:a16="http://schemas.microsoft.com/office/drawing/2014/main" id="{90A000D0-B5DC-58B6-3566-E0B2181BB791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87</xdr:col>
      <xdr:colOff>31567</xdr:colOff>
      <xdr:row>17</xdr:row>
      <xdr:rowOff>47608</xdr:rowOff>
    </xdr:from>
    <xdr:to>
      <xdr:col>87</xdr:col>
      <xdr:colOff>103567</xdr:colOff>
      <xdr:row>18</xdr:row>
      <xdr:rowOff>9313</xdr:rowOff>
    </xdr:to>
    <xdr:grpSp>
      <xdr:nvGrpSpPr>
        <xdr:cNvPr id="192" name="그룹 191">
          <a:extLst>
            <a:ext uri="{FF2B5EF4-FFF2-40B4-BE49-F238E27FC236}">
              <a16:creationId xmlns:a16="http://schemas.microsoft.com/office/drawing/2014/main" id="{2A3EE0A0-D54F-46CB-81A2-B8F056C37188}"/>
            </a:ext>
          </a:extLst>
        </xdr:cNvPr>
        <xdr:cNvGrpSpPr/>
      </xdr:nvGrpSpPr>
      <xdr:grpSpPr>
        <a:xfrm>
          <a:off x="43815097" y="3808489"/>
          <a:ext cx="76763" cy="185823"/>
          <a:chOff x="8889969" y="717550"/>
          <a:chExt cx="95415" cy="260350"/>
        </a:xfrm>
      </xdr:grpSpPr>
      <xdr:sp macro="" textlink="">
        <xdr:nvSpPr>
          <xdr:cNvPr id="193" name="자유형: 도형 192">
            <a:extLst>
              <a:ext uri="{FF2B5EF4-FFF2-40B4-BE49-F238E27FC236}">
                <a16:creationId xmlns:a16="http://schemas.microsoft.com/office/drawing/2014/main" id="{2A2440A1-AF9C-DE3C-3F3C-19B535738381}"/>
              </a:ext>
            </a:extLst>
          </xdr:cNvPr>
          <xdr:cNvSpPr/>
        </xdr:nvSpPr>
        <xdr:spPr>
          <a:xfrm>
            <a:off x="8889969" y="72390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  <xdr:sp macro="" textlink="">
        <xdr:nvSpPr>
          <xdr:cNvPr id="194" name="자유형: 도형 193">
            <a:extLst>
              <a:ext uri="{FF2B5EF4-FFF2-40B4-BE49-F238E27FC236}">
                <a16:creationId xmlns:a16="http://schemas.microsoft.com/office/drawing/2014/main" id="{E8EDAC45-8712-B14F-F3D9-A195E8931D0E}"/>
              </a:ext>
            </a:extLst>
          </xdr:cNvPr>
          <xdr:cNvSpPr/>
        </xdr:nvSpPr>
        <xdr:spPr>
          <a:xfrm>
            <a:off x="8928069" y="717550"/>
            <a:ext cx="57315" cy="254000"/>
          </a:xfrm>
          <a:custGeom>
            <a:avLst/>
            <a:gdLst>
              <a:gd name="connsiteX0" fmla="*/ 50831 w 57315"/>
              <a:gd name="connsiteY0" fmla="*/ 0 h 254000"/>
              <a:gd name="connsiteX1" fmla="*/ 31 w 57315"/>
              <a:gd name="connsiteY1" fmla="*/ 107950 h 254000"/>
              <a:gd name="connsiteX2" fmla="*/ 57181 w 57315"/>
              <a:gd name="connsiteY2" fmla="*/ 158750 h 254000"/>
              <a:gd name="connsiteX3" fmla="*/ 12731 w 57315"/>
              <a:gd name="connsiteY3" fmla="*/ 254000 h 2540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57315" h="254000">
                <a:moveTo>
                  <a:pt x="50831" y="0"/>
                </a:moveTo>
                <a:cubicBezTo>
                  <a:pt x="24902" y="40746"/>
                  <a:pt x="-1027" y="81492"/>
                  <a:pt x="31" y="107950"/>
                </a:cubicBezTo>
                <a:cubicBezTo>
                  <a:pt x="1089" y="134408"/>
                  <a:pt x="55064" y="134408"/>
                  <a:pt x="57181" y="158750"/>
                </a:cubicBezTo>
                <a:cubicBezTo>
                  <a:pt x="59298" y="183092"/>
                  <a:pt x="36014" y="218546"/>
                  <a:pt x="12731" y="25400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89</xdr:col>
      <xdr:colOff>1763</xdr:colOff>
      <xdr:row>9</xdr:row>
      <xdr:rowOff>77345</xdr:rowOff>
    </xdr:from>
    <xdr:to>
      <xdr:col>89</xdr:col>
      <xdr:colOff>1763</xdr:colOff>
      <xdr:row>19</xdr:row>
      <xdr:rowOff>133587</xdr:rowOff>
    </xdr:to>
    <xdr:cxnSp macro="">
      <xdr:nvCxnSpPr>
        <xdr:cNvPr id="195" name="직선 연결선 194">
          <a:extLst>
            <a:ext uri="{FF2B5EF4-FFF2-40B4-BE49-F238E27FC236}">
              <a16:creationId xmlns:a16="http://schemas.microsoft.com/office/drawing/2014/main" id="{A746BA22-D438-4BF2-8B57-2ED4B99DC871}"/>
            </a:ext>
          </a:extLst>
        </xdr:cNvPr>
        <xdr:cNvCxnSpPr/>
      </xdr:nvCxnSpPr>
      <xdr:spPr>
        <a:xfrm flipH="1">
          <a:off x="43613563" y="2268095"/>
          <a:ext cx="0" cy="2253342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50</xdr:col>
      <xdr:colOff>733179</xdr:colOff>
      <xdr:row>22</xdr:row>
      <xdr:rowOff>64155</xdr:rowOff>
    </xdr:from>
    <xdr:to>
      <xdr:col>57</xdr:col>
      <xdr:colOff>674022</xdr:colOff>
      <xdr:row>22</xdr:row>
      <xdr:rowOff>64155</xdr:rowOff>
    </xdr:to>
    <xdr:cxnSp macro="">
      <xdr:nvCxnSpPr>
        <xdr:cNvPr id="196" name="직선 화살표 연결선 195">
          <a:extLst>
            <a:ext uri="{FF2B5EF4-FFF2-40B4-BE49-F238E27FC236}">
              <a16:creationId xmlns:a16="http://schemas.microsoft.com/office/drawing/2014/main" id="{8F340AEC-F029-4669-AF4B-2AB5105F7E34}"/>
            </a:ext>
          </a:extLst>
        </xdr:cNvPr>
        <xdr:cNvCxnSpPr/>
      </xdr:nvCxnSpPr>
      <xdr:spPr>
        <a:xfrm>
          <a:off x="25174329" y="5118755"/>
          <a:ext cx="3077743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51</xdr:col>
      <xdr:colOff>641723</xdr:colOff>
      <xdr:row>21</xdr:row>
      <xdr:rowOff>52746</xdr:rowOff>
    </xdr:from>
    <xdr:ext cx="1623521" cy="264560"/>
    <xdr:sp macro="" textlink="">
      <xdr:nvSpPr>
        <xdr:cNvPr id="197" name="TextBox 196">
          <a:extLst>
            <a:ext uri="{FF2B5EF4-FFF2-40B4-BE49-F238E27FC236}">
              <a16:creationId xmlns:a16="http://schemas.microsoft.com/office/drawing/2014/main" id="{27CDD41C-EE76-466A-8958-6E13E2A52EB7}"/>
            </a:ext>
          </a:extLst>
        </xdr:cNvPr>
        <xdr:cNvSpPr txBox="1"/>
      </xdr:nvSpPr>
      <xdr:spPr>
        <a:xfrm>
          <a:off x="25832173" y="4885096"/>
          <a:ext cx="162352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>
              <a:solidFill>
                <a:srgbClr val="FF0000"/>
              </a:solidFill>
            </a:rPr>
            <a:t>daised_dev_ch_size [4:0]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>
    <xdr:from>
      <xdr:col>85</xdr:col>
      <xdr:colOff>1068915</xdr:colOff>
      <xdr:row>9</xdr:row>
      <xdr:rowOff>88457</xdr:rowOff>
    </xdr:from>
    <xdr:to>
      <xdr:col>85</xdr:col>
      <xdr:colOff>1068915</xdr:colOff>
      <xdr:row>19</xdr:row>
      <xdr:rowOff>144699</xdr:rowOff>
    </xdr:to>
    <xdr:cxnSp macro="">
      <xdr:nvCxnSpPr>
        <xdr:cNvPr id="198" name="직선 연결선 197">
          <a:extLst>
            <a:ext uri="{FF2B5EF4-FFF2-40B4-BE49-F238E27FC236}">
              <a16:creationId xmlns:a16="http://schemas.microsoft.com/office/drawing/2014/main" id="{91ECF522-E774-4FE7-A8E1-BD7658E1A196}"/>
            </a:ext>
          </a:extLst>
        </xdr:cNvPr>
        <xdr:cNvCxnSpPr/>
      </xdr:nvCxnSpPr>
      <xdr:spPr>
        <a:xfrm flipH="1">
          <a:off x="43251965" y="2279207"/>
          <a:ext cx="0" cy="2253342"/>
        </a:xfrm>
        <a:prstGeom prst="line">
          <a:avLst/>
        </a:prstGeom>
        <a:ln w="3175">
          <a:solidFill>
            <a:schemeClr val="tx1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30480</xdr:rowOff>
    </xdr:from>
    <xdr:to>
      <xdr:col>7</xdr:col>
      <xdr:colOff>0</xdr:colOff>
      <xdr:row>18</xdr:row>
      <xdr:rowOff>22860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2C82446-9B4B-23C6-45E6-46CE56AD6626}"/>
            </a:ext>
          </a:extLst>
        </xdr:cNvPr>
        <xdr:cNvSpPr txBox="1"/>
      </xdr:nvSpPr>
      <xdr:spPr>
        <a:xfrm>
          <a:off x="670560" y="2019300"/>
          <a:ext cx="6568440" cy="24231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/>
            <a:t>- XD</a:t>
          </a:r>
          <a:r>
            <a:rPr lang="en-US" altLang="ko-KR" sz="1100" baseline="0"/>
            <a:t> </a:t>
          </a:r>
          <a:r>
            <a:rPr lang="ko-KR" altLang="en-US" sz="1100" baseline="0"/>
            <a:t>에서 </a:t>
          </a:r>
          <a:r>
            <a:rPr lang="en-US" altLang="ko-KR" sz="1100" baseline="0"/>
            <a:t>Serial latency </a:t>
          </a:r>
          <a:r>
            <a:rPr lang="ko-KR" altLang="en-US" sz="1100" baseline="0"/>
            <a:t>설정은 </a:t>
          </a:r>
          <a:r>
            <a:rPr lang="en-US" altLang="ko-KR" sz="1100" baseline="0"/>
            <a:t>1-bit </a:t>
          </a:r>
          <a:r>
            <a:rPr lang="ko-KR" altLang="en-US" sz="1100" baseline="0"/>
            <a:t>길이 </a:t>
          </a:r>
          <a:r>
            <a:rPr lang="en-US" altLang="ko-KR" sz="1100" baseline="0"/>
            <a:t>(high_length + low_length) </a:t>
          </a:r>
          <a:r>
            <a:rPr lang="ko-KR" altLang="en-US" sz="1100" baseline="0"/>
            <a:t>보다 적어도 </a:t>
          </a:r>
          <a:r>
            <a:rPr lang="en-US" altLang="ko-KR" sz="1100" baseline="0"/>
            <a:t>3 </a:t>
          </a:r>
          <a:r>
            <a:rPr lang="ko-KR" altLang="en-US" sz="1100" baseline="0"/>
            <a:t>이상 크게 설정 해야 함</a:t>
          </a:r>
          <a:r>
            <a:rPr lang="en-US" altLang="ko-KR" sz="1100" baseline="0"/>
            <a:t>.</a:t>
          </a:r>
        </a:p>
        <a:p>
          <a:endParaRPr lang="en-US" altLang="ko-KR" sz="1100" baseline="0"/>
        </a:p>
        <a:p>
          <a:r>
            <a:rPr lang="en-US" altLang="ko-KR" sz="1100" baseline="0"/>
            <a:t>- </a:t>
          </a:r>
          <a:r>
            <a:rPr lang="ko-KR" altLang="en-US" sz="1100" baseline="0"/>
            <a:t>표에서 처럼 </a:t>
          </a:r>
          <a:r>
            <a:rPr lang="en-US" altLang="ko-KR" sz="1100" baseline="0"/>
            <a:t>XC </a:t>
          </a:r>
          <a:r>
            <a:rPr lang="ko-KR" altLang="en-US" sz="1100" baseline="0"/>
            <a:t>가 </a:t>
          </a:r>
          <a:r>
            <a:rPr lang="en-US" altLang="ko-KR" sz="1100" baseline="0"/>
            <a:t>ideal 1-bit </a:t>
          </a:r>
          <a:r>
            <a:rPr lang="ko-KR" altLang="en-US" sz="1100" baseline="0"/>
            <a:t>길이로 보낸다 하더라도</a:t>
          </a:r>
          <a:r>
            <a:rPr lang="en-US" altLang="ko-KR" sz="1100" baseline="0"/>
            <a:t>, XD </a:t>
          </a:r>
          <a:r>
            <a:rPr lang="ko-KR" altLang="en-US" sz="1100" baseline="0"/>
            <a:t>에서는 </a:t>
          </a:r>
          <a:r>
            <a:rPr lang="en-US" altLang="ko-KR" sz="1100" baseline="0"/>
            <a:t>Async. </a:t>
          </a:r>
          <a:r>
            <a:rPr lang="ko-KR" altLang="en-US" sz="1100" baseline="0"/>
            <a:t>수신되므로 개수가 증가할 수 있고</a:t>
          </a:r>
          <a:r>
            <a:rPr lang="en-US" altLang="ko-KR" sz="1100" baseline="0"/>
            <a:t>, Serial latency </a:t>
          </a:r>
          <a:r>
            <a:rPr lang="ko-KR" altLang="en-US" sz="1100" baseline="0"/>
            <a:t>는 </a:t>
          </a:r>
          <a:r>
            <a:rPr lang="en-US" altLang="ko-KR" sz="1100" baseline="0"/>
            <a:t>Async. </a:t>
          </a:r>
          <a:r>
            <a:rPr lang="ko-KR" altLang="en-US" sz="1100" baseline="0"/>
            <a:t>로 수신된 </a:t>
          </a:r>
          <a:r>
            <a:rPr lang="en-US" altLang="ko-KR" sz="1100" baseline="0"/>
            <a:t>1-bit </a:t>
          </a:r>
          <a:r>
            <a:rPr lang="ko-KR" altLang="en-US" sz="1100" baseline="0"/>
            <a:t>개수보다 적어도 </a:t>
          </a:r>
          <a:r>
            <a:rPr lang="en-US" altLang="ko-KR" sz="1100" baseline="0"/>
            <a:t>3 </a:t>
          </a:r>
          <a:r>
            <a:rPr lang="ko-KR" altLang="en-US" sz="1100" baseline="0"/>
            <a:t>이상 크게 설정 되어야 함</a:t>
          </a:r>
          <a:r>
            <a:rPr lang="en-US" altLang="ko-KR" sz="1100" baseline="0"/>
            <a:t>.</a:t>
          </a:r>
        </a:p>
        <a:p>
          <a:r>
            <a:rPr lang="en-US" altLang="ko-KR" sz="1100" baseline="0"/>
            <a:t>(</a:t>
          </a:r>
          <a:r>
            <a:rPr lang="ko-KR" altLang="en-US" sz="1100" baseline="0"/>
            <a:t>예</a:t>
          </a:r>
          <a:r>
            <a:rPr lang="en-US" altLang="ko-KR" sz="1100" baseline="0"/>
            <a:t>: 1-bit length</a:t>
          </a:r>
          <a:r>
            <a:rPr lang="ko-KR" altLang="en-US" sz="1100" baseline="0"/>
            <a:t>가 </a:t>
          </a:r>
          <a:r>
            <a:rPr lang="en-US" altLang="ko-KR" sz="1100" baseline="0"/>
            <a:t>2000 ns </a:t>
          </a:r>
          <a:r>
            <a:rPr lang="ko-KR" altLang="en-US" sz="1100" baseline="0"/>
            <a:t>이면</a:t>
          </a:r>
          <a:r>
            <a:rPr lang="en-US" altLang="ko-KR" sz="1100" baseline="0"/>
            <a:t>, 40MHz </a:t>
          </a:r>
          <a:r>
            <a:rPr lang="ko-KR" altLang="en-US" sz="1100" baseline="0"/>
            <a:t>기준으로 </a:t>
          </a:r>
          <a:r>
            <a:rPr lang="en-US" altLang="ko-KR" sz="1100" baseline="0"/>
            <a:t>2000 ns / 25 ns = 80 </a:t>
          </a:r>
          <a:r>
            <a:rPr lang="ko-KR" altLang="en-US" sz="1100" baseline="0"/>
            <a:t>개 이지만</a:t>
          </a:r>
          <a:r>
            <a:rPr lang="en-US" altLang="ko-KR" sz="1100" baseline="0"/>
            <a:t>, async. </a:t>
          </a:r>
          <a:r>
            <a:rPr lang="ko-KR" altLang="en-US" sz="1100" baseline="0"/>
            <a:t>수신시에는 </a:t>
          </a:r>
          <a:r>
            <a:rPr lang="en-US" altLang="ko-KR" sz="1100" baseline="0"/>
            <a:t>83 ~ 84</a:t>
          </a:r>
          <a:r>
            <a:rPr lang="ko-KR" altLang="en-US" sz="1100" baseline="0"/>
            <a:t>개 로 수신되므로 </a:t>
          </a:r>
          <a:r>
            <a:rPr lang="en-US" altLang="ko-KR" sz="1100" baseline="0"/>
            <a:t>Serial latency </a:t>
          </a:r>
          <a:r>
            <a:rPr lang="ko-KR" altLang="en-US" sz="1100" baseline="0"/>
            <a:t>는 최소 </a:t>
          </a:r>
          <a:r>
            <a:rPr lang="en-US" altLang="ko-KR" sz="1100" baseline="0"/>
            <a:t>84+3 = 8 </a:t>
          </a:r>
          <a:r>
            <a:rPr lang="ko-KR" altLang="en-US" sz="1100" baseline="0"/>
            <a:t>로 설정 되어야 함</a:t>
          </a:r>
          <a:r>
            <a:rPr lang="en-US" altLang="ko-KR" sz="1100" baseline="0"/>
            <a:t>.)</a:t>
          </a:r>
        </a:p>
        <a:p>
          <a:endParaRPr lang="en-US" altLang="ko-KR" sz="1100" baseline="0"/>
        </a:p>
        <a:p>
          <a:r>
            <a:rPr lang="ko-KR" altLang="en-US" sz="1100" baseline="0"/>
            <a:t>결론</a:t>
          </a:r>
          <a:endParaRPr lang="en-US" altLang="ko-KR" sz="1100" baseline="0"/>
        </a:p>
        <a:p>
          <a:r>
            <a:rPr lang="en-US" altLang="ko-KR" sz="1100" baseline="0"/>
            <a:t>1. XD serial latency </a:t>
          </a:r>
          <a:r>
            <a:rPr lang="ko-KR" altLang="en-US" sz="1100" baseline="0"/>
            <a:t>설정 </a:t>
          </a:r>
          <a:r>
            <a:rPr lang="en-US" altLang="ko-KR" sz="1100" baseline="0"/>
            <a:t>:  </a:t>
          </a:r>
          <a:r>
            <a:rPr lang="ko-KR" altLang="en-US" sz="1100" baseline="0"/>
            <a:t>수신 </a:t>
          </a:r>
          <a:r>
            <a:rPr lang="en-US" altLang="ko-KR" sz="1100" baseline="0"/>
            <a:t>data 1-bit length </a:t>
          </a:r>
          <a:r>
            <a:rPr lang="ko-KR" altLang="en-US" sz="1100" baseline="0"/>
            <a:t>보다 </a:t>
          </a:r>
          <a:r>
            <a:rPr lang="en-US" altLang="ko-KR" sz="1100" baseline="0"/>
            <a:t>15% </a:t>
          </a:r>
          <a:r>
            <a:rPr lang="ko-KR" altLang="en-US" sz="1100" baseline="0"/>
            <a:t>이상으로 설정</a:t>
          </a:r>
          <a:r>
            <a:rPr lang="en-US" altLang="ko-KR" sz="1100" baseline="0"/>
            <a:t>.</a:t>
          </a:r>
        </a:p>
        <a:p>
          <a:r>
            <a:rPr lang="en-US" altLang="ko-KR" sz="1100" baseline="0"/>
            <a:t>2. XC command latency </a:t>
          </a:r>
          <a:r>
            <a:rPr lang="ko-KR" altLang="en-US" sz="1100" baseline="0"/>
            <a:t>설정 </a:t>
          </a:r>
          <a:r>
            <a:rPr lang="en-US" altLang="ko-KR" sz="1100" baseline="0"/>
            <a:t>: XD</a:t>
          </a:r>
          <a:r>
            <a:rPr lang="ko-KR" altLang="en-US" sz="1100" baseline="0"/>
            <a:t>의 </a:t>
          </a:r>
          <a:r>
            <a:rPr lang="en-US" altLang="ko-KR" sz="1100" baseline="0"/>
            <a:t>serial latency </a:t>
          </a:r>
          <a:r>
            <a:rPr lang="ko-KR" altLang="en-US" sz="1100" baseline="0"/>
            <a:t>설정값 보다 </a:t>
          </a:r>
          <a:r>
            <a:rPr lang="en-US" altLang="ko-KR" sz="1100" baseline="0"/>
            <a:t>10% </a:t>
          </a:r>
          <a:r>
            <a:rPr lang="ko-KR" altLang="en-US" sz="1100" baseline="0"/>
            <a:t>이상으로 설정</a:t>
          </a:r>
          <a:r>
            <a:rPr lang="en-US" altLang="ko-KR" sz="1100" baseline="0"/>
            <a:t>.</a:t>
          </a:r>
          <a:endParaRPr lang="ko-KR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640182</xdr:colOff>
      <xdr:row>74</xdr:row>
      <xdr:rowOff>24306</xdr:rowOff>
    </xdr:from>
    <xdr:to>
      <xdr:col>10</xdr:col>
      <xdr:colOff>203807</xdr:colOff>
      <xdr:row>74</xdr:row>
      <xdr:rowOff>24306</xdr:rowOff>
    </xdr:to>
    <xdr:cxnSp macro="">
      <xdr:nvCxnSpPr>
        <xdr:cNvPr id="188" name="직선 연결선 187">
          <a:extLst>
            <a:ext uri="{FF2B5EF4-FFF2-40B4-BE49-F238E27FC236}">
              <a16:creationId xmlns:a16="http://schemas.microsoft.com/office/drawing/2014/main" id="{D91782E9-8EC1-4CF0-9C5A-80EB545766B4}"/>
            </a:ext>
          </a:extLst>
        </xdr:cNvPr>
        <xdr:cNvCxnSpPr>
          <a:cxnSpLocks/>
        </xdr:cNvCxnSpPr>
      </xdr:nvCxnSpPr>
      <xdr:spPr>
        <a:xfrm>
          <a:off x="5270390" y="16048134"/>
          <a:ext cx="1548000" cy="0"/>
        </a:xfrm>
        <a:prstGeom prst="line">
          <a:avLst/>
        </a:prstGeom>
        <a:ln w="12700">
          <a:solidFill>
            <a:schemeClr val="tx1"/>
          </a:solidFill>
          <a:head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331788</xdr:colOff>
      <xdr:row>2</xdr:row>
      <xdr:rowOff>31750</xdr:rowOff>
    </xdr:from>
    <xdr:to>
      <xdr:col>12</xdr:col>
      <xdr:colOff>341827</xdr:colOff>
      <xdr:row>21</xdr:row>
      <xdr:rowOff>12700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F920556F-AB01-3EE6-D2D1-6AE71E5E7B15}"/>
            </a:ext>
          </a:extLst>
        </xdr:cNvPr>
        <xdr:cNvGrpSpPr/>
      </xdr:nvGrpSpPr>
      <xdr:grpSpPr>
        <a:xfrm>
          <a:off x="1017588" y="458787"/>
          <a:ext cx="7491927" cy="4052888"/>
          <a:chOff x="992706" y="459403"/>
          <a:chExt cx="7280141" cy="4043654"/>
        </a:xfrm>
      </xdr:grpSpPr>
      <xdr:cxnSp macro="">
        <xdr:nvCxnSpPr>
          <xdr:cNvPr id="103" name="직선 연결선 102">
            <a:extLst>
              <a:ext uri="{FF2B5EF4-FFF2-40B4-BE49-F238E27FC236}">
                <a16:creationId xmlns:a16="http://schemas.microsoft.com/office/drawing/2014/main" id="{4C7CBC6B-819B-409B-AE33-60B691BA8A2A}"/>
              </a:ext>
            </a:extLst>
          </xdr:cNvPr>
          <xdr:cNvCxnSpPr/>
        </xdr:nvCxnSpPr>
        <xdr:spPr>
          <a:xfrm flipH="1" flipV="1">
            <a:off x="2230405" y="1240583"/>
            <a:ext cx="4486729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7" name="직선 연결선 46">
            <a:extLst>
              <a:ext uri="{FF2B5EF4-FFF2-40B4-BE49-F238E27FC236}">
                <a16:creationId xmlns:a16="http://schemas.microsoft.com/office/drawing/2014/main" id="{0BCF8A77-2F0E-42E9-9837-6F548B20CBE9}"/>
              </a:ext>
            </a:extLst>
          </xdr:cNvPr>
          <xdr:cNvCxnSpPr/>
        </xdr:nvCxnSpPr>
        <xdr:spPr>
          <a:xfrm flipV="1">
            <a:off x="1709187" y="3347098"/>
            <a:ext cx="1261036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40958062-A1BB-4E37-8834-565629C9ACBC}"/>
              </a:ext>
            </a:extLst>
          </xdr:cNvPr>
          <xdr:cNvSpPr/>
        </xdr:nvSpPr>
        <xdr:spPr>
          <a:xfrm>
            <a:off x="2062130" y="459403"/>
            <a:ext cx="4317935" cy="404365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1" name="직선 연결선 10">
            <a:extLst>
              <a:ext uri="{FF2B5EF4-FFF2-40B4-BE49-F238E27FC236}">
                <a16:creationId xmlns:a16="http://schemas.microsoft.com/office/drawing/2014/main" id="{69D4C975-5FD0-42EE-B6B4-A88985B6D72A}"/>
              </a:ext>
            </a:extLst>
          </xdr:cNvPr>
          <xdr:cNvCxnSpPr/>
        </xdr:nvCxnSpPr>
        <xdr:spPr>
          <a:xfrm>
            <a:off x="5446847" y="3365358"/>
            <a:ext cx="1297037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9E79074A-C0CE-4DBF-A2F6-F2201E53E64E}"/>
              </a:ext>
            </a:extLst>
          </xdr:cNvPr>
          <xdr:cNvSpPr/>
        </xdr:nvSpPr>
        <xdr:spPr>
          <a:xfrm>
            <a:off x="6215758" y="3203121"/>
            <a:ext cx="323207" cy="31667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7" name="직사각형 26">
            <a:extLst>
              <a:ext uri="{FF2B5EF4-FFF2-40B4-BE49-F238E27FC236}">
                <a16:creationId xmlns:a16="http://schemas.microsoft.com/office/drawing/2014/main" id="{E50EAC1B-D797-471D-A435-ECAB79E7FA36}"/>
              </a:ext>
            </a:extLst>
          </xdr:cNvPr>
          <xdr:cNvSpPr/>
        </xdr:nvSpPr>
        <xdr:spPr>
          <a:xfrm>
            <a:off x="1902862" y="3188834"/>
            <a:ext cx="325311" cy="318265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타원 37">
            <a:extLst>
              <a:ext uri="{FF2B5EF4-FFF2-40B4-BE49-F238E27FC236}">
                <a16:creationId xmlns:a16="http://schemas.microsoft.com/office/drawing/2014/main" id="{38CC4E0D-96DB-0F9D-5D4D-BEF2F206727C}"/>
              </a:ext>
            </a:extLst>
          </xdr:cNvPr>
          <xdr:cNvSpPr/>
        </xdr:nvSpPr>
        <xdr:spPr>
          <a:xfrm>
            <a:off x="2478055" y="3158671"/>
            <a:ext cx="108000" cy="10587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40" name="직선 연결선 39">
            <a:extLst>
              <a:ext uri="{FF2B5EF4-FFF2-40B4-BE49-F238E27FC236}">
                <a16:creationId xmlns:a16="http://schemas.microsoft.com/office/drawing/2014/main" id="{FD0B7729-9F71-1FA1-190B-46A8424AFD3A}"/>
              </a:ext>
            </a:extLst>
          </xdr:cNvPr>
          <xdr:cNvCxnSpPr/>
        </xdr:nvCxnSpPr>
        <xdr:spPr>
          <a:xfrm flipH="1" flipV="1">
            <a:off x="2528855" y="2811495"/>
            <a:ext cx="0" cy="376976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1" name="직선 연결선 40">
            <a:extLst>
              <a:ext uri="{FF2B5EF4-FFF2-40B4-BE49-F238E27FC236}">
                <a16:creationId xmlns:a16="http://schemas.microsoft.com/office/drawing/2014/main" id="{8751DB95-7795-4680-ADEC-7CE6AB518F59}"/>
              </a:ext>
            </a:extLst>
          </xdr:cNvPr>
          <xdr:cNvCxnSpPr/>
        </xdr:nvCxnSpPr>
        <xdr:spPr>
          <a:xfrm flipV="1">
            <a:off x="2528855" y="2805145"/>
            <a:ext cx="396518" cy="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Box 45">
            <a:extLst>
              <a:ext uri="{FF2B5EF4-FFF2-40B4-BE49-F238E27FC236}">
                <a16:creationId xmlns:a16="http://schemas.microsoft.com/office/drawing/2014/main" id="{13C30394-D9BB-4461-83CF-6407454193A7}"/>
              </a:ext>
            </a:extLst>
          </xdr:cNvPr>
          <xdr:cNvSpPr txBox="1"/>
        </xdr:nvSpPr>
        <xdr:spPr>
          <a:xfrm>
            <a:off x="2904023" y="2658787"/>
            <a:ext cx="8001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altLang="ko-KR" sz="1200"/>
              <a:t>FBO_OEN</a:t>
            </a:r>
            <a:endParaRPr lang="ko-KR" altLang="en-US" sz="1200"/>
          </a:p>
        </xdr:txBody>
      </xdr:sp>
      <xdr:cxnSp macro="">
        <xdr:nvCxnSpPr>
          <xdr:cNvPr id="50" name="직선 연결선 49">
            <a:extLst>
              <a:ext uri="{FF2B5EF4-FFF2-40B4-BE49-F238E27FC236}">
                <a16:creationId xmlns:a16="http://schemas.microsoft.com/office/drawing/2014/main" id="{B8F091FD-FBE4-4A49-97D9-D7AFEB1E11BE}"/>
              </a:ext>
            </a:extLst>
          </xdr:cNvPr>
          <xdr:cNvCxnSpPr/>
        </xdr:nvCxnSpPr>
        <xdr:spPr>
          <a:xfrm>
            <a:off x="2967523" y="3340748"/>
            <a:ext cx="0" cy="391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2" name="이등변 삼각형 51">
            <a:extLst>
              <a:ext uri="{FF2B5EF4-FFF2-40B4-BE49-F238E27FC236}">
                <a16:creationId xmlns:a16="http://schemas.microsoft.com/office/drawing/2014/main" id="{4B09BDA8-5FFD-403F-B0F8-C3DF8FCC2F1F}"/>
              </a:ext>
            </a:extLst>
          </xdr:cNvPr>
          <xdr:cNvSpPr/>
        </xdr:nvSpPr>
        <xdr:spPr>
          <a:xfrm rot="10800000">
            <a:off x="2808773" y="3736651"/>
            <a:ext cx="323850" cy="169377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826E746E-3B93-4149-837F-EF856B395181}"/>
              </a:ext>
            </a:extLst>
          </xdr:cNvPr>
          <xdr:cNvSpPr txBox="1"/>
        </xdr:nvSpPr>
        <xdr:spPr>
          <a:xfrm>
            <a:off x="1310206" y="3224067"/>
            <a:ext cx="446341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FBO</a:t>
            </a:r>
            <a:endParaRPr lang="ko-KR" altLang="en-US" sz="1200"/>
          </a:p>
        </xdr:txBody>
      </xdr:sp>
      <xdr:cxnSp macro="">
        <xdr:nvCxnSpPr>
          <xdr:cNvPr id="71" name="직선 연결선 70">
            <a:extLst>
              <a:ext uri="{FF2B5EF4-FFF2-40B4-BE49-F238E27FC236}">
                <a16:creationId xmlns:a16="http://schemas.microsoft.com/office/drawing/2014/main" id="{D993A98C-2832-43A1-8276-AD89BCAFDBA0}"/>
              </a:ext>
            </a:extLst>
          </xdr:cNvPr>
          <xdr:cNvCxnSpPr/>
        </xdr:nvCxnSpPr>
        <xdr:spPr>
          <a:xfrm flipV="1">
            <a:off x="5236029" y="3050721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6" name="TextBox 75">
            <a:extLst>
              <a:ext uri="{FF2B5EF4-FFF2-40B4-BE49-F238E27FC236}">
                <a16:creationId xmlns:a16="http://schemas.microsoft.com/office/drawing/2014/main" id="{B134F2E9-9AB3-454D-9F77-9C100F88F507}"/>
              </a:ext>
            </a:extLst>
          </xdr:cNvPr>
          <xdr:cNvSpPr txBox="1"/>
        </xdr:nvSpPr>
        <xdr:spPr>
          <a:xfrm>
            <a:off x="6718722" y="32177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96" name="직사각형 95">
            <a:extLst>
              <a:ext uri="{FF2B5EF4-FFF2-40B4-BE49-F238E27FC236}">
                <a16:creationId xmlns:a16="http://schemas.microsoft.com/office/drawing/2014/main" id="{AEA11CAA-B010-4A1D-ACC9-C27CC705BDE2}"/>
              </a:ext>
            </a:extLst>
          </xdr:cNvPr>
          <xdr:cNvSpPr/>
        </xdr:nvSpPr>
        <xdr:spPr>
          <a:xfrm>
            <a:off x="6215758" y="1088183"/>
            <a:ext cx="323207" cy="318751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7" name="직사각형 96">
            <a:extLst>
              <a:ext uri="{FF2B5EF4-FFF2-40B4-BE49-F238E27FC236}">
                <a16:creationId xmlns:a16="http://schemas.microsoft.com/office/drawing/2014/main" id="{7FCB816F-BBD0-4DF1-841F-9BFE3D5FA045}"/>
              </a:ext>
            </a:extLst>
          </xdr:cNvPr>
          <xdr:cNvSpPr/>
        </xdr:nvSpPr>
        <xdr:spPr>
          <a:xfrm>
            <a:off x="1896512" y="1073896"/>
            <a:ext cx="325311" cy="32033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99" name="직선 연결선 98">
            <a:extLst>
              <a:ext uri="{FF2B5EF4-FFF2-40B4-BE49-F238E27FC236}">
                <a16:creationId xmlns:a16="http://schemas.microsoft.com/office/drawing/2014/main" id="{FCB192A4-7944-442E-BA18-4D76E6FC6B85}"/>
              </a:ext>
            </a:extLst>
          </xdr:cNvPr>
          <xdr:cNvCxnSpPr/>
        </xdr:nvCxnSpPr>
        <xdr:spPr>
          <a:xfrm flipH="1">
            <a:off x="1563137" y="1240583"/>
            <a:ext cx="324000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1" name="TextBox 100">
            <a:extLst>
              <a:ext uri="{FF2B5EF4-FFF2-40B4-BE49-F238E27FC236}">
                <a16:creationId xmlns:a16="http://schemas.microsoft.com/office/drawing/2014/main" id="{4B4A82C1-DBBB-4F6C-ABEE-E4A914A126CB}"/>
              </a:ext>
            </a:extLst>
          </xdr:cNvPr>
          <xdr:cNvSpPr txBox="1"/>
        </xdr:nvSpPr>
        <xdr:spPr>
          <a:xfrm>
            <a:off x="992706" y="1085802"/>
            <a:ext cx="656077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VSYNCI</a:t>
            </a:r>
            <a:endParaRPr lang="ko-KR" altLang="en-US" sz="1200"/>
          </a:p>
        </xdr:txBody>
      </xdr:sp>
      <xdr:sp macro="" textlink="">
        <xdr:nvSpPr>
          <xdr:cNvPr id="102" name="TextBox 101">
            <a:extLst>
              <a:ext uri="{FF2B5EF4-FFF2-40B4-BE49-F238E27FC236}">
                <a16:creationId xmlns:a16="http://schemas.microsoft.com/office/drawing/2014/main" id="{8B51C838-5535-4D85-B0B5-33859B952F92}"/>
              </a:ext>
            </a:extLst>
          </xdr:cNvPr>
          <xdr:cNvSpPr txBox="1"/>
        </xdr:nvSpPr>
        <xdr:spPr>
          <a:xfrm>
            <a:off x="6661572" y="1092152"/>
            <a:ext cx="16112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VSYNCO (Analog</a:t>
            </a:r>
            <a:r>
              <a:rPr lang="en-US" altLang="ko-KR" sz="1200" baseline="0"/>
              <a:t> VREF)</a:t>
            </a:r>
            <a:endParaRPr lang="ko-KR" altLang="en-US" sz="1200"/>
          </a:p>
        </xdr:txBody>
      </xdr:sp>
      <xdr:sp macro="" textlink="">
        <xdr:nvSpPr>
          <xdr:cNvPr id="105" name="이등변 삼각형 104">
            <a:extLst>
              <a:ext uri="{FF2B5EF4-FFF2-40B4-BE49-F238E27FC236}">
                <a16:creationId xmlns:a16="http://schemas.microsoft.com/office/drawing/2014/main" id="{938329EE-D351-4A24-AF16-270970526813}"/>
              </a:ext>
            </a:extLst>
          </xdr:cNvPr>
          <xdr:cNvSpPr/>
        </xdr:nvSpPr>
        <xdr:spPr>
          <a:xfrm rot="5400000">
            <a:off x="5729968" y="1083562"/>
            <a:ext cx="334626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타원 105">
            <a:extLst>
              <a:ext uri="{FF2B5EF4-FFF2-40B4-BE49-F238E27FC236}">
                <a16:creationId xmlns:a16="http://schemas.microsoft.com/office/drawing/2014/main" id="{DC59FEF6-AAF7-4D40-9029-BCE8C966E15C}"/>
              </a:ext>
            </a:extLst>
          </xdr:cNvPr>
          <xdr:cNvSpPr/>
        </xdr:nvSpPr>
        <xdr:spPr>
          <a:xfrm>
            <a:off x="5858847" y="1052156"/>
            <a:ext cx="108518" cy="10592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07" name="직선 연결선 106">
            <a:extLst>
              <a:ext uri="{FF2B5EF4-FFF2-40B4-BE49-F238E27FC236}">
                <a16:creationId xmlns:a16="http://schemas.microsoft.com/office/drawing/2014/main" id="{412851C2-F928-4E3D-AE20-F2E5388C39EF}"/>
              </a:ext>
            </a:extLst>
          </xdr:cNvPr>
          <xdr:cNvCxnSpPr/>
        </xdr:nvCxnSpPr>
        <xdr:spPr>
          <a:xfrm flipH="1">
            <a:off x="5908547" y="755780"/>
            <a:ext cx="0" cy="319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직선 연결선 108">
            <a:extLst>
              <a:ext uri="{FF2B5EF4-FFF2-40B4-BE49-F238E27FC236}">
                <a16:creationId xmlns:a16="http://schemas.microsoft.com/office/drawing/2014/main" id="{D0DF342E-9A40-4FB3-A801-FF1CFD312024}"/>
              </a:ext>
            </a:extLst>
          </xdr:cNvPr>
          <xdr:cNvCxnSpPr/>
        </xdr:nvCxnSpPr>
        <xdr:spPr>
          <a:xfrm>
            <a:off x="5363547" y="762130"/>
            <a:ext cx="540000" cy="15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1" name="TextBox 110">
            <a:extLst>
              <a:ext uri="{FF2B5EF4-FFF2-40B4-BE49-F238E27FC236}">
                <a16:creationId xmlns:a16="http://schemas.microsoft.com/office/drawing/2014/main" id="{0BA17681-3E2B-44ED-AE08-6B37BBDF98B0}"/>
              </a:ext>
            </a:extLst>
          </xdr:cNvPr>
          <xdr:cNvSpPr txBox="1"/>
        </xdr:nvSpPr>
        <xdr:spPr>
          <a:xfrm>
            <a:off x="4456048" y="634822"/>
            <a:ext cx="977704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EXT_VS_OEN</a:t>
            </a:r>
            <a:endParaRPr lang="ko-KR" altLang="en-US" sz="1200"/>
          </a:p>
        </xdr:txBody>
      </xdr:sp>
      <xdr:sp macro="" textlink="">
        <xdr:nvSpPr>
          <xdr:cNvPr id="112" name="이등변 삼각형 111">
            <a:extLst>
              <a:ext uri="{FF2B5EF4-FFF2-40B4-BE49-F238E27FC236}">
                <a16:creationId xmlns:a16="http://schemas.microsoft.com/office/drawing/2014/main" id="{2977A6DE-0212-422B-AA6F-D4879BDA1C1E}"/>
              </a:ext>
            </a:extLst>
          </xdr:cNvPr>
          <xdr:cNvSpPr/>
        </xdr:nvSpPr>
        <xdr:spPr>
          <a:xfrm rot="5400000">
            <a:off x="3880563" y="1077212"/>
            <a:ext cx="334626" cy="324518"/>
          </a:xfrm>
          <a:prstGeom prst="triangle">
            <a:avLst/>
          </a:prstGeom>
          <a:solidFill>
            <a:schemeClr val="accent4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3" name="이등변 삼각형 112">
            <a:extLst>
              <a:ext uri="{FF2B5EF4-FFF2-40B4-BE49-F238E27FC236}">
                <a16:creationId xmlns:a16="http://schemas.microsoft.com/office/drawing/2014/main" id="{3A4A7D0B-1D12-4068-B741-47BF2772285D}"/>
              </a:ext>
            </a:extLst>
          </xdr:cNvPr>
          <xdr:cNvSpPr/>
        </xdr:nvSpPr>
        <xdr:spPr>
          <a:xfrm rot="16200000">
            <a:off x="2375612" y="3191114"/>
            <a:ext cx="332553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116" name="그룹 115">
            <a:extLst>
              <a:ext uri="{FF2B5EF4-FFF2-40B4-BE49-F238E27FC236}">
                <a16:creationId xmlns:a16="http://schemas.microsoft.com/office/drawing/2014/main" id="{9EC3F00A-8330-E053-64DC-87D8EEB40EF5}"/>
              </a:ext>
            </a:extLst>
          </xdr:cNvPr>
          <xdr:cNvGrpSpPr/>
        </xdr:nvGrpSpPr>
        <xdr:grpSpPr>
          <a:xfrm>
            <a:off x="5706447" y="2672281"/>
            <a:ext cx="324368" cy="1504723"/>
            <a:chOff x="7600950" y="3516313"/>
            <a:chExt cx="323850" cy="1519237"/>
          </a:xfrm>
        </xdr:grpSpPr>
        <xdr:cxnSp macro="">
          <xdr:nvCxnSpPr>
            <xdr:cNvPr id="12" name="직선 연결선 11">
              <a:extLst>
                <a:ext uri="{FF2B5EF4-FFF2-40B4-BE49-F238E27FC236}">
                  <a16:creationId xmlns:a16="http://schemas.microsoft.com/office/drawing/2014/main" id="{C5D4A518-01D0-47DB-B8B4-1AC4373DEC42}"/>
                </a:ext>
              </a:extLst>
            </xdr:cNvPr>
            <xdr:cNvCxnSpPr/>
          </xdr:nvCxnSpPr>
          <xdr:spPr>
            <a:xfrm flipH="1">
              <a:off x="7760493" y="3532189"/>
              <a:ext cx="0" cy="133200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직선 연결선 12">
              <a:extLst>
                <a:ext uri="{FF2B5EF4-FFF2-40B4-BE49-F238E27FC236}">
                  <a16:creationId xmlns:a16="http://schemas.microsoft.com/office/drawing/2014/main" id="{4B95B465-B60E-435A-AA4A-5279992D894D}"/>
                </a:ext>
              </a:extLst>
            </xdr:cNvPr>
            <xdr:cNvCxnSpPr/>
          </xdr:nvCxnSpPr>
          <xdr:spPr>
            <a:xfrm flipH="1" flipV="1">
              <a:off x="7659687" y="3516313"/>
              <a:ext cx="208756" cy="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" name="직사각형 31">
              <a:extLst>
                <a:ext uri="{FF2B5EF4-FFF2-40B4-BE49-F238E27FC236}">
                  <a16:creationId xmlns:a16="http://schemas.microsoft.com/office/drawing/2014/main" id="{783047A3-76DF-4E50-ACAA-AFB5477C804F}"/>
                </a:ext>
              </a:extLst>
            </xdr:cNvPr>
            <xdr:cNvSpPr/>
          </xdr:nvSpPr>
          <xdr:spPr>
            <a:xfrm>
              <a:off x="7678737" y="37115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4" name="직사각형 113">
              <a:extLst>
                <a:ext uri="{FF2B5EF4-FFF2-40B4-BE49-F238E27FC236}">
                  <a16:creationId xmlns:a16="http://schemas.microsoft.com/office/drawing/2014/main" id="{3371AB4F-D2D8-4C26-97AA-DB755B3C0215}"/>
                </a:ext>
              </a:extLst>
            </xdr:cNvPr>
            <xdr:cNvSpPr/>
          </xdr:nvSpPr>
          <xdr:spPr>
            <a:xfrm>
              <a:off x="7685087" y="43211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5" name="이등변 삼각형 114">
              <a:extLst>
                <a:ext uri="{FF2B5EF4-FFF2-40B4-BE49-F238E27FC236}">
                  <a16:creationId xmlns:a16="http://schemas.microsoft.com/office/drawing/2014/main" id="{93EACF4D-9BCB-4962-B663-F05FF9E44CF9}"/>
                </a:ext>
              </a:extLst>
            </xdr:cNvPr>
            <xdr:cNvSpPr/>
          </xdr:nvSpPr>
          <xdr:spPr>
            <a:xfrm rot="10800000">
              <a:off x="7600950" y="4864100"/>
              <a:ext cx="323850" cy="171450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117" name="타원 116">
            <a:extLst>
              <a:ext uri="{FF2B5EF4-FFF2-40B4-BE49-F238E27FC236}">
                <a16:creationId xmlns:a16="http://schemas.microsoft.com/office/drawing/2014/main" id="{083F0D50-104B-4735-8DCF-47F0ED41A856}"/>
              </a:ext>
            </a:extLst>
          </xdr:cNvPr>
          <xdr:cNvSpPr/>
        </xdr:nvSpPr>
        <xdr:spPr>
          <a:xfrm>
            <a:off x="5833447" y="3328048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9" name="TextBox 118">
            <a:extLst>
              <a:ext uri="{FF2B5EF4-FFF2-40B4-BE49-F238E27FC236}">
                <a16:creationId xmlns:a16="http://schemas.microsoft.com/office/drawing/2014/main" id="{743CB054-0899-4E5C-AB07-C3B2EDA03395}"/>
              </a:ext>
            </a:extLst>
          </xdr:cNvPr>
          <xdr:cNvSpPr txBox="1"/>
        </xdr:nvSpPr>
        <xdr:spPr>
          <a:xfrm>
            <a:off x="5123317" y="32304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7A4CE7F7-CFE3-4C40-9733-EC51CC3175C0}"/>
              </a:ext>
            </a:extLst>
          </xdr:cNvPr>
          <xdr:cNvSpPr txBox="1"/>
        </xdr:nvSpPr>
        <xdr:spPr>
          <a:xfrm>
            <a:off x="4697867" y="2904364"/>
            <a:ext cx="60632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FBI_PS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123" name="직선 연결선 122">
            <a:extLst>
              <a:ext uri="{FF2B5EF4-FFF2-40B4-BE49-F238E27FC236}">
                <a16:creationId xmlns:a16="http://schemas.microsoft.com/office/drawing/2014/main" id="{0E0202A5-8D4E-44A1-8642-8D8715087F54}"/>
              </a:ext>
            </a:extLst>
          </xdr:cNvPr>
          <xdr:cNvCxnSpPr/>
        </xdr:nvCxnSpPr>
        <xdr:spPr>
          <a:xfrm flipV="1">
            <a:off x="5026479" y="975956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4" name="TextBox 123">
            <a:extLst>
              <a:ext uri="{FF2B5EF4-FFF2-40B4-BE49-F238E27FC236}">
                <a16:creationId xmlns:a16="http://schemas.microsoft.com/office/drawing/2014/main" id="{5912061D-E21C-47F8-BD25-818975C37BE6}"/>
              </a:ext>
            </a:extLst>
          </xdr:cNvPr>
          <xdr:cNvSpPr txBox="1"/>
        </xdr:nvSpPr>
        <xdr:spPr>
          <a:xfrm>
            <a:off x="4449698" y="835949"/>
            <a:ext cx="6194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TEST_E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125" name="직선 연결선 124">
            <a:extLst>
              <a:ext uri="{FF2B5EF4-FFF2-40B4-BE49-F238E27FC236}">
                <a16:creationId xmlns:a16="http://schemas.microsoft.com/office/drawing/2014/main" id="{AEA5FDC5-81CA-4071-96DA-6D8FD0E23CC7}"/>
              </a:ext>
            </a:extLst>
          </xdr:cNvPr>
          <xdr:cNvCxnSpPr>
            <a:stCxn id="46" idx="3"/>
            <a:endCxn id="119" idx="1"/>
          </xdr:cNvCxnSpPr>
        </xdr:nvCxnSpPr>
        <xdr:spPr>
          <a:xfrm>
            <a:off x="3704642" y="2796817"/>
            <a:ext cx="1418675" cy="573703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7" name="직선 연결선 136">
            <a:extLst>
              <a:ext uri="{FF2B5EF4-FFF2-40B4-BE49-F238E27FC236}">
                <a16:creationId xmlns:a16="http://schemas.microsoft.com/office/drawing/2014/main" id="{9531B23A-1323-4101-BB22-71D9D12D14AD}"/>
              </a:ext>
            </a:extLst>
          </xdr:cNvPr>
          <xdr:cNvCxnSpPr/>
        </xdr:nvCxnSpPr>
        <xdr:spPr>
          <a:xfrm flipH="1">
            <a:off x="2372831" y="1249135"/>
            <a:ext cx="0" cy="82488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138" name="그룹 137">
            <a:extLst>
              <a:ext uri="{FF2B5EF4-FFF2-40B4-BE49-F238E27FC236}">
                <a16:creationId xmlns:a16="http://schemas.microsoft.com/office/drawing/2014/main" id="{CC69BED8-739C-45A7-9B33-FA3EDF99EC61}"/>
              </a:ext>
            </a:extLst>
          </xdr:cNvPr>
          <xdr:cNvGrpSpPr/>
        </xdr:nvGrpSpPr>
        <xdr:grpSpPr>
          <a:xfrm>
            <a:off x="2212768" y="1535029"/>
            <a:ext cx="324908" cy="707776"/>
            <a:chOff x="7624116" y="2752162"/>
            <a:chExt cx="324908" cy="710117"/>
          </a:xfrm>
        </xdr:grpSpPr>
        <xdr:sp macro="" textlink="">
          <xdr:nvSpPr>
            <xdr:cNvPr id="139" name="직사각형 138">
              <a:extLst>
                <a:ext uri="{FF2B5EF4-FFF2-40B4-BE49-F238E27FC236}">
                  <a16:creationId xmlns:a16="http://schemas.microsoft.com/office/drawing/2014/main" id="{A7567FF4-7862-A140-29B4-CFC002DB18E4}"/>
                </a:ext>
              </a:extLst>
            </xdr:cNvPr>
            <xdr:cNvSpPr/>
          </xdr:nvSpPr>
          <xdr:spPr>
            <a:xfrm>
              <a:off x="7708528" y="2752162"/>
              <a:ext cx="158472" cy="356637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40" name="이등변 삼각형 139">
              <a:extLst>
                <a:ext uri="{FF2B5EF4-FFF2-40B4-BE49-F238E27FC236}">
                  <a16:creationId xmlns:a16="http://schemas.microsoft.com/office/drawing/2014/main" id="{3CC5BB11-021D-6388-AA20-AE32111D2338}"/>
                </a:ext>
              </a:extLst>
            </xdr:cNvPr>
            <xdr:cNvSpPr/>
          </xdr:nvSpPr>
          <xdr:spPr>
            <a:xfrm rot="10800000">
              <a:off x="7624116" y="3291851"/>
              <a:ext cx="324908" cy="170428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141" name="타원 140">
            <a:extLst>
              <a:ext uri="{FF2B5EF4-FFF2-40B4-BE49-F238E27FC236}">
                <a16:creationId xmlns:a16="http://schemas.microsoft.com/office/drawing/2014/main" id="{EC15D8A6-D421-4EC1-AB38-51CD0999AD01}"/>
              </a:ext>
            </a:extLst>
          </xdr:cNvPr>
          <xdr:cNvSpPr/>
        </xdr:nvSpPr>
        <xdr:spPr>
          <a:xfrm>
            <a:off x="2334710" y="1208599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11</xdr:col>
      <xdr:colOff>600820</xdr:colOff>
      <xdr:row>2</xdr:row>
      <xdr:rowOff>35119</xdr:rowOff>
    </xdr:from>
    <xdr:to>
      <xdr:col>22</xdr:col>
      <xdr:colOff>610859</xdr:colOff>
      <xdr:row>21</xdr:row>
      <xdr:rowOff>16069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87B51EC2-C7A8-4326-B2AA-B47D9DC9CABD}"/>
            </a:ext>
          </a:extLst>
        </xdr:cNvPr>
        <xdr:cNvGrpSpPr/>
      </xdr:nvGrpSpPr>
      <xdr:grpSpPr>
        <a:xfrm>
          <a:off x="8089058" y="462156"/>
          <a:ext cx="7147439" cy="4052888"/>
          <a:chOff x="992706" y="459403"/>
          <a:chExt cx="7280141" cy="4043654"/>
        </a:xfrm>
      </xdr:grpSpPr>
      <xdr:cxnSp macro="">
        <xdr:nvCxnSpPr>
          <xdr:cNvPr id="7" name="직선 연결선 6">
            <a:extLst>
              <a:ext uri="{FF2B5EF4-FFF2-40B4-BE49-F238E27FC236}">
                <a16:creationId xmlns:a16="http://schemas.microsoft.com/office/drawing/2014/main" id="{BBEF7B46-C14D-0D41-01E4-D5D4378CA6B5}"/>
              </a:ext>
            </a:extLst>
          </xdr:cNvPr>
          <xdr:cNvCxnSpPr/>
        </xdr:nvCxnSpPr>
        <xdr:spPr>
          <a:xfrm flipH="1" flipV="1">
            <a:off x="2230405" y="1240583"/>
            <a:ext cx="4486729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직선 연결선 7">
            <a:extLst>
              <a:ext uri="{FF2B5EF4-FFF2-40B4-BE49-F238E27FC236}">
                <a16:creationId xmlns:a16="http://schemas.microsoft.com/office/drawing/2014/main" id="{445C1389-F352-D683-4BBF-2CA7673D9CDC}"/>
              </a:ext>
            </a:extLst>
          </xdr:cNvPr>
          <xdr:cNvCxnSpPr/>
        </xdr:nvCxnSpPr>
        <xdr:spPr>
          <a:xfrm flipV="1">
            <a:off x="1709187" y="3347098"/>
            <a:ext cx="1261036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직사각형 8">
            <a:extLst>
              <a:ext uri="{FF2B5EF4-FFF2-40B4-BE49-F238E27FC236}">
                <a16:creationId xmlns:a16="http://schemas.microsoft.com/office/drawing/2014/main" id="{E8016370-ADA4-3518-9C73-7D7D18A294ED}"/>
              </a:ext>
            </a:extLst>
          </xdr:cNvPr>
          <xdr:cNvSpPr/>
        </xdr:nvSpPr>
        <xdr:spPr>
          <a:xfrm>
            <a:off x="2062130" y="459403"/>
            <a:ext cx="4317935" cy="404365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4" name="직선 연결선 13">
            <a:extLst>
              <a:ext uri="{FF2B5EF4-FFF2-40B4-BE49-F238E27FC236}">
                <a16:creationId xmlns:a16="http://schemas.microsoft.com/office/drawing/2014/main" id="{F8F1722B-F62F-BEDD-AE0B-054743D689A7}"/>
              </a:ext>
            </a:extLst>
          </xdr:cNvPr>
          <xdr:cNvCxnSpPr/>
        </xdr:nvCxnSpPr>
        <xdr:spPr>
          <a:xfrm>
            <a:off x="5446847" y="3365358"/>
            <a:ext cx="1297037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직사각형 14">
            <a:extLst>
              <a:ext uri="{FF2B5EF4-FFF2-40B4-BE49-F238E27FC236}">
                <a16:creationId xmlns:a16="http://schemas.microsoft.com/office/drawing/2014/main" id="{0147F008-2F74-CF89-472D-0579D0998198}"/>
              </a:ext>
            </a:extLst>
          </xdr:cNvPr>
          <xdr:cNvSpPr/>
        </xdr:nvSpPr>
        <xdr:spPr>
          <a:xfrm>
            <a:off x="6215758" y="3203121"/>
            <a:ext cx="323207" cy="31667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99593CC6-3474-5EBB-4FDD-3B2D52B93860}"/>
              </a:ext>
            </a:extLst>
          </xdr:cNvPr>
          <xdr:cNvSpPr/>
        </xdr:nvSpPr>
        <xdr:spPr>
          <a:xfrm>
            <a:off x="1902862" y="3188834"/>
            <a:ext cx="325311" cy="318265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" name="타원 16">
            <a:extLst>
              <a:ext uri="{FF2B5EF4-FFF2-40B4-BE49-F238E27FC236}">
                <a16:creationId xmlns:a16="http://schemas.microsoft.com/office/drawing/2014/main" id="{07835999-B714-7A10-8919-3BF863B64B63}"/>
              </a:ext>
            </a:extLst>
          </xdr:cNvPr>
          <xdr:cNvSpPr/>
        </xdr:nvSpPr>
        <xdr:spPr>
          <a:xfrm>
            <a:off x="2478055" y="3158671"/>
            <a:ext cx="108000" cy="10587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19" name="직선 연결선 18">
            <a:extLst>
              <a:ext uri="{FF2B5EF4-FFF2-40B4-BE49-F238E27FC236}">
                <a16:creationId xmlns:a16="http://schemas.microsoft.com/office/drawing/2014/main" id="{16C83768-9662-EE34-0149-EA1C94EAC518}"/>
              </a:ext>
            </a:extLst>
          </xdr:cNvPr>
          <xdr:cNvCxnSpPr/>
        </xdr:nvCxnSpPr>
        <xdr:spPr>
          <a:xfrm flipH="1" flipV="1">
            <a:off x="2528855" y="2811495"/>
            <a:ext cx="0" cy="376976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연결선 19">
            <a:extLst>
              <a:ext uri="{FF2B5EF4-FFF2-40B4-BE49-F238E27FC236}">
                <a16:creationId xmlns:a16="http://schemas.microsoft.com/office/drawing/2014/main" id="{9B29C9C3-98F8-62A9-0CB8-0DACDC025CDC}"/>
              </a:ext>
            </a:extLst>
          </xdr:cNvPr>
          <xdr:cNvCxnSpPr/>
        </xdr:nvCxnSpPr>
        <xdr:spPr>
          <a:xfrm flipV="1">
            <a:off x="2528855" y="2805145"/>
            <a:ext cx="396518" cy="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F41BB834-F12B-C674-FB5F-FD83EFA13FE9}"/>
              </a:ext>
            </a:extLst>
          </xdr:cNvPr>
          <xdr:cNvSpPr txBox="1"/>
        </xdr:nvSpPr>
        <xdr:spPr>
          <a:xfrm>
            <a:off x="2904023" y="2658787"/>
            <a:ext cx="8001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altLang="ko-KR" sz="1200"/>
              <a:t>FBO_OEN</a:t>
            </a:r>
            <a:endParaRPr lang="ko-KR" altLang="en-US" sz="1200"/>
          </a:p>
        </xdr:txBody>
      </xdr:sp>
      <xdr:cxnSp macro="">
        <xdr:nvCxnSpPr>
          <xdr:cNvPr id="22" name="직선 연결선 21">
            <a:extLst>
              <a:ext uri="{FF2B5EF4-FFF2-40B4-BE49-F238E27FC236}">
                <a16:creationId xmlns:a16="http://schemas.microsoft.com/office/drawing/2014/main" id="{E75AE1FB-D829-4F96-3638-D68502AFA57E}"/>
              </a:ext>
            </a:extLst>
          </xdr:cNvPr>
          <xdr:cNvCxnSpPr/>
        </xdr:nvCxnSpPr>
        <xdr:spPr>
          <a:xfrm>
            <a:off x="2967523" y="3340748"/>
            <a:ext cx="0" cy="391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3" name="이등변 삼각형 22">
            <a:extLst>
              <a:ext uri="{FF2B5EF4-FFF2-40B4-BE49-F238E27FC236}">
                <a16:creationId xmlns:a16="http://schemas.microsoft.com/office/drawing/2014/main" id="{BFC03BAD-67BE-365A-7F95-745D28430758}"/>
              </a:ext>
            </a:extLst>
          </xdr:cNvPr>
          <xdr:cNvSpPr/>
        </xdr:nvSpPr>
        <xdr:spPr>
          <a:xfrm rot="10800000">
            <a:off x="2808773" y="3736651"/>
            <a:ext cx="323850" cy="169377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65A6990-20BC-E09C-63AA-F32580135799}"/>
              </a:ext>
            </a:extLst>
          </xdr:cNvPr>
          <xdr:cNvSpPr txBox="1"/>
        </xdr:nvSpPr>
        <xdr:spPr>
          <a:xfrm>
            <a:off x="1310206" y="3224067"/>
            <a:ext cx="446341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FBO</a:t>
            </a:r>
            <a:endParaRPr lang="ko-KR" altLang="en-US" sz="1200"/>
          </a:p>
        </xdr:txBody>
      </xdr:sp>
      <xdr:cxnSp macro="">
        <xdr:nvCxnSpPr>
          <xdr:cNvPr id="25" name="직선 연결선 24">
            <a:extLst>
              <a:ext uri="{FF2B5EF4-FFF2-40B4-BE49-F238E27FC236}">
                <a16:creationId xmlns:a16="http://schemas.microsoft.com/office/drawing/2014/main" id="{9EE97EA6-1A02-72B6-0A45-35F8576C376C}"/>
              </a:ext>
            </a:extLst>
          </xdr:cNvPr>
          <xdr:cNvCxnSpPr/>
        </xdr:nvCxnSpPr>
        <xdr:spPr>
          <a:xfrm flipV="1">
            <a:off x="5236029" y="3050721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FA5AC1B1-11E8-1C2E-C151-8355D1EF1A87}"/>
              </a:ext>
            </a:extLst>
          </xdr:cNvPr>
          <xdr:cNvSpPr txBox="1"/>
        </xdr:nvSpPr>
        <xdr:spPr>
          <a:xfrm>
            <a:off x="6718722" y="32177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28" name="직사각형 27">
            <a:extLst>
              <a:ext uri="{FF2B5EF4-FFF2-40B4-BE49-F238E27FC236}">
                <a16:creationId xmlns:a16="http://schemas.microsoft.com/office/drawing/2014/main" id="{D30B74A5-8D0A-1420-0CFC-930D36F5D611}"/>
              </a:ext>
            </a:extLst>
          </xdr:cNvPr>
          <xdr:cNvSpPr/>
        </xdr:nvSpPr>
        <xdr:spPr>
          <a:xfrm>
            <a:off x="6215758" y="1088183"/>
            <a:ext cx="323207" cy="318751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직사각형 28">
            <a:extLst>
              <a:ext uri="{FF2B5EF4-FFF2-40B4-BE49-F238E27FC236}">
                <a16:creationId xmlns:a16="http://schemas.microsoft.com/office/drawing/2014/main" id="{D6F71F18-1995-ED22-9F6E-E96A24B1581E}"/>
              </a:ext>
            </a:extLst>
          </xdr:cNvPr>
          <xdr:cNvSpPr/>
        </xdr:nvSpPr>
        <xdr:spPr>
          <a:xfrm>
            <a:off x="1896512" y="1073896"/>
            <a:ext cx="325311" cy="320338"/>
          </a:xfrm>
          <a:prstGeom prst="rect">
            <a:avLst/>
          </a:prstGeom>
          <a:solidFill>
            <a:schemeClr val="bg1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0" name="직선 연결선 29">
            <a:extLst>
              <a:ext uri="{FF2B5EF4-FFF2-40B4-BE49-F238E27FC236}">
                <a16:creationId xmlns:a16="http://schemas.microsoft.com/office/drawing/2014/main" id="{84C00F8A-5C92-B83E-68CA-108DBFEA8798}"/>
              </a:ext>
            </a:extLst>
          </xdr:cNvPr>
          <xdr:cNvCxnSpPr/>
        </xdr:nvCxnSpPr>
        <xdr:spPr>
          <a:xfrm flipH="1">
            <a:off x="1563137" y="1240583"/>
            <a:ext cx="324000" cy="0"/>
          </a:xfrm>
          <a:prstGeom prst="line">
            <a:avLst/>
          </a:prstGeom>
          <a:ln w="3175">
            <a:headEnd type="triangle" w="med" len="med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AB02AAFE-4FF8-480D-C0C0-A07711DDB240}"/>
              </a:ext>
            </a:extLst>
          </xdr:cNvPr>
          <xdr:cNvSpPr txBox="1"/>
        </xdr:nvSpPr>
        <xdr:spPr>
          <a:xfrm>
            <a:off x="992706" y="1085802"/>
            <a:ext cx="656077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VSYNCI</a:t>
            </a:r>
            <a:endParaRPr lang="ko-KR" altLang="en-US" sz="12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4E5E10C7-5556-75B2-8274-90BB06BEC428}"/>
              </a:ext>
            </a:extLst>
          </xdr:cNvPr>
          <xdr:cNvSpPr txBox="1"/>
        </xdr:nvSpPr>
        <xdr:spPr>
          <a:xfrm>
            <a:off x="6661572" y="1092152"/>
            <a:ext cx="1611275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VSYNCO (Analog</a:t>
            </a:r>
            <a:r>
              <a:rPr lang="en-US" altLang="ko-KR" sz="1200" baseline="0"/>
              <a:t> VREF)</a:t>
            </a:r>
            <a:endParaRPr lang="ko-KR" altLang="en-US" sz="1200"/>
          </a:p>
        </xdr:txBody>
      </xdr:sp>
      <xdr:sp macro="" textlink="">
        <xdr:nvSpPr>
          <xdr:cNvPr id="34" name="이등변 삼각형 33">
            <a:extLst>
              <a:ext uri="{FF2B5EF4-FFF2-40B4-BE49-F238E27FC236}">
                <a16:creationId xmlns:a16="http://schemas.microsoft.com/office/drawing/2014/main" id="{30640010-E971-7516-1C34-A33699C0F812}"/>
              </a:ext>
            </a:extLst>
          </xdr:cNvPr>
          <xdr:cNvSpPr/>
        </xdr:nvSpPr>
        <xdr:spPr>
          <a:xfrm rot="5400000">
            <a:off x="5729968" y="1083562"/>
            <a:ext cx="334626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타원 34">
            <a:extLst>
              <a:ext uri="{FF2B5EF4-FFF2-40B4-BE49-F238E27FC236}">
                <a16:creationId xmlns:a16="http://schemas.microsoft.com/office/drawing/2014/main" id="{D71FB840-6BAA-F79D-C281-C586F8B92BAB}"/>
              </a:ext>
            </a:extLst>
          </xdr:cNvPr>
          <xdr:cNvSpPr/>
        </xdr:nvSpPr>
        <xdr:spPr>
          <a:xfrm>
            <a:off x="5858847" y="1052156"/>
            <a:ext cx="108518" cy="105927"/>
          </a:xfrm>
          <a:prstGeom prst="ellips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cxnSp macro="">
        <xdr:nvCxnSpPr>
          <xdr:cNvPr id="36" name="직선 연결선 35">
            <a:extLst>
              <a:ext uri="{FF2B5EF4-FFF2-40B4-BE49-F238E27FC236}">
                <a16:creationId xmlns:a16="http://schemas.microsoft.com/office/drawing/2014/main" id="{061D02AA-3F18-D3FC-F2F1-635600C49FA6}"/>
              </a:ext>
            </a:extLst>
          </xdr:cNvPr>
          <xdr:cNvCxnSpPr/>
        </xdr:nvCxnSpPr>
        <xdr:spPr>
          <a:xfrm flipH="1">
            <a:off x="5908547" y="755780"/>
            <a:ext cx="0" cy="319853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7" name="직선 연결선 36">
            <a:extLst>
              <a:ext uri="{FF2B5EF4-FFF2-40B4-BE49-F238E27FC236}">
                <a16:creationId xmlns:a16="http://schemas.microsoft.com/office/drawing/2014/main" id="{F7ADD3CA-417D-29F8-0E88-E5A62FE673A8}"/>
              </a:ext>
            </a:extLst>
          </xdr:cNvPr>
          <xdr:cNvCxnSpPr/>
        </xdr:nvCxnSpPr>
        <xdr:spPr>
          <a:xfrm>
            <a:off x="5363547" y="762130"/>
            <a:ext cx="540000" cy="150"/>
          </a:xfrm>
          <a:prstGeom prst="line">
            <a:avLst/>
          </a:prstGeom>
          <a:ln w="3175"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9" name="TextBox 38">
            <a:extLst>
              <a:ext uri="{FF2B5EF4-FFF2-40B4-BE49-F238E27FC236}">
                <a16:creationId xmlns:a16="http://schemas.microsoft.com/office/drawing/2014/main" id="{98670080-C679-2574-B874-89EEAE58C9A5}"/>
              </a:ext>
            </a:extLst>
          </xdr:cNvPr>
          <xdr:cNvSpPr txBox="1"/>
        </xdr:nvSpPr>
        <xdr:spPr>
          <a:xfrm>
            <a:off x="4456048" y="634822"/>
            <a:ext cx="977704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EXT_VS_OEN</a:t>
            </a:r>
            <a:endParaRPr lang="ko-KR" altLang="en-US" sz="1200"/>
          </a:p>
        </xdr:txBody>
      </xdr:sp>
      <xdr:sp macro="" textlink="">
        <xdr:nvSpPr>
          <xdr:cNvPr id="42" name="이등변 삼각형 41">
            <a:extLst>
              <a:ext uri="{FF2B5EF4-FFF2-40B4-BE49-F238E27FC236}">
                <a16:creationId xmlns:a16="http://schemas.microsoft.com/office/drawing/2014/main" id="{6E006C78-AF40-306B-2B23-54B9978EFA72}"/>
              </a:ext>
            </a:extLst>
          </xdr:cNvPr>
          <xdr:cNvSpPr/>
        </xdr:nvSpPr>
        <xdr:spPr>
          <a:xfrm rot="5400000">
            <a:off x="3880563" y="1077212"/>
            <a:ext cx="334626" cy="324518"/>
          </a:xfrm>
          <a:prstGeom prst="triangle">
            <a:avLst/>
          </a:prstGeom>
          <a:solidFill>
            <a:schemeClr val="accent4">
              <a:lumMod val="20000"/>
              <a:lumOff val="8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3" name="이등변 삼각형 42">
            <a:extLst>
              <a:ext uri="{FF2B5EF4-FFF2-40B4-BE49-F238E27FC236}">
                <a16:creationId xmlns:a16="http://schemas.microsoft.com/office/drawing/2014/main" id="{AA0D7A34-12EE-95DE-D64F-84CEE63ED39B}"/>
              </a:ext>
            </a:extLst>
          </xdr:cNvPr>
          <xdr:cNvSpPr/>
        </xdr:nvSpPr>
        <xdr:spPr>
          <a:xfrm rot="16200000">
            <a:off x="2375612" y="3191114"/>
            <a:ext cx="332553" cy="324518"/>
          </a:xfrm>
          <a:prstGeom prst="triangle">
            <a:avLst/>
          </a:prstGeom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44" name="그룹 43">
            <a:extLst>
              <a:ext uri="{FF2B5EF4-FFF2-40B4-BE49-F238E27FC236}">
                <a16:creationId xmlns:a16="http://schemas.microsoft.com/office/drawing/2014/main" id="{AD87D6B5-5B08-14F7-92C8-A3711FC7482C}"/>
              </a:ext>
            </a:extLst>
          </xdr:cNvPr>
          <xdr:cNvGrpSpPr/>
        </xdr:nvGrpSpPr>
        <xdr:grpSpPr>
          <a:xfrm>
            <a:off x="5706447" y="2672281"/>
            <a:ext cx="324368" cy="1504723"/>
            <a:chOff x="7600950" y="3516313"/>
            <a:chExt cx="323850" cy="1519237"/>
          </a:xfrm>
        </xdr:grpSpPr>
        <xdr:cxnSp macro="">
          <xdr:nvCxnSpPr>
            <xdr:cNvPr id="61" name="직선 연결선 60">
              <a:extLst>
                <a:ext uri="{FF2B5EF4-FFF2-40B4-BE49-F238E27FC236}">
                  <a16:creationId xmlns:a16="http://schemas.microsoft.com/office/drawing/2014/main" id="{EB72889F-876C-3A33-D5DE-96A810CB5929}"/>
                </a:ext>
              </a:extLst>
            </xdr:cNvPr>
            <xdr:cNvCxnSpPr/>
          </xdr:nvCxnSpPr>
          <xdr:spPr>
            <a:xfrm flipH="1">
              <a:off x="7760493" y="3532189"/>
              <a:ext cx="0" cy="133200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62" name="직선 연결선 61">
              <a:extLst>
                <a:ext uri="{FF2B5EF4-FFF2-40B4-BE49-F238E27FC236}">
                  <a16:creationId xmlns:a16="http://schemas.microsoft.com/office/drawing/2014/main" id="{D36F6695-3B0F-B6A7-256C-80E764960FD9}"/>
                </a:ext>
              </a:extLst>
            </xdr:cNvPr>
            <xdr:cNvCxnSpPr/>
          </xdr:nvCxnSpPr>
          <xdr:spPr>
            <a:xfrm flipH="1" flipV="1">
              <a:off x="7659687" y="3516313"/>
              <a:ext cx="208756" cy="0"/>
            </a:xfrm>
            <a:prstGeom prst="line">
              <a:avLst/>
            </a:prstGeom>
            <a:ln w="3175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63" name="직사각형 62">
              <a:extLst>
                <a:ext uri="{FF2B5EF4-FFF2-40B4-BE49-F238E27FC236}">
                  <a16:creationId xmlns:a16="http://schemas.microsoft.com/office/drawing/2014/main" id="{1A9C9988-B40F-F5E2-4DAA-D8DA57279EE7}"/>
                </a:ext>
              </a:extLst>
            </xdr:cNvPr>
            <xdr:cNvSpPr/>
          </xdr:nvSpPr>
          <xdr:spPr>
            <a:xfrm>
              <a:off x="7678737" y="37115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4" name="직사각형 63">
              <a:extLst>
                <a:ext uri="{FF2B5EF4-FFF2-40B4-BE49-F238E27FC236}">
                  <a16:creationId xmlns:a16="http://schemas.microsoft.com/office/drawing/2014/main" id="{5766D4FD-B93B-EBF6-FE7F-BBFA444028B0}"/>
                </a:ext>
              </a:extLst>
            </xdr:cNvPr>
            <xdr:cNvSpPr/>
          </xdr:nvSpPr>
          <xdr:spPr>
            <a:xfrm>
              <a:off x="7685087" y="4321175"/>
              <a:ext cx="157956" cy="358775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5" name="이등변 삼각형 64">
              <a:extLst>
                <a:ext uri="{FF2B5EF4-FFF2-40B4-BE49-F238E27FC236}">
                  <a16:creationId xmlns:a16="http://schemas.microsoft.com/office/drawing/2014/main" id="{58186EAE-5F02-7D85-CCDE-BC4841221327}"/>
                </a:ext>
              </a:extLst>
            </xdr:cNvPr>
            <xdr:cNvSpPr/>
          </xdr:nvSpPr>
          <xdr:spPr>
            <a:xfrm rot="10800000">
              <a:off x="7600950" y="4864100"/>
              <a:ext cx="323850" cy="171450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45" name="타원 44">
            <a:extLst>
              <a:ext uri="{FF2B5EF4-FFF2-40B4-BE49-F238E27FC236}">
                <a16:creationId xmlns:a16="http://schemas.microsoft.com/office/drawing/2014/main" id="{0DC3DBD0-4591-EDD6-C4A5-BB3820C09335}"/>
              </a:ext>
            </a:extLst>
          </xdr:cNvPr>
          <xdr:cNvSpPr/>
        </xdr:nvSpPr>
        <xdr:spPr>
          <a:xfrm>
            <a:off x="5833447" y="3328048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A8BB9002-A697-C39F-692D-7D240D178FE7}"/>
              </a:ext>
            </a:extLst>
          </xdr:cNvPr>
          <xdr:cNvSpPr txBox="1"/>
        </xdr:nvSpPr>
        <xdr:spPr>
          <a:xfrm>
            <a:off x="5123317" y="3230417"/>
            <a:ext cx="38106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/>
              <a:t>FBI</a:t>
            </a:r>
            <a:endParaRPr lang="ko-KR" altLang="en-US" sz="1200"/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9CE9E80C-25DA-BC1D-8A02-808347DEBCD7}"/>
              </a:ext>
            </a:extLst>
          </xdr:cNvPr>
          <xdr:cNvSpPr txBox="1"/>
        </xdr:nvSpPr>
        <xdr:spPr>
          <a:xfrm>
            <a:off x="4697867" y="2904364"/>
            <a:ext cx="60632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FBI_PS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51" name="직선 연결선 50">
            <a:extLst>
              <a:ext uri="{FF2B5EF4-FFF2-40B4-BE49-F238E27FC236}">
                <a16:creationId xmlns:a16="http://schemas.microsoft.com/office/drawing/2014/main" id="{09D8FAD3-BF6A-728B-D9FE-41D7C2CFE58B}"/>
              </a:ext>
            </a:extLst>
          </xdr:cNvPr>
          <xdr:cNvCxnSpPr/>
        </xdr:nvCxnSpPr>
        <xdr:spPr>
          <a:xfrm flipV="1">
            <a:off x="5026479" y="975956"/>
            <a:ext cx="540518" cy="0"/>
          </a:xfrm>
          <a:prstGeom prst="line">
            <a:avLst/>
          </a:prstGeom>
          <a:ln w="3175">
            <a:solidFill>
              <a:schemeClr val="accent2">
                <a:lumMod val="75000"/>
              </a:schemeClr>
            </a:solidFill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3A600D5C-A4F2-1937-6492-46C6D7277E37}"/>
              </a:ext>
            </a:extLst>
          </xdr:cNvPr>
          <xdr:cNvSpPr txBox="1"/>
        </xdr:nvSpPr>
        <xdr:spPr>
          <a:xfrm>
            <a:off x="4449698" y="835949"/>
            <a:ext cx="61940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200">
                <a:solidFill>
                  <a:schemeClr val="accent2">
                    <a:lumMod val="75000"/>
                  </a:schemeClr>
                </a:solidFill>
              </a:rPr>
              <a:t>TEST_E</a:t>
            </a:r>
            <a:endParaRPr lang="ko-KR" altLang="en-US" sz="1200">
              <a:solidFill>
                <a:schemeClr val="accent2">
                  <a:lumMod val="75000"/>
                </a:schemeClr>
              </a:solidFill>
            </a:endParaRPr>
          </a:p>
        </xdr:txBody>
      </xdr:sp>
      <xdr:cxnSp macro="">
        <xdr:nvCxnSpPr>
          <xdr:cNvPr id="54" name="직선 연결선 53">
            <a:extLst>
              <a:ext uri="{FF2B5EF4-FFF2-40B4-BE49-F238E27FC236}">
                <a16:creationId xmlns:a16="http://schemas.microsoft.com/office/drawing/2014/main" id="{0BD1E690-4950-FB6D-1980-E5F622A5451D}"/>
              </a:ext>
            </a:extLst>
          </xdr:cNvPr>
          <xdr:cNvCxnSpPr>
            <a:stCxn id="21" idx="3"/>
            <a:endCxn id="48" idx="1"/>
          </xdr:cNvCxnSpPr>
        </xdr:nvCxnSpPr>
        <xdr:spPr>
          <a:xfrm>
            <a:off x="3704642" y="2796817"/>
            <a:ext cx="1418675" cy="573703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  <a:head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직선 연결선 55">
            <a:extLst>
              <a:ext uri="{FF2B5EF4-FFF2-40B4-BE49-F238E27FC236}">
                <a16:creationId xmlns:a16="http://schemas.microsoft.com/office/drawing/2014/main" id="{C2FD1757-495C-92F1-4E2B-AFEA4F0E9067}"/>
              </a:ext>
            </a:extLst>
          </xdr:cNvPr>
          <xdr:cNvCxnSpPr/>
        </xdr:nvCxnSpPr>
        <xdr:spPr>
          <a:xfrm flipH="1">
            <a:off x="2372831" y="1249135"/>
            <a:ext cx="0" cy="82488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57" name="그룹 56">
            <a:extLst>
              <a:ext uri="{FF2B5EF4-FFF2-40B4-BE49-F238E27FC236}">
                <a16:creationId xmlns:a16="http://schemas.microsoft.com/office/drawing/2014/main" id="{BB9F2E72-B1B3-FEB5-0EB5-F11E615238A8}"/>
              </a:ext>
            </a:extLst>
          </xdr:cNvPr>
          <xdr:cNvGrpSpPr/>
        </xdr:nvGrpSpPr>
        <xdr:grpSpPr>
          <a:xfrm>
            <a:off x="2212768" y="1535029"/>
            <a:ext cx="324908" cy="707776"/>
            <a:chOff x="7624116" y="2752162"/>
            <a:chExt cx="324908" cy="710117"/>
          </a:xfrm>
        </xdr:grpSpPr>
        <xdr:sp macro="" textlink="">
          <xdr:nvSpPr>
            <xdr:cNvPr id="59" name="직사각형 58">
              <a:extLst>
                <a:ext uri="{FF2B5EF4-FFF2-40B4-BE49-F238E27FC236}">
                  <a16:creationId xmlns:a16="http://schemas.microsoft.com/office/drawing/2014/main" id="{41FC8309-15CF-5B0B-9E53-2EC62CFF14D0}"/>
                </a:ext>
              </a:extLst>
            </xdr:cNvPr>
            <xdr:cNvSpPr/>
          </xdr:nvSpPr>
          <xdr:spPr>
            <a:xfrm>
              <a:off x="7708528" y="2752162"/>
              <a:ext cx="158472" cy="356637"/>
            </a:xfrm>
            <a:prstGeom prst="rect">
              <a:avLst/>
            </a:prstGeom>
            <a:solidFill>
              <a:schemeClr val="bg1"/>
            </a:solidFill>
            <a:ln w="12700">
              <a:solidFill>
                <a:schemeClr val="accent1">
                  <a:lumMod val="7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0" name="이등변 삼각형 59">
              <a:extLst>
                <a:ext uri="{FF2B5EF4-FFF2-40B4-BE49-F238E27FC236}">
                  <a16:creationId xmlns:a16="http://schemas.microsoft.com/office/drawing/2014/main" id="{1A32AD3F-C8E3-7473-3BE8-18AA231C7586}"/>
                </a:ext>
              </a:extLst>
            </xdr:cNvPr>
            <xdr:cNvSpPr/>
          </xdr:nvSpPr>
          <xdr:spPr>
            <a:xfrm rot="10800000">
              <a:off x="7624116" y="3291851"/>
              <a:ext cx="324908" cy="170428"/>
            </a:xfrm>
            <a:prstGeom prst="triangle">
              <a:avLst/>
            </a:prstGeom>
            <a:noFill/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58" name="타원 57">
            <a:extLst>
              <a:ext uri="{FF2B5EF4-FFF2-40B4-BE49-F238E27FC236}">
                <a16:creationId xmlns:a16="http://schemas.microsoft.com/office/drawing/2014/main" id="{C6C43B30-8D49-B6DB-A580-2E8660F23B5F}"/>
              </a:ext>
            </a:extLst>
          </xdr:cNvPr>
          <xdr:cNvSpPr/>
        </xdr:nvSpPr>
        <xdr:spPr>
          <a:xfrm>
            <a:off x="2334710" y="1208599"/>
            <a:ext cx="72000" cy="72000"/>
          </a:xfrm>
          <a:prstGeom prst="ellipse">
            <a:avLst/>
          </a:prstGeom>
          <a:solidFill>
            <a:schemeClr val="tx1"/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</xdr:col>
      <xdr:colOff>444621</xdr:colOff>
      <xdr:row>47</xdr:row>
      <xdr:rowOff>160249</xdr:rowOff>
    </xdr:from>
    <xdr:to>
      <xdr:col>3</xdr:col>
      <xdr:colOff>453433</xdr:colOff>
      <xdr:row>47</xdr:row>
      <xdr:rowOff>166592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BFEC3246-8231-BE3E-A372-4481B7F0D597}"/>
            </a:ext>
          </a:extLst>
        </xdr:cNvPr>
        <xdr:cNvCxnSpPr>
          <a:endCxn id="78" idx="0"/>
        </xdr:cNvCxnSpPr>
      </xdr:nvCxnSpPr>
      <xdr:spPr>
        <a:xfrm>
          <a:off x="1766458" y="10210096"/>
          <a:ext cx="669730" cy="6343"/>
        </a:xfrm>
        <a:prstGeom prst="line">
          <a:avLst/>
        </a:prstGeom>
        <a:ln w="3175">
          <a:headEnd type="triangl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151276</xdr:colOff>
      <xdr:row>38</xdr:row>
      <xdr:rowOff>0</xdr:rowOff>
    </xdr:from>
    <xdr:to>
      <xdr:col>9</xdr:col>
      <xdr:colOff>499108</xdr:colOff>
      <xdr:row>57</xdr:row>
      <xdr:rowOff>25426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EDBDEE38-1381-3627-DEF3-BCB4B0E35462}"/>
            </a:ext>
          </a:extLst>
        </xdr:cNvPr>
        <xdr:cNvSpPr/>
      </xdr:nvSpPr>
      <xdr:spPr>
        <a:xfrm>
          <a:off x="2134031" y="8125408"/>
          <a:ext cx="4313342" cy="4088130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116687</xdr:colOff>
      <xdr:row>47</xdr:row>
      <xdr:rowOff>166593</xdr:rowOff>
    </xdr:from>
    <xdr:to>
      <xdr:col>10</xdr:col>
      <xdr:colOff>219176</xdr:colOff>
      <xdr:row>47</xdr:row>
      <xdr:rowOff>166593</xdr:rowOff>
    </xdr:to>
    <xdr:cxnSp macro="">
      <xdr:nvCxnSpPr>
        <xdr:cNvPr id="66" name="직선 연결선 65">
          <a:extLst>
            <a:ext uri="{FF2B5EF4-FFF2-40B4-BE49-F238E27FC236}">
              <a16:creationId xmlns:a16="http://schemas.microsoft.com/office/drawing/2014/main" id="{6308A64A-FDB0-56DB-023B-33B9502E021E}"/>
            </a:ext>
          </a:extLst>
        </xdr:cNvPr>
        <xdr:cNvCxnSpPr>
          <a:cxnSpLocks/>
          <a:stCxn id="78" idx="3"/>
        </xdr:cNvCxnSpPr>
      </xdr:nvCxnSpPr>
      <xdr:spPr>
        <a:xfrm>
          <a:off x="2760360" y="10216440"/>
          <a:ext cx="4068000" cy="0"/>
        </a:xfrm>
        <a:prstGeom prst="line">
          <a:avLst/>
        </a:prstGeom>
        <a:ln w="3175">
          <a:solidFill>
            <a:schemeClr val="accent1">
              <a:lumMod val="75000"/>
            </a:schemeClr>
          </a:solidFill>
          <a:head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638090</xdr:colOff>
      <xdr:row>47</xdr:row>
      <xdr:rowOff>244</xdr:rowOff>
    </xdr:from>
    <xdr:to>
      <xdr:col>3</xdr:col>
      <xdr:colOff>302137</xdr:colOff>
      <xdr:row>48</xdr:row>
      <xdr:rowOff>108184</xdr:rowOff>
    </xdr:to>
    <xdr:sp macro="" textlink="">
      <xdr:nvSpPr>
        <xdr:cNvPr id="68" name="직사각형 67">
          <a:extLst>
            <a:ext uri="{FF2B5EF4-FFF2-40B4-BE49-F238E27FC236}">
              <a16:creationId xmlns:a16="http://schemas.microsoft.com/office/drawing/2014/main" id="{2280CFE0-00CE-9F30-EB9A-EF0EB424443B}"/>
            </a:ext>
          </a:extLst>
        </xdr:cNvPr>
        <xdr:cNvSpPr/>
      </xdr:nvSpPr>
      <xdr:spPr>
        <a:xfrm>
          <a:off x="1959927" y="10050091"/>
          <a:ext cx="324965" cy="321766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551753</xdr:colOff>
      <xdr:row>46</xdr:row>
      <xdr:rowOff>183576</xdr:rowOff>
    </xdr:from>
    <xdr:to>
      <xdr:col>3</xdr:col>
      <xdr:colOff>659638</xdr:colOff>
      <xdr:row>47</xdr:row>
      <xdr:rowOff>76791</xdr:rowOff>
    </xdr:to>
    <xdr:sp macro="" textlink="">
      <xdr:nvSpPr>
        <xdr:cNvPr id="69" name="타원 68">
          <a:extLst>
            <a:ext uri="{FF2B5EF4-FFF2-40B4-BE49-F238E27FC236}">
              <a16:creationId xmlns:a16="http://schemas.microsoft.com/office/drawing/2014/main" id="{85644D4C-5D9C-372B-FCB3-4562104813ED}"/>
            </a:ext>
          </a:extLst>
        </xdr:cNvPr>
        <xdr:cNvSpPr/>
      </xdr:nvSpPr>
      <xdr:spPr>
        <a:xfrm>
          <a:off x="2534508" y="10019596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602499</xdr:colOff>
      <xdr:row>43</xdr:row>
      <xdr:rowOff>136071</xdr:rowOff>
    </xdr:from>
    <xdr:to>
      <xdr:col>3</xdr:col>
      <xdr:colOff>602499</xdr:colOff>
      <xdr:row>46</xdr:row>
      <xdr:rowOff>213704</xdr:rowOff>
    </xdr:to>
    <xdr:cxnSp macro="">
      <xdr:nvCxnSpPr>
        <xdr:cNvPr id="70" name="직선 연결선 69">
          <a:extLst>
            <a:ext uri="{FF2B5EF4-FFF2-40B4-BE49-F238E27FC236}">
              <a16:creationId xmlns:a16="http://schemas.microsoft.com/office/drawing/2014/main" id="{55246F52-D465-F5CD-686C-FF28BE35C75D}"/>
            </a:ext>
          </a:extLst>
        </xdr:cNvPr>
        <xdr:cNvCxnSpPr/>
      </xdr:nvCxnSpPr>
      <xdr:spPr>
        <a:xfrm flipV="1">
          <a:off x="2585254" y="9330612"/>
          <a:ext cx="0" cy="719112"/>
        </a:xfrm>
        <a:prstGeom prst="line">
          <a:avLst/>
        </a:prstGeom>
        <a:ln w="3175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596020</xdr:colOff>
      <xdr:row>43</xdr:row>
      <xdr:rowOff>150141</xdr:rowOff>
    </xdr:from>
    <xdr:to>
      <xdr:col>4</xdr:col>
      <xdr:colOff>331198</xdr:colOff>
      <xdr:row>43</xdr:row>
      <xdr:rowOff>150141</xdr:rowOff>
    </xdr:to>
    <xdr:cxnSp macro="">
      <xdr:nvCxnSpPr>
        <xdr:cNvPr id="72" name="직선 연결선 71">
          <a:extLst>
            <a:ext uri="{FF2B5EF4-FFF2-40B4-BE49-F238E27FC236}">
              <a16:creationId xmlns:a16="http://schemas.microsoft.com/office/drawing/2014/main" id="{592BAA9C-889A-0B58-86B1-7EC0C17B474C}"/>
            </a:ext>
          </a:extLst>
        </xdr:cNvPr>
        <xdr:cNvCxnSpPr/>
      </xdr:nvCxnSpPr>
      <xdr:spPr>
        <a:xfrm flipV="1">
          <a:off x="2578775" y="9344682"/>
          <a:ext cx="396096" cy="0"/>
        </a:xfrm>
        <a:prstGeom prst="line">
          <a:avLst/>
        </a:prstGeom>
        <a:ln w="3175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277472</xdr:colOff>
      <xdr:row>43</xdr:row>
      <xdr:rowOff>21612</xdr:rowOff>
    </xdr:from>
    <xdr:to>
      <xdr:col>6</xdr:col>
      <xdr:colOff>168470</xdr:colOff>
      <xdr:row>44</xdr:row>
      <xdr:rowOff>85991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5520EFC2-E80F-F323-2E4B-61F40F0386DC}"/>
            </a:ext>
          </a:extLst>
        </xdr:cNvPr>
        <xdr:cNvSpPr txBox="1"/>
      </xdr:nvSpPr>
      <xdr:spPr>
        <a:xfrm>
          <a:off x="2921145" y="9216153"/>
          <a:ext cx="1212835" cy="278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FBO_VSO_OEN</a:t>
          </a:r>
          <a:endParaRPr lang="ko-KR" altLang="en-US" sz="1200"/>
        </a:p>
      </xdr:txBody>
    </xdr:sp>
    <xdr:clientData/>
  </xdr:twoCellAnchor>
  <xdr:twoCellAnchor>
    <xdr:from>
      <xdr:col>3</xdr:col>
      <xdr:colOff>453432</xdr:colOff>
      <xdr:row>46</xdr:row>
      <xdr:rowOff>212315</xdr:rowOff>
    </xdr:from>
    <xdr:to>
      <xdr:col>4</xdr:col>
      <xdr:colOff>116687</xdr:colOff>
      <xdr:row>48</xdr:row>
      <xdr:rowOff>120873</xdr:rowOff>
    </xdr:to>
    <xdr:sp macro="" textlink="">
      <xdr:nvSpPr>
        <xdr:cNvPr id="78" name="이등변 삼각형 77">
          <a:extLst>
            <a:ext uri="{FF2B5EF4-FFF2-40B4-BE49-F238E27FC236}">
              <a16:creationId xmlns:a16="http://schemas.microsoft.com/office/drawing/2014/main" id="{C4290A30-D9C2-4C8E-0D2E-2D2A95A87B99}"/>
            </a:ext>
          </a:extLst>
        </xdr:cNvPr>
        <xdr:cNvSpPr/>
      </xdr:nvSpPr>
      <xdr:spPr>
        <a:xfrm rot="16200000">
          <a:off x="2430168" y="10054354"/>
          <a:ext cx="336211" cy="324173"/>
        </a:xfrm>
        <a:prstGeom prst="triangl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472119</xdr:colOff>
      <xdr:row>44</xdr:row>
      <xdr:rowOff>119490</xdr:rowOff>
    </xdr:from>
    <xdr:to>
      <xdr:col>9</xdr:col>
      <xdr:colOff>135224</xdr:colOff>
      <xdr:row>51</xdr:row>
      <xdr:rowOff>143977</xdr:rowOff>
    </xdr:to>
    <xdr:grpSp>
      <xdr:nvGrpSpPr>
        <xdr:cNvPr id="79" name="그룹 78">
          <a:extLst>
            <a:ext uri="{FF2B5EF4-FFF2-40B4-BE49-F238E27FC236}">
              <a16:creationId xmlns:a16="http://schemas.microsoft.com/office/drawing/2014/main" id="{A236FC43-0B0A-8019-D170-9CB06FF7720F}"/>
            </a:ext>
          </a:extLst>
        </xdr:cNvPr>
        <xdr:cNvGrpSpPr/>
      </xdr:nvGrpSpPr>
      <xdr:grpSpPr>
        <a:xfrm>
          <a:off x="5907719" y="9550827"/>
          <a:ext cx="347318" cy="1526263"/>
          <a:chOff x="7600950" y="3516313"/>
          <a:chExt cx="323850" cy="1519237"/>
        </a:xfrm>
      </xdr:grpSpPr>
      <xdr:cxnSp macro="">
        <xdr:nvCxnSpPr>
          <xdr:cNvPr id="85" name="직선 연결선 84">
            <a:extLst>
              <a:ext uri="{FF2B5EF4-FFF2-40B4-BE49-F238E27FC236}">
                <a16:creationId xmlns:a16="http://schemas.microsoft.com/office/drawing/2014/main" id="{1F40AA8B-BB7C-4B5B-62FB-99CA543B7284}"/>
              </a:ext>
            </a:extLst>
          </xdr:cNvPr>
          <xdr:cNvCxnSpPr/>
        </xdr:nvCxnSpPr>
        <xdr:spPr>
          <a:xfrm flipH="1">
            <a:off x="7760493" y="3532189"/>
            <a:ext cx="0" cy="133200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직선 연결선 85">
            <a:extLst>
              <a:ext uri="{FF2B5EF4-FFF2-40B4-BE49-F238E27FC236}">
                <a16:creationId xmlns:a16="http://schemas.microsoft.com/office/drawing/2014/main" id="{B743420A-859C-0C15-A2D3-964801644012}"/>
              </a:ext>
            </a:extLst>
          </xdr:cNvPr>
          <xdr:cNvCxnSpPr/>
        </xdr:nvCxnSpPr>
        <xdr:spPr>
          <a:xfrm flipH="1" flipV="1">
            <a:off x="7659687" y="3516313"/>
            <a:ext cx="208756" cy="0"/>
          </a:xfrm>
          <a:prstGeom prst="line">
            <a:avLst/>
          </a:prstGeom>
          <a:ln w="3175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7" name="직사각형 86">
            <a:extLst>
              <a:ext uri="{FF2B5EF4-FFF2-40B4-BE49-F238E27FC236}">
                <a16:creationId xmlns:a16="http://schemas.microsoft.com/office/drawing/2014/main" id="{0A12ADDB-FD90-C696-603C-3E36043BF4BD}"/>
              </a:ext>
            </a:extLst>
          </xdr:cNvPr>
          <xdr:cNvSpPr/>
        </xdr:nvSpPr>
        <xdr:spPr>
          <a:xfrm>
            <a:off x="7678737" y="3711575"/>
            <a:ext cx="157956" cy="358775"/>
          </a:xfrm>
          <a:prstGeom prst="rect">
            <a:avLst/>
          </a:prstGeom>
          <a:solidFill>
            <a:schemeClr val="bg1"/>
          </a:solidFill>
          <a:ln w="12700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8" name="직사각형 87">
            <a:extLst>
              <a:ext uri="{FF2B5EF4-FFF2-40B4-BE49-F238E27FC236}">
                <a16:creationId xmlns:a16="http://schemas.microsoft.com/office/drawing/2014/main" id="{CF6EB662-599D-2F08-9509-46BC548F41B3}"/>
              </a:ext>
            </a:extLst>
          </xdr:cNvPr>
          <xdr:cNvSpPr/>
        </xdr:nvSpPr>
        <xdr:spPr>
          <a:xfrm>
            <a:off x="7685087" y="4321175"/>
            <a:ext cx="157956" cy="358775"/>
          </a:xfrm>
          <a:prstGeom prst="rect">
            <a:avLst/>
          </a:prstGeom>
          <a:solidFill>
            <a:schemeClr val="bg1"/>
          </a:solidFill>
          <a:ln w="12700">
            <a:solidFill>
              <a:schemeClr val="accent1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9" name="이등변 삼각형 88">
            <a:extLst>
              <a:ext uri="{FF2B5EF4-FFF2-40B4-BE49-F238E27FC236}">
                <a16:creationId xmlns:a16="http://schemas.microsoft.com/office/drawing/2014/main" id="{CE414C3C-5880-BAF1-C619-56BC223CFD7A}"/>
              </a:ext>
            </a:extLst>
          </xdr:cNvPr>
          <xdr:cNvSpPr/>
        </xdr:nvSpPr>
        <xdr:spPr>
          <a:xfrm rot="10800000">
            <a:off x="7600950" y="4864100"/>
            <a:ext cx="323850" cy="171450"/>
          </a:xfrm>
          <a:prstGeom prst="triangle">
            <a:avLst/>
          </a:prstGeom>
          <a:noFill/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</xdr:col>
      <xdr:colOff>591482</xdr:colOff>
      <xdr:row>47</xdr:row>
      <xdr:rowOff>133536</xdr:rowOff>
    </xdr:from>
    <xdr:to>
      <xdr:col>9</xdr:col>
      <xdr:colOff>2487</xdr:colOff>
      <xdr:row>47</xdr:row>
      <xdr:rowOff>206328</xdr:rowOff>
    </xdr:to>
    <xdr:sp macro="" textlink="">
      <xdr:nvSpPr>
        <xdr:cNvPr id="80" name="타원 79">
          <a:extLst>
            <a:ext uri="{FF2B5EF4-FFF2-40B4-BE49-F238E27FC236}">
              <a16:creationId xmlns:a16="http://schemas.microsoft.com/office/drawing/2014/main" id="{67FD9CA2-750C-8B26-6A28-DB201E7971A0}"/>
            </a:ext>
          </a:extLst>
        </xdr:cNvPr>
        <xdr:cNvSpPr/>
      </xdr:nvSpPr>
      <xdr:spPr>
        <a:xfrm>
          <a:off x="5878829" y="10183383"/>
          <a:ext cx="71923" cy="72792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331072</xdr:colOff>
      <xdr:row>46</xdr:row>
      <xdr:rowOff>154068</xdr:rowOff>
    </xdr:from>
    <xdr:to>
      <xdr:col>5</xdr:col>
      <xdr:colOff>473011</xdr:colOff>
      <xdr:row>48</xdr:row>
      <xdr:rowOff>9702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8A72CBB2-904B-C378-B5EB-2306E8E63221}"/>
            </a:ext>
          </a:extLst>
        </xdr:cNvPr>
        <xdr:cNvSpPr txBox="1"/>
      </xdr:nvSpPr>
      <xdr:spPr>
        <a:xfrm>
          <a:off x="2974745" y="9990088"/>
          <a:ext cx="802858" cy="283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FBO_VSO</a:t>
          </a:r>
          <a:endParaRPr lang="ko-KR" altLang="en-US" sz="1200"/>
        </a:p>
      </xdr:txBody>
    </xdr:sp>
    <xdr:clientData/>
  </xdr:twoCellAnchor>
  <xdr:twoCellAnchor>
    <xdr:from>
      <xdr:col>8</xdr:col>
      <xdr:colOff>319917</xdr:colOff>
      <xdr:row>45</xdr:row>
      <xdr:rowOff>94941</xdr:rowOff>
    </xdr:from>
    <xdr:to>
      <xdr:col>9</xdr:col>
      <xdr:colOff>276000</xdr:colOff>
      <xdr:row>46</xdr:row>
      <xdr:rowOff>159320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5D4E24F3-A664-07FA-704B-867E13D3D5FB}"/>
            </a:ext>
          </a:extLst>
        </xdr:cNvPr>
        <xdr:cNvSpPr txBox="1"/>
      </xdr:nvSpPr>
      <xdr:spPr>
        <a:xfrm>
          <a:off x="5607264" y="9717135"/>
          <a:ext cx="617001" cy="278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ko-KR" altLang="en-US" sz="1200">
              <a:solidFill>
                <a:schemeClr val="accent2">
                  <a:lumMod val="75000"/>
                </a:schemeClr>
              </a:solidFill>
            </a:rPr>
            <a:t>항상 </a:t>
          </a:r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PU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606946</xdr:colOff>
      <xdr:row>42</xdr:row>
      <xdr:rowOff>149032</xdr:rowOff>
    </xdr:from>
    <xdr:to>
      <xdr:col>3</xdr:col>
      <xdr:colOff>606946</xdr:colOff>
      <xdr:row>43</xdr:row>
      <xdr:rowOff>149620</xdr:rowOff>
    </xdr:to>
    <xdr:cxnSp macro="">
      <xdr:nvCxnSpPr>
        <xdr:cNvPr id="83" name="직선 연결선 82">
          <a:extLst>
            <a:ext uri="{FF2B5EF4-FFF2-40B4-BE49-F238E27FC236}">
              <a16:creationId xmlns:a16="http://schemas.microsoft.com/office/drawing/2014/main" id="{34041941-115F-C97D-44EB-5EC6BD806EC9}"/>
            </a:ext>
          </a:extLst>
        </xdr:cNvPr>
        <xdr:cNvCxnSpPr/>
      </xdr:nvCxnSpPr>
      <xdr:spPr>
        <a:xfrm flipH="1">
          <a:off x="2589701" y="9129746"/>
          <a:ext cx="0" cy="214415"/>
        </a:xfrm>
        <a:prstGeom prst="line">
          <a:avLst/>
        </a:prstGeom>
        <a:ln w="3175">
          <a:solidFill>
            <a:schemeClr val="accent2">
              <a:lumMod val="75000"/>
            </a:schemeClr>
          </a:solidFill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279376</xdr:colOff>
      <xdr:row>42</xdr:row>
      <xdr:rowOff>22980</xdr:rowOff>
    </xdr:from>
    <xdr:to>
      <xdr:col>5</xdr:col>
      <xdr:colOff>237198</xdr:colOff>
      <xdr:row>43</xdr:row>
      <xdr:rowOff>92440</xdr:rowOff>
    </xdr:to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CA75B9A0-730E-75EB-E8AD-2EABE93E0BC3}"/>
            </a:ext>
          </a:extLst>
        </xdr:cNvPr>
        <xdr:cNvSpPr txBox="1"/>
      </xdr:nvSpPr>
      <xdr:spPr>
        <a:xfrm>
          <a:off x="2923049" y="9003694"/>
          <a:ext cx="618741" cy="283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TEST_E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10</xdr:col>
      <xdr:colOff>211788</xdr:colOff>
      <xdr:row>47</xdr:row>
      <xdr:rowOff>36207</xdr:rowOff>
    </xdr:from>
    <xdr:to>
      <xdr:col>11</xdr:col>
      <xdr:colOff>188410</xdr:colOff>
      <xdr:row>48</xdr:row>
      <xdr:rowOff>97195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E7C46F7E-3760-4A4E-BB2D-E50041B1F273}"/>
            </a:ext>
          </a:extLst>
        </xdr:cNvPr>
        <xdr:cNvSpPr txBox="1"/>
      </xdr:nvSpPr>
      <xdr:spPr>
        <a:xfrm>
          <a:off x="6820972" y="10086054"/>
          <a:ext cx="637540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/>
            <a:t>FBI_</a:t>
          </a:r>
          <a:r>
            <a:rPr lang="en-US" altLang="ko-K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VSI</a:t>
          </a:r>
          <a:endParaRPr lang="ko-KR" altLang="ko-KR" sz="1200">
            <a:effectLst/>
          </a:endParaRPr>
        </a:p>
      </xdr:txBody>
    </xdr:sp>
    <xdr:clientData/>
  </xdr:twoCellAnchor>
  <xdr:twoCellAnchor>
    <xdr:from>
      <xdr:col>1</xdr:col>
      <xdr:colOff>369338</xdr:colOff>
      <xdr:row>47</xdr:row>
      <xdr:rowOff>30868</xdr:rowOff>
    </xdr:from>
    <xdr:to>
      <xdr:col>2</xdr:col>
      <xdr:colOff>434134</xdr:colOff>
      <xdr:row>48</xdr:row>
      <xdr:rowOff>123112</xdr:rowOff>
    </xdr:to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6184C727-1CE7-44AE-A8C1-D1DB85E8D9F3}"/>
            </a:ext>
          </a:extLst>
        </xdr:cNvPr>
        <xdr:cNvSpPr txBox="1"/>
      </xdr:nvSpPr>
      <xdr:spPr>
        <a:xfrm>
          <a:off x="1030256" y="10080715"/>
          <a:ext cx="725715" cy="3060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/>
            <a:t>FBO_VSO</a:t>
          </a:r>
          <a:endParaRPr lang="ko-KR" altLang="en-US" sz="1200"/>
        </a:p>
      </xdr:txBody>
    </xdr:sp>
    <xdr:clientData/>
  </xdr:twoCellAnchor>
  <xdr:twoCellAnchor>
    <xdr:from>
      <xdr:col>6</xdr:col>
      <xdr:colOff>492232</xdr:colOff>
      <xdr:row>49</xdr:row>
      <xdr:rowOff>13141</xdr:rowOff>
    </xdr:from>
    <xdr:to>
      <xdr:col>6</xdr:col>
      <xdr:colOff>492232</xdr:colOff>
      <xdr:row>50</xdr:row>
      <xdr:rowOff>194178</xdr:rowOff>
    </xdr:to>
    <xdr:cxnSp macro="">
      <xdr:nvCxnSpPr>
        <xdr:cNvPr id="92" name="직선 연결선 91">
          <a:extLst>
            <a:ext uri="{FF2B5EF4-FFF2-40B4-BE49-F238E27FC236}">
              <a16:creationId xmlns:a16="http://schemas.microsoft.com/office/drawing/2014/main" id="{2AB9BC64-A4E6-4E8F-8CC7-4CBB2DC9BDAF}"/>
            </a:ext>
          </a:extLst>
        </xdr:cNvPr>
        <xdr:cNvCxnSpPr/>
      </xdr:nvCxnSpPr>
      <xdr:spPr>
        <a:xfrm>
          <a:off x="4457742" y="10490641"/>
          <a:ext cx="0" cy="394864"/>
        </a:xfrm>
        <a:prstGeom prst="line">
          <a:avLst/>
        </a:prstGeom>
        <a:ln w="3175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318209</xdr:colOff>
      <xdr:row>50</xdr:row>
      <xdr:rowOff>191884</xdr:rowOff>
    </xdr:from>
    <xdr:to>
      <xdr:col>6</xdr:col>
      <xdr:colOff>646777</xdr:colOff>
      <xdr:row>51</xdr:row>
      <xdr:rowOff>148048</xdr:rowOff>
    </xdr:to>
    <xdr:sp macro="" textlink="">
      <xdr:nvSpPr>
        <xdr:cNvPr id="93" name="이등변 삼각형 92">
          <a:extLst>
            <a:ext uri="{FF2B5EF4-FFF2-40B4-BE49-F238E27FC236}">
              <a16:creationId xmlns:a16="http://schemas.microsoft.com/office/drawing/2014/main" id="{869E5AED-DF5A-4C3D-A225-A78BBD3E3DA0}"/>
            </a:ext>
          </a:extLst>
        </xdr:cNvPr>
        <xdr:cNvSpPr/>
      </xdr:nvSpPr>
      <xdr:spPr>
        <a:xfrm rot="10800000">
          <a:off x="4283719" y="10883211"/>
          <a:ext cx="328568" cy="169990"/>
        </a:xfrm>
        <a:prstGeom prst="triangle">
          <a:avLst/>
        </a:prstGeom>
        <a:noFill/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319970</xdr:colOff>
      <xdr:row>47</xdr:row>
      <xdr:rowOff>14688</xdr:rowOff>
    </xdr:from>
    <xdr:to>
      <xdr:col>9</xdr:col>
      <xdr:colOff>642833</xdr:colOff>
      <xdr:row>48</xdr:row>
      <xdr:rowOff>121023</xdr:rowOff>
    </xdr:to>
    <xdr:sp macro="" textlink="">
      <xdr:nvSpPr>
        <xdr:cNvPr id="67" name="직사각형 66">
          <a:extLst>
            <a:ext uri="{FF2B5EF4-FFF2-40B4-BE49-F238E27FC236}">
              <a16:creationId xmlns:a16="http://schemas.microsoft.com/office/drawing/2014/main" id="{AF9C40DE-9219-3396-2DE0-A37AB21AA188}"/>
            </a:ext>
          </a:extLst>
        </xdr:cNvPr>
        <xdr:cNvSpPr/>
      </xdr:nvSpPr>
      <xdr:spPr>
        <a:xfrm>
          <a:off x="6268235" y="10064535"/>
          <a:ext cx="322863" cy="320161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29900</xdr:colOff>
      <xdr:row>46</xdr:row>
      <xdr:rowOff>176876</xdr:rowOff>
    </xdr:from>
    <xdr:to>
      <xdr:col>8</xdr:col>
      <xdr:colOff>42246</xdr:colOff>
      <xdr:row>48</xdr:row>
      <xdr:rowOff>32510</xdr:rowOff>
    </xdr:to>
    <xdr:sp macro="" textlink="">
      <xdr:nvSpPr>
        <xdr:cNvPr id="104" name="TextBox 103">
          <a:extLst>
            <a:ext uri="{FF2B5EF4-FFF2-40B4-BE49-F238E27FC236}">
              <a16:creationId xmlns:a16="http://schemas.microsoft.com/office/drawing/2014/main" id="{644A83ED-53F3-4F76-8BFF-70A157C36729}"/>
            </a:ext>
          </a:extLst>
        </xdr:cNvPr>
        <xdr:cNvSpPr txBox="1"/>
      </xdr:nvSpPr>
      <xdr:spPr>
        <a:xfrm>
          <a:off x="4656329" y="10012896"/>
          <a:ext cx="673264" cy="283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FBI_VSI</a:t>
          </a:r>
          <a:endParaRPr lang="ko-KR" altLang="en-US" sz="1200"/>
        </a:p>
      </xdr:txBody>
    </xdr:sp>
    <xdr:clientData/>
  </xdr:twoCellAnchor>
  <xdr:twoCellAnchor>
    <xdr:from>
      <xdr:col>5</xdr:col>
      <xdr:colOff>589643</xdr:colOff>
      <xdr:row>46</xdr:row>
      <xdr:rowOff>191148</xdr:rowOff>
    </xdr:from>
    <xdr:to>
      <xdr:col>6</xdr:col>
      <xdr:colOff>288342</xdr:colOff>
      <xdr:row>49</xdr:row>
      <xdr:rowOff>207350</xdr:rowOff>
    </xdr:to>
    <xdr:sp macro="" textlink="">
      <xdr:nvSpPr>
        <xdr:cNvPr id="108" name="순서도: 수동 연산 107">
          <a:extLst>
            <a:ext uri="{FF2B5EF4-FFF2-40B4-BE49-F238E27FC236}">
              <a16:creationId xmlns:a16="http://schemas.microsoft.com/office/drawing/2014/main" id="{4D7E1CA3-1C59-2667-0139-8CD7360285FE}"/>
            </a:ext>
          </a:extLst>
        </xdr:cNvPr>
        <xdr:cNvSpPr/>
      </xdr:nvSpPr>
      <xdr:spPr>
        <a:xfrm rot="5400000">
          <a:off x="3745203" y="10176200"/>
          <a:ext cx="657682" cy="359617"/>
        </a:xfrm>
        <a:prstGeom prst="flowChartManualOperat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6</xdr:col>
      <xdr:colOff>291582</xdr:colOff>
      <xdr:row>49</xdr:row>
      <xdr:rowOff>29078</xdr:rowOff>
    </xdr:from>
    <xdr:to>
      <xdr:col>6</xdr:col>
      <xdr:colOff>489122</xdr:colOff>
      <xdr:row>49</xdr:row>
      <xdr:rowOff>29078</xdr:rowOff>
    </xdr:to>
    <xdr:cxnSp macro="">
      <xdr:nvCxnSpPr>
        <xdr:cNvPr id="110" name="직선 연결선 109">
          <a:extLst>
            <a:ext uri="{FF2B5EF4-FFF2-40B4-BE49-F238E27FC236}">
              <a16:creationId xmlns:a16="http://schemas.microsoft.com/office/drawing/2014/main" id="{D47A97E2-AAD0-406E-AFA7-9B3EF79FE3FD}"/>
            </a:ext>
          </a:extLst>
        </xdr:cNvPr>
        <xdr:cNvCxnSpPr/>
      </xdr:nvCxnSpPr>
      <xdr:spPr>
        <a:xfrm flipV="1">
          <a:off x="4257092" y="10506578"/>
          <a:ext cx="197540" cy="0"/>
        </a:xfrm>
        <a:prstGeom prst="line">
          <a:avLst/>
        </a:prstGeom>
        <a:ln w="3175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105005</xdr:colOff>
      <xdr:row>47</xdr:row>
      <xdr:rowOff>33097</xdr:rowOff>
    </xdr:from>
    <xdr:to>
      <xdr:col>6</xdr:col>
      <xdr:colOff>265663</xdr:colOff>
      <xdr:row>48</xdr:row>
      <xdr:rowOff>94085</xdr:rowOff>
    </xdr:to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3FD6A307-874E-4C49-B628-580819DFA50D}"/>
            </a:ext>
          </a:extLst>
        </xdr:cNvPr>
        <xdr:cNvSpPr txBox="1"/>
      </xdr:nvSpPr>
      <xdr:spPr>
        <a:xfrm>
          <a:off x="4070515" y="10082944"/>
          <a:ext cx="160658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>
              <a:solidFill>
                <a:schemeClr val="bg1"/>
              </a:solidFill>
              <a:effectLst/>
            </a:rPr>
            <a:t>01</a:t>
          </a:r>
          <a:endParaRPr lang="ko-KR" altLang="ko-KR" sz="12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6</xdr:col>
      <xdr:colOff>82457</xdr:colOff>
      <xdr:row>48</xdr:row>
      <xdr:rowOff>101261</xdr:rowOff>
    </xdr:from>
    <xdr:to>
      <xdr:col>6</xdr:col>
      <xdr:colOff>243115</xdr:colOff>
      <xdr:row>49</xdr:row>
      <xdr:rowOff>162248</xdr:rowOff>
    </xdr:to>
    <xdr:sp macro="" textlink="">
      <xdr:nvSpPr>
        <xdr:cNvPr id="121" name="TextBox 120">
          <a:extLst>
            <a:ext uri="{FF2B5EF4-FFF2-40B4-BE49-F238E27FC236}">
              <a16:creationId xmlns:a16="http://schemas.microsoft.com/office/drawing/2014/main" id="{FEEFD6FA-F312-4C7B-8D8E-93F9586B04E7}"/>
            </a:ext>
          </a:extLst>
        </xdr:cNvPr>
        <xdr:cNvSpPr txBox="1"/>
      </xdr:nvSpPr>
      <xdr:spPr>
        <a:xfrm>
          <a:off x="4047967" y="10364934"/>
          <a:ext cx="160658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>
              <a:solidFill>
                <a:schemeClr val="bg1"/>
              </a:solidFill>
            </a:rPr>
            <a:t>10</a:t>
          </a:r>
          <a:endParaRPr lang="ko-KR" altLang="ko-KR" sz="12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6</xdr:col>
      <xdr:colOff>168469</xdr:colOff>
      <xdr:row>45</xdr:row>
      <xdr:rowOff>158757</xdr:rowOff>
    </xdr:from>
    <xdr:to>
      <xdr:col>6</xdr:col>
      <xdr:colOff>168469</xdr:colOff>
      <xdr:row>47</xdr:row>
      <xdr:rowOff>19104</xdr:rowOff>
    </xdr:to>
    <xdr:cxnSp macro="">
      <xdr:nvCxnSpPr>
        <xdr:cNvPr id="126" name="직선 연결선 125">
          <a:extLst>
            <a:ext uri="{FF2B5EF4-FFF2-40B4-BE49-F238E27FC236}">
              <a16:creationId xmlns:a16="http://schemas.microsoft.com/office/drawing/2014/main" id="{598D93A1-B67F-4B8A-9D0B-7EE547B483AD}"/>
            </a:ext>
          </a:extLst>
        </xdr:cNvPr>
        <xdr:cNvCxnSpPr/>
      </xdr:nvCxnSpPr>
      <xdr:spPr>
        <a:xfrm flipH="1">
          <a:off x="4133979" y="9780951"/>
          <a:ext cx="0" cy="288000"/>
        </a:xfrm>
        <a:prstGeom prst="line">
          <a:avLst/>
        </a:prstGeom>
        <a:ln w="3175"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526177</xdr:colOff>
      <xdr:row>44</xdr:row>
      <xdr:rowOff>175649</xdr:rowOff>
    </xdr:from>
    <xdr:to>
      <xdr:col>6</xdr:col>
      <xdr:colOff>502799</xdr:colOff>
      <xdr:row>46</xdr:row>
      <xdr:rowOff>22810</xdr:rowOff>
    </xdr:to>
    <xdr:sp macro="" textlink="">
      <xdr:nvSpPr>
        <xdr:cNvPr id="128" name="TextBox 127">
          <a:extLst>
            <a:ext uri="{FF2B5EF4-FFF2-40B4-BE49-F238E27FC236}">
              <a16:creationId xmlns:a16="http://schemas.microsoft.com/office/drawing/2014/main" id="{CA9136CF-32A4-4577-95BC-D65D917E223B}"/>
            </a:ext>
          </a:extLst>
        </xdr:cNvPr>
        <xdr:cNvSpPr txBox="1"/>
      </xdr:nvSpPr>
      <xdr:spPr>
        <a:xfrm>
          <a:off x="3830769" y="9584016"/>
          <a:ext cx="637540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/>
            <a:t>IO_MODE</a:t>
          </a:r>
          <a:endParaRPr lang="ko-KR" altLang="ko-KR" sz="1200">
            <a:effectLst/>
          </a:endParaRPr>
        </a:p>
      </xdr:txBody>
    </xdr:sp>
    <xdr:clientData/>
  </xdr:twoCellAnchor>
  <xdr:twoCellAnchor>
    <xdr:from>
      <xdr:col>3</xdr:col>
      <xdr:colOff>616796</xdr:colOff>
      <xdr:row>42</xdr:row>
      <xdr:rowOff>155510</xdr:rowOff>
    </xdr:from>
    <xdr:to>
      <xdr:col>4</xdr:col>
      <xdr:colOff>315878</xdr:colOff>
      <xdr:row>42</xdr:row>
      <xdr:rowOff>155510</xdr:rowOff>
    </xdr:to>
    <xdr:cxnSp macro="">
      <xdr:nvCxnSpPr>
        <xdr:cNvPr id="132" name="직선 연결선 131">
          <a:extLst>
            <a:ext uri="{FF2B5EF4-FFF2-40B4-BE49-F238E27FC236}">
              <a16:creationId xmlns:a16="http://schemas.microsoft.com/office/drawing/2014/main" id="{1721FAC4-25D2-4C2B-B07E-104FE2409FC9}"/>
            </a:ext>
          </a:extLst>
        </xdr:cNvPr>
        <xdr:cNvCxnSpPr/>
      </xdr:nvCxnSpPr>
      <xdr:spPr>
        <a:xfrm flipH="1">
          <a:off x="2599551" y="9136224"/>
          <a:ext cx="360000" cy="0"/>
        </a:xfrm>
        <a:prstGeom prst="line">
          <a:avLst/>
        </a:prstGeom>
        <a:ln w="3175">
          <a:solidFill>
            <a:schemeClr val="accent2">
              <a:lumMod val="75000"/>
            </a:schemeClr>
          </a:solidFill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187908</xdr:colOff>
      <xdr:row>74</xdr:row>
      <xdr:rowOff>19439</xdr:rowOff>
    </xdr:from>
    <xdr:to>
      <xdr:col>3</xdr:col>
      <xdr:colOff>606990</xdr:colOff>
      <xdr:row>74</xdr:row>
      <xdr:rowOff>19439</xdr:rowOff>
    </xdr:to>
    <xdr:cxnSp macro="">
      <xdr:nvCxnSpPr>
        <xdr:cNvPr id="135" name="직선 연결선 134">
          <a:extLst>
            <a:ext uri="{FF2B5EF4-FFF2-40B4-BE49-F238E27FC236}">
              <a16:creationId xmlns:a16="http://schemas.microsoft.com/office/drawing/2014/main" id="{A6EE1A63-EAD8-401F-BAE5-CA372F277E92}"/>
            </a:ext>
          </a:extLst>
        </xdr:cNvPr>
        <xdr:cNvCxnSpPr/>
      </xdr:nvCxnSpPr>
      <xdr:spPr>
        <a:xfrm>
          <a:off x="1509745" y="15959235"/>
          <a:ext cx="1080000" cy="0"/>
        </a:xfrm>
        <a:prstGeom prst="line">
          <a:avLst/>
        </a:prstGeom>
        <a:ln w="12700">
          <a:solidFill>
            <a:schemeClr val="tx1"/>
          </a:solidFill>
          <a:head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67041</xdr:colOff>
      <xdr:row>64</xdr:row>
      <xdr:rowOff>71277</xdr:rowOff>
    </xdr:from>
    <xdr:to>
      <xdr:col>9</xdr:col>
      <xdr:colOff>402496</xdr:colOff>
      <xdr:row>84</xdr:row>
      <xdr:rowOff>83459</xdr:rowOff>
    </xdr:to>
    <xdr:sp macro="" textlink="">
      <xdr:nvSpPr>
        <xdr:cNvPr id="136" name="직사각형 135">
          <a:extLst>
            <a:ext uri="{FF2B5EF4-FFF2-40B4-BE49-F238E27FC236}">
              <a16:creationId xmlns:a16="http://schemas.microsoft.com/office/drawing/2014/main" id="{2A8C60B1-A036-4F00-B983-7DB9F42A2D77}"/>
            </a:ext>
          </a:extLst>
        </xdr:cNvPr>
        <xdr:cNvSpPr/>
      </xdr:nvSpPr>
      <xdr:spPr>
        <a:xfrm>
          <a:off x="2041314" y="13856550"/>
          <a:ext cx="4284000" cy="4284000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84292</xdr:colOff>
      <xdr:row>74</xdr:row>
      <xdr:rowOff>24043</xdr:rowOff>
    </xdr:from>
    <xdr:to>
      <xdr:col>5</xdr:col>
      <xdr:colOff>178833</xdr:colOff>
      <xdr:row>74</xdr:row>
      <xdr:rowOff>24043</xdr:rowOff>
    </xdr:to>
    <xdr:cxnSp macro="">
      <xdr:nvCxnSpPr>
        <xdr:cNvPr id="142" name="직선 연결선 141">
          <a:extLst>
            <a:ext uri="{FF2B5EF4-FFF2-40B4-BE49-F238E27FC236}">
              <a16:creationId xmlns:a16="http://schemas.microsoft.com/office/drawing/2014/main" id="{F9BC45B3-BA04-4FB2-AFBA-9EF9DC4AAD15}"/>
            </a:ext>
          </a:extLst>
        </xdr:cNvPr>
        <xdr:cNvCxnSpPr>
          <a:cxnSpLocks/>
          <a:stCxn id="148" idx="3"/>
        </xdr:cNvCxnSpPr>
      </xdr:nvCxnSpPr>
      <xdr:spPr>
        <a:xfrm>
          <a:off x="2730125" y="16047871"/>
          <a:ext cx="756000" cy="0"/>
        </a:xfrm>
        <a:prstGeom prst="line">
          <a:avLst/>
        </a:prstGeom>
        <a:ln w="12700">
          <a:solidFill>
            <a:schemeClr val="tx1"/>
          </a:solidFill>
          <a:head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560335</xdr:colOff>
      <xdr:row>73</xdr:row>
      <xdr:rowOff>71521</xdr:rowOff>
    </xdr:from>
    <xdr:to>
      <xdr:col>3</xdr:col>
      <xdr:colOff>224382</xdr:colOff>
      <xdr:row>74</xdr:row>
      <xdr:rowOff>179460</xdr:rowOff>
    </xdr:to>
    <xdr:sp macro="" textlink="">
      <xdr:nvSpPr>
        <xdr:cNvPr id="143" name="직사각형 142">
          <a:extLst>
            <a:ext uri="{FF2B5EF4-FFF2-40B4-BE49-F238E27FC236}">
              <a16:creationId xmlns:a16="http://schemas.microsoft.com/office/drawing/2014/main" id="{CE7A4800-6873-4BB9-8534-15307006927B}"/>
            </a:ext>
          </a:extLst>
        </xdr:cNvPr>
        <xdr:cNvSpPr/>
      </xdr:nvSpPr>
      <xdr:spPr>
        <a:xfrm>
          <a:off x="1882172" y="15797490"/>
          <a:ext cx="324965" cy="321766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499918</xdr:colOff>
      <xdr:row>73</xdr:row>
      <xdr:rowOff>50813</xdr:rowOff>
    </xdr:from>
    <xdr:to>
      <xdr:col>3</xdr:col>
      <xdr:colOff>607803</xdr:colOff>
      <xdr:row>73</xdr:row>
      <xdr:rowOff>157855</xdr:rowOff>
    </xdr:to>
    <xdr:sp macro="" textlink="">
      <xdr:nvSpPr>
        <xdr:cNvPr id="144" name="타원 143">
          <a:extLst>
            <a:ext uri="{FF2B5EF4-FFF2-40B4-BE49-F238E27FC236}">
              <a16:creationId xmlns:a16="http://schemas.microsoft.com/office/drawing/2014/main" id="{DD1E27E7-AD53-435E-A7B2-254C8046FA2A}"/>
            </a:ext>
          </a:extLst>
        </xdr:cNvPr>
        <xdr:cNvSpPr/>
      </xdr:nvSpPr>
      <xdr:spPr>
        <a:xfrm>
          <a:off x="2484293" y="15859667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557144</xdr:colOff>
      <xdr:row>71</xdr:row>
      <xdr:rowOff>75055</xdr:rowOff>
    </xdr:from>
    <xdr:to>
      <xdr:col>3</xdr:col>
      <xdr:colOff>557144</xdr:colOff>
      <xdr:row>73</xdr:row>
      <xdr:rowOff>77107</xdr:rowOff>
    </xdr:to>
    <xdr:cxnSp macro="">
      <xdr:nvCxnSpPr>
        <xdr:cNvPr id="145" name="직선 연결선 144">
          <a:extLst>
            <a:ext uri="{FF2B5EF4-FFF2-40B4-BE49-F238E27FC236}">
              <a16:creationId xmlns:a16="http://schemas.microsoft.com/office/drawing/2014/main" id="{E7036946-0789-4B0D-A7CC-4B0F7CFC5CB2}"/>
            </a:ext>
          </a:extLst>
        </xdr:cNvPr>
        <xdr:cNvCxnSpPr/>
      </xdr:nvCxnSpPr>
      <xdr:spPr>
        <a:xfrm flipV="1">
          <a:off x="2541519" y="15453961"/>
          <a:ext cx="0" cy="43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553703</xdr:colOff>
      <xdr:row>71</xdr:row>
      <xdr:rowOff>80350</xdr:rowOff>
    </xdr:from>
    <xdr:to>
      <xdr:col>4</xdr:col>
      <xdr:colOff>288881</xdr:colOff>
      <xdr:row>71</xdr:row>
      <xdr:rowOff>80350</xdr:rowOff>
    </xdr:to>
    <xdr:cxnSp macro="">
      <xdr:nvCxnSpPr>
        <xdr:cNvPr id="146" name="직선 연결선 145">
          <a:extLst>
            <a:ext uri="{FF2B5EF4-FFF2-40B4-BE49-F238E27FC236}">
              <a16:creationId xmlns:a16="http://schemas.microsoft.com/office/drawing/2014/main" id="{15EFD8F6-BD95-4F6E-B299-D4934B94E2A3}"/>
            </a:ext>
          </a:extLst>
        </xdr:cNvPr>
        <xdr:cNvCxnSpPr/>
      </xdr:nvCxnSpPr>
      <xdr:spPr>
        <a:xfrm flipV="1">
          <a:off x="2538078" y="15459256"/>
          <a:ext cx="39663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226310</xdr:colOff>
      <xdr:row>70</xdr:row>
      <xdr:rowOff>149114</xdr:rowOff>
    </xdr:from>
    <xdr:to>
      <xdr:col>5</xdr:col>
      <xdr:colOff>350572</xdr:colOff>
      <xdr:row>71</xdr:row>
      <xdr:rowOff>213492</xdr:rowOff>
    </xdr:to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97378B5D-01B7-4B3B-992D-2D8C3272793C}"/>
            </a:ext>
          </a:extLst>
        </xdr:cNvPr>
        <xdr:cNvSpPr txBox="1"/>
      </xdr:nvSpPr>
      <xdr:spPr>
        <a:xfrm>
          <a:off x="2900930" y="15747254"/>
          <a:ext cx="794822" cy="2853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FBO_OEN</a:t>
          </a:r>
          <a:endParaRPr lang="ko-KR" altLang="en-US" sz="1200"/>
        </a:p>
      </xdr:txBody>
    </xdr:sp>
    <xdr:clientData/>
  </xdr:twoCellAnchor>
  <xdr:twoCellAnchor>
    <xdr:from>
      <xdr:col>3</xdr:col>
      <xdr:colOff>421037</xdr:colOff>
      <xdr:row>73</xdr:row>
      <xdr:rowOff>69765</xdr:rowOff>
    </xdr:from>
    <xdr:to>
      <xdr:col>4</xdr:col>
      <xdr:colOff>84292</xdr:colOff>
      <xdr:row>74</xdr:row>
      <xdr:rowOff>192149</xdr:rowOff>
    </xdr:to>
    <xdr:sp macro="" textlink="">
      <xdr:nvSpPr>
        <xdr:cNvPr id="148" name="이등변 삼각형 147">
          <a:extLst>
            <a:ext uri="{FF2B5EF4-FFF2-40B4-BE49-F238E27FC236}">
              <a16:creationId xmlns:a16="http://schemas.microsoft.com/office/drawing/2014/main" id="{F71F0BC2-C8C9-49D4-B370-80D827C81946}"/>
            </a:ext>
          </a:extLst>
        </xdr:cNvPr>
        <xdr:cNvSpPr/>
      </xdr:nvSpPr>
      <xdr:spPr>
        <a:xfrm rot="16200000">
          <a:off x="2397773" y="15801753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139298</xdr:colOff>
      <xdr:row>70</xdr:row>
      <xdr:rowOff>35020</xdr:rowOff>
    </xdr:from>
    <xdr:to>
      <xdr:col>9</xdr:col>
      <xdr:colOff>139298</xdr:colOff>
      <xdr:row>77</xdr:row>
      <xdr:rowOff>195883</xdr:rowOff>
    </xdr:to>
    <xdr:cxnSp macro="">
      <xdr:nvCxnSpPr>
        <xdr:cNvPr id="150" name="직선 연결선 149">
          <a:extLst>
            <a:ext uri="{FF2B5EF4-FFF2-40B4-BE49-F238E27FC236}">
              <a16:creationId xmlns:a16="http://schemas.microsoft.com/office/drawing/2014/main" id="{F06CD020-6992-6612-E591-BFE7A4F497A1}"/>
            </a:ext>
          </a:extLst>
        </xdr:cNvPr>
        <xdr:cNvCxnSpPr/>
      </xdr:nvCxnSpPr>
      <xdr:spPr>
        <a:xfrm flipH="1">
          <a:off x="6062116" y="15101838"/>
          <a:ext cx="0" cy="1656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28920</xdr:colOff>
      <xdr:row>70</xdr:row>
      <xdr:rowOff>41736</xdr:rowOff>
    </xdr:from>
    <xdr:to>
      <xdr:col>9</xdr:col>
      <xdr:colOff>237788</xdr:colOff>
      <xdr:row>70</xdr:row>
      <xdr:rowOff>41736</xdr:rowOff>
    </xdr:to>
    <xdr:cxnSp macro="">
      <xdr:nvCxnSpPr>
        <xdr:cNvPr id="151" name="직선 연결선 150">
          <a:extLst>
            <a:ext uri="{FF2B5EF4-FFF2-40B4-BE49-F238E27FC236}">
              <a16:creationId xmlns:a16="http://schemas.microsoft.com/office/drawing/2014/main" id="{0FA87E99-FCA8-688B-7F08-B41559C9DACB}"/>
            </a:ext>
          </a:extLst>
        </xdr:cNvPr>
        <xdr:cNvCxnSpPr/>
      </xdr:nvCxnSpPr>
      <xdr:spPr>
        <a:xfrm flipH="1" flipV="1">
          <a:off x="5982045" y="15205668"/>
          <a:ext cx="208868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63978</xdr:colOff>
      <xdr:row>71</xdr:row>
      <xdr:rowOff>36392</xdr:rowOff>
    </xdr:from>
    <xdr:to>
      <xdr:col>9</xdr:col>
      <xdr:colOff>222018</xdr:colOff>
      <xdr:row>72</xdr:row>
      <xdr:rowOff>181821</xdr:rowOff>
    </xdr:to>
    <xdr:sp macro="" textlink="">
      <xdr:nvSpPr>
        <xdr:cNvPr id="152" name="직사각형 151">
          <a:extLst>
            <a:ext uri="{FF2B5EF4-FFF2-40B4-BE49-F238E27FC236}">
              <a16:creationId xmlns:a16="http://schemas.microsoft.com/office/drawing/2014/main" id="{D6F7F28D-D6B1-EEBD-8D51-74F50D282CE5}"/>
            </a:ext>
          </a:extLst>
        </xdr:cNvPr>
        <xdr:cNvSpPr/>
      </xdr:nvSpPr>
      <xdr:spPr>
        <a:xfrm>
          <a:off x="6012243" y="15334708"/>
          <a:ext cx="158040" cy="359256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92555</xdr:colOff>
      <xdr:row>73</xdr:row>
      <xdr:rowOff>198333</xdr:rowOff>
    </xdr:from>
    <xdr:to>
      <xdr:col>9</xdr:col>
      <xdr:colOff>164478</xdr:colOff>
      <xdr:row>74</xdr:row>
      <xdr:rowOff>57298</xdr:rowOff>
    </xdr:to>
    <xdr:sp macro="" textlink="">
      <xdr:nvSpPr>
        <xdr:cNvPr id="155" name="타원 154">
          <a:extLst>
            <a:ext uri="{FF2B5EF4-FFF2-40B4-BE49-F238E27FC236}">
              <a16:creationId xmlns:a16="http://schemas.microsoft.com/office/drawing/2014/main" id="{CE2E7049-9B8B-4CAB-B6BC-015B5A3ABBCF}"/>
            </a:ext>
          </a:extLst>
        </xdr:cNvPr>
        <xdr:cNvSpPr/>
      </xdr:nvSpPr>
      <xdr:spPr>
        <a:xfrm>
          <a:off x="6126643" y="16324158"/>
          <a:ext cx="71923" cy="78040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165376</xdr:colOff>
      <xdr:row>65</xdr:row>
      <xdr:rowOff>190166</xdr:rowOff>
    </xdr:from>
    <xdr:to>
      <xdr:col>6</xdr:col>
      <xdr:colOff>398319</xdr:colOff>
      <xdr:row>67</xdr:row>
      <xdr:rowOff>44654</xdr:rowOff>
    </xdr:to>
    <xdr:sp macro="" textlink="">
      <xdr:nvSpPr>
        <xdr:cNvPr id="159" name="TextBox 158">
          <a:extLst>
            <a:ext uri="{FF2B5EF4-FFF2-40B4-BE49-F238E27FC236}">
              <a16:creationId xmlns:a16="http://schemas.microsoft.com/office/drawing/2014/main" id="{2565076D-F210-41A6-B569-58838C7D4D92}"/>
            </a:ext>
          </a:extLst>
        </xdr:cNvPr>
        <xdr:cNvSpPr txBox="1"/>
      </xdr:nvSpPr>
      <xdr:spPr>
        <a:xfrm>
          <a:off x="2797740" y="14189030"/>
          <a:ext cx="1549124" cy="2816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~(TEST_EN &amp;&amp; VREF_O)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10</xdr:col>
      <xdr:colOff>170548</xdr:colOff>
      <xdr:row>73</xdr:row>
      <xdr:rowOff>97562</xdr:rowOff>
    </xdr:from>
    <xdr:to>
      <xdr:col>11</xdr:col>
      <xdr:colOff>487795</xdr:colOff>
      <xdr:row>74</xdr:row>
      <xdr:rowOff>158549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6176ED5D-8FC7-45FA-873F-ED8314FF98A7}"/>
            </a:ext>
          </a:extLst>
        </xdr:cNvPr>
        <xdr:cNvSpPr txBox="1"/>
      </xdr:nvSpPr>
      <xdr:spPr>
        <a:xfrm>
          <a:off x="6780321" y="16012971"/>
          <a:ext cx="978224" cy="27746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/>
            <a:t>FBI_</a:t>
          </a:r>
          <a:r>
            <a:rPr lang="en-US" altLang="ko-K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VSO (VSI)</a:t>
          </a:r>
          <a:endParaRPr lang="ko-KR" altLang="ko-KR" sz="1200">
            <a:effectLst/>
          </a:endParaRPr>
        </a:p>
      </xdr:txBody>
    </xdr:sp>
    <xdr:clientData/>
  </xdr:twoCellAnchor>
  <xdr:twoCellAnchor>
    <xdr:from>
      <xdr:col>0</xdr:col>
      <xdr:colOff>473365</xdr:colOff>
      <xdr:row>73</xdr:row>
      <xdr:rowOff>92778</xdr:rowOff>
    </xdr:from>
    <xdr:to>
      <xdr:col>2</xdr:col>
      <xdr:colOff>153922</xdr:colOff>
      <xdr:row>74</xdr:row>
      <xdr:rowOff>185021</xdr:rowOff>
    </xdr:to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BA7DE564-08D8-4956-879C-F16C0CCFFB25}"/>
            </a:ext>
          </a:extLst>
        </xdr:cNvPr>
        <xdr:cNvSpPr txBox="1"/>
      </xdr:nvSpPr>
      <xdr:spPr>
        <a:xfrm>
          <a:off x="473365" y="16008187"/>
          <a:ext cx="1002512" cy="3087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/>
            <a:t>FBO_VSI (FBO)</a:t>
          </a:r>
          <a:endParaRPr lang="ko-KR" altLang="en-US" sz="1200"/>
        </a:p>
      </xdr:txBody>
    </xdr:sp>
    <xdr:clientData/>
  </xdr:twoCellAnchor>
  <xdr:twoCellAnchor>
    <xdr:from>
      <xdr:col>5</xdr:col>
      <xdr:colOff>173177</xdr:colOff>
      <xdr:row>74</xdr:row>
      <xdr:rowOff>14965</xdr:rowOff>
    </xdr:from>
    <xdr:to>
      <xdr:col>5</xdr:col>
      <xdr:colOff>173177</xdr:colOff>
      <xdr:row>74</xdr:row>
      <xdr:rowOff>194965</xdr:rowOff>
    </xdr:to>
    <xdr:cxnSp macro="">
      <xdr:nvCxnSpPr>
        <xdr:cNvPr id="162" name="직선 연결선 161">
          <a:extLst>
            <a:ext uri="{FF2B5EF4-FFF2-40B4-BE49-F238E27FC236}">
              <a16:creationId xmlns:a16="http://schemas.microsoft.com/office/drawing/2014/main" id="{BA391015-50FE-4B32-9CD9-73C470F136BD}"/>
            </a:ext>
          </a:extLst>
        </xdr:cNvPr>
        <xdr:cNvCxnSpPr/>
      </xdr:nvCxnSpPr>
      <xdr:spPr>
        <a:xfrm>
          <a:off x="3480469" y="16038793"/>
          <a:ext cx="0" cy="180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2462</xdr:colOff>
      <xdr:row>74</xdr:row>
      <xdr:rowOff>198161</xdr:rowOff>
    </xdr:from>
    <xdr:to>
      <xdr:col>5</xdr:col>
      <xdr:colOff>331030</xdr:colOff>
      <xdr:row>75</xdr:row>
      <xdr:rowOff>154325</xdr:rowOff>
    </xdr:to>
    <xdr:sp macro="" textlink="">
      <xdr:nvSpPr>
        <xdr:cNvPr id="163" name="이등변 삼각형 162">
          <a:extLst>
            <a:ext uri="{FF2B5EF4-FFF2-40B4-BE49-F238E27FC236}">
              <a16:creationId xmlns:a16="http://schemas.microsoft.com/office/drawing/2014/main" id="{8DD1FA56-0749-428B-897B-D056F87AFFE1}"/>
            </a:ext>
          </a:extLst>
        </xdr:cNvPr>
        <xdr:cNvSpPr/>
      </xdr:nvSpPr>
      <xdr:spPr>
        <a:xfrm rot="10800000">
          <a:off x="3309754" y="16221989"/>
          <a:ext cx="328568" cy="171138"/>
        </a:xfrm>
        <a:prstGeom prst="triangle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248695</xdr:colOff>
      <xdr:row>73</xdr:row>
      <xdr:rowOff>85965</xdr:rowOff>
    </xdr:from>
    <xdr:to>
      <xdr:col>9</xdr:col>
      <xdr:colOff>571558</xdr:colOff>
      <xdr:row>74</xdr:row>
      <xdr:rowOff>192299</xdr:rowOff>
    </xdr:to>
    <xdr:sp macro="" textlink="">
      <xdr:nvSpPr>
        <xdr:cNvPr id="164" name="직사각형 163">
          <a:extLst>
            <a:ext uri="{FF2B5EF4-FFF2-40B4-BE49-F238E27FC236}">
              <a16:creationId xmlns:a16="http://schemas.microsoft.com/office/drawing/2014/main" id="{06026341-A655-415C-89F7-7159C48ED4F3}"/>
            </a:ext>
          </a:extLst>
        </xdr:cNvPr>
        <xdr:cNvSpPr/>
      </xdr:nvSpPr>
      <xdr:spPr>
        <a:xfrm>
          <a:off x="6196960" y="15811934"/>
          <a:ext cx="322863" cy="320161"/>
        </a:xfrm>
        <a:prstGeom prst="rect">
          <a:avLst/>
        </a:prstGeom>
        <a:solidFill>
          <a:schemeClr val="bg1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236167</xdr:colOff>
      <xdr:row>73</xdr:row>
      <xdr:rowOff>107087</xdr:rowOff>
    </xdr:from>
    <xdr:to>
      <xdr:col>8</xdr:col>
      <xdr:colOff>29765</xdr:colOff>
      <xdr:row>74</xdr:row>
      <xdr:rowOff>176547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91662283-E4B9-41C6-8B9D-99515BC3EE05}"/>
            </a:ext>
          </a:extLst>
        </xdr:cNvPr>
        <xdr:cNvSpPr txBox="1"/>
      </xdr:nvSpPr>
      <xdr:spPr>
        <a:xfrm>
          <a:off x="4866375" y="15915941"/>
          <a:ext cx="455057" cy="28443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VSO</a:t>
          </a:r>
          <a:endParaRPr lang="ko-KR" altLang="en-US" sz="1200"/>
        </a:p>
      </xdr:txBody>
    </xdr:sp>
    <xdr:clientData/>
  </xdr:twoCellAnchor>
  <xdr:twoCellAnchor>
    <xdr:from>
      <xdr:col>5</xdr:col>
      <xdr:colOff>659140</xdr:colOff>
      <xdr:row>74</xdr:row>
      <xdr:rowOff>172537</xdr:rowOff>
    </xdr:from>
    <xdr:to>
      <xdr:col>6</xdr:col>
      <xdr:colOff>158880</xdr:colOff>
      <xdr:row>76</xdr:row>
      <xdr:rowOff>19698</xdr:rowOff>
    </xdr:to>
    <xdr:sp macro="" textlink="">
      <xdr:nvSpPr>
        <xdr:cNvPr id="169" name="TextBox 168">
          <a:extLst>
            <a:ext uri="{FF2B5EF4-FFF2-40B4-BE49-F238E27FC236}">
              <a16:creationId xmlns:a16="http://schemas.microsoft.com/office/drawing/2014/main" id="{1D0F9742-022B-4E51-AE82-77BE9948DD79}"/>
            </a:ext>
          </a:extLst>
        </xdr:cNvPr>
        <xdr:cNvSpPr txBox="1"/>
      </xdr:nvSpPr>
      <xdr:spPr>
        <a:xfrm>
          <a:off x="3963732" y="16112333"/>
          <a:ext cx="160658" cy="27481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pPr algn="ctr"/>
          <a:r>
            <a:rPr lang="en-US" altLang="ko-KR" sz="1200">
              <a:solidFill>
                <a:schemeClr val="bg1"/>
              </a:solidFill>
            </a:rPr>
            <a:t>10</a:t>
          </a:r>
          <a:endParaRPr lang="ko-KR" altLang="ko-KR" sz="1200">
            <a:solidFill>
              <a:schemeClr val="bg1"/>
            </a:solidFill>
            <a:effectLst/>
          </a:endParaRPr>
        </a:p>
      </xdr:txBody>
    </xdr:sp>
    <xdr:clientData/>
  </xdr:twoCellAnchor>
  <xdr:twoCellAnchor>
    <xdr:from>
      <xdr:col>3</xdr:col>
      <xdr:colOff>313473</xdr:colOff>
      <xdr:row>69</xdr:row>
      <xdr:rowOff>3036</xdr:rowOff>
    </xdr:from>
    <xdr:to>
      <xdr:col>4</xdr:col>
      <xdr:colOff>300015</xdr:colOff>
      <xdr:row>69</xdr:row>
      <xdr:rowOff>3036</xdr:rowOff>
    </xdr:to>
    <xdr:cxnSp macro="">
      <xdr:nvCxnSpPr>
        <xdr:cNvPr id="172" name="직선 연결선 171">
          <a:extLst>
            <a:ext uri="{FF2B5EF4-FFF2-40B4-BE49-F238E27FC236}">
              <a16:creationId xmlns:a16="http://schemas.microsoft.com/office/drawing/2014/main" id="{33CEEF6C-0B13-47DB-B696-2EB068AC5511}"/>
            </a:ext>
          </a:extLst>
        </xdr:cNvPr>
        <xdr:cNvCxnSpPr/>
      </xdr:nvCxnSpPr>
      <xdr:spPr>
        <a:xfrm flipH="1">
          <a:off x="2297848" y="14951994"/>
          <a:ext cx="648000" cy="0"/>
        </a:xfrm>
        <a:prstGeom prst="line">
          <a:avLst/>
        </a:prstGeom>
        <a:ln w="12700">
          <a:solidFill>
            <a:schemeClr val="tx1"/>
          </a:solidFill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317499</xdr:colOff>
      <xdr:row>68</xdr:row>
      <xdr:rowOff>214974</xdr:rowOff>
    </xdr:from>
    <xdr:to>
      <xdr:col>3</xdr:col>
      <xdr:colOff>317499</xdr:colOff>
      <xdr:row>76</xdr:row>
      <xdr:rowOff>7582</xdr:rowOff>
    </xdr:to>
    <xdr:cxnSp macro="">
      <xdr:nvCxnSpPr>
        <xdr:cNvPr id="174" name="직선 연결선 173">
          <a:extLst>
            <a:ext uri="{FF2B5EF4-FFF2-40B4-BE49-F238E27FC236}">
              <a16:creationId xmlns:a16="http://schemas.microsoft.com/office/drawing/2014/main" id="{C23EDAAC-9C54-463F-9D60-1F49D8CF1340}"/>
            </a:ext>
          </a:extLst>
        </xdr:cNvPr>
        <xdr:cNvCxnSpPr/>
      </xdr:nvCxnSpPr>
      <xdr:spPr>
        <a:xfrm flipH="1" flipV="1">
          <a:off x="2301874" y="14948958"/>
          <a:ext cx="0" cy="15124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317728</xdr:colOff>
      <xdr:row>76</xdr:row>
      <xdr:rowOff>4478</xdr:rowOff>
    </xdr:from>
    <xdr:to>
      <xdr:col>4</xdr:col>
      <xdr:colOff>268270</xdr:colOff>
      <xdr:row>76</xdr:row>
      <xdr:rowOff>4478</xdr:rowOff>
    </xdr:to>
    <xdr:cxnSp macro="">
      <xdr:nvCxnSpPr>
        <xdr:cNvPr id="175" name="직선 연결선 174">
          <a:extLst>
            <a:ext uri="{FF2B5EF4-FFF2-40B4-BE49-F238E27FC236}">
              <a16:creationId xmlns:a16="http://schemas.microsoft.com/office/drawing/2014/main" id="{1B01441A-3BCA-4DFE-8DAB-145676458135}"/>
            </a:ext>
          </a:extLst>
        </xdr:cNvPr>
        <xdr:cNvCxnSpPr/>
      </xdr:nvCxnSpPr>
      <xdr:spPr>
        <a:xfrm flipV="1">
          <a:off x="2302103" y="16458254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566989</xdr:colOff>
      <xdr:row>75</xdr:row>
      <xdr:rowOff>166139</xdr:rowOff>
    </xdr:from>
    <xdr:to>
      <xdr:col>6</xdr:col>
      <xdr:colOff>339588</xdr:colOff>
      <xdr:row>77</xdr:row>
      <xdr:rowOff>19122</xdr:rowOff>
    </xdr:to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4CED0BC9-9BBE-40D7-92DF-52E7480FD07A}"/>
            </a:ext>
          </a:extLst>
        </xdr:cNvPr>
        <xdr:cNvSpPr txBox="1"/>
      </xdr:nvSpPr>
      <xdr:spPr>
        <a:xfrm>
          <a:off x="3871875" y="16514503"/>
          <a:ext cx="433577" cy="28593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VSI</a:t>
          </a:r>
          <a:endParaRPr lang="ko-KR" altLang="en-US" sz="1200"/>
        </a:p>
      </xdr:txBody>
    </xdr:sp>
    <xdr:clientData/>
  </xdr:twoCellAnchor>
  <xdr:twoCellAnchor>
    <xdr:from>
      <xdr:col>8</xdr:col>
      <xdr:colOff>388896</xdr:colOff>
      <xdr:row>73</xdr:row>
      <xdr:rowOff>70025</xdr:rowOff>
    </xdr:from>
    <xdr:to>
      <xdr:col>9</xdr:col>
      <xdr:colOff>52151</xdr:colOff>
      <xdr:row>74</xdr:row>
      <xdr:rowOff>192409</xdr:rowOff>
    </xdr:to>
    <xdr:sp macro="" textlink="">
      <xdr:nvSpPr>
        <xdr:cNvPr id="179" name="이등변 삼각형 178">
          <a:extLst>
            <a:ext uri="{FF2B5EF4-FFF2-40B4-BE49-F238E27FC236}">
              <a16:creationId xmlns:a16="http://schemas.microsoft.com/office/drawing/2014/main" id="{F120BC25-89A0-4EC0-A5D3-5E148409964B}"/>
            </a:ext>
          </a:extLst>
        </xdr:cNvPr>
        <xdr:cNvSpPr/>
      </xdr:nvSpPr>
      <xdr:spPr>
        <a:xfrm rot="5400000">
          <a:off x="5670224" y="15802013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189546</xdr:colOff>
      <xdr:row>76</xdr:row>
      <xdr:rowOff>10750</xdr:rowOff>
    </xdr:from>
    <xdr:to>
      <xdr:col>9</xdr:col>
      <xdr:colOff>143455</xdr:colOff>
      <xdr:row>76</xdr:row>
      <xdr:rowOff>10750</xdr:rowOff>
    </xdr:to>
    <xdr:cxnSp macro="">
      <xdr:nvCxnSpPr>
        <xdr:cNvPr id="181" name="직선 연결선 180">
          <a:extLst>
            <a:ext uri="{FF2B5EF4-FFF2-40B4-BE49-F238E27FC236}">
              <a16:creationId xmlns:a16="http://schemas.microsoft.com/office/drawing/2014/main" id="{CF19B199-EA11-4C2E-9F13-BDD1FAB540E9}"/>
            </a:ext>
          </a:extLst>
        </xdr:cNvPr>
        <xdr:cNvCxnSpPr/>
      </xdr:nvCxnSpPr>
      <xdr:spPr>
        <a:xfrm flipV="1">
          <a:off x="5552121" y="16793800"/>
          <a:ext cx="625422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283834</xdr:colOff>
      <xdr:row>73</xdr:row>
      <xdr:rowOff>201702</xdr:rowOff>
    </xdr:from>
    <xdr:to>
      <xdr:col>3</xdr:col>
      <xdr:colOff>355757</xdr:colOff>
      <xdr:row>74</xdr:row>
      <xdr:rowOff>60667</xdr:rowOff>
    </xdr:to>
    <xdr:sp macro="" textlink="">
      <xdr:nvSpPr>
        <xdr:cNvPr id="182" name="타원 181">
          <a:extLst>
            <a:ext uri="{FF2B5EF4-FFF2-40B4-BE49-F238E27FC236}">
              <a16:creationId xmlns:a16="http://schemas.microsoft.com/office/drawing/2014/main" id="{B0581BD9-60FA-42CF-B3E1-89EE5B6CD152}"/>
            </a:ext>
          </a:extLst>
        </xdr:cNvPr>
        <xdr:cNvSpPr/>
      </xdr:nvSpPr>
      <xdr:spPr>
        <a:xfrm>
          <a:off x="2266589" y="15927671"/>
          <a:ext cx="71923" cy="72792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560513</xdr:colOff>
      <xdr:row>71</xdr:row>
      <xdr:rowOff>61691</xdr:rowOff>
    </xdr:from>
    <xdr:to>
      <xdr:col>8</xdr:col>
      <xdr:colOff>560513</xdr:colOff>
      <xdr:row>73</xdr:row>
      <xdr:rowOff>138038</xdr:rowOff>
    </xdr:to>
    <xdr:cxnSp macro="">
      <xdr:nvCxnSpPr>
        <xdr:cNvPr id="184" name="직선 연결선 183">
          <a:extLst>
            <a:ext uri="{FF2B5EF4-FFF2-40B4-BE49-F238E27FC236}">
              <a16:creationId xmlns:a16="http://schemas.microsoft.com/office/drawing/2014/main" id="{9AC0C19D-0310-452D-97B5-38852210DC07}"/>
            </a:ext>
          </a:extLst>
        </xdr:cNvPr>
        <xdr:cNvCxnSpPr/>
      </xdr:nvCxnSpPr>
      <xdr:spPr>
        <a:xfrm flipV="1">
          <a:off x="5847860" y="15360007"/>
          <a:ext cx="0" cy="504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168432</xdr:colOff>
      <xdr:row>71</xdr:row>
      <xdr:rowOff>62798</xdr:rowOff>
    </xdr:from>
    <xdr:to>
      <xdr:col>8</xdr:col>
      <xdr:colOff>564528</xdr:colOff>
      <xdr:row>71</xdr:row>
      <xdr:rowOff>62798</xdr:rowOff>
    </xdr:to>
    <xdr:cxnSp macro="">
      <xdr:nvCxnSpPr>
        <xdr:cNvPr id="185" name="직선 연결선 184">
          <a:extLst>
            <a:ext uri="{FF2B5EF4-FFF2-40B4-BE49-F238E27FC236}">
              <a16:creationId xmlns:a16="http://schemas.microsoft.com/office/drawing/2014/main" id="{238D69E8-3540-41E3-9AEC-4679B0DFD56A}"/>
            </a:ext>
          </a:extLst>
        </xdr:cNvPr>
        <xdr:cNvCxnSpPr/>
      </xdr:nvCxnSpPr>
      <xdr:spPr>
        <a:xfrm flipV="1">
          <a:off x="5460099" y="15441704"/>
          <a:ext cx="39609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158750</xdr:colOff>
      <xdr:row>75</xdr:row>
      <xdr:rowOff>85954</xdr:rowOff>
    </xdr:from>
    <xdr:to>
      <xdr:col>8</xdr:col>
      <xdr:colOff>290227</xdr:colOff>
      <xdr:row>76</xdr:row>
      <xdr:rowOff>155414</xdr:rowOff>
    </xdr:to>
    <xdr:sp macro="" textlink="">
      <xdr:nvSpPr>
        <xdr:cNvPr id="186" name="TextBox 185">
          <a:extLst>
            <a:ext uri="{FF2B5EF4-FFF2-40B4-BE49-F238E27FC236}">
              <a16:creationId xmlns:a16="http://schemas.microsoft.com/office/drawing/2014/main" id="{0278F0A0-018F-45BE-B7B9-47FBEB740232}"/>
            </a:ext>
          </a:extLst>
        </xdr:cNvPr>
        <xdr:cNvSpPr txBox="1"/>
      </xdr:nvSpPr>
      <xdr:spPr>
        <a:xfrm>
          <a:off x="4849813" y="16649929"/>
          <a:ext cx="802989" cy="2885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FBI_VSO</a:t>
          </a:r>
          <a:endParaRPr lang="ko-KR" altLang="en-US" sz="1200"/>
        </a:p>
      </xdr:txBody>
    </xdr:sp>
    <xdr:clientData/>
  </xdr:twoCellAnchor>
  <xdr:twoCellAnchor>
    <xdr:from>
      <xdr:col>3</xdr:col>
      <xdr:colOff>417924</xdr:colOff>
      <xdr:row>75</xdr:row>
      <xdr:rowOff>53696</xdr:rowOff>
    </xdr:from>
    <xdr:to>
      <xdr:col>4</xdr:col>
      <xdr:colOff>81179</xdr:colOff>
      <xdr:row>76</xdr:row>
      <xdr:rowOff>176080</xdr:rowOff>
    </xdr:to>
    <xdr:sp macro="" textlink="">
      <xdr:nvSpPr>
        <xdr:cNvPr id="173" name="이등변 삼각형 172">
          <a:extLst>
            <a:ext uri="{FF2B5EF4-FFF2-40B4-BE49-F238E27FC236}">
              <a16:creationId xmlns:a16="http://schemas.microsoft.com/office/drawing/2014/main" id="{3E35B066-73CD-4F3A-9611-80C957272EFE}"/>
            </a:ext>
          </a:extLst>
        </xdr:cNvPr>
        <xdr:cNvSpPr/>
      </xdr:nvSpPr>
      <xdr:spPr>
        <a:xfrm rot="5400000">
          <a:off x="2394660" y="16213337"/>
          <a:ext cx="336211" cy="32417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366088</xdr:colOff>
      <xdr:row>75</xdr:row>
      <xdr:rowOff>56602</xdr:rowOff>
    </xdr:from>
    <xdr:to>
      <xdr:col>9</xdr:col>
      <xdr:colOff>29343</xdr:colOff>
      <xdr:row>76</xdr:row>
      <xdr:rowOff>178986</xdr:rowOff>
    </xdr:to>
    <xdr:sp macro="" textlink="">
      <xdr:nvSpPr>
        <xdr:cNvPr id="178" name="이등변 삼각형 177">
          <a:extLst>
            <a:ext uri="{FF2B5EF4-FFF2-40B4-BE49-F238E27FC236}">
              <a16:creationId xmlns:a16="http://schemas.microsoft.com/office/drawing/2014/main" id="{9696EF89-50D8-4B27-8FB6-3D07985E2CC8}"/>
            </a:ext>
          </a:extLst>
        </xdr:cNvPr>
        <xdr:cNvSpPr/>
      </xdr:nvSpPr>
      <xdr:spPr>
        <a:xfrm rot="16200000">
          <a:off x="5725317" y="16623923"/>
          <a:ext cx="341459" cy="334768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503287</xdr:colOff>
      <xdr:row>73</xdr:row>
      <xdr:rowOff>37916</xdr:rowOff>
    </xdr:from>
    <xdr:to>
      <xdr:col>8</xdr:col>
      <xdr:colOff>611172</xdr:colOff>
      <xdr:row>73</xdr:row>
      <xdr:rowOff>144958</xdr:rowOff>
    </xdr:to>
    <xdr:sp macro="" textlink="">
      <xdr:nvSpPr>
        <xdr:cNvPr id="177" name="타원 176">
          <a:extLst>
            <a:ext uri="{FF2B5EF4-FFF2-40B4-BE49-F238E27FC236}">
              <a16:creationId xmlns:a16="http://schemas.microsoft.com/office/drawing/2014/main" id="{2A15A14C-9B1E-4831-B841-F8F307309CD4}"/>
            </a:ext>
          </a:extLst>
        </xdr:cNvPr>
        <xdr:cNvSpPr/>
      </xdr:nvSpPr>
      <xdr:spPr>
        <a:xfrm>
          <a:off x="5790634" y="15763885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356578</xdr:colOff>
      <xdr:row>68</xdr:row>
      <xdr:rowOff>45517</xdr:rowOff>
    </xdr:from>
    <xdr:to>
      <xdr:col>4</xdr:col>
      <xdr:colOff>19833</xdr:colOff>
      <xdr:row>69</xdr:row>
      <xdr:rowOff>167901</xdr:rowOff>
    </xdr:to>
    <xdr:sp macro="" textlink="">
      <xdr:nvSpPr>
        <xdr:cNvPr id="190" name="이등변 삼각형 189">
          <a:extLst>
            <a:ext uri="{FF2B5EF4-FFF2-40B4-BE49-F238E27FC236}">
              <a16:creationId xmlns:a16="http://schemas.microsoft.com/office/drawing/2014/main" id="{40C8674D-E983-4298-B6F8-E35ECE0098C4}"/>
            </a:ext>
          </a:extLst>
        </xdr:cNvPr>
        <xdr:cNvSpPr/>
      </xdr:nvSpPr>
      <xdr:spPr>
        <a:xfrm rot="16200000">
          <a:off x="2334631" y="14785823"/>
          <a:ext cx="337358" cy="324713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228478</xdr:colOff>
      <xdr:row>68</xdr:row>
      <xdr:rowOff>74676</xdr:rowOff>
    </xdr:from>
    <xdr:to>
      <xdr:col>5</xdr:col>
      <xdr:colOff>186300</xdr:colOff>
      <xdr:row>69</xdr:row>
      <xdr:rowOff>144137</xdr:rowOff>
    </xdr:to>
    <xdr:sp macro="" textlink="">
      <xdr:nvSpPr>
        <xdr:cNvPr id="192" name="TextBox 191">
          <a:extLst>
            <a:ext uri="{FF2B5EF4-FFF2-40B4-BE49-F238E27FC236}">
              <a16:creationId xmlns:a16="http://schemas.microsoft.com/office/drawing/2014/main" id="{D2BC66EA-396F-4C97-9A30-C8F2DB1E66BD}"/>
            </a:ext>
          </a:extLst>
        </xdr:cNvPr>
        <xdr:cNvSpPr txBox="1"/>
      </xdr:nvSpPr>
      <xdr:spPr>
        <a:xfrm>
          <a:off x="2874311" y="14808660"/>
          <a:ext cx="619281" cy="2844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VREF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487956</xdr:colOff>
      <xdr:row>66</xdr:row>
      <xdr:rowOff>105085</xdr:rowOff>
    </xdr:from>
    <xdr:to>
      <xdr:col>3</xdr:col>
      <xdr:colOff>487956</xdr:colOff>
      <xdr:row>68</xdr:row>
      <xdr:rowOff>107137</xdr:rowOff>
    </xdr:to>
    <xdr:cxnSp macro="">
      <xdr:nvCxnSpPr>
        <xdr:cNvPr id="194" name="직선 연결선 193">
          <a:extLst>
            <a:ext uri="{FF2B5EF4-FFF2-40B4-BE49-F238E27FC236}">
              <a16:creationId xmlns:a16="http://schemas.microsoft.com/office/drawing/2014/main" id="{3CB133B0-9541-4111-90CE-CB6BFC109BF0}"/>
            </a:ext>
          </a:extLst>
        </xdr:cNvPr>
        <xdr:cNvCxnSpPr/>
      </xdr:nvCxnSpPr>
      <xdr:spPr>
        <a:xfrm flipV="1">
          <a:off x="2472331" y="14409121"/>
          <a:ext cx="0" cy="43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484515</xdr:colOff>
      <xdr:row>66</xdr:row>
      <xdr:rowOff>110380</xdr:rowOff>
    </xdr:from>
    <xdr:to>
      <xdr:col>4</xdr:col>
      <xdr:colOff>219693</xdr:colOff>
      <xdr:row>66</xdr:row>
      <xdr:rowOff>110380</xdr:rowOff>
    </xdr:to>
    <xdr:cxnSp macro="">
      <xdr:nvCxnSpPr>
        <xdr:cNvPr id="195" name="직선 연결선 194">
          <a:extLst>
            <a:ext uri="{FF2B5EF4-FFF2-40B4-BE49-F238E27FC236}">
              <a16:creationId xmlns:a16="http://schemas.microsoft.com/office/drawing/2014/main" id="{F59AF05B-7068-4D12-97FA-C8B52BC5B925}"/>
            </a:ext>
          </a:extLst>
        </xdr:cNvPr>
        <xdr:cNvCxnSpPr/>
      </xdr:nvCxnSpPr>
      <xdr:spPr>
        <a:xfrm flipV="1">
          <a:off x="2468890" y="14414416"/>
          <a:ext cx="396636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435459</xdr:colOff>
      <xdr:row>68</xdr:row>
      <xdr:rowOff>26565</xdr:rowOff>
    </xdr:from>
    <xdr:to>
      <xdr:col>3</xdr:col>
      <xdr:colOff>543344</xdr:colOff>
      <xdr:row>68</xdr:row>
      <xdr:rowOff>133607</xdr:rowOff>
    </xdr:to>
    <xdr:sp macro="" textlink="">
      <xdr:nvSpPr>
        <xdr:cNvPr id="189" name="타원 188">
          <a:extLst>
            <a:ext uri="{FF2B5EF4-FFF2-40B4-BE49-F238E27FC236}">
              <a16:creationId xmlns:a16="http://schemas.microsoft.com/office/drawing/2014/main" id="{2F8EC5BE-9A6D-40FE-85A2-0A6F475189B9}"/>
            </a:ext>
          </a:extLst>
        </xdr:cNvPr>
        <xdr:cNvSpPr/>
      </xdr:nvSpPr>
      <xdr:spPr>
        <a:xfrm>
          <a:off x="2419834" y="14760549"/>
          <a:ext cx="107885" cy="107042"/>
        </a:xfrm>
        <a:prstGeom prst="ellipse">
          <a:avLst/>
        </a:prstGeom>
        <a:ln w="3175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104205</xdr:colOff>
      <xdr:row>70</xdr:row>
      <xdr:rowOff>149378</xdr:rowOff>
    </xdr:from>
    <xdr:to>
      <xdr:col>8</xdr:col>
      <xdr:colOff>228467</xdr:colOff>
      <xdr:row>71</xdr:row>
      <xdr:rowOff>213756</xdr:rowOff>
    </xdr:to>
    <xdr:sp macro="" textlink="">
      <xdr:nvSpPr>
        <xdr:cNvPr id="196" name="TextBox 195">
          <a:extLst>
            <a:ext uri="{FF2B5EF4-FFF2-40B4-BE49-F238E27FC236}">
              <a16:creationId xmlns:a16="http://schemas.microsoft.com/office/drawing/2014/main" id="{3378FEE4-2B5D-425A-97D9-71E2E495145B}"/>
            </a:ext>
          </a:extLst>
        </xdr:cNvPr>
        <xdr:cNvSpPr txBox="1"/>
      </xdr:nvSpPr>
      <xdr:spPr>
        <a:xfrm>
          <a:off x="4734413" y="15313310"/>
          <a:ext cx="785721" cy="27935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/>
            <a:t>VSO_OEN</a:t>
          </a:r>
          <a:endParaRPr lang="ko-KR" altLang="en-US" sz="1200"/>
        </a:p>
      </xdr:txBody>
    </xdr:sp>
    <xdr:clientData/>
  </xdr:twoCellAnchor>
  <xdr:twoCellAnchor>
    <xdr:from>
      <xdr:col>8</xdr:col>
      <xdr:colOff>594592</xdr:colOff>
      <xdr:row>86</xdr:row>
      <xdr:rowOff>86591</xdr:rowOff>
    </xdr:from>
    <xdr:to>
      <xdr:col>9</xdr:col>
      <xdr:colOff>629227</xdr:colOff>
      <xdr:row>87</xdr:row>
      <xdr:rowOff>0</xdr:rowOff>
    </xdr:to>
    <xdr:sp macro="" textlink="">
      <xdr:nvSpPr>
        <xdr:cNvPr id="197" name="직사각형 196">
          <a:extLst>
            <a:ext uri="{FF2B5EF4-FFF2-40B4-BE49-F238E27FC236}">
              <a16:creationId xmlns:a16="http://schemas.microsoft.com/office/drawing/2014/main" id="{5E048EBC-A7B2-894D-BD0E-40544DCCCC3D}"/>
            </a:ext>
          </a:extLst>
        </xdr:cNvPr>
        <xdr:cNvSpPr/>
      </xdr:nvSpPr>
      <xdr:spPr>
        <a:xfrm>
          <a:off x="5859319" y="18143682"/>
          <a:ext cx="692726" cy="242454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16</xdr:col>
      <xdr:colOff>390524</xdr:colOff>
      <xdr:row>86</xdr:row>
      <xdr:rowOff>83128</xdr:rowOff>
    </xdr:from>
    <xdr:to>
      <xdr:col>17</xdr:col>
      <xdr:colOff>492124</xdr:colOff>
      <xdr:row>87</xdr:row>
      <xdr:rowOff>0</xdr:rowOff>
    </xdr:to>
    <xdr:sp macro="" textlink="">
      <xdr:nvSpPr>
        <xdr:cNvPr id="198" name="직사각형 197">
          <a:extLst>
            <a:ext uri="{FF2B5EF4-FFF2-40B4-BE49-F238E27FC236}">
              <a16:creationId xmlns:a16="http://schemas.microsoft.com/office/drawing/2014/main" id="{0DB8C3B4-DF1A-4C4F-BC91-C6F74E538D88}"/>
            </a:ext>
          </a:extLst>
        </xdr:cNvPr>
        <xdr:cNvSpPr/>
      </xdr:nvSpPr>
      <xdr:spPr>
        <a:xfrm>
          <a:off x="10973857" y="18852670"/>
          <a:ext cx="763059" cy="244955"/>
        </a:xfrm>
        <a:prstGeom prst="rect">
          <a:avLst/>
        </a:prstGeom>
        <a:noFill/>
        <a:ln w="254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4</xdr:col>
      <xdr:colOff>437770</xdr:colOff>
      <xdr:row>80</xdr:row>
      <xdr:rowOff>204419</xdr:rowOff>
    </xdr:from>
    <xdr:to>
      <xdr:col>5</xdr:col>
      <xdr:colOff>548411</xdr:colOff>
      <xdr:row>82</xdr:row>
      <xdr:rowOff>60289</xdr:rowOff>
    </xdr:to>
    <xdr:sp macro="" textlink="">
      <xdr:nvSpPr>
        <xdr:cNvPr id="201" name="TextBox 200">
          <a:extLst>
            <a:ext uri="{FF2B5EF4-FFF2-40B4-BE49-F238E27FC236}">
              <a16:creationId xmlns:a16="http://schemas.microsoft.com/office/drawing/2014/main" id="{E2F61CDB-054F-403F-89C1-6BE4E33C1CF8}"/>
            </a:ext>
          </a:extLst>
        </xdr:cNvPr>
        <xdr:cNvSpPr txBox="1"/>
      </xdr:nvSpPr>
      <xdr:spPr>
        <a:xfrm>
          <a:off x="3081679" y="17635169"/>
          <a:ext cx="771618" cy="28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FBO_VSI</a:t>
          </a:r>
          <a:endParaRPr lang="ko-KR" altLang="en-US" sz="1200"/>
        </a:p>
      </xdr:txBody>
    </xdr:sp>
    <xdr:clientData/>
  </xdr:twoCellAnchor>
  <xdr:twoCellAnchor>
    <xdr:from>
      <xdr:col>8</xdr:col>
      <xdr:colOff>180308</xdr:colOff>
      <xdr:row>77</xdr:row>
      <xdr:rowOff>192013</xdr:rowOff>
    </xdr:from>
    <xdr:to>
      <xdr:col>9</xdr:col>
      <xdr:colOff>134217</xdr:colOff>
      <xdr:row>77</xdr:row>
      <xdr:rowOff>192013</xdr:rowOff>
    </xdr:to>
    <xdr:cxnSp macro="">
      <xdr:nvCxnSpPr>
        <xdr:cNvPr id="202" name="직선 연결선 201">
          <a:extLst>
            <a:ext uri="{FF2B5EF4-FFF2-40B4-BE49-F238E27FC236}">
              <a16:creationId xmlns:a16="http://schemas.microsoft.com/office/drawing/2014/main" id="{5460A6D5-4C8A-48DF-A750-F87D0394BA63}"/>
            </a:ext>
          </a:extLst>
        </xdr:cNvPr>
        <xdr:cNvCxnSpPr/>
      </xdr:nvCxnSpPr>
      <xdr:spPr>
        <a:xfrm flipV="1">
          <a:off x="5445035" y="16753968"/>
          <a:ext cx="612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358392</xdr:colOff>
      <xdr:row>77</xdr:row>
      <xdr:rowOff>16313</xdr:rowOff>
    </xdr:from>
    <xdr:to>
      <xdr:col>9</xdr:col>
      <xdr:colOff>21647</xdr:colOff>
      <xdr:row>78</xdr:row>
      <xdr:rowOff>138698</xdr:rowOff>
    </xdr:to>
    <xdr:sp macro="" textlink="">
      <xdr:nvSpPr>
        <xdr:cNvPr id="200" name="이등변 삼각형 199">
          <a:extLst>
            <a:ext uri="{FF2B5EF4-FFF2-40B4-BE49-F238E27FC236}">
              <a16:creationId xmlns:a16="http://schemas.microsoft.com/office/drawing/2014/main" id="{634F9F82-12B0-437E-83C7-EFC2645C4122}"/>
            </a:ext>
          </a:extLst>
        </xdr:cNvPr>
        <xdr:cNvSpPr/>
      </xdr:nvSpPr>
      <xdr:spPr>
        <a:xfrm rot="16200000">
          <a:off x="5615804" y="16585583"/>
          <a:ext cx="335975" cy="321346"/>
        </a:xfrm>
        <a:prstGeom prst="triangle">
          <a:avLst/>
        </a:prstGeom>
        <a:solidFill>
          <a:schemeClr val="tx2">
            <a:lumMod val="75000"/>
            <a:lumOff val="2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9</xdr:col>
      <xdr:colOff>100684</xdr:colOff>
      <xdr:row>75</xdr:row>
      <xdr:rowOff>182075</xdr:rowOff>
    </xdr:from>
    <xdr:to>
      <xdr:col>9</xdr:col>
      <xdr:colOff>172607</xdr:colOff>
      <xdr:row>76</xdr:row>
      <xdr:rowOff>41040</xdr:rowOff>
    </xdr:to>
    <xdr:sp macro="" textlink="">
      <xdr:nvSpPr>
        <xdr:cNvPr id="203" name="타원 202">
          <a:extLst>
            <a:ext uri="{FF2B5EF4-FFF2-40B4-BE49-F238E27FC236}">
              <a16:creationId xmlns:a16="http://schemas.microsoft.com/office/drawing/2014/main" id="{4A626282-2CA4-42D2-88C5-4D1CD489D6CE}"/>
            </a:ext>
          </a:extLst>
        </xdr:cNvPr>
        <xdr:cNvSpPr/>
      </xdr:nvSpPr>
      <xdr:spPr>
        <a:xfrm>
          <a:off x="6023502" y="16316848"/>
          <a:ext cx="71923" cy="72556"/>
        </a:xfrm>
        <a:prstGeom prst="ellipse">
          <a:avLst/>
        </a:prstGeom>
        <a:solidFill>
          <a:schemeClr val="tx1"/>
        </a:solidFill>
        <a:ln w="3175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265545</xdr:colOff>
      <xdr:row>76</xdr:row>
      <xdr:rowOff>5772</xdr:rowOff>
    </xdr:from>
    <xdr:to>
      <xdr:col>4</xdr:col>
      <xdr:colOff>265545</xdr:colOff>
      <xdr:row>82</xdr:row>
      <xdr:rowOff>20227</xdr:rowOff>
    </xdr:to>
    <xdr:cxnSp macro="">
      <xdr:nvCxnSpPr>
        <xdr:cNvPr id="204" name="직선 연결선 203">
          <a:extLst>
            <a:ext uri="{FF2B5EF4-FFF2-40B4-BE49-F238E27FC236}">
              <a16:creationId xmlns:a16="http://schemas.microsoft.com/office/drawing/2014/main" id="{6B468FF2-46F7-46C6-ACE5-03D5216E9C6D}"/>
            </a:ext>
          </a:extLst>
        </xdr:cNvPr>
        <xdr:cNvCxnSpPr/>
      </xdr:nvCxnSpPr>
      <xdr:spPr>
        <a:xfrm flipH="1">
          <a:off x="2897909" y="16354136"/>
          <a:ext cx="0" cy="1296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178377</xdr:colOff>
      <xdr:row>77</xdr:row>
      <xdr:rowOff>189923</xdr:rowOff>
    </xdr:from>
    <xdr:to>
      <xdr:col>8</xdr:col>
      <xdr:colOff>178377</xdr:colOff>
      <xdr:row>82</xdr:row>
      <xdr:rowOff>7536</xdr:rowOff>
    </xdr:to>
    <xdr:cxnSp macro="">
      <xdr:nvCxnSpPr>
        <xdr:cNvPr id="209" name="직선 연결선 208">
          <a:extLst>
            <a:ext uri="{FF2B5EF4-FFF2-40B4-BE49-F238E27FC236}">
              <a16:creationId xmlns:a16="http://schemas.microsoft.com/office/drawing/2014/main" id="{727898DB-783D-4423-8B32-FBBE7E0BE8BD}"/>
            </a:ext>
          </a:extLst>
        </xdr:cNvPr>
        <xdr:cNvCxnSpPr/>
      </xdr:nvCxnSpPr>
      <xdr:spPr>
        <a:xfrm flipH="1">
          <a:off x="5466195" y="16971241"/>
          <a:ext cx="0" cy="900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352142</xdr:colOff>
      <xdr:row>82</xdr:row>
      <xdr:rowOff>4619</xdr:rowOff>
    </xdr:from>
    <xdr:to>
      <xdr:col>8</xdr:col>
      <xdr:colOff>182188</xdr:colOff>
      <xdr:row>82</xdr:row>
      <xdr:rowOff>5773</xdr:rowOff>
    </xdr:to>
    <xdr:cxnSp macro="">
      <xdr:nvCxnSpPr>
        <xdr:cNvPr id="210" name="직선 연결선 209">
          <a:extLst>
            <a:ext uri="{FF2B5EF4-FFF2-40B4-BE49-F238E27FC236}">
              <a16:creationId xmlns:a16="http://schemas.microsoft.com/office/drawing/2014/main" id="{B53BCAF6-5AF9-45B2-823C-5A50E018561D}"/>
            </a:ext>
          </a:extLst>
        </xdr:cNvPr>
        <xdr:cNvCxnSpPr/>
      </xdr:nvCxnSpPr>
      <xdr:spPr>
        <a:xfrm flipV="1">
          <a:off x="4318006" y="17868324"/>
          <a:ext cx="1152000" cy="1154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267855</xdr:colOff>
      <xdr:row>82</xdr:row>
      <xdr:rowOff>17318</xdr:rowOff>
    </xdr:from>
    <xdr:to>
      <xdr:col>5</xdr:col>
      <xdr:colOff>614878</xdr:colOff>
      <xdr:row>82</xdr:row>
      <xdr:rowOff>17318</xdr:rowOff>
    </xdr:to>
    <xdr:cxnSp macro="">
      <xdr:nvCxnSpPr>
        <xdr:cNvPr id="212" name="직선 연결선 211">
          <a:extLst>
            <a:ext uri="{FF2B5EF4-FFF2-40B4-BE49-F238E27FC236}">
              <a16:creationId xmlns:a16="http://schemas.microsoft.com/office/drawing/2014/main" id="{E1256EAB-6BFB-4FCB-884C-83E1CF3A55D3}"/>
            </a:ext>
          </a:extLst>
        </xdr:cNvPr>
        <xdr:cNvCxnSpPr/>
      </xdr:nvCxnSpPr>
      <xdr:spPr>
        <a:xfrm flipV="1">
          <a:off x="2911764" y="17881023"/>
          <a:ext cx="1008000" cy="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620569</xdr:colOff>
      <xdr:row>79</xdr:row>
      <xdr:rowOff>95251</xdr:rowOff>
    </xdr:from>
    <xdr:to>
      <xdr:col>5</xdr:col>
      <xdr:colOff>620569</xdr:colOff>
      <xdr:row>82</xdr:row>
      <xdr:rowOff>16765</xdr:rowOff>
    </xdr:to>
    <xdr:cxnSp macro="">
      <xdr:nvCxnSpPr>
        <xdr:cNvPr id="214" name="직선 연결선 213">
          <a:extLst>
            <a:ext uri="{FF2B5EF4-FFF2-40B4-BE49-F238E27FC236}">
              <a16:creationId xmlns:a16="http://schemas.microsoft.com/office/drawing/2014/main" id="{745921F7-458E-477A-9EA0-354CF82F931B}"/>
            </a:ext>
          </a:extLst>
        </xdr:cNvPr>
        <xdr:cNvCxnSpPr/>
      </xdr:nvCxnSpPr>
      <xdr:spPr>
        <a:xfrm>
          <a:off x="3925455" y="17309524"/>
          <a:ext cx="0" cy="570946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357335</xdr:colOff>
      <xdr:row>79</xdr:row>
      <xdr:rowOff>88902</xdr:rowOff>
    </xdr:from>
    <xdr:to>
      <xdr:col>6</xdr:col>
      <xdr:colOff>357335</xdr:colOff>
      <xdr:row>82</xdr:row>
      <xdr:rowOff>10416</xdr:rowOff>
    </xdr:to>
    <xdr:cxnSp macro="">
      <xdr:nvCxnSpPr>
        <xdr:cNvPr id="217" name="직선 연결선 216">
          <a:extLst>
            <a:ext uri="{FF2B5EF4-FFF2-40B4-BE49-F238E27FC236}">
              <a16:creationId xmlns:a16="http://schemas.microsoft.com/office/drawing/2014/main" id="{998F098F-53FD-454D-B391-760E771B0337}"/>
            </a:ext>
          </a:extLst>
        </xdr:cNvPr>
        <xdr:cNvCxnSpPr/>
      </xdr:nvCxnSpPr>
      <xdr:spPr>
        <a:xfrm>
          <a:off x="4323199" y="17303175"/>
          <a:ext cx="0" cy="570946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659442</xdr:colOff>
      <xdr:row>80</xdr:row>
      <xdr:rowOff>203843</xdr:rowOff>
    </xdr:from>
    <xdr:to>
      <xdr:col>8</xdr:col>
      <xdr:colOff>109106</xdr:colOff>
      <xdr:row>82</xdr:row>
      <xdr:rowOff>59713</xdr:rowOff>
    </xdr:to>
    <xdr:sp macro="" textlink="">
      <xdr:nvSpPr>
        <xdr:cNvPr id="218" name="TextBox 217">
          <a:extLst>
            <a:ext uri="{FF2B5EF4-FFF2-40B4-BE49-F238E27FC236}">
              <a16:creationId xmlns:a16="http://schemas.microsoft.com/office/drawing/2014/main" id="{D8587149-B8E9-4AB5-9051-DDCFE7594998}"/>
            </a:ext>
          </a:extLst>
        </xdr:cNvPr>
        <xdr:cNvSpPr txBox="1"/>
      </xdr:nvSpPr>
      <xdr:spPr>
        <a:xfrm>
          <a:off x="4625306" y="17634593"/>
          <a:ext cx="771618" cy="28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 FBI_VSO</a:t>
          </a:r>
          <a:endParaRPr lang="ko-KR" altLang="en-US" sz="1200"/>
        </a:p>
      </xdr:txBody>
    </xdr:sp>
    <xdr:clientData/>
  </xdr:twoCellAnchor>
  <xdr:twoCellAnchor>
    <xdr:from>
      <xdr:col>6</xdr:col>
      <xdr:colOff>132774</xdr:colOff>
      <xdr:row>76</xdr:row>
      <xdr:rowOff>173184</xdr:rowOff>
    </xdr:from>
    <xdr:to>
      <xdr:col>6</xdr:col>
      <xdr:colOff>132774</xdr:colOff>
      <xdr:row>77</xdr:row>
      <xdr:rowOff>208707</xdr:rowOff>
    </xdr:to>
    <xdr:cxnSp macro="">
      <xdr:nvCxnSpPr>
        <xdr:cNvPr id="219" name="직선 연결선 218">
          <a:extLst>
            <a:ext uri="{FF2B5EF4-FFF2-40B4-BE49-F238E27FC236}">
              <a16:creationId xmlns:a16="http://schemas.microsoft.com/office/drawing/2014/main" id="{A248D5D2-3AC4-4957-B33F-41E6739ED503}"/>
            </a:ext>
          </a:extLst>
        </xdr:cNvPr>
        <xdr:cNvCxnSpPr/>
      </xdr:nvCxnSpPr>
      <xdr:spPr>
        <a:xfrm>
          <a:off x="4098638" y="16738025"/>
          <a:ext cx="0" cy="2520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334820</xdr:colOff>
      <xdr:row>78</xdr:row>
      <xdr:rowOff>124115</xdr:rowOff>
    </xdr:from>
    <xdr:to>
      <xdr:col>6</xdr:col>
      <xdr:colOff>614220</xdr:colOff>
      <xdr:row>78</xdr:row>
      <xdr:rowOff>124426</xdr:rowOff>
    </xdr:to>
    <xdr:cxnSp macro="">
      <xdr:nvCxnSpPr>
        <xdr:cNvPr id="221" name="직선 연결선 220">
          <a:extLst>
            <a:ext uri="{FF2B5EF4-FFF2-40B4-BE49-F238E27FC236}">
              <a16:creationId xmlns:a16="http://schemas.microsoft.com/office/drawing/2014/main" id="{13731783-9902-4705-96EC-C948498DADC7}"/>
            </a:ext>
          </a:extLst>
        </xdr:cNvPr>
        <xdr:cNvCxnSpPr/>
      </xdr:nvCxnSpPr>
      <xdr:spPr>
        <a:xfrm>
          <a:off x="4300684" y="17121910"/>
          <a:ext cx="279400" cy="311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548408</xdr:colOff>
      <xdr:row>77</xdr:row>
      <xdr:rowOff>190500</xdr:rowOff>
    </xdr:from>
    <xdr:to>
      <xdr:col>8</xdr:col>
      <xdr:colOff>87312</xdr:colOff>
      <xdr:row>79</xdr:row>
      <xdr:rowOff>55563</xdr:rowOff>
    </xdr:to>
    <xdr:sp macro="" textlink="">
      <xdr:nvSpPr>
        <xdr:cNvPr id="223" name="TextBox 222">
          <a:extLst>
            <a:ext uri="{FF2B5EF4-FFF2-40B4-BE49-F238E27FC236}">
              <a16:creationId xmlns:a16="http://schemas.microsoft.com/office/drawing/2014/main" id="{E70ADBF3-17F0-42EB-868B-5241172B0DBC}"/>
            </a:ext>
          </a:extLst>
        </xdr:cNvPr>
        <xdr:cNvSpPr txBox="1"/>
      </xdr:nvSpPr>
      <xdr:spPr>
        <a:xfrm>
          <a:off x="4501283" y="16811625"/>
          <a:ext cx="856529" cy="2936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aseline="0"/>
            <a:t>IO_MODE</a:t>
          </a:r>
          <a:endParaRPr lang="ko-KR" altLang="en-US" sz="1200"/>
        </a:p>
      </xdr:txBody>
    </xdr:sp>
    <xdr:clientData/>
  </xdr:twoCellAnchor>
  <xdr:twoCellAnchor>
    <xdr:from>
      <xdr:col>5</xdr:col>
      <xdr:colOff>398320</xdr:colOff>
      <xdr:row>77</xdr:row>
      <xdr:rowOff>196272</xdr:rowOff>
    </xdr:from>
    <xdr:to>
      <xdr:col>6</xdr:col>
      <xdr:colOff>568616</xdr:colOff>
      <xdr:row>79</xdr:row>
      <xdr:rowOff>98137</xdr:rowOff>
    </xdr:to>
    <xdr:sp macro="" textlink="">
      <xdr:nvSpPr>
        <xdr:cNvPr id="207" name="순서도: 수동 연산 206">
          <a:extLst>
            <a:ext uri="{FF2B5EF4-FFF2-40B4-BE49-F238E27FC236}">
              <a16:creationId xmlns:a16="http://schemas.microsoft.com/office/drawing/2014/main" id="{05154614-4EA5-3DAF-7BBC-8066AAC3ADBA}"/>
            </a:ext>
          </a:extLst>
        </xdr:cNvPr>
        <xdr:cNvSpPr/>
      </xdr:nvSpPr>
      <xdr:spPr>
        <a:xfrm rot="10800000">
          <a:off x="3703206" y="16977590"/>
          <a:ext cx="831274" cy="334820"/>
        </a:xfrm>
        <a:prstGeom prst="flowChartManualOperat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 kern="1200"/>
        </a:p>
      </xdr:txBody>
    </xdr:sp>
    <xdr:clientData/>
  </xdr:twoCellAnchor>
  <xdr:twoCellAnchor>
    <xdr:from>
      <xdr:col>5</xdr:col>
      <xdr:colOff>449215</xdr:colOff>
      <xdr:row>78</xdr:row>
      <xdr:rowOff>85533</xdr:rowOff>
    </xdr:from>
    <xdr:to>
      <xdr:col>6</xdr:col>
      <xdr:colOff>143836</xdr:colOff>
      <xdr:row>79</xdr:row>
      <xdr:rowOff>158363</xdr:rowOff>
    </xdr:to>
    <xdr:sp macro="" textlink="">
      <xdr:nvSpPr>
        <xdr:cNvPr id="224" name="TextBox 223">
          <a:extLst>
            <a:ext uri="{FF2B5EF4-FFF2-40B4-BE49-F238E27FC236}">
              <a16:creationId xmlns:a16="http://schemas.microsoft.com/office/drawing/2014/main" id="{2D780498-843D-4D69-9826-6EA1BE728037}"/>
            </a:ext>
          </a:extLst>
        </xdr:cNvPr>
        <xdr:cNvSpPr txBox="1"/>
      </xdr:nvSpPr>
      <xdr:spPr>
        <a:xfrm>
          <a:off x="3756507" y="17119408"/>
          <a:ext cx="356079" cy="28978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="1" baseline="0">
              <a:solidFill>
                <a:schemeClr val="bg1"/>
              </a:solidFill>
            </a:rPr>
            <a:t>01</a:t>
          </a:r>
          <a:endParaRPr lang="ko-KR" altLang="en-US" sz="12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171066</xdr:colOff>
      <xdr:row>78</xdr:row>
      <xdr:rowOff>88804</xdr:rowOff>
    </xdr:from>
    <xdr:to>
      <xdr:col>6</xdr:col>
      <xdr:colOff>526665</xdr:colOff>
      <xdr:row>79</xdr:row>
      <xdr:rowOff>161151</xdr:rowOff>
    </xdr:to>
    <xdr:sp macro="" textlink="">
      <xdr:nvSpPr>
        <xdr:cNvPr id="225" name="TextBox 224">
          <a:extLst>
            <a:ext uri="{FF2B5EF4-FFF2-40B4-BE49-F238E27FC236}">
              <a16:creationId xmlns:a16="http://schemas.microsoft.com/office/drawing/2014/main" id="{A4870D43-7CE7-4CE0-8B33-2A2B911EF45C}"/>
            </a:ext>
          </a:extLst>
        </xdr:cNvPr>
        <xdr:cNvSpPr txBox="1"/>
      </xdr:nvSpPr>
      <xdr:spPr>
        <a:xfrm>
          <a:off x="4139816" y="17122679"/>
          <a:ext cx="355599" cy="2893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200" b="1" baseline="0">
              <a:solidFill>
                <a:schemeClr val="bg1"/>
              </a:solidFill>
            </a:rPr>
            <a:t>11</a:t>
          </a:r>
          <a:endParaRPr lang="ko-KR" altLang="en-US" sz="1200" b="1"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0</xdr:col>
      <xdr:colOff>180974</xdr:colOff>
      <xdr:row>97</xdr:row>
      <xdr:rowOff>38100</xdr:rowOff>
    </xdr:from>
    <xdr:to>
      <xdr:col>24</xdr:col>
      <xdr:colOff>215260</xdr:colOff>
      <xdr:row>117</xdr:row>
      <xdr:rowOff>171449</xdr:rowOff>
    </xdr:to>
    <xdr:pic>
      <xdr:nvPicPr>
        <xdr:cNvPr id="325" name="그림 324">
          <a:extLst>
            <a:ext uri="{FF2B5EF4-FFF2-40B4-BE49-F238E27FC236}">
              <a16:creationId xmlns:a16="http://schemas.microsoft.com/office/drawing/2014/main" id="{7CE852E8-3ADA-68CD-73C5-C61AC6A6E1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974" y="21688425"/>
          <a:ext cx="15350486" cy="45148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265205</xdr:colOff>
      <xdr:row>93</xdr:row>
      <xdr:rowOff>138206</xdr:rowOff>
    </xdr:from>
    <xdr:to>
      <xdr:col>14</xdr:col>
      <xdr:colOff>153147</xdr:colOff>
      <xdr:row>111</xdr:row>
      <xdr:rowOff>89647</xdr:rowOff>
    </xdr:to>
    <xdr:sp macro="" textlink="">
      <xdr:nvSpPr>
        <xdr:cNvPr id="34" name="직사각형 33">
          <a:extLst>
            <a:ext uri="{FF2B5EF4-FFF2-40B4-BE49-F238E27FC236}">
              <a16:creationId xmlns:a16="http://schemas.microsoft.com/office/drawing/2014/main" id="{DAE160A9-22E4-0B5E-6FD5-C05B19B49487}"/>
            </a:ext>
          </a:extLst>
        </xdr:cNvPr>
        <xdr:cNvSpPr/>
      </xdr:nvSpPr>
      <xdr:spPr>
        <a:xfrm>
          <a:off x="1262529" y="18340294"/>
          <a:ext cx="3922059" cy="3582147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0</xdr:col>
      <xdr:colOff>658048</xdr:colOff>
      <xdr:row>2</xdr:row>
      <xdr:rowOff>181797</xdr:rowOff>
    </xdr:from>
    <xdr:to>
      <xdr:col>16</xdr:col>
      <xdr:colOff>0</xdr:colOff>
      <xdr:row>33</xdr:row>
      <xdr:rowOff>0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E5FAB1B9-E421-497D-AE73-B4E379B00F97}"/>
            </a:ext>
          </a:extLst>
        </xdr:cNvPr>
        <xdr:cNvSpPr/>
      </xdr:nvSpPr>
      <xdr:spPr>
        <a:xfrm>
          <a:off x="651698" y="6271447"/>
          <a:ext cx="5241102" cy="5526853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341019</xdr:colOff>
      <xdr:row>9</xdr:row>
      <xdr:rowOff>17639</xdr:rowOff>
    </xdr:from>
    <xdr:to>
      <xdr:col>13</xdr:col>
      <xdr:colOff>1</xdr:colOff>
      <xdr:row>27</xdr:row>
      <xdr:rowOff>5880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8DD4B696-80E0-40FC-82B4-2063635C1E5E}"/>
            </a:ext>
          </a:extLst>
        </xdr:cNvPr>
        <xdr:cNvSpPr/>
      </xdr:nvSpPr>
      <xdr:spPr>
        <a:xfrm>
          <a:off x="1775649" y="7455370"/>
          <a:ext cx="3127963" cy="3269075"/>
        </a:xfrm>
        <a:prstGeom prst="rect">
          <a:avLst/>
        </a:prstGeom>
        <a:solidFill>
          <a:schemeClr val="bg1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0</xdr:col>
      <xdr:colOff>582083</xdr:colOff>
      <xdr:row>1</xdr:row>
      <xdr:rowOff>0</xdr:rowOff>
    </xdr:from>
    <xdr:ext cx="1149995" cy="374141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4560310A-453F-46B6-BF5F-B8FC0324842F}"/>
            </a:ext>
          </a:extLst>
        </xdr:cNvPr>
        <xdr:cNvSpPr txBox="1"/>
      </xdr:nvSpPr>
      <xdr:spPr>
        <a:xfrm>
          <a:off x="582083" y="5920787"/>
          <a:ext cx="1149995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 b="1"/>
            <a:t>TOP</a:t>
          </a:r>
          <a:r>
            <a:rPr lang="en-US" altLang="ko-KR" sz="1800" b="1" baseline="0"/>
            <a:t> VIEW</a:t>
          </a:r>
          <a:endParaRPr lang="ko-KR" altLang="en-US" sz="1800" b="1"/>
        </a:p>
      </xdr:txBody>
    </xdr:sp>
    <xdr:clientData/>
  </xdr:oneCellAnchor>
  <xdr:twoCellAnchor>
    <xdr:from>
      <xdr:col>1</xdr:col>
      <xdr:colOff>182269</xdr:colOff>
      <xdr:row>4</xdr:row>
      <xdr:rowOff>5880</xdr:rowOff>
    </xdr:from>
    <xdr:to>
      <xdr:col>2</xdr:col>
      <xdr:colOff>15371</xdr:colOff>
      <xdr:row>5</xdr:row>
      <xdr:rowOff>3611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5B003406-404A-4CF8-B5E6-2D0346A39CF6}"/>
            </a:ext>
          </a:extLst>
        </xdr:cNvPr>
        <xdr:cNvSpPr/>
      </xdr:nvSpPr>
      <xdr:spPr>
        <a:xfrm>
          <a:off x="836319" y="6463830"/>
          <a:ext cx="182352" cy="181881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7</xdr:col>
      <xdr:colOff>193560</xdr:colOff>
      <xdr:row>12</xdr:row>
      <xdr:rowOff>123003</xdr:rowOff>
    </xdr:from>
    <xdr:ext cx="706732" cy="311496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F61853D-12FB-480F-8D1E-27225DCB5721}"/>
            </a:ext>
          </a:extLst>
        </xdr:cNvPr>
        <xdr:cNvSpPr txBox="1"/>
      </xdr:nvSpPr>
      <xdr:spPr>
        <a:xfrm>
          <a:off x="2943110" y="8054153"/>
          <a:ext cx="70673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400" b="1">
              <a:solidFill>
                <a:srgbClr val="00FFFF"/>
              </a:solidFill>
            </a:rPr>
            <a:t>1.8mm</a:t>
          </a:r>
          <a:endParaRPr lang="ko-KR" altLang="en-US" sz="1400" b="1">
            <a:solidFill>
              <a:srgbClr val="00FFFF"/>
            </a:solidFill>
          </a:endParaRPr>
        </a:p>
      </xdr:txBody>
    </xdr:sp>
    <xdr:clientData/>
  </xdr:oneCellAnchor>
  <xdr:oneCellAnchor>
    <xdr:from>
      <xdr:col>12</xdr:col>
      <xdr:colOff>61447</xdr:colOff>
      <xdr:row>17</xdr:row>
      <xdr:rowOff>101309</xdr:rowOff>
    </xdr:from>
    <xdr:ext cx="311496" cy="706732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9E252FFF-298A-4EB2-815A-8825C9C03CB8}"/>
            </a:ext>
          </a:extLst>
        </xdr:cNvPr>
        <xdr:cNvSpPr txBox="1"/>
      </xdr:nvSpPr>
      <xdr:spPr>
        <a:xfrm rot="16200000">
          <a:off x="4359629" y="9150827"/>
          <a:ext cx="70673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400" b="1">
              <a:solidFill>
                <a:srgbClr val="00FFFF"/>
              </a:solidFill>
            </a:rPr>
            <a:t>1.3mm</a:t>
          </a:r>
          <a:endParaRPr lang="ko-KR" altLang="en-US" sz="1400" b="1">
            <a:solidFill>
              <a:srgbClr val="00FFFF"/>
            </a:solidFill>
          </a:endParaRPr>
        </a:p>
      </xdr:txBody>
    </xdr:sp>
    <xdr:clientData/>
  </xdr:oneCellAnchor>
  <xdr:twoCellAnchor>
    <xdr:from>
      <xdr:col>3</xdr:col>
      <xdr:colOff>311619</xdr:colOff>
      <xdr:row>7</xdr:row>
      <xdr:rowOff>47038</xdr:rowOff>
    </xdr:from>
    <xdr:to>
      <xdr:col>13</xdr:col>
      <xdr:colOff>194027</xdr:colOff>
      <xdr:row>12</xdr:row>
      <xdr:rowOff>170509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79C30A58-1D67-4027-B69A-679FD655BC44}"/>
            </a:ext>
          </a:extLst>
        </xdr:cNvPr>
        <xdr:cNvSpPr/>
      </xdr:nvSpPr>
      <xdr:spPr>
        <a:xfrm>
          <a:off x="1664169" y="7057438"/>
          <a:ext cx="3374908" cy="1044221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15</xdr:col>
      <xdr:colOff>305666</xdr:colOff>
      <xdr:row>27</xdr:row>
      <xdr:rowOff>48937</xdr:rowOff>
    </xdr:from>
    <xdr:ext cx="2421112" cy="24885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7DA53FFC-0379-4B8A-874B-6AE4D88241E7}"/>
            </a:ext>
          </a:extLst>
        </xdr:cNvPr>
        <xdr:cNvSpPr txBox="1"/>
      </xdr:nvSpPr>
      <xdr:spPr>
        <a:xfrm>
          <a:off x="5683628" y="5080091"/>
          <a:ext cx="2421112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mclk/32 out @ TEST_EN=1 &amp;&amp; MCLK32_O=1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twoCellAnchor>
    <xdr:from>
      <xdr:col>3</xdr:col>
      <xdr:colOff>323379</xdr:colOff>
      <xdr:row>12</xdr:row>
      <xdr:rowOff>146991</xdr:rowOff>
    </xdr:from>
    <xdr:to>
      <xdr:col>4</xdr:col>
      <xdr:colOff>257063</xdr:colOff>
      <xdr:row>14</xdr:row>
      <xdr:rowOff>67246</xdr:rowOff>
    </xdr:to>
    <xdr:sp macro="" textlink="">
      <xdr:nvSpPr>
        <xdr:cNvPr id="18" name="직각 삼각형 17">
          <a:extLst>
            <a:ext uri="{FF2B5EF4-FFF2-40B4-BE49-F238E27FC236}">
              <a16:creationId xmlns:a16="http://schemas.microsoft.com/office/drawing/2014/main" id="{CFF9CC40-9125-4D4C-90C3-C3725A037B0B}"/>
            </a:ext>
          </a:extLst>
        </xdr:cNvPr>
        <xdr:cNvSpPr/>
      </xdr:nvSpPr>
      <xdr:spPr>
        <a:xfrm rot="5400000">
          <a:off x="1673118" y="8080952"/>
          <a:ext cx="288555" cy="282934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14</xdr:col>
      <xdr:colOff>211667</xdr:colOff>
      <xdr:row>25</xdr:row>
      <xdr:rowOff>144005</xdr:rowOff>
    </xdr:from>
    <xdr:ext cx="555408" cy="24885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65DD52F7-2258-4486-8D2C-F25B1497C413}"/>
            </a:ext>
          </a:extLst>
        </xdr:cNvPr>
        <xdr:cNvSpPr txBox="1"/>
      </xdr:nvSpPr>
      <xdr:spPr>
        <a:xfrm>
          <a:off x="5252590" y="4803928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0</xdr:col>
      <xdr:colOff>599251</xdr:colOff>
      <xdr:row>25</xdr:row>
      <xdr:rowOff>149414</xdr:rowOff>
    </xdr:from>
    <xdr:ext cx="555408" cy="248851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B979FB4-2189-43C8-8168-5114D5BC0683}"/>
            </a:ext>
          </a:extLst>
        </xdr:cNvPr>
        <xdr:cNvSpPr txBox="1"/>
      </xdr:nvSpPr>
      <xdr:spPr>
        <a:xfrm>
          <a:off x="599251" y="4809337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15</xdr:col>
      <xdr:colOff>288174</xdr:colOff>
      <xdr:row>22</xdr:row>
      <xdr:rowOff>146613</xdr:rowOff>
    </xdr:from>
    <xdr:ext cx="2826799" cy="405367"/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1E6E8D1E-C4C3-4850-A1B9-01C75EE9FD96}"/>
            </a:ext>
          </a:extLst>
        </xdr:cNvPr>
        <xdr:cNvSpPr txBox="1"/>
      </xdr:nvSpPr>
      <xdr:spPr>
        <a:xfrm>
          <a:off x="5666136" y="4249690"/>
          <a:ext cx="2826799" cy="4053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FBO/ FBI @ FBO_E=1</a:t>
          </a:r>
        </a:p>
        <a:p>
          <a:r>
            <a:rPr lang="en-US" altLang="ko-KR" sz="1000" b="0" baseline="0">
              <a:solidFill>
                <a:srgbClr val="0000FF"/>
              </a:solidFill>
              <a:effectLst/>
              <a:latin typeface="+mn-lt"/>
              <a:ea typeface="+mn-ea"/>
              <a:cs typeface="+mn-cs"/>
            </a:rPr>
            <a:t>not using, FBI pin must open or pullup(not to GND)</a:t>
          </a:r>
        </a:p>
      </xdr:txBody>
    </xdr:sp>
    <xdr:clientData/>
  </xdr:oneCellAnchor>
  <xdr:twoCellAnchor>
    <xdr:from>
      <xdr:col>20</xdr:col>
      <xdr:colOff>323145</xdr:colOff>
      <xdr:row>35</xdr:row>
      <xdr:rowOff>135132</xdr:rowOff>
    </xdr:from>
    <xdr:to>
      <xdr:col>35</xdr:col>
      <xdr:colOff>195384</xdr:colOff>
      <xdr:row>54</xdr:row>
      <xdr:rowOff>190500</xdr:rowOff>
    </xdr:to>
    <xdr:grpSp>
      <xdr:nvGrpSpPr>
        <xdr:cNvPr id="285" name="그룹 284">
          <a:extLst>
            <a:ext uri="{FF2B5EF4-FFF2-40B4-BE49-F238E27FC236}">
              <a16:creationId xmlns:a16="http://schemas.microsoft.com/office/drawing/2014/main" id="{F7224214-E5D3-AC20-A99C-2E8914BC3D3E}"/>
            </a:ext>
          </a:extLst>
        </xdr:cNvPr>
        <xdr:cNvGrpSpPr/>
      </xdr:nvGrpSpPr>
      <xdr:grpSpPr>
        <a:xfrm>
          <a:off x="8675837" y="6680517"/>
          <a:ext cx="5080826" cy="3982598"/>
          <a:chOff x="5559861" y="6750123"/>
          <a:chExt cx="5198098" cy="4552670"/>
        </a:xfrm>
      </xdr:grpSpPr>
      <xdr:pic>
        <xdr:nvPicPr>
          <xdr:cNvPr id="80" name="그림 79">
            <a:extLst>
              <a:ext uri="{FF2B5EF4-FFF2-40B4-BE49-F238E27FC236}">
                <a16:creationId xmlns:a16="http://schemas.microsoft.com/office/drawing/2014/main" id="{D4048424-DCC0-126E-4A77-E3FB4BEFE48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559861" y="6750123"/>
            <a:ext cx="5198098" cy="4552670"/>
          </a:xfrm>
          <a:prstGeom prst="rect">
            <a:avLst/>
          </a:prstGeom>
        </xdr:spPr>
      </xdr:pic>
      <xdr:sp macro="" textlink="">
        <xdr:nvSpPr>
          <xdr:cNvPr id="169" name="TextBox 168">
            <a:extLst>
              <a:ext uri="{FF2B5EF4-FFF2-40B4-BE49-F238E27FC236}">
                <a16:creationId xmlns:a16="http://schemas.microsoft.com/office/drawing/2014/main" id="{731010A1-3110-D7A0-FB8A-176137F2F6F7}"/>
              </a:ext>
            </a:extLst>
          </xdr:cNvPr>
          <xdr:cNvSpPr txBox="1"/>
        </xdr:nvSpPr>
        <xdr:spPr>
          <a:xfrm>
            <a:off x="7786687" y="10052843"/>
            <a:ext cx="363803" cy="277813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noAutofit/>
          </a:bodyPr>
          <a:lstStyle/>
          <a:p>
            <a:r>
              <a:rPr lang="en-US" altLang="ko-KR" sz="1200" b="1">
                <a:solidFill>
                  <a:srgbClr val="FF0000"/>
                </a:solidFill>
              </a:rPr>
              <a:t>0.80</a:t>
            </a:r>
            <a:endParaRPr lang="ko-KR" altLang="en-US" sz="1200" b="1">
              <a:solidFill>
                <a:srgbClr val="FF0000"/>
              </a:solidFill>
            </a:endParaRPr>
          </a:p>
        </xdr:txBody>
      </xdr:sp>
      <xdr:cxnSp macro="">
        <xdr:nvCxnSpPr>
          <xdr:cNvPr id="171" name="직선 연결선 170">
            <a:extLst>
              <a:ext uri="{FF2B5EF4-FFF2-40B4-BE49-F238E27FC236}">
                <a16:creationId xmlns:a16="http://schemas.microsoft.com/office/drawing/2014/main" id="{A3170235-8310-F05B-EEF7-BE32765B4C59}"/>
              </a:ext>
            </a:extLst>
          </xdr:cNvPr>
          <xdr:cNvCxnSpPr/>
        </xdr:nvCxnSpPr>
        <xdr:spPr>
          <a:xfrm>
            <a:off x="7721865" y="7477125"/>
            <a:ext cx="0" cy="828000"/>
          </a:xfrm>
          <a:prstGeom prst="line">
            <a:avLst/>
          </a:prstGeom>
          <a:ln w="25400"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246775</xdr:colOff>
      <xdr:row>58</xdr:row>
      <xdr:rowOff>87048</xdr:rowOff>
    </xdr:from>
    <xdr:to>
      <xdr:col>2</xdr:col>
      <xdr:colOff>246775</xdr:colOff>
      <xdr:row>88</xdr:row>
      <xdr:rowOff>153117</xdr:rowOff>
    </xdr:to>
    <xdr:cxnSp macro="">
      <xdr:nvCxnSpPr>
        <xdr:cNvPr id="279" name="직선 연결선 278">
          <a:extLst>
            <a:ext uri="{FF2B5EF4-FFF2-40B4-BE49-F238E27FC236}">
              <a16:creationId xmlns:a16="http://schemas.microsoft.com/office/drawing/2014/main" id="{D194CC1A-3860-4840-A6C6-2B4CC2CF34B4}"/>
            </a:ext>
          </a:extLst>
        </xdr:cNvPr>
        <xdr:cNvCxnSpPr/>
      </xdr:nvCxnSpPr>
      <xdr:spPr>
        <a:xfrm>
          <a:off x="1244099" y="11229430"/>
          <a:ext cx="0" cy="6117246"/>
        </a:xfrm>
        <a:prstGeom prst="line">
          <a:avLst/>
        </a:prstGeom>
        <a:ln w="79375">
          <a:solidFill>
            <a:schemeClr val="accent5">
              <a:lumMod val="40000"/>
              <a:lumOff val="6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617004</xdr:colOff>
      <xdr:row>60</xdr:row>
      <xdr:rowOff>126041</xdr:rowOff>
    </xdr:from>
    <xdr:to>
      <xdr:col>16</xdr:col>
      <xdr:colOff>36843</xdr:colOff>
      <xdr:row>85</xdr:row>
      <xdr:rowOff>73149</xdr:rowOff>
    </xdr:to>
    <xdr:grpSp>
      <xdr:nvGrpSpPr>
        <xdr:cNvPr id="166" name="그룹 165">
          <a:extLst>
            <a:ext uri="{FF2B5EF4-FFF2-40B4-BE49-F238E27FC236}">
              <a16:creationId xmlns:a16="http://schemas.microsoft.com/office/drawing/2014/main" id="{F5852A13-BBA0-54AB-98BB-D7380B3735CB}"/>
            </a:ext>
          </a:extLst>
        </xdr:cNvPr>
        <xdr:cNvGrpSpPr/>
      </xdr:nvGrpSpPr>
      <xdr:grpSpPr>
        <a:xfrm>
          <a:off x="620179" y="11832754"/>
          <a:ext cx="5131664" cy="5071192"/>
          <a:chOff x="14400474" y="18130837"/>
          <a:chExt cx="5165266" cy="5073803"/>
        </a:xfrm>
      </xdr:grpSpPr>
      <xdr:sp macro="" textlink="">
        <xdr:nvSpPr>
          <xdr:cNvPr id="93" name="직사각형 92">
            <a:extLst>
              <a:ext uri="{FF2B5EF4-FFF2-40B4-BE49-F238E27FC236}">
                <a16:creationId xmlns:a16="http://schemas.microsoft.com/office/drawing/2014/main" id="{71B86B6C-770D-CD7B-DDD5-B90888E2F6A0}"/>
              </a:ext>
            </a:extLst>
          </xdr:cNvPr>
          <xdr:cNvSpPr/>
        </xdr:nvSpPr>
        <xdr:spPr>
          <a:xfrm>
            <a:off x="14406562" y="18150416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6" name="직사각형 95">
            <a:extLst>
              <a:ext uri="{FF2B5EF4-FFF2-40B4-BE49-F238E27FC236}">
                <a16:creationId xmlns:a16="http://schemas.microsoft.com/office/drawing/2014/main" id="{F8586E03-BD38-4378-922D-7D46F95F0E4A}"/>
              </a:ext>
            </a:extLst>
          </xdr:cNvPr>
          <xdr:cNvSpPr/>
        </xdr:nvSpPr>
        <xdr:spPr>
          <a:xfrm>
            <a:off x="14618494" y="18144065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9" name="직사각형 98">
            <a:extLst>
              <a:ext uri="{FF2B5EF4-FFF2-40B4-BE49-F238E27FC236}">
                <a16:creationId xmlns:a16="http://schemas.microsoft.com/office/drawing/2014/main" id="{C31ED9A8-00BB-E6D4-A8BD-0408F328F61C}"/>
              </a:ext>
            </a:extLst>
          </xdr:cNvPr>
          <xdr:cNvSpPr/>
        </xdr:nvSpPr>
        <xdr:spPr>
          <a:xfrm>
            <a:off x="15994325" y="18130837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0" name="직사각형 99">
            <a:extLst>
              <a:ext uri="{FF2B5EF4-FFF2-40B4-BE49-F238E27FC236}">
                <a16:creationId xmlns:a16="http://schemas.microsoft.com/office/drawing/2014/main" id="{F202DD82-307C-F6FE-FC7A-3757EB4DD8E0}"/>
              </a:ext>
            </a:extLst>
          </xdr:cNvPr>
          <xdr:cNvSpPr/>
        </xdr:nvSpPr>
        <xdr:spPr>
          <a:xfrm>
            <a:off x="16206257" y="18131101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3" name="직사각형 102">
            <a:extLst>
              <a:ext uri="{FF2B5EF4-FFF2-40B4-BE49-F238E27FC236}">
                <a16:creationId xmlns:a16="http://schemas.microsoft.com/office/drawing/2014/main" id="{6828CE62-F4D8-6497-1E47-B647ACF2118C}"/>
              </a:ext>
            </a:extLst>
          </xdr:cNvPr>
          <xdr:cNvSpPr/>
        </xdr:nvSpPr>
        <xdr:spPr>
          <a:xfrm>
            <a:off x="14406826" y="19718337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4" name="직사각형 103">
            <a:extLst>
              <a:ext uri="{FF2B5EF4-FFF2-40B4-BE49-F238E27FC236}">
                <a16:creationId xmlns:a16="http://schemas.microsoft.com/office/drawing/2014/main" id="{7C4A11A1-F503-0629-BAFF-DC1213EC1563}"/>
              </a:ext>
            </a:extLst>
          </xdr:cNvPr>
          <xdr:cNvSpPr/>
        </xdr:nvSpPr>
        <xdr:spPr>
          <a:xfrm>
            <a:off x="14618758" y="19718601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6" name="직사각형 105">
            <a:extLst>
              <a:ext uri="{FF2B5EF4-FFF2-40B4-BE49-F238E27FC236}">
                <a16:creationId xmlns:a16="http://schemas.microsoft.com/office/drawing/2014/main" id="{B8F02D27-8EDA-671D-33D8-C4E08C92B21E}"/>
              </a:ext>
            </a:extLst>
          </xdr:cNvPr>
          <xdr:cNvSpPr/>
        </xdr:nvSpPr>
        <xdr:spPr>
          <a:xfrm>
            <a:off x="15994589" y="19705373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7" name="직사각형 106">
            <a:extLst>
              <a:ext uri="{FF2B5EF4-FFF2-40B4-BE49-F238E27FC236}">
                <a16:creationId xmlns:a16="http://schemas.microsoft.com/office/drawing/2014/main" id="{5B01E2ED-89E8-9ACD-643D-4F660053D8E1}"/>
              </a:ext>
            </a:extLst>
          </xdr:cNvPr>
          <xdr:cNvSpPr/>
        </xdr:nvSpPr>
        <xdr:spPr>
          <a:xfrm>
            <a:off x="16206521" y="19705637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9" name="직사각형 108">
            <a:extLst>
              <a:ext uri="{FF2B5EF4-FFF2-40B4-BE49-F238E27FC236}">
                <a16:creationId xmlns:a16="http://schemas.microsoft.com/office/drawing/2014/main" id="{8E3AE716-EDEB-FBF3-5166-46EADF0FE352}"/>
              </a:ext>
            </a:extLst>
          </xdr:cNvPr>
          <xdr:cNvSpPr/>
        </xdr:nvSpPr>
        <xdr:spPr>
          <a:xfrm>
            <a:off x="17614901" y="19685264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0" name="직사각형 109">
            <a:extLst>
              <a:ext uri="{FF2B5EF4-FFF2-40B4-BE49-F238E27FC236}">
                <a16:creationId xmlns:a16="http://schemas.microsoft.com/office/drawing/2014/main" id="{815F1A9C-7A1B-4F48-2326-2668C0B9BC2E}"/>
              </a:ext>
            </a:extLst>
          </xdr:cNvPr>
          <xdr:cNvSpPr/>
        </xdr:nvSpPr>
        <xdr:spPr>
          <a:xfrm>
            <a:off x="17826833" y="19685528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2" name="직사각형 111">
            <a:extLst>
              <a:ext uri="{FF2B5EF4-FFF2-40B4-BE49-F238E27FC236}">
                <a16:creationId xmlns:a16="http://schemas.microsoft.com/office/drawing/2014/main" id="{4C8A8791-E9A0-CCEC-C25D-3D0E334A0972}"/>
              </a:ext>
            </a:extLst>
          </xdr:cNvPr>
          <xdr:cNvSpPr/>
        </xdr:nvSpPr>
        <xdr:spPr>
          <a:xfrm>
            <a:off x="19209280" y="19672300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3" name="직사각형 112">
            <a:extLst>
              <a:ext uri="{FF2B5EF4-FFF2-40B4-BE49-F238E27FC236}">
                <a16:creationId xmlns:a16="http://schemas.microsoft.com/office/drawing/2014/main" id="{97DAD891-9FFE-4942-26FF-B16E24A356F5}"/>
              </a:ext>
            </a:extLst>
          </xdr:cNvPr>
          <xdr:cNvSpPr/>
        </xdr:nvSpPr>
        <xdr:spPr>
          <a:xfrm>
            <a:off x="19421212" y="19672564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3" name="직사각형 122">
            <a:extLst>
              <a:ext uri="{FF2B5EF4-FFF2-40B4-BE49-F238E27FC236}">
                <a16:creationId xmlns:a16="http://schemas.microsoft.com/office/drawing/2014/main" id="{F690AE20-A268-F13C-0A66-AA9B27D58B48}"/>
              </a:ext>
            </a:extLst>
          </xdr:cNvPr>
          <xdr:cNvSpPr/>
        </xdr:nvSpPr>
        <xdr:spPr>
          <a:xfrm>
            <a:off x="17615165" y="18144330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4" name="직사각형 123">
            <a:extLst>
              <a:ext uri="{FF2B5EF4-FFF2-40B4-BE49-F238E27FC236}">
                <a16:creationId xmlns:a16="http://schemas.microsoft.com/office/drawing/2014/main" id="{BA274BA3-F1C0-5BB2-5752-701CEA3EFCAA}"/>
              </a:ext>
            </a:extLst>
          </xdr:cNvPr>
          <xdr:cNvSpPr/>
        </xdr:nvSpPr>
        <xdr:spPr>
          <a:xfrm>
            <a:off x="17827097" y="18144594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6" name="직사각형 125">
            <a:extLst>
              <a:ext uri="{FF2B5EF4-FFF2-40B4-BE49-F238E27FC236}">
                <a16:creationId xmlns:a16="http://schemas.microsoft.com/office/drawing/2014/main" id="{02BC3B8C-EB8A-4254-3632-998275338998}"/>
              </a:ext>
            </a:extLst>
          </xdr:cNvPr>
          <xdr:cNvSpPr/>
        </xdr:nvSpPr>
        <xdr:spPr>
          <a:xfrm>
            <a:off x="19202928" y="18131366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7" name="직사각형 126">
            <a:extLst>
              <a:ext uri="{FF2B5EF4-FFF2-40B4-BE49-F238E27FC236}">
                <a16:creationId xmlns:a16="http://schemas.microsoft.com/office/drawing/2014/main" id="{1A320CF7-D4E7-8EAB-F035-E57E8FEF27ED}"/>
              </a:ext>
            </a:extLst>
          </xdr:cNvPr>
          <xdr:cNvSpPr/>
        </xdr:nvSpPr>
        <xdr:spPr>
          <a:xfrm>
            <a:off x="19414860" y="18131630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9" name="직사각형 128">
            <a:extLst>
              <a:ext uri="{FF2B5EF4-FFF2-40B4-BE49-F238E27FC236}">
                <a16:creationId xmlns:a16="http://schemas.microsoft.com/office/drawing/2014/main" id="{AE8A6BA5-62C1-E57D-450F-02EB5B34CB63}"/>
              </a:ext>
            </a:extLst>
          </xdr:cNvPr>
          <xdr:cNvSpPr/>
        </xdr:nvSpPr>
        <xdr:spPr>
          <a:xfrm>
            <a:off x="14406825" y="21305840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0" name="직사각형 129">
            <a:extLst>
              <a:ext uri="{FF2B5EF4-FFF2-40B4-BE49-F238E27FC236}">
                <a16:creationId xmlns:a16="http://schemas.microsoft.com/office/drawing/2014/main" id="{AB11A433-3632-6E7A-C958-A217312F99D3}"/>
              </a:ext>
            </a:extLst>
          </xdr:cNvPr>
          <xdr:cNvSpPr/>
        </xdr:nvSpPr>
        <xdr:spPr>
          <a:xfrm>
            <a:off x="14618757" y="21306104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2" name="직사각형 131">
            <a:extLst>
              <a:ext uri="{FF2B5EF4-FFF2-40B4-BE49-F238E27FC236}">
                <a16:creationId xmlns:a16="http://schemas.microsoft.com/office/drawing/2014/main" id="{19AF003B-D8B3-41C6-CB92-378AC3A9FD6F}"/>
              </a:ext>
            </a:extLst>
          </xdr:cNvPr>
          <xdr:cNvSpPr/>
        </xdr:nvSpPr>
        <xdr:spPr>
          <a:xfrm>
            <a:off x="15994588" y="21292876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3" name="직사각형 132">
            <a:extLst>
              <a:ext uri="{FF2B5EF4-FFF2-40B4-BE49-F238E27FC236}">
                <a16:creationId xmlns:a16="http://schemas.microsoft.com/office/drawing/2014/main" id="{38DB4FD2-345D-1F20-7DFB-45EFC780DC36}"/>
              </a:ext>
            </a:extLst>
          </xdr:cNvPr>
          <xdr:cNvSpPr/>
        </xdr:nvSpPr>
        <xdr:spPr>
          <a:xfrm>
            <a:off x="16206520" y="21293140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6" name="직사각형 135">
            <a:extLst>
              <a:ext uri="{FF2B5EF4-FFF2-40B4-BE49-F238E27FC236}">
                <a16:creationId xmlns:a16="http://schemas.microsoft.com/office/drawing/2014/main" id="{B1966E75-BC99-A62B-492F-162AB33A36F8}"/>
              </a:ext>
            </a:extLst>
          </xdr:cNvPr>
          <xdr:cNvSpPr/>
        </xdr:nvSpPr>
        <xdr:spPr>
          <a:xfrm>
            <a:off x="14400474" y="22880376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7" name="직사각형 136">
            <a:extLst>
              <a:ext uri="{FF2B5EF4-FFF2-40B4-BE49-F238E27FC236}">
                <a16:creationId xmlns:a16="http://schemas.microsoft.com/office/drawing/2014/main" id="{C2FE1B97-6F25-AF69-9905-6094848E5643}"/>
              </a:ext>
            </a:extLst>
          </xdr:cNvPr>
          <xdr:cNvSpPr/>
        </xdr:nvSpPr>
        <xdr:spPr>
          <a:xfrm>
            <a:off x="14612406" y="22880640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39" name="직사각형 138">
            <a:extLst>
              <a:ext uri="{FF2B5EF4-FFF2-40B4-BE49-F238E27FC236}">
                <a16:creationId xmlns:a16="http://schemas.microsoft.com/office/drawing/2014/main" id="{3F2F12ED-2F40-CF3A-BEA3-B7AD712E917B}"/>
              </a:ext>
            </a:extLst>
          </xdr:cNvPr>
          <xdr:cNvSpPr/>
        </xdr:nvSpPr>
        <xdr:spPr>
          <a:xfrm>
            <a:off x="15988237" y="22867412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0" name="직사각형 139">
            <a:extLst>
              <a:ext uri="{FF2B5EF4-FFF2-40B4-BE49-F238E27FC236}">
                <a16:creationId xmlns:a16="http://schemas.microsoft.com/office/drawing/2014/main" id="{DBC1314F-6841-C88A-3DBB-75982488D83D}"/>
              </a:ext>
            </a:extLst>
          </xdr:cNvPr>
          <xdr:cNvSpPr/>
        </xdr:nvSpPr>
        <xdr:spPr>
          <a:xfrm>
            <a:off x="16200169" y="22867676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2" name="직사각형 141">
            <a:extLst>
              <a:ext uri="{FF2B5EF4-FFF2-40B4-BE49-F238E27FC236}">
                <a16:creationId xmlns:a16="http://schemas.microsoft.com/office/drawing/2014/main" id="{F656B8D9-2AFD-3024-C719-E4F6D91717FF}"/>
              </a:ext>
            </a:extLst>
          </xdr:cNvPr>
          <xdr:cNvSpPr/>
        </xdr:nvSpPr>
        <xdr:spPr>
          <a:xfrm>
            <a:off x="17615163" y="22847303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3" name="직사각형 142">
            <a:extLst>
              <a:ext uri="{FF2B5EF4-FFF2-40B4-BE49-F238E27FC236}">
                <a16:creationId xmlns:a16="http://schemas.microsoft.com/office/drawing/2014/main" id="{FF96E83D-C265-4B7A-69A1-CFEBED7A0855}"/>
              </a:ext>
            </a:extLst>
          </xdr:cNvPr>
          <xdr:cNvSpPr/>
        </xdr:nvSpPr>
        <xdr:spPr>
          <a:xfrm>
            <a:off x="17827095" y="22847567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5" name="직사각형 144">
            <a:extLst>
              <a:ext uri="{FF2B5EF4-FFF2-40B4-BE49-F238E27FC236}">
                <a16:creationId xmlns:a16="http://schemas.microsoft.com/office/drawing/2014/main" id="{63FB7095-A489-03F7-B4A3-DDA6918DCFE9}"/>
              </a:ext>
            </a:extLst>
          </xdr:cNvPr>
          <xdr:cNvSpPr/>
        </xdr:nvSpPr>
        <xdr:spPr>
          <a:xfrm>
            <a:off x="19202928" y="22834339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6" name="직사각형 145">
            <a:extLst>
              <a:ext uri="{FF2B5EF4-FFF2-40B4-BE49-F238E27FC236}">
                <a16:creationId xmlns:a16="http://schemas.microsoft.com/office/drawing/2014/main" id="{52BA856A-7B4E-B33B-AE84-FA90463EAD79}"/>
              </a:ext>
            </a:extLst>
          </xdr:cNvPr>
          <xdr:cNvSpPr/>
        </xdr:nvSpPr>
        <xdr:spPr>
          <a:xfrm>
            <a:off x="19414860" y="22834603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9" name="직사각형 148">
            <a:extLst>
              <a:ext uri="{FF2B5EF4-FFF2-40B4-BE49-F238E27FC236}">
                <a16:creationId xmlns:a16="http://schemas.microsoft.com/office/drawing/2014/main" id="{04E37D74-09C8-2F1C-265B-BAA90D6965AC}"/>
              </a:ext>
            </a:extLst>
          </xdr:cNvPr>
          <xdr:cNvSpPr/>
        </xdr:nvSpPr>
        <xdr:spPr>
          <a:xfrm>
            <a:off x="17615428" y="21306369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0" name="직사각형 149">
            <a:extLst>
              <a:ext uri="{FF2B5EF4-FFF2-40B4-BE49-F238E27FC236}">
                <a16:creationId xmlns:a16="http://schemas.microsoft.com/office/drawing/2014/main" id="{ADB5E970-995F-38E5-F15E-B90E62964C69}"/>
              </a:ext>
            </a:extLst>
          </xdr:cNvPr>
          <xdr:cNvSpPr/>
        </xdr:nvSpPr>
        <xdr:spPr>
          <a:xfrm>
            <a:off x="17827360" y="21306633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2" name="직사각형 151">
            <a:extLst>
              <a:ext uri="{FF2B5EF4-FFF2-40B4-BE49-F238E27FC236}">
                <a16:creationId xmlns:a16="http://schemas.microsoft.com/office/drawing/2014/main" id="{D7CA38B1-CEFD-9028-76B3-0BFF8E4CD6CC}"/>
              </a:ext>
            </a:extLst>
          </xdr:cNvPr>
          <xdr:cNvSpPr/>
        </xdr:nvSpPr>
        <xdr:spPr>
          <a:xfrm>
            <a:off x="19209808" y="21293405"/>
            <a:ext cx="144000" cy="324000"/>
          </a:xfrm>
          <a:prstGeom prst="rect">
            <a:avLst/>
          </a:prstGeom>
          <a:solidFill>
            <a:srgbClr val="FF00FF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53" name="직사각형 152">
            <a:extLst>
              <a:ext uri="{FF2B5EF4-FFF2-40B4-BE49-F238E27FC236}">
                <a16:creationId xmlns:a16="http://schemas.microsoft.com/office/drawing/2014/main" id="{6FEB1848-2F37-4363-3AEA-0BCB0FB0B2F1}"/>
              </a:ext>
            </a:extLst>
          </xdr:cNvPr>
          <xdr:cNvSpPr/>
        </xdr:nvSpPr>
        <xdr:spPr>
          <a:xfrm>
            <a:off x="19421740" y="21293669"/>
            <a:ext cx="144000" cy="324000"/>
          </a:xfrm>
          <a:prstGeom prst="rect">
            <a:avLst/>
          </a:prstGeom>
          <a:solidFill>
            <a:schemeClr val="bg1">
              <a:lumMod val="75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</xdr:col>
      <xdr:colOff>34130</xdr:colOff>
      <xdr:row>58</xdr:row>
      <xdr:rowOff>79352</xdr:rowOff>
    </xdr:from>
    <xdr:to>
      <xdr:col>1</xdr:col>
      <xdr:colOff>34130</xdr:colOff>
      <xdr:row>88</xdr:row>
      <xdr:rowOff>145421</xdr:rowOff>
    </xdr:to>
    <xdr:cxnSp macro="">
      <xdr:nvCxnSpPr>
        <xdr:cNvPr id="157" name="직선 연결선 156">
          <a:extLst>
            <a:ext uri="{FF2B5EF4-FFF2-40B4-BE49-F238E27FC236}">
              <a16:creationId xmlns:a16="http://schemas.microsoft.com/office/drawing/2014/main" id="{EF113037-103C-BFDA-F576-1DE035C12C46}"/>
            </a:ext>
          </a:extLst>
        </xdr:cNvPr>
        <xdr:cNvCxnSpPr/>
      </xdr:nvCxnSpPr>
      <xdr:spPr>
        <a:xfrm>
          <a:off x="695277" y="11221734"/>
          <a:ext cx="0" cy="6117246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23754</xdr:colOff>
      <xdr:row>58</xdr:row>
      <xdr:rowOff>123997</xdr:rowOff>
    </xdr:from>
    <xdr:to>
      <xdr:col>7</xdr:col>
      <xdr:colOff>23754</xdr:colOff>
      <xdr:row>88</xdr:row>
      <xdr:rowOff>190066</xdr:rowOff>
    </xdr:to>
    <xdr:cxnSp macro="">
      <xdr:nvCxnSpPr>
        <xdr:cNvPr id="163" name="직선 연결선 162">
          <a:extLst>
            <a:ext uri="{FF2B5EF4-FFF2-40B4-BE49-F238E27FC236}">
              <a16:creationId xmlns:a16="http://schemas.microsoft.com/office/drawing/2014/main" id="{B53F307D-3FA4-4981-8543-065685F3DD4E}"/>
            </a:ext>
          </a:extLst>
        </xdr:cNvPr>
        <xdr:cNvCxnSpPr/>
      </xdr:nvCxnSpPr>
      <xdr:spPr>
        <a:xfrm>
          <a:off x="2701960" y="11266379"/>
          <a:ext cx="0" cy="6117246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189091</xdr:colOff>
      <xdr:row>58</xdr:row>
      <xdr:rowOff>79882</xdr:rowOff>
    </xdr:from>
    <xdr:to>
      <xdr:col>10</xdr:col>
      <xdr:colOff>189091</xdr:colOff>
      <xdr:row>88</xdr:row>
      <xdr:rowOff>145951</xdr:rowOff>
    </xdr:to>
    <xdr:cxnSp macro="">
      <xdr:nvCxnSpPr>
        <xdr:cNvPr id="164" name="직선 연결선 163">
          <a:extLst>
            <a:ext uri="{FF2B5EF4-FFF2-40B4-BE49-F238E27FC236}">
              <a16:creationId xmlns:a16="http://schemas.microsoft.com/office/drawing/2014/main" id="{56BAE821-C13C-4A75-AEAF-BA47834E4E49}"/>
            </a:ext>
          </a:extLst>
        </xdr:cNvPr>
        <xdr:cNvCxnSpPr/>
      </xdr:nvCxnSpPr>
      <xdr:spPr>
        <a:xfrm>
          <a:off x="3875826" y="11222264"/>
          <a:ext cx="0" cy="6117246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201824</xdr:colOff>
      <xdr:row>58</xdr:row>
      <xdr:rowOff>85111</xdr:rowOff>
    </xdr:from>
    <xdr:to>
      <xdr:col>16</xdr:col>
      <xdr:colOff>201824</xdr:colOff>
      <xdr:row>88</xdr:row>
      <xdr:rowOff>151180</xdr:rowOff>
    </xdr:to>
    <xdr:cxnSp macro="">
      <xdr:nvCxnSpPr>
        <xdr:cNvPr id="165" name="직선 연결선 164">
          <a:extLst>
            <a:ext uri="{FF2B5EF4-FFF2-40B4-BE49-F238E27FC236}">
              <a16:creationId xmlns:a16="http://schemas.microsoft.com/office/drawing/2014/main" id="{1125938B-221A-4B8E-9048-AD10833BEE7A}"/>
            </a:ext>
          </a:extLst>
        </xdr:cNvPr>
        <xdr:cNvCxnSpPr/>
      </xdr:nvCxnSpPr>
      <xdr:spPr>
        <a:xfrm>
          <a:off x="5905618" y="11227493"/>
          <a:ext cx="0" cy="6117246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256812</xdr:colOff>
      <xdr:row>58</xdr:row>
      <xdr:rowOff>78812</xdr:rowOff>
    </xdr:from>
    <xdr:to>
      <xdr:col>4</xdr:col>
      <xdr:colOff>256812</xdr:colOff>
      <xdr:row>62</xdr:row>
      <xdr:rowOff>164622</xdr:rowOff>
    </xdr:to>
    <xdr:cxnSp macro="">
      <xdr:nvCxnSpPr>
        <xdr:cNvPr id="205" name="직선 연결선 204">
          <a:extLst>
            <a:ext uri="{FF2B5EF4-FFF2-40B4-BE49-F238E27FC236}">
              <a16:creationId xmlns:a16="http://schemas.microsoft.com/office/drawing/2014/main" id="{069E856A-F115-4EDB-BBB7-1836C3E968F4}"/>
            </a:ext>
          </a:extLst>
        </xdr:cNvPr>
        <xdr:cNvCxnSpPr/>
      </xdr:nvCxnSpPr>
      <xdr:spPr>
        <a:xfrm>
          <a:off x="1926488" y="11221194"/>
          <a:ext cx="0" cy="892634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325370</xdr:colOff>
      <xdr:row>58</xdr:row>
      <xdr:rowOff>89243</xdr:rowOff>
    </xdr:from>
    <xdr:to>
      <xdr:col>3</xdr:col>
      <xdr:colOff>325370</xdr:colOff>
      <xdr:row>88</xdr:row>
      <xdr:rowOff>155312</xdr:rowOff>
    </xdr:to>
    <xdr:cxnSp macro="">
      <xdr:nvCxnSpPr>
        <xdr:cNvPr id="206" name="직선 연결선 205">
          <a:extLst>
            <a:ext uri="{FF2B5EF4-FFF2-40B4-BE49-F238E27FC236}">
              <a16:creationId xmlns:a16="http://schemas.microsoft.com/office/drawing/2014/main" id="{B3D21732-060A-4A2E-80E4-378A8F78BDD9}"/>
            </a:ext>
          </a:extLst>
        </xdr:cNvPr>
        <xdr:cNvCxnSpPr/>
      </xdr:nvCxnSpPr>
      <xdr:spPr>
        <a:xfrm>
          <a:off x="1658870" y="11231625"/>
          <a:ext cx="0" cy="6117246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85125</xdr:colOff>
      <xdr:row>58</xdr:row>
      <xdr:rowOff>80413</xdr:rowOff>
    </xdr:from>
    <xdr:to>
      <xdr:col>3</xdr:col>
      <xdr:colOff>85125</xdr:colOff>
      <xdr:row>88</xdr:row>
      <xdr:rowOff>146482</xdr:rowOff>
    </xdr:to>
    <xdr:cxnSp macro="">
      <xdr:nvCxnSpPr>
        <xdr:cNvPr id="207" name="직선 연결선 206">
          <a:extLst>
            <a:ext uri="{FF2B5EF4-FFF2-40B4-BE49-F238E27FC236}">
              <a16:creationId xmlns:a16="http://schemas.microsoft.com/office/drawing/2014/main" id="{469183B2-5733-4DE1-A51B-B57873F12C85}"/>
            </a:ext>
          </a:extLst>
        </xdr:cNvPr>
        <xdr:cNvCxnSpPr/>
      </xdr:nvCxnSpPr>
      <xdr:spPr>
        <a:xfrm>
          <a:off x="1418625" y="11222795"/>
          <a:ext cx="0" cy="6117246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244253</xdr:colOff>
      <xdr:row>62</xdr:row>
      <xdr:rowOff>47467</xdr:rowOff>
    </xdr:from>
    <xdr:to>
      <xdr:col>1</xdr:col>
      <xdr:colOff>244253</xdr:colOff>
      <xdr:row>64</xdr:row>
      <xdr:rowOff>1173</xdr:rowOff>
    </xdr:to>
    <xdr:cxnSp macro="">
      <xdr:nvCxnSpPr>
        <xdr:cNvPr id="208" name="직선 연결선 207">
          <a:extLst>
            <a:ext uri="{FF2B5EF4-FFF2-40B4-BE49-F238E27FC236}">
              <a16:creationId xmlns:a16="http://schemas.microsoft.com/office/drawing/2014/main" id="{E3FFF259-1217-4360-8017-0A774707ADEA}"/>
            </a:ext>
          </a:extLst>
        </xdr:cNvPr>
        <xdr:cNvCxnSpPr/>
      </xdr:nvCxnSpPr>
      <xdr:spPr>
        <a:xfrm flipH="1">
          <a:off x="905400" y="11996673"/>
          <a:ext cx="0" cy="357118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244516</xdr:colOff>
      <xdr:row>64</xdr:row>
      <xdr:rowOff>125738</xdr:rowOff>
    </xdr:from>
    <xdr:to>
      <xdr:col>1</xdr:col>
      <xdr:colOff>244516</xdr:colOff>
      <xdr:row>68</xdr:row>
      <xdr:rowOff>59619</xdr:rowOff>
    </xdr:to>
    <xdr:cxnSp macro="">
      <xdr:nvCxnSpPr>
        <xdr:cNvPr id="211" name="직선 연결선 210">
          <a:extLst>
            <a:ext uri="{FF2B5EF4-FFF2-40B4-BE49-F238E27FC236}">
              <a16:creationId xmlns:a16="http://schemas.microsoft.com/office/drawing/2014/main" id="{36BC31D1-0850-493D-99E1-8B0A2FB4B291}"/>
            </a:ext>
          </a:extLst>
        </xdr:cNvPr>
        <xdr:cNvCxnSpPr/>
      </xdr:nvCxnSpPr>
      <xdr:spPr>
        <a:xfrm flipH="1">
          <a:off x="905663" y="12478356"/>
          <a:ext cx="0" cy="740704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245072</xdr:colOff>
      <xdr:row>75</xdr:row>
      <xdr:rowOff>6969</xdr:rowOff>
    </xdr:from>
    <xdr:to>
      <xdr:col>1</xdr:col>
      <xdr:colOff>245597</xdr:colOff>
      <xdr:row>76</xdr:row>
      <xdr:rowOff>20906</xdr:rowOff>
    </xdr:to>
    <xdr:cxnSp macro="">
      <xdr:nvCxnSpPr>
        <xdr:cNvPr id="212" name="직선 연결선 211">
          <a:extLst>
            <a:ext uri="{FF2B5EF4-FFF2-40B4-BE49-F238E27FC236}">
              <a16:creationId xmlns:a16="http://schemas.microsoft.com/office/drawing/2014/main" id="{6CB9E54E-DB38-4BDE-9109-40D738974833}"/>
            </a:ext>
          </a:extLst>
        </xdr:cNvPr>
        <xdr:cNvCxnSpPr/>
      </xdr:nvCxnSpPr>
      <xdr:spPr>
        <a:xfrm>
          <a:off x="906219" y="14578351"/>
          <a:ext cx="525" cy="215643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263952</xdr:colOff>
      <xdr:row>63</xdr:row>
      <xdr:rowOff>178826</xdr:rowOff>
    </xdr:from>
    <xdr:to>
      <xdr:col>2</xdr:col>
      <xdr:colOff>177296</xdr:colOff>
      <xdr:row>63</xdr:row>
      <xdr:rowOff>178826</xdr:rowOff>
    </xdr:to>
    <xdr:cxnSp macro="">
      <xdr:nvCxnSpPr>
        <xdr:cNvPr id="213" name="직선 연결선 212">
          <a:extLst>
            <a:ext uri="{FF2B5EF4-FFF2-40B4-BE49-F238E27FC236}">
              <a16:creationId xmlns:a16="http://schemas.microsoft.com/office/drawing/2014/main" id="{CB400436-524B-43F0-B135-3441A1ED5C9C}"/>
            </a:ext>
          </a:extLst>
        </xdr:cNvPr>
        <xdr:cNvCxnSpPr/>
      </xdr:nvCxnSpPr>
      <xdr:spPr>
        <a:xfrm flipV="1">
          <a:off x="925099" y="12329738"/>
          <a:ext cx="249521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264214</xdr:colOff>
      <xdr:row>64</xdr:row>
      <xdr:rowOff>145909</xdr:rowOff>
    </xdr:from>
    <xdr:to>
      <xdr:col>2</xdr:col>
      <xdr:colOff>177558</xdr:colOff>
      <xdr:row>64</xdr:row>
      <xdr:rowOff>145909</xdr:rowOff>
    </xdr:to>
    <xdr:cxnSp macro="">
      <xdr:nvCxnSpPr>
        <xdr:cNvPr id="217" name="직선 연결선 216">
          <a:extLst>
            <a:ext uri="{FF2B5EF4-FFF2-40B4-BE49-F238E27FC236}">
              <a16:creationId xmlns:a16="http://schemas.microsoft.com/office/drawing/2014/main" id="{D665EC04-B934-4ADE-8A00-43D7CE882AF0}"/>
            </a:ext>
          </a:extLst>
        </xdr:cNvPr>
        <xdr:cNvCxnSpPr/>
      </xdr:nvCxnSpPr>
      <xdr:spPr>
        <a:xfrm flipV="1">
          <a:off x="925361" y="12498527"/>
          <a:ext cx="249521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53061</xdr:colOff>
      <xdr:row>65</xdr:row>
      <xdr:rowOff>112990</xdr:rowOff>
    </xdr:from>
    <xdr:to>
      <xdr:col>2</xdr:col>
      <xdr:colOff>196011</xdr:colOff>
      <xdr:row>65</xdr:row>
      <xdr:rowOff>112990</xdr:rowOff>
    </xdr:to>
    <xdr:cxnSp macro="">
      <xdr:nvCxnSpPr>
        <xdr:cNvPr id="218" name="직선 연결선 217">
          <a:extLst>
            <a:ext uri="{FF2B5EF4-FFF2-40B4-BE49-F238E27FC236}">
              <a16:creationId xmlns:a16="http://schemas.microsoft.com/office/drawing/2014/main" id="{B0DB3F38-0740-426E-B469-92812D87247C}"/>
            </a:ext>
          </a:extLst>
        </xdr:cNvPr>
        <xdr:cNvCxnSpPr/>
      </xdr:nvCxnSpPr>
      <xdr:spPr>
        <a:xfrm flipV="1">
          <a:off x="1050385" y="12667314"/>
          <a:ext cx="14295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66193</xdr:colOff>
      <xdr:row>65</xdr:row>
      <xdr:rowOff>86184</xdr:rowOff>
    </xdr:from>
    <xdr:to>
      <xdr:col>2</xdr:col>
      <xdr:colOff>66193</xdr:colOff>
      <xdr:row>75</xdr:row>
      <xdr:rowOff>19336</xdr:rowOff>
    </xdr:to>
    <xdr:cxnSp macro="">
      <xdr:nvCxnSpPr>
        <xdr:cNvPr id="220" name="직선 연결선 219">
          <a:extLst>
            <a:ext uri="{FF2B5EF4-FFF2-40B4-BE49-F238E27FC236}">
              <a16:creationId xmlns:a16="http://schemas.microsoft.com/office/drawing/2014/main" id="{1D1F60C3-8A97-464E-8FC2-2B338CB53E47}"/>
            </a:ext>
          </a:extLst>
        </xdr:cNvPr>
        <xdr:cNvCxnSpPr/>
      </xdr:nvCxnSpPr>
      <xdr:spPr>
        <a:xfrm flipH="1">
          <a:off x="1063517" y="12640508"/>
          <a:ext cx="0" cy="195021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223320</xdr:colOff>
      <xdr:row>74</xdr:row>
      <xdr:rowOff>197757</xdr:rowOff>
    </xdr:from>
    <xdr:to>
      <xdr:col>2</xdr:col>
      <xdr:colOff>66348</xdr:colOff>
      <xdr:row>74</xdr:row>
      <xdr:rowOff>197757</xdr:rowOff>
    </xdr:to>
    <xdr:cxnSp macro="">
      <xdr:nvCxnSpPr>
        <xdr:cNvPr id="223" name="직선 연결선 222">
          <a:extLst>
            <a:ext uri="{FF2B5EF4-FFF2-40B4-BE49-F238E27FC236}">
              <a16:creationId xmlns:a16="http://schemas.microsoft.com/office/drawing/2014/main" id="{4D448AFF-DB3D-4030-B460-73DC5508C4D2}"/>
            </a:ext>
          </a:extLst>
        </xdr:cNvPr>
        <xdr:cNvCxnSpPr/>
      </xdr:nvCxnSpPr>
      <xdr:spPr>
        <a:xfrm>
          <a:off x="884467" y="14567433"/>
          <a:ext cx="179205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184008</xdr:colOff>
      <xdr:row>62</xdr:row>
      <xdr:rowOff>151740</xdr:rowOff>
    </xdr:from>
    <xdr:to>
      <xdr:col>4</xdr:col>
      <xdr:colOff>308799</xdr:colOff>
      <xdr:row>66</xdr:row>
      <xdr:rowOff>141465</xdr:rowOff>
    </xdr:to>
    <xdr:pic>
      <xdr:nvPicPr>
        <xdr:cNvPr id="277" name="그림 276">
          <a:extLst>
            <a:ext uri="{FF2B5EF4-FFF2-40B4-BE49-F238E27FC236}">
              <a16:creationId xmlns:a16="http://schemas.microsoft.com/office/drawing/2014/main" id="{3EAE01FC-5FF4-DFC3-D7AE-91BBD3285A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1181630" y="12100648"/>
          <a:ext cx="796548" cy="797143"/>
        </a:xfrm>
        <a:prstGeom prst="rect">
          <a:avLst/>
        </a:prstGeom>
      </xdr:spPr>
    </xdr:pic>
    <xdr:clientData/>
  </xdr:twoCellAnchor>
  <xdr:twoCellAnchor>
    <xdr:from>
      <xdr:col>1</xdr:col>
      <xdr:colOff>287072</xdr:colOff>
      <xdr:row>34</xdr:row>
      <xdr:rowOff>196450</xdr:rowOff>
    </xdr:from>
    <xdr:to>
      <xdr:col>14</xdr:col>
      <xdr:colOff>42381</xdr:colOff>
      <xdr:row>56</xdr:row>
      <xdr:rowOff>37042</xdr:rowOff>
    </xdr:to>
    <xdr:grpSp>
      <xdr:nvGrpSpPr>
        <xdr:cNvPr id="292" name="그룹 291">
          <a:extLst>
            <a:ext uri="{FF2B5EF4-FFF2-40B4-BE49-F238E27FC236}">
              <a16:creationId xmlns:a16="http://schemas.microsoft.com/office/drawing/2014/main" id="{AFC0657C-6D2E-C6E5-1AA4-52761399A8C0}"/>
            </a:ext>
          </a:extLst>
        </xdr:cNvPr>
        <xdr:cNvGrpSpPr/>
      </xdr:nvGrpSpPr>
      <xdr:grpSpPr>
        <a:xfrm>
          <a:off x="946495" y="6528499"/>
          <a:ext cx="4138396" cy="4391466"/>
          <a:chOff x="948530" y="6509408"/>
          <a:chExt cx="4157976" cy="4327926"/>
        </a:xfrm>
      </xdr:grpSpPr>
      <xdr:grpSp>
        <xdr:nvGrpSpPr>
          <xdr:cNvPr id="281" name="그룹 280">
            <a:extLst>
              <a:ext uri="{FF2B5EF4-FFF2-40B4-BE49-F238E27FC236}">
                <a16:creationId xmlns:a16="http://schemas.microsoft.com/office/drawing/2014/main" id="{1CD04720-1104-36AB-B2B2-BA0E51B6ABF9}"/>
              </a:ext>
            </a:extLst>
          </xdr:cNvPr>
          <xdr:cNvGrpSpPr/>
        </xdr:nvGrpSpPr>
        <xdr:grpSpPr>
          <a:xfrm>
            <a:off x="948530" y="6509408"/>
            <a:ext cx="4157976" cy="4327926"/>
            <a:chOff x="2128572" y="12007450"/>
            <a:chExt cx="4157976" cy="4327926"/>
          </a:xfrm>
        </xdr:grpSpPr>
        <xdr:grpSp>
          <xdr:nvGrpSpPr>
            <xdr:cNvPr id="175" name="그룹 174">
              <a:extLst>
                <a:ext uri="{FF2B5EF4-FFF2-40B4-BE49-F238E27FC236}">
                  <a16:creationId xmlns:a16="http://schemas.microsoft.com/office/drawing/2014/main" id="{90D9DC57-212A-4D9C-0932-A792A8179032}"/>
                </a:ext>
              </a:extLst>
            </xdr:cNvPr>
            <xdr:cNvGrpSpPr/>
          </xdr:nvGrpSpPr>
          <xdr:grpSpPr>
            <a:xfrm>
              <a:off x="2401093" y="12007450"/>
              <a:ext cx="3885455" cy="4327926"/>
              <a:chOff x="2394478" y="12121221"/>
              <a:chExt cx="3872226" cy="4415238"/>
            </a:xfrm>
          </xdr:grpSpPr>
          <xdr:pic>
            <xdr:nvPicPr>
              <xdr:cNvPr id="174" name="그림 173">
                <a:extLst>
                  <a:ext uri="{FF2B5EF4-FFF2-40B4-BE49-F238E27FC236}">
                    <a16:creationId xmlns:a16="http://schemas.microsoft.com/office/drawing/2014/main" id="{1EDCA0CF-7A6B-E1AC-EB5B-BC9E3773098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2394478" y="12733073"/>
                <a:ext cx="3872226" cy="3803386"/>
              </a:xfrm>
              <a:prstGeom prst="rect">
                <a:avLst/>
              </a:prstGeom>
            </xdr:spPr>
          </xdr:pic>
          <xdr:sp macro="" textlink="">
            <xdr:nvSpPr>
              <xdr:cNvPr id="89" name="TextBox 88">
                <a:extLst>
                  <a:ext uri="{FF2B5EF4-FFF2-40B4-BE49-F238E27FC236}">
                    <a16:creationId xmlns:a16="http://schemas.microsoft.com/office/drawing/2014/main" id="{9DC28BDB-13AD-4FBF-8D9A-0E3D3C149053}"/>
                  </a:ext>
                </a:extLst>
              </xdr:cNvPr>
              <xdr:cNvSpPr txBox="1"/>
            </xdr:nvSpPr>
            <xdr:spPr>
              <a:xfrm>
                <a:off x="3737237" y="12121221"/>
                <a:ext cx="1336147" cy="300967"/>
              </a:xfrm>
              <a:prstGeom prst="rect">
                <a:avLst/>
              </a:prstGeom>
              <a:solidFill>
                <a:schemeClr val="bg1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r>
                  <a:rPr lang="en-US" altLang="ko-KR" sz="2400" b="1">
                    <a:solidFill>
                      <a:sysClr val="windowText" lastClr="000000"/>
                    </a:solidFill>
                  </a:rPr>
                  <a:t>TOP</a:t>
                </a:r>
                <a:r>
                  <a:rPr lang="en-US" altLang="ko-KR" sz="2400" b="1" baseline="0">
                    <a:solidFill>
                      <a:sysClr val="windowText" lastClr="000000"/>
                    </a:solidFill>
                  </a:rPr>
                  <a:t> VIEW</a:t>
                </a:r>
                <a:endParaRPr lang="ko-KR" altLang="en-US" sz="2400" b="1">
                  <a:solidFill>
                    <a:sysClr val="windowText" lastClr="000000"/>
                  </a:solidFill>
                </a:endParaRPr>
              </a:p>
            </xdr:txBody>
          </xdr:sp>
        </xdr:grpSp>
        <xdr:grpSp>
          <xdr:nvGrpSpPr>
            <xdr:cNvPr id="249" name="그룹 248">
              <a:extLst>
                <a:ext uri="{FF2B5EF4-FFF2-40B4-BE49-F238E27FC236}">
                  <a16:creationId xmlns:a16="http://schemas.microsoft.com/office/drawing/2014/main" id="{A2B86AE3-DD45-CDDA-1951-3CAD2715100A}"/>
                </a:ext>
              </a:extLst>
            </xdr:cNvPr>
            <xdr:cNvGrpSpPr/>
          </xdr:nvGrpSpPr>
          <xdr:grpSpPr>
            <a:xfrm>
              <a:off x="2128572" y="12411735"/>
              <a:ext cx="4112135" cy="3897445"/>
              <a:chOff x="2123280" y="12537412"/>
              <a:chExt cx="4097583" cy="3972851"/>
            </a:xfrm>
          </xdr:grpSpPr>
          <xdr:cxnSp macro="">
            <xdr:nvCxnSpPr>
              <xdr:cNvPr id="177" name="직선 연결선 176">
                <a:extLst>
                  <a:ext uri="{FF2B5EF4-FFF2-40B4-BE49-F238E27FC236}">
                    <a16:creationId xmlns:a16="http://schemas.microsoft.com/office/drawing/2014/main" id="{67BFB2A8-067D-C664-F67E-F7653468607C}"/>
                  </a:ext>
                </a:extLst>
              </xdr:cNvPr>
              <xdr:cNvCxnSpPr/>
            </xdr:nvCxnSpPr>
            <xdr:spPr>
              <a:xfrm flipV="1">
                <a:off x="3710781" y="13989844"/>
                <a:ext cx="1468438" cy="6614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78" name="직선 연결선 177">
                <a:extLst>
                  <a:ext uri="{FF2B5EF4-FFF2-40B4-BE49-F238E27FC236}">
                    <a16:creationId xmlns:a16="http://schemas.microsoft.com/office/drawing/2014/main" id="{5F1D8610-ED2D-4B34-9C9F-E61B33D7A542}"/>
                  </a:ext>
                </a:extLst>
              </xdr:cNvPr>
              <xdr:cNvCxnSpPr/>
            </xdr:nvCxnSpPr>
            <xdr:spPr>
              <a:xfrm>
                <a:off x="3466306" y="15491618"/>
                <a:ext cx="1739372" cy="0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83" name="직선 연결선 182">
                <a:extLst>
                  <a:ext uri="{FF2B5EF4-FFF2-40B4-BE49-F238E27FC236}">
                    <a16:creationId xmlns:a16="http://schemas.microsoft.com/office/drawing/2014/main" id="{EE7ACD8A-85C6-41FD-8062-6B4F1BB30B11}"/>
                  </a:ext>
                </a:extLst>
              </xdr:cNvPr>
              <xdr:cNvCxnSpPr/>
            </xdr:nvCxnSpPr>
            <xdr:spPr>
              <a:xfrm>
                <a:off x="3479271" y="14168438"/>
                <a:ext cx="13494" cy="1303338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2" name="TextBox 51">
                <a:extLst>
                  <a:ext uri="{FF2B5EF4-FFF2-40B4-BE49-F238E27FC236}">
                    <a16:creationId xmlns:a16="http://schemas.microsoft.com/office/drawing/2014/main" id="{941DF4A9-F03D-4977-857A-CC3E6108E3DD}"/>
                  </a:ext>
                </a:extLst>
              </xdr:cNvPr>
              <xdr:cNvSpPr txBox="1"/>
            </xdr:nvSpPr>
            <xdr:spPr>
              <a:xfrm>
                <a:off x="2123280" y="12911667"/>
                <a:ext cx="251355" cy="377031"/>
              </a:xfrm>
              <a:prstGeom prst="rect">
                <a:avLst/>
              </a:prstGeom>
              <a:solidFill>
                <a:schemeClr val="bg1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400" b="1">
                    <a:solidFill>
                      <a:sysClr val="windowText" lastClr="000000"/>
                    </a:solidFill>
                  </a:rPr>
                  <a:t>1</a:t>
                </a:r>
                <a:endParaRPr lang="ko-KR" altLang="en-US" sz="14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58" name="TextBox 57">
                <a:extLst>
                  <a:ext uri="{FF2B5EF4-FFF2-40B4-BE49-F238E27FC236}">
                    <a16:creationId xmlns:a16="http://schemas.microsoft.com/office/drawing/2014/main" id="{AB78EA34-8346-4505-84F1-F8086E3AFEBF}"/>
                  </a:ext>
                </a:extLst>
              </xdr:cNvPr>
              <xdr:cNvSpPr txBox="1"/>
            </xdr:nvSpPr>
            <xdr:spPr>
              <a:xfrm>
                <a:off x="5700222" y="15223186"/>
                <a:ext cx="504000" cy="324000"/>
              </a:xfrm>
              <a:prstGeom prst="rect">
                <a:avLst/>
              </a:prstGeom>
              <a:solidFill>
                <a:schemeClr val="accent4">
                  <a:lumMod val="60000"/>
                  <a:lumOff val="4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DDIO</a:t>
                </a:r>
                <a:endParaRPr lang="ko-KR" altLang="en-US" sz="1100" b="1"/>
              </a:p>
            </xdr:txBody>
          </xdr:sp>
          <xdr:sp macro="" textlink="">
            <xdr:nvSpPr>
              <xdr:cNvPr id="62" name="TextBox 61">
                <a:extLst>
                  <a:ext uri="{FF2B5EF4-FFF2-40B4-BE49-F238E27FC236}">
                    <a16:creationId xmlns:a16="http://schemas.microsoft.com/office/drawing/2014/main" id="{484ED30B-C5EB-4B09-8E29-DCE28D0550EB}"/>
                  </a:ext>
                </a:extLst>
              </xdr:cNvPr>
              <xdr:cNvSpPr txBox="1"/>
            </xdr:nvSpPr>
            <xdr:spPr>
              <a:xfrm>
                <a:off x="2476981" y="15220246"/>
                <a:ext cx="504000" cy="324000"/>
              </a:xfrm>
              <a:prstGeom prst="rect">
                <a:avLst/>
              </a:prstGeom>
              <a:solidFill>
                <a:schemeClr val="accent4">
                  <a:lumMod val="60000"/>
                  <a:lumOff val="4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DIO</a:t>
                </a:r>
                <a:endParaRPr lang="ko-KR" altLang="en-US" sz="1100" b="1"/>
              </a:p>
            </xdr:txBody>
          </xdr:sp>
          <xdr:sp macro="" textlink="">
            <xdr:nvSpPr>
              <xdr:cNvPr id="65" name="TextBox 64">
                <a:extLst>
                  <a:ext uri="{FF2B5EF4-FFF2-40B4-BE49-F238E27FC236}">
                    <a16:creationId xmlns:a16="http://schemas.microsoft.com/office/drawing/2014/main" id="{F27F7BAD-C2E5-4418-A401-B7EFEA09500A}"/>
                  </a:ext>
                </a:extLst>
              </xdr:cNvPr>
              <xdr:cNvSpPr txBox="1"/>
            </xdr:nvSpPr>
            <xdr:spPr>
              <a:xfrm>
                <a:off x="5716863" y="14461313"/>
                <a:ext cx="504000" cy="324000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VSS</a:t>
                </a:r>
                <a:endParaRPr lang="ko-KR" altLang="en-US" sz="1100" b="1"/>
              </a:p>
            </xdr:txBody>
          </xdr:sp>
          <xdr:sp macro="" textlink="">
            <xdr:nvSpPr>
              <xdr:cNvPr id="66" name="TextBox 65">
                <a:extLst>
                  <a:ext uri="{FF2B5EF4-FFF2-40B4-BE49-F238E27FC236}">
                    <a16:creationId xmlns:a16="http://schemas.microsoft.com/office/drawing/2014/main" id="{26B6CF72-C38A-4979-92F8-16ACBC514459}"/>
                  </a:ext>
                </a:extLst>
              </xdr:cNvPr>
              <xdr:cNvSpPr txBox="1"/>
            </xdr:nvSpPr>
            <xdr:spPr>
              <a:xfrm>
                <a:off x="2467162" y="15961618"/>
                <a:ext cx="504000" cy="548381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chemeClr val="bg1"/>
                    </a:solidFill>
                  </a:rPr>
                  <a:t>VSS</a:t>
                </a:r>
              </a:p>
              <a:p>
                <a:pPr algn="ctr"/>
                <a:r>
                  <a:rPr lang="en-US" altLang="ko-KR" sz="1100" b="1">
                    <a:solidFill>
                      <a:schemeClr val="bg1"/>
                    </a:solidFill>
                  </a:rPr>
                  <a:t>VSYNC</a:t>
                </a:r>
                <a:endParaRPr lang="ko-KR" altLang="en-US" sz="1100" b="1">
                  <a:solidFill>
                    <a:schemeClr val="bg1"/>
                  </a:solidFill>
                </a:endParaRP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29FC5120-2051-4D73-AA9C-E961E0A5629B}"/>
                  </a:ext>
                </a:extLst>
              </xdr:cNvPr>
              <xdr:cNvSpPr txBox="1"/>
            </xdr:nvSpPr>
            <xdr:spPr>
              <a:xfrm>
                <a:off x="2468919" y="14465306"/>
                <a:ext cx="504000" cy="324000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VSS</a:t>
                </a:r>
                <a:endParaRPr lang="ko-KR" altLang="en-US" sz="1100" b="1"/>
              </a:p>
            </xdr:txBody>
          </xdr:sp>
          <xdr:sp macro="" textlink="">
            <xdr:nvSpPr>
              <xdr:cNvPr id="87" name="TextBox 86">
                <a:extLst>
                  <a:ext uri="{FF2B5EF4-FFF2-40B4-BE49-F238E27FC236}">
                    <a16:creationId xmlns:a16="http://schemas.microsoft.com/office/drawing/2014/main" id="{63345F7B-6EAA-4D31-B38F-57ABB76DA893}"/>
                  </a:ext>
                </a:extLst>
              </xdr:cNvPr>
              <xdr:cNvSpPr txBox="1"/>
            </xdr:nvSpPr>
            <xdr:spPr>
              <a:xfrm>
                <a:off x="3414751" y="12801993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CH1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88" name="TextBox 187">
                <a:extLst>
                  <a:ext uri="{FF2B5EF4-FFF2-40B4-BE49-F238E27FC236}">
                    <a16:creationId xmlns:a16="http://schemas.microsoft.com/office/drawing/2014/main" id="{D1E211A0-F2B1-4FC3-B082-3239CF0EA1DA}"/>
                  </a:ext>
                </a:extLst>
              </xdr:cNvPr>
              <xdr:cNvSpPr txBox="1"/>
            </xdr:nvSpPr>
            <xdr:spPr>
              <a:xfrm>
                <a:off x="3454439" y="12537412"/>
                <a:ext cx="230147" cy="202541"/>
              </a:xfrm>
              <a:prstGeom prst="rect">
                <a:avLst/>
              </a:prstGeom>
              <a:solidFill>
                <a:schemeClr val="bg1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600" b="1">
                    <a:solidFill>
                      <a:sysClr val="windowText" lastClr="000000"/>
                    </a:solidFill>
                  </a:rPr>
                  <a:t>16</a:t>
                </a:r>
                <a:endParaRPr lang="ko-KR" altLang="en-US" sz="16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89" name="TextBox 188">
                <a:extLst>
                  <a:ext uri="{FF2B5EF4-FFF2-40B4-BE49-F238E27FC236}">
                    <a16:creationId xmlns:a16="http://schemas.microsoft.com/office/drawing/2014/main" id="{56F733B9-7248-45FA-AA32-C93E0520F11D}"/>
                  </a:ext>
                </a:extLst>
              </xdr:cNvPr>
              <xdr:cNvSpPr txBox="1"/>
            </xdr:nvSpPr>
            <xdr:spPr>
              <a:xfrm>
                <a:off x="4182308" y="12802259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CH3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0" name="TextBox 189">
                <a:extLst>
                  <a:ext uri="{FF2B5EF4-FFF2-40B4-BE49-F238E27FC236}">
                    <a16:creationId xmlns:a16="http://schemas.microsoft.com/office/drawing/2014/main" id="{5477191C-292A-434C-8CB7-2471A0242F00}"/>
                  </a:ext>
                </a:extLst>
              </xdr:cNvPr>
              <xdr:cNvSpPr txBox="1"/>
            </xdr:nvSpPr>
            <xdr:spPr>
              <a:xfrm>
                <a:off x="4930021" y="12795910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CH5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1" name="TextBox 190">
                <a:extLst>
                  <a:ext uri="{FF2B5EF4-FFF2-40B4-BE49-F238E27FC236}">
                    <a16:creationId xmlns:a16="http://schemas.microsoft.com/office/drawing/2014/main" id="{41164C75-D22A-4643-AA35-C8F37DD62C29}"/>
                  </a:ext>
                </a:extLst>
              </xdr:cNvPr>
              <xdr:cNvSpPr txBox="1"/>
            </xdr:nvSpPr>
            <xdr:spPr>
              <a:xfrm>
                <a:off x="3415016" y="15990486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CH2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2" name="TextBox 191">
                <a:extLst>
                  <a:ext uri="{FF2B5EF4-FFF2-40B4-BE49-F238E27FC236}">
                    <a16:creationId xmlns:a16="http://schemas.microsoft.com/office/drawing/2014/main" id="{04258D5E-E6BA-4500-8525-27B2419D3C02}"/>
                  </a:ext>
                </a:extLst>
              </xdr:cNvPr>
              <xdr:cNvSpPr txBox="1"/>
            </xdr:nvSpPr>
            <xdr:spPr>
              <a:xfrm>
                <a:off x="4175958" y="15990752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CH4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3" name="TextBox 192">
                <a:extLst>
                  <a:ext uri="{FF2B5EF4-FFF2-40B4-BE49-F238E27FC236}">
                    <a16:creationId xmlns:a16="http://schemas.microsoft.com/office/drawing/2014/main" id="{0683757E-BFE1-428E-8468-2F6F96702D57}"/>
                  </a:ext>
                </a:extLst>
              </xdr:cNvPr>
              <xdr:cNvSpPr txBox="1"/>
            </xdr:nvSpPr>
            <xdr:spPr>
              <a:xfrm>
                <a:off x="4943514" y="15991018"/>
                <a:ext cx="324000" cy="504000"/>
              </a:xfrm>
              <a:prstGeom prst="rect">
                <a:avLst/>
              </a:prstGeom>
              <a:solidFill>
                <a:schemeClr val="accent2">
                  <a:lumMod val="40000"/>
                  <a:lumOff val="60000"/>
                </a:schemeClr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ysClr val="windowText" lastClr="000000"/>
                    </a:solidFill>
                  </a:rPr>
                  <a:t>CH6</a:t>
                </a:r>
                <a:endParaRPr lang="ko-KR" altLang="en-US" sz="1100" b="1">
                  <a:solidFill>
                    <a:sysClr val="windowText" lastClr="000000"/>
                  </a:solidFill>
                </a:endParaRPr>
              </a:p>
            </xdr:txBody>
          </xdr:sp>
          <xdr:sp macro="" textlink="">
            <xdr:nvSpPr>
              <xdr:cNvPr id="197" name="TextBox 196">
                <a:extLst>
                  <a:ext uri="{FF2B5EF4-FFF2-40B4-BE49-F238E27FC236}">
                    <a16:creationId xmlns:a16="http://schemas.microsoft.com/office/drawing/2014/main" id="{665E54A7-3DCA-46BF-9724-AC10D2846A55}"/>
                  </a:ext>
                </a:extLst>
              </xdr:cNvPr>
              <xdr:cNvSpPr txBox="1"/>
            </xdr:nvSpPr>
            <xdr:spPr>
              <a:xfrm>
                <a:off x="5693080" y="12790283"/>
                <a:ext cx="504000" cy="531487"/>
              </a:xfrm>
              <a:prstGeom prst="rect">
                <a:avLst/>
              </a:prstGeom>
              <a:solidFill>
                <a:srgbClr val="FF000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VDD</a:t>
                </a:r>
                <a:endParaRPr lang="ko-KR" altLang="en-US" sz="1100" b="1"/>
              </a:p>
            </xdr:txBody>
          </xdr:sp>
          <xdr:grpSp>
            <xdr:nvGrpSpPr>
              <xdr:cNvPr id="201" name="그룹 200">
                <a:extLst>
                  <a:ext uri="{FF2B5EF4-FFF2-40B4-BE49-F238E27FC236}">
                    <a16:creationId xmlns:a16="http://schemas.microsoft.com/office/drawing/2014/main" id="{76B7B167-244A-4B1C-74D6-E989F215304A}"/>
                  </a:ext>
                </a:extLst>
              </xdr:cNvPr>
              <xdr:cNvGrpSpPr/>
            </xdr:nvGrpSpPr>
            <xdr:grpSpPr>
              <a:xfrm>
                <a:off x="3425003" y="13907080"/>
                <a:ext cx="1767445" cy="1571044"/>
                <a:chOff x="6745524" y="14780205"/>
                <a:chExt cx="1767445" cy="1571044"/>
              </a:xfrm>
            </xdr:grpSpPr>
            <xdr:sp macro="" textlink="">
              <xdr:nvSpPr>
                <xdr:cNvPr id="198" name="직사각형 197">
                  <a:extLst>
                    <a:ext uri="{FF2B5EF4-FFF2-40B4-BE49-F238E27FC236}">
                      <a16:creationId xmlns:a16="http://schemas.microsoft.com/office/drawing/2014/main" id="{6B107C40-1765-4052-401F-E69C158F3C2A}"/>
                    </a:ext>
                  </a:extLst>
                </xdr:cNvPr>
                <xdr:cNvSpPr/>
              </xdr:nvSpPr>
              <xdr:spPr>
                <a:xfrm>
                  <a:off x="6819636" y="14882812"/>
                  <a:ext cx="1693333" cy="1468437"/>
                </a:xfrm>
                <a:prstGeom prst="rect">
                  <a:avLst/>
                </a:prstGeom>
                <a:solidFill>
                  <a:schemeClr val="bg1">
                    <a:lumMod val="50000"/>
                  </a:schemeClr>
                </a:solidFill>
                <a:ln w="6350"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ko-KR" altLang="en-US" sz="1100"/>
                </a:p>
              </xdr:txBody>
            </xdr:sp>
            <xdr:sp macro="" textlink="">
              <xdr:nvSpPr>
                <xdr:cNvPr id="200" name="이등변 삼각형 199">
                  <a:extLst>
                    <a:ext uri="{FF2B5EF4-FFF2-40B4-BE49-F238E27FC236}">
                      <a16:creationId xmlns:a16="http://schemas.microsoft.com/office/drawing/2014/main" id="{46E8F6E1-2553-FDAE-6340-C2A75CC6A886}"/>
                    </a:ext>
                  </a:extLst>
                </xdr:cNvPr>
                <xdr:cNvSpPr/>
              </xdr:nvSpPr>
              <xdr:spPr>
                <a:xfrm rot="18706598">
                  <a:off x="6705514" y="14820215"/>
                  <a:ext cx="252000" cy="171979"/>
                </a:xfrm>
                <a:prstGeom prst="triangle">
                  <a:avLst/>
                </a:prstGeom>
                <a:solidFill>
                  <a:schemeClr val="bg1"/>
                </a:solidFill>
                <a:ln w="3175"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ko-KR" altLang="en-US" sz="1100"/>
                </a:p>
              </xdr:txBody>
            </xdr:sp>
          </xdr:grpSp>
          <xdr:cxnSp macro="">
            <xdr:nvCxnSpPr>
              <xdr:cNvPr id="185" name="직선 연결선 184">
                <a:extLst>
                  <a:ext uri="{FF2B5EF4-FFF2-40B4-BE49-F238E27FC236}">
                    <a16:creationId xmlns:a16="http://schemas.microsoft.com/office/drawing/2014/main" id="{77E07347-3C70-444F-9B92-088903F44D82}"/>
                  </a:ext>
                </a:extLst>
              </xdr:cNvPr>
              <xdr:cNvCxnSpPr/>
            </xdr:nvCxnSpPr>
            <xdr:spPr>
              <a:xfrm flipH="1">
                <a:off x="3492500" y="13976615"/>
                <a:ext cx="218281" cy="191823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6" name="TextBox 195">
                <a:extLst>
                  <a:ext uri="{FF2B5EF4-FFF2-40B4-BE49-F238E27FC236}">
                    <a16:creationId xmlns:a16="http://schemas.microsoft.com/office/drawing/2014/main" id="{DD5B0942-34FA-486B-B76D-8276FD0034E8}"/>
                  </a:ext>
                </a:extLst>
              </xdr:cNvPr>
              <xdr:cNvSpPr txBox="1"/>
            </xdr:nvSpPr>
            <xdr:spPr>
              <a:xfrm>
                <a:off x="2471514" y="12796633"/>
                <a:ext cx="504000" cy="505293"/>
              </a:xfrm>
              <a:prstGeom prst="rect">
                <a:avLst/>
              </a:prstGeom>
              <a:solidFill>
                <a:srgbClr val="FF000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VDD</a:t>
                </a:r>
                <a:endParaRPr lang="ko-KR" altLang="en-US" sz="1100" b="1"/>
              </a:p>
            </xdr:txBody>
          </xdr:sp>
          <xdr:cxnSp macro="">
            <xdr:nvCxnSpPr>
              <xdr:cNvPr id="180" name="직선 연결선 179">
                <a:extLst>
                  <a:ext uri="{FF2B5EF4-FFF2-40B4-BE49-F238E27FC236}">
                    <a16:creationId xmlns:a16="http://schemas.microsoft.com/office/drawing/2014/main" id="{0048C866-D17E-400A-9CA2-AAAAA7923B63}"/>
                  </a:ext>
                </a:extLst>
              </xdr:cNvPr>
              <xdr:cNvCxnSpPr/>
            </xdr:nvCxnSpPr>
            <xdr:spPr>
              <a:xfrm flipH="1">
                <a:off x="5192448" y="13983230"/>
                <a:ext cx="0" cy="1494896"/>
              </a:xfrm>
              <a:prstGeom prst="line">
                <a:avLst/>
              </a:prstGeom>
              <a:ln w="25400">
                <a:solidFill>
                  <a:srgbClr val="FF0000"/>
                </a:solidFill>
              </a:ln>
            </xdr:spPr>
            <xdr:style>
              <a:lnRef idx="2">
                <a:schemeClr val="accent1"/>
              </a:lnRef>
              <a:fillRef idx="0">
                <a:schemeClr val="accent1"/>
              </a:fillRef>
              <a:effectRef idx="1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46" name="TextBox 245">
                <a:extLst>
                  <a:ext uri="{FF2B5EF4-FFF2-40B4-BE49-F238E27FC236}">
                    <a16:creationId xmlns:a16="http://schemas.microsoft.com/office/drawing/2014/main" id="{572BB2A6-36B2-4991-ABDC-181F3E3D32EA}"/>
                  </a:ext>
                </a:extLst>
              </xdr:cNvPr>
              <xdr:cNvSpPr txBox="1"/>
            </xdr:nvSpPr>
            <xdr:spPr>
              <a:xfrm>
                <a:off x="2469183" y="13737967"/>
                <a:ext cx="504000" cy="324000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VSS</a:t>
                </a:r>
                <a:endParaRPr lang="ko-KR" altLang="en-US" sz="1100" b="1"/>
              </a:p>
            </xdr:txBody>
          </xdr:sp>
          <xdr:sp macro="" textlink="">
            <xdr:nvSpPr>
              <xdr:cNvPr id="247" name="TextBox 246">
                <a:extLst>
                  <a:ext uri="{FF2B5EF4-FFF2-40B4-BE49-F238E27FC236}">
                    <a16:creationId xmlns:a16="http://schemas.microsoft.com/office/drawing/2014/main" id="{46F54242-6238-4CE9-AECD-8848345AADE2}"/>
                  </a:ext>
                </a:extLst>
              </xdr:cNvPr>
              <xdr:cNvSpPr txBox="1"/>
            </xdr:nvSpPr>
            <xdr:spPr>
              <a:xfrm>
                <a:off x="5703978" y="13738231"/>
                <a:ext cx="504000" cy="324000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/>
                  <a:t>VSS</a:t>
                </a:r>
                <a:endParaRPr lang="ko-KR" altLang="en-US" sz="1100" b="1"/>
              </a:p>
            </xdr:txBody>
          </xdr:sp>
          <xdr:sp macro="" textlink="">
            <xdr:nvSpPr>
              <xdr:cNvPr id="248" name="TextBox 247">
                <a:extLst>
                  <a:ext uri="{FF2B5EF4-FFF2-40B4-BE49-F238E27FC236}">
                    <a16:creationId xmlns:a16="http://schemas.microsoft.com/office/drawing/2014/main" id="{6EB13F6D-4B15-4E82-86F2-1AFF160FFE2D}"/>
                  </a:ext>
                </a:extLst>
              </xdr:cNvPr>
              <xdr:cNvSpPr txBox="1"/>
            </xdr:nvSpPr>
            <xdr:spPr>
              <a:xfrm>
                <a:off x="5701958" y="15961882"/>
                <a:ext cx="504000" cy="548381"/>
              </a:xfrm>
              <a:prstGeom prst="rect">
                <a:avLst/>
              </a:prstGeom>
              <a:solidFill>
                <a:srgbClr val="00B050"/>
              </a:solidFill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ctr" anchorCtr="0">
                <a:noAutofit/>
              </a:bodyPr>
              <a:lstStyle/>
              <a:p>
                <a:pPr algn="ctr"/>
                <a:r>
                  <a:rPr lang="en-US" altLang="ko-KR" sz="1100" b="1">
                    <a:solidFill>
                      <a:schemeClr val="bg1"/>
                    </a:solidFill>
                  </a:rPr>
                  <a:t>VSS</a:t>
                </a:r>
              </a:p>
              <a:p>
                <a:pPr algn="ctr"/>
                <a:r>
                  <a:rPr lang="en-US" altLang="ko-KR" sz="1100" b="1">
                    <a:solidFill>
                      <a:schemeClr val="bg1"/>
                    </a:solidFill>
                  </a:rPr>
                  <a:t>VSYNC</a:t>
                </a:r>
                <a:endParaRPr lang="ko-KR" altLang="en-US" sz="1100" b="1">
                  <a:solidFill>
                    <a:schemeClr val="bg1"/>
                  </a:solidFill>
                </a:endParaRPr>
              </a:p>
            </xdr:txBody>
          </xdr:sp>
        </xdr:grpSp>
      </xdr:grpSp>
      <xdr:cxnSp macro="">
        <xdr:nvCxnSpPr>
          <xdr:cNvPr id="287" name="직선 화살표 연결선 286">
            <a:extLst>
              <a:ext uri="{FF2B5EF4-FFF2-40B4-BE49-F238E27FC236}">
                <a16:creationId xmlns:a16="http://schemas.microsoft.com/office/drawing/2014/main" id="{7DCC70DF-9A4B-5D30-A480-B215B34B56B9}"/>
              </a:ext>
            </a:extLst>
          </xdr:cNvPr>
          <xdr:cNvCxnSpPr/>
        </xdr:nvCxnSpPr>
        <xdr:spPr>
          <a:xfrm>
            <a:off x="4201583" y="8355542"/>
            <a:ext cx="0" cy="1449916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8" name="직선 화살표 연결선 287">
            <a:extLst>
              <a:ext uri="{FF2B5EF4-FFF2-40B4-BE49-F238E27FC236}">
                <a16:creationId xmlns:a16="http://schemas.microsoft.com/office/drawing/2014/main" id="{539CEE3D-FD5E-4BE1-8CAE-77E045993F5A}"/>
              </a:ext>
            </a:extLst>
          </xdr:cNvPr>
          <xdr:cNvCxnSpPr/>
        </xdr:nvCxnSpPr>
        <xdr:spPr>
          <a:xfrm flipH="1">
            <a:off x="4201584" y="8126942"/>
            <a:ext cx="4233" cy="228600"/>
          </a:xfrm>
          <a:prstGeom prst="straightConnector1">
            <a:avLst/>
          </a:prstGeom>
          <a:ln w="3175">
            <a:solidFill>
              <a:schemeClr val="tx1"/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90" name="TextBox 289">
            <a:extLst>
              <a:ext uri="{FF2B5EF4-FFF2-40B4-BE49-F238E27FC236}">
                <a16:creationId xmlns:a16="http://schemas.microsoft.com/office/drawing/2014/main" id="{7A54074F-FFE8-48E1-9075-6E3970F280EC}"/>
              </a:ext>
            </a:extLst>
          </xdr:cNvPr>
          <xdr:cNvSpPr txBox="1"/>
        </xdr:nvSpPr>
        <xdr:spPr>
          <a:xfrm>
            <a:off x="4042833" y="8143875"/>
            <a:ext cx="433917" cy="1957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0" tIns="0" rIns="0" bIns="0" rtlCol="0" anchor="ctr" anchorCtr="0">
            <a:noAutofit/>
          </a:bodyPr>
          <a:lstStyle/>
          <a:p>
            <a:pPr algn="ctr"/>
            <a:r>
              <a:rPr lang="en-US" altLang="ko-KR" sz="1100" b="1">
                <a:solidFill>
                  <a:srgbClr val="FF0000"/>
                </a:solidFill>
              </a:rPr>
              <a:t>0.1mm</a:t>
            </a:r>
            <a:endParaRPr lang="ko-KR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291" name="TextBox 290">
            <a:extLst>
              <a:ext uri="{FF2B5EF4-FFF2-40B4-BE49-F238E27FC236}">
                <a16:creationId xmlns:a16="http://schemas.microsoft.com/office/drawing/2014/main" id="{46B5C368-5E46-49E7-8089-0DA2DBC7D7D7}"/>
              </a:ext>
            </a:extLst>
          </xdr:cNvPr>
          <xdr:cNvSpPr txBox="1"/>
        </xdr:nvSpPr>
        <xdr:spPr>
          <a:xfrm>
            <a:off x="4041775" y="8894233"/>
            <a:ext cx="433917" cy="1957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0" tIns="0" rIns="0" bIns="0" rtlCol="0" anchor="ctr" anchorCtr="0">
            <a:noAutofit/>
          </a:bodyPr>
          <a:lstStyle/>
          <a:p>
            <a:pPr algn="ctr"/>
            <a:r>
              <a:rPr lang="en-US" altLang="ko-KR" sz="1100" b="1">
                <a:solidFill>
                  <a:sysClr val="windowText" lastClr="000000"/>
                </a:solidFill>
              </a:rPr>
              <a:t>0.8mm</a:t>
            </a:r>
            <a:endParaRPr lang="ko-KR" altLang="en-US" sz="1100" b="1">
              <a:solidFill>
                <a:sysClr val="windowText" lastClr="000000"/>
              </a:solidFill>
            </a:endParaRPr>
          </a:p>
        </xdr:txBody>
      </xdr:sp>
    </xdr:grpSp>
    <xdr:clientData/>
  </xdr:twoCellAnchor>
  <xdr:twoCellAnchor>
    <xdr:from>
      <xdr:col>4</xdr:col>
      <xdr:colOff>111153</xdr:colOff>
      <xdr:row>63</xdr:row>
      <xdr:rowOff>140394</xdr:rowOff>
    </xdr:from>
    <xdr:to>
      <xdr:col>4</xdr:col>
      <xdr:colOff>111153</xdr:colOff>
      <xdr:row>65</xdr:row>
      <xdr:rowOff>168303</xdr:rowOff>
    </xdr:to>
    <xdr:cxnSp macro="">
      <xdr:nvCxnSpPr>
        <xdr:cNvPr id="293" name="직선 연결선 292">
          <a:extLst>
            <a:ext uri="{FF2B5EF4-FFF2-40B4-BE49-F238E27FC236}">
              <a16:creationId xmlns:a16="http://schemas.microsoft.com/office/drawing/2014/main" id="{A1D7BEBF-E865-46D3-8AF1-F08F98CBA54F}"/>
            </a:ext>
          </a:extLst>
        </xdr:cNvPr>
        <xdr:cNvCxnSpPr/>
      </xdr:nvCxnSpPr>
      <xdr:spPr>
        <a:xfrm flipH="1">
          <a:off x="1785244" y="12355485"/>
          <a:ext cx="0" cy="432000"/>
        </a:xfrm>
        <a:prstGeom prst="line">
          <a:avLst/>
        </a:prstGeom>
        <a:ln w="6667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258265</xdr:colOff>
      <xdr:row>66</xdr:row>
      <xdr:rowOff>135458</xdr:rowOff>
    </xdr:from>
    <xdr:to>
      <xdr:col>4</xdr:col>
      <xdr:colOff>258265</xdr:colOff>
      <xdr:row>88</xdr:row>
      <xdr:rowOff>88693</xdr:rowOff>
    </xdr:to>
    <xdr:cxnSp macro="">
      <xdr:nvCxnSpPr>
        <xdr:cNvPr id="296" name="직선 연결선 295">
          <a:extLst>
            <a:ext uri="{FF2B5EF4-FFF2-40B4-BE49-F238E27FC236}">
              <a16:creationId xmlns:a16="http://schemas.microsoft.com/office/drawing/2014/main" id="{B1E95FC4-D82F-4A45-A7B0-12732F27AA42}"/>
            </a:ext>
          </a:extLst>
        </xdr:cNvPr>
        <xdr:cNvCxnSpPr/>
      </xdr:nvCxnSpPr>
      <xdr:spPr>
        <a:xfrm>
          <a:off x="1927941" y="12891487"/>
          <a:ext cx="0" cy="4390765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118341</xdr:colOff>
      <xdr:row>63</xdr:row>
      <xdr:rowOff>63500</xdr:rowOff>
    </xdr:from>
    <xdr:to>
      <xdr:col>4</xdr:col>
      <xdr:colOff>202045</xdr:colOff>
      <xdr:row>63</xdr:row>
      <xdr:rowOff>158750</xdr:rowOff>
    </xdr:to>
    <xdr:cxnSp macro="">
      <xdr:nvCxnSpPr>
        <xdr:cNvPr id="297" name="직선 연결선 296">
          <a:extLst>
            <a:ext uri="{FF2B5EF4-FFF2-40B4-BE49-F238E27FC236}">
              <a16:creationId xmlns:a16="http://schemas.microsoft.com/office/drawing/2014/main" id="{922249CA-50AC-4923-B358-8677F39A7B3F}"/>
            </a:ext>
          </a:extLst>
        </xdr:cNvPr>
        <xdr:cNvCxnSpPr/>
      </xdr:nvCxnSpPr>
      <xdr:spPr>
        <a:xfrm flipH="1">
          <a:off x="1792432" y="12278591"/>
          <a:ext cx="83704" cy="95250"/>
        </a:xfrm>
        <a:prstGeom prst="line">
          <a:avLst/>
        </a:prstGeom>
        <a:ln w="6667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106795</xdr:colOff>
      <xdr:row>65</xdr:row>
      <xdr:rowOff>132773</xdr:rowOff>
    </xdr:from>
    <xdr:to>
      <xdr:col>4</xdr:col>
      <xdr:colOff>210704</xdr:colOff>
      <xdr:row>66</xdr:row>
      <xdr:rowOff>57728</xdr:rowOff>
    </xdr:to>
    <xdr:cxnSp macro="">
      <xdr:nvCxnSpPr>
        <xdr:cNvPr id="300" name="직선 연결선 299">
          <a:extLst>
            <a:ext uri="{FF2B5EF4-FFF2-40B4-BE49-F238E27FC236}">
              <a16:creationId xmlns:a16="http://schemas.microsoft.com/office/drawing/2014/main" id="{DF1D8377-8AD6-4052-AC50-558814DDB638}"/>
            </a:ext>
          </a:extLst>
        </xdr:cNvPr>
        <xdr:cNvCxnSpPr/>
      </xdr:nvCxnSpPr>
      <xdr:spPr>
        <a:xfrm flipH="1" flipV="1">
          <a:off x="1780886" y="12751955"/>
          <a:ext cx="103909" cy="127000"/>
        </a:xfrm>
        <a:prstGeom prst="line">
          <a:avLst/>
        </a:prstGeom>
        <a:ln w="66675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134980</xdr:colOff>
      <xdr:row>62</xdr:row>
      <xdr:rowOff>50800</xdr:rowOff>
    </xdr:from>
    <xdr:to>
      <xdr:col>6</xdr:col>
      <xdr:colOff>134980</xdr:colOff>
      <xdr:row>64</xdr:row>
      <xdr:rowOff>4418</xdr:rowOff>
    </xdr:to>
    <xdr:cxnSp macro="">
      <xdr:nvCxnSpPr>
        <xdr:cNvPr id="305" name="직선 연결선 304">
          <a:extLst>
            <a:ext uri="{FF2B5EF4-FFF2-40B4-BE49-F238E27FC236}">
              <a16:creationId xmlns:a16="http://schemas.microsoft.com/office/drawing/2014/main" id="{131C4CF5-4982-4967-B2B4-3B726AC1C946}"/>
            </a:ext>
          </a:extLst>
        </xdr:cNvPr>
        <xdr:cNvCxnSpPr/>
      </xdr:nvCxnSpPr>
      <xdr:spPr>
        <a:xfrm flipH="1">
          <a:off x="2477009" y="12000006"/>
          <a:ext cx="0" cy="35703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307742</xdr:colOff>
      <xdr:row>63</xdr:row>
      <xdr:rowOff>193068</xdr:rowOff>
    </xdr:from>
    <xdr:to>
      <xdr:col>6</xdr:col>
      <xdr:colOff>157389</xdr:colOff>
      <xdr:row>63</xdr:row>
      <xdr:rowOff>193068</xdr:rowOff>
    </xdr:to>
    <xdr:cxnSp macro="">
      <xdr:nvCxnSpPr>
        <xdr:cNvPr id="306" name="직선 연결선 305">
          <a:extLst>
            <a:ext uri="{FF2B5EF4-FFF2-40B4-BE49-F238E27FC236}">
              <a16:creationId xmlns:a16="http://schemas.microsoft.com/office/drawing/2014/main" id="{849CDC0A-4B21-4CC4-887E-88485F4A97B1}"/>
            </a:ext>
          </a:extLst>
        </xdr:cNvPr>
        <xdr:cNvCxnSpPr/>
      </xdr:nvCxnSpPr>
      <xdr:spPr>
        <a:xfrm flipV="1">
          <a:off x="1977418" y="12343980"/>
          <a:ext cx="522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298506</xdr:colOff>
      <xdr:row>64</xdr:row>
      <xdr:rowOff>152082</xdr:rowOff>
    </xdr:from>
    <xdr:to>
      <xdr:col>6</xdr:col>
      <xdr:colOff>148153</xdr:colOff>
      <xdr:row>64</xdr:row>
      <xdr:rowOff>152082</xdr:rowOff>
    </xdr:to>
    <xdr:cxnSp macro="">
      <xdr:nvCxnSpPr>
        <xdr:cNvPr id="307" name="직선 연결선 306">
          <a:extLst>
            <a:ext uri="{FF2B5EF4-FFF2-40B4-BE49-F238E27FC236}">
              <a16:creationId xmlns:a16="http://schemas.microsoft.com/office/drawing/2014/main" id="{98204948-A459-4355-9047-8BC64FADC309}"/>
            </a:ext>
          </a:extLst>
        </xdr:cNvPr>
        <xdr:cNvCxnSpPr/>
      </xdr:nvCxnSpPr>
      <xdr:spPr>
        <a:xfrm flipV="1">
          <a:off x="1968182" y="12504700"/>
          <a:ext cx="522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134402</xdr:colOff>
      <xdr:row>64</xdr:row>
      <xdr:rowOff>150055</xdr:rowOff>
    </xdr:from>
    <xdr:to>
      <xdr:col>6</xdr:col>
      <xdr:colOff>134402</xdr:colOff>
      <xdr:row>68</xdr:row>
      <xdr:rowOff>61873</xdr:rowOff>
    </xdr:to>
    <xdr:cxnSp macro="">
      <xdr:nvCxnSpPr>
        <xdr:cNvPr id="308" name="직선 연결선 307">
          <a:extLst>
            <a:ext uri="{FF2B5EF4-FFF2-40B4-BE49-F238E27FC236}">
              <a16:creationId xmlns:a16="http://schemas.microsoft.com/office/drawing/2014/main" id="{A66E2A50-6ABC-4545-913D-F414FEFE43C2}"/>
            </a:ext>
          </a:extLst>
        </xdr:cNvPr>
        <xdr:cNvCxnSpPr/>
      </xdr:nvCxnSpPr>
      <xdr:spPr>
        <a:xfrm flipH="1">
          <a:off x="2476431" y="12502673"/>
          <a:ext cx="0" cy="718641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300816</xdr:colOff>
      <xdr:row>65</xdr:row>
      <xdr:rowOff>105322</xdr:rowOff>
    </xdr:from>
    <xdr:to>
      <xdr:col>5</xdr:col>
      <xdr:colOff>143112</xdr:colOff>
      <xdr:row>65</xdr:row>
      <xdr:rowOff>105322</xdr:rowOff>
    </xdr:to>
    <xdr:cxnSp macro="">
      <xdr:nvCxnSpPr>
        <xdr:cNvPr id="309" name="직선 연결선 308">
          <a:extLst>
            <a:ext uri="{FF2B5EF4-FFF2-40B4-BE49-F238E27FC236}">
              <a16:creationId xmlns:a16="http://schemas.microsoft.com/office/drawing/2014/main" id="{4A86B571-FC67-46FE-B541-8E82CC74D0C9}"/>
            </a:ext>
          </a:extLst>
        </xdr:cNvPr>
        <xdr:cNvCxnSpPr/>
      </xdr:nvCxnSpPr>
      <xdr:spPr>
        <a:xfrm flipV="1">
          <a:off x="1974907" y="12724504"/>
          <a:ext cx="180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126013</xdr:colOff>
      <xdr:row>65</xdr:row>
      <xdr:rowOff>104483</xdr:rowOff>
    </xdr:from>
    <xdr:to>
      <xdr:col>5</xdr:col>
      <xdr:colOff>126013</xdr:colOff>
      <xdr:row>73</xdr:row>
      <xdr:rowOff>110836</xdr:rowOff>
    </xdr:to>
    <xdr:cxnSp macro="">
      <xdr:nvCxnSpPr>
        <xdr:cNvPr id="310" name="직선 연결선 309">
          <a:extLst>
            <a:ext uri="{FF2B5EF4-FFF2-40B4-BE49-F238E27FC236}">
              <a16:creationId xmlns:a16="http://schemas.microsoft.com/office/drawing/2014/main" id="{933B0356-39DF-4995-A35C-522E0A3BF666}"/>
            </a:ext>
          </a:extLst>
        </xdr:cNvPr>
        <xdr:cNvCxnSpPr/>
      </xdr:nvCxnSpPr>
      <xdr:spPr>
        <a:xfrm flipH="1">
          <a:off x="2131866" y="12658807"/>
          <a:ext cx="0" cy="162000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138206</xdr:colOff>
      <xdr:row>73</xdr:row>
      <xdr:rowOff>78440</xdr:rowOff>
    </xdr:from>
    <xdr:to>
      <xdr:col>6</xdr:col>
      <xdr:colOff>138206</xdr:colOff>
      <xdr:row>75</xdr:row>
      <xdr:rowOff>198373</xdr:rowOff>
    </xdr:to>
    <xdr:cxnSp macro="">
      <xdr:nvCxnSpPr>
        <xdr:cNvPr id="311" name="직선 연결선 310">
          <a:extLst>
            <a:ext uri="{FF2B5EF4-FFF2-40B4-BE49-F238E27FC236}">
              <a16:creationId xmlns:a16="http://schemas.microsoft.com/office/drawing/2014/main" id="{5C0805AF-A7DA-4B0F-A6F6-042C8D5A2224}"/>
            </a:ext>
          </a:extLst>
        </xdr:cNvPr>
        <xdr:cNvCxnSpPr/>
      </xdr:nvCxnSpPr>
      <xdr:spPr>
        <a:xfrm>
          <a:off x="2480235" y="14246411"/>
          <a:ext cx="0" cy="523344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116811</xdr:colOff>
      <xdr:row>73</xdr:row>
      <xdr:rowOff>97753</xdr:rowOff>
    </xdr:from>
    <xdr:to>
      <xdr:col>6</xdr:col>
      <xdr:colOff>140635</xdr:colOff>
      <xdr:row>73</xdr:row>
      <xdr:rowOff>97753</xdr:rowOff>
    </xdr:to>
    <xdr:cxnSp macro="">
      <xdr:nvCxnSpPr>
        <xdr:cNvPr id="312" name="직선 연결선 311">
          <a:extLst>
            <a:ext uri="{FF2B5EF4-FFF2-40B4-BE49-F238E27FC236}">
              <a16:creationId xmlns:a16="http://schemas.microsoft.com/office/drawing/2014/main" id="{7AAD6498-EA41-4035-968C-63DFBDFE26A5}"/>
            </a:ext>
          </a:extLst>
        </xdr:cNvPr>
        <xdr:cNvCxnSpPr/>
      </xdr:nvCxnSpPr>
      <xdr:spPr>
        <a:xfrm>
          <a:off x="2122664" y="14265724"/>
          <a:ext cx="360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451971</xdr:colOff>
      <xdr:row>57</xdr:row>
      <xdr:rowOff>85913</xdr:rowOff>
    </xdr:from>
    <xdr:ext cx="484172" cy="264560"/>
    <xdr:sp macro="" textlink="">
      <xdr:nvSpPr>
        <xdr:cNvPr id="313" name="TextBox 312">
          <a:extLst>
            <a:ext uri="{FF2B5EF4-FFF2-40B4-BE49-F238E27FC236}">
              <a16:creationId xmlns:a16="http://schemas.microsoft.com/office/drawing/2014/main" id="{0A8BC49F-8164-09AA-8BFE-E02B04BCC892}"/>
            </a:ext>
          </a:extLst>
        </xdr:cNvPr>
        <xdr:cNvSpPr txBox="1"/>
      </xdr:nvSpPr>
      <xdr:spPr>
        <a:xfrm>
          <a:off x="451971" y="11026589"/>
          <a:ext cx="48417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VLED</a:t>
          </a:r>
          <a:endParaRPr lang="ko-KR" altLang="en-US" sz="1100"/>
        </a:p>
      </xdr:txBody>
    </xdr:sp>
    <xdr:clientData/>
  </xdr:oneCellAnchor>
  <xdr:oneCellAnchor>
    <xdr:from>
      <xdr:col>5</xdr:col>
      <xdr:colOff>234577</xdr:colOff>
      <xdr:row>57</xdr:row>
      <xdr:rowOff>107578</xdr:rowOff>
    </xdr:from>
    <xdr:ext cx="484172" cy="264560"/>
    <xdr:sp macro="" textlink="">
      <xdr:nvSpPr>
        <xdr:cNvPr id="314" name="TextBox 313">
          <a:extLst>
            <a:ext uri="{FF2B5EF4-FFF2-40B4-BE49-F238E27FC236}">
              <a16:creationId xmlns:a16="http://schemas.microsoft.com/office/drawing/2014/main" id="{CB97E2D1-F6E0-4941-8F60-6315436294B4}"/>
            </a:ext>
          </a:extLst>
        </xdr:cNvPr>
        <xdr:cNvSpPr txBox="1"/>
      </xdr:nvSpPr>
      <xdr:spPr>
        <a:xfrm>
          <a:off x="2240430" y="11048254"/>
          <a:ext cx="48417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VLED</a:t>
          </a:r>
          <a:endParaRPr lang="ko-KR" altLang="en-US" sz="1100"/>
        </a:p>
      </xdr:txBody>
    </xdr:sp>
    <xdr:clientData/>
  </xdr:oneCellAnchor>
  <xdr:oneCellAnchor>
    <xdr:from>
      <xdr:col>4</xdr:col>
      <xdr:colOff>50801</xdr:colOff>
      <xdr:row>57</xdr:row>
      <xdr:rowOff>88154</xdr:rowOff>
    </xdr:from>
    <xdr:ext cx="436402" cy="264560"/>
    <xdr:sp macro="" textlink="">
      <xdr:nvSpPr>
        <xdr:cNvPr id="315" name="TextBox 314">
          <a:extLst>
            <a:ext uri="{FF2B5EF4-FFF2-40B4-BE49-F238E27FC236}">
              <a16:creationId xmlns:a16="http://schemas.microsoft.com/office/drawing/2014/main" id="{BF1D699D-6588-4AA4-874B-811210264970}"/>
            </a:ext>
          </a:extLst>
        </xdr:cNvPr>
        <xdr:cNvSpPr txBox="1"/>
      </xdr:nvSpPr>
      <xdr:spPr>
        <a:xfrm>
          <a:off x="1720477" y="11028830"/>
          <a:ext cx="4364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VDD</a:t>
          </a:r>
          <a:endParaRPr lang="ko-KR" altLang="en-US" sz="1100"/>
        </a:p>
      </xdr:txBody>
    </xdr:sp>
    <xdr:clientData/>
  </xdr:oneCellAnchor>
  <xdr:oneCellAnchor>
    <xdr:from>
      <xdr:col>3</xdr:col>
      <xdr:colOff>98613</xdr:colOff>
      <xdr:row>57</xdr:row>
      <xdr:rowOff>83672</xdr:rowOff>
    </xdr:from>
    <xdr:ext cx="455125" cy="264560"/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17AF4E1D-7DC9-45C3-9EC3-BCD549FD3654}"/>
            </a:ext>
          </a:extLst>
        </xdr:cNvPr>
        <xdr:cNvSpPr txBox="1"/>
      </xdr:nvSpPr>
      <xdr:spPr>
        <a:xfrm>
          <a:off x="1432113" y="11024348"/>
          <a:ext cx="4551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GND</a:t>
          </a:r>
          <a:endParaRPr lang="ko-KR" altLang="en-US" sz="1100"/>
        </a:p>
      </xdr:txBody>
    </xdr:sp>
    <xdr:clientData/>
  </xdr:oneCellAnchor>
  <xdr:oneCellAnchor>
    <xdr:from>
      <xdr:col>2</xdr:col>
      <xdr:colOff>288365</xdr:colOff>
      <xdr:row>57</xdr:row>
      <xdr:rowOff>86660</xdr:rowOff>
    </xdr:from>
    <xdr:ext cx="273088" cy="264560"/>
    <xdr:sp macro="" textlink="">
      <xdr:nvSpPr>
        <xdr:cNvPr id="317" name="TextBox 316">
          <a:extLst>
            <a:ext uri="{FF2B5EF4-FFF2-40B4-BE49-F238E27FC236}">
              <a16:creationId xmlns:a16="http://schemas.microsoft.com/office/drawing/2014/main" id="{EC014444-2569-4149-9099-A55E8A519541}"/>
            </a:ext>
          </a:extLst>
        </xdr:cNvPr>
        <xdr:cNvSpPr txBox="1"/>
      </xdr:nvSpPr>
      <xdr:spPr>
        <a:xfrm>
          <a:off x="1285689" y="11027336"/>
          <a:ext cx="2730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</a:t>
          </a:r>
          <a:endParaRPr lang="ko-KR" altLang="en-US" sz="1100"/>
        </a:p>
      </xdr:txBody>
    </xdr:sp>
    <xdr:clientData/>
  </xdr:oneCellAnchor>
  <xdr:oneCellAnchor>
    <xdr:from>
      <xdr:col>2</xdr:col>
      <xdr:colOff>108324</xdr:colOff>
      <xdr:row>57</xdr:row>
      <xdr:rowOff>89648</xdr:rowOff>
    </xdr:from>
    <xdr:ext cx="332783" cy="264560"/>
    <xdr:sp macro="" textlink="">
      <xdr:nvSpPr>
        <xdr:cNvPr id="318" name="TextBox 317">
          <a:extLst>
            <a:ext uri="{FF2B5EF4-FFF2-40B4-BE49-F238E27FC236}">
              <a16:creationId xmlns:a16="http://schemas.microsoft.com/office/drawing/2014/main" id="{A5B2C66A-516B-41B7-B0DB-E89A0E646667}"/>
            </a:ext>
          </a:extLst>
        </xdr:cNvPr>
        <xdr:cNvSpPr txBox="1"/>
      </xdr:nvSpPr>
      <xdr:spPr>
        <a:xfrm>
          <a:off x="1105648" y="11030324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VS</a:t>
          </a:r>
          <a:endParaRPr lang="ko-KR" altLang="en-US" sz="1100"/>
        </a:p>
      </xdr:txBody>
    </xdr:sp>
    <xdr:clientData/>
  </xdr:oneCellAnchor>
  <xdr:twoCellAnchor>
    <xdr:from>
      <xdr:col>6</xdr:col>
      <xdr:colOff>298824</xdr:colOff>
      <xdr:row>64</xdr:row>
      <xdr:rowOff>156882</xdr:rowOff>
    </xdr:from>
    <xdr:to>
      <xdr:col>10</xdr:col>
      <xdr:colOff>214118</xdr:colOff>
      <xdr:row>64</xdr:row>
      <xdr:rowOff>156882</xdr:rowOff>
    </xdr:to>
    <xdr:cxnSp macro="">
      <xdr:nvCxnSpPr>
        <xdr:cNvPr id="319" name="직선 연결선 318">
          <a:extLst>
            <a:ext uri="{FF2B5EF4-FFF2-40B4-BE49-F238E27FC236}">
              <a16:creationId xmlns:a16="http://schemas.microsoft.com/office/drawing/2014/main" id="{5C6A2B06-6D73-4319-AC3A-87678C1007D9}"/>
            </a:ext>
          </a:extLst>
        </xdr:cNvPr>
        <xdr:cNvCxnSpPr/>
      </xdr:nvCxnSpPr>
      <xdr:spPr>
        <a:xfrm flipH="1" flipV="1">
          <a:off x="2640853" y="12509500"/>
          <a:ext cx="1260000" cy="0"/>
        </a:xfrm>
        <a:prstGeom prst="line">
          <a:avLst/>
        </a:prstGeom>
        <a:ln w="1301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227106</xdr:colOff>
      <xdr:row>59</xdr:row>
      <xdr:rowOff>163605</xdr:rowOff>
    </xdr:from>
    <xdr:to>
      <xdr:col>7</xdr:col>
      <xdr:colOff>58753</xdr:colOff>
      <xdr:row>59</xdr:row>
      <xdr:rowOff>163605</xdr:rowOff>
    </xdr:to>
    <xdr:cxnSp macro="">
      <xdr:nvCxnSpPr>
        <xdr:cNvPr id="322" name="직선 연결선 321">
          <a:extLst>
            <a:ext uri="{FF2B5EF4-FFF2-40B4-BE49-F238E27FC236}">
              <a16:creationId xmlns:a16="http://schemas.microsoft.com/office/drawing/2014/main" id="{48B0119A-60DC-4A24-987F-E7577FF2D983}"/>
            </a:ext>
          </a:extLst>
        </xdr:cNvPr>
        <xdr:cNvCxnSpPr/>
      </xdr:nvCxnSpPr>
      <xdr:spPr>
        <a:xfrm flipH="1" flipV="1">
          <a:off x="2232959" y="11507693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264918</xdr:colOff>
      <xdr:row>59</xdr:row>
      <xdr:rowOff>125506</xdr:rowOff>
    </xdr:from>
    <xdr:to>
      <xdr:col>5</xdr:col>
      <xdr:colOff>265206</xdr:colOff>
      <xdr:row>60</xdr:row>
      <xdr:rowOff>123265</xdr:rowOff>
    </xdr:to>
    <xdr:cxnSp macro="">
      <xdr:nvCxnSpPr>
        <xdr:cNvPr id="323" name="직선 연결선 322">
          <a:extLst>
            <a:ext uri="{FF2B5EF4-FFF2-40B4-BE49-F238E27FC236}">
              <a16:creationId xmlns:a16="http://schemas.microsoft.com/office/drawing/2014/main" id="{CD5B5961-B0E9-4B9E-BC6F-CF38709B8B04}"/>
            </a:ext>
          </a:extLst>
        </xdr:cNvPr>
        <xdr:cNvCxnSpPr/>
      </xdr:nvCxnSpPr>
      <xdr:spPr>
        <a:xfrm>
          <a:off x="2270771" y="11469594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222624</xdr:colOff>
      <xdr:row>70</xdr:row>
      <xdr:rowOff>144181</xdr:rowOff>
    </xdr:from>
    <xdr:to>
      <xdr:col>7</xdr:col>
      <xdr:colOff>54271</xdr:colOff>
      <xdr:row>70</xdr:row>
      <xdr:rowOff>144181</xdr:rowOff>
    </xdr:to>
    <xdr:cxnSp macro="">
      <xdr:nvCxnSpPr>
        <xdr:cNvPr id="325" name="직선 연결선 324">
          <a:extLst>
            <a:ext uri="{FF2B5EF4-FFF2-40B4-BE49-F238E27FC236}">
              <a16:creationId xmlns:a16="http://schemas.microsoft.com/office/drawing/2014/main" id="{410DC5B3-7DA5-416B-9E6C-8371CD6EE802}"/>
            </a:ext>
          </a:extLst>
        </xdr:cNvPr>
        <xdr:cNvCxnSpPr/>
      </xdr:nvCxnSpPr>
      <xdr:spPr>
        <a:xfrm flipH="1" flipV="1">
          <a:off x="2228477" y="13707034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260436</xdr:colOff>
      <xdr:row>69</xdr:row>
      <xdr:rowOff>188259</xdr:rowOff>
    </xdr:from>
    <xdr:to>
      <xdr:col>5</xdr:col>
      <xdr:colOff>260724</xdr:colOff>
      <xdr:row>70</xdr:row>
      <xdr:rowOff>186018</xdr:rowOff>
    </xdr:to>
    <xdr:cxnSp macro="">
      <xdr:nvCxnSpPr>
        <xdr:cNvPr id="326" name="직선 연결선 325">
          <a:extLst>
            <a:ext uri="{FF2B5EF4-FFF2-40B4-BE49-F238E27FC236}">
              <a16:creationId xmlns:a16="http://schemas.microsoft.com/office/drawing/2014/main" id="{689630B4-8309-4BEC-B8B0-B64D487F3934}"/>
            </a:ext>
          </a:extLst>
        </xdr:cNvPr>
        <xdr:cNvCxnSpPr/>
      </xdr:nvCxnSpPr>
      <xdr:spPr>
        <a:xfrm>
          <a:off x="2266289" y="13549406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225612</xdr:colOff>
      <xdr:row>78</xdr:row>
      <xdr:rowOff>91139</xdr:rowOff>
    </xdr:from>
    <xdr:to>
      <xdr:col>7</xdr:col>
      <xdr:colOff>57259</xdr:colOff>
      <xdr:row>78</xdr:row>
      <xdr:rowOff>91139</xdr:rowOff>
    </xdr:to>
    <xdr:cxnSp macro="">
      <xdr:nvCxnSpPr>
        <xdr:cNvPr id="327" name="직선 연결선 326">
          <a:extLst>
            <a:ext uri="{FF2B5EF4-FFF2-40B4-BE49-F238E27FC236}">
              <a16:creationId xmlns:a16="http://schemas.microsoft.com/office/drawing/2014/main" id="{7B331429-5FBB-4BF9-ADBA-C6BA0653B8E5}"/>
            </a:ext>
          </a:extLst>
        </xdr:cNvPr>
        <xdr:cNvCxnSpPr/>
      </xdr:nvCxnSpPr>
      <xdr:spPr>
        <a:xfrm flipH="1" flipV="1">
          <a:off x="2231465" y="15267639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263424</xdr:colOff>
      <xdr:row>77</xdr:row>
      <xdr:rowOff>135217</xdr:rowOff>
    </xdr:from>
    <xdr:to>
      <xdr:col>5</xdr:col>
      <xdr:colOff>263712</xdr:colOff>
      <xdr:row>78</xdr:row>
      <xdr:rowOff>132976</xdr:rowOff>
    </xdr:to>
    <xdr:cxnSp macro="">
      <xdr:nvCxnSpPr>
        <xdr:cNvPr id="328" name="직선 연결선 327">
          <a:extLst>
            <a:ext uri="{FF2B5EF4-FFF2-40B4-BE49-F238E27FC236}">
              <a16:creationId xmlns:a16="http://schemas.microsoft.com/office/drawing/2014/main" id="{FB30A935-8658-48A0-B737-13DE15C5F616}"/>
            </a:ext>
          </a:extLst>
        </xdr:cNvPr>
        <xdr:cNvCxnSpPr/>
      </xdr:nvCxnSpPr>
      <xdr:spPr>
        <a:xfrm>
          <a:off x="2269277" y="15110011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3969</xdr:colOff>
      <xdr:row>62</xdr:row>
      <xdr:rowOff>158466</xdr:rowOff>
    </xdr:from>
    <xdr:to>
      <xdr:col>14</xdr:col>
      <xdr:colOff>128759</xdr:colOff>
      <xdr:row>66</xdr:row>
      <xdr:rowOff>148191</xdr:rowOff>
    </xdr:to>
    <xdr:pic>
      <xdr:nvPicPr>
        <xdr:cNvPr id="330" name="그림 329">
          <a:extLst>
            <a:ext uri="{FF2B5EF4-FFF2-40B4-BE49-F238E27FC236}">
              <a16:creationId xmlns:a16="http://schemas.microsoft.com/office/drawing/2014/main" id="{907622F2-2EE3-447E-A0A2-0E2371316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4363355" y="12107374"/>
          <a:ext cx="796548" cy="797143"/>
        </a:xfrm>
        <a:prstGeom prst="rect">
          <a:avLst/>
        </a:prstGeom>
      </xdr:spPr>
    </xdr:pic>
    <xdr:clientData/>
  </xdr:twoCellAnchor>
  <xdr:twoCellAnchor>
    <xdr:from>
      <xdr:col>11</xdr:col>
      <xdr:colOff>69492</xdr:colOff>
      <xdr:row>62</xdr:row>
      <xdr:rowOff>59765</xdr:rowOff>
    </xdr:from>
    <xdr:to>
      <xdr:col>11</xdr:col>
      <xdr:colOff>69492</xdr:colOff>
      <xdr:row>64</xdr:row>
      <xdr:rowOff>13471</xdr:rowOff>
    </xdr:to>
    <xdr:cxnSp macro="">
      <xdr:nvCxnSpPr>
        <xdr:cNvPr id="331" name="직선 연결선 330">
          <a:extLst>
            <a:ext uri="{FF2B5EF4-FFF2-40B4-BE49-F238E27FC236}">
              <a16:creationId xmlns:a16="http://schemas.microsoft.com/office/drawing/2014/main" id="{1804DB2A-A87F-47E1-BF3A-15A59DE8FA49}"/>
            </a:ext>
          </a:extLst>
        </xdr:cNvPr>
        <xdr:cNvCxnSpPr/>
      </xdr:nvCxnSpPr>
      <xdr:spPr>
        <a:xfrm flipH="1">
          <a:off x="4092404" y="12008971"/>
          <a:ext cx="0" cy="357118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69755</xdr:colOff>
      <xdr:row>64</xdr:row>
      <xdr:rowOff>138036</xdr:rowOff>
    </xdr:from>
    <xdr:to>
      <xdr:col>11</xdr:col>
      <xdr:colOff>69755</xdr:colOff>
      <xdr:row>68</xdr:row>
      <xdr:rowOff>71917</xdr:rowOff>
    </xdr:to>
    <xdr:cxnSp macro="">
      <xdr:nvCxnSpPr>
        <xdr:cNvPr id="332" name="직선 연결선 331">
          <a:extLst>
            <a:ext uri="{FF2B5EF4-FFF2-40B4-BE49-F238E27FC236}">
              <a16:creationId xmlns:a16="http://schemas.microsoft.com/office/drawing/2014/main" id="{92178CA1-0818-42F1-9C7C-FC0ACA90ADA4}"/>
            </a:ext>
          </a:extLst>
        </xdr:cNvPr>
        <xdr:cNvCxnSpPr/>
      </xdr:nvCxnSpPr>
      <xdr:spPr>
        <a:xfrm flipH="1">
          <a:off x="4092667" y="12490654"/>
          <a:ext cx="0" cy="740704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70311</xdr:colOff>
      <xdr:row>75</xdr:row>
      <xdr:rowOff>19267</xdr:rowOff>
    </xdr:from>
    <xdr:to>
      <xdr:col>11</xdr:col>
      <xdr:colOff>70836</xdr:colOff>
      <xdr:row>76</xdr:row>
      <xdr:rowOff>33204</xdr:rowOff>
    </xdr:to>
    <xdr:cxnSp macro="">
      <xdr:nvCxnSpPr>
        <xdr:cNvPr id="333" name="직선 연결선 332">
          <a:extLst>
            <a:ext uri="{FF2B5EF4-FFF2-40B4-BE49-F238E27FC236}">
              <a16:creationId xmlns:a16="http://schemas.microsoft.com/office/drawing/2014/main" id="{59E29C77-8F19-4025-8D61-7E78C94E3FE5}"/>
            </a:ext>
          </a:extLst>
        </xdr:cNvPr>
        <xdr:cNvCxnSpPr/>
      </xdr:nvCxnSpPr>
      <xdr:spPr>
        <a:xfrm>
          <a:off x="4093223" y="14590649"/>
          <a:ext cx="525" cy="215643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89191</xdr:colOff>
      <xdr:row>63</xdr:row>
      <xdr:rowOff>191124</xdr:rowOff>
    </xdr:from>
    <xdr:to>
      <xdr:col>12</xdr:col>
      <xdr:colOff>2536</xdr:colOff>
      <xdr:row>63</xdr:row>
      <xdr:rowOff>191124</xdr:rowOff>
    </xdr:to>
    <xdr:cxnSp macro="">
      <xdr:nvCxnSpPr>
        <xdr:cNvPr id="334" name="직선 연결선 333">
          <a:extLst>
            <a:ext uri="{FF2B5EF4-FFF2-40B4-BE49-F238E27FC236}">
              <a16:creationId xmlns:a16="http://schemas.microsoft.com/office/drawing/2014/main" id="{F065D729-1AC0-4A7F-9694-9FDE952EF3F3}"/>
            </a:ext>
          </a:extLst>
        </xdr:cNvPr>
        <xdr:cNvCxnSpPr/>
      </xdr:nvCxnSpPr>
      <xdr:spPr>
        <a:xfrm flipV="1">
          <a:off x="4112103" y="12342036"/>
          <a:ext cx="249521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89453</xdr:colOff>
      <xdr:row>64</xdr:row>
      <xdr:rowOff>158207</xdr:rowOff>
    </xdr:from>
    <xdr:to>
      <xdr:col>12</xdr:col>
      <xdr:colOff>2798</xdr:colOff>
      <xdr:row>64</xdr:row>
      <xdr:rowOff>158207</xdr:rowOff>
    </xdr:to>
    <xdr:cxnSp macro="">
      <xdr:nvCxnSpPr>
        <xdr:cNvPr id="335" name="직선 연결선 334">
          <a:extLst>
            <a:ext uri="{FF2B5EF4-FFF2-40B4-BE49-F238E27FC236}">
              <a16:creationId xmlns:a16="http://schemas.microsoft.com/office/drawing/2014/main" id="{0E1056F5-73D1-4505-92C7-2F2651A7822C}"/>
            </a:ext>
          </a:extLst>
        </xdr:cNvPr>
        <xdr:cNvCxnSpPr/>
      </xdr:nvCxnSpPr>
      <xdr:spPr>
        <a:xfrm flipV="1">
          <a:off x="4112365" y="12510825"/>
          <a:ext cx="249521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214477</xdr:colOff>
      <xdr:row>65</xdr:row>
      <xdr:rowOff>125288</xdr:rowOff>
    </xdr:from>
    <xdr:to>
      <xdr:col>12</xdr:col>
      <xdr:colOff>21251</xdr:colOff>
      <xdr:row>65</xdr:row>
      <xdr:rowOff>125288</xdr:rowOff>
    </xdr:to>
    <xdr:cxnSp macro="">
      <xdr:nvCxnSpPr>
        <xdr:cNvPr id="336" name="직선 연결선 335">
          <a:extLst>
            <a:ext uri="{FF2B5EF4-FFF2-40B4-BE49-F238E27FC236}">
              <a16:creationId xmlns:a16="http://schemas.microsoft.com/office/drawing/2014/main" id="{8329DEDA-2243-47DF-907C-4A0984DBF022}"/>
            </a:ext>
          </a:extLst>
        </xdr:cNvPr>
        <xdr:cNvCxnSpPr/>
      </xdr:nvCxnSpPr>
      <xdr:spPr>
        <a:xfrm flipV="1">
          <a:off x="4237389" y="12679612"/>
          <a:ext cx="14295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227609</xdr:colOff>
      <xdr:row>65</xdr:row>
      <xdr:rowOff>98482</xdr:rowOff>
    </xdr:from>
    <xdr:to>
      <xdr:col>11</xdr:col>
      <xdr:colOff>227609</xdr:colOff>
      <xdr:row>75</xdr:row>
      <xdr:rowOff>31634</xdr:rowOff>
    </xdr:to>
    <xdr:cxnSp macro="">
      <xdr:nvCxnSpPr>
        <xdr:cNvPr id="337" name="직선 연결선 336">
          <a:extLst>
            <a:ext uri="{FF2B5EF4-FFF2-40B4-BE49-F238E27FC236}">
              <a16:creationId xmlns:a16="http://schemas.microsoft.com/office/drawing/2014/main" id="{DFE40FA2-C03C-4A83-AD72-D8BB6924AE59}"/>
            </a:ext>
          </a:extLst>
        </xdr:cNvPr>
        <xdr:cNvCxnSpPr/>
      </xdr:nvCxnSpPr>
      <xdr:spPr>
        <a:xfrm flipH="1">
          <a:off x="4250521" y="12652806"/>
          <a:ext cx="0" cy="195021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48559</xdr:colOff>
      <xdr:row>75</xdr:row>
      <xdr:rowOff>8349</xdr:rowOff>
    </xdr:from>
    <xdr:to>
      <xdr:col>11</xdr:col>
      <xdr:colOff>227764</xdr:colOff>
      <xdr:row>75</xdr:row>
      <xdr:rowOff>8349</xdr:rowOff>
    </xdr:to>
    <xdr:cxnSp macro="">
      <xdr:nvCxnSpPr>
        <xdr:cNvPr id="338" name="직선 연결선 337">
          <a:extLst>
            <a:ext uri="{FF2B5EF4-FFF2-40B4-BE49-F238E27FC236}">
              <a16:creationId xmlns:a16="http://schemas.microsoft.com/office/drawing/2014/main" id="{C08F9D9F-5AAC-4EDA-A9F4-1A33903997A0}"/>
            </a:ext>
          </a:extLst>
        </xdr:cNvPr>
        <xdr:cNvCxnSpPr/>
      </xdr:nvCxnSpPr>
      <xdr:spPr>
        <a:xfrm>
          <a:off x="4071471" y="14579731"/>
          <a:ext cx="179205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24615</xdr:colOff>
      <xdr:row>67</xdr:row>
      <xdr:rowOff>75930</xdr:rowOff>
    </xdr:from>
    <xdr:to>
      <xdr:col>12</xdr:col>
      <xdr:colOff>24615</xdr:colOff>
      <xdr:row>88</xdr:row>
      <xdr:rowOff>88106</xdr:rowOff>
    </xdr:to>
    <xdr:cxnSp macro="">
      <xdr:nvCxnSpPr>
        <xdr:cNvPr id="339" name="직선 연결선 338">
          <a:extLst>
            <a:ext uri="{FF2B5EF4-FFF2-40B4-BE49-F238E27FC236}">
              <a16:creationId xmlns:a16="http://schemas.microsoft.com/office/drawing/2014/main" id="{C385F648-4477-4A47-9828-F1ED222ACC2B}"/>
            </a:ext>
          </a:extLst>
        </xdr:cNvPr>
        <xdr:cNvCxnSpPr/>
      </xdr:nvCxnSpPr>
      <xdr:spPr>
        <a:xfrm>
          <a:off x="4383703" y="13033665"/>
          <a:ext cx="0" cy="4248000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11207</xdr:colOff>
      <xdr:row>58</xdr:row>
      <xdr:rowOff>78441</xdr:rowOff>
    </xdr:from>
    <xdr:to>
      <xdr:col>12</xdr:col>
      <xdr:colOff>11207</xdr:colOff>
      <xdr:row>62</xdr:row>
      <xdr:rowOff>24135</xdr:rowOff>
    </xdr:to>
    <xdr:cxnSp macro="">
      <xdr:nvCxnSpPr>
        <xdr:cNvPr id="340" name="직선 연결선 339">
          <a:extLst>
            <a:ext uri="{FF2B5EF4-FFF2-40B4-BE49-F238E27FC236}">
              <a16:creationId xmlns:a16="http://schemas.microsoft.com/office/drawing/2014/main" id="{9F5A40BD-B4D8-4043-A129-AA1147560686}"/>
            </a:ext>
          </a:extLst>
        </xdr:cNvPr>
        <xdr:cNvCxnSpPr/>
      </xdr:nvCxnSpPr>
      <xdr:spPr>
        <a:xfrm>
          <a:off x="4370295" y="11220823"/>
          <a:ext cx="0" cy="752518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61</xdr:row>
      <xdr:rowOff>194235</xdr:rowOff>
    </xdr:from>
    <xdr:to>
      <xdr:col>12</xdr:col>
      <xdr:colOff>234578</xdr:colOff>
      <xdr:row>62</xdr:row>
      <xdr:rowOff>157859</xdr:rowOff>
    </xdr:to>
    <xdr:cxnSp macro="">
      <xdr:nvCxnSpPr>
        <xdr:cNvPr id="342" name="직선 연결선 341">
          <a:extLst>
            <a:ext uri="{FF2B5EF4-FFF2-40B4-BE49-F238E27FC236}">
              <a16:creationId xmlns:a16="http://schemas.microsoft.com/office/drawing/2014/main" id="{27E2516D-3DC2-4378-B95E-5F8FC2E3E07B}"/>
            </a:ext>
          </a:extLst>
        </xdr:cNvPr>
        <xdr:cNvCxnSpPr/>
      </xdr:nvCxnSpPr>
      <xdr:spPr>
        <a:xfrm>
          <a:off x="4359088" y="11941735"/>
          <a:ext cx="234578" cy="165330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33618</xdr:colOff>
      <xdr:row>66</xdr:row>
      <xdr:rowOff>164353</xdr:rowOff>
    </xdr:from>
    <xdr:to>
      <xdr:col>12</xdr:col>
      <xdr:colOff>231588</xdr:colOff>
      <xdr:row>67</xdr:row>
      <xdr:rowOff>100853</xdr:rowOff>
    </xdr:to>
    <xdr:cxnSp macro="">
      <xdr:nvCxnSpPr>
        <xdr:cNvPr id="344" name="직선 연결선 343">
          <a:extLst>
            <a:ext uri="{FF2B5EF4-FFF2-40B4-BE49-F238E27FC236}">
              <a16:creationId xmlns:a16="http://schemas.microsoft.com/office/drawing/2014/main" id="{88B284E9-B6CB-4849-8191-536F39724268}"/>
            </a:ext>
          </a:extLst>
        </xdr:cNvPr>
        <xdr:cNvCxnSpPr/>
      </xdr:nvCxnSpPr>
      <xdr:spPr>
        <a:xfrm flipV="1">
          <a:off x="4392706" y="12920382"/>
          <a:ext cx="197970" cy="138206"/>
        </a:xfrm>
        <a:prstGeom prst="line">
          <a:avLst/>
        </a:prstGeom>
        <a:ln w="79375">
          <a:solidFill>
            <a:schemeClr val="accent4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272329</xdr:colOff>
      <xdr:row>58</xdr:row>
      <xdr:rowOff>84761</xdr:rowOff>
    </xdr:from>
    <xdr:to>
      <xdr:col>12</xdr:col>
      <xdr:colOff>272677</xdr:colOff>
      <xdr:row>61</xdr:row>
      <xdr:rowOff>160618</xdr:rowOff>
    </xdr:to>
    <xdr:cxnSp macro="">
      <xdr:nvCxnSpPr>
        <xdr:cNvPr id="347" name="직선 연결선 346">
          <a:extLst>
            <a:ext uri="{FF2B5EF4-FFF2-40B4-BE49-F238E27FC236}">
              <a16:creationId xmlns:a16="http://schemas.microsoft.com/office/drawing/2014/main" id="{D5F58CE5-D4D6-4A5F-9B6F-DB7D18D41BBC}"/>
            </a:ext>
          </a:extLst>
        </xdr:cNvPr>
        <xdr:cNvCxnSpPr/>
      </xdr:nvCxnSpPr>
      <xdr:spPr>
        <a:xfrm>
          <a:off x="4631417" y="11227143"/>
          <a:ext cx="348" cy="680975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123264</xdr:colOff>
      <xdr:row>66</xdr:row>
      <xdr:rowOff>173661</xdr:rowOff>
    </xdr:from>
    <xdr:to>
      <xdr:col>13</xdr:col>
      <xdr:colOff>123264</xdr:colOff>
      <xdr:row>67</xdr:row>
      <xdr:rowOff>138206</xdr:rowOff>
    </xdr:to>
    <xdr:cxnSp macro="">
      <xdr:nvCxnSpPr>
        <xdr:cNvPr id="349" name="직선 연결선 348">
          <a:extLst>
            <a:ext uri="{FF2B5EF4-FFF2-40B4-BE49-F238E27FC236}">
              <a16:creationId xmlns:a16="http://schemas.microsoft.com/office/drawing/2014/main" id="{6F6BED70-D549-4C8B-8CF0-B8495ACA70B3}"/>
            </a:ext>
          </a:extLst>
        </xdr:cNvPr>
        <xdr:cNvCxnSpPr/>
      </xdr:nvCxnSpPr>
      <xdr:spPr>
        <a:xfrm flipH="1">
          <a:off x="4818529" y="12929690"/>
          <a:ext cx="0" cy="166251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171824</xdr:colOff>
      <xdr:row>67</xdr:row>
      <xdr:rowOff>57119</xdr:rowOff>
    </xdr:from>
    <xdr:to>
      <xdr:col>13</xdr:col>
      <xdr:colOff>129987</xdr:colOff>
      <xdr:row>68</xdr:row>
      <xdr:rowOff>74706</xdr:rowOff>
    </xdr:to>
    <xdr:cxnSp macro="">
      <xdr:nvCxnSpPr>
        <xdr:cNvPr id="351" name="직선 연결선 350">
          <a:extLst>
            <a:ext uri="{FF2B5EF4-FFF2-40B4-BE49-F238E27FC236}">
              <a16:creationId xmlns:a16="http://schemas.microsoft.com/office/drawing/2014/main" id="{3D5A9FCB-F909-4DC7-A30D-E1F57E44C91D}"/>
            </a:ext>
          </a:extLst>
        </xdr:cNvPr>
        <xdr:cNvCxnSpPr/>
      </xdr:nvCxnSpPr>
      <xdr:spPr>
        <a:xfrm flipH="1">
          <a:off x="4530912" y="13014854"/>
          <a:ext cx="294340" cy="219293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220382</xdr:colOff>
      <xdr:row>67</xdr:row>
      <xdr:rowOff>183371</xdr:rowOff>
    </xdr:from>
    <xdr:to>
      <xdr:col>12</xdr:col>
      <xdr:colOff>220382</xdr:colOff>
      <xdr:row>83</xdr:row>
      <xdr:rowOff>124077</xdr:rowOff>
    </xdr:to>
    <xdr:cxnSp macro="">
      <xdr:nvCxnSpPr>
        <xdr:cNvPr id="355" name="직선 연결선 354">
          <a:extLst>
            <a:ext uri="{FF2B5EF4-FFF2-40B4-BE49-F238E27FC236}">
              <a16:creationId xmlns:a16="http://schemas.microsoft.com/office/drawing/2014/main" id="{EA732241-2FDA-4654-B884-D2049E8FB5E9}"/>
            </a:ext>
          </a:extLst>
        </xdr:cNvPr>
        <xdr:cNvCxnSpPr/>
      </xdr:nvCxnSpPr>
      <xdr:spPr>
        <a:xfrm flipH="1">
          <a:off x="4579470" y="13141106"/>
          <a:ext cx="0" cy="3168000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230842</xdr:colOff>
      <xdr:row>61</xdr:row>
      <xdr:rowOff>62752</xdr:rowOff>
    </xdr:from>
    <xdr:to>
      <xdr:col>13</xdr:col>
      <xdr:colOff>112059</xdr:colOff>
      <xdr:row>62</xdr:row>
      <xdr:rowOff>52294</xdr:rowOff>
    </xdr:to>
    <xdr:cxnSp macro="">
      <xdr:nvCxnSpPr>
        <xdr:cNvPr id="359" name="직선 연결선 358">
          <a:extLst>
            <a:ext uri="{FF2B5EF4-FFF2-40B4-BE49-F238E27FC236}">
              <a16:creationId xmlns:a16="http://schemas.microsoft.com/office/drawing/2014/main" id="{30AF8DFF-24E2-4355-848A-0313866E0B1C}"/>
            </a:ext>
          </a:extLst>
        </xdr:cNvPr>
        <xdr:cNvCxnSpPr/>
      </xdr:nvCxnSpPr>
      <xdr:spPr>
        <a:xfrm flipH="1" flipV="1">
          <a:off x="4589930" y="11810252"/>
          <a:ext cx="217394" cy="191248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122517</xdr:colOff>
      <xdr:row>61</xdr:row>
      <xdr:rowOff>184119</xdr:rowOff>
    </xdr:from>
    <xdr:to>
      <xdr:col>13</xdr:col>
      <xdr:colOff>122517</xdr:colOff>
      <xdr:row>62</xdr:row>
      <xdr:rowOff>148664</xdr:rowOff>
    </xdr:to>
    <xdr:cxnSp macro="">
      <xdr:nvCxnSpPr>
        <xdr:cNvPr id="362" name="직선 연결선 361">
          <a:extLst>
            <a:ext uri="{FF2B5EF4-FFF2-40B4-BE49-F238E27FC236}">
              <a16:creationId xmlns:a16="http://schemas.microsoft.com/office/drawing/2014/main" id="{AF508AC8-D146-45B7-B82E-554E450AC10E}"/>
            </a:ext>
          </a:extLst>
        </xdr:cNvPr>
        <xdr:cNvCxnSpPr/>
      </xdr:nvCxnSpPr>
      <xdr:spPr>
        <a:xfrm flipH="1">
          <a:off x="4817782" y="11931619"/>
          <a:ext cx="0" cy="166251"/>
        </a:xfrm>
        <a:prstGeom prst="line">
          <a:avLst/>
        </a:prstGeom>
        <a:ln w="234950">
          <a:solidFill>
            <a:srgbClr val="00CC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214976</xdr:colOff>
      <xdr:row>58</xdr:row>
      <xdr:rowOff>100853</xdr:rowOff>
    </xdr:from>
    <xdr:to>
      <xdr:col>13</xdr:col>
      <xdr:colOff>214976</xdr:colOff>
      <xdr:row>61</xdr:row>
      <xdr:rowOff>35735</xdr:rowOff>
    </xdr:to>
    <xdr:cxnSp macro="">
      <xdr:nvCxnSpPr>
        <xdr:cNvPr id="363" name="직선 연결선 362">
          <a:extLst>
            <a:ext uri="{FF2B5EF4-FFF2-40B4-BE49-F238E27FC236}">
              <a16:creationId xmlns:a16="http://schemas.microsoft.com/office/drawing/2014/main" id="{B2EBB55C-F4E6-4651-9C22-764B7EF6113B}"/>
            </a:ext>
          </a:extLst>
        </xdr:cNvPr>
        <xdr:cNvCxnSpPr/>
      </xdr:nvCxnSpPr>
      <xdr:spPr>
        <a:xfrm flipH="1">
          <a:off x="4910241" y="11243235"/>
          <a:ext cx="0" cy="540000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38670</xdr:colOff>
      <xdr:row>61</xdr:row>
      <xdr:rowOff>174812</xdr:rowOff>
    </xdr:from>
    <xdr:to>
      <xdr:col>14</xdr:col>
      <xdr:colOff>38670</xdr:colOff>
      <xdr:row>62</xdr:row>
      <xdr:rowOff>153106</xdr:rowOff>
    </xdr:to>
    <xdr:cxnSp macro="">
      <xdr:nvCxnSpPr>
        <xdr:cNvPr id="365" name="직선 연결선 364">
          <a:extLst>
            <a:ext uri="{FF2B5EF4-FFF2-40B4-BE49-F238E27FC236}">
              <a16:creationId xmlns:a16="http://schemas.microsoft.com/office/drawing/2014/main" id="{CA7CE197-7D75-4490-8391-1A85021836F9}"/>
            </a:ext>
          </a:extLst>
        </xdr:cNvPr>
        <xdr:cNvCxnSpPr/>
      </xdr:nvCxnSpPr>
      <xdr:spPr>
        <a:xfrm flipH="1">
          <a:off x="5070111" y="11922312"/>
          <a:ext cx="0" cy="180000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205440</xdr:colOff>
      <xdr:row>60</xdr:row>
      <xdr:rowOff>194236</xdr:rowOff>
    </xdr:from>
    <xdr:to>
      <xdr:col>14</xdr:col>
      <xdr:colOff>78441</xdr:colOff>
      <xdr:row>62</xdr:row>
      <xdr:rowOff>11206</xdr:rowOff>
    </xdr:to>
    <xdr:cxnSp macro="">
      <xdr:nvCxnSpPr>
        <xdr:cNvPr id="366" name="직선 연결선 365">
          <a:extLst>
            <a:ext uri="{FF2B5EF4-FFF2-40B4-BE49-F238E27FC236}">
              <a16:creationId xmlns:a16="http://schemas.microsoft.com/office/drawing/2014/main" id="{48EFC24A-5FE1-4E4B-9E96-D62A111ED5A6}"/>
            </a:ext>
          </a:extLst>
        </xdr:cNvPr>
        <xdr:cNvCxnSpPr/>
      </xdr:nvCxnSpPr>
      <xdr:spPr>
        <a:xfrm>
          <a:off x="4900705" y="11740030"/>
          <a:ext cx="209177" cy="220382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45393</xdr:colOff>
      <xdr:row>66</xdr:row>
      <xdr:rowOff>155388</xdr:rowOff>
    </xdr:from>
    <xdr:to>
      <xdr:col>14</xdr:col>
      <xdr:colOff>45393</xdr:colOff>
      <xdr:row>68</xdr:row>
      <xdr:rowOff>3976</xdr:rowOff>
    </xdr:to>
    <xdr:cxnSp macro="">
      <xdr:nvCxnSpPr>
        <xdr:cNvPr id="369" name="직선 연결선 368">
          <a:extLst>
            <a:ext uri="{FF2B5EF4-FFF2-40B4-BE49-F238E27FC236}">
              <a16:creationId xmlns:a16="http://schemas.microsoft.com/office/drawing/2014/main" id="{82646B6A-0881-4E80-8436-8170EAEA876E}"/>
            </a:ext>
          </a:extLst>
        </xdr:cNvPr>
        <xdr:cNvCxnSpPr/>
      </xdr:nvCxnSpPr>
      <xdr:spPr>
        <a:xfrm flipH="1">
          <a:off x="5076834" y="12911417"/>
          <a:ext cx="0" cy="252000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100853</xdr:colOff>
      <xdr:row>67</xdr:row>
      <xdr:rowOff>126253</xdr:rowOff>
    </xdr:from>
    <xdr:to>
      <xdr:col>14</xdr:col>
      <xdr:colOff>85163</xdr:colOff>
      <xdr:row>68</xdr:row>
      <xdr:rowOff>171823</xdr:rowOff>
    </xdr:to>
    <xdr:cxnSp macro="">
      <xdr:nvCxnSpPr>
        <xdr:cNvPr id="370" name="직선 연결선 369">
          <a:extLst>
            <a:ext uri="{FF2B5EF4-FFF2-40B4-BE49-F238E27FC236}">
              <a16:creationId xmlns:a16="http://schemas.microsoft.com/office/drawing/2014/main" id="{17F20C91-BC72-4D49-B59D-5ABA5BDBB1F2}"/>
            </a:ext>
          </a:extLst>
        </xdr:cNvPr>
        <xdr:cNvCxnSpPr/>
      </xdr:nvCxnSpPr>
      <xdr:spPr>
        <a:xfrm flipH="1">
          <a:off x="4796118" y="13083988"/>
          <a:ext cx="320486" cy="247276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132052</xdr:colOff>
      <xdr:row>68</xdr:row>
      <xdr:rowOff>103841</xdr:rowOff>
    </xdr:from>
    <xdr:to>
      <xdr:col>13</xdr:col>
      <xdr:colOff>132052</xdr:colOff>
      <xdr:row>83</xdr:row>
      <xdr:rowOff>102253</xdr:rowOff>
    </xdr:to>
    <xdr:cxnSp macro="">
      <xdr:nvCxnSpPr>
        <xdr:cNvPr id="373" name="직선 연결선 372">
          <a:extLst>
            <a:ext uri="{FF2B5EF4-FFF2-40B4-BE49-F238E27FC236}">
              <a16:creationId xmlns:a16="http://schemas.microsoft.com/office/drawing/2014/main" id="{953E4128-B094-4FA6-A51B-AC0705C13F91}"/>
            </a:ext>
          </a:extLst>
        </xdr:cNvPr>
        <xdr:cNvCxnSpPr/>
      </xdr:nvCxnSpPr>
      <xdr:spPr>
        <a:xfrm flipH="1">
          <a:off x="4827317" y="13263282"/>
          <a:ext cx="0" cy="3024000"/>
        </a:xfrm>
        <a:prstGeom prst="line">
          <a:avLst/>
        </a:prstGeom>
        <a:ln w="152400"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43330</xdr:colOff>
      <xdr:row>59</xdr:row>
      <xdr:rowOff>166594</xdr:rowOff>
    </xdr:from>
    <xdr:to>
      <xdr:col>16</xdr:col>
      <xdr:colOff>211154</xdr:colOff>
      <xdr:row>59</xdr:row>
      <xdr:rowOff>166594</xdr:rowOff>
    </xdr:to>
    <xdr:cxnSp macro="">
      <xdr:nvCxnSpPr>
        <xdr:cNvPr id="374" name="직선 연결선 373">
          <a:extLst>
            <a:ext uri="{FF2B5EF4-FFF2-40B4-BE49-F238E27FC236}">
              <a16:creationId xmlns:a16="http://schemas.microsoft.com/office/drawing/2014/main" id="{66F40DFA-A24B-407C-BD9B-6207F9EC3EF3}"/>
            </a:ext>
          </a:extLst>
        </xdr:cNvPr>
        <xdr:cNvCxnSpPr/>
      </xdr:nvCxnSpPr>
      <xdr:spPr>
        <a:xfrm flipH="1" flipV="1">
          <a:off x="5410948" y="11510682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81142</xdr:colOff>
      <xdr:row>59</xdr:row>
      <xdr:rowOff>128495</xdr:rowOff>
    </xdr:from>
    <xdr:to>
      <xdr:col>15</xdr:col>
      <xdr:colOff>81430</xdr:colOff>
      <xdr:row>60</xdr:row>
      <xdr:rowOff>126254</xdr:rowOff>
    </xdr:to>
    <xdr:cxnSp macro="">
      <xdr:nvCxnSpPr>
        <xdr:cNvPr id="375" name="직선 연결선 374">
          <a:extLst>
            <a:ext uri="{FF2B5EF4-FFF2-40B4-BE49-F238E27FC236}">
              <a16:creationId xmlns:a16="http://schemas.microsoft.com/office/drawing/2014/main" id="{0515D623-49E5-4BB3-94BC-9CA0E3049F38}"/>
            </a:ext>
          </a:extLst>
        </xdr:cNvPr>
        <xdr:cNvCxnSpPr/>
      </xdr:nvCxnSpPr>
      <xdr:spPr>
        <a:xfrm>
          <a:off x="5448760" y="11472583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53790</xdr:colOff>
      <xdr:row>70</xdr:row>
      <xdr:rowOff>117289</xdr:rowOff>
    </xdr:from>
    <xdr:to>
      <xdr:col>16</xdr:col>
      <xdr:colOff>221614</xdr:colOff>
      <xdr:row>70</xdr:row>
      <xdr:rowOff>117289</xdr:rowOff>
    </xdr:to>
    <xdr:cxnSp macro="">
      <xdr:nvCxnSpPr>
        <xdr:cNvPr id="376" name="직선 연결선 375">
          <a:extLst>
            <a:ext uri="{FF2B5EF4-FFF2-40B4-BE49-F238E27FC236}">
              <a16:creationId xmlns:a16="http://schemas.microsoft.com/office/drawing/2014/main" id="{915E45FA-9E34-4C89-8ACB-A2E3CC4A1B29}"/>
            </a:ext>
          </a:extLst>
        </xdr:cNvPr>
        <xdr:cNvCxnSpPr/>
      </xdr:nvCxnSpPr>
      <xdr:spPr>
        <a:xfrm flipH="1" flipV="1">
          <a:off x="5421408" y="13680142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87866</xdr:colOff>
      <xdr:row>69</xdr:row>
      <xdr:rowOff>153895</xdr:rowOff>
    </xdr:from>
    <xdr:to>
      <xdr:col>15</xdr:col>
      <xdr:colOff>88154</xdr:colOff>
      <xdr:row>70</xdr:row>
      <xdr:rowOff>151654</xdr:rowOff>
    </xdr:to>
    <xdr:cxnSp macro="">
      <xdr:nvCxnSpPr>
        <xdr:cNvPr id="377" name="직선 연결선 376">
          <a:extLst>
            <a:ext uri="{FF2B5EF4-FFF2-40B4-BE49-F238E27FC236}">
              <a16:creationId xmlns:a16="http://schemas.microsoft.com/office/drawing/2014/main" id="{6A8D1F55-5247-4032-BB95-3951FF40DC86}"/>
            </a:ext>
          </a:extLst>
        </xdr:cNvPr>
        <xdr:cNvCxnSpPr/>
      </xdr:nvCxnSpPr>
      <xdr:spPr>
        <a:xfrm>
          <a:off x="5455484" y="13515042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56776</xdr:colOff>
      <xdr:row>78</xdr:row>
      <xdr:rowOff>90392</xdr:rowOff>
    </xdr:from>
    <xdr:to>
      <xdr:col>16</xdr:col>
      <xdr:colOff>224600</xdr:colOff>
      <xdr:row>78</xdr:row>
      <xdr:rowOff>90392</xdr:rowOff>
    </xdr:to>
    <xdr:cxnSp macro="">
      <xdr:nvCxnSpPr>
        <xdr:cNvPr id="378" name="직선 연결선 377">
          <a:extLst>
            <a:ext uri="{FF2B5EF4-FFF2-40B4-BE49-F238E27FC236}">
              <a16:creationId xmlns:a16="http://schemas.microsoft.com/office/drawing/2014/main" id="{7B73CF1C-B147-4DF9-B1EE-F16265B0106A}"/>
            </a:ext>
          </a:extLst>
        </xdr:cNvPr>
        <xdr:cNvCxnSpPr/>
      </xdr:nvCxnSpPr>
      <xdr:spPr>
        <a:xfrm flipH="1" flipV="1">
          <a:off x="5424394" y="15266892"/>
          <a:ext cx="504000" cy="0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94588</xdr:colOff>
      <xdr:row>77</xdr:row>
      <xdr:rowOff>134470</xdr:rowOff>
    </xdr:from>
    <xdr:to>
      <xdr:col>15</xdr:col>
      <xdr:colOff>94876</xdr:colOff>
      <xdr:row>78</xdr:row>
      <xdr:rowOff>132229</xdr:rowOff>
    </xdr:to>
    <xdr:cxnSp macro="">
      <xdr:nvCxnSpPr>
        <xdr:cNvPr id="379" name="직선 연결선 378">
          <a:extLst>
            <a:ext uri="{FF2B5EF4-FFF2-40B4-BE49-F238E27FC236}">
              <a16:creationId xmlns:a16="http://schemas.microsoft.com/office/drawing/2014/main" id="{B7090867-A3C6-4A62-BE3B-33C62DD11ABC}"/>
            </a:ext>
          </a:extLst>
        </xdr:cNvPr>
        <xdr:cNvCxnSpPr/>
      </xdr:nvCxnSpPr>
      <xdr:spPr>
        <a:xfrm>
          <a:off x="5462206" y="15109264"/>
          <a:ext cx="288" cy="199465"/>
        </a:xfrm>
        <a:prstGeom prst="line">
          <a:avLst/>
        </a:prstGeom>
        <a:ln w="79375">
          <a:solidFill>
            <a:srgbClr val="FF00FF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287379</xdr:colOff>
      <xdr:row>62</xdr:row>
      <xdr:rowOff>57524</xdr:rowOff>
    </xdr:from>
    <xdr:to>
      <xdr:col>15</xdr:col>
      <xdr:colOff>287379</xdr:colOff>
      <xdr:row>64</xdr:row>
      <xdr:rowOff>11142</xdr:rowOff>
    </xdr:to>
    <xdr:cxnSp macro="">
      <xdr:nvCxnSpPr>
        <xdr:cNvPr id="380" name="직선 연결선 379">
          <a:extLst>
            <a:ext uri="{FF2B5EF4-FFF2-40B4-BE49-F238E27FC236}">
              <a16:creationId xmlns:a16="http://schemas.microsoft.com/office/drawing/2014/main" id="{D473FB75-96F4-4E82-894B-DDCF99767C1F}"/>
            </a:ext>
          </a:extLst>
        </xdr:cNvPr>
        <xdr:cNvCxnSpPr/>
      </xdr:nvCxnSpPr>
      <xdr:spPr>
        <a:xfrm flipH="1">
          <a:off x="5654997" y="12006730"/>
          <a:ext cx="0" cy="35703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123965</xdr:colOff>
      <xdr:row>63</xdr:row>
      <xdr:rowOff>199792</xdr:rowOff>
    </xdr:from>
    <xdr:to>
      <xdr:col>15</xdr:col>
      <xdr:colOff>309788</xdr:colOff>
      <xdr:row>63</xdr:row>
      <xdr:rowOff>199792</xdr:rowOff>
    </xdr:to>
    <xdr:cxnSp macro="">
      <xdr:nvCxnSpPr>
        <xdr:cNvPr id="381" name="직선 연결선 380">
          <a:extLst>
            <a:ext uri="{FF2B5EF4-FFF2-40B4-BE49-F238E27FC236}">
              <a16:creationId xmlns:a16="http://schemas.microsoft.com/office/drawing/2014/main" id="{5C2B5D88-7278-497F-B152-E5B6964A4838}"/>
            </a:ext>
          </a:extLst>
        </xdr:cNvPr>
        <xdr:cNvCxnSpPr/>
      </xdr:nvCxnSpPr>
      <xdr:spPr>
        <a:xfrm flipV="1">
          <a:off x="5155406" y="12350704"/>
          <a:ext cx="522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122200</xdr:colOff>
      <xdr:row>64</xdr:row>
      <xdr:rowOff>147599</xdr:rowOff>
    </xdr:from>
    <xdr:to>
      <xdr:col>15</xdr:col>
      <xdr:colOff>308023</xdr:colOff>
      <xdr:row>64</xdr:row>
      <xdr:rowOff>147599</xdr:rowOff>
    </xdr:to>
    <xdr:cxnSp macro="">
      <xdr:nvCxnSpPr>
        <xdr:cNvPr id="382" name="직선 연결선 381">
          <a:extLst>
            <a:ext uri="{FF2B5EF4-FFF2-40B4-BE49-F238E27FC236}">
              <a16:creationId xmlns:a16="http://schemas.microsoft.com/office/drawing/2014/main" id="{788C0BD4-7730-4DE3-953B-C5573B630FDF}"/>
            </a:ext>
          </a:extLst>
        </xdr:cNvPr>
        <xdr:cNvCxnSpPr/>
      </xdr:nvCxnSpPr>
      <xdr:spPr>
        <a:xfrm flipV="1">
          <a:off x="5153641" y="12500217"/>
          <a:ext cx="522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294272</xdr:colOff>
      <xdr:row>64</xdr:row>
      <xdr:rowOff>145572</xdr:rowOff>
    </xdr:from>
    <xdr:to>
      <xdr:col>15</xdr:col>
      <xdr:colOff>294272</xdr:colOff>
      <xdr:row>68</xdr:row>
      <xdr:rowOff>57390</xdr:rowOff>
    </xdr:to>
    <xdr:cxnSp macro="">
      <xdr:nvCxnSpPr>
        <xdr:cNvPr id="383" name="직선 연결선 382">
          <a:extLst>
            <a:ext uri="{FF2B5EF4-FFF2-40B4-BE49-F238E27FC236}">
              <a16:creationId xmlns:a16="http://schemas.microsoft.com/office/drawing/2014/main" id="{8A98FBA0-05B1-45D9-A3EC-AD0979F46E04}"/>
            </a:ext>
          </a:extLst>
        </xdr:cNvPr>
        <xdr:cNvCxnSpPr/>
      </xdr:nvCxnSpPr>
      <xdr:spPr>
        <a:xfrm flipH="1">
          <a:off x="5661890" y="12498190"/>
          <a:ext cx="0" cy="718641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113983</xdr:colOff>
      <xdr:row>65</xdr:row>
      <xdr:rowOff>113234</xdr:rowOff>
    </xdr:from>
    <xdr:to>
      <xdr:col>14</xdr:col>
      <xdr:colOff>306295</xdr:colOff>
      <xdr:row>65</xdr:row>
      <xdr:rowOff>113234</xdr:rowOff>
    </xdr:to>
    <xdr:cxnSp macro="">
      <xdr:nvCxnSpPr>
        <xdr:cNvPr id="384" name="직선 연결선 383">
          <a:extLst>
            <a:ext uri="{FF2B5EF4-FFF2-40B4-BE49-F238E27FC236}">
              <a16:creationId xmlns:a16="http://schemas.microsoft.com/office/drawing/2014/main" id="{89C313A7-A6AC-4578-B954-82809980E925}"/>
            </a:ext>
          </a:extLst>
        </xdr:cNvPr>
        <xdr:cNvCxnSpPr/>
      </xdr:nvCxnSpPr>
      <xdr:spPr>
        <a:xfrm>
          <a:off x="5145424" y="12667558"/>
          <a:ext cx="192312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286055</xdr:colOff>
      <xdr:row>65</xdr:row>
      <xdr:rowOff>107472</xdr:rowOff>
    </xdr:from>
    <xdr:to>
      <xdr:col>14</xdr:col>
      <xdr:colOff>286055</xdr:colOff>
      <xdr:row>68</xdr:row>
      <xdr:rowOff>6355</xdr:rowOff>
    </xdr:to>
    <xdr:cxnSp macro="">
      <xdr:nvCxnSpPr>
        <xdr:cNvPr id="386" name="직선 연결선 385">
          <a:extLst>
            <a:ext uri="{FF2B5EF4-FFF2-40B4-BE49-F238E27FC236}">
              <a16:creationId xmlns:a16="http://schemas.microsoft.com/office/drawing/2014/main" id="{D14BE9B0-4DB1-4BE9-879B-EB585E558E57}"/>
            </a:ext>
          </a:extLst>
        </xdr:cNvPr>
        <xdr:cNvCxnSpPr/>
      </xdr:nvCxnSpPr>
      <xdr:spPr>
        <a:xfrm flipH="1">
          <a:off x="5317496" y="12661796"/>
          <a:ext cx="0" cy="50400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307719</xdr:colOff>
      <xdr:row>69</xdr:row>
      <xdr:rowOff>13343</xdr:rowOff>
    </xdr:from>
    <xdr:to>
      <xdr:col>13</xdr:col>
      <xdr:colOff>307719</xdr:colOff>
      <xdr:row>75</xdr:row>
      <xdr:rowOff>27108</xdr:rowOff>
    </xdr:to>
    <xdr:cxnSp macro="">
      <xdr:nvCxnSpPr>
        <xdr:cNvPr id="387" name="직선 연결선 386">
          <a:extLst>
            <a:ext uri="{FF2B5EF4-FFF2-40B4-BE49-F238E27FC236}">
              <a16:creationId xmlns:a16="http://schemas.microsoft.com/office/drawing/2014/main" id="{848BBB52-3718-4C46-B530-294B519424A7}"/>
            </a:ext>
          </a:extLst>
        </xdr:cNvPr>
        <xdr:cNvCxnSpPr/>
      </xdr:nvCxnSpPr>
      <xdr:spPr>
        <a:xfrm flipH="1">
          <a:off x="5002984" y="13374490"/>
          <a:ext cx="0" cy="122400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310029</xdr:colOff>
      <xdr:row>67</xdr:row>
      <xdr:rowOff>197971</xdr:rowOff>
    </xdr:from>
    <xdr:to>
      <xdr:col>14</xdr:col>
      <xdr:colOff>283883</xdr:colOff>
      <xdr:row>69</xdr:row>
      <xdr:rowOff>22412</xdr:rowOff>
    </xdr:to>
    <xdr:cxnSp macro="">
      <xdr:nvCxnSpPr>
        <xdr:cNvPr id="388" name="직선 연결선 387">
          <a:extLst>
            <a:ext uri="{FF2B5EF4-FFF2-40B4-BE49-F238E27FC236}">
              <a16:creationId xmlns:a16="http://schemas.microsoft.com/office/drawing/2014/main" id="{7897F0DB-FE44-4B27-B176-66592AF7C934}"/>
            </a:ext>
          </a:extLst>
        </xdr:cNvPr>
        <xdr:cNvCxnSpPr/>
      </xdr:nvCxnSpPr>
      <xdr:spPr>
        <a:xfrm flipH="1">
          <a:off x="5005294" y="13155706"/>
          <a:ext cx="310030" cy="227853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311952</xdr:colOff>
      <xdr:row>75</xdr:row>
      <xdr:rowOff>8647</xdr:rowOff>
    </xdr:from>
    <xdr:to>
      <xdr:col>15</xdr:col>
      <xdr:colOff>287599</xdr:colOff>
      <xdr:row>75</xdr:row>
      <xdr:rowOff>8647</xdr:rowOff>
    </xdr:to>
    <xdr:cxnSp macro="">
      <xdr:nvCxnSpPr>
        <xdr:cNvPr id="391" name="직선 연결선 390">
          <a:extLst>
            <a:ext uri="{FF2B5EF4-FFF2-40B4-BE49-F238E27FC236}">
              <a16:creationId xmlns:a16="http://schemas.microsoft.com/office/drawing/2014/main" id="{1B1E39EE-2E26-4D43-A5F5-C88102A791EE}"/>
            </a:ext>
          </a:extLst>
        </xdr:cNvPr>
        <xdr:cNvCxnSpPr/>
      </xdr:nvCxnSpPr>
      <xdr:spPr>
        <a:xfrm flipV="1">
          <a:off x="5007217" y="14580029"/>
          <a:ext cx="648000" cy="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297837</xdr:colOff>
      <xdr:row>74</xdr:row>
      <xdr:rowOff>187513</xdr:rowOff>
    </xdr:from>
    <xdr:to>
      <xdr:col>15</xdr:col>
      <xdr:colOff>297837</xdr:colOff>
      <xdr:row>76</xdr:row>
      <xdr:rowOff>101</xdr:rowOff>
    </xdr:to>
    <xdr:cxnSp macro="">
      <xdr:nvCxnSpPr>
        <xdr:cNvPr id="392" name="직선 연결선 391">
          <a:extLst>
            <a:ext uri="{FF2B5EF4-FFF2-40B4-BE49-F238E27FC236}">
              <a16:creationId xmlns:a16="http://schemas.microsoft.com/office/drawing/2014/main" id="{C6F87F42-DB4D-47CA-939B-5EAB341B50DE}"/>
            </a:ext>
          </a:extLst>
        </xdr:cNvPr>
        <xdr:cNvCxnSpPr/>
      </xdr:nvCxnSpPr>
      <xdr:spPr>
        <a:xfrm flipH="1">
          <a:off x="5665455" y="14557189"/>
          <a:ext cx="0" cy="216000"/>
        </a:xfrm>
        <a:prstGeom prst="line">
          <a:avLst/>
        </a:prstGeom>
        <a:ln w="4445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321235</xdr:colOff>
      <xdr:row>72</xdr:row>
      <xdr:rowOff>3735</xdr:rowOff>
    </xdr:from>
    <xdr:to>
      <xdr:col>5</xdr:col>
      <xdr:colOff>200529</xdr:colOff>
      <xdr:row>72</xdr:row>
      <xdr:rowOff>3735</xdr:rowOff>
    </xdr:to>
    <xdr:cxnSp macro="">
      <xdr:nvCxnSpPr>
        <xdr:cNvPr id="394" name="직선 화살표 연결선 393">
          <a:extLst>
            <a:ext uri="{FF2B5EF4-FFF2-40B4-BE49-F238E27FC236}">
              <a16:creationId xmlns:a16="http://schemas.microsoft.com/office/drawing/2014/main" id="{773A6C5F-A82C-E19E-2EF2-C765AF7FE173}"/>
            </a:ext>
          </a:extLst>
        </xdr:cNvPr>
        <xdr:cNvCxnSpPr/>
      </xdr:nvCxnSpPr>
      <xdr:spPr>
        <a:xfrm>
          <a:off x="982382" y="13970000"/>
          <a:ext cx="1224000" cy="0"/>
        </a:xfrm>
        <a:prstGeom prst="straightConnector1">
          <a:avLst/>
        </a:prstGeom>
        <a:ln>
          <a:solidFill>
            <a:srgbClr val="CC33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137458</xdr:colOff>
      <xdr:row>72</xdr:row>
      <xdr:rowOff>17929</xdr:rowOff>
    </xdr:from>
    <xdr:to>
      <xdr:col>14</xdr:col>
      <xdr:colOff>64929</xdr:colOff>
      <xdr:row>72</xdr:row>
      <xdr:rowOff>17929</xdr:rowOff>
    </xdr:to>
    <xdr:cxnSp macro="">
      <xdr:nvCxnSpPr>
        <xdr:cNvPr id="395" name="직선 화살표 연결선 394">
          <a:extLst>
            <a:ext uri="{FF2B5EF4-FFF2-40B4-BE49-F238E27FC236}">
              <a16:creationId xmlns:a16="http://schemas.microsoft.com/office/drawing/2014/main" id="{AC4C4C48-DE86-4047-815D-0851BD5F5C7F}"/>
            </a:ext>
          </a:extLst>
        </xdr:cNvPr>
        <xdr:cNvCxnSpPr/>
      </xdr:nvCxnSpPr>
      <xdr:spPr>
        <a:xfrm>
          <a:off x="4160370" y="13984194"/>
          <a:ext cx="936000" cy="0"/>
        </a:xfrm>
        <a:prstGeom prst="straightConnector1">
          <a:avLst/>
        </a:prstGeom>
        <a:ln>
          <a:solidFill>
            <a:srgbClr val="CC3300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306295</xdr:colOff>
      <xdr:row>71</xdr:row>
      <xdr:rowOff>113400</xdr:rowOff>
    </xdr:from>
    <xdr:ext cx="582705" cy="172227"/>
    <xdr:sp macro="" textlink="">
      <xdr:nvSpPr>
        <xdr:cNvPr id="396" name="TextBox 395">
          <a:extLst>
            <a:ext uri="{FF2B5EF4-FFF2-40B4-BE49-F238E27FC236}">
              <a16:creationId xmlns:a16="http://schemas.microsoft.com/office/drawing/2014/main" id="{F0F192D5-0114-895A-E2FB-196A075BC24F}"/>
            </a:ext>
          </a:extLst>
        </xdr:cNvPr>
        <xdr:cNvSpPr txBox="1"/>
      </xdr:nvSpPr>
      <xdr:spPr>
        <a:xfrm>
          <a:off x="1303619" y="13877959"/>
          <a:ext cx="582705" cy="172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ctr"/>
          <a:r>
            <a:rPr lang="en-US" altLang="ko-KR" sz="1100" b="1">
              <a:solidFill>
                <a:srgbClr val="CC3300"/>
              </a:solidFill>
            </a:rPr>
            <a:t>7 Line</a:t>
          </a:r>
          <a:endParaRPr lang="ko-KR" altLang="en-US" sz="1100" b="1">
            <a:solidFill>
              <a:srgbClr val="CC3300"/>
            </a:solidFill>
          </a:endParaRPr>
        </a:p>
      </xdr:txBody>
    </xdr:sp>
    <xdr:clientData/>
  </xdr:oneCellAnchor>
  <xdr:oneCellAnchor>
    <xdr:from>
      <xdr:col>12</xdr:col>
      <xdr:colOff>14195</xdr:colOff>
      <xdr:row>71</xdr:row>
      <xdr:rowOff>123858</xdr:rowOff>
    </xdr:from>
    <xdr:ext cx="582705" cy="172227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AB28602-2B59-4157-918C-080C35E94882}"/>
            </a:ext>
          </a:extLst>
        </xdr:cNvPr>
        <xdr:cNvSpPr txBox="1"/>
      </xdr:nvSpPr>
      <xdr:spPr>
        <a:xfrm>
          <a:off x="4373283" y="13888417"/>
          <a:ext cx="582705" cy="172227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ctr" anchorCtr="0">
          <a:spAutoFit/>
        </a:bodyPr>
        <a:lstStyle/>
        <a:p>
          <a:pPr algn="ctr"/>
          <a:r>
            <a:rPr lang="en-US" altLang="ko-KR" sz="1100" b="1">
              <a:solidFill>
                <a:srgbClr val="CC3300"/>
              </a:solidFill>
            </a:rPr>
            <a:t>6 Line</a:t>
          </a:r>
          <a:endParaRPr lang="ko-KR" altLang="en-US" sz="1100" b="1">
            <a:solidFill>
              <a:srgbClr val="CC3300"/>
            </a:solidFill>
          </a:endParaRPr>
        </a:p>
      </xdr:txBody>
    </xdr:sp>
    <xdr:clientData/>
  </xdr:oneCellAnchor>
  <xdr:twoCellAnchor>
    <xdr:from>
      <xdr:col>4</xdr:col>
      <xdr:colOff>224117</xdr:colOff>
      <xdr:row>96</xdr:row>
      <xdr:rowOff>44824</xdr:rowOff>
    </xdr:from>
    <xdr:to>
      <xdr:col>12</xdr:col>
      <xdr:colOff>196324</xdr:colOff>
      <xdr:row>105</xdr:row>
      <xdr:rowOff>190500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94B3690B-A899-2B98-3664-6420AC490B0F}"/>
            </a:ext>
          </a:extLst>
        </xdr:cNvPr>
        <xdr:cNvSpPr/>
      </xdr:nvSpPr>
      <xdr:spPr>
        <a:xfrm>
          <a:off x="1893793" y="18852030"/>
          <a:ext cx="2661619" cy="196102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 anchorCtr="0"/>
        <a:lstStyle/>
        <a:p>
          <a:pPr algn="ctr"/>
          <a:r>
            <a:rPr lang="en-US" altLang="ko-KR" sz="1600" b="1"/>
            <a:t>wafer</a:t>
          </a:r>
          <a:endParaRPr lang="ko-KR" altLang="en-US" sz="1600" b="1"/>
        </a:p>
      </xdr:txBody>
    </xdr:sp>
    <xdr:clientData/>
  </xdr:twoCellAnchor>
  <xdr:twoCellAnchor>
    <xdr:from>
      <xdr:col>4</xdr:col>
      <xdr:colOff>227111</xdr:colOff>
      <xdr:row>97</xdr:row>
      <xdr:rowOff>126253</xdr:rowOff>
    </xdr:from>
    <xdr:to>
      <xdr:col>6</xdr:col>
      <xdr:colOff>94758</xdr:colOff>
      <xdr:row>98</xdr:row>
      <xdr:rowOff>176547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FFC14623-B5B2-498A-A6DF-8BF7ACD414C3}"/>
            </a:ext>
          </a:extLst>
        </xdr:cNvPr>
        <xdr:cNvSpPr/>
      </xdr:nvSpPr>
      <xdr:spPr>
        <a:xfrm>
          <a:off x="1896787" y="19135165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VDD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226363</xdr:colOff>
      <xdr:row>100</xdr:row>
      <xdr:rowOff>110566</xdr:rowOff>
    </xdr:from>
    <xdr:to>
      <xdr:col>6</xdr:col>
      <xdr:colOff>94010</xdr:colOff>
      <xdr:row>101</xdr:row>
      <xdr:rowOff>160860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D0302931-82D3-4DA2-A8C6-1CE4AE254408}"/>
            </a:ext>
          </a:extLst>
        </xdr:cNvPr>
        <xdr:cNvSpPr/>
      </xdr:nvSpPr>
      <xdr:spPr>
        <a:xfrm>
          <a:off x="1896039" y="19724595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DIO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225616</xdr:colOff>
      <xdr:row>103</xdr:row>
      <xdr:rowOff>132229</xdr:rowOff>
    </xdr:from>
    <xdr:to>
      <xdr:col>6</xdr:col>
      <xdr:colOff>93263</xdr:colOff>
      <xdr:row>104</xdr:row>
      <xdr:rowOff>182523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EA340E03-959B-4EAA-AC52-5D874E64A6A5}"/>
            </a:ext>
          </a:extLst>
        </xdr:cNvPr>
        <xdr:cNvSpPr/>
      </xdr:nvSpPr>
      <xdr:spPr>
        <a:xfrm>
          <a:off x="1895292" y="20351376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700">
              <a:solidFill>
                <a:sysClr val="windowText" lastClr="000000"/>
              </a:solidFill>
            </a:rPr>
            <a:t>VSYNCI</a:t>
          </a:r>
          <a:endParaRPr lang="ko-KR" altLang="en-US" sz="7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321979</xdr:colOff>
      <xdr:row>103</xdr:row>
      <xdr:rowOff>79189</xdr:rowOff>
    </xdr:from>
    <xdr:to>
      <xdr:col>12</xdr:col>
      <xdr:colOff>189626</xdr:colOff>
      <xdr:row>104</xdr:row>
      <xdr:rowOff>129483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67D548B9-6BF9-4A45-9ACF-FE12B60CBBE2}"/>
            </a:ext>
          </a:extLst>
        </xdr:cNvPr>
        <xdr:cNvSpPr/>
      </xdr:nvSpPr>
      <xdr:spPr>
        <a:xfrm>
          <a:off x="4008714" y="20298336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700">
              <a:solidFill>
                <a:sysClr val="windowText" lastClr="000000"/>
              </a:solidFill>
            </a:rPr>
            <a:t>FBO</a:t>
          </a:r>
        </a:p>
        <a:p>
          <a:pPr algn="ctr"/>
          <a:r>
            <a:rPr lang="en-US" altLang="ko-KR" sz="700">
              <a:solidFill>
                <a:sysClr val="windowText" lastClr="000000"/>
              </a:solidFill>
            </a:rPr>
            <a:t>(OPEN-DRAIN)</a:t>
          </a:r>
        </a:p>
      </xdr:txBody>
    </xdr:sp>
    <xdr:clientData/>
  </xdr:twoCellAnchor>
  <xdr:twoCellAnchor>
    <xdr:from>
      <xdr:col>13</xdr:col>
      <xdr:colOff>177801</xdr:colOff>
      <xdr:row>95</xdr:row>
      <xdr:rowOff>147917</xdr:rowOff>
    </xdr:from>
    <xdr:to>
      <xdr:col>15</xdr:col>
      <xdr:colOff>45448</xdr:colOff>
      <xdr:row>96</xdr:row>
      <xdr:rowOff>198211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D0639DCF-CA25-4CD9-9A98-FBD86DDCDE5F}"/>
            </a:ext>
          </a:extLst>
        </xdr:cNvPr>
        <xdr:cNvSpPr/>
      </xdr:nvSpPr>
      <xdr:spPr>
        <a:xfrm>
          <a:off x="4873066" y="18753417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VDD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5229</xdr:colOff>
      <xdr:row>107</xdr:row>
      <xdr:rowOff>94878</xdr:rowOff>
    </xdr:from>
    <xdr:to>
      <xdr:col>3</xdr:col>
      <xdr:colOff>209053</xdr:colOff>
      <xdr:row>108</xdr:row>
      <xdr:rowOff>145173</xdr:rowOff>
    </xdr:to>
    <xdr:sp macro="" textlink="">
      <xdr:nvSpPr>
        <xdr:cNvPr id="8" name="직사각형 7">
          <a:extLst>
            <a:ext uri="{FF2B5EF4-FFF2-40B4-BE49-F238E27FC236}">
              <a16:creationId xmlns:a16="http://schemas.microsoft.com/office/drawing/2014/main" id="{EBF572B4-8ADB-468E-AD2F-6E78990550D8}"/>
            </a:ext>
          </a:extLst>
        </xdr:cNvPr>
        <xdr:cNvSpPr/>
      </xdr:nvSpPr>
      <xdr:spPr>
        <a:xfrm>
          <a:off x="1002553" y="21120849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VLED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336173</xdr:colOff>
      <xdr:row>97</xdr:row>
      <xdr:rowOff>119529</xdr:rowOff>
    </xdr:from>
    <xdr:to>
      <xdr:col>12</xdr:col>
      <xdr:colOff>203820</xdr:colOff>
      <xdr:row>98</xdr:row>
      <xdr:rowOff>169823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C80EA75A-36B3-4DE2-8830-925CC4CE22E3}"/>
            </a:ext>
          </a:extLst>
        </xdr:cNvPr>
        <xdr:cNvSpPr/>
      </xdr:nvSpPr>
      <xdr:spPr>
        <a:xfrm>
          <a:off x="4022908" y="19128441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GND</a:t>
          </a:r>
        </a:p>
      </xdr:txBody>
    </xdr:sp>
    <xdr:clientData/>
  </xdr:twoCellAnchor>
  <xdr:twoCellAnchor>
    <xdr:from>
      <xdr:col>10</xdr:col>
      <xdr:colOff>326462</xdr:colOff>
      <xdr:row>100</xdr:row>
      <xdr:rowOff>91142</xdr:rowOff>
    </xdr:from>
    <xdr:to>
      <xdr:col>12</xdr:col>
      <xdr:colOff>194109</xdr:colOff>
      <xdr:row>101</xdr:row>
      <xdr:rowOff>141436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CBCD439D-23A4-4BC8-979A-69A3E35276DC}"/>
            </a:ext>
          </a:extLst>
        </xdr:cNvPr>
        <xdr:cNvSpPr/>
      </xdr:nvSpPr>
      <xdr:spPr>
        <a:xfrm>
          <a:off x="4013197" y="19705171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DDIO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189754</xdr:colOff>
      <xdr:row>97</xdr:row>
      <xdr:rowOff>171823</xdr:rowOff>
    </xdr:from>
    <xdr:to>
      <xdr:col>10</xdr:col>
      <xdr:colOff>201706</xdr:colOff>
      <xdr:row>104</xdr:row>
      <xdr:rowOff>171823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6DB3CB0A-EFD3-440E-BE76-0B130A8864B0}"/>
            </a:ext>
          </a:extLst>
        </xdr:cNvPr>
        <xdr:cNvSpPr/>
      </xdr:nvSpPr>
      <xdr:spPr>
        <a:xfrm>
          <a:off x="2531783" y="19180735"/>
          <a:ext cx="1356658" cy="1411941"/>
        </a:xfrm>
        <a:prstGeom prst="rect">
          <a:avLst/>
        </a:prstGeom>
        <a:solidFill>
          <a:schemeClr val="bg1">
            <a:lumMod val="75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0"/>
        <a:lstStyle/>
        <a:p>
          <a:pPr algn="ctr"/>
          <a:r>
            <a:rPr lang="en-US" altLang="ko-KR" sz="1600" b="1"/>
            <a:t>THERMAL</a:t>
          </a:r>
          <a:endParaRPr lang="ko-KR" altLang="en-US" sz="1600" b="1"/>
        </a:p>
      </xdr:txBody>
    </xdr:sp>
    <xdr:clientData/>
  </xdr:twoCellAnchor>
  <xdr:twoCellAnchor>
    <xdr:from>
      <xdr:col>2</xdr:col>
      <xdr:colOff>23906</xdr:colOff>
      <xdr:row>95</xdr:row>
      <xdr:rowOff>165848</xdr:rowOff>
    </xdr:from>
    <xdr:to>
      <xdr:col>3</xdr:col>
      <xdr:colOff>227730</xdr:colOff>
      <xdr:row>97</xdr:row>
      <xdr:rowOff>14436</xdr:rowOff>
    </xdr:to>
    <xdr:sp macro="" textlink="">
      <xdr:nvSpPr>
        <xdr:cNvPr id="24" name="직사각형 23">
          <a:extLst>
            <a:ext uri="{FF2B5EF4-FFF2-40B4-BE49-F238E27FC236}">
              <a16:creationId xmlns:a16="http://schemas.microsoft.com/office/drawing/2014/main" id="{42322BDC-F5D9-4974-90BB-70C6DF475EB6}"/>
            </a:ext>
          </a:extLst>
        </xdr:cNvPr>
        <xdr:cNvSpPr/>
      </xdr:nvSpPr>
      <xdr:spPr>
        <a:xfrm>
          <a:off x="1021230" y="18771348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VDD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213660</xdr:colOff>
      <xdr:row>107</xdr:row>
      <xdr:rowOff>150159</xdr:rowOff>
    </xdr:from>
    <xdr:to>
      <xdr:col>15</xdr:col>
      <xdr:colOff>81307</xdr:colOff>
      <xdr:row>108</xdr:row>
      <xdr:rowOff>200454</xdr:rowOff>
    </xdr:to>
    <xdr:sp macro="" textlink="">
      <xdr:nvSpPr>
        <xdr:cNvPr id="25" name="직사각형 24">
          <a:extLst>
            <a:ext uri="{FF2B5EF4-FFF2-40B4-BE49-F238E27FC236}">
              <a16:creationId xmlns:a16="http://schemas.microsoft.com/office/drawing/2014/main" id="{E9EBA344-60E5-401B-AA58-C236AC44DB91}"/>
            </a:ext>
          </a:extLst>
        </xdr:cNvPr>
        <xdr:cNvSpPr/>
      </xdr:nvSpPr>
      <xdr:spPr>
        <a:xfrm>
          <a:off x="4908925" y="21176130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VLED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15687</xdr:colOff>
      <xdr:row>100</xdr:row>
      <xdr:rowOff>124013</xdr:rowOff>
    </xdr:from>
    <xdr:to>
      <xdr:col>3</xdr:col>
      <xdr:colOff>219511</xdr:colOff>
      <xdr:row>101</xdr:row>
      <xdr:rowOff>174307</xdr:rowOff>
    </xdr:to>
    <xdr:sp macro="" textlink="">
      <xdr:nvSpPr>
        <xdr:cNvPr id="26" name="직사각형 25">
          <a:extLst>
            <a:ext uri="{FF2B5EF4-FFF2-40B4-BE49-F238E27FC236}">
              <a16:creationId xmlns:a16="http://schemas.microsoft.com/office/drawing/2014/main" id="{291DAB1E-5DFD-469B-898C-52B1577D78D7}"/>
            </a:ext>
          </a:extLst>
        </xdr:cNvPr>
        <xdr:cNvSpPr/>
      </xdr:nvSpPr>
      <xdr:spPr>
        <a:xfrm>
          <a:off x="1013011" y="19738042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GND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7470</xdr:colOff>
      <xdr:row>98</xdr:row>
      <xdr:rowOff>78442</xdr:rowOff>
    </xdr:from>
    <xdr:to>
      <xdr:col>3</xdr:col>
      <xdr:colOff>211294</xdr:colOff>
      <xdr:row>99</xdr:row>
      <xdr:rowOff>128736</xdr:rowOff>
    </xdr:to>
    <xdr:sp macro="" textlink="">
      <xdr:nvSpPr>
        <xdr:cNvPr id="27" name="직사각형 26">
          <a:extLst>
            <a:ext uri="{FF2B5EF4-FFF2-40B4-BE49-F238E27FC236}">
              <a16:creationId xmlns:a16="http://schemas.microsoft.com/office/drawing/2014/main" id="{61D71059-5D8B-46B0-902C-22FC4DAB7BBD}"/>
            </a:ext>
          </a:extLst>
        </xdr:cNvPr>
        <xdr:cNvSpPr/>
      </xdr:nvSpPr>
      <xdr:spPr>
        <a:xfrm>
          <a:off x="1004794" y="19289060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DIO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171076</xdr:colOff>
      <xdr:row>98</xdr:row>
      <xdr:rowOff>17931</xdr:rowOff>
    </xdr:from>
    <xdr:to>
      <xdr:col>15</xdr:col>
      <xdr:colOff>38723</xdr:colOff>
      <xdr:row>99</xdr:row>
      <xdr:rowOff>68225</xdr:rowOff>
    </xdr:to>
    <xdr:sp macro="" textlink="">
      <xdr:nvSpPr>
        <xdr:cNvPr id="28" name="직사각형 27">
          <a:extLst>
            <a:ext uri="{FF2B5EF4-FFF2-40B4-BE49-F238E27FC236}">
              <a16:creationId xmlns:a16="http://schemas.microsoft.com/office/drawing/2014/main" id="{D7A8CAC7-E04E-4844-A395-4072231B7635}"/>
            </a:ext>
          </a:extLst>
        </xdr:cNvPr>
        <xdr:cNvSpPr/>
      </xdr:nvSpPr>
      <xdr:spPr>
        <a:xfrm>
          <a:off x="4866341" y="19228549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DDIO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194235</xdr:colOff>
      <xdr:row>100</xdr:row>
      <xdr:rowOff>134471</xdr:rowOff>
    </xdr:from>
    <xdr:to>
      <xdr:col>15</xdr:col>
      <xdr:colOff>61882</xdr:colOff>
      <xdr:row>101</xdr:row>
      <xdr:rowOff>184765</xdr:rowOff>
    </xdr:to>
    <xdr:sp macro="" textlink="">
      <xdr:nvSpPr>
        <xdr:cNvPr id="29" name="직사각형 28">
          <a:extLst>
            <a:ext uri="{FF2B5EF4-FFF2-40B4-BE49-F238E27FC236}">
              <a16:creationId xmlns:a16="http://schemas.microsoft.com/office/drawing/2014/main" id="{CBBA02E7-2C3E-4B4C-986C-507041821360}"/>
            </a:ext>
          </a:extLst>
        </xdr:cNvPr>
        <xdr:cNvSpPr/>
      </xdr:nvSpPr>
      <xdr:spPr>
        <a:xfrm>
          <a:off x="4889500" y="19748500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GND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197971</xdr:colOff>
      <xdr:row>105</xdr:row>
      <xdr:rowOff>97117</xdr:rowOff>
    </xdr:from>
    <xdr:to>
      <xdr:col>15</xdr:col>
      <xdr:colOff>65618</xdr:colOff>
      <xdr:row>106</xdr:row>
      <xdr:rowOff>147411</xdr:rowOff>
    </xdr:to>
    <xdr:sp macro="" textlink="">
      <xdr:nvSpPr>
        <xdr:cNvPr id="30" name="직사각형 29">
          <a:extLst>
            <a:ext uri="{FF2B5EF4-FFF2-40B4-BE49-F238E27FC236}">
              <a16:creationId xmlns:a16="http://schemas.microsoft.com/office/drawing/2014/main" id="{9906CE35-B62D-4CB3-932E-2FB841F205A4}"/>
            </a:ext>
          </a:extLst>
        </xdr:cNvPr>
        <xdr:cNvSpPr/>
      </xdr:nvSpPr>
      <xdr:spPr>
        <a:xfrm>
          <a:off x="4893236" y="20719676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FBI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10458</xdr:colOff>
      <xdr:row>105</xdr:row>
      <xdr:rowOff>70226</xdr:rowOff>
    </xdr:from>
    <xdr:to>
      <xdr:col>3</xdr:col>
      <xdr:colOff>214282</xdr:colOff>
      <xdr:row>106</xdr:row>
      <xdr:rowOff>120520</xdr:rowOff>
    </xdr:to>
    <xdr:sp macro="" textlink="">
      <xdr:nvSpPr>
        <xdr:cNvPr id="31" name="직사각형 30">
          <a:extLst>
            <a:ext uri="{FF2B5EF4-FFF2-40B4-BE49-F238E27FC236}">
              <a16:creationId xmlns:a16="http://schemas.microsoft.com/office/drawing/2014/main" id="{09614011-E082-4629-AFC9-12FC7EACED44}"/>
            </a:ext>
          </a:extLst>
        </xdr:cNvPr>
        <xdr:cNvSpPr/>
      </xdr:nvSpPr>
      <xdr:spPr>
        <a:xfrm>
          <a:off x="1007782" y="20692785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FBO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</xdr:col>
      <xdr:colOff>748</xdr:colOff>
      <xdr:row>102</xdr:row>
      <xdr:rowOff>176305</xdr:rowOff>
    </xdr:from>
    <xdr:to>
      <xdr:col>3</xdr:col>
      <xdr:colOff>204572</xdr:colOff>
      <xdr:row>104</xdr:row>
      <xdr:rowOff>24893</xdr:rowOff>
    </xdr:to>
    <xdr:sp macro="" textlink="">
      <xdr:nvSpPr>
        <xdr:cNvPr id="32" name="직사각형 31">
          <a:extLst>
            <a:ext uri="{FF2B5EF4-FFF2-40B4-BE49-F238E27FC236}">
              <a16:creationId xmlns:a16="http://schemas.microsoft.com/office/drawing/2014/main" id="{16242978-4DB8-4988-BEDB-22EFBF58BBD1}"/>
            </a:ext>
          </a:extLst>
        </xdr:cNvPr>
        <xdr:cNvSpPr/>
      </xdr:nvSpPr>
      <xdr:spPr>
        <a:xfrm>
          <a:off x="998072" y="20193746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VSYNCI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194235</xdr:colOff>
      <xdr:row>103</xdr:row>
      <xdr:rowOff>3735</xdr:rowOff>
    </xdr:from>
    <xdr:to>
      <xdr:col>15</xdr:col>
      <xdr:colOff>61882</xdr:colOff>
      <xdr:row>104</xdr:row>
      <xdr:rowOff>54029</xdr:rowOff>
    </xdr:to>
    <xdr:sp macro="" textlink="">
      <xdr:nvSpPr>
        <xdr:cNvPr id="33" name="직사각형 32">
          <a:extLst>
            <a:ext uri="{FF2B5EF4-FFF2-40B4-BE49-F238E27FC236}">
              <a16:creationId xmlns:a16="http://schemas.microsoft.com/office/drawing/2014/main" id="{219DD534-1C6C-4FD5-B0BE-7C0B57EF92C1}"/>
            </a:ext>
          </a:extLst>
        </xdr:cNvPr>
        <xdr:cNvSpPr/>
      </xdr:nvSpPr>
      <xdr:spPr>
        <a:xfrm>
          <a:off x="4889500" y="20222882"/>
          <a:ext cx="540000" cy="25200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US" altLang="ko-KR" sz="1100">
              <a:solidFill>
                <a:sysClr val="windowText" lastClr="000000"/>
              </a:solidFill>
            </a:rPr>
            <a:t>VSYNCO</a:t>
          </a:r>
          <a:endParaRPr lang="ko-KR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214282</xdr:colOff>
      <xdr:row>105</xdr:row>
      <xdr:rowOff>196226</xdr:rowOff>
    </xdr:from>
    <xdr:to>
      <xdr:col>4</xdr:col>
      <xdr:colOff>52295</xdr:colOff>
      <xdr:row>105</xdr:row>
      <xdr:rowOff>196226</xdr:rowOff>
    </xdr:to>
    <xdr:cxnSp macro="">
      <xdr:nvCxnSpPr>
        <xdr:cNvPr id="36" name="직선 연결선 35">
          <a:extLst>
            <a:ext uri="{FF2B5EF4-FFF2-40B4-BE49-F238E27FC236}">
              <a16:creationId xmlns:a16="http://schemas.microsoft.com/office/drawing/2014/main" id="{7E19FDCF-867D-6A0F-5BD3-09C797CCB3A6}"/>
            </a:ext>
          </a:extLst>
        </xdr:cNvPr>
        <xdr:cNvCxnSpPr>
          <a:stCxn id="31" idx="3"/>
        </xdr:cNvCxnSpPr>
      </xdr:nvCxnSpPr>
      <xdr:spPr>
        <a:xfrm>
          <a:off x="1547782" y="20818785"/>
          <a:ext cx="174189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37353</xdr:colOff>
      <xdr:row>105</xdr:row>
      <xdr:rowOff>197970</xdr:rowOff>
    </xdr:from>
    <xdr:to>
      <xdr:col>4</xdr:col>
      <xdr:colOff>37353</xdr:colOff>
      <xdr:row>107</xdr:row>
      <xdr:rowOff>14941</xdr:rowOff>
    </xdr:to>
    <xdr:cxnSp macro="">
      <xdr:nvCxnSpPr>
        <xdr:cNvPr id="37" name="직선 연결선 36">
          <a:extLst>
            <a:ext uri="{FF2B5EF4-FFF2-40B4-BE49-F238E27FC236}">
              <a16:creationId xmlns:a16="http://schemas.microsoft.com/office/drawing/2014/main" id="{CCACDF22-5D06-4795-B3BE-2C30BFC5EEB1}"/>
            </a:ext>
          </a:extLst>
        </xdr:cNvPr>
        <xdr:cNvCxnSpPr/>
      </xdr:nvCxnSpPr>
      <xdr:spPr>
        <a:xfrm>
          <a:off x="1707029" y="20820529"/>
          <a:ext cx="0" cy="22038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41089</xdr:colOff>
      <xdr:row>106</xdr:row>
      <xdr:rowOff>186764</xdr:rowOff>
    </xdr:from>
    <xdr:to>
      <xdr:col>13</xdr:col>
      <xdr:colOff>39500</xdr:colOff>
      <xdr:row>106</xdr:row>
      <xdr:rowOff>186764</xdr:rowOff>
    </xdr:to>
    <xdr:cxnSp macro="">
      <xdr:nvCxnSpPr>
        <xdr:cNvPr id="40" name="직선 연결선 39">
          <a:extLst>
            <a:ext uri="{FF2B5EF4-FFF2-40B4-BE49-F238E27FC236}">
              <a16:creationId xmlns:a16="http://schemas.microsoft.com/office/drawing/2014/main" id="{FBADE057-7D2E-467F-94D8-1BB150B8A0A6}"/>
            </a:ext>
          </a:extLst>
        </xdr:cNvPr>
        <xdr:cNvCxnSpPr/>
      </xdr:nvCxnSpPr>
      <xdr:spPr>
        <a:xfrm flipV="1">
          <a:off x="1710765" y="21011029"/>
          <a:ext cx="3024000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30505</xdr:colOff>
      <xdr:row>106</xdr:row>
      <xdr:rowOff>16184</xdr:rowOff>
    </xdr:from>
    <xdr:to>
      <xdr:col>13</xdr:col>
      <xdr:colOff>204694</xdr:colOff>
      <xdr:row>106</xdr:row>
      <xdr:rowOff>16184</xdr:rowOff>
    </xdr:to>
    <xdr:cxnSp macro="">
      <xdr:nvCxnSpPr>
        <xdr:cNvPr id="43" name="직선 연결선 42">
          <a:extLst>
            <a:ext uri="{FF2B5EF4-FFF2-40B4-BE49-F238E27FC236}">
              <a16:creationId xmlns:a16="http://schemas.microsoft.com/office/drawing/2014/main" id="{2D30CDDE-E9D4-434B-9703-0592E9E5EAC3}"/>
            </a:ext>
          </a:extLst>
        </xdr:cNvPr>
        <xdr:cNvCxnSpPr/>
      </xdr:nvCxnSpPr>
      <xdr:spPr>
        <a:xfrm>
          <a:off x="4725770" y="20840449"/>
          <a:ext cx="174189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32870</xdr:colOff>
      <xdr:row>104</xdr:row>
      <xdr:rowOff>18676</xdr:rowOff>
    </xdr:from>
    <xdr:to>
      <xdr:col>13</xdr:col>
      <xdr:colOff>32870</xdr:colOff>
      <xdr:row>107</xdr:row>
      <xdr:rowOff>2988</xdr:rowOff>
    </xdr:to>
    <xdr:cxnSp macro="">
      <xdr:nvCxnSpPr>
        <xdr:cNvPr id="44" name="직선 연결선 43">
          <a:extLst>
            <a:ext uri="{FF2B5EF4-FFF2-40B4-BE49-F238E27FC236}">
              <a16:creationId xmlns:a16="http://schemas.microsoft.com/office/drawing/2014/main" id="{00C614C6-47EF-4DCA-A47A-720CC4FFA46F}"/>
            </a:ext>
          </a:extLst>
        </xdr:cNvPr>
        <xdr:cNvCxnSpPr/>
      </xdr:nvCxnSpPr>
      <xdr:spPr>
        <a:xfrm flipH="1">
          <a:off x="4728135" y="20439529"/>
          <a:ext cx="0" cy="5894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194111</xdr:colOff>
      <xdr:row>104</xdr:row>
      <xdr:rowOff>15437</xdr:rowOff>
    </xdr:from>
    <xdr:to>
      <xdr:col>13</xdr:col>
      <xdr:colOff>32123</xdr:colOff>
      <xdr:row>104</xdr:row>
      <xdr:rowOff>15437</xdr:rowOff>
    </xdr:to>
    <xdr:cxnSp macro="">
      <xdr:nvCxnSpPr>
        <xdr:cNvPr id="46" name="직선 연결선 45">
          <a:extLst>
            <a:ext uri="{FF2B5EF4-FFF2-40B4-BE49-F238E27FC236}">
              <a16:creationId xmlns:a16="http://schemas.microsoft.com/office/drawing/2014/main" id="{78AA4EDC-00F6-4886-BC6E-6CC0B8CF2492}"/>
            </a:ext>
          </a:extLst>
        </xdr:cNvPr>
        <xdr:cNvCxnSpPr/>
      </xdr:nvCxnSpPr>
      <xdr:spPr>
        <a:xfrm>
          <a:off x="4553199" y="20436290"/>
          <a:ext cx="174189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209799</xdr:colOff>
      <xdr:row>103</xdr:row>
      <xdr:rowOff>90891</xdr:rowOff>
    </xdr:from>
    <xdr:to>
      <xdr:col>4</xdr:col>
      <xdr:colOff>47812</xdr:colOff>
      <xdr:row>103</xdr:row>
      <xdr:rowOff>90891</xdr:rowOff>
    </xdr:to>
    <xdr:cxnSp macro="">
      <xdr:nvCxnSpPr>
        <xdr:cNvPr id="47" name="직선 연결선 46">
          <a:extLst>
            <a:ext uri="{FF2B5EF4-FFF2-40B4-BE49-F238E27FC236}">
              <a16:creationId xmlns:a16="http://schemas.microsoft.com/office/drawing/2014/main" id="{2D525328-9B78-4D46-9E17-2A8F71752D3B}"/>
            </a:ext>
          </a:extLst>
        </xdr:cNvPr>
        <xdr:cNvCxnSpPr/>
      </xdr:nvCxnSpPr>
      <xdr:spPr>
        <a:xfrm>
          <a:off x="1543299" y="20310038"/>
          <a:ext cx="174189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36606</xdr:colOff>
      <xdr:row>103</xdr:row>
      <xdr:rowOff>100105</xdr:rowOff>
    </xdr:from>
    <xdr:to>
      <xdr:col>4</xdr:col>
      <xdr:colOff>36606</xdr:colOff>
      <xdr:row>104</xdr:row>
      <xdr:rowOff>118782</xdr:rowOff>
    </xdr:to>
    <xdr:cxnSp macro="">
      <xdr:nvCxnSpPr>
        <xdr:cNvPr id="48" name="직선 연결선 47">
          <a:extLst>
            <a:ext uri="{FF2B5EF4-FFF2-40B4-BE49-F238E27FC236}">
              <a16:creationId xmlns:a16="http://schemas.microsoft.com/office/drawing/2014/main" id="{14A470A8-0596-4126-A5AA-E8735539460D}"/>
            </a:ext>
          </a:extLst>
        </xdr:cNvPr>
        <xdr:cNvCxnSpPr/>
      </xdr:nvCxnSpPr>
      <xdr:spPr>
        <a:xfrm>
          <a:off x="1706282" y="20319252"/>
          <a:ext cx="0" cy="220383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40964</xdr:colOff>
      <xdr:row>104</xdr:row>
      <xdr:rowOff>90143</xdr:rowOff>
    </xdr:from>
    <xdr:to>
      <xdr:col>4</xdr:col>
      <xdr:colOff>215153</xdr:colOff>
      <xdr:row>104</xdr:row>
      <xdr:rowOff>90143</xdr:rowOff>
    </xdr:to>
    <xdr:cxnSp macro="">
      <xdr:nvCxnSpPr>
        <xdr:cNvPr id="49" name="직선 연결선 48">
          <a:extLst>
            <a:ext uri="{FF2B5EF4-FFF2-40B4-BE49-F238E27FC236}">
              <a16:creationId xmlns:a16="http://schemas.microsoft.com/office/drawing/2014/main" id="{DD7529A1-0466-4FC9-8883-ABF674F40B51}"/>
            </a:ext>
          </a:extLst>
        </xdr:cNvPr>
        <xdr:cNvCxnSpPr/>
      </xdr:nvCxnSpPr>
      <xdr:spPr>
        <a:xfrm>
          <a:off x="1710640" y="20510996"/>
          <a:ext cx="174189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130736</xdr:colOff>
      <xdr:row>104</xdr:row>
      <xdr:rowOff>88152</xdr:rowOff>
    </xdr:from>
    <xdr:to>
      <xdr:col>4</xdr:col>
      <xdr:colOff>132976</xdr:colOff>
      <xdr:row>107</xdr:row>
      <xdr:rowOff>179294</xdr:rowOff>
    </xdr:to>
    <xdr:cxnSp macro="">
      <xdr:nvCxnSpPr>
        <xdr:cNvPr id="50" name="직선 연결선 49">
          <a:extLst>
            <a:ext uri="{FF2B5EF4-FFF2-40B4-BE49-F238E27FC236}">
              <a16:creationId xmlns:a16="http://schemas.microsoft.com/office/drawing/2014/main" id="{D07F1299-C325-4478-83F4-DD2D96B628E1}"/>
            </a:ext>
          </a:extLst>
        </xdr:cNvPr>
        <xdr:cNvCxnSpPr/>
      </xdr:nvCxnSpPr>
      <xdr:spPr>
        <a:xfrm flipH="1">
          <a:off x="1800412" y="20509005"/>
          <a:ext cx="2240" cy="69626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134471</xdr:colOff>
      <xdr:row>107</xdr:row>
      <xdr:rowOff>153147</xdr:rowOff>
    </xdr:from>
    <xdr:to>
      <xdr:col>13</xdr:col>
      <xdr:colOff>85911</xdr:colOff>
      <xdr:row>107</xdr:row>
      <xdr:rowOff>153147</xdr:rowOff>
    </xdr:to>
    <xdr:cxnSp macro="">
      <xdr:nvCxnSpPr>
        <xdr:cNvPr id="53" name="직선 연결선 52">
          <a:extLst>
            <a:ext uri="{FF2B5EF4-FFF2-40B4-BE49-F238E27FC236}">
              <a16:creationId xmlns:a16="http://schemas.microsoft.com/office/drawing/2014/main" id="{7918AE40-F1C2-47D3-8B6E-A49C7BE580B5}"/>
            </a:ext>
          </a:extLst>
        </xdr:cNvPr>
        <xdr:cNvCxnSpPr/>
      </xdr:nvCxnSpPr>
      <xdr:spPr>
        <a:xfrm>
          <a:off x="1804147" y="21179118"/>
          <a:ext cx="2977029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97117</xdr:colOff>
      <xdr:row>103</xdr:row>
      <xdr:rowOff>128493</xdr:rowOff>
    </xdr:from>
    <xdr:to>
      <xdr:col>13</xdr:col>
      <xdr:colOff>98611</xdr:colOff>
      <xdr:row>107</xdr:row>
      <xdr:rowOff>175558</xdr:rowOff>
    </xdr:to>
    <xdr:cxnSp macro="">
      <xdr:nvCxnSpPr>
        <xdr:cNvPr id="56" name="직선 연결선 55">
          <a:extLst>
            <a:ext uri="{FF2B5EF4-FFF2-40B4-BE49-F238E27FC236}">
              <a16:creationId xmlns:a16="http://schemas.microsoft.com/office/drawing/2014/main" id="{6411ECD3-43D9-411E-BCB9-1A5FFECCDDAA}"/>
            </a:ext>
          </a:extLst>
        </xdr:cNvPr>
        <xdr:cNvCxnSpPr/>
      </xdr:nvCxnSpPr>
      <xdr:spPr>
        <a:xfrm flipH="1">
          <a:off x="4792382" y="20347640"/>
          <a:ext cx="1494" cy="853889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93257</xdr:colOff>
      <xdr:row>103</xdr:row>
      <xdr:rowOff>142438</xdr:rowOff>
    </xdr:from>
    <xdr:to>
      <xdr:col>13</xdr:col>
      <xdr:colOff>201257</xdr:colOff>
      <xdr:row>103</xdr:row>
      <xdr:rowOff>142438</xdr:rowOff>
    </xdr:to>
    <xdr:cxnSp macro="">
      <xdr:nvCxnSpPr>
        <xdr:cNvPr id="59" name="직선 연결선 58">
          <a:extLst>
            <a:ext uri="{FF2B5EF4-FFF2-40B4-BE49-F238E27FC236}">
              <a16:creationId xmlns:a16="http://schemas.microsoft.com/office/drawing/2014/main" id="{B3D39C63-607C-4B05-A9CB-4E915E85412A}"/>
            </a:ext>
          </a:extLst>
        </xdr:cNvPr>
        <xdr:cNvCxnSpPr/>
      </xdr:nvCxnSpPr>
      <xdr:spPr>
        <a:xfrm>
          <a:off x="4788522" y="20361585"/>
          <a:ext cx="108000" cy="0"/>
        </a:xfrm>
        <a:prstGeom prst="line">
          <a:avLst/>
        </a:prstGeom>
        <a:ln>
          <a:solidFill>
            <a:srgbClr val="FF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</xdr:row>
      <xdr:rowOff>181797</xdr:rowOff>
    </xdr:from>
    <xdr:to>
      <xdr:col>35</xdr:col>
      <xdr:colOff>0</xdr:colOff>
      <xdr:row>33</xdr:row>
      <xdr:rowOff>0</xdr:rowOff>
    </xdr:to>
    <xdr:sp macro="" textlink="">
      <xdr:nvSpPr>
        <xdr:cNvPr id="35" name="직사각형 34">
          <a:extLst>
            <a:ext uri="{FF2B5EF4-FFF2-40B4-BE49-F238E27FC236}">
              <a16:creationId xmlns:a16="http://schemas.microsoft.com/office/drawing/2014/main" id="{91BDD4F3-D965-4DE4-9C44-8775E4104AC9}"/>
            </a:ext>
          </a:extLst>
        </xdr:cNvPr>
        <xdr:cNvSpPr/>
      </xdr:nvSpPr>
      <xdr:spPr>
        <a:xfrm>
          <a:off x="658048" y="572566"/>
          <a:ext cx="5056952" cy="5572280"/>
        </a:xfrm>
        <a:prstGeom prst="rect">
          <a:avLst/>
        </a:prstGeom>
        <a:noFill/>
        <a:ln w="1270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341019</xdr:colOff>
      <xdr:row>9</xdr:row>
      <xdr:rowOff>17639</xdr:rowOff>
    </xdr:from>
    <xdr:to>
      <xdr:col>32</xdr:col>
      <xdr:colOff>1</xdr:colOff>
      <xdr:row>27</xdr:row>
      <xdr:rowOff>5880</xdr:rowOff>
    </xdr:to>
    <xdr:sp macro="" textlink="">
      <xdr:nvSpPr>
        <xdr:cNvPr id="38" name="직사각형 37">
          <a:extLst>
            <a:ext uri="{FF2B5EF4-FFF2-40B4-BE49-F238E27FC236}">
              <a16:creationId xmlns:a16="http://schemas.microsoft.com/office/drawing/2014/main" id="{70C56C55-F65A-4B87-BB64-2EE9C27197DE}"/>
            </a:ext>
          </a:extLst>
        </xdr:cNvPr>
        <xdr:cNvSpPr/>
      </xdr:nvSpPr>
      <xdr:spPr>
        <a:xfrm>
          <a:off x="1668169" y="1707716"/>
          <a:ext cx="3035717" cy="3329318"/>
        </a:xfrm>
        <a:prstGeom prst="rect">
          <a:avLst/>
        </a:prstGeom>
        <a:solidFill>
          <a:schemeClr val="bg1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20</xdr:col>
      <xdr:colOff>0</xdr:colOff>
      <xdr:row>1</xdr:row>
      <xdr:rowOff>0</xdr:rowOff>
    </xdr:from>
    <xdr:ext cx="1149995" cy="374141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B7F2A31E-ADA8-49CF-B8A7-3F13199097A8}"/>
            </a:ext>
          </a:extLst>
        </xdr:cNvPr>
        <xdr:cNvSpPr txBox="1"/>
      </xdr:nvSpPr>
      <xdr:spPr>
        <a:xfrm>
          <a:off x="582083" y="205154"/>
          <a:ext cx="1149995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 b="1"/>
            <a:t>TOP</a:t>
          </a:r>
          <a:r>
            <a:rPr lang="en-US" altLang="ko-KR" sz="1800" b="1" baseline="0"/>
            <a:t> VIEW</a:t>
          </a:r>
          <a:endParaRPr lang="ko-KR" altLang="en-US" sz="1800" b="1"/>
        </a:p>
      </xdr:txBody>
    </xdr:sp>
    <xdr:clientData/>
  </xdr:oneCellAnchor>
  <xdr:twoCellAnchor>
    <xdr:from>
      <xdr:col>20</xdr:col>
      <xdr:colOff>182269</xdr:colOff>
      <xdr:row>4</xdr:row>
      <xdr:rowOff>5880</xdr:rowOff>
    </xdr:from>
    <xdr:to>
      <xdr:col>21</xdr:col>
      <xdr:colOff>15371</xdr:colOff>
      <xdr:row>5</xdr:row>
      <xdr:rowOff>3611</xdr:rowOff>
    </xdr:to>
    <xdr:sp macro="" textlink="">
      <xdr:nvSpPr>
        <xdr:cNvPr id="41" name="타원 40">
          <a:extLst>
            <a:ext uri="{FF2B5EF4-FFF2-40B4-BE49-F238E27FC236}">
              <a16:creationId xmlns:a16="http://schemas.microsoft.com/office/drawing/2014/main" id="{00FE51C0-A618-4F1E-B886-4F34A31C5651}"/>
            </a:ext>
          </a:extLst>
        </xdr:cNvPr>
        <xdr:cNvSpPr/>
      </xdr:nvSpPr>
      <xdr:spPr>
        <a:xfrm>
          <a:off x="841692" y="767880"/>
          <a:ext cx="170141" cy="183346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333148</xdr:colOff>
      <xdr:row>9</xdr:row>
      <xdr:rowOff>15106</xdr:rowOff>
    </xdr:from>
    <xdr:to>
      <xdr:col>23</xdr:col>
      <xdr:colOff>266832</xdr:colOff>
      <xdr:row>10</xdr:row>
      <xdr:rowOff>120977</xdr:rowOff>
    </xdr:to>
    <xdr:sp macro="" textlink="">
      <xdr:nvSpPr>
        <xdr:cNvPr id="55" name="직각 삼각형 54">
          <a:extLst>
            <a:ext uri="{FF2B5EF4-FFF2-40B4-BE49-F238E27FC236}">
              <a16:creationId xmlns:a16="http://schemas.microsoft.com/office/drawing/2014/main" id="{FA4778C9-36E6-4F6D-A4E4-BB9992FB3E7A}"/>
            </a:ext>
          </a:extLst>
        </xdr:cNvPr>
        <xdr:cNvSpPr/>
      </xdr:nvSpPr>
      <xdr:spPr>
        <a:xfrm rot="5400000">
          <a:off x="11093343" y="1715565"/>
          <a:ext cx="291486" cy="270722"/>
        </a:xfrm>
        <a:prstGeom prst="rtTriangl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oneCellAnchor>
    <xdr:from>
      <xdr:col>33</xdr:col>
      <xdr:colOff>211667</xdr:colOff>
      <xdr:row>25</xdr:row>
      <xdr:rowOff>144005</xdr:rowOff>
    </xdr:from>
    <xdr:ext cx="555408" cy="248851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B5795249-9BAF-4BD7-8307-02D1ABF9D5FC}"/>
            </a:ext>
          </a:extLst>
        </xdr:cNvPr>
        <xdr:cNvSpPr txBox="1"/>
      </xdr:nvSpPr>
      <xdr:spPr>
        <a:xfrm>
          <a:off x="5252590" y="4803928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20</xdr:col>
      <xdr:colOff>0</xdr:colOff>
      <xdr:row>25</xdr:row>
      <xdr:rowOff>149414</xdr:rowOff>
    </xdr:from>
    <xdr:ext cx="555408" cy="248851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AE3B8AB5-9358-4222-B498-5F6328E41A7F}"/>
            </a:ext>
          </a:extLst>
        </xdr:cNvPr>
        <xdr:cNvSpPr txBox="1"/>
      </xdr:nvSpPr>
      <xdr:spPr>
        <a:xfrm>
          <a:off x="599251" y="4809337"/>
          <a:ext cx="555408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</a:rPr>
            <a:t>47K PD</a:t>
          </a:r>
          <a:endParaRPr lang="ko-KR" altLang="en-US" sz="1000" b="0">
            <a:solidFill>
              <a:srgbClr val="0000FF"/>
            </a:solidFill>
          </a:endParaRPr>
        </a:p>
      </xdr:txBody>
    </xdr:sp>
    <xdr:clientData/>
  </xdr:oneCellAnchor>
  <xdr:oneCellAnchor>
    <xdr:from>
      <xdr:col>0</xdr:col>
      <xdr:colOff>591997</xdr:colOff>
      <xdr:row>21</xdr:row>
      <xdr:rowOff>152474</xdr:rowOff>
    </xdr:from>
    <xdr:ext cx="2103396" cy="248851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6EF193B7-3108-4194-B40C-F4B8D1C9720B}"/>
            </a:ext>
          </a:extLst>
        </xdr:cNvPr>
        <xdr:cNvSpPr txBox="1"/>
      </xdr:nvSpPr>
      <xdr:spPr>
        <a:xfrm>
          <a:off x="591997" y="4069936"/>
          <a:ext cx="2103396" cy="248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000" b="0" baseline="0">
              <a:solidFill>
                <a:srgbClr val="0000FF"/>
              </a:solidFill>
              <a:effectLst/>
              <a:latin typeface="+mn-lt"/>
              <a:ea typeface="+mn-ea"/>
              <a:cs typeface="+mn-cs"/>
            </a:rPr>
            <a:t>VREF out @ TEST_EN=1 &amp;&amp; VREF_O=1</a:t>
          </a:r>
          <a:endParaRPr lang="ko-KR" altLang="ko-KR" sz="1000">
            <a:solidFill>
              <a:srgbClr val="0000FF"/>
            </a:solidFill>
            <a:effectLst/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1368</xdr:colOff>
      <xdr:row>4</xdr:row>
      <xdr:rowOff>68262</xdr:rowOff>
    </xdr:from>
    <xdr:to>
      <xdr:col>35</xdr:col>
      <xdr:colOff>1368</xdr:colOff>
      <xdr:row>12</xdr:row>
      <xdr:rowOff>97628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2854078A-6648-4E46-9B73-19E3A3B86A4A}"/>
            </a:ext>
          </a:extLst>
        </xdr:cNvPr>
        <xdr:cNvCxnSpPr/>
      </xdr:nvCxnSpPr>
      <xdr:spPr>
        <a:xfrm flipH="1" flipV="1">
          <a:off x="9336642" y="935579"/>
          <a:ext cx="0" cy="176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1104</xdr:colOff>
      <xdr:row>4</xdr:row>
      <xdr:rowOff>90745</xdr:rowOff>
    </xdr:from>
    <xdr:to>
      <xdr:col>9</xdr:col>
      <xdr:colOff>1104</xdr:colOff>
      <xdr:row>12</xdr:row>
      <xdr:rowOff>120111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E346EA1-2D5A-4D74-A486-D2B472586DD0}"/>
            </a:ext>
          </a:extLst>
        </xdr:cNvPr>
        <xdr:cNvCxnSpPr/>
      </xdr:nvCxnSpPr>
      <xdr:spPr>
        <a:xfrm flipH="1" flipV="1">
          <a:off x="3195464" y="958062"/>
          <a:ext cx="0" cy="176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1104</xdr:colOff>
      <xdr:row>29</xdr:row>
      <xdr:rowOff>98489</xdr:rowOff>
    </xdr:from>
    <xdr:to>
      <xdr:col>9</xdr:col>
      <xdr:colOff>1104</xdr:colOff>
      <xdr:row>37</xdr:row>
      <xdr:rowOff>127855</xdr:rowOff>
    </xdr:to>
    <xdr:cxnSp macro="">
      <xdr:nvCxnSpPr>
        <xdr:cNvPr id="134" name="직선 화살표 연결선 133">
          <a:extLst>
            <a:ext uri="{FF2B5EF4-FFF2-40B4-BE49-F238E27FC236}">
              <a16:creationId xmlns:a16="http://schemas.microsoft.com/office/drawing/2014/main" id="{D818BE2F-3942-4D4F-856A-32555B9D0E4A}"/>
            </a:ext>
          </a:extLst>
        </xdr:cNvPr>
        <xdr:cNvCxnSpPr/>
      </xdr:nvCxnSpPr>
      <xdr:spPr>
        <a:xfrm flipH="1" flipV="1">
          <a:off x="3195464" y="6549160"/>
          <a:ext cx="0" cy="176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1368</xdr:colOff>
      <xdr:row>29</xdr:row>
      <xdr:rowOff>76006</xdr:rowOff>
    </xdr:from>
    <xdr:to>
      <xdr:col>35</xdr:col>
      <xdr:colOff>1368</xdr:colOff>
      <xdr:row>37</xdr:row>
      <xdr:rowOff>105372</xdr:rowOff>
    </xdr:to>
    <xdr:cxnSp macro="">
      <xdr:nvCxnSpPr>
        <xdr:cNvPr id="135" name="직선 화살표 연결선 134">
          <a:extLst>
            <a:ext uri="{FF2B5EF4-FFF2-40B4-BE49-F238E27FC236}">
              <a16:creationId xmlns:a16="http://schemas.microsoft.com/office/drawing/2014/main" id="{E3562B93-E567-4AF4-87AE-DB372EEBB8AB}"/>
            </a:ext>
          </a:extLst>
        </xdr:cNvPr>
        <xdr:cNvCxnSpPr/>
      </xdr:nvCxnSpPr>
      <xdr:spPr>
        <a:xfrm flipH="1" flipV="1">
          <a:off x="9336642" y="6526677"/>
          <a:ext cx="0" cy="176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226936</xdr:colOff>
      <xdr:row>11</xdr:row>
      <xdr:rowOff>110270</xdr:rowOff>
    </xdr:from>
    <xdr:to>
      <xdr:col>12</xdr:col>
      <xdr:colOff>225186</xdr:colOff>
      <xdr:row>11</xdr:row>
      <xdr:rowOff>110270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BC58F07D-75D5-43F1-99F9-D0F2C3E8AB66}"/>
            </a:ext>
          </a:extLst>
        </xdr:cNvPr>
        <xdr:cNvCxnSpPr/>
      </xdr:nvCxnSpPr>
      <xdr:spPr>
        <a:xfrm flipV="1">
          <a:off x="3421296" y="2495392"/>
          <a:ext cx="943006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77243</xdr:colOff>
      <xdr:row>9</xdr:row>
      <xdr:rowOff>111019</xdr:rowOff>
    </xdr:from>
    <xdr:to>
      <xdr:col>8</xdr:col>
      <xdr:colOff>221243</xdr:colOff>
      <xdr:row>9</xdr:row>
      <xdr:rowOff>111019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4007F3AD-C0AC-48C0-A0AD-988B08EF6FF3}"/>
            </a:ext>
          </a:extLst>
        </xdr:cNvPr>
        <xdr:cNvCxnSpPr/>
      </xdr:nvCxnSpPr>
      <xdr:spPr>
        <a:xfrm flipV="1">
          <a:off x="3035414" y="2062482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1440</xdr:colOff>
      <xdr:row>9</xdr:row>
      <xdr:rowOff>110754</xdr:rowOff>
    </xdr:from>
    <xdr:to>
      <xdr:col>9</xdr:col>
      <xdr:colOff>145440</xdr:colOff>
      <xdr:row>9</xdr:row>
      <xdr:rowOff>111283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F637EE0-6B92-4CDD-99B6-72D9AE3A1AA1}"/>
            </a:ext>
          </a:extLst>
        </xdr:cNvPr>
        <xdr:cNvCxnSpPr/>
      </xdr:nvCxnSpPr>
      <xdr:spPr>
        <a:xfrm flipH="1">
          <a:off x="3195800" y="2062217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226935</xdr:colOff>
      <xdr:row>22</xdr:row>
      <xdr:rowOff>125757</xdr:rowOff>
    </xdr:from>
    <xdr:to>
      <xdr:col>12</xdr:col>
      <xdr:colOff>225185</xdr:colOff>
      <xdr:row>22</xdr:row>
      <xdr:rowOff>125757</xdr:rowOff>
    </xdr:to>
    <xdr:cxnSp macro="">
      <xdr:nvCxnSpPr>
        <xdr:cNvPr id="12" name="직선 화살표 연결선 11">
          <a:extLst>
            <a:ext uri="{FF2B5EF4-FFF2-40B4-BE49-F238E27FC236}">
              <a16:creationId xmlns:a16="http://schemas.microsoft.com/office/drawing/2014/main" id="{A38189BB-618D-41F5-8F09-95FCE290D4B4}"/>
            </a:ext>
          </a:extLst>
        </xdr:cNvPr>
        <xdr:cNvCxnSpPr/>
      </xdr:nvCxnSpPr>
      <xdr:spPr>
        <a:xfrm flipV="1">
          <a:off x="3185106" y="5964659"/>
          <a:ext cx="943006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704</xdr:colOff>
      <xdr:row>15</xdr:row>
      <xdr:rowOff>110506</xdr:rowOff>
    </xdr:from>
    <xdr:to>
      <xdr:col>9</xdr:col>
      <xdr:colOff>704</xdr:colOff>
      <xdr:row>23</xdr:row>
      <xdr:rowOff>121250</xdr:rowOff>
    </xdr:to>
    <xdr:cxnSp macro="">
      <xdr:nvCxnSpPr>
        <xdr:cNvPr id="13" name="직선 화살표 연결선 12">
          <a:extLst>
            <a:ext uri="{FF2B5EF4-FFF2-40B4-BE49-F238E27FC236}">
              <a16:creationId xmlns:a16="http://schemas.microsoft.com/office/drawing/2014/main" id="{E47447AE-3CCD-4BED-890C-CF5C71DC5381}"/>
            </a:ext>
          </a:extLst>
        </xdr:cNvPr>
        <xdr:cNvCxnSpPr/>
      </xdr:nvCxnSpPr>
      <xdr:spPr>
        <a:xfrm flipH="1" flipV="1">
          <a:off x="3195064" y="3362945"/>
          <a:ext cx="0" cy="1908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967</xdr:colOff>
      <xdr:row>15</xdr:row>
      <xdr:rowOff>84150</xdr:rowOff>
    </xdr:from>
    <xdr:to>
      <xdr:col>35</xdr:col>
      <xdr:colOff>967</xdr:colOff>
      <xdr:row>23</xdr:row>
      <xdr:rowOff>94894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5B03CB01-413F-42BB-9E66-967CDEEE2985}"/>
            </a:ext>
          </a:extLst>
        </xdr:cNvPr>
        <xdr:cNvCxnSpPr/>
      </xdr:nvCxnSpPr>
      <xdr:spPr>
        <a:xfrm flipH="1" flipV="1">
          <a:off x="9336241" y="3336589"/>
          <a:ext cx="0" cy="1908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88859</xdr:colOff>
      <xdr:row>20</xdr:row>
      <xdr:rowOff>114891</xdr:rowOff>
    </xdr:from>
    <xdr:to>
      <xdr:col>8</xdr:col>
      <xdr:colOff>232859</xdr:colOff>
      <xdr:row>20</xdr:row>
      <xdr:rowOff>114891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5B694B2C-FAF2-4EEA-B568-905962637970}"/>
            </a:ext>
          </a:extLst>
        </xdr:cNvPr>
        <xdr:cNvCxnSpPr/>
      </xdr:nvCxnSpPr>
      <xdr:spPr>
        <a:xfrm flipV="1">
          <a:off x="3047030" y="4552147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1440</xdr:colOff>
      <xdr:row>20</xdr:row>
      <xdr:rowOff>114626</xdr:rowOff>
    </xdr:from>
    <xdr:to>
      <xdr:col>9</xdr:col>
      <xdr:colOff>145440</xdr:colOff>
      <xdr:row>20</xdr:row>
      <xdr:rowOff>115155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8A541002-7FA6-4FAB-988C-71065AA02168}"/>
            </a:ext>
          </a:extLst>
        </xdr:cNvPr>
        <xdr:cNvCxnSpPr/>
      </xdr:nvCxnSpPr>
      <xdr:spPr>
        <a:xfrm flipH="1">
          <a:off x="3195800" y="4551882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17</xdr:row>
      <xdr:rowOff>82228</xdr:rowOff>
    </xdr:from>
    <xdr:to>
      <xdr:col>21</xdr:col>
      <xdr:colOff>0</xdr:colOff>
      <xdr:row>23</xdr:row>
      <xdr:rowOff>84581</xdr:rowOff>
    </xdr:to>
    <xdr:cxnSp macro="">
      <xdr:nvCxnSpPr>
        <xdr:cNvPr id="17" name="직선 화살표 연결선 16">
          <a:extLst>
            <a:ext uri="{FF2B5EF4-FFF2-40B4-BE49-F238E27FC236}">
              <a16:creationId xmlns:a16="http://schemas.microsoft.com/office/drawing/2014/main" id="{BE82C50D-EB2B-4AB3-A494-319E4C295A2D}"/>
            </a:ext>
          </a:extLst>
        </xdr:cNvPr>
        <xdr:cNvCxnSpPr/>
      </xdr:nvCxnSpPr>
      <xdr:spPr>
        <a:xfrm flipH="1" flipV="1">
          <a:off x="6028628" y="4418813"/>
          <a:ext cx="0" cy="1404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265</xdr:colOff>
      <xdr:row>17</xdr:row>
      <xdr:rowOff>67005</xdr:rowOff>
    </xdr:from>
    <xdr:to>
      <xdr:col>27</xdr:col>
      <xdr:colOff>265</xdr:colOff>
      <xdr:row>23</xdr:row>
      <xdr:rowOff>79408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BD5128B2-7CBA-470B-9061-AD039A31537A}"/>
            </a:ext>
          </a:extLst>
        </xdr:cNvPr>
        <xdr:cNvCxnSpPr/>
      </xdr:nvCxnSpPr>
      <xdr:spPr>
        <a:xfrm flipH="1" flipV="1">
          <a:off x="7446027" y="3753103"/>
          <a:ext cx="0" cy="1476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70825</xdr:colOff>
      <xdr:row>10</xdr:row>
      <xdr:rowOff>126968</xdr:rowOff>
    </xdr:from>
    <xdr:ext cx="858184" cy="233205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74120EAE-6FCE-4EB5-B727-F7CA9CB5D028}"/>
            </a:ext>
          </a:extLst>
        </xdr:cNvPr>
        <xdr:cNvSpPr txBox="1"/>
      </xdr:nvSpPr>
      <xdr:spPr>
        <a:xfrm>
          <a:off x="3265185" y="2295261"/>
          <a:ext cx="858184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900"/>
            <a:t>DELAY_CH2=2</a:t>
          </a:r>
          <a:endParaRPr lang="ko-KR" altLang="en-US" sz="900"/>
        </a:p>
      </xdr:txBody>
    </xdr:sp>
    <xdr:clientData/>
  </xdr:oneCellAnchor>
  <xdr:twoCellAnchor>
    <xdr:from>
      <xdr:col>9</xdr:col>
      <xdr:colOff>1533</xdr:colOff>
      <xdr:row>17</xdr:row>
      <xdr:rowOff>114011</xdr:rowOff>
    </xdr:from>
    <xdr:to>
      <xdr:col>35</xdr:col>
      <xdr:colOff>11007</xdr:colOff>
      <xdr:row>17</xdr:row>
      <xdr:rowOff>258456</xdr:rowOff>
    </xdr:to>
    <xdr:grpSp>
      <xdr:nvGrpSpPr>
        <xdr:cNvPr id="374" name="그룹 373">
          <a:extLst>
            <a:ext uri="{FF2B5EF4-FFF2-40B4-BE49-F238E27FC236}">
              <a16:creationId xmlns:a16="http://schemas.microsoft.com/office/drawing/2014/main" id="{3238E16B-E7A3-EAF2-3B46-AE32E0FA3A98}"/>
            </a:ext>
          </a:extLst>
        </xdr:cNvPr>
        <xdr:cNvGrpSpPr/>
      </xdr:nvGrpSpPr>
      <xdr:grpSpPr>
        <a:xfrm>
          <a:off x="3246228" y="3800109"/>
          <a:ext cx="6254234" cy="147620"/>
          <a:chOff x="3195893" y="3769133"/>
          <a:chExt cx="6150388" cy="144445"/>
        </a:xfrm>
      </xdr:grpSpPr>
      <xdr:cxnSp macro="">
        <xdr:nvCxnSpPr>
          <xdr:cNvPr id="19" name="직선 화살표 연결선 18">
            <a:extLst>
              <a:ext uri="{FF2B5EF4-FFF2-40B4-BE49-F238E27FC236}">
                <a16:creationId xmlns:a16="http://schemas.microsoft.com/office/drawing/2014/main" id="{6A5725F2-26E7-4020-862C-042845389783}"/>
              </a:ext>
            </a:extLst>
          </xdr:cNvPr>
          <xdr:cNvCxnSpPr/>
        </xdr:nvCxnSpPr>
        <xdr:spPr>
          <a:xfrm flipV="1">
            <a:off x="3195893" y="3853647"/>
            <a:ext cx="2844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직선 화살표 연결선 19">
            <a:extLst>
              <a:ext uri="{FF2B5EF4-FFF2-40B4-BE49-F238E27FC236}">
                <a16:creationId xmlns:a16="http://schemas.microsoft.com/office/drawing/2014/main" id="{7BFAAB42-7F4A-4B8A-AE30-8DA5EB373035}"/>
              </a:ext>
            </a:extLst>
          </xdr:cNvPr>
          <xdr:cNvCxnSpPr/>
        </xdr:nvCxnSpPr>
        <xdr:spPr>
          <a:xfrm flipV="1">
            <a:off x="7438281" y="3857782"/>
            <a:ext cx="1908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D44CF673-CF90-4101-9A10-23D1EF763B9A}"/>
              </a:ext>
            </a:extLst>
          </xdr:cNvPr>
          <xdr:cNvSpPr txBox="1"/>
        </xdr:nvSpPr>
        <xdr:spPr>
          <a:xfrm>
            <a:off x="4172973" y="3769133"/>
            <a:ext cx="634213" cy="14087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 i="1"/>
              <a:t>scan 1</a:t>
            </a:r>
            <a:r>
              <a:rPr lang="en-US" altLang="ko-KR" sz="900" i="1" baseline="30000"/>
              <a:t>th</a:t>
            </a:r>
            <a:r>
              <a:rPr lang="en-US" altLang="ko-KR" sz="900" i="1" baseline="0"/>
              <a:t> of #n</a:t>
            </a:r>
            <a:endParaRPr lang="ko-KR" altLang="en-US" sz="900" i="1"/>
          </a:p>
        </xdr:txBody>
      </xdr:sp>
      <xdr:sp macro="" textlink="">
        <xdr:nvSpPr>
          <xdr:cNvPr id="35" name="TextBox 34">
            <a:extLst>
              <a:ext uri="{FF2B5EF4-FFF2-40B4-BE49-F238E27FC236}">
                <a16:creationId xmlns:a16="http://schemas.microsoft.com/office/drawing/2014/main" id="{77E4AB05-CE55-4443-96FF-685B7661D966}"/>
              </a:ext>
            </a:extLst>
          </xdr:cNvPr>
          <xdr:cNvSpPr txBox="1"/>
        </xdr:nvSpPr>
        <xdr:spPr>
          <a:xfrm>
            <a:off x="8017277" y="3772706"/>
            <a:ext cx="634213" cy="14087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 i="1"/>
              <a:t>scan 8</a:t>
            </a:r>
            <a:r>
              <a:rPr lang="en-US" altLang="ko-KR" sz="900" i="1" baseline="30000"/>
              <a:t>th</a:t>
            </a:r>
            <a:r>
              <a:rPr lang="en-US" altLang="ko-KR" sz="900" i="1" baseline="0"/>
              <a:t> </a:t>
            </a:r>
            <a:r>
              <a:rPr lang="en-US" altLang="ko-KR" sz="900" i="1"/>
              <a:t>of #n</a:t>
            </a:r>
            <a:endParaRPr lang="ko-KR" altLang="en-US" sz="900" i="1"/>
          </a:p>
        </xdr:txBody>
      </xdr:sp>
      <xdr:cxnSp macro="">
        <xdr:nvCxnSpPr>
          <xdr:cNvPr id="36" name="직선 화살표 연결선 35">
            <a:extLst>
              <a:ext uri="{FF2B5EF4-FFF2-40B4-BE49-F238E27FC236}">
                <a16:creationId xmlns:a16="http://schemas.microsoft.com/office/drawing/2014/main" id="{657ABFAF-A705-40B5-9DA3-303488164191}"/>
              </a:ext>
            </a:extLst>
          </xdr:cNvPr>
          <xdr:cNvCxnSpPr/>
        </xdr:nvCxnSpPr>
        <xdr:spPr>
          <a:xfrm flipV="1">
            <a:off x="6036901" y="3858047"/>
            <a:ext cx="1404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23</xdr:col>
      <xdr:colOff>86011</xdr:colOff>
      <xdr:row>17</xdr:row>
      <xdr:rowOff>77440</xdr:rowOff>
    </xdr:from>
    <xdr:ext cx="341825" cy="172227"/>
    <xdr:sp macro="" textlink="">
      <xdr:nvSpPr>
        <xdr:cNvPr id="37" name="TextBox 36">
          <a:extLst>
            <a:ext uri="{FF2B5EF4-FFF2-40B4-BE49-F238E27FC236}">
              <a16:creationId xmlns:a16="http://schemas.microsoft.com/office/drawing/2014/main" id="{13084750-8845-42F4-B1DE-E865DE0AB06C}"/>
            </a:ext>
          </a:extLst>
        </xdr:cNvPr>
        <xdr:cNvSpPr txBox="1"/>
      </xdr:nvSpPr>
      <xdr:spPr>
        <a:xfrm>
          <a:off x="6587017" y="3763538"/>
          <a:ext cx="341825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 . . . . . </a:t>
          </a:r>
          <a:endParaRPr lang="ko-KR" altLang="en-US" sz="1100"/>
        </a:p>
      </xdr:txBody>
    </xdr:sp>
    <xdr:clientData/>
  </xdr:oneCellAnchor>
  <xdr:oneCellAnchor>
    <xdr:from>
      <xdr:col>9</xdr:col>
      <xdr:colOff>87318</xdr:colOff>
      <xdr:row>7</xdr:row>
      <xdr:rowOff>36074</xdr:rowOff>
    </xdr:from>
    <xdr:ext cx="58478" cy="140872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F310EE77-29DC-CECA-3552-2F3BEE129E38}"/>
            </a:ext>
          </a:extLst>
        </xdr:cNvPr>
        <xdr:cNvSpPr txBox="1"/>
      </xdr:nvSpPr>
      <xdr:spPr>
        <a:xfrm>
          <a:off x="2062013" y="172424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33</xdr:col>
      <xdr:colOff>6199</xdr:colOff>
      <xdr:row>7</xdr:row>
      <xdr:rowOff>39071</xdr:rowOff>
    </xdr:from>
    <xdr:ext cx="233910" cy="140872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78645545-AFE2-4E33-910B-CEDEAA9A5D5A}"/>
            </a:ext>
          </a:extLst>
        </xdr:cNvPr>
        <xdr:cNvSpPr txBox="1"/>
      </xdr:nvSpPr>
      <xdr:spPr>
        <a:xfrm>
          <a:off x="7649431" y="1727242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4095</a:t>
          </a:r>
          <a:endParaRPr lang="ko-KR" altLang="en-US" sz="900"/>
        </a:p>
      </xdr:txBody>
    </xdr:sp>
    <xdr:clientData/>
  </xdr:oneCellAnchor>
  <xdr:oneCellAnchor>
    <xdr:from>
      <xdr:col>31</xdr:col>
      <xdr:colOff>3721</xdr:colOff>
      <xdr:row>7</xdr:row>
      <xdr:rowOff>38196</xdr:rowOff>
    </xdr:from>
    <xdr:ext cx="233910" cy="140872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8939DB0F-BF87-4569-A399-12244AFE3EA1}"/>
            </a:ext>
          </a:extLst>
        </xdr:cNvPr>
        <xdr:cNvSpPr txBox="1"/>
      </xdr:nvSpPr>
      <xdr:spPr>
        <a:xfrm>
          <a:off x="7158419" y="1713282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4094</a:t>
          </a:r>
          <a:endParaRPr lang="ko-KR" altLang="en-US" sz="900"/>
        </a:p>
      </xdr:txBody>
    </xdr:sp>
    <xdr:clientData/>
  </xdr:oneCellAnchor>
  <xdr:oneCellAnchor>
    <xdr:from>
      <xdr:col>29</xdr:col>
      <xdr:colOff>3722</xdr:colOff>
      <xdr:row>7</xdr:row>
      <xdr:rowOff>38195</xdr:rowOff>
    </xdr:from>
    <xdr:ext cx="233910" cy="140872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B540F3D9-5E73-4FA2-9C4C-8BB7665FC93F}"/>
            </a:ext>
          </a:extLst>
        </xdr:cNvPr>
        <xdr:cNvSpPr txBox="1"/>
      </xdr:nvSpPr>
      <xdr:spPr>
        <a:xfrm>
          <a:off x="6687644" y="1713281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4093</a:t>
          </a:r>
          <a:endParaRPr lang="ko-KR" altLang="en-US" sz="900"/>
        </a:p>
      </xdr:txBody>
    </xdr:sp>
    <xdr:clientData/>
  </xdr:oneCellAnchor>
  <xdr:oneCellAnchor>
    <xdr:from>
      <xdr:col>27</xdr:col>
      <xdr:colOff>8319</xdr:colOff>
      <xdr:row>7</xdr:row>
      <xdr:rowOff>37319</xdr:rowOff>
    </xdr:from>
    <xdr:ext cx="233910" cy="140872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9347CF2-F41C-4B44-826E-DCD9D7EEAAA9}"/>
            </a:ext>
          </a:extLst>
        </xdr:cNvPr>
        <xdr:cNvSpPr txBox="1"/>
      </xdr:nvSpPr>
      <xdr:spPr>
        <a:xfrm>
          <a:off x="6221466" y="1712405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4092</a:t>
          </a:r>
          <a:endParaRPr lang="ko-KR" altLang="en-US" sz="900"/>
        </a:p>
      </xdr:txBody>
    </xdr:sp>
    <xdr:clientData/>
  </xdr:oneCellAnchor>
  <xdr:oneCellAnchor>
    <xdr:from>
      <xdr:col>25</xdr:col>
      <xdr:colOff>6984</xdr:colOff>
      <xdr:row>7</xdr:row>
      <xdr:rowOff>35850</xdr:rowOff>
    </xdr:from>
    <xdr:ext cx="233910" cy="140872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8607424F-2CAF-4753-8E80-93CB6ADBF276}"/>
            </a:ext>
          </a:extLst>
        </xdr:cNvPr>
        <xdr:cNvSpPr txBox="1"/>
      </xdr:nvSpPr>
      <xdr:spPr>
        <a:xfrm>
          <a:off x="5760704" y="1724021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4091</a:t>
          </a:r>
          <a:endParaRPr lang="ko-KR" altLang="en-US" sz="900"/>
        </a:p>
      </xdr:txBody>
    </xdr:sp>
    <xdr:clientData/>
  </xdr:oneCellAnchor>
  <xdr:oneCellAnchor>
    <xdr:from>
      <xdr:col>11</xdr:col>
      <xdr:colOff>84840</xdr:colOff>
      <xdr:row>7</xdr:row>
      <xdr:rowOff>41340</xdr:rowOff>
    </xdr:from>
    <xdr:ext cx="58478" cy="140872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F16CC74-BF35-4082-A129-B65BB121CE0C}"/>
            </a:ext>
          </a:extLst>
        </xdr:cNvPr>
        <xdr:cNvSpPr txBox="1"/>
      </xdr:nvSpPr>
      <xdr:spPr>
        <a:xfrm>
          <a:off x="2531913" y="1729511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13</xdr:col>
      <xdr:colOff>80968</xdr:colOff>
      <xdr:row>7</xdr:row>
      <xdr:rowOff>37468</xdr:rowOff>
    </xdr:from>
    <xdr:ext cx="58478" cy="140872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493E68F1-FF3E-43EC-B8BA-25339EA372B6}"/>
            </a:ext>
          </a:extLst>
        </xdr:cNvPr>
        <xdr:cNvSpPr txBox="1"/>
      </xdr:nvSpPr>
      <xdr:spPr>
        <a:xfrm>
          <a:off x="3000419" y="17256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15</xdr:col>
      <xdr:colOff>78490</xdr:colOff>
      <xdr:row>7</xdr:row>
      <xdr:rowOff>42734</xdr:rowOff>
    </xdr:from>
    <xdr:ext cx="58478" cy="140872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30DC210C-D60A-4430-B572-52094E134EA6}"/>
            </a:ext>
          </a:extLst>
        </xdr:cNvPr>
        <xdr:cNvSpPr txBox="1"/>
      </xdr:nvSpPr>
      <xdr:spPr>
        <a:xfrm>
          <a:off x="3470319" y="173090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17</xdr:col>
      <xdr:colOff>93978</xdr:colOff>
      <xdr:row>7</xdr:row>
      <xdr:rowOff>42734</xdr:rowOff>
    </xdr:from>
    <xdr:ext cx="58478" cy="140872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9808BED5-D734-47F9-A880-FCAAD415C2BB}"/>
            </a:ext>
          </a:extLst>
        </xdr:cNvPr>
        <xdr:cNvSpPr txBox="1"/>
      </xdr:nvSpPr>
      <xdr:spPr>
        <a:xfrm>
          <a:off x="3958185" y="173090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19</xdr:col>
      <xdr:colOff>91500</xdr:colOff>
      <xdr:row>7</xdr:row>
      <xdr:rowOff>48000</xdr:rowOff>
    </xdr:from>
    <xdr:ext cx="58478" cy="140872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997D822D-03C7-4704-86EF-56907366AAF2}"/>
            </a:ext>
          </a:extLst>
        </xdr:cNvPr>
        <xdr:cNvSpPr txBox="1"/>
      </xdr:nvSpPr>
      <xdr:spPr>
        <a:xfrm>
          <a:off x="4428085" y="1736171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23</xdr:col>
      <xdr:colOff>4506</xdr:colOff>
      <xdr:row>7</xdr:row>
      <xdr:rowOff>41115</xdr:rowOff>
    </xdr:from>
    <xdr:ext cx="233910" cy="140872"/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1347C6D6-0633-493B-B42B-144E4D2A1E33}"/>
            </a:ext>
          </a:extLst>
        </xdr:cNvPr>
        <xdr:cNvSpPr txBox="1"/>
      </xdr:nvSpPr>
      <xdr:spPr>
        <a:xfrm>
          <a:off x="5285847" y="1729286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4090</a:t>
          </a:r>
          <a:endParaRPr lang="ko-KR" altLang="en-US" sz="900"/>
        </a:p>
      </xdr:txBody>
    </xdr:sp>
    <xdr:clientData/>
  </xdr:oneCellAnchor>
  <xdr:oneCellAnchor>
    <xdr:from>
      <xdr:col>35</xdr:col>
      <xdr:colOff>91190</xdr:colOff>
      <xdr:row>7</xdr:row>
      <xdr:rowOff>36074</xdr:rowOff>
    </xdr:from>
    <xdr:ext cx="58478" cy="140872"/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8B8D2D17-4DCB-4A87-A2CC-EB3010A745F7}"/>
            </a:ext>
          </a:extLst>
        </xdr:cNvPr>
        <xdr:cNvSpPr txBox="1"/>
      </xdr:nvSpPr>
      <xdr:spPr>
        <a:xfrm>
          <a:off x="8206800" y="112022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37</xdr:col>
      <xdr:colOff>88712</xdr:colOff>
      <xdr:row>7</xdr:row>
      <xdr:rowOff>41340</xdr:rowOff>
    </xdr:from>
    <xdr:ext cx="58478" cy="140872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CF9FF664-616B-4CBB-8784-3C0A600508E8}"/>
            </a:ext>
          </a:extLst>
        </xdr:cNvPr>
        <xdr:cNvSpPr txBox="1"/>
      </xdr:nvSpPr>
      <xdr:spPr>
        <a:xfrm>
          <a:off x="8676700" y="1125486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39</xdr:col>
      <xdr:colOff>84840</xdr:colOff>
      <xdr:row>7</xdr:row>
      <xdr:rowOff>37468</xdr:rowOff>
    </xdr:from>
    <xdr:ext cx="58478" cy="140872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B04AD21A-1062-44C3-A9C2-6D684388707B}"/>
            </a:ext>
          </a:extLst>
        </xdr:cNvPr>
        <xdr:cNvSpPr txBox="1"/>
      </xdr:nvSpPr>
      <xdr:spPr>
        <a:xfrm>
          <a:off x="9145206" y="112161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41</xdr:col>
      <xdr:colOff>82362</xdr:colOff>
      <xdr:row>7</xdr:row>
      <xdr:rowOff>42734</xdr:rowOff>
    </xdr:from>
    <xdr:ext cx="58478" cy="140872"/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321A2B86-34EA-4110-828E-EFE8F2130566}"/>
            </a:ext>
          </a:extLst>
        </xdr:cNvPr>
        <xdr:cNvSpPr txBox="1"/>
      </xdr:nvSpPr>
      <xdr:spPr>
        <a:xfrm>
          <a:off x="9615106" y="112688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43</xdr:col>
      <xdr:colOff>97850</xdr:colOff>
      <xdr:row>7</xdr:row>
      <xdr:rowOff>42734</xdr:rowOff>
    </xdr:from>
    <xdr:ext cx="58478" cy="140872"/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F1D6418A-FC7E-45B5-8B88-788DF0E3F188}"/>
            </a:ext>
          </a:extLst>
        </xdr:cNvPr>
        <xdr:cNvSpPr txBox="1"/>
      </xdr:nvSpPr>
      <xdr:spPr>
        <a:xfrm>
          <a:off x="10102972" y="112688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45</xdr:col>
      <xdr:colOff>95372</xdr:colOff>
      <xdr:row>7</xdr:row>
      <xdr:rowOff>48000</xdr:rowOff>
    </xdr:from>
    <xdr:ext cx="58478" cy="140872"/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A275DA30-FD83-45B2-8562-FF785F39802F}"/>
            </a:ext>
          </a:extLst>
        </xdr:cNvPr>
        <xdr:cNvSpPr txBox="1"/>
      </xdr:nvSpPr>
      <xdr:spPr>
        <a:xfrm>
          <a:off x="10572872" y="1132146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9</xdr:col>
      <xdr:colOff>56342</xdr:colOff>
      <xdr:row>3</xdr:row>
      <xdr:rowOff>43818</xdr:rowOff>
    </xdr:from>
    <xdr:ext cx="115929" cy="140872"/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95DEAD74-2197-4688-8B21-5154A71704C4}"/>
            </a:ext>
          </a:extLst>
        </xdr:cNvPr>
        <xdr:cNvSpPr txBox="1"/>
      </xdr:nvSpPr>
      <xdr:spPr>
        <a:xfrm>
          <a:off x="3486891" y="694306"/>
          <a:ext cx="11592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</a:t>
          </a:r>
          <a:endParaRPr lang="ko-KR" altLang="en-US" sz="900"/>
        </a:p>
      </xdr:txBody>
    </xdr:sp>
    <xdr:clientData/>
  </xdr:oneCellAnchor>
  <xdr:oneCellAnchor>
    <xdr:from>
      <xdr:col>9</xdr:col>
      <xdr:colOff>56342</xdr:colOff>
      <xdr:row>14</xdr:row>
      <xdr:rowOff>47689</xdr:rowOff>
    </xdr:from>
    <xdr:ext cx="115929" cy="140872"/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E3C2D856-3FE3-4974-A0F9-AE045B17843A}"/>
            </a:ext>
          </a:extLst>
        </xdr:cNvPr>
        <xdr:cNvSpPr txBox="1"/>
      </xdr:nvSpPr>
      <xdr:spPr>
        <a:xfrm>
          <a:off x="3250702" y="3733787"/>
          <a:ext cx="11592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</a:t>
          </a:r>
          <a:endParaRPr lang="ko-KR" altLang="en-US" sz="900"/>
        </a:p>
      </xdr:txBody>
    </xdr:sp>
    <xdr:clientData/>
  </xdr:oneCellAnchor>
  <xdr:oneCellAnchor>
    <xdr:from>
      <xdr:col>9</xdr:col>
      <xdr:colOff>91189</xdr:colOff>
      <xdr:row>18</xdr:row>
      <xdr:rowOff>36074</xdr:rowOff>
    </xdr:from>
    <xdr:ext cx="58478" cy="140872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FE8B4AED-14DF-47A6-9BAC-B774092A8543}"/>
            </a:ext>
          </a:extLst>
        </xdr:cNvPr>
        <xdr:cNvSpPr txBox="1"/>
      </xdr:nvSpPr>
      <xdr:spPr>
        <a:xfrm>
          <a:off x="3285549" y="497668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11</xdr:col>
      <xdr:colOff>88711</xdr:colOff>
      <xdr:row>18</xdr:row>
      <xdr:rowOff>41340</xdr:rowOff>
    </xdr:from>
    <xdr:ext cx="58478" cy="140872"/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3EBE88B4-D830-478E-8D12-5756625CA496}"/>
            </a:ext>
          </a:extLst>
        </xdr:cNvPr>
        <xdr:cNvSpPr txBox="1"/>
      </xdr:nvSpPr>
      <xdr:spPr>
        <a:xfrm>
          <a:off x="3755449" y="498195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13</xdr:col>
      <xdr:colOff>84839</xdr:colOff>
      <xdr:row>18</xdr:row>
      <xdr:rowOff>37468</xdr:rowOff>
    </xdr:from>
    <xdr:ext cx="58478" cy="140872"/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C4ED65F4-AFD7-48E6-B13E-79D3329C7262}"/>
            </a:ext>
          </a:extLst>
        </xdr:cNvPr>
        <xdr:cNvSpPr txBox="1"/>
      </xdr:nvSpPr>
      <xdr:spPr>
        <a:xfrm>
          <a:off x="4223955" y="497807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17</xdr:col>
      <xdr:colOff>35898</xdr:colOff>
      <xdr:row>18</xdr:row>
      <xdr:rowOff>38861</xdr:rowOff>
    </xdr:from>
    <xdr:ext cx="175433" cy="140872"/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07C99045-9505-4E70-AD87-E454E2593B3F}"/>
            </a:ext>
          </a:extLst>
        </xdr:cNvPr>
        <xdr:cNvSpPr txBox="1"/>
      </xdr:nvSpPr>
      <xdr:spPr>
        <a:xfrm>
          <a:off x="5119770" y="4979471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510</a:t>
          </a:r>
          <a:endParaRPr lang="ko-KR" altLang="en-US" sz="900"/>
        </a:p>
      </xdr:txBody>
    </xdr:sp>
    <xdr:clientData/>
  </xdr:oneCellAnchor>
  <xdr:oneCellAnchor>
    <xdr:from>
      <xdr:col>19</xdr:col>
      <xdr:colOff>33420</xdr:colOff>
      <xdr:row>18</xdr:row>
      <xdr:rowOff>44127</xdr:rowOff>
    </xdr:from>
    <xdr:ext cx="175433" cy="140872"/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668500E3-4397-4E4C-BD83-463274A2008B}"/>
            </a:ext>
          </a:extLst>
        </xdr:cNvPr>
        <xdr:cNvSpPr txBox="1"/>
      </xdr:nvSpPr>
      <xdr:spPr>
        <a:xfrm>
          <a:off x="5589670" y="4984737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21</xdr:col>
      <xdr:colOff>80967</xdr:colOff>
      <xdr:row>18</xdr:row>
      <xdr:rowOff>41340</xdr:rowOff>
    </xdr:from>
    <xdr:ext cx="58478" cy="140872"/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8D3BCE04-FDBC-4067-A67F-528935B82354}"/>
            </a:ext>
          </a:extLst>
        </xdr:cNvPr>
        <xdr:cNvSpPr txBox="1"/>
      </xdr:nvSpPr>
      <xdr:spPr>
        <a:xfrm>
          <a:off x="6109595" y="498195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25</xdr:col>
      <xdr:colOff>38686</xdr:colOff>
      <xdr:row>18</xdr:row>
      <xdr:rowOff>45521</xdr:rowOff>
    </xdr:from>
    <xdr:ext cx="175433" cy="140872"/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004F8990-5E23-465B-A08B-8733F5B49546}"/>
            </a:ext>
          </a:extLst>
        </xdr:cNvPr>
        <xdr:cNvSpPr txBox="1"/>
      </xdr:nvSpPr>
      <xdr:spPr>
        <a:xfrm>
          <a:off x="7012070" y="4986131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33</xdr:col>
      <xdr:colOff>32336</xdr:colOff>
      <xdr:row>18</xdr:row>
      <xdr:rowOff>46915</xdr:rowOff>
    </xdr:from>
    <xdr:ext cx="175433" cy="140872"/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D6243B7B-4391-46AF-96A2-60C69B516A4F}"/>
            </a:ext>
          </a:extLst>
        </xdr:cNvPr>
        <xdr:cNvSpPr txBox="1"/>
      </xdr:nvSpPr>
      <xdr:spPr>
        <a:xfrm>
          <a:off x="8895232" y="4987525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31</xdr:col>
      <xdr:colOff>37293</xdr:colOff>
      <xdr:row>18</xdr:row>
      <xdr:rowOff>44126</xdr:rowOff>
    </xdr:from>
    <xdr:ext cx="175433" cy="140872"/>
    <xdr:sp macro="" textlink="">
      <xdr:nvSpPr>
        <xdr:cNvPr id="103" name="TextBox 102">
          <a:extLst>
            <a:ext uri="{FF2B5EF4-FFF2-40B4-BE49-F238E27FC236}">
              <a16:creationId xmlns:a16="http://schemas.microsoft.com/office/drawing/2014/main" id="{C37832ED-CA5F-4C88-BDE6-89B35C6910B4}"/>
            </a:ext>
          </a:extLst>
        </xdr:cNvPr>
        <xdr:cNvSpPr txBox="1"/>
      </xdr:nvSpPr>
      <xdr:spPr>
        <a:xfrm>
          <a:off x="8427811" y="4984736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510</a:t>
          </a:r>
          <a:endParaRPr lang="ko-KR" altLang="en-US" sz="900"/>
        </a:p>
      </xdr:txBody>
    </xdr:sp>
    <xdr:clientData/>
  </xdr:oneCellAnchor>
  <xdr:oneCellAnchor>
    <xdr:from>
      <xdr:col>9</xdr:col>
      <xdr:colOff>134110</xdr:colOff>
      <xdr:row>20</xdr:row>
      <xdr:rowOff>50218</xdr:rowOff>
    </xdr:from>
    <xdr:ext cx="673518" cy="140872"/>
    <xdr:sp macro="" textlink="">
      <xdr:nvSpPr>
        <xdr:cNvPr id="116" name="TextBox 115">
          <a:extLst>
            <a:ext uri="{FF2B5EF4-FFF2-40B4-BE49-F238E27FC236}">
              <a16:creationId xmlns:a16="http://schemas.microsoft.com/office/drawing/2014/main" id="{9B08D79A-BE00-4E63-91A0-92F451F1623B}"/>
            </a:ext>
          </a:extLst>
        </xdr:cNvPr>
        <xdr:cNvSpPr txBox="1"/>
      </xdr:nvSpPr>
      <xdr:spPr>
        <a:xfrm>
          <a:off x="3328470" y="4487474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DELAY_CH1=0</a:t>
          </a:r>
          <a:endParaRPr lang="ko-KR" altLang="en-US" sz="900"/>
        </a:p>
      </xdr:txBody>
    </xdr:sp>
    <xdr:clientData/>
  </xdr:oneCellAnchor>
  <xdr:oneCellAnchor>
    <xdr:from>
      <xdr:col>35</xdr:col>
      <xdr:colOff>91189</xdr:colOff>
      <xdr:row>18</xdr:row>
      <xdr:rowOff>39946</xdr:rowOff>
    </xdr:from>
    <xdr:ext cx="58478" cy="140872"/>
    <xdr:sp macro="" textlink="">
      <xdr:nvSpPr>
        <xdr:cNvPr id="117" name="TextBox 116">
          <a:extLst>
            <a:ext uri="{FF2B5EF4-FFF2-40B4-BE49-F238E27FC236}">
              <a16:creationId xmlns:a16="http://schemas.microsoft.com/office/drawing/2014/main" id="{B23A2E72-FF21-4AF8-8E48-AEDCFB2BF28E}"/>
            </a:ext>
          </a:extLst>
        </xdr:cNvPr>
        <xdr:cNvSpPr txBox="1"/>
      </xdr:nvSpPr>
      <xdr:spPr>
        <a:xfrm>
          <a:off x="9426463" y="5011531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37</xdr:col>
      <xdr:colOff>88711</xdr:colOff>
      <xdr:row>18</xdr:row>
      <xdr:rowOff>45212</xdr:rowOff>
    </xdr:from>
    <xdr:ext cx="58478" cy="140872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D5865409-D672-4E2D-B9AB-DE3AEE517F8F}"/>
            </a:ext>
          </a:extLst>
        </xdr:cNvPr>
        <xdr:cNvSpPr txBox="1"/>
      </xdr:nvSpPr>
      <xdr:spPr>
        <a:xfrm>
          <a:off x="9896363" y="5016797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39</xdr:col>
      <xdr:colOff>84839</xdr:colOff>
      <xdr:row>18</xdr:row>
      <xdr:rowOff>41340</xdr:rowOff>
    </xdr:from>
    <xdr:ext cx="58478" cy="140872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CAC139D9-EECA-46CF-87CC-A8FC73821429}"/>
            </a:ext>
          </a:extLst>
        </xdr:cNvPr>
        <xdr:cNvSpPr txBox="1"/>
      </xdr:nvSpPr>
      <xdr:spPr>
        <a:xfrm>
          <a:off x="10364869" y="501292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27</xdr:col>
      <xdr:colOff>80967</xdr:colOff>
      <xdr:row>18</xdr:row>
      <xdr:rowOff>45212</xdr:rowOff>
    </xdr:from>
    <xdr:ext cx="58478" cy="140872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F5479FAB-3C4A-48DA-B55D-1812AB170F25}"/>
            </a:ext>
          </a:extLst>
        </xdr:cNvPr>
        <xdr:cNvSpPr txBox="1"/>
      </xdr:nvSpPr>
      <xdr:spPr>
        <a:xfrm>
          <a:off x="7526729" y="5016797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twoCellAnchor>
    <xdr:from>
      <xdr:col>8</xdr:col>
      <xdr:colOff>226936</xdr:colOff>
      <xdr:row>36</xdr:row>
      <xdr:rowOff>110270</xdr:rowOff>
    </xdr:from>
    <xdr:to>
      <xdr:col>12</xdr:col>
      <xdr:colOff>225186</xdr:colOff>
      <xdr:row>36</xdr:row>
      <xdr:rowOff>110270</xdr:rowOff>
    </xdr:to>
    <xdr:cxnSp macro="">
      <xdr:nvCxnSpPr>
        <xdr:cNvPr id="133" name="직선 화살표 연결선 132">
          <a:extLst>
            <a:ext uri="{FF2B5EF4-FFF2-40B4-BE49-F238E27FC236}">
              <a16:creationId xmlns:a16="http://schemas.microsoft.com/office/drawing/2014/main" id="{BB13CF66-65E8-4F10-885F-888385F1D452}"/>
            </a:ext>
          </a:extLst>
        </xdr:cNvPr>
        <xdr:cNvCxnSpPr/>
      </xdr:nvCxnSpPr>
      <xdr:spPr>
        <a:xfrm flipV="1">
          <a:off x="3185107" y="2495392"/>
          <a:ext cx="943006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88859</xdr:colOff>
      <xdr:row>34</xdr:row>
      <xdr:rowOff>103275</xdr:rowOff>
    </xdr:from>
    <xdr:to>
      <xdr:col>8</xdr:col>
      <xdr:colOff>232859</xdr:colOff>
      <xdr:row>34</xdr:row>
      <xdr:rowOff>103275</xdr:rowOff>
    </xdr:to>
    <xdr:cxnSp macro="">
      <xdr:nvCxnSpPr>
        <xdr:cNvPr id="136" name="직선 화살표 연결선 135">
          <a:extLst>
            <a:ext uri="{FF2B5EF4-FFF2-40B4-BE49-F238E27FC236}">
              <a16:creationId xmlns:a16="http://schemas.microsoft.com/office/drawing/2014/main" id="{D0507BF1-149D-471D-80CE-695BA8E6C4A6}"/>
            </a:ext>
          </a:extLst>
        </xdr:cNvPr>
        <xdr:cNvCxnSpPr/>
      </xdr:nvCxnSpPr>
      <xdr:spPr>
        <a:xfrm flipV="1">
          <a:off x="3047030" y="7576141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1440</xdr:colOff>
      <xdr:row>34</xdr:row>
      <xdr:rowOff>103010</xdr:rowOff>
    </xdr:from>
    <xdr:to>
      <xdr:col>9</xdr:col>
      <xdr:colOff>145440</xdr:colOff>
      <xdr:row>34</xdr:row>
      <xdr:rowOff>103539</xdr:rowOff>
    </xdr:to>
    <xdr:cxnSp macro="">
      <xdr:nvCxnSpPr>
        <xdr:cNvPr id="137" name="직선 화살표 연결선 136">
          <a:extLst>
            <a:ext uri="{FF2B5EF4-FFF2-40B4-BE49-F238E27FC236}">
              <a16:creationId xmlns:a16="http://schemas.microsoft.com/office/drawing/2014/main" id="{978B5E12-9924-4997-9018-583D03CEC037}"/>
            </a:ext>
          </a:extLst>
        </xdr:cNvPr>
        <xdr:cNvCxnSpPr/>
      </xdr:nvCxnSpPr>
      <xdr:spPr>
        <a:xfrm flipH="1">
          <a:off x="3195800" y="7575876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226935</xdr:colOff>
      <xdr:row>47</xdr:row>
      <xdr:rowOff>125757</xdr:rowOff>
    </xdr:from>
    <xdr:to>
      <xdr:col>12</xdr:col>
      <xdr:colOff>225185</xdr:colOff>
      <xdr:row>47</xdr:row>
      <xdr:rowOff>125757</xdr:rowOff>
    </xdr:to>
    <xdr:cxnSp macro="">
      <xdr:nvCxnSpPr>
        <xdr:cNvPr id="138" name="직선 화살표 연결선 137">
          <a:extLst>
            <a:ext uri="{FF2B5EF4-FFF2-40B4-BE49-F238E27FC236}">
              <a16:creationId xmlns:a16="http://schemas.microsoft.com/office/drawing/2014/main" id="{3931644D-7762-4CDC-A996-6D17A0974603}"/>
            </a:ext>
          </a:extLst>
        </xdr:cNvPr>
        <xdr:cNvCxnSpPr/>
      </xdr:nvCxnSpPr>
      <xdr:spPr>
        <a:xfrm flipV="1">
          <a:off x="3185106" y="4996672"/>
          <a:ext cx="943006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704</xdr:colOff>
      <xdr:row>40</xdr:row>
      <xdr:rowOff>110506</xdr:rowOff>
    </xdr:from>
    <xdr:to>
      <xdr:col>9</xdr:col>
      <xdr:colOff>704</xdr:colOff>
      <xdr:row>48</xdr:row>
      <xdr:rowOff>121250</xdr:rowOff>
    </xdr:to>
    <xdr:cxnSp macro="">
      <xdr:nvCxnSpPr>
        <xdr:cNvPr id="139" name="직선 화살표 연결선 138">
          <a:extLst>
            <a:ext uri="{FF2B5EF4-FFF2-40B4-BE49-F238E27FC236}">
              <a16:creationId xmlns:a16="http://schemas.microsoft.com/office/drawing/2014/main" id="{5872DCD3-A457-4855-93E1-71095E969E2C}"/>
            </a:ext>
          </a:extLst>
        </xdr:cNvPr>
        <xdr:cNvCxnSpPr/>
      </xdr:nvCxnSpPr>
      <xdr:spPr>
        <a:xfrm flipH="1" flipV="1">
          <a:off x="3195064" y="8946299"/>
          <a:ext cx="0" cy="1908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973</xdr:colOff>
      <xdr:row>40</xdr:row>
      <xdr:rowOff>84150</xdr:rowOff>
    </xdr:from>
    <xdr:to>
      <xdr:col>37</xdr:col>
      <xdr:colOff>973</xdr:colOff>
      <xdr:row>48</xdr:row>
      <xdr:rowOff>94894</xdr:rowOff>
    </xdr:to>
    <xdr:cxnSp macro="">
      <xdr:nvCxnSpPr>
        <xdr:cNvPr id="140" name="직선 화살표 연결선 139">
          <a:extLst>
            <a:ext uri="{FF2B5EF4-FFF2-40B4-BE49-F238E27FC236}">
              <a16:creationId xmlns:a16="http://schemas.microsoft.com/office/drawing/2014/main" id="{839DE218-6D2A-4F5A-961A-4314D6FF7DB7}"/>
            </a:ext>
          </a:extLst>
        </xdr:cNvPr>
        <xdr:cNvCxnSpPr/>
      </xdr:nvCxnSpPr>
      <xdr:spPr>
        <a:xfrm flipH="1" flipV="1">
          <a:off x="9808625" y="8919943"/>
          <a:ext cx="0" cy="1908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88859</xdr:colOff>
      <xdr:row>45</xdr:row>
      <xdr:rowOff>111019</xdr:rowOff>
    </xdr:from>
    <xdr:to>
      <xdr:col>8</xdr:col>
      <xdr:colOff>232859</xdr:colOff>
      <xdr:row>45</xdr:row>
      <xdr:rowOff>111019</xdr:rowOff>
    </xdr:to>
    <xdr:cxnSp macro="">
      <xdr:nvCxnSpPr>
        <xdr:cNvPr id="141" name="직선 화살표 연결선 140">
          <a:extLst>
            <a:ext uri="{FF2B5EF4-FFF2-40B4-BE49-F238E27FC236}">
              <a16:creationId xmlns:a16="http://schemas.microsoft.com/office/drawing/2014/main" id="{12C93BE1-09CA-4629-9787-E657595718C8}"/>
            </a:ext>
          </a:extLst>
        </xdr:cNvPr>
        <xdr:cNvCxnSpPr/>
      </xdr:nvCxnSpPr>
      <xdr:spPr>
        <a:xfrm flipV="1">
          <a:off x="3047030" y="10069678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1440</xdr:colOff>
      <xdr:row>45</xdr:row>
      <xdr:rowOff>110754</xdr:rowOff>
    </xdr:from>
    <xdr:to>
      <xdr:col>9</xdr:col>
      <xdr:colOff>145440</xdr:colOff>
      <xdr:row>45</xdr:row>
      <xdr:rowOff>111283</xdr:rowOff>
    </xdr:to>
    <xdr:cxnSp macro="">
      <xdr:nvCxnSpPr>
        <xdr:cNvPr id="142" name="직선 화살표 연결선 141">
          <a:extLst>
            <a:ext uri="{FF2B5EF4-FFF2-40B4-BE49-F238E27FC236}">
              <a16:creationId xmlns:a16="http://schemas.microsoft.com/office/drawing/2014/main" id="{2E7959CE-0FC5-4DF2-A3A1-E9A23B912226}"/>
            </a:ext>
          </a:extLst>
        </xdr:cNvPr>
        <xdr:cNvCxnSpPr/>
      </xdr:nvCxnSpPr>
      <xdr:spPr>
        <a:xfrm flipH="1">
          <a:off x="3195800" y="10069413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42</xdr:row>
      <xdr:rowOff>97715</xdr:rowOff>
    </xdr:from>
    <xdr:to>
      <xdr:col>21</xdr:col>
      <xdr:colOff>0</xdr:colOff>
      <xdr:row>48</xdr:row>
      <xdr:rowOff>110117</xdr:rowOff>
    </xdr:to>
    <xdr:cxnSp macro="">
      <xdr:nvCxnSpPr>
        <xdr:cNvPr id="143" name="직선 화살표 연결선 142">
          <a:extLst>
            <a:ext uri="{FF2B5EF4-FFF2-40B4-BE49-F238E27FC236}">
              <a16:creationId xmlns:a16="http://schemas.microsoft.com/office/drawing/2014/main" id="{A14913F5-23F9-4BF9-A1AD-1ECED35D3C68}"/>
            </a:ext>
          </a:extLst>
        </xdr:cNvPr>
        <xdr:cNvCxnSpPr/>
      </xdr:nvCxnSpPr>
      <xdr:spPr>
        <a:xfrm flipH="1" flipV="1">
          <a:off x="6028628" y="9367166"/>
          <a:ext cx="0" cy="1476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271</xdr:colOff>
      <xdr:row>42</xdr:row>
      <xdr:rowOff>82492</xdr:rowOff>
    </xdr:from>
    <xdr:to>
      <xdr:col>29</xdr:col>
      <xdr:colOff>271</xdr:colOff>
      <xdr:row>48</xdr:row>
      <xdr:rowOff>94894</xdr:rowOff>
    </xdr:to>
    <xdr:cxnSp macro="">
      <xdr:nvCxnSpPr>
        <xdr:cNvPr id="144" name="직선 화살표 연결선 143">
          <a:extLst>
            <a:ext uri="{FF2B5EF4-FFF2-40B4-BE49-F238E27FC236}">
              <a16:creationId xmlns:a16="http://schemas.microsoft.com/office/drawing/2014/main" id="{C88515C2-D7F0-4C38-80D4-BE62395B1653}"/>
            </a:ext>
          </a:extLst>
        </xdr:cNvPr>
        <xdr:cNvCxnSpPr/>
      </xdr:nvCxnSpPr>
      <xdr:spPr>
        <a:xfrm flipH="1" flipV="1">
          <a:off x="7918411" y="9351943"/>
          <a:ext cx="0" cy="1476000"/>
        </a:xfrm>
        <a:prstGeom prst="straightConnector1">
          <a:avLst/>
        </a:prstGeom>
        <a:ln w="3175">
          <a:solidFill>
            <a:schemeClr val="bg1">
              <a:lumMod val="65000"/>
            </a:schemeClr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163694</xdr:colOff>
      <xdr:row>34</xdr:row>
      <xdr:rowOff>36910</xdr:rowOff>
    </xdr:from>
    <xdr:ext cx="673518" cy="140872"/>
    <xdr:sp macro="" textlink="">
      <xdr:nvSpPr>
        <xdr:cNvPr id="154" name="TextBox 153">
          <a:extLst>
            <a:ext uri="{FF2B5EF4-FFF2-40B4-BE49-F238E27FC236}">
              <a16:creationId xmlns:a16="http://schemas.microsoft.com/office/drawing/2014/main" id="{4BBD7A4E-E8EB-4786-A532-5AFE3B85F3C7}"/>
            </a:ext>
          </a:extLst>
        </xdr:cNvPr>
        <xdr:cNvSpPr txBox="1"/>
      </xdr:nvSpPr>
      <xdr:spPr>
        <a:xfrm>
          <a:off x="2413298" y="7509776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DELAY_CH1=0</a:t>
          </a:r>
          <a:endParaRPr lang="ko-KR" altLang="en-US" sz="900"/>
        </a:p>
      </xdr:txBody>
    </xdr:sp>
    <xdr:clientData/>
  </xdr:oneCellAnchor>
  <xdr:twoCellAnchor>
    <xdr:from>
      <xdr:col>9</xdr:col>
      <xdr:colOff>1533</xdr:colOff>
      <xdr:row>42</xdr:row>
      <xdr:rowOff>106267</xdr:rowOff>
    </xdr:from>
    <xdr:to>
      <xdr:col>37</xdr:col>
      <xdr:colOff>14880</xdr:colOff>
      <xdr:row>42</xdr:row>
      <xdr:rowOff>250712</xdr:rowOff>
    </xdr:to>
    <xdr:grpSp>
      <xdr:nvGrpSpPr>
        <xdr:cNvPr id="373" name="그룹 372">
          <a:extLst>
            <a:ext uri="{FF2B5EF4-FFF2-40B4-BE49-F238E27FC236}">
              <a16:creationId xmlns:a16="http://schemas.microsoft.com/office/drawing/2014/main" id="{A3BC0F36-E3F8-AAF7-15D8-24AB567C692E}"/>
            </a:ext>
          </a:extLst>
        </xdr:cNvPr>
        <xdr:cNvGrpSpPr/>
      </xdr:nvGrpSpPr>
      <xdr:grpSpPr>
        <a:xfrm>
          <a:off x="3246228" y="9378893"/>
          <a:ext cx="6733466" cy="142857"/>
          <a:chOff x="3195893" y="9294407"/>
          <a:chExt cx="6626639" cy="144445"/>
        </a:xfrm>
      </xdr:grpSpPr>
      <xdr:cxnSp macro="">
        <xdr:nvCxnSpPr>
          <xdr:cNvPr id="145" name="직선 화살표 연결선 144">
            <a:extLst>
              <a:ext uri="{FF2B5EF4-FFF2-40B4-BE49-F238E27FC236}">
                <a16:creationId xmlns:a16="http://schemas.microsoft.com/office/drawing/2014/main" id="{FCDEE13D-26E9-4B65-876A-4DFC5185D63A}"/>
              </a:ext>
            </a:extLst>
          </xdr:cNvPr>
          <xdr:cNvCxnSpPr/>
        </xdr:nvCxnSpPr>
        <xdr:spPr>
          <a:xfrm flipV="1">
            <a:off x="3195893" y="9375049"/>
            <a:ext cx="2844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46" name="직선 화살표 연결선 145">
            <a:extLst>
              <a:ext uri="{FF2B5EF4-FFF2-40B4-BE49-F238E27FC236}">
                <a16:creationId xmlns:a16="http://schemas.microsoft.com/office/drawing/2014/main" id="{30EFAB6D-910F-45F7-A97B-5032B864497A}"/>
              </a:ext>
            </a:extLst>
          </xdr:cNvPr>
          <xdr:cNvCxnSpPr/>
        </xdr:nvCxnSpPr>
        <xdr:spPr>
          <a:xfrm flipV="1">
            <a:off x="7914532" y="9379183"/>
            <a:ext cx="1908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8" name="TextBox 157">
            <a:extLst>
              <a:ext uri="{FF2B5EF4-FFF2-40B4-BE49-F238E27FC236}">
                <a16:creationId xmlns:a16="http://schemas.microsoft.com/office/drawing/2014/main" id="{D176B55C-5184-4DCD-B44A-BC5565B4779D}"/>
              </a:ext>
            </a:extLst>
          </xdr:cNvPr>
          <xdr:cNvSpPr txBox="1"/>
        </xdr:nvSpPr>
        <xdr:spPr>
          <a:xfrm>
            <a:off x="4281387" y="9294407"/>
            <a:ext cx="634213" cy="14087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 b="0" i="1"/>
              <a:t>scan 1</a:t>
            </a:r>
            <a:r>
              <a:rPr lang="en-US" altLang="ko-KR" sz="900" b="0" i="1" baseline="30000"/>
              <a:t>th</a:t>
            </a:r>
            <a:r>
              <a:rPr lang="en-US" altLang="ko-KR" sz="900" b="0" i="1" baseline="0"/>
              <a:t> of #n</a:t>
            </a:r>
            <a:endParaRPr lang="ko-KR" altLang="en-US" sz="900" b="0" i="1"/>
          </a:p>
        </xdr:txBody>
      </xdr:sp>
      <xdr:sp macro="" textlink="">
        <xdr:nvSpPr>
          <xdr:cNvPr id="159" name="TextBox 158">
            <a:extLst>
              <a:ext uri="{FF2B5EF4-FFF2-40B4-BE49-F238E27FC236}">
                <a16:creationId xmlns:a16="http://schemas.microsoft.com/office/drawing/2014/main" id="{2B22F4B8-BD8F-4620-81C5-6EB9AB6E8D05}"/>
              </a:ext>
            </a:extLst>
          </xdr:cNvPr>
          <xdr:cNvSpPr txBox="1"/>
        </xdr:nvSpPr>
        <xdr:spPr>
          <a:xfrm>
            <a:off x="8547734" y="9297980"/>
            <a:ext cx="634213" cy="140872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 i="1"/>
              <a:t>scan 8</a:t>
            </a:r>
            <a:r>
              <a:rPr lang="en-US" altLang="ko-KR" sz="900" i="1" baseline="30000"/>
              <a:t>th</a:t>
            </a:r>
            <a:r>
              <a:rPr lang="en-US" altLang="ko-KR" sz="900" i="1" baseline="0"/>
              <a:t> </a:t>
            </a:r>
            <a:r>
              <a:rPr lang="en-US" altLang="ko-KR" sz="900" i="1"/>
              <a:t>of #n</a:t>
            </a:r>
            <a:endParaRPr lang="ko-KR" altLang="en-US" sz="900" i="1"/>
          </a:p>
        </xdr:txBody>
      </xdr:sp>
      <xdr:cxnSp macro="">
        <xdr:nvCxnSpPr>
          <xdr:cNvPr id="160" name="직선 화살표 연결선 159">
            <a:extLst>
              <a:ext uri="{FF2B5EF4-FFF2-40B4-BE49-F238E27FC236}">
                <a16:creationId xmlns:a16="http://schemas.microsoft.com/office/drawing/2014/main" id="{62FC4C4E-522E-417C-8E97-56006CF92195}"/>
              </a:ext>
            </a:extLst>
          </xdr:cNvPr>
          <xdr:cNvCxnSpPr/>
        </xdr:nvCxnSpPr>
        <xdr:spPr>
          <a:xfrm flipV="1">
            <a:off x="6036901" y="9375577"/>
            <a:ext cx="1872000" cy="0"/>
          </a:xfrm>
          <a:prstGeom prst="straightConnector1">
            <a:avLst/>
          </a:prstGeom>
          <a:ln w="3175">
            <a:solidFill>
              <a:schemeClr val="bg1">
                <a:lumMod val="50000"/>
              </a:schemeClr>
            </a:solidFill>
            <a:headEnd type="triangle" w="sm" len="sm"/>
            <a:tailEnd type="triangle" w="sm" len="sm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24</xdr:col>
      <xdr:colOff>70526</xdr:colOff>
      <xdr:row>42</xdr:row>
      <xdr:rowOff>65824</xdr:rowOff>
    </xdr:from>
    <xdr:ext cx="341825" cy="172227"/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36969A03-EBC4-406C-AFDE-9E082F592CEC}"/>
            </a:ext>
          </a:extLst>
        </xdr:cNvPr>
        <xdr:cNvSpPr txBox="1"/>
      </xdr:nvSpPr>
      <xdr:spPr>
        <a:xfrm>
          <a:off x="6807721" y="9335275"/>
          <a:ext cx="341825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 . . . . . </a:t>
          </a:r>
          <a:endParaRPr lang="ko-KR" altLang="en-US" sz="1100"/>
        </a:p>
      </xdr:txBody>
    </xdr:sp>
    <xdr:clientData/>
  </xdr:oneCellAnchor>
  <xdr:oneCellAnchor>
    <xdr:from>
      <xdr:col>9</xdr:col>
      <xdr:colOff>87318</xdr:colOff>
      <xdr:row>32</xdr:row>
      <xdr:rowOff>36074</xdr:rowOff>
    </xdr:from>
    <xdr:ext cx="58478" cy="140872"/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5CFB9414-9A92-466A-A748-6F8D5776656E}"/>
            </a:ext>
          </a:extLst>
        </xdr:cNvPr>
        <xdr:cNvSpPr txBox="1"/>
      </xdr:nvSpPr>
      <xdr:spPr>
        <a:xfrm>
          <a:off x="3281678" y="155387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33</xdr:col>
      <xdr:colOff>6199</xdr:colOff>
      <xdr:row>32</xdr:row>
      <xdr:rowOff>39071</xdr:rowOff>
    </xdr:from>
    <xdr:ext cx="233910" cy="140872"/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AA470BCB-2AFD-4FE2-A5E5-E5D5324B4AD5}"/>
            </a:ext>
          </a:extLst>
        </xdr:cNvPr>
        <xdr:cNvSpPr txBox="1"/>
      </xdr:nvSpPr>
      <xdr:spPr>
        <a:xfrm>
          <a:off x="8869095" y="1556876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4095</a:t>
          </a:r>
          <a:endParaRPr lang="ko-KR" altLang="en-US" sz="900"/>
        </a:p>
      </xdr:txBody>
    </xdr:sp>
    <xdr:clientData/>
  </xdr:oneCellAnchor>
  <xdr:oneCellAnchor>
    <xdr:from>
      <xdr:col>31</xdr:col>
      <xdr:colOff>3721</xdr:colOff>
      <xdr:row>32</xdr:row>
      <xdr:rowOff>38196</xdr:rowOff>
    </xdr:from>
    <xdr:ext cx="233910" cy="140872"/>
    <xdr:sp macro="" textlink="">
      <xdr:nvSpPr>
        <xdr:cNvPr id="167" name="TextBox 166">
          <a:extLst>
            <a:ext uri="{FF2B5EF4-FFF2-40B4-BE49-F238E27FC236}">
              <a16:creationId xmlns:a16="http://schemas.microsoft.com/office/drawing/2014/main" id="{46A7F622-1CD7-4B24-BA7C-6A941C533579}"/>
            </a:ext>
          </a:extLst>
        </xdr:cNvPr>
        <xdr:cNvSpPr txBox="1"/>
      </xdr:nvSpPr>
      <xdr:spPr>
        <a:xfrm>
          <a:off x="8394239" y="1556001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4094</a:t>
          </a:r>
          <a:endParaRPr lang="ko-KR" altLang="en-US" sz="900"/>
        </a:p>
      </xdr:txBody>
    </xdr:sp>
    <xdr:clientData/>
  </xdr:oneCellAnchor>
  <xdr:oneCellAnchor>
    <xdr:from>
      <xdr:col>29</xdr:col>
      <xdr:colOff>3722</xdr:colOff>
      <xdr:row>32</xdr:row>
      <xdr:rowOff>38195</xdr:rowOff>
    </xdr:from>
    <xdr:ext cx="233910" cy="140872"/>
    <xdr:sp macro="" textlink="">
      <xdr:nvSpPr>
        <xdr:cNvPr id="168" name="TextBox 167">
          <a:extLst>
            <a:ext uri="{FF2B5EF4-FFF2-40B4-BE49-F238E27FC236}">
              <a16:creationId xmlns:a16="http://schemas.microsoft.com/office/drawing/2014/main" id="{88F89B91-A210-4E0A-A323-E9E21E89D40D}"/>
            </a:ext>
          </a:extLst>
        </xdr:cNvPr>
        <xdr:cNvSpPr txBox="1"/>
      </xdr:nvSpPr>
      <xdr:spPr>
        <a:xfrm>
          <a:off x="7921862" y="1556000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4093</a:t>
          </a:r>
          <a:endParaRPr lang="ko-KR" altLang="en-US" sz="900"/>
        </a:p>
      </xdr:txBody>
    </xdr:sp>
    <xdr:clientData/>
  </xdr:oneCellAnchor>
  <xdr:oneCellAnchor>
    <xdr:from>
      <xdr:col>27</xdr:col>
      <xdr:colOff>8319</xdr:colOff>
      <xdr:row>32</xdr:row>
      <xdr:rowOff>37319</xdr:rowOff>
    </xdr:from>
    <xdr:ext cx="233910" cy="140872"/>
    <xdr:sp macro="" textlink="">
      <xdr:nvSpPr>
        <xdr:cNvPr id="169" name="TextBox 168">
          <a:extLst>
            <a:ext uri="{FF2B5EF4-FFF2-40B4-BE49-F238E27FC236}">
              <a16:creationId xmlns:a16="http://schemas.microsoft.com/office/drawing/2014/main" id="{0B839E3E-83AD-4358-BE0A-AE28BE2E75FB}"/>
            </a:ext>
          </a:extLst>
        </xdr:cNvPr>
        <xdr:cNvSpPr txBox="1"/>
      </xdr:nvSpPr>
      <xdr:spPr>
        <a:xfrm>
          <a:off x="7454081" y="1555124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4092</a:t>
          </a:r>
          <a:endParaRPr lang="ko-KR" altLang="en-US" sz="900"/>
        </a:p>
      </xdr:txBody>
    </xdr:sp>
    <xdr:clientData/>
  </xdr:oneCellAnchor>
  <xdr:oneCellAnchor>
    <xdr:from>
      <xdr:col>25</xdr:col>
      <xdr:colOff>6984</xdr:colOff>
      <xdr:row>32</xdr:row>
      <xdr:rowOff>35850</xdr:rowOff>
    </xdr:from>
    <xdr:ext cx="233910" cy="140872"/>
    <xdr:sp macro="" textlink="">
      <xdr:nvSpPr>
        <xdr:cNvPr id="170" name="TextBox 169">
          <a:extLst>
            <a:ext uri="{FF2B5EF4-FFF2-40B4-BE49-F238E27FC236}">
              <a16:creationId xmlns:a16="http://schemas.microsoft.com/office/drawing/2014/main" id="{A2D11868-27D2-4BCD-9913-9BC063AFE85A}"/>
            </a:ext>
          </a:extLst>
        </xdr:cNvPr>
        <xdr:cNvSpPr txBox="1"/>
      </xdr:nvSpPr>
      <xdr:spPr>
        <a:xfrm>
          <a:off x="6980368" y="1553655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4091</a:t>
          </a:r>
          <a:endParaRPr lang="ko-KR" altLang="en-US" sz="900"/>
        </a:p>
      </xdr:txBody>
    </xdr:sp>
    <xdr:clientData/>
  </xdr:oneCellAnchor>
  <xdr:oneCellAnchor>
    <xdr:from>
      <xdr:col>11</xdr:col>
      <xdr:colOff>84840</xdr:colOff>
      <xdr:row>32</xdr:row>
      <xdr:rowOff>41340</xdr:rowOff>
    </xdr:from>
    <xdr:ext cx="58478" cy="140872"/>
    <xdr:sp macro="" textlink="">
      <xdr:nvSpPr>
        <xdr:cNvPr id="171" name="TextBox 170">
          <a:extLst>
            <a:ext uri="{FF2B5EF4-FFF2-40B4-BE49-F238E27FC236}">
              <a16:creationId xmlns:a16="http://schemas.microsoft.com/office/drawing/2014/main" id="{33177681-5020-432D-917E-4E185BCF77D9}"/>
            </a:ext>
          </a:extLst>
        </xdr:cNvPr>
        <xdr:cNvSpPr txBox="1"/>
      </xdr:nvSpPr>
      <xdr:spPr>
        <a:xfrm>
          <a:off x="3751578" y="155914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13</xdr:col>
      <xdr:colOff>80968</xdr:colOff>
      <xdr:row>32</xdr:row>
      <xdr:rowOff>37468</xdr:rowOff>
    </xdr:from>
    <xdr:ext cx="58478" cy="140872"/>
    <xdr:sp macro="" textlink="">
      <xdr:nvSpPr>
        <xdr:cNvPr id="172" name="TextBox 171">
          <a:extLst>
            <a:ext uri="{FF2B5EF4-FFF2-40B4-BE49-F238E27FC236}">
              <a16:creationId xmlns:a16="http://schemas.microsoft.com/office/drawing/2014/main" id="{9DDC6AA6-5825-4EEA-8CD8-7A6D8FD401D0}"/>
            </a:ext>
          </a:extLst>
        </xdr:cNvPr>
        <xdr:cNvSpPr txBox="1"/>
      </xdr:nvSpPr>
      <xdr:spPr>
        <a:xfrm>
          <a:off x="4220084" y="1555273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15</xdr:col>
      <xdr:colOff>78490</xdr:colOff>
      <xdr:row>32</xdr:row>
      <xdr:rowOff>42734</xdr:rowOff>
    </xdr:from>
    <xdr:ext cx="58478" cy="140872"/>
    <xdr:sp macro="" textlink="">
      <xdr:nvSpPr>
        <xdr:cNvPr id="173" name="TextBox 172">
          <a:extLst>
            <a:ext uri="{FF2B5EF4-FFF2-40B4-BE49-F238E27FC236}">
              <a16:creationId xmlns:a16="http://schemas.microsoft.com/office/drawing/2014/main" id="{D67D52A9-EF82-465E-BCBF-3F7DE1FB9A53}"/>
            </a:ext>
          </a:extLst>
        </xdr:cNvPr>
        <xdr:cNvSpPr txBox="1"/>
      </xdr:nvSpPr>
      <xdr:spPr>
        <a:xfrm>
          <a:off x="4689984" y="15605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17</xdr:col>
      <xdr:colOff>93978</xdr:colOff>
      <xdr:row>32</xdr:row>
      <xdr:rowOff>42734</xdr:rowOff>
    </xdr:from>
    <xdr:ext cx="58478" cy="140872"/>
    <xdr:sp macro="" textlink="">
      <xdr:nvSpPr>
        <xdr:cNvPr id="174" name="TextBox 173">
          <a:extLst>
            <a:ext uri="{FF2B5EF4-FFF2-40B4-BE49-F238E27FC236}">
              <a16:creationId xmlns:a16="http://schemas.microsoft.com/office/drawing/2014/main" id="{4B5F0ED7-5AFE-4BD4-86F2-00120FFD9459}"/>
            </a:ext>
          </a:extLst>
        </xdr:cNvPr>
        <xdr:cNvSpPr txBox="1"/>
      </xdr:nvSpPr>
      <xdr:spPr>
        <a:xfrm>
          <a:off x="5177850" y="15605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19</xdr:col>
      <xdr:colOff>91500</xdr:colOff>
      <xdr:row>32</xdr:row>
      <xdr:rowOff>48000</xdr:rowOff>
    </xdr:from>
    <xdr:ext cx="58478" cy="140872"/>
    <xdr:sp macro="" textlink="">
      <xdr:nvSpPr>
        <xdr:cNvPr id="175" name="TextBox 174">
          <a:extLst>
            <a:ext uri="{FF2B5EF4-FFF2-40B4-BE49-F238E27FC236}">
              <a16:creationId xmlns:a16="http://schemas.microsoft.com/office/drawing/2014/main" id="{39192012-BFFF-476B-9A1E-3715423B5B58}"/>
            </a:ext>
          </a:extLst>
        </xdr:cNvPr>
        <xdr:cNvSpPr txBox="1"/>
      </xdr:nvSpPr>
      <xdr:spPr>
        <a:xfrm>
          <a:off x="5647750" y="156580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23</xdr:col>
      <xdr:colOff>4506</xdr:colOff>
      <xdr:row>32</xdr:row>
      <xdr:rowOff>41115</xdr:rowOff>
    </xdr:from>
    <xdr:ext cx="233910" cy="140872"/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6B79AA05-DEEB-4B06-B04C-2881000E6B1B}"/>
            </a:ext>
          </a:extLst>
        </xdr:cNvPr>
        <xdr:cNvSpPr txBox="1"/>
      </xdr:nvSpPr>
      <xdr:spPr>
        <a:xfrm>
          <a:off x="6505512" y="1558920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4090</a:t>
          </a:r>
          <a:endParaRPr lang="ko-KR" altLang="en-US" sz="900"/>
        </a:p>
      </xdr:txBody>
    </xdr:sp>
    <xdr:clientData/>
  </xdr:oneCellAnchor>
  <xdr:oneCellAnchor>
    <xdr:from>
      <xdr:col>35</xdr:col>
      <xdr:colOff>91190</xdr:colOff>
      <xdr:row>32</xdr:row>
      <xdr:rowOff>36074</xdr:rowOff>
    </xdr:from>
    <xdr:ext cx="58478" cy="140872"/>
    <xdr:sp macro="" textlink="">
      <xdr:nvSpPr>
        <xdr:cNvPr id="177" name="TextBox 176">
          <a:extLst>
            <a:ext uri="{FF2B5EF4-FFF2-40B4-BE49-F238E27FC236}">
              <a16:creationId xmlns:a16="http://schemas.microsoft.com/office/drawing/2014/main" id="{249CC7E2-E205-4CF7-A5D1-B06760E5144A}"/>
            </a:ext>
          </a:extLst>
        </xdr:cNvPr>
        <xdr:cNvSpPr txBox="1"/>
      </xdr:nvSpPr>
      <xdr:spPr>
        <a:xfrm>
          <a:off x="9426464" y="155387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37</xdr:col>
      <xdr:colOff>88712</xdr:colOff>
      <xdr:row>32</xdr:row>
      <xdr:rowOff>41340</xdr:rowOff>
    </xdr:from>
    <xdr:ext cx="58478" cy="140872"/>
    <xdr:sp macro="" textlink="">
      <xdr:nvSpPr>
        <xdr:cNvPr id="178" name="TextBox 177">
          <a:extLst>
            <a:ext uri="{FF2B5EF4-FFF2-40B4-BE49-F238E27FC236}">
              <a16:creationId xmlns:a16="http://schemas.microsoft.com/office/drawing/2014/main" id="{CA061F72-926B-438B-828F-BB36180E9C31}"/>
            </a:ext>
          </a:extLst>
        </xdr:cNvPr>
        <xdr:cNvSpPr txBox="1"/>
      </xdr:nvSpPr>
      <xdr:spPr>
        <a:xfrm>
          <a:off x="9896364" y="155914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39</xdr:col>
      <xdr:colOff>84840</xdr:colOff>
      <xdr:row>32</xdr:row>
      <xdr:rowOff>37468</xdr:rowOff>
    </xdr:from>
    <xdr:ext cx="58478" cy="140872"/>
    <xdr:sp macro="" textlink="">
      <xdr:nvSpPr>
        <xdr:cNvPr id="179" name="TextBox 178">
          <a:extLst>
            <a:ext uri="{FF2B5EF4-FFF2-40B4-BE49-F238E27FC236}">
              <a16:creationId xmlns:a16="http://schemas.microsoft.com/office/drawing/2014/main" id="{7016012C-69D4-4D71-8ECD-56B371E97933}"/>
            </a:ext>
          </a:extLst>
        </xdr:cNvPr>
        <xdr:cNvSpPr txBox="1"/>
      </xdr:nvSpPr>
      <xdr:spPr>
        <a:xfrm>
          <a:off x="10364870" y="1555273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41</xdr:col>
      <xdr:colOff>82362</xdr:colOff>
      <xdr:row>32</xdr:row>
      <xdr:rowOff>42734</xdr:rowOff>
    </xdr:from>
    <xdr:ext cx="58478" cy="140872"/>
    <xdr:sp macro="" textlink="">
      <xdr:nvSpPr>
        <xdr:cNvPr id="180" name="TextBox 179">
          <a:extLst>
            <a:ext uri="{FF2B5EF4-FFF2-40B4-BE49-F238E27FC236}">
              <a16:creationId xmlns:a16="http://schemas.microsoft.com/office/drawing/2014/main" id="{F1499F6A-7EA0-4FE9-8BF0-55E5287DE273}"/>
            </a:ext>
          </a:extLst>
        </xdr:cNvPr>
        <xdr:cNvSpPr txBox="1"/>
      </xdr:nvSpPr>
      <xdr:spPr>
        <a:xfrm>
          <a:off x="10834771" y="15605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43</xdr:col>
      <xdr:colOff>97850</xdr:colOff>
      <xdr:row>32</xdr:row>
      <xdr:rowOff>42734</xdr:rowOff>
    </xdr:from>
    <xdr:ext cx="58478" cy="140872"/>
    <xdr:sp macro="" textlink="">
      <xdr:nvSpPr>
        <xdr:cNvPr id="181" name="TextBox 180">
          <a:extLst>
            <a:ext uri="{FF2B5EF4-FFF2-40B4-BE49-F238E27FC236}">
              <a16:creationId xmlns:a16="http://schemas.microsoft.com/office/drawing/2014/main" id="{925880B5-84F2-41E3-8282-E9CEC00960B4}"/>
            </a:ext>
          </a:extLst>
        </xdr:cNvPr>
        <xdr:cNvSpPr txBox="1"/>
      </xdr:nvSpPr>
      <xdr:spPr>
        <a:xfrm>
          <a:off x="11322637" y="156053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45</xdr:col>
      <xdr:colOff>95372</xdr:colOff>
      <xdr:row>32</xdr:row>
      <xdr:rowOff>48000</xdr:rowOff>
    </xdr:from>
    <xdr:ext cx="58478" cy="140872"/>
    <xdr:sp macro="" textlink="">
      <xdr:nvSpPr>
        <xdr:cNvPr id="182" name="TextBox 181">
          <a:extLst>
            <a:ext uri="{FF2B5EF4-FFF2-40B4-BE49-F238E27FC236}">
              <a16:creationId xmlns:a16="http://schemas.microsoft.com/office/drawing/2014/main" id="{AD52B5F3-E8EC-46E3-90EB-B3874425969F}"/>
            </a:ext>
          </a:extLst>
        </xdr:cNvPr>
        <xdr:cNvSpPr txBox="1"/>
      </xdr:nvSpPr>
      <xdr:spPr>
        <a:xfrm>
          <a:off x="11792537" y="156580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9</xdr:col>
      <xdr:colOff>56342</xdr:colOff>
      <xdr:row>28</xdr:row>
      <xdr:rowOff>43818</xdr:rowOff>
    </xdr:from>
    <xdr:ext cx="115929" cy="140872"/>
    <xdr:sp macro="" textlink="">
      <xdr:nvSpPr>
        <xdr:cNvPr id="183" name="TextBox 182">
          <a:extLst>
            <a:ext uri="{FF2B5EF4-FFF2-40B4-BE49-F238E27FC236}">
              <a16:creationId xmlns:a16="http://schemas.microsoft.com/office/drawing/2014/main" id="{1AB70837-4145-4FA4-B75B-C7117779163E}"/>
            </a:ext>
          </a:extLst>
        </xdr:cNvPr>
        <xdr:cNvSpPr txBox="1"/>
      </xdr:nvSpPr>
      <xdr:spPr>
        <a:xfrm>
          <a:off x="3250702" y="694306"/>
          <a:ext cx="11592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</a:t>
          </a:r>
          <a:endParaRPr lang="ko-KR" altLang="en-US" sz="900"/>
        </a:p>
      </xdr:txBody>
    </xdr:sp>
    <xdr:clientData/>
  </xdr:oneCellAnchor>
  <xdr:oneCellAnchor>
    <xdr:from>
      <xdr:col>9</xdr:col>
      <xdr:colOff>56342</xdr:colOff>
      <xdr:row>39</xdr:row>
      <xdr:rowOff>47689</xdr:rowOff>
    </xdr:from>
    <xdr:ext cx="115929" cy="140872"/>
    <xdr:sp macro="" textlink="">
      <xdr:nvSpPr>
        <xdr:cNvPr id="196" name="TextBox 195">
          <a:extLst>
            <a:ext uri="{FF2B5EF4-FFF2-40B4-BE49-F238E27FC236}">
              <a16:creationId xmlns:a16="http://schemas.microsoft.com/office/drawing/2014/main" id="{81F3F2AB-959A-46F2-BF9B-9E6A7EB53382}"/>
            </a:ext>
          </a:extLst>
        </xdr:cNvPr>
        <xdr:cNvSpPr txBox="1"/>
      </xdr:nvSpPr>
      <xdr:spPr>
        <a:xfrm>
          <a:off x="3250702" y="3083299"/>
          <a:ext cx="115929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</a:t>
          </a:r>
          <a:endParaRPr lang="ko-KR" altLang="en-US" sz="900"/>
        </a:p>
      </xdr:txBody>
    </xdr:sp>
    <xdr:clientData/>
  </xdr:oneCellAnchor>
  <xdr:oneCellAnchor>
    <xdr:from>
      <xdr:col>37</xdr:col>
      <xdr:colOff>7400</xdr:colOff>
      <xdr:row>39</xdr:row>
      <xdr:rowOff>41339</xdr:rowOff>
    </xdr:from>
    <xdr:ext cx="232884" cy="140872"/>
    <xdr:sp macro="" textlink="">
      <xdr:nvSpPr>
        <xdr:cNvPr id="197" name="TextBox 196">
          <a:extLst>
            <a:ext uri="{FF2B5EF4-FFF2-40B4-BE49-F238E27FC236}">
              <a16:creationId xmlns:a16="http://schemas.microsoft.com/office/drawing/2014/main" id="{448A5305-5ED1-479A-B884-31B72B6E2766}"/>
            </a:ext>
          </a:extLst>
        </xdr:cNvPr>
        <xdr:cNvSpPr txBox="1"/>
      </xdr:nvSpPr>
      <xdr:spPr>
        <a:xfrm>
          <a:off x="9815052" y="8598351"/>
          <a:ext cx="2328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#n+1</a:t>
          </a:r>
          <a:endParaRPr lang="ko-KR" altLang="en-US" sz="900"/>
        </a:p>
      </xdr:txBody>
    </xdr:sp>
    <xdr:clientData/>
  </xdr:oneCellAnchor>
  <xdr:oneCellAnchor>
    <xdr:from>
      <xdr:col>9</xdr:col>
      <xdr:colOff>91189</xdr:colOff>
      <xdr:row>43</xdr:row>
      <xdr:rowOff>36074</xdr:rowOff>
    </xdr:from>
    <xdr:ext cx="58478" cy="140872"/>
    <xdr:sp macro="" textlink="">
      <xdr:nvSpPr>
        <xdr:cNvPr id="198" name="TextBox 197">
          <a:extLst>
            <a:ext uri="{FF2B5EF4-FFF2-40B4-BE49-F238E27FC236}">
              <a16:creationId xmlns:a16="http://schemas.microsoft.com/office/drawing/2014/main" id="{FF9D715E-1964-468D-816D-0E6C9ED797C2}"/>
            </a:ext>
          </a:extLst>
        </xdr:cNvPr>
        <xdr:cNvSpPr txBox="1"/>
      </xdr:nvSpPr>
      <xdr:spPr>
        <a:xfrm>
          <a:off x="3285549" y="956107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11</xdr:col>
      <xdr:colOff>88711</xdr:colOff>
      <xdr:row>43</xdr:row>
      <xdr:rowOff>41340</xdr:rowOff>
    </xdr:from>
    <xdr:ext cx="58478" cy="140872"/>
    <xdr:sp macro="" textlink="">
      <xdr:nvSpPr>
        <xdr:cNvPr id="199" name="TextBox 198">
          <a:extLst>
            <a:ext uri="{FF2B5EF4-FFF2-40B4-BE49-F238E27FC236}">
              <a16:creationId xmlns:a16="http://schemas.microsoft.com/office/drawing/2014/main" id="{95488EBF-AF1E-4361-9798-239652FBAA51}"/>
            </a:ext>
          </a:extLst>
        </xdr:cNvPr>
        <xdr:cNvSpPr txBox="1"/>
      </xdr:nvSpPr>
      <xdr:spPr>
        <a:xfrm>
          <a:off x="3755449" y="956634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13</xdr:col>
      <xdr:colOff>84839</xdr:colOff>
      <xdr:row>43</xdr:row>
      <xdr:rowOff>41340</xdr:rowOff>
    </xdr:from>
    <xdr:ext cx="58478" cy="140872"/>
    <xdr:sp macro="" textlink="">
      <xdr:nvSpPr>
        <xdr:cNvPr id="200" name="TextBox 199">
          <a:extLst>
            <a:ext uri="{FF2B5EF4-FFF2-40B4-BE49-F238E27FC236}">
              <a16:creationId xmlns:a16="http://schemas.microsoft.com/office/drawing/2014/main" id="{32160DBD-27C1-42FD-ABC7-1AEE3488C2A1}"/>
            </a:ext>
          </a:extLst>
        </xdr:cNvPr>
        <xdr:cNvSpPr txBox="1"/>
      </xdr:nvSpPr>
      <xdr:spPr>
        <a:xfrm>
          <a:off x="4223955" y="9690242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17</xdr:col>
      <xdr:colOff>35898</xdr:colOff>
      <xdr:row>43</xdr:row>
      <xdr:rowOff>38861</xdr:rowOff>
    </xdr:from>
    <xdr:ext cx="175433" cy="140872"/>
    <xdr:sp macro="" textlink="">
      <xdr:nvSpPr>
        <xdr:cNvPr id="201" name="TextBox 200">
          <a:extLst>
            <a:ext uri="{FF2B5EF4-FFF2-40B4-BE49-F238E27FC236}">
              <a16:creationId xmlns:a16="http://schemas.microsoft.com/office/drawing/2014/main" id="{5FB51869-7733-4697-9192-FC41637B783A}"/>
            </a:ext>
          </a:extLst>
        </xdr:cNvPr>
        <xdr:cNvSpPr txBox="1"/>
      </xdr:nvSpPr>
      <xdr:spPr>
        <a:xfrm>
          <a:off x="5119770" y="4042459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510</a:t>
          </a:r>
          <a:endParaRPr lang="ko-KR" altLang="en-US" sz="900"/>
        </a:p>
      </xdr:txBody>
    </xdr:sp>
    <xdr:clientData/>
  </xdr:oneCellAnchor>
  <xdr:oneCellAnchor>
    <xdr:from>
      <xdr:col>19</xdr:col>
      <xdr:colOff>33420</xdr:colOff>
      <xdr:row>43</xdr:row>
      <xdr:rowOff>44127</xdr:rowOff>
    </xdr:from>
    <xdr:ext cx="175433" cy="140872"/>
    <xdr:sp macro="" textlink="">
      <xdr:nvSpPr>
        <xdr:cNvPr id="202" name="TextBox 201">
          <a:extLst>
            <a:ext uri="{FF2B5EF4-FFF2-40B4-BE49-F238E27FC236}">
              <a16:creationId xmlns:a16="http://schemas.microsoft.com/office/drawing/2014/main" id="{016937B3-4ECB-4556-AC30-59B3F494CD3A}"/>
            </a:ext>
          </a:extLst>
        </xdr:cNvPr>
        <xdr:cNvSpPr txBox="1"/>
      </xdr:nvSpPr>
      <xdr:spPr>
        <a:xfrm>
          <a:off x="5589670" y="4047725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21</xdr:col>
      <xdr:colOff>80967</xdr:colOff>
      <xdr:row>43</xdr:row>
      <xdr:rowOff>41340</xdr:rowOff>
    </xdr:from>
    <xdr:ext cx="58478" cy="140872"/>
    <xdr:sp macro="" textlink="">
      <xdr:nvSpPr>
        <xdr:cNvPr id="203" name="TextBox 202">
          <a:extLst>
            <a:ext uri="{FF2B5EF4-FFF2-40B4-BE49-F238E27FC236}">
              <a16:creationId xmlns:a16="http://schemas.microsoft.com/office/drawing/2014/main" id="{ACEFE9B6-50A5-445D-9078-2B1E460A47AC}"/>
            </a:ext>
          </a:extLst>
        </xdr:cNvPr>
        <xdr:cNvSpPr txBox="1"/>
      </xdr:nvSpPr>
      <xdr:spPr>
        <a:xfrm>
          <a:off x="6109595" y="956634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5</xdr:col>
      <xdr:colOff>153471</xdr:colOff>
      <xdr:row>45</xdr:row>
      <xdr:rowOff>42175</xdr:rowOff>
    </xdr:from>
    <xdr:ext cx="673518" cy="140872"/>
    <xdr:sp macro="" textlink="">
      <xdr:nvSpPr>
        <xdr:cNvPr id="218" name="TextBox 217">
          <a:extLst>
            <a:ext uri="{FF2B5EF4-FFF2-40B4-BE49-F238E27FC236}">
              <a16:creationId xmlns:a16="http://schemas.microsoft.com/office/drawing/2014/main" id="{1CEAA24F-3A7D-4ACC-8C31-E343B587B2DE}"/>
            </a:ext>
          </a:extLst>
        </xdr:cNvPr>
        <xdr:cNvSpPr txBox="1"/>
      </xdr:nvSpPr>
      <xdr:spPr>
        <a:xfrm>
          <a:off x="2403075" y="10000834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DELAY_CH1=0</a:t>
          </a:r>
          <a:endParaRPr lang="ko-KR" altLang="en-US" sz="900"/>
        </a:p>
      </xdr:txBody>
    </xdr:sp>
    <xdr:clientData/>
  </xdr:oneCellAnchor>
  <xdr:oneCellAnchor>
    <xdr:from>
      <xdr:col>43</xdr:col>
      <xdr:colOff>92581</xdr:colOff>
      <xdr:row>43</xdr:row>
      <xdr:rowOff>41340</xdr:rowOff>
    </xdr:from>
    <xdr:ext cx="58478" cy="140872"/>
    <xdr:sp macro="" textlink="">
      <xdr:nvSpPr>
        <xdr:cNvPr id="220" name="TextBox 219">
          <a:extLst>
            <a:ext uri="{FF2B5EF4-FFF2-40B4-BE49-F238E27FC236}">
              <a16:creationId xmlns:a16="http://schemas.microsoft.com/office/drawing/2014/main" id="{9E730A46-E450-4244-9E21-74E5CDBE1784}"/>
            </a:ext>
          </a:extLst>
        </xdr:cNvPr>
        <xdr:cNvSpPr txBox="1"/>
      </xdr:nvSpPr>
      <xdr:spPr>
        <a:xfrm>
          <a:off x="11317368" y="956634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45</xdr:col>
      <xdr:colOff>88709</xdr:colOff>
      <xdr:row>43</xdr:row>
      <xdr:rowOff>37468</xdr:rowOff>
    </xdr:from>
    <xdr:ext cx="58478" cy="140872"/>
    <xdr:sp macro="" textlink="">
      <xdr:nvSpPr>
        <xdr:cNvPr id="221" name="TextBox 220">
          <a:extLst>
            <a:ext uri="{FF2B5EF4-FFF2-40B4-BE49-F238E27FC236}">
              <a16:creationId xmlns:a16="http://schemas.microsoft.com/office/drawing/2014/main" id="{ED2ACBA4-9667-4CB8-AE37-5594D0329E79}"/>
            </a:ext>
          </a:extLst>
        </xdr:cNvPr>
        <xdr:cNvSpPr txBox="1"/>
      </xdr:nvSpPr>
      <xdr:spPr>
        <a:xfrm>
          <a:off x="11785874" y="956246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23</xdr:col>
      <xdr:colOff>85183</xdr:colOff>
      <xdr:row>43</xdr:row>
      <xdr:rowOff>46464</xdr:rowOff>
    </xdr:from>
    <xdr:ext cx="58478" cy="140872"/>
    <xdr:sp macro="" textlink="">
      <xdr:nvSpPr>
        <xdr:cNvPr id="299" name="TextBox 298">
          <a:extLst>
            <a:ext uri="{FF2B5EF4-FFF2-40B4-BE49-F238E27FC236}">
              <a16:creationId xmlns:a16="http://schemas.microsoft.com/office/drawing/2014/main" id="{D9C38413-E5C0-4348-88EC-A070AA6F2222}"/>
            </a:ext>
          </a:extLst>
        </xdr:cNvPr>
        <xdr:cNvSpPr txBox="1"/>
      </xdr:nvSpPr>
      <xdr:spPr>
        <a:xfrm>
          <a:off x="6586189" y="957146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25</xdr:col>
      <xdr:colOff>85183</xdr:colOff>
      <xdr:row>43</xdr:row>
      <xdr:rowOff>46464</xdr:rowOff>
    </xdr:from>
    <xdr:ext cx="58478" cy="140872"/>
    <xdr:sp macro="" textlink="">
      <xdr:nvSpPr>
        <xdr:cNvPr id="300" name="TextBox 299">
          <a:extLst>
            <a:ext uri="{FF2B5EF4-FFF2-40B4-BE49-F238E27FC236}">
              <a16:creationId xmlns:a16="http://schemas.microsoft.com/office/drawing/2014/main" id="{978A4C1E-C960-40DD-A90A-55A775BBCE73}"/>
            </a:ext>
          </a:extLst>
        </xdr:cNvPr>
        <xdr:cNvSpPr txBox="1"/>
      </xdr:nvSpPr>
      <xdr:spPr>
        <a:xfrm>
          <a:off x="7058567" y="957146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37</xdr:col>
      <xdr:colOff>96800</xdr:colOff>
      <xdr:row>43</xdr:row>
      <xdr:rowOff>38720</xdr:rowOff>
    </xdr:from>
    <xdr:ext cx="58478" cy="140872"/>
    <xdr:sp macro="" textlink="">
      <xdr:nvSpPr>
        <xdr:cNvPr id="314" name="TextBox 313">
          <a:extLst>
            <a:ext uri="{FF2B5EF4-FFF2-40B4-BE49-F238E27FC236}">
              <a16:creationId xmlns:a16="http://schemas.microsoft.com/office/drawing/2014/main" id="{6B9F30AC-82C2-40FE-BE18-F07D4A24F0FD}"/>
            </a:ext>
          </a:extLst>
        </xdr:cNvPr>
        <xdr:cNvSpPr txBox="1"/>
      </xdr:nvSpPr>
      <xdr:spPr>
        <a:xfrm>
          <a:off x="9904452" y="956372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39</xdr:col>
      <xdr:colOff>94322</xdr:colOff>
      <xdr:row>43</xdr:row>
      <xdr:rowOff>40114</xdr:rowOff>
    </xdr:from>
    <xdr:ext cx="58478" cy="140872"/>
    <xdr:sp macro="" textlink="">
      <xdr:nvSpPr>
        <xdr:cNvPr id="315" name="TextBox 314">
          <a:extLst>
            <a:ext uri="{FF2B5EF4-FFF2-40B4-BE49-F238E27FC236}">
              <a16:creationId xmlns:a16="http://schemas.microsoft.com/office/drawing/2014/main" id="{4741B800-9693-4326-9826-FB90891521D6}"/>
            </a:ext>
          </a:extLst>
        </xdr:cNvPr>
        <xdr:cNvSpPr txBox="1"/>
      </xdr:nvSpPr>
      <xdr:spPr>
        <a:xfrm>
          <a:off x="10374352" y="956511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41</xdr:col>
      <xdr:colOff>90449</xdr:colOff>
      <xdr:row>43</xdr:row>
      <xdr:rowOff>40114</xdr:rowOff>
    </xdr:from>
    <xdr:ext cx="58478" cy="140872"/>
    <xdr:sp macro="" textlink="">
      <xdr:nvSpPr>
        <xdr:cNvPr id="316" name="TextBox 315">
          <a:extLst>
            <a:ext uri="{FF2B5EF4-FFF2-40B4-BE49-F238E27FC236}">
              <a16:creationId xmlns:a16="http://schemas.microsoft.com/office/drawing/2014/main" id="{380248E1-EFAE-4B6F-8738-BF4AB566BCC1}"/>
            </a:ext>
          </a:extLst>
        </xdr:cNvPr>
        <xdr:cNvSpPr txBox="1"/>
      </xdr:nvSpPr>
      <xdr:spPr>
        <a:xfrm>
          <a:off x="10842858" y="956511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29</xdr:col>
      <xdr:colOff>82706</xdr:colOff>
      <xdr:row>43</xdr:row>
      <xdr:rowOff>40114</xdr:rowOff>
    </xdr:from>
    <xdr:ext cx="58478" cy="140872"/>
    <xdr:sp macro="" textlink="">
      <xdr:nvSpPr>
        <xdr:cNvPr id="317" name="TextBox 316">
          <a:extLst>
            <a:ext uri="{FF2B5EF4-FFF2-40B4-BE49-F238E27FC236}">
              <a16:creationId xmlns:a16="http://schemas.microsoft.com/office/drawing/2014/main" id="{44A7BFEE-A194-4DD0-ABCA-E754010C1917}"/>
            </a:ext>
          </a:extLst>
        </xdr:cNvPr>
        <xdr:cNvSpPr txBox="1"/>
      </xdr:nvSpPr>
      <xdr:spPr>
        <a:xfrm>
          <a:off x="8000846" y="956511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1</a:t>
          </a:r>
          <a:endParaRPr lang="ko-KR" altLang="en-US" sz="900"/>
        </a:p>
      </xdr:txBody>
    </xdr:sp>
    <xdr:clientData/>
  </xdr:oneCellAnchor>
  <xdr:oneCellAnchor>
    <xdr:from>
      <xdr:col>31</xdr:col>
      <xdr:colOff>80228</xdr:colOff>
      <xdr:row>43</xdr:row>
      <xdr:rowOff>41508</xdr:rowOff>
    </xdr:from>
    <xdr:ext cx="58478" cy="140872"/>
    <xdr:sp macro="" textlink="">
      <xdr:nvSpPr>
        <xdr:cNvPr id="318" name="TextBox 317">
          <a:extLst>
            <a:ext uri="{FF2B5EF4-FFF2-40B4-BE49-F238E27FC236}">
              <a16:creationId xmlns:a16="http://schemas.microsoft.com/office/drawing/2014/main" id="{B6D73863-1B01-4177-8DB8-9D0F82C5AF61}"/>
            </a:ext>
          </a:extLst>
        </xdr:cNvPr>
        <xdr:cNvSpPr txBox="1"/>
      </xdr:nvSpPr>
      <xdr:spPr>
        <a:xfrm>
          <a:off x="8470746" y="956650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33</xdr:col>
      <xdr:colOff>76356</xdr:colOff>
      <xdr:row>43</xdr:row>
      <xdr:rowOff>41508</xdr:rowOff>
    </xdr:from>
    <xdr:ext cx="58478" cy="140872"/>
    <xdr:sp macro="" textlink="">
      <xdr:nvSpPr>
        <xdr:cNvPr id="319" name="TextBox 318">
          <a:extLst>
            <a:ext uri="{FF2B5EF4-FFF2-40B4-BE49-F238E27FC236}">
              <a16:creationId xmlns:a16="http://schemas.microsoft.com/office/drawing/2014/main" id="{0BD75BD8-8BB7-475B-9257-F12A7673283B}"/>
            </a:ext>
          </a:extLst>
        </xdr:cNvPr>
        <xdr:cNvSpPr txBox="1"/>
      </xdr:nvSpPr>
      <xdr:spPr>
        <a:xfrm>
          <a:off x="8939252" y="956650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3</a:t>
          </a:r>
          <a:endParaRPr lang="ko-KR" altLang="en-US" sz="900"/>
        </a:p>
      </xdr:txBody>
    </xdr:sp>
    <xdr:clientData/>
  </xdr:oneCellAnchor>
  <xdr:oneCellAnchor>
    <xdr:from>
      <xdr:col>35</xdr:col>
      <xdr:colOff>46464</xdr:colOff>
      <xdr:row>43</xdr:row>
      <xdr:rowOff>42592</xdr:rowOff>
    </xdr:from>
    <xdr:ext cx="175433" cy="140872"/>
    <xdr:sp macro="" textlink="">
      <xdr:nvSpPr>
        <xdr:cNvPr id="322" name="TextBox 321">
          <a:extLst>
            <a:ext uri="{FF2B5EF4-FFF2-40B4-BE49-F238E27FC236}">
              <a16:creationId xmlns:a16="http://schemas.microsoft.com/office/drawing/2014/main" id="{982734A1-D992-4DFD-8880-D858F27E6F42}"/>
            </a:ext>
          </a:extLst>
        </xdr:cNvPr>
        <xdr:cNvSpPr txBox="1"/>
      </xdr:nvSpPr>
      <xdr:spPr>
        <a:xfrm>
          <a:off x="9381738" y="9567592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41</xdr:col>
      <xdr:colOff>78490</xdr:colOff>
      <xdr:row>18</xdr:row>
      <xdr:rowOff>46605</xdr:rowOff>
    </xdr:from>
    <xdr:ext cx="58478" cy="140872"/>
    <xdr:sp macro="" textlink="">
      <xdr:nvSpPr>
        <xdr:cNvPr id="332" name="TextBox 331">
          <a:extLst>
            <a:ext uri="{FF2B5EF4-FFF2-40B4-BE49-F238E27FC236}">
              <a16:creationId xmlns:a16="http://schemas.microsoft.com/office/drawing/2014/main" id="{5618C6F6-3661-4D53-9530-41D67048C8FD}"/>
            </a:ext>
          </a:extLst>
        </xdr:cNvPr>
        <xdr:cNvSpPr txBox="1"/>
      </xdr:nvSpPr>
      <xdr:spPr>
        <a:xfrm>
          <a:off x="10830899" y="4050203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43</xdr:col>
      <xdr:colOff>93978</xdr:colOff>
      <xdr:row>18</xdr:row>
      <xdr:rowOff>46605</xdr:rowOff>
    </xdr:from>
    <xdr:ext cx="58478" cy="140872"/>
    <xdr:sp macro="" textlink="">
      <xdr:nvSpPr>
        <xdr:cNvPr id="333" name="TextBox 332">
          <a:extLst>
            <a:ext uri="{FF2B5EF4-FFF2-40B4-BE49-F238E27FC236}">
              <a16:creationId xmlns:a16="http://schemas.microsoft.com/office/drawing/2014/main" id="{728106EA-8A32-46B0-987C-76B2BFB378FD}"/>
            </a:ext>
          </a:extLst>
        </xdr:cNvPr>
        <xdr:cNvSpPr txBox="1"/>
      </xdr:nvSpPr>
      <xdr:spPr>
        <a:xfrm>
          <a:off x="11318765" y="4050203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</a:t>
          </a:r>
          <a:endParaRPr lang="ko-KR" altLang="en-US" sz="900"/>
        </a:p>
      </xdr:txBody>
    </xdr:sp>
    <xdr:clientData/>
  </xdr:oneCellAnchor>
  <xdr:oneCellAnchor>
    <xdr:from>
      <xdr:col>45</xdr:col>
      <xdr:colOff>91500</xdr:colOff>
      <xdr:row>18</xdr:row>
      <xdr:rowOff>51871</xdr:rowOff>
    </xdr:from>
    <xdr:ext cx="58478" cy="140872"/>
    <xdr:sp macro="" textlink="">
      <xdr:nvSpPr>
        <xdr:cNvPr id="334" name="TextBox 333">
          <a:extLst>
            <a:ext uri="{FF2B5EF4-FFF2-40B4-BE49-F238E27FC236}">
              <a16:creationId xmlns:a16="http://schemas.microsoft.com/office/drawing/2014/main" id="{FF6B39D0-5FF8-4B4D-B654-57EA1F5A0004}"/>
            </a:ext>
          </a:extLst>
        </xdr:cNvPr>
        <xdr:cNvSpPr txBox="1"/>
      </xdr:nvSpPr>
      <xdr:spPr>
        <a:xfrm>
          <a:off x="11788665" y="4055469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6</a:t>
          </a:r>
          <a:endParaRPr lang="ko-KR" altLang="en-US" sz="900"/>
        </a:p>
      </xdr:txBody>
    </xdr:sp>
    <xdr:clientData/>
  </xdr:oneCellAnchor>
  <xdr:oneCellAnchor>
    <xdr:from>
      <xdr:col>9</xdr:col>
      <xdr:colOff>121161</xdr:colOff>
      <xdr:row>36</xdr:row>
      <xdr:rowOff>26297</xdr:rowOff>
    </xdr:from>
    <xdr:ext cx="673518" cy="140872"/>
    <xdr:sp macro="" textlink="">
      <xdr:nvSpPr>
        <xdr:cNvPr id="153" name="TextBox 152">
          <a:extLst>
            <a:ext uri="{FF2B5EF4-FFF2-40B4-BE49-F238E27FC236}">
              <a16:creationId xmlns:a16="http://schemas.microsoft.com/office/drawing/2014/main" id="{BF9F23BA-DA55-4D67-9E07-8198E2D9A580}"/>
            </a:ext>
          </a:extLst>
        </xdr:cNvPr>
        <xdr:cNvSpPr txBox="1"/>
      </xdr:nvSpPr>
      <xdr:spPr>
        <a:xfrm>
          <a:off x="3315521" y="7932821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DELAY_CH2=2</a:t>
          </a:r>
          <a:endParaRPr lang="ko-KR" altLang="en-US" sz="900"/>
        </a:p>
      </xdr:txBody>
    </xdr:sp>
    <xdr:clientData/>
  </xdr:oneCellAnchor>
  <xdr:oneCellAnchor>
    <xdr:from>
      <xdr:col>9</xdr:col>
      <xdr:colOff>145786</xdr:colOff>
      <xdr:row>47</xdr:row>
      <xdr:rowOff>50923</xdr:rowOff>
    </xdr:from>
    <xdr:ext cx="673518" cy="140872"/>
    <xdr:sp macro="" textlink="">
      <xdr:nvSpPr>
        <xdr:cNvPr id="335" name="TextBox 334">
          <a:extLst>
            <a:ext uri="{FF2B5EF4-FFF2-40B4-BE49-F238E27FC236}">
              <a16:creationId xmlns:a16="http://schemas.microsoft.com/office/drawing/2014/main" id="{5F1692EB-BB22-491E-9956-4A14067F9D2A}"/>
            </a:ext>
          </a:extLst>
        </xdr:cNvPr>
        <xdr:cNvSpPr txBox="1"/>
      </xdr:nvSpPr>
      <xdr:spPr>
        <a:xfrm>
          <a:off x="3340146" y="10443240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DELAY_CH2=2</a:t>
          </a:r>
          <a:endParaRPr lang="ko-KR" altLang="en-US" sz="900"/>
        </a:p>
      </xdr:txBody>
    </xdr:sp>
    <xdr:clientData/>
  </xdr:oneCellAnchor>
  <xdr:oneCellAnchor>
    <xdr:from>
      <xdr:col>9</xdr:col>
      <xdr:colOff>127774</xdr:colOff>
      <xdr:row>22</xdr:row>
      <xdr:rowOff>50336</xdr:rowOff>
    </xdr:from>
    <xdr:ext cx="673518" cy="140872"/>
    <xdr:sp macro="" textlink="">
      <xdr:nvSpPr>
        <xdr:cNvPr id="336" name="TextBox 335">
          <a:extLst>
            <a:ext uri="{FF2B5EF4-FFF2-40B4-BE49-F238E27FC236}">
              <a16:creationId xmlns:a16="http://schemas.microsoft.com/office/drawing/2014/main" id="{311F28C5-8CF6-4200-BFA7-ABE24EAAFE77}"/>
            </a:ext>
          </a:extLst>
        </xdr:cNvPr>
        <xdr:cNvSpPr txBox="1"/>
      </xdr:nvSpPr>
      <xdr:spPr>
        <a:xfrm>
          <a:off x="3322134" y="4921251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DELAY_CH2=2</a:t>
          </a:r>
          <a:endParaRPr lang="ko-KR" altLang="en-US" sz="900"/>
        </a:p>
      </xdr:txBody>
    </xdr:sp>
    <xdr:clientData/>
  </xdr:oneCellAnchor>
  <xdr:oneCellAnchor>
    <xdr:from>
      <xdr:col>9</xdr:col>
      <xdr:colOff>112272</xdr:colOff>
      <xdr:row>9</xdr:row>
      <xdr:rowOff>39996</xdr:rowOff>
    </xdr:from>
    <xdr:ext cx="673518" cy="140872"/>
    <xdr:sp macro="" textlink="">
      <xdr:nvSpPr>
        <xdr:cNvPr id="337" name="TextBox 336">
          <a:extLst>
            <a:ext uri="{FF2B5EF4-FFF2-40B4-BE49-F238E27FC236}">
              <a16:creationId xmlns:a16="http://schemas.microsoft.com/office/drawing/2014/main" id="{128CA823-9169-44FE-90B0-3F524A2DAACF}"/>
            </a:ext>
          </a:extLst>
        </xdr:cNvPr>
        <xdr:cNvSpPr txBox="1"/>
      </xdr:nvSpPr>
      <xdr:spPr>
        <a:xfrm>
          <a:off x="3306632" y="1991459"/>
          <a:ext cx="673518" cy="140872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DELAY_CH1=0</a:t>
          </a:r>
          <a:endParaRPr lang="ko-KR" altLang="en-US" sz="900"/>
        </a:p>
      </xdr:txBody>
    </xdr:sp>
    <xdr:clientData/>
  </xdr:oneCellAnchor>
  <xdr:twoCellAnchor>
    <xdr:from>
      <xdr:col>29</xdr:col>
      <xdr:colOff>164371</xdr:colOff>
      <xdr:row>44</xdr:row>
      <xdr:rowOff>155036</xdr:rowOff>
    </xdr:from>
    <xdr:to>
      <xdr:col>32</xdr:col>
      <xdr:colOff>119640</xdr:colOff>
      <xdr:row>46</xdr:row>
      <xdr:rowOff>65476</xdr:rowOff>
    </xdr:to>
    <xdr:grpSp>
      <xdr:nvGrpSpPr>
        <xdr:cNvPr id="339" name="그룹 338">
          <a:extLst>
            <a:ext uri="{FF2B5EF4-FFF2-40B4-BE49-F238E27FC236}">
              <a16:creationId xmlns:a16="http://schemas.microsoft.com/office/drawing/2014/main" id="{004147F1-D5D9-1E43-D691-B187845F23B0}"/>
            </a:ext>
          </a:extLst>
        </xdr:cNvPr>
        <xdr:cNvGrpSpPr/>
      </xdr:nvGrpSpPr>
      <xdr:grpSpPr>
        <a:xfrm>
          <a:off x="8208698" y="10022355"/>
          <a:ext cx="678627" cy="345686"/>
          <a:chOff x="8082511" y="9896865"/>
          <a:chExt cx="663836" cy="344099"/>
        </a:xfrm>
      </xdr:grpSpPr>
      <xdr:sp macro="" textlink="">
        <xdr:nvSpPr>
          <xdr:cNvPr id="328" name="TextBox 327">
            <a:extLst>
              <a:ext uri="{FF2B5EF4-FFF2-40B4-BE49-F238E27FC236}">
                <a16:creationId xmlns:a16="http://schemas.microsoft.com/office/drawing/2014/main" id="{5329A097-112A-470B-95C2-063CD5615982}"/>
              </a:ext>
            </a:extLst>
          </xdr:cNvPr>
          <xdr:cNvSpPr txBox="1"/>
        </xdr:nvSpPr>
        <xdr:spPr>
          <a:xfrm>
            <a:off x="8082511" y="10007758"/>
            <a:ext cx="663836" cy="2332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38" name="TextBox 337">
            <a:extLst>
              <a:ext uri="{FF2B5EF4-FFF2-40B4-BE49-F238E27FC236}">
                <a16:creationId xmlns:a16="http://schemas.microsoft.com/office/drawing/2014/main" id="{AA4801AA-ABD4-4950-892F-4A0CCD63AB9E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21</xdr:col>
      <xdr:colOff>169636</xdr:colOff>
      <xdr:row>44</xdr:row>
      <xdr:rowOff>156430</xdr:rowOff>
    </xdr:from>
    <xdr:to>
      <xdr:col>24</xdr:col>
      <xdr:colOff>124905</xdr:colOff>
      <xdr:row>46</xdr:row>
      <xdr:rowOff>66870</xdr:rowOff>
    </xdr:to>
    <xdr:grpSp>
      <xdr:nvGrpSpPr>
        <xdr:cNvPr id="340" name="그룹 339">
          <a:extLst>
            <a:ext uri="{FF2B5EF4-FFF2-40B4-BE49-F238E27FC236}">
              <a16:creationId xmlns:a16="http://schemas.microsoft.com/office/drawing/2014/main" id="{A5ADBC39-CC28-4704-8F97-189AC8976F94}"/>
            </a:ext>
          </a:extLst>
        </xdr:cNvPr>
        <xdr:cNvGrpSpPr/>
      </xdr:nvGrpSpPr>
      <xdr:grpSpPr>
        <a:xfrm>
          <a:off x="6295063" y="10023749"/>
          <a:ext cx="678627" cy="345686"/>
          <a:chOff x="8082511" y="9896865"/>
          <a:chExt cx="663836" cy="344099"/>
        </a:xfrm>
      </xdr:grpSpPr>
      <xdr:sp macro="" textlink="">
        <xdr:nvSpPr>
          <xdr:cNvPr id="341" name="TextBox 340">
            <a:extLst>
              <a:ext uri="{FF2B5EF4-FFF2-40B4-BE49-F238E27FC236}">
                <a16:creationId xmlns:a16="http://schemas.microsoft.com/office/drawing/2014/main" id="{C8A2DA3F-6020-2319-903D-009215E00197}"/>
              </a:ext>
            </a:extLst>
          </xdr:cNvPr>
          <xdr:cNvSpPr txBox="1"/>
        </xdr:nvSpPr>
        <xdr:spPr>
          <a:xfrm>
            <a:off x="8082511" y="10007758"/>
            <a:ext cx="663836" cy="2332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42" name="TextBox 341">
            <a:extLst>
              <a:ext uri="{FF2B5EF4-FFF2-40B4-BE49-F238E27FC236}">
                <a16:creationId xmlns:a16="http://schemas.microsoft.com/office/drawing/2014/main" id="{BB4A110B-1C95-E764-16E8-8D0B5909663C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9</xdr:col>
      <xdr:colOff>171030</xdr:colOff>
      <xdr:row>44</xdr:row>
      <xdr:rowOff>153952</xdr:rowOff>
    </xdr:from>
    <xdr:to>
      <xdr:col>12</xdr:col>
      <xdr:colOff>126299</xdr:colOff>
      <xdr:row>46</xdr:row>
      <xdr:rowOff>64392</xdr:rowOff>
    </xdr:to>
    <xdr:grpSp>
      <xdr:nvGrpSpPr>
        <xdr:cNvPr id="343" name="그룹 342">
          <a:extLst>
            <a:ext uri="{FF2B5EF4-FFF2-40B4-BE49-F238E27FC236}">
              <a16:creationId xmlns:a16="http://schemas.microsoft.com/office/drawing/2014/main" id="{BFE06D12-0D0C-4B71-A9EB-FAE3CB9E5D1B}"/>
            </a:ext>
          </a:extLst>
        </xdr:cNvPr>
        <xdr:cNvGrpSpPr/>
      </xdr:nvGrpSpPr>
      <xdr:grpSpPr>
        <a:xfrm>
          <a:off x="3415725" y="10019684"/>
          <a:ext cx="673864" cy="347273"/>
          <a:chOff x="8082511" y="9896865"/>
          <a:chExt cx="663836" cy="344099"/>
        </a:xfrm>
      </xdr:grpSpPr>
      <xdr:sp macro="" textlink="">
        <xdr:nvSpPr>
          <xdr:cNvPr id="344" name="TextBox 343">
            <a:extLst>
              <a:ext uri="{FF2B5EF4-FFF2-40B4-BE49-F238E27FC236}">
                <a16:creationId xmlns:a16="http://schemas.microsoft.com/office/drawing/2014/main" id="{77CCE516-96C8-0C81-10E2-D90CCD357E26}"/>
              </a:ext>
            </a:extLst>
          </xdr:cNvPr>
          <xdr:cNvSpPr txBox="1"/>
        </xdr:nvSpPr>
        <xdr:spPr>
          <a:xfrm>
            <a:off x="8082511" y="10007758"/>
            <a:ext cx="663836" cy="2332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45" name="TextBox 344">
            <a:extLst>
              <a:ext uri="{FF2B5EF4-FFF2-40B4-BE49-F238E27FC236}">
                <a16:creationId xmlns:a16="http://schemas.microsoft.com/office/drawing/2014/main" id="{DBAE658F-8C1C-ECCF-CB4E-D0CEEB3A1725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12</xdr:col>
      <xdr:colOff>168552</xdr:colOff>
      <xdr:row>46</xdr:row>
      <xdr:rowOff>155345</xdr:rowOff>
    </xdr:from>
    <xdr:to>
      <xdr:col>15</xdr:col>
      <xdr:colOff>80604</xdr:colOff>
      <xdr:row>48</xdr:row>
      <xdr:rowOff>65785</xdr:rowOff>
    </xdr:to>
    <xdr:grpSp>
      <xdr:nvGrpSpPr>
        <xdr:cNvPr id="346" name="그룹 345">
          <a:extLst>
            <a:ext uri="{FF2B5EF4-FFF2-40B4-BE49-F238E27FC236}">
              <a16:creationId xmlns:a16="http://schemas.microsoft.com/office/drawing/2014/main" id="{D342D736-0FE7-4687-A87A-A53179FBBC0C}"/>
            </a:ext>
          </a:extLst>
        </xdr:cNvPr>
        <xdr:cNvGrpSpPr/>
      </xdr:nvGrpSpPr>
      <xdr:grpSpPr>
        <a:xfrm>
          <a:off x="4131842" y="10456322"/>
          <a:ext cx="635410" cy="345687"/>
          <a:chOff x="8082511" y="9896865"/>
          <a:chExt cx="620619" cy="344098"/>
        </a:xfrm>
      </xdr:grpSpPr>
      <xdr:sp macro="" textlink="">
        <xdr:nvSpPr>
          <xdr:cNvPr id="347" name="TextBox 346">
            <a:extLst>
              <a:ext uri="{FF2B5EF4-FFF2-40B4-BE49-F238E27FC236}">
                <a16:creationId xmlns:a16="http://schemas.microsoft.com/office/drawing/2014/main" id="{0C694B48-92EB-0C87-0166-3DCF1C4B3CD7}"/>
              </a:ext>
            </a:extLst>
          </xdr:cNvPr>
          <xdr:cNvSpPr txBox="1"/>
        </xdr:nvSpPr>
        <xdr:spPr>
          <a:xfrm>
            <a:off x="8082511" y="10007758"/>
            <a:ext cx="620619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</a:t>
            </a:r>
            <a:r>
              <a:rPr lang="en-US" altLang="ko-KR" sz="900"/>
              <a:t>=1</a:t>
            </a:r>
            <a:endParaRPr lang="ko-KR" altLang="en-US" sz="900"/>
          </a:p>
        </xdr:txBody>
      </xdr:sp>
      <xdr:sp macro="" textlink="">
        <xdr:nvSpPr>
          <xdr:cNvPr id="348" name="TextBox 347">
            <a:extLst>
              <a:ext uri="{FF2B5EF4-FFF2-40B4-BE49-F238E27FC236}">
                <a16:creationId xmlns:a16="http://schemas.microsoft.com/office/drawing/2014/main" id="{C28473B6-ECE5-CBFE-BDB0-C9A049D55E6E}"/>
              </a:ext>
            </a:extLst>
          </xdr:cNvPr>
          <xdr:cNvSpPr txBox="1"/>
        </xdr:nvSpPr>
        <xdr:spPr>
          <a:xfrm>
            <a:off x="8231039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24</xdr:col>
      <xdr:colOff>169946</xdr:colOff>
      <xdr:row>46</xdr:row>
      <xdr:rowOff>148995</xdr:rowOff>
    </xdr:from>
    <xdr:to>
      <xdr:col>27</xdr:col>
      <xdr:colOff>81998</xdr:colOff>
      <xdr:row>48</xdr:row>
      <xdr:rowOff>59435</xdr:rowOff>
    </xdr:to>
    <xdr:grpSp>
      <xdr:nvGrpSpPr>
        <xdr:cNvPr id="349" name="그룹 348">
          <a:extLst>
            <a:ext uri="{FF2B5EF4-FFF2-40B4-BE49-F238E27FC236}">
              <a16:creationId xmlns:a16="http://schemas.microsoft.com/office/drawing/2014/main" id="{2129DB91-51B0-4414-B7A6-D65D82D8C9EA}"/>
            </a:ext>
          </a:extLst>
        </xdr:cNvPr>
        <xdr:cNvGrpSpPr/>
      </xdr:nvGrpSpPr>
      <xdr:grpSpPr>
        <a:xfrm>
          <a:off x="7015556" y="10446797"/>
          <a:ext cx="633822" cy="345687"/>
          <a:chOff x="8082511" y="9896865"/>
          <a:chExt cx="620619" cy="344098"/>
        </a:xfrm>
      </xdr:grpSpPr>
      <xdr:sp macro="" textlink="">
        <xdr:nvSpPr>
          <xdr:cNvPr id="350" name="TextBox 349">
            <a:extLst>
              <a:ext uri="{FF2B5EF4-FFF2-40B4-BE49-F238E27FC236}">
                <a16:creationId xmlns:a16="http://schemas.microsoft.com/office/drawing/2014/main" id="{08B30F67-6FC5-9873-2195-8EFFF05249A6}"/>
              </a:ext>
            </a:extLst>
          </xdr:cNvPr>
          <xdr:cNvSpPr txBox="1"/>
        </xdr:nvSpPr>
        <xdr:spPr>
          <a:xfrm>
            <a:off x="8082511" y="10007758"/>
            <a:ext cx="620619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</a:t>
            </a:r>
            <a:r>
              <a:rPr lang="en-US" altLang="ko-KR" sz="900"/>
              <a:t>=1</a:t>
            </a:r>
            <a:endParaRPr lang="ko-KR" altLang="en-US" sz="900"/>
          </a:p>
        </xdr:txBody>
      </xdr:sp>
      <xdr:sp macro="" textlink="">
        <xdr:nvSpPr>
          <xdr:cNvPr id="351" name="TextBox 350">
            <a:extLst>
              <a:ext uri="{FF2B5EF4-FFF2-40B4-BE49-F238E27FC236}">
                <a16:creationId xmlns:a16="http://schemas.microsoft.com/office/drawing/2014/main" id="{9007AC69-0E08-F311-CCBA-54B01DD7CA06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36</xdr:col>
      <xdr:colOff>163596</xdr:colOff>
      <xdr:row>44</xdr:row>
      <xdr:rowOff>154262</xdr:rowOff>
    </xdr:from>
    <xdr:to>
      <xdr:col>39</xdr:col>
      <xdr:colOff>75648</xdr:colOff>
      <xdr:row>46</xdr:row>
      <xdr:rowOff>64701</xdr:rowOff>
    </xdr:to>
    <xdr:grpSp>
      <xdr:nvGrpSpPr>
        <xdr:cNvPr id="352" name="그룹 351">
          <a:extLst>
            <a:ext uri="{FF2B5EF4-FFF2-40B4-BE49-F238E27FC236}">
              <a16:creationId xmlns:a16="http://schemas.microsoft.com/office/drawing/2014/main" id="{4D2D6F89-E6D3-48A3-90F0-FCA1EF05A3BA}"/>
            </a:ext>
          </a:extLst>
        </xdr:cNvPr>
        <xdr:cNvGrpSpPr/>
      </xdr:nvGrpSpPr>
      <xdr:grpSpPr>
        <a:xfrm>
          <a:off x="9893112" y="10019994"/>
          <a:ext cx="629060" cy="347272"/>
          <a:chOff x="8082511" y="9896865"/>
          <a:chExt cx="620619" cy="344098"/>
        </a:xfrm>
      </xdr:grpSpPr>
      <xdr:sp macro="" textlink="">
        <xdr:nvSpPr>
          <xdr:cNvPr id="353" name="TextBox 352">
            <a:extLst>
              <a:ext uri="{FF2B5EF4-FFF2-40B4-BE49-F238E27FC236}">
                <a16:creationId xmlns:a16="http://schemas.microsoft.com/office/drawing/2014/main" id="{69008E09-8113-DE80-10A9-D55CE11669BB}"/>
              </a:ext>
            </a:extLst>
          </xdr:cNvPr>
          <xdr:cNvSpPr txBox="1"/>
        </xdr:nvSpPr>
        <xdr:spPr>
          <a:xfrm>
            <a:off x="8082511" y="10007758"/>
            <a:ext cx="620619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</a:t>
            </a:r>
            <a:r>
              <a:rPr lang="en-US" altLang="ko-KR" sz="900"/>
              <a:t>=1</a:t>
            </a:r>
            <a:endParaRPr lang="ko-KR" altLang="en-US" sz="900"/>
          </a:p>
        </xdr:txBody>
      </xdr:sp>
      <xdr:sp macro="" textlink="">
        <xdr:nvSpPr>
          <xdr:cNvPr id="354" name="TextBox 353">
            <a:extLst>
              <a:ext uri="{FF2B5EF4-FFF2-40B4-BE49-F238E27FC236}">
                <a16:creationId xmlns:a16="http://schemas.microsoft.com/office/drawing/2014/main" id="{01CD7C47-3741-0AFD-F810-1513316C2111}"/>
              </a:ext>
            </a:extLst>
          </xdr:cNvPr>
          <xdr:cNvSpPr txBox="1"/>
        </xdr:nvSpPr>
        <xdr:spPr>
          <a:xfrm>
            <a:off x="8188447" y="9896865"/>
            <a:ext cx="417550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#n+1</a:t>
            </a:r>
            <a:endParaRPr lang="ko-KR" altLang="en-US" sz="900"/>
          </a:p>
        </xdr:txBody>
      </xdr:sp>
    </xdr:grpSp>
    <xdr:clientData/>
  </xdr:twoCellAnchor>
  <xdr:oneCellAnchor>
    <xdr:from>
      <xdr:col>35</xdr:col>
      <xdr:colOff>1050</xdr:colOff>
      <xdr:row>28</xdr:row>
      <xdr:rowOff>46605</xdr:rowOff>
    </xdr:from>
    <xdr:ext cx="232884" cy="140872"/>
    <xdr:sp macro="" textlink="">
      <xdr:nvSpPr>
        <xdr:cNvPr id="355" name="TextBox 354">
          <a:extLst>
            <a:ext uri="{FF2B5EF4-FFF2-40B4-BE49-F238E27FC236}">
              <a16:creationId xmlns:a16="http://schemas.microsoft.com/office/drawing/2014/main" id="{2E869F59-227E-455C-8AB0-9E4D2024A060}"/>
            </a:ext>
          </a:extLst>
        </xdr:cNvPr>
        <xdr:cNvSpPr txBox="1"/>
      </xdr:nvSpPr>
      <xdr:spPr>
        <a:xfrm>
          <a:off x="9336324" y="6218495"/>
          <a:ext cx="2328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#n+1</a:t>
          </a:r>
          <a:endParaRPr lang="ko-KR" altLang="en-US" sz="900"/>
        </a:p>
      </xdr:txBody>
    </xdr:sp>
    <xdr:clientData/>
  </xdr:oneCellAnchor>
  <xdr:oneCellAnchor>
    <xdr:from>
      <xdr:col>35</xdr:col>
      <xdr:colOff>6316</xdr:colOff>
      <xdr:row>14</xdr:row>
      <xdr:rowOff>36382</xdr:rowOff>
    </xdr:from>
    <xdr:ext cx="232884" cy="140872"/>
    <xdr:sp macro="" textlink="">
      <xdr:nvSpPr>
        <xdr:cNvPr id="356" name="TextBox 355">
          <a:extLst>
            <a:ext uri="{FF2B5EF4-FFF2-40B4-BE49-F238E27FC236}">
              <a16:creationId xmlns:a16="http://schemas.microsoft.com/office/drawing/2014/main" id="{F5ABC6A9-0354-4019-9805-37346D9E1389}"/>
            </a:ext>
          </a:extLst>
        </xdr:cNvPr>
        <xdr:cNvSpPr txBox="1"/>
      </xdr:nvSpPr>
      <xdr:spPr>
        <a:xfrm>
          <a:off x="9341590" y="3071992"/>
          <a:ext cx="2328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#n+1</a:t>
          </a:r>
          <a:endParaRPr lang="ko-KR" altLang="en-US" sz="900"/>
        </a:p>
      </xdr:txBody>
    </xdr:sp>
    <xdr:clientData/>
  </xdr:oneCellAnchor>
  <xdr:oneCellAnchor>
    <xdr:from>
      <xdr:col>35</xdr:col>
      <xdr:colOff>7710</xdr:colOff>
      <xdr:row>3</xdr:row>
      <xdr:rowOff>41648</xdr:rowOff>
    </xdr:from>
    <xdr:ext cx="232884" cy="140872"/>
    <xdr:sp macro="" textlink="">
      <xdr:nvSpPr>
        <xdr:cNvPr id="357" name="TextBox 356">
          <a:extLst>
            <a:ext uri="{FF2B5EF4-FFF2-40B4-BE49-F238E27FC236}">
              <a16:creationId xmlns:a16="http://schemas.microsoft.com/office/drawing/2014/main" id="{3E73B56C-C3AD-486B-98E1-09A2E92E4C00}"/>
            </a:ext>
          </a:extLst>
        </xdr:cNvPr>
        <xdr:cNvSpPr txBox="1"/>
      </xdr:nvSpPr>
      <xdr:spPr>
        <a:xfrm>
          <a:off x="9342984" y="692136"/>
          <a:ext cx="232884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#n+1</a:t>
          </a:r>
          <a:endParaRPr lang="ko-KR" altLang="en-US" sz="900"/>
        </a:p>
      </xdr:txBody>
    </xdr:sp>
    <xdr:clientData/>
  </xdr:oneCellAnchor>
  <xdr:twoCellAnchor>
    <xdr:from>
      <xdr:col>41</xdr:col>
      <xdr:colOff>172733</xdr:colOff>
      <xdr:row>46</xdr:row>
      <xdr:rowOff>155655</xdr:rowOff>
    </xdr:from>
    <xdr:to>
      <xdr:col>44</xdr:col>
      <xdr:colOff>128002</xdr:colOff>
      <xdr:row>48</xdr:row>
      <xdr:rowOff>66094</xdr:rowOff>
    </xdr:to>
    <xdr:grpSp>
      <xdr:nvGrpSpPr>
        <xdr:cNvPr id="358" name="그룹 357">
          <a:extLst>
            <a:ext uri="{FF2B5EF4-FFF2-40B4-BE49-F238E27FC236}">
              <a16:creationId xmlns:a16="http://schemas.microsoft.com/office/drawing/2014/main" id="{1EA95227-43D5-4528-8AB5-59BB8671C447}"/>
            </a:ext>
          </a:extLst>
        </xdr:cNvPr>
        <xdr:cNvGrpSpPr/>
      </xdr:nvGrpSpPr>
      <xdr:grpSpPr>
        <a:xfrm>
          <a:off x="11099379" y="10456632"/>
          <a:ext cx="673864" cy="345686"/>
          <a:chOff x="8082511" y="9896865"/>
          <a:chExt cx="663836" cy="344097"/>
        </a:xfrm>
      </xdr:grpSpPr>
      <xdr:sp macro="" textlink="">
        <xdr:nvSpPr>
          <xdr:cNvPr id="359" name="TextBox 358">
            <a:extLst>
              <a:ext uri="{FF2B5EF4-FFF2-40B4-BE49-F238E27FC236}">
                <a16:creationId xmlns:a16="http://schemas.microsoft.com/office/drawing/2014/main" id="{B53319B3-876C-6E55-84E8-71E691717D8E}"/>
              </a:ext>
            </a:extLst>
          </xdr:cNvPr>
          <xdr:cNvSpPr txBox="1"/>
        </xdr:nvSpPr>
        <xdr:spPr>
          <a:xfrm>
            <a:off x="8082511" y="10007758"/>
            <a:ext cx="663836" cy="2332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60" name="TextBox 359">
            <a:extLst>
              <a:ext uri="{FF2B5EF4-FFF2-40B4-BE49-F238E27FC236}">
                <a16:creationId xmlns:a16="http://schemas.microsoft.com/office/drawing/2014/main" id="{2AAE5CA8-D57F-971C-179C-71E38D3D56DA}"/>
              </a:ext>
            </a:extLst>
          </xdr:cNvPr>
          <xdr:cNvSpPr txBox="1"/>
        </xdr:nvSpPr>
        <xdr:spPr>
          <a:xfrm>
            <a:off x="8188447" y="9896865"/>
            <a:ext cx="417550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#n+1</a:t>
            </a:r>
            <a:endParaRPr lang="ko-KR" altLang="en-US" sz="900"/>
          </a:p>
        </xdr:txBody>
      </xdr:sp>
    </xdr:grpSp>
    <xdr:clientData/>
  </xdr:twoCellAnchor>
  <xdr:twoCellAnchor>
    <xdr:from>
      <xdr:col>10</xdr:col>
      <xdr:colOff>106601</xdr:colOff>
      <xdr:row>33</xdr:row>
      <xdr:rowOff>159218</xdr:rowOff>
    </xdr:from>
    <xdr:to>
      <xdr:col>13</xdr:col>
      <xdr:colOff>61870</xdr:colOff>
      <xdr:row>35</xdr:row>
      <xdr:rowOff>69658</xdr:rowOff>
    </xdr:to>
    <xdr:grpSp>
      <xdr:nvGrpSpPr>
        <xdr:cNvPr id="361" name="그룹 360">
          <a:extLst>
            <a:ext uri="{FF2B5EF4-FFF2-40B4-BE49-F238E27FC236}">
              <a16:creationId xmlns:a16="http://schemas.microsoft.com/office/drawing/2014/main" id="{16A63423-3239-46E4-A40F-307B496B8D6C}"/>
            </a:ext>
          </a:extLst>
        </xdr:cNvPr>
        <xdr:cNvGrpSpPr/>
      </xdr:nvGrpSpPr>
      <xdr:grpSpPr>
        <a:xfrm>
          <a:off x="3594532" y="7478793"/>
          <a:ext cx="673864" cy="340923"/>
          <a:chOff x="8082511" y="9896865"/>
          <a:chExt cx="663836" cy="344098"/>
        </a:xfrm>
      </xdr:grpSpPr>
      <xdr:sp macro="" textlink="">
        <xdr:nvSpPr>
          <xdr:cNvPr id="362" name="TextBox 361">
            <a:extLst>
              <a:ext uri="{FF2B5EF4-FFF2-40B4-BE49-F238E27FC236}">
                <a16:creationId xmlns:a16="http://schemas.microsoft.com/office/drawing/2014/main" id="{80760C61-FB6F-5134-5CD1-9D2A8D0C0358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63" name="TextBox 362">
            <a:extLst>
              <a:ext uri="{FF2B5EF4-FFF2-40B4-BE49-F238E27FC236}">
                <a16:creationId xmlns:a16="http://schemas.microsoft.com/office/drawing/2014/main" id="{9213AA09-DB28-D6FA-65C7-D86C25262FC3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15</xdr:col>
      <xdr:colOff>166075</xdr:colOff>
      <xdr:row>35</xdr:row>
      <xdr:rowOff>164484</xdr:rowOff>
    </xdr:from>
    <xdr:to>
      <xdr:col>18</xdr:col>
      <xdr:colOff>121344</xdr:colOff>
      <xdr:row>37</xdr:row>
      <xdr:rowOff>74923</xdr:rowOff>
    </xdr:to>
    <xdr:grpSp>
      <xdr:nvGrpSpPr>
        <xdr:cNvPr id="364" name="그룹 363">
          <a:extLst>
            <a:ext uri="{FF2B5EF4-FFF2-40B4-BE49-F238E27FC236}">
              <a16:creationId xmlns:a16="http://schemas.microsoft.com/office/drawing/2014/main" id="{34FED803-3929-4A1E-8D4F-F3E61D8FB9EF}"/>
            </a:ext>
          </a:extLst>
        </xdr:cNvPr>
        <xdr:cNvGrpSpPr/>
      </xdr:nvGrpSpPr>
      <xdr:grpSpPr>
        <a:xfrm>
          <a:off x="4849548" y="7914542"/>
          <a:ext cx="678627" cy="345686"/>
          <a:chOff x="8082511" y="9896865"/>
          <a:chExt cx="663836" cy="344098"/>
        </a:xfrm>
      </xdr:grpSpPr>
      <xdr:sp macro="" textlink="">
        <xdr:nvSpPr>
          <xdr:cNvPr id="365" name="TextBox 364">
            <a:extLst>
              <a:ext uri="{FF2B5EF4-FFF2-40B4-BE49-F238E27FC236}">
                <a16:creationId xmlns:a16="http://schemas.microsoft.com/office/drawing/2014/main" id="{93720FF6-5BE4-CFD4-7518-D645F91439C0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4</a:t>
            </a:r>
            <a:endParaRPr lang="ko-KR" altLang="en-US" sz="900"/>
          </a:p>
        </xdr:txBody>
      </xdr:sp>
      <xdr:sp macro="" textlink="">
        <xdr:nvSpPr>
          <xdr:cNvPr id="366" name="TextBox 365">
            <a:extLst>
              <a:ext uri="{FF2B5EF4-FFF2-40B4-BE49-F238E27FC236}">
                <a16:creationId xmlns:a16="http://schemas.microsoft.com/office/drawing/2014/main" id="{77BB09AD-1AC4-58D5-2ADB-BF148810F61A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35</xdr:col>
      <xdr:colOff>176606</xdr:colOff>
      <xdr:row>33</xdr:row>
      <xdr:rowOff>159527</xdr:rowOff>
    </xdr:from>
    <xdr:to>
      <xdr:col>38</xdr:col>
      <xdr:colOff>153483</xdr:colOff>
      <xdr:row>35</xdr:row>
      <xdr:rowOff>69967</xdr:rowOff>
    </xdr:to>
    <xdr:grpSp>
      <xdr:nvGrpSpPr>
        <xdr:cNvPr id="367" name="그룹 366">
          <a:extLst>
            <a:ext uri="{FF2B5EF4-FFF2-40B4-BE49-F238E27FC236}">
              <a16:creationId xmlns:a16="http://schemas.microsoft.com/office/drawing/2014/main" id="{2F658F18-7036-4E6E-AE4A-309BFC466764}"/>
            </a:ext>
          </a:extLst>
        </xdr:cNvPr>
        <xdr:cNvGrpSpPr/>
      </xdr:nvGrpSpPr>
      <xdr:grpSpPr>
        <a:xfrm>
          <a:off x="9664473" y="7479102"/>
          <a:ext cx="695473" cy="340923"/>
          <a:chOff x="8082511" y="9896865"/>
          <a:chExt cx="685444" cy="344098"/>
        </a:xfrm>
      </xdr:grpSpPr>
      <xdr:sp macro="" textlink="">
        <xdr:nvSpPr>
          <xdr:cNvPr id="368" name="TextBox 367">
            <a:extLst>
              <a:ext uri="{FF2B5EF4-FFF2-40B4-BE49-F238E27FC236}">
                <a16:creationId xmlns:a16="http://schemas.microsoft.com/office/drawing/2014/main" id="{8F4E9F87-C300-FE76-644B-375CEF8D28D4}"/>
              </a:ext>
            </a:extLst>
          </xdr:cNvPr>
          <xdr:cNvSpPr txBox="1"/>
        </xdr:nvSpPr>
        <xdr:spPr>
          <a:xfrm>
            <a:off x="8082511" y="10007758"/>
            <a:ext cx="685444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69" name="TextBox 368">
            <a:extLst>
              <a:ext uri="{FF2B5EF4-FFF2-40B4-BE49-F238E27FC236}">
                <a16:creationId xmlns:a16="http://schemas.microsoft.com/office/drawing/2014/main" id="{2B26F957-CBE0-743C-6D06-D076A3FF29F8}"/>
              </a:ext>
            </a:extLst>
          </xdr:cNvPr>
          <xdr:cNvSpPr txBox="1"/>
        </xdr:nvSpPr>
        <xdr:spPr>
          <a:xfrm>
            <a:off x="8188447" y="9896865"/>
            <a:ext cx="417550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#n+1</a:t>
            </a:r>
            <a:endParaRPr lang="ko-KR" altLang="en-US" sz="900"/>
          </a:p>
        </xdr:txBody>
      </xdr:sp>
    </xdr:grpSp>
    <xdr:clientData/>
  </xdr:twoCellAnchor>
  <xdr:twoCellAnchor>
    <xdr:from>
      <xdr:col>40</xdr:col>
      <xdr:colOff>158639</xdr:colOff>
      <xdr:row>35</xdr:row>
      <xdr:rowOff>160921</xdr:rowOff>
    </xdr:from>
    <xdr:to>
      <xdr:col>43</xdr:col>
      <xdr:colOff>113908</xdr:colOff>
      <xdr:row>37</xdr:row>
      <xdr:rowOff>71360</xdr:rowOff>
    </xdr:to>
    <xdr:grpSp>
      <xdr:nvGrpSpPr>
        <xdr:cNvPr id="370" name="그룹 369">
          <a:extLst>
            <a:ext uri="{FF2B5EF4-FFF2-40B4-BE49-F238E27FC236}">
              <a16:creationId xmlns:a16="http://schemas.microsoft.com/office/drawing/2014/main" id="{2BA44603-DFF3-48F2-88E0-168B4BD189E8}"/>
            </a:ext>
          </a:extLst>
        </xdr:cNvPr>
        <xdr:cNvGrpSpPr/>
      </xdr:nvGrpSpPr>
      <xdr:grpSpPr>
        <a:xfrm>
          <a:off x="10846811" y="7915742"/>
          <a:ext cx="673865" cy="339335"/>
          <a:chOff x="8082511" y="9896865"/>
          <a:chExt cx="663836" cy="344098"/>
        </a:xfrm>
      </xdr:grpSpPr>
      <xdr:sp macro="" textlink="">
        <xdr:nvSpPr>
          <xdr:cNvPr id="371" name="TextBox 370">
            <a:extLst>
              <a:ext uri="{FF2B5EF4-FFF2-40B4-BE49-F238E27FC236}">
                <a16:creationId xmlns:a16="http://schemas.microsoft.com/office/drawing/2014/main" id="{0B31A3DB-F72D-7B5A-F879-7C26F5068848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72" name="TextBox 371">
            <a:extLst>
              <a:ext uri="{FF2B5EF4-FFF2-40B4-BE49-F238E27FC236}">
                <a16:creationId xmlns:a16="http://schemas.microsoft.com/office/drawing/2014/main" id="{8702E33B-2FAB-8AC4-1405-8F1FFAB6379C}"/>
              </a:ext>
            </a:extLst>
          </xdr:cNvPr>
          <xdr:cNvSpPr txBox="1"/>
        </xdr:nvSpPr>
        <xdr:spPr>
          <a:xfrm>
            <a:off x="8188447" y="9896865"/>
            <a:ext cx="417550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#n+1</a:t>
            </a:r>
            <a:endParaRPr lang="ko-KR" altLang="en-US" sz="900"/>
          </a:p>
        </xdr:txBody>
      </xdr:sp>
    </xdr:grpSp>
    <xdr:clientData/>
  </xdr:twoCellAnchor>
  <xdr:twoCellAnchor>
    <xdr:from>
      <xdr:col>17</xdr:col>
      <xdr:colOff>177690</xdr:colOff>
      <xdr:row>19</xdr:row>
      <xdr:rowOff>152869</xdr:rowOff>
    </xdr:from>
    <xdr:to>
      <xdr:col>20</xdr:col>
      <xdr:colOff>132959</xdr:colOff>
      <xdr:row>21</xdr:row>
      <xdr:rowOff>63308</xdr:rowOff>
    </xdr:to>
    <xdr:grpSp>
      <xdr:nvGrpSpPr>
        <xdr:cNvPr id="375" name="그룹 374">
          <a:extLst>
            <a:ext uri="{FF2B5EF4-FFF2-40B4-BE49-F238E27FC236}">
              <a16:creationId xmlns:a16="http://schemas.microsoft.com/office/drawing/2014/main" id="{7B40F142-983F-4640-BF7B-17EBDB1FDA33}"/>
            </a:ext>
          </a:extLst>
        </xdr:cNvPr>
        <xdr:cNvGrpSpPr/>
      </xdr:nvGrpSpPr>
      <xdr:grpSpPr>
        <a:xfrm>
          <a:off x="5344460" y="4435247"/>
          <a:ext cx="673865" cy="345685"/>
          <a:chOff x="8082511" y="9896865"/>
          <a:chExt cx="663836" cy="344098"/>
        </a:xfrm>
      </xdr:grpSpPr>
      <xdr:sp macro="" textlink="">
        <xdr:nvSpPr>
          <xdr:cNvPr id="376" name="TextBox 375">
            <a:extLst>
              <a:ext uri="{FF2B5EF4-FFF2-40B4-BE49-F238E27FC236}">
                <a16:creationId xmlns:a16="http://schemas.microsoft.com/office/drawing/2014/main" id="{4F942717-0141-CC12-88EA-0E0C833420C8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77" name="TextBox 376">
            <a:extLst>
              <a:ext uri="{FF2B5EF4-FFF2-40B4-BE49-F238E27FC236}">
                <a16:creationId xmlns:a16="http://schemas.microsoft.com/office/drawing/2014/main" id="{159FA9C2-D548-0ACF-893D-09BCC3FB24BD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19</xdr:col>
      <xdr:colOff>43567</xdr:colOff>
      <xdr:row>21</xdr:row>
      <xdr:rowOff>150390</xdr:rowOff>
    </xdr:from>
    <xdr:to>
      <xdr:col>21</xdr:col>
      <xdr:colOff>235025</xdr:colOff>
      <xdr:row>23</xdr:row>
      <xdr:rowOff>60830</xdr:rowOff>
    </xdr:to>
    <xdr:grpSp>
      <xdr:nvGrpSpPr>
        <xdr:cNvPr id="378" name="그룹 377">
          <a:extLst>
            <a:ext uri="{FF2B5EF4-FFF2-40B4-BE49-F238E27FC236}">
              <a16:creationId xmlns:a16="http://schemas.microsoft.com/office/drawing/2014/main" id="{72333D74-83CD-4A12-97FF-FD4640CB63EC}"/>
            </a:ext>
          </a:extLst>
        </xdr:cNvPr>
        <xdr:cNvGrpSpPr/>
      </xdr:nvGrpSpPr>
      <xdr:grpSpPr>
        <a:xfrm>
          <a:off x="5690459" y="4866427"/>
          <a:ext cx="671580" cy="345685"/>
          <a:chOff x="8082511" y="9896865"/>
          <a:chExt cx="663836" cy="344098"/>
        </a:xfrm>
      </xdr:grpSpPr>
      <xdr:sp macro="" textlink="">
        <xdr:nvSpPr>
          <xdr:cNvPr id="379" name="TextBox 378">
            <a:extLst>
              <a:ext uri="{FF2B5EF4-FFF2-40B4-BE49-F238E27FC236}">
                <a16:creationId xmlns:a16="http://schemas.microsoft.com/office/drawing/2014/main" id="{10FC8971-4AF8-82BA-4CD3-2C8CFA196770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80" name="TextBox 379">
            <a:extLst>
              <a:ext uri="{FF2B5EF4-FFF2-40B4-BE49-F238E27FC236}">
                <a16:creationId xmlns:a16="http://schemas.microsoft.com/office/drawing/2014/main" id="{D78FB040-56F2-DA48-986B-341F37152680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31</xdr:col>
      <xdr:colOff>159725</xdr:colOff>
      <xdr:row>19</xdr:row>
      <xdr:rowOff>158135</xdr:rowOff>
    </xdr:from>
    <xdr:to>
      <xdr:col>34</xdr:col>
      <xdr:colOff>114994</xdr:colOff>
      <xdr:row>21</xdr:row>
      <xdr:rowOff>68574</xdr:rowOff>
    </xdr:to>
    <xdr:grpSp>
      <xdr:nvGrpSpPr>
        <xdr:cNvPr id="387" name="그룹 386">
          <a:extLst>
            <a:ext uri="{FF2B5EF4-FFF2-40B4-BE49-F238E27FC236}">
              <a16:creationId xmlns:a16="http://schemas.microsoft.com/office/drawing/2014/main" id="{493F4FA0-FEB2-4E8B-A25F-C6408CC677AE}"/>
            </a:ext>
          </a:extLst>
        </xdr:cNvPr>
        <xdr:cNvGrpSpPr/>
      </xdr:nvGrpSpPr>
      <xdr:grpSpPr>
        <a:xfrm>
          <a:off x="8688937" y="4442100"/>
          <a:ext cx="672277" cy="345686"/>
          <a:chOff x="8082511" y="9896865"/>
          <a:chExt cx="663836" cy="344098"/>
        </a:xfrm>
      </xdr:grpSpPr>
      <xdr:sp macro="" textlink="">
        <xdr:nvSpPr>
          <xdr:cNvPr id="388" name="TextBox 387">
            <a:extLst>
              <a:ext uri="{FF2B5EF4-FFF2-40B4-BE49-F238E27FC236}">
                <a16:creationId xmlns:a16="http://schemas.microsoft.com/office/drawing/2014/main" id="{16E2D734-2C11-F658-2CB1-C41D5F8223C4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389" name="TextBox 388">
            <a:extLst>
              <a:ext uri="{FF2B5EF4-FFF2-40B4-BE49-F238E27FC236}">
                <a16:creationId xmlns:a16="http://schemas.microsoft.com/office/drawing/2014/main" id="{0A172F18-E691-AC6D-3EC9-7C1308C5E5EA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34</xdr:col>
      <xdr:colOff>149504</xdr:colOff>
      <xdr:row>21</xdr:row>
      <xdr:rowOff>151784</xdr:rowOff>
    </xdr:from>
    <xdr:to>
      <xdr:col>37</xdr:col>
      <xdr:colOff>104773</xdr:colOff>
      <xdr:row>23</xdr:row>
      <xdr:rowOff>62224</xdr:rowOff>
    </xdr:to>
    <xdr:grpSp>
      <xdr:nvGrpSpPr>
        <xdr:cNvPr id="390" name="그룹 389">
          <a:extLst>
            <a:ext uri="{FF2B5EF4-FFF2-40B4-BE49-F238E27FC236}">
              <a16:creationId xmlns:a16="http://schemas.microsoft.com/office/drawing/2014/main" id="{41546841-AF7E-4C15-9B15-990658460F03}"/>
            </a:ext>
          </a:extLst>
        </xdr:cNvPr>
        <xdr:cNvGrpSpPr/>
      </xdr:nvGrpSpPr>
      <xdr:grpSpPr>
        <a:xfrm>
          <a:off x="9394136" y="4867821"/>
          <a:ext cx="680214" cy="345685"/>
          <a:chOff x="8082511" y="9896865"/>
          <a:chExt cx="663836" cy="344098"/>
        </a:xfrm>
      </xdr:grpSpPr>
      <xdr:sp macro="" textlink="">
        <xdr:nvSpPr>
          <xdr:cNvPr id="391" name="TextBox 390">
            <a:extLst>
              <a:ext uri="{FF2B5EF4-FFF2-40B4-BE49-F238E27FC236}">
                <a16:creationId xmlns:a16="http://schemas.microsoft.com/office/drawing/2014/main" id="{99B336E9-AFDC-D32B-BFDC-4962588B62BD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92" name="TextBox 391">
            <a:extLst>
              <a:ext uri="{FF2B5EF4-FFF2-40B4-BE49-F238E27FC236}">
                <a16:creationId xmlns:a16="http://schemas.microsoft.com/office/drawing/2014/main" id="{D1FBE181-FD39-72FB-9FAE-AD47573F0E73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30</xdr:col>
      <xdr:colOff>167468</xdr:colOff>
      <xdr:row>8</xdr:row>
      <xdr:rowOff>154263</xdr:rowOff>
    </xdr:from>
    <xdr:to>
      <xdr:col>33</xdr:col>
      <xdr:colOff>122737</xdr:colOff>
      <xdr:row>10</xdr:row>
      <xdr:rowOff>64702</xdr:rowOff>
    </xdr:to>
    <xdr:grpSp>
      <xdr:nvGrpSpPr>
        <xdr:cNvPr id="393" name="그룹 392">
          <a:extLst>
            <a:ext uri="{FF2B5EF4-FFF2-40B4-BE49-F238E27FC236}">
              <a16:creationId xmlns:a16="http://schemas.microsoft.com/office/drawing/2014/main" id="{9B4C4A5F-9464-4F6A-81E8-7EC3289B6D40}"/>
            </a:ext>
          </a:extLst>
        </xdr:cNvPr>
        <xdr:cNvGrpSpPr/>
      </xdr:nvGrpSpPr>
      <xdr:grpSpPr>
        <a:xfrm>
          <a:off x="8451856" y="1888897"/>
          <a:ext cx="680215" cy="347273"/>
          <a:chOff x="8082511" y="9896865"/>
          <a:chExt cx="663836" cy="344098"/>
        </a:xfrm>
      </xdr:grpSpPr>
      <xdr:sp macro="" textlink="">
        <xdr:nvSpPr>
          <xdr:cNvPr id="394" name="TextBox 393">
            <a:extLst>
              <a:ext uri="{FF2B5EF4-FFF2-40B4-BE49-F238E27FC236}">
                <a16:creationId xmlns:a16="http://schemas.microsoft.com/office/drawing/2014/main" id="{895E0461-F14A-0F2C-9351-2BA33887F6A1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395" name="TextBox 394">
            <a:extLst>
              <a:ext uri="{FF2B5EF4-FFF2-40B4-BE49-F238E27FC236}">
                <a16:creationId xmlns:a16="http://schemas.microsoft.com/office/drawing/2014/main" id="{E7DA5DEC-B268-76BC-0AA8-1587F92780B1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33</xdr:col>
      <xdr:colOff>192094</xdr:colOff>
      <xdr:row>10</xdr:row>
      <xdr:rowOff>163400</xdr:rowOff>
    </xdr:from>
    <xdr:to>
      <xdr:col>36</xdr:col>
      <xdr:colOff>147363</xdr:colOff>
      <xdr:row>12</xdr:row>
      <xdr:rowOff>73840</xdr:rowOff>
    </xdr:to>
    <xdr:grpSp>
      <xdr:nvGrpSpPr>
        <xdr:cNvPr id="396" name="그룹 395">
          <a:extLst>
            <a:ext uri="{FF2B5EF4-FFF2-40B4-BE49-F238E27FC236}">
              <a16:creationId xmlns:a16="http://schemas.microsoft.com/office/drawing/2014/main" id="{D30D904D-E144-423F-A3E7-1085A6A983FA}"/>
            </a:ext>
          </a:extLst>
        </xdr:cNvPr>
        <xdr:cNvGrpSpPr/>
      </xdr:nvGrpSpPr>
      <xdr:grpSpPr>
        <a:xfrm>
          <a:off x="9198253" y="2334868"/>
          <a:ext cx="673863" cy="340923"/>
          <a:chOff x="8082511" y="9896865"/>
          <a:chExt cx="663836" cy="344098"/>
        </a:xfrm>
      </xdr:grpSpPr>
      <xdr:sp macro="" textlink="">
        <xdr:nvSpPr>
          <xdr:cNvPr id="397" name="TextBox 396">
            <a:extLst>
              <a:ext uri="{FF2B5EF4-FFF2-40B4-BE49-F238E27FC236}">
                <a16:creationId xmlns:a16="http://schemas.microsoft.com/office/drawing/2014/main" id="{545178EF-2870-A3CC-3EFD-25A8E464C20B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4</a:t>
            </a:r>
            <a:endParaRPr lang="ko-KR" altLang="en-US" sz="900"/>
          </a:p>
        </xdr:txBody>
      </xdr:sp>
      <xdr:sp macro="" textlink="">
        <xdr:nvSpPr>
          <xdr:cNvPr id="398" name="TextBox 397">
            <a:extLst>
              <a:ext uri="{FF2B5EF4-FFF2-40B4-BE49-F238E27FC236}">
                <a16:creationId xmlns:a16="http://schemas.microsoft.com/office/drawing/2014/main" id="{0DD45D39-5737-7DCC-882A-0724B3F00A29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4</xdr:col>
      <xdr:colOff>220702</xdr:colOff>
      <xdr:row>15</xdr:row>
      <xdr:rowOff>203962</xdr:rowOff>
    </xdr:from>
    <xdr:to>
      <xdr:col>7</xdr:col>
      <xdr:colOff>23942</xdr:colOff>
      <xdr:row>17</xdr:row>
      <xdr:rowOff>17112</xdr:rowOff>
    </xdr:to>
    <xdr:grpSp>
      <xdr:nvGrpSpPr>
        <xdr:cNvPr id="402" name="그룹 401">
          <a:extLst>
            <a:ext uri="{FF2B5EF4-FFF2-40B4-BE49-F238E27FC236}">
              <a16:creationId xmlns:a16="http://schemas.microsoft.com/office/drawing/2014/main" id="{B73462B6-9CB2-FC56-F422-2E6F48812C3F}"/>
            </a:ext>
          </a:extLst>
        </xdr:cNvPr>
        <xdr:cNvGrpSpPr/>
      </xdr:nvGrpSpPr>
      <xdr:grpSpPr>
        <a:xfrm>
          <a:off x="2268267" y="3454813"/>
          <a:ext cx="521835" cy="248397"/>
          <a:chOff x="2249605" y="5640181"/>
          <a:chExt cx="511807" cy="246809"/>
        </a:xfrm>
      </xdr:grpSpPr>
      <xdr:sp macro="" textlink="">
        <xdr:nvSpPr>
          <xdr:cNvPr id="185" name="TextBox 184">
            <a:extLst>
              <a:ext uri="{FF2B5EF4-FFF2-40B4-BE49-F238E27FC236}">
                <a16:creationId xmlns:a16="http://schemas.microsoft.com/office/drawing/2014/main" id="{8251440E-3EF6-4700-A046-48690D669BB8}"/>
              </a:ext>
            </a:extLst>
          </xdr:cNvPr>
          <xdr:cNvSpPr txBox="1"/>
        </xdr:nvSpPr>
        <xdr:spPr>
          <a:xfrm>
            <a:off x="2249605" y="5640181"/>
            <a:ext cx="511807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  LD data</a:t>
            </a:r>
          </a:p>
        </xdr:txBody>
      </xdr:sp>
      <xdr:sp macro="" textlink="">
        <xdr:nvSpPr>
          <xdr:cNvPr id="399" name="TextBox 398">
            <a:extLst>
              <a:ext uri="{FF2B5EF4-FFF2-40B4-BE49-F238E27FC236}">
                <a16:creationId xmlns:a16="http://schemas.microsoft.com/office/drawing/2014/main" id="{9757CC91-BFBA-49F4-B737-C42F7FE345B6}"/>
              </a:ext>
            </a:extLst>
          </xdr:cNvPr>
          <xdr:cNvSpPr txBox="1"/>
        </xdr:nvSpPr>
        <xdr:spPr>
          <a:xfrm>
            <a:off x="2332310" y="5746118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21</xdr:col>
      <xdr:colOff>28499</xdr:colOff>
      <xdr:row>15</xdr:row>
      <xdr:rowOff>201483</xdr:rowOff>
    </xdr:from>
    <xdr:to>
      <xdr:col>23</xdr:col>
      <xdr:colOff>184883</xdr:colOff>
      <xdr:row>17</xdr:row>
      <xdr:rowOff>14633</xdr:rowOff>
    </xdr:to>
    <xdr:grpSp>
      <xdr:nvGrpSpPr>
        <xdr:cNvPr id="403" name="그룹 402">
          <a:extLst>
            <a:ext uri="{FF2B5EF4-FFF2-40B4-BE49-F238E27FC236}">
              <a16:creationId xmlns:a16="http://schemas.microsoft.com/office/drawing/2014/main" id="{FD49611B-81F1-60DD-5496-941CFA5BDCBF}"/>
            </a:ext>
          </a:extLst>
        </xdr:cNvPr>
        <xdr:cNvGrpSpPr/>
      </xdr:nvGrpSpPr>
      <xdr:grpSpPr>
        <a:xfrm>
          <a:off x="6157101" y="3457097"/>
          <a:ext cx="631743" cy="242046"/>
          <a:chOff x="3586822" y="5784837"/>
          <a:chExt cx="628762" cy="246809"/>
        </a:xfrm>
      </xdr:grpSpPr>
      <xdr:sp macro="" textlink="">
        <xdr:nvSpPr>
          <xdr:cNvPr id="400" name="TextBox 399">
            <a:extLst>
              <a:ext uri="{FF2B5EF4-FFF2-40B4-BE49-F238E27FC236}">
                <a16:creationId xmlns:a16="http://schemas.microsoft.com/office/drawing/2014/main" id="{AA6F9B76-8E5D-4F31-BDF3-8FBC5C11795D}"/>
              </a:ext>
            </a:extLst>
          </xdr:cNvPr>
          <xdr:cNvSpPr txBox="1"/>
        </xdr:nvSpPr>
        <xdr:spPr>
          <a:xfrm>
            <a:off x="3586822" y="5784837"/>
            <a:ext cx="628762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#n+1  LD data</a:t>
            </a:r>
          </a:p>
        </xdr:txBody>
      </xdr:sp>
      <xdr:sp macro="" textlink="">
        <xdr:nvSpPr>
          <xdr:cNvPr id="401" name="TextBox 400">
            <a:extLst>
              <a:ext uri="{FF2B5EF4-FFF2-40B4-BE49-F238E27FC236}">
                <a16:creationId xmlns:a16="http://schemas.microsoft.com/office/drawing/2014/main" id="{15C10202-FE8D-4193-AA81-D6467E9E64FD}"/>
              </a:ext>
            </a:extLst>
          </xdr:cNvPr>
          <xdr:cNvSpPr txBox="1"/>
        </xdr:nvSpPr>
        <xdr:spPr>
          <a:xfrm>
            <a:off x="3692759" y="5890774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4</xdr:col>
      <xdr:colOff>202736</xdr:colOff>
      <xdr:row>29</xdr:row>
      <xdr:rowOff>201483</xdr:rowOff>
    </xdr:from>
    <xdr:to>
      <xdr:col>7</xdr:col>
      <xdr:colOff>5976</xdr:colOff>
      <xdr:row>31</xdr:row>
      <xdr:rowOff>14634</xdr:rowOff>
    </xdr:to>
    <xdr:grpSp>
      <xdr:nvGrpSpPr>
        <xdr:cNvPr id="404" name="그룹 403">
          <a:extLst>
            <a:ext uri="{FF2B5EF4-FFF2-40B4-BE49-F238E27FC236}">
              <a16:creationId xmlns:a16="http://schemas.microsoft.com/office/drawing/2014/main" id="{FB49476A-BC4B-4E3B-A27A-BE6D0E592E19}"/>
            </a:ext>
          </a:extLst>
        </xdr:cNvPr>
        <xdr:cNvGrpSpPr/>
      </xdr:nvGrpSpPr>
      <xdr:grpSpPr>
        <a:xfrm>
          <a:off x="2245538" y="6655329"/>
          <a:ext cx="526598" cy="242046"/>
          <a:chOff x="2249605" y="5640181"/>
          <a:chExt cx="511807" cy="246809"/>
        </a:xfrm>
      </xdr:grpSpPr>
      <xdr:sp macro="" textlink="">
        <xdr:nvSpPr>
          <xdr:cNvPr id="405" name="TextBox 404">
            <a:extLst>
              <a:ext uri="{FF2B5EF4-FFF2-40B4-BE49-F238E27FC236}">
                <a16:creationId xmlns:a16="http://schemas.microsoft.com/office/drawing/2014/main" id="{80E6150C-45B4-7530-8C00-4F9BBA0556AE}"/>
              </a:ext>
            </a:extLst>
          </xdr:cNvPr>
          <xdr:cNvSpPr txBox="1"/>
        </xdr:nvSpPr>
        <xdr:spPr>
          <a:xfrm>
            <a:off x="2249605" y="5640181"/>
            <a:ext cx="511807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  LD data</a:t>
            </a:r>
          </a:p>
        </xdr:txBody>
      </xdr:sp>
      <xdr:sp macro="" textlink="">
        <xdr:nvSpPr>
          <xdr:cNvPr id="406" name="TextBox 405">
            <a:extLst>
              <a:ext uri="{FF2B5EF4-FFF2-40B4-BE49-F238E27FC236}">
                <a16:creationId xmlns:a16="http://schemas.microsoft.com/office/drawing/2014/main" id="{7350539D-3B84-BBEF-4C3D-BE9BE77F76D7}"/>
              </a:ext>
            </a:extLst>
          </xdr:cNvPr>
          <xdr:cNvSpPr txBox="1"/>
        </xdr:nvSpPr>
        <xdr:spPr>
          <a:xfrm>
            <a:off x="2332310" y="5746118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22</xdr:col>
      <xdr:colOff>37637</xdr:colOff>
      <xdr:row>29</xdr:row>
      <xdr:rowOff>199004</xdr:rowOff>
    </xdr:from>
    <xdr:to>
      <xdr:col>24</xdr:col>
      <xdr:colOff>194021</xdr:colOff>
      <xdr:row>31</xdr:row>
      <xdr:rowOff>12155</xdr:rowOff>
    </xdr:to>
    <xdr:grpSp>
      <xdr:nvGrpSpPr>
        <xdr:cNvPr id="407" name="그룹 406">
          <a:extLst>
            <a:ext uri="{FF2B5EF4-FFF2-40B4-BE49-F238E27FC236}">
              <a16:creationId xmlns:a16="http://schemas.microsoft.com/office/drawing/2014/main" id="{ADD61F47-32AB-4063-B934-9E8F10622888}"/>
            </a:ext>
          </a:extLst>
        </xdr:cNvPr>
        <xdr:cNvGrpSpPr/>
      </xdr:nvGrpSpPr>
      <xdr:grpSpPr>
        <a:xfrm>
          <a:off x="6403125" y="6652850"/>
          <a:ext cx="638093" cy="242046"/>
          <a:chOff x="3586822" y="5784837"/>
          <a:chExt cx="628762" cy="246809"/>
        </a:xfrm>
      </xdr:grpSpPr>
      <xdr:sp macro="" textlink="">
        <xdr:nvSpPr>
          <xdr:cNvPr id="408" name="TextBox 407">
            <a:extLst>
              <a:ext uri="{FF2B5EF4-FFF2-40B4-BE49-F238E27FC236}">
                <a16:creationId xmlns:a16="http://schemas.microsoft.com/office/drawing/2014/main" id="{3FAEB655-97CC-E886-69ED-20BF9AA4E420}"/>
              </a:ext>
            </a:extLst>
          </xdr:cNvPr>
          <xdr:cNvSpPr txBox="1"/>
        </xdr:nvSpPr>
        <xdr:spPr>
          <a:xfrm>
            <a:off x="3586822" y="5784837"/>
            <a:ext cx="628762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#n+1  LD data</a:t>
            </a:r>
          </a:p>
        </xdr:txBody>
      </xdr:sp>
      <xdr:sp macro="" textlink="">
        <xdr:nvSpPr>
          <xdr:cNvPr id="409" name="TextBox 408">
            <a:extLst>
              <a:ext uri="{FF2B5EF4-FFF2-40B4-BE49-F238E27FC236}">
                <a16:creationId xmlns:a16="http://schemas.microsoft.com/office/drawing/2014/main" id="{359D6AE9-D182-32CF-5434-06E7BCEFA337}"/>
              </a:ext>
            </a:extLst>
          </xdr:cNvPr>
          <xdr:cNvSpPr txBox="1"/>
        </xdr:nvSpPr>
        <xdr:spPr>
          <a:xfrm>
            <a:off x="3692759" y="5890774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4</xdr:col>
      <xdr:colOff>196387</xdr:colOff>
      <xdr:row>40</xdr:row>
      <xdr:rowOff>202877</xdr:rowOff>
    </xdr:from>
    <xdr:to>
      <xdr:col>6</xdr:col>
      <xdr:colOff>235816</xdr:colOff>
      <xdr:row>42</xdr:row>
      <xdr:rowOff>16028</xdr:rowOff>
    </xdr:to>
    <xdr:grpSp>
      <xdr:nvGrpSpPr>
        <xdr:cNvPr id="410" name="그룹 409">
          <a:extLst>
            <a:ext uri="{FF2B5EF4-FFF2-40B4-BE49-F238E27FC236}">
              <a16:creationId xmlns:a16="http://schemas.microsoft.com/office/drawing/2014/main" id="{FFA0859C-3F0E-4A63-9E8C-7C229D30A818}"/>
            </a:ext>
          </a:extLst>
        </xdr:cNvPr>
        <xdr:cNvGrpSpPr/>
      </xdr:nvGrpSpPr>
      <xdr:grpSpPr>
        <a:xfrm>
          <a:off x="2242364" y="9037082"/>
          <a:ext cx="521139" cy="246809"/>
          <a:chOff x="2249605" y="5640181"/>
          <a:chExt cx="511807" cy="246809"/>
        </a:xfrm>
      </xdr:grpSpPr>
      <xdr:sp macro="" textlink="">
        <xdr:nvSpPr>
          <xdr:cNvPr id="411" name="TextBox 410">
            <a:extLst>
              <a:ext uri="{FF2B5EF4-FFF2-40B4-BE49-F238E27FC236}">
                <a16:creationId xmlns:a16="http://schemas.microsoft.com/office/drawing/2014/main" id="{54831B64-B79D-CFBB-8F64-BBC6D0291746}"/>
              </a:ext>
            </a:extLst>
          </xdr:cNvPr>
          <xdr:cNvSpPr txBox="1"/>
        </xdr:nvSpPr>
        <xdr:spPr>
          <a:xfrm>
            <a:off x="2249605" y="5640181"/>
            <a:ext cx="511807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  LD data</a:t>
            </a:r>
          </a:p>
        </xdr:txBody>
      </xdr:sp>
      <xdr:sp macro="" textlink="">
        <xdr:nvSpPr>
          <xdr:cNvPr id="412" name="TextBox 411">
            <a:extLst>
              <a:ext uri="{FF2B5EF4-FFF2-40B4-BE49-F238E27FC236}">
                <a16:creationId xmlns:a16="http://schemas.microsoft.com/office/drawing/2014/main" id="{94DFB75A-ED35-565C-B52B-ECA40F6309C9}"/>
              </a:ext>
            </a:extLst>
          </xdr:cNvPr>
          <xdr:cNvSpPr txBox="1"/>
        </xdr:nvSpPr>
        <xdr:spPr>
          <a:xfrm>
            <a:off x="2332310" y="5746118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21</xdr:col>
      <xdr:colOff>54519</xdr:colOff>
      <xdr:row>40</xdr:row>
      <xdr:rowOff>204269</xdr:rowOff>
    </xdr:from>
    <xdr:to>
      <xdr:col>23</xdr:col>
      <xdr:colOff>210903</xdr:colOff>
      <xdr:row>42</xdr:row>
      <xdr:rowOff>17420</xdr:rowOff>
    </xdr:to>
    <xdr:grpSp>
      <xdr:nvGrpSpPr>
        <xdr:cNvPr id="413" name="그룹 412">
          <a:extLst>
            <a:ext uri="{FF2B5EF4-FFF2-40B4-BE49-F238E27FC236}">
              <a16:creationId xmlns:a16="http://schemas.microsoft.com/office/drawing/2014/main" id="{6BB42CE2-C7B8-431C-A042-E8D4D45891EF}"/>
            </a:ext>
          </a:extLst>
        </xdr:cNvPr>
        <xdr:cNvGrpSpPr/>
      </xdr:nvGrpSpPr>
      <xdr:grpSpPr>
        <a:xfrm>
          <a:off x="6178358" y="9038474"/>
          <a:ext cx="638094" cy="248397"/>
          <a:chOff x="3586822" y="5784837"/>
          <a:chExt cx="628762" cy="246809"/>
        </a:xfrm>
      </xdr:grpSpPr>
      <xdr:sp macro="" textlink="">
        <xdr:nvSpPr>
          <xdr:cNvPr id="414" name="TextBox 413">
            <a:extLst>
              <a:ext uri="{FF2B5EF4-FFF2-40B4-BE49-F238E27FC236}">
                <a16:creationId xmlns:a16="http://schemas.microsoft.com/office/drawing/2014/main" id="{602B6CE2-F1CB-EF8B-7C97-D407D3DAD773}"/>
              </a:ext>
            </a:extLst>
          </xdr:cNvPr>
          <xdr:cNvSpPr txBox="1"/>
        </xdr:nvSpPr>
        <xdr:spPr>
          <a:xfrm>
            <a:off x="3586822" y="5784837"/>
            <a:ext cx="628762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#n+1  LD data</a:t>
            </a:r>
          </a:p>
        </xdr:txBody>
      </xdr:sp>
      <xdr:sp macro="" textlink="">
        <xdr:nvSpPr>
          <xdr:cNvPr id="415" name="TextBox 414">
            <a:extLst>
              <a:ext uri="{FF2B5EF4-FFF2-40B4-BE49-F238E27FC236}">
                <a16:creationId xmlns:a16="http://schemas.microsoft.com/office/drawing/2014/main" id="{F3B8DCBB-D831-DF98-39CF-04A868335528}"/>
              </a:ext>
            </a:extLst>
          </xdr:cNvPr>
          <xdr:cNvSpPr txBox="1"/>
        </xdr:nvSpPr>
        <xdr:spPr>
          <a:xfrm>
            <a:off x="3692759" y="5890774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4</xdr:col>
      <xdr:colOff>206608</xdr:colOff>
      <xdr:row>4</xdr:row>
      <xdr:rowOff>205356</xdr:rowOff>
    </xdr:from>
    <xdr:to>
      <xdr:col>7</xdr:col>
      <xdr:colOff>9848</xdr:colOff>
      <xdr:row>6</xdr:row>
      <xdr:rowOff>18506</xdr:rowOff>
    </xdr:to>
    <xdr:grpSp>
      <xdr:nvGrpSpPr>
        <xdr:cNvPr id="416" name="그룹 415">
          <a:extLst>
            <a:ext uri="{FF2B5EF4-FFF2-40B4-BE49-F238E27FC236}">
              <a16:creationId xmlns:a16="http://schemas.microsoft.com/office/drawing/2014/main" id="{CCCA6C7D-BEDA-414C-A466-334D3452314E}"/>
            </a:ext>
          </a:extLst>
        </xdr:cNvPr>
        <xdr:cNvGrpSpPr/>
      </xdr:nvGrpSpPr>
      <xdr:grpSpPr>
        <a:xfrm>
          <a:off x="2249410" y="1071085"/>
          <a:ext cx="528186" cy="248397"/>
          <a:chOff x="2249605" y="5640181"/>
          <a:chExt cx="511807" cy="246809"/>
        </a:xfrm>
      </xdr:grpSpPr>
      <xdr:sp macro="" textlink="">
        <xdr:nvSpPr>
          <xdr:cNvPr id="417" name="TextBox 416">
            <a:extLst>
              <a:ext uri="{FF2B5EF4-FFF2-40B4-BE49-F238E27FC236}">
                <a16:creationId xmlns:a16="http://schemas.microsoft.com/office/drawing/2014/main" id="{C25E81E7-0610-E082-6495-7EE1A067176F}"/>
              </a:ext>
            </a:extLst>
          </xdr:cNvPr>
          <xdr:cNvSpPr txBox="1"/>
        </xdr:nvSpPr>
        <xdr:spPr>
          <a:xfrm>
            <a:off x="2249605" y="5640181"/>
            <a:ext cx="511807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  LD data</a:t>
            </a:r>
          </a:p>
        </xdr:txBody>
      </xdr:sp>
      <xdr:sp macro="" textlink="">
        <xdr:nvSpPr>
          <xdr:cNvPr id="418" name="TextBox 417">
            <a:extLst>
              <a:ext uri="{FF2B5EF4-FFF2-40B4-BE49-F238E27FC236}">
                <a16:creationId xmlns:a16="http://schemas.microsoft.com/office/drawing/2014/main" id="{6D7E9E1C-E13D-6FE5-1B54-5F8113058A8A}"/>
              </a:ext>
            </a:extLst>
          </xdr:cNvPr>
          <xdr:cNvSpPr txBox="1"/>
        </xdr:nvSpPr>
        <xdr:spPr>
          <a:xfrm>
            <a:off x="2332310" y="5746118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22</xdr:col>
      <xdr:colOff>37636</xdr:colOff>
      <xdr:row>4</xdr:row>
      <xdr:rowOff>202877</xdr:rowOff>
    </xdr:from>
    <xdr:to>
      <xdr:col>24</xdr:col>
      <xdr:colOff>194020</xdr:colOff>
      <xdr:row>6</xdr:row>
      <xdr:rowOff>16027</xdr:rowOff>
    </xdr:to>
    <xdr:grpSp>
      <xdr:nvGrpSpPr>
        <xdr:cNvPr id="419" name="그룹 418">
          <a:extLst>
            <a:ext uri="{FF2B5EF4-FFF2-40B4-BE49-F238E27FC236}">
              <a16:creationId xmlns:a16="http://schemas.microsoft.com/office/drawing/2014/main" id="{C2684560-6D08-4086-B398-EBD995AC6CF0}"/>
            </a:ext>
          </a:extLst>
        </xdr:cNvPr>
        <xdr:cNvGrpSpPr/>
      </xdr:nvGrpSpPr>
      <xdr:grpSpPr>
        <a:xfrm>
          <a:off x="6403124" y="1068606"/>
          <a:ext cx="638093" cy="246809"/>
          <a:chOff x="3586822" y="5784837"/>
          <a:chExt cx="628762" cy="246809"/>
        </a:xfrm>
      </xdr:grpSpPr>
      <xdr:sp macro="" textlink="">
        <xdr:nvSpPr>
          <xdr:cNvPr id="420" name="TextBox 419">
            <a:extLst>
              <a:ext uri="{FF2B5EF4-FFF2-40B4-BE49-F238E27FC236}">
                <a16:creationId xmlns:a16="http://schemas.microsoft.com/office/drawing/2014/main" id="{4DAED5D7-8CE4-731B-725D-217825A5E42A}"/>
              </a:ext>
            </a:extLst>
          </xdr:cNvPr>
          <xdr:cNvSpPr txBox="1"/>
        </xdr:nvSpPr>
        <xdr:spPr>
          <a:xfrm>
            <a:off x="3586822" y="5784837"/>
            <a:ext cx="628762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#n+1  LD data</a:t>
            </a:r>
          </a:p>
        </xdr:txBody>
      </xdr:sp>
      <xdr:sp macro="" textlink="">
        <xdr:nvSpPr>
          <xdr:cNvPr id="421" name="TextBox 420">
            <a:extLst>
              <a:ext uri="{FF2B5EF4-FFF2-40B4-BE49-F238E27FC236}">
                <a16:creationId xmlns:a16="http://schemas.microsoft.com/office/drawing/2014/main" id="{B319FBA2-6A9B-2B0F-5027-98E6197D7F3A}"/>
              </a:ext>
            </a:extLst>
          </xdr:cNvPr>
          <xdr:cNvSpPr txBox="1"/>
        </xdr:nvSpPr>
        <xdr:spPr>
          <a:xfrm>
            <a:off x="3692759" y="5890774"/>
            <a:ext cx="386196" cy="14087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lIns="0" tIns="0" rIns="0" bIns="0" rtlCol="0" anchor="ctr" anchorCtr="0">
            <a:spAutoFit/>
          </a:bodyPr>
          <a:lstStyle/>
          <a:p>
            <a:r>
              <a:rPr lang="en-US" altLang="ko-KR" sz="900"/>
              <a:t>transmit</a:t>
            </a:r>
            <a:endParaRPr lang="ko-KR" altLang="en-US" sz="900"/>
          </a:p>
        </xdr:txBody>
      </xdr:sp>
    </xdr:grpSp>
    <xdr:clientData/>
  </xdr:twoCellAnchor>
  <xdr:twoCellAnchor>
    <xdr:from>
      <xdr:col>27</xdr:col>
      <xdr:colOff>125914</xdr:colOff>
      <xdr:row>42</xdr:row>
      <xdr:rowOff>328339</xdr:rowOff>
    </xdr:from>
    <xdr:to>
      <xdr:col>28</xdr:col>
      <xdr:colOff>58076</xdr:colOff>
      <xdr:row>48</xdr:row>
      <xdr:rowOff>22845</xdr:rowOff>
    </xdr:to>
    <xdr:grpSp>
      <xdr:nvGrpSpPr>
        <xdr:cNvPr id="456" name="그룹 455">
          <a:extLst>
            <a:ext uri="{FF2B5EF4-FFF2-40B4-BE49-F238E27FC236}">
              <a16:creationId xmlns:a16="http://schemas.microsoft.com/office/drawing/2014/main" id="{EB20A9B0-84E9-A741-4B96-FEC7488F1DF8}"/>
            </a:ext>
          </a:extLst>
        </xdr:cNvPr>
        <xdr:cNvGrpSpPr/>
      </xdr:nvGrpSpPr>
      <xdr:grpSpPr>
        <a:xfrm>
          <a:off x="7694882" y="9599377"/>
          <a:ext cx="169048" cy="1158104"/>
          <a:chOff x="7571676" y="9597790"/>
          <a:chExt cx="168351" cy="1158104"/>
        </a:xfrm>
      </xdr:grpSpPr>
      <xdr:grpSp>
        <xdr:nvGrpSpPr>
          <xdr:cNvPr id="440" name="그룹 439">
            <a:extLst>
              <a:ext uri="{FF2B5EF4-FFF2-40B4-BE49-F238E27FC236}">
                <a16:creationId xmlns:a16="http://schemas.microsoft.com/office/drawing/2014/main" id="{25A636F7-9CB2-4305-9FDA-2CC15EDE999F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441" name="직사각형 440">
              <a:extLst>
                <a:ext uri="{FF2B5EF4-FFF2-40B4-BE49-F238E27FC236}">
                  <a16:creationId xmlns:a16="http://schemas.microsoft.com/office/drawing/2014/main" id="{A672EA37-A5DF-E7CF-6C92-E0A3AA26652E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42" name="그룹 441">
              <a:extLst>
                <a:ext uri="{FF2B5EF4-FFF2-40B4-BE49-F238E27FC236}">
                  <a16:creationId xmlns:a16="http://schemas.microsoft.com/office/drawing/2014/main" id="{99C6269F-06FF-F757-8D9D-0EA0AA86BB3B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43" name="자유형: 도형 442">
                <a:extLst>
                  <a:ext uri="{FF2B5EF4-FFF2-40B4-BE49-F238E27FC236}">
                    <a16:creationId xmlns:a16="http://schemas.microsoft.com/office/drawing/2014/main" id="{9EFB407C-7AEF-E8A3-4388-FEAD322BD8A0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44" name="자유형: 도형 443">
                <a:extLst>
                  <a:ext uri="{FF2B5EF4-FFF2-40B4-BE49-F238E27FC236}">
                    <a16:creationId xmlns:a16="http://schemas.microsoft.com/office/drawing/2014/main" id="{0BF87FA1-87E3-3170-6BE0-4DC9863A283E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45" name="그룹 444">
            <a:extLst>
              <a:ext uri="{FF2B5EF4-FFF2-40B4-BE49-F238E27FC236}">
                <a16:creationId xmlns:a16="http://schemas.microsoft.com/office/drawing/2014/main" id="{DE05C78D-3DE5-4EB3-9976-2A8078F8C55C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446" name="직사각형 445">
              <a:extLst>
                <a:ext uri="{FF2B5EF4-FFF2-40B4-BE49-F238E27FC236}">
                  <a16:creationId xmlns:a16="http://schemas.microsoft.com/office/drawing/2014/main" id="{B4C1EF51-BF40-F9C4-B1F9-001A36BAE95C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47" name="그룹 446">
              <a:extLst>
                <a:ext uri="{FF2B5EF4-FFF2-40B4-BE49-F238E27FC236}">
                  <a16:creationId xmlns:a16="http://schemas.microsoft.com/office/drawing/2014/main" id="{BA42BAFA-46C0-01DF-97D8-961D7166F9F6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48" name="자유형: 도형 447">
                <a:extLst>
                  <a:ext uri="{FF2B5EF4-FFF2-40B4-BE49-F238E27FC236}">
                    <a16:creationId xmlns:a16="http://schemas.microsoft.com/office/drawing/2014/main" id="{0C53F903-F2CC-4842-768B-08C56F1996FB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49" name="자유형: 도형 448">
                <a:extLst>
                  <a:ext uri="{FF2B5EF4-FFF2-40B4-BE49-F238E27FC236}">
                    <a16:creationId xmlns:a16="http://schemas.microsoft.com/office/drawing/2014/main" id="{1CF099D6-A54E-4DC4-E18B-911F57BEB10B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50" name="그룹 449">
            <a:extLst>
              <a:ext uri="{FF2B5EF4-FFF2-40B4-BE49-F238E27FC236}">
                <a16:creationId xmlns:a16="http://schemas.microsoft.com/office/drawing/2014/main" id="{9D08D9C5-2EC6-4308-800B-48C79AA77B13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451" name="직사각형 450">
              <a:extLst>
                <a:ext uri="{FF2B5EF4-FFF2-40B4-BE49-F238E27FC236}">
                  <a16:creationId xmlns:a16="http://schemas.microsoft.com/office/drawing/2014/main" id="{38420DB3-132F-0E74-CEBA-8F7D2B69559F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52" name="그룹 451">
              <a:extLst>
                <a:ext uri="{FF2B5EF4-FFF2-40B4-BE49-F238E27FC236}">
                  <a16:creationId xmlns:a16="http://schemas.microsoft.com/office/drawing/2014/main" id="{A47796DB-52AA-ADC5-EB5A-37B5CDCF24D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53" name="자유형: 도형 452">
                <a:extLst>
                  <a:ext uri="{FF2B5EF4-FFF2-40B4-BE49-F238E27FC236}">
                    <a16:creationId xmlns:a16="http://schemas.microsoft.com/office/drawing/2014/main" id="{80CE884A-1E7C-A0B0-9C9C-2E5326F2CB56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54" name="자유형: 도형 453">
                <a:extLst>
                  <a:ext uri="{FF2B5EF4-FFF2-40B4-BE49-F238E27FC236}">
                    <a16:creationId xmlns:a16="http://schemas.microsoft.com/office/drawing/2014/main" id="{8F75F702-8179-673C-0DD0-8F4E9E59AA07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4</xdr:col>
      <xdr:colOff>154411</xdr:colOff>
      <xdr:row>42</xdr:row>
      <xdr:rowOff>329733</xdr:rowOff>
    </xdr:from>
    <xdr:to>
      <xdr:col>5</xdr:col>
      <xdr:colOff>86573</xdr:colOff>
      <xdr:row>48</xdr:row>
      <xdr:rowOff>24239</xdr:rowOff>
    </xdr:to>
    <xdr:grpSp>
      <xdr:nvGrpSpPr>
        <xdr:cNvPr id="457" name="그룹 456">
          <a:extLst>
            <a:ext uri="{FF2B5EF4-FFF2-40B4-BE49-F238E27FC236}">
              <a16:creationId xmlns:a16="http://schemas.microsoft.com/office/drawing/2014/main" id="{E006FDD9-B6D5-42DA-B9F6-58178CB78C0C}"/>
            </a:ext>
          </a:extLst>
        </xdr:cNvPr>
        <xdr:cNvGrpSpPr/>
      </xdr:nvGrpSpPr>
      <xdr:grpSpPr>
        <a:xfrm>
          <a:off x="2198801" y="9600771"/>
          <a:ext cx="175398" cy="1158104"/>
          <a:chOff x="7571676" y="9597790"/>
          <a:chExt cx="168351" cy="1158104"/>
        </a:xfrm>
      </xdr:grpSpPr>
      <xdr:grpSp>
        <xdr:nvGrpSpPr>
          <xdr:cNvPr id="458" name="그룹 457">
            <a:extLst>
              <a:ext uri="{FF2B5EF4-FFF2-40B4-BE49-F238E27FC236}">
                <a16:creationId xmlns:a16="http://schemas.microsoft.com/office/drawing/2014/main" id="{66633547-EC65-717E-896A-9A4AFC7F4352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469" name="직사각형 468">
              <a:extLst>
                <a:ext uri="{FF2B5EF4-FFF2-40B4-BE49-F238E27FC236}">
                  <a16:creationId xmlns:a16="http://schemas.microsoft.com/office/drawing/2014/main" id="{48C06BFE-B3EC-81D2-D837-72FD7DAC2515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70" name="그룹 469">
              <a:extLst>
                <a:ext uri="{FF2B5EF4-FFF2-40B4-BE49-F238E27FC236}">
                  <a16:creationId xmlns:a16="http://schemas.microsoft.com/office/drawing/2014/main" id="{C9D1AF3B-489D-BF89-465C-6E2202DFEBB3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71" name="자유형: 도형 470">
                <a:extLst>
                  <a:ext uri="{FF2B5EF4-FFF2-40B4-BE49-F238E27FC236}">
                    <a16:creationId xmlns:a16="http://schemas.microsoft.com/office/drawing/2014/main" id="{787F3AB5-002F-C3A3-9E22-7C29F0322DDC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72" name="자유형: 도형 471">
                <a:extLst>
                  <a:ext uri="{FF2B5EF4-FFF2-40B4-BE49-F238E27FC236}">
                    <a16:creationId xmlns:a16="http://schemas.microsoft.com/office/drawing/2014/main" id="{BD88A1E9-17CD-F79B-801D-D74932FBA76B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59" name="그룹 458">
            <a:extLst>
              <a:ext uri="{FF2B5EF4-FFF2-40B4-BE49-F238E27FC236}">
                <a16:creationId xmlns:a16="http://schemas.microsoft.com/office/drawing/2014/main" id="{18AE0075-5889-EC39-216D-FF4714ED941E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465" name="직사각형 464">
              <a:extLst>
                <a:ext uri="{FF2B5EF4-FFF2-40B4-BE49-F238E27FC236}">
                  <a16:creationId xmlns:a16="http://schemas.microsoft.com/office/drawing/2014/main" id="{63B50C27-A7B1-6190-85AD-AAEBF62AABB1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66" name="그룹 465">
              <a:extLst>
                <a:ext uri="{FF2B5EF4-FFF2-40B4-BE49-F238E27FC236}">
                  <a16:creationId xmlns:a16="http://schemas.microsoft.com/office/drawing/2014/main" id="{609F4B0E-DA1C-85D3-0B82-CFE0BF7D551D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67" name="자유형: 도형 466">
                <a:extLst>
                  <a:ext uri="{FF2B5EF4-FFF2-40B4-BE49-F238E27FC236}">
                    <a16:creationId xmlns:a16="http://schemas.microsoft.com/office/drawing/2014/main" id="{A2BF2590-FC51-35FC-1C59-62761C5C89B1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68" name="자유형: 도형 467">
                <a:extLst>
                  <a:ext uri="{FF2B5EF4-FFF2-40B4-BE49-F238E27FC236}">
                    <a16:creationId xmlns:a16="http://schemas.microsoft.com/office/drawing/2014/main" id="{F6878D86-F003-91CF-ECE3-F9BD1113B830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60" name="그룹 459">
            <a:extLst>
              <a:ext uri="{FF2B5EF4-FFF2-40B4-BE49-F238E27FC236}">
                <a16:creationId xmlns:a16="http://schemas.microsoft.com/office/drawing/2014/main" id="{D344F175-73FE-D9C9-40A4-74F8C1EF803A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461" name="직사각형 460">
              <a:extLst>
                <a:ext uri="{FF2B5EF4-FFF2-40B4-BE49-F238E27FC236}">
                  <a16:creationId xmlns:a16="http://schemas.microsoft.com/office/drawing/2014/main" id="{3221DDF1-37C9-A47B-FB8A-E4302D30ED23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62" name="그룹 461">
              <a:extLst>
                <a:ext uri="{FF2B5EF4-FFF2-40B4-BE49-F238E27FC236}">
                  <a16:creationId xmlns:a16="http://schemas.microsoft.com/office/drawing/2014/main" id="{BF9649FA-0444-013B-5D0F-BBA5D5E7497B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63" name="자유형: 도형 462">
                <a:extLst>
                  <a:ext uri="{FF2B5EF4-FFF2-40B4-BE49-F238E27FC236}">
                    <a16:creationId xmlns:a16="http://schemas.microsoft.com/office/drawing/2014/main" id="{CA22C503-097D-E165-A92A-F0E2576B0265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64" name="자유형: 도형 463">
                <a:extLst>
                  <a:ext uri="{FF2B5EF4-FFF2-40B4-BE49-F238E27FC236}">
                    <a16:creationId xmlns:a16="http://schemas.microsoft.com/office/drawing/2014/main" id="{BECC3CB0-F631-A5C2-509E-1347CF10042D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15</xdr:col>
      <xdr:colOff>151934</xdr:colOff>
      <xdr:row>42</xdr:row>
      <xdr:rowOff>323383</xdr:rowOff>
    </xdr:from>
    <xdr:to>
      <xdr:col>16</xdr:col>
      <xdr:colOff>84096</xdr:colOff>
      <xdr:row>48</xdr:row>
      <xdr:rowOff>17889</xdr:rowOff>
    </xdr:to>
    <xdr:grpSp>
      <xdr:nvGrpSpPr>
        <xdr:cNvPr id="473" name="그룹 472">
          <a:extLst>
            <a:ext uri="{FF2B5EF4-FFF2-40B4-BE49-F238E27FC236}">
              <a16:creationId xmlns:a16="http://schemas.microsoft.com/office/drawing/2014/main" id="{399F7600-6BCE-4FD5-859A-06218F3E593E}"/>
            </a:ext>
          </a:extLst>
        </xdr:cNvPr>
        <xdr:cNvGrpSpPr/>
      </xdr:nvGrpSpPr>
      <xdr:grpSpPr>
        <a:xfrm>
          <a:off x="4836995" y="9592834"/>
          <a:ext cx="175398" cy="1158104"/>
          <a:chOff x="7571676" y="9597790"/>
          <a:chExt cx="168351" cy="1158104"/>
        </a:xfrm>
      </xdr:grpSpPr>
      <xdr:grpSp>
        <xdr:nvGrpSpPr>
          <xdr:cNvPr id="474" name="그룹 473">
            <a:extLst>
              <a:ext uri="{FF2B5EF4-FFF2-40B4-BE49-F238E27FC236}">
                <a16:creationId xmlns:a16="http://schemas.microsoft.com/office/drawing/2014/main" id="{E0FC2E20-CC22-8FE9-CE38-F3428382ED63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485" name="직사각형 484">
              <a:extLst>
                <a:ext uri="{FF2B5EF4-FFF2-40B4-BE49-F238E27FC236}">
                  <a16:creationId xmlns:a16="http://schemas.microsoft.com/office/drawing/2014/main" id="{0CAD76C5-42A8-F711-C48A-35D10BFEEBDC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86" name="그룹 485">
              <a:extLst>
                <a:ext uri="{FF2B5EF4-FFF2-40B4-BE49-F238E27FC236}">
                  <a16:creationId xmlns:a16="http://schemas.microsoft.com/office/drawing/2014/main" id="{63BE4094-5CF9-9975-8FCB-08BBC5D5A7BF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87" name="자유형: 도형 486">
                <a:extLst>
                  <a:ext uri="{FF2B5EF4-FFF2-40B4-BE49-F238E27FC236}">
                    <a16:creationId xmlns:a16="http://schemas.microsoft.com/office/drawing/2014/main" id="{7106E8E7-F2D4-9297-1F3C-E30438F3648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88" name="자유형: 도형 487">
                <a:extLst>
                  <a:ext uri="{FF2B5EF4-FFF2-40B4-BE49-F238E27FC236}">
                    <a16:creationId xmlns:a16="http://schemas.microsoft.com/office/drawing/2014/main" id="{6B274D1A-0DEA-0704-3D0C-948F6ED9BD85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75" name="그룹 474">
            <a:extLst>
              <a:ext uri="{FF2B5EF4-FFF2-40B4-BE49-F238E27FC236}">
                <a16:creationId xmlns:a16="http://schemas.microsoft.com/office/drawing/2014/main" id="{E78C297E-4973-8793-0801-F904FFD4F17E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481" name="직사각형 480">
              <a:extLst>
                <a:ext uri="{FF2B5EF4-FFF2-40B4-BE49-F238E27FC236}">
                  <a16:creationId xmlns:a16="http://schemas.microsoft.com/office/drawing/2014/main" id="{99845268-9844-29C5-C1DF-C0E5CEE444E1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82" name="그룹 481">
              <a:extLst>
                <a:ext uri="{FF2B5EF4-FFF2-40B4-BE49-F238E27FC236}">
                  <a16:creationId xmlns:a16="http://schemas.microsoft.com/office/drawing/2014/main" id="{5BFF6890-E5E5-714F-8948-3D460D3E70F8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83" name="자유형: 도형 482">
                <a:extLst>
                  <a:ext uri="{FF2B5EF4-FFF2-40B4-BE49-F238E27FC236}">
                    <a16:creationId xmlns:a16="http://schemas.microsoft.com/office/drawing/2014/main" id="{CBD4ABD2-0047-E770-1AFD-A982E073FDCA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84" name="자유형: 도형 483">
                <a:extLst>
                  <a:ext uri="{FF2B5EF4-FFF2-40B4-BE49-F238E27FC236}">
                    <a16:creationId xmlns:a16="http://schemas.microsoft.com/office/drawing/2014/main" id="{A9678DA2-E4B8-DD4E-271D-B0556CCC43E9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476" name="그룹 475">
            <a:extLst>
              <a:ext uri="{FF2B5EF4-FFF2-40B4-BE49-F238E27FC236}">
                <a16:creationId xmlns:a16="http://schemas.microsoft.com/office/drawing/2014/main" id="{50301FE8-FB0A-8E3D-E740-60D885B73E50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477" name="직사각형 476">
              <a:extLst>
                <a:ext uri="{FF2B5EF4-FFF2-40B4-BE49-F238E27FC236}">
                  <a16:creationId xmlns:a16="http://schemas.microsoft.com/office/drawing/2014/main" id="{9CBA21EA-96FE-086A-B7EE-74393E4A1510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478" name="그룹 477">
              <a:extLst>
                <a:ext uri="{FF2B5EF4-FFF2-40B4-BE49-F238E27FC236}">
                  <a16:creationId xmlns:a16="http://schemas.microsoft.com/office/drawing/2014/main" id="{8D0FE674-8ABF-C8F2-276D-04EE72561F36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479" name="자유형: 도형 478">
                <a:extLst>
                  <a:ext uri="{FF2B5EF4-FFF2-40B4-BE49-F238E27FC236}">
                    <a16:creationId xmlns:a16="http://schemas.microsoft.com/office/drawing/2014/main" id="{7462BC67-D24F-A4DA-88C4-351DA4E9E1A0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480" name="자유형: 도형 479">
                <a:extLst>
                  <a:ext uri="{FF2B5EF4-FFF2-40B4-BE49-F238E27FC236}">
                    <a16:creationId xmlns:a16="http://schemas.microsoft.com/office/drawing/2014/main" id="{EE93311C-1D3F-E1D1-B9A8-CD2DAB6C2470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34</xdr:col>
      <xdr:colOff>154415</xdr:colOff>
      <xdr:row>42</xdr:row>
      <xdr:rowOff>324777</xdr:rowOff>
    </xdr:from>
    <xdr:to>
      <xdr:col>35</xdr:col>
      <xdr:colOff>26226</xdr:colOff>
      <xdr:row>44</xdr:row>
      <xdr:rowOff>16496</xdr:rowOff>
    </xdr:to>
    <xdr:sp macro="" textlink="">
      <xdr:nvSpPr>
        <xdr:cNvPr id="501" name="직사각형 500">
          <a:extLst>
            <a:ext uri="{FF2B5EF4-FFF2-40B4-BE49-F238E27FC236}">
              <a16:creationId xmlns:a16="http://schemas.microsoft.com/office/drawing/2014/main" id="{0B907637-A753-5FCF-0599-5C7A82506ECD}"/>
            </a:ext>
          </a:extLst>
        </xdr:cNvPr>
        <xdr:cNvSpPr/>
      </xdr:nvSpPr>
      <xdr:spPr>
        <a:xfrm>
          <a:off x="9253500" y="9594228"/>
          <a:ext cx="108000" cy="288000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34</xdr:col>
      <xdr:colOff>209038</xdr:colOff>
      <xdr:row>43</xdr:row>
      <xdr:rowOff>24202</xdr:rowOff>
    </xdr:from>
    <xdr:to>
      <xdr:col>35</xdr:col>
      <xdr:colOff>26849</xdr:colOff>
      <xdr:row>43</xdr:row>
      <xdr:rowOff>204202</xdr:rowOff>
    </xdr:to>
    <xdr:grpSp>
      <xdr:nvGrpSpPr>
        <xdr:cNvPr id="502" name="그룹 501">
          <a:extLst>
            <a:ext uri="{FF2B5EF4-FFF2-40B4-BE49-F238E27FC236}">
              <a16:creationId xmlns:a16="http://schemas.microsoft.com/office/drawing/2014/main" id="{C9685740-B847-55CD-CBAC-5DDCBC117BC5}"/>
            </a:ext>
          </a:extLst>
        </xdr:cNvPr>
        <xdr:cNvGrpSpPr/>
      </xdr:nvGrpSpPr>
      <xdr:grpSpPr>
        <a:xfrm>
          <a:off x="9455258" y="9674691"/>
          <a:ext cx="61046" cy="176825"/>
          <a:chOff x="4965649" y="3003550"/>
          <a:chExt cx="113247" cy="298958"/>
        </a:xfrm>
      </xdr:grpSpPr>
      <xdr:sp macro="" textlink="">
        <xdr:nvSpPr>
          <xdr:cNvPr id="503" name="자유형: 도형 502">
            <a:extLst>
              <a:ext uri="{FF2B5EF4-FFF2-40B4-BE49-F238E27FC236}">
                <a16:creationId xmlns:a16="http://schemas.microsoft.com/office/drawing/2014/main" id="{4BBCE325-C7A3-C99A-6397-87B4B086628B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04" name="자유형: 도형 503">
            <a:extLst>
              <a:ext uri="{FF2B5EF4-FFF2-40B4-BE49-F238E27FC236}">
                <a16:creationId xmlns:a16="http://schemas.microsoft.com/office/drawing/2014/main" id="{C32603F1-C4F1-7284-D08D-E10E9B7757E5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34</xdr:col>
      <xdr:colOff>155808</xdr:colOff>
      <xdr:row>44</xdr:row>
      <xdr:rowOff>171292</xdr:rowOff>
    </xdr:from>
    <xdr:to>
      <xdr:col>35</xdr:col>
      <xdr:colOff>81619</xdr:colOff>
      <xdr:row>46</xdr:row>
      <xdr:rowOff>25634</xdr:rowOff>
    </xdr:to>
    <xdr:grpSp>
      <xdr:nvGrpSpPr>
        <xdr:cNvPr id="491" name="그룹 490">
          <a:extLst>
            <a:ext uri="{FF2B5EF4-FFF2-40B4-BE49-F238E27FC236}">
              <a16:creationId xmlns:a16="http://schemas.microsoft.com/office/drawing/2014/main" id="{3B2D41A2-BE4C-010D-C2EF-527A2DDAF5F8}"/>
            </a:ext>
          </a:extLst>
        </xdr:cNvPr>
        <xdr:cNvGrpSpPr/>
      </xdr:nvGrpSpPr>
      <xdr:grpSpPr>
        <a:xfrm>
          <a:off x="9403615" y="10037024"/>
          <a:ext cx="165871" cy="289587"/>
          <a:chOff x="2194312" y="9593609"/>
          <a:chExt cx="162000" cy="288000"/>
        </a:xfrm>
      </xdr:grpSpPr>
      <xdr:sp macro="" textlink="">
        <xdr:nvSpPr>
          <xdr:cNvPr id="497" name="직사각형 496">
            <a:extLst>
              <a:ext uri="{FF2B5EF4-FFF2-40B4-BE49-F238E27FC236}">
                <a16:creationId xmlns:a16="http://schemas.microsoft.com/office/drawing/2014/main" id="{AC9B4F16-D4CE-32BF-11C8-D5A20316A803}"/>
              </a:ext>
            </a:extLst>
          </xdr:cNvPr>
          <xdr:cNvSpPr/>
        </xdr:nvSpPr>
        <xdr:spPr>
          <a:xfrm>
            <a:off x="2194312" y="9593609"/>
            <a:ext cx="162000" cy="288000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498" name="그룹 497">
            <a:extLst>
              <a:ext uri="{FF2B5EF4-FFF2-40B4-BE49-F238E27FC236}">
                <a16:creationId xmlns:a16="http://schemas.microsoft.com/office/drawing/2014/main" id="{2FD171E2-2387-9B39-FBF5-E86A9741AC43}"/>
              </a:ext>
            </a:extLst>
          </xdr:cNvPr>
          <xdr:cNvGrpSpPr/>
        </xdr:nvGrpSpPr>
        <xdr:grpSpPr>
          <a:xfrm>
            <a:off x="2248935" y="9672485"/>
            <a:ext cx="54000" cy="180000"/>
            <a:chOff x="4965649" y="3003550"/>
            <a:chExt cx="113247" cy="298958"/>
          </a:xfrm>
        </xdr:grpSpPr>
        <xdr:sp macro="" textlink="">
          <xdr:nvSpPr>
            <xdr:cNvPr id="499" name="자유형: 도형 498">
              <a:extLst>
                <a:ext uri="{FF2B5EF4-FFF2-40B4-BE49-F238E27FC236}">
                  <a16:creationId xmlns:a16="http://schemas.microsoft.com/office/drawing/2014/main" id="{8F540321-205D-896C-D26C-945B4697C143}"/>
                </a:ext>
              </a:extLst>
            </xdr:cNvPr>
            <xdr:cNvSpPr/>
          </xdr:nvSpPr>
          <xdr:spPr>
            <a:xfrm>
              <a:off x="4965649" y="3003550"/>
              <a:ext cx="76251" cy="298450"/>
            </a:xfrm>
            <a:custGeom>
              <a:avLst/>
              <a:gdLst>
                <a:gd name="connsiteX0" fmla="*/ 76251 w 76251"/>
                <a:gd name="connsiteY0" fmla="*/ 0 h 298450"/>
                <a:gd name="connsiteX1" fmla="*/ 51 w 76251"/>
                <a:gd name="connsiteY1" fmla="*/ 107950 h 298450"/>
                <a:gd name="connsiteX2" fmla="*/ 63551 w 76251"/>
                <a:gd name="connsiteY2" fmla="*/ 203200 h 298450"/>
                <a:gd name="connsiteX3" fmla="*/ 12751 w 76251"/>
                <a:gd name="connsiteY3" fmla="*/ 298450 h 29845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76251" h="298450">
                  <a:moveTo>
                    <a:pt x="76251" y="0"/>
                  </a:moveTo>
                  <a:cubicBezTo>
                    <a:pt x="39209" y="37041"/>
                    <a:pt x="2168" y="74083"/>
                    <a:pt x="51" y="107950"/>
                  </a:cubicBezTo>
                  <a:cubicBezTo>
                    <a:pt x="-2066" y="141817"/>
                    <a:pt x="61434" y="171450"/>
                    <a:pt x="63551" y="203200"/>
                  </a:cubicBezTo>
                  <a:cubicBezTo>
                    <a:pt x="65668" y="234950"/>
                    <a:pt x="39209" y="266700"/>
                    <a:pt x="12751" y="298450"/>
                  </a:cubicBezTo>
                </a:path>
              </a:pathLst>
            </a:cu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500" name="자유형: 도형 499">
              <a:extLst>
                <a:ext uri="{FF2B5EF4-FFF2-40B4-BE49-F238E27FC236}">
                  <a16:creationId xmlns:a16="http://schemas.microsoft.com/office/drawing/2014/main" id="{80BFD3F1-8007-810E-D60B-25942A341ED2}"/>
                </a:ext>
              </a:extLst>
            </xdr:cNvPr>
            <xdr:cNvSpPr/>
          </xdr:nvSpPr>
          <xdr:spPr>
            <a:xfrm>
              <a:off x="5002645" y="3004058"/>
              <a:ext cx="76251" cy="298450"/>
            </a:xfrm>
            <a:custGeom>
              <a:avLst/>
              <a:gdLst>
                <a:gd name="connsiteX0" fmla="*/ 76251 w 76251"/>
                <a:gd name="connsiteY0" fmla="*/ 0 h 298450"/>
                <a:gd name="connsiteX1" fmla="*/ 51 w 76251"/>
                <a:gd name="connsiteY1" fmla="*/ 107950 h 298450"/>
                <a:gd name="connsiteX2" fmla="*/ 63551 w 76251"/>
                <a:gd name="connsiteY2" fmla="*/ 203200 h 298450"/>
                <a:gd name="connsiteX3" fmla="*/ 12751 w 76251"/>
                <a:gd name="connsiteY3" fmla="*/ 298450 h 29845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76251" h="298450">
                  <a:moveTo>
                    <a:pt x="76251" y="0"/>
                  </a:moveTo>
                  <a:cubicBezTo>
                    <a:pt x="39209" y="37041"/>
                    <a:pt x="2168" y="74083"/>
                    <a:pt x="51" y="107950"/>
                  </a:cubicBezTo>
                  <a:cubicBezTo>
                    <a:pt x="-2066" y="141817"/>
                    <a:pt x="61434" y="171450"/>
                    <a:pt x="63551" y="203200"/>
                  </a:cubicBezTo>
                  <a:cubicBezTo>
                    <a:pt x="65668" y="234950"/>
                    <a:pt x="39209" y="266700"/>
                    <a:pt x="12751" y="298450"/>
                  </a:cubicBezTo>
                </a:path>
              </a:pathLst>
            </a:cu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</xdr:grpSp>
    <xdr:clientData/>
  </xdr:twoCellAnchor>
  <xdr:twoCellAnchor>
    <xdr:from>
      <xdr:col>34</xdr:col>
      <xdr:colOff>149457</xdr:colOff>
      <xdr:row>46</xdr:row>
      <xdr:rowOff>164942</xdr:rowOff>
    </xdr:from>
    <xdr:to>
      <xdr:col>35</xdr:col>
      <xdr:colOff>75268</xdr:colOff>
      <xdr:row>48</xdr:row>
      <xdr:rowOff>19283</xdr:rowOff>
    </xdr:to>
    <xdr:grpSp>
      <xdr:nvGrpSpPr>
        <xdr:cNvPr id="492" name="그룹 491">
          <a:extLst>
            <a:ext uri="{FF2B5EF4-FFF2-40B4-BE49-F238E27FC236}">
              <a16:creationId xmlns:a16="http://schemas.microsoft.com/office/drawing/2014/main" id="{110E314A-17C7-8072-FC19-A90AAD75FF25}"/>
            </a:ext>
          </a:extLst>
        </xdr:cNvPr>
        <xdr:cNvGrpSpPr/>
      </xdr:nvGrpSpPr>
      <xdr:grpSpPr>
        <a:xfrm>
          <a:off x="9394089" y="10462744"/>
          <a:ext cx="167459" cy="289588"/>
          <a:chOff x="2194312" y="9593609"/>
          <a:chExt cx="162000" cy="288000"/>
        </a:xfrm>
      </xdr:grpSpPr>
      <xdr:sp macro="" textlink="">
        <xdr:nvSpPr>
          <xdr:cNvPr id="493" name="직사각형 492">
            <a:extLst>
              <a:ext uri="{FF2B5EF4-FFF2-40B4-BE49-F238E27FC236}">
                <a16:creationId xmlns:a16="http://schemas.microsoft.com/office/drawing/2014/main" id="{918E6604-4FF3-65E2-7732-8D7A9DBD747E}"/>
              </a:ext>
            </a:extLst>
          </xdr:cNvPr>
          <xdr:cNvSpPr/>
        </xdr:nvSpPr>
        <xdr:spPr>
          <a:xfrm>
            <a:off x="2194312" y="9593609"/>
            <a:ext cx="162000" cy="288000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grpSp>
        <xdr:nvGrpSpPr>
          <xdr:cNvPr id="494" name="그룹 493">
            <a:extLst>
              <a:ext uri="{FF2B5EF4-FFF2-40B4-BE49-F238E27FC236}">
                <a16:creationId xmlns:a16="http://schemas.microsoft.com/office/drawing/2014/main" id="{A2CD0A01-D8B3-1C01-367B-30FB06A3BA39}"/>
              </a:ext>
            </a:extLst>
          </xdr:cNvPr>
          <xdr:cNvGrpSpPr/>
        </xdr:nvGrpSpPr>
        <xdr:grpSpPr>
          <a:xfrm>
            <a:off x="2248935" y="9672485"/>
            <a:ext cx="54000" cy="180000"/>
            <a:chOff x="4965649" y="3003550"/>
            <a:chExt cx="113247" cy="298958"/>
          </a:xfrm>
        </xdr:grpSpPr>
        <xdr:sp macro="" textlink="">
          <xdr:nvSpPr>
            <xdr:cNvPr id="495" name="자유형: 도형 494">
              <a:extLst>
                <a:ext uri="{FF2B5EF4-FFF2-40B4-BE49-F238E27FC236}">
                  <a16:creationId xmlns:a16="http://schemas.microsoft.com/office/drawing/2014/main" id="{2F2F9597-39BC-0B59-318C-7F7BEAA49AE7}"/>
                </a:ext>
              </a:extLst>
            </xdr:cNvPr>
            <xdr:cNvSpPr/>
          </xdr:nvSpPr>
          <xdr:spPr>
            <a:xfrm>
              <a:off x="4965649" y="3003550"/>
              <a:ext cx="76251" cy="298450"/>
            </a:xfrm>
            <a:custGeom>
              <a:avLst/>
              <a:gdLst>
                <a:gd name="connsiteX0" fmla="*/ 76251 w 76251"/>
                <a:gd name="connsiteY0" fmla="*/ 0 h 298450"/>
                <a:gd name="connsiteX1" fmla="*/ 51 w 76251"/>
                <a:gd name="connsiteY1" fmla="*/ 107950 h 298450"/>
                <a:gd name="connsiteX2" fmla="*/ 63551 w 76251"/>
                <a:gd name="connsiteY2" fmla="*/ 203200 h 298450"/>
                <a:gd name="connsiteX3" fmla="*/ 12751 w 76251"/>
                <a:gd name="connsiteY3" fmla="*/ 298450 h 29845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76251" h="298450">
                  <a:moveTo>
                    <a:pt x="76251" y="0"/>
                  </a:moveTo>
                  <a:cubicBezTo>
                    <a:pt x="39209" y="37041"/>
                    <a:pt x="2168" y="74083"/>
                    <a:pt x="51" y="107950"/>
                  </a:cubicBezTo>
                  <a:cubicBezTo>
                    <a:pt x="-2066" y="141817"/>
                    <a:pt x="61434" y="171450"/>
                    <a:pt x="63551" y="203200"/>
                  </a:cubicBezTo>
                  <a:cubicBezTo>
                    <a:pt x="65668" y="234950"/>
                    <a:pt x="39209" y="266700"/>
                    <a:pt x="12751" y="298450"/>
                  </a:cubicBezTo>
                </a:path>
              </a:pathLst>
            </a:cu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496" name="자유형: 도형 495">
              <a:extLst>
                <a:ext uri="{FF2B5EF4-FFF2-40B4-BE49-F238E27FC236}">
                  <a16:creationId xmlns:a16="http://schemas.microsoft.com/office/drawing/2014/main" id="{A1A728A1-1ABF-A6BC-8CE1-E2D4FBBC6C65}"/>
                </a:ext>
              </a:extLst>
            </xdr:cNvPr>
            <xdr:cNvSpPr/>
          </xdr:nvSpPr>
          <xdr:spPr>
            <a:xfrm>
              <a:off x="5002645" y="3004058"/>
              <a:ext cx="76251" cy="298450"/>
            </a:xfrm>
            <a:custGeom>
              <a:avLst/>
              <a:gdLst>
                <a:gd name="connsiteX0" fmla="*/ 76251 w 76251"/>
                <a:gd name="connsiteY0" fmla="*/ 0 h 298450"/>
                <a:gd name="connsiteX1" fmla="*/ 51 w 76251"/>
                <a:gd name="connsiteY1" fmla="*/ 107950 h 298450"/>
                <a:gd name="connsiteX2" fmla="*/ 63551 w 76251"/>
                <a:gd name="connsiteY2" fmla="*/ 203200 h 298450"/>
                <a:gd name="connsiteX3" fmla="*/ 12751 w 76251"/>
                <a:gd name="connsiteY3" fmla="*/ 298450 h 298450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</a:cxnLst>
              <a:rect l="l" t="t" r="r" b="b"/>
              <a:pathLst>
                <a:path w="76251" h="298450">
                  <a:moveTo>
                    <a:pt x="76251" y="0"/>
                  </a:moveTo>
                  <a:cubicBezTo>
                    <a:pt x="39209" y="37041"/>
                    <a:pt x="2168" y="74083"/>
                    <a:pt x="51" y="107950"/>
                  </a:cubicBezTo>
                  <a:cubicBezTo>
                    <a:pt x="-2066" y="141817"/>
                    <a:pt x="61434" y="171450"/>
                    <a:pt x="63551" y="203200"/>
                  </a:cubicBezTo>
                  <a:cubicBezTo>
                    <a:pt x="65668" y="234950"/>
                    <a:pt x="39209" y="266700"/>
                    <a:pt x="12751" y="298450"/>
                  </a:cubicBezTo>
                </a:path>
              </a:pathLst>
            </a:cu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</xdr:grpSp>
    <xdr:clientData/>
  </xdr:twoCellAnchor>
  <xdr:twoCellAnchor>
    <xdr:from>
      <xdr:col>4</xdr:col>
      <xdr:colOff>135519</xdr:colOff>
      <xdr:row>6</xdr:row>
      <xdr:rowOff>158750</xdr:rowOff>
    </xdr:from>
    <xdr:to>
      <xdr:col>5</xdr:col>
      <xdr:colOff>67681</xdr:colOff>
      <xdr:row>12</xdr:row>
      <xdr:rowOff>15879</xdr:rowOff>
    </xdr:to>
    <xdr:grpSp>
      <xdr:nvGrpSpPr>
        <xdr:cNvPr id="505" name="그룹 504">
          <a:extLst>
            <a:ext uri="{FF2B5EF4-FFF2-40B4-BE49-F238E27FC236}">
              <a16:creationId xmlns:a16="http://schemas.microsoft.com/office/drawing/2014/main" id="{93492F9C-331F-4678-BF24-D00DC2618C79}"/>
            </a:ext>
          </a:extLst>
        </xdr:cNvPr>
        <xdr:cNvGrpSpPr/>
      </xdr:nvGrpSpPr>
      <xdr:grpSpPr>
        <a:xfrm>
          <a:off x="2179909" y="1461313"/>
          <a:ext cx="175398" cy="1154929"/>
          <a:chOff x="7571676" y="9597790"/>
          <a:chExt cx="168351" cy="1158104"/>
        </a:xfrm>
      </xdr:grpSpPr>
      <xdr:grpSp>
        <xdr:nvGrpSpPr>
          <xdr:cNvPr id="506" name="그룹 505">
            <a:extLst>
              <a:ext uri="{FF2B5EF4-FFF2-40B4-BE49-F238E27FC236}">
                <a16:creationId xmlns:a16="http://schemas.microsoft.com/office/drawing/2014/main" id="{3EB2A6A0-6007-DD5D-F3FF-87DA4FDF7549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17" name="직사각형 516">
              <a:extLst>
                <a:ext uri="{FF2B5EF4-FFF2-40B4-BE49-F238E27FC236}">
                  <a16:creationId xmlns:a16="http://schemas.microsoft.com/office/drawing/2014/main" id="{725FB8AA-EE16-3A57-5436-6EB4275CEA16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18" name="그룹 517">
              <a:extLst>
                <a:ext uri="{FF2B5EF4-FFF2-40B4-BE49-F238E27FC236}">
                  <a16:creationId xmlns:a16="http://schemas.microsoft.com/office/drawing/2014/main" id="{CB5614E2-E9A6-3681-0DD0-6E6CC0207EB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19" name="자유형: 도형 518">
                <a:extLst>
                  <a:ext uri="{FF2B5EF4-FFF2-40B4-BE49-F238E27FC236}">
                    <a16:creationId xmlns:a16="http://schemas.microsoft.com/office/drawing/2014/main" id="{9439791E-571E-07BC-5BF9-DD92B57F3CA7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20" name="자유형: 도형 519">
                <a:extLst>
                  <a:ext uri="{FF2B5EF4-FFF2-40B4-BE49-F238E27FC236}">
                    <a16:creationId xmlns:a16="http://schemas.microsoft.com/office/drawing/2014/main" id="{58733E54-9207-0591-C3DE-728B8EF4C56A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07" name="그룹 506">
            <a:extLst>
              <a:ext uri="{FF2B5EF4-FFF2-40B4-BE49-F238E27FC236}">
                <a16:creationId xmlns:a16="http://schemas.microsoft.com/office/drawing/2014/main" id="{08526087-BA79-C465-F3E2-09A79563D86A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13" name="직사각형 512">
              <a:extLst>
                <a:ext uri="{FF2B5EF4-FFF2-40B4-BE49-F238E27FC236}">
                  <a16:creationId xmlns:a16="http://schemas.microsoft.com/office/drawing/2014/main" id="{AFD6AA5B-F509-1ED9-E952-C87EC5367FF6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14" name="그룹 513">
              <a:extLst>
                <a:ext uri="{FF2B5EF4-FFF2-40B4-BE49-F238E27FC236}">
                  <a16:creationId xmlns:a16="http://schemas.microsoft.com/office/drawing/2014/main" id="{983E3DA4-C898-7CDB-E98D-1F2F94E4E62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15" name="자유형: 도형 514">
                <a:extLst>
                  <a:ext uri="{FF2B5EF4-FFF2-40B4-BE49-F238E27FC236}">
                    <a16:creationId xmlns:a16="http://schemas.microsoft.com/office/drawing/2014/main" id="{46AA26F1-A16C-BF4E-BE0A-C9922229CCB5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16" name="자유형: 도형 515">
                <a:extLst>
                  <a:ext uri="{FF2B5EF4-FFF2-40B4-BE49-F238E27FC236}">
                    <a16:creationId xmlns:a16="http://schemas.microsoft.com/office/drawing/2014/main" id="{E53C1FBF-9BAF-BC0D-65E8-7740E3F9E5C8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08" name="그룹 507">
            <a:extLst>
              <a:ext uri="{FF2B5EF4-FFF2-40B4-BE49-F238E27FC236}">
                <a16:creationId xmlns:a16="http://schemas.microsoft.com/office/drawing/2014/main" id="{A099422F-3C3A-E81E-0F9D-7846D2D91F9E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09" name="직사각형 508">
              <a:extLst>
                <a:ext uri="{FF2B5EF4-FFF2-40B4-BE49-F238E27FC236}">
                  <a16:creationId xmlns:a16="http://schemas.microsoft.com/office/drawing/2014/main" id="{DBDF1F0E-89A7-85C9-D42A-D1B7F7335D5E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10" name="그룹 509">
              <a:extLst>
                <a:ext uri="{FF2B5EF4-FFF2-40B4-BE49-F238E27FC236}">
                  <a16:creationId xmlns:a16="http://schemas.microsoft.com/office/drawing/2014/main" id="{59B7FA74-7A35-ECBD-497C-53C6144E4413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11" name="자유형: 도형 510">
                <a:extLst>
                  <a:ext uri="{FF2B5EF4-FFF2-40B4-BE49-F238E27FC236}">
                    <a16:creationId xmlns:a16="http://schemas.microsoft.com/office/drawing/2014/main" id="{E2C890EB-DB0C-770F-8F66-8A6DB9E94702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12" name="자유형: 도형 511">
                <a:extLst>
                  <a:ext uri="{FF2B5EF4-FFF2-40B4-BE49-F238E27FC236}">
                    <a16:creationId xmlns:a16="http://schemas.microsoft.com/office/drawing/2014/main" id="{D23F39DC-7035-70DB-5662-0381BE02DF8A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4</xdr:col>
      <xdr:colOff>144656</xdr:colOff>
      <xdr:row>17</xdr:row>
      <xdr:rowOff>326638</xdr:rowOff>
    </xdr:from>
    <xdr:to>
      <xdr:col>5</xdr:col>
      <xdr:colOff>76818</xdr:colOff>
      <xdr:row>23</xdr:row>
      <xdr:rowOff>21145</xdr:rowOff>
    </xdr:to>
    <xdr:grpSp>
      <xdr:nvGrpSpPr>
        <xdr:cNvPr id="521" name="그룹 520">
          <a:extLst>
            <a:ext uri="{FF2B5EF4-FFF2-40B4-BE49-F238E27FC236}">
              <a16:creationId xmlns:a16="http://schemas.microsoft.com/office/drawing/2014/main" id="{4773229A-3A3E-41DE-A273-322003C80459}"/>
            </a:ext>
          </a:extLst>
        </xdr:cNvPr>
        <xdr:cNvGrpSpPr/>
      </xdr:nvGrpSpPr>
      <xdr:grpSpPr>
        <a:xfrm>
          <a:off x="2192221" y="4014323"/>
          <a:ext cx="169048" cy="1156517"/>
          <a:chOff x="7571676" y="9597790"/>
          <a:chExt cx="168351" cy="1158104"/>
        </a:xfrm>
      </xdr:grpSpPr>
      <xdr:grpSp>
        <xdr:nvGrpSpPr>
          <xdr:cNvPr id="522" name="그룹 521">
            <a:extLst>
              <a:ext uri="{FF2B5EF4-FFF2-40B4-BE49-F238E27FC236}">
                <a16:creationId xmlns:a16="http://schemas.microsoft.com/office/drawing/2014/main" id="{789DD8F6-DE6B-4FA4-AA22-6A84FBAA4666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33" name="직사각형 532">
              <a:extLst>
                <a:ext uri="{FF2B5EF4-FFF2-40B4-BE49-F238E27FC236}">
                  <a16:creationId xmlns:a16="http://schemas.microsoft.com/office/drawing/2014/main" id="{B1AA5253-4AC2-C642-A29E-0AA0B0511922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34" name="그룹 533">
              <a:extLst>
                <a:ext uri="{FF2B5EF4-FFF2-40B4-BE49-F238E27FC236}">
                  <a16:creationId xmlns:a16="http://schemas.microsoft.com/office/drawing/2014/main" id="{7D34925C-3912-4B28-5700-9DE64A435FFA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35" name="자유형: 도형 534">
                <a:extLst>
                  <a:ext uri="{FF2B5EF4-FFF2-40B4-BE49-F238E27FC236}">
                    <a16:creationId xmlns:a16="http://schemas.microsoft.com/office/drawing/2014/main" id="{565F93EE-A277-02FA-2153-C6BC85ABB8FF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36" name="자유형: 도형 535">
                <a:extLst>
                  <a:ext uri="{FF2B5EF4-FFF2-40B4-BE49-F238E27FC236}">
                    <a16:creationId xmlns:a16="http://schemas.microsoft.com/office/drawing/2014/main" id="{60B82227-B788-6926-CC8D-CACE760E09FA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23" name="그룹 522">
            <a:extLst>
              <a:ext uri="{FF2B5EF4-FFF2-40B4-BE49-F238E27FC236}">
                <a16:creationId xmlns:a16="http://schemas.microsoft.com/office/drawing/2014/main" id="{FD7C1865-5D4E-FB70-6AD4-3FED6655EDD4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29" name="직사각형 528">
              <a:extLst>
                <a:ext uri="{FF2B5EF4-FFF2-40B4-BE49-F238E27FC236}">
                  <a16:creationId xmlns:a16="http://schemas.microsoft.com/office/drawing/2014/main" id="{D3629887-31D2-513C-407D-409FCEBBAF6D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30" name="그룹 529">
              <a:extLst>
                <a:ext uri="{FF2B5EF4-FFF2-40B4-BE49-F238E27FC236}">
                  <a16:creationId xmlns:a16="http://schemas.microsoft.com/office/drawing/2014/main" id="{37F1BE07-9DE5-480D-B2ED-A4E9E0315CED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31" name="자유형: 도형 530">
                <a:extLst>
                  <a:ext uri="{FF2B5EF4-FFF2-40B4-BE49-F238E27FC236}">
                    <a16:creationId xmlns:a16="http://schemas.microsoft.com/office/drawing/2014/main" id="{F0C469B3-F8CD-81E0-A12B-90F9F54CC7F6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32" name="자유형: 도형 531">
                <a:extLst>
                  <a:ext uri="{FF2B5EF4-FFF2-40B4-BE49-F238E27FC236}">
                    <a16:creationId xmlns:a16="http://schemas.microsoft.com/office/drawing/2014/main" id="{3B2E6A45-EB3E-19C7-1D16-FDBEE5CF9DB4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24" name="그룹 523">
            <a:extLst>
              <a:ext uri="{FF2B5EF4-FFF2-40B4-BE49-F238E27FC236}">
                <a16:creationId xmlns:a16="http://schemas.microsoft.com/office/drawing/2014/main" id="{F7FE3B2C-8AF6-8952-9E80-9C930BD54A05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25" name="직사각형 524">
              <a:extLst>
                <a:ext uri="{FF2B5EF4-FFF2-40B4-BE49-F238E27FC236}">
                  <a16:creationId xmlns:a16="http://schemas.microsoft.com/office/drawing/2014/main" id="{3BACD5B4-F1B4-2B81-17E4-153AD4A7AE41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26" name="그룹 525">
              <a:extLst>
                <a:ext uri="{FF2B5EF4-FFF2-40B4-BE49-F238E27FC236}">
                  <a16:creationId xmlns:a16="http://schemas.microsoft.com/office/drawing/2014/main" id="{0CA6181A-F909-0D55-522D-315BB840365B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27" name="자유형: 도형 526">
                <a:extLst>
                  <a:ext uri="{FF2B5EF4-FFF2-40B4-BE49-F238E27FC236}">
                    <a16:creationId xmlns:a16="http://schemas.microsoft.com/office/drawing/2014/main" id="{804E70AD-EB4E-F483-1758-9A50961F43F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28" name="자유형: 도형 527">
                <a:extLst>
                  <a:ext uri="{FF2B5EF4-FFF2-40B4-BE49-F238E27FC236}">
                    <a16:creationId xmlns:a16="http://schemas.microsoft.com/office/drawing/2014/main" id="{9A5514D6-F088-0EEA-F1AF-9A9F79DF3894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4</xdr:col>
      <xdr:colOff>134434</xdr:colOff>
      <xdr:row>31</xdr:row>
      <xdr:rowOff>165411</xdr:rowOff>
    </xdr:from>
    <xdr:to>
      <xdr:col>5</xdr:col>
      <xdr:colOff>66596</xdr:colOff>
      <xdr:row>37</xdr:row>
      <xdr:rowOff>22539</xdr:rowOff>
    </xdr:to>
    <xdr:grpSp>
      <xdr:nvGrpSpPr>
        <xdr:cNvPr id="537" name="그룹 536">
          <a:extLst>
            <a:ext uri="{FF2B5EF4-FFF2-40B4-BE49-F238E27FC236}">
              <a16:creationId xmlns:a16="http://schemas.microsoft.com/office/drawing/2014/main" id="{39A5FD8D-1253-4410-A777-EDC1305A883C}"/>
            </a:ext>
          </a:extLst>
        </xdr:cNvPr>
        <xdr:cNvGrpSpPr/>
      </xdr:nvGrpSpPr>
      <xdr:grpSpPr>
        <a:xfrm>
          <a:off x="2178824" y="7048152"/>
          <a:ext cx="175398" cy="1161279"/>
          <a:chOff x="7571676" y="9597790"/>
          <a:chExt cx="168351" cy="1158104"/>
        </a:xfrm>
      </xdr:grpSpPr>
      <xdr:grpSp>
        <xdr:nvGrpSpPr>
          <xdr:cNvPr id="538" name="그룹 537">
            <a:extLst>
              <a:ext uri="{FF2B5EF4-FFF2-40B4-BE49-F238E27FC236}">
                <a16:creationId xmlns:a16="http://schemas.microsoft.com/office/drawing/2014/main" id="{30642C7C-9EF1-A697-60D6-16020B18D0EB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49" name="직사각형 548">
              <a:extLst>
                <a:ext uri="{FF2B5EF4-FFF2-40B4-BE49-F238E27FC236}">
                  <a16:creationId xmlns:a16="http://schemas.microsoft.com/office/drawing/2014/main" id="{D974BDF1-E9FC-C2F3-FCF9-62A7A1D0C7ED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50" name="그룹 549">
              <a:extLst>
                <a:ext uri="{FF2B5EF4-FFF2-40B4-BE49-F238E27FC236}">
                  <a16:creationId xmlns:a16="http://schemas.microsoft.com/office/drawing/2014/main" id="{C2970418-3891-97AC-50F9-EA7F3E48A475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51" name="자유형: 도형 550">
                <a:extLst>
                  <a:ext uri="{FF2B5EF4-FFF2-40B4-BE49-F238E27FC236}">
                    <a16:creationId xmlns:a16="http://schemas.microsoft.com/office/drawing/2014/main" id="{229832AC-D2E9-3FA9-3EB2-4E871FCC8C97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52" name="자유형: 도형 551">
                <a:extLst>
                  <a:ext uri="{FF2B5EF4-FFF2-40B4-BE49-F238E27FC236}">
                    <a16:creationId xmlns:a16="http://schemas.microsoft.com/office/drawing/2014/main" id="{D334624E-7D22-BB1F-BBE4-E3370E29B7C0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39" name="그룹 538">
            <a:extLst>
              <a:ext uri="{FF2B5EF4-FFF2-40B4-BE49-F238E27FC236}">
                <a16:creationId xmlns:a16="http://schemas.microsoft.com/office/drawing/2014/main" id="{CCC95863-A323-3FFE-91F3-E6FE92B17DA5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45" name="직사각형 544">
              <a:extLst>
                <a:ext uri="{FF2B5EF4-FFF2-40B4-BE49-F238E27FC236}">
                  <a16:creationId xmlns:a16="http://schemas.microsoft.com/office/drawing/2014/main" id="{9E9DDD71-A997-668F-2E73-FC41BA3FF5A0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46" name="그룹 545">
              <a:extLst>
                <a:ext uri="{FF2B5EF4-FFF2-40B4-BE49-F238E27FC236}">
                  <a16:creationId xmlns:a16="http://schemas.microsoft.com/office/drawing/2014/main" id="{CF568D15-3183-23A5-0702-CEE318BC6E2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47" name="자유형: 도형 546">
                <a:extLst>
                  <a:ext uri="{FF2B5EF4-FFF2-40B4-BE49-F238E27FC236}">
                    <a16:creationId xmlns:a16="http://schemas.microsoft.com/office/drawing/2014/main" id="{D88D8EB6-E31E-642E-D474-C27C7FE4EA28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48" name="자유형: 도형 547">
                <a:extLst>
                  <a:ext uri="{FF2B5EF4-FFF2-40B4-BE49-F238E27FC236}">
                    <a16:creationId xmlns:a16="http://schemas.microsoft.com/office/drawing/2014/main" id="{1F353216-BCB1-9EF2-154A-2898C884DD0D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40" name="그룹 539">
            <a:extLst>
              <a:ext uri="{FF2B5EF4-FFF2-40B4-BE49-F238E27FC236}">
                <a16:creationId xmlns:a16="http://schemas.microsoft.com/office/drawing/2014/main" id="{621F3971-05FB-617A-9AEF-8101DBA2D5B4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41" name="직사각형 540">
              <a:extLst>
                <a:ext uri="{FF2B5EF4-FFF2-40B4-BE49-F238E27FC236}">
                  <a16:creationId xmlns:a16="http://schemas.microsoft.com/office/drawing/2014/main" id="{1C164EC6-286D-CD51-EF76-A79D8709F4BE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42" name="그룹 541">
              <a:extLst>
                <a:ext uri="{FF2B5EF4-FFF2-40B4-BE49-F238E27FC236}">
                  <a16:creationId xmlns:a16="http://schemas.microsoft.com/office/drawing/2014/main" id="{7E559A43-4E38-D28D-1536-9528E6594AC4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43" name="자유형: 도형 542">
                <a:extLst>
                  <a:ext uri="{FF2B5EF4-FFF2-40B4-BE49-F238E27FC236}">
                    <a16:creationId xmlns:a16="http://schemas.microsoft.com/office/drawing/2014/main" id="{66AC8C2A-5E28-27D5-E9B0-F0F28ABB73C8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44" name="자유형: 도형 543">
                <a:extLst>
                  <a:ext uri="{FF2B5EF4-FFF2-40B4-BE49-F238E27FC236}">
                    <a16:creationId xmlns:a16="http://schemas.microsoft.com/office/drawing/2014/main" id="{72AE3F7B-3724-0601-F3CE-750BA8B5497C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21</xdr:col>
      <xdr:colOff>152401</xdr:colOff>
      <xdr:row>6</xdr:row>
      <xdr:rowOff>148528</xdr:rowOff>
    </xdr:from>
    <xdr:to>
      <xdr:col>22</xdr:col>
      <xdr:colOff>84563</xdr:colOff>
      <xdr:row>12</xdr:row>
      <xdr:rowOff>5657</xdr:rowOff>
    </xdr:to>
    <xdr:grpSp>
      <xdr:nvGrpSpPr>
        <xdr:cNvPr id="553" name="그룹 552">
          <a:extLst>
            <a:ext uri="{FF2B5EF4-FFF2-40B4-BE49-F238E27FC236}">
              <a16:creationId xmlns:a16="http://schemas.microsoft.com/office/drawing/2014/main" id="{04560514-C491-4C14-989E-56B204C3624F}"/>
            </a:ext>
          </a:extLst>
        </xdr:cNvPr>
        <xdr:cNvGrpSpPr/>
      </xdr:nvGrpSpPr>
      <xdr:grpSpPr>
        <a:xfrm>
          <a:off x="6277828" y="1447916"/>
          <a:ext cx="175398" cy="1161279"/>
          <a:chOff x="7571676" y="9597790"/>
          <a:chExt cx="168351" cy="1158104"/>
        </a:xfrm>
      </xdr:grpSpPr>
      <xdr:grpSp>
        <xdr:nvGrpSpPr>
          <xdr:cNvPr id="554" name="그룹 553">
            <a:extLst>
              <a:ext uri="{FF2B5EF4-FFF2-40B4-BE49-F238E27FC236}">
                <a16:creationId xmlns:a16="http://schemas.microsoft.com/office/drawing/2014/main" id="{FC558252-02F4-87F5-FB99-4649A918A041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65" name="직사각형 564">
              <a:extLst>
                <a:ext uri="{FF2B5EF4-FFF2-40B4-BE49-F238E27FC236}">
                  <a16:creationId xmlns:a16="http://schemas.microsoft.com/office/drawing/2014/main" id="{6ACB9072-077B-5DB3-7FE2-72ECC3513CF2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66" name="그룹 565">
              <a:extLst>
                <a:ext uri="{FF2B5EF4-FFF2-40B4-BE49-F238E27FC236}">
                  <a16:creationId xmlns:a16="http://schemas.microsoft.com/office/drawing/2014/main" id="{229B966E-69F6-7FEA-1002-DEEA8F7B84C5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67" name="자유형: 도형 566">
                <a:extLst>
                  <a:ext uri="{FF2B5EF4-FFF2-40B4-BE49-F238E27FC236}">
                    <a16:creationId xmlns:a16="http://schemas.microsoft.com/office/drawing/2014/main" id="{E83782E2-905A-40F7-3B9D-7B45386EEAAD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68" name="자유형: 도형 567">
                <a:extLst>
                  <a:ext uri="{FF2B5EF4-FFF2-40B4-BE49-F238E27FC236}">
                    <a16:creationId xmlns:a16="http://schemas.microsoft.com/office/drawing/2014/main" id="{BFA8CA6F-A64F-7709-B998-11321F2D9922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55" name="그룹 554">
            <a:extLst>
              <a:ext uri="{FF2B5EF4-FFF2-40B4-BE49-F238E27FC236}">
                <a16:creationId xmlns:a16="http://schemas.microsoft.com/office/drawing/2014/main" id="{3D5FDF80-839F-9485-893B-A5868D99317F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61" name="직사각형 560">
              <a:extLst>
                <a:ext uri="{FF2B5EF4-FFF2-40B4-BE49-F238E27FC236}">
                  <a16:creationId xmlns:a16="http://schemas.microsoft.com/office/drawing/2014/main" id="{5EEA8A4B-5CD2-B288-01FA-1FC5B4D48DB5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62" name="그룹 561">
              <a:extLst>
                <a:ext uri="{FF2B5EF4-FFF2-40B4-BE49-F238E27FC236}">
                  <a16:creationId xmlns:a16="http://schemas.microsoft.com/office/drawing/2014/main" id="{08030C88-4B87-B2F6-80AB-B5B33AEC82D4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63" name="자유형: 도형 562">
                <a:extLst>
                  <a:ext uri="{FF2B5EF4-FFF2-40B4-BE49-F238E27FC236}">
                    <a16:creationId xmlns:a16="http://schemas.microsoft.com/office/drawing/2014/main" id="{50D44AAB-CCE1-631A-D3AE-B67271F2B8DD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64" name="자유형: 도형 563">
                <a:extLst>
                  <a:ext uri="{FF2B5EF4-FFF2-40B4-BE49-F238E27FC236}">
                    <a16:creationId xmlns:a16="http://schemas.microsoft.com/office/drawing/2014/main" id="{CBA9411D-3D64-C614-134A-0EC2021FA7CD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56" name="그룹 555">
            <a:extLst>
              <a:ext uri="{FF2B5EF4-FFF2-40B4-BE49-F238E27FC236}">
                <a16:creationId xmlns:a16="http://schemas.microsoft.com/office/drawing/2014/main" id="{42816273-6A1C-1185-F2CF-1F7945912688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57" name="직사각형 556">
              <a:extLst>
                <a:ext uri="{FF2B5EF4-FFF2-40B4-BE49-F238E27FC236}">
                  <a16:creationId xmlns:a16="http://schemas.microsoft.com/office/drawing/2014/main" id="{AA250907-7C33-F9ED-1B60-67901BED0697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58" name="그룹 557">
              <a:extLst>
                <a:ext uri="{FF2B5EF4-FFF2-40B4-BE49-F238E27FC236}">
                  <a16:creationId xmlns:a16="http://schemas.microsoft.com/office/drawing/2014/main" id="{177BC5A7-61EE-E5F4-5668-C50B6FD27D91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59" name="자유형: 도형 558">
                <a:extLst>
                  <a:ext uri="{FF2B5EF4-FFF2-40B4-BE49-F238E27FC236}">
                    <a16:creationId xmlns:a16="http://schemas.microsoft.com/office/drawing/2014/main" id="{8587C249-5F4E-7F1C-5FF4-96C4817CE69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60" name="자유형: 도형 559">
                <a:extLst>
                  <a:ext uri="{FF2B5EF4-FFF2-40B4-BE49-F238E27FC236}">
                    <a16:creationId xmlns:a16="http://schemas.microsoft.com/office/drawing/2014/main" id="{E514A8D6-2666-F1E2-311A-446EFB4F3C88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15</xdr:col>
      <xdr:colOff>153794</xdr:colOff>
      <xdr:row>17</xdr:row>
      <xdr:rowOff>331903</xdr:rowOff>
    </xdr:from>
    <xdr:to>
      <xdr:col>16</xdr:col>
      <xdr:colOff>85956</xdr:colOff>
      <xdr:row>23</xdr:row>
      <xdr:rowOff>26410</xdr:rowOff>
    </xdr:to>
    <xdr:grpSp>
      <xdr:nvGrpSpPr>
        <xdr:cNvPr id="569" name="그룹 568">
          <a:extLst>
            <a:ext uri="{FF2B5EF4-FFF2-40B4-BE49-F238E27FC236}">
              <a16:creationId xmlns:a16="http://schemas.microsoft.com/office/drawing/2014/main" id="{3946EA35-E4EA-413E-A19D-21179694F0FA}"/>
            </a:ext>
          </a:extLst>
        </xdr:cNvPr>
        <xdr:cNvGrpSpPr/>
      </xdr:nvGrpSpPr>
      <xdr:grpSpPr>
        <a:xfrm>
          <a:off x="4838855" y="4021176"/>
          <a:ext cx="175398" cy="1158104"/>
          <a:chOff x="7571676" y="9597790"/>
          <a:chExt cx="168351" cy="1158104"/>
        </a:xfrm>
      </xdr:grpSpPr>
      <xdr:grpSp>
        <xdr:nvGrpSpPr>
          <xdr:cNvPr id="570" name="그룹 569">
            <a:extLst>
              <a:ext uri="{FF2B5EF4-FFF2-40B4-BE49-F238E27FC236}">
                <a16:creationId xmlns:a16="http://schemas.microsoft.com/office/drawing/2014/main" id="{EE1ABBCE-4B67-7B8E-27EC-381BD43C10DA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81" name="직사각형 580">
              <a:extLst>
                <a:ext uri="{FF2B5EF4-FFF2-40B4-BE49-F238E27FC236}">
                  <a16:creationId xmlns:a16="http://schemas.microsoft.com/office/drawing/2014/main" id="{4E618BAD-BEAA-CE5E-5D7B-B297DDCAC1BF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82" name="그룹 581">
              <a:extLst>
                <a:ext uri="{FF2B5EF4-FFF2-40B4-BE49-F238E27FC236}">
                  <a16:creationId xmlns:a16="http://schemas.microsoft.com/office/drawing/2014/main" id="{613CA1A5-BCFC-7FB4-143D-B5E56C88A4F5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83" name="자유형: 도형 582">
                <a:extLst>
                  <a:ext uri="{FF2B5EF4-FFF2-40B4-BE49-F238E27FC236}">
                    <a16:creationId xmlns:a16="http://schemas.microsoft.com/office/drawing/2014/main" id="{F14561A9-ADCF-CBAB-20A0-3987ABC93C99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84" name="자유형: 도형 583">
                <a:extLst>
                  <a:ext uri="{FF2B5EF4-FFF2-40B4-BE49-F238E27FC236}">
                    <a16:creationId xmlns:a16="http://schemas.microsoft.com/office/drawing/2014/main" id="{C2D81B3E-FC44-FCF6-5372-89C6173BEC8C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71" name="그룹 570">
            <a:extLst>
              <a:ext uri="{FF2B5EF4-FFF2-40B4-BE49-F238E27FC236}">
                <a16:creationId xmlns:a16="http://schemas.microsoft.com/office/drawing/2014/main" id="{E46E0232-9ED7-7EA7-96FB-F3F499279E6F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77" name="직사각형 576">
              <a:extLst>
                <a:ext uri="{FF2B5EF4-FFF2-40B4-BE49-F238E27FC236}">
                  <a16:creationId xmlns:a16="http://schemas.microsoft.com/office/drawing/2014/main" id="{1FA7E7D3-F2A3-D336-EAA3-432BD8F735BA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78" name="그룹 577">
              <a:extLst>
                <a:ext uri="{FF2B5EF4-FFF2-40B4-BE49-F238E27FC236}">
                  <a16:creationId xmlns:a16="http://schemas.microsoft.com/office/drawing/2014/main" id="{C70D8041-3B5F-BC09-100F-F833E9F57223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79" name="자유형: 도형 578">
                <a:extLst>
                  <a:ext uri="{FF2B5EF4-FFF2-40B4-BE49-F238E27FC236}">
                    <a16:creationId xmlns:a16="http://schemas.microsoft.com/office/drawing/2014/main" id="{C4C44149-626D-5D93-8EB1-AAEA8BB8A7BA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80" name="자유형: 도형 579">
                <a:extLst>
                  <a:ext uri="{FF2B5EF4-FFF2-40B4-BE49-F238E27FC236}">
                    <a16:creationId xmlns:a16="http://schemas.microsoft.com/office/drawing/2014/main" id="{ADB64298-38DE-8378-2214-DD818059A8A6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72" name="그룹 571">
            <a:extLst>
              <a:ext uri="{FF2B5EF4-FFF2-40B4-BE49-F238E27FC236}">
                <a16:creationId xmlns:a16="http://schemas.microsoft.com/office/drawing/2014/main" id="{242836F7-7428-AC52-B554-F4CFA5AF10FC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73" name="직사각형 572">
              <a:extLst>
                <a:ext uri="{FF2B5EF4-FFF2-40B4-BE49-F238E27FC236}">
                  <a16:creationId xmlns:a16="http://schemas.microsoft.com/office/drawing/2014/main" id="{558C73FB-526F-C9FD-941D-90E1417D56F0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74" name="그룹 573">
              <a:extLst>
                <a:ext uri="{FF2B5EF4-FFF2-40B4-BE49-F238E27FC236}">
                  <a16:creationId xmlns:a16="http://schemas.microsoft.com/office/drawing/2014/main" id="{15DB9E9F-32C3-6407-DF82-91CECD70EC92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75" name="자유형: 도형 574">
                <a:extLst>
                  <a:ext uri="{FF2B5EF4-FFF2-40B4-BE49-F238E27FC236}">
                    <a16:creationId xmlns:a16="http://schemas.microsoft.com/office/drawing/2014/main" id="{3111A4F5-6FD2-ACCA-1454-85F764FB5B09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76" name="자유형: 도형 575">
                <a:extLst>
                  <a:ext uri="{FF2B5EF4-FFF2-40B4-BE49-F238E27FC236}">
                    <a16:creationId xmlns:a16="http://schemas.microsoft.com/office/drawing/2014/main" id="{36CA9DD8-F2D2-B8C9-1382-58758FA1E5BB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29</xdr:col>
      <xdr:colOff>186162</xdr:colOff>
      <xdr:row>17</xdr:row>
      <xdr:rowOff>313938</xdr:rowOff>
    </xdr:from>
    <xdr:to>
      <xdr:col>30</xdr:col>
      <xdr:colOff>118324</xdr:colOff>
      <xdr:row>23</xdr:row>
      <xdr:rowOff>8445</xdr:rowOff>
    </xdr:to>
    <xdr:grpSp>
      <xdr:nvGrpSpPr>
        <xdr:cNvPr id="585" name="그룹 584">
          <a:extLst>
            <a:ext uri="{FF2B5EF4-FFF2-40B4-BE49-F238E27FC236}">
              <a16:creationId xmlns:a16="http://schemas.microsoft.com/office/drawing/2014/main" id="{98442FB7-1711-4AE0-A8A6-A016EB091193}"/>
            </a:ext>
          </a:extLst>
        </xdr:cNvPr>
        <xdr:cNvGrpSpPr/>
      </xdr:nvGrpSpPr>
      <xdr:grpSpPr>
        <a:xfrm>
          <a:off x="8230489" y="4003211"/>
          <a:ext cx="175398" cy="1158104"/>
          <a:chOff x="7571676" y="9597790"/>
          <a:chExt cx="168351" cy="1158104"/>
        </a:xfrm>
      </xdr:grpSpPr>
      <xdr:grpSp>
        <xdr:nvGrpSpPr>
          <xdr:cNvPr id="586" name="그룹 585">
            <a:extLst>
              <a:ext uri="{FF2B5EF4-FFF2-40B4-BE49-F238E27FC236}">
                <a16:creationId xmlns:a16="http://schemas.microsoft.com/office/drawing/2014/main" id="{99855037-E3F2-9C64-9FC1-15B5FB701D5A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597" name="직사각형 596">
              <a:extLst>
                <a:ext uri="{FF2B5EF4-FFF2-40B4-BE49-F238E27FC236}">
                  <a16:creationId xmlns:a16="http://schemas.microsoft.com/office/drawing/2014/main" id="{6617619A-CE6C-330A-0A51-332AE1800EEA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98" name="그룹 597">
              <a:extLst>
                <a:ext uri="{FF2B5EF4-FFF2-40B4-BE49-F238E27FC236}">
                  <a16:creationId xmlns:a16="http://schemas.microsoft.com/office/drawing/2014/main" id="{9E92DE77-738E-8C12-49A5-64E87FD1016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99" name="자유형: 도형 598">
                <a:extLst>
                  <a:ext uri="{FF2B5EF4-FFF2-40B4-BE49-F238E27FC236}">
                    <a16:creationId xmlns:a16="http://schemas.microsoft.com/office/drawing/2014/main" id="{F00ED352-4684-AC4D-C5F2-8A5CE6048F01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00" name="자유형: 도형 599">
                <a:extLst>
                  <a:ext uri="{FF2B5EF4-FFF2-40B4-BE49-F238E27FC236}">
                    <a16:creationId xmlns:a16="http://schemas.microsoft.com/office/drawing/2014/main" id="{A517F508-AF09-477D-9269-A23F8CCC5AAD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87" name="그룹 586">
            <a:extLst>
              <a:ext uri="{FF2B5EF4-FFF2-40B4-BE49-F238E27FC236}">
                <a16:creationId xmlns:a16="http://schemas.microsoft.com/office/drawing/2014/main" id="{30BE7296-3AD9-86E3-D48F-E9F82204DCB6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593" name="직사각형 592">
              <a:extLst>
                <a:ext uri="{FF2B5EF4-FFF2-40B4-BE49-F238E27FC236}">
                  <a16:creationId xmlns:a16="http://schemas.microsoft.com/office/drawing/2014/main" id="{373DD589-EEEC-43BF-5A42-C445C148E014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94" name="그룹 593">
              <a:extLst>
                <a:ext uri="{FF2B5EF4-FFF2-40B4-BE49-F238E27FC236}">
                  <a16:creationId xmlns:a16="http://schemas.microsoft.com/office/drawing/2014/main" id="{B551FED0-30EE-EA13-7DD4-D4491CA0EFC8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95" name="자유형: 도형 594">
                <a:extLst>
                  <a:ext uri="{FF2B5EF4-FFF2-40B4-BE49-F238E27FC236}">
                    <a16:creationId xmlns:a16="http://schemas.microsoft.com/office/drawing/2014/main" id="{78AD9B21-E79F-F748-8F3B-CC7B2D78826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96" name="자유형: 도형 595">
                <a:extLst>
                  <a:ext uri="{FF2B5EF4-FFF2-40B4-BE49-F238E27FC236}">
                    <a16:creationId xmlns:a16="http://schemas.microsoft.com/office/drawing/2014/main" id="{81A759C6-D8A7-67E7-6F8B-660628CD4D61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588" name="그룹 587">
            <a:extLst>
              <a:ext uri="{FF2B5EF4-FFF2-40B4-BE49-F238E27FC236}">
                <a16:creationId xmlns:a16="http://schemas.microsoft.com/office/drawing/2014/main" id="{03AA70A3-7EBA-F953-BD14-FCED7C42D20A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589" name="직사각형 588">
              <a:extLst>
                <a:ext uri="{FF2B5EF4-FFF2-40B4-BE49-F238E27FC236}">
                  <a16:creationId xmlns:a16="http://schemas.microsoft.com/office/drawing/2014/main" id="{48878A36-72BA-4D95-13A7-B6AA74B5FC21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590" name="그룹 589">
              <a:extLst>
                <a:ext uri="{FF2B5EF4-FFF2-40B4-BE49-F238E27FC236}">
                  <a16:creationId xmlns:a16="http://schemas.microsoft.com/office/drawing/2014/main" id="{6D3318BC-589C-BCC3-1419-FAD63165D0FE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591" name="자유형: 도형 590">
                <a:extLst>
                  <a:ext uri="{FF2B5EF4-FFF2-40B4-BE49-F238E27FC236}">
                    <a16:creationId xmlns:a16="http://schemas.microsoft.com/office/drawing/2014/main" id="{E452754C-163E-26A0-A150-B69455E77B1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592" name="자유형: 도형 591">
                <a:extLst>
                  <a:ext uri="{FF2B5EF4-FFF2-40B4-BE49-F238E27FC236}">
                    <a16:creationId xmlns:a16="http://schemas.microsoft.com/office/drawing/2014/main" id="{A862556A-DAB3-5C6D-E403-188CDBE890C7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twoCellAnchor>
    <xdr:from>
      <xdr:col>21</xdr:col>
      <xdr:colOff>214660</xdr:colOff>
      <xdr:row>17</xdr:row>
      <xdr:rowOff>319204</xdr:rowOff>
    </xdr:from>
    <xdr:to>
      <xdr:col>22</xdr:col>
      <xdr:colOff>146822</xdr:colOff>
      <xdr:row>23</xdr:row>
      <xdr:rowOff>13711</xdr:rowOff>
    </xdr:to>
    <xdr:grpSp>
      <xdr:nvGrpSpPr>
        <xdr:cNvPr id="601" name="그룹 600">
          <a:extLst>
            <a:ext uri="{FF2B5EF4-FFF2-40B4-BE49-F238E27FC236}">
              <a16:creationId xmlns:a16="http://schemas.microsoft.com/office/drawing/2014/main" id="{8B150ACC-58A9-4D11-BF3F-70A32DF418AD}"/>
            </a:ext>
          </a:extLst>
        </xdr:cNvPr>
        <xdr:cNvGrpSpPr/>
      </xdr:nvGrpSpPr>
      <xdr:grpSpPr>
        <a:xfrm>
          <a:off x="6341674" y="4003714"/>
          <a:ext cx="169048" cy="1158104"/>
          <a:chOff x="7571676" y="9597790"/>
          <a:chExt cx="168351" cy="1158104"/>
        </a:xfrm>
      </xdr:grpSpPr>
      <xdr:grpSp>
        <xdr:nvGrpSpPr>
          <xdr:cNvPr id="602" name="그룹 601">
            <a:extLst>
              <a:ext uri="{FF2B5EF4-FFF2-40B4-BE49-F238E27FC236}">
                <a16:creationId xmlns:a16="http://schemas.microsoft.com/office/drawing/2014/main" id="{10662626-1930-FB45-528B-444D8767468E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613" name="직사각형 612">
              <a:extLst>
                <a:ext uri="{FF2B5EF4-FFF2-40B4-BE49-F238E27FC236}">
                  <a16:creationId xmlns:a16="http://schemas.microsoft.com/office/drawing/2014/main" id="{C59C599B-9AB1-2669-1E17-2297D9781B3A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14" name="그룹 613">
              <a:extLst>
                <a:ext uri="{FF2B5EF4-FFF2-40B4-BE49-F238E27FC236}">
                  <a16:creationId xmlns:a16="http://schemas.microsoft.com/office/drawing/2014/main" id="{E541F8BE-75C9-F0DB-CCF2-44A76C3BC530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15" name="자유형: 도형 614">
                <a:extLst>
                  <a:ext uri="{FF2B5EF4-FFF2-40B4-BE49-F238E27FC236}">
                    <a16:creationId xmlns:a16="http://schemas.microsoft.com/office/drawing/2014/main" id="{5722C978-8867-1F74-8230-F9F97EBDDCDF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16" name="자유형: 도형 615">
                <a:extLst>
                  <a:ext uri="{FF2B5EF4-FFF2-40B4-BE49-F238E27FC236}">
                    <a16:creationId xmlns:a16="http://schemas.microsoft.com/office/drawing/2014/main" id="{5025BCF4-88A7-421C-CF7D-92A0B14C48BA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603" name="그룹 602">
            <a:extLst>
              <a:ext uri="{FF2B5EF4-FFF2-40B4-BE49-F238E27FC236}">
                <a16:creationId xmlns:a16="http://schemas.microsoft.com/office/drawing/2014/main" id="{489DE184-BAD3-DC56-0869-2102D2E4AF8C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609" name="직사각형 608">
              <a:extLst>
                <a:ext uri="{FF2B5EF4-FFF2-40B4-BE49-F238E27FC236}">
                  <a16:creationId xmlns:a16="http://schemas.microsoft.com/office/drawing/2014/main" id="{BA5D8C42-2805-897D-7FB6-0B56C06AC3F8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10" name="그룹 609">
              <a:extLst>
                <a:ext uri="{FF2B5EF4-FFF2-40B4-BE49-F238E27FC236}">
                  <a16:creationId xmlns:a16="http://schemas.microsoft.com/office/drawing/2014/main" id="{E90CC8A2-7745-3005-3EDF-958ACD3F8444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11" name="자유형: 도형 610">
                <a:extLst>
                  <a:ext uri="{FF2B5EF4-FFF2-40B4-BE49-F238E27FC236}">
                    <a16:creationId xmlns:a16="http://schemas.microsoft.com/office/drawing/2014/main" id="{DABBE73A-EBF3-5471-9ED1-3AA8D64F5176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12" name="자유형: 도형 611">
                <a:extLst>
                  <a:ext uri="{FF2B5EF4-FFF2-40B4-BE49-F238E27FC236}">
                    <a16:creationId xmlns:a16="http://schemas.microsoft.com/office/drawing/2014/main" id="{3E7F4D0A-B1C5-A74F-4F1B-DAD487A4E050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604" name="그룹 603">
            <a:extLst>
              <a:ext uri="{FF2B5EF4-FFF2-40B4-BE49-F238E27FC236}">
                <a16:creationId xmlns:a16="http://schemas.microsoft.com/office/drawing/2014/main" id="{EE38B71E-CD08-1013-6421-25070C41DA3E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605" name="직사각형 604">
              <a:extLst>
                <a:ext uri="{FF2B5EF4-FFF2-40B4-BE49-F238E27FC236}">
                  <a16:creationId xmlns:a16="http://schemas.microsoft.com/office/drawing/2014/main" id="{4A536A81-4F0D-1929-B6AE-DAD2BD10B963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06" name="그룹 605">
              <a:extLst>
                <a:ext uri="{FF2B5EF4-FFF2-40B4-BE49-F238E27FC236}">
                  <a16:creationId xmlns:a16="http://schemas.microsoft.com/office/drawing/2014/main" id="{99122A39-9B70-3AD0-4602-6D678D169B21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07" name="자유형: 도형 606">
                <a:extLst>
                  <a:ext uri="{FF2B5EF4-FFF2-40B4-BE49-F238E27FC236}">
                    <a16:creationId xmlns:a16="http://schemas.microsoft.com/office/drawing/2014/main" id="{3E6D4F36-B26B-A8A2-335A-2FF301316F0B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08" name="자유형: 도형 607">
                <a:extLst>
                  <a:ext uri="{FF2B5EF4-FFF2-40B4-BE49-F238E27FC236}">
                    <a16:creationId xmlns:a16="http://schemas.microsoft.com/office/drawing/2014/main" id="{40022255-D4C1-C2D4-E0B5-07F59FEC3BD5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oneCellAnchor>
    <xdr:from>
      <xdr:col>23</xdr:col>
      <xdr:colOff>35899</xdr:colOff>
      <xdr:row>18</xdr:row>
      <xdr:rowOff>46605</xdr:rowOff>
    </xdr:from>
    <xdr:ext cx="175433" cy="140872"/>
    <xdr:sp macro="" textlink="">
      <xdr:nvSpPr>
        <xdr:cNvPr id="617" name="TextBox 616">
          <a:extLst>
            <a:ext uri="{FF2B5EF4-FFF2-40B4-BE49-F238E27FC236}">
              <a16:creationId xmlns:a16="http://schemas.microsoft.com/office/drawing/2014/main" id="{E34D937E-F853-4574-8AC3-E6EAF154CB15}"/>
            </a:ext>
          </a:extLst>
        </xdr:cNvPr>
        <xdr:cNvSpPr txBox="1"/>
      </xdr:nvSpPr>
      <xdr:spPr>
        <a:xfrm>
          <a:off x="6536905" y="4112154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510</a:t>
          </a:r>
          <a:endParaRPr lang="ko-KR" altLang="en-US" sz="900"/>
        </a:p>
      </xdr:txBody>
    </xdr:sp>
    <xdr:clientData/>
  </xdr:oneCellAnchor>
  <xdr:twoCellAnchor>
    <xdr:from>
      <xdr:col>23</xdr:col>
      <xdr:colOff>171340</xdr:colOff>
      <xdr:row>19</xdr:row>
      <xdr:rowOff>154263</xdr:rowOff>
    </xdr:from>
    <xdr:to>
      <xdr:col>26</xdr:col>
      <xdr:colOff>126609</xdr:colOff>
      <xdr:row>21</xdr:row>
      <xdr:rowOff>64702</xdr:rowOff>
    </xdr:to>
    <xdr:grpSp>
      <xdr:nvGrpSpPr>
        <xdr:cNvPr id="618" name="그룹 617">
          <a:extLst>
            <a:ext uri="{FF2B5EF4-FFF2-40B4-BE49-F238E27FC236}">
              <a16:creationId xmlns:a16="http://schemas.microsoft.com/office/drawing/2014/main" id="{8DADE707-C881-4F1E-829F-3EE969561B72}"/>
            </a:ext>
          </a:extLst>
        </xdr:cNvPr>
        <xdr:cNvGrpSpPr/>
      </xdr:nvGrpSpPr>
      <xdr:grpSpPr>
        <a:xfrm>
          <a:off x="6776889" y="4436641"/>
          <a:ext cx="673864" cy="347273"/>
          <a:chOff x="8082511" y="9896865"/>
          <a:chExt cx="663836" cy="344098"/>
        </a:xfrm>
      </xdr:grpSpPr>
      <xdr:sp macro="" textlink="">
        <xdr:nvSpPr>
          <xdr:cNvPr id="619" name="TextBox 618">
            <a:extLst>
              <a:ext uri="{FF2B5EF4-FFF2-40B4-BE49-F238E27FC236}">
                <a16:creationId xmlns:a16="http://schemas.microsoft.com/office/drawing/2014/main" id="{B9722140-1EF0-FA82-5846-1ADF15C7D896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ch1 </a:t>
            </a:r>
            <a:r>
              <a:rPr lang="en-US" altLang="ko-KR" sz="900"/>
              <a:t>= 2</a:t>
            </a:r>
            <a:endParaRPr lang="ko-KR" altLang="en-US" sz="900"/>
          </a:p>
        </xdr:txBody>
      </xdr:sp>
      <xdr:sp macro="" textlink="">
        <xdr:nvSpPr>
          <xdr:cNvPr id="620" name="TextBox 619">
            <a:extLst>
              <a:ext uri="{FF2B5EF4-FFF2-40B4-BE49-F238E27FC236}">
                <a16:creationId xmlns:a16="http://schemas.microsoft.com/office/drawing/2014/main" id="{910AEB1D-6054-F4B8-2A37-6877C78A4B93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26</xdr:col>
      <xdr:colOff>17856</xdr:colOff>
      <xdr:row>21</xdr:row>
      <xdr:rowOff>151784</xdr:rowOff>
    </xdr:from>
    <xdr:to>
      <xdr:col>28</xdr:col>
      <xdr:colOff>209314</xdr:colOff>
      <xdr:row>23</xdr:row>
      <xdr:rowOff>62224</xdr:rowOff>
    </xdr:to>
    <xdr:grpSp>
      <xdr:nvGrpSpPr>
        <xdr:cNvPr id="621" name="그룹 620">
          <a:extLst>
            <a:ext uri="{FF2B5EF4-FFF2-40B4-BE49-F238E27FC236}">
              <a16:creationId xmlns:a16="http://schemas.microsoft.com/office/drawing/2014/main" id="{3C2A42A4-A058-4322-94C0-36930AB8F718}"/>
            </a:ext>
          </a:extLst>
        </xdr:cNvPr>
        <xdr:cNvGrpSpPr/>
      </xdr:nvGrpSpPr>
      <xdr:grpSpPr>
        <a:xfrm>
          <a:off x="7343588" y="4867821"/>
          <a:ext cx="671580" cy="345685"/>
          <a:chOff x="8082511" y="9896865"/>
          <a:chExt cx="663836" cy="344098"/>
        </a:xfrm>
      </xdr:grpSpPr>
      <xdr:sp macro="" textlink="">
        <xdr:nvSpPr>
          <xdr:cNvPr id="622" name="TextBox 621">
            <a:extLst>
              <a:ext uri="{FF2B5EF4-FFF2-40B4-BE49-F238E27FC236}">
                <a16:creationId xmlns:a16="http://schemas.microsoft.com/office/drawing/2014/main" id="{F099ECCC-8700-E84E-8AD6-B4D00CC19643}"/>
              </a:ext>
            </a:extLst>
          </xdr:cNvPr>
          <xdr:cNvSpPr txBox="1"/>
        </xdr:nvSpPr>
        <xdr:spPr>
          <a:xfrm>
            <a:off x="8082511" y="10007758"/>
            <a:ext cx="663836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 </a:t>
            </a:r>
            <a:r>
              <a:rPr lang="en-US" altLang="ko-KR" sz="900"/>
              <a:t>= 3</a:t>
            </a:r>
            <a:endParaRPr lang="ko-KR" altLang="en-US" sz="900"/>
          </a:p>
        </xdr:txBody>
      </xdr:sp>
      <xdr:sp macro="" textlink="">
        <xdr:nvSpPr>
          <xdr:cNvPr id="623" name="TextBox 622">
            <a:extLst>
              <a:ext uri="{FF2B5EF4-FFF2-40B4-BE49-F238E27FC236}">
                <a16:creationId xmlns:a16="http://schemas.microsoft.com/office/drawing/2014/main" id="{9C8AB928-1F89-221F-18A5-03FCE106AA2B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twoCellAnchor>
    <xdr:from>
      <xdr:col>22</xdr:col>
      <xdr:colOff>35158</xdr:colOff>
      <xdr:row>31</xdr:row>
      <xdr:rowOff>174549</xdr:rowOff>
    </xdr:from>
    <xdr:to>
      <xdr:col>22</xdr:col>
      <xdr:colOff>203509</xdr:colOff>
      <xdr:row>37</xdr:row>
      <xdr:rowOff>31677</xdr:rowOff>
    </xdr:to>
    <xdr:grpSp>
      <xdr:nvGrpSpPr>
        <xdr:cNvPr id="624" name="그룹 623">
          <a:extLst>
            <a:ext uri="{FF2B5EF4-FFF2-40B4-BE49-F238E27FC236}">
              <a16:creationId xmlns:a16="http://schemas.microsoft.com/office/drawing/2014/main" id="{A40739AF-C9C6-4649-A353-AD5B9D052D4E}"/>
            </a:ext>
          </a:extLst>
        </xdr:cNvPr>
        <xdr:cNvGrpSpPr/>
      </xdr:nvGrpSpPr>
      <xdr:grpSpPr>
        <a:xfrm>
          <a:off x="6399058" y="7060465"/>
          <a:ext cx="168351" cy="1154929"/>
          <a:chOff x="7571676" y="9597790"/>
          <a:chExt cx="168351" cy="1158104"/>
        </a:xfrm>
      </xdr:grpSpPr>
      <xdr:grpSp>
        <xdr:nvGrpSpPr>
          <xdr:cNvPr id="625" name="그룹 624">
            <a:extLst>
              <a:ext uri="{FF2B5EF4-FFF2-40B4-BE49-F238E27FC236}">
                <a16:creationId xmlns:a16="http://schemas.microsoft.com/office/drawing/2014/main" id="{E57F0FAD-F3BD-A045-AA64-FEA3D604618A}"/>
              </a:ext>
            </a:extLst>
          </xdr:cNvPr>
          <xdr:cNvGrpSpPr/>
        </xdr:nvGrpSpPr>
        <xdr:grpSpPr>
          <a:xfrm>
            <a:off x="7576634" y="9597790"/>
            <a:ext cx="162000" cy="288000"/>
            <a:chOff x="2194312" y="9593609"/>
            <a:chExt cx="162000" cy="288000"/>
          </a:xfrm>
        </xdr:grpSpPr>
        <xdr:sp macro="" textlink="">
          <xdr:nvSpPr>
            <xdr:cNvPr id="636" name="직사각형 635">
              <a:extLst>
                <a:ext uri="{FF2B5EF4-FFF2-40B4-BE49-F238E27FC236}">
                  <a16:creationId xmlns:a16="http://schemas.microsoft.com/office/drawing/2014/main" id="{1464B0A0-F2BC-71DB-A976-10D3785D598A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37" name="그룹 636">
              <a:extLst>
                <a:ext uri="{FF2B5EF4-FFF2-40B4-BE49-F238E27FC236}">
                  <a16:creationId xmlns:a16="http://schemas.microsoft.com/office/drawing/2014/main" id="{D0F2D8CB-5A2C-B8B8-728D-4D64D69AEAB2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38" name="자유형: 도형 637">
                <a:extLst>
                  <a:ext uri="{FF2B5EF4-FFF2-40B4-BE49-F238E27FC236}">
                    <a16:creationId xmlns:a16="http://schemas.microsoft.com/office/drawing/2014/main" id="{41A1179B-8B29-F5C7-C44D-181C0277897C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39" name="자유형: 도형 638">
                <a:extLst>
                  <a:ext uri="{FF2B5EF4-FFF2-40B4-BE49-F238E27FC236}">
                    <a16:creationId xmlns:a16="http://schemas.microsoft.com/office/drawing/2014/main" id="{978E40F9-B557-F31D-C519-F383D46AAD7C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626" name="그룹 625">
            <a:extLst>
              <a:ext uri="{FF2B5EF4-FFF2-40B4-BE49-F238E27FC236}">
                <a16:creationId xmlns:a16="http://schemas.microsoft.com/office/drawing/2014/main" id="{5EB1184A-330A-F8AB-D54D-31DE31886CAC}"/>
              </a:ext>
            </a:extLst>
          </xdr:cNvPr>
          <xdr:cNvGrpSpPr/>
        </xdr:nvGrpSpPr>
        <xdr:grpSpPr>
          <a:xfrm>
            <a:off x="7578027" y="10040586"/>
            <a:ext cx="162000" cy="288000"/>
            <a:chOff x="2194312" y="9593609"/>
            <a:chExt cx="162000" cy="288000"/>
          </a:xfrm>
        </xdr:grpSpPr>
        <xdr:sp macro="" textlink="">
          <xdr:nvSpPr>
            <xdr:cNvPr id="632" name="직사각형 631">
              <a:extLst>
                <a:ext uri="{FF2B5EF4-FFF2-40B4-BE49-F238E27FC236}">
                  <a16:creationId xmlns:a16="http://schemas.microsoft.com/office/drawing/2014/main" id="{5597AFB1-553F-07BC-7A52-31004206FFA0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33" name="그룹 632">
              <a:extLst>
                <a:ext uri="{FF2B5EF4-FFF2-40B4-BE49-F238E27FC236}">
                  <a16:creationId xmlns:a16="http://schemas.microsoft.com/office/drawing/2014/main" id="{26A31E50-6835-BB23-DDC5-A3FD894FF197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34" name="자유형: 도형 633">
                <a:extLst>
                  <a:ext uri="{FF2B5EF4-FFF2-40B4-BE49-F238E27FC236}">
                    <a16:creationId xmlns:a16="http://schemas.microsoft.com/office/drawing/2014/main" id="{91C7186E-CB8C-AEFE-0D09-149273F93FAE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35" name="자유형: 도형 634">
                <a:extLst>
                  <a:ext uri="{FF2B5EF4-FFF2-40B4-BE49-F238E27FC236}">
                    <a16:creationId xmlns:a16="http://schemas.microsoft.com/office/drawing/2014/main" id="{8370B22C-B7A4-32A5-8A28-7BFF63EB4557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  <xdr:grpSp>
        <xdr:nvGrpSpPr>
          <xdr:cNvPr id="627" name="그룹 626">
            <a:extLst>
              <a:ext uri="{FF2B5EF4-FFF2-40B4-BE49-F238E27FC236}">
                <a16:creationId xmlns:a16="http://schemas.microsoft.com/office/drawing/2014/main" id="{90164930-AC0F-996D-B593-3C493E6447D5}"/>
              </a:ext>
            </a:extLst>
          </xdr:cNvPr>
          <xdr:cNvGrpSpPr/>
        </xdr:nvGrpSpPr>
        <xdr:grpSpPr>
          <a:xfrm>
            <a:off x="7571676" y="10467894"/>
            <a:ext cx="162000" cy="288000"/>
            <a:chOff x="2194312" y="9593609"/>
            <a:chExt cx="162000" cy="288000"/>
          </a:xfrm>
        </xdr:grpSpPr>
        <xdr:sp macro="" textlink="">
          <xdr:nvSpPr>
            <xdr:cNvPr id="628" name="직사각형 627">
              <a:extLst>
                <a:ext uri="{FF2B5EF4-FFF2-40B4-BE49-F238E27FC236}">
                  <a16:creationId xmlns:a16="http://schemas.microsoft.com/office/drawing/2014/main" id="{95811E35-3A4A-1136-AF1E-E25ECDF89DA7}"/>
                </a:ext>
              </a:extLst>
            </xdr:cNvPr>
            <xdr:cNvSpPr/>
          </xdr:nvSpPr>
          <xdr:spPr>
            <a:xfrm>
              <a:off x="2194312" y="9593609"/>
              <a:ext cx="162000" cy="28800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grpSp>
          <xdr:nvGrpSpPr>
            <xdr:cNvPr id="629" name="그룹 628">
              <a:extLst>
                <a:ext uri="{FF2B5EF4-FFF2-40B4-BE49-F238E27FC236}">
                  <a16:creationId xmlns:a16="http://schemas.microsoft.com/office/drawing/2014/main" id="{7B96B7F5-ED41-B244-A071-6ACCD95AB138}"/>
                </a:ext>
              </a:extLst>
            </xdr:cNvPr>
            <xdr:cNvGrpSpPr/>
          </xdr:nvGrpSpPr>
          <xdr:grpSpPr>
            <a:xfrm>
              <a:off x="2248935" y="9672485"/>
              <a:ext cx="54000" cy="180000"/>
              <a:chOff x="4965649" y="3003550"/>
              <a:chExt cx="113247" cy="298958"/>
            </a:xfrm>
          </xdr:grpSpPr>
          <xdr:sp macro="" textlink="">
            <xdr:nvSpPr>
              <xdr:cNvPr id="630" name="자유형: 도형 629">
                <a:extLst>
                  <a:ext uri="{FF2B5EF4-FFF2-40B4-BE49-F238E27FC236}">
                    <a16:creationId xmlns:a16="http://schemas.microsoft.com/office/drawing/2014/main" id="{0470B1D8-0525-E1D4-4715-980521A0531F}"/>
                  </a:ext>
                </a:extLst>
              </xdr:cNvPr>
              <xdr:cNvSpPr/>
            </xdr:nvSpPr>
            <xdr:spPr>
              <a:xfrm>
                <a:off x="4965649" y="3003550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  <xdr:sp macro="" textlink="">
            <xdr:nvSpPr>
              <xdr:cNvPr id="631" name="자유형: 도형 630">
                <a:extLst>
                  <a:ext uri="{FF2B5EF4-FFF2-40B4-BE49-F238E27FC236}">
                    <a16:creationId xmlns:a16="http://schemas.microsoft.com/office/drawing/2014/main" id="{67C82CEA-7E54-6658-763D-080ACCD186CE}"/>
                  </a:ext>
                </a:extLst>
              </xdr:cNvPr>
              <xdr:cNvSpPr/>
            </xdr:nvSpPr>
            <xdr:spPr>
              <a:xfrm>
                <a:off x="5002645" y="3004058"/>
                <a:ext cx="76251" cy="298450"/>
              </a:xfrm>
              <a:custGeom>
                <a:avLst/>
                <a:gdLst>
                  <a:gd name="connsiteX0" fmla="*/ 76251 w 76251"/>
                  <a:gd name="connsiteY0" fmla="*/ 0 h 298450"/>
                  <a:gd name="connsiteX1" fmla="*/ 51 w 76251"/>
                  <a:gd name="connsiteY1" fmla="*/ 107950 h 298450"/>
                  <a:gd name="connsiteX2" fmla="*/ 63551 w 76251"/>
                  <a:gd name="connsiteY2" fmla="*/ 203200 h 298450"/>
                  <a:gd name="connsiteX3" fmla="*/ 12751 w 76251"/>
                  <a:gd name="connsiteY3" fmla="*/ 298450 h 298450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</a:cxnLst>
                <a:rect l="l" t="t" r="r" b="b"/>
                <a:pathLst>
                  <a:path w="76251" h="298450">
                    <a:moveTo>
                      <a:pt x="76251" y="0"/>
                    </a:moveTo>
                    <a:cubicBezTo>
                      <a:pt x="39209" y="37041"/>
                      <a:pt x="2168" y="74083"/>
                      <a:pt x="51" y="107950"/>
                    </a:cubicBezTo>
                    <a:cubicBezTo>
                      <a:pt x="-2066" y="141817"/>
                      <a:pt x="61434" y="171450"/>
                      <a:pt x="63551" y="203200"/>
                    </a:cubicBezTo>
                    <a:cubicBezTo>
                      <a:pt x="65668" y="234950"/>
                      <a:pt x="39209" y="266700"/>
                      <a:pt x="12751" y="298450"/>
                    </a:cubicBezTo>
                  </a:path>
                </a:pathLst>
              </a:custGeom>
              <a:noFill/>
              <a:ln w="317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ko-KR" altLang="en-US" sz="1100"/>
              </a:p>
            </xdr:txBody>
          </xdr:sp>
        </xdr:grpSp>
      </xdr:grpSp>
    </xdr:grpSp>
    <xdr:clientData/>
  </xdr:twoCellAnchor>
  <xdr:oneCellAnchor>
    <xdr:from>
      <xdr:col>21</xdr:col>
      <xdr:colOff>92894</xdr:colOff>
      <xdr:row>32</xdr:row>
      <xdr:rowOff>53266</xdr:rowOff>
    </xdr:from>
    <xdr:ext cx="58478" cy="140872"/>
    <xdr:sp macro="" textlink="">
      <xdr:nvSpPr>
        <xdr:cNvPr id="640" name="TextBox 639">
          <a:extLst>
            <a:ext uri="{FF2B5EF4-FFF2-40B4-BE49-F238E27FC236}">
              <a16:creationId xmlns:a16="http://schemas.microsoft.com/office/drawing/2014/main" id="{AA74BC10-717E-4CE2-A05D-E99C3F9E5A26}"/>
            </a:ext>
          </a:extLst>
        </xdr:cNvPr>
        <xdr:cNvSpPr txBox="1"/>
      </xdr:nvSpPr>
      <xdr:spPr>
        <a:xfrm>
          <a:off x="6121522" y="7154425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7</a:t>
          </a:r>
          <a:endParaRPr lang="ko-KR" altLang="en-US" sz="900"/>
        </a:p>
      </xdr:txBody>
    </xdr:sp>
    <xdr:clientData/>
  </xdr:oneCellAnchor>
  <xdr:twoCellAnchor>
    <xdr:from>
      <xdr:col>32</xdr:col>
      <xdr:colOff>148108</xdr:colOff>
      <xdr:row>46</xdr:row>
      <xdr:rowOff>146517</xdr:rowOff>
    </xdr:from>
    <xdr:to>
      <xdr:col>35</xdr:col>
      <xdr:colOff>60160</xdr:colOff>
      <xdr:row>48</xdr:row>
      <xdr:rowOff>56957</xdr:rowOff>
    </xdr:to>
    <xdr:grpSp>
      <xdr:nvGrpSpPr>
        <xdr:cNvPr id="641" name="그룹 640">
          <a:extLst>
            <a:ext uri="{FF2B5EF4-FFF2-40B4-BE49-F238E27FC236}">
              <a16:creationId xmlns:a16="http://schemas.microsoft.com/office/drawing/2014/main" id="{394EAEE5-5DAF-4B93-991C-3CD4ED19FF37}"/>
            </a:ext>
          </a:extLst>
        </xdr:cNvPr>
        <xdr:cNvGrpSpPr/>
      </xdr:nvGrpSpPr>
      <xdr:grpSpPr>
        <a:xfrm>
          <a:off x="8912618" y="10444319"/>
          <a:ext cx="635409" cy="345687"/>
          <a:chOff x="8082511" y="9896865"/>
          <a:chExt cx="620619" cy="344098"/>
        </a:xfrm>
      </xdr:grpSpPr>
      <xdr:sp macro="" textlink="">
        <xdr:nvSpPr>
          <xdr:cNvPr id="642" name="TextBox 641">
            <a:extLst>
              <a:ext uri="{FF2B5EF4-FFF2-40B4-BE49-F238E27FC236}">
                <a16:creationId xmlns:a16="http://schemas.microsoft.com/office/drawing/2014/main" id="{F25DE3AE-61D3-D1E4-0DE9-66A75DC39C31}"/>
              </a:ext>
            </a:extLst>
          </xdr:cNvPr>
          <xdr:cNvSpPr txBox="1"/>
        </xdr:nvSpPr>
        <xdr:spPr>
          <a:xfrm>
            <a:off x="8082511" y="10007758"/>
            <a:ext cx="620619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LD</a:t>
            </a:r>
            <a:r>
              <a:rPr lang="en-US" altLang="ko-KR" sz="900" baseline="0"/>
              <a:t> ch2</a:t>
            </a:r>
            <a:r>
              <a:rPr lang="en-US" altLang="ko-KR" sz="900"/>
              <a:t>=1</a:t>
            </a:r>
            <a:endParaRPr lang="ko-KR" altLang="en-US" sz="900"/>
          </a:p>
        </xdr:txBody>
      </xdr:sp>
      <xdr:sp macro="" textlink="">
        <xdr:nvSpPr>
          <xdr:cNvPr id="643" name="TextBox 642">
            <a:extLst>
              <a:ext uri="{FF2B5EF4-FFF2-40B4-BE49-F238E27FC236}">
                <a16:creationId xmlns:a16="http://schemas.microsoft.com/office/drawing/2014/main" id="{69D152A7-3D13-2499-1C61-E7EF1CF41C67}"/>
              </a:ext>
            </a:extLst>
          </xdr:cNvPr>
          <xdr:cNvSpPr txBox="1"/>
        </xdr:nvSpPr>
        <xdr:spPr>
          <a:xfrm>
            <a:off x="8223295" y="9896865"/>
            <a:ext cx="300595" cy="233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900"/>
              <a:t>#n</a:t>
            </a:r>
            <a:endParaRPr lang="ko-KR" altLang="en-US" sz="900"/>
          </a:p>
        </xdr:txBody>
      </xdr:sp>
    </xdr:grpSp>
    <xdr:clientData/>
  </xdr:twoCellAnchor>
  <xdr:oneCellAnchor>
    <xdr:from>
      <xdr:col>15</xdr:col>
      <xdr:colOff>77439</xdr:colOff>
      <xdr:row>43</xdr:row>
      <xdr:rowOff>50336</xdr:rowOff>
    </xdr:from>
    <xdr:ext cx="58478" cy="140872"/>
    <xdr:sp macro="" textlink="">
      <xdr:nvSpPr>
        <xdr:cNvPr id="644" name="TextBox 643">
          <a:extLst>
            <a:ext uri="{FF2B5EF4-FFF2-40B4-BE49-F238E27FC236}">
              <a16:creationId xmlns:a16="http://schemas.microsoft.com/office/drawing/2014/main" id="{42756116-CD5C-4F50-B85C-897815EB1E50}"/>
            </a:ext>
          </a:extLst>
        </xdr:cNvPr>
        <xdr:cNvSpPr txBox="1"/>
      </xdr:nvSpPr>
      <xdr:spPr>
        <a:xfrm>
          <a:off x="4688933" y="9699238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15</xdr:col>
      <xdr:colOff>73566</xdr:colOff>
      <xdr:row>18</xdr:row>
      <xdr:rowOff>50335</xdr:rowOff>
    </xdr:from>
    <xdr:ext cx="58478" cy="140872"/>
    <xdr:sp macro="" textlink="">
      <xdr:nvSpPr>
        <xdr:cNvPr id="645" name="TextBox 644">
          <a:extLst>
            <a:ext uri="{FF2B5EF4-FFF2-40B4-BE49-F238E27FC236}">
              <a16:creationId xmlns:a16="http://schemas.microsoft.com/office/drawing/2014/main" id="{8A9D1462-610A-4CBE-B3D2-51A14A300447}"/>
            </a:ext>
          </a:extLst>
        </xdr:cNvPr>
        <xdr:cNvSpPr txBox="1"/>
      </xdr:nvSpPr>
      <xdr:spPr>
        <a:xfrm>
          <a:off x="4685060" y="4115884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29</xdr:col>
      <xdr:colOff>73567</xdr:colOff>
      <xdr:row>18</xdr:row>
      <xdr:rowOff>42591</xdr:rowOff>
    </xdr:from>
    <xdr:ext cx="58478" cy="140872"/>
    <xdr:sp macro="" textlink="">
      <xdr:nvSpPr>
        <xdr:cNvPr id="646" name="TextBox 645">
          <a:extLst>
            <a:ext uri="{FF2B5EF4-FFF2-40B4-BE49-F238E27FC236}">
              <a16:creationId xmlns:a16="http://schemas.microsoft.com/office/drawing/2014/main" id="{A54820D1-D3CE-41FA-AA59-80A09488EACD}"/>
            </a:ext>
          </a:extLst>
        </xdr:cNvPr>
        <xdr:cNvSpPr txBox="1"/>
      </xdr:nvSpPr>
      <xdr:spPr>
        <a:xfrm>
          <a:off x="7991707" y="4108140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2</a:t>
          </a:r>
          <a:endParaRPr lang="ko-KR" altLang="en-US" sz="900"/>
        </a:p>
      </xdr:txBody>
    </xdr:sp>
    <xdr:clientData/>
  </xdr:oneCellAnchor>
  <xdr:oneCellAnchor>
    <xdr:from>
      <xdr:col>27</xdr:col>
      <xdr:colOff>65823</xdr:colOff>
      <xdr:row>43</xdr:row>
      <xdr:rowOff>46464</xdr:rowOff>
    </xdr:from>
    <xdr:ext cx="58478" cy="140872"/>
    <xdr:sp macro="" textlink="">
      <xdr:nvSpPr>
        <xdr:cNvPr id="647" name="TextBox 646">
          <a:extLst>
            <a:ext uri="{FF2B5EF4-FFF2-40B4-BE49-F238E27FC236}">
              <a16:creationId xmlns:a16="http://schemas.microsoft.com/office/drawing/2014/main" id="{C7D3B234-E4B4-411C-892E-25A9CCDA2CFB}"/>
            </a:ext>
          </a:extLst>
        </xdr:cNvPr>
        <xdr:cNvSpPr txBox="1"/>
      </xdr:nvSpPr>
      <xdr:spPr>
        <a:xfrm>
          <a:off x="7511585" y="9695366"/>
          <a:ext cx="58478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</a:t>
          </a:r>
          <a:endParaRPr lang="ko-KR" altLang="en-US" sz="900"/>
        </a:p>
      </xdr:txBody>
    </xdr:sp>
    <xdr:clientData/>
  </xdr:oneCellAnchor>
  <xdr:oneCellAnchor>
    <xdr:from>
      <xdr:col>7</xdr:col>
      <xdr:colOff>42591</xdr:colOff>
      <xdr:row>43</xdr:row>
      <xdr:rowOff>42592</xdr:rowOff>
    </xdr:from>
    <xdr:ext cx="175433" cy="140872"/>
    <xdr:sp macro="" textlink="">
      <xdr:nvSpPr>
        <xdr:cNvPr id="649" name="TextBox 648">
          <a:extLst>
            <a:ext uri="{FF2B5EF4-FFF2-40B4-BE49-F238E27FC236}">
              <a16:creationId xmlns:a16="http://schemas.microsoft.com/office/drawing/2014/main" id="{EE3E9D33-4E43-4BC6-B105-610060D94836}"/>
            </a:ext>
          </a:extLst>
        </xdr:cNvPr>
        <xdr:cNvSpPr txBox="1"/>
      </xdr:nvSpPr>
      <xdr:spPr>
        <a:xfrm>
          <a:off x="2764573" y="9691494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oneCellAnchor>
    <xdr:from>
      <xdr:col>7</xdr:col>
      <xdr:colOff>3721</xdr:colOff>
      <xdr:row>7</xdr:row>
      <xdr:rowOff>36593</xdr:rowOff>
    </xdr:from>
    <xdr:ext cx="233910" cy="140872"/>
    <xdr:sp macro="" textlink="">
      <xdr:nvSpPr>
        <xdr:cNvPr id="650" name="TextBox 649">
          <a:extLst>
            <a:ext uri="{FF2B5EF4-FFF2-40B4-BE49-F238E27FC236}">
              <a16:creationId xmlns:a16="http://schemas.microsoft.com/office/drawing/2014/main" id="{568B1090-9E2F-4221-8963-492CBD5BC8E8}"/>
            </a:ext>
          </a:extLst>
        </xdr:cNvPr>
        <xdr:cNvSpPr txBox="1"/>
      </xdr:nvSpPr>
      <xdr:spPr>
        <a:xfrm>
          <a:off x="2725703" y="1554398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4095</a:t>
          </a:r>
          <a:endParaRPr lang="ko-KR" altLang="en-US" sz="900"/>
        </a:p>
      </xdr:txBody>
    </xdr:sp>
    <xdr:clientData/>
  </xdr:oneCellAnchor>
  <xdr:oneCellAnchor>
    <xdr:from>
      <xdr:col>7</xdr:col>
      <xdr:colOff>3871</xdr:colOff>
      <xdr:row>32</xdr:row>
      <xdr:rowOff>42591</xdr:rowOff>
    </xdr:from>
    <xdr:ext cx="233910" cy="140872"/>
    <xdr:sp macro="" textlink="">
      <xdr:nvSpPr>
        <xdr:cNvPr id="651" name="TextBox 650">
          <a:extLst>
            <a:ext uri="{FF2B5EF4-FFF2-40B4-BE49-F238E27FC236}">
              <a16:creationId xmlns:a16="http://schemas.microsoft.com/office/drawing/2014/main" id="{D7B7CF1A-489F-4BE4-A521-079844C21E19}"/>
            </a:ext>
          </a:extLst>
        </xdr:cNvPr>
        <xdr:cNvSpPr txBox="1"/>
      </xdr:nvSpPr>
      <xdr:spPr>
        <a:xfrm>
          <a:off x="2725853" y="7143750"/>
          <a:ext cx="233910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4095</a:t>
          </a:r>
          <a:endParaRPr lang="ko-KR" altLang="en-US" sz="900"/>
        </a:p>
      </xdr:txBody>
    </xdr:sp>
    <xdr:clientData/>
  </xdr:oneCellAnchor>
  <xdr:oneCellAnchor>
    <xdr:from>
      <xdr:col>7</xdr:col>
      <xdr:colOff>34847</xdr:colOff>
      <xdr:row>18</xdr:row>
      <xdr:rowOff>30975</xdr:rowOff>
    </xdr:from>
    <xdr:ext cx="175433" cy="140872"/>
    <xdr:sp macro="" textlink="">
      <xdr:nvSpPr>
        <xdr:cNvPr id="652" name="TextBox 651">
          <a:extLst>
            <a:ext uri="{FF2B5EF4-FFF2-40B4-BE49-F238E27FC236}">
              <a16:creationId xmlns:a16="http://schemas.microsoft.com/office/drawing/2014/main" id="{E4AC442E-90B4-41A9-A085-63FCAC5AB56B}"/>
            </a:ext>
          </a:extLst>
        </xdr:cNvPr>
        <xdr:cNvSpPr txBox="1"/>
      </xdr:nvSpPr>
      <xdr:spPr>
        <a:xfrm>
          <a:off x="2756829" y="4096524"/>
          <a:ext cx="175433" cy="14087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900"/>
            <a:t>511</a:t>
          </a:r>
          <a:endParaRPr lang="ko-KR" altLang="en-US" sz="900"/>
        </a:p>
      </xdr:txBody>
    </xdr:sp>
    <xdr:clientData/>
  </xdr:oneCellAnchor>
  <xdr:twoCellAnchor>
    <xdr:from>
      <xdr:col>1</xdr:col>
      <xdr:colOff>30975</xdr:colOff>
      <xdr:row>2</xdr:row>
      <xdr:rowOff>154877</xdr:rowOff>
    </xdr:from>
    <xdr:to>
      <xdr:col>12</xdr:col>
      <xdr:colOff>58079</xdr:colOff>
      <xdr:row>13</xdr:row>
      <xdr:rowOff>11616</xdr:rowOff>
    </xdr:to>
    <xdr:grpSp>
      <xdr:nvGrpSpPr>
        <xdr:cNvPr id="657" name="그룹 656">
          <a:extLst>
            <a:ext uri="{FF2B5EF4-FFF2-40B4-BE49-F238E27FC236}">
              <a16:creationId xmlns:a16="http://schemas.microsoft.com/office/drawing/2014/main" id="{9A7777F3-3807-EE4D-B645-FAB250D702E4}"/>
            </a:ext>
          </a:extLst>
        </xdr:cNvPr>
        <xdr:cNvGrpSpPr/>
      </xdr:nvGrpSpPr>
      <xdr:grpSpPr>
        <a:xfrm>
          <a:off x="714722" y="590123"/>
          <a:ext cx="3308235" cy="2243448"/>
          <a:chOff x="693079" y="588536"/>
          <a:chExt cx="3264055" cy="2241860"/>
        </a:xfrm>
      </xdr:grpSpPr>
      <xdr:cxnSp macro="">
        <xdr:nvCxnSpPr>
          <xdr:cNvPr id="654" name="직선 연결선 653">
            <a:extLst>
              <a:ext uri="{FF2B5EF4-FFF2-40B4-BE49-F238E27FC236}">
                <a16:creationId xmlns:a16="http://schemas.microsoft.com/office/drawing/2014/main" id="{951EA29C-9E98-35D6-A2F9-D93F2B540648}"/>
              </a:ext>
            </a:extLst>
          </xdr:cNvPr>
          <xdr:cNvCxnSpPr/>
        </xdr:nvCxnSpPr>
        <xdr:spPr>
          <a:xfrm flipV="1">
            <a:off x="693079" y="588536"/>
            <a:ext cx="3264055" cy="0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5" name="직선 연결선 654">
            <a:extLst>
              <a:ext uri="{FF2B5EF4-FFF2-40B4-BE49-F238E27FC236}">
                <a16:creationId xmlns:a16="http://schemas.microsoft.com/office/drawing/2014/main" id="{8E273F19-C67A-4F91-8592-876D5C0EB661}"/>
              </a:ext>
            </a:extLst>
          </xdr:cNvPr>
          <xdr:cNvCxnSpPr/>
        </xdr:nvCxnSpPr>
        <xdr:spPr>
          <a:xfrm flipH="1" flipV="1">
            <a:off x="702217" y="589930"/>
            <a:ext cx="6351" cy="2240466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28497</xdr:colOff>
      <xdr:row>13</xdr:row>
      <xdr:rowOff>156272</xdr:rowOff>
    </xdr:from>
    <xdr:to>
      <xdr:col>12</xdr:col>
      <xdr:colOff>55601</xdr:colOff>
      <xdr:row>23</xdr:row>
      <xdr:rowOff>67217</xdr:rowOff>
    </xdr:to>
    <xdr:grpSp>
      <xdr:nvGrpSpPr>
        <xdr:cNvPr id="658" name="그룹 657">
          <a:extLst>
            <a:ext uri="{FF2B5EF4-FFF2-40B4-BE49-F238E27FC236}">
              <a16:creationId xmlns:a16="http://schemas.microsoft.com/office/drawing/2014/main" id="{15EB960B-3DED-4540-837C-03CE2B6B447F}"/>
            </a:ext>
          </a:extLst>
        </xdr:cNvPr>
        <xdr:cNvGrpSpPr/>
      </xdr:nvGrpSpPr>
      <xdr:grpSpPr>
        <a:xfrm>
          <a:off x="717007" y="2976639"/>
          <a:ext cx="3303472" cy="2243448"/>
          <a:chOff x="693079" y="588536"/>
          <a:chExt cx="3264055" cy="2241860"/>
        </a:xfrm>
      </xdr:grpSpPr>
      <xdr:cxnSp macro="">
        <xdr:nvCxnSpPr>
          <xdr:cNvPr id="659" name="직선 연결선 658">
            <a:extLst>
              <a:ext uri="{FF2B5EF4-FFF2-40B4-BE49-F238E27FC236}">
                <a16:creationId xmlns:a16="http://schemas.microsoft.com/office/drawing/2014/main" id="{087CBC3A-F754-A8B7-91BE-B15F6B55609F}"/>
              </a:ext>
            </a:extLst>
          </xdr:cNvPr>
          <xdr:cNvCxnSpPr/>
        </xdr:nvCxnSpPr>
        <xdr:spPr>
          <a:xfrm flipV="1">
            <a:off x="693079" y="588536"/>
            <a:ext cx="3264055" cy="0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0" name="직선 연결선 659">
            <a:extLst>
              <a:ext uri="{FF2B5EF4-FFF2-40B4-BE49-F238E27FC236}">
                <a16:creationId xmlns:a16="http://schemas.microsoft.com/office/drawing/2014/main" id="{6915D349-4663-95F4-29E8-ADD284CEBE08}"/>
              </a:ext>
            </a:extLst>
          </xdr:cNvPr>
          <xdr:cNvCxnSpPr/>
        </xdr:nvCxnSpPr>
        <xdr:spPr>
          <a:xfrm flipH="1" flipV="1">
            <a:off x="702217" y="589930"/>
            <a:ext cx="6351" cy="2240466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13009</xdr:colOff>
      <xdr:row>27</xdr:row>
      <xdr:rowOff>129168</xdr:rowOff>
    </xdr:from>
    <xdr:to>
      <xdr:col>12</xdr:col>
      <xdr:colOff>40113</xdr:colOff>
      <xdr:row>37</xdr:row>
      <xdr:rowOff>202735</xdr:rowOff>
    </xdr:to>
    <xdr:grpSp>
      <xdr:nvGrpSpPr>
        <xdr:cNvPr id="661" name="그룹 660">
          <a:extLst>
            <a:ext uri="{FF2B5EF4-FFF2-40B4-BE49-F238E27FC236}">
              <a16:creationId xmlns:a16="http://schemas.microsoft.com/office/drawing/2014/main" id="{8E8A7ED9-43B0-426A-9F0E-07C38DFD16B9}"/>
            </a:ext>
          </a:extLst>
        </xdr:cNvPr>
        <xdr:cNvGrpSpPr/>
      </xdr:nvGrpSpPr>
      <xdr:grpSpPr>
        <a:xfrm>
          <a:off x="696756" y="6144592"/>
          <a:ext cx="3308235" cy="2241860"/>
          <a:chOff x="693079" y="588536"/>
          <a:chExt cx="3264055" cy="2241860"/>
        </a:xfrm>
      </xdr:grpSpPr>
      <xdr:cxnSp macro="">
        <xdr:nvCxnSpPr>
          <xdr:cNvPr id="662" name="직선 연결선 661">
            <a:extLst>
              <a:ext uri="{FF2B5EF4-FFF2-40B4-BE49-F238E27FC236}">
                <a16:creationId xmlns:a16="http://schemas.microsoft.com/office/drawing/2014/main" id="{2C0D14E6-853C-C939-F6A1-C032EDFD2FB1}"/>
              </a:ext>
            </a:extLst>
          </xdr:cNvPr>
          <xdr:cNvCxnSpPr/>
        </xdr:nvCxnSpPr>
        <xdr:spPr>
          <a:xfrm flipV="1">
            <a:off x="693079" y="588536"/>
            <a:ext cx="3264055" cy="0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3" name="직선 연결선 662">
            <a:extLst>
              <a:ext uri="{FF2B5EF4-FFF2-40B4-BE49-F238E27FC236}">
                <a16:creationId xmlns:a16="http://schemas.microsoft.com/office/drawing/2014/main" id="{1F506795-C302-0FB3-B6E7-88B35D3A041B}"/>
              </a:ext>
            </a:extLst>
          </xdr:cNvPr>
          <xdr:cNvCxnSpPr/>
        </xdr:nvCxnSpPr>
        <xdr:spPr>
          <a:xfrm flipH="1" flipV="1">
            <a:off x="702217" y="589930"/>
            <a:ext cx="6351" cy="2240466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10531</xdr:colOff>
      <xdr:row>38</xdr:row>
      <xdr:rowOff>130562</xdr:rowOff>
    </xdr:from>
    <xdr:to>
      <xdr:col>12</xdr:col>
      <xdr:colOff>37635</xdr:colOff>
      <xdr:row>48</xdr:row>
      <xdr:rowOff>41507</xdr:rowOff>
    </xdr:to>
    <xdr:grpSp>
      <xdr:nvGrpSpPr>
        <xdr:cNvPr id="664" name="그룹 663">
          <a:extLst>
            <a:ext uri="{FF2B5EF4-FFF2-40B4-BE49-F238E27FC236}">
              <a16:creationId xmlns:a16="http://schemas.microsoft.com/office/drawing/2014/main" id="{4A71517B-F888-40E4-BFAC-1EE46BCFAFE4}"/>
            </a:ext>
          </a:extLst>
        </xdr:cNvPr>
        <xdr:cNvGrpSpPr/>
      </xdr:nvGrpSpPr>
      <xdr:grpSpPr>
        <a:xfrm>
          <a:off x="699041" y="8531108"/>
          <a:ext cx="3303472" cy="2245035"/>
          <a:chOff x="693079" y="588536"/>
          <a:chExt cx="3264055" cy="2241860"/>
        </a:xfrm>
      </xdr:grpSpPr>
      <xdr:cxnSp macro="">
        <xdr:nvCxnSpPr>
          <xdr:cNvPr id="665" name="직선 연결선 664">
            <a:extLst>
              <a:ext uri="{FF2B5EF4-FFF2-40B4-BE49-F238E27FC236}">
                <a16:creationId xmlns:a16="http://schemas.microsoft.com/office/drawing/2014/main" id="{F85029DD-6017-3D93-1DA9-364F756A3B8A}"/>
              </a:ext>
            </a:extLst>
          </xdr:cNvPr>
          <xdr:cNvCxnSpPr/>
        </xdr:nvCxnSpPr>
        <xdr:spPr>
          <a:xfrm flipV="1">
            <a:off x="693079" y="588536"/>
            <a:ext cx="3264055" cy="0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6" name="직선 연결선 665">
            <a:extLst>
              <a:ext uri="{FF2B5EF4-FFF2-40B4-BE49-F238E27FC236}">
                <a16:creationId xmlns:a16="http://schemas.microsoft.com/office/drawing/2014/main" id="{B5756FD3-F912-F6DE-091B-CA5F7D59B92F}"/>
              </a:ext>
            </a:extLst>
          </xdr:cNvPr>
          <xdr:cNvCxnSpPr/>
        </xdr:nvCxnSpPr>
        <xdr:spPr>
          <a:xfrm flipH="1" flipV="1">
            <a:off x="702217" y="589930"/>
            <a:ext cx="6351" cy="2240466"/>
          </a:xfrm>
          <a:prstGeom prst="line">
            <a:avLst/>
          </a:prstGeom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31697</xdr:colOff>
      <xdr:row>11</xdr:row>
      <xdr:rowOff>12700</xdr:rowOff>
    </xdr:from>
    <xdr:to>
      <xdr:col>9</xdr:col>
      <xdr:colOff>93097</xdr:colOff>
      <xdr:row>12</xdr:row>
      <xdr:rowOff>12800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A7D51CE2-6DA2-ED66-6622-59AA2C7CA425}"/>
            </a:ext>
          </a:extLst>
        </xdr:cNvPr>
        <xdr:cNvGrpSpPr/>
      </xdr:nvGrpSpPr>
      <xdr:grpSpPr>
        <a:xfrm>
          <a:off x="2608209" y="2386012"/>
          <a:ext cx="62988" cy="216000"/>
          <a:chOff x="7105597" y="1460500"/>
          <a:chExt cx="61400" cy="252000"/>
        </a:xfrm>
      </xdr:grpSpPr>
      <xdr:sp macro="" textlink="">
        <xdr:nvSpPr>
          <xdr:cNvPr id="3" name="자유형: 도형 2">
            <a:extLst>
              <a:ext uri="{FF2B5EF4-FFF2-40B4-BE49-F238E27FC236}">
                <a16:creationId xmlns:a16="http://schemas.microsoft.com/office/drawing/2014/main" id="{A5218244-48F4-9D24-1F92-07683BEB0F1A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" name="자유형: 도형 3">
            <a:extLst>
              <a:ext uri="{FF2B5EF4-FFF2-40B4-BE49-F238E27FC236}">
                <a16:creationId xmlns:a16="http://schemas.microsoft.com/office/drawing/2014/main" id="{1C0C2943-4743-4E53-83AD-88B2E8B8EADD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31</xdr:col>
      <xdr:colOff>31697</xdr:colOff>
      <xdr:row>1</xdr:row>
      <xdr:rowOff>31750</xdr:rowOff>
    </xdr:from>
    <xdr:to>
      <xdr:col>31</xdr:col>
      <xdr:colOff>93097</xdr:colOff>
      <xdr:row>2</xdr:row>
      <xdr:rowOff>0</xdr:rowOff>
    </xdr:to>
    <xdr:grpSp>
      <xdr:nvGrpSpPr>
        <xdr:cNvPr id="6" name="그룹 5">
          <a:extLst>
            <a:ext uri="{FF2B5EF4-FFF2-40B4-BE49-F238E27FC236}">
              <a16:creationId xmlns:a16="http://schemas.microsoft.com/office/drawing/2014/main" id="{D0C302F9-0778-4330-95CB-1F604CE4C6B7}"/>
            </a:ext>
          </a:extLst>
        </xdr:cNvPr>
        <xdr:cNvGrpSpPr/>
      </xdr:nvGrpSpPr>
      <xdr:grpSpPr>
        <a:xfrm>
          <a:off x="5402209" y="246062"/>
          <a:ext cx="62988" cy="185738"/>
          <a:chOff x="7105597" y="1460500"/>
          <a:chExt cx="61400" cy="252000"/>
        </a:xfrm>
      </xdr:grpSpPr>
      <xdr:sp macro="" textlink="">
        <xdr:nvSpPr>
          <xdr:cNvPr id="7" name="자유형: 도형 6">
            <a:extLst>
              <a:ext uri="{FF2B5EF4-FFF2-40B4-BE49-F238E27FC236}">
                <a16:creationId xmlns:a16="http://schemas.microsoft.com/office/drawing/2014/main" id="{91F06682-7650-F5D0-2C1E-8C13C10B4133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8" name="자유형: 도형 7">
            <a:extLst>
              <a:ext uri="{FF2B5EF4-FFF2-40B4-BE49-F238E27FC236}">
                <a16:creationId xmlns:a16="http://schemas.microsoft.com/office/drawing/2014/main" id="{17B704C5-A98B-6CBC-C202-EBE8C41754DA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31</xdr:col>
      <xdr:colOff>38047</xdr:colOff>
      <xdr:row>3</xdr:row>
      <xdr:rowOff>6350</xdr:rowOff>
    </xdr:from>
    <xdr:to>
      <xdr:col>31</xdr:col>
      <xdr:colOff>99447</xdr:colOff>
      <xdr:row>4</xdr:row>
      <xdr:rowOff>6450</xdr:rowOff>
    </xdr:to>
    <xdr:grpSp>
      <xdr:nvGrpSpPr>
        <xdr:cNvPr id="9" name="그룹 8">
          <a:extLst>
            <a:ext uri="{FF2B5EF4-FFF2-40B4-BE49-F238E27FC236}">
              <a16:creationId xmlns:a16="http://schemas.microsoft.com/office/drawing/2014/main" id="{ED105C54-6CF0-4B7D-B5A0-3562F7501EF5}"/>
            </a:ext>
          </a:extLst>
        </xdr:cNvPr>
        <xdr:cNvGrpSpPr/>
      </xdr:nvGrpSpPr>
      <xdr:grpSpPr>
        <a:xfrm>
          <a:off x="5410147" y="655637"/>
          <a:ext cx="62987" cy="216000"/>
          <a:chOff x="7105597" y="1460500"/>
          <a:chExt cx="61400" cy="252000"/>
        </a:xfrm>
      </xdr:grpSpPr>
      <xdr:sp macro="" textlink="">
        <xdr:nvSpPr>
          <xdr:cNvPr id="10" name="자유형: 도형 9">
            <a:extLst>
              <a:ext uri="{FF2B5EF4-FFF2-40B4-BE49-F238E27FC236}">
                <a16:creationId xmlns:a16="http://schemas.microsoft.com/office/drawing/2014/main" id="{B02F5CB6-1D2A-3A91-9812-B3C28E958BE8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자유형: 도형 10">
            <a:extLst>
              <a:ext uri="{FF2B5EF4-FFF2-40B4-BE49-F238E27FC236}">
                <a16:creationId xmlns:a16="http://schemas.microsoft.com/office/drawing/2014/main" id="{B7766622-E53B-42AB-2305-78AE27496682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31</xdr:col>
      <xdr:colOff>18997</xdr:colOff>
      <xdr:row>5</xdr:row>
      <xdr:rowOff>0</xdr:rowOff>
    </xdr:from>
    <xdr:to>
      <xdr:col>31</xdr:col>
      <xdr:colOff>80397</xdr:colOff>
      <xdr:row>5</xdr:row>
      <xdr:rowOff>209650</xdr:rowOff>
    </xdr:to>
    <xdr:grpSp>
      <xdr:nvGrpSpPr>
        <xdr:cNvPr id="12" name="그룹 11">
          <a:extLst>
            <a:ext uri="{FF2B5EF4-FFF2-40B4-BE49-F238E27FC236}">
              <a16:creationId xmlns:a16="http://schemas.microsoft.com/office/drawing/2014/main" id="{9EF16F9E-7573-466F-B0C8-A7DA8B6F63AD}"/>
            </a:ext>
          </a:extLst>
        </xdr:cNvPr>
        <xdr:cNvGrpSpPr/>
      </xdr:nvGrpSpPr>
      <xdr:grpSpPr>
        <a:xfrm>
          <a:off x="5391097" y="1079500"/>
          <a:ext cx="62987" cy="209650"/>
          <a:chOff x="7105597" y="1460500"/>
          <a:chExt cx="61400" cy="252000"/>
        </a:xfrm>
      </xdr:grpSpPr>
      <xdr:sp macro="" textlink="">
        <xdr:nvSpPr>
          <xdr:cNvPr id="13" name="자유형: 도형 12">
            <a:extLst>
              <a:ext uri="{FF2B5EF4-FFF2-40B4-BE49-F238E27FC236}">
                <a16:creationId xmlns:a16="http://schemas.microsoft.com/office/drawing/2014/main" id="{480CF9B1-7AFA-9626-94C9-B2A3995A9153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4" name="자유형: 도형 13">
            <a:extLst>
              <a:ext uri="{FF2B5EF4-FFF2-40B4-BE49-F238E27FC236}">
                <a16:creationId xmlns:a16="http://schemas.microsoft.com/office/drawing/2014/main" id="{D4023A54-B175-EAEE-AE98-4798D8725955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23</xdr:col>
      <xdr:colOff>38047</xdr:colOff>
      <xdr:row>10</xdr:row>
      <xdr:rowOff>209550</xdr:rowOff>
    </xdr:from>
    <xdr:to>
      <xdr:col>23</xdr:col>
      <xdr:colOff>99447</xdr:colOff>
      <xdr:row>11</xdr:row>
      <xdr:rowOff>209650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01B919FB-E3B2-458B-B554-4E01AFA1B64A}"/>
            </a:ext>
          </a:extLst>
        </xdr:cNvPr>
        <xdr:cNvGrpSpPr/>
      </xdr:nvGrpSpPr>
      <xdr:grpSpPr>
        <a:xfrm>
          <a:off x="4394147" y="2368550"/>
          <a:ext cx="62987" cy="216000"/>
          <a:chOff x="7105597" y="1460500"/>
          <a:chExt cx="61400" cy="252000"/>
        </a:xfrm>
      </xdr:grpSpPr>
      <xdr:sp macro="" textlink="">
        <xdr:nvSpPr>
          <xdr:cNvPr id="16" name="자유형: 도형 15">
            <a:extLst>
              <a:ext uri="{FF2B5EF4-FFF2-40B4-BE49-F238E27FC236}">
                <a16:creationId xmlns:a16="http://schemas.microsoft.com/office/drawing/2014/main" id="{AD00A969-4392-124A-927A-7F14E75EACEE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7" name="자유형: 도형 16">
            <a:extLst>
              <a:ext uri="{FF2B5EF4-FFF2-40B4-BE49-F238E27FC236}">
                <a16:creationId xmlns:a16="http://schemas.microsoft.com/office/drawing/2014/main" id="{35D837CB-B744-427B-AE23-5AD086180956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38047</xdr:colOff>
      <xdr:row>10</xdr:row>
      <xdr:rowOff>203200</xdr:rowOff>
    </xdr:from>
    <xdr:to>
      <xdr:col>37</xdr:col>
      <xdr:colOff>99447</xdr:colOff>
      <xdr:row>11</xdr:row>
      <xdr:rowOff>203300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775C7030-250F-41D7-84B4-171759622A68}"/>
            </a:ext>
          </a:extLst>
        </xdr:cNvPr>
        <xdr:cNvGrpSpPr/>
      </xdr:nvGrpSpPr>
      <xdr:grpSpPr>
        <a:xfrm>
          <a:off x="6172147" y="2360612"/>
          <a:ext cx="62987" cy="216000"/>
          <a:chOff x="7105597" y="1460500"/>
          <a:chExt cx="61400" cy="252000"/>
        </a:xfrm>
      </xdr:grpSpPr>
      <xdr:sp macro="" textlink="">
        <xdr:nvSpPr>
          <xdr:cNvPr id="19" name="자유형: 도형 18">
            <a:extLst>
              <a:ext uri="{FF2B5EF4-FFF2-40B4-BE49-F238E27FC236}">
                <a16:creationId xmlns:a16="http://schemas.microsoft.com/office/drawing/2014/main" id="{084159EE-2B8F-A95C-55C0-E0296E637AB5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0" name="자유형: 도형 19">
            <a:extLst>
              <a:ext uri="{FF2B5EF4-FFF2-40B4-BE49-F238E27FC236}">
                <a16:creationId xmlns:a16="http://schemas.microsoft.com/office/drawing/2014/main" id="{17E63B37-A15A-CAFA-9410-3D015280E054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47</xdr:col>
      <xdr:colOff>25347</xdr:colOff>
      <xdr:row>9</xdr:row>
      <xdr:rowOff>6350</xdr:rowOff>
    </xdr:from>
    <xdr:to>
      <xdr:col>47</xdr:col>
      <xdr:colOff>86747</xdr:colOff>
      <xdr:row>10</xdr:row>
      <xdr:rowOff>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DC85580-D51B-42B9-9F3F-CF13A9F3BA62}"/>
            </a:ext>
          </a:extLst>
        </xdr:cNvPr>
        <xdr:cNvGrpSpPr/>
      </xdr:nvGrpSpPr>
      <xdr:grpSpPr>
        <a:xfrm>
          <a:off x="7431034" y="1951037"/>
          <a:ext cx="62988" cy="207963"/>
          <a:chOff x="7105597" y="1460500"/>
          <a:chExt cx="61400" cy="252000"/>
        </a:xfrm>
      </xdr:grpSpPr>
      <xdr:sp macro="" textlink="">
        <xdr:nvSpPr>
          <xdr:cNvPr id="22" name="자유형: 도형 21">
            <a:extLst>
              <a:ext uri="{FF2B5EF4-FFF2-40B4-BE49-F238E27FC236}">
                <a16:creationId xmlns:a16="http://schemas.microsoft.com/office/drawing/2014/main" id="{F7176C97-08FC-E779-9248-05ACD36B2BFB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자유형: 도형 22">
            <a:extLst>
              <a:ext uri="{FF2B5EF4-FFF2-40B4-BE49-F238E27FC236}">
                <a16:creationId xmlns:a16="http://schemas.microsoft.com/office/drawing/2014/main" id="{4D9863D3-8EFD-8219-5D55-EC1E2F3658DF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47</xdr:col>
      <xdr:colOff>31697</xdr:colOff>
      <xdr:row>11</xdr:row>
      <xdr:rowOff>19050</xdr:rowOff>
    </xdr:from>
    <xdr:to>
      <xdr:col>47</xdr:col>
      <xdr:colOff>93097</xdr:colOff>
      <xdr:row>12</xdr:row>
      <xdr:rowOff>19150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6AD14BD1-1E0C-4DB3-AB5D-5C392190B872}"/>
            </a:ext>
          </a:extLst>
        </xdr:cNvPr>
        <xdr:cNvGrpSpPr/>
      </xdr:nvGrpSpPr>
      <xdr:grpSpPr>
        <a:xfrm>
          <a:off x="7434209" y="2393950"/>
          <a:ext cx="62988" cy="216000"/>
          <a:chOff x="7105597" y="1460500"/>
          <a:chExt cx="61400" cy="252000"/>
        </a:xfrm>
      </xdr:grpSpPr>
      <xdr:sp macro="" textlink="">
        <xdr:nvSpPr>
          <xdr:cNvPr id="25" name="자유형: 도형 24">
            <a:extLst>
              <a:ext uri="{FF2B5EF4-FFF2-40B4-BE49-F238E27FC236}">
                <a16:creationId xmlns:a16="http://schemas.microsoft.com/office/drawing/2014/main" id="{91DBF732-B3FE-46D1-C7B9-9D1FCE5B675E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" name="자유형: 도형 25">
            <a:extLst>
              <a:ext uri="{FF2B5EF4-FFF2-40B4-BE49-F238E27FC236}">
                <a16:creationId xmlns:a16="http://schemas.microsoft.com/office/drawing/2014/main" id="{493E326A-EEA8-36C9-5A4E-2D0D17B05F35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47</xdr:col>
      <xdr:colOff>18997</xdr:colOff>
      <xdr:row>13</xdr:row>
      <xdr:rowOff>0</xdr:rowOff>
    </xdr:from>
    <xdr:to>
      <xdr:col>47</xdr:col>
      <xdr:colOff>80397</xdr:colOff>
      <xdr:row>13</xdr:row>
      <xdr:rowOff>209650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AEED1BF6-43B6-4F40-B9BD-AFBDA4C6C54B}"/>
            </a:ext>
          </a:extLst>
        </xdr:cNvPr>
        <xdr:cNvGrpSpPr/>
      </xdr:nvGrpSpPr>
      <xdr:grpSpPr>
        <a:xfrm>
          <a:off x="7423097" y="2806700"/>
          <a:ext cx="62987" cy="209650"/>
          <a:chOff x="7105597" y="1460500"/>
          <a:chExt cx="61400" cy="252000"/>
        </a:xfrm>
      </xdr:grpSpPr>
      <xdr:sp macro="" textlink="">
        <xdr:nvSpPr>
          <xdr:cNvPr id="28" name="자유형: 도형 27">
            <a:extLst>
              <a:ext uri="{FF2B5EF4-FFF2-40B4-BE49-F238E27FC236}">
                <a16:creationId xmlns:a16="http://schemas.microsoft.com/office/drawing/2014/main" id="{270BB08F-A556-AA52-DA98-C36502A8B563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자유형: 도형 28">
            <a:extLst>
              <a:ext uri="{FF2B5EF4-FFF2-40B4-BE49-F238E27FC236}">
                <a16:creationId xmlns:a16="http://schemas.microsoft.com/office/drawing/2014/main" id="{D9CC9A74-85F1-ACF5-20DD-0222518260D5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37</xdr:col>
      <xdr:colOff>31697</xdr:colOff>
      <xdr:row>13</xdr:row>
      <xdr:rowOff>0</xdr:rowOff>
    </xdr:from>
    <xdr:to>
      <xdr:col>37</xdr:col>
      <xdr:colOff>93097</xdr:colOff>
      <xdr:row>13</xdr:row>
      <xdr:rowOff>190600</xdr:rowOff>
    </xdr:to>
    <xdr:grpSp>
      <xdr:nvGrpSpPr>
        <xdr:cNvPr id="30" name="그룹 29">
          <a:extLst>
            <a:ext uri="{FF2B5EF4-FFF2-40B4-BE49-F238E27FC236}">
              <a16:creationId xmlns:a16="http://schemas.microsoft.com/office/drawing/2014/main" id="{92877DAE-73B0-4B37-AA35-8D3871743E43}"/>
            </a:ext>
          </a:extLst>
        </xdr:cNvPr>
        <xdr:cNvGrpSpPr/>
      </xdr:nvGrpSpPr>
      <xdr:grpSpPr>
        <a:xfrm>
          <a:off x="6164209" y="2806700"/>
          <a:ext cx="62988" cy="190600"/>
          <a:chOff x="7105597" y="1460500"/>
          <a:chExt cx="61400" cy="252000"/>
        </a:xfrm>
      </xdr:grpSpPr>
      <xdr:sp macro="" textlink="">
        <xdr:nvSpPr>
          <xdr:cNvPr id="31" name="자유형: 도형 30">
            <a:extLst>
              <a:ext uri="{FF2B5EF4-FFF2-40B4-BE49-F238E27FC236}">
                <a16:creationId xmlns:a16="http://schemas.microsoft.com/office/drawing/2014/main" id="{27FFEEDE-720C-C789-4EB4-2B612520DC34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2" name="자유형: 도형 31">
            <a:extLst>
              <a:ext uri="{FF2B5EF4-FFF2-40B4-BE49-F238E27FC236}">
                <a16:creationId xmlns:a16="http://schemas.microsoft.com/office/drawing/2014/main" id="{BA40D60F-04A4-B8AB-51A9-65D3972B0DAD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59</xdr:col>
      <xdr:colOff>31697</xdr:colOff>
      <xdr:row>11</xdr:row>
      <xdr:rowOff>12700</xdr:rowOff>
    </xdr:from>
    <xdr:to>
      <xdr:col>59</xdr:col>
      <xdr:colOff>93097</xdr:colOff>
      <xdr:row>12</xdr:row>
      <xdr:rowOff>12800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46445F07-2A98-4AF9-ACD4-2010583E6F2C}"/>
            </a:ext>
          </a:extLst>
        </xdr:cNvPr>
        <xdr:cNvGrpSpPr/>
      </xdr:nvGrpSpPr>
      <xdr:grpSpPr>
        <a:xfrm>
          <a:off x="8958209" y="2386012"/>
          <a:ext cx="62988" cy="216000"/>
          <a:chOff x="7105597" y="1460500"/>
          <a:chExt cx="61400" cy="252000"/>
        </a:xfrm>
      </xdr:grpSpPr>
      <xdr:sp macro="" textlink="">
        <xdr:nvSpPr>
          <xdr:cNvPr id="34" name="자유형: 도형 33">
            <a:extLst>
              <a:ext uri="{FF2B5EF4-FFF2-40B4-BE49-F238E27FC236}">
                <a16:creationId xmlns:a16="http://schemas.microsoft.com/office/drawing/2014/main" id="{54F57DAD-D487-B750-526C-F453C7E05F9F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자유형: 도형 34">
            <a:extLst>
              <a:ext uri="{FF2B5EF4-FFF2-40B4-BE49-F238E27FC236}">
                <a16:creationId xmlns:a16="http://schemas.microsoft.com/office/drawing/2014/main" id="{546F599A-646A-5C2B-8965-4794490A0EF9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73</xdr:col>
      <xdr:colOff>44397</xdr:colOff>
      <xdr:row>11</xdr:row>
      <xdr:rowOff>6350</xdr:rowOff>
    </xdr:from>
    <xdr:to>
      <xdr:col>73</xdr:col>
      <xdr:colOff>105797</xdr:colOff>
      <xdr:row>12</xdr:row>
      <xdr:rowOff>6450</xdr:rowOff>
    </xdr:to>
    <xdr:grpSp>
      <xdr:nvGrpSpPr>
        <xdr:cNvPr id="36" name="그룹 35">
          <a:extLst>
            <a:ext uri="{FF2B5EF4-FFF2-40B4-BE49-F238E27FC236}">
              <a16:creationId xmlns:a16="http://schemas.microsoft.com/office/drawing/2014/main" id="{6D622092-6662-4CA3-BBFD-9E345FB93D32}"/>
            </a:ext>
          </a:extLst>
        </xdr:cNvPr>
        <xdr:cNvGrpSpPr/>
      </xdr:nvGrpSpPr>
      <xdr:grpSpPr>
        <a:xfrm>
          <a:off x="10752084" y="2382837"/>
          <a:ext cx="62988" cy="216000"/>
          <a:chOff x="7105597" y="1460500"/>
          <a:chExt cx="61400" cy="252000"/>
        </a:xfrm>
      </xdr:grpSpPr>
      <xdr:sp macro="" textlink="">
        <xdr:nvSpPr>
          <xdr:cNvPr id="37" name="자유형: 도형 36">
            <a:extLst>
              <a:ext uri="{FF2B5EF4-FFF2-40B4-BE49-F238E27FC236}">
                <a16:creationId xmlns:a16="http://schemas.microsoft.com/office/drawing/2014/main" id="{86D81507-50AD-75F8-7A41-B18565179EFC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8" name="자유형: 도형 37">
            <a:extLst>
              <a:ext uri="{FF2B5EF4-FFF2-40B4-BE49-F238E27FC236}">
                <a16:creationId xmlns:a16="http://schemas.microsoft.com/office/drawing/2014/main" id="{76F3092E-8A78-A038-274A-8EAFDD05599C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87</xdr:col>
      <xdr:colOff>25347</xdr:colOff>
      <xdr:row>11</xdr:row>
      <xdr:rowOff>0</xdr:rowOff>
    </xdr:from>
    <xdr:to>
      <xdr:col>87</xdr:col>
      <xdr:colOff>86747</xdr:colOff>
      <xdr:row>12</xdr:row>
      <xdr:rowOff>100</xdr:rowOff>
    </xdr:to>
    <xdr:grpSp>
      <xdr:nvGrpSpPr>
        <xdr:cNvPr id="42" name="그룹 41">
          <a:extLst>
            <a:ext uri="{FF2B5EF4-FFF2-40B4-BE49-F238E27FC236}">
              <a16:creationId xmlns:a16="http://schemas.microsoft.com/office/drawing/2014/main" id="{3581096C-ED18-424D-BBA5-FF6512DA515C}"/>
            </a:ext>
          </a:extLst>
        </xdr:cNvPr>
        <xdr:cNvGrpSpPr/>
      </xdr:nvGrpSpPr>
      <xdr:grpSpPr>
        <a:xfrm>
          <a:off x="12511034" y="2374900"/>
          <a:ext cx="62988" cy="216000"/>
          <a:chOff x="7105597" y="1460500"/>
          <a:chExt cx="61400" cy="252000"/>
        </a:xfrm>
      </xdr:grpSpPr>
      <xdr:sp macro="" textlink="">
        <xdr:nvSpPr>
          <xdr:cNvPr id="43" name="자유형: 도형 42">
            <a:extLst>
              <a:ext uri="{FF2B5EF4-FFF2-40B4-BE49-F238E27FC236}">
                <a16:creationId xmlns:a16="http://schemas.microsoft.com/office/drawing/2014/main" id="{8CE582E0-A566-5064-2038-37A5DA45B2B4}"/>
              </a:ext>
            </a:extLst>
          </xdr:cNvPr>
          <xdr:cNvSpPr/>
        </xdr:nvSpPr>
        <xdr:spPr>
          <a:xfrm>
            <a:off x="71055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4" name="자유형: 도형 43">
            <a:extLst>
              <a:ext uri="{FF2B5EF4-FFF2-40B4-BE49-F238E27FC236}">
                <a16:creationId xmlns:a16="http://schemas.microsoft.com/office/drawing/2014/main" id="{4F9BBD19-E3CC-477F-01B1-1CA89E3A96CE}"/>
              </a:ext>
            </a:extLst>
          </xdr:cNvPr>
          <xdr:cNvSpPr/>
        </xdr:nvSpPr>
        <xdr:spPr>
          <a:xfrm>
            <a:off x="7130997" y="1460500"/>
            <a:ext cx="36000" cy="252000"/>
          </a:xfrm>
          <a:custGeom>
            <a:avLst/>
            <a:gdLst>
              <a:gd name="connsiteX0" fmla="*/ 120703 w 133456"/>
              <a:gd name="connsiteY0" fmla="*/ 0 h 349250"/>
              <a:gd name="connsiteX1" fmla="*/ 53 w 133456"/>
              <a:gd name="connsiteY1" fmla="*/ 133350 h 349250"/>
              <a:gd name="connsiteX2" fmla="*/ 133403 w 133456"/>
              <a:gd name="connsiteY2" fmla="*/ 241300 h 349250"/>
              <a:gd name="connsiteX3" fmla="*/ 12753 w 133456"/>
              <a:gd name="connsiteY3" fmla="*/ 349250 h 3492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133456" h="349250">
                <a:moveTo>
                  <a:pt x="120703" y="0"/>
                </a:moveTo>
                <a:cubicBezTo>
                  <a:pt x="59319" y="46566"/>
                  <a:pt x="-2064" y="93133"/>
                  <a:pt x="53" y="133350"/>
                </a:cubicBezTo>
                <a:cubicBezTo>
                  <a:pt x="2170" y="173567"/>
                  <a:pt x="131286" y="205317"/>
                  <a:pt x="133403" y="241300"/>
                </a:cubicBezTo>
                <a:cubicBezTo>
                  <a:pt x="135520" y="277283"/>
                  <a:pt x="74136" y="313266"/>
                  <a:pt x="12753" y="3492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27</xdr:col>
      <xdr:colOff>50800</xdr:colOff>
      <xdr:row>36</xdr:row>
      <xdr:rowOff>19050</xdr:rowOff>
    </xdr:from>
    <xdr:ext cx="285976" cy="172227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B1487B49-6B06-4E20-AD31-6FCF681FB85D}"/>
            </a:ext>
          </a:extLst>
        </xdr:cNvPr>
        <xdr:cNvSpPr txBox="1"/>
      </xdr:nvSpPr>
      <xdr:spPr>
        <a:xfrm>
          <a:off x="5397500" y="97980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4096</a:t>
          </a:r>
          <a:endParaRPr lang="ko-KR" altLang="en-US" sz="1100"/>
        </a:p>
      </xdr:txBody>
    </xdr:sp>
    <xdr:clientData/>
  </xdr:oneCellAnchor>
  <xdr:oneCellAnchor>
    <xdr:from>
      <xdr:col>46</xdr:col>
      <xdr:colOff>6350</xdr:colOff>
      <xdr:row>36</xdr:row>
      <xdr:rowOff>31750</xdr:rowOff>
    </xdr:from>
    <xdr:ext cx="71494" cy="172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FBA02C2F-8A3D-4403-AA25-BD2C22FD6AF8}"/>
            </a:ext>
          </a:extLst>
        </xdr:cNvPr>
        <xdr:cNvSpPr txBox="1"/>
      </xdr:nvSpPr>
      <xdr:spPr>
        <a:xfrm>
          <a:off x="7645400" y="98107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52</xdr:col>
      <xdr:colOff>0</xdr:colOff>
      <xdr:row>36</xdr:row>
      <xdr:rowOff>31750</xdr:rowOff>
    </xdr:from>
    <xdr:ext cx="71494" cy="172227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6B2DD9D3-6965-44EF-92E8-3EB8B889E890}"/>
            </a:ext>
          </a:extLst>
        </xdr:cNvPr>
        <xdr:cNvSpPr txBox="1"/>
      </xdr:nvSpPr>
      <xdr:spPr>
        <a:xfrm>
          <a:off x="8362950" y="98107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</xdr:col>
      <xdr:colOff>114300</xdr:colOff>
      <xdr:row>36</xdr:row>
      <xdr:rowOff>38100</xdr:rowOff>
    </xdr:from>
    <xdr:ext cx="71494" cy="172227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75272498-CD9D-444E-9E67-7FAC12ABE9E7}"/>
            </a:ext>
          </a:extLst>
        </xdr:cNvPr>
        <xdr:cNvSpPr txBox="1"/>
      </xdr:nvSpPr>
      <xdr:spPr>
        <a:xfrm>
          <a:off x="2565400" y="98171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9</xdr:col>
      <xdr:colOff>107950</xdr:colOff>
      <xdr:row>36</xdr:row>
      <xdr:rowOff>38100</xdr:rowOff>
    </xdr:from>
    <xdr:ext cx="71494" cy="172227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E502419-0ABD-4F23-8AA3-F6CAE0FD5ED6}"/>
            </a:ext>
          </a:extLst>
        </xdr:cNvPr>
        <xdr:cNvSpPr txBox="1"/>
      </xdr:nvSpPr>
      <xdr:spPr>
        <a:xfrm>
          <a:off x="3282950" y="98171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33</xdr:col>
      <xdr:colOff>57150</xdr:colOff>
      <xdr:row>36</xdr:row>
      <xdr:rowOff>12700</xdr:rowOff>
    </xdr:from>
    <xdr:ext cx="285976" cy="172227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68633C95-F18A-4E4D-826C-6F44B21FE595}"/>
            </a:ext>
          </a:extLst>
        </xdr:cNvPr>
        <xdr:cNvSpPr txBox="1"/>
      </xdr:nvSpPr>
      <xdr:spPr>
        <a:xfrm>
          <a:off x="6127750" y="97917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4097</a:t>
          </a:r>
          <a:endParaRPr lang="ko-KR" altLang="en-US" sz="1100"/>
        </a:p>
      </xdr:txBody>
    </xdr:sp>
    <xdr:clientData/>
  </xdr:oneCellAnchor>
  <xdr:oneCellAnchor>
    <xdr:from>
      <xdr:col>39</xdr:col>
      <xdr:colOff>44450</xdr:colOff>
      <xdr:row>36</xdr:row>
      <xdr:rowOff>19050</xdr:rowOff>
    </xdr:from>
    <xdr:ext cx="285976" cy="172227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7B3A412C-7888-466B-9CF5-EFC0D1696096}"/>
            </a:ext>
          </a:extLst>
        </xdr:cNvPr>
        <xdr:cNvSpPr txBox="1"/>
      </xdr:nvSpPr>
      <xdr:spPr>
        <a:xfrm>
          <a:off x="6838950" y="97980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4098</a:t>
          </a:r>
          <a:endParaRPr lang="ko-KR" altLang="en-US" sz="1100"/>
        </a:p>
      </xdr:txBody>
    </xdr:sp>
    <xdr:clientData/>
  </xdr:oneCellAnchor>
  <xdr:oneCellAnchor>
    <xdr:from>
      <xdr:col>69</xdr:col>
      <xdr:colOff>50800</xdr:colOff>
      <xdr:row>36</xdr:row>
      <xdr:rowOff>19050</xdr:rowOff>
    </xdr:from>
    <xdr:ext cx="285976" cy="172227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9561F10-4188-4240-8157-64570F12ABDB}"/>
            </a:ext>
          </a:extLst>
        </xdr:cNvPr>
        <xdr:cNvSpPr txBox="1"/>
      </xdr:nvSpPr>
      <xdr:spPr>
        <a:xfrm>
          <a:off x="539750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4096</a:t>
          </a:r>
          <a:endParaRPr lang="ko-KR" altLang="en-US" sz="1100"/>
        </a:p>
      </xdr:txBody>
    </xdr:sp>
    <xdr:clientData/>
  </xdr:oneCellAnchor>
  <xdr:oneCellAnchor>
    <xdr:from>
      <xdr:col>75</xdr:col>
      <xdr:colOff>57150</xdr:colOff>
      <xdr:row>36</xdr:row>
      <xdr:rowOff>12700</xdr:rowOff>
    </xdr:from>
    <xdr:ext cx="285976" cy="172227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E29A5C41-4612-44CA-9F1A-A740713F973E}"/>
            </a:ext>
          </a:extLst>
        </xdr:cNvPr>
        <xdr:cNvSpPr txBox="1"/>
      </xdr:nvSpPr>
      <xdr:spPr>
        <a:xfrm>
          <a:off x="6127750" y="102235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4097</a:t>
          </a:r>
          <a:endParaRPr lang="ko-KR" altLang="en-US" sz="1100"/>
        </a:p>
      </xdr:txBody>
    </xdr:sp>
    <xdr:clientData/>
  </xdr:oneCellAnchor>
  <xdr:oneCellAnchor>
    <xdr:from>
      <xdr:col>81</xdr:col>
      <xdr:colOff>44450</xdr:colOff>
      <xdr:row>36</xdr:row>
      <xdr:rowOff>19050</xdr:rowOff>
    </xdr:from>
    <xdr:ext cx="285976" cy="172227"/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ECE93F4A-FD51-46E5-8178-E63ED7426567}"/>
            </a:ext>
          </a:extLst>
        </xdr:cNvPr>
        <xdr:cNvSpPr txBox="1"/>
      </xdr:nvSpPr>
      <xdr:spPr>
        <a:xfrm>
          <a:off x="683895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4098</a:t>
          </a:r>
          <a:endParaRPr lang="ko-KR" altLang="en-US" sz="1100"/>
        </a:p>
      </xdr:txBody>
    </xdr:sp>
    <xdr:clientData/>
  </xdr:oneCellAnchor>
  <xdr:oneCellAnchor>
    <xdr:from>
      <xdr:col>21</xdr:col>
      <xdr:colOff>38100</xdr:colOff>
      <xdr:row>36</xdr:row>
      <xdr:rowOff>25400</xdr:rowOff>
    </xdr:from>
    <xdr:ext cx="285976" cy="172227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8C5B1AF5-35EF-428E-8149-9021C1E95362}"/>
            </a:ext>
          </a:extLst>
        </xdr:cNvPr>
        <xdr:cNvSpPr txBox="1"/>
      </xdr:nvSpPr>
      <xdr:spPr>
        <a:xfrm>
          <a:off x="4660900" y="102362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4095</a:t>
          </a:r>
          <a:endParaRPr lang="ko-KR" altLang="en-US" sz="1100"/>
        </a:p>
      </xdr:txBody>
    </xdr:sp>
    <xdr:clientData/>
  </xdr:oneCellAnchor>
  <xdr:oneCellAnchor>
    <xdr:from>
      <xdr:col>63</xdr:col>
      <xdr:colOff>57150</xdr:colOff>
      <xdr:row>36</xdr:row>
      <xdr:rowOff>19050</xdr:rowOff>
    </xdr:from>
    <xdr:ext cx="285976" cy="172227"/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8BDA7AB5-4C7A-42D3-800B-9DE25CF1B299}"/>
            </a:ext>
          </a:extLst>
        </xdr:cNvPr>
        <xdr:cNvSpPr txBox="1"/>
      </xdr:nvSpPr>
      <xdr:spPr>
        <a:xfrm>
          <a:off x="974725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4095</a:t>
          </a:r>
          <a:endParaRPr lang="ko-KR" altLang="en-US" sz="1100"/>
        </a:p>
      </xdr:txBody>
    </xdr:sp>
    <xdr:clientData/>
  </xdr:oneCellAnchor>
  <xdr:oneCellAnchor>
    <xdr:from>
      <xdr:col>15</xdr:col>
      <xdr:colOff>50800</xdr:colOff>
      <xdr:row>53</xdr:row>
      <xdr:rowOff>19050</xdr:rowOff>
    </xdr:from>
    <xdr:ext cx="285976" cy="172227"/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CB030F4A-482F-4B46-9882-849107306427}"/>
            </a:ext>
          </a:extLst>
        </xdr:cNvPr>
        <xdr:cNvSpPr txBox="1"/>
      </xdr:nvSpPr>
      <xdr:spPr>
        <a:xfrm>
          <a:off x="539750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4096</a:t>
          </a:r>
          <a:endParaRPr lang="ko-KR" altLang="en-US" sz="1100"/>
        </a:p>
      </xdr:txBody>
    </xdr:sp>
    <xdr:clientData/>
  </xdr:oneCellAnchor>
  <xdr:oneCellAnchor>
    <xdr:from>
      <xdr:col>34</xdr:col>
      <xdr:colOff>6350</xdr:colOff>
      <xdr:row>53</xdr:row>
      <xdr:rowOff>31750</xdr:rowOff>
    </xdr:from>
    <xdr:ext cx="71494" cy="172227"/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A3898DE7-B8F3-4571-8FF1-E22B15196DF5}"/>
            </a:ext>
          </a:extLst>
        </xdr:cNvPr>
        <xdr:cNvSpPr txBox="1"/>
      </xdr:nvSpPr>
      <xdr:spPr>
        <a:xfrm>
          <a:off x="7645400" y="102425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3</xdr:col>
      <xdr:colOff>114300</xdr:colOff>
      <xdr:row>53</xdr:row>
      <xdr:rowOff>38100</xdr:rowOff>
    </xdr:from>
    <xdr:ext cx="71494" cy="172227"/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A0F979DB-AA48-4AD3-8422-DF563EB2EF21}"/>
            </a:ext>
          </a:extLst>
        </xdr:cNvPr>
        <xdr:cNvSpPr txBox="1"/>
      </xdr:nvSpPr>
      <xdr:spPr>
        <a:xfrm>
          <a:off x="2565400" y="1024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21</xdr:col>
      <xdr:colOff>57150</xdr:colOff>
      <xdr:row>53</xdr:row>
      <xdr:rowOff>12700</xdr:rowOff>
    </xdr:from>
    <xdr:ext cx="285976" cy="172227"/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283D5523-D1F7-41C0-808D-1C758884CF80}"/>
            </a:ext>
          </a:extLst>
        </xdr:cNvPr>
        <xdr:cNvSpPr txBox="1"/>
      </xdr:nvSpPr>
      <xdr:spPr>
        <a:xfrm>
          <a:off x="6127750" y="102235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4097</a:t>
          </a:r>
          <a:endParaRPr lang="ko-KR" altLang="en-US" sz="1100"/>
        </a:p>
      </xdr:txBody>
    </xdr:sp>
    <xdr:clientData/>
  </xdr:oneCellAnchor>
  <xdr:oneCellAnchor>
    <xdr:from>
      <xdr:col>27</xdr:col>
      <xdr:colOff>44450</xdr:colOff>
      <xdr:row>53</xdr:row>
      <xdr:rowOff>19050</xdr:rowOff>
    </xdr:from>
    <xdr:ext cx="285976" cy="172227"/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4D1594AE-D3A2-4989-8613-39494F020791}"/>
            </a:ext>
          </a:extLst>
        </xdr:cNvPr>
        <xdr:cNvSpPr txBox="1"/>
      </xdr:nvSpPr>
      <xdr:spPr>
        <a:xfrm>
          <a:off x="6838950" y="102298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4098</a:t>
          </a:r>
          <a:endParaRPr lang="ko-KR" altLang="en-US" sz="1100"/>
        </a:p>
      </xdr:txBody>
    </xdr:sp>
    <xdr:clientData/>
  </xdr:oneCellAnchor>
  <xdr:oneCellAnchor>
    <xdr:from>
      <xdr:col>57</xdr:col>
      <xdr:colOff>38100</xdr:colOff>
      <xdr:row>53</xdr:row>
      <xdr:rowOff>19050</xdr:rowOff>
    </xdr:from>
    <xdr:ext cx="285976" cy="172227"/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69FFF10F-7E9C-423A-97C5-4711A0CDD29A}"/>
            </a:ext>
          </a:extLst>
        </xdr:cNvPr>
        <xdr:cNvSpPr txBox="1"/>
      </xdr:nvSpPr>
      <xdr:spPr>
        <a:xfrm>
          <a:off x="9004300" y="139636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63</xdr:col>
      <xdr:colOff>57150</xdr:colOff>
      <xdr:row>53</xdr:row>
      <xdr:rowOff>31750</xdr:rowOff>
    </xdr:from>
    <xdr:ext cx="285976" cy="172227"/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D8E7111F-320E-46D8-844C-8B2EA3DB49D4}"/>
            </a:ext>
          </a:extLst>
        </xdr:cNvPr>
        <xdr:cNvSpPr txBox="1"/>
      </xdr:nvSpPr>
      <xdr:spPr>
        <a:xfrm>
          <a:off x="974725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4095</a:t>
          </a:r>
          <a:endParaRPr lang="ko-KR" altLang="en-US" sz="1100"/>
        </a:p>
      </xdr:txBody>
    </xdr:sp>
    <xdr:clientData/>
  </xdr:oneCellAnchor>
  <xdr:oneCellAnchor>
    <xdr:from>
      <xdr:col>39</xdr:col>
      <xdr:colOff>25400</xdr:colOff>
      <xdr:row>53</xdr:row>
      <xdr:rowOff>31750</xdr:rowOff>
    </xdr:from>
    <xdr:ext cx="285976" cy="172227"/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78E22103-CF62-464D-8362-7683C9726666}"/>
            </a:ext>
          </a:extLst>
        </xdr:cNvPr>
        <xdr:cNvSpPr txBox="1"/>
      </xdr:nvSpPr>
      <xdr:spPr>
        <a:xfrm>
          <a:off x="681990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45</xdr:col>
      <xdr:colOff>31750</xdr:colOff>
      <xdr:row>53</xdr:row>
      <xdr:rowOff>38100</xdr:rowOff>
    </xdr:from>
    <xdr:ext cx="285976" cy="172227"/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4FD3558A-785D-401F-8A8A-CDE17711B524}"/>
            </a:ext>
          </a:extLst>
        </xdr:cNvPr>
        <xdr:cNvSpPr txBox="1"/>
      </xdr:nvSpPr>
      <xdr:spPr>
        <a:xfrm>
          <a:off x="7550150" y="139827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51</xdr:col>
      <xdr:colOff>38100</xdr:colOff>
      <xdr:row>53</xdr:row>
      <xdr:rowOff>31750</xdr:rowOff>
    </xdr:from>
    <xdr:ext cx="285976" cy="172227"/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47EC5008-F29E-441D-A0E5-556EFA158EBA}"/>
            </a:ext>
          </a:extLst>
        </xdr:cNvPr>
        <xdr:cNvSpPr txBox="1"/>
      </xdr:nvSpPr>
      <xdr:spPr>
        <a:xfrm>
          <a:off x="828040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69</xdr:col>
      <xdr:colOff>44450</xdr:colOff>
      <xdr:row>53</xdr:row>
      <xdr:rowOff>38100</xdr:rowOff>
    </xdr:from>
    <xdr:ext cx="285976" cy="172227"/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C2FD3EFD-14FB-4D69-A6F8-6697D93370DD}"/>
            </a:ext>
          </a:extLst>
        </xdr:cNvPr>
        <xdr:cNvSpPr txBox="1"/>
      </xdr:nvSpPr>
      <xdr:spPr>
        <a:xfrm>
          <a:off x="10458450" y="139827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4096</a:t>
          </a:r>
          <a:endParaRPr lang="ko-KR" altLang="en-US" sz="1100"/>
        </a:p>
      </xdr:txBody>
    </xdr:sp>
    <xdr:clientData/>
  </xdr:oneCellAnchor>
  <xdr:oneCellAnchor>
    <xdr:from>
      <xdr:col>75</xdr:col>
      <xdr:colOff>50800</xdr:colOff>
      <xdr:row>53</xdr:row>
      <xdr:rowOff>31750</xdr:rowOff>
    </xdr:from>
    <xdr:ext cx="285976" cy="172227"/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D4C5B118-1472-46AF-8B15-8C5600BAD6B1}"/>
            </a:ext>
          </a:extLst>
        </xdr:cNvPr>
        <xdr:cNvSpPr txBox="1"/>
      </xdr:nvSpPr>
      <xdr:spPr>
        <a:xfrm>
          <a:off x="1118870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4097</a:t>
          </a:r>
          <a:endParaRPr lang="ko-KR" altLang="en-US" sz="1100"/>
        </a:p>
      </xdr:txBody>
    </xdr:sp>
    <xdr:clientData/>
  </xdr:oneCellAnchor>
  <xdr:oneCellAnchor>
    <xdr:from>
      <xdr:col>81</xdr:col>
      <xdr:colOff>50800</xdr:colOff>
      <xdr:row>53</xdr:row>
      <xdr:rowOff>31750</xdr:rowOff>
    </xdr:from>
    <xdr:ext cx="285976" cy="172227"/>
    <xdr:sp macro="" textlink="">
      <xdr:nvSpPr>
        <xdr:cNvPr id="89" name="TextBox 88">
          <a:extLst>
            <a:ext uri="{FF2B5EF4-FFF2-40B4-BE49-F238E27FC236}">
              <a16:creationId xmlns:a16="http://schemas.microsoft.com/office/drawing/2014/main" id="{CE571CB9-6102-4351-BCDC-9A6C3646724E}"/>
            </a:ext>
          </a:extLst>
        </xdr:cNvPr>
        <xdr:cNvSpPr txBox="1"/>
      </xdr:nvSpPr>
      <xdr:spPr>
        <a:xfrm>
          <a:off x="11912600" y="139763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4098</a:t>
          </a:r>
          <a:endParaRPr lang="ko-KR" altLang="en-US" sz="1100"/>
        </a:p>
      </xdr:txBody>
    </xdr:sp>
    <xdr:clientData/>
  </xdr:oneCellAnchor>
  <xdr:oneCellAnchor>
    <xdr:from>
      <xdr:col>88</xdr:col>
      <xdr:colOff>6350</xdr:colOff>
      <xdr:row>53</xdr:row>
      <xdr:rowOff>38100</xdr:rowOff>
    </xdr:from>
    <xdr:ext cx="71494" cy="172227"/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0F6BAD88-CAE3-46EA-8DA5-2CC882442A3C}"/>
            </a:ext>
          </a:extLst>
        </xdr:cNvPr>
        <xdr:cNvSpPr txBox="1"/>
      </xdr:nvSpPr>
      <xdr:spPr>
        <a:xfrm>
          <a:off x="12712700" y="139827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9</xdr:col>
      <xdr:colOff>31750</xdr:colOff>
      <xdr:row>53</xdr:row>
      <xdr:rowOff>25400</xdr:rowOff>
    </xdr:from>
    <xdr:ext cx="285976" cy="172227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E86CF271-8D94-43A6-BBD6-385AE18B4DEE}"/>
            </a:ext>
          </a:extLst>
        </xdr:cNvPr>
        <xdr:cNvSpPr txBox="1"/>
      </xdr:nvSpPr>
      <xdr:spPr>
        <a:xfrm>
          <a:off x="3206750" y="139700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4095</a:t>
          </a:r>
          <a:endParaRPr lang="ko-KR" altLang="en-US" sz="1100"/>
        </a:p>
      </xdr:txBody>
    </xdr:sp>
    <xdr:clientData/>
  </xdr:oneCellAnchor>
  <xdr:oneCellAnchor>
    <xdr:from>
      <xdr:col>27</xdr:col>
      <xdr:colOff>50800</xdr:colOff>
      <xdr:row>65</xdr:row>
      <xdr:rowOff>25400</xdr:rowOff>
    </xdr:from>
    <xdr:ext cx="285976" cy="172227"/>
    <xdr:sp macro="" textlink="">
      <xdr:nvSpPr>
        <xdr:cNvPr id="93" name="TextBox 92">
          <a:extLst>
            <a:ext uri="{FF2B5EF4-FFF2-40B4-BE49-F238E27FC236}">
              <a16:creationId xmlns:a16="http://schemas.microsoft.com/office/drawing/2014/main" id="{FD88CDA7-87B7-428B-90EB-F337EEF94CD8}"/>
            </a:ext>
          </a:extLst>
        </xdr:cNvPr>
        <xdr:cNvSpPr txBox="1"/>
      </xdr:nvSpPr>
      <xdr:spPr>
        <a:xfrm>
          <a:off x="5397500" y="165989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46</xdr:col>
      <xdr:colOff>12700</xdr:colOff>
      <xdr:row>65</xdr:row>
      <xdr:rowOff>25400</xdr:rowOff>
    </xdr:from>
    <xdr:ext cx="71494" cy="172227"/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725D7A3D-0252-4A56-8877-8B1904C8342D}"/>
            </a:ext>
          </a:extLst>
        </xdr:cNvPr>
        <xdr:cNvSpPr txBox="1"/>
      </xdr:nvSpPr>
      <xdr:spPr>
        <a:xfrm>
          <a:off x="7651750" y="1659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52</xdr:col>
      <xdr:colOff>6350</xdr:colOff>
      <xdr:row>65</xdr:row>
      <xdr:rowOff>25400</xdr:rowOff>
    </xdr:from>
    <xdr:ext cx="71494" cy="172227"/>
    <xdr:sp macro="" textlink="">
      <xdr:nvSpPr>
        <xdr:cNvPr id="95" name="TextBox 94">
          <a:extLst>
            <a:ext uri="{FF2B5EF4-FFF2-40B4-BE49-F238E27FC236}">
              <a16:creationId xmlns:a16="http://schemas.microsoft.com/office/drawing/2014/main" id="{B313182C-79F2-430F-8720-1C0DD117B3E7}"/>
            </a:ext>
          </a:extLst>
        </xdr:cNvPr>
        <xdr:cNvSpPr txBox="1"/>
      </xdr:nvSpPr>
      <xdr:spPr>
        <a:xfrm>
          <a:off x="8369300" y="1659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</xdr:col>
      <xdr:colOff>114300</xdr:colOff>
      <xdr:row>65</xdr:row>
      <xdr:rowOff>38100</xdr:rowOff>
    </xdr:from>
    <xdr:ext cx="71494" cy="172227"/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C2421CC6-4D55-4E62-A4EB-FDD380E716F9}"/>
            </a:ext>
          </a:extLst>
        </xdr:cNvPr>
        <xdr:cNvSpPr txBox="1"/>
      </xdr:nvSpPr>
      <xdr:spPr>
        <a:xfrm>
          <a:off x="2565400" y="1024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9</xdr:col>
      <xdr:colOff>107950</xdr:colOff>
      <xdr:row>65</xdr:row>
      <xdr:rowOff>38100</xdr:rowOff>
    </xdr:from>
    <xdr:ext cx="71494" cy="172227"/>
    <xdr:sp macro="" textlink="">
      <xdr:nvSpPr>
        <xdr:cNvPr id="97" name="TextBox 96">
          <a:extLst>
            <a:ext uri="{FF2B5EF4-FFF2-40B4-BE49-F238E27FC236}">
              <a16:creationId xmlns:a16="http://schemas.microsoft.com/office/drawing/2014/main" id="{1AB24F02-B479-4C3C-A8DF-5D3A321475C9}"/>
            </a:ext>
          </a:extLst>
        </xdr:cNvPr>
        <xdr:cNvSpPr txBox="1"/>
      </xdr:nvSpPr>
      <xdr:spPr>
        <a:xfrm>
          <a:off x="3282950" y="102489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33</xdr:col>
      <xdr:colOff>57150</xdr:colOff>
      <xdr:row>65</xdr:row>
      <xdr:rowOff>19050</xdr:rowOff>
    </xdr:from>
    <xdr:ext cx="285976" cy="172227"/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1782C77D-2115-4BCE-986F-00079DF50E2A}"/>
            </a:ext>
          </a:extLst>
        </xdr:cNvPr>
        <xdr:cNvSpPr txBox="1"/>
      </xdr:nvSpPr>
      <xdr:spPr>
        <a:xfrm>
          <a:off x="6127750" y="165925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39</xdr:col>
      <xdr:colOff>44450</xdr:colOff>
      <xdr:row>65</xdr:row>
      <xdr:rowOff>25400</xdr:rowOff>
    </xdr:from>
    <xdr:ext cx="285976" cy="172227"/>
    <xdr:sp macro="" textlink="">
      <xdr:nvSpPr>
        <xdr:cNvPr id="99" name="TextBox 98">
          <a:extLst>
            <a:ext uri="{FF2B5EF4-FFF2-40B4-BE49-F238E27FC236}">
              <a16:creationId xmlns:a16="http://schemas.microsoft.com/office/drawing/2014/main" id="{816BBD7A-6980-4850-A455-96139EAA693F}"/>
            </a:ext>
          </a:extLst>
        </xdr:cNvPr>
        <xdr:cNvSpPr txBox="1"/>
      </xdr:nvSpPr>
      <xdr:spPr>
        <a:xfrm>
          <a:off x="6838950" y="165989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21</xdr:col>
      <xdr:colOff>38100</xdr:colOff>
      <xdr:row>65</xdr:row>
      <xdr:rowOff>31750</xdr:rowOff>
    </xdr:from>
    <xdr:ext cx="285976" cy="172227"/>
    <xdr:sp macro="" textlink="">
      <xdr:nvSpPr>
        <xdr:cNvPr id="103" name="TextBox 102">
          <a:extLst>
            <a:ext uri="{FF2B5EF4-FFF2-40B4-BE49-F238E27FC236}">
              <a16:creationId xmlns:a16="http://schemas.microsoft.com/office/drawing/2014/main" id="{09EB4309-6BD8-4396-9FE8-EC3AEBE7B48E}"/>
            </a:ext>
          </a:extLst>
        </xdr:cNvPr>
        <xdr:cNvSpPr txBox="1"/>
      </xdr:nvSpPr>
      <xdr:spPr>
        <a:xfrm>
          <a:off x="4660900" y="166052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69</xdr:col>
      <xdr:colOff>50800</xdr:colOff>
      <xdr:row>65</xdr:row>
      <xdr:rowOff>25400</xdr:rowOff>
    </xdr:from>
    <xdr:ext cx="285976" cy="172227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DE6F469F-8C7E-462C-AA82-083755DFED37}"/>
            </a:ext>
          </a:extLst>
        </xdr:cNvPr>
        <xdr:cNvSpPr txBox="1"/>
      </xdr:nvSpPr>
      <xdr:spPr>
        <a:xfrm>
          <a:off x="10464800" y="165989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75</xdr:col>
      <xdr:colOff>57150</xdr:colOff>
      <xdr:row>65</xdr:row>
      <xdr:rowOff>19050</xdr:rowOff>
    </xdr:from>
    <xdr:ext cx="285976" cy="172227"/>
    <xdr:sp macro="" textlink="">
      <xdr:nvSpPr>
        <xdr:cNvPr id="121" name="TextBox 120">
          <a:extLst>
            <a:ext uri="{FF2B5EF4-FFF2-40B4-BE49-F238E27FC236}">
              <a16:creationId xmlns:a16="http://schemas.microsoft.com/office/drawing/2014/main" id="{78792BC5-A76D-43A4-AE1C-7AA11884A8E6}"/>
            </a:ext>
          </a:extLst>
        </xdr:cNvPr>
        <xdr:cNvSpPr txBox="1"/>
      </xdr:nvSpPr>
      <xdr:spPr>
        <a:xfrm>
          <a:off x="11195050" y="165925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81</xdr:col>
      <xdr:colOff>44450</xdr:colOff>
      <xdr:row>65</xdr:row>
      <xdr:rowOff>25400</xdr:rowOff>
    </xdr:from>
    <xdr:ext cx="285976" cy="172227"/>
    <xdr:sp macro="" textlink="">
      <xdr:nvSpPr>
        <xdr:cNvPr id="122" name="TextBox 121">
          <a:extLst>
            <a:ext uri="{FF2B5EF4-FFF2-40B4-BE49-F238E27FC236}">
              <a16:creationId xmlns:a16="http://schemas.microsoft.com/office/drawing/2014/main" id="{5B3B2AFE-5F9A-4AF8-BF6C-1C3D223C3C6F}"/>
            </a:ext>
          </a:extLst>
        </xdr:cNvPr>
        <xdr:cNvSpPr txBox="1"/>
      </xdr:nvSpPr>
      <xdr:spPr>
        <a:xfrm>
          <a:off x="11906250" y="165989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63</xdr:col>
      <xdr:colOff>38100</xdr:colOff>
      <xdr:row>65</xdr:row>
      <xdr:rowOff>31750</xdr:rowOff>
    </xdr:from>
    <xdr:ext cx="285976" cy="172227"/>
    <xdr:sp macro="" textlink="">
      <xdr:nvSpPr>
        <xdr:cNvPr id="123" name="TextBox 122">
          <a:extLst>
            <a:ext uri="{FF2B5EF4-FFF2-40B4-BE49-F238E27FC236}">
              <a16:creationId xmlns:a16="http://schemas.microsoft.com/office/drawing/2014/main" id="{F3B8915B-7C79-4A82-A8C9-536CAA96E427}"/>
            </a:ext>
          </a:extLst>
        </xdr:cNvPr>
        <xdr:cNvSpPr txBox="1"/>
      </xdr:nvSpPr>
      <xdr:spPr>
        <a:xfrm>
          <a:off x="9728200" y="166052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87</xdr:col>
      <xdr:colOff>88900</xdr:colOff>
      <xdr:row>65</xdr:row>
      <xdr:rowOff>44450</xdr:rowOff>
    </xdr:from>
    <xdr:ext cx="71494" cy="172227"/>
    <xdr:sp macro="" textlink="">
      <xdr:nvSpPr>
        <xdr:cNvPr id="124" name="TextBox 123">
          <a:extLst>
            <a:ext uri="{FF2B5EF4-FFF2-40B4-BE49-F238E27FC236}">
              <a16:creationId xmlns:a16="http://schemas.microsoft.com/office/drawing/2014/main" id="{45726D70-35CF-4059-A1D5-7A864CBD1605}"/>
            </a:ext>
          </a:extLst>
        </xdr:cNvPr>
        <xdr:cNvSpPr txBox="1"/>
      </xdr:nvSpPr>
      <xdr:spPr>
        <a:xfrm>
          <a:off x="12674600" y="166179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twoCellAnchor>
    <xdr:from>
      <xdr:col>81</xdr:col>
      <xdr:colOff>0</xdr:colOff>
      <xdr:row>75</xdr:row>
      <xdr:rowOff>40300</xdr:rowOff>
    </xdr:from>
    <xdr:to>
      <xdr:col>81</xdr:col>
      <xdr:colOff>0</xdr:colOff>
      <xdr:row>75</xdr:row>
      <xdr:rowOff>148300</xdr:rowOff>
    </xdr:to>
    <xdr:cxnSp macro="">
      <xdr:nvCxnSpPr>
        <xdr:cNvPr id="141" name="직선 화살표 연결선 140">
          <a:extLst>
            <a:ext uri="{FF2B5EF4-FFF2-40B4-BE49-F238E27FC236}">
              <a16:creationId xmlns:a16="http://schemas.microsoft.com/office/drawing/2014/main" id="{6237E5AD-9441-9C75-C5FA-FD255C1DA010}"/>
            </a:ext>
          </a:extLst>
        </xdr:cNvPr>
        <xdr:cNvCxnSpPr/>
      </xdr:nvCxnSpPr>
      <xdr:spPr>
        <a:xfrm flipH="1">
          <a:off x="11861800" y="19039500"/>
          <a:ext cx="0" cy="108000"/>
        </a:xfrm>
        <a:prstGeom prst="straightConnector1">
          <a:avLst/>
        </a:prstGeom>
        <a:ln w="25400">
          <a:solidFill>
            <a:srgbClr val="FF0000"/>
          </a:solidFill>
          <a:headEnd type="triangle" w="lg" len="med"/>
          <a:tailEnd type="non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73</xdr:row>
      <xdr:rowOff>33950</xdr:rowOff>
    </xdr:from>
    <xdr:to>
      <xdr:col>45</xdr:col>
      <xdr:colOff>0</xdr:colOff>
      <xdr:row>73</xdr:row>
      <xdr:rowOff>141950</xdr:rowOff>
    </xdr:to>
    <xdr:cxnSp macro="">
      <xdr:nvCxnSpPr>
        <xdr:cNvPr id="143" name="직선 화살표 연결선 142">
          <a:extLst>
            <a:ext uri="{FF2B5EF4-FFF2-40B4-BE49-F238E27FC236}">
              <a16:creationId xmlns:a16="http://schemas.microsoft.com/office/drawing/2014/main" id="{87B3313C-AFA9-46D9-8D1D-C5B099C6F72B}"/>
            </a:ext>
          </a:extLst>
        </xdr:cNvPr>
        <xdr:cNvCxnSpPr/>
      </xdr:nvCxnSpPr>
      <xdr:spPr>
        <a:xfrm flipH="1">
          <a:off x="7518400" y="18588650"/>
          <a:ext cx="0" cy="108000"/>
        </a:xfrm>
        <a:prstGeom prst="straightConnector1">
          <a:avLst/>
        </a:prstGeom>
        <a:ln w="25400">
          <a:solidFill>
            <a:srgbClr val="FF0000"/>
          </a:solidFill>
          <a:headEnd type="triangle" w="lg" len="med"/>
          <a:tailEnd type="non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72</xdr:col>
      <xdr:colOff>114300</xdr:colOff>
      <xdr:row>75</xdr:row>
      <xdr:rowOff>95250</xdr:rowOff>
    </xdr:from>
    <xdr:ext cx="3437416" cy="266700"/>
    <xdr:sp macro="" textlink="">
      <xdr:nvSpPr>
        <xdr:cNvPr id="144" name="TextBox 143">
          <a:extLst>
            <a:ext uri="{FF2B5EF4-FFF2-40B4-BE49-F238E27FC236}">
              <a16:creationId xmlns:a16="http://schemas.microsoft.com/office/drawing/2014/main" id="{B43B0C0E-CCA5-4559-9440-9D46D668EE30}"/>
            </a:ext>
          </a:extLst>
        </xdr:cNvPr>
        <xdr:cNvSpPr txBox="1"/>
      </xdr:nvSpPr>
      <xdr:spPr>
        <a:xfrm>
          <a:off x="10890250" y="19094450"/>
          <a:ext cx="3437416" cy="266700"/>
        </a:xfrm>
        <a:prstGeom prst="rect">
          <a:avLst/>
        </a:prstGeom>
        <a:noFill/>
        <a:ln w="6667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100">
              <a:solidFill>
                <a:srgbClr val="FF0000"/>
              </a:solidFill>
            </a:rPr>
            <a:t>cnt reset </a:t>
          </a:r>
          <a:r>
            <a:rPr lang="ko-KR" altLang="en-US" sz="1100">
              <a:solidFill>
                <a:srgbClr val="FF0000"/>
              </a:solidFill>
            </a:rPr>
            <a:t>및 </a:t>
          </a:r>
          <a:r>
            <a:rPr lang="en-US" altLang="ko-KR" sz="1100">
              <a:solidFill>
                <a:srgbClr val="FF0000"/>
              </a:solidFill>
            </a:rPr>
            <a:t>ch</a:t>
          </a:r>
          <a:r>
            <a:rPr lang="ko-KR" altLang="en-US" sz="1100">
              <a:solidFill>
                <a:srgbClr val="FF0000"/>
              </a:solidFill>
            </a:rPr>
            <a:t>별 </a:t>
          </a:r>
          <a:r>
            <a:rPr lang="en-US" altLang="ko-KR" sz="1100">
              <a:solidFill>
                <a:srgbClr val="FF0000"/>
              </a:solidFill>
            </a:rPr>
            <a:t>delay cnt </a:t>
          </a:r>
          <a:r>
            <a:rPr lang="ko-KR" altLang="en-US" sz="1100">
              <a:solidFill>
                <a:srgbClr val="FF0000"/>
              </a:solidFill>
            </a:rPr>
            <a:t>후</a:t>
          </a:r>
          <a:r>
            <a:rPr lang="en-US" altLang="ko-KR" sz="1100" baseline="0">
              <a:solidFill>
                <a:srgbClr val="FF0000"/>
              </a:solidFill>
            </a:rPr>
            <a:t> dimming start flag assertion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27</xdr:col>
      <xdr:colOff>50800</xdr:colOff>
      <xdr:row>89</xdr:row>
      <xdr:rowOff>25400</xdr:rowOff>
    </xdr:from>
    <xdr:ext cx="285976" cy="172227"/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CA73A6B5-4E1D-4A18-9B88-61CC331D1068}"/>
            </a:ext>
          </a:extLst>
        </xdr:cNvPr>
        <xdr:cNvSpPr txBox="1"/>
      </xdr:nvSpPr>
      <xdr:spPr>
        <a:xfrm>
          <a:off x="5397500" y="168148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46</xdr:col>
      <xdr:colOff>12700</xdr:colOff>
      <xdr:row>89</xdr:row>
      <xdr:rowOff>25400</xdr:rowOff>
    </xdr:from>
    <xdr:ext cx="71494" cy="172227"/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DB2A4BF0-5673-4D2A-A8A9-3B6260C21D68}"/>
            </a:ext>
          </a:extLst>
        </xdr:cNvPr>
        <xdr:cNvSpPr txBox="1"/>
      </xdr:nvSpPr>
      <xdr:spPr>
        <a:xfrm>
          <a:off x="7651750" y="168148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52</xdr:col>
      <xdr:colOff>6350</xdr:colOff>
      <xdr:row>89</xdr:row>
      <xdr:rowOff>25400</xdr:rowOff>
    </xdr:from>
    <xdr:ext cx="71494" cy="172227"/>
    <xdr:sp macro="" textlink="">
      <xdr:nvSpPr>
        <xdr:cNvPr id="148" name="TextBox 147">
          <a:extLst>
            <a:ext uri="{FF2B5EF4-FFF2-40B4-BE49-F238E27FC236}">
              <a16:creationId xmlns:a16="http://schemas.microsoft.com/office/drawing/2014/main" id="{A934BF1B-FE3D-488E-B83C-B425964A79E3}"/>
            </a:ext>
          </a:extLst>
        </xdr:cNvPr>
        <xdr:cNvSpPr txBox="1"/>
      </xdr:nvSpPr>
      <xdr:spPr>
        <a:xfrm>
          <a:off x="8369300" y="168148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</xdr:col>
      <xdr:colOff>114300</xdr:colOff>
      <xdr:row>89</xdr:row>
      <xdr:rowOff>38100</xdr:rowOff>
    </xdr:from>
    <xdr:ext cx="71494" cy="172227"/>
    <xdr:sp macro="" textlink="">
      <xdr:nvSpPr>
        <xdr:cNvPr id="149" name="TextBox 148">
          <a:extLst>
            <a:ext uri="{FF2B5EF4-FFF2-40B4-BE49-F238E27FC236}">
              <a16:creationId xmlns:a16="http://schemas.microsoft.com/office/drawing/2014/main" id="{D1E727D3-CF1A-4FB3-90B6-CDD3ACE7A1ED}"/>
            </a:ext>
          </a:extLst>
        </xdr:cNvPr>
        <xdr:cNvSpPr txBox="1"/>
      </xdr:nvSpPr>
      <xdr:spPr>
        <a:xfrm>
          <a:off x="2565400" y="168275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oneCellAnchor>
    <xdr:from>
      <xdr:col>9</xdr:col>
      <xdr:colOff>107950</xdr:colOff>
      <xdr:row>89</xdr:row>
      <xdr:rowOff>38100</xdr:rowOff>
    </xdr:from>
    <xdr:ext cx="71494" cy="172227"/>
    <xdr:sp macro="" textlink="">
      <xdr:nvSpPr>
        <xdr:cNvPr id="150" name="TextBox 149">
          <a:extLst>
            <a:ext uri="{FF2B5EF4-FFF2-40B4-BE49-F238E27FC236}">
              <a16:creationId xmlns:a16="http://schemas.microsoft.com/office/drawing/2014/main" id="{4343A18D-481D-45FD-B323-E72225CAFD23}"/>
            </a:ext>
          </a:extLst>
        </xdr:cNvPr>
        <xdr:cNvSpPr txBox="1"/>
      </xdr:nvSpPr>
      <xdr:spPr>
        <a:xfrm>
          <a:off x="3282950" y="1682750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2</a:t>
          </a:r>
          <a:endParaRPr lang="ko-KR" altLang="en-US" sz="1100"/>
        </a:p>
      </xdr:txBody>
    </xdr:sp>
    <xdr:clientData/>
  </xdr:oneCellAnchor>
  <xdr:oneCellAnchor>
    <xdr:from>
      <xdr:col>33</xdr:col>
      <xdr:colOff>57150</xdr:colOff>
      <xdr:row>89</xdr:row>
      <xdr:rowOff>19050</xdr:rowOff>
    </xdr:from>
    <xdr:ext cx="285976" cy="172227"/>
    <xdr:sp macro="" textlink="">
      <xdr:nvSpPr>
        <xdr:cNvPr id="151" name="TextBox 150">
          <a:extLst>
            <a:ext uri="{FF2B5EF4-FFF2-40B4-BE49-F238E27FC236}">
              <a16:creationId xmlns:a16="http://schemas.microsoft.com/office/drawing/2014/main" id="{B6826947-3D2E-45FB-B034-3A48C7922D94}"/>
            </a:ext>
          </a:extLst>
        </xdr:cNvPr>
        <xdr:cNvSpPr txBox="1"/>
      </xdr:nvSpPr>
      <xdr:spPr>
        <a:xfrm>
          <a:off x="6127750" y="168084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39</xdr:col>
      <xdr:colOff>44450</xdr:colOff>
      <xdr:row>89</xdr:row>
      <xdr:rowOff>25400</xdr:rowOff>
    </xdr:from>
    <xdr:ext cx="285976" cy="172227"/>
    <xdr:sp macro="" textlink="">
      <xdr:nvSpPr>
        <xdr:cNvPr id="152" name="TextBox 151">
          <a:extLst>
            <a:ext uri="{FF2B5EF4-FFF2-40B4-BE49-F238E27FC236}">
              <a16:creationId xmlns:a16="http://schemas.microsoft.com/office/drawing/2014/main" id="{920DCDF7-FE1E-44A6-9D46-FFA45AFC310B}"/>
            </a:ext>
          </a:extLst>
        </xdr:cNvPr>
        <xdr:cNvSpPr txBox="1"/>
      </xdr:nvSpPr>
      <xdr:spPr>
        <a:xfrm>
          <a:off x="6838950" y="168148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21</xdr:col>
      <xdr:colOff>38100</xdr:colOff>
      <xdr:row>89</xdr:row>
      <xdr:rowOff>31750</xdr:rowOff>
    </xdr:from>
    <xdr:ext cx="285976" cy="172227"/>
    <xdr:sp macro="" textlink="">
      <xdr:nvSpPr>
        <xdr:cNvPr id="153" name="TextBox 152">
          <a:extLst>
            <a:ext uri="{FF2B5EF4-FFF2-40B4-BE49-F238E27FC236}">
              <a16:creationId xmlns:a16="http://schemas.microsoft.com/office/drawing/2014/main" id="{E3A7205C-AE5D-4914-9E29-5D692D94B11D}"/>
            </a:ext>
          </a:extLst>
        </xdr:cNvPr>
        <xdr:cNvSpPr txBox="1"/>
      </xdr:nvSpPr>
      <xdr:spPr>
        <a:xfrm>
          <a:off x="4660900" y="168211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69</xdr:col>
      <xdr:colOff>50800</xdr:colOff>
      <xdr:row>89</xdr:row>
      <xdr:rowOff>25400</xdr:rowOff>
    </xdr:from>
    <xdr:ext cx="285976" cy="172227"/>
    <xdr:sp macro="" textlink="">
      <xdr:nvSpPr>
        <xdr:cNvPr id="154" name="TextBox 153">
          <a:extLst>
            <a:ext uri="{FF2B5EF4-FFF2-40B4-BE49-F238E27FC236}">
              <a16:creationId xmlns:a16="http://schemas.microsoft.com/office/drawing/2014/main" id="{7F71B15D-7271-49B5-9516-AE4CD7CE3352}"/>
            </a:ext>
          </a:extLst>
        </xdr:cNvPr>
        <xdr:cNvSpPr txBox="1"/>
      </xdr:nvSpPr>
      <xdr:spPr>
        <a:xfrm>
          <a:off x="10464800" y="168148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4092</a:t>
          </a:r>
          <a:endParaRPr lang="ko-KR" altLang="en-US" sz="1100"/>
        </a:p>
      </xdr:txBody>
    </xdr:sp>
    <xdr:clientData/>
  </xdr:oneCellAnchor>
  <xdr:oneCellAnchor>
    <xdr:from>
      <xdr:col>75</xdr:col>
      <xdr:colOff>57150</xdr:colOff>
      <xdr:row>89</xdr:row>
      <xdr:rowOff>19050</xdr:rowOff>
    </xdr:from>
    <xdr:ext cx="285976" cy="172227"/>
    <xdr:sp macro="" textlink="">
      <xdr:nvSpPr>
        <xdr:cNvPr id="155" name="TextBox 154">
          <a:extLst>
            <a:ext uri="{FF2B5EF4-FFF2-40B4-BE49-F238E27FC236}">
              <a16:creationId xmlns:a16="http://schemas.microsoft.com/office/drawing/2014/main" id="{6C2202E0-E918-4B68-9969-363A78D68C08}"/>
            </a:ext>
          </a:extLst>
        </xdr:cNvPr>
        <xdr:cNvSpPr txBox="1"/>
      </xdr:nvSpPr>
      <xdr:spPr>
        <a:xfrm>
          <a:off x="11195050" y="168084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4093</a:t>
          </a:r>
          <a:endParaRPr lang="ko-KR" altLang="en-US" sz="1100"/>
        </a:p>
      </xdr:txBody>
    </xdr:sp>
    <xdr:clientData/>
  </xdr:oneCellAnchor>
  <xdr:oneCellAnchor>
    <xdr:from>
      <xdr:col>81</xdr:col>
      <xdr:colOff>44450</xdr:colOff>
      <xdr:row>89</xdr:row>
      <xdr:rowOff>25400</xdr:rowOff>
    </xdr:from>
    <xdr:ext cx="285976" cy="172227"/>
    <xdr:sp macro="" textlink="">
      <xdr:nvSpPr>
        <xdr:cNvPr id="156" name="TextBox 155">
          <a:extLst>
            <a:ext uri="{FF2B5EF4-FFF2-40B4-BE49-F238E27FC236}">
              <a16:creationId xmlns:a16="http://schemas.microsoft.com/office/drawing/2014/main" id="{4F224143-FFED-4142-8E6A-C39E7DEEB109}"/>
            </a:ext>
          </a:extLst>
        </xdr:cNvPr>
        <xdr:cNvSpPr txBox="1"/>
      </xdr:nvSpPr>
      <xdr:spPr>
        <a:xfrm>
          <a:off x="11906250" y="1681480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4094</a:t>
          </a:r>
          <a:endParaRPr lang="ko-KR" altLang="en-US" sz="1100"/>
        </a:p>
      </xdr:txBody>
    </xdr:sp>
    <xdr:clientData/>
  </xdr:oneCellAnchor>
  <xdr:oneCellAnchor>
    <xdr:from>
      <xdr:col>63</xdr:col>
      <xdr:colOff>38100</xdr:colOff>
      <xdr:row>89</xdr:row>
      <xdr:rowOff>31750</xdr:rowOff>
    </xdr:from>
    <xdr:ext cx="285976" cy="172227"/>
    <xdr:sp macro="" textlink="">
      <xdr:nvSpPr>
        <xdr:cNvPr id="157" name="TextBox 156">
          <a:extLst>
            <a:ext uri="{FF2B5EF4-FFF2-40B4-BE49-F238E27FC236}">
              <a16:creationId xmlns:a16="http://schemas.microsoft.com/office/drawing/2014/main" id="{69432F80-046E-4029-879F-79B63D25DBAC}"/>
            </a:ext>
          </a:extLst>
        </xdr:cNvPr>
        <xdr:cNvSpPr txBox="1"/>
      </xdr:nvSpPr>
      <xdr:spPr>
        <a:xfrm>
          <a:off x="9728200" y="16821150"/>
          <a:ext cx="285976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4091</a:t>
          </a:r>
          <a:endParaRPr lang="ko-KR" altLang="en-US" sz="1100"/>
        </a:p>
      </xdr:txBody>
    </xdr:sp>
    <xdr:clientData/>
  </xdr:oneCellAnchor>
  <xdr:oneCellAnchor>
    <xdr:from>
      <xdr:col>87</xdr:col>
      <xdr:colOff>88900</xdr:colOff>
      <xdr:row>89</xdr:row>
      <xdr:rowOff>44450</xdr:rowOff>
    </xdr:from>
    <xdr:ext cx="71494" cy="172227"/>
    <xdr:sp macro="" textlink="">
      <xdr:nvSpPr>
        <xdr:cNvPr id="158" name="TextBox 157">
          <a:extLst>
            <a:ext uri="{FF2B5EF4-FFF2-40B4-BE49-F238E27FC236}">
              <a16:creationId xmlns:a16="http://schemas.microsoft.com/office/drawing/2014/main" id="{AD6AE452-38D5-4B94-B9C2-20F5B5193302}"/>
            </a:ext>
          </a:extLst>
        </xdr:cNvPr>
        <xdr:cNvSpPr txBox="1"/>
      </xdr:nvSpPr>
      <xdr:spPr>
        <a:xfrm>
          <a:off x="12674600" y="16833850"/>
          <a:ext cx="71494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en-US" altLang="ko-KR" sz="1100"/>
            <a:t>1</a:t>
          </a:r>
          <a:endParaRPr lang="ko-KR" altLang="en-US" sz="1100"/>
        </a:p>
      </xdr:txBody>
    </xdr:sp>
    <xdr:clientData/>
  </xdr:oneCellAnchor>
  <xdr:twoCellAnchor>
    <xdr:from>
      <xdr:col>81</xdr:col>
      <xdr:colOff>0</xdr:colOff>
      <xdr:row>99</xdr:row>
      <xdr:rowOff>40300</xdr:rowOff>
    </xdr:from>
    <xdr:to>
      <xdr:col>81</xdr:col>
      <xdr:colOff>0</xdr:colOff>
      <xdr:row>99</xdr:row>
      <xdr:rowOff>148300</xdr:rowOff>
    </xdr:to>
    <xdr:cxnSp macro="">
      <xdr:nvCxnSpPr>
        <xdr:cNvPr id="159" name="직선 화살표 연결선 158">
          <a:extLst>
            <a:ext uri="{FF2B5EF4-FFF2-40B4-BE49-F238E27FC236}">
              <a16:creationId xmlns:a16="http://schemas.microsoft.com/office/drawing/2014/main" id="{F214DAFC-7E80-4196-BDEA-C5ADC0461D79}"/>
            </a:ext>
          </a:extLst>
        </xdr:cNvPr>
        <xdr:cNvCxnSpPr/>
      </xdr:nvCxnSpPr>
      <xdr:spPr>
        <a:xfrm flipH="1">
          <a:off x="11861800" y="19039500"/>
          <a:ext cx="0" cy="108000"/>
        </a:xfrm>
        <a:prstGeom prst="straightConnector1">
          <a:avLst/>
        </a:prstGeom>
        <a:ln w="25400">
          <a:solidFill>
            <a:srgbClr val="FF0000"/>
          </a:solidFill>
          <a:headEnd type="triangle" w="lg" len="med"/>
          <a:tailEnd type="non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97</xdr:row>
      <xdr:rowOff>33950</xdr:rowOff>
    </xdr:from>
    <xdr:to>
      <xdr:col>45</xdr:col>
      <xdr:colOff>0</xdr:colOff>
      <xdr:row>97</xdr:row>
      <xdr:rowOff>141950</xdr:rowOff>
    </xdr:to>
    <xdr:cxnSp macro="">
      <xdr:nvCxnSpPr>
        <xdr:cNvPr id="160" name="직선 화살표 연결선 159">
          <a:extLst>
            <a:ext uri="{FF2B5EF4-FFF2-40B4-BE49-F238E27FC236}">
              <a16:creationId xmlns:a16="http://schemas.microsoft.com/office/drawing/2014/main" id="{BF024640-F68F-4AC4-BD29-2888500607BA}"/>
            </a:ext>
          </a:extLst>
        </xdr:cNvPr>
        <xdr:cNvCxnSpPr/>
      </xdr:nvCxnSpPr>
      <xdr:spPr>
        <a:xfrm flipH="1">
          <a:off x="7518400" y="18588650"/>
          <a:ext cx="0" cy="108000"/>
        </a:xfrm>
        <a:prstGeom prst="straightConnector1">
          <a:avLst/>
        </a:prstGeom>
        <a:ln w="25400">
          <a:solidFill>
            <a:srgbClr val="FF0000"/>
          </a:solidFill>
          <a:headEnd type="triangle" w="lg" len="med"/>
          <a:tailEnd type="non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72</xdr:col>
      <xdr:colOff>114300</xdr:colOff>
      <xdr:row>99</xdr:row>
      <xdr:rowOff>95250</xdr:rowOff>
    </xdr:from>
    <xdr:ext cx="3437416" cy="266700"/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61AAAACE-EDE8-4F64-898C-BC4EB96A6A00}"/>
            </a:ext>
          </a:extLst>
        </xdr:cNvPr>
        <xdr:cNvSpPr txBox="1"/>
      </xdr:nvSpPr>
      <xdr:spPr>
        <a:xfrm>
          <a:off x="10890250" y="19094450"/>
          <a:ext cx="3437416" cy="266700"/>
        </a:xfrm>
        <a:prstGeom prst="rect">
          <a:avLst/>
        </a:prstGeom>
        <a:noFill/>
        <a:ln w="6667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ko-KR" sz="1100">
              <a:solidFill>
                <a:srgbClr val="FF0000"/>
              </a:solidFill>
            </a:rPr>
            <a:t>cnt reset </a:t>
          </a:r>
          <a:r>
            <a:rPr lang="ko-KR" altLang="en-US" sz="1100">
              <a:solidFill>
                <a:srgbClr val="FF0000"/>
              </a:solidFill>
            </a:rPr>
            <a:t>및 </a:t>
          </a:r>
          <a:r>
            <a:rPr lang="en-US" altLang="ko-KR" sz="1100">
              <a:solidFill>
                <a:srgbClr val="FF0000"/>
              </a:solidFill>
            </a:rPr>
            <a:t>ch</a:t>
          </a:r>
          <a:r>
            <a:rPr lang="ko-KR" altLang="en-US" sz="1100">
              <a:solidFill>
                <a:srgbClr val="FF0000"/>
              </a:solidFill>
            </a:rPr>
            <a:t>별 </a:t>
          </a:r>
          <a:r>
            <a:rPr lang="en-US" altLang="ko-KR" sz="1100">
              <a:solidFill>
                <a:srgbClr val="FF0000"/>
              </a:solidFill>
            </a:rPr>
            <a:t>delay cnt </a:t>
          </a:r>
          <a:r>
            <a:rPr lang="ko-KR" altLang="en-US" sz="1100">
              <a:solidFill>
                <a:srgbClr val="FF0000"/>
              </a:solidFill>
            </a:rPr>
            <a:t>후</a:t>
          </a:r>
          <a:r>
            <a:rPr lang="en-US" altLang="ko-KR" sz="1100" baseline="0">
              <a:solidFill>
                <a:srgbClr val="FF0000"/>
              </a:solidFill>
            </a:rPr>
            <a:t> dimming start flag assertion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3</xdr:col>
      <xdr:colOff>25400</xdr:colOff>
      <xdr:row>76</xdr:row>
      <xdr:rowOff>190500</xdr:rowOff>
    </xdr:from>
    <xdr:ext cx="6680200" cy="1733550"/>
    <xdr:sp macro="" textlink="">
      <xdr:nvSpPr>
        <xdr:cNvPr id="162" name="TextBox 161">
          <a:extLst>
            <a:ext uri="{FF2B5EF4-FFF2-40B4-BE49-F238E27FC236}">
              <a16:creationId xmlns:a16="http://schemas.microsoft.com/office/drawing/2014/main" id="{33E4E3E2-2A46-4BDD-BDB0-FF661901F6B7}"/>
            </a:ext>
          </a:extLst>
        </xdr:cNvPr>
        <xdr:cNvSpPr txBox="1"/>
      </xdr:nvSpPr>
      <xdr:spPr>
        <a:xfrm>
          <a:off x="2476500" y="16814800"/>
          <a:ext cx="6680200" cy="1733550"/>
        </a:xfrm>
        <a:prstGeom prst="rect">
          <a:avLst/>
        </a:prstGeom>
        <a:solidFill>
          <a:srgbClr val="FFFF00"/>
        </a:solidFill>
        <a:ln w="66675">
          <a:solidFill>
            <a:schemeClr val="bg1">
              <a:lumMod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altLang="ko-KR" sz="1100">
              <a:solidFill>
                <a:srgbClr val="FF0000"/>
              </a:solidFill>
            </a:rPr>
            <a:t>[Tail Lighting] </a:t>
          </a:r>
          <a:r>
            <a:rPr lang="en-US" altLang="ko-KR" sz="1100" baseline="0">
              <a:solidFill>
                <a:srgbClr val="FF0000"/>
              </a:solidFill>
            </a:rPr>
            <a:t> [Head Lighting]</a:t>
          </a:r>
        </a:p>
        <a:p>
          <a:r>
            <a:rPr lang="en-US" altLang="ko-KR" sz="1100" baseline="0">
              <a:solidFill>
                <a:srgbClr val="FF0000"/>
              </a:solidFill>
            </a:rPr>
            <a:t>1</a:t>
          </a:r>
          <a:r>
            <a:rPr lang="en-US" altLang="ko-KR" sz="1100">
              <a:solidFill>
                <a:srgbClr val="FF0000"/>
              </a:solidFill>
            </a:rPr>
            <a:t>. 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한 프레임내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PWMCLK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개수가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max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LD DATA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값보다 </a:t>
          </a:r>
          <a:r>
            <a:rPr lang="ko-KR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큰 경우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: OK (</a:t>
          </a:r>
          <a:r>
            <a:rPr lang="ko-KR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많은 개수 만큼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duty</a:t>
          </a:r>
          <a:r>
            <a:rPr lang="ko-KR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가 줄어드는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결과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)</a:t>
          </a:r>
          <a:endParaRPr lang="en-US" altLang="ko-KR" sz="110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2.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한 프레임내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PWMCLK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개수가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max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LD DATA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값보다 </a:t>
          </a:r>
          <a:r>
            <a:rPr lang="ko-KR" altLang="en-US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작은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경우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:</a:t>
          </a:r>
        </a:p>
        <a:p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2.1. </a:t>
          </a:r>
          <a:r>
            <a:rPr lang="en-US" altLang="ko-KR" sz="1100">
              <a:solidFill>
                <a:srgbClr val="FF0000"/>
              </a:solidFill>
            </a:rPr>
            <a:t>DELAY </a:t>
          </a:r>
          <a:r>
            <a:rPr lang="ko-KR" altLang="en-US" sz="1100">
              <a:solidFill>
                <a:srgbClr val="FF0000"/>
              </a:solidFill>
            </a:rPr>
            <a:t>설정값보다 한 프레임내 </a:t>
          </a:r>
          <a:r>
            <a:rPr lang="en-US" altLang="ko-KR" sz="1100">
              <a:solidFill>
                <a:srgbClr val="FF0000"/>
              </a:solidFill>
            </a:rPr>
            <a:t>PWMCLK</a:t>
          </a:r>
          <a:r>
            <a:rPr lang="ko-KR" altLang="en-US" sz="1100">
              <a:solidFill>
                <a:srgbClr val="FF0000"/>
              </a:solidFill>
            </a:rPr>
            <a:t>개수가 작게 생성되면</a:t>
          </a:r>
          <a:r>
            <a:rPr lang="en-US" altLang="ko-KR" sz="1100">
              <a:solidFill>
                <a:srgbClr val="FF0000"/>
              </a:solidFill>
            </a:rPr>
            <a:t>, </a:t>
          </a:r>
          <a:r>
            <a:rPr lang="ko-KR" altLang="en-US" sz="1100">
              <a:solidFill>
                <a:srgbClr val="FF0000"/>
              </a:solidFill>
            </a:rPr>
            <a:t>해당 </a:t>
          </a:r>
          <a:r>
            <a:rPr lang="en-US" altLang="ko-KR" sz="1100">
              <a:solidFill>
                <a:srgbClr val="FF0000"/>
              </a:solidFill>
            </a:rPr>
            <a:t>LINE</a:t>
          </a:r>
          <a:r>
            <a:rPr lang="ko-KR" altLang="en-US" sz="1100">
              <a:solidFill>
                <a:srgbClr val="FF0000"/>
              </a:solidFill>
            </a:rPr>
            <a:t>은 </a:t>
          </a:r>
          <a:r>
            <a:rPr lang="en-US" altLang="ko-KR" sz="1100">
              <a:solidFill>
                <a:srgbClr val="FF0000"/>
              </a:solidFill>
            </a:rPr>
            <a:t>dimming start </a:t>
          </a:r>
          <a:r>
            <a:rPr lang="ko-KR" altLang="en-US" sz="1100">
              <a:solidFill>
                <a:srgbClr val="FF0000"/>
              </a:solidFill>
            </a:rPr>
            <a:t>못하게 됨</a:t>
          </a:r>
          <a:endParaRPr lang="en-US" altLang="ko-KR" sz="1100">
            <a:solidFill>
              <a:srgbClr val="FF0000"/>
            </a:solidFill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2.2. 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한 프레임내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PWMCLK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개수가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LD DATA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값보다 작으면 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FLICKER</a:t>
          </a:r>
          <a:r>
            <a:rPr lang="ko-KR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는 없을 듯하지만</a:t>
          </a:r>
          <a:r>
            <a:rPr lang="en-US" altLang="ko-KR" sz="11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    - full step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일 때는 부족한 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 CLK 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개수만큼 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step 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유실</a:t>
          </a:r>
          <a:endParaRPr lang="en-US" altLang="ko-KR" sz="110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             - low step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일 때는 부족한 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PWM CLK 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개수만큼 </a:t>
          </a:r>
          <a:r>
            <a:rPr lang="en-US" altLang="ko-KR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step </a:t>
          </a:r>
          <a:r>
            <a:rPr lang="ko-KR" altLang="en-US" sz="110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유실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63449</xdr:colOff>
      <xdr:row>8</xdr:row>
      <xdr:rowOff>6391</xdr:rowOff>
    </xdr:from>
    <xdr:to>
      <xdr:col>16</xdr:col>
      <xdr:colOff>135449</xdr:colOff>
      <xdr:row>9</xdr:row>
      <xdr:rowOff>78491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9F4A8521-2291-B9D3-A37F-95B61C5AD23C}"/>
            </a:ext>
          </a:extLst>
        </xdr:cNvPr>
        <xdr:cNvGrpSpPr/>
      </xdr:nvGrpSpPr>
      <xdr:grpSpPr>
        <a:xfrm>
          <a:off x="4269174" y="1683064"/>
          <a:ext cx="70413" cy="284005"/>
          <a:chOff x="4965649" y="3003550"/>
          <a:chExt cx="113247" cy="298958"/>
        </a:xfrm>
      </xdr:grpSpPr>
      <xdr:sp macro="" textlink="">
        <xdr:nvSpPr>
          <xdr:cNvPr id="3" name="자유형: 도형 2">
            <a:extLst>
              <a:ext uri="{FF2B5EF4-FFF2-40B4-BE49-F238E27FC236}">
                <a16:creationId xmlns:a16="http://schemas.microsoft.com/office/drawing/2014/main" id="{71CBA938-667E-72BA-92DB-EA8B80751266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4" name="자유형: 도형 3">
            <a:extLst>
              <a:ext uri="{FF2B5EF4-FFF2-40B4-BE49-F238E27FC236}">
                <a16:creationId xmlns:a16="http://schemas.microsoft.com/office/drawing/2014/main" id="{721942D4-7487-4884-8695-84C21FAFEF5F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4</xdr:col>
      <xdr:colOff>19050</xdr:colOff>
      <xdr:row>2</xdr:row>
      <xdr:rowOff>44450</xdr:rowOff>
    </xdr:from>
    <xdr:to>
      <xdr:col>29</xdr:col>
      <xdr:colOff>177800</xdr:colOff>
      <xdr:row>2</xdr:row>
      <xdr:rowOff>44450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C3F6AA51-E058-8A24-B3BD-2192F2E486E8}"/>
            </a:ext>
          </a:extLst>
        </xdr:cNvPr>
        <xdr:cNvCxnSpPr/>
      </xdr:nvCxnSpPr>
      <xdr:spPr>
        <a:xfrm>
          <a:off x="1657350" y="1555750"/>
          <a:ext cx="5080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192088</xdr:colOff>
      <xdr:row>12</xdr:row>
      <xdr:rowOff>102526</xdr:rowOff>
    </xdr:from>
    <xdr:to>
      <xdr:col>7</xdr:col>
      <xdr:colOff>190338</xdr:colOff>
      <xdr:row>12</xdr:row>
      <xdr:rowOff>102526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0C79ED68-81CB-4049-8902-DF724B018D41}"/>
            </a:ext>
          </a:extLst>
        </xdr:cNvPr>
        <xdr:cNvCxnSpPr/>
      </xdr:nvCxnSpPr>
      <xdr:spPr>
        <a:xfrm flipV="1">
          <a:off x="1716749" y="3300677"/>
          <a:ext cx="792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198173</xdr:colOff>
      <xdr:row>1</xdr:row>
      <xdr:rowOff>149225</xdr:rowOff>
    </xdr:from>
    <xdr:to>
      <xdr:col>3</xdr:col>
      <xdr:colOff>198173</xdr:colOff>
      <xdr:row>13</xdr:row>
      <xdr:rowOff>149944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2CC3E657-445E-4205-BC7C-90102D37D334}"/>
            </a:ext>
          </a:extLst>
        </xdr:cNvPr>
        <xdr:cNvCxnSpPr/>
      </xdr:nvCxnSpPr>
      <xdr:spPr>
        <a:xfrm flipH="1" flipV="1">
          <a:off x="1722834" y="1439069"/>
          <a:ext cx="0" cy="2124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198437</xdr:colOff>
      <xdr:row>1</xdr:row>
      <xdr:rowOff>169334</xdr:rowOff>
    </xdr:from>
    <xdr:to>
      <xdr:col>29</xdr:col>
      <xdr:colOff>198437</xdr:colOff>
      <xdr:row>13</xdr:row>
      <xdr:rowOff>170053</xdr:rowOff>
    </xdr:to>
    <xdr:cxnSp macro="">
      <xdr:nvCxnSpPr>
        <xdr:cNvPr id="11" name="직선 화살표 연결선 10">
          <a:extLst>
            <a:ext uri="{FF2B5EF4-FFF2-40B4-BE49-F238E27FC236}">
              <a16:creationId xmlns:a16="http://schemas.microsoft.com/office/drawing/2014/main" id="{E9C09574-A772-4BC1-A046-BB822BEAD766}"/>
            </a:ext>
          </a:extLst>
        </xdr:cNvPr>
        <xdr:cNvCxnSpPr/>
      </xdr:nvCxnSpPr>
      <xdr:spPr>
        <a:xfrm flipH="1" flipV="1">
          <a:off x="6882473" y="1459178"/>
          <a:ext cx="0" cy="2124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50139</xdr:colOff>
      <xdr:row>10</xdr:row>
      <xdr:rowOff>122635</xdr:rowOff>
    </xdr:from>
    <xdr:to>
      <xdr:col>3</xdr:col>
      <xdr:colOff>194139</xdr:colOff>
      <xdr:row>10</xdr:row>
      <xdr:rowOff>122635</xdr:rowOff>
    </xdr:to>
    <xdr:cxnSp macro="">
      <xdr:nvCxnSpPr>
        <xdr:cNvPr id="13" name="직선 화살표 연결선 12">
          <a:extLst>
            <a:ext uri="{FF2B5EF4-FFF2-40B4-BE49-F238E27FC236}">
              <a16:creationId xmlns:a16="http://schemas.microsoft.com/office/drawing/2014/main" id="{7142DFAD-C1F3-4D39-A05A-738F580C1561}"/>
            </a:ext>
          </a:extLst>
        </xdr:cNvPr>
        <xdr:cNvCxnSpPr/>
      </xdr:nvCxnSpPr>
      <xdr:spPr>
        <a:xfrm flipV="1">
          <a:off x="1574800" y="2890838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1440</xdr:colOff>
      <xdr:row>10</xdr:row>
      <xdr:rowOff>122370</xdr:rowOff>
    </xdr:from>
    <xdr:to>
      <xdr:col>4</xdr:col>
      <xdr:colOff>145440</xdr:colOff>
      <xdr:row>10</xdr:row>
      <xdr:rowOff>122899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1E1A8CD2-96E7-4836-82F8-44C7CE422391}"/>
            </a:ext>
          </a:extLst>
        </xdr:cNvPr>
        <xdr:cNvCxnSpPr/>
      </xdr:nvCxnSpPr>
      <xdr:spPr>
        <a:xfrm flipH="1">
          <a:off x="1724539" y="2890573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19050</xdr:colOff>
      <xdr:row>17</xdr:row>
      <xdr:rowOff>44450</xdr:rowOff>
    </xdr:from>
    <xdr:to>
      <xdr:col>29</xdr:col>
      <xdr:colOff>177800</xdr:colOff>
      <xdr:row>17</xdr:row>
      <xdr:rowOff>44450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87216BBE-2751-44CD-A79E-945B4F7D1A88}"/>
            </a:ext>
          </a:extLst>
        </xdr:cNvPr>
        <xdr:cNvCxnSpPr/>
      </xdr:nvCxnSpPr>
      <xdr:spPr>
        <a:xfrm>
          <a:off x="1742149" y="3242601"/>
          <a:ext cx="5119687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192088</xdr:colOff>
      <xdr:row>28</xdr:row>
      <xdr:rowOff>102526</xdr:rowOff>
    </xdr:from>
    <xdr:to>
      <xdr:col>7</xdr:col>
      <xdr:colOff>190338</xdr:colOff>
      <xdr:row>28</xdr:row>
      <xdr:rowOff>102526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8DA1735F-C502-46C3-9A94-71BE246FD734}"/>
            </a:ext>
          </a:extLst>
        </xdr:cNvPr>
        <xdr:cNvCxnSpPr/>
      </xdr:nvCxnSpPr>
      <xdr:spPr>
        <a:xfrm flipV="1">
          <a:off x="1716749" y="2225807"/>
          <a:ext cx="792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198173</xdr:colOff>
      <xdr:row>16</xdr:row>
      <xdr:rowOff>149224</xdr:rowOff>
    </xdr:from>
    <xdr:to>
      <xdr:col>3</xdr:col>
      <xdr:colOff>198173</xdr:colOff>
      <xdr:row>29</xdr:row>
      <xdr:rowOff>166250</xdr:rowOff>
    </xdr:to>
    <xdr:cxnSp macro="">
      <xdr:nvCxnSpPr>
        <xdr:cNvPr id="21" name="직선 화살표 연결선 20">
          <a:extLst>
            <a:ext uri="{FF2B5EF4-FFF2-40B4-BE49-F238E27FC236}">
              <a16:creationId xmlns:a16="http://schemas.microsoft.com/office/drawing/2014/main" id="{CB0869C0-B8F7-42C6-9FCA-6D925632C0D7}"/>
            </a:ext>
          </a:extLst>
        </xdr:cNvPr>
        <xdr:cNvCxnSpPr/>
      </xdr:nvCxnSpPr>
      <xdr:spPr>
        <a:xfrm flipH="1" flipV="1">
          <a:off x="1722834" y="3549120"/>
          <a:ext cx="0" cy="2772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198437</xdr:colOff>
      <xdr:row>16</xdr:row>
      <xdr:rowOff>169333</xdr:rowOff>
    </xdr:from>
    <xdr:to>
      <xdr:col>29</xdr:col>
      <xdr:colOff>198437</xdr:colOff>
      <xdr:row>29</xdr:row>
      <xdr:rowOff>186359</xdr:rowOff>
    </xdr:to>
    <xdr:cxnSp macro="">
      <xdr:nvCxnSpPr>
        <xdr:cNvPr id="22" name="직선 화살표 연결선 21">
          <a:extLst>
            <a:ext uri="{FF2B5EF4-FFF2-40B4-BE49-F238E27FC236}">
              <a16:creationId xmlns:a16="http://schemas.microsoft.com/office/drawing/2014/main" id="{E6B40872-1AA1-40FA-8AE7-D67F806CA680}"/>
            </a:ext>
          </a:extLst>
        </xdr:cNvPr>
        <xdr:cNvCxnSpPr/>
      </xdr:nvCxnSpPr>
      <xdr:spPr>
        <a:xfrm flipH="1" flipV="1">
          <a:off x="6882473" y="3569229"/>
          <a:ext cx="0" cy="2772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50139</xdr:colOff>
      <xdr:row>26</xdr:row>
      <xdr:rowOff>122635</xdr:rowOff>
    </xdr:from>
    <xdr:to>
      <xdr:col>3</xdr:col>
      <xdr:colOff>194139</xdr:colOff>
      <xdr:row>26</xdr:row>
      <xdr:rowOff>122635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A686C4B6-E252-4DE2-BF98-0CBA4F66FD91}"/>
            </a:ext>
          </a:extLst>
        </xdr:cNvPr>
        <xdr:cNvCxnSpPr/>
      </xdr:nvCxnSpPr>
      <xdr:spPr>
        <a:xfrm flipV="1">
          <a:off x="1574800" y="1815968"/>
          <a:ext cx="144000" cy="0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1440</xdr:colOff>
      <xdr:row>26</xdr:row>
      <xdr:rowOff>122370</xdr:rowOff>
    </xdr:from>
    <xdr:to>
      <xdr:col>4</xdr:col>
      <xdr:colOff>145440</xdr:colOff>
      <xdr:row>26</xdr:row>
      <xdr:rowOff>122899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C541F0DA-C7F3-48D7-9E4E-F27125EA60FB}"/>
            </a:ext>
          </a:extLst>
        </xdr:cNvPr>
        <xdr:cNvCxnSpPr/>
      </xdr:nvCxnSpPr>
      <xdr:spPr>
        <a:xfrm flipH="1">
          <a:off x="1724539" y="1815703"/>
          <a:ext cx="144000" cy="529"/>
        </a:xfrm>
        <a:prstGeom prst="straightConnector1">
          <a:avLst/>
        </a:prstGeom>
        <a:ln w="3175">
          <a:solidFill>
            <a:schemeClr val="tx1"/>
          </a:solidFill>
          <a:headEnd type="non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19</xdr:row>
      <xdr:rowOff>89966</xdr:rowOff>
    </xdr:from>
    <xdr:to>
      <xdr:col>16</xdr:col>
      <xdr:colOff>0</xdr:colOff>
      <xdr:row>29</xdr:row>
      <xdr:rowOff>175914</xdr:rowOff>
    </xdr:to>
    <xdr:cxnSp macro="">
      <xdr:nvCxnSpPr>
        <xdr:cNvPr id="26" name="직선 화살표 연결선 25">
          <a:extLst>
            <a:ext uri="{FF2B5EF4-FFF2-40B4-BE49-F238E27FC236}">
              <a16:creationId xmlns:a16="http://schemas.microsoft.com/office/drawing/2014/main" id="{32B4909E-4C16-4496-9DFC-F07D173BF42E}"/>
            </a:ext>
          </a:extLst>
        </xdr:cNvPr>
        <xdr:cNvCxnSpPr/>
      </xdr:nvCxnSpPr>
      <xdr:spPr>
        <a:xfrm flipH="1" flipV="1">
          <a:off x="4104349" y="4134784"/>
          <a:ext cx="0" cy="2196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265</xdr:colOff>
      <xdr:row>19</xdr:row>
      <xdr:rowOff>90231</xdr:rowOff>
    </xdr:from>
    <xdr:to>
      <xdr:col>22</xdr:col>
      <xdr:colOff>265</xdr:colOff>
      <xdr:row>29</xdr:row>
      <xdr:rowOff>176179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F534704E-CDCA-4C99-92C5-93F28588A901}"/>
            </a:ext>
          </a:extLst>
        </xdr:cNvPr>
        <xdr:cNvCxnSpPr/>
      </xdr:nvCxnSpPr>
      <xdr:spPr>
        <a:xfrm flipH="1" flipV="1">
          <a:off x="5295239" y="4135049"/>
          <a:ext cx="0" cy="2196000"/>
        </a:xfrm>
        <a:prstGeom prst="straightConnector1">
          <a:avLst/>
        </a:prstGeom>
        <a:ln w="3175">
          <a:solidFill>
            <a:schemeClr val="tx1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195130</xdr:colOff>
      <xdr:row>20</xdr:row>
      <xdr:rowOff>16536</xdr:rowOff>
    </xdr:from>
    <xdr:to>
      <xdr:col>16</xdr:col>
      <xdr:colOff>0</xdr:colOff>
      <xdr:row>20</xdr:row>
      <xdr:rowOff>16536</xdr:rowOff>
    </xdr:to>
    <xdr:cxnSp macro="">
      <xdr:nvCxnSpPr>
        <xdr:cNvPr id="30" name="직선 화살표 연결선 29">
          <a:extLst>
            <a:ext uri="{FF2B5EF4-FFF2-40B4-BE49-F238E27FC236}">
              <a16:creationId xmlns:a16="http://schemas.microsoft.com/office/drawing/2014/main" id="{35D59445-A148-485E-A350-44FBE6206FA2}"/>
            </a:ext>
          </a:extLst>
        </xdr:cNvPr>
        <xdr:cNvCxnSpPr/>
      </xdr:nvCxnSpPr>
      <xdr:spPr>
        <a:xfrm flipV="1">
          <a:off x="1719791" y="3859609"/>
          <a:ext cx="2384558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265</xdr:colOff>
      <xdr:row>20</xdr:row>
      <xdr:rowOff>16800</xdr:rowOff>
    </xdr:from>
    <xdr:to>
      <xdr:col>29</xdr:col>
      <xdr:colOff>195203</xdr:colOff>
      <xdr:row>20</xdr:row>
      <xdr:rowOff>16800</xdr:rowOff>
    </xdr:to>
    <xdr:cxnSp macro="">
      <xdr:nvCxnSpPr>
        <xdr:cNvPr id="33" name="직선 화살표 연결선 32">
          <a:extLst>
            <a:ext uri="{FF2B5EF4-FFF2-40B4-BE49-F238E27FC236}">
              <a16:creationId xmlns:a16="http://schemas.microsoft.com/office/drawing/2014/main" id="{673E1478-1152-49F5-856F-F0CF736325BB}"/>
            </a:ext>
          </a:extLst>
        </xdr:cNvPr>
        <xdr:cNvCxnSpPr/>
      </xdr:nvCxnSpPr>
      <xdr:spPr>
        <a:xfrm flipV="1">
          <a:off x="5295239" y="3859873"/>
          <a:ext cx="1584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63714</xdr:colOff>
      <xdr:row>25</xdr:row>
      <xdr:rowOff>191864</xdr:rowOff>
    </xdr:from>
    <xdr:to>
      <xdr:col>18</xdr:col>
      <xdr:colOff>135714</xdr:colOff>
      <xdr:row>27</xdr:row>
      <xdr:rowOff>48990</xdr:rowOff>
    </xdr:to>
    <xdr:grpSp>
      <xdr:nvGrpSpPr>
        <xdr:cNvPr id="34" name="그룹 33">
          <a:extLst>
            <a:ext uri="{FF2B5EF4-FFF2-40B4-BE49-F238E27FC236}">
              <a16:creationId xmlns:a16="http://schemas.microsoft.com/office/drawing/2014/main" id="{05DF4621-FA0D-4F32-97B1-3666EE440151}"/>
            </a:ext>
          </a:extLst>
        </xdr:cNvPr>
        <xdr:cNvGrpSpPr/>
      </xdr:nvGrpSpPr>
      <xdr:grpSpPr>
        <a:xfrm>
          <a:off x="4674525" y="5463459"/>
          <a:ext cx="70413" cy="287284"/>
          <a:chOff x="4965649" y="3003550"/>
          <a:chExt cx="113247" cy="298958"/>
        </a:xfrm>
      </xdr:grpSpPr>
      <xdr:sp macro="" textlink="">
        <xdr:nvSpPr>
          <xdr:cNvPr id="35" name="자유형: 도형 34">
            <a:extLst>
              <a:ext uri="{FF2B5EF4-FFF2-40B4-BE49-F238E27FC236}">
                <a16:creationId xmlns:a16="http://schemas.microsoft.com/office/drawing/2014/main" id="{60273F87-65DE-9B44-7903-D0D10483E26E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6" name="자유형: 도형 35">
            <a:extLst>
              <a:ext uri="{FF2B5EF4-FFF2-40B4-BE49-F238E27FC236}">
                <a16:creationId xmlns:a16="http://schemas.microsoft.com/office/drawing/2014/main" id="{0284E715-AACF-2A8B-77CD-16DB3C1DB5C2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18</xdr:col>
      <xdr:colOff>80515</xdr:colOff>
      <xdr:row>27</xdr:row>
      <xdr:rowOff>175592</xdr:rowOff>
    </xdr:from>
    <xdr:to>
      <xdr:col>18</xdr:col>
      <xdr:colOff>152515</xdr:colOff>
      <xdr:row>29</xdr:row>
      <xdr:rowOff>32718</xdr:rowOff>
    </xdr:to>
    <xdr:grpSp>
      <xdr:nvGrpSpPr>
        <xdr:cNvPr id="37" name="그룹 36">
          <a:extLst>
            <a:ext uri="{FF2B5EF4-FFF2-40B4-BE49-F238E27FC236}">
              <a16:creationId xmlns:a16="http://schemas.microsoft.com/office/drawing/2014/main" id="{051A4AE3-83F7-4F6F-BD52-EE233FA490FF}"/>
            </a:ext>
          </a:extLst>
        </xdr:cNvPr>
        <xdr:cNvGrpSpPr/>
      </xdr:nvGrpSpPr>
      <xdr:grpSpPr>
        <a:xfrm>
          <a:off x="4691326" y="5875757"/>
          <a:ext cx="70413" cy="280933"/>
          <a:chOff x="4965649" y="3003550"/>
          <a:chExt cx="113247" cy="298958"/>
        </a:xfrm>
      </xdr:grpSpPr>
      <xdr:sp macro="" textlink="">
        <xdr:nvSpPr>
          <xdr:cNvPr id="38" name="자유형: 도형 37">
            <a:extLst>
              <a:ext uri="{FF2B5EF4-FFF2-40B4-BE49-F238E27FC236}">
                <a16:creationId xmlns:a16="http://schemas.microsoft.com/office/drawing/2014/main" id="{DF4CD3A9-E109-8605-A09E-0C3A5592DEDD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9" name="자유형: 도형 38">
            <a:extLst>
              <a:ext uri="{FF2B5EF4-FFF2-40B4-BE49-F238E27FC236}">
                <a16:creationId xmlns:a16="http://schemas.microsoft.com/office/drawing/2014/main" id="{D2E72AB9-6B48-CA19-F60F-44F152B8BBAC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3</xdr:col>
      <xdr:colOff>152136</xdr:colOff>
      <xdr:row>11</xdr:row>
      <xdr:rowOff>72759</xdr:rowOff>
    </xdr:from>
    <xdr:ext cx="899349" cy="264560"/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D26CA2C3-A113-AE0C-ADF3-668678BED525}"/>
            </a:ext>
          </a:extLst>
        </xdr:cNvPr>
        <xdr:cNvSpPr txBox="1"/>
      </xdr:nvSpPr>
      <xdr:spPr>
        <a:xfrm>
          <a:off x="1676797" y="1981066"/>
          <a:ext cx="8993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ch2_delay=2</a:t>
          </a:r>
          <a:endParaRPr lang="ko-KR" altLang="en-US" sz="1100"/>
        </a:p>
      </xdr:txBody>
    </xdr:sp>
    <xdr:clientData/>
  </xdr:oneCellAnchor>
  <xdr:oneCellAnchor>
    <xdr:from>
      <xdr:col>4</xdr:col>
      <xdr:colOff>86254</xdr:colOff>
      <xdr:row>9</xdr:row>
      <xdr:rowOff>192086</xdr:rowOff>
    </xdr:from>
    <xdr:ext cx="899349" cy="264560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4DF0B09F-71DD-44B5-B838-C3FA07F8DD9A}"/>
            </a:ext>
          </a:extLst>
        </xdr:cNvPr>
        <xdr:cNvSpPr txBox="1"/>
      </xdr:nvSpPr>
      <xdr:spPr>
        <a:xfrm>
          <a:off x="1809353" y="1670445"/>
          <a:ext cx="8993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ch1_delay=0</a:t>
          </a:r>
          <a:endParaRPr lang="ko-KR" altLang="en-US" sz="1100"/>
        </a:p>
      </xdr:txBody>
    </xdr:sp>
    <xdr:clientData/>
  </xdr:oneCellAnchor>
  <xdr:oneCellAnchor>
    <xdr:from>
      <xdr:col>25</xdr:col>
      <xdr:colOff>126206</xdr:colOff>
      <xdr:row>9</xdr:row>
      <xdr:rowOff>189044</xdr:rowOff>
    </xdr:from>
    <xdr:ext cx="579454" cy="264560"/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5AA61D28-CA57-47ED-A819-C46CB333D05F}"/>
            </a:ext>
          </a:extLst>
        </xdr:cNvPr>
        <xdr:cNvSpPr txBox="1"/>
      </xdr:nvSpPr>
      <xdr:spPr>
        <a:xfrm>
          <a:off x="6016492" y="1667403"/>
          <a:ext cx="5794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data=3</a:t>
          </a:r>
          <a:endParaRPr lang="ko-KR" altLang="en-US" sz="1100"/>
        </a:p>
      </xdr:txBody>
    </xdr:sp>
    <xdr:clientData/>
  </xdr:oneCellAnchor>
  <xdr:oneCellAnchor>
    <xdr:from>
      <xdr:col>28</xdr:col>
      <xdr:colOff>106627</xdr:colOff>
      <xdr:row>11</xdr:row>
      <xdr:rowOff>189308</xdr:rowOff>
    </xdr:from>
    <xdr:ext cx="579454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B9E4DAD6-8443-4AEB-83EA-D26495A3E47A}"/>
            </a:ext>
          </a:extLst>
        </xdr:cNvPr>
        <xdr:cNvSpPr txBox="1"/>
      </xdr:nvSpPr>
      <xdr:spPr>
        <a:xfrm>
          <a:off x="6592226" y="2097615"/>
          <a:ext cx="5794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data=4</a:t>
          </a:r>
          <a:endParaRPr lang="ko-KR" altLang="en-US" sz="1100"/>
        </a:p>
      </xdr:txBody>
    </xdr:sp>
    <xdr:clientData/>
  </xdr:oneCellAnchor>
  <xdr:oneCellAnchor>
    <xdr:from>
      <xdr:col>12</xdr:col>
      <xdr:colOff>126736</xdr:colOff>
      <xdr:row>25</xdr:row>
      <xdr:rowOff>189573</xdr:rowOff>
    </xdr:from>
    <xdr:ext cx="579454" cy="264560"/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18C3DF7C-6B05-444D-8186-E80945EA4032}"/>
            </a:ext>
          </a:extLst>
        </xdr:cNvPr>
        <xdr:cNvSpPr txBox="1"/>
      </xdr:nvSpPr>
      <xdr:spPr>
        <a:xfrm>
          <a:off x="3437335" y="4866083"/>
          <a:ext cx="5794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data=2</a:t>
          </a:r>
          <a:endParaRPr lang="ko-KR" altLang="en-US" sz="1100"/>
        </a:p>
      </xdr:txBody>
    </xdr:sp>
    <xdr:clientData/>
  </xdr:oneCellAnchor>
  <xdr:oneCellAnchor>
    <xdr:from>
      <xdr:col>26</xdr:col>
      <xdr:colOff>120386</xdr:colOff>
      <xdr:row>25</xdr:row>
      <xdr:rowOff>193145</xdr:rowOff>
    </xdr:from>
    <xdr:ext cx="579454" cy="264560"/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4A0679AB-A681-46B9-9633-BBA0C74412EA}"/>
            </a:ext>
          </a:extLst>
        </xdr:cNvPr>
        <xdr:cNvSpPr txBox="1"/>
      </xdr:nvSpPr>
      <xdr:spPr>
        <a:xfrm>
          <a:off x="6209110" y="4869655"/>
          <a:ext cx="5794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data=2</a:t>
          </a:r>
          <a:endParaRPr lang="ko-KR" altLang="en-US" sz="1100"/>
        </a:p>
      </xdr:txBody>
    </xdr:sp>
    <xdr:clientData/>
  </xdr:oneCellAnchor>
  <xdr:oneCellAnchor>
    <xdr:from>
      <xdr:col>12</xdr:col>
      <xdr:colOff>64164</xdr:colOff>
      <xdr:row>16</xdr:row>
      <xdr:rowOff>163241</xdr:rowOff>
    </xdr:from>
    <xdr:ext cx="1796902" cy="172227"/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80C0D04-4DB7-4BD0-910B-E0088EBF5EF3}"/>
            </a:ext>
          </a:extLst>
        </xdr:cNvPr>
        <xdr:cNvSpPr txBox="1"/>
      </xdr:nvSpPr>
      <xdr:spPr>
        <a:xfrm>
          <a:off x="3374763" y="3146418"/>
          <a:ext cx="1796902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frame period : 100/120/165/240</a:t>
          </a:r>
          <a:endParaRPr lang="ko-KR" altLang="en-US" sz="1100"/>
        </a:p>
      </xdr:txBody>
    </xdr:sp>
    <xdr:clientData/>
  </xdr:oneCellAnchor>
  <xdr:oneCellAnchor>
    <xdr:from>
      <xdr:col>7</xdr:col>
      <xdr:colOff>107423</xdr:colOff>
      <xdr:row>19</xdr:row>
      <xdr:rowOff>137047</xdr:rowOff>
    </xdr:from>
    <xdr:ext cx="748988" cy="172227"/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38E27D35-48E1-469B-8CD9-14F7BD870A64}"/>
            </a:ext>
          </a:extLst>
        </xdr:cNvPr>
        <xdr:cNvSpPr txBox="1"/>
      </xdr:nvSpPr>
      <xdr:spPr>
        <a:xfrm>
          <a:off x="2425834" y="3765146"/>
          <a:ext cx="748988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sub-frame #1</a:t>
          </a:r>
          <a:endParaRPr lang="ko-KR" altLang="en-US" sz="1100"/>
        </a:p>
      </xdr:txBody>
    </xdr:sp>
    <xdr:clientData/>
  </xdr:oneCellAnchor>
  <xdr:oneCellAnchor>
    <xdr:from>
      <xdr:col>24</xdr:col>
      <xdr:colOff>21698</xdr:colOff>
      <xdr:row>19</xdr:row>
      <xdr:rowOff>140619</xdr:rowOff>
    </xdr:from>
    <xdr:ext cx="748988" cy="172227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B7B13435-3C19-4B63-B487-80C5768FDCBE}"/>
            </a:ext>
          </a:extLst>
        </xdr:cNvPr>
        <xdr:cNvSpPr txBox="1"/>
      </xdr:nvSpPr>
      <xdr:spPr>
        <a:xfrm>
          <a:off x="5713547" y="3768718"/>
          <a:ext cx="748988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sub-frame #8</a:t>
          </a:r>
          <a:endParaRPr lang="ko-KR" altLang="en-US" sz="1100"/>
        </a:p>
      </xdr:txBody>
    </xdr:sp>
    <xdr:clientData/>
  </xdr:oneCellAnchor>
  <xdr:twoCellAnchor>
    <xdr:from>
      <xdr:col>16</xdr:col>
      <xdr:colOff>530</xdr:colOff>
      <xdr:row>20</xdr:row>
      <xdr:rowOff>17065</xdr:rowOff>
    </xdr:from>
    <xdr:to>
      <xdr:col>21</xdr:col>
      <xdr:colOff>196343</xdr:colOff>
      <xdr:row>20</xdr:row>
      <xdr:rowOff>17065</xdr:rowOff>
    </xdr:to>
    <xdr:cxnSp macro="">
      <xdr:nvCxnSpPr>
        <xdr:cNvPr id="49" name="직선 화살표 연결선 48">
          <a:extLst>
            <a:ext uri="{FF2B5EF4-FFF2-40B4-BE49-F238E27FC236}">
              <a16:creationId xmlns:a16="http://schemas.microsoft.com/office/drawing/2014/main" id="{237FB981-9516-43B5-8BE6-0F2F006FCDB2}"/>
            </a:ext>
          </a:extLst>
        </xdr:cNvPr>
        <xdr:cNvCxnSpPr/>
      </xdr:nvCxnSpPr>
      <xdr:spPr>
        <a:xfrm flipV="1">
          <a:off x="4104879" y="3860138"/>
          <a:ext cx="118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18</xdr:col>
      <xdr:colOff>55035</xdr:colOff>
      <xdr:row>19</xdr:row>
      <xdr:rowOff>111118</xdr:rowOff>
    </xdr:from>
    <xdr:ext cx="341825" cy="172227"/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D49472DF-A6E9-4FF1-AADC-EF79A17C6294}"/>
            </a:ext>
          </a:extLst>
        </xdr:cNvPr>
        <xdr:cNvSpPr txBox="1"/>
      </xdr:nvSpPr>
      <xdr:spPr>
        <a:xfrm>
          <a:off x="4556259" y="3739217"/>
          <a:ext cx="341825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 . . . . . </a:t>
          </a:r>
          <a:endParaRPr lang="ko-KR" altLang="en-US" sz="1100"/>
        </a:p>
      </xdr:txBody>
    </xdr:sp>
    <xdr:clientData/>
  </xdr:oneCellAnchor>
  <xdr:oneCellAnchor>
    <xdr:from>
      <xdr:col>12</xdr:col>
      <xdr:colOff>71042</xdr:colOff>
      <xdr:row>1</xdr:row>
      <xdr:rowOff>160198</xdr:rowOff>
    </xdr:from>
    <xdr:ext cx="1796902" cy="172227"/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8A7681D5-0489-407B-A6C6-B6DEC173B638}"/>
            </a:ext>
          </a:extLst>
        </xdr:cNvPr>
        <xdr:cNvSpPr txBox="1"/>
      </xdr:nvSpPr>
      <xdr:spPr>
        <a:xfrm>
          <a:off x="3381641" y="375172"/>
          <a:ext cx="1796902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/>
            <a:t>frame period : 100/120/165/240</a:t>
          </a:r>
          <a:endParaRPr lang="ko-KR" altLang="en-US" sz="1100"/>
        </a:p>
      </xdr:txBody>
    </xdr:sp>
    <xdr:clientData/>
  </xdr:oneCellAnchor>
  <xdr:oneCellAnchor>
    <xdr:from>
      <xdr:col>1</xdr:col>
      <xdr:colOff>183756</xdr:colOff>
      <xdr:row>6</xdr:row>
      <xdr:rowOff>9565</xdr:rowOff>
    </xdr:from>
    <xdr:ext cx="841192" cy="156518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617B2C53-F930-49CD-8418-0257378F0377}"/>
            </a:ext>
          </a:extLst>
        </xdr:cNvPr>
        <xdr:cNvSpPr txBox="1"/>
      </xdr:nvSpPr>
      <xdr:spPr>
        <a:xfrm>
          <a:off x="845214" y="1286180"/>
          <a:ext cx="841192" cy="156518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00"/>
            <a:t>(2</a:t>
          </a:r>
          <a:r>
            <a:rPr lang="en-US" altLang="ko-KR" sz="1000" baseline="30000"/>
            <a:t>12</a:t>
          </a:r>
          <a:r>
            <a:rPr lang="en-US" altLang="ko-KR" sz="1000"/>
            <a:t>-1)= </a:t>
          </a:r>
          <a:r>
            <a:rPr lang="en-US" altLang="ko-KR" sz="1000" baseline="0"/>
            <a:t>4,095ea</a:t>
          </a:r>
        </a:p>
      </xdr:txBody>
    </xdr:sp>
    <xdr:clientData/>
  </xdr:oneCellAnchor>
  <xdr:oneCellAnchor>
    <xdr:from>
      <xdr:col>1</xdr:col>
      <xdr:colOff>68264</xdr:colOff>
      <xdr:row>5</xdr:row>
      <xdr:rowOff>35656</xdr:rowOff>
    </xdr:from>
    <xdr:ext cx="961417" cy="164404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73AF3ED0-ACCE-4981-A6F9-0CE4092CDA7A}"/>
            </a:ext>
          </a:extLst>
        </xdr:cNvPr>
        <xdr:cNvSpPr txBox="1"/>
      </xdr:nvSpPr>
      <xdr:spPr>
        <a:xfrm>
          <a:off x="729722" y="1110526"/>
          <a:ext cx="961417" cy="164404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05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(2</a:t>
          </a:r>
          <a:r>
            <a:rPr lang="en-US" altLang="ko-KR" sz="1050" baseline="30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</a:t>
          </a:r>
          <a:r>
            <a:rPr lang="en-US" altLang="ko-KR" sz="105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-1)= </a:t>
          </a:r>
          <a:r>
            <a:rPr lang="en-US" altLang="ko-KR" sz="1050" i="1" baseline="0">
              <a:solidFill>
                <a:schemeClr val="tx1"/>
              </a:solidFill>
              <a:effectLst/>
              <a:latin typeface="+mj-lt"/>
              <a:ea typeface="+mn-ea"/>
              <a:cs typeface="+mn-cs"/>
            </a:rPr>
            <a:t>16,383ea</a:t>
          </a:r>
          <a:endParaRPr lang="en-US" altLang="ko-KR" sz="1050" i="1" baseline="0">
            <a:latin typeface="+mj-lt"/>
            <a:ea typeface="+mn-ea"/>
          </a:endParaRPr>
        </a:p>
      </xdr:txBody>
    </xdr:sp>
    <xdr:clientData/>
  </xdr:oneCellAnchor>
  <xdr:oneCellAnchor>
    <xdr:from>
      <xdr:col>1</xdr:col>
      <xdr:colOff>107951</xdr:colOff>
      <xdr:row>21</xdr:row>
      <xdr:rowOff>199046</xdr:rowOff>
    </xdr:from>
    <xdr:ext cx="900759" cy="172227"/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4309AAE1-E5D7-43F8-9416-3A67641DAE18}"/>
            </a:ext>
          </a:extLst>
        </xdr:cNvPr>
        <xdr:cNvSpPr txBox="1"/>
      </xdr:nvSpPr>
      <xdr:spPr>
        <a:xfrm>
          <a:off x="770322" y="4649520"/>
          <a:ext cx="900759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(2</a:t>
          </a:r>
          <a:r>
            <a:rPr lang="en-US" altLang="ko-KR" sz="1100" baseline="30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</a:t>
          </a:r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/8-1)= </a:t>
          </a:r>
          <a:r>
            <a:rPr lang="en-US" altLang="ko-KR" sz="1000"/>
            <a:t>511</a:t>
          </a:r>
          <a:r>
            <a:rPr lang="en-US" altLang="ko-KR" sz="1000" baseline="0"/>
            <a:t>ea</a:t>
          </a:r>
        </a:p>
      </xdr:txBody>
    </xdr:sp>
    <xdr:clientData/>
  </xdr:oneCellAnchor>
  <xdr:oneCellAnchor>
    <xdr:from>
      <xdr:col>0</xdr:col>
      <xdr:colOff>657225</xdr:colOff>
      <xdr:row>21</xdr:row>
      <xdr:rowOff>18781</xdr:rowOff>
    </xdr:from>
    <xdr:ext cx="1023422" cy="172227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2107C92E-38C4-4C3C-ACD2-6C1A6BAB7A98}"/>
            </a:ext>
          </a:extLst>
        </xdr:cNvPr>
        <xdr:cNvSpPr txBox="1"/>
      </xdr:nvSpPr>
      <xdr:spPr>
        <a:xfrm>
          <a:off x="657225" y="4469255"/>
          <a:ext cx="1023422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(2</a:t>
          </a:r>
          <a:r>
            <a:rPr lang="en-US" altLang="ko-KR" sz="1100" baseline="30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</a:t>
          </a:r>
          <a:r>
            <a:rPr lang="en-US" altLang="ko-K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</a:t>
          </a:r>
          <a:r>
            <a:rPr lang="en-US" altLang="ko-K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8-1)</a:t>
          </a:r>
          <a:r>
            <a:rPr lang="en-US" altLang="ko-KR" sz="105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</a:t>
          </a:r>
          <a:r>
            <a:rPr lang="en-US" altLang="ko-KR" sz="1050" i="1" baseline="0">
              <a:solidFill>
                <a:schemeClr val="tx1"/>
              </a:solidFill>
              <a:effectLst/>
              <a:latin typeface="+mj-lt"/>
              <a:ea typeface="+mn-ea"/>
              <a:cs typeface="+mn-cs"/>
            </a:rPr>
            <a:t>2,047ea</a:t>
          </a:r>
          <a:endParaRPr lang="en-US" altLang="ko-KR" sz="1050" i="1" baseline="0">
            <a:latin typeface="+mj-lt"/>
            <a:ea typeface="+mn-ea"/>
          </a:endParaRPr>
        </a:p>
      </xdr:txBody>
    </xdr:sp>
    <xdr:clientData/>
  </xdr:oneCellAnchor>
  <xdr:twoCellAnchor>
    <xdr:from>
      <xdr:col>18</xdr:col>
      <xdr:colOff>67286</xdr:colOff>
      <xdr:row>23</xdr:row>
      <xdr:rowOff>159056</xdr:rowOff>
    </xdr:from>
    <xdr:to>
      <xdr:col>18</xdr:col>
      <xdr:colOff>139286</xdr:colOff>
      <xdr:row>25</xdr:row>
      <xdr:rowOff>29411</xdr:rowOff>
    </xdr:to>
    <xdr:grpSp>
      <xdr:nvGrpSpPr>
        <xdr:cNvPr id="56" name="그룹 55">
          <a:extLst>
            <a:ext uri="{FF2B5EF4-FFF2-40B4-BE49-F238E27FC236}">
              <a16:creationId xmlns:a16="http://schemas.microsoft.com/office/drawing/2014/main" id="{11952327-6B3A-4432-943C-6C6C3C187B7F}"/>
            </a:ext>
          </a:extLst>
        </xdr:cNvPr>
        <xdr:cNvGrpSpPr/>
      </xdr:nvGrpSpPr>
      <xdr:grpSpPr>
        <a:xfrm>
          <a:off x="4679685" y="5016203"/>
          <a:ext cx="70412" cy="287978"/>
          <a:chOff x="4965649" y="3003550"/>
          <a:chExt cx="113247" cy="298958"/>
        </a:xfrm>
      </xdr:grpSpPr>
      <xdr:sp macro="" textlink="">
        <xdr:nvSpPr>
          <xdr:cNvPr id="57" name="자유형: 도형 56">
            <a:extLst>
              <a:ext uri="{FF2B5EF4-FFF2-40B4-BE49-F238E27FC236}">
                <a16:creationId xmlns:a16="http://schemas.microsoft.com/office/drawing/2014/main" id="{E4B76E1D-6D40-21F1-343B-6554ED18F25D}"/>
              </a:ext>
            </a:extLst>
          </xdr:cNvPr>
          <xdr:cNvSpPr/>
        </xdr:nvSpPr>
        <xdr:spPr>
          <a:xfrm>
            <a:off x="4965649" y="3003550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8" name="자유형: 도형 57">
            <a:extLst>
              <a:ext uri="{FF2B5EF4-FFF2-40B4-BE49-F238E27FC236}">
                <a16:creationId xmlns:a16="http://schemas.microsoft.com/office/drawing/2014/main" id="{817BE53A-A7BD-3E5D-79A6-328822328E4A}"/>
              </a:ext>
            </a:extLst>
          </xdr:cNvPr>
          <xdr:cNvSpPr/>
        </xdr:nvSpPr>
        <xdr:spPr>
          <a:xfrm>
            <a:off x="5002645" y="3004058"/>
            <a:ext cx="76251" cy="298450"/>
          </a:xfrm>
          <a:custGeom>
            <a:avLst/>
            <a:gdLst>
              <a:gd name="connsiteX0" fmla="*/ 76251 w 76251"/>
              <a:gd name="connsiteY0" fmla="*/ 0 h 298450"/>
              <a:gd name="connsiteX1" fmla="*/ 51 w 76251"/>
              <a:gd name="connsiteY1" fmla="*/ 107950 h 298450"/>
              <a:gd name="connsiteX2" fmla="*/ 63551 w 76251"/>
              <a:gd name="connsiteY2" fmla="*/ 203200 h 298450"/>
              <a:gd name="connsiteX3" fmla="*/ 12751 w 76251"/>
              <a:gd name="connsiteY3" fmla="*/ 298450 h 29845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76251" h="298450">
                <a:moveTo>
                  <a:pt x="76251" y="0"/>
                </a:moveTo>
                <a:cubicBezTo>
                  <a:pt x="39209" y="37041"/>
                  <a:pt x="2168" y="74083"/>
                  <a:pt x="51" y="107950"/>
                </a:cubicBezTo>
                <a:cubicBezTo>
                  <a:pt x="-2066" y="141817"/>
                  <a:pt x="61434" y="171450"/>
                  <a:pt x="63551" y="203200"/>
                </a:cubicBezTo>
                <a:cubicBezTo>
                  <a:pt x="65668" y="234950"/>
                  <a:pt x="39209" y="266700"/>
                  <a:pt x="12751" y="298450"/>
                </a:cubicBezTo>
              </a:path>
            </a:pathLst>
          </a:custGeom>
          <a:noFill/>
          <a:ln w="317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oneCellAnchor>
    <xdr:from>
      <xdr:col>3</xdr:col>
      <xdr:colOff>142214</xdr:colOff>
      <xdr:row>27</xdr:row>
      <xdr:rowOff>82680</xdr:rowOff>
    </xdr:from>
    <xdr:ext cx="899349" cy="264560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85411A5A-2FD3-4057-B6E9-749209EFC09E}"/>
            </a:ext>
          </a:extLst>
        </xdr:cNvPr>
        <xdr:cNvSpPr txBox="1"/>
      </xdr:nvSpPr>
      <xdr:spPr>
        <a:xfrm>
          <a:off x="1666875" y="5807602"/>
          <a:ext cx="8993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ch2_delay=2</a:t>
          </a:r>
          <a:endParaRPr lang="ko-KR" altLang="en-US" sz="1100"/>
        </a:p>
      </xdr:txBody>
    </xdr:sp>
    <xdr:clientData/>
  </xdr:oneCellAnchor>
  <xdr:oneCellAnchor>
    <xdr:from>
      <xdr:col>4</xdr:col>
      <xdr:colOff>76332</xdr:colOff>
      <xdr:row>25</xdr:row>
      <xdr:rowOff>202007</xdr:rowOff>
    </xdr:from>
    <xdr:ext cx="899349" cy="264560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2BCCF2D4-2627-43F4-B2A2-1D2A0831619A}"/>
            </a:ext>
          </a:extLst>
        </xdr:cNvPr>
        <xdr:cNvSpPr txBox="1"/>
      </xdr:nvSpPr>
      <xdr:spPr>
        <a:xfrm>
          <a:off x="1799431" y="5496981"/>
          <a:ext cx="8993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/>
            <a:t>ch1_delay=0</a:t>
          </a:r>
          <a:endParaRPr lang="ko-KR" altLang="en-US" sz="1100"/>
        </a:p>
      </xdr:txBody>
    </xdr:sp>
    <xdr:clientData/>
  </xdr:oneCellAnchor>
  <xdr:twoCellAnchor>
    <xdr:from>
      <xdr:col>37</xdr:col>
      <xdr:colOff>1483</xdr:colOff>
      <xdr:row>31</xdr:row>
      <xdr:rowOff>93153</xdr:rowOff>
    </xdr:from>
    <xdr:to>
      <xdr:col>37</xdr:col>
      <xdr:colOff>1483</xdr:colOff>
      <xdr:row>37</xdr:row>
      <xdr:rowOff>144205</xdr:rowOff>
    </xdr:to>
    <xdr:cxnSp macro="">
      <xdr:nvCxnSpPr>
        <xdr:cNvPr id="64" name="직선 화살표 연결선 63">
          <a:extLst>
            <a:ext uri="{FF2B5EF4-FFF2-40B4-BE49-F238E27FC236}">
              <a16:creationId xmlns:a16="http://schemas.microsoft.com/office/drawing/2014/main" id="{9A0492D9-90B0-4503-BD96-9E8625FDE542}"/>
            </a:ext>
          </a:extLst>
        </xdr:cNvPr>
        <xdr:cNvCxnSpPr/>
      </xdr:nvCxnSpPr>
      <xdr:spPr>
        <a:xfrm flipH="1" flipV="1">
          <a:off x="9044759" y="6645696"/>
          <a:ext cx="0" cy="1332000"/>
        </a:xfrm>
        <a:prstGeom prst="straightConnector1">
          <a:avLst/>
        </a:prstGeom>
        <a:ln w="22225">
          <a:solidFill>
            <a:srgbClr val="FF00FF"/>
          </a:solidFill>
          <a:prstDash val="dash"/>
          <a:headEnd type="non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182019</xdr:colOff>
      <xdr:row>36</xdr:row>
      <xdr:rowOff>7386</xdr:rowOff>
    </xdr:from>
    <xdr:to>
      <xdr:col>37</xdr:col>
      <xdr:colOff>9157</xdr:colOff>
      <xdr:row>36</xdr:row>
      <xdr:rowOff>7386</xdr:rowOff>
    </xdr:to>
    <xdr:cxnSp macro="">
      <xdr:nvCxnSpPr>
        <xdr:cNvPr id="65" name="직선 화살표 연결선 64">
          <a:extLst>
            <a:ext uri="{FF2B5EF4-FFF2-40B4-BE49-F238E27FC236}">
              <a16:creationId xmlns:a16="http://schemas.microsoft.com/office/drawing/2014/main" id="{2CC8943E-FDA6-4DA5-A01D-329634EE19E8}"/>
            </a:ext>
          </a:extLst>
        </xdr:cNvPr>
        <xdr:cNvCxnSpPr/>
      </xdr:nvCxnSpPr>
      <xdr:spPr>
        <a:xfrm>
          <a:off x="3904433" y="7627386"/>
          <a:ext cx="5148000" cy="0"/>
        </a:xfrm>
        <a:prstGeom prst="straightConnector1">
          <a:avLst/>
        </a:prstGeom>
        <a:ln w="3175">
          <a:solidFill>
            <a:schemeClr val="tx1"/>
          </a:solidFill>
          <a:headEnd type="triangle" w="sm" len="sm"/>
          <a:tailEnd type="triangl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96126</xdr:colOff>
      <xdr:row>35</xdr:row>
      <xdr:rowOff>143429</xdr:rowOff>
    </xdr:from>
    <xdr:ext cx="673133" cy="172227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B0E4AD91-2751-4735-BDDC-9CDD54913205}"/>
            </a:ext>
          </a:extLst>
        </xdr:cNvPr>
        <xdr:cNvSpPr txBox="1"/>
      </xdr:nvSpPr>
      <xdr:spPr>
        <a:xfrm>
          <a:off x="5187074" y="7549938"/>
          <a:ext cx="673133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(counting #)</a:t>
          </a:r>
          <a:endParaRPr lang="en-US" altLang="ko-KR" sz="1000" baseline="0"/>
        </a:p>
      </xdr:txBody>
    </xdr:sp>
    <xdr:clientData/>
  </xdr:oneCellAnchor>
  <xdr:oneCellAnchor>
    <xdr:from>
      <xdr:col>34</xdr:col>
      <xdr:colOff>2189</xdr:colOff>
      <xdr:row>36</xdr:row>
      <xdr:rowOff>202769</xdr:rowOff>
    </xdr:from>
    <xdr:ext cx="1167179" cy="172227"/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468BD219-E59F-4C62-8097-E295B4E505A7}"/>
            </a:ext>
          </a:extLst>
        </xdr:cNvPr>
        <xdr:cNvSpPr txBox="1"/>
      </xdr:nvSpPr>
      <xdr:spPr>
        <a:xfrm>
          <a:off x="7655034" y="7822769"/>
          <a:ext cx="1167179" cy="172227"/>
        </a:xfrm>
        <a:prstGeom prst="rect">
          <a:avLst/>
        </a:prstGeom>
        <a:solidFill>
          <a:schemeClr val="bg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ctr" anchorCtr="0">
          <a:spAutoFit/>
        </a:bodyPr>
        <a:lstStyle/>
        <a:p>
          <a:r>
            <a:rPr lang="en-US" altLang="ko-K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(counting # - target#)</a:t>
          </a:r>
          <a:endParaRPr lang="en-US" altLang="ko-KR" sz="1000" baseline="0"/>
        </a:p>
      </xdr:txBody>
    </xdr:sp>
    <xdr:clientData/>
  </xdr:oneCellAnchor>
  <xdr:twoCellAnchor>
    <xdr:from>
      <xdr:col>37</xdr:col>
      <xdr:colOff>6847</xdr:colOff>
      <xdr:row>36</xdr:row>
      <xdr:rowOff>7386</xdr:rowOff>
    </xdr:from>
    <xdr:to>
      <xdr:col>48</xdr:col>
      <xdr:colOff>179089</xdr:colOff>
      <xdr:row>36</xdr:row>
      <xdr:rowOff>7386</xdr:rowOff>
    </xdr:to>
    <xdr:cxnSp macro="">
      <xdr:nvCxnSpPr>
        <xdr:cNvPr id="68" name="직선 화살표 연결선 67">
          <a:extLst>
            <a:ext uri="{FF2B5EF4-FFF2-40B4-BE49-F238E27FC236}">
              <a16:creationId xmlns:a16="http://schemas.microsoft.com/office/drawing/2014/main" id="{E3FA1291-2C74-4B7E-BABE-8C73AD2BBCE5}"/>
            </a:ext>
          </a:extLst>
        </xdr:cNvPr>
        <xdr:cNvCxnSpPr/>
      </xdr:nvCxnSpPr>
      <xdr:spPr>
        <a:xfrm>
          <a:off x="8250899" y="7627386"/>
          <a:ext cx="2340000" cy="0"/>
        </a:xfrm>
        <a:prstGeom prst="straightConnector1">
          <a:avLst/>
        </a:prstGeom>
        <a:ln w="3175">
          <a:solidFill>
            <a:srgbClr val="FF00FF"/>
          </a:solidFill>
          <a:headEnd type="triangle" w="sm" len="sm"/>
          <a:tailEnd type="none" w="sm" len="sm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DFCB-2E47-4C45-9A83-841175C25589}">
  <dimension ref="A2:FP128"/>
  <sheetViews>
    <sheetView showGridLines="0" zoomScale="85" zoomScaleNormal="85" workbookViewId="0"/>
  </sheetViews>
  <sheetFormatPr defaultRowHeight="16.899999999999999" x14ac:dyDescent="0.6"/>
  <cols>
    <col min="2" max="2" width="12.3125" style="1" bestFit="1" customWidth="1"/>
    <col min="3" max="3" width="1.625" style="1" customWidth="1"/>
    <col min="4" max="5" width="9.625" customWidth="1"/>
    <col min="6" max="9" width="5.3125" bestFit="1" customWidth="1"/>
    <col min="10" max="19" width="4.3125" bestFit="1" customWidth="1"/>
    <col min="20" max="20" width="5.8125" bestFit="1" customWidth="1"/>
    <col min="21" max="21" width="11" style="1" customWidth="1"/>
    <col min="22" max="172" width="1.3125" customWidth="1"/>
  </cols>
  <sheetData>
    <row r="2" spans="2:159" x14ac:dyDescent="0.6">
      <c r="B2" s="201" t="s">
        <v>478</v>
      </c>
      <c r="C2" s="512" t="s">
        <v>479</v>
      </c>
      <c r="D2" s="513"/>
      <c r="E2" s="513"/>
      <c r="F2" s="513"/>
      <c r="G2" s="513"/>
      <c r="H2" s="513"/>
      <c r="I2" s="513"/>
      <c r="J2" s="513"/>
      <c r="K2" s="513"/>
      <c r="L2" s="513"/>
      <c r="M2" s="513"/>
      <c r="N2" s="513"/>
      <c r="O2" s="513"/>
      <c r="P2" s="513"/>
      <c r="Q2" s="513"/>
      <c r="R2" s="513"/>
      <c r="S2" s="514"/>
      <c r="U2" s="6" t="s">
        <v>480</v>
      </c>
      <c r="DH2" t="s">
        <v>481</v>
      </c>
    </row>
    <row r="3" spans="2:159" ht="17.25" thickBot="1" x14ac:dyDescent="0.65">
      <c r="B3" s="2"/>
      <c r="U3" s="266" t="s">
        <v>482</v>
      </c>
      <c r="V3" s="28"/>
      <c r="W3" s="29"/>
      <c r="X3" s="26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DB3" s="25"/>
      <c r="DC3" s="25"/>
      <c r="DD3" s="25"/>
      <c r="DE3" s="25"/>
      <c r="DF3" s="25"/>
      <c r="DG3" s="21"/>
      <c r="DH3" s="27"/>
      <c r="DI3" s="28"/>
      <c r="DJ3" s="28"/>
      <c r="DK3" s="28"/>
      <c r="DL3" s="28"/>
      <c r="DM3" s="28"/>
      <c r="DN3" s="29"/>
      <c r="DO3" s="26"/>
      <c r="DP3" s="25"/>
    </row>
    <row r="4" spans="2:159" x14ac:dyDescent="0.6">
      <c r="B4" s="2" t="s">
        <v>483</v>
      </c>
      <c r="D4" s="207" t="s">
        <v>384</v>
      </c>
      <c r="E4" s="209" t="s">
        <v>427</v>
      </c>
      <c r="F4" s="207" t="s">
        <v>428</v>
      </c>
      <c r="G4" s="208" t="s">
        <v>429</v>
      </c>
      <c r="H4" s="208" t="s">
        <v>368</v>
      </c>
      <c r="I4" s="208" t="s">
        <v>369</v>
      </c>
      <c r="J4" s="208" t="s">
        <v>107</v>
      </c>
      <c r="K4" s="208" t="s">
        <v>108</v>
      </c>
      <c r="L4" s="208" t="s">
        <v>109</v>
      </c>
      <c r="M4" s="209" t="s">
        <v>110</v>
      </c>
      <c r="N4" s="215" t="s">
        <v>111</v>
      </c>
      <c r="O4" s="208" t="s">
        <v>112</v>
      </c>
      <c r="P4" s="208" t="s">
        <v>113</v>
      </c>
      <c r="Q4" s="208" t="s">
        <v>114</v>
      </c>
      <c r="R4" s="208" t="s">
        <v>115</v>
      </c>
      <c r="S4" s="209" t="s">
        <v>116</v>
      </c>
      <c r="X4" s="267"/>
      <c r="Y4" s="267"/>
      <c r="Z4" s="474">
        <v>16</v>
      </c>
      <c r="AA4" s="474"/>
      <c r="AB4" s="474">
        <v>15</v>
      </c>
      <c r="AC4" s="474"/>
      <c r="AD4" s="474">
        <v>14</v>
      </c>
      <c r="AE4" s="474"/>
      <c r="AF4" s="474"/>
      <c r="AG4" s="474"/>
      <c r="AH4" s="474">
        <v>3</v>
      </c>
      <c r="AI4" s="474"/>
      <c r="AJ4" s="474">
        <v>2</v>
      </c>
      <c r="AK4" s="474"/>
      <c r="AL4" s="474">
        <v>1</v>
      </c>
      <c r="AM4" s="474"/>
      <c r="AN4" s="474">
        <v>16</v>
      </c>
      <c r="AO4" s="474"/>
      <c r="AP4" s="474">
        <v>15</v>
      </c>
      <c r="AQ4" s="474"/>
      <c r="AR4" s="474">
        <v>14</v>
      </c>
      <c r="AS4" s="474"/>
      <c r="AT4" s="474"/>
      <c r="AU4" s="474"/>
      <c r="AV4" s="474">
        <v>3</v>
      </c>
      <c r="AW4" s="474"/>
      <c r="AX4" s="474">
        <v>2</v>
      </c>
      <c r="AY4" s="474"/>
      <c r="AZ4" s="474">
        <v>1</v>
      </c>
      <c r="BA4" s="474"/>
      <c r="BB4" s="474">
        <v>16</v>
      </c>
      <c r="BC4" s="474"/>
      <c r="BD4" s="474">
        <v>15</v>
      </c>
      <c r="BE4" s="474"/>
      <c r="BF4" s="474">
        <v>14</v>
      </c>
      <c r="BG4" s="474"/>
      <c r="BH4" s="474"/>
      <c r="BI4" s="474"/>
      <c r="BJ4" s="474">
        <v>3</v>
      </c>
      <c r="BK4" s="474"/>
      <c r="BL4" s="474">
        <v>2</v>
      </c>
      <c r="BM4" s="474"/>
      <c r="BN4" s="474">
        <v>1</v>
      </c>
      <c r="BO4" s="474"/>
      <c r="BP4" s="474">
        <v>16</v>
      </c>
      <c r="BQ4" s="474"/>
      <c r="BR4" s="474">
        <v>15</v>
      </c>
      <c r="BS4" s="474"/>
      <c r="BT4" s="474">
        <v>14</v>
      </c>
      <c r="BU4" s="474"/>
      <c r="BV4" s="474"/>
      <c r="BW4" s="474"/>
      <c r="BX4" s="474">
        <v>3</v>
      </c>
      <c r="BY4" s="474"/>
      <c r="BZ4" s="474">
        <v>2</v>
      </c>
      <c r="CA4" s="474"/>
      <c r="CB4" s="474">
        <v>1</v>
      </c>
      <c r="CC4" s="474"/>
      <c r="CD4" s="474">
        <v>16</v>
      </c>
      <c r="CE4" s="474"/>
      <c r="CF4" s="474">
        <v>15</v>
      </c>
      <c r="CG4" s="474"/>
      <c r="CH4" s="474">
        <v>14</v>
      </c>
      <c r="CI4" s="474"/>
      <c r="CJ4" s="474"/>
      <c r="CK4" s="474"/>
      <c r="CL4" s="474">
        <v>3</v>
      </c>
      <c r="CM4" s="474"/>
      <c r="CN4" s="474">
        <v>2</v>
      </c>
      <c r="CO4" s="474"/>
      <c r="CP4" s="474">
        <v>1</v>
      </c>
      <c r="CQ4" s="474"/>
      <c r="CR4" s="474">
        <v>16</v>
      </c>
      <c r="CS4" s="474"/>
      <c r="CT4" s="474">
        <v>15</v>
      </c>
      <c r="CU4" s="474"/>
      <c r="CV4" s="474">
        <v>14</v>
      </c>
      <c r="CW4" s="474"/>
      <c r="CX4" s="474"/>
      <c r="CY4" s="474"/>
      <c r="CZ4" s="474">
        <v>3</v>
      </c>
      <c r="DA4" s="474"/>
      <c r="DB4" s="475">
        <v>2</v>
      </c>
      <c r="DC4" s="475"/>
      <c r="DD4" s="475">
        <v>1</v>
      </c>
      <c r="DE4" s="475"/>
      <c r="DF4" s="269"/>
      <c r="DG4" s="269"/>
      <c r="DH4" s="267"/>
      <c r="DI4" s="267"/>
      <c r="DJ4" s="267"/>
      <c r="DK4" s="267"/>
      <c r="DL4" s="267"/>
      <c r="DM4" s="270"/>
      <c r="DN4" s="270"/>
      <c r="DO4" s="270"/>
      <c r="DP4" s="270"/>
      <c r="DQ4" s="270"/>
      <c r="DR4" s="270"/>
      <c r="DS4" s="270"/>
      <c r="DT4" s="270"/>
      <c r="DU4" s="270"/>
      <c r="DV4" s="270"/>
      <c r="DW4" s="270"/>
      <c r="DX4" s="270"/>
      <c r="DY4" s="270"/>
      <c r="DZ4" s="270"/>
      <c r="EA4" s="270"/>
      <c r="EB4" s="270"/>
      <c r="EC4" s="270"/>
      <c r="ED4" s="270"/>
      <c r="EE4" s="270"/>
      <c r="EF4" s="270"/>
      <c r="EG4" s="270"/>
      <c r="EH4" s="270"/>
      <c r="EI4" s="270"/>
      <c r="EJ4" s="270"/>
      <c r="EK4" s="270"/>
      <c r="EL4" s="270"/>
      <c r="EM4" s="270"/>
      <c r="EN4" s="270"/>
      <c r="EO4" s="270"/>
      <c r="EP4" s="270"/>
      <c r="EQ4" s="270"/>
      <c r="ER4" s="270"/>
      <c r="ES4" s="270"/>
      <c r="ET4" s="270"/>
      <c r="EU4" s="270"/>
      <c r="EV4" s="270"/>
      <c r="EW4" s="270"/>
      <c r="EX4" s="270"/>
      <c r="EY4" s="270"/>
      <c r="EZ4" s="270"/>
      <c r="FA4" s="270"/>
      <c r="FB4" s="270"/>
      <c r="FC4" s="270"/>
    </row>
    <row r="5" spans="2:159" ht="17.25" thickBot="1" x14ac:dyDescent="0.65">
      <c r="B5" s="2"/>
      <c r="D5" s="507" t="s">
        <v>484</v>
      </c>
      <c r="E5" s="509"/>
      <c r="F5" s="507" t="s">
        <v>485</v>
      </c>
      <c r="G5" s="508"/>
      <c r="H5" s="508"/>
      <c r="I5" s="508"/>
      <c r="J5" s="508"/>
      <c r="K5" s="508"/>
      <c r="L5" s="508"/>
      <c r="M5" s="509"/>
      <c r="N5" s="508" t="s">
        <v>486</v>
      </c>
      <c r="O5" s="508"/>
      <c r="P5" s="508"/>
      <c r="Q5" s="508"/>
      <c r="R5" s="508"/>
      <c r="S5" s="509"/>
      <c r="U5" s="1" t="s">
        <v>487</v>
      </c>
      <c r="V5" s="271"/>
      <c r="W5" s="271"/>
      <c r="X5" s="271"/>
      <c r="Y5" s="272"/>
      <c r="Z5" s="273"/>
      <c r="AA5" s="274"/>
      <c r="AB5" s="273"/>
      <c r="AC5" s="274"/>
      <c r="AD5" s="273"/>
      <c r="AE5" s="274"/>
      <c r="AF5" s="275"/>
      <c r="AG5" s="271"/>
      <c r="AH5" s="273"/>
      <c r="AI5" s="274"/>
      <c r="AJ5" s="273"/>
      <c r="AK5" s="274"/>
      <c r="AL5" s="273"/>
      <c r="AM5" s="274"/>
      <c r="AN5" s="273"/>
      <c r="AO5" s="274"/>
      <c r="AP5" s="273"/>
      <c r="AQ5" s="274"/>
      <c r="AR5" s="273"/>
      <c r="AS5" s="274"/>
      <c r="AT5" s="275"/>
      <c r="AU5" s="271"/>
      <c r="AV5" s="273"/>
      <c r="AW5" s="274"/>
      <c r="AX5" s="273"/>
      <c r="AY5" s="274"/>
      <c r="AZ5" s="273"/>
      <c r="BA5" s="274"/>
      <c r="BB5" s="273"/>
      <c r="BC5" s="274"/>
      <c r="BD5" s="273"/>
      <c r="BE5" s="274"/>
      <c r="BF5" s="273"/>
      <c r="BG5" s="274"/>
      <c r="BH5" s="275"/>
      <c r="BI5" s="271"/>
      <c r="BJ5" s="273"/>
      <c r="BK5" s="274"/>
      <c r="BL5" s="273"/>
      <c r="BM5" s="274"/>
      <c r="BN5" s="273"/>
      <c r="BO5" s="274"/>
      <c r="BP5" s="273"/>
      <c r="BQ5" s="274"/>
      <c r="BR5" s="273"/>
      <c r="BS5" s="274"/>
      <c r="BT5" s="273"/>
      <c r="BU5" s="274"/>
      <c r="BV5" s="275"/>
      <c r="BW5" s="271"/>
      <c r="BX5" s="273"/>
      <c r="BY5" s="274"/>
      <c r="BZ5" s="273"/>
      <c r="CA5" s="274"/>
      <c r="CB5" s="273"/>
      <c r="CC5" s="274"/>
      <c r="CD5" s="273"/>
      <c r="CE5" s="274"/>
      <c r="CF5" s="273"/>
      <c r="CG5" s="274"/>
      <c r="CH5" s="273"/>
      <c r="CI5" s="274"/>
      <c r="CJ5" s="275"/>
      <c r="CK5" s="271"/>
      <c r="CL5" s="273"/>
      <c r="CM5" s="274"/>
      <c r="CN5" s="273"/>
      <c r="CO5" s="274"/>
      <c r="CP5" s="273"/>
      <c r="CQ5" s="274"/>
      <c r="CR5" s="273"/>
      <c r="CS5" s="274"/>
      <c r="CT5" s="273"/>
      <c r="CU5" s="274"/>
      <c r="CV5" s="273"/>
      <c r="CW5" s="274"/>
      <c r="CX5" s="275"/>
      <c r="CY5" s="271"/>
      <c r="CZ5" s="273"/>
      <c r="DA5" s="274"/>
      <c r="DB5" s="273"/>
      <c r="DC5" s="274"/>
      <c r="DD5" s="273"/>
      <c r="DE5" s="274"/>
      <c r="DF5" s="271"/>
      <c r="DG5" s="271"/>
      <c r="DH5" s="271"/>
      <c r="DI5" s="271"/>
      <c r="DJ5" s="271"/>
      <c r="DK5" s="271"/>
      <c r="DL5" s="271"/>
      <c r="DM5" s="271"/>
      <c r="DN5" s="271"/>
      <c r="DO5" s="271"/>
      <c r="DP5" s="271"/>
      <c r="DQ5" s="275"/>
      <c r="DR5" s="275"/>
      <c r="DS5" s="275"/>
      <c r="DT5" s="275"/>
      <c r="DU5" s="275"/>
      <c r="DV5" s="275"/>
      <c r="DW5" s="275"/>
      <c r="DX5" s="275"/>
      <c r="DY5" s="275"/>
      <c r="DZ5" s="275"/>
      <c r="EA5" s="275"/>
      <c r="EB5" s="275"/>
      <c r="EC5" s="275"/>
      <c r="ED5" s="275"/>
      <c r="EE5" s="275"/>
      <c r="EF5" s="275"/>
      <c r="EG5" s="275"/>
      <c r="EH5" s="275"/>
      <c r="EI5" s="275"/>
      <c r="EJ5" s="275"/>
      <c r="EK5" s="275"/>
      <c r="EL5" s="275"/>
      <c r="EM5" s="275"/>
      <c r="EN5" s="275"/>
      <c r="EO5" s="275"/>
      <c r="EP5" s="275"/>
      <c r="EQ5" s="275"/>
      <c r="ER5" s="275"/>
      <c r="ES5" s="275"/>
      <c r="ET5" s="275"/>
      <c r="EU5" s="275"/>
      <c r="EV5" s="275"/>
      <c r="EW5" s="275"/>
      <c r="EX5" s="275"/>
      <c r="EY5" s="275"/>
      <c r="EZ5" s="275"/>
      <c r="FA5" s="275"/>
      <c r="FB5" s="275"/>
      <c r="FC5" s="275"/>
    </row>
    <row r="6" spans="2:159" x14ac:dyDescent="0.6">
      <c r="B6" s="2" t="s">
        <v>488</v>
      </c>
      <c r="D6" s="24">
        <v>0</v>
      </c>
      <c r="E6" s="24">
        <v>1</v>
      </c>
      <c r="F6" s="510" t="s">
        <v>489</v>
      </c>
      <c r="G6" s="510"/>
      <c r="H6" s="510"/>
      <c r="I6" s="510"/>
      <c r="J6" s="510"/>
      <c r="K6" s="510"/>
      <c r="L6" s="510"/>
      <c r="M6" s="510"/>
      <c r="N6" s="511" t="s">
        <v>490</v>
      </c>
      <c r="O6" s="511"/>
      <c r="P6" s="511"/>
      <c r="Q6" s="511"/>
      <c r="R6" s="511"/>
      <c r="S6" s="511"/>
    </row>
    <row r="7" spans="2:159" x14ac:dyDescent="0.6">
      <c r="B7" s="2" t="s">
        <v>491</v>
      </c>
      <c r="D7" s="24">
        <v>1</v>
      </c>
      <c r="E7" s="24">
        <v>0</v>
      </c>
      <c r="F7" s="510" t="s">
        <v>489</v>
      </c>
      <c r="G7" s="510"/>
      <c r="H7" s="510"/>
      <c r="I7" s="510"/>
      <c r="J7" s="510"/>
      <c r="K7" s="510"/>
      <c r="L7" s="510"/>
      <c r="M7" s="510"/>
      <c r="N7" s="510" t="s">
        <v>490</v>
      </c>
      <c r="O7" s="510"/>
      <c r="P7" s="510"/>
      <c r="Q7" s="510"/>
      <c r="R7" s="510"/>
      <c r="S7" s="510"/>
      <c r="U7" s="1" t="s">
        <v>492</v>
      </c>
      <c r="V7" s="25"/>
      <c r="W7" s="25"/>
      <c r="X7" s="25"/>
      <c r="Y7" s="25"/>
      <c r="Z7" s="500" t="s">
        <v>493</v>
      </c>
      <c r="AA7" s="501"/>
      <c r="AB7" s="501"/>
      <c r="AC7" s="501"/>
      <c r="AD7" s="501"/>
      <c r="AE7" s="501"/>
      <c r="AF7" s="501"/>
      <c r="AG7" s="501"/>
      <c r="AH7" s="501"/>
      <c r="AI7" s="501"/>
      <c r="AJ7" s="501"/>
      <c r="AK7" s="501"/>
      <c r="AL7" s="501"/>
      <c r="AM7" s="502"/>
      <c r="AN7" s="500" t="s">
        <v>494</v>
      </c>
      <c r="AO7" s="501"/>
      <c r="AP7" s="501"/>
      <c r="AQ7" s="501"/>
      <c r="AR7" s="501"/>
      <c r="AS7" s="501"/>
      <c r="AT7" s="501"/>
      <c r="AU7" s="501"/>
      <c r="AV7" s="501"/>
      <c r="AW7" s="501"/>
      <c r="AX7" s="501"/>
      <c r="AY7" s="501"/>
      <c r="AZ7" s="501"/>
      <c r="BA7" s="502"/>
      <c r="BB7" s="503" t="s">
        <v>495</v>
      </c>
      <c r="BC7" s="504"/>
      <c r="BD7" s="504"/>
      <c r="BE7" s="504"/>
      <c r="BF7" s="504"/>
      <c r="BG7" s="504"/>
      <c r="BH7" s="504"/>
      <c r="BI7" s="504"/>
      <c r="BJ7" s="504"/>
      <c r="BK7" s="504"/>
      <c r="BL7" s="504"/>
      <c r="BM7" s="504"/>
      <c r="BN7" s="504"/>
      <c r="BO7" s="505"/>
      <c r="BP7" s="503" t="s">
        <v>496</v>
      </c>
      <c r="BQ7" s="504"/>
      <c r="BR7" s="504"/>
      <c r="BS7" s="504"/>
      <c r="BT7" s="504"/>
      <c r="BU7" s="504"/>
      <c r="BV7" s="504"/>
      <c r="BW7" s="504"/>
      <c r="BX7" s="504"/>
      <c r="BY7" s="504"/>
      <c r="BZ7" s="504"/>
      <c r="CA7" s="504"/>
      <c r="CB7" s="504"/>
      <c r="CC7" s="505"/>
      <c r="CD7" s="496" t="s">
        <v>497</v>
      </c>
      <c r="CE7" s="497"/>
      <c r="CF7" s="497"/>
      <c r="CG7" s="497"/>
      <c r="CH7" s="497"/>
      <c r="CI7" s="497"/>
      <c r="CJ7" s="497"/>
      <c r="CK7" s="497"/>
      <c r="CL7" s="497"/>
      <c r="CM7" s="497"/>
      <c r="CN7" s="497"/>
      <c r="CO7" s="497"/>
      <c r="CP7" s="497"/>
      <c r="CQ7" s="498"/>
      <c r="CR7" s="496" t="s">
        <v>498</v>
      </c>
      <c r="CS7" s="497"/>
      <c r="CT7" s="497"/>
      <c r="CU7" s="497"/>
      <c r="CV7" s="497"/>
      <c r="CW7" s="497"/>
      <c r="CX7" s="497"/>
      <c r="CY7" s="497"/>
      <c r="CZ7" s="497"/>
      <c r="DA7" s="497"/>
      <c r="DB7" s="497"/>
      <c r="DC7" s="497"/>
      <c r="DD7" s="497"/>
      <c r="DE7" s="498"/>
      <c r="DF7" s="26"/>
      <c r="DG7" s="25"/>
      <c r="DH7" s="25"/>
      <c r="DI7" s="25"/>
      <c r="DJ7" s="25"/>
      <c r="DK7" s="25"/>
      <c r="DL7" s="25"/>
      <c r="DM7" s="25"/>
      <c r="DN7" s="25"/>
      <c r="DO7" s="25"/>
      <c r="DP7" s="25"/>
    </row>
    <row r="8" spans="2:159" x14ac:dyDescent="0.6">
      <c r="B8" s="2" t="s">
        <v>499</v>
      </c>
      <c r="D8" s="24">
        <v>1</v>
      </c>
      <c r="E8" s="24">
        <v>1</v>
      </c>
      <c r="F8" s="510" t="s">
        <v>500</v>
      </c>
      <c r="G8" s="510"/>
      <c r="H8" s="510"/>
      <c r="I8" s="510"/>
      <c r="J8" s="510"/>
      <c r="K8" s="510"/>
      <c r="L8" s="510"/>
      <c r="M8" s="510"/>
      <c r="N8" s="510" t="s">
        <v>501</v>
      </c>
      <c r="O8" s="510"/>
      <c r="P8" s="510"/>
      <c r="Q8" s="510"/>
      <c r="R8" s="510"/>
      <c r="S8" s="510"/>
      <c r="BB8" s="499">
        <v>16</v>
      </c>
      <c r="BC8" s="499"/>
      <c r="BD8" s="499">
        <v>15</v>
      </c>
      <c r="BE8" s="499"/>
      <c r="BF8" s="499">
        <v>14</v>
      </c>
      <c r="BG8" s="499"/>
      <c r="BH8" s="499"/>
      <c r="BI8" s="499"/>
      <c r="BJ8" s="499">
        <v>3</v>
      </c>
      <c r="BK8" s="499"/>
      <c r="BL8" s="499">
        <v>2</v>
      </c>
      <c r="BM8" s="499"/>
      <c r="BN8" s="499">
        <v>1</v>
      </c>
      <c r="BO8" s="499"/>
      <c r="BP8" s="499">
        <v>16</v>
      </c>
      <c r="BQ8" s="499"/>
      <c r="BR8" s="499">
        <v>15</v>
      </c>
      <c r="BS8" s="499"/>
      <c r="BT8" s="499">
        <v>14</v>
      </c>
      <c r="BU8" s="499"/>
      <c r="BV8" s="499"/>
      <c r="BW8" s="499"/>
      <c r="BX8" s="499">
        <v>3</v>
      </c>
      <c r="BY8" s="499"/>
      <c r="BZ8" s="499">
        <v>2</v>
      </c>
      <c r="CA8" s="499"/>
      <c r="CB8" s="499">
        <v>1</v>
      </c>
      <c r="CC8" s="499"/>
      <c r="CD8" s="499">
        <v>16</v>
      </c>
      <c r="CE8" s="499"/>
      <c r="CF8" s="499">
        <v>15</v>
      </c>
      <c r="CG8" s="499"/>
      <c r="CH8" s="499">
        <v>14</v>
      </c>
      <c r="CI8" s="499"/>
      <c r="CJ8" s="499"/>
      <c r="CK8" s="499"/>
      <c r="CL8" s="499">
        <v>3</v>
      </c>
      <c r="CM8" s="499"/>
      <c r="CN8" s="499">
        <v>2</v>
      </c>
      <c r="CO8" s="499"/>
      <c r="CP8" s="499">
        <v>1</v>
      </c>
      <c r="CQ8" s="499"/>
      <c r="CR8" s="499">
        <v>16</v>
      </c>
      <c r="CS8" s="499"/>
      <c r="CT8" s="499">
        <v>15</v>
      </c>
      <c r="CU8" s="499"/>
      <c r="CV8" s="499">
        <v>14</v>
      </c>
      <c r="CW8" s="499"/>
      <c r="CX8" s="499"/>
      <c r="CY8" s="499"/>
      <c r="CZ8" s="499">
        <v>3</v>
      </c>
      <c r="DA8" s="499"/>
      <c r="DB8" s="499">
        <v>2</v>
      </c>
      <c r="DC8" s="499"/>
      <c r="DD8" s="499">
        <v>1</v>
      </c>
      <c r="DE8" s="499"/>
    </row>
    <row r="9" spans="2:159" x14ac:dyDescent="0.6">
      <c r="B9" s="2"/>
      <c r="U9" s="1" t="s">
        <v>502</v>
      </c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73"/>
      <c r="BC9" s="274"/>
      <c r="BD9" s="273"/>
      <c r="BE9" s="274"/>
      <c r="BF9" s="273"/>
      <c r="BG9" s="274"/>
      <c r="BH9" s="24"/>
      <c r="BI9" s="271"/>
      <c r="BJ9" s="273"/>
      <c r="BK9" s="274"/>
      <c r="BL9" s="273"/>
      <c r="BM9" s="274"/>
      <c r="BN9" s="273"/>
      <c r="BO9" s="274"/>
      <c r="BP9" s="273"/>
      <c r="BQ9" s="274"/>
      <c r="BR9" s="273"/>
      <c r="BS9" s="274"/>
      <c r="BT9" s="273"/>
      <c r="BU9" s="274"/>
      <c r="BV9" s="24"/>
      <c r="BW9" s="271"/>
      <c r="BX9" s="273"/>
      <c r="BY9" s="274"/>
      <c r="BZ9" s="273"/>
      <c r="CA9" s="274"/>
      <c r="CB9" s="273"/>
      <c r="CC9" s="274"/>
      <c r="CD9" s="273"/>
      <c r="CE9" s="274"/>
      <c r="CF9" s="273"/>
      <c r="CG9" s="274"/>
      <c r="CH9" s="273"/>
      <c r="CI9" s="274"/>
      <c r="CJ9" s="24"/>
      <c r="CK9" s="271"/>
      <c r="CL9" s="273"/>
      <c r="CM9" s="274"/>
      <c r="CN9" s="273"/>
      <c r="CO9" s="274"/>
      <c r="CP9" s="273"/>
      <c r="CQ9" s="274"/>
      <c r="CR9" s="273"/>
      <c r="CS9" s="274"/>
      <c r="CT9" s="273"/>
      <c r="CU9" s="274"/>
      <c r="CV9" s="273"/>
      <c r="CW9" s="274"/>
      <c r="CX9" s="24"/>
      <c r="CY9" s="271"/>
      <c r="CZ9" s="273"/>
      <c r="DA9" s="274"/>
      <c r="DB9" s="273"/>
      <c r="DC9" s="274"/>
      <c r="DD9" s="273"/>
      <c r="DE9" s="274"/>
      <c r="DF9" s="271"/>
      <c r="DG9" s="271"/>
      <c r="DH9" s="271"/>
      <c r="DI9" s="271"/>
      <c r="DJ9" s="271"/>
      <c r="DK9" s="271"/>
      <c r="DL9" s="271"/>
      <c r="DM9" s="271"/>
      <c r="DN9" s="271"/>
      <c r="DO9" s="271"/>
      <c r="DP9" s="271"/>
      <c r="DQ9" s="275"/>
      <c r="DR9" s="275"/>
      <c r="DS9" s="275"/>
      <c r="DT9" s="275"/>
      <c r="DU9" s="275"/>
      <c r="DV9" s="275"/>
      <c r="DW9" s="275"/>
      <c r="DX9" s="275"/>
      <c r="DY9" s="275"/>
      <c r="DZ9" s="275"/>
      <c r="EA9" s="275"/>
      <c r="EB9" s="275"/>
      <c r="EC9" s="275"/>
      <c r="ED9" s="275"/>
      <c r="EE9" s="275"/>
      <c r="EF9" s="275"/>
      <c r="EG9" s="275"/>
      <c r="EH9" s="275"/>
      <c r="EI9" s="275"/>
      <c r="EJ9" s="275"/>
      <c r="EK9" s="275"/>
      <c r="EL9" s="275"/>
      <c r="EM9" s="275"/>
      <c r="EN9" s="275"/>
      <c r="EO9" s="275"/>
      <c r="EP9" s="275"/>
      <c r="EQ9" s="275"/>
      <c r="ER9" s="275"/>
      <c r="ES9" s="275"/>
      <c r="ET9" s="275"/>
      <c r="EU9" s="275"/>
      <c r="EV9" s="275"/>
      <c r="EW9" s="275"/>
      <c r="EX9" s="275"/>
      <c r="EY9" s="275"/>
      <c r="EZ9" s="275"/>
      <c r="FA9" s="275"/>
      <c r="FB9" s="275"/>
      <c r="FC9" s="275"/>
    </row>
    <row r="10" spans="2:159" ht="17.25" thickBot="1" x14ac:dyDescent="0.65">
      <c r="B10" s="2"/>
    </row>
    <row r="11" spans="2:159" x14ac:dyDescent="0.6">
      <c r="B11" s="2" t="s">
        <v>503</v>
      </c>
      <c r="D11" s="207" t="s">
        <v>384</v>
      </c>
      <c r="E11" s="208" t="s">
        <v>427</v>
      </c>
      <c r="F11" s="208" t="s">
        <v>428</v>
      </c>
      <c r="G11" s="208" t="s">
        <v>429</v>
      </c>
      <c r="H11" s="208" t="s">
        <v>368</v>
      </c>
      <c r="I11" s="208" t="s">
        <v>369</v>
      </c>
      <c r="J11" s="208" t="s">
        <v>107</v>
      </c>
      <c r="K11" s="208" t="s">
        <v>108</v>
      </c>
      <c r="L11" s="208" t="s">
        <v>109</v>
      </c>
      <c r="M11" s="208" t="s">
        <v>110</v>
      </c>
      <c r="N11" s="208" t="s">
        <v>111</v>
      </c>
      <c r="O11" s="208" t="s">
        <v>112</v>
      </c>
      <c r="P11" s="208" t="s">
        <v>113</v>
      </c>
      <c r="Q11" s="208" t="s">
        <v>114</v>
      </c>
      <c r="R11" s="208" t="s">
        <v>115</v>
      </c>
      <c r="S11" s="209" t="s">
        <v>116</v>
      </c>
      <c r="U11" s="1" t="s">
        <v>504</v>
      </c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503" t="s">
        <v>495</v>
      </c>
      <c r="BC11" s="504"/>
      <c r="BD11" s="504"/>
      <c r="BE11" s="504"/>
      <c r="BF11" s="504"/>
      <c r="BG11" s="504"/>
      <c r="BH11" s="504"/>
      <c r="BI11" s="504"/>
      <c r="BJ11" s="504"/>
      <c r="BK11" s="504"/>
      <c r="BL11" s="504"/>
      <c r="BM11" s="504"/>
      <c r="BN11" s="504"/>
      <c r="BO11" s="505"/>
      <c r="BP11" s="503" t="s">
        <v>496</v>
      </c>
      <c r="BQ11" s="504"/>
      <c r="BR11" s="504"/>
      <c r="BS11" s="504"/>
      <c r="BT11" s="504"/>
      <c r="BU11" s="504"/>
      <c r="BV11" s="504"/>
      <c r="BW11" s="504"/>
      <c r="BX11" s="504"/>
      <c r="BY11" s="504"/>
      <c r="BZ11" s="504"/>
      <c r="CA11" s="504"/>
      <c r="CB11" s="504"/>
      <c r="CC11" s="505"/>
      <c r="CD11" s="496" t="s">
        <v>497</v>
      </c>
      <c r="CE11" s="497"/>
      <c r="CF11" s="497"/>
      <c r="CG11" s="497"/>
      <c r="CH11" s="497"/>
      <c r="CI11" s="497"/>
      <c r="CJ11" s="497"/>
      <c r="CK11" s="497"/>
      <c r="CL11" s="497"/>
      <c r="CM11" s="497"/>
      <c r="CN11" s="497"/>
      <c r="CO11" s="497"/>
      <c r="CP11" s="497"/>
      <c r="CQ11" s="498"/>
      <c r="CR11" s="496" t="s">
        <v>498</v>
      </c>
      <c r="CS11" s="497"/>
      <c r="CT11" s="497"/>
      <c r="CU11" s="497"/>
      <c r="CV11" s="497"/>
      <c r="CW11" s="497"/>
      <c r="CX11" s="497"/>
      <c r="CY11" s="497"/>
      <c r="CZ11" s="497"/>
      <c r="DA11" s="497"/>
      <c r="DB11" s="497"/>
      <c r="DC11" s="497"/>
      <c r="DD11" s="497"/>
      <c r="DE11" s="498"/>
      <c r="DF11" s="26"/>
      <c r="DG11" s="25"/>
      <c r="DH11" s="25"/>
      <c r="DI11" s="25"/>
      <c r="DJ11" s="25"/>
      <c r="DK11" s="25"/>
      <c r="DL11" s="25"/>
      <c r="DM11" s="25"/>
      <c r="DN11" s="25"/>
      <c r="DO11" s="25"/>
      <c r="DP11" s="25"/>
    </row>
    <row r="12" spans="2:159" ht="17.25" thickBot="1" x14ac:dyDescent="0.65">
      <c r="B12" s="2"/>
      <c r="D12" s="507" t="s">
        <v>505</v>
      </c>
      <c r="E12" s="508"/>
      <c r="F12" s="508"/>
      <c r="G12" s="508"/>
      <c r="H12" s="508"/>
      <c r="I12" s="508"/>
      <c r="J12" s="508"/>
      <c r="K12" s="508"/>
      <c r="L12" s="508"/>
      <c r="M12" s="508"/>
      <c r="N12" s="508"/>
      <c r="O12" s="508"/>
      <c r="P12" s="508"/>
      <c r="Q12" s="508"/>
      <c r="R12" s="508"/>
      <c r="S12" s="509"/>
      <c r="CD12" s="499">
        <v>16</v>
      </c>
      <c r="CE12" s="499"/>
      <c r="CF12" s="499">
        <v>15</v>
      </c>
      <c r="CG12" s="499"/>
      <c r="CH12" s="499">
        <v>14</v>
      </c>
      <c r="CI12" s="499"/>
      <c r="CJ12" s="499"/>
      <c r="CK12" s="499"/>
      <c r="CL12" s="499">
        <v>3</v>
      </c>
      <c r="CM12" s="499"/>
      <c r="CN12" s="499">
        <v>2</v>
      </c>
      <c r="CO12" s="499"/>
      <c r="CP12" s="499">
        <v>1</v>
      </c>
      <c r="CQ12" s="499"/>
      <c r="CR12" s="499">
        <v>16</v>
      </c>
      <c r="CS12" s="499"/>
      <c r="CT12" s="499">
        <v>15</v>
      </c>
      <c r="CU12" s="499"/>
      <c r="CV12" s="499">
        <v>14</v>
      </c>
      <c r="CW12" s="499"/>
      <c r="CX12" s="499"/>
      <c r="CY12" s="499"/>
      <c r="CZ12" s="499">
        <v>3</v>
      </c>
      <c r="DA12" s="499"/>
      <c r="DB12" s="499">
        <v>2</v>
      </c>
      <c r="DC12" s="499"/>
      <c r="DD12" s="499">
        <v>1</v>
      </c>
      <c r="DE12" s="499"/>
    </row>
    <row r="13" spans="2:159" x14ac:dyDescent="0.6">
      <c r="B13" s="2" t="s">
        <v>506</v>
      </c>
      <c r="D13" t="s">
        <v>507</v>
      </c>
      <c r="U13" s="1" t="s">
        <v>508</v>
      </c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73"/>
      <c r="CE13" s="274"/>
      <c r="CF13" s="273"/>
      <c r="CG13" s="274"/>
      <c r="CH13" s="273"/>
      <c r="CI13" s="274"/>
      <c r="CJ13" s="24"/>
      <c r="CK13" s="271"/>
      <c r="CL13" s="273"/>
      <c r="CM13" s="274"/>
      <c r="CN13" s="273"/>
      <c r="CO13" s="274"/>
      <c r="CP13" s="273"/>
      <c r="CQ13" s="274"/>
      <c r="CR13" s="273"/>
      <c r="CS13" s="274"/>
      <c r="CT13" s="273"/>
      <c r="CU13" s="274"/>
      <c r="CV13" s="273"/>
      <c r="CW13" s="274"/>
      <c r="CX13" s="24"/>
      <c r="CY13" s="271"/>
      <c r="CZ13" s="273"/>
      <c r="DA13" s="274"/>
      <c r="DB13" s="273"/>
      <c r="DC13" s="274"/>
      <c r="DD13" s="273"/>
      <c r="DE13" s="274"/>
      <c r="DF13" s="271"/>
      <c r="DG13" s="271"/>
      <c r="DH13" s="271"/>
      <c r="DI13" s="271"/>
      <c r="DJ13" s="271"/>
      <c r="DK13" s="271"/>
      <c r="DL13" s="271"/>
      <c r="DM13" s="271"/>
      <c r="DN13" s="271"/>
      <c r="DO13" s="271"/>
      <c r="DP13" s="271"/>
      <c r="DQ13" s="275"/>
      <c r="DR13" s="275"/>
      <c r="DS13" s="275"/>
      <c r="DT13" s="275"/>
      <c r="DU13" s="275"/>
      <c r="DV13" s="275"/>
      <c r="DW13" s="275"/>
      <c r="DX13" s="275"/>
      <c r="DY13" s="275"/>
      <c r="DZ13" s="275"/>
      <c r="EA13" s="275"/>
      <c r="EB13" s="275"/>
      <c r="EC13" s="275"/>
      <c r="ED13" s="275"/>
      <c r="EE13" s="275"/>
      <c r="EF13" s="275"/>
      <c r="EG13" s="275"/>
      <c r="EH13" s="275"/>
      <c r="EI13" s="275"/>
      <c r="EJ13" s="275"/>
      <c r="EK13" s="275"/>
      <c r="EL13" s="275"/>
      <c r="EM13" s="275"/>
      <c r="EN13" s="275"/>
      <c r="EO13" s="275"/>
      <c r="EP13" s="275"/>
      <c r="EQ13" s="275"/>
      <c r="ER13" s="275"/>
      <c r="ES13" s="275"/>
      <c r="ET13" s="275"/>
      <c r="EU13" s="275"/>
      <c r="EV13" s="275"/>
      <c r="EW13" s="275"/>
      <c r="EX13" s="275"/>
      <c r="EY13" s="275"/>
      <c r="EZ13" s="275"/>
      <c r="FA13" s="275"/>
      <c r="FB13" s="275"/>
      <c r="FC13" s="275"/>
    </row>
    <row r="14" spans="2:159" x14ac:dyDescent="0.6">
      <c r="B14" s="2"/>
      <c r="D14" t="s">
        <v>509</v>
      </c>
    </row>
    <row r="15" spans="2:159" x14ac:dyDescent="0.6">
      <c r="B15" s="2"/>
      <c r="D15" t="s">
        <v>507</v>
      </c>
      <c r="U15" s="1" t="s">
        <v>510</v>
      </c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496" t="s">
        <v>497</v>
      </c>
      <c r="CE15" s="497"/>
      <c r="CF15" s="497"/>
      <c r="CG15" s="497"/>
      <c r="CH15" s="497"/>
      <c r="CI15" s="497"/>
      <c r="CJ15" s="497"/>
      <c r="CK15" s="497"/>
      <c r="CL15" s="497"/>
      <c r="CM15" s="497"/>
      <c r="CN15" s="497"/>
      <c r="CO15" s="497"/>
      <c r="CP15" s="497"/>
      <c r="CQ15" s="498"/>
      <c r="CR15" s="496" t="s">
        <v>498</v>
      </c>
      <c r="CS15" s="497"/>
      <c r="CT15" s="497"/>
      <c r="CU15" s="497"/>
      <c r="CV15" s="497"/>
      <c r="CW15" s="497"/>
      <c r="CX15" s="497"/>
      <c r="CY15" s="497"/>
      <c r="CZ15" s="497"/>
      <c r="DA15" s="497"/>
      <c r="DB15" s="497"/>
      <c r="DC15" s="497"/>
      <c r="DD15" s="497"/>
      <c r="DE15" s="498"/>
      <c r="DF15" s="26"/>
      <c r="DG15" s="25"/>
      <c r="DH15" s="25"/>
      <c r="DI15" s="25"/>
      <c r="DJ15" s="25"/>
      <c r="DK15" s="25"/>
      <c r="DL15" s="25"/>
      <c r="DM15" s="25"/>
      <c r="DN15" s="25"/>
      <c r="DO15" s="25"/>
      <c r="DP15" s="25"/>
    </row>
    <row r="16" spans="2:159" x14ac:dyDescent="0.6">
      <c r="B16" s="2"/>
      <c r="D16" t="s">
        <v>511</v>
      </c>
    </row>
    <row r="18" spans="1:159" x14ac:dyDescent="0.6">
      <c r="U18" s="6" t="s">
        <v>512</v>
      </c>
    </row>
    <row r="19" spans="1:159" x14ac:dyDescent="0.6">
      <c r="U19" s="266" t="s">
        <v>482</v>
      </c>
      <c r="V19" s="28"/>
      <c r="W19" s="29"/>
      <c r="X19" s="26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DB19" s="25"/>
      <c r="DC19" s="25"/>
      <c r="DD19" s="25"/>
      <c r="DE19" s="25"/>
      <c r="DF19" s="25"/>
      <c r="DG19" s="21"/>
      <c r="DH19" s="27"/>
      <c r="DI19" s="28"/>
      <c r="DJ19" s="28"/>
      <c r="DK19" s="28"/>
      <c r="DL19" s="28"/>
      <c r="DM19" s="28"/>
      <c r="DN19" s="29"/>
      <c r="DO19" s="26"/>
      <c r="DP19" s="25"/>
    </row>
    <row r="20" spans="1:159" s="270" customFormat="1" x14ac:dyDescent="0.6">
      <c r="A20"/>
      <c r="C20" s="1"/>
      <c r="D20"/>
      <c r="G20"/>
      <c r="H20"/>
      <c r="I20"/>
      <c r="J20"/>
      <c r="K20"/>
      <c r="U20" s="1"/>
      <c r="V20"/>
      <c r="W20"/>
      <c r="X20" s="6"/>
      <c r="Y20" s="6"/>
      <c r="Z20" s="474">
        <v>16</v>
      </c>
      <c r="AA20" s="474"/>
      <c r="AB20" s="474">
        <v>15</v>
      </c>
      <c r="AC20" s="474"/>
      <c r="AD20" s="276"/>
      <c r="AE20" s="276"/>
      <c r="AF20" s="474">
        <v>1</v>
      </c>
      <c r="AG20" s="474"/>
      <c r="AH20" s="474">
        <v>16</v>
      </c>
      <c r="AI20" s="474"/>
      <c r="AJ20" s="474">
        <v>15</v>
      </c>
      <c r="AK20" s="474"/>
      <c r="AL20" s="276"/>
      <c r="AM20" s="276"/>
      <c r="AN20" s="474">
        <v>1</v>
      </c>
      <c r="AO20" s="474"/>
      <c r="AP20" s="474">
        <v>16</v>
      </c>
      <c r="AQ20" s="474"/>
      <c r="AR20" s="474">
        <v>15</v>
      </c>
      <c r="AS20" s="474"/>
      <c r="AT20" s="276"/>
      <c r="AU20" s="276"/>
      <c r="AV20" s="474">
        <v>1</v>
      </c>
      <c r="AW20" s="474"/>
      <c r="AX20" s="474">
        <v>16</v>
      </c>
      <c r="AY20" s="474"/>
      <c r="AZ20" s="474">
        <v>15</v>
      </c>
      <c r="BA20" s="474"/>
      <c r="BB20" s="276"/>
      <c r="BC20" s="276"/>
      <c r="BD20" s="474">
        <v>1</v>
      </c>
      <c r="BE20" s="474"/>
      <c r="BF20" s="474">
        <v>16</v>
      </c>
      <c r="BG20" s="474"/>
      <c r="BH20" s="474">
        <v>15</v>
      </c>
      <c r="BI20" s="474"/>
      <c r="BJ20" s="276"/>
      <c r="BK20" s="276"/>
      <c r="BL20" s="474">
        <v>1</v>
      </c>
      <c r="BM20" s="474"/>
      <c r="BN20" s="474">
        <v>16</v>
      </c>
      <c r="BO20" s="474"/>
      <c r="BP20" s="474">
        <v>15</v>
      </c>
      <c r="BQ20" s="474"/>
      <c r="BR20" s="276"/>
      <c r="BS20" s="276"/>
      <c r="BT20" s="474">
        <v>1</v>
      </c>
      <c r="BU20" s="474"/>
      <c r="BV20" s="474">
        <v>16</v>
      </c>
      <c r="BW20" s="474"/>
      <c r="BX20" s="474">
        <v>15</v>
      </c>
      <c r="BY20" s="474"/>
      <c r="BZ20" s="276"/>
      <c r="CA20" s="276"/>
      <c r="CB20" s="474">
        <v>1</v>
      </c>
      <c r="CC20" s="474"/>
      <c r="CD20" s="474">
        <v>16</v>
      </c>
      <c r="CE20" s="474"/>
      <c r="CF20" s="474">
        <v>15</v>
      </c>
      <c r="CG20" s="474"/>
      <c r="CH20" s="276"/>
      <c r="CI20" s="276"/>
      <c r="CJ20" s="474">
        <v>1</v>
      </c>
      <c r="CK20" s="474"/>
      <c r="CL20" s="474">
        <v>16</v>
      </c>
      <c r="CM20" s="474"/>
      <c r="CN20" s="474">
        <v>15</v>
      </c>
      <c r="CO20" s="474"/>
      <c r="CP20" s="276"/>
      <c r="CQ20" s="276"/>
      <c r="CR20" s="474">
        <v>1</v>
      </c>
      <c r="CS20" s="474"/>
      <c r="CT20" s="474">
        <v>16</v>
      </c>
      <c r="CU20" s="474"/>
      <c r="CV20" s="474">
        <v>15</v>
      </c>
      <c r="CW20" s="474"/>
      <c r="CX20" s="276"/>
      <c r="CY20" s="276"/>
      <c r="CZ20" s="474">
        <v>1</v>
      </c>
      <c r="DA20" s="474"/>
      <c r="DB20" s="276"/>
      <c r="DC20" s="276"/>
      <c r="DD20" s="276"/>
      <c r="DE20" s="276"/>
      <c r="DF20" s="276"/>
      <c r="DG20" s="276"/>
      <c r="DH20" s="267"/>
      <c r="DI20" s="267"/>
      <c r="DJ20" s="267"/>
      <c r="DK20" s="267"/>
      <c r="DL20" s="267"/>
      <c r="DO20" s="276"/>
      <c r="DP20" s="276"/>
      <c r="DQ20" s="277"/>
      <c r="DR20" s="277"/>
      <c r="DS20" s="277"/>
      <c r="DT20" s="277"/>
      <c r="DU20" s="277"/>
      <c r="DV20" s="277"/>
      <c r="DW20" s="277"/>
      <c r="DX20" s="277"/>
      <c r="DY20" s="277"/>
      <c r="DZ20" s="277"/>
      <c r="EA20" s="277"/>
      <c r="EB20" s="277"/>
      <c r="EC20" s="277"/>
      <c r="ED20" s="277"/>
      <c r="EE20" s="277"/>
      <c r="EF20" s="277"/>
      <c r="EG20" s="277"/>
      <c r="EH20" s="277"/>
      <c r="EI20" s="277"/>
      <c r="EJ20" s="277"/>
      <c r="EK20" s="277"/>
      <c r="EL20" s="277"/>
      <c r="EM20" s="277"/>
      <c r="EN20" s="277"/>
      <c r="EO20" s="277"/>
      <c r="EP20" s="277"/>
      <c r="EQ20" s="277"/>
      <c r="ER20" s="277"/>
      <c r="ES20" s="277"/>
      <c r="ET20" s="277"/>
      <c r="EU20" s="277"/>
      <c r="EV20" s="277"/>
      <c r="EW20" s="277"/>
      <c r="EX20" s="277"/>
      <c r="EY20" s="277"/>
      <c r="EZ20" s="277"/>
      <c r="FA20" s="277"/>
      <c r="FB20" s="277"/>
      <c r="FC20" s="277"/>
    </row>
    <row r="21" spans="1:159" x14ac:dyDescent="0.6">
      <c r="U21" s="1" t="s">
        <v>487</v>
      </c>
      <c r="V21" s="271"/>
      <c r="W21" s="271"/>
      <c r="X21" s="271"/>
      <c r="Y21" s="272"/>
      <c r="Z21" s="273"/>
      <c r="AA21" s="274"/>
      <c r="AB21" s="273"/>
      <c r="AC21" s="274"/>
      <c r="AD21" s="278"/>
      <c r="AE21" s="271"/>
      <c r="AF21" s="273"/>
      <c r="AG21" s="274"/>
      <c r="AH21" s="273"/>
      <c r="AI21" s="274"/>
      <c r="AJ21" s="273"/>
      <c r="AK21" s="274"/>
      <c r="AL21" s="278"/>
      <c r="AM21" s="271"/>
      <c r="AN21" s="273"/>
      <c r="AO21" s="274"/>
      <c r="AP21" s="273"/>
      <c r="AQ21" s="274"/>
      <c r="AR21" s="273"/>
      <c r="AS21" s="274"/>
      <c r="AT21" s="278"/>
      <c r="AU21" s="271"/>
      <c r="AV21" s="273"/>
      <c r="AW21" s="274"/>
      <c r="AX21" s="273"/>
      <c r="AY21" s="274"/>
      <c r="AZ21" s="273"/>
      <c r="BA21" s="274"/>
      <c r="BB21" s="278"/>
      <c r="BC21" s="271"/>
      <c r="BD21" s="273"/>
      <c r="BE21" s="274"/>
      <c r="BF21" s="273"/>
      <c r="BG21" s="274"/>
      <c r="BH21" s="273"/>
      <c r="BI21" s="274"/>
      <c r="BJ21" s="278"/>
      <c r="BK21" s="271"/>
      <c r="BL21" s="273"/>
      <c r="BM21" s="274"/>
      <c r="BN21" s="273"/>
      <c r="BO21" s="274"/>
      <c r="BP21" s="273"/>
      <c r="BQ21" s="274"/>
      <c r="BR21" s="278"/>
      <c r="BS21" s="271"/>
      <c r="BT21" s="273"/>
      <c r="BU21" s="274"/>
      <c r="BV21" s="273"/>
      <c r="BW21" s="274"/>
      <c r="BX21" s="273"/>
      <c r="BY21" s="274"/>
      <c r="BZ21" s="278"/>
      <c r="CA21" s="271"/>
      <c r="CB21" s="273"/>
      <c r="CC21" s="274"/>
      <c r="CD21" s="273"/>
      <c r="CE21" s="274"/>
      <c r="CF21" s="273"/>
      <c r="CG21" s="274"/>
      <c r="CH21" s="278"/>
      <c r="CI21" s="271"/>
      <c r="CJ21" s="273"/>
      <c r="CK21" s="274"/>
      <c r="CL21" s="273"/>
      <c r="CM21" s="274"/>
      <c r="CN21" s="273"/>
      <c r="CO21" s="274"/>
      <c r="CP21" s="278"/>
      <c r="CQ21" s="271"/>
      <c r="CR21" s="273"/>
      <c r="CS21" s="274"/>
      <c r="CT21" s="273"/>
      <c r="CU21" s="274"/>
      <c r="CV21" s="273"/>
      <c r="CW21" s="274"/>
      <c r="CX21" s="278"/>
      <c r="CY21" s="271"/>
      <c r="CZ21" s="273"/>
      <c r="DA21" s="274"/>
      <c r="DB21" s="271"/>
      <c r="DC21" s="271"/>
      <c r="DD21" s="271"/>
      <c r="DE21" s="271"/>
      <c r="DF21" s="271"/>
      <c r="DG21" s="271"/>
      <c r="DH21" s="271"/>
      <c r="DI21" s="271"/>
      <c r="DJ21" s="271"/>
      <c r="DK21" s="271"/>
      <c r="DL21" s="271"/>
      <c r="DM21" s="271"/>
      <c r="DN21" s="271"/>
      <c r="DO21" s="271"/>
      <c r="DP21" s="271"/>
      <c r="DQ21" s="275"/>
      <c r="DR21" s="275"/>
      <c r="DS21" s="275"/>
      <c r="DT21" s="275"/>
      <c r="DU21" s="275"/>
      <c r="DV21" s="275"/>
      <c r="DW21" s="275"/>
      <c r="DX21" s="275"/>
      <c r="DY21" s="275"/>
      <c r="DZ21" s="275"/>
      <c r="EA21" s="275"/>
      <c r="EB21" s="275"/>
      <c r="EC21" s="275"/>
      <c r="ED21" s="275"/>
      <c r="EE21" s="275"/>
      <c r="EF21" s="275"/>
      <c r="EG21" s="275"/>
      <c r="EH21" s="275"/>
      <c r="EI21" s="275"/>
      <c r="EJ21" s="275"/>
      <c r="EK21" s="275"/>
      <c r="EL21" s="275"/>
      <c r="EM21" s="275"/>
      <c r="EN21" s="275"/>
      <c r="EO21" s="275"/>
      <c r="EP21" s="275"/>
      <c r="EQ21" s="275"/>
      <c r="ER21" s="275"/>
      <c r="ES21" s="275"/>
      <c r="ET21" s="275"/>
      <c r="EU21" s="275"/>
      <c r="EV21" s="275"/>
      <c r="EW21" s="275"/>
      <c r="EX21" s="275"/>
      <c r="EY21" s="275"/>
      <c r="EZ21" s="275"/>
      <c r="FA21" s="275"/>
      <c r="FB21" s="275"/>
      <c r="FC21" s="275"/>
    </row>
    <row r="22" spans="1:159" x14ac:dyDescent="0.5">
      <c r="AD22" s="278"/>
      <c r="AH22" s="489" t="s">
        <v>513</v>
      </c>
      <c r="AI22" s="489"/>
      <c r="AJ22" s="489"/>
      <c r="AK22" s="489"/>
      <c r="AL22" s="489"/>
      <c r="AM22" s="489"/>
      <c r="AN22" s="489"/>
      <c r="AO22" s="489"/>
    </row>
    <row r="23" spans="1:159" x14ac:dyDescent="0.6">
      <c r="U23" s="1" t="s">
        <v>492</v>
      </c>
      <c r="V23" s="25"/>
      <c r="W23" s="25"/>
      <c r="X23" s="25"/>
      <c r="Y23" s="25"/>
      <c r="Z23" s="483" t="s">
        <v>514</v>
      </c>
      <c r="AA23" s="484"/>
      <c r="AB23" s="484"/>
      <c r="AC23" s="484"/>
      <c r="AD23" s="484"/>
      <c r="AE23" s="484"/>
      <c r="AF23" s="484"/>
      <c r="AG23" s="485"/>
      <c r="AH23" s="483" t="s">
        <v>515</v>
      </c>
      <c r="AI23" s="484"/>
      <c r="AJ23" s="484"/>
      <c r="AK23" s="484"/>
      <c r="AL23" s="484"/>
      <c r="AM23" s="484"/>
      <c r="AN23" s="484"/>
      <c r="AO23" s="485"/>
      <c r="AP23" s="479" t="s">
        <v>516</v>
      </c>
      <c r="AQ23" s="480"/>
      <c r="AR23" s="480"/>
      <c r="AS23" s="480"/>
      <c r="AT23" s="480"/>
      <c r="AU23" s="480"/>
      <c r="AV23" s="480"/>
      <c r="AW23" s="481"/>
      <c r="AX23" s="479" t="s">
        <v>517</v>
      </c>
      <c r="AY23" s="480"/>
      <c r="AZ23" s="480"/>
      <c r="BA23" s="480"/>
      <c r="BB23" s="480"/>
      <c r="BC23" s="480"/>
      <c r="BD23" s="480"/>
      <c r="BE23" s="481"/>
      <c r="BF23" s="479" t="s">
        <v>518</v>
      </c>
      <c r="BG23" s="480"/>
      <c r="BH23" s="480"/>
      <c r="BI23" s="480"/>
      <c r="BJ23" s="480"/>
      <c r="BK23" s="480"/>
      <c r="BL23" s="480"/>
      <c r="BM23" s="481"/>
      <c r="BN23" s="479" t="s">
        <v>519</v>
      </c>
      <c r="BO23" s="480"/>
      <c r="BP23" s="480"/>
      <c r="BQ23" s="480"/>
      <c r="BR23" s="480"/>
      <c r="BS23" s="480"/>
      <c r="BT23" s="480"/>
      <c r="BU23" s="481"/>
      <c r="BV23" s="479" t="s">
        <v>520</v>
      </c>
      <c r="BW23" s="480"/>
      <c r="BX23" s="480"/>
      <c r="BY23" s="480"/>
      <c r="BZ23" s="480"/>
      <c r="CA23" s="480"/>
      <c r="CB23" s="480"/>
      <c r="CC23" s="481"/>
      <c r="CD23" s="476" t="s">
        <v>521</v>
      </c>
      <c r="CE23" s="477"/>
      <c r="CF23" s="477"/>
      <c r="CG23" s="477"/>
      <c r="CH23" s="477"/>
      <c r="CI23" s="477"/>
      <c r="CJ23" s="477"/>
      <c r="CK23" s="478"/>
      <c r="CL23" s="476" t="s">
        <v>522</v>
      </c>
      <c r="CM23" s="477"/>
      <c r="CN23" s="477"/>
      <c r="CO23" s="477"/>
      <c r="CP23" s="477"/>
      <c r="CQ23" s="477"/>
      <c r="CR23" s="477"/>
      <c r="CS23" s="478"/>
      <c r="CT23" s="476" t="s">
        <v>523</v>
      </c>
      <c r="CU23" s="477"/>
      <c r="CV23" s="477"/>
      <c r="CW23" s="477"/>
      <c r="CX23" s="477"/>
      <c r="CY23" s="477"/>
      <c r="CZ23" s="477"/>
      <c r="DA23" s="478"/>
      <c r="DB23" s="271"/>
      <c r="DC23" s="271"/>
      <c r="DD23" s="271"/>
      <c r="DE23" s="271"/>
      <c r="DF23" s="271"/>
      <c r="DG23" s="271"/>
      <c r="DH23" s="271"/>
      <c r="DI23" s="271"/>
      <c r="DJ23" s="271"/>
      <c r="DK23" s="271"/>
      <c r="DL23" s="271"/>
      <c r="DM23" s="271"/>
      <c r="DN23" s="271"/>
      <c r="DO23" s="271"/>
      <c r="DP23" s="271"/>
      <c r="DQ23" s="275"/>
      <c r="DR23" s="275"/>
      <c r="DS23" s="275"/>
      <c r="DT23" s="275"/>
      <c r="DU23" s="275"/>
      <c r="DV23" s="275"/>
      <c r="DW23" s="275"/>
      <c r="DX23" s="275"/>
      <c r="DY23" s="275"/>
      <c r="DZ23" s="275"/>
      <c r="EA23" s="275"/>
      <c r="EB23" s="275"/>
      <c r="EC23" s="275"/>
      <c r="ED23" s="275"/>
      <c r="EE23" s="275"/>
      <c r="EF23" s="275"/>
      <c r="EG23" s="275"/>
      <c r="EH23" s="275"/>
      <c r="EI23" s="275"/>
      <c r="EJ23" s="275"/>
      <c r="EK23" s="275"/>
      <c r="EL23" s="275"/>
      <c r="EM23" s="275"/>
      <c r="EN23" s="275"/>
      <c r="EO23" s="275"/>
      <c r="EP23" s="275"/>
      <c r="EQ23" s="275"/>
      <c r="ER23" s="275"/>
      <c r="ES23" s="275"/>
      <c r="ET23" s="275"/>
      <c r="EU23" s="275"/>
      <c r="EV23" s="275"/>
      <c r="EW23" s="275"/>
      <c r="EX23" s="275"/>
      <c r="EY23" s="275"/>
      <c r="EZ23" s="275"/>
      <c r="FA23" s="275"/>
      <c r="FB23" s="275"/>
      <c r="FC23" s="275"/>
    </row>
    <row r="24" spans="1:159" x14ac:dyDescent="0.3">
      <c r="AP24" s="474">
        <v>16</v>
      </c>
      <c r="AQ24" s="474"/>
      <c r="AR24" s="474">
        <v>15</v>
      </c>
      <c r="AS24" s="474"/>
      <c r="AT24" s="276"/>
      <c r="AU24" s="276"/>
      <c r="AV24" s="474">
        <v>1</v>
      </c>
      <c r="AW24" s="474"/>
      <c r="AX24" s="474">
        <v>16</v>
      </c>
      <c r="AY24" s="474"/>
      <c r="AZ24" s="474">
        <v>15</v>
      </c>
      <c r="BA24" s="474"/>
      <c r="BB24" s="276"/>
      <c r="BC24" s="276"/>
      <c r="BD24" s="474">
        <v>1</v>
      </c>
      <c r="BE24" s="474"/>
      <c r="BF24" s="474">
        <v>16</v>
      </c>
      <c r="BG24" s="474"/>
      <c r="BH24" s="474">
        <v>15</v>
      </c>
      <c r="BI24" s="474"/>
      <c r="BJ24" s="276"/>
      <c r="BK24" s="276"/>
      <c r="BL24" s="474">
        <v>1</v>
      </c>
      <c r="BM24" s="474"/>
      <c r="BN24" s="474">
        <v>16</v>
      </c>
      <c r="BO24" s="474"/>
      <c r="BP24" s="474">
        <v>15</v>
      </c>
      <c r="BQ24" s="474"/>
      <c r="BR24" s="276"/>
      <c r="BS24" s="276"/>
      <c r="BT24" s="474">
        <v>1</v>
      </c>
      <c r="BU24" s="474"/>
      <c r="BV24" s="474">
        <v>16</v>
      </c>
      <c r="BW24" s="474"/>
      <c r="BX24" s="474">
        <v>15</v>
      </c>
      <c r="BY24" s="474"/>
      <c r="BZ24" s="276"/>
      <c r="CA24" s="276"/>
      <c r="CB24" s="474">
        <v>1</v>
      </c>
      <c r="CC24" s="474"/>
      <c r="CD24" s="474">
        <v>16</v>
      </c>
      <c r="CE24" s="474"/>
      <c r="CF24" s="474">
        <v>15</v>
      </c>
      <c r="CG24" s="474"/>
      <c r="CH24" s="276"/>
      <c r="CI24" s="276"/>
      <c r="CJ24" s="474">
        <v>1</v>
      </c>
      <c r="CK24" s="474"/>
      <c r="CL24" s="474">
        <v>16</v>
      </c>
      <c r="CM24" s="474"/>
      <c r="CN24" s="474">
        <v>15</v>
      </c>
      <c r="CO24" s="474"/>
      <c r="CP24" s="276"/>
      <c r="CQ24" s="276"/>
      <c r="CR24" s="474">
        <v>1</v>
      </c>
      <c r="CS24" s="474"/>
      <c r="CT24" s="474">
        <v>16</v>
      </c>
      <c r="CU24" s="474"/>
      <c r="CV24" s="474">
        <v>15</v>
      </c>
      <c r="CW24" s="474"/>
      <c r="CX24" s="276"/>
      <c r="CY24" s="276"/>
      <c r="CZ24" s="474">
        <v>1</v>
      </c>
      <c r="DA24" s="474"/>
    </row>
    <row r="25" spans="1:159" x14ac:dyDescent="0.6">
      <c r="U25" s="1" t="s">
        <v>502</v>
      </c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73"/>
      <c r="AQ25" s="274"/>
      <c r="AR25" s="273"/>
      <c r="AS25" s="274"/>
      <c r="AT25" s="278"/>
      <c r="AU25" s="271"/>
      <c r="AV25" s="273"/>
      <c r="AW25" s="274"/>
      <c r="AX25" s="273"/>
      <c r="AY25" s="274"/>
      <c r="AZ25" s="273"/>
      <c r="BA25" s="274"/>
      <c r="BB25" s="278"/>
      <c r="BC25" s="271"/>
      <c r="BD25" s="273"/>
      <c r="BE25" s="274"/>
      <c r="BF25" s="273"/>
      <c r="BG25" s="274"/>
      <c r="BH25" s="273"/>
      <c r="BI25" s="274"/>
      <c r="BJ25" s="278"/>
      <c r="BK25" s="271"/>
      <c r="BL25" s="273"/>
      <c r="BM25" s="274"/>
      <c r="BN25" s="273"/>
      <c r="BO25" s="274"/>
      <c r="BP25" s="273"/>
      <c r="BQ25" s="274"/>
      <c r="BR25" s="278"/>
      <c r="BS25" s="271"/>
      <c r="BT25" s="273"/>
      <c r="BU25" s="274"/>
      <c r="BV25" s="273"/>
      <c r="BW25" s="274"/>
      <c r="BX25" s="273"/>
      <c r="BY25" s="274"/>
      <c r="BZ25" s="278"/>
      <c r="CA25" s="271"/>
      <c r="CB25" s="273"/>
      <c r="CC25" s="274"/>
      <c r="CD25" s="273"/>
      <c r="CE25" s="274"/>
      <c r="CF25" s="273"/>
      <c r="CG25" s="274"/>
      <c r="CH25" s="278"/>
      <c r="CI25" s="271"/>
      <c r="CJ25" s="273"/>
      <c r="CK25" s="274"/>
      <c r="CL25" s="273"/>
      <c r="CM25" s="274"/>
      <c r="CN25" s="273"/>
      <c r="CO25" s="274"/>
      <c r="CP25" s="278"/>
      <c r="CQ25" s="271"/>
      <c r="CR25" s="273"/>
      <c r="CS25" s="274"/>
      <c r="CT25" s="273"/>
      <c r="CU25" s="274"/>
      <c r="CV25" s="273"/>
      <c r="CW25" s="274"/>
      <c r="CX25" s="278"/>
      <c r="CY25" s="271"/>
      <c r="CZ25" s="273"/>
      <c r="DA25" s="274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</row>
    <row r="26" spans="1:159" x14ac:dyDescent="0.5">
      <c r="AX26" s="489" t="s">
        <v>524</v>
      </c>
      <c r="AY26" s="489"/>
      <c r="AZ26" s="489"/>
      <c r="BA26" s="489"/>
      <c r="BB26" s="489"/>
      <c r="BC26" s="489"/>
      <c r="BD26" s="489"/>
      <c r="BE26" s="489"/>
      <c r="BF26" s="489" t="s">
        <v>525</v>
      </c>
      <c r="BG26" s="489"/>
      <c r="BH26" s="489"/>
      <c r="BI26" s="489"/>
      <c r="BJ26" s="489"/>
      <c r="BK26" s="489"/>
      <c r="BL26" s="489"/>
      <c r="BM26" s="489"/>
      <c r="BN26" s="489" t="s">
        <v>526</v>
      </c>
      <c r="BO26" s="489"/>
      <c r="BP26" s="489"/>
      <c r="BQ26" s="489"/>
      <c r="BR26" s="489"/>
      <c r="BS26" s="489"/>
      <c r="BT26" s="489"/>
      <c r="BU26" s="489"/>
      <c r="BV26" s="489" t="s">
        <v>527</v>
      </c>
      <c r="BW26" s="489"/>
      <c r="BX26" s="489"/>
      <c r="BY26" s="489"/>
      <c r="BZ26" s="489"/>
      <c r="CA26" s="489"/>
      <c r="CB26" s="489"/>
      <c r="CC26" s="489"/>
    </row>
    <row r="27" spans="1:159" x14ac:dyDescent="0.6">
      <c r="U27" s="1" t="s">
        <v>504</v>
      </c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479" t="s">
        <v>516</v>
      </c>
      <c r="AQ27" s="480"/>
      <c r="AR27" s="480"/>
      <c r="AS27" s="480"/>
      <c r="AT27" s="480"/>
      <c r="AU27" s="480"/>
      <c r="AV27" s="480"/>
      <c r="AW27" s="481"/>
      <c r="AX27" s="479" t="s">
        <v>517</v>
      </c>
      <c r="AY27" s="480"/>
      <c r="AZ27" s="480"/>
      <c r="BA27" s="480"/>
      <c r="BB27" s="480"/>
      <c r="BC27" s="480"/>
      <c r="BD27" s="480"/>
      <c r="BE27" s="481"/>
      <c r="BF27" s="479" t="s">
        <v>518</v>
      </c>
      <c r="BG27" s="480"/>
      <c r="BH27" s="480"/>
      <c r="BI27" s="480"/>
      <c r="BJ27" s="480"/>
      <c r="BK27" s="480"/>
      <c r="BL27" s="480"/>
      <c r="BM27" s="481"/>
      <c r="BN27" s="479" t="s">
        <v>519</v>
      </c>
      <c r="BO27" s="480"/>
      <c r="BP27" s="480"/>
      <c r="BQ27" s="480"/>
      <c r="BR27" s="480"/>
      <c r="BS27" s="480"/>
      <c r="BT27" s="480"/>
      <c r="BU27" s="481"/>
      <c r="BV27" s="479" t="s">
        <v>520</v>
      </c>
      <c r="BW27" s="480"/>
      <c r="BX27" s="480"/>
      <c r="BY27" s="480"/>
      <c r="BZ27" s="480"/>
      <c r="CA27" s="480"/>
      <c r="CB27" s="480"/>
      <c r="CC27" s="481"/>
      <c r="CD27" s="476" t="s">
        <v>521</v>
      </c>
      <c r="CE27" s="477"/>
      <c r="CF27" s="477"/>
      <c r="CG27" s="477"/>
      <c r="CH27" s="477"/>
      <c r="CI27" s="477"/>
      <c r="CJ27" s="477"/>
      <c r="CK27" s="478"/>
      <c r="CL27" s="476" t="s">
        <v>522</v>
      </c>
      <c r="CM27" s="477"/>
      <c r="CN27" s="477"/>
      <c r="CO27" s="477"/>
      <c r="CP27" s="477"/>
      <c r="CQ27" s="477"/>
      <c r="CR27" s="477"/>
      <c r="CS27" s="478"/>
      <c r="CT27" s="476" t="s">
        <v>523</v>
      </c>
      <c r="CU27" s="477"/>
      <c r="CV27" s="477"/>
      <c r="CW27" s="477"/>
      <c r="CX27" s="477"/>
      <c r="CY27" s="477"/>
      <c r="CZ27" s="477"/>
      <c r="DA27" s="478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</row>
    <row r="28" spans="1:159" x14ac:dyDescent="0.3">
      <c r="CD28" s="474">
        <v>16</v>
      </c>
      <c r="CE28" s="474"/>
      <c r="CF28" s="474">
        <v>15</v>
      </c>
      <c r="CG28" s="474"/>
      <c r="CH28" s="276"/>
      <c r="CI28" s="276"/>
      <c r="CJ28" s="474">
        <v>1</v>
      </c>
      <c r="CK28" s="474"/>
      <c r="CL28" s="474">
        <v>16</v>
      </c>
      <c r="CM28" s="474"/>
      <c r="CN28" s="474">
        <v>15</v>
      </c>
      <c r="CO28" s="474"/>
      <c r="CP28" s="276"/>
      <c r="CQ28" s="276"/>
      <c r="CR28" s="474">
        <v>1</v>
      </c>
      <c r="CS28" s="474"/>
      <c r="CT28" s="474">
        <v>16</v>
      </c>
      <c r="CU28" s="474"/>
      <c r="CV28" s="474">
        <v>15</v>
      </c>
      <c r="CW28" s="474"/>
      <c r="CX28" s="276"/>
      <c r="CY28" s="276"/>
      <c r="CZ28" s="474">
        <v>1</v>
      </c>
      <c r="DA28" s="474"/>
    </row>
    <row r="29" spans="1:159" x14ac:dyDescent="0.6">
      <c r="U29" s="1" t="s">
        <v>508</v>
      </c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73"/>
      <c r="CE29" s="274"/>
      <c r="CF29" s="273"/>
      <c r="CG29" s="274"/>
      <c r="CH29" s="278"/>
      <c r="CI29" s="271"/>
      <c r="CJ29" s="273"/>
      <c r="CK29" s="274"/>
      <c r="CL29" s="273"/>
      <c r="CM29" s="274"/>
      <c r="CN29" s="273"/>
      <c r="CO29" s="274"/>
      <c r="CP29" s="278"/>
      <c r="CQ29" s="271"/>
      <c r="CR29" s="273"/>
      <c r="CS29" s="274"/>
      <c r="CT29" s="273"/>
      <c r="CU29" s="274"/>
      <c r="CV29" s="273"/>
      <c r="CW29" s="274"/>
      <c r="CX29" s="278"/>
      <c r="CY29" s="271"/>
      <c r="CZ29" s="273"/>
      <c r="DA29" s="274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</row>
    <row r="30" spans="1:159" x14ac:dyDescent="0.5">
      <c r="CL30" s="489" t="s">
        <v>528</v>
      </c>
      <c r="CM30" s="489"/>
      <c r="CN30" s="489"/>
      <c r="CO30" s="489"/>
      <c r="CP30" s="489"/>
      <c r="CQ30" s="489"/>
      <c r="CR30" s="489"/>
      <c r="CS30" s="489"/>
      <c r="CT30" s="489" t="s">
        <v>529</v>
      </c>
      <c r="CU30" s="489"/>
      <c r="CV30" s="489"/>
      <c r="CW30" s="489"/>
      <c r="CX30" s="489"/>
      <c r="CY30" s="489"/>
      <c r="CZ30" s="489"/>
      <c r="DA30" s="489"/>
    </row>
    <row r="31" spans="1:159" x14ac:dyDescent="0.6">
      <c r="U31" s="1" t="s">
        <v>510</v>
      </c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476" t="s">
        <v>521</v>
      </c>
      <c r="CE31" s="477"/>
      <c r="CF31" s="477"/>
      <c r="CG31" s="477"/>
      <c r="CH31" s="477"/>
      <c r="CI31" s="477"/>
      <c r="CJ31" s="477"/>
      <c r="CK31" s="478"/>
      <c r="CL31" s="476" t="s">
        <v>522</v>
      </c>
      <c r="CM31" s="477"/>
      <c r="CN31" s="477"/>
      <c r="CO31" s="477"/>
      <c r="CP31" s="477"/>
      <c r="CQ31" s="477"/>
      <c r="CR31" s="477"/>
      <c r="CS31" s="478"/>
      <c r="CT31" s="476" t="s">
        <v>523</v>
      </c>
      <c r="CU31" s="477"/>
      <c r="CV31" s="477"/>
      <c r="CW31" s="477"/>
      <c r="CX31" s="477"/>
      <c r="CY31" s="477"/>
      <c r="CZ31" s="477"/>
      <c r="DA31" s="478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</row>
    <row r="34" spans="21:159" x14ac:dyDescent="0.6">
      <c r="U34" s="6" t="s">
        <v>530</v>
      </c>
    </row>
    <row r="35" spans="21:159" x14ac:dyDescent="0.6">
      <c r="U35" s="266" t="s">
        <v>482</v>
      </c>
      <c r="V35" s="28"/>
      <c r="W35" s="29"/>
      <c r="X35" s="26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5"/>
      <c r="DB35" s="25"/>
      <c r="DC35" s="25"/>
      <c r="DD35" s="25"/>
      <c r="DE35" s="25"/>
      <c r="DF35" s="25"/>
      <c r="DG35" s="21"/>
      <c r="DH35" s="27"/>
      <c r="DI35" s="28"/>
      <c r="DJ35" s="28"/>
      <c r="DK35" s="28"/>
      <c r="DL35" s="28"/>
      <c r="DM35" s="28"/>
      <c r="DN35" s="29"/>
      <c r="DO35" s="26"/>
      <c r="DP35" s="25"/>
    </row>
    <row r="36" spans="21:159" x14ac:dyDescent="0.6">
      <c r="X36" s="267"/>
      <c r="Y36" s="267"/>
      <c r="Z36" s="474">
        <v>16</v>
      </c>
      <c r="AA36" s="474"/>
      <c r="AB36" s="474">
        <v>15</v>
      </c>
      <c r="AC36" s="474"/>
      <c r="AD36" s="474">
        <v>14</v>
      </c>
      <c r="AE36" s="474"/>
      <c r="AF36" s="474"/>
      <c r="AG36" s="474"/>
      <c r="AH36" s="474">
        <v>3</v>
      </c>
      <c r="AI36" s="474"/>
      <c r="AJ36" s="474">
        <v>2</v>
      </c>
      <c r="AK36" s="474"/>
      <c r="AL36" s="474">
        <v>1</v>
      </c>
      <c r="AM36" s="474"/>
      <c r="AN36" s="474">
        <v>16</v>
      </c>
      <c r="AO36" s="474"/>
      <c r="AP36" s="474">
        <v>15</v>
      </c>
      <c r="AQ36" s="474"/>
      <c r="AR36" s="474">
        <v>14</v>
      </c>
      <c r="AS36" s="474"/>
      <c r="AT36" s="474"/>
      <c r="AU36" s="474"/>
      <c r="AV36" s="474">
        <v>3</v>
      </c>
      <c r="AW36" s="474"/>
      <c r="AX36" s="474">
        <v>2</v>
      </c>
      <c r="AY36" s="474"/>
      <c r="AZ36" s="474">
        <v>1</v>
      </c>
      <c r="BA36" s="474"/>
      <c r="BB36" s="474">
        <v>16</v>
      </c>
      <c r="BC36" s="474"/>
      <c r="BD36" s="474">
        <v>15</v>
      </c>
      <c r="BE36" s="474"/>
      <c r="BF36" s="474">
        <v>14</v>
      </c>
      <c r="BG36" s="474"/>
      <c r="BH36" s="474"/>
      <c r="BI36" s="474"/>
      <c r="BJ36" s="474">
        <v>3</v>
      </c>
      <c r="BK36" s="474"/>
      <c r="BL36" s="474">
        <v>2</v>
      </c>
      <c r="BM36" s="474"/>
      <c r="BN36" s="474">
        <v>1</v>
      </c>
      <c r="BO36" s="474"/>
      <c r="BP36" s="474">
        <v>16</v>
      </c>
      <c r="BQ36" s="474"/>
      <c r="BR36" s="474">
        <v>15</v>
      </c>
      <c r="BS36" s="474"/>
      <c r="BT36" s="474">
        <v>14</v>
      </c>
      <c r="BU36" s="474"/>
      <c r="BV36" s="474"/>
      <c r="BW36" s="474"/>
      <c r="BX36" s="474">
        <v>3</v>
      </c>
      <c r="BY36" s="474"/>
      <c r="BZ36" s="474">
        <v>2</v>
      </c>
      <c r="CA36" s="474"/>
      <c r="CB36" s="474">
        <v>1</v>
      </c>
      <c r="CC36" s="474"/>
      <c r="CD36" s="474">
        <v>16</v>
      </c>
      <c r="CE36" s="474"/>
      <c r="CF36" s="474">
        <v>15</v>
      </c>
      <c r="CG36" s="474"/>
      <c r="CH36" s="474">
        <v>14</v>
      </c>
      <c r="CI36" s="474"/>
      <c r="CJ36" s="474"/>
      <c r="CK36" s="474"/>
      <c r="CL36" s="474">
        <v>3</v>
      </c>
      <c r="CM36" s="474"/>
      <c r="CN36" s="474">
        <v>2</v>
      </c>
      <c r="CO36" s="474"/>
      <c r="CP36" s="474">
        <v>1</v>
      </c>
      <c r="CQ36" s="474"/>
      <c r="CR36" s="474">
        <v>16</v>
      </c>
      <c r="CS36" s="474"/>
      <c r="CT36" s="474">
        <v>15</v>
      </c>
      <c r="CU36" s="474"/>
      <c r="CV36" s="474">
        <v>14</v>
      </c>
      <c r="CW36" s="474"/>
      <c r="CX36" s="474"/>
      <c r="CY36" s="474"/>
      <c r="CZ36" s="474">
        <v>3</v>
      </c>
      <c r="DA36" s="474"/>
      <c r="DB36" s="475">
        <v>2</v>
      </c>
      <c r="DC36" s="475"/>
      <c r="DD36" s="475">
        <v>1</v>
      </c>
      <c r="DE36" s="475"/>
      <c r="DF36" s="269"/>
      <c r="DG36" s="269"/>
      <c r="DH36" s="267"/>
      <c r="DI36" s="267"/>
      <c r="DJ36" s="267"/>
      <c r="DK36" s="267"/>
      <c r="DL36" s="267"/>
      <c r="DM36" s="270"/>
      <c r="DN36" s="270"/>
      <c r="DO36" s="270"/>
      <c r="DP36" s="270"/>
      <c r="DQ36" s="270"/>
      <c r="DR36" s="270"/>
      <c r="DS36" s="270"/>
      <c r="DT36" s="270"/>
      <c r="DU36" s="270"/>
      <c r="DV36" s="270"/>
      <c r="DW36" s="270"/>
      <c r="DX36" s="270"/>
      <c r="DY36" s="270"/>
      <c r="DZ36" s="270"/>
      <c r="EA36" s="270"/>
      <c r="EB36" s="270"/>
      <c r="EC36" s="270"/>
      <c r="ED36" s="270"/>
      <c r="EE36" s="270"/>
      <c r="EF36" s="270"/>
      <c r="EG36" s="270"/>
      <c r="EH36" s="270"/>
      <c r="EI36" s="270"/>
      <c r="EJ36" s="270"/>
      <c r="EK36" s="270"/>
      <c r="EL36" s="270"/>
      <c r="EM36" s="270"/>
      <c r="EN36" s="270"/>
      <c r="EO36" s="270"/>
      <c r="EP36" s="270"/>
      <c r="EQ36" s="270"/>
      <c r="ER36" s="270"/>
      <c r="ES36" s="270"/>
      <c r="ET36" s="270"/>
      <c r="EU36" s="270"/>
      <c r="EV36" s="270"/>
      <c r="EW36" s="270"/>
      <c r="EX36" s="270"/>
      <c r="EY36" s="270"/>
      <c r="EZ36" s="270"/>
      <c r="FA36" s="270"/>
      <c r="FB36" s="270"/>
      <c r="FC36" s="270"/>
    </row>
    <row r="37" spans="21:159" x14ac:dyDescent="0.6">
      <c r="U37" s="1" t="s">
        <v>487</v>
      </c>
      <c r="V37" s="271"/>
      <c r="W37" s="271"/>
      <c r="X37" s="271"/>
      <c r="Y37" s="272"/>
      <c r="Z37" s="273"/>
      <c r="AA37" s="274"/>
      <c r="AB37" s="273"/>
      <c r="AC37" s="274"/>
      <c r="AD37" s="273"/>
      <c r="AE37" s="274"/>
      <c r="AF37" s="275"/>
      <c r="AG37" s="271"/>
      <c r="AH37" s="273"/>
      <c r="AI37" s="274"/>
      <c r="AJ37" s="273"/>
      <c r="AK37" s="274"/>
      <c r="AL37" s="273"/>
      <c r="AM37" s="274"/>
      <c r="AN37" s="273"/>
      <c r="AO37" s="274"/>
      <c r="AP37" s="273"/>
      <c r="AQ37" s="274"/>
      <c r="AR37" s="273"/>
      <c r="AS37" s="274"/>
      <c r="AT37" s="275"/>
      <c r="AU37" s="271"/>
      <c r="AV37" s="273"/>
      <c r="AW37" s="274"/>
      <c r="AX37" s="273"/>
      <c r="AY37" s="274"/>
      <c r="AZ37" s="273"/>
      <c r="BA37" s="274"/>
      <c r="BB37" s="273"/>
      <c r="BC37" s="274"/>
      <c r="BD37" s="273"/>
      <c r="BE37" s="274"/>
      <c r="BF37" s="273"/>
      <c r="BG37" s="274"/>
      <c r="BH37" s="275"/>
      <c r="BI37" s="271"/>
      <c r="BJ37" s="273"/>
      <c r="BK37" s="274"/>
      <c r="BL37" s="273"/>
      <c r="BM37" s="274"/>
      <c r="BN37" s="273"/>
      <c r="BO37" s="274"/>
      <c r="BP37" s="273"/>
      <c r="BQ37" s="274"/>
      <c r="BR37" s="273"/>
      <c r="BS37" s="274"/>
      <c r="BT37" s="273"/>
      <c r="BU37" s="274"/>
      <c r="BV37" s="275"/>
      <c r="BW37" s="271"/>
      <c r="BX37" s="273"/>
      <c r="BY37" s="274"/>
      <c r="BZ37" s="273"/>
      <c r="CA37" s="274"/>
      <c r="CB37" s="273"/>
      <c r="CC37" s="274"/>
      <c r="CD37" s="273"/>
      <c r="CE37" s="274"/>
      <c r="CF37" s="273"/>
      <c r="CG37" s="274"/>
      <c r="CH37" s="273"/>
      <c r="CI37" s="274"/>
      <c r="CJ37" s="275"/>
      <c r="CK37" s="271"/>
      <c r="CL37" s="273"/>
      <c r="CM37" s="274"/>
      <c r="CN37" s="273"/>
      <c r="CO37" s="274"/>
      <c r="CP37" s="273"/>
      <c r="CQ37" s="274"/>
      <c r="CR37" s="273"/>
      <c r="CS37" s="274"/>
      <c r="CT37" s="273"/>
      <c r="CU37" s="274"/>
      <c r="CV37" s="273"/>
      <c r="CW37" s="274"/>
      <c r="CX37" s="275"/>
      <c r="CY37" s="271"/>
      <c r="CZ37" s="273"/>
      <c r="DA37" s="274"/>
      <c r="DB37" s="273"/>
      <c r="DC37" s="274"/>
      <c r="DD37" s="273"/>
      <c r="DE37" s="274"/>
      <c r="DF37" s="271"/>
      <c r="DG37" s="271"/>
      <c r="DH37" s="271"/>
      <c r="DI37" s="271"/>
      <c r="DJ37" s="271"/>
      <c r="DK37" s="271"/>
      <c r="DL37" s="271"/>
      <c r="DM37" s="271"/>
      <c r="DN37" s="271"/>
      <c r="DO37" s="271"/>
      <c r="DP37" s="271"/>
      <c r="DQ37" s="275"/>
      <c r="DR37" s="275"/>
      <c r="DS37" s="275"/>
      <c r="DT37" s="275"/>
      <c r="DU37" s="275"/>
      <c r="DV37" s="275"/>
      <c r="DW37" s="275"/>
      <c r="DX37" s="275"/>
      <c r="DY37" s="275"/>
      <c r="DZ37" s="275"/>
      <c r="EA37" s="275"/>
      <c r="EB37" s="275"/>
      <c r="EC37" s="275"/>
      <c r="ED37" s="275"/>
      <c r="EE37" s="275"/>
      <c r="EF37" s="275"/>
      <c r="EG37" s="275"/>
      <c r="EH37" s="275"/>
      <c r="EI37" s="275"/>
      <c r="EJ37" s="275"/>
      <c r="EK37" s="275"/>
      <c r="EL37" s="275"/>
      <c r="EM37" s="275"/>
      <c r="EN37" s="275"/>
      <c r="EO37" s="275"/>
      <c r="EP37" s="275"/>
      <c r="EQ37" s="275"/>
      <c r="ER37" s="275"/>
      <c r="ES37" s="275"/>
      <c r="ET37" s="275"/>
      <c r="EU37" s="275"/>
      <c r="EV37" s="275"/>
      <c r="EW37" s="275"/>
      <c r="EX37" s="275"/>
      <c r="EY37" s="275"/>
      <c r="EZ37" s="275"/>
      <c r="FA37" s="275"/>
      <c r="FB37" s="275"/>
      <c r="FC37" s="275"/>
    </row>
    <row r="39" spans="21:159" x14ac:dyDescent="0.6">
      <c r="U39" s="1" t="s">
        <v>492</v>
      </c>
      <c r="V39" s="25"/>
      <c r="W39" s="25"/>
      <c r="X39" s="25"/>
      <c r="Y39" s="25"/>
      <c r="Z39" s="500" t="s">
        <v>493</v>
      </c>
      <c r="AA39" s="501"/>
      <c r="AB39" s="501"/>
      <c r="AC39" s="501"/>
      <c r="AD39" s="501"/>
      <c r="AE39" s="501"/>
      <c r="AF39" s="501"/>
      <c r="AG39" s="501"/>
      <c r="AH39" s="501"/>
      <c r="AI39" s="501"/>
      <c r="AJ39" s="501"/>
      <c r="AK39" s="501"/>
      <c r="AL39" s="501"/>
      <c r="AM39" s="502"/>
      <c r="AN39" s="500" t="s">
        <v>531</v>
      </c>
      <c r="AO39" s="501"/>
      <c r="AP39" s="501"/>
      <c r="AQ39" s="501"/>
      <c r="AR39" s="501"/>
      <c r="AS39" s="501"/>
      <c r="AT39" s="501"/>
      <c r="AU39" s="501"/>
      <c r="AV39" s="501"/>
      <c r="AW39" s="501"/>
      <c r="AX39" s="501"/>
      <c r="AY39" s="501"/>
      <c r="AZ39" s="501"/>
      <c r="BA39" s="502"/>
      <c r="BB39" s="503" t="s">
        <v>495</v>
      </c>
      <c r="BC39" s="504"/>
      <c r="BD39" s="504"/>
      <c r="BE39" s="504"/>
      <c r="BF39" s="504"/>
      <c r="BG39" s="504"/>
      <c r="BH39" s="504"/>
      <c r="BI39" s="504"/>
      <c r="BJ39" s="504"/>
      <c r="BK39" s="504"/>
      <c r="BL39" s="504"/>
      <c r="BM39" s="504"/>
      <c r="BN39" s="504"/>
      <c r="BO39" s="505"/>
      <c r="BP39" s="503" t="s">
        <v>531</v>
      </c>
      <c r="BQ39" s="504"/>
      <c r="BR39" s="504"/>
      <c r="BS39" s="504"/>
      <c r="BT39" s="504"/>
      <c r="BU39" s="504"/>
      <c r="BV39" s="504"/>
      <c r="BW39" s="504"/>
      <c r="BX39" s="504"/>
      <c r="BY39" s="504"/>
      <c r="BZ39" s="504"/>
      <c r="CA39" s="504"/>
      <c r="CB39" s="504"/>
      <c r="CC39" s="505"/>
      <c r="CD39" s="496" t="s">
        <v>497</v>
      </c>
      <c r="CE39" s="497"/>
      <c r="CF39" s="497"/>
      <c r="CG39" s="497"/>
      <c r="CH39" s="497"/>
      <c r="CI39" s="497"/>
      <c r="CJ39" s="497"/>
      <c r="CK39" s="497"/>
      <c r="CL39" s="497"/>
      <c r="CM39" s="497"/>
      <c r="CN39" s="497"/>
      <c r="CO39" s="497"/>
      <c r="CP39" s="497"/>
      <c r="CQ39" s="498"/>
      <c r="CR39" s="496" t="s">
        <v>531</v>
      </c>
      <c r="CS39" s="497"/>
      <c r="CT39" s="497"/>
      <c r="CU39" s="497"/>
      <c r="CV39" s="497"/>
      <c r="CW39" s="497"/>
      <c r="CX39" s="497"/>
      <c r="CY39" s="497"/>
      <c r="CZ39" s="497"/>
      <c r="DA39" s="497"/>
      <c r="DB39" s="497"/>
      <c r="DC39" s="497"/>
      <c r="DD39" s="497"/>
      <c r="DE39" s="498"/>
      <c r="DF39" s="26"/>
      <c r="DG39" s="25"/>
      <c r="DH39" s="25"/>
      <c r="DI39" s="25"/>
      <c r="DJ39" s="25"/>
      <c r="DK39" s="25"/>
      <c r="DL39" s="25"/>
      <c r="DM39" s="25"/>
      <c r="DN39" s="25"/>
      <c r="DO39" s="25"/>
      <c r="DP39" s="25"/>
    </row>
    <row r="40" spans="21:159" x14ac:dyDescent="0.6">
      <c r="BB40" s="506">
        <v>16</v>
      </c>
      <c r="BC40" s="506"/>
      <c r="BD40" s="506">
        <v>15</v>
      </c>
      <c r="BE40" s="506"/>
      <c r="BF40" s="506">
        <v>14</v>
      </c>
      <c r="BG40" s="506"/>
      <c r="BH40" s="506"/>
      <c r="BI40" s="506"/>
      <c r="BJ40" s="506">
        <v>3</v>
      </c>
      <c r="BK40" s="506"/>
      <c r="BL40" s="506">
        <v>2</v>
      </c>
      <c r="BM40" s="506"/>
      <c r="BN40" s="506">
        <v>1</v>
      </c>
      <c r="BO40" s="506"/>
      <c r="BP40" s="506">
        <v>16</v>
      </c>
      <c r="BQ40" s="506"/>
      <c r="BR40" s="506">
        <v>15</v>
      </c>
      <c r="BS40" s="506"/>
      <c r="BT40" s="506">
        <v>14</v>
      </c>
      <c r="BU40" s="506"/>
      <c r="BV40" s="506"/>
      <c r="BW40" s="506"/>
      <c r="BX40" s="506">
        <v>3</v>
      </c>
      <c r="BY40" s="506"/>
      <c r="BZ40" s="506">
        <v>2</v>
      </c>
      <c r="CA40" s="506"/>
      <c r="CB40" s="506">
        <v>1</v>
      </c>
      <c r="CC40" s="506"/>
      <c r="CD40" s="506">
        <v>16</v>
      </c>
      <c r="CE40" s="506"/>
      <c r="CF40" s="506">
        <v>15</v>
      </c>
      <c r="CG40" s="506"/>
      <c r="CH40" s="506">
        <v>14</v>
      </c>
      <c r="CI40" s="506"/>
      <c r="CJ40" s="506"/>
      <c r="CK40" s="506"/>
      <c r="CL40" s="506">
        <v>3</v>
      </c>
      <c r="CM40" s="506"/>
      <c r="CN40" s="506">
        <v>2</v>
      </c>
      <c r="CO40" s="506"/>
      <c r="CP40" s="506">
        <v>1</v>
      </c>
      <c r="CQ40" s="506"/>
      <c r="CR40" s="506">
        <v>16</v>
      </c>
      <c r="CS40" s="506"/>
      <c r="CT40" s="506">
        <v>15</v>
      </c>
      <c r="CU40" s="506"/>
      <c r="CV40" s="506">
        <v>14</v>
      </c>
      <c r="CW40" s="506"/>
      <c r="CX40" s="506"/>
      <c r="CY40" s="506"/>
      <c r="CZ40" s="506">
        <v>3</v>
      </c>
      <c r="DA40" s="506"/>
      <c r="DB40" s="506">
        <v>2</v>
      </c>
      <c r="DC40" s="506"/>
      <c r="DD40" s="506">
        <v>1</v>
      </c>
      <c r="DE40" s="506"/>
    </row>
    <row r="41" spans="21:159" x14ac:dyDescent="0.6">
      <c r="U41" s="1" t="s">
        <v>502</v>
      </c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73"/>
      <c r="BC41" s="274"/>
      <c r="BD41" s="273"/>
      <c r="BE41" s="274"/>
      <c r="BF41" s="273"/>
      <c r="BG41" s="274"/>
      <c r="BH41" s="24"/>
      <c r="BI41" s="271"/>
      <c r="BJ41" s="273"/>
      <c r="BK41" s="274"/>
      <c r="BL41" s="273"/>
      <c r="BM41" s="274"/>
      <c r="BN41" s="273"/>
      <c r="BO41" s="274"/>
      <c r="BP41" s="273"/>
      <c r="BQ41" s="274"/>
      <c r="BR41" s="273"/>
      <c r="BS41" s="274"/>
      <c r="BT41" s="273"/>
      <c r="BU41" s="274"/>
      <c r="BV41" s="24"/>
      <c r="BW41" s="271"/>
      <c r="BX41" s="273"/>
      <c r="BY41" s="274"/>
      <c r="BZ41" s="273"/>
      <c r="CA41" s="274"/>
      <c r="CB41" s="273"/>
      <c r="CC41" s="274"/>
      <c r="CD41" s="273"/>
      <c r="CE41" s="274"/>
      <c r="CF41" s="273"/>
      <c r="CG41" s="274"/>
      <c r="CH41" s="273"/>
      <c r="CI41" s="274"/>
      <c r="CJ41" s="24"/>
      <c r="CK41" s="271"/>
      <c r="CL41" s="273"/>
      <c r="CM41" s="274"/>
      <c r="CN41" s="273"/>
      <c r="CO41" s="274"/>
      <c r="CP41" s="273"/>
      <c r="CQ41" s="274"/>
      <c r="CR41" s="273"/>
      <c r="CS41" s="274"/>
      <c r="CT41" s="273"/>
      <c r="CU41" s="274"/>
      <c r="CV41" s="273"/>
      <c r="CW41" s="274"/>
      <c r="CX41" s="24"/>
      <c r="CY41" s="271"/>
      <c r="CZ41" s="273"/>
      <c r="DA41" s="274"/>
      <c r="DB41" s="273"/>
      <c r="DC41" s="274"/>
      <c r="DD41" s="273"/>
      <c r="DE41" s="274"/>
      <c r="DF41" s="271"/>
      <c r="DG41" s="271"/>
      <c r="DH41" s="271"/>
      <c r="DI41" s="271"/>
      <c r="DJ41" s="271"/>
      <c r="DK41" s="271"/>
      <c r="DL41" s="271"/>
      <c r="DM41" s="271"/>
      <c r="DN41" s="271"/>
      <c r="DO41" s="271"/>
      <c r="DP41" s="271"/>
      <c r="DQ41" s="275"/>
      <c r="DR41" s="275"/>
      <c r="DS41" s="275"/>
      <c r="DT41" s="275"/>
      <c r="DU41" s="275"/>
      <c r="DV41" s="275"/>
      <c r="DW41" s="275"/>
      <c r="DX41" s="275"/>
      <c r="DY41" s="275"/>
      <c r="DZ41" s="275"/>
      <c r="EA41" s="275"/>
      <c r="EB41" s="275"/>
      <c r="EC41" s="275"/>
      <c r="ED41" s="275"/>
      <c r="EE41" s="275"/>
      <c r="EF41" s="275"/>
      <c r="EG41" s="275"/>
      <c r="EH41" s="275"/>
      <c r="EI41" s="275"/>
      <c r="EJ41" s="275"/>
      <c r="EK41" s="275"/>
      <c r="EL41" s="275"/>
      <c r="EM41" s="275"/>
      <c r="EN41" s="275"/>
      <c r="EO41" s="275"/>
      <c r="EP41" s="275"/>
      <c r="EQ41" s="275"/>
      <c r="ER41" s="275"/>
      <c r="ES41" s="275"/>
      <c r="ET41" s="275"/>
      <c r="EU41" s="275"/>
      <c r="EV41" s="275"/>
      <c r="EW41" s="275"/>
      <c r="EX41" s="275"/>
      <c r="EY41" s="275"/>
      <c r="EZ41" s="275"/>
      <c r="FA41" s="275"/>
      <c r="FB41" s="275"/>
      <c r="FC41" s="275"/>
    </row>
    <row r="43" spans="21:159" x14ac:dyDescent="0.6">
      <c r="U43" s="1" t="s">
        <v>504</v>
      </c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503" t="s">
        <v>495</v>
      </c>
      <c r="BC43" s="504"/>
      <c r="BD43" s="504"/>
      <c r="BE43" s="504"/>
      <c r="BF43" s="504"/>
      <c r="BG43" s="504"/>
      <c r="BH43" s="504"/>
      <c r="BI43" s="504"/>
      <c r="BJ43" s="504"/>
      <c r="BK43" s="504"/>
      <c r="BL43" s="504"/>
      <c r="BM43" s="504"/>
      <c r="BN43" s="504"/>
      <c r="BO43" s="505"/>
      <c r="BP43" s="503" t="s">
        <v>531</v>
      </c>
      <c r="BQ43" s="504"/>
      <c r="BR43" s="504"/>
      <c r="BS43" s="504"/>
      <c r="BT43" s="504"/>
      <c r="BU43" s="504"/>
      <c r="BV43" s="504"/>
      <c r="BW43" s="504"/>
      <c r="BX43" s="504"/>
      <c r="BY43" s="504"/>
      <c r="BZ43" s="504"/>
      <c r="CA43" s="504"/>
      <c r="CB43" s="504"/>
      <c r="CC43" s="505"/>
      <c r="CD43" s="496" t="s">
        <v>497</v>
      </c>
      <c r="CE43" s="497"/>
      <c r="CF43" s="497"/>
      <c r="CG43" s="497"/>
      <c r="CH43" s="497"/>
      <c r="CI43" s="497"/>
      <c r="CJ43" s="497"/>
      <c r="CK43" s="497"/>
      <c r="CL43" s="497"/>
      <c r="CM43" s="497"/>
      <c r="CN43" s="497"/>
      <c r="CO43" s="497"/>
      <c r="CP43" s="497"/>
      <c r="CQ43" s="498"/>
      <c r="CR43" s="496" t="s">
        <v>531</v>
      </c>
      <c r="CS43" s="497"/>
      <c r="CT43" s="497"/>
      <c r="CU43" s="497"/>
      <c r="CV43" s="497"/>
      <c r="CW43" s="497"/>
      <c r="CX43" s="497"/>
      <c r="CY43" s="497"/>
      <c r="CZ43" s="497"/>
      <c r="DA43" s="497"/>
      <c r="DB43" s="497"/>
      <c r="DC43" s="497"/>
      <c r="DD43" s="497"/>
      <c r="DE43" s="498"/>
      <c r="DF43" s="26"/>
      <c r="DG43" s="25"/>
      <c r="DH43" s="25"/>
      <c r="DI43" s="25"/>
      <c r="DJ43" s="25"/>
      <c r="DK43" s="25"/>
      <c r="DL43" s="25"/>
      <c r="DM43" s="25"/>
      <c r="DN43" s="25"/>
      <c r="DO43" s="25"/>
      <c r="DP43" s="25"/>
    </row>
    <row r="44" spans="21:159" x14ac:dyDescent="0.6">
      <c r="CD44" s="499">
        <v>16</v>
      </c>
      <c r="CE44" s="499"/>
      <c r="CF44" s="499">
        <v>15</v>
      </c>
      <c r="CG44" s="499"/>
      <c r="CH44" s="499">
        <v>14</v>
      </c>
      <c r="CI44" s="499"/>
      <c r="CJ44" s="499"/>
      <c r="CK44" s="499"/>
      <c r="CL44" s="499">
        <v>3</v>
      </c>
      <c r="CM44" s="499"/>
      <c r="CN44" s="499">
        <v>2</v>
      </c>
      <c r="CO44" s="499"/>
      <c r="CP44" s="499">
        <v>1</v>
      </c>
      <c r="CQ44" s="499"/>
      <c r="CR44" s="499">
        <v>16</v>
      </c>
      <c r="CS44" s="499"/>
      <c r="CT44" s="499">
        <v>15</v>
      </c>
      <c r="CU44" s="499"/>
      <c r="CV44" s="499">
        <v>14</v>
      </c>
      <c r="CW44" s="499"/>
      <c r="CX44" s="499"/>
      <c r="CY44" s="499"/>
      <c r="CZ44" s="499">
        <v>3</v>
      </c>
      <c r="DA44" s="499"/>
      <c r="DB44" s="499">
        <v>2</v>
      </c>
      <c r="DC44" s="499"/>
      <c r="DD44" s="499">
        <v>1</v>
      </c>
      <c r="DE44" s="499"/>
    </row>
    <row r="45" spans="21:159" x14ac:dyDescent="0.6">
      <c r="U45" s="1" t="s">
        <v>508</v>
      </c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73"/>
      <c r="CE45" s="274"/>
      <c r="CF45" s="273"/>
      <c r="CG45" s="274"/>
      <c r="CH45" s="273"/>
      <c r="CI45" s="274"/>
      <c r="CJ45" s="24"/>
      <c r="CK45" s="271"/>
      <c r="CL45" s="273"/>
      <c r="CM45" s="274"/>
      <c r="CN45" s="273"/>
      <c r="CO45" s="274"/>
      <c r="CP45" s="273"/>
      <c r="CQ45" s="274"/>
      <c r="CR45" s="273"/>
      <c r="CS45" s="274"/>
      <c r="CT45" s="273"/>
      <c r="CU45" s="274"/>
      <c r="CV45" s="273"/>
      <c r="CW45" s="274"/>
      <c r="CX45" s="24"/>
      <c r="CY45" s="271"/>
      <c r="CZ45" s="273"/>
      <c r="DA45" s="274"/>
      <c r="DB45" s="273"/>
      <c r="DC45" s="274"/>
      <c r="DD45" s="273"/>
      <c r="DE45" s="274"/>
      <c r="DF45" s="271"/>
      <c r="DG45" s="271"/>
      <c r="DH45" s="271"/>
      <c r="DI45" s="271"/>
      <c r="DJ45" s="271"/>
      <c r="DK45" s="271"/>
      <c r="DL45" s="271"/>
      <c r="DM45" s="271"/>
      <c r="DN45" s="271"/>
      <c r="DO45" s="271"/>
      <c r="DP45" s="271"/>
      <c r="DQ45" s="275"/>
      <c r="DR45" s="275"/>
      <c r="DS45" s="275"/>
      <c r="DT45" s="275"/>
      <c r="DU45" s="275"/>
      <c r="DV45" s="275"/>
      <c r="DW45" s="275"/>
      <c r="DX45" s="275"/>
      <c r="DY45" s="275"/>
      <c r="DZ45" s="275"/>
      <c r="EA45" s="275"/>
      <c r="EB45" s="275"/>
      <c r="EC45" s="275"/>
      <c r="ED45" s="275"/>
      <c r="EE45" s="275"/>
      <c r="EF45" s="275"/>
      <c r="EG45" s="275"/>
      <c r="EH45" s="275"/>
      <c r="EI45" s="275"/>
      <c r="EJ45" s="275"/>
      <c r="EK45" s="275"/>
      <c r="EL45" s="275"/>
      <c r="EM45" s="275"/>
      <c r="EN45" s="275"/>
      <c r="EO45" s="275"/>
      <c r="EP45" s="275"/>
      <c r="EQ45" s="275"/>
      <c r="ER45" s="275"/>
      <c r="ES45" s="275"/>
      <c r="ET45" s="275"/>
      <c r="EU45" s="275"/>
      <c r="EV45" s="275"/>
      <c r="EW45" s="275"/>
      <c r="EX45" s="275"/>
      <c r="EY45" s="275"/>
      <c r="EZ45" s="275"/>
      <c r="FA45" s="275"/>
      <c r="FB45" s="275"/>
      <c r="FC45" s="275"/>
    </row>
    <row r="47" spans="21:159" x14ac:dyDescent="0.6">
      <c r="U47" s="1" t="s">
        <v>510</v>
      </c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  <c r="BD47" s="25"/>
      <c r="BE47" s="25"/>
      <c r="BF47" s="25"/>
      <c r="BG47" s="25"/>
      <c r="BH47" s="25"/>
      <c r="BI47" s="25"/>
      <c r="BJ47" s="25"/>
      <c r="BK47" s="25"/>
      <c r="BL47" s="25"/>
      <c r="BM47" s="25"/>
      <c r="BN47" s="25"/>
      <c r="BO47" s="25"/>
      <c r="BP47" s="25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496" t="s">
        <v>497</v>
      </c>
      <c r="CE47" s="497"/>
      <c r="CF47" s="497"/>
      <c r="CG47" s="497"/>
      <c r="CH47" s="497"/>
      <c r="CI47" s="497"/>
      <c r="CJ47" s="497"/>
      <c r="CK47" s="497"/>
      <c r="CL47" s="497"/>
      <c r="CM47" s="497"/>
      <c r="CN47" s="497"/>
      <c r="CO47" s="497"/>
      <c r="CP47" s="497"/>
      <c r="CQ47" s="498"/>
      <c r="CR47" s="496" t="s">
        <v>531</v>
      </c>
      <c r="CS47" s="497"/>
      <c r="CT47" s="497"/>
      <c r="CU47" s="497"/>
      <c r="CV47" s="497"/>
      <c r="CW47" s="497"/>
      <c r="CX47" s="497"/>
      <c r="CY47" s="497"/>
      <c r="CZ47" s="497"/>
      <c r="DA47" s="497"/>
      <c r="DB47" s="497"/>
      <c r="DC47" s="497"/>
      <c r="DD47" s="497"/>
      <c r="DE47" s="498"/>
      <c r="DF47" s="26"/>
      <c r="DG47" s="25"/>
      <c r="DH47" s="25"/>
      <c r="DI47" s="25"/>
      <c r="DJ47" s="25"/>
      <c r="DK47" s="25"/>
      <c r="DL47" s="25"/>
      <c r="DM47" s="25"/>
      <c r="DN47" s="25"/>
      <c r="DO47" s="25"/>
      <c r="DP47" s="25"/>
    </row>
    <row r="49" spans="21:120" x14ac:dyDescent="0.6">
      <c r="U49" s="1" t="s">
        <v>532</v>
      </c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80"/>
      <c r="AN49" s="500" t="s">
        <v>494</v>
      </c>
      <c r="AO49" s="501"/>
      <c r="AP49" s="501"/>
      <c r="AQ49" s="501"/>
      <c r="AR49" s="501"/>
      <c r="AS49" s="501"/>
      <c r="AT49" s="501"/>
      <c r="AU49" s="501"/>
      <c r="AV49" s="501"/>
      <c r="AW49" s="501"/>
      <c r="AX49" s="501"/>
      <c r="AY49" s="501"/>
      <c r="AZ49" s="501"/>
      <c r="BA49" s="502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</row>
    <row r="50" spans="21:120" x14ac:dyDescent="0.6"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</row>
    <row r="51" spans="21:120" x14ac:dyDescent="0.6">
      <c r="U51" s="1" t="s">
        <v>533</v>
      </c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503" t="s">
        <v>534</v>
      </c>
      <c r="BQ51" s="504"/>
      <c r="BR51" s="504"/>
      <c r="BS51" s="504"/>
      <c r="BT51" s="504"/>
      <c r="BU51" s="504"/>
      <c r="BV51" s="504"/>
      <c r="BW51" s="504"/>
      <c r="BX51" s="504"/>
      <c r="BY51" s="504"/>
      <c r="BZ51" s="504"/>
      <c r="CA51" s="504"/>
      <c r="CB51" s="504"/>
      <c r="CC51" s="505"/>
    </row>
    <row r="52" spans="21:120" x14ac:dyDescent="0.6"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</row>
    <row r="53" spans="21:120" x14ac:dyDescent="0.6">
      <c r="U53" s="1" t="s">
        <v>535</v>
      </c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R53" s="496" t="s">
        <v>498</v>
      </c>
      <c r="CS53" s="497"/>
      <c r="CT53" s="497"/>
      <c r="CU53" s="497"/>
      <c r="CV53" s="497"/>
      <c r="CW53" s="497"/>
      <c r="CX53" s="497"/>
      <c r="CY53" s="497"/>
      <c r="CZ53" s="497"/>
      <c r="DA53" s="497"/>
      <c r="DB53" s="497"/>
      <c r="DC53" s="497"/>
      <c r="DD53" s="497"/>
      <c r="DE53" s="498"/>
    </row>
    <row r="54" spans="21:120" x14ac:dyDescent="0.6">
      <c r="CE54" s="24"/>
      <c r="CF54" s="24"/>
      <c r="CG54" s="24"/>
      <c r="CH54" s="24"/>
      <c r="CI54" s="24"/>
      <c r="CJ54" s="24"/>
      <c r="CK54" s="24"/>
      <c r="CL54" s="24"/>
      <c r="CM54" s="24"/>
      <c r="CN54" s="24"/>
      <c r="CO54" s="24"/>
      <c r="CP54" s="24"/>
      <c r="CQ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</row>
    <row r="56" spans="21:120" x14ac:dyDescent="0.6">
      <c r="U56" s="6" t="s">
        <v>536</v>
      </c>
    </row>
    <row r="57" spans="21:120" x14ac:dyDescent="0.6">
      <c r="U57" s="266" t="s">
        <v>482</v>
      </c>
      <c r="V57" s="28"/>
      <c r="W57" s="29"/>
      <c r="X57" s="26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  <c r="CF57" s="25"/>
      <c r="CG57" s="25"/>
      <c r="CH57" s="25"/>
      <c r="CI57" s="25"/>
      <c r="CJ57" s="25"/>
      <c r="CK57" s="25"/>
      <c r="CL57" s="25"/>
      <c r="CM57" s="25"/>
      <c r="CN57" s="25"/>
      <c r="DB57" s="25"/>
      <c r="DC57" s="25"/>
      <c r="DD57" s="25"/>
      <c r="DE57" s="25"/>
      <c r="DF57" s="25"/>
      <c r="DG57" s="21"/>
      <c r="DH57" s="27"/>
      <c r="DI57" s="28"/>
      <c r="DJ57" s="28"/>
      <c r="DK57" s="28"/>
      <c r="DL57" s="28"/>
      <c r="DM57" s="28"/>
      <c r="DN57" s="29"/>
      <c r="DO57" s="26"/>
      <c r="DP57" s="25"/>
    </row>
    <row r="58" spans="21:120" x14ac:dyDescent="0.6">
      <c r="X58" s="6"/>
      <c r="Y58" s="6"/>
      <c r="Z58" s="474">
        <v>16</v>
      </c>
      <c r="AA58" s="474"/>
      <c r="AB58" s="474">
        <v>15</v>
      </c>
      <c r="AC58" s="474"/>
      <c r="AD58" s="276"/>
      <c r="AE58" s="276"/>
      <c r="AF58" s="474">
        <v>1</v>
      </c>
      <c r="AG58" s="474"/>
      <c r="AH58" s="474">
        <v>16</v>
      </c>
      <c r="AI58" s="474"/>
      <c r="AJ58" s="474">
        <v>15</v>
      </c>
      <c r="AK58" s="474"/>
      <c r="AL58" s="276"/>
      <c r="AM58" s="276"/>
      <c r="AN58" s="474">
        <v>1</v>
      </c>
      <c r="AO58" s="474"/>
      <c r="AP58" s="474">
        <v>16</v>
      </c>
      <c r="AQ58" s="474"/>
      <c r="AR58" s="474">
        <v>15</v>
      </c>
      <c r="AS58" s="474"/>
      <c r="AT58" s="276"/>
      <c r="AU58" s="276"/>
      <c r="AV58" s="474">
        <v>1</v>
      </c>
      <c r="AW58" s="474"/>
      <c r="AX58" s="474">
        <v>16</v>
      </c>
      <c r="AY58" s="474"/>
      <c r="AZ58" s="474">
        <v>15</v>
      </c>
      <c r="BA58" s="474"/>
      <c r="BB58" s="276"/>
      <c r="BC58" s="276"/>
      <c r="BD58" s="474">
        <v>1</v>
      </c>
      <c r="BE58" s="474"/>
      <c r="BF58" s="474">
        <v>16</v>
      </c>
      <c r="BG58" s="474"/>
      <c r="BH58" s="474">
        <v>15</v>
      </c>
      <c r="BI58" s="474"/>
      <c r="BJ58" s="276"/>
      <c r="BK58" s="276"/>
      <c r="BL58" s="474">
        <v>1</v>
      </c>
      <c r="BM58" s="474"/>
      <c r="BN58" s="474">
        <v>16</v>
      </c>
      <c r="BO58" s="474"/>
      <c r="BP58" s="474">
        <v>15</v>
      </c>
      <c r="BQ58" s="474"/>
      <c r="BR58" s="276"/>
      <c r="BS58" s="276"/>
      <c r="BT58" s="474">
        <v>1</v>
      </c>
      <c r="BU58" s="474"/>
      <c r="BV58" s="474">
        <v>16</v>
      </c>
      <c r="BW58" s="474"/>
      <c r="BX58" s="474">
        <v>15</v>
      </c>
      <c r="BY58" s="474"/>
      <c r="BZ58" s="276"/>
      <c r="CA58" s="276"/>
      <c r="CB58" s="474">
        <v>1</v>
      </c>
      <c r="CC58" s="474"/>
      <c r="CD58" s="474">
        <v>16</v>
      </c>
      <c r="CE58" s="474"/>
      <c r="CF58" s="474">
        <v>15</v>
      </c>
      <c r="CG58" s="474"/>
      <c r="CH58" s="276"/>
      <c r="CI58" s="276"/>
      <c r="CJ58" s="474">
        <v>1</v>
      </c>
      <c r="CK58" s="474"/>
      <c r="CL58" s="474">
        <v>16</v>
      </c>
      <c r="CM58" s="474"/>
      <c r="CN58" s="474">
        <v>15</v>
      </c>
      <c r="CO58" s="474"/>
      <c r="CP58" s="276"/>
      <c r="CQ58" s="276"/>
      <c r="CR58" s="474">
        <v>1</v>
      </c>
      <c r="CS58" s="474"/>
      <c r="CT58" s="474">
        <v>16</v>
      </c>
      <c r="CU58" s="474"/>
      <c r="CV58" s="474">
        <v>15</v>
      </c>
      <c r="CW58" s="474"/>
      <c r="CX58" s="276"/>
      <c r="CY58" s="276"/>
      <c r="CZ58" s="474">
        <v>1</v>
      </c>
      <c r="DA58" s="474"/>
      <c r="DB58" s="276"/>
      <c r="DC58" s="276"/>
      <c r="DD58" s="276"/>
      <c r="DE58" s="276"/>
      <c r="DF58" s="276"/>
      <c r="DG58" s="276"/>
      <c r="DH58" s="267"/>
      <c r="DI58" s="267"/>
      <c r="DJ58" s="267"/>
      <c r="DK58" s="267"/>
      <c r="DL58" s="267"/>
      <c r="DM58" s="270"/>
      <c r="DN58" s="270"/>
      <c r="DO58" s="276"/>
      <c r="DP58" s="276"/>
    </row>
    <row r="59" spans="21:120" x14ac:dyDescent="0.6">
      <c r="U59" s="1" t="s">
        <v>487</v>
      </c>
      <c r="V59" s="271"/>
      <c r="W59" s="271"/>
      <c r="X59" s="271"/>
      <c r="Y59" s="272"/>
      <c r="Z59" s="273"/>
      <c r="AA59" s="274"/>
      <c r="AB59" s="273"/>
      <c r="AC59" s="274"/>
      <c r="AD59" s="278"/>
      <c r="AE59" s="271"/>
      <c r="AF59" s="273"/>
      <c r="AG59" s="274"/>
      <c r="AH59" s="273"/>
      <c r="AI59" s="274"/>
      <c r="AJ59" s="273"/>
      <c r="AK59" s="274"/>
      <c r="AL59" s="278"/>
      <c r="AM59" s="271"/>
      <c r="AN59" s="273"/>
      <c r="AO59" s="274"/>
      <c r="AP59" s="273"/>
      <c r="AQ59" s="274"/>
      <c r="AR59" s="273"/>
      <c r="AS59" s="274"/>
      <c r="AT59" s="278"/>
      <c r="AU59" s="271"/>
      <c r="AV59" s="273"/>
      <c r="AW59" s="274"/>
      <c r="AX59" s="273"/>
      <c r="AY59" s="274"/>
      <c r="AZ59" s="273"/>
      <c r="BA59" s="274"/>
      <c r="BB59" s="278"/>
      <c r="BC59" s="271"/>
      <c r="BD59" s="273"/>
      <c r="BE59" s="274"/>
      <c r="BF59" s="273"/>
      <c r="BG59" s="274"/>
      <c r="BH59" s="273"/>
      <c r="BI59" s="274"/>
      <c r="BJ59" s="278"/>
      <c r="BK59" s="271"/>
      <c r="BL59" s="273"/>
      <c r="BM59" s="274"/>
      <c r="BN59" s="273"/>
      <c r="BO59" s="274"/>
      <c r="BP59" s="273"/>
      <c r="BQ59" s="274"/>
      <c r="BR59" s="278"/>
      <c r="BS59" s="271"/>
      <c r="BT59" s="273"/>
      <c r="BU59" s="274"/>
      <c r="BV59" s="273"/>
      <c r="BW59" s="274"/>
      <c r="BX59" s="273"/>
      <c r="BY59" s="274"/>
      <c r="BZ59" s="278"/>
      <c r="CA59" s="271"/>
      <c r="CB59" s="273"/>
      <c r="CC59" s="274"/>
      <c r="CD59" s="273"/>
      <c r="CE59" s="274"/>
      <c r="CF59" s="273"/>
      <c r="CG59" s="274"/>
      <c r="CH59" s="278"/>
      <c r="CI59" s="271"/>
      <c r="CJ59" s="273"/>
      <c r="CK59" s="274"/>
      <c r="CL59" s="273"/>
      <c r="CM59" s="274"/>
      <c r="CN59" s="273"/>
      <c r="CO59" s="274"/>
      <c r="CP59" s="278"/>
      <c r="CQ59" s="271"/>
      <c r="CR59" s="273"/>
      <c r="CS59" s="274"/>
      <c r="CT59" s="273"/>
      <c r="CU59" s="274"/>
      <c r="CV59" s="273"/>
      <c r="CW59" s="274"/>
      <c r="CX59" s="278"/>
      <c r="CY59" s="271"/>
      <c r="CZ59" s="273"/>
      <c r="DA59" s="274"/>
      <c r="DB59" s="271"/>
      <c r="DC59" s="271"/>
      <c r="DD59" s="271"/>
      <c r="DE59" s="271"/>
      <c r="DF59" s="271"/>
      <c r="DG59" s="271"/>
      <c r="DH59" s="271"/>
      <c r="DI59" s="271"/>
      <c r="DJ59" s="271"/>
      <c r="DK59" s="271"/>
      <c r="DL59" s="271"/>
      <c r="DM59" s="271"/>
      <c r="DN59" s="271"/>
      <c r="DO59" s="271"/>
      <c r="DP59" s="271"/>
    </row>
    <row r="60" spans="21:120" x14ac:dyDescent="0.5">
      <c r="AD60" s="278"/>
      <c r="AH60" s="281"/>
      <c r="AI60" s="281"/>
      <c r="AJ60" s="281"/>
      <c r="AK60" s="281"/>
      <c r="AL60" s="281"/>
      <c r="AM60" s="281"/>
      <c r="AN60" s="281"/>
      <c r="AO60" s="281"/>
    </row>
    <row r="61" spans="21:120" x14ac:dyDescent="0.6">
      <c r="U61" s="1" t="s">
        <v>492</v>
      </c>
      <c r="V61" s="25"/>
      <c r="W61" s="25"/>
      <c r="X61" s="25"/>
      <c r="Y61" s="25"/>
      <c r="Z61" s="483" t="s">
        <v>521</v>
      </c>
      <c r="AA61" s="494"/>
      <c r="AB61" s="494"/>
      <c r="AC61" s="494"/>
      <c r="AD61" s="494"/>
      <c r="AE61" s="494"/>
      <c r="AF61" s="494"/>
      <c r="AG61" s="495"/>
      <c r="AH61" s="483" t="s">
        <v>531</v>
      </c>
      <c r="AI61" s="484"/>
      <c r="AJ61" s="484"/>
      <c r="AK61" s="484"/>
      <c r="AL61" s="484"/>
      <c r="AM61" s="484"/>
      <c r="AN61" s="484"/>
      <c r="AO61" s="485"/>
      <c r="AP61" s="479" t="s">
        <v>521</v>
      </c>
      <c r="AQ61" s="492"/>
      <c r="AR61" s="492"/>
      <c r="AS61" s="492"/>
      <c r="AT61" s="492"/>
      <c r="AU61" s="492"/>
      <c r="AV61" s="492"/>
      <c r="AW61" s="493"/>
      <c r="AX61" s="479" t="s">
        <v>531</v>
      </c>
      <c r="AY61" s="480"/>
      <c r="AZ61" s="480"/>
      <c r="BA61" s="480"/>
      <c r="BB61" s="480"/>
      <c r="BC61" s="480"/>
      <c r="BD61" s="480"/>
      <c r="BE61" s="481"/>
      <c r="BF61" s="479" t="s">
        <v>531</v>
      </c>
      <c r="BG61" s="480"/>
      <c r="BH61" s="480"/>
      <c r="BI61" s="480"/>
      <c r="BJ61" s="480"/>
      <c r="BK61" s="480"/>
      <c r="BL61" s="480"/>
      <c r="BM61" s="481"/>
      <c r="BN61" s="479" t="s">
        <v>531</v>
      </c>
      <c r="BO61" s="480"/>
      <c r="BP61" s="480"/>
      <c r="BQ61" s="480"/>
      <c r="BR61" s="480"/>
      <c r="BS61" s="480"/>
      <c r="BT61" s="480"/>
      <c r="BU61" s="481"/>
      <c r="BV61" s="479" t="s">
        <v>531</v>
      </c>
      <c r="BW61" s="480"/>
      <c r="BX61" s="480"/>
      <c r="BY61" s="480"/>
      <c r="BZ61" s="480"/>
      <c r="CA61" s="480"/>
      <c r="CB61" s="480"/>
      <c r="CC61" s="481"/>
      <c r="CD61" s="476" t="s">
        <v>521</v>
      </c>
      <c r="CE61" s="490"/>
      <c r="CF61" s="490"/>
      <c r="CG61" s="490"/>
      <c r="CH61" s="490"/>
      <c r="CI61" s="490"/>
      <c r="CJ61" s="490"/>
      <c r="CK61" s="491"/>
      <c r="CL61" s="476" t="s">
        <v>531</v>
      </c>
      <c r="CM61" s="477"/>
      <c r="CN61" s="477"/>
      <c r="CO61" s="477"/>
      <c r="CP61" s="477"/>
      <c r="CQ61" s="477"/>
      <c r="CR61" s="477"/>
      <c r="CS61" s="478"/>
      <c r="CT61" s="476" t="s">
        <v>531</v>
      </c>
      <c r="CU61" s="477"/>
      <c r="CV61" s="477"/>
      <c r="CW61" s="477"/>
      <c r="CX61" s="477"/>
      <c r="CY61" s="477"/>
      <c r="CZ61" s="477"/>
      <c r="DA61" s="478"/>
      <c r="DB61" s="271"/>
      <c r="DC61" s="271"/>
      <c r="DD61" s="271"/>
      <c r="DE61" s="271"/>
      <c r="DF61" s="271"/>
      <c r="DG61" s="271"/>
      <c r="DH61" s="271"/>
      <c r="DI61" s="271"/>
      <c r="DJ61" s="271"/>
      <c r="DK61" s="271"/>
      <c r="DL61" s="271"/>
      <c r="DM61" s="271"/>
      <c r="DN61" s="271"/>
      <c r="DO61" s="271"/>
      <c r="DP61" s="271"/>
    </row>
    <row r="62" spans="21:120" x14ac:dyDescent="0.3">
      <c r="AP62" s="474">
        <v>16</v>
      </c>
      <c r="AQ62" s="474"/>
      <c r="AR62" s="474">
        <v>15</v>
      </c>
      <c r="AS62" s="474"/>
      <c r="AT62" s="276"/>
      <c r="AU62" s="276"/>
      <c r="AV62" s="474">
        <v>1</v>
      </c>
      <c r="AW62" s="474"/>
      <c r="AX62" s="474">
        <v>16</v>
      </c>
      <c r="AY62" s="474"/>
      <c r="AZ62" s="474">
        <v>15</v>
      </c>
      <c r="BA62" s="474"/>
      <c r="BB62" s="276"/>
      <c r="BC62" s="276"/>
      <c r="BD62" s="474">
        <v>1</v>
      </c>
      <c r="BE62" s="474"/>
      <c r="BF62" s="474">
        <v>16</v>
      </c>
      <c r="BG62" s="474"/>
      <c r="BH62" s="474">
        <v>15</v>
      </c>
      <c r="BI62" s="474"/>
      <c r="BJ62" s="276"/>
      <c r="BK62" s="276"/>
      <c r="BL62" s="474">
        <v>1</v>
      </c>
      <c r="BM62" s="474"/>
      <c r="BN62" s="474">
        <v>16</v>
      </c>
      <c r="BO62" s="474"/>
      <c r="BP62" s="474">
        <v>15</v>
      </c>
      <c r="BQ62" s="474"/>
      <c r="BR62" s="276"/>
      <c r="BS62" s="276"/>
      <c r="BT62" s="474">
        <v>1</v>
      </c>
      <c r="BU62" s="474"/>
      <c r="BV62" s="474">
        <v>16</v>
      </c>
      <c r="BW62" s="474"/>
      <c r="BX62" s="474">
        <v>15</v>
      </c>
      <c r="BY62" s="474"/>
      <c r="BZ62" s="276"/>
      <c r="CA62" s="276"/>
      <c r="CB62" s="474">
        <v>1</v>
      </c>
      <c r="CC62" s="474"/>
      <c r="CD62" s="474">
        <v>16</v>
      </c>
      <c r="CE62" s="474"/>
      <c r="CF62" s="474">
        <v>15</v>
      </c>
      <c r="CG62" s="474"/>
      <c r="CH62" s="276"/>
      <c r="CI62" s="276"/>
      <c r="CJ62" s="474">
        <v>1</v>
      </c>
      <c r="CK62" s="474"/>
      <c r="CL62" s="474">
        <v>16</v>
      </c>
      <c r="CM62" s="474"/>
      <c r="CN62" s="474">
        <v>15</v>
      </c>
      <c r="CO62" s="474"/>
      <c r="CP62" s="276"/>
      <c r="CQ62" s="276"/>
      <c r="CR62" s="474">
        <v>1</v>
      </c>
      <c r="CS62" s="474"/>
      <c r="CT62" s="474">
        <v>16</v>
      </c>
      <c r="CU62" s="474"/>
      <c r="CV62" s="474">
        <v>15</v>
      </c>
      <c r="CW62" s="474"/>
      <c r="CX62" s="276"/>
      <c r="CY62" s="276"/>
      <c r="CZ62" s="474">
        <v>1</v>
      </c>
      <c r="DA62" s="474"/>
      <c r="DB62" s="276"/>
      <c r="DC62" s="276"/>
      <c r="DD62" s="276"/>
      <c r="DE62" s="276"/>
      <c r="DF62" s="276"/>
    </row>
    <row r="63" spans="21:120" x14ac:dyDescent="0.6">
      <c r="U63" s="1" t="s">
        <v>502</v>
      </c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73"/>
      <c r="AQ63" s="274"/>
      <c r="AR63" s="273"/>
      <c r="AS63" s="274"/>
      <c r="AT63" s="278"/>
      <c r="AU63" s="271"/>
      <c r="AV63" s="273"/>
      <c r="AW63" s="274"/>
      <c r="AX63" s="273"/>
      <c r="AY63" s="274"/>
      <c r="AZ63" s="273"/>
      <c r="BA63" s="274"/>
      <c r="BB63" s="278"/>
      <c r="BC63" s="271"/>
      <c r="BD63" s="273"/>
      <c r="BE63" s="274"/>
      <c r="BF63" s="273"/>
      <c r="BG63" s="274"/>
      <c r="BH63" s="273"/>
      <c r="BI63" s="274"/>
      <c r="BJ63" s="278"/>
      <c r="BK63" s="271"/>
      <c r="BL63" s="273"/>
      <c r="BM63" s="274"/>
      <c r="BN63" s="273"/>
      <c r="BO63" s="274"/>
      <c r="BP63" s="273"/>
      <c r="BQ63" s="274"/>
      <c r="BR63" s="278"/>
      <c r="BS63" s="271"/>
      <c r="BT63" s="273"/>
      <c r="BU63" s="274"/>
      <c r="BV63" s="273"/>
      <c r="BW63" s="274"/>
      <c r="BX63" s="273"/>
      <c r="BY63" s="274"/>
      <c r="BZ63" s="278"/>
      <c r="CA63" s="271"/>
      <c r="CB63" s="273"/>
      <c r="CC63" s="274"/>
      <c r="CD63" s="273"/>
      <c r="CE63" s="274"/>
      <c r="CF63" s="273"/>
      <c r="CG63" s="274"/>
      <c r="CH63" s="278"/>
      <c r="CI63" s="271"/>
      <c r="CJ63" s="273"/>
      <c r="CK63" s="274"/>
      <c r="CL63" s="273"/>
      <c r="CM63" s="274"/>
      <c r="CN63" s="273"/>
      <c r="CO63" s="274"/>
      <c r="CP63" s="278"/>
      <c r="CQ63" s="271"/>
      <c r="CR63" s="273"/>
      <c r="CS63" s="274"/>
      <c r="CT63" s="273"/>
      <c r="CU63" s="274"/>
      <c r="CV63" s="273"/>
      <c r="CW63" s="274"/>
      <c r="CX63" s="278"/>
      <c r="CY63" s="271"/>
      <c r="CZ63" s="273"/>
      <c r="DA63" s="274"/>
      <c r="DB63" s="271"/>
      <c r="DC63" s="271"/>
      <c r="DD63" s="271"/>
      <c r="DE63" s="271"/>
      <c r="DF63" s="271"/>
      <c r="DG63" s="25"/>
      <c r="DH63" s="25"/>
      <c r="DI63" s="25"/>
      <c r="DJ63" s="25"/>
      <c r="DK63" s="25"/>
      <c r="DL63" s="25"/>
      <c r="DM63" s="25"/>
      <c r="DN63" s="25"/>
      <c r="DO63" s="25"/>
      <c r="DP63" s="25"/>
    </row>
    <row r="65" spans="21:159" x14ac:dyDescent="0.6">
      <c r="U65" s="1" t="s">
        <v>504</v>
      </c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479" t="s">
        <v>521</v>
      </c>
      <c r="AQ65" s="492"/>
      <c r="AR65" s="492"/>
      <c r="AS65" s="492"/>
      <c r="AT65" s="492"/>
      <c r="AU65" s="492"/>
      <c r="AV65" s="492"/>
      <c r="AW65" s="493"/>
      <c r="AX65" s="479" t="s">
        <v>531</v>
      </c>
      <c r="AY65" s="480"/>
      <c r="AZ65" s="480"/>
      <c r="BA65" s="480"/>
      <c r="BB65" s="480"/>
      <c r="BC65" s="480"/>
      <c r="BD65" s="480"/>
      <c r="BE65" s="481"/>
      <c r="BF65" s="479" t="s">
        <v>531</v>
      </c>
      <c r="BG65" s="480"/>
      <c r="BH65" s="480"/>
      <c r="BI65" s="480"/>
      <c r="BJ65" s="480"/>
      <c r="BK65" s="480"/>
      <c r="BL65" s="480"/>
      <c r="BM65" s="481"/>
      <c r="BN65" s="479" t="s">
        <v>531</v>
      </c>
      <c r="BO65" s="480"/>
      <c r="BP65" s="480"/>
      <c r="BQ65" s="480"/>
      <c r="BR65" s="480"/>
      <c r="BS65" s="480"/>
      <c r="BT65" s="480"/>
      <c r="BU65" s="481"/>
      <c r="BV65" s="479" t="s">
        <v>531</v>
      </c>
      <c r="BW65" s="480"/>
      <c r="BX65" s="480"/>
      <c r="BY65" s="480"/>
      <c r="BZ65" s="480"/>
      <c r="CA65" s="480"/>
      <c r="CB65" s="480"/>
      <c r="CC65" s="481"/>
      <c r="CD65" s="476" t="s">
        <v>521</v>
      </c>
      <c r="CE65" s="490"/>
      <c r="CF65" s="490"/>
      <c r="CG65" s="490"/>
      <c r="CH65" s="490"/>
      <c r="CI65" s="490"/>
      <c r="CJ65" s="490"/>
      <c r="CK65" s="491"/>
      <c r="CL65" s="476" t="s">
        <v>531</v>
      </c>
      <c r="CM65" s="477"/>
      <c r="CN65" s="477"/>
      <c r="CO65" s="477"/>
      <c r="CP65" s="477"/>
      <c r="CQ65" s="477"/>
      <c r="CR65" s="477"/>
      <c r="CS65" s="478"/>
      <c r="CT65" s="476" t="s">
        <v>531</v>
      </c>
      <c r="CU65" s="477"/>
      <c r="CV65" s="477"/>
      <c r="CW65" s="477"/>
      <c r="CX65" s="477"/>
      <c r="CY65" s="477"/>
      <c r="CZ65" s="477"/>
      <c r="DA65" s="478"/>
      <c r="DB65" s="271"/>
      <c r="DC65" s="271"/>
      <c r="DD65" s="271"/>
      <c r="DE65" s="271"/>
      <c r="DF65" s="271"/>
      <c r="DG65" s="25"/>
      <c r="DH65" s="25"/>
      <c r="DI65" s="25"/>
      <c r="DJ65" s="25"/>
      <c r="DK65" s="25"/>
      <c r="DL65" s="25"/>
      <c r="DM65" s="25"/>
      <c r="DN65" s="25"/>
      <c r="DO65" s="25"/>
      <c r="DP65" s="25"/>
    </row>
    <row r="66" spans="21:159" x14ac:dyDescent="0.3">
      <c r="CD66" s="474">
        <v>16</v>
      </c>
      <c r="CE66" s="474"/>
      <c r="CF66" s="474">
        <v>15</v>
      </c>
      <c r="CG66" s="474"/>
      <c r="CH66" s="276"/>
      <c r="CI66" s="276"/>
      <c r="CJ66" s="474">
        <v>1</v>
      </c>
      <c r="CK66" s="474"/>
      <c r="CL66" s="474">
        <v>16</v>
      </c>
      <c r="CM66" s="474"/>
      <c r="CN66" s="474">
        <v>15</v>
      </c>
      <c r="CO66" s="474"/>
      <c r="CP66" s="276"/>
      <c r="CQ66" s="276"/>
      <c r="CR66" s="474">
        <v>1</v>
      </c>
      <c r="CS66" s="474"/>
      <c r="CT66" s="474">
        <v>16</v>
      </c>
      <c r="CU66" s="474"/>
      <c r="CV66" s="474">
        <v>15</v>
      </c>
      <c r="CW66" s="474"/>
      <c r="CX66" s="276"/>
      <c r="CY66" s="276"/>
      <c r="CZ66" s="474">
        <v>1</v>
      </c>
      <c r="DA66" s="474"/>
    </row>
    <row r="67" spans="21:159" x14ac:dyDescent="0.6">
      <c r="U67" s="1" t="s">
        <v>508</v>
      </c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73"/>
      <c r="CE67" s="274"/>
      <c r="CF67" s="273"/>
      <c r="CG67" s="274"/>
      <c r="CH67" s="278"/>
      <c r="CI67" s="271"/>
      <c r="CJ67" s="273"/>
      <c r="CK67" s="274"/>
      <c r="CL67" s="273"/>
      <c r="CM67" s="274"/>
      <c r="CN67" s="273"/>
      <c r="CO67" s="274"/>
      <c r="CP67" s="278"/>
      <c r="CQ67" s="271"/>
      <c r="CR67" s="273"/>
      <c r="CS67" s="274"/>
      <c r="CT67" s="273"/>
      <c r="CU67" s="274"/>
      <c r="CV67" s="273"/>
      <c r="CW67" s="274"/>
      <c r="CX67" s="278"/>
      <c r="CY67" s="271"/>
      <c r="CZ67" s="273"/>
      <c r="DA67" s="274"/>
      <c r="DB67" s="25"/>
      <c r="DC67" s="25"/>
      <c r="DD67" s="25"/>
      <c r="DE67" s="25"/>
      <c r="DF67" s="25"/>
      <c r="DG67" s="25"/>
      <c r="DH67" s="25"/>
      <c r="DI67" s="25"/>
      <c r="DJ67" s="25"/>
      <c r="DK67" s="25"/>
      <c r="DL67" s="25"/>
      <c r="DM67" s="25"/>
      <c r="DN67" s="25"/>
      <c r="DO67" s="25"/>
      <c r="DP67" s="25"/>
    </row>
    <row r="69" spans="21:159" x14ac:dyDescent="0.6">
      <c r="U69" s="1" t="s">
        <v>510</v>
      </c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476" t="s">
        <v>521</v>
      </c>
      <c r="CE69" s="490"/>
      <c r="CF69" s="490"/>
      <c r="CG69" s="490"/>
      <c r="CH69" s="490"/>
      <c r="CI69" s="490"/>
      <c r="CJ69" s="490"/>
      <c r="CK69" s="491"/>
      <c r="CL69" s="476" t="s">
        <v>531</v>
      </c>
      <c r="CM69" s="477"/>
      <c r="CN69" s="477"/>
      <c r="CO69" s="477"/>
      <c r="CP69" s="477"/>
      <c r="CQ69" s="477"/>
      <c r="CR69" s="477"/>
      <c r="CS69" s="478"/>
      <c r="CT69" s="476" t="s">
        <v>531</v>
      </c>
      <c r="CU69" s="477"/>
      <c r="CV69" s="477"/>
      <c r="CW69" s="477"/>
      <c r="CX69" s="477"/>
      <c r="CY69" s="477"/>
      <c r="CZ69" s="477"/>
      <c r="DA69" s="478"/>
      <c r="DB69" s="25"/>
      <c r="DC69" s="25"/>
      <c r="DD69" s="25"/>
      <c r="DE69" s="25"/>
      <c r="DF69" s="25"/>
      <c r="DG69" s="25"/>
      <c r="DH69" s="25"/>
      <c r="DI69" s="25"/>
      <c r="DJ69" s="25"/>
      <c r="DK69" s="25"/>
      <c r="DL69" s="25"/>
      <c r="DM69" s="25"/>
      <c r="DN69" s="25"/>
      <c r="DO69" s="25"/>
      <c r="DP69" s="25"/>
    </row>
    <row r="70" spans="21:159" x14ac:dyDescent="0.5">
      <c r="AH70" s="489" t="s">
        <v>513</v>
      </c>
      <c r="AI70" s="489"/>
      <c r="AJ70" s="489"/>
      <c r="AK70" s="489"/>
      <c r="AL70" s="489"/>
      <c r="AM70" s="489"/>
      <c r="AN70" s="489"/>
      <c r="AO70" s="489"/>
    </row>
    <row r="71" spans="21:159" x14ac:dyDescent="0.6">
      <c r="U71" s="1" t="s">
        <v>532</v>
      </c>
      <c r="Z71" s="24"/>
      <c r="AA71" s="24"/>
      <c r="AB71" s="24"/>
      <c r="AC71" s="24"/>
      <c r="AD71" s="24"/>
      <c r="AE71" s="24"/>
      <c r="AF71" s="24"/>
      <c r="AG71" s="24"/>
      <c r="AH71" s="483" t="s">
        <v>515</v>
      </c>
      <c r="AI71" s="484"/>
      <c r="AJ71" s="484"/>
      <c r="AK71" s="484"/>
      <c r="AL71" s="484"/>
      <c r="AM71" s="484"/>
      <c r="AN71" s="484"/>
      <c r="AO71" s="485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</row>
    <row r="72" spans="21:159" x14ac:dyDescent="0.5">
      <c r="AY72" s="489" t="s">
        <v>524</v>
      </c>
      <c r="AZ72" s="489"/>
      <c r="BA72" s="489"/>
      <c r="BB72" s="489"/>
      <c r="BC72" s="489"/>
      <c r="BD72" s="489"/>
      <c r="BE72" s="489"/>
      <c r="BF72" s="489"/>
      <c r="BG72" s="489" t="s">
        <v>525</v>
      </c>
      <c r="BH72" s="489"/>
      <c r="BI72" s="489"/>
      <c r="BJ72" s="489"/>
      <c r="BK72" s="489"/>
      <c r="BL72" s="489"/>
      <c r="BM72" s="489"/>
      <c r="BN72" s="489"/>
      <c r="BO72" s="489" t="s">
        <v>526</v>
      </c>
      <c r="BP72" s="489"/>
      <c r="BQ72" s="489"/>
      <c r="BR72" s="489"/>
      <c r="BS72" s="489"/>
      <c r="BT72" s="489"/>
      <c r="BU72" s="489"/>
      <c r="BV72" s="489"/>
      <c r="BW72" s="489" t="s">
        <v>527</v>
      </c>
      <c r="BX72" s="489"/>
      <c r="BY72" s="489"/>
      <c r="BZ72" s="489"/>
      <c r="CA72" s="489"/>
      <c r="CB72" s="489"/>
      <c r="CC72" s="489"/>
      <c r="CD72" s="489"/>
      <c r="CE72" s="24"/>
      <c r="CF72" s="24"/>
      <c r="CG72" s="24"/>
      <c r="CH72" s="24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</row>
    <row r="73" spans="21:159" x14ac:dyDescent="0.6">
      <c r="U73" s="1" t="s">
        <v>533</v>
      </c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479" t="s">
        <v>517</v>
      </c>
      <c r="AZ73" s="480"/>
      <c r="BA73" s="480"/>
      <c r="BB73" s="480"/>
      <c r="BC73" s="480"/>
      <c r="BD73" s="480"/>
      <c r="BE73" s="480"/>
      <c r="BF73" s="481"/>
      <c r="BG73" s="479" t="s">
        <v>518</v>
      </c>
      <c r="BH73" s="480"/>
      <c r="BI73" s="480"/>
      <c r="BJ73" s="480"/>
      <c r="BK73" s="480"/>
      <c r="BL73" s="480"/>
      <c r="BM73" s="480"/>
      <c r="BN73" s="481"/>
      <c r="BO73" s="479" t="s">
        <v>519</v>
      </c>
      <c r="BP73" s="480"/>
      <c r="BQ73" s="480"/>
      <c r="BR73" s="480"/>
      <c r="BS73" s="480"/>
      <c r="BT73" s="480"/>
      <c r="BU73" s="480"/>
      <c r="BV73" s="481"/>
      <c r="BW73" s="479" t="s">
        <v>520</v>
      </c>
      <c r="BX73" s="480"/>
      <c r="BY73" s="480"/>
      <c r="BZ73" s="480"/>
      <c r="CA73" s="480"/>
      <c r="CB73" s="480"/>
      <c r="CC73" s="480"/>
      <c r="CD73" s="481"/>
    </row>
    <row r="74" spans="21:159" x14ac:dyDescent="0.5">
      <c r="CM74" s="489" t="s">
        <v>528</v>
      </c>
      <c r="CN74" s="489"/>
      <c r="CO74" s="489"/>
      <c r="CP74" s="489"/>
      <c r="CQ74" s="489"/>
      <c r="CR74" s="489"/>
      <c r="CS74" s="489"/>
      <c r="CT74" s="489"/>
      <c r="CU74" s="489" t="s">
        <v>529</v>
      </c>
      <c r="CV74" s="489"/>
      <c r="CW74" s="489"/>
      <c r="CX74" s="489"/>
      <c r="CY74" s="489"/>
      <c r="CZ74" s="489"/>
      <c r="DA74" s="489"/>
      <c r="DB74" s="489"/>
    </row>
    <row r="75" spans="21:159" x14ac:dyDescent="0.6">
      <c r="U75" s="1" t="s">
        <v>535</v>
      </c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CM75" s="476" t="s">
        <v>522</v>
      </c>
      <c r="CN75" s="477"/>
      <c r="CO75" s="477"/>
      <c r="CP75" s="477"/>
      <c r="CQ75" s="477"/>
      <c r="CR75" s="477"/>
      <c r="CS75" s="477"/>
      <c r="CT75" s="478"/>
      <c r="CU75" s="476" t="s">
        <v>523</v>
      </c>
      <c r="CV75" s="477"/>
      <c r="CW75" s="477"/>
      <c r="CX75" s="477"/>
      <c r="CY75" s="477"/>
      <c r="CZ75" s="477"/>
      <c r="DA75" s="477"/>
      <c r="DB75" s="478"/>
    </row>
    <row r="78" spans="21:159" x14ac:dyDescent="0.6">
      <c r="U78" s="6" t="s">
        <v>537</v>
      </c>
      <c r="DH78" t="s">
        <v>481</v>
      </c>
    </row>
    <row r="79" spans="21:159" x14ac:dyDescent="0.6">
      <c r="U79" s="266" t="s">
        <v>482</v>
      </c>
      <c r="V79" s="28"/>
      <c r="W79" s="29"/>
      <c r="X79" s="26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DB79" s="25"/>
      <c r="DC79" s="25"/>
      <c r="DD79" s="25"/>
      <c r="DE79" s="25"/>
      <c r="DF79" s="25"/>
      <c r="DG79" s="21"/>
      <c r="DH79" s="27"/>
      <c r="DI79" s="28"/>
      <c r="DJ79" s="28"/>
      <c r="DK79" s="28"/>
      <c r="DL79" s="28"/>
      <c r="DM79" s="28"/>
      <c r="DN79" s="29"/>
      <c r="DO79" s="26"/>
      <c r="DP79" s="25"/>
    </row>
    <row r="80" spans="21:159" x14ac:dyDescent="0.6">
      <c r="X80" s="267"/>
      <c r="Y80" s="267"/>
      <c r="Z80" s="474">
        <v>16</v>
      </c>
      <c r="AA80" s="474"/>
      <c r="AB80" s="474">
        <v>15</v>
      </c>
      <c r="AC80" s="474"/>
      <c r="AD80" s="474">
        <v>14</v>
      </c>
      <c r="AE80" s="474"/>
      <c r="AF80" s="474">
        <v>13</v>
      </c>
      <c r="AG80" s="474"/>
      <c r="AH80" s="474">
        <v>12</v>
      </c>
      <c r="AI80" s="474"/>
      <c r="AJ80" s="474">
        <v>11</v>
      </c>
      <c r="AK80" s="474"/>
      <c r="AL80" s="474">
        <v>10</v>
      </c>
      <c r="AM80" s="474"/>
      <c r="AN80" s="474">
        <v>9</v>
      </c>
      <c r="AO80" s="474"/>
      <c r="AP80" s="276"/>
      <c r="AQ80" s="276"/>
      <c r="AR80" s="474">
        <v>4</v>
      </c>
      <c r="AS80" s="474"/>
      <c r="AT80" s="268">
        <v>3</v>
      </c>
      <c r="AU80" s="268"/>
      <c r="AV80" s="268">
        <v>2</v>
      </c>
      <c r="AW80" s="268"/>
      <c r="AX80" s="474">
        <v>1</v>
      </c>
      <c r="AY80" s="474"/>
      <c r="AZ80" s="474">
        <v>16</v>
      </c>
      <c r="BA80" s="474"/>
      <c r="BB80" s="474">
        <v>15</v>
      </c>
      <c r="BC80" s="474"/>
      <c r="BD80" s="474">
        <v>14</v>
      </c>
      <c r="BE80" s="474"/>
      <c r="BF80" s="474">
        <v>13</v>
      </c>
      <c r="BG80" s="474"/>
      <c r="BH80" s="474">
        <v>12</v>
      </c>
      <c r="BI80" s="474"/>
      <c r="BJ80" s="474">
        <v>11</v>
      </c>
      <c r="BK80" s="474"/>
      <c r="BL80" s="474">
        <v>10</v>
      </c>
      <c r="BM80" s="474"/>
      <c r="BN80" s="474">
        <v>9</v>
      </c>
      <c r="BO80" s="474"/>
      <c r="BP80" s="276"/>
      <c r="BQ80" s="276"/>
      <c r="BR80" s="474">
        <v>4</v>
      </c>
      <c r="BS80" s="474"/>
      <c r="BT80" s="268">
        <v>3</v>
      </c>
      <c r="BU80" s="268"/>
      <c r="BV80" s="268">
        <v>2</v>
      </c>
      <c r="BW80" s="268"/>
      <c r="BX80" s="474">
        <v>1</v>
      </c>
      <c r="BY80" s="474"/>
      <c r="BZ80" s="474">
        <v>16</v>
      </c>
      <c r="CA80" s="474"/>
      <c r="CB80" s="474">
        <v>15</v>
      </c>
      <c r="CC80" s="474"/>
      <c r="CD80" s="474">
        <v>14</v>
      </c>
      <c r="CE80" s="474"/>
      <c r="CF80" s="474">
        <v>13</v>
      </c>
      <c r="CG80" s="474"/>
      <c r="CH80" s="474">
        <v>12</v>
      </c>
      <c r="CI80" s="474"/>
      <c r="CJ80" s="474">
        <v>11</v>
      </c>
      <c r="CK80" s="474"/>
      <c r="CL80" s="474">
        <v>10</v>
      </c>
      <c r="CM80" s="474"/>
      <c r="CN80" s="474">
        <v>9</v>
      </c>
      <c r="CO80" s="474"/>
      <c r="CP80" s="276"/>
      <c r="CQ80" s="276"/>
      <c r="CR80" s="474">
        <v>4</v>
      </c>
      <c r="CS80" s="474"/>
      <c r="CT80" s="268">
        <v>3</v>
      </c>
      <c r="CU80" s="268"/>
      <c r="CV80" s="268">
        <v>2</v>
      </c>
      <c r="CW80" s="268"/>
      <c r="CX80" s="474">
        <v>1</v>
      </c>
      <c r="CY80" s="474"/>
      <c r="CZ80" s="276"/>
      <c r="DA80" s="276"/>
      <c r="DB80" s="277"/>
      <c r="DC80" s="277"/>
      <c r="DD80" s="277"/>
      <c r="DE80" s="277"/>
      <c r="DF80" s="269"/>
      <c r="DG80" s="269"/>
      <c r="DH80" s="267"/>
      <c r="DI80" s="267"/>
      <c r="DJ80" s="267"/>
      <c r="DK80" s="267"/>
      <c r="DL80" s="267"/>
      <c r="DM80" s="270"/>
      <c r="DN80" s="270"/>
      <c r="DO80" s="270"/>
      <c r="DP80" s="270"/>
      <c r="DQ80" s="270"/>
      <c r="DR80" s="270"/>
      <c r="DS80" s="270"/>
      <c r="DT80" s="270"/>
      <c r="DU80" s="270"/>
      <c r="DV80" s="270"/>
      <c r="DW80" s="270"/>
      <c r="DX80" s="270"/>
      <c r="DY80" s="270"/>
      <c r="DZ80" s="270"/>
      <c r="EA80" s="270"/>
      <c r="EB80" s="270"/>
      <c r="EC80" s="270"/>
      <c r="ED80" s="270"/>
      <c r="EE80" s="270"/>
      <c r="EF80" s="270"/>
      <c r="EG80" s="270"/>
      <c r="EH80" s="270"/>
      <c r="EI80" s="270"/>
      <c r="EJ80" s="270"/>
      <c r="EK80" s="270"/>
      <c r="EL80" s="270"/>
      <c r="EM80" s="270"/>
      <c r="EN80" s="270"/>
      <c r="EO80" s="270"/>
      <c r="EP80" s="270"/>
      <c r="EQ80" s="270"/>
      <c r="ER80" s="270"/>
      <c r="ES80" s="270"/>
      <c r="ET80" s="270"/>
      <c r="EU80" s="270"/>
      <c r="EV80" s="270"/>
      <c r="EW80" s="270"/>
      <c r="EX80" s="270"/>
      <c r="EY80" s="270"/>
      <c r="EZ80" s="270"/>
      <c r="FA80" s="270"/>
      <c r="FB80" s="270"/>
      <c r="FC80" s="270"/>
    </row>
    <row r="81" spans="21:159" x14ac:dyDescent="0.6">
      <c r="U81" s="1" t="s">
        <v>487</v>
      </c>
      <c r="V81" s="271"/>
      <c r="W81" s="271"/>
      <c r="X81" s="271"/>
      <c r="Y81" s="272"/>
      <c r="Z81" s="273"/>
      <c r="AA81" s="274"/>
      <c r="AB81" s="273"/>
      <c r="AC81" s="274"/>
      <c r="AD81" s="273"/>
      <c r="AE81" s="274"/>
      <c r="AF81" s="273"/>
      <c r="AG81" s="274"/>
      <c r="AH81" s="273"/>
      <c r="AI81" s="274"/>
      <c r="AJ81" s="273"/>
      <c r="AK81" s="274"/>
      <c r="AL81" s="273"/>
      <c r="AM81" s="274"/>
      <c r="AN81" s="273"/>
      <c r="AO81" s="274"/>
      <c r="AQ81" s="271"/>
      <c r="AR81" s="273"/>
      <c r="AS81" s="274"/>
      <c r="AT81" s="273"/>
      <c r="AU81" s="274"/>
      <c r="AV81" s="273"/>
      <c r="AW81" s="274"/>
      <c r="AX81" s="273"/>
      <c r="AY81" s="274"/>
      <c r="AZ81" s="273"/>
      <c r="BA81" s="274"/>
      <c r="BB81" s="273"/>
      <c r="BC81" s="274"/>
      <c r="BD81" s="273"/>
      <c r="BE81" s="274"/>
      <c r="BF81" s="273"/>
      <c r="BG81" s="274"/>
      <c r="BH81" s="273"/>
      <c r="BI81" s="274"/>
      <c r="BJ81" s="273"/>
      <c r="BK81" s="274"/>
      <c r="BL81" s="273"/>
      <c r="BM81" s="274"/>
      <c r="BN81" s="273"/>
      <c r="BO81" s="274"/>
      <c r="BQ81" s="271"/>
      <c r="BR81" s="273"/>
      <c r="BS81" s="274"/>
      <c r="BT81" s="273"/>
      <c r="BU81" s="274"/>
      <c r="BV81" s="273"/>
      <c r="BW81" s="274"/>
      <c r="BX81" s="273"/>
      <c r="BY81" s="274"/>
      <c r="BZ81" s="273"/>
      <c r="CA81" s="274"/>
      <c r="CB81" s="273"/>
      <c r="CC81" s="274"/>
      <c r="CD81" s="273"/>
      <c r="CE81" s="274"/>
      <c r="CF81" s="273"/>
      <c r="CG81" s="274"/>
      <c r="CH81" s="273"/>
      <c r="CI81" s="274"/>
      <c r="CJ81" s="273"/>
      <c r="CK81" s="274"/>
      <c r="CL81" s="273"/>
      <c r="CM81" s="274"/>
      <c r="CN81" s="273"/>
      <c r="CO81" s="274"/>
      <c r="CQ81" s="271"/>
      <c r="CR81" s="273"/>
      <c r="CS81" s="274"/>
      <c r="CT81" s="273"/>
      <c r="CU81" s="274"/>
      <c r="CV81" s="273"/>
      <c r="CW81" s="274"/>
      <c r="CX81" s="273"/>
      <c r="CY81" s="274"/>
      <c r="CZ81" s="271"/>
      <c r="DA81" s="271"/>
      <c r="DB81" s="271"/>
      <c r="DC81" s="271"/>
      <c r="DD81" s="271"/>
      <c r="DE81" s="271"/>
      <c r="DF81" s="271"/>
      <c r="DG81" s="271"/>
      <c r="DH81" s="271"/>
      <c r="DI81" s="271"/>
      <c r="DJ81" s="271"/>
      <c r="DK81" s="271"/>
      <c r="DL81" s="271"/>
      <c r="DM81" s="271"/>
      <c r="DN81" s="271"/>
      <c r="DO81" s="271"/>
      <c r="DP81" s="271"/>
      <c r="DQ81" s="275"/>
      <c r="DR81" s="275"/>
      <c r="DS81" s="275"/>
      <c r="DT81" s="275"/>
      <c r="DU81" s="275"/>
      <c r="DV81" s="275"/>
      <c r="DW81" s="275"/>
      <c r="DX81" s="275"/>
      <c r="DY81" s="275"/>
      <c r="DZ81" s="275"/>
      <c r="EA81" s="275"/>
      <c r="EB81" s="275"/>
      <c r="EC81" s="275"/>
      <c r="ED81" s="275"/>
      <c r="EE81" s="275"/>
      <c r="EF81" s="275"/>
      <c r="EG81" s="275"/>
      <c r="EH81" s="275"/>
      <c r="EI81" s="275"/>
      <c r="EJ81" s="275"/>
      <c r="EK81" s="275"/>
      <c r="EL81" s="275"/>
      <c r="EM81" s="275"/>
      <c r="EN81" s="275"/>
      <c r="EO81" s="275"/>
      <c r="EP81" s="275"/>
      <c r="EQ81" s="275"/>
      <c r="ER81" s="275"/>
      <c r="ES81" s="275"/>
      <c r="ET81" s="275"/>
      <c r="EU81" s="275"/>
      <c r="EV81" s="275"/>
      <c r="EW81" s="275"/>
      <c r="EX81" s="275"/>
      <c r="EY81" s="275"/>
      <c r="EZ81" s="275"/>
      <c r="FA81" s="275"/>
      <c r="FB81" s="275"/>
      <c r="FC81" s="275"/>
    </row>
    <row r="83" spans="21:159" x14ac:dyDescent="0.6">
      <c r="U83" s="1" t="s">
        <v>492</v>
      </c>
      <c r="V83" s="25"/>
      <c r="W83" s="25"/>
      <c r="X83" s="25"/>
      <c r="Y83" s="25"/>
      <c r="Z83" s="488" t="s">
        <v>538</v>
      </c>
      <c r="AA83" s="488"/>
      <c r="AB83" s="488"/>
      <c r="AC83" s="488"/>
      <c r="AD83" s="488"/>
      <c r="AE83" s="488"/>
      <c r="AF83" s="488"/>
      <c r="AG83" s="488"/>
      <c r="AH83" s="488"/>
      <c r="AI83" s="488"/>
      <c r="AJ83" s="488"/>
      <c r="AK83" s="488"/>
      <c r="AL83" s="488"/>
      <c r="AM83" s="488"/>
      <c r="AN83" s="488"/>
      <c r="AO83" s="488"/>
      <c r="AP83" s="488"/>
      <c r="AQ83" s="488"/>
      <c r="AR83" s="488"/>
      <c r="AS83" s="488"/>
      <c r="AT83" s="488"/>
      <c r="AU83" s="488"/>
      <c r="AV83" s="488"/>
      <c r="AW83" s="488"/>
      <c r="AX83" s="488"/>
      <c r="AY83" s="488"/>
      <c r="AZ83" s="487" t="s">
        <v>495</v>
      </c>
      <c r="BA83" s="487"/>
      <c r="BB83" s="487"/>
      <c r="BC83" s="487"/>
      <c r="BD83" s="487"/>
      <c r="BE83" s="487"/>
      <c r="BF83" s="487"/>
      <c r="BG83" s="487"/>
      <c r="BH83" s="487"/>
      <c r="BI83" s="487"/>
      <c r="BJ83" s="487"/>
      <c r="BK83" s="487"/>
      <c r="BL83" s="487"/>
      <c r="BM83" s="487"/>
      <c r="BN83" s="487"/>
      <c r="BO83" s="487"/>
      <c r="BP83" s="487"/>
      <c r="BQ83" s="487"/>
      <c r="BR83" s="487"/>
      <c r="BS83" s="487"/>
      <c r="BT83" s="487"/>
      <c r="BU83" s="487"/>
      <c r="BV83" s="487"/>
      <c r="BW83" s="487"/>
      <c r="BX83" s="487"/>
      <c r="BY83" s="487"/>
      <c r="BZ83" s="486" t="s">
        <v>539</v>
      </c>
      <c r="CA83" s="486"/>
      <c r="CB83" s="486"/>
      <c r="CC83" s="486"/>
      <c r="CD83" s="486"/>
      <c r="CE83" s="486"/>
      <c r="CF83" s="486"/>
      <c r="CG83" s="486"/>
      <c r="CH83" s="486"/>
      <c r="CI83" s="486"/>
      <c r="CJ83" s="486"/>
      <c r="CK83" s="486"/>
      <c r="CL83" s="486"/>
      <c r="CM83" s="486"/>
      <c r="CN83" s="486"/>
      <c r="CO83" s="486"/>
      <c r="CP83" s="486"/>
      <c r="CQ83" s="486"/>
      <c r="CR83" s="486"/>
      <c r="CS83" s="486"/>
      <c r="CT83" s="486"/>
      <c r="CU83" s="486"/>
      <c r="CV83" s="486"/>
      <c r="CW83" s="486"/>
      <c r="CX83" s="486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</row>
    <row r="84" spans="21:159" x14ac:dyDescent="0.3">
      <c r="AZ84" s="474">
        <v>16</v>
      </c>
      <c r="BA84" s="474"/>
      <c r="BB84" s="474">
        <v>15</v>
      </c>
      <c r="BC84" s="474"/>
      <c r="BD84" s="474">
        <v>14</v>
      </c>
      <c r="BE84" s="474"/>
      <c r="BF84" s="474">
        <v>13</v>
      </c>
      <c r="BG84" s="474"/>
      <c r="BH84" s="474">
        <v>12</v>
      </c>
      <c r="BI84" s="474"/>
      <c r="BJ84" s="474">
        <v>11</v>
      </c>
      <c r="BK84" s="474"/>
      <c r="BL84" s="474">
        <v>10</v>
      </c>
      <c r="BM84" s="474"/>
      <c r="BN84" s="474">
        <v>9</v>
      </c>
      <c r="BO84" s="474"/>
      <c r="BP84" s="276"/>
      <c r="BQ84" s="276"/>
      <c r="BR84" s="474">
        <v>4</v>
      </c>
      <c r="BS84" s="474"/>
      <c r="BT84" s="268">
        <v>3</v>
      </c>
      <c r="BU84" s="268"/>
      <c r="BV84" s="268">
        <v>2</v>
      </c>
      <c r="BW84" s="268"/>
      <c r="BX84" s="474">
        <v>1</v>
      </c>
      <c r="BY84" s="474"/>
      <c r="BZ84" s="474">
        <v>16</v>
      </c>
      <c r="CA84" s="474"/>
      <c r="CB84" s="474">
        <v>15</v>
      </c>
      <c r="CC84" s="474"/>
      <c r="CD84" s="474">
        <v>14</v>
      </c>
      <c r="CE84" s="474"/>
      <c r="CF84" s="474">
        <v>13</v>
      </c>
      <c r="CG84" s="474"/>
      <c r="CH84" s="474">
        <v>12</v>
      </c>
      <c r="CI84" s="474"/>
      <c r="CJ84" s="474">
        <v>11</v>
      </c>
      <c r="CK84" s="474"/>
      <c r="CL84" s="474">
        <v>10</v>
      </c>
      <c r="CM84" s="474"/>
      <c r="CN84" s="474">
        <v>9</v>
      </c>
      <c r="CO84" s="474"/>
      <c r="CP84" s="276"/>
      <c r="CQ84" s="276"/>
      <c r="CR84" s="474">
        <v>4</v>
      </c>
      <c r="CS84" s="474"/>
      <c r="CT84" s="268">
        <v>3</v>
      </c>
      <c r="CU84" s="268"/>
      <c r="CV84" s="268">
        <v>2</v>
      </c>
      <c r="CW84" s="268"/>
      <c r="CX84" s="474">
        <v>1</v>
      </c>
      <c r="CY84" s="474"/>
      <c r="CZ84" s="276"/>
    </row>
    <row r="85" spans="21:159" x14ac:dyDescent="0.6">
      <c r="U85" s="1" t="s">
        <v>502</v>
      </c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73"/>
      <c r="BA85" s="274"/>
      <c r="BB85" s="273"/>
      <c r="BC85" s="274"/>
      <c r="BD85" s="273"/>
      <c r="BE85" s="274"/>
      <c r="BF85" s="273"/>
      <c r="BG85" s="274"/>
      <c r="BH85" s="273"/>
      <c r="BI85" s="274"/>
      <c r="BJ85" s="273"/>
      <c r="BK85" s="274"/>
      <c r="BL85" s="273"/>
      <c r="BM85" s="274"/>
      <c r="BN85" s="273"/>
      <c r="BO85" s="274"/>
      <c r="BQ85" s="271"/>
      <c r="BR85" s="273"/>
      <c r="BS85" s="274"/>
      <c r="BT85" s="273"/>
      <c r="BU85" s="274"/>
      <c r="BV85" s="273"/>
      <c r="BW85" s="274"/>
      <c r="BX85" s="273"/>
      <c r="BY85" s="274"/>
      <c r="BZ85" s="273"/>
      <c r="CA85" s="274"/>
      <c r="CB85" s="273"/>
      <c r="CC85" s="274"/>
      <c r="CD85" s="273"/>
      <c r="CE85" s="274"/>
      <c r="CF85" s="273"/>
      <c r="CG85" s="274"/>
      <c r="CH85" s="273"/>
      <c r="CI85" s="274"/>
      <c r="CJ85" s="273"/>
      <c r="CK85" s="274"/>
      <c r="CL85" s="273"/>
      <c r="CM85" s="274"/>
      <c r="CN85" s="273"/>
      <c r="CO85" s="274"/>
      <c r="CQ85" s="271"/>
      <c r="CR85" s="273"/>
      <c r="CS85" s="274"/>
      <c r="CT85" s="273"/>
      <c r="CU85" s="274"/>
      <c r="CV85" s="273"/>
      <c r="CW85" s="274"/>
      <c r="CX85" s="273"/>
      <c r="CY85" s="274"/>
      <c r="CZ85" s="271"/>
      <c r="DA85" s="271"/>
      <c r="DB85" s="271"/>
      <c r="DC85" s="271"/>
      <c r="DD85" s="271"/>
      <c r="DE85" s="271"/>
      <c r="DF85" s="271"/>
      <c r="DG85" s="271"/>
      <c r="DH85" s="271"/>
      <c r="DI85" s="271"/>
      <c r="DJ85" s="271"/>
      <c r="DK85" s="271"/>
      <c r="DL85" s="271"/>
      <c r="DM85" s="271"/>
      <c r="DN85" s="271"/>
      <c r="DO85" s="271"/>
      <c r="DP85" s="271"/>
      <c r="DQ85" s="275"/>
      <c r="DR85" s="275"/>
      <c r="DS85" s="275"/>
      <c r="DT85" s="275"/>
      <c r="DU85" s="275"/>
      <c r="DV85" s="275"/>
      <c r="DW85" s="275"/>
      <c r="DX85" s="275"/>
      <c r="DY85" s="275"/>
      <c r="DZ85" s="275"/>
      <c r="EA85" s="275"/>
      <c r="EB85" s="275"/>
      <c r="EC85" s="275"/>
      <c r="ED85" s="275"/>
      <c r="EE85" s="275"/>
      <c r="EF85" s="275"/>
      <c r="EG85" s="275"/>
      <c r="EH85" s="275"/>
      <c r="EI85" s="275"/>
      <c r="EJ85" s="275"/>
      <c r="EK85" s="275"/>
      <c r="EL85" s="275"/>
      <c r="EM85" s="275"/>
      <c r="EN85" s="275"/>
      <c r="EO85" s="275"/>
      <c r="EP85" s="275"/>
      <c r="EQ85" s="275"/>
      <c r="ER85" s="275"/>
      <c r="ES85" s="275"/>
      <c r="ET85" s="275"/>
      <c r="EU85" s="275"/>
      <c r="EV85" s="275"/>
      <c r="EW85" s="275"/>
      <c r="EX85" s="275"/>
      <c r="EY85" s="275"/>
      <c r="EZ85" s="275"/>
      <c r="FA85" s="275"/>
      <c r="FB85" s="275"/>
      <c r="FC85" s="275"/>
    </row>
    <row r="87" spans="21:159" x14ac:dyDescent="0.6">
      <c r="U87" s="1" t="s">
        <v>504</v>
      </c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487" t="s">
        <v>495</v>
      </c>
      <c r="BA87" s="487"/>
      <c r="BB87" s="487"/>
      <c r="BC87" s="487"/>
      <c r="BD87" s="487"/>
      <c r="BE87" s="487"/>
      <c r="BF87" s="487"/>
      <c r="BG87" s="487"/>
      <c r="BH87" s="487"/>
      <c r="BI87" s="487"/>
      <c r="BJ87" s="487"/>
      <c r="BK87" s="487"/>
      <c r="BL87" s="487"/>
      <c r="BM87" s="487"/>
      <c r="BN87" s="487"/>
      <c r="BO87" s="487"/>
      <c r="BP87" s="487"/>
      <c r="BQ87" s="487"/>
      <c r="BR87" s="487"/>
      <c r="BS87" s="487"/>
      <c r="BT87" s="487"/>
      <c r="BU87" s="487"/>
      <c r="BV87" s="487"/>
      <c r="BW87" s="487"/>
      <c r="BX87" s="487"/>
      <c r="BY87" s="487"/>
      <c r="BZ87" s="486" t="s">
        <v>539</v>
      </c>
      <c r="CA87" s="486"/>
      <c r="CB87" s="486"/>
      <c r="CC87" s="486"/>
      <c r="CD87" s="486"/>
      <c r="CE87" s="486"/>
      <c r="CF87" s="486"/>
      <c r="CG87" s="486"/>
      <c r="CH87" s="486"/>
      <c r="CI87" s="486"/>
      <c r="CJ87" s="486"/>
      <c r="CK87" s="486"/>
      <c r="CL87" s="486"/>
      <c r="CM87" s="486"/>
      <c r="CN87" s="486"/>
      <c r="CO87" s="486"/>
      <c r="CP87" s="486"/>
      <c r="CQ87" s="486"/>
      <c r="CR87" s="486"/>
      <c r="CS87" s="486"/>
      <c r="CT87" s="486"/>
      <c r="CU87" s="486"/>
      <c r="CV87" s="486"/>
      <c r="CW87" s="486"/>
      <c r="CX87" s="486"/>
      <c r="CY87" s="25"/>
      <c r="CZ87" s="25"/>
      <c r="DA87" s="25"/>
      <c r="DB87" s="25"/>
      <c r="DC87" s="25"/>
      <c r="DD87" s="25"/>
      <c r="DE87" s="25"/>
      <c r="DF87" s="25"/>
      <c r="DG87" s="25"/>
      <c r="DH87" s="25"/>
      <c r="DI87" s="25"/>
      <c r="DJ87" s="25"/>
      <c r="DK87" s="25"/>
      <c r="DL87" s="25"/>
      <c r="DM87" s="25"/>
      <c r="DN87" s="25"/>
      <c r="DO87" s="25"/>
      <c r="DP87" s="25"/>
    </row>
    <row r="88" spans="21:159" x14ac:dyDescent="0.3">
      <c r="BZ88" s="474">
        <v>16</v>
      </c>
      <c r="CA88" s="474"/>
      <c r="CB88" s="474">
        <v>15</v>
      </c>
      <c r="CC88" s="474"/>
      <c r="CD88" s="474">
        <v>14</v>
      </c>
      <c r="CE88" s="474"/>
      <c r="CF88" s="474">
        <v>13</v>
      </c>
      <c r="CG88" s="474"/>
      <c r="CH88" s="474">
        <v>12</v>
      </c>
      <c r="CI88" s="474"/>
      <c r="CJ88" s="474">
        <v>11</v>
      </c>
      <c r="CK88" s="474"/>
      <c r="CL88" s="474">
        <v>10</v>
      </c>
      <c r="CM88" s="474"/>
      <c r="CN88" s="474">
        <v>9</v>
      </c>
      <c r="CO88" s="474"/>
      <c r="CP88" s="276"/>
      <c r="CQ88" s="276"/>
      <c r="CR88" s="474">
        <v>4</v>
      </c>
      <c r="CS88" s="474"/>
      <c r="CT88" s="268">
        <v>3</v>
      </c>
      <c r="CU88" s="268"/>
      <c r="CV88" s="268">
        <v>2</v>
      </c>
      <c r="CW88" s="268"/>
      <c r="CX88" s="474">
        <v>1</v>
      </c>
      <c r="CY88" s="474"/>
      <c r="CZ88" s="276"/>
    </row>
    <row r="89" spans="21:159" x14ac:dyDescent="0.6">
      <c r="U89" s="1" t="s">
        <v>508</v>
      </c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3"/>
      <c r="CA89" s="274"/>
      <c r="CB89" s="273"/>
      <c r="CC89" s="274"/>
      <c r="CD89" s="273"/>
      <c r="CE89" s="274"/>
      <c r="CF89" s="273"/>
      <c r="CG89" s="274"/>
      <c r="CH89" s="273"/>
      <c r="CI89" s="274"/>
      <c r="CJ89" s="273"/>
      <c r="CK89" s="274"/>
      <c r="CL89" s="273"/>
      <c r="CM89" s="274"/>
      <c r="CN89" s="273"/>
      <c r="CO89" s="274"/>
      <c r="CQ89" s="271"/>
      <c r="CR89" s="273"/>
      <c r="CS89" s="274"/>
      <c r="CT89" s="273"/>
      <c r="CU89" s="274"/>
      <c r="CV89" s="273"/>
      <c r="CW89" s="274"/>
      <c r="CX89" s="273"/>
      <c r="CY89" s="274"/>
      <c r="CZ89" s="271"/>
      <c r="DA89" s="271"/>
      <c r="DB89" s="271"/>
      <c r="DC89" s="271"/>
      <c r="DD89" s="271"/>
      <c r="DE89" s="271"/>
      <c r="DF89" s="271"/>
      <c r="DG89" s="271"/>
      <c r="DH89" s="271"/>
      <c r="DI89" s="271"/>
      <c r="DJ89" s="271"/>
      <c r="DK89" s="271"/>
      <c r="DL89" s="271"/>
      <c r="DM89" s="271"/>
      <c r="DN89" s="271"/>
      <c r="DO89" s="271"/>
      <c r="DP89" s="271"/>
      <c r="DQ89" s="275"/>
      <c r="DR89" s="275"/>
      <c r="DS89" s="275"/>
      <c r="DT89" s="275"/>
      <c r="DU89" s="275"/>
      <c r="DV89" s="275"/>
      <c r="DW89" s="275"/>
      <c r="DX89" s="275"/>
      <c r="DY89" s="275"/>
      <c r="DZ89" s="275"/>
      <c r="EA89" s="275"/>
      <c r="EB89" s="275"/>
      <c r="EC89" s="275"/>
      <c r="ED89" s="275"/>
      <c r="EE89" s="275"/>
      <c r="EF89" s="275"/>
      <c r="EG89" s="275"/>
      <c r="EH89" s="275"/>
      <c r="EI89" s="275"/>
      <c r="EJ89" s="275"/>
      <c r="EK89" s="275"/>
      <c r="EL89" s="275"/>
      <c r="EM89" s="275"/>
      <c r="EN89" s="275"/>
      <c r="EO89" s="275"/>
      <c r="EP89" s="275"/>
      <c r="EQ89" s="275"/>
      <c r="ER89" s="275"/>
      <c r="ES89" s="275"/>
      <c r="ET89" s="275"/>
      <c r="EU89" s="275"/>
      <c r="EV89" s="275"/>
      <c r="EW89" s="275"/>
      <c r="EX89" s="275"/>
      <c r="EY89" s="275"/>
      <c r="EZ89" s="275"/>
      <c r="FA89" s="275"/>
      <c r="FB89" s="275"/>
      <c r="FC89" s="275"/>
    </row>
    <row r="91" spans="21:159" x14ac:dyDescent="0.6">
      <c r="U91" s="1" t="s">
        <v>510</v>
      </c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486" t="s">
        <v>539</v>
      </c>
      <c r="CA91" s="486"/>
      <c r="CB91" s="486"/>
      <c r="CC91" s="486"/>
      <c r="CD91" s="486"/>
      <c r="CE91" s="486"/>
      <c r="CF91" s="486"/>
      <c r="CG91" s="486"/>
      <c r="CH91" s="486"/>
      <c r="CI91" s="486"/>
      <c r="CJ91" s="486"/>
      <c r="CK91" s="486"/>
      <c r="CL91" s="486"/>
      <c r="CM91" s="486"/>
      <c r="CN91" s="486"/>
      <c r="CO91" s="486"/>
      <c r="CP91" s="486"/>
      <c r="CQ91" s="486"/>
      <c r="CR91" s="486"/>
      <c r="CS91" s="486"/>
      <c r="CT91" s="486"/>
      <c r="CU91" s="486"/>
      <c r="CV91" s="486"/>
      <c r="CW91" s="486"/>
      <c r="CX91" s="486"/>
      <c r="CY91" s="25"/>
      <c r="CZ91" s="25"/>
      <c r="DA91" s="25"/>
      <c r="DB91" s="25"/>
      <c r="DC91" s="25"/>
      <c r="DD91" s="25"/>
      <c r="DE91" s="25"/>
      <c r="DF91" s="25"/>
      <c r="DG91" s="25"/>
      <c r="DH91" s="25"/>
      <c r="DI91" s="25"/>
      <c r="DJ91" s="25"/>
      <c r="DK91" s="25"/>
      <c r="DL91" s="25"/>
      <c r="DM91" s="25"/>
      <c r="DN91" s="25"/>
      <c r="DO91" s="25"/>
      <c r="DP91" s="25"/>
    </row>
    <row r="96" spans="21:159" x14ac:dyDescent="0.6">
      <c r="U96" s="112" t="s">
        <v>540</v>
      </c>
    </row>
    <row r="97" spans="21:172" x14ac:dyDescent="0.6">
      <c r="U97" s="112" t="s">
        <v>541</v>
      </c>
    </row>
    <row r="98" spans="21:172" x14ac:dyDescent="0.6">
      <c r="X98" s="112" t="s">
        <v>542</v>
      </c>
    </row>
    <row r="99" spans="21:172" x14ac:dyDescent="0.6">
      <c r="U99" s="112"/>
      <c r="V99" s="112"/>
      <c r="W99" s="114"/>
      <c r="X99" s="114"/>
      <c r="Y99" s="114"/>
      <c r="Z99" s="114"/>
      <c r="AA99" s="114"/>
      <c r="AB99" s="114"/>
      <c r="DH99" t="s">
        <v>481</v>
      </c>
    </row>
    <row r="100" spans="21:172" x14ac:dyDescent="0.6">
      <c r="U100" s="266" t="s">
        <v>482</v>
      </c>
      <c r="V100" s="28"/>
      <c r="W100" s="29"/>
      <c r="X100" s="26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  <c r="CF100" s="25"/>
      <c r="CG100" s="25"/>
      <c r="CH100" s="25"/>
      <c r="CI100" s="25"/>
      <c r="CJ100" s="25"/>
      <c r="CK100" s="25"/>
      <c r="CL100" s="25"/>
      <c r="CM100" s="25"/>
      <c r="CN100" s="25"/>
      <c r="CO100" s="25"/>
      <c r="CP100" s="25"/>
      <c r="CQ100" s="25"/>
      <c r="CR100" s="25"/>
      <c r="CS100" s="25"/>
      <c r="CT100" s="25"/>
      <c r="CU100" s="25"/>
      <c r="CV100" s="25"/>
      <c r="CW100" s="25"/>
      <c r="CX100" s="25"/>
      <c r="CY100" s="25"/>
      <c r="CZ100" s="25"/>
      <c r="DA100" s="25"/>
      <c r="DB100" s="25"/>
      <c r="DC100" s="25"/>
      <c r="DD100" s="25"/>
      <c r="DE100" s="25"/>
      <c r="DF100" s="25"/>
      <c r="DG100" s="21"/>
      <c r="DH100" s="27"/>
      <c r="DI100" s="28"/>
      <c r="DJ100" s="28"/>
      <c r="DK100" s="28"/>
      <c r="DL100" s="28"/>
      <c r="DM100" s="28"/>
      <c r="DN100" s="29"/>
      <c r="DO100" s="26"/>
      <c r="DP100" s="25"/>
    </row>
    <row r="101" spans="21:172" x14ac:dyDescent="0.6">
      <c r="X101" s="6"/>
      <c r="Y101" s="6"/>
      <c r="Z101" s="474">
        <v>16</v>
      </c>
      <c r="AA101" s="474"/>
      <c r="AB101" s="474">
        <v>15</v>
      </c>
      <c r="AC101" s="474"/>
      <c r="AD101" s="276"/>
      <c r="AE101" s="276"/>
      <c r="AF101" s="474">
        <v>1</v>
      </c>
      <c r="AG101" s="474"/>
      <c r="AH101" s="474">
        <v>16</v>
      </c>
      <c r="AI101" s="474"/>
      <c r="AJ101" s="474">
        <v>15</v>
      </c>
      <c r="AK101" s="474"/>
      <c r="AL101" s="276"/>
      <c r="AM101" s="276"/>
      <c r="AN101" s="474">
        <v>1</v>
      </c>
      <c r="AO101" s="474"/>
      <c r="AP101" s="474">
        <v>16</v>
      </c>
      <c r="AQ101" s="474"/>
      <c r="AR101" s="277"/>
      <c r="AS101" s="474">
        <v>16</v>
      </c>
      <c r="AT101" s="474"/>
      <c r="AU101" s="474">
        <v>15</v>
      </c>
      <c r="AV101" s="474"/>
      <c r="AY101" s="474">
        <v>1</v>
      </c>
      <c r="AZ101" s="474"/>
      <c r="BA101" s="474">
        <v>16</v>
      </c>
      <c r="BB101" s="474"/>
      <c r="BC101" s="474">
        <v>15</v>
      </c>
      <c r="BD101" s="474"/>
      <c r="BG101" s="474">
        <v>1</v>
      </c>
      <c r="BH101" s="474"/>
      <c r="BI101" s="474">
        <v>16</v>
      </c>
      <c r="BJ101" s="474"/>
      <c r="BK101" s="474">
        <v>15</v>
      </c>
      <c r="BL101" s="474"/>
      <c r="BO101" s="474">
        <v>1</v>
      </c>
      <c r="BP101" s="474"/>
      <c r="BQ101" s="474">
        <v>16</v>
      </c>
      <c r="BR101" s="474"/>
      <c r="BT101" s="474">
        <v>16</v>
      </c>
      <c r="BU101" s="474"/>
      <c r="BV101" s="474">
        <v>15</v>
      </c>
      <c r="BW101" s="474"/>
      <c r="BZ101" s="474">
        <v>1</v>
      </c>
      <c r="CA101" s="474"/>
      <c r="CB101" s="474">
        <v>16</v>
      </c>
      <c r="CC101" s="474"/>
      <c r="CD101" s="474">
        <v>15</v>
      </c>
      <c r="CE101" s="474"/>
      <c r="CH101" s="474">
        <v>1</v>
      </c>
      <c r="CI101" s="474"/>
      <c r="CJ101" s="474">
        <v>16</v>
      </c>
      <c r="CK101" s="474"/>
      <c r="CL101" s="474">
        <v>15</v>
      </c>
      <c r="CM101" s="474"/>
      <c r="CP101" s="474">
        <v>1</v>
      </c>
      <c r="CQ101" s="474"/>
      <c r="CR101" s="474">
        <v>16</v>
      </c>
      <c r="CS101" s="474"/>
      <c r="CU101" s="474">
        <v>16</v>
      </c>
      <c r="CV101" s="474"/>
      <c r="CW101" s="474">
        <v>15</v>
      </c>
      <c r="CX101" s="474"/>
      <c r="DA101" s="474">
        <v>1</v>
      </c>
      <c r="DB101" s="474"/>
      <c r="DE101" s="276"/>
      <c r="DF101" s="276"/>
      <c r="DG101" s="276"/>
      <c r="DH101" s="267"/>
      <c r="DI101" s="267"/>
      <c r="DJ101" s="267"/>
      <c r="DK101" s="267"/>
      <c r="DL101" s="267"/>
      <c r="DM101" s="270"/>
      <c r="DN101" s="270"/>
      <c r="DO101" s="276"/>
      <c r="DP101" s="276"/>
      <c r="DQ101" s="277"/>
      <c r="DR101" s="277"/>
      <c r="DS101" s="277"/>
      <c r="DT101" s="277"/>
      <c r="DU101" s="277"/>
      <c r="DV101" s="277"/>
      <c r="DW101" s="277"/>
      <c r="DX101" s="277"/>
      <c r="DY101" s="277"/>
      <c r="DZ101" s="277"/>
      <c r="EA101" s="277"/>
      <c r="EB101" s="277"/>
      <c r="EC101" s="277"/>
      <c r="ED101" s="277"/>
      <c r="EE101" s="277"/>
      <c r="EF101" s="277"/>
      <c r="EG101" s="277"/>
      <c r="EH101" s="277"/>
      <c r="EI101" s="277"/>
      <c r="EJ101" s="277"/>
      <c r="EK101" s="277"/>
      <c r="EL101" s="277"/>
      <c r="EM101" s="277"/>
      <c r="EN101" s="277"/>
      <c r="EO101" s="277"/>
      <c r="EP101" s="277"/>
      <c r="EQ101" s="277"/>
      <c r="ER101" s="277"/>
      <c r="ES101" s="277"/>
      <c r="ET101" s="277"/>
      <c r="EU101" s="277"/>
      <c r="EV101" s="277"/>
      <c r="EW101" s="277"/>
      <c r="EX101" s="277"/>
      <c r="EY101" s="277"/>
      <c r="EZ101" s="277"/>
      <c r="FA101" s="277"/>
      <c r="FB101" s="277"/>
      <c r="FC101" s="277"/>
    </row>
    <row r="102" spans="21:172" x14ac:dyDescent="0.3">
      <c r="U102" s="1" t="s">
        <v>487</v>
      </c>
      <c r="V102" s="271"/>
      <c r="W102" s="271"/>
      <c r="X102" s="271"/>
      <c r="Y102" s="272"/>
      <c r="Z102" s="273"/>
      <c r="AA102" s="274"/>
      <c r="AB102" s="273"/>
      <c r="AC102" s="274"/>
      <c r="AD102" s="278"/>
      <c r="AE102" s="271"/>
      <c r="AF102" s="273"/>
      <c r="AG102" s="274"/>
      <c r="AH102" s="273"/>
      <c r="AI102" s="274"/>
      <c r="AJ102" s="273"/>
      <c r="AK102" s="274"/>
      <c r="AL102" s="278"/>
      <c r="AM102" s="271"/>
      <c r="AN102" s="273"/>
      <c r="AO102" s="274"/>
      <c r="AP102" s="273"/>
      <c r="AQ102" s="277"/>
      <c r="AR102" s="272"/>
      <c r="AS102" s="273"/>
      <c r="AT102" s="274"/>
      <c r="AU102" s="273"/>
      <c r="AV102" s="274"/>
      <c r="AW102" s="275"/>
      <c r="AX102" s="271"/>
      <c r="AY102" s="273"/>
      <c r="AZ102" s="274"/>
      <c r="BA102" s="273"/>
      <c r="BB102" s="274"/>
      <c r="BC102" s="273"/>
      <c r="BD102" s="274"/>
      <c r="BE102" s="275"/>
      <c r="BF102" s="271"/>
      <c r="BG102" s="273"/>
      <c r="BH102" s="274"/>
      <c r="BI102" s="273"/>
      <c r="BJ102" s="274"/>
      <c r="BK102" s="273"/>
      <c r="BL102" s="274"/>
      <c r="BM102" s="275"/>
      <c r="BN102" s="271"/>
      <c r="BO102" s="273"/>
      <c r="BP102" s="274"/>
      <c r="BQ102" s="273"/>
      <c r="BS102" s="21"/>
      <c r="BT102" s="273"/>
      <c r="BU102" s="274"/>
      <c r="BV102" s="273"/>
      <c r="BW102" s="274"/>
      <c r="BX102" s="275"/>
      <c r="BY102" s="271"/>
      <c r="BZ102" s="273"/>
      <c r="CA102" s="274"/>
      <c r="CB102" s="273"/>
      <c r="CC102" s="274"/>
      <c r="CD102" s="273"/>
      <c r="CE102" s="274"/>
      <c r="CF102" s="275"/>
      <c r="CG102" s="271"/>
      <c r="CH102" s="273"/>
      <c r="CI102" s="274"/>
      <c r="CJ102" s="273"/>
      <c r="CK102" s="274"/>
      <c r="CL102" s="273"/>
      <c r="CM102" s="274"/>
      <c r="CN102" s="275"/>
      <c r="CO102" s="271"/>
      <c r="CP102" s="273"/>
      <c r="CQ102" s="274"/>
      <c r="CR102" s="273"/>
      <c r="CS102" s="274"/>
      <c r="CU102" s="273"/>
      <c r="CV102" s="274"/>
      <c r="CW102" s="273"/>
      <c r="CX102" s="274"/>
      <c r="CY102" s="275"/>
      <c r="CZ102" s="271"/>
      <c r="DA102" s="273"/>
      <c r="DB102" s="274"/>
      <c r="DC102" s="271"/>
      <c r="DD102" s="271"/>
      <c r="DE102" s="271"/>
      <c r="DF102" s="271"/>
      <c r="DG102" s="271"/>
      <c r="DH102" s="271"/>
      <c r="DI102" s="271"/>
      <c r="DJ102" s="271"/>
      <c r="DK102" s="271"/>
      <c r="DL102" s="271"/>
      <c r="DM102" s="271"/>
      <c r="DN102" s="271"/>
      <c r="DO102" s="271"/>
      <c r="DP102" s="271"/>
      <c r="DQ102" s="275"/>
      <c r="DR102" s="275"/>
      <c r="DS102" s="275"/>
      <c r="DT102" s="275"/>
      <c r="DU102" s="275"/>
      <c r="DV102" s="275"/>
      <c r="DW102" s="275"/>
      <c r="DX102" s="275"/>
      <c r="DY102" s="275"/>
      <c r="DZ102" s="275"/>
      <c r="EA102" s="275"/>
      <c r="EB102" s="275"/>
      <c r="EC102" s="275"/>
      <c r="ED102" s="275"/>
      <c r="EE102" s="275"/>
      <c r="EF102" s="275"/>
      <c r="EG102" s="275"/>
      <c r="EH102" s="275"/>
      <c r="EI102" s="275"/>
      <c r="EJ102" s="275"/>
      <c r="EK102" s="275"/>
      <c r="EL102" s="275"/>
      <c r="EM102" s="275"/>
      <c r="EN102" s="275"/>
      <c r="EO102" s="275"/>
      <c r="EP102" s="275"/>
      <c r="EQ102" s="275"/>
      <c r="ER102" s="275"/>
      <c r="ES102" s="275"/>
      <c r="ET102" s="275"/>
      <c r="EU102" s="275"/>
      <c r="EV102" s="275"/>
      <c r="EW102" s="275"/>
      <c r="EX102" s="275"/>
      <c r="EY102" s="275"/>
      <c r="EZ102" s="275"/>
      <c r="FA102" s="275"/>
      <c r="FB102" s="275"/>
      <c r="FC102" s="275"/>
      <c r="FD102" s="275"/>
      <c r="FE102" s="275"/>
      <c r="FF102" s="275"/>
      <c r="FG102" s="275"/>
      <c r="FH102" s="275"/>
      <c r="FI102" s="275"/>
      <c r="FJ102" s="275"/>
      <c r="FK102" s="275"/>
      <c r="FL102" s="275"/>
      <c r="FM102" s="275"/>
      <c r="FN102" s="275"/>
      <c r="FO102" s="275"/>
      <c r="FP102" s="275"/>
    </row>
    <row r="103" spans="21:172" x14ac:dyDescent="0.5">
      <c r="AD103" s="278"/>
      <c r="AH103" s="482"/>
      <c r="AI103" s="482"/>
      <c r="AJ103" s="482"/>
      <c r="AK103" s="482"/>
      <c r="AL103" s="482"/>
      <c r="AM103" s="482"/>
      <c r="AN103" s="482"/>
      <c r="AO103" s="482"/>
      <c r="AQ103" s="277"/>
      <c r="AR103" s="277"/>
      <c r="AS103" s="275"/>
      <c r="AT103" s="278"/>
      <c r="AU103" s="275"/>
      <c r="DR103" s="275"/>
      <c r="DS103" s="275"/>
      <c r="DT103" s="275"/>
      <c r="DU103" s="275"/>
      <c r="DV103" s="275"/>
      <c r="DW103" s="275"/>
      <c r="DX103" s="275"/>
      <c r="DY103" s="275"/>
      <c r="DZ103" s="275"/>
      <c r="EA103" s="275"/>
      <c r="EB103" s="275"/>
      <c r="EC103" s="275"/>
      <c r="ED103" s="275"/>
      <c r="EE103" s="275"/>
      <c r="EF103" s="275"/>
      <c r="EG103" s="275"/>
      <c r="EH103" s="275"/>
      <c r="EI103" s="275"/>
      <c r="EJ103" s="275"/>
      <c r="EK103" s="275"/>
      <c r="EL103" s="275"/>
      <c r="EM103" s="275"/>
      <c r="EN103" s="275"/>
      <c r="EO103" s="275"/>
      <c r="EP103" s="275"/>
      <c r="EQ103" s="275"/>
      <c r="ER103" s="275"/>
      <c r="ES103" s="275"/>
      <c r="ET103" s="275"/>
      <c r="EU103" s="275"/>
      <c r="EV103" s="275"/>
      <c r="EW103" s="275"/>
      <c r="EX103" s="275"/>
      <c r="EY103" s="275"/>
      <c r="EZ103" s="275"/>
      <c r="FA103" s="275"/>
      <c r="FB103" s="275"/>
      <c r="FC103" s="275"/>
      <c r="FD103" s="275"/>
      <c r="FE103" s="275"/>
      <c r="FF103" s="275"/>
      <c r="FG103" s="275"/>
      <c r="FH103" s="275"/>
      <c r="FI103" s="275"/>
      <c r="FJ103" s="275"/>
      <c r="FK103" s="275"/>
      <c r="FL103" s="275"/>
      <c r="FM103" s="275"/>
      <c r="FN103" s="275"/>
      <c r="FO103" s="275"/>
      <c r="FP103" s="275"/>
    </row>
    <row r="104" spans="21:172" x14ac:dyDescent="0.5">
      <c r="AD104" s="278"/>
      <c r="AH104" s="282"/>
      <c r="AI104" s="282"/>
      <c r="AJ104" s="282"/>
      <c r="AK104" s="282"/>
      <c r="AL104" s="282"/>
      <c r="AM104" s="282"/>
      <c r="AN104" s="282"/>
      <c r="AO104" s="282"/>
      <c r="AQ104" s="277"/>
      <c r="AR104" s="277"/>
      <c r="AS104" s="275"/>
      <c r="AT104" s="278"/>
      <c r="AU104" s="275"/>
      <c r="DR104" s="275"/>
      <c r="DS104" s="275"/>
      <c r="DT104" s="275"/>
      <c r="DU104" s="275"/>
      <c r="DV104" s="275"/>
      <c r="DW104" s="275"/>
      <c r="DX104" s="275"/>
      <c r="DY104" s="275"/>
      <c r="DZ104" s="275"/>
      <c r="EA104" s="275"/>
      <c r="EB104" s="275"/>
      <c r="EC104" s="275"/>
      <c r="ED104" s="275"/>
      <c r="EE104" s="275"/>
      <c r="EF104" s="275"/>
      <c r="EG104" s="275"/>
      <c r="EH104" s="275"/>
      <c r="EI104" s="275"/>
      <c r="EJ104" s="275"/>
      <c r="EK104" s="275"/>
      <c r="EL104" s="275"/>
      <c r="EM104" s="275"/>
      <c r="EN104" s="275"/>
      <c r="EO104" s="275"/>
      <c r="EP104" s="275"/>
      <c r="EQ104" s="275"/>
      <c r="ER104" s="275"/>
      <c r="ES104" s="275"/>
      <c r="ET104" s="275"/>
      <c r="EU104" s="275"/>
      <c r="EV104" s="275"/>
      <c r="EW104" s="275"/>
      <c r="EX104" s="275"/>
      <c r="EY104" s="275"/>
      <c r="EZ104" s="275"/>
      <c r="FA104" s="275"/>
      <c r="FB104" s="275"/>
      <c r="FC104" s="275"/>
      <c r="FD104" s="275"/>
      <c r="FE104" s="275"/>
      <c r="FF104" s="275"/>
      <c r="FG104" s="275"/>
      <c r="FH104" s="275"/>
      <c r="FI104" s="275"/>
      <c r="FJ104" s="275"/>
      <c r="FK104" s="275"/>
      <c r="FL104" s="275"/>
      <c r="FM104" s="275"/>
      <c r="FN104" s="275"/>
      <c r="FO104" s="275"/>
      <c r="FP104" s="275"/>
    </row>
    <row r="105" spans="21:172" x14ac:dyDescent="0.5">
      <c r="AD105" s="278"/>
      <c r="AH105" s="282"/>
      <c r="AI105" s="282"/>
      <c r="AJ105" s="282"/>
      <c r="AK105" s="282"/>
      <c r="AL105" s="282"/>
      <c r="AM105" s="282"/>
      <c r="AN105" s="282"/>
      <c r="AO105" s="282"/>
      <c r="AQ105" s="277"/>
      <c r="AR105" s="277"/>
      <c r="AS105" s="275"/>
      <c r="AT105" s="278"/>
      <c r="AU105" s="275"/>
      <c r="DR105" s="275"/>
      <c r="DS105" s="275"/>
      <c r="DT105" s="275"/>
      <c r="DU105" s="275"/>
      <c r="DV105" s="275"/>
      <c r="DW105" s="275"/>
      <c r="DX105" s="275"/>
      <c r="DY105" s="275"/>
      <c r="DZ105" s="275"/>
      <c r="EA105" s="275"/>
      <c r="EB105" s="275"/>
      <c r="EC105" s="275"/>
      <c r="ED105" s="275"/>
      <c r="EE105" s="275"/>
      <c r="EF105" s="275"/>
      <c r="EG105" s="275"/>
      <c r="EH105" s="275"/>
      <c r="EI105" s="275"/>
      <c r="EJ105" s="275"/>
      <c r="EK105" s="275"/>
      <c r="EL105" s="275"/>
      <c r="EM105" s="275"/>
      <c r="EN105" s="275"/>
      <c r="EO105" s="275"/>
      <c r="EP105" s="275"/>
      <c r="EQ105" s="275"/>
      <c r="ER105" s="275"/>
      <c r="ES105" s="275"/>
      <c r="ET105" s="275"/>
      <c r="EU105" s="275"/>
      <c r="EV105" s="275"/>
      <c r="EW105" s="275"/>
      <c r="EX105" s="275"/>
      <c r="EY105" s="275"/>
      <c r="EZ105" s="275"/>
      <c r="FA105" s="275"/>
      <c r="FB105" s="275"/>
      <c r="FC105" s="275"/>
      <c r="FD105" s="275"/>
      <c r="FE105" s="275"/>
      <c r="FF105" s="275"/>
      <c r="FG105" s="275"/>
      <c r="FH105" s="275"/>
      <c r="FI105" s="275"/>
      <c r="FJ105" s="275"/>
      <c r="FK105" s="275"/>
      <c r="FL105" s="275"/>
      <c r="FM105" s="275"/>
      <c r="FN105" s="275"/>
      <c r="FO105" s="275"/>
      <c r="FP105" s="275"/>
    </row>
    <row r="106" spans="21:172" x14ac:dyDescent="0.5">
      <c r="AD106" s="278"/>
      <c r="AH106" s="282"/>
      <c r="AI106" s="282"/>
      <c r="AJ106" s="282"/>
      <c r="AK106" s="282"/>
      <c r="AL106" s="282"/>
      <c r="AM106" s="282"/>
      <c r="AN106" s="282"/>
      <c r="AO106" s="282"/>
      <c r="AQ106" s="277"/>
      <c r="AR106" s="277"/>
      <c r="AS106" s="275"/>
      <c r="AT106" s="278"/>
      <c r="AU106" s="275"/>
      <c r="DR106" s="275"/>
      <c r="DS106" s="275"/>
      <c r="DT106" s="275"/>
      <c r="DU106" s="275"/>
      <c r="DV106" s="275"/>
      <c r="DW106" s="275"/>
      <c r="DX106" s="275"/>
      <c r="DY106" s="275"/>
      <c r="DZ106" s="275"/>
      <c r="EA106" s="275"/>
      <c r="EB106" s="275"/>
      <c r="EC106" s="275"/>
      <c r="ED106" s="275"/>
      <c r="EE106" s="275"/>
      <c r="EF106" s="275"/>
      <c r="EG106" s="275"/>
      <c r="EH106" s="275"/>
      <c r="EI106" s="275"/>
      <c r="EJ106" s="275"/>
      <c r="EK106" s="275"/>
      <c r="EL106" s="275"/>
      <c r="EM106" s="275"/>
      <c r="EN106" s="275"/>
      <c r="EO106" s="275"/>
      <c r="EP106" s="275"/>
      <c r="EQ106" s="275"/>
      <c r="ER106" s="275"/>
      <c r="ES106" s="275"/>
      <c r="ET106" s="275"/>
      <c r="EU106" s="275"/>
      <c r="EV106" s="275"/>
      <c r="EW106" s="275"/>
      <c r="EX106" s="275"/>
      <c r="EY106" s="275"/>
      <c r="EZ106" s="275"/>
      <c r="FA106" s="275"/>
      <c r="FB106" s="275"/>
      <c r="FC106" s="275"/>
      <c r="FD106" s="275"/>
      <c r="FE106" s="275"/>
      <c r="FF106" s="275"/>
      <c r="FG106" s="275"/>
      <c r="FH106" s="275"/>
      <c r="FI106" s="275"/>
      <c r="FJ106" s="275"/>
      <c r="FK106" s="275"/>
      <c r="FL106" s="275"/>
      <c r="FM106" s="275"/>
      <c r="FN106" s="275"/>
      <c r="FO106" s="275"/>
      <c r="FP106" s="275"/>
    </row>
    <row r="107" spans="21:172" x14ac:dyDescent="0.5">
      <c r="AD107" s="278"/>
      <c r="AG107" s="25"/>
      <c r="AH107" s="279"/>
      <c r="AI107" s="279"/>
      <c r="AJ107" s="279"/>
      <c r="AK107" s="279"/>
      <c r="AL107" s="279"/>
      <c r="AM107" s="279"/>
      <c r="AN107" s="279"/>
      <c r="AO107" s="279"/>
      <c r="AP107" s="25"/>
      <c r="AQ107" s="277"/>
      <c r="AR107" s="277"/>
      <c r="AS107" s="275"/>
      <c r="AT107" s="278"/>
      <c r="AU107" s="275"/>
      <c r="DR107" s="275"/>
      <c r="DS107" s="275"/>
      <c r="DT107" s="275"/>
      <c r="DU107" s="275"/>
      <c r="DV107" s="275"/>
      <c r="DW107" s="275"/>
      <c r="DX107" s="275"/>
      <c r="DY107" s="275"/>
      <c r="DZ107" s="275"/>
      <c r="EA107" s="275"/>
      <c r="EB107" s="275"/>
      <c r="EC107" s="275"/>
      <c r="ED107" s="275"/>
      <c r="EE107" s="275"/>
      <c r="EF107" s="275"/>
      <c r="EG107" s="275"/>
      <c r="EH107" s="275"/>
      <c r="EI107" s="275"/>
      <c r="EJ107" s="275"/>
      <c r="EK107" s="275"/>
      <c r="EL107" s="275"/>
      <c r="EM107" s="275"/>
      <c r="EN107" s="275"/>
      <c r="EO107" s="275"/>
      <c r="EP107" s="275"/>
      <c r="EQ107" s="275"/>
      <c r="ER107" s="275"/>
      <c r="ES107" s="275"/>
      <c r="ET107" s="275"/>
      <c r="EU107" s="275"/>
      <c r="EV107" s="275"/>
      <c r="EW107" s="275"/>
      <c r="EX107" s="275"/>
      <c r="EY107" s="275"/>
      <c r="EZ107" s="275"/>
      <c r="FA107" s="275"/>
      <c r="FB107" s="275"/>
      <c r="FC107" s="275"/>
      <c r="FD107" s="275"/>
      <c r="FE107" s="275"/>
      <c r="FF107" s="275"/>
      <c r="FG107" s="275"/>
      <c r="FH107" s="275"/>
      <c r="FI107" s="275"/>
      <c r="FJ107" s="275"/>
      <c r="FK107" s="275"/>
      <c r="FL107" s="275"/>
      <c r="FM107" s="275"/>
      <c r="FN107" s="275"/>
      <c r="FO107" s="275"/>
      <c r="FP107" s="275"/>
    </row>
    <row r="108" spans="21:172" x14ac:dyDescent="0.3">
      <c r="U108" s="1" t="s">
        <v>492</v>
      </c>
      <c r="V108" s="25"/>
      <c r="W108" s="25"/>
      <c r="X108" s="25"/>
      <c r="Y108" s="25"/>
      <c r="Z108" s="483" t="s">
        <v>514</v>
      </c>
      <c r="AA108" s="484"/>
      <c r="AB108" s="484"/>
      <c r="AC108" s="484"/>
      <c r="AD108" s="484"/>
      <c r="AE108" s="484"/>
      <c r="AF108" s="484"/>
      <c r="AG108" s="485"/>
      <c r="AH108" s="483" t="s">
        <v>543</v>
      </c>
      <c r="AI108" s="484"/>
      <c r="AJ108" s="484"/>
      <c r="AK108" s="484"/>
      <c r="AL108" s="484"/>
      <c r="AM108" s="484"/>
      <c r="AN108" s="484"/>
      <c r="AO108" s="485"/>
      <c r="AP108" s="283"/>
      <c r="AQ108" s="277"/>
      <c r="AR108" s="284"/>
      <c r="AS108" s="483" t="s">
        <v>544</v>
      </c>
      <c r="AT108" s="484"/>
      <c r="AU108" s="484"/>
      <c r="AV108" s="484"/>
      <c r="AW108" s="484"/>
      <c r="AX108" s="484"/>
      <c r="AY108" s="484"/>
      <c r="AZ108" s="485"/>
      <c r="BA108" s="479" t="s">
        <v>516</v>
      </c>
      <c r="BB108" s="480"/>
      <c r="BC108" s="480"/>
      <c r="BD108" s="480"/>
      <c r="BE108" s="480"/>
      <c r="BF108" s="480"/>
      <c r="BG108" s="480"/>
      <c r="BH108" s="481"/>
      <c r="BI108" s="479" t="s">
        <v>543</v>
      </c>
      <c r="BJ108" s="480"/>
      <c r="BK108" s="480"/>
      <c r="BL108" s="480"/>
      <c r="BM108" s="480"/>
      <c r="BN108" s="480"/>
      <c r="BO108" s="480"/>
      <c r="BP108" s="481"/>
      <c r="BQ108" s="285"/>
      <c r="BS108" s="286"/>
      <c r="BT108" s="479" t="s">
        <v>544</v>
      </c>
      <c r="BU108" s="480"/>
      <c r="BV108" s="480"/>
      <c r="BW108" s="480"/>
      <c r="BX108" s="480"/>
      <c r="BY108" s="480"/>
      <c r="BZ108" s="480"/>
      <c r="CA108" s="481"/>
      <c r="CB108" s="476" t="s">
        <v>521</v>
      </c>
      <c r="CC108" s="477"/>
      <c r="CD108" s="477"/>
      <c r="CE108" s="477"/>
      <c r="CF108" s="477"/>
      <c r="CG108" s="477"/>
      <c r="CH108" s="477"/>
      <c r="CI108" s="478"/>
      <c r="CJ108" s="476" t="s">
        <v>543</v>
      </c>
      <c r="CK108" s="477"/>
      <c r="CL108" s="477"/>
      <c r="CM108" s="477"/>
      <c r="CN108" s="477"/>
      <c r="CO108" s="477"/>
      <c r="CP108" s="477"/>
      <c r="CQ108" s="478"/>
      <c r="CR108" s="287"/>
      <c r="CT108" s="288"/>
      <c r="CU108" s="476" t="s">
        <v>544</v>
      </c>
      <c r="CV108" s="477"/>
      <c r="CW108" s="477"/>
      <c r="CX108" s="477"/>
      <c r="CY108" s="477"/>
      <c r="CZ108" s="477"/>
      <c r="DA108" s="477"/>
      <c r="DB108" s="478"/>
      <c r="DC108" s="26"/>
      <c r="DD108" s="25"/>
      <c r="DE108" s="25"/>
      <c r="DF108" s="25"/>
      <c r="DG108" s="25"/>
      <c r="DH108" s="25" t="s">
        <v>545</v>
      </c>
      <c r="DI108" s="25"/>
      <c r="DJ108" s="25"/>
      <c r="DK108" s="25"/>
      <c r="DL108" s="25"/>
      <c r="DM108" s="25"/>
      <c r="DN108" s="25"/>
      <c r="DO108" s="25"/>
      <c r="DP108" s="25"/>
      <c r="DR108" s="275"/>
      <c r="DS108" s="275"/>
      <c r="DT108" s="275"/>
      <c r="DU108" s="275"/>
      <c r="DV108" s="275"/>
      <c r="DW108" s="275"/>
      <c r="DX108" s="275"/>
      <c r="DY108" s="275"/>
      <c r="DZ108" s="275"/>
      <c r="EA108" s="275"/>
      <c r="EB108" s="275"/>
      <c r="EC108" s="275"/>
      <c r="ED108" s="275"/>
      <c r="EE108" s="275"/>
      <c r="EF108" s="275"/>
      <c r="EG108" s="275"/>
      <c r="EH108" s="275"/>
      <c r="EI108" s="275"/>
      <c r="EJ108" s="275"/>
      <c r="EK108" s="275"/>
      <c r="EL108" s="275"/>
      <c r="EM108" s="275"/>
      <c r="EN108" s="275"/>
      <c r="EO108" s="275"/>
      <c r="EP108" s="275"/>
      <c r="EQ108" s="275"/>
      <c r="ER108" s="275"/>
      <c r="ES108" s="275"/>
      <c r="ET108" s="275"/>
      <c r="EU108" s="275"/>
      <c r="EV108" s="275"/>
      <c r="EW108" s="275"/>
      <c r="EX108" s="275"/>
      <c r="EY108" s="275"/>
      <c r="EZ108" s="275"/>
      <c r="FA108" s="275"/>
      <c r="FB108" s="275"/>
      <c r="FC108" s="275"/>
      <c r="FD108" s="275"/>
      <c r="FE108" s="275"/>
      <c r="FF108" s="275"/>
      <c r="FG108" s="275"/>
      <c r="FH108" s="275"/>
      <c r="FI108" s="275"/>
      <c r="FJ108" s="275"/>
      <c r="FK108" s="275"/>
      <c r="FL108" s="275"/>
      <c r="FM108" s="275"/>
      <c r="FN108" s="275"/>
      <c r="FO108" s="275"/>
      <c r="FP108" s="275"/>
    </row>
    <row r="109" spans="21:172" x14ac:dyDescent="0.3">
      <c r="AQ109" s="277"/>
      <c r="AR109" s="277"/>
      <c r="AS109" s="275"/>
      <c r="AT109" s="278"/>
      <c r="AU109" s="275"/>
      <c r="BA109" s="474">
        <v>16</v>
      </c>
      <c r="BB109" s="474"/>
      <c r="BC109" s="474">
        <v>15</v>
      </c>
      <c r="BD109" s="474"/>
      <c r="BG109" s="474">
        <v>1</v>
      </c>
      <c r="BH109" s="474"/>
      <c r="BI109" s="474">
        <v>16</v>
      </c>
      <c r="BJ109" s="474"/>
      <c r="BK109" s="474">
        <v>15</v>
      </c>
      <c r="BL109" s="474"/>
      <c r="BO109" s="474">
        <v>1</v>
      </c>
      <c r="BP109" s="474"/>
      <c r="BQ109" s="474">
        <v>16</v>
      </c>
      <c r="BR109" s="475"/>
      <c r="BT109" s="474">
        <v>16</v>
      </c>
      <c r="BU109" s="474"/>
      <c r="BV109" s="474">
        <v>15</v>
      </c>
      <c r="BW109" s="474"/>
      <c r="BZ109" s="474">
        <v>1</v>
      </c>
      <c r="CA109" s="474"/>
      <c r="CB109" s="474">
        <v>16</v>
      </c>
      <c r="CC109" s="474"/>
      <c r="CD109" s="474">
        <v>15</v>
      </c>
      <c r="CE109" s="474"/>
      <c r="CH109" s="474">
        <v>1</v>
      </c>
      <c r="CI109" s="474"/>
      <c r="CJ109" s="474">
        <v>16</v>
      </c>
      <c r="CK109" s="474"/>
      <c r="CL109" s="474">
        <v>15</v>
      </c>
      <c r="CM109" s="474"/>
      <c r="CP109" s="474">
        <v>1</v>
      </c>
      <c r="CQ109" s="474"/>
      <c r="CR109" s="474">
        <v>16</v>
      </c>
      <c r="CS109" s="475"/>
      <c r="CU109" s="474">
        <v>16</v>
      </c>
      <c r="CV109" s="474"/>
      <c r="CW109" s="474">
        <v>15</v>
      </c>
      <c r="CX109" s="474"/>
      <c r="DA109" s="474">
        <v>1</v>
      </c>
      <c r="DB109" s="474"/>
      <c r="DR109" s="275"/>
      <c r="DS109" s="275"/>
      <c r="DT109" s="275"/>
      <c r="DU109" s="275"/>
      <c r="DV109" s="275"/>
      <c r="DW109" s="275"/>
      <c r="DX109" s="275"/>
      <c r="DY109" s="275"/>
      <c r="DZ109" s="275"/>
      <c r="EA109" s="275"/>
      <c r="EB109" s="275"/>
      <c r="EC109" s="275"/>
      <c r="ED109" s="275"/>
      <c r="EE109" s="275"/>
      <c r="EF109" s="275"/>
      <c r="EG109" s="275"/>
      <c r="EH109" s="275"/>
      <c r="EI109" s="275"/>
      <c r="EJ109" s="275"/>
      <c r="EK109" s="275"/>
      <c r="EL109" s="275"/>
      <c r="EM109" s="275"/>
      <c r="EN109" s="275"/>
      <c r="EO109" s="275"/>
      <c r="EP109" s="275"/>
      <c r="EQ109" s="275"/>
      <c r="ER109" s="275"/>
      <c r="ES109" s="275"/>
      <c r="ET109" s="275"/>
      <c r="EU109" s="275"/>
      <c r="EV109" s="275"/>
      <c r="EW109" s="275"/>
      <c r="EX109" s="275"/>
      <c r="EY109" s="275"/>
      <c r="EZ109" s="275"/>
      <c r="FA109" s="275"/>
      <c r="FB109" s="275"/>
      <c r="FC109" s="275"/>
      <c r="FD109" s="275"/>
      <c r="FE109" s="275"/>
      <c r="FF109" s="275"/>
      <c r="FG109" s="275"/>
      <c r="FH109" s="275"/>
      <c r="FI109" s="275"/>
      <c r="FJ109" s="275"/>
      <c r="FK109" s="275"/>
      <c r="FL109" s="275"/>
      <c r="FM109" s="275"/>
      <c r="FN109" s="275"/>
      <c r="FO109" s="275"/>
      <c r="FP109" s="275"/>
    </row>
    <row r="110" spans="21:172" x14ac:dyDescent="0.6">
      <c r="U110" s="1" t="s">
        <v>502</v>
      </c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73"/>
      <c r="BB110" s="274"/>
      <c r="BC110" s="273"/>
      <c r="BD110" s="274"/>
      <c r="BE110" s="275"/>
      <c r="BF110" s="271"/>
      <c r="BG110" s="273"/>
      <c r="BH110" s="274"/>
      <c r="BI110" s="273"/>
      <c r="BJ110" s="274"/>
      <c r="BK110" s="273"/>
      <c r="BL110" s="274"/>
      <c r="BM110" s="275"/>
      <c r="BN110" s="271"/>
      <c r="BO110" s="273"/>
      <c r="BP110" s="274"/>
      <c r="BQ110" s="273"/>
      <c r="BS110" s="21"/>
      <c r="BT110" s="273"/>
      <c r="BU110" s="274"/>
      <c r="BV110" s="273"/>
      <c r="BW110" s="274"/>
      <c r="BX110" s="275"/>
      <c r="BY110" s="271"/>
      <c r="BZ110" s="273"/>
      <c r="CA110" s="274"/>
      <c r="CB110" s="273"/>
      <c r="CC110" s="274"/>
      <c r="CD110" s="273"/>
      <c r="CE110" s="274"/>
      <c r="CF110" s="275"/>
      <c r="CG110" s="271"/>
      <c r="CH110" s="273"/>
      <c r="CI110" s="274"/>
      <c r="CJ110" s="273"/>
      <c r="CK110" s="274"/>
      <c r="CL110" s="273"/>
      <c r="CM110" s="274"/>
      <c r="CN110" s="275"/>
      <c r="CO110" s="271"/>
      <c r="CP110" s="273"/>
      <c r="CQ110" s="274"/>
      <c r="CR110" s="273"/>
      <c r="CS110" s="274"/>
      <c r="CU110" s="273"/>
      <c r="CV110" s="274"/>
      <c r="CW110" s="273"/>
      <c r="CX110" s="274"/>
      <c r="CY110" s="275"/>
      <c r="CZ110" s="271"/>
      <c r="DA110" s="273"/>
      <c r="DB110" s="274"/>
      <c r="DC110" s="25"/>
      <c r="DD110" s="25"/>
      <c r="DE110" s="25"/>
      <c r="DF110" s="25"/>
      <c r="DG110" s="25"/>
      <c r="DH110" s="25"/>
      <c r="DI110" s="25"/>
      <c r="DJ110" s="25"/>
      <c r="DK110" s="25"/>
      <c r="DL110" s="25"/>
      <c r="DM110" s="25"/>
      <c r="DN110" s="25"/>
      <c r="DO110" s="25"/>
      <c r="DP110" s="25"/>
      <c r="DR110" s="275"/>
      <c r="DS110" s="275"/>
      <c r="DT110" s="275"/>
      <c r="DU110" s="275"/>
      <c r="DV110" s="275"/>
      <c r="DW110" s="275"/>
      <c r="DX110" s="275"/>
      <c r="DY110" s="275"/>
      <c r="DZ110" s="275"/>
      <c r="EA110" s="275"/>
      <c r="EB110" s="275"/>
      <c r="EC110" s="275"/>
      <c r="ED110" s="275"/>
      <c r="EE110" s="275"/>
      <c r="EF110" s="275"/>
      <c r="EG110" s="275"/>
      <c r="EH110" s="275"/>
      <c r="EI110" s="275"/>
      <c r="EJ110" s="275"/>
      <c r="EK110" s="275"/>
      <c r="EL110" s="275"/>
      <c r="EM110" s="275"/>
      <c r="EN110" s="275"/>
      <c r="EO110" s="275"/>
      <c r="EP110" s="275"/>
      <c r="EQ110" s="275"/>
      <c r="ER110" s="275"/>
      <c r="ES110" s="275"/>
      <c r="ET110" s="275"/>
      <c r="EU110" s="275"/>
      <c r="EV110" s="275"/>
      <c r="EW110" s="275"/>
      <c r="EX110" s="275"/>
      <c r="EY110" s="275"/>
      <c r="EZ110" s="275"/>
      <c r="FA110" s="275"/>
      <c r="FB110" s="275"/>
      <c r="FC110" s="275"/>
      <c r="FD110" s="275"/>
      <c r="FE110" s="275"/>
      <c r="FF110" s="275"/>
      <c r="FG110" s="275"/>
      <c r="FH110" s="275"/>
      <c r="FI110" s="275"/>
      <c r="FJ110" s="275"/>
      <c r="FK110" s="275"/>
      <c r="FL110" s="275"/>
      <c r="FM110" s="275"/>
      <c r="FN110" s="275"/>
      <c r="FO110" s="275"/>
      <c r="FP110" s="275"/>
    </row>
    <row r="112" spans="21:172" x14ac:dyDescent="0.6">
      <c r="U112" s="1" t="s">
        <v>504</v>
      </c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479" t="s">
        <v>516</v>
      </c>
      <c r="BB112" s="480"/>
      <c r="BC112" s="480"/>
      <c r="BD112" s="480"/>
      <c r="BE112" s="480"/>
      <c r="BF112" s="480"/>
      <c r="BG112" s="480"/>
      <c r="BH112" s="481"/>
      <c r="BI112" s="479" t="s">
        <v>543</v>
      </c>
      <c r="BJ112" s="480"/>
      <c r="BK112" s="480"/>
      <c r="BL112" s="480"/>
      <c r="BM112" s="480"/>
      <c r="BN112" s="480"/>
      <c r="BO112" s="480"/>
      <c r="BP112" s="481"/>
      <c r="BQ112" s="285"/>
      <c r="BS112" s="286"/>
      <c r="BT112" s="479" t="s">
        <v>544</v>
      </c>
      <c r="BU112" s="480"/>
      <c r="BV112" s="480"/>
      <c r="BW112" s="480"/>
      <c r="BX112" s="480"/>
      <c r="BY112" s="480"/>
      <c r="BZ112" s="480"/>
      <c r="CA112" s="481"/>
      <c r="CB112" s="476" t="s">
        <v>521</v>
      </c>
      <c r="CC112" s="477"/>
      <c r="CD112" s="477"/>
      <c r="CE112" s="477"/>
      <c r="CF112" s="477"/>
      <c r="CG112" s="477"/>
      <c r="CH112" s="477"/>
      <c r="CI112" s="478"/>
      <c r="CJ112" s="476" t="s">
        <v>543</v>
      </c>
      <c r="CK112" s="477"/>
      <c r="CL112" s="477"/>
      <c r="CM112" s="477"/>
      <c r="CN112" s="477"/>
      <c r="CO112" s="477"/>
      <c r="CP112" s="477"/>
      <c r="CQ112" s="478"/>
      <c r="CR112" s="287"/>
      <c r="CT112" s="288"/>
      <c r="CU112" s="476" t="s">
        <v>544</v>
      </c>
      <c r="CV112" s="477"/>
      <c r="CW112" s="477"/>
      <c r="CX112" s="477"/>
      <c r="CY112" s="477"/>
      <c r="CZ112" s="477"/>
      <c r="DA112" s="477"/>
      <c r="DB112" s="478"/>
      <c r="DC112" s="25"/>
      <c r="DD112" s="25"/>
      <c r="DE112" s="25"/>
      <c r="DF112" s="25"/>
      <c r="DG112" s="25"/>
      <c r="DH112" s="25"/>
      <c r="DI112" s="25"/>
      <c r="DJ112" s="25"/>
      <c r="DK112" s="25"/>
      <c r="DL112" s="25"/>
      <c r="DM112" s="25"/>
      <c r="DN112" s="25"/>
      <c r="DO112" s="25"/>
      <c r="DP112" s="25"/>
    </row>
    <row r="113" spans="21:120" x14ac:dyDescent="0.3">
      <c r="CB113" s="474">
        <v>16</v>
      </c>
      <c r="CC113" s="474"/>
      <c r="CD113" s="474">
        <v>15</v>
      </c>
      <c r="CE113" s="474"/>
      <c r="CH113" s="474">
        <v>1</v>
      </c>
      <c r="CI113" s="474"/>
      <c r="CJ113" s="474">
        <v>16</v>
      </c>
      <c r="CK113" s="474"/>
      <c r="CL113" s="474">
        <v>15</v>
      </c>
      <c r="CM113" s="474"/>
      <c r="CP113" s="474">
        <v>1</v>
      </c>
      <c r="CQ113" s="474"/>
      <c r="CR113" s="474">
        <v>16</v>
      </c>
      <c r="CS113" s="475"/>
      <c r="CU113" s="474">
        <v>16</v>
      </c>
      <c r="CV113" s="474"/>
      <c r="CW113" s="474">
        <v>15</v>
      </c>
      <c r="CX113" s="474"/>
      <c r="DA113" s="474">
        <v>1</v>
      </c>
      <c r="DB113" s="474"/>
    </row>
    <row r="114" spans="21:120" x14ac:dyDescent="0.6">
      <c r="U114" s="1" t="s">
        <v>508</v>
      </c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73"/>
      <c r="CC114" s="274"/>
      <c r="CD114" s="273"/>
      <c r="CE114" s="274"/>
      <c r="CF114" s="275"/>
      <c r="CG114" s="271"/>
      <c r="CH114" s="273"/>
      <c r="CI114" s="274"/>
      <c r="CJ114" s="273"/>
      <c r="CK114" s="274"/>
      <c r="CL114" s="273"/>
      <c r="CM114" s="274"/>
      <c r="CN114" s="275"/>
      <c r="CO114" s="271"/>
      <c r="CP114" s="273"/>
      <c r="CQ114" s="274"/>
      <c r="CR114" s="273"/>
      <c r="CS114" s="274"/>
      <c r="CU114" s="273"/>
      <c r="CV114" s="274"/>
      <c r="CW114" s="273"/>
      <c r="CX114" s="274"/>
      <c r="CY114" s="275"/>
      <c r="CZ114" s="271"/>
      <c r="DA114" s="273"/>
      <c r="DB114" s="274"/>
      <c r="DC114" s="25"/>
      <c r="DD114" s="25"/>
      <c r="DE114" s="25"/>
      <c r="DF114" s="25"/>
      <c r="DG114" s="25"/>
      <c r="DH114" s="25"/>
      <c r="DI114" s="25"/>
      <c r="DJ114" s="25"/>
      <c r="DK114" s="25"/>
      <c r="DL114" s="25"/>
      <c r="DM114" s="25"/>
      <c r="DN114" s="25"/>
      <c r="DO114" s="25"/>
      <c r="DP114" s="25"/>
    </row>
    <row r="116" spans="21:120" x14ac:dyDescent="0.6">
      <c r="U116" s="1" t="s">
        <v>510</v>
      </c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476" t="s">
        <v>521</v>
      </c>
      <c r="CC116" s="477"/>
      <c r="CD116" s="477"/>
      <c r="CE116" s="477"/>
      <c r="CF116" s="477"/>
      <c r="CG116" s="477"/>
      <c r="CH116" s="477"/>
      <c r="CI116" s="478"/>
      <c r="CJ116" s="476" t="s">
        <v>543</v>
      </c>
      <c r="CK116" s="477"/>
      <c r="CL116" s="477"/>
      <c r="CM116" s="477"/>
      <c r="CN116" s="477"/>
      <c r="CO116" s="477"/>
      <c r="CP116" s="477"/>
      <c r="CQ116" s="478"/>
      <c r="CR116" s="287"/>
      <c r="CT116" s="288"/>
      <c r="CU116" s="476" t="s">
        <v>544</v>
      </c>
      <c r="CV116" s="477"/>
      <c r="CW116" s="477"/>
      <c r="CX116" s="477"/>
      <c r="CY116" s="477"/>
      <c r="CZ116" s="477"/>
      <c r="DA116" s="477"/>
      <c r="DB116" s="478"/>
      <c r="DC116" s="25"/>
      <c r="DD116" s="25"/>
      <c r="DE116" s="25"/>
      <c r="DF116" s="25"/>
      <c r="DG116" s="25"/>
      <c r="DH116" s="25"/>
      <c r="DI116" s="25"/>
      <c r="DJ116" s="25"/>
      <c r="DK116" s="25"/>
      <c r="DL116" s="25"/>
      <c r="DM116" s="25"/>
      <c r="DN116" s="25"/>
      <c r="DO116" s="25"/>
      <c r="DP116" s="25"/>
    </row>
    <row r="117" spans="21:120" x14ac:dyDescent="0.6"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</row>
    <row r="118" spans="21:120" x14ac:dyDescent="0.6"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</row>
    <row r="119" spans="21:120" x14ac:dyDescent="0.6"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</row>
    <row r="120" spans="21:120" x14ac:dyDescent="0.6"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</row>
    <row r="122" spans="21:120" x14ac:dyDescent="0.6"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</row>
    <row r="124" spans="21:120" x14ac:dyDescent="0.6"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</row>
    <row r="126" spans="21:120" x14ac:dyDescent="0.6"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</row>
    <row r="128" spans="21:120" x14ac:dyDescent="0.6"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</row>
  </sheetData>
  <mergeCells count="540">
    <mergeCell ref="C2:S2"/>
    <mergeCell ref="Z4:AA4"/>
    <mergeCell ref="AB4:AC4"/>
    <mergeCell ref="AD4:AE4"/>
    <mergeCell ref="AF4:AG4"/>
    <mergeCell ref="AH4:AI4"/>
    <mergeCell ref="AV4:AW4"/>
    <mergeCell ref="AX4:AY4"/>
    <mergeCell ref="AZ4:BA4"/>
    <mergeCell ref="BB4:BC4"/>
    <mergeCell ref="BD4:BE4"/>
    <mergeCell ref="BF4:BG4"/>
    <mergeCell ref="AJ4:AK4"/>
    <mergeCell ref="AL4:AM4"/>
    <mergeCell ref="AN4:AO4"/>
    <mergeCell ref="AP4:AQ4"/>
    <mergeCell ref="AR4:AS4"/>
    <mergeCell ref="AT4:AU4"/>
    <mergeCell ref="BZ4:CA4"/>
    <mergeCell ref="CB4:CC4"/>
    <mergeCell ref="CD4:CE4"/>
    <mergeCell ref="BH4:BI4"/>
    <mergeCell ref="BJ4:BK4"/>
    <mergeCell ref="BL4:BM4"/>
    <mergeCell ref="BN4:BO4"/>
    <mergeCell ref="BP4:BQ4"/>
    <mergeCell ref="BR4:BS4"/>
    <mergeCell ref="BP8:BQ8"/>
    <mergeCell ref="BR8:BS8"/>
    <mergeCell ref="BT8:BU8"/>
    <mergeCell ref="DD4:DE4"/>
    <mergeCell ref="D5:E5"/>
    <mergeCell ref="F5:M5"/>
    <mergeCell ref="N5:S5"/>
    <mergeCell ref="F6:M6"/>
    <mergeCell ref="N6:S6"/>
    <mergeCell ref="CR4:CS4"/>
    <mergeCell ref="CT4:CU4"/>
    <mergeCell ref="CV4:CW4"/>
    <mergeCell ref="CX4:CY4"/>
    <mergeCell ref="CZ4:DA4"/>
    <mergeCell ref="DB4:DC4"/>
    <mergeCell ref="CF4:CG4"/>
    <mergeCell ref="CH4:CI4"/>
    <mergeCell ref="CJ4:CK4"/>
    <mergeCell ref="CL4:CM4"/>
    <mergeCell ref="CN4:CO4"/>
    <mergeCell ref="CP4:CQ4"/>
    <mergeCell ref="BT4:BU4"/>
    <mergeCell ref="BV4:BW4"/>
    <mergeCell ref="BX4:BY4"/>
    <mergeCell ref="D12:S12"/>
    <mergeCell ref="CD12:CE12"/>
    <mergeCell ref="CF12:CG12"/>
    <mergeCell ref="CH12:CI12"/>
    <mergeCell ref="CJ12:CK12"/>
    <mergeCell ref="CL12:CM12"/>
    <mergeCell ref="CX8:CY8"/>
    <mergeCell ref="CD7:CQ7"/>
    <mergeCell ref="CR7:DE7"/>
    <mergeCell ref="F8:M8"/>
    <mergeCell ref="N8:S8"/>
    <mergeCell ref="BB8:BC8"/>
    <mergeCell ref="BD8:BE8"/>
    <mergeCell ref="BF8:BG8"/>
    <mergeCell ref="BH8:BI8"/>
    <mergeCell ref="BJ8:BK8"/>
    <mergeCell ref="BL8:BM8"/>
    <mergeCell ref="F7:M7"/>
    <mergeCell ref="N7:S7"/>
    <mergeCell ref="Z7:AM7"/>
    <mergeCell ref="AN7:BA7"/>
    <mergeCell ref="BB7:BO7"/>
    <mergeCell ref="BP7:CC7"/>
    <mergeCell ref="DD8:DE8"/>
    <mergeCell ref="CZ8:DA8"/>
    <mergeCell ref="DB8:DC8"/>
    <mergeCell ref="CZ12:DA12"/>
    <mergeCell ref="DB12:DC12"/>
    <mergeCell ref="BB11:BO11"/>
    <mergeCell ref="BP11:CC11"/>
    <mergeCell ref="CD11:CQ11"/>
    <mergeCell ref="CR11:DE11"/>
    <mergeCell ref="CL8:CM8"/>
    <mergeCell ref="CN8:CO8"/>
    <mergeCell ref="CP8:CQ8"/>
    <mergeCell ref="CR8:CS8"/>
    <mergeCell ref="CT8:CU8"/>
    <mergeCell ref="CV8:CW8"/>
    <mergeCell ref="BZ8:CA8"/>
    <mergeCell ref="CB8:CC8"/>
    <mergeCell ref="CD8:CE8"/>
    <mergeCell ref="DD12:DE12"/>
    <mergeCell ref="BV8:BW8"/>
    <mergeCell ref="BX8:BY8"/>
    <mergeCell ref="CF8:CG8"/>
    <mergeCell ref="CH8:CI8"/>
    <mergeCell ref="CJ8:CK8"/>
    <mergeCell ref="BN8:BO8"/>
    <mergeCell ref="CD15:CQ15"/>
    <mergeCell ref="CR15:DE15"/>
    <mergeCell ref="Z20:AA20"/>
    <mergeCell ref="AB20:AC20"/>
    <mergeCell ref="AF20:AG20"/>
    <mergeCell ref="AH20:AI20"/>
    <mergeCell ref="AJ20:AK20"/>
    <mergeCell ref="CN12:CO12"/>
    <mergeCell ref="CP12:CQ12"/>
    <mergeCell ref="CR12:CS12"/>
    <mergeCell ref="CT12:CU12"/>
    <mergeCell ref="CV12:CW12"/>
    <mergeCell ref="CX12:CY12"/>
    <mergeCell ref="BH20:BI20"/>
    <mergeCell ref="BL20:BM20"/>
    <mergeCell ref="BN20:BO20"/>
    <mergeCell ref="BP20:BQ20"/>
    <mergeCell ref="AN20:AO20"/>
    <mergeCell ref="AP20:AQ20"/>
    <mergeCell ref="AR20:AS20"/>
    <mergeCell ref="AV20:AW20"/>
    <mergeCell ref="AX20:AY20"/>
    <mergeCell ref="AZ20:BA20"/>
    <mergeCell ref="CZ20:DA20"/>
    <mergeCell ref="BX20:BY20"/>
    <mergeCell ref="CB20:CC20"/>
    <mergeCell ref="CD20:CE20"/>
    <mergeCell ref="CF20:CG20"/>
    <mergeCell ref="AH22:AO22"/>
    <mergeCell ref="Z23:AG23"/>
    <mergeCell ref="AH23:AO23"/>
    <mergeCell ref="AP23:AW23"/>
    <mergeCell ref="AX23:BE23"/>
    <mergeCell ref="BF23:BM23"/>
    <mergeCell ref="BN23:BU23"/>
    <mergeCell ref="BV23:CC23"/>
    <mergeCell ref="CD23:CK23"/>
    <mergeCell ref="BD20:BE20"/>
    <mergeCell ref="BF20:BG20"/>
    <mergeCell ref="CJ20:CK20"/>
    <mergeCell ref="BV24:BW24"/>
    <mergeCell ref="BX24:BY24"/>
    <mergeCell ref="CL23:CS23"/>
    <mergeCell ref="CT23:DA23"/>
    <mergeCell ref="AP24:AQ24"/>
    <mergeCell ref="AR24:AS24"/>
    <mergeCell ref="AV24:AW24"/>
    <mergeCell ref="AX24:AY24"/>
    <mergeCell ref="AZ24:BA24"/>
    <mergeCell ref="BD24:BE24"/>
    <mergeCell ref="BF24:BG24"/>
    <mergeCell ref="BH24:BI24"/>
    <mergeCell ref="CZ24:DA24"/>
    <mergeCell ref="CN24:CO24"/>
    <mergeCell ref="CF24:CG24"/>
    <mergeCell ref="CJ24:CK24"/>
    <mergeCell ref="CL24:CM24"/>
    <mergeCell ref="BL24:BM24"/>
    <mergeCell ref="BN24:BO24"/>
    <mergeCell ref="BP24:BQ24"/>
    <mergeCell ref="BT24:BU24"/>
    <mergeCell ref="CL20:CM20"/>
    <mergeCell ref="CN20:CO20"/>
    <mergeCell ref="CR20:CS20"/>
    <mergeCell ref="CT20:CU20"/>
    <mergeCell ref="CV20:CW20"/>
    <mergeCell ref="BT20:BU20"/>
    <mergeCell ref="BV20:BW20"/>
    <mergeCell ref="AP27:AW27"/>
    <mergeCell ref="AX27:BE27"/>
    <mergeCell ref="BF27:BM27"/>
    <mergeCell ref="BN27:BU27"/>
    <mergeCell ref="BV27:CC27"/>
    <mergeCell ref="CD27:CK27"/>
    <mergeCell ref="CR24:CS24"/>
    <mergeCell ref="CT24:CU24"/>
    <mergeCell ref="CV24:CW24"/>
    <mergeCell ref="CL27:CS27"/>
    <mergeCell ref="CT27:DA27"/>
    <mergeCell ref="AX26:BE26"/>
    <mergeCell ref="BF26:BM26"/>
    <mergeCell ref="BN26:BU26"/>
    <mergeCell ref="BV26:CC26"/>
    <mergeCell ref="CB24:CC24"/>
    <mergeCell ref="CD24:CE24"/>
    <mergeCell ref="CD28:CE28"/>
    <mergeCell ref="CF28:CG28"/>
    <mergeCell ref="CJ28:CK28"/>
    <mergeCell ref="CL28:CM28"/>
    <mergeCell ref="CN28:CO28"/>
    <mergeCell ref="CR28:CS28"/>
    <mergeCell ref="CT28:CU28"/>
    <mergeCell ref="CV28:CW28"/>
    <mergeCell ref="Z36:AA36"/>
    <mergeCell ref="AB36:AC36"/>
    <mergeCell ref="AD36:AE36"/>
    <mergeCell ref="AF36:AG36"/>
    <mergeCell ref="AH36:AI36"/>
    <mergeCell ref="AJ36:AK36"/>
    <mergeCell ref="AL36:AM36"/>
    <mergeCell ref="AN36:AO36"/>
    <mergeCell ref="AP36:AQ36"/>
    <mergeCell ref="AR36:AS36"/>
    <mergeCell ref="AT36:AU36"/>
    <mergeCell ref="AV36:AW36"/>
    <mergeCell ref="CZ28:DA28"/>
    <mergeCell ref="CL30:CS30"/>
    <mergeCell ref="CT30:DA30"/>
    <mergeCell ref="CD31:CK31"/>
    <mergeCell ref="CL31:CS31"/>
    <mergeCell ref="CT31:DA31"/>
    <mergeCell ref="AX36:AY36"/>
    <mergeCell ref="AZ36:BA36"/>
    <mergeCell ref="BB36:BC36"/>
    <mergeCell ref="BD36:BE36"/>
    <mergeCell ref="BF36:BG36"/>
    <mergeCell ref="BH36:BI36"/>
    <mergeCell ref="BV36:BW36"/>
    <mergeCell ref="BX36:BY36"/>
    <mergeCell ref="BZ36:CA36"/>
    <mergeCell ref="CB36:CC36"/>
    <mergeCell ref="CD36:CE36"/>
    <mergeCell ref="CF36:CG36"/>
    <mergeCell ref="BJ36:BK36"/>
    <mergeCell ref="BL36:BM36"/>
    <mergeCell ref="BN36:BO36"/>
    <mergeCell ref="BP36:BQ36"/>
    <mergeCell ref="BR36:BS36"/>
    <mergeCell ref="BT36:BU36"/>
    <mergeCell ref="CD39:CQ39"/>
    <mergeCell ref="CR39:DE39"/>
    <mergeCell ref="CT36:CU36"/>
    <mergeCell ref="CV36:CW36"/>
    <mergeCell ref="CX36:CY36"/>
    <mergeCell ref="CZ36:DA36"/>
    <mergeCell ref="DB36:DC36"/>
    <mergeCell ref="DD36:DE36"/>
    <mergeCell ref="CH36:CI36"/>
    <mergeCell ref="CJ36:CK36"/>
    <mergeCell ref="CL36:CM36"/>
    <mergeCell ref="CN36:CO36"/>
    <mergeCell ref="CP36:CQ36"/>
    <mergeCell ref="CR36:CS36"/>
    <mergeCell ref="BV40:BW40"/>
    <mergeCell ref="BX40:BY40"/>
    <mergeCell ref="BB40:BC40"/>
    <mergeCell ref="BD40:BE40"/>
    <mergeCell ref="BF40:BG40"/>
    <mergeCell ref="BH40:BI40"/>
    <mergeCell ref="BJ40:BK40"/>
    <mergeCell ref="BL40:BM40"/>
    <mergeCell ref="Z39:AM39"/>
    <mergeCell ref="AN39:BA39"/>
    <mergeCell ref="BB39:BO39"/>
    <mergeCell ref="BP39:CC39"/>
    <mergeCell ref="CX40:CY40"/>
    <mergeCell ref="CZ40:DA40"/>
    <mergeCell ref="DB40:DC40"/>
    <mergeCell ref="DD40:DE40"/>
    <mergeCell ref="BB43:BO43"/>
    <mergeCell ref="BP43:CC43"/>
    <mergeCell ref="CD43:CQ43"/>
    <mergeCell ref="CR43:DE43"/>
    <mergeCell ref="CL40:CM40"/>
    <mergeCell ref="CN40:CO40"/>
    <mergeCell ref="CP40:CQ40"/>
    <mergeCell ref="CR40:CS40"/>
    <mergeCell ref="CT40:CU40"/>
    <mergeCell ref="CV40:CW40"/>
    <mergeCell ref="BZ40:CA40"/>
    <mergeCell ref="CB40:CC40"/>
    <mergeCell ref="CD40:CE40"/>
    <mergeCell ref="CF40:CG40"/>
    <mergeCell ref="CH40:CI40"/>
    <mergeCell ref="CJ40:CK40"/>
    <mergeCell ref="BN40:BO40"/>
    <mergeCell ref="BP40:BQ40"/>
    <mergeCell ref="BR40:BS40"/>
    <mergeCell ref="BT40:BU40"/>
    <mergeCell ref="DB44:DC44"/>
    <mergeCell ref="DD44:DE44"/>
    <mergeCell ref="CD47:CQ47"/>
    <mergeCell ref="CR47:DE47"/>
    <mergeCell ref="AN49:BA49"/>
    <mergeCell ref="BP51:CC51"/>
    <mergeCell ref="CP44:CQ44"/>
    <mergeCell ref="CR44:CS44"/>
    <mergeCell ref="CT44:CU44"/>
    <mergeCell ref="CV44:CW44"/>
    <mergeCell ref="CX44:CY44"/>
    <mergeCell ref="CZ44:DA44"/>
    <mergeCell ref="CD44:CE44"/>
    <mergeCell ref="CF44:CG44"/>
    <mergeCell ref="CH44:CI44"/>
    <mergeCell ref="CJ44:CK44"/>
    <mergeCell ref="CL44:CM44"/>
    <mergeCell ref="CN44:CO44"/>
    <mergeCell ref="CR53:DE53"/>
    <mergeCell ref="Z58:AA58"/>
    <mergeCell ref="AB58:AC58"/>
    <mergeCell ref="AF58:AG58"/>
    <mergeCell ref="AH58:AI58"/>
    <mergeCell ref="AJ58:AK58"/>
    <mergeCell ref="AN58:AO58"/>
    <mergeCell ref="AP58:AQ58"/>
    <mergeCell ref="AR58:AS58"/>
    <mergeCell ref="AV58:AW58"/>
    <mergeCell ref="CT58:CU58"/>
    <mergeCell ref="CV58:CW58"/>
    <mergeCell ref="CZ58:DA58"/>
    <mergeCell ref="CJ58:CK58"/>
    <mergeCell ref="CL58:CM58"/>
    <mergeCell ref="CN58:CO58"/>
    <mergeCell ref="CR58:CS58"/>
    <mergeCell ref="Z61:AG61"/>
    <mergeCell ref="AH61:AO61"/>
    <mergeCell ref="AP61:AW61"/>
    <mergeCell ref="AX61:BE61"/>
    <mergeCell ref="BF61:BM61"/>
    <mergeCell ref="BN61:BU61"/>
    <mergeCell ref="BV61:CC61"/>
    <mergeCell ref="CD58:CE58"/>
    <mergeCell ref="CF58:CG58"/>
    <mergeCell ref="BN58:BO58"/>
    <mergeCell ref="BP58:BQ58"/>
    <mergeCell ref="BT58:BU58"/>
    <mergeCell ref="BV58:BW58"/>
    <mergeCell ref="BX58:BY58"/>
    <mergeCell ref="CB58:CC58"/>
    <mergeCell ref="AX58:AY58"/>
    <mergeCell ref="AZ58:BA58"/>
    <mergeCell ref="CD61:CK61"/>
    <mergeCell ref="BD58:BE58"/>
    <mergeCell ref="BF58:BG58"/>
    <mergeCell ref="BH58:BI58"/>
    <mergeCell ref="BL58:BM58"/>
    <mergeCell ref="CL61:CS61"/>
    <mergeCell ref="CT61:DA61"/>
    <mergeCell ref="AP62:AQ62"/>
    <mergeCell ref="AR62:AS62"/>
    <mergeCell ref="AV62:AW62"/>
    <mergeCell ref="AX62:AY62"/>
    <mergeCell ref="AZ62:BA62"/>
    <mergeCell ref="BD62:BE62"/>
    <mergeCell ref="BF62:BG62"/>
    <mergeCell ref="CN62:CO62"/>
    <mergeCell ref="CR62:CS62"/>
    <mergeCell ref="CT62:CU62"/>
    <mergeCell ref="CV62:CW62"/>
    <mergeCell ref="CZ62:DA62"/>
    <mergeCell ref="CJ62:CK62"/>
    <mergeCell ref="CL62:CM62"/>
    <mergeCell ref="BX62:BY62"/>
    <mergeCell ref="CB62:CC62"/>
    <mergeCell ref="CD62:CE62"/>
    <mergeCell ref="CF62:CG62"/>
    <mergeCell ref="BH62:BI62"/>
    <mergeCell ref="BL62:BM62"/>
    <mergeCell ref="BN62:BO62"/>
    <mergeCell ref="BP62:BQ62"/>
    <mergeCell ref="BT62:BU62"/>
    <mergeCell ref="BV62:BW62"/>
    <mergeCell ref="CV66:CW66"/>
    <mergeCell ref="CZ66:DA66"/>
    <mergeCell ref="CD69:CK69"/>
    <mergeCell ref="CL69:CS69"/>
    <mergeCell ref="CT69:DA69"/>
    <mergeCell ref="AH70:AO70"/>
    <mergeCell ref="CD65:CK65"/>
    <mergeCell ref="CL65:CS65"/>
    <mergeCell ref="CT65:DA65"/>
    <mergeCell ref="CD66:CE66"/>
    <mergeCell ref="CF66:CG66"/>
    <mergeCell ref="CJ66:CK66"/>
    <mergeCell ref="CL66:CM66"/>
    <mergeCell ref="CN66:CO66"/>
    <mergeCell ref="CR66:CS66"/>
    <mergeCell ref="CT66:CU66"/>
    <mergeCell ref="AP65:AW65"/>
    <mergeCell ref="AX65:BE65"/>
    <mergeCell ref="BF65:BM65"/>
    <mergeCell ref="BN65:BU65"/>
    <mergeCell ref="BV65:CC65"/>
    <mergeCell ref="AH71:AO71"/>
    <mergeCell ref="AY72:BF72"/>
    <mergeCell ref="BG72:BN72"/>
    <mergeCell ref="BO72:BV72"/>
    <mergeCell ref="BW72:CD72"/>
    <mergeCell ref="AY73:BF73"/>
    <mergeCell ref="BG73:BN73"/>
    <mergeCell ref="BO73:BV73"/>
    <mergeCell ref="BW73:CD73"/>
    <mergeCell ref="CM74:CT74"/>
    <mergeCell ref="CU74:DB74"/>
    <mergeCell ref="CM75:CT75"/>
    <mergeCell ref="CU75:DB75"/>
    <mergeCell ref="Z80:AA80"/>
    <mergeCell ref="AB80:AC80"/>
    <mergeCell ref="AD80:AE80"/>
    <mergeCell ref="AF80:AG80"/>
    <mergeCell ref="AH80:AI80"/>
    <mergeCell ref="AJ80:AK80"/>
    <mergeCell ref="BD80:BE80"/>
    <mergeCell ref="BF80:BG80"/>
    <mergeCell ref="BH80:BI80"/>
    <mergeCell ref="BJ80:BK80"/>
    <mergeCell ref="BL80:BM80"/>
    <mergeCell ref="BN80:BO80"/>
    <mergeCell ref="AL80:AM80"/>
    <mergeCell ref="AN80:AO80"/>
    <mergeCell ref="AR80:AS80"/>
    <mergeCell ref="AX80:AY80"/>
    <mergeCell ref="AZ80:BA80"/>
    <mergeCell ref="BB80:BC80"/>
    <mergeCell ref="CH80:CI80"/>
    <mergeCell ref="CJ80:CK80"/>
    <mergeCell ref="CL80:CM80"/>
    <mergeCell ref="CN80:CO80"/>
    <mergeCell ref="CR80:CS80"/>
    <mergeCell ref="CX80:CY80"/>
    <mergeCell ref="BR80:BS80"/>
    <mergeCell ref="BX80:BY80"/>
    <mergeCell ref="BZ80:CA80"/>
    <mergeCell ref="CB80:CC80"/>
    <mergeCell ref="CD80:CE80"/>
    <mergeCell ref="CF80:CG80"/>
    <mergeCell ref="Z83:AY83"/>
    <mergeCell ref="AZ83:BY83"/>
    <mergeCell ref="BZ83:CX83"/>
    <mergeCell ref="AZ84:BA84"/>
    <mergeCell ref="BB84:BC84"/>
    <mergeCell ref="BD84:BE84"/>
    <mergeCell ref="BF84:BG84"/>
    <mergeCell ref="BH84:BI84"/>
    <mergeCell ref="BJ84:BK84"/>
    <mergeCell ref="BL84:BM84"/>
    <mergeCell ref="CX84:CY84"/>
    <mergeCell ref="CF84:CG84"/>
    <mergeCell ref="CH84:CI84"/>
    <mergeCell ref="CJ84:CK84"/>
    <mergeCell ref="CL84:CM84"/>
    <mergeCell ref="CN84:CO84"/>
    <mergeCell ref="CR84:CS84"/>
    <mergeCell ref="BN84:BO84"/>
    <mergeCell ref="BR84:BS84"/>
    <mergeCell ref="BX84:BY84"/>
    <mergeCell ref="BZ84:CA84"/>
    <mergeCell ref="CB84:CC84"/>
    <mergeCell ref="CD84:CE84"/>
    <mergeCell ref="AZ87:BY87"/>
    <mergeCell ref="BZ87:CX87"/>
    <mergeCell ref="BZ88:CA88"/>
    <mergeCell ref="CB88:CC88"/>
    <mergeCell ref="CD88:CE88"/>
    <mergeCell ref="CF88:CG88"/>
    <mergeCell ref="CH88:CI88"/>
    <mergeCell ref="CJ88:CK88"/>
    <mergeCell ref="CL88:CM88"/>
    <mergeCell ref="CN88:CO88"/>
    <mergeCell ref="CR88:CS88"/>
    <mergeCell ref="CX88:CY88"/>
    <mergeCell ref="BZ91:CX91"/>
    <mergeCell ref="Z101:AA101"/>
    <mergeCell ref="AB101:AC101"/>
    <mergeCell ref="AF101:AG101"/>
    <mergeCell ref="AH101:AI101"/>
    <mergeCell ref="AJ101:AK101"/>
    <mergeCell ref="AN101:AO101"/>
    <mergeCell ref="CU101:CV101"/>
    <mergeCell ref="CW101:CX101"/>
    <mergeCell ref="AU101:AV101"/>
    <mergeCell ref="AY101:AZ101"/>
    <mergeCell ref="BA101:BB101"/>
    <mergeCell ref="BC101:BD101"/>
    <mergeCell ref="DA101:DB101"/>
    <mergeCell ref="BV101:BW101"/>
    <mergeCell ref="BZ101:CA101"/>
    <mergeCell ref="CB101:CC101"/>
    <mergeCell ref="CD101:CE101"/>
    <mergeCell ref="CH101:CI101"/>
    <mergeCell ref="CJ101:CK101"/>
    <mergeCell ref="AH103:AO103"/>
    <mergeCell ref="Z108:AG108"/>
    <mergeCell ref="AH108:AO108"/>
    <mergeCell ref="AS108:AZ108"/>
    <mergeCell ref="BA108:BH108"/>
    <mergeCell ref="BI108:BP108"/>
    <mergeCell ref="CL101:CM101"/>
    <mergeCell ref="CP101:CQ101"/>
    <mergeCell ref="CR101:CS101"/>
    <mergeCell ref="BG101:BH101"/>
    <mergeCell ref="BI101:BJ101"/>
    <mergeCell ref="BK101:BL101"/>
    <mergeCell ref="BO101:BP101"/>
    <mergeCell ref="BQ101:BR101"/>
    <mergeCell ref="BT101:BU101"/>
    <mergeCell ref="AP101:AQ101"/>
    <mergeCell ref="AS101:AT101"/>
    <mergeCell ref="BT108:CA108"/>
    <mergeCell ref="CB108:CI108"/>
    <mergeCell ref="CJ108:CQ108"/>
    <mergeCell ref="CU108:DB108"/>
    <mergeCell ref="BA109:BB109"/>
    <mergeCell ref="BC109:BD109"/>
    <mergeCell ref="BG109:BH109"/>
    <mergeCell ref="BI109:BJ109"/>
    <mergeCell ref="BK109:BL109"/>
    <mergeCell ref="BO109:BP109"/>
    <mergeCell ref="CW109:CX109"/>
    <mergeCell ref="DA109:DB109"/>
    <mergeCell ref="BA112:BH112"/>
    <mergeCell ref="BI112:BP112"/>
    <mergeCell ref="BT112:CA112"/>
    <mergeCell ref="CB112:CI112"/>
    <mergeCell ref="CJ112:CQ112"/>
    <mergeCell ref="CU112:DB112"/>
    <mergeCell ref="CH109:CI109"/>
    <mergeCell ref="CJ109:CK109"/>
    <mergeCell ref="CL109:CM109"/>
    <mergeCell ref="CP109:CQ109"/>
    <mergeCell ref="CR109:CS109"/>
    <mergeCell ref="CU109:CV109"/>
    <mergeCell ref="BQ109:BR109"/>
    <mergeCell ref="BT109:BU109"/>
    <mergeCell ref="BV109:BW109"/>
    <mergeCell ref="BZ109:CA109"/>
    <mergeCell ref="CB109:CC109"/>
    <mergeCell ref="CD109:CE109"/>
    <mergeCell ref="CR113:CS113"/>
    <mergeCell ref="CU113:CV113"/>
    <mergeCell ref="CW113:CX113"/>
    <mergeCell ref="DA113:DB113"/>
    <mergeCell ref="CB116:CI116"/>
    <mergeCell ref="CJ116:CQ116"/>
    <mergeCell ref="CU116:DB116"/>
    <mergeCell ref="CB113:CC113"/>
    <mergeCell ref="CD113:CE113"/>
    <mergeCell ref="CH113:CI113"/>
    <mergeCell ref="CJ113:CK113"/>
    <mergeCell ref="CL113:CM113"/>
    <mergeCell ref="CP113:CQ113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B113C-6FCF-4BC6-AA8F-3F35266912EB}">
  <dimension ref="B2:CS46"/>
  <sheetViews>
    <sheetView showGridLines="0" zoomScale="85" zoomScaleNormal="85" workbookViewId="0"/>
  </sheetViews>
  <sheetFormatPr defaultRowHeight="16.899999999999999" x14ac:dyDescent="0.6"/>
  <cols>
    <col min="2" max="2" width="26" style="1" bestFit="1" customWidth="1"/>
    <col min="3" max="3" width="1.625" style="24" customWidth="1"/>
    <col min="4" max="4" width="5.625" style="24" bestFit="1" customWidth="1"/>
    <col min="5" max="5" width="6.8125" style="24" customWidth="1"/>
    <col min="6" max="7" width="5.625" style="24" bestFit="1" customWidth="1"/>
    <col min="8" max="8" width="7.6875" style="24" bestFit="1" customWidth="1"/>
    <col min="9" max="17" width="5.625" style="24" bestFit="1" customWidth="1"/>
    <col min="18" max="18" width="10.625" style="24" bestFit="1" customWidth="1"/>
    <col min="19" max="19" width="5.625" style="24" bestFit="1" customWidth="1"/>
    <col min="20" max="27" width="4.5" style="24" bestFit="1" customWidth="1"/>
    <col min="28" max="28" width="4.5" bestFit="1" customWidth="1"/>
    <col min="29" max="29" width="4.5" style="1" bestFit="1" customWidth="1"/>
    <col min="30" max="30" width="11.125" bestFit="1" customWidth="1"/>
    <col min="31" max="31" width="3.625" customWidth="1"/>
    <col min="32" max="32" width="13.3125" bestFit="1" customWidth="1"/>
    <col min="33" max="34" width="7.8125" bestFit="1" customWidth="1"/>
    <col min="35" max="37" width="2.625" customWidth="1"/>
    <col min="38" max="38" width="13.3125" bestFit="1" customWidth="1"/>
    <col min="39" max="39" width="7.8125" bestFit="1" customWidth="1"/>
    <col min="40" max="40" width="7.625" bestFit="1" customWidth="1"/>
    <col min="41" max="41" width="2.625" customWidth="1"/>
    <col min="42" max="42" width="1.625" customWidth="1"/>
    <col min="43" max="43" width="2.625" customWidth="1"/>
    <col min="44" max="44" width="14.8125" bestFit="1" customWidth="1"/>
    <col min="45" max="45" width="7.8125" customWidth="1"/>
    <col min="46" max="46" width="7.6875" bestFit="1" customWidth="1"/>
    <col min="47" max="47" width="3.625" customWidth="1"/>
    <col min="49" max="49" width="8.6875" style="114"/>
    <col min="50" max="50" width="3.625" customWidth="1"/>
    <col min="51" max="51" width="9.8125" bestFit="1" customWidth="1"/>
    <col min="52" max="52" width="8.6875" bestFit="1" customWidth="1"/>
    <col min="53" max="53" width="9.125" bestFit="1" customWidth="1"/>
    <col min="54" max="54" width="8.6875" bestFit="1" customWidth="1"/>
    <col min="55" max="57" width="1.625" customWidth="1"/>
    <col min="58" max="58" width="9.125" bestFit="1" customWidth="1"/>
    <col min="59" max="59" width="9.8125" bestFit="1" customWidth="1"/>
    <col min="60" max="60" width="8.6875" bestFit="1" customWidth="1"/>
    <col min="61" max="61" width="9.125" bestFit="1" customWidth="1"/>
    <col min="62" max="62" width="8.6875" bestFit="1" customWidth="1"/>
    <col min="63" max="65" width="1.625" customWidth="1"/>
    <col min="66" max="66" width="9.125" bestFit="1" customWidth="1"/>
    <col min="67" max="67" width="3.625" customWidth="1"/>
    <col min="68" max="68" width="6" bestFit="1" customWidth="1"/>
    <col min="70" max="70" width="3.625" customWidth="1"/>
    <col min="71" max="72" width="16.125" bestFit="1" customWidth="1"/>
    <col min="73" max="75" width="1.625" customWidth="1"/>
    <col min="76" max="76" width="16.125" bestFit="1" customWidth="1"/>
    <col min="77" max="77" width="3.625" customWidth="1"/>
    <col min="80" max="80" width="3.625" customWidth="1"/>
    <col min="81" max="82" width="14" style="204" bestFit="1" customWidth="1"/>
    <col min="83" max="84" width="1.625" style="204" customWidth="1"/>
    <col min="85" max="85" width="1.8125" style="204" customWidth="1"/>
    <col min="86" max="86" width="14" style="204" bestFit="1" customWidth="1"/>
    <col min="87" max="89" width="1.625" style="204" customWidth="1"/>
    <col min="90" max="90" width="11.5" style="204" bestFit="1" customWidth="1"/>
    <col min="91" max="91" width="6" style="204" bestFit="1" customWidth="1"/>
    <col min="92" max="92" width="1.625" style="204" customWidth="1"/>
    <col min="93" max="95" width="11.5" style="204" bestFit="1" customWidth="1"/>
    <col min="96" max="96" width="6.1875" style="204" bestFit="1" customWidth="1"/>
    <col min="97" max="97" width="1.625" customWidth="1"/>
  </cols>
  <sheetData>
    <row r="2" spans="2:97" x14ac:dyDescent="0.6">
      <c r="B2" s="203" t="s">
        <v>355</v>
      </c>
      <c r="C2" s="534" t="s">
        <v>356</v>
      </c>
      <c r="D2" s="535"/>
      <c r="E2" s="535"/>
      <c r="F2" s="535"/>
      <c r="G2" s="535"/>
      <c r="H2" s="535"/>
      <c r="I2" s="535"/>
      <c r="J2" s="535"/>
      <c r="K2" s="535"/>
      <c r="L2" s="535"/>
      <c r="M2" s="535"/>
      <c r="N2" s="535"/>
      <c r="O2" s="535"/>
      <c r="P2" s="535"/>
      <c r="Q2" s="535"/>
      <c r="R2" s="535"/>
      <c r="S2" s="535"/>
      <c r="T2" s="535"/>
      <c r="U2" s="535"/>
      <c r="V2" s="535"/>
      <c r="W2" s="535"/>
      <c r="X2" s="535"/>
      <c r="Y2" s="535"/>
      <c r="Z2" s="535"/>
      <c r="AA2" s="535"/>
      <c r="AB2" s="535"/>
      <c r="AC2" s="535"/>
    </row>
    <row r="3" spans="2:97" ht="17.25" thickBot="1" x14ac:dyDescent="0.65">
      <c r="B3" s="205" t="s">
        <v>357</v>
      </c>
      <c r="F3" s="206"/>
      <c r="I3" s="206"/>
    </row>
    <row r="4" spans="2:97" x14ac:dyDescent="0.6">
      <c r="B4" s="2"/>
      <c r="D4" s="207" t="s">
        <v>358</v>
      </c>
      <c r="E4" s="208" t="s">
        <v>359</v>
      </c>
      <c r="F4" s="208" t="s">
        <v>360</v>
      </c>
      <c r="G4" s="209" t="s">
        <v>361</v>
      </c>
      <c r="H4" s="207" t="s">
        <v>362</v>
      </c>
      <c r="I4" s="208" t="s">
        <v>363</v>
      </c>
      <c r="J4" s="208" t="s">
        <v>364</v>
      </c>
      <c r="K4" s="208" t="s">
        <v>365</v>
      </c>
      <c r="L4" s="208" t="s">
        <v>366</v>
      </c>
      <c r="M4" s="209" t="s">
        <v>367</v>
      </c>
      <c r="N4" s="207" t="s">
        <v>368</v>
      </c>
      <c r="O4" s="208" t="s">
        <v>369</v>
      </c>
      <c r="P4" s="208" t="s">
        <v>107</v>
      </c>
      <c r="Q4" s="208" t="s">
        <v>108</v>
      </c>
      <c r="R4" s="208" t="s">
        <v>109</v>
      </c>
      <c r="S4" s="208" t="s">
        <v>110</v>
      </c>
      <c r="T4" s="208" t="s">
        <v>111</v>
      </c>
      <c r="U4" s="208" t="s">
        <v>112</v>
      </c>
      <c r="V4" s="208" t="s">
        <v>113</v>
      </c>
      <c r="W4" s="208" t="s">
        <v>114</v>
      </c>
      <c r="X4" s="208" t="s">
        <v>115</v>
      </c>
      <c r="Y4" s="209" t="s">
        <v>116</v>
      </c>
      <c r="Z4" s="1"/>
      <c r="AA4" s="1"/>
      <c r="AB4" s="1"/>
    </row>
    <row r="5" spans="2:97" ht="17.25" thickBot="1" x14ac:dyDescent="0.65">
      <c r="B5" s="210" t="s">
        <v>370</v>
      </c>
      <c r="D5" s="211" t="s">
        <v>371</v>
      </c>
      <c r="E5" s="515" t="s">
        <v>372</v>
      </c>
      <c r="F5" s="516"/>
      <c r="G5" s="517"/>
      <c r="H5" s="507" t="s">
        <v>373</v>
      </c>
      <c r="I5" s="508"/>
      <c r="J5" s="508"/>
      <c r="K5" s="508"/>
      <c r="L5" s="508"/>
      <c r="M5" s="509"/>
      <c r="N5" s="507" t="s">
        <v>374</v>
      </c>
      <c r="O5" s="508"/>
      <c r="P5" s="508"/>
      <c r="Q5" s="508"/>
      <c r="R5" s="508"/>
      <c r="S5" s="508"/>
      <c r="T5" s="508"/>
      <c r="U5" s="508"/>
      <c r="V5" s="508"/>
      <c r="W5" s="508"/>
      <c r="X5" s="508"/>
      <c r="Y5" s="509"/>
      <c r="Z5" s="1"/>
      <c r="AA5" s="1"/>
      <c r="AB5" s="1"/>
    </row>
    <row r="6" spans="2:97" ht="17.25" thickBot="1" x14ac:dyDescent="0.65">
      <c r="B6" s="130" t="s">
        <v>375</v>
      </c>
      <c r="D6" s="176">
        <v>1</v>
      </c>
      <c r="E6" s="176">
        <v>1</v>
      </c>
      <c r="F6" s="176">
        <v>0</v>
      </c>
      <c r="G6" s="176">
        <v>1</v>
      </c>
    </row>
    <row r="7" spans="2:97" x14ac:dyDescent="0.6">
      <c r="B7" s="130"/>
      <c r="D7" s="212" t="s">
        <v>376</v>
      </c>
      <c r="E7" s="213" t="s">
        <v>377</v>
      </c>
      <c r="F7" s="213" t="s">
        <v>378</v>
      </c>
      <c r="G7" s="214" t="s">
        <v>379</v>
      </c>
      <c r="H7" s="215" t="s">
        <v>380</v>
      </c>
      <c r="I7" s="208" t="s">
        <v>112</v>
      </c>
      <c r="J7" s="208" t="s">
        <v>113</v>
      </c>
      <c r="K7" s="208" t="s">
        <v>114</v>
      </c>
      <c r="L7" s="208" t="s">
        <v>115</v>
      </c>
      <c r="M7" s="209" t="s">
        <v>116</v>
      </c>
      <c r="AC7" s="216"/>
    </row>
    <row r="8" spans="2:97" ht="17.25" thickBot="1" x14ac:dyDescent="0.65">
      <c r="B8" s="210" t="s">
        <v>370</v>
      </c>
      <c r="D8" s="211" t="s">
        <v>371</v>
      </c>
      <c r="E8" s="521" t="s">
        <v>372</v>
      </c>
      <c r="F8" s="521"/>
      <c r="G8" s="522"/>
      <c r="H8" s="536" t="s">
        <v>373</v>
      </c>
      <c r="I8" s="537"/>
      <c r="J8" s="537"/>
      <c r="K8" s="537"/>
      <c r="L8" s="537"/>
      <c r="M8" s="538"/>
      <c r="AC8" s="216"/>
    </row>
    <row r="9" spans="2:97" ht="17.25" thickBot="1" x14ac:dyDescent="0.65">
      <c r="B9" s="130" t="s">
        <v>381</v>
      </c>
      <c r="C9" s="219"/>
      <c r="D9" s="176">
        <v>1</v>
      </c>
      <c r="E9" s="176">
        <v>1</v>
      </c>
      <c r="F9" s="176">
        <v>1</v>
      </c>
      <c r="G9" s="176">
        <v>0</v>
      </c>
      <c r="AC9" s="216"/>
      <c r="AW9" s="114" t="s">
        <v>382</v>
      </c>
    </row>
    <row r="10" spans="2:97" x14ac:dyDescent="0.6">
      <c r="B10" s="130"/>
      <c r="D10" s="212" t="s">
        <v>359</v>
      </c>
      <c r="E10" s="213" t="s">
        <v>360</v>
      </c>
      <c r="F10" s="213" t="s">
        <v>361</v>
      </c>
      <c r="G10" s="214" t="s">
        <v>362</v>
      </c>
      <c r="H10" s="207" t="s">
        <v>383</v>
      </c>
      <c r="I10" s="208" t="s">
        <v>384</v>
      </c>
      <c r="J10" s="208" t="s">
        <v>365</v>
      </c>
      <c r="K10" s="208" t="s">
        <v>366</v>
      </c>
      <c r="L10" s="209" t="s">
        <v>367</v>
      </c>
      <c r="M10" s="215" t="s">
        <v>368</v>
      </c>
      <c r="N10" s="208" t="s">
        <v>369</v>
      </c>
      <c r="O10" s="208" t="s">
        <v>107</v>
      </c>
      <c r="P10" s="208" t="s">
        <v>108</v>
      </c>
      <c r="Q10" s="208" t="s">
        <v>109</v>
      </c>
      <c r="R10" s="208" t="s">
        <v>110</v>
      </c>
      <c r="S10" s="208" t="s">
        <v>111</v>
      </c>
      <c r="T10" s="208" t="s">
        <v>112</v>
      </c>
      <c r="U10" s="208" t="s">
        <v>113</v>
      </c>
      <c r="V10" s="208" t="s">
        <v>114</v>
      </c>
      <c r="W10" s="208" t="s">
        <v>115</v>
      </c>
      <c r="X10" s="209" t="s">
        <v>116</v>
      </c>
      <c r="AC10" s="216"/>
      <c r="AD10" s="1" t="s">
        <v>385</v>
      </c>
      <c r="AE10" s="25"/>
      <c r="AF10" s="220" t="s">
        <v>386</v>
      </c>
      <c r="AG10" s="220" t="s">
        <v>387</v>
      </c>
      <c r="AH10" s="220" t="s">
        <v>388</v>
      </c>
      <c r="AI10" s="503" t="s">
        <v>389</v>
      </c>
      <c r="AJ10" s="504"/>
      <c r="AK10" s="504"/>
      <c r="AL10" s="505"/>
      <c r="AM10" s="222" t="s">
        <v>390</v>
      </c>
      <c r="AN10" s="222" t="s">
        <v>391</v>
      </c>
      <c r="AO10" s="223"/>
      <c r="AQ10" s="224"/>
      <c r="AR10" s="225" t="s">
        <v>392</v>
      </c>
      <c r="AS10" s="225" t="s">
        <v>393</v>
      </c>
      <c r="AT10" s="225" t="s">
        <v>394</v>
      </c>
      <c r="AU10" s="25"/>
      <c r="AW10" s="120" t="s">
        <v>395</v>
      </c>
      <c r="AX10" s="25"/>
      <c r="AY10" s="220" t="s">
        <v>396</v>
      </c>
      <c r="AZ10" s="220" t="s">
        <v>397</v>
      </c>
      <c r="BA10" s="220" t="s">
        <v>398</v>
      </c>
      <c r="BB10" s="220" t="s">
        <v>399</v>
      </c>
      <c r="BC10" s="226"/>
      <c r="BE10" s="227"/>
      <c r="BF10" s="220" t="s">
        <v>400</v>
      </c>
      <c r="BG10" s="222" t="s">
        <v>401</v>
      </c>
      <c r="BH10" s="222" t="s">
        <v>402</v>
      </c>
      <c r="BI10" s="222" t="s">
        <v>403</v>
      </c>
      <c r="BJ10" s="222" t="s">
        <v>404</v>
      </c>
      <c r="BK10" s="221"/>
      <c r="BM10" s="228"/>
      <c r="BN10" s="225" t="s">
        <v>405</v>
      </c>
      <c r="BO10" s="26"/>
      <c r="BQ10" s="1" t="s">
        <v>385</v>
      </c>
      <c r="BR10" s="25"/>
      <c r="BS10" s="229" t="s">
        <v>406</v>
      </c>
      <c r="BT10" s="230" t="s">
        <v>407</v>
      </c>
      <c r="BU10" s="231"/>
      <c r="BV10" s="202"/>
      <c r="BW10" s="232"/>
      <c r="BX10" s="233" t="s">
        <v>408</v>
      </c>
      <c r="BY10" s="26"/>
      <c r="CA10" s="1" t="s">
        <v>385</v>
      </c>
      <c r="CB10" s="25"/>
      <c r="CC10" s="234" t="s">
        <v>409</v>
      </c>
      <c r="CD10" s="235" t="s">
        <v>410</v>
      </c>
      <c r="CE10" s="236"/>
      <c r="CF10" s="237"/>
      <c r="CG10" s="238"/>
      <c r="CH10" s="239" t="s">
        <v>411</v>
      </c>
      <c r="CI10" s="240"/>
      <c r="CK10" s="240"/>
      <c r="CL10" s="240"/>
      <c r="CM10" s="240"/>
      <c r="CO10" s="240"/>
      <c r="CP10" s="240"/>
      <c r="CQ10" s="241" t="s">
        <v>412</v>
      </c>
      <c r="CR10" s="241" t="s">
        <v>413</v>
      </c>
      <c r="CS10" s="25"/>
    </row>
    <row r="11" spans="2:97" ht="17.25" thickBot="1" x14ac:dyDescent="0.65">
      <c r="B11" s="210" t="s">
        <v>414</v>
      </c>
      <c r="D11" s="211" t="s">
        <v>371</v>
      </c>
      <c r="E11" s="521" t="s">
        <v>372</v>
      </c>
      <c r="F11" s="521"/>
      <c r="G11" s="522"/>
      <c r="H11" s="528" t="s">
        <v>415</v>
      </c>
      <c r="I11" s="529"/>
      <c r="J11" s="529"/>
      <c r="K11" s="529"/>
      <c r="L11" s="530"/>
      <c r="M11" s="531" t="s">
        <v>374</v>
      </c>
      <c r="N11" s="532"/>
      <c r="O11" s="532"/>
      <c r="P11" s="532"/>
      <c r="Q11" s="532"/>
      <c r="R11" s="532"/>
      <c r="S11" s="532"/>
      <c r="T11" s="532"/>
      <c r="U11" s="532"/>
      <c r="V11" s="532"/>
      <c r="W11" s="532"/>
      <c r="X11" s="533"/>
      <c r="AC11" s="216"/>
      <c r="BS11" s="202"/>
      <c r="CF11" s="237"/>
    </row>
    <row r="12" spans="2:97" ht="17.25" thickBot="1" x14ac:dyDescent="0.65">
      <c r="B12" s="130" t="s">
        <v>416</v>
      </c>
      <c r="D12" s="176">
        <v>1</v>
      </c>
      <c r="E12" s="176">
        <v>1</v>
      </c>
      <c r="F12" s="176">
        <v>1</v>
      </c>
      <c r="G12" s="176">
        <v>0</v>
      </c>
      <c r="AC12" s="216"/>
      <c r="AD12" s="1" t="s">
        <v>417</v>
      </c>
      <c r="AE12" s="25"/>
      <c r="AF12" s="25"/>
      <c r="AG12" s="25"/>
      <c r="AH12" s="25"/>
      <c r="AI12" s="503" t="s">
        <v>389</v>
      </c>
      <c r="AJ12" s="504"/>
      <c r="AK12" s="504"/>
      <c r="AL12" s="505"/>
      <c r="AM12" s="222" t="s">
        <v>390</v>
      </c>
      <c r="AN12" s="222" t="s">
        <v>391</v>
      </c>
      <c r="AO12" s="223"/>
      <c r="AQ12" s="224"/>
      <c r="AR12" s="225" t="s">
        <v>392</v>
      </c>
      <c r="AS12" s="225" t="s">
        <v>393</v>
      </c>
      <c r="AT12" s="225" t="s">
        <v>394</v>
      </c>
      <c r="AU12" s="25"/>
      <c r="AW12" s="120" t="s">
        <v>418</v>
      </c>
      <c r="AX12" s="25"/>
      <c r="AY12" s="25"/>
      <c r="AZ12" s="25"/>
      <c r="BA12" s="25"/>
      <c r="BB12" s="25"/>
      <c r="BC12" s="25"/>
      <c r="BE12" s="25"/>
      <c r="BF12" s="25"/>
      <c r="BG12" s="222" t="s">
        <v>401</v>
      </c>
      <c r="BH12" s="222" t="s">
        <v>402</v>
      </c>
      <c r="BI12" s="222" t="s">
        <v>403</v>
      </c>
      <c r="BJ12" s="222" t="s">
        <v>404</v>
      </c>
      <c r="BK12" s="221"/>
      <c r="BM12" s="228"/>
      <c r="BN12" s="225" t="s">
        <v>405</v>
      </c>
      <c r="BO12" s="26"/>
      <c r="BQ12" s="1" t="s">
        <v>417</v>
      </c>
      <c r="BR12" s="25"/>
      <c r="BS12" s="25"/>
      <c r="BT12" s="230" t="s">
        <v>407</v>
      </c>
      <c r="BU12" s="231"/>
      <c r="BV12" s="202"/>
      <c r="BW12" s="232"/>
      <c r="BX12" s="233" t="s">
        <v>408</v>
      </c>
      <c r="BY12" s="26"/>
      <c r="CA12" s="1" t="s">
        <v>417</v>
      </c>
      <c r="CB12" s="25"/>
      <c r="CC12" s="242"/>
      <c r="CD12" s="235" t="s">
        <v>419</v>
      </c>
      <c r="CE12" s="236"/>
      <c r="CF12" s="237"/>
      <c r="CG12" s="238"/>
      <c r="CH12" s="239" t="s">
        <v>411</v>
      </c>
      <c r="CI12" s="242"/>
      <c r="CK12" s="242"/>
      <c r="CL12" s="242"/>
      <c r="CM12" s="242"/>
      <c r="CO12" s="242"/>
      <c r="CP12" s="235" t="s">
        <v>412</v>
      </c>
      <c r="CQ12" s="235" t="s">
        <v>420</v>
      </c>
      <c r="CR12" s="242"/>
      <c r="CS12" s="243"/>
    </row>
    <row r="13" spans="2:97" x14ac:dyDescent="0.6">
      <c r="B13" s="130"/>
      <c r="D13" s="207" t="s">
        <v>421</v>
      </c>
      <c r="E13" s="208" t="s">
        <v>422</v>
      </c>
      <c r="F13" s="208" t="s">
        <v>358</v>
      </c>
      <c r="G13" s="209" t="s">
        <v>423</v>
      </c>
      <c r="H13" s="207" t="s">
        <v>424</v>
      </c>
      <c r="I13" s="208" t="s">
        <v>425</v>
      </c>
      <c r="J13" s="208" t="s">
        <v>426</v>
      </c>
      <c r="K13" s="208" t="s">
        <v>383</v>
      </c>
      <c r="L13" s="208" t="s">
        <v>384</v>
      </c>
      <c r="M13" s="208" t="s">
        <v>427</v>
      </c>
      <c r="N13" s="208" t="s">
        <v>428</v>
      </c>
      <c r="O13" s="208" t="s">
        <v>429</v>
      </c>
      <c r="P13" s="208" t="s">
        <v>368</v>
      </c>
      <c r="Q13" s="209" t="s">
        <v>369</v>
      </c>
      <c r="R13" s="207" t="s">
        <v>107</v>
      </c>
      <c r="S13" s="208" t="s">
        <v>108</v>
      </c>
      <c r="T13" s="208" t="s">
        <v>109</v>
      </c>
      <c r="U13" s="208" t="s">
        <v>110</v>
      </c>
      <c r="V13" s="208" t="s">
        <v>111</v>
      </c>
      <c r="W13" s="208" t="s">
        <v>112</v>
      </c>
      <c r="X13" s="208" t="s">
        <v>113</v>
      </c>
      <c r="Y13" s="208" t="s">
        <v>114</v>
      </c>
      <c r="Z13" s="208" t="s">
        <v>115</v>
      </c>
      <c r="AA13" s="209" t="s">
        <v>116</v>
      </c>
      <c r="AC13" s="216"/>
      <c r="CF13" s="237"/>
    </row>
    <row r="14" spans="2:97" ht="17.25" thickBot="1" x14ac:dyDescent="0.65">
      <c r="B14" s="210" t="s">
        <v>370</v>
      </c>
      <c r="D14" s="211" t="s">
        <v>371</v>
      </c>
      <c r="E14" s="244" t="s">
        <v>372</v>
      </c>
      <c r="F14" s="244"/>
      <c r="G14" s="245"/>
      <c r="H14" s="524" t="s">
        <v>430</v>
      </c>
      <c r="I14" s="523"/>
      <c r="J14" s="523"/>
      <c r="K14" s="523"/>
      <c r="L14" s="523"/>
      <c r="M14" s="523"/>
      <c r="N14" s="523"/>
      <c r="O14" s="523"/>
      <c r="P14" s="523"/>
      <c r="Q14" s="525"/>
      <c r="R14" s="524" t="s">
        <v>431</v>
      </c>
      <c r="S14" s="523"/>
      <c r="T14" s="523"/>
      <c r="U14" s="523"/>
      <c r="V14" s="523"/>
      <c r="W14" s="523"/>
      <c r="X14" s="523"/>
      <c r="Y14" s="523"/>
      <c r="Z14" s="523"/>
      <c r="AA14" s="525"/>
      <c r="AD14" s="1" t="s">
        <v>432</v>
      </c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23"/>
      <c r="AQ14" s="224"/>
      <c r="AR14" s="225" t="s">
        <v>392</v>
      </c>
      <c r="AS14" s="225" t="s">
        <v>393</v>
      </c>
      <c r="AT14" s="225" t="s">
        <v>394</v>
      </c>
      <c r="AU14" s="25"/>
      <c r="AW14" s="120" t="s">
        <v>433</v>
      </c>
      <c r="AX14" s="25"/>
      <c r="AY14" s="25"/>
      <c r="AZ14" s="25"/>
      <c r="BA14" s="25"/>
      <c r="BB14" s="25"/>
      <c r="BC14" s="25"/>
      <c r="BE14" s="25"/>
      <c r="BF14" s="25"/>
      <c r="BG14" s="25"/>
      <c r="BH14" s="25"/>
      <c r="BI14" s="25"/>
      <c r="BJ14" s="25"/>
      <c r="BK14" s="25"/>
      <c r="BM14" s="228"/>
      <c r="BN14" s="225" t="s">
        <v>405</v>
      </c>
      <c r="BO14" s="25"/>
      <c r="BQ14" s="1" t="s">
        <v>432</v>
      </c>
      <c r="BR14" s="25"/>
      <c r="BS14" s="25"/>
      <c r="BT14" s="25"/>
      <c r="BU14" s="231"/>
      <c r="BV14" s="202"/>
      <c r="BW14" s="232"/>
      <c r="BX14" s="233" t="s">
        <v>408</v>
      </c>
      <c r="BY14" s="26"/>
      <c r="CA14" s="1" t="s">
        <v>432</v>
      </c>
      <c r="CB14" s="25"/>
      <c r="CC14" s="242"/>
      <c r="CD14" s="242"/>
      <c r="CE14" s="236"/>
      <c r="CF14" s="237"/>
      <c r="CG14" s="238"/>
      <c r="CH14" s="239" t="s">
        <v>411</v>
      </c>
      <c r="CI14" s="240"/>
      <c r="CK14" s="240"/>
      <c r="CL14" s="240"/>
      <c r="CM14" s="240"/>
      <c r="CO14" s="246" t="s">
        <v>412</v>
      </c>
      <c r="CP14" s="246" t="s">
        <v>434</v>
      </c>
      <c r="CQ14" s="240"/>
      <c r="CR14" s="240"/>
      <c r="CS14" s="25"/>
    </row>
    <row r="15" spans="2:97" ht="17.25" thickBot="1" x14ac:dyDescent="0.65">
      <c r="B15" s="130" t="s">
        <v>435</v>
      </c>
      <c r="D15" s="176">
        <v>1</v>
      </c>
      <c r="E15" s="176">
        <v>1</v>
      </c>
      <c r="F15" s="176">
        <v>1</v>
      </c>
      <c r="G15" s="176">
        <v>1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Q15" s="1"/>
      <c r="AR15" s="1"/>
      <c r="AS15" s="1"/>
      <c r="AT15" s="1"/>
      <c r="AU15" s="1"/>
      <c r="AV15" s="1"/>
      <c r="AX15" s="1"/>
      <c r="AY15" s="1"/>
      <c r="AZ15" s="1"/>
      <c r="BA15" s="1"/>
      <c r="BB15" s="1"/>
      <c r="BC15" s="1"/>
      <c r="BE15" s="1"/>
      <c r="BF15" s="1"/>
      <c r="BG15" s="1"/>
      <c r="BH15" s="1"/>
      <c r="BI15" s="1"/>
      <c r="BJ15" s="1"/>
      <c r="BK15" s="1"/>
      <c r="BM15" s="1"/>
      <c r="BN15" s="1"/>
      <c r="BO15" s="1"/>
      <c r="BR15" s="1"/>
      <c r="BS15" s="1"/>
      <c r="BT15" s="1"/>
      <c r="BU15" s="1"/>
      <c r="BV15" s="1"/>
      <c r="BW15" s="1"/>
      <c r="BX15" s="1"/>
      <c r="CB15" s="1"/>
      <c r="CC15" s="237"/>
      <c r="CD15" s="237"/>
      <c r="CE15" s="237"/>
      <c r="CF15" s="237"/>
      <c r="CG15" s="237"/>
      <c r="CH15" s="237"/>
      <c r="CI15" s="237"/>
      <c r="CK15" s="237"/>
      <c r="CL15" s="237"/>
      <c r="CM15" s="237"/>
      <c r="CO15" s="237"/>
      <c r="CP15" s="237"/>
      <c r="CQ15" s="237"/>
      <c r="CR15" s="237"/>
      <c r="CS15" s="1"/>
    </row>
    <row r="16" spans="2:97" x14ac:dyDescent="0.6">
      <c r="B16" s="130"/>
      <c r="D16" s="207" t="s">
        <v>436</v>
      </c>
      <c r="E16" s="208" t="s">
        <v>421</v>
      </c>
      <c r="F16" s="208" t="s">
        <v>422</v>
      </c>
      <c r="G16" s="209" t="s">
        <v>358</v>
      </c>
      <c r="H16" s="215" t="s">
        <v>423</v>
      </c>
      <c r="I16" s="208" t="s">
        <v>424</v>
      </c>
      <c r="J16" s="208" t="s">
        <v>425</v>
      </c>
      <c r="K16" s="208" t="s">
        <v>426</v>
      </c>
      <c r="L16" s="208" t="s">
        <v>383</v>
      </c>
      <c r="M16" s="208" t="s">
        <v>384</v>
      </c>
      <c r="N16" s="208" t="s">
        <v>427</v>
      </c>
      <c r="O16" s="208" t="s">
        <v>428</v>
      </c>
      <c r="P16" s="208" t="s">
        <v>429</v>
      </c>
      <c r="Q16" s="247" t="s">
        <v>368</v>
      </c>
      <c r="R16" s="207" t="s">
        <v>369</v>
      </c>
      <c r="S16" s="208" t="s">
        <v>107</v>
      </c>
      <c r="T16" s="208" t="s">
        <v>108</v>
      </c>
      <c r="U16" s="208" t="s">
        <v>109</v>
      </c>
      <c r="V16" s="208" t="s">
        <v>110</v>
      </c>
      <c r="W16" s="208" t="s">
        <v>111</v>
      </c>
      <c r="X16" s="208" t="s">
        <v>112</v>
      </c>
      <c r="Y16" s="208" t="s">
        <v>113</v>
      </c>
      <c r="Z16" s="208" t="s">
        <v>114</v>
      </c>
      <c r="AA16" s="208" t="s">
        <v>115</v>
      </c>
      <c r="AB16" s="209" t="s">
        <v>116</v>
      </c>
      <c r="AD16" s="1" t="s">
        <v>437</v>
      </c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Q16" s="224"/>
      <c r="AR16" s="225" t="s">
        <v>392</v>
      </c>
      <c r="AS16" s="225" t="s">
        <v>393</v>
      </c>
      <c r="AT16" s="225" t="s">
        <v>394</v>
      </c>
      <c r="AU16" s="25"/>
      <c r="AW16" s="120" t="s">
        <v>438</v>
      </c>
      <c r="AX16" s="25"/>
      <c r="AY16" s="25"/>
      <c r="AZ16" s="25"/>
      <c r="BA16" s="25"/>
      <c r="BB16" s="25"/>
      <c r="BC16" s="25"/>
      <c r="BE16" s="25"/>
      <c r="BF16" s="25"/>
      <c r="BG16" s="25"/>
      <c r="BH16" s="25"/>
      <c r="BI16" s="25"/>
      <c r="BJ16" s="25"/>
      <c r="BK16" s="25"/>
      <c r="BM16" s="228"/>
      <c r="BN16" s="225" t="s">
        <v>405</v>
      </c>
      <c r="BO16" s="25"/>
      <c r="BQ16" s="1" t="s">
        <v>437</v>
      </c>
      <c r="BR16" s="25"/>
      <c r="BS16" s="25"/>
      <c r="BT16" s="25"/>
      <c r="BU16" s="25"/>
      <c r="BW16" s="232"/>
      <c r="BX16" s="233" t="s">
        <v>408</v>
      </c>
      <c r="BY16" s="26"/>
      <c r="CA16" s="1" t="s">
        <v>437</v>
      </c>
      <c r="CB16" s="25"/>
      <c r="CC16" s="240"/>
      <c r="CD16" s="240"/>
      <c r="CE16" s="240"/>
      <c r="CF16" s="237"/>
      <c r="CG16" s="240"/>
      <c r="CH16" s="239" t="s">
        <v>411</v>
      </c>
      <c r="CI16" s="240"/>
      <c r="CK16" s="240"/>
      <c r="CL16" s="239" t="s">
        <v>412</v>
      </c>
      <c r="CM16" s="239" t="s">
        <v>439</v>
      </c>
      <c r="CO16" s="240"/>
      <c r="CP16" s="240"/>
      <c r="CQ16" s="240"/>
      <c r="CR16" s="240"/>
      <c r="CS16" s="25"/>
    </row>
    <row r="17" spans="2:97" ht="17.25" thickBot="1" x14ac:dyDescent="0.65">
      <c r="B17" s="210" t="s">
        <v>370</v>
      </c>
      <c r="D17" s="211" t="s">
        <v>371</v>
      </c>
      <c r="E17" s="244" t="s">
        <v>372</v>
      </c>
      <c r="F17" s="244"/>
      <c r="G17" s="245"/>
      <c r="H17" s="523" t="s">
        <v>430</v>
      </c>
      <c r="I17" s="523"/>
      <c r="J17" s="523"/>
      <c r="K17" s="523"/>
      <c r="L17" s="523"/>
      <c r="M17" s="523"/>
      <c r="N17" s="523"/>
      <c r="O17" s="523"/>
      <c r="P17" s="523"/>
      <c r="Q17" s="523"/>
      <c r="R17" s="524" t="s">
        <v>440</v>
      </c>
      <c r="S17" s="523"/>
      <c r="T17" s="523"/>
      <c r="U17" s="523"/>
      <c r="V17" s="523"/>
      <c r="W17" s="523"/>
      <c r="X17" s="523"/>
      <c r="Y17" s="523"/>
      <c r="Z17" s="523"/>
      <c r="AA17" s="523"/>
      <c r="AB17" s="525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Q17" s="1"/>
      <c r="AR17" s="1"/>
      <c r="AS17" s="1"/>
      <c r="AT17" s="1"/>
      <c r="AU17" s="1"/>
      <c r="AX17" s="1"/>
      <c r="AY17" s="1"/>
      <c r="AZ17" s="1"/>
      <c r="BA17" s="1"/>
      <c r="BB17" s="1"/>
      <c r="BC17" s="1"/>
      <c r="BE17" s="1"/>
      <c r="BF17" s="1"/>
      <c r="BG17" s="1"/>
      <c r="BH17" s="1"/>
      <c r="BI17" s="1"/>
      <c r="BJ17" s="1"/>
      <c r="BK17" s="1"/>
      <c r="BM17" s="1"/>
      <c r="BN17" s="1"/>
      <c r="BO17" s="1"/>
      <c r="BR17" s="1"/>
      <c r="BS17" s="1"/>
      <c r="BT17" s="1"/>
      <c r="BU17" s="1"/>
      <c r="BW17" s="1"/>
      <c r="BX17" s="1"/>
      <c r="CB17" s="1"/>
      <c r="CC17" s="237"/>
      <c r="CD17" s="237"/>
      <c r="CE17" s="237"/>
      <c r="CF17" s="237"/>
      <c r="CG17" s="237"/>
      <c r="CH17" s="237"/>
      <c r="CI17" s="237"/>
      <c r="CK17" s="237"/>
      <c r="CL17" s="237"/>
      <c r="CM17" s="237"/>
      <c r="CO17" s="237"/>
      <c r="CP17" s="237"/>
      <c r="CQ17" s="237"/>
      <c r="CR17" s="237"/>
      <c r="CS17" s="1"/>
    </row>
    <row r="18" spans="2:97" ht="17.25" thickBot="1" x14ac:dyDescent="0.65">
      <c r="B18" s="130" t="s">
        <v>441</v>
      </c>
      <c r="D18" s="176">
        <v>1</v>
      </c>
      <c r="E18" s="176">
        <v>1</v>
      </c>
      <c r="F18" s="176">
        <v>1</v>
      </c>
      <c r="G18" s="176">
        <v>1</v>
      </c>
      <c r="AD18" s="1" t="s">
        <v>442</v>
      </c>
      <c r="AE18" s="248"/>
      <c r="AF18" s="248"/>
      <c r="AG18" s="248"/>
      <c r="AH18" s="248"/>
      <c r="AI18" s="248"/>
      <c r="AJ18" s="248"/>
      <c r="AK18" s="248"/>
      <c r="AL18" s="248"/>
      <c r="AM18" s="248"/>
      <c r="AN18" s="248"/>
      <c r="AO18" s="248"/>
      <c r="AQ18" s="248"/>
      <c r="AR18" s="248"/>
      <c r="AS18" s="248"/>
      <c r="AT18" s="248"/>
      <c r="AU18" s="248"/>
      <c r="AW18" s="120" t="s">
        <v>443</v>
      </c>
      <c r="AX18" s="248"/>
      <c r="AY18" s="248"/>
      <c r="AZ18" s="248"/>
      <c r="BA18" s="248"/>
      <c r="BB18" s="248"/>
      <c r="BC18" s="248"/>
      <c r="BE18" s="248"/>
      <c r="BF18" s="248"/>
      <c r="BG18" s="248"/>
      <c r="BH18" s="248"/>
      <c r="BI18" s="248"/>
      <c r="BJ18" s="248"/>
      <c r="BK18" s="248"/>
      <c r="BM18" s="248"/>
      <c r="BN18" s="248"/>
      <c r="BO18" s="248"/>
      <c r="BQ18" s="1" t="s">
        <v>442</v>
      </c>
      <c r="BR18" s="248"/>
      <c r="BS18" s="248"/>
      <c r="BT18" s="248"/>
      <c r="BU18" s="248"/>
      <c r="BW18" s="248"/>
      <c r="BX18" s="248"/>
      <c r="BY18" s="25"/>
      <c r="CA18" s="1" t="s">
        <v>442</v>
      </c>
      <c r="CB18" s="248"/>
      <c r="CC18" s="242"/>
      <c r="CD18" s="242"/>
      <c r="CE18" s="242"/>
      <c r="CF18" s="237"/>
      <c r="CG18" s="249"/>
      <c r="CH18" s="249"/>
      <c r="CI18" s="249"/>
      <c r="CK18" s="249"/>
      <c r="CL18" s="249"/>
      <c r="CM18" s="249"/>
      <c r="CO18" s="249"/>
      <c r="CP18" s="249"/>
      <c r="CQ18" s="249"/>
      <c r="CR18" s="249"/>
      <c r="CS18" s="248"/>
    </row>
    <row r="19" spans="2:97" x14ac:dyDescent="0.6">
      <c r="B19" s="130"/>
      <c r="D19" s="207" t="s">
        <v>444</v>
      </c>
      <c r="E19" s="208" t="s">
        <v>436</v>
      </c>
      <c r="F19" s="208" t="s">
        <v>421</v>
      </c>
      <c r="G19" s="209" t="s">
        <v>422</v>
      </c>
      <c r="H19" s="215" t="s">
        <v>358</v>
      </c>
      <c r="I19" s="208" t="s">
        <v>423</v>
      </c>
      <c r="J19" s="208" t="s">
        <v>424</v>
      </c>
      <c r="K19" s="208" t="s">
        <v>425</v>
      </c>
      <c r="L19" s="208" t="s">
        <v>426</v>
      </c>
      <c r="M19" s="208" t="s">
        <v>383</v>
      </c>
      <c r="N19" s="208" t="s">
        <v>384</v>
      </c>
      <c r="O19" s="208" t="s">
        <v>427</v>
      </c>
      <c r="P19" s="208" t="s">
        <v>428</v>
      </c>
      <c r="Q19" s="247" t="s">
        <v>429</v>
      </c>
      <c r="R19" s="207" t="s">
        <v>368</v>
      </c>
      <c r="S19" s="208" t="s">
        <v>369</v>
      </c>
      <c r="T19" s="208" t="s">
        <v>107</v>
      </c>
      <c r="U19" s="208" t="s">
        <v>108</v>
      </c>
      <c r="V19" s="208" t="s">
        <v>109</v>
      </c>
      <c r="W19" s="208" t="s">
        <v>110</v>
      </c>
      <c r="X19" s="208" t="s">
        <v>111</v>
      </c>
      <c r="Y19" s="208" t="s">
        <v>112</v>
      </c>
      <c r="Z19" s="208" t="s">
        <v>113</v>
      </c>
      <c r="AA19" s="208" t="s">
        <v>114</v>
      </c>
      <c r="AB19" s="208" t="s">
        <v>115</v>
      </c>
      <c r="AC19" s="209" t="s">
        <v>116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Q19" s="1"/>
      <c r="AR19" s="1"/>
      <c r="AS19" s="1"/>
      <c r="AT19" s="1"/>
      <c r="AU19" s="1"/>
      <c r="CF19" s="237"/>
    </row>
    <row r="20" spans="2:97" ht="17.25" thickBot="1" x14ac:dyDescent="0.65">
      <c r="B20" s="210" t="s">
        <v>370</v>
      </c>
      <c r="D20" s="211" t="s">
        <v>371</v>
      </c>
      <c r="E20" s="244" t="s">
        <v>372</v>
      </c>
      <c r="F20" s="244"/>
      <c r="G20" s="245"/>
      <c r="H20" s="523" t="s">
        <v>430</v>
      </c>
      <c r="I20" s="523"/>
      <c r="J20" s="523"/>
      <c r="K20" s="523"/>
      <c r="L20" s="523"/>
      <c r="M20" s="523"/>
      <c r="N20" s="523"/>
      <c r="O20" s="523"/>
      <c r="P20" s="523"/>
      <c r="Q20" s="523"/>
      <c r="R20" s="524" t="s">
        <v>445</v>
      </c>
      <c r="S20" s="523"/>
      <c r="T20" s="523"/>
      <c r="U20" s="523"/>
      <c r="V20" s="523"/>
      <c r="W20" s="523"/>
      <c r="X20" s="523"/>
      <c r="Y20" s="523"/>
      <c r="Z20" s="523"/>
      <c r="AA20" s="523"/>
      <c r="AB20" s="523"/>
      <c r="AC20" s="525"/>
      <c r="CF20" s="237"/>
    </row>
    <row r="21" spans="2:97" ht="17.25" thickBot="1" x14ac:dyDescent="0.65">
      <c r="B21" s="130" t="s">
        <v>446</v>
      </c>
      <c r="D21" s="176">
        <v>1</v>
      </c>
      <c r="E21" s="176">
        <v>1</v>
      </c>
      <c r="F21" s="176">
        <v>1</v>
      </c>
      <c r="G21" s="176">
        <v>1</v>
      </c>
    </row>
    <row r="22" spans="2:97" ht="17.25" thickBot="1" x14ac:dyDescent="0.65">
      <c r="B22" s="130"/>
      <c r="D22" s="250" t="s">
        <v>424</v>
      </c>
      <c r="E22" s="251" t="s">
        <v>425</v>
      </c>
      <c r="F22" s="251" t="s">
        <v>426</v>
      </c>
      <c r="G22" s="252" t="s">
        <v>383</v>
      </c>
      <c r="H22" s="253" t="s">
        <v>384</v>
      </c>
      <c r="I22" s="251" t="s">
        <v>427</v>
      </c>
      <c r="J22" s="251" t="s">
        <v>428</v>
      </c>
      <c r="K22" s="251" t="s">
        <v>429</v>
      </c>
      <c r="L22" s="251" t="s">
        <v>368</v>
      </c>
      <c r="M22" s="251" t="s">
        <v>369</v>
      </c>
      <c r="N22" s="251" t="s">
        <v>107</v>
      </c>
      <c r="O22" s="251" t="s">
        <v>108</v>
      </c>
      <c r="P22" s="251" t="s">
        <v>109</v>
      </c>
      <c r="Q22" s="251" t="s">
        <v>110</v>
      </c>
      <c r="R22" s="251" t="s">
        <v>111</v>
      </c>
      <c r="S22" s="251" t="s">
        <v>112</v>
      </c>
      <c r="T22" s="251" t="s">
        <v>113</v>
      </c>
      <c r="U22" s="251" t="s">
        <v>114</v>
      </c>
      <c r="V22" s="251" t="s">
        <v>115</v>
      </c>
      <c r="W22" s="252" t="s">
        <v>116</v>
      </c>
    </row>
    <row r="23" spans="2:97" ht="17.25" thickBot="1" x14ac:dyDescent="0.65">
      <c r="B23" s="210" t="s">
        <v>370</v>
      </c>
      <c r="D23" s="254" t="s">
        <v>371</v>
      </c>
      <c r="E23" s="255" t="s">
        <v>372</v>
      </c>
      <c r="F23" s="255"/>
      <c r="G23" s="256"/>
      <c r="H23" s="526" t="s">
        <v>447</v>
      </c>
      <c r="I23" s="526"/>
      <c r="J23" s="526"/>
      <c r="K23" s="526"/>
      <c r="L23" s="526"/>
      <c r="M23" s="526"/>
      <c r="N23" s="526"/>
      <c r="O23" s="526"/>
      <c r="P23" s="526"/>
      <c r="Q23" s="526"/>
      <c r="R23" s="526"/>
      <c r="S23" s="526"/>
      <c r="T23" s="526"/>
      <c r="U23" s="526"/>
      <c r="V23" s="526"/>
      <c r="W23" s="527"/>
      <c r="AW23" s="114" t="s">
        <v>448</v>
      </c>
    </row>
    <row r="24" spans="2:97" ht="17.25" thickBot="1" x14ac:dyDescent="0.65">
      <c r="B24" s="130" t="s">
        <v>449</v>
      </c>
      <c r="D24" s="176">
        <v>1</v>
      </c>
      <c r="E24" s="176">
        <v>1</v>
      </c>
      <c r="F24" s="176">
        <v>1</v>
      </c>
      <c r="G24" s="176">
        <v>1</v>
      </c>
      <c r="AD24" s="1" t="s">
        <v>385</v>
      </c>
      <c r="AE24" s="25"/>
      <c r="AF24" s="500" t="s">
        <v>450</v>
      </c>
      <c r="AG24" s="502"/>
      <c r="AH24" s="220" t="s">
        <v>387</v>
      </c>
      <c r="AI24" s="503" t="s">
        <v>451</v>
      </c>
      <c r="AJ24" s="504"/>
      <c r="AK24" s="504"/>
      <c r="AL24" s="505"/>
      <c r="AM24" s="222" t="s">
        <v>390</v>
      </c>
      <c r="AN24" s="512"/>
      <c r="AO24" s="513"/>
      <c r="AQ24" s="224"/>
      <c r="AR24" s="225" t="s">
        <v>452</v>
      </c>
      <c r="AS24" s="225" t="s">
        <v>393</v>
      </c>
      <c r="AT24" s="25"/>
      <c r="AU24" s="25"/>
      <c r="AW24" s="120" t="s">
        <v>395</v>
      </c>
      <c r="AX24" s="25"/>
      <c r="AY24" s="220" t="s">
        <v>396</v>
      </c>
      <c r="AZ24" s="220" t="s">
        <v>453</v>
      </c>
      <c r="BA24" s="220" t="s">
        <v>454</v>
      </c>
      <c r="BB24" s="220" t="s">
        <v>455</v>
      </c>
      <c r="BC24" s="226"/>
      <c r="BE24" s="227"/>
      <c r="BF24" s="220" t="s">
        <v>455</v>
      </c>
      <c r="BG24" s="222" t="s">
        <v>401</v>
      </c>
      <c r="BH24" s="222" t="s">
        <v>453</v>
      </c>
      <c r="BI24" s="222" t="s">
        <v>454</v>
      </c>
      <c r="BJ24" s="222" t="s">
        <v>455</v>
      </c>
      <c r="BK24" s="221"/>
      <c r="BM24" s="228"/>
      <c r="BN24" s="225" t="s">
        <v>456</v>
      </c>
      <c r="BO24" s="26"/>
    </row>
    <row r="25" spans="2:97" x14ac:dyDescent="0.6">
      <c r="B25" s="130"/>
      <c r="D25" s="212" t="s">
        <v>377</v>
      </c>
      <c r="E25" s="213" t="s">
        <v>378</v>
      </c>
      <c r="F25" s="213" t="s">
        <v>379</v>
      </c>
      <c r="G25" s="214" t="s">
        <v>380</v>
      </c>
    </row>
    <row r="26" spans="2:97" ht="17.25" thickBot="1" x14ac:dyDescent="0.65">
      <c r="B26" s="210" t="s">
        <v>370</v>
      </c>
      <c r="D26" s="211" t="s">
        <v>371</v>
      </c>
      <c r="E26" s="521" t="s">
        <v>372</v>
      </c>
      <c r="F26" s="521"/>
      <c r="G26" s="522"/>
      <c r="AD26" s="1" t="s">
        <v>417</v>
      </c>
      <c r="AE26" s="25"/>
      <c r="AF26" s="25"/>
      <c r="AG26" s="25"/>
      <c r="AH26" s="25"/>
      <c r="AI26" s="503" t="s">
        <v>451</v>
      </c>
      <c r="AJ26" s="504"/>
      <c r="AK26" s="504"/>
      <c r="AL26" s="505"/>
      <c r="AM26" s="222" t="s">
        <v>390</v>
      </c>
      <c r="AN26" s="512"/>
      <c r="AO26" s="513"/>
      <c r="AQ26" s="224"/>
      <c r="AR26" s="225" t="s">
        <v>452</v>
      </c>
      <c r="AS26" s="225" t="s">
        <v>393</v>
      </c>
      <c r="AT26" s="25"/>
      <c r="AU26" s="25"/>
      <c r="AW26" s="120" t="s">
        <v>418</v>
      </c>
      <c r="AX26" s="25"/>
      <c r="AY26" s="25"/>
      <c r="AZ26" s="25"/>
      <c r="BA26" s="25"/>
      <c r="BB26" s="25"/>
      <c r="BC26" s="25"/>
      <c r="BE26" s="25"/>
      <c r="BF26" s="25"/>
      <c r="BG26" s="222" t="s">
        <v>401</v>
      </c>
      <c r="BH26" s="222" t="s">
        <v>453</v>
      </c>
      <c r="BI26" s="222" t="s">
        <v>454</v>
      </c>
      <c r="BJ26" s="222" t="s">
        <v>455</v>
      </c>
      <c r="BK26" s="221"/>
      <c r="BM26" s="228"/>
      <c r="BN26" s="225" t="s">
        <v>456</v>
      </c>
      <c r="BO26" s="26"/>
    </row>
    <row r="27" spans="2:97" ht="17.25" thickBot="1" x14ac:dyDescent="0.65">
      <c r="B27" s="130" t="s">
        <v>457</v>
      </c>
      <c r="D27" s="176">
        <v>1</v>
      </c>
      <c r="E27" s="176">
        <v>0</v>
      </c>
      <c r="F27" s="176">
        <v>1</v>
      </c>
      <c r="G27" s="176">
        <v>0</v>
      </c>
    </row>
    <row r="28" spans="2:97" x14ac:dyDescent="0.6">
      <c r="B28" s="130"/>
      <c r="D28" s="212" t="s">
        <v>378</v>
      </c>
      <c r="E28" s="213" t="s">
        <v>379</v>
      </c>
      <c r="F28" s="213" t="s">
        <v>380</v>
      </c>
      <c r="G28" s="214" t="s">
        <v>458</v>
      </c>
      <c r="H28" s="208" t="s">
        <v>113</v>
      </c>
      <c r="I28" s="208" t="s">
        <v>114</v>
      </c>
      <c r="J28" s="208" t="s">
        <v>459</v>
      </c>
      <c r="K28" s="209" t="s">
        <v>460</v>
      </c>
      <c r="AD28" s="1" t="s">
        <v>432</v>
      </c>
      <c r="AE28" s="25"/>
      <c r="AF28" s="25"/>
      <c r="AG28" s="25"/>
      <c r="AH28" s="25"/>
      <c r="AI28" s="25"/>
      <c r="AJ28" s="25"/>
      <c r="AK28" s="25"/>
      <c r="AL28" s="25"/>
      <c r="AM28" s="25"/>
      <c r="AN28" s="512"/>
      <c r="AO28" s="513"/>
      <c r="AQ28" s="224"/>
      <c r="AR28" s="225" t="s">
        <v>452</v>
      </c>
      <c r="AS28" s="225" t="s">
        <v>393</v>
      </c>
      <c r="AT28" s="25"/>
      <c r="AU28" s="25"/>
      <c r="AW28" s="120" t="s">
        <v>433</v>
      </c>
      <c r="AX28" s="25"/>
      <c r="AY28" s="25"/>
      <c r="AZ28" s="25"/>
      <c r="BA28" s="25"/>
      <c r="BB28" s="25"/>
      <c r="BC28" s="25"/>
      <c r="BE28" s="25"/>
      <c r="BF28" s="25"/>
      <c r="BG28" s="25"/>
      <c r="BH28" s="25"/>
      <c r="BI28" s="25"/>
      <c r="BJ28" s="25"/>
      <c r="BK28" s="25"/>
      <c r="BM28" s="228"/>
      <c r="BN28" s="225" t="s">
        <v>456</v>
      </c>
      <c r="BO28" s="25"/>
    </row>
    <row r="29" spans="2:97" ht="17.25" thickBot="1" x14ac:dyDescent="0.65">
      <c r="B29" s="210" t="s">
        <v>414</v>
      </c>
      <c r="D29" s="211" t="s">
        <v>371</v>
      </c>
      <c r="E29" s="515" t="s">
        <v>372</v>
      </c>
      <c r="F29" s="516"/>
      <c r="G29" s="517"/>
      <c r="H29" s="217" t="s">
        <v>461</v>
      </c>
      <c r="I29" s="217" t="s">
        <v>462</v>
      </c>
      <c r="J29" s="217" t="s">
        <v>463</v>
      </c>
      <c r="K29" s="218" t="s">
        <v>464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Q29" s="1"/>
      <c r="AR29" s="1"/>
      <c r="AS29" s="1"/>
      <c r="AT29" s="1"/>
      <c r="AU29" s="1"/>
      <c r="AX29" s="1"/>
      <c r="AY29" s="1"/>
      <c r="AZ29" s="1"/>
      <c r="BA29" s="1"/>
      <c r="BB29" s="1"/>
      <c r="BC29" s="1"/>
      <c r="BE29" s="1"/>
      <c r="BF29" s="1"/>
      <c r="BG29" s="1"/>
      <c r="BH29" s="1"/>
      <c r="BI29" s="1"/>
      <c r="BJ29" s="1"/>
      <c r="BK29" s="1"/>
      <c r="BM29" s="1"/>
      <c r="BN29" s="1"/>
      <c r="BO29" s="1"/>
    </row>
    <row r="30" spans="2:97" ht="17.25" thickBot="1" x14ac:dyDescent="0.65">
      <c r="B30" s="130" t="s">
        <v>465</v>
      </c>
      <c r="D30" s="176">
        <v>1</v>
      </c>
      <c r="E30" s="176">
        <v>0</v>
      </c>
      <c r="F30" s="176">
        <v>1</v>
      </c>
      <c r="G30" s="176">
        <v>0</v>
      </c>
      <c r="AD30" s="1" t="s">
        <v>437</v>
      </c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Q30" s="224"/>
      <c r="AR30" s="225" t="s">
        <v>452</v>
      </c>
      <c r="AS30" s="225" t="s">
        <v>393</v>
      </c>
      <c r="AT30" s="25"/>
      <c r="AU30" s="25"/>
      <c r="AW30" s="120" t="s">
        <v>438</v>
      </c>
      <c r="AX30" s="25"/>
      <c r="AY30" s="25"/>
      <c r="AZ30" s="25"/>
      <c r="BA30" s="25"/>
      <c r="BB30" s="25"/>
      <c r="BC30" s="25"/>
      <c r="BE30" s="25"/>
      <c r="BF30" s="25"/>
      <c r="BG30" s="25"/>
      <c r="BH30" s="25"/>
      <c r="BI30" s="25"/>
      <c r="BJ30" s="25"/>
      <c r="BK30" s="25"/>
      <c r="BM30" s="228"/>
      <c r="BN30" s="225" t="s">
        <v>456</v>
      </c>
      <c r="BO30" s="25"/>
    </row>
    <row r="31" spans="2:97" x14ac:dyDescent="0.6">
      <c r="B31" s="130"/>
      <c r="D31" s="212" t="s">
        <v>458</v>
      </c>
      <c r="E31" s="213" t="s">
        <v>466</v>
      </c>
      <c r="F31" s="213" t="s">
        <v>467</v>
      </c>
      <c r="G31" s="214" t="s">
        <v>459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Q31" s="1"/>
      <c r="AR31" s="1"/>
      <c r="AS31" s="1"/>
      <c r="AT31" s="1"/>
      <c r="AU31" s="1"/>
      <c r="AX31" s="1"/>
      <c r="AY31" s="1"/>
      <c r="AZ31" s="1"/>
      <c r="BA31" s="1"/>
      <c r="BB31" s="1"/>
      <c r="BC31" s="1"/>
      <c r="BE31" s="1"/>
      <c r="BF31" s="1"/>
      <c r="BG31" s="1"/>
      <c r="BH31" s="1"/>
      <c r="BI31" s="1"/>
      <c r="BJ31" s="1"/>
      <c r="BK31" s="1"/>
      <c r="BM31" s="1"/>
      <c r="BN31" s="1"/>
      <c r="BO31" s="1"/>
    </row>
    <row r="32" spans="2:97" ht="17.25" thickBot="1" x14ac:dyDescent="0.65">
      <c r="B32" s="210" t="s">
        <v>370</v>
      </c>
      <c r="D32" s="211" t="s">
        <v>371</v>
      </c>
      <c r="E32" s="515" t="s">
        <v>372</v>
      </c>
      <c r="F32" s="516"/>
      <c r="G32" s="517"/>
      <c r="AD32" s="1" t="s">
        <v>442</v>
      </c>
      <c r="AE32" s="248"/>
      <c r="AF32" s="248"/>
      <c r="AG32" s="248"/>
      <c r="AH32" s="248"/>
      <c r="AI32" s="248"/>
      <c r="AJ32" s="248"/>
      <c r="AK32" s="248"/>
      <c r="AL32" s="248"/>
      <c r="AM32" s="248"/>
      <c r="AN32" s="248"/>
      <c r="AO32" s="248"/>
      <c r="AQ32" s="248"/>
      <c r="AR32" s="248"/>
      <c r="AS32" s="248"/>
      <c r="AT32" s="248"/>
      <c r="AU32" s="248"/>
      <c r="AW32" s="120" t="s">
        <v>443</v>
      </c>
      <c r="AX32" s="248"/>
      <c r="AY32" s="248"/>
      <c r="AZ32" s="248"/>
      <c r="BA32" s="248"/>
      <c r="BB32" s="248"/>
      <c r="BC32" s="248"/>
      <c r="BE32" s="248"/>
      <c r="BF32" s="248"/>
      <c r="BG32" s="248"/>
      <c r="BH32" s="248"/>
      <c r="BI32" s="248"/>
      <c r="BJ32" s="248"/>
      <c r="BK32" s="248"/>
      <c r="BM32" s="248"/>
      <c r="BN32" s="248"/>
      <c r="BO32" s="248"/>
    </row>
    <row r="33" spans="2:47" ht="17.25" thickBot="1" x14ac:dyDescent="0.65">
      <c r="B33" s="130" t="s">
        <v>468</v>
      </c>
      <c r="D33" s="176">
        <v>1</v>
      </c>
      <c r="E33" s="176">
        <v>0</v>
      </c>
      <c r="F33" s="176">
        <v>0</v>
      </c>
      <c r="G33" s="176">
        <v>1</v>
      </c>
    </row>
    <row r="34" spans="2:47" x14ac:dyDescent="0.6">
      <c r="B34" s="130"/>
      <c r="D34" s="212" t="s">
        <v>458</v>
      </c>
      <c r="E34" s="213" t="s">
        <v>466</v>
      </c>
      <c r="F34" s="213" t="s">
        <v>467</v>
      </c>
      <c r="G34" s="214" t="s">
        <v>459</v>
      </c>
    </row>
    <row r="35" spans="2:47" ht="17.25" thickBot="1" x14ac:dyDescent="0.65">
      <c r="B35" s="210" t="s">
        <v>370</v>
      </c>
      <c r="D35" s="211" t="s">
        <v>371</v>
      </c>
      <c r="E35" s="515" t="s">
        <v>372</v>
      </c>
      <c r="F35" s="516"/>
      <c r="G35" s="517"/>
    </row>
    <row r="36" spans="2:47" x14ac:dyDescent="0.6">
      <c r="B36" s="130" t="s">
        <v>469</v>
      </c>
      <c r="D36" s="176">
        <v>1</v>
      </c>
      <c r="E36" s="176">
        <v>0</v>
      </c>
      <c r="F36" s="176">
        <v>0</v>
      </c>
      <c r="G36" s="176">
        <v>0</v>
      </c>
    </row>
    <row r="38" spans="2:47" x14ac:dyDescent="0.6">
      <c r="AD38" s="1" t="s">
        <v>442</v>
      </c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</row>
    <row r="40" spans="2:47" x14ac:dyDescent="0.6">
      <c r="AD40" s="1" t="s">
        <v>437</v>
      </c>
      <c r="AE40" s="25"/>
      <c r="AF40" s="257" t="s">
        <v>470</v>
      </c>
      <c r="AG40" s="258" t="s">
        <v>471</v>
      </c>
      <c r="AH40" s="258" t="s">
        <v>394</v>
      </c>
      <c r="AI40" s="259"/>
      <c r="AK40" s="243"/>
      <c r="AL40" s="243"/>
      <c r="AM40" s="243"/>
      <c r="AN40" s="243"/>
      <c r="AO40" s="243"/>
      <c r="AP40" s="243"/>
      <c r="AQ40" s="243"/>
      <c r="AR40" s="243"/>
      <c r="AS40" s="243"/>
      <c r="AT40" s="243"/>
      <c r="AU40" s="243"/>
    </row>
    <row r="42" spans="2:47" x14ac:dyDescent="0.6">
      <c r="AD42" s="1" t="s">
        <v>472</v>
      </c>
      <c r="AE42" s="25"/>
      <c r="AF42" s="257" t="s">
        <v>470</v>
      </c>
      <c r="AG42" s="258" t="s">
        <v>471</v>
      </c>
      <c r="AH42" s="258" t="s">
        <v>394</v>
      </c>
      <c r="AI42" s="260"/>
      <c r="AK42" s="261"/>
      <c r="AL42" s="25"/>
      <c r="AM42" s="25"/>
      <c r="AN42" s="25"/>
      <c r="AO42" s="25"/>
      <c r="AP42" s="25"/>
      <c r="AQ42" s="25"/>
      <c r="AR42" s="25"/>
      <c r="AS42" s="25"/>
      <c r="AT42" s="25"/>
      <c r="AU42" s="25"/>
    </row>
    <row r="43" spans="2:47" x14ac:dyDescent="0.6">
      <c r="AE43" s="1"/>
      <c r="AF43" s="1"/>
      <c r="AG43" s="1"/>
      <c r="AH43" s="1"/>
      <c r="AI43" s="1"/>
      <c r="AK43" s="1"/>
      <c r="AL43" s="199"/>
      <c r="AM43" s="199"/>
      <c r="AN43" s="199"/>
      <c r="AO43" s="1"/>
      <c r="AP43" s="1"/>
      <c r="AQ43" s="1"/>
      <c r="AR43" s="1"/>
      <c r="AS43" s="1"/>
      <c r="AT43" s="1"/>
      <c r="AU43" s="1"/>
    </row>
    <row r="44" spans="2:47" x14ac:dyDescent="0.6">
      <c r="AD44" s="1" t="s">
        <v>473</v>
      </c>
      <c r="AE44" s="25"/>
      <c r="AF44" s="257" t="s">
        <v>470</v>
      </c>
      <c r="AG44" s="258" t="s">
        <v>471</v>
      </c>
      <c r="AH44" s="258" t="s">
        <v>394</v>
      </c>
      <c r="AI44" s="260"/>
      <c r="AK44" s="261"/>
      <c r="AL44" s="262" t="s">
        <v>474</v>
      </c>
      <c r="AM44" s="263" t="s">
        <v>475</v>
      </c>
      <c r="AN44" s="264" t="s">
        <v>391</v>
      </c>
      <c r="AO44" s="25"/>
      <c r="AP44" s="25"/>
      <c r="AQ44" s="25"/>
      <c r="AR44" s="25"/>
      <c r="AS44" s="25"/>
      <c r="AT44" s="25"/>
      <c r="AU44" s="25"/>
    </row>
    <row r="45" spans="2:47" x14ac:dyDescent="0.6">
      <c r="AE45" s="1"/>
      <c r="AF45" s="1"/>
      <c r="AG45" s="1"/>
      <c r="AH45" s="1"/>
      <c r="AI45" s="1"/>
      <c r="AK45" s="1"/>
      <c r="AL45" s="199"/>
      <c r="AM45" s="199"/>
      <c r="AN45" s="199"/>
      <c r="AO45" s="1"/>
      <c r="AP45" s="1"/>
      <c r="AQ45" s="1"/>
      <c r="AR45" s="1"/>
      <c r="AS45" s="1"/>
      <c r="AT45" s="1"/>
      <c r="AU45" s="1"/>
    </row>
    <row r="46" spans="2:47" x14ac:dyDescent="0.6">
      <c r="AD46" s="1" t="s">
        <v>385</v>
      </c>
      <c r="AE46" s="248"/>
      <c r="AF46" s="257" t="s">
        <v>470</v>
      </c>
      <c r="AG46" s="258" t="s">
        <v>471</v>
      </c>
      <c r="AH46" s="258" t="s">
        <v>394</v>
      </c>
      <c r="AI46" s="260"/>
      <c r="AK46" s="261"/>
      <c r="AL46" s="262" t="s">
        <v>474</v>
      </c>
      <c r="AM46" s="263" t="s">
        <v>475</v>
      </c>
      <c r="AN46" s="264" t="s">
        <v>391</v>
      </c>
      <c r="AO46" s="518" t="s">
        <v>476</v>
      </c>
      <c r="AP46" s="519"/>
      <c r="AQ46" s="519"/>
      <c r="AR46" s="520"/>
      <c r="AS46" s="265" t="s">
        <v>477</v>
      </c>
      <c r="AT46" s="265" t="s">
        <v>388</v>
      </c>
      <c r="AU46" s="248"/>
    </row>
  </sheetData>
  <mergeCells count="29">
    <mergeCell ref="H14:Q14"/>
    <mergeCell ref="R14:AA14"/>
    <mergeCell ref="C2:AC2"/>
    <mergeCell ref="E5:G5"/>
    <mergeCell ref="H5:M5"/>
    <mergeCell ref="N5:Y5"/>
    <mergeCell ref="E8:G8"/>
    <mergeCell ref="H8:M8"/>
    <mergeCell ref="AI10:AL10"/>
    <mergeCell ref="E11:G11"/>
    <mergeCell ref="H11:L11"/>
    <mergeCell ref="M11:X11"/>
    <mergeCell ref="AI12:AL12"/>
    <mergeCell ref="H17:Q17"/>
    <mergeCell ref="R17:AB17"/>
    <mergeCell ref="H20:Q20"/>
    <mergeCell ref="R20:AC20"/>
    <mergeCell ref="H23:W23"/>
    <mergeCell ref="E29:G29"/>
    <mergeCell ref="E32:G32"/>
    <mergeCell ref="E35:G35"/>
    <mergeCell ref="AO46:AR46"/>
    <mergeCell ref="AI24:AL24"/>
    <mergeCell ref="AN24:AO24"/>
    <mergeCell ref="E26:G26"/>
    <mergeCell ref="AI26:AL26"/>
    <mergeCell ref="AN26:AO26"/>
    <mergeCell ref="AN28:AO28"/>
    <mergeCell ref="AF24:AG24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1533-09C1-4C5E-AF3F-68EAC513362D}">
  <dimension ref="B2:Y27"/>
  <sheetViews>
    <sheetView showGridLines="0" zoomScale="94" zoomScaleNormal="94" workbookViewId="0">
      <selection activeCell="S31" sqref="S31"/>
    </sheetView>
  </sheetViews>
  <sheetFormatPr defaultRowHeight="16.899999999999999" x14ac:dyDescent="0.6"/>
  <cols>
    <col min="2" max="2" width="21" style="1" bestFit="1" customWidth="1"/>
    <col min="3" max="3" width="1.625" style="24" customWidth="1"/>
    <col min="4" max="7" width="5.625" style="24" bestFit="1" customWidth="1"/>
    <col min="8" max="8" width="7.5" style="24" bestFit="1" customWidth="1"/>
    <col min="9" max="15" width="5.625" style="24" bestFit="1" customWidth="1"/>
    <col min="16" max="25" width="4.5" style="24" bestFit="1" customWidth="1"/>
  </cols>
  <sheetData>
    <row r="2" spans="2:25" x14ac:dyDescent="0.6">
      <c r="B2" s="201" t="s">
        <v>1165</v>
      </c>
      <c r="C2" s="3"/>
      <c r="D2" s="535" t="s">
        <v>1171</v>
      </c>
      <c r="E2" s="535"/>
      <c r="F2" s="535"/>
      <c r="G2" s="535"/>
      <c r="H2" s="535"/>
      <c r="I2" s="535"/>
      <c r="J2" s="535"/>
      <c r="K2" s="535"/>
      <c r="L2" s="535"/>
      <c r="M2" s="535"/>
      <c r="N2" s="535"/>
      <c r="O2" s="535"/>
      <c r="P2" s="535"/>
      <c r="Q2" s="535"/>
      <c r="R2" s="535"/>
      <c r="S2" s="535"/>
      <c r="T2" s="535"/>
      <c r="U2" s="535"/>
      <c r="V2" s="535"/>
      <c r="W2" s="535"/>
      <c r="X2" s="535"/>
      <c r="Y2" s="535"/>
    </row>
    <row r="3" spans="2:25" ht="3" customHeight="1" thickBot="1" x14ac:dyDescent="0.65">
      <c r="B3" s="369"/>
      <c r="F3" s="206"/>
      <c r="I3" s="206"/>
    </row>
    <row r="4" spans="2:25" x14ac:dyDescent="0.6">
      <c r="B4" s="130" t="s">
        <v>375</v>
      </c>
      <c r="D4" s="207" t="s">
        <v>358</v>
      </c>
      <c r="E4" s="208" t="s">
        <v>359</v>
      </c>
      <c r="F4" s="208" t="s">
        <v>360</v>
      </c>
      <c r="G4" s="209" t="s">
        <v>361</v>
      </c>
      <c r="H4" s="207" t="s">
        <v>362</v>
      </c>
      <c r="I4" s="208" t="s">
        <v>363</v>
      </c>
      <c r="J4" s="208" t="s">
        <v>364</v>
      </c>
      <c r="K4" s="208" t="s">
        <v>365</v>
      </c>
      <c r="L4" s="208" t="s">
        <v>366</v>
      </c>
      <c r="M4" s="209" t="s">
        <v>367</v>
      </c>
      <c r="N4" s="207" t="s">
        <v>368</v>
      </c>
      <c r="O4" s="208" t="s">
        <v>369</v>
      </c>
      <c r="P4" s="208" t="s">
        <v>107</v>
      </c>
      <c r="Q4" s="208" t="s">
        <v>108</v>
      </c>
      <c r="R4" s="208" t="s">
        <v>109</v>
      </c>
      <c r="S4" s="208" t="s">
        <v>110</v>
      </c>
      <c r="T4" s="208" t="s">
        <v>111</v>
      </c>
      <c r="U4" s="208" t="s">
        <v>112</v>
      </c>
      <c r="V4" s="208" t="s">
        <v>113</v>
      </c>
      <c r="W4" s="208" t="s">
        <v>114</v>
      </c>
      <c r="X4" s="208" t="s">
        <v>115</v>
      </c>
      <c r="Y4" s="209" t="s">
        <v>116</v>
      </c>
    </row>
    <row r="5" spans="2:25" ht="17.25" thickBot="1" x14ac:dyDescent="0.65">
      <c r="B5" s="210">
        <v>1101</v>
      </c>
      <c r="D5" s="211" t="s">
        <v>371</v>
      </c>
      <c r="E5" s="515" t="s">
        <v>1170</v>
      </c>
      <c r="F5" s="516"/>
      <c r="G5" s="517"/>
      <c r="H5" s="507" t="s">
        <v>373</v>
      </c>
      <c r="I5" s="508"/>
      <c r="J5" s="508"/>
      <c r="K5" s="508"/>
      <c r="L5" s="508"/>
      <c r="M5" s="509"/>
      <c r="N5" s="507" t="s">
        <v>374</v>
      </c>
      <c r="O5" s="508"/>
      <c r="P5" s="508"/>
      <c r="Q5" s="508"/>
      <c r="R5" s="508"/>
      <c r="S5" s="508"/>
      <c r="T5" s="508"/>
      <c r="U5" s="508"/>
      <c r="V5" s="508"/>
      <c r="W5" s="508"/>
      <c r="X5" s="508"/>
      <c r="Y5" s="509"/>
    </row>
    <row r="6" spans="2:25" ht="3" customHeight="1" thickBot="1" x14ac:dyDescent="0.65">
      <c r="B6" s="369"/>
      <c r="F6" s="206"/>
      <c r="I6" s="206"/>
    </row>
    <row r="7" spans="2:25" x14ac:dyDescent="0.6">
      <c r="B7" s="130" t="s">
        <v>381</v>
      </c>
      <c r="D7" s="212" t="s">
        <v>376</v>
      </c>
      <c r="E7" s="213" t="s">
        <v>377</v>
      </c>
      <c r="F7" s="213" t="s">
        <v>378</v>
      </c>
      <c r="G7" s="214" t="s">
        <v>379</v>
      </c>
      <c r="H7" s="215" t="s">
        <v>380</v>
      </c>
      <c r="I7" s="208" t="s">
        <v>112</v>
      </c>
      <c r="J7" s="208" t="s">
        <v>113</v>
      </c>
      <c r="K7" s="208" t="s">
        <v>114</v>
      </c>
      <c r="L7" s="208" t="s">
        <v>115</v>
      </c>
      <c r="M7" s="209" t="s">
        <v>116</v>
      </c>
    </row>
    <row r="8" spans="2:25" ht="17.25" thickBot="1" x14ac:dyDescent="0.65">
      <c r="B8" s="210">
        <v>1110</v>
      </c>
      <c r="D8" s="211" t="s">
        <v>371</v>
      </c>
      <c r="E8" s="515" t="s">
        <v>1170</v>
      </c>
      <c r="F8" s="516"/>
      <c r="G8" s="517"/>
      <c r="H8" s="536" t="s">
        <v>373</v>
      </c>
      <c r="I8" s="537"/>
      <c r="J8" s="537"/>
      <c r="K8" s="537"/>
      <c r="L8" s="537"/>
      <c r="M8" s="538"/>
    </row>
    <row r="9" spans="2:25" ht="3" customHeight="1" thickBot="1" x14ac:dyDescent="0.65">
      <c r="B9" s="369"/>
      <c r="F9" s="206"/>
      <c r="I9" s="206"/>
    </row>
    <row r="10" spans="2:25" x14ac:dyDescent="0.6">
      <c r="B10" s="130" t="s">
        <v>1166</v>
      </c>
      <c r="D10" s="212" t="s">
        <v>359</v>
      </c>
      <c r="E10" s="213" t="s">
        <v>360</v>
      </c>
      <c r="F10" s="213" t="s">
        <v>361</v>
      </c>
      <c r="G10" s="214" t="s">
        <v>362</v>
      </c>
      <c r="H10" s="207" t="s">
        <v>383</v>
      </c>
      <c r="I10" s="208" t="s">
        <v>384</v>
      </c>
      <c r="J10" s="208" t="s">
        <v>365</v>
      </c>
      <c r="K10" s="208" t="s">
        <v>366</v>
      </c>
      <c r="L10" s="209" t="s">
        <v>367</v>
      </c>
      <c r="M10" s="215" t="s">
        <v>368</v>
      </c>
      <c r="N10" s="208" t="s">
        <v>369</v>
      </c>
      <c r="O10" s="208" t="s">
        <v>107</v>
      </c>
      <c r="P10" s="208" t="s">
        <v>108</v>
      </c>
      <c r="Q10" s="208" t="s">
        <v>109</v>
      </c>
      <c r="R10" s="208" t="s">
        <v>110</v>
      </c>
      <c r="S10" s="208" t="s">
        <v>111</v>
      </c>
      <c r="T10" s="208" t="s">
        <v>112</v>
      </c>
      <c r="U10" s="208" t="s">
        <v>113</v>
      </c>
      <c r="V10" s="208" t="s">
        <v>114</v>
      </c>
      <c r="W10" s="208" t="s">
        <v>115</v>
      </c>
      <c r="X10" s="209" t="s">
        <v>116</v>
      </c>
    </row>
    <row r="11" spans="2:25" ht="17.25" thickBot="1" x14ac:dyDescent="0.65">
      <c r="B11" s="210">
        <v>1110</v>
      </c>
      <c r="D11" s="211" t="s">
        <v>371</v>
      </c>
      <c r="E11" s="515" t="s">
        <v>1170</v>
      </c>
      <c r="F11" s="516"/>
      <c r="G11" s="517"/>
      <c r="H11" s="528" t="s">
        <v>415</v>
      </c>
      <c r="I11" s="529"/>
      <c r="J11" s="529"/>
      <c r="K11" s="529"/>
      <c r="L11" s="530"/>
      <c r="M11" s="531" t="s">
        <v>374</v>
      </c>
      <c r="N11" s="532"/>
      <c r="O11" s="532"/>
      <c r="P11" s="532"/>
      <c r="Q11" s="532"/>
      <c r="R11" s="532"/>
      <c r="S11" s="532"/>
      <c r="T11" s="532"/>
      <c r="U11" s="532"/>
      <c r="V11" s="532"/>
      <c r="W11" s="532"/>
      <c r="X11" s="533"/>
    </row>
    <row r="12" spans="2:25" ht="3" customHeight="1" thickBot="1" x14ac:dyDescent="0.65">
      <c r="B12" s="369"/>
      <c r="F12" s="206"/>
      <c r="I12" s="206"/>
    </row>
    <row r="13" spans="2:25" ht="17.25" thickBot="1" x14ac:dyDescent="0.65">
      <c r="B13" s="130" t="s">
        <v>1164</v>
      </c>
      <c r="D13" s="250" t="s">
        <v>424</v>
      </c>
      <c r="E13" s="251" t="s">
        <v>425</v>
      </c>
      <c r="F13" s="251" t="s">
        <v>426</v>
      </c>
      <c r="G13" s="252" t="s">
        <v>383</v>
      </c>
      <c r="H13" s="253" t="s">
        <v>384</v>
      </c>
      <c r="I13" s="251" t="s">
        <v>427</v>
      </c>
      <c r="J13" s="251" t="s">
        <v>428</v>
      </c>
      <c r="K13" s="251" t="s">
        <v>429</v>
      </c>
      <c r="L13" s="251" t="s">
        <v>368</v>
      </c>
      <c r="M13" s="251" t="s">
        <v>369</v>
      </c>
      <c r="N13" s="251" t="s">
        <v>107</v>
      </c>
      <c r="O13" s="251" t="s">
        <v>108</v>
      </c>
      <c r="P13" s="251" t="s">
        <v>109</v>
      </c>
      <c r="Q13" s="251" t="s">
        <v>110</v>
      </c>
      <c r="R13" s="251" t="s">
        <v>111</v>
      </c>
      <c r="S13" s="251" t="s">
        <v>112</v>
      </c>
      <c r="T13" s="251" t="s">
        <v>113</v>
      </c>
      <c r="U13" s="251" t="s">
        <v>114</v>
      </c>
      <c r="V13" s="251" t="s">
        <v>115</v>
      </c>
      <c r="W13" s="252" t="s">
        <v>116</v>
      </c>
    </row>
    <row r="14" spans="2:25" ht="17.25" thickBot="1" x14ac:dyDescent="0.65">
      <c r="B14" s="210">
        <v>1111</v>
      </c>
      <c r="D14" s="254" t="s">
        <v>371</v>
      </c>
      <c r="E14" s="515" t="s">
        <v>1170</v>
      </c>
      <c r="F14" s="516"/>
      <c r="G14" s="517"/>
      <c r="H14" s="526" t="s">
        <v>447</v>
      </c>
      <c r="I14" s="526"/>
      <c r="J14" s="526"/>
      <c r="K14" s="526"/>
      <c r="L14" s="526"/>
      <c r="M14" s="526"/>
      <c r="N14" s="526"/>
      <c r="O14" s="526"/>
      <c r="P14" s="526"/>
      <c r="Q14" s="526"/>
      <c r="R14" s="526"/>
      <c r="S14" s="526"/>
      <c r="T14" s="526"/>
      <c r="U14" s="526"/>
      <c r="V14" s="526"/>
      <c r="W14" s="527"/>
    </row>
    <row r="15" spans="2:25" ht="3" customHeight="1" thickBot="1" x14ac:dyDescent="0.65">
      <c r="B15" s="369"/>
      <c r="F15" s="206"/>
      <c r="I15" s="206"/>
    </row>
    <row r="16" spans="2:25" x14ac:dyDescent="0.6">
      <c r="B16" s="130" t="s">
        <v>1167</v>
      </c>
      <c r="D16" s="212" t="s">
        <v>377</v>
      </c>
      <c r="E16" s="213" t="s">
        <v>378</v>
      </c>
      <c r="F16" s="213" t="s">
        <v>379</v>
      </c>
      <c r="G16" s="214" t="s">
        <v>380</v>
      </c>
    </row>
    <row r="17" spans="2:11" ht="17.25" thickBot="1" x14ac:dyDescent="0.65">
      <c r="B17" s="210">
        <v>1010</v>
      </c>
      <c r="D17" s="211" t="s">
        <v>371</v>
      </c>
      <c r="E17" s="515" t="s">
        <v>1170</v>
      </c>
      <c r="F17" s="516"/>
      <c r="G17" s="517"/>
    </row>
    <row r="18" spans="2:11" ht="3" customHeight="1" thickBot="1" x14ac:dyDescent="0.65">
      <c r="B18" s="369"/>
      <c r="F18" s="206"/>
      <c r="I18" s="206"/>
    </row>
    <row r="19" spans="2:11" x14ac:dyDescent="0.6">
      <c r="B19" s="130" t="s">
        <v>1168</v>
      </c>
      <c r="D19" s="212" t="s">
        <v>378</v>
      </c>
      <c r="E19" s="213" t="s">
        <v>379</v>
      </c>
      <c r="F19" s="213" t="s">
        <v>380</v>
      </c>
      <c r="G19" s="214" t="s">
        <v>458</v>
      </c>
      <c r="H19" s="208" t="s">
        <v>113</v>
      </c>
      <c r="I19" s="208" t="s">
        <v>114</v>
      </c>
      <c r="J19" s="208" t="s">
        <v>459</v>
      </c>
      <c r="K19" s="209" t="s">
        <v>460</v>
      </c>
    </row>
    <row r="20" spans="2:11" ht="17.25" thickBot="1" x14ac:dyDescent="0.65">
      <c r="B20" s="210">
        <v>1010</v>
      </c>
      <c r="D20" s="211" t="s">
        <v>371</v>
      </c>
      <c r="E20" s="515" t="s">
        <v>1170</v>
      </c>
      <c r="F20" s="516"/>
      <c r="G20" s="517"/>
      <c r="H20" s="217" t="s">
        <v>461</v>
      </c>
      <c r="I20" s="217" t="s">
        <v>462</v>
      </c>
      <c r="J20" s="217" t="s">
        <v>463</v>
      </c>
      <c r="K20" s="218" t="s">
        <v>464</v>
      </c>
    </row>
    <row r="21" spans="2:11" ht="3" customHeight="1" thickBot="1" x14ac:dyDescent="0.65">
      <c r="B21" s="369"/>
      <c r="F21" s="206"/>
      <c r="I21" s="206"/>
    </row>
    <row r="22" spans="2:11" x14ac:dyDescent="0.6">
      <c r="B22" s="130" t="s">
        <v>1169</v>
      </c>
      <c r="D22" s="212" t="s">
        <v>458</v>
      </c>
      <c r="E22" s="213" t="s">
        <v>466</v>
      </c>
      <c r="F22" s="213" t="s">
        <v>467</v>
      </c>
      <c r="G22" s="214" t="s">
        <v>459</v>
      </c>
    </row>
    <row r="23" spans="2:11" ht="17.25" thickBot="1" x14ac:dyDescent="0.65">
      <c r="B23" s="210">
        <v>1001</v>
      </c>
      <c r="D23" s="211" t="s">
        <v>371</v>
      </c>
      <c r="E23" s="515" t="s">
        <v>1170</v>
      </c>
      <c r="F23" s="516"/>
      <c r="G23" s="517"/>
    </row>
    <row r="24" spans="2:11" ht="3" customHeight="1" thickBot="1" x14ac:dyDescent="0.65">
      <c r="B24" s="369"/>
      <c r="F24" s="206"/>
      <c r="I24" s="206"/>
    </row>
    <row r="25" spans="2:11" x14ac:dyDescent="0.6">
      <c r="B25" s="130" t="s">
        <v>469</v>
      </c>
      <c r="D25" s="212" t="s">
        <v>458</v>
      </c>
      <c r="E25" s="213" t="s">
        <v>466</v>
      </c>
      <c r="F25" s="213" t="s">
        <v>467</v>
      </c>
      <c r="G25" s="214" t="s">
        <v>459</v>
      </c>
    </row>
    <row r="26" spans="2:11" ht="17.25" thickBot="1" x14ac:dyDescent="0.65">
      <c r="B26" s="210">
        <v>1000</v>
      </c>
      <c r="D26" s="211" t="s">
        <v>371</v>
      </c>
      <c r="E26" s="515" t="s">
        <v>1170</v>
      </c>
      <c r="F26" s="516"/>
      <c r="G26" s="517"/>
    </row>
    <row r="27" spans="2:11" x14ac:dyDescent="0.6">
      <c r="D27" s="176"/>
      <c r="E27" s="176"/>
      <c r="F27" s="176"/>
      <c r="G27" s="176"/>
    </row>
  </sheetData>
  <mergeCells count="15">
    <mergeCell ref="D2:Y2"/>
    <mergeCell ref="E11:G11"/>
    <mergeCell ref="H11:L11"/>
    <mergeCell ref="M11:X11"/>
    <mergeCell ref="E5:G5"/>
    <mergeCell ref="H5:M5"/>
    <mergeCell ref="N5:Y5"/>
    <mergeCell ref="E8:G8"/>
    <mergeCell ref="H8:M8"/>
    <mergeCell ref="H14:W14"/>
    <mergeCell ref="E17:G17"/>
    <mergeCell ref="E20:G20"/>
    <mergeCell ref="E23:G23"/>
    <mergeCell ref="E26:G26"/>
    <mergeCell ref="E14:G1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2D997-C479-4CFB-B727-D632615F6498}">
  <sheetPr>
    <tabColor theme="1"/>
  </sheetPr>
  <dimension ref="A2:W217"/>
  <sheetViews>
    <sheetView showGridLines="0" zoomScale="90" zoomScaleNormal="90" workbookViewId="0">
      <pane ySplit="2" topLeftCell="A45" activePane="bottomLeft" state="frozen"/>
      <selection pane="bottomLeft" activeCell="J34" sqref="A34:XFD34"/>
    </sheetView>
  </sheetViews>
  <sheetFormatPr defaultColWidth="8.625" defaultRowHeight="16.899999999999999" x14ac:dyDescent="0.6"/>
  <cols>
    <col min="1" max="1" width="8.625" style="114"/>
    <col min="2" max="2" width="4.625" style="114" bestFit="1" customWidth="1"/>
    <col min="3" max="3" width="32.8125" style="176" bestFit="1" customWidth="1"/>
    <col min="4" max="4" width="4.1875" style="176" bestFit="1" customWidth="1"/>
    <col min="5" max="5" width="8" style="176" bestFit="1" customWidth="1"/>
    <col min="6" max="6" width="7.5" style="176" bestFit="1" customWidth="1"/>
    <col min="7" max="7" width="1.625" style="176" customWidth="1"/>
    <col min="8" max="8" width="12.125" style="176" bestFit="1" customWidth="1"/>
    <col min="9" max="9" width="15.6875" style="176" bestFit="1" customWidth="1"/>
    <col min="10" max="10" width="16.8125" style="176" customWidth="1"/>
    <col min="11" max="11" width="14.3125" style="176" bestFit="1" customWidth="1"/>
    <col min="12" max="12" width="14.625" style="176" bestFit="1" customWidth="1"/>
    <col min="13" max="13" width="19.625" style="176" bestFit="1" customWidth="1"/>
    <col min="14" max="14" width="12.3125" style="176" bestFit="1" customWidth="1"/>
    <col min="15" max="15" width="23" style="176" bestFit="1" customWidth="1"/>
    <col min="16" max="16" width="18.1875" style="176" bestFit="1" customWidth="1"/>
    <col min="17" max="17" width="23.1875" style="176" bestFit="1" customWidth="1"/>
    <col min="18" max="18" width="17.8125" style="176" bestFit="1" customWidth="1"/>
    <col min="19" max="19" width="18.3125" style="176" bestFit="1" customWidth="1"/>
    <col min="20" max="20" width="19.125" style="176" bestFit="1" customWidth="1"/>
    <col min="21" max="21" width="19.625" style="176" bestFit="1" customWidth="1"/>
    <col min="22" max="22" width="15.6875" style="176" bestFit="1" customWidth="1"/>
    <col min="23" max="23" width="24.125" style="176" bestFit="1" customWidth="1"/>
    <col min="24" max="16384" width="8.625" style="114"/>
  </cols>
  <sheetData>
    <row r="2" spans="2:23" x14ac:dyDescent="0.6">
      <c r="B2" s="179"/>
      <c r="C2" s="181"/>
      <c r="D2" s="181" t="s">
        <v>557</v>
      </c>
      <c r="E2" s="181" t="s">
        <v>103</v>
      </c>
      <c r="F2" s="181" t="s">
        <v>104</v>
      </c>
      <c r="G2" s="181"/>
      <c r="H2" s="181" t="s">
        <v>364</v>
      </c>
      <c r="I2" s="181" t="s">
        <v>365</v>
      </c>
      <c r="J2" s="181" t="s">
        <v>428</v>
      </c>
      <c r="K2" s="181" t="s">
        <v>429</v>
      </c>
      <c r="L2" s="181" t="s">
        <v>368</v>
      </c>
      <c r="M2" s="181" t="s">
        <v>369</v>
      </c>
      <c r="N2" s="181" t="s">
        <v>107</v>
      </c>
      <c r="O2" s="181" t="s">
        <v>108</v>
      </c>
      <c r="P2" s="181" t="s">
        <v>109</v>
      </c>
      <c r="Q2" s="181" t="s">
        <v>110</v>
      </c>
      <c r="R2" s="181" t="s">
        <v>111</v>
      </c>
      <c r="S2" s="181" t="s">
        <v>112</v>
      </c>
      <c r="T2" s="181" t="s">
        <v>113</v>
      </c>
      <c r="U2" s="181" t="s">
        <v>114</v>
      </c>
      <c r="V2" s="181" t="s">
        <v>115</v>
      </c>
      <c r="W2" s="181" t="s">
        <v>116</v>
      </c>
    </row>
    <row r="3" spans="2:23" x14ac:dyDescent="0.6">
      <c r="B3" s="179">
        <v>1</v>
      </c>
      <c r="C3" s="176" t="s">
        <v>558</v>
      </c>
      <c r="D3" s="176" t="s">
        <v>119</v>
      </c>
      <c r="E3" s="176" t="s">
        <v>120</v>
      </c>
      <c r="F3" s="176" t="s">
        <v>559</v>
      </c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3" t="s">
        <v>560</v>
      </c>
      <c r="S3" s="183" t="s">
        <v>561</v>
      </c>
      <c r="T3" s="184"/>
      <c r="U3" s="183" t="s">
        <v>562</v>
      </c>
      <c r="V3" s="183" t="s">
        <v>563</v>
      </c>
      <c r="W3" s="183" t="s">
        <v>564</v>
      </c>
    </row>
    <row r="4" spans="2:23" x14ac:dyDescent="0.6">
      <c r="B4" s="179">
        <f>B3+1</f>
        <v>2</v>
      </c>
      <c r="C4" s="176" t="s">
        <v>565</v>
      </c>
      <c r="D4" s="176" t="s">
        <v>119</v>
      </c>
      <c r="E4" s="176" t="s">
        <v>212</v>
      </c>
      <c r="F4" s="176" t="s">
        <v>559</v>
      </c>
      <c r="H4" s="183" t="s">
        <v>566</v>
      </c>
      <c r="I4" s="184"/>
      <c r="J4" s="184"/>
      <c r="K4" s="184"/>
      <c r="L4" s="184"/>
      <c r="M4" s="184"/>
      <c r="N4" s="308"/>
      <c r="O4" s="184"/>
      <c r="P4" s="184"/>
      <c r="Q4" s="184"/>
      <c r="R4" s="539" t="s">
        <v>373</v>
      </c>
      <c r="S4" s="539"/>
      <c r="T4" s="539"/>
      <c r="U4" s="539"/>
      <c r="V4" s="539"/>
      <c r="W4" s="539"/>
    </row>
    <row r="5" spans="2:23" x14ac:dyDescent="0.6">
      <c r="B5" s="179">
        <f t="shared" ref="B5:B66" si="0">B4+1</f>
        <v>3</v>
      </c>
      <c r="C5" s="176" t="s">
        <v>567</v>
      </c>
      <c r="D5" s="176" t="s">
        <v>119</v>
      </c>
      <c r="E5" s="176" t="s">
        <v>215</v>
      </c>
      <c r="F5" s="176" t="s">
        <v>559</v>
      </c>
      <c r="H5" s="183" t="s">
        <v>566</v>
      </c>
      <c r="I5" s="184"/>
      <c r="J5" s="184"/>
      <c r="K5" s="184"/>
      <c r="L5" s="184"/>
      <c r="M5" s="184"/>
      <c r="N5" s="540" t="s">
        <v>568</v>
      </c>
      <c r="O5" s="541"/>
      <c r="P5" s="184"/>
      <c r="Q5" s="184"/>
      <c r="R5" s="539" t="s">
        <v>373</v>
      </c>
      <c r="S5" s="539"/>
      <c r="T5" s="539"/>
      <c r="U5" s="539"/>
      <c r="V5" s="539"/>
      <c r="W5" s="539"/>
    </row>
    <row r="6" spans="2:23" x14ac:dyDescent="0.6">
      <c r="B6" s="179">
        <f t="shared" si="0"/>
        <v>4</v>
      </c>
      <c r="C6" s="176" t="s">
        <v>569</v>
      </c>
      <c r="D6" s="176" t="s">
        <v>119</v>
      </c>
      <c r="E6" s="176" t="s">
        <v>125</v>
      </c>
      <c r="F6" s="176" t="s">
        <v>559</v>
      </c>
      <c r="H6" s="183" t="s">
        <v>566</v>
      </c>
      <c r="I6" s="184"/>
      <c r="J6" s="184"/>
      <c r="K6" s="184"/>
      <c r="L6" s="184"/>
      <c r="M6" s="184"/>
      <c r="N6" s="540" t="s">
        <v>568</v>
      </c>
      <c r="O6" s="541"/>
      <c r="P6" s="184"/>
      <c r="Q6" s="184"/>
      <c r="R6" s="539" t="s">
        <v>373</v>
      </c>
      <c r="S6" s="539"/>
      <c r="T6" s="539"/>
      <c r="U6" s="539"/>
      <c r="V6" s="539"/>
      <c r="W6" s="539"/>
    </row>
    <row r="7" spans="2:23" x14ac:dyDescent="0.6">
      <c r="B7" s="179">
        <f t="shared" si="0"/>
        <v>5</v>
      </c>
      <c r="C7" s="176" t="s">
        <v>570</v>
      </c>
      <c r="D7" s="176" t="s">
        <v>119</v>
      </c>
      <c r="E7" s="176" t="s">
        <v>571</v>
      </c>
      <c r="F7" s="176" t="s">
        <v>572</v>
      </c>
      <c r="H7" s="183" t="s">
        <v>566</v>
      </c>
      <c r="I7" s="184"/>
      <c r="J7" s="184"/>
      <c r="K7" s="184"/>
      <c r="L7" s="184"/>
      <c r="M7" s="184"/>
      <c r="N7" s="308"/>
      <c r="O7" s="184"/>
      <c r="P7" s="184"/>
      <c r="Q7" s="184"/>
      <c r="R7" s="184"/>
      <c r="S7" s="184"/>
      <c r="T7" s="184"/>
      <c r="U7" s="184"/>
      <c r="V7" s="184"/>
      <c r="W7" s="184"/>
    </row>
    <row r="8" spans="2:23" x14ac:dyDescent="0.6">
      <c r="B8" s="179">
        <f t="shared" si="0"/>
        <v>6</v>
      </c>
      <c r="C8" s="176" t="s">
        <v>573</v>
      </c>
      <c r="D8" s="176" t="s">
        <v>119</v>
      </c>
      <c r="E8" s="176" t="s">
        <v>219</v>
      </c>
      <c r="F8" s="176" t="s">
        <v>559</v>
      </c>
      <c r="H8" s="183" t="s">
        <v>566</v>
      </c>
      <c r="I8" s="184"/>
      <c r="J8" s="184"/>
      <c r="K8" s="184"/>
      <c r="L8" s="184"/>
      <c r="M8" s="184"/>
      <c r="N8" s="308"/>
      <c r="O8" s="184"/>
      <c r="P8" s="184"/>
      <c r="Q8" s="184"/>
      <c r="R8" s="184"/>
      <c r="S8" s="184"/>
      <c r="T8" s="184"/>
      <c r="U8" s="184"/>
      <c r="V8" s="184"/>
      <c r="W8" s="184"/>
    </row>
    <row r="9" spans="2:23" x14ac:dyDescent="0.6">
      <c r="B9" s="179">
        <f t="shared" si="0"/>
        <v>7</v>
      </c>
      <c r="C9" s="176" t="s">
        <v>574</v>
      </c>
      <c r="D9" s="176" t="s">
        <v>119</v>
      </c>
      <c r="E9" s="176" t="s">
        <v>128</v>
      </c>
      <c r="F9" s="176" t="s">
        <v>572</v>
      </c>
      <c r="H9" s="183" t="s">
        <v>566</v>
      </c>
      <c r="I9" s="184"/>
      <c r="J9" s="184"/>
      <c r="K9" s="184"/>
      <c r="L9" s="184"/>
      <c r="M9" s="184"/>
      <c r="N9" s="308"/>
      <c r="O9" s="184"/>
      <c r="P9" s="184"/>
      <c r="Q9" s="184"/>
      <c r="R9" s="184"/>
      <c r="S9" s="184"/>
      <c r="T9" s="184"/>
      <c r="U9" s="184"/>
      <c r="V9" s="184"/>
      <c r="W9" s="184"/>
    </row>
    <row r="10" spans="2:23" x14ac:dyDescent="0.6">
      <c r="B10" s="179">
        <f t="shared" si="0"/>
        <v>8</v>
      </c>
      <c r="C10" s="176" t="s">
        <v>575</v>
      </c>
      <c r="D10" s="176" t="s">
        <v>119</v>
      </c>
      <c r="E10" s="176" t="s">
        <v>222</v>
      </c>
      <c r="F10" s="176" t="s">
        <v>559</v>
      </c>
      <c r="H10" s="183" t="s">
        <v>566</v>
      </c>
      <c r="I10" s="184"/>
      <c r="J10" s="184"/>
      <c r="K10" s="184"/>
      <c r="L10" s="184"/>
      <c r="M10" s="184"/>
      <c r="N10" s="308"/>
      <c r="O10" s="184"/>
      <c r="P10" s="184"/>
      <c r="Q10" s="184"/>
      <c r="R10" s="184"/>
      <c r="S10" s="184"/>
      <c r="T10" s="184"/>
      <c r="U10" s="184"/>
      <c r="V10" s="184"/>
      <c r="W10" s="184"/>
    </row>
    <row r="11" spans="2:23" x14ac:dyDescent="0.6">
      <c r="B11" s="179">
        <f t="shared" si="0"/>
        <v>9</v>
      </c>
      <c r="C11" s="176" t="s">
        <v>576</v>
      </c>
      <c r="D11" s="176" t="s">
        <v>119</v>
      </c>
      <c r="E11" s="176" t="s">
        <v>131</v>
      </c>
      <c r="F11" s="176" t="s">
        <v>577</v>
      </c>
      <c r="H11" s="184"/>
      <c r="I11" s="184"/>
      <c r="J11" s="184"/>
      <c r="K11" s="184"/>
      <c r="L11" s="184"/>
      <c r="M11" s="184"/>
      <c r="N11" s="308"/>
      <c r="O11" s="183" t="s">
        <v>578</v>
      </c>
      <c r="P11" s="184"/>
      <c r="Q11" s="184"/>
      <c r="R11" s="184"/>
      <c r="S11" s="183" t="s">
        <v>579</v>
      </c>
      <c r="T11" s="184"/>
      <c r="U11" s="184"/>
      <c r="V11" s="184"/>
      <c r="W11" s="183" t="s">
        <v>580</v>
      </c>
    </row>
    <row r="12" spans="2:23" x14ac:dyDescent="0.6">
      <c r="B12" s="179">
        <f t="shared" si="0"/>
        <v>10</v>
      </c>
      <c r="C12" s="176" t="s">
        <v>581</v>
      </c>
      <c r="D12" s="176" t="s">
        <v>148</v>
      </c>
      <c r="E12" s="176" t="s">
        <v>226</v>
      </c>
      <c r="F12" s="176" t="s">
        <v>572</v>
      </c>
      <c r="H12" s="184"/>
      <c r="I12" s="184"/>
      <c r="J12" s="184"/>
      <c r="K12" s="184"/>
      <c r="L12" s="184"/>
      <c r="M12" s="184"/>
      <c r="N12" s="184"/>
      <c r="O12" s="540" t="s">
        <v>582</v>
      </c>
      <c r="P12" s="542"/>
      <c r="Q12" s="542"/>
      <c r="R12" s="542"/>
      <c r="S12" s="542"/>
      <c r="T12" s="542"/>
      <c r="U12" s="542"/>
      <c r="V12" s="542"/>
      <c r="W12" s="541"/>
    </row>
    <row r="13" spans="2:23" x14ac:dyDescent="0.6">
      <c r="B13" s="179">
        <f t="shared" si="0"/>
        <v>11</v>
      </c>
      <c r="C13" s="176" t="s">
        <v>583</v>
      </c>
      <c r="D13" s="176" t="s">
        <v>148</v>
      </c>
      <c r="E13" s="176" t="s">
        <v>149</v>
      </c>
      <c r="F13" s="176" t="s">
        <v>572</v>
      </c>
      <c r="I13" s="184"/>
      <c r="J13" s="184"/>
      <c r="K13" s="184"/>
      <c r="L13" s="184"/>
      <c r="M13" s="184"/>
      <c r="N13" s="184"/>
      <c r="O13" s="540" t="s">
        <v>584</v>
      </c>
      <c r="P13" s="542"/>
      <c r="Q13" s="542"/>
      <c r="R13" s="542"/>
      <c r="S13" s="542"/>
      <c r="T13" s="542"/>
      <c r="U13" s="542"/>
      <c r="V13" s="542"/>
      <c r="W13" s="541"/>
    </row>
    <row r="14" spans="2:23" x14ac:dyDescent="0.6">
      <c r="B14" s="179">
        <f t="shared" si="0"/>
        <v>12</v>
      </c>
      <c r="C14" s="176" t="s">
        <v>585</v>
      </c>
      <c r="D14" s="176" t="s">
        <v>148</v>
      </c>
      <c r="E14" s="176" t="s">
        <v>154</v>
      </c>
      <c r="F14" s="176" t="s">
        <v>572</v>
      </c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540" t="s">
        <v>586</v>
      </c>
      <c r="S14" s="542"/>
      <c r="T14" s="542"/>
      <c r="U14" s="542"/>
      <c r="V14" s="542"/>
      <c r="W14" s="541"/>
    </row>
    <row r="15" spans="2:23" x14ac:dyDescent="0.6">
      <c r="B15" s="179">
        <f t="shared" si="0"/>
        <v>13</v>
      </c>
      <c r="C15" s="176" t="s">
        <v>587</v>
      </c>
      <c r="D15" s="176" t="s">
        <v>119</v>
      </c>
      <c r="E15" s="176" t="s">
        <v>158</v>
      </c>
      <c r="F15" s="176" t="s">
        <v>572</v>
      </c>
      <c r="H15" s="184"/>
      <c r="I15" s="184"/>
      <c r="J15" s="540" t="s">
        <v>588</v>
      </c>
      <c r="K15" s="542"/>
      <c r="L15" s="542"/>
      <c r="M15" s="542"/>
      <c r="N15" s="542"/>
      <c r="O15" s="541"/>
      <c r="P15" s="183" t="s">
        <v>589</v>
      </c>
      <c r="Q15" s="184"/>
      <c r="R15" s="542" t="s">
        <v>590</v>
      </c>
      <c r="S15" s="542"/>
      <c r="T15" s="542"/>
      <c r="U15" s="542"/>
      <c r="V15" s="542"/>
      <c r="W15" s="541"/>
    </row>
    <row r="16" spans="2:23" x14ac:dyDescent="0.6">
      <c r="B16" s="179">
        <f t="shared" si="0"/>
        <v>14</v>
      </c>
      <c r="C16" s="176" t="s">
        <v>591</v>
      </c>
      <c r="D16" s="176" t="s">
        <v>148</v>
      </c>
      <c r="E16" s="176" t="s">
        <v>161</v>
      </c>
      <c r="F16" s="176" t="s">
        <v>572</v>
      </c>
      <c r="H16" s="184"/>
      <c r="I16" s="184"/>
      <c r="J16" s="540" t="s">
        <v>592</v>
      </c>
      <c r="K16" s="542"/>
      <c r="L16" s="542"/>
      <c r="M16" s="542"/>
      <c r="N16" s="542"/>
      <c r="O16" s="541"/>
      <c r="P16" s="184"/>
      <c r="Q16" s="184"/>
      <c r="R16" s="540" t="s">
        <v>593</v>
      </c>
      <c r="S16" s="542"/>
      <c r="T16" s="542"/>
      <c r="U16" s="542"/>
      <c r="V16" s="542"/>
      <c r="W16" s="541"/>
    </row>
    <row r="17" spans="1:23" x14ac:dyDescent="0.6">
      <c r="B17" s="179">
        <f t="shared" si="0"/>
        <v>15</v>
      </c>
      <c r="C17" s="176" t="s">
        <v>594</v>
      </c>
      <c r="D17" s="176" t="s">
        <v>148</v>
      </c>
      <c r="E17" s="176" t="s">
        <v>163</v>
      </c>
      <c r="F17" s="176" t="s">
        <v>572</v>
      </c>
      <c r="H17" s="184"/>
      <c r="I17" s="184"/>
      <c r="J17" s="540" t="s">
        <v>595</v>
      </c>
      <c r="K17" s="542"/>
      <c r="L17" s="542"/>
      <c r="M17" s="542"/>
      <c r="N17" s="542"/>
      <c r="O17" s="541"/>
      <c r="P17" s="184"/>
      <c r="Q17" s="184"/>
      <c r="R17" s="540" t="s">
        <v>596</v>
      </c>
      <c r="S17" s="542"/>
      <c r="T17" s="542"/>
      <c r="U17" s="542"/>
      <c r="V17" s="542"/>
      <c r="W17" s="541"/>
    </row>
    <row r="18" spans="1:23" x14ac:dyDescent="0.6">
      <c r="B18" s="179">
        <f t="shared" si="0"/>
        <v>16</v>
      </c>
      <c r="C18" s="176" t="s">
        <v>597</v>
      </c>
      <c r="D18" s="176" t="s">
        <v>148</v>
      </c>
      <c r="E18" s="176" t="s">
        <v>165</v>
      </c>
      <c r="F18" s="176" t="s">
        <v>572</v>
      </c>
      <c r="H18" s="184"/>
      <c r="I18" s="184"/>
      <c r="J18" s="540" t="s">
        <v>598</v>
      </c>
      <c r="K18" s="542"/>
      <c r="L18" s="542"/>
      <c r="M18" s="542"/>
      <c r="N18" s="542"/>
      <c r="O18" s="541"/>
      <c r="P18" s="184"/>
      <c r="Q18" s="184"/>
      <c r="R18" s="540" t="s">
        <v>599</v>
      </c>
      <c r="S18" s="542"/>
      <c r="T18" s="542"/>
      <c r="U18" s="542"/>
      <c r="V18" s="542"/>
      <c r="W18" s="541"/>
    </row>
    <row r="19" spans="1:23" x14ac:dyDescent="0.6">
      <c r="B19" s="179">
        <f t="shared" si="0"/>
        <v>17</v>
      </c>
      <c r="C19" s="176" t="s">
        <v>600</v>
      </c>
      <c r="D19" s="176" t="s">
        <v>601</v>
      </c>
      <c r="E19" s="176" t="s">
        <v>602</v>
      </c>
      <c r="F19" s="176" t="s">
        <v>572</v>
      </c>
      <c r="H19" s="184"/>
      <c r="I19" s="184"/>
      <c r="J19" s="184"/>
      <c r="K19" s="184"/>
      <c r="L19" s="184"/>
      <c r="M19" s="184"/>
      <c r="N19" s="184"/>
      <c r="O19" s="183" t="s">
        <v>603</v>
      </c>
      <c r="P19" s="184"/>
      <c r="Q19" s="184"/>
      <c r="R19" s="184"/>
      <c r="S19" s="184"/>
      <c r="T19" s="184"/>
      <c r="U19" s="184"/>
      <c r="V19" s="184"/>
      <c r="W19" s="183" t="s">
        <v>604</v>
      </c>
    </row>
    <row r="20" spans="1:23" x14ac:dyDescent="0.6">
      <c r="A20" s="176"/>
      <c r="B20" s="179">
        <f t="shared" si="0"/>
        <v>18</v>
      </c>
      <c r="C20" s="176" t="s">
        <v>605</v>
      </c>
      <c r="D20" s="176" t="s">
        <v>119</v>
      </c>
      <c r="E20" s="176" t="s">
        <v>168</v>
      </c>
      <c r="F20" s="176" t="s">
        <v>572</v>
      </c>
      <c r="H20" s="540" t="s">
        <v>606</v>
      </c>
      <c r="I20" s="542"/>
      <c r="J20" s="542"/>
      <c r="K20" s="542"/>
      <c r="L20" s="542"/>
      <c r="M20" s="542"/>
      <c r="N20" s="542"/>
      <c r="O20" s="542"/>
      <c r="P20" s="542"/>
      <c r="Q20" s="542"/>
      <c r="R20" s="542"/>
      <c r="S20" s="542"/>
      <c r="T20" s="542"/>
      <c r="U20" s="542"/>
      <c r="V20" s="542"/>
      <c r="W20" s="541"/>
    </row>
    <row r="21" spans="1:23" x14ac:dyDescent="0.6">
      <c r="A21" s="176"/>
      <c r="B21" s="179">
        <f t="shared" si="0"/>
        <v>19</v>
      </c>
      <c r="C21" s="176" t="s">
        <v>607</v>
      </c>
      <c r="D21" s="176" t="s">
        <v>119</v>
      </c>
      <c r="E21" s="176" t="s">
        <v>170</v>
      </c>
      <c r="F21" s="176" t="s">
        <v>572</v>
      </c>
      <c r="H21" s="540" t="s">
        <v>608</v>
      </c>
      <c r="I21" s="542"/>
      <c r="J21" s="542"/>
      <c r="K21" s="542"/>
      <c r="L21" s="542"/>
      <c r="M21" s="542"/>
      <c r="N21" s="542"/>
      <c r="O21" s="541"/>
      <c r="P21" s="184"/>
      <c r="Q21" s="184"/>
      <c r="R21" s="184"/>
      <c r="S21" s="184"/>
      <c r="T21" s="184"/>
      <c r="U21" s="184"/>
      <c r="V21" s="184"/>
      <c r="W21" s="183" t="s">
        <v>609</v>
      </c>
    </row>
    <row r="22" spans="1:23" x14ac:dyDescent="0.6">
      <c r="A22" s="176"/>
      <c r="B22" s="179">
        <f t="shared" si="0"/>
        <v>20</v>
      </c>
      <c r="C22" s="176" t="s">
        <v>610</v>
      </c>
      <c r="D22" s="176" t="s">
        <v>119</v>
      </c>
      <c r="E22" s="176" t="s">
        <v>172</v>
      </c>
      <c r="F22" s="176" t="s">
        <v>611</v>
      </c>
      <c r="H22" s="184"/>
      <c r="I22" s="184"/>
      <c r="J22" s="184"/>
      <c r="K22" s="184"/>
      <c r="L22" s="540" t="s">
        <v>612</v>
      </c>
      <c r="M22" s="542"/>
      <c r="N22" s="542"/>
      <c r="O22" s="541"/>
      <c r="P22" s="184"/>
      <c r="Q22" s="184"/>
      <c r="R22" s="184"/>
      <c r="S22" s="540" t="s">
        <v>613</v>
      </c>
      <c r="T22" s="542"/>
      <c r="U22" s="542"/>
      <c r="V22" s="542"/>
      <c r="W22" s="541"/>
    </row>
    <row r="23" spans="1:23" x14ac:dyDescent="0.6">
      <c r="A23" s="176"/>
      <c r="B23" s="179">
        <f t="shared" si="0"/>
        <v>21</v>
      </c>
      <c r="C23" s="176" t="s">
        <v>614</v>
      </c>
      <c r="D23" s="176" t="s">
        <v>119</v>
      </c>
      <c r="E23" s="176" t="s">
        <v>174</v>
      </c>
      <c r="F23" s="176" t="s">
        <v>572</v>
      </c>
      <c r="H23" s="184"/>
      <c r="I23" s="184"/>
      <c r="J23" s="184"/>
      <c r="K23" s="184"/>
      <c r="L23" s="184"/>
      <c r="M23" s="184"/>
      <c r="N23" s="184"/>
      <c r="O23" s="183" t="s">
        <v>615</v>
      </c>
      <c r="P23" s="183" t="s">
        <v>616</v>
      </c>
      <c r="Q23" s="183" t="s">
        <v>617</v>
      </c>
      <c r="R23" s="183" t="s">
        <v>618</v>
      </c>
      <c r="S23" s="183" t="s">
        <v>619</v>
      </c>
      <c r="T23" s="309" t="s">
        <v>620</v>
      </c>
      <c r="U23" s="309" t="s">
        <v>621</v>
      </c>
      <c r="V23" s="309" t="s">
        <v>622</v>
      </c>
      <c r="W23" s="309" t="s">
        <v>623</v>
      </c>
    </row>
    <row r="24" spans="1:23" x14ac:dyDescent="0.6">
      <c r="A24" s="176"/>
      <c r="B24" s="179">
        <f t="shared" si="0"/>
        <v>22</v>
      </c>
      <c r="C24" s="310" t="s">
        <v>624</v>
      </c>
      <c r="D24" s="176" t="s">
        <v>148</v>
      </c>
      <c r="E24" s="176" t="s">
        <v>176</v>
      </c>
      <c r="F24" s="176" t="s">
        <v>559</v>
      </c>
      <c r="G24" s="310"/>
      <c r="H24" s="183" t="s">
        <v>625</v>
      </c>
      <c r="I24" s="183" t="s">
        <v>626</v>
      </c>
      <c r="J24" s="183" t="s">
        <v>627</v>
      </c>
      <c r="K24" s="183" t="s">
        <v>628</v>
      </c>
      <c r="L24" s="183" t="s">
        <v>629</v>
      </c>
      <c r="M24" s="183" t="s">
        <v>630</v>
      </c>
      <c r="N24" s="183" t="s">
        <v>631</v>
      </c>
      <c r="O24" s="183" t="s">
        <v>632</v>
      </c>
      <c r="P24" s="183" t="s">
        <v>633</v>
      </c>
      <c r="Q24" s="183" t="s">
        <v>634</v>
      </c>
      <c r="R24" s="183" t="s">
        <v>635</v>
      </c>
      <c r="S24" s="183" t="s">
        <v>636</v>
      </c>
      <c r="T24" s="183" t="s">
        <v>637</v>
      </c>
      <c r="U24" s="183" t="s">
        <v>638</v>
      </c>
      <c r="V24" s="183" t="s">
        <v>639</v>
      </c>
      <c r="W24" s="183" t="s">
        <v>640</v>
      </c>
    </row>
    <row r="25" spans="1:23" x14ac:dyDescent="0.6">
      <c r="A25" s="176"/>
      <c r="B25" s="179">
        <f t="shared" si="0"/>
        <v>23</v>
      </c>
      <c r="C25" s="310" t="s">
        <v>641</v>
      </c>
      <c r="D25" s="176" t="s">
        <v>148</v>
      </c>
      <c r="E25" s="176" t="s">
        <v>642</v>
      </c>
      <c r="F25" s="176" t="s">
        <v>559</v>
      </c>
      <c r="G25" s="310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3" t="s">
        <v>643</v>
      </c>
      <c r="W25" s="183" t="s">
        <v>644</v>
      </c>
    </row>
    <row r="26" spans="1:23" x14ac:dyDescent="0.6">
      <c r="A26" s="176"/>
      <c r="B26" s="179">
        <f t="shared" si="0"/>
        <v>24</v>
      </c>
      <c r="C26" s="310" t="s">
        <v>645</v>
      </c>
      <c r="D26" s="176" t="s">
        <v>148</v>
      </c>
      <c r="E26" s="176" t="s">
        <v>646</v>
      </c>
      <c r="F26" s="176" t="s">
        <v>559</v>
      </c>
      <c r="G26" s="310"/>
      <c r="H26" s="184"/>
      <c r="I26" s="183" t="s">
        <v>647</v>
      </c>
      <c r="J26" s="183" t="s">
        <v>648</v>
      </c>
      <c r="K26" s="183" t="s">
        <v>649</v>
      </c>
      <c r="L26" s="184"/>
      <c r="M26" s="184"/>
      <c r="N26" s="184"/>
      <c r="O26" s="183" t="s">
        <v>650</v>
      </c>
      <c r="P26" s="184"/>
      <c r="Q26" s="184"/>
      <c r="R26" s="183" t="s">
        <v>651</v>
      </c>
      <c r="S26" s="183" t="s">
        <v>652</v>
      </c>
      <c r="T26" s="183" t="s">
        <v>653</v>
      </c>
      <c r="U26" s="183" t="s">
        <v>654</v>
      </c>
      <c r="V26" s="183" t="s">
        <v>655</v>
      </c>
      <c r="W26" s="183" t="s">
        <v>656</v>
      </c>
    </row>
    <row r="27" spans="1:23" ht="50.65" x14ac:dyDescent="0.6">
      <c r="B27" s="179">
        <f t="shared" si="0"/>
        <v>25</v>
      </c>
      <c r="C27" s="176" t="s">
        <v>657</v>
      </c>
      <c r="D27" s="176" t="s">
        <v>148</v>
      </c>
      <c r="E27" s="176" t="s">
        <v>658</v>
      </c>
      <c r="F27" s="176" t="s">
        <v>572</v>
      </c>
      <c r="H27" s="184"/>
      <c r="I27" s="184"/>
      <c r="J27" s="184"/>
      <c r="K27" s="309" t="s">
        <v>659</v>
      </c>
      <c r="L27" s="309" t="s">
        <v>660</v>
      </c>
      <c r="M27" s="309" t="s">
        <v>661</v>
      </c>
      <c r="N27" s="309" t="s">
        <v>662</v>
      </c>
      <c r="O27" s="309" t="s">
        <v>663</v>
      </c>
      <c r="P27" s="309" t="s">
        <v>664</v>
      </c>
      <c r="Q27" s="309" t="s">
        <v>665</v>
      </c>
      <c r="R27" s="309" t="s">
        <v>666</v>
      </c>
      <c r="S27" s="309" t="s">
        <v>667</v>
      </c>
      <c r="T27" s="184"/>
      <c r="U27" s="184"/>
      <c r="V27" s="309" t="s">
        <v>668</v>
      </c>
      <c r="W27" s="309" t="s">
        <v>669</v>
      </c>
    </row>
    <row r="28" spans="1:23" x14ac:dyDescent="0.6">
      <c r="B28" s="179"/>
    </row>
    <row r="29" spans="1:23" x14ac:dyDescent="0.6">
      <c r="B29" s="179">
        <f>B27+1</f>
        <v>26</v>
      </c>
      <c r="C29" s="176" t="s">
        <v>670</v>
      </c>
      <c r="D29" s="176" t="s">
        <v>119</v>
      </c>
      <c r="E29" s="176" t="s">
        <v>671</v>
      </c>
      <c r="F29" s="176" t="s">
        <v>572</v>
      </c>
      <c r="H29" s="183" t="s">
        <v>672</v>
      </c>
      <c r="I29" s="183" t="s">
        <v>673</v>
      </c>
      <c r="J29" s="183" t="s">
        <v>674</v>
      </c>
      <c r="K29" s="184"/>
      <c r="L29" s="184"/>
      <c r="M29" s="540" t="s">
        <v>675</v>
      </c>
      <c r="N29" s="542"/>
      <c r="O29" s="542"/>
      <c r="P29" s="542"/>
      <c r="Q29" s="542"/>
      <c r="R29" s="542"/>
      <c r="S29" s="542"/>
      <c r="T29" s="542"/>
      <c r="U29" s="542"/>
      <c r="V29" s="542"/>
      <c r="W29" s="541"/>
    </row>
    <row r="30" spans="1:23" x14ac:dyDescent="0.6">
      <c r="B30" s="179">
        <f t="shared" si="0"/>
        <v>27</v>
      </c>
      <c r="C30" s="176" t="s">
        <v>676</v>
      </c>
      <c r="D30" s="176" t="s">
        <v>119</v>
      </c>
      <c r="E30" s="176" t="s">
        <v>232</v>
      </c>
      <c r="F30" s="176" t="s">
        <v>572</v>
      </c>
      <c r="H30" s="184"/>
      <c r="I30" s="184"/>
      <c r="J30" s="184"/>
      <c r="K30" s="184"/>
      <c r="L30" s="184"/>
      <c r="M30" s="184"/>
      <c r="N30" s="184"/>
      <c r="O30" s="540" t="s">
        <v>677</v>
      </c>
      <c r="P30" s="542"/>
      <c r="Q30" s="542"/>
      <c r="R30" s="542"/>
      <c r="S30" s="542"/>
      <c r="T30" s="542"/>
      <c r="U30" s="542"/>
      <c r="V30" s="542"/>
      <c r="W30" s="541"/>
    </row>
    <row r="31" spans="1:23" x14ac:dyDescent="0.6">
      <c r="B31" s="179">
        <f t="shared" si="0"/>
        <v>28</v>
      </c>
      <c r="C31" s="176" t="s">
        <v>678</v>
      </c>
      <c r="D31" s="176" t="s">
        <v>119</v>
      </c>
      <c r="E31" s="176" t="s">
        <v>235</v>
      </c>
      <c r="F31" s="176" t="s">
        <v>572</v>
      </c>
      <c r="H31" s="540" t="s">
        <v>679</v>
      </c>
      <c r="I31" s="542"/>
      <c r="J31" s="542"/>
      <c r="K31" s="542"/>
      <c r="L31" s="184"/>
      <c r="M31" s="184"/>
      <c r="N31" s="184"/>
      <c r="O31" s="184"/>
      <c r="P31" s="540" t="s">
        <v>680</v>
      </c>
      <c r="Q31" s="542"/>
      <c r="R31" s="542"/>
      <c r="S31" s="542"/>
      <c r="T31" s="542"/>
      <c r="U31" s="542"/>
      <c r="V31" s="542"/>
      <c r="W31" s="541"/>
    </row>
    <row r="32" spans="1:23" x14ac:dyDescent="0.6">
      <c r="B32" s="179">
        <f t="shared" si="0"/>
        <v>29</v>
      </c>
      <c r="C32" s="176" t="s">
        <v>681</v>
      </c>
      <c r="D32" s="176" t="s">
        <v>148</v>
      </c>
      <c r="E32" s="176" t="s">
        <v>237</v>
      </c>
      <c r="F32" s="176" t="s">
        <v>572</v>
      </c>
      <c r="H32" s="184"/>
      <c r="I32" s="184"/>
      <c r="J32" s="184"/>
      <c r="K32" s="184"/>
      <c r="L32" s="184"/>
      <c r="M32" s="540" t="s">
        <v>682</v>
      </c>
      <c r="N32" s="542"/>
      <c r="O32" s="542"/>
      <c r="P32" s="542"/>
      <c r="Q32" s="542"/>
      <c r="R32" s="542"/>
      <c r="S32" s="542"/>
      <c r="T32" s="542"/>
      <c r="U32" s="542"/>
      <c r="V32" s="542"/>
      <c r="W32" s="541"/>
    </row>
    <row r="33" spans="2:23" x14ac:dyDescent="0.6">
      <c r="B33" s="179"/>
    </row>
    <row r="34" spans="2:23" x14ac:dyDescent="0.6">
      <c r="B34" s="179">
        <f>B32+1</f>
        <v>30</v>
      </c>
      <c r="C34" s="176" t="s">
        <v>683</v>
      </c>
      <c r="D34" s="176" t="s">
        <v>119</v>
      </c>
      <c r="E34" s="176" t="s">
        <v>241</v>
      </c>
      <c r="F34" s="176" t="s">
        <v>684</v>
      </c>
      <c r="H34" s="184"/>
      <c r="I34" s="184"/>
      <c r="J34" s="184"/>
      <c r="K34" s="184"/>
      <c r="L34" s="184"/>
      <c r="M34" s="184"/>
      <c r="N34" s="184"/>
      <c r="O34" s="184"/>
      <c r="P34" s="540" t="s">
        <v>685</v>
      </c>
      <c r="Q34" s="542"/>
      <c r="R34" s="542"/>
      <c r="S34" s="542"/>
      <c r="T34" s="542"/>
      <c r="U34" s="542"/>
      <c r="V34" s="542"/>
      <c r="W34" s="541"/>
    </row>
    <row r="35" spans="2:23" x14ac:dyDescent="0.6">
      <c r="B35" s="179"/>
    </row>
    <row r="36" spans="2:23" ht="17.100000000000001" customHeight="1" x14ac:dyDescent="0.6">
      <c r="B36" s="179">
        <f>B34+1</f>
        <v>31</v>
      </c>
      <c r="C36" s="176" t="s">
        <v>686</v>
      </c>
      <c r="D36" s="176" t="s">
        <v>119</v>
      </c>
      <c r="E36" s="176" t="s">
        <v>687</v>
      </c>
      <c r="F36" s="176" t="s">
        <v>572</v>
      </c>
      <c r="H36" s="184"/>
      <c r="I36" s="546" t="s">
        <v>688</v>
      </c>
      <c r="J36" s="547"/>
      <c r="K36" s="547"/>
      <c r="L36" s="547"/>
      <c r="M36" s="548"/>
      <c r="N36" s="546" t="s">
        <v>689</v>
      </c>
      <c r="O36" s="547"/>
      <c r="P36" s="547"/>
      <c r="Q36" s="547"/>
      <c r="R36" s="548"/>
      <c r="S36" s="543" t="s">
        <v>690</v>
      </c>
      <c r="T36" s="544"/>
      <c r="U36" s="544"/>
      <c r="V36" s="544"/>
      <c r="W36" s="545"/>
    </row>
    <row r="37" spans="2:23" x14ac:dyDescent="0.6">
      <c r="B37" s="179">
        <f t="shared" si="0"/>
        <v>32</v>
      </c>
      <c r="C37" s="311" t="s">
        <v>691</v>
      </c>
      <c r="D37" s="311" t="s">
        <v>119</v>
      </c>
      <c r="E37" s="311" t="s">
        <v>246</v>
      </c>
      <c r="F37" s="311" t="s">
        <v>572</v>
      </c>
      <c r="G37" s="311"/>
      <c r="H37" s="312"/>
      <c r="I37" s="546" t="s">
        <v>692</v>
      </c>
      <c r="J37" s="547"/>
      <c r="K37" s="547"/>
      <c r="L37" s="547"/>
      <c r="M37" s="548"/>
      <c r="N37" s="546" t="s">
        <v>693</v>
      </c>
      <c r="O37" s="547"/>
      <c r="P37" s="547"/>
      <c r="Q37" s="547"/>
      <c r="R37" s="548"/>
      <c r="S37" s="546" t="s">
        <v>694</v>
      </c>
      <c r="T37" s="547"/>
      <c r="U37" s="547"/>
      <c r="V37" s="547"/>
      <c r="W37" s="548"/>
    </row>
    <row r="38" spans="2:23" x14ac:dyDescent="0.6">
      <c r="B38" s="179">
        <f t="shared" si="0"/>
        <v>33</v>
      </c>
      <c r="C38" s="311" t="s">
        <v>695</v>
      </c>
      <c r="D38" s="311" t="s">
        <v>119</v>
      </c>
      <c r="E38" s="311" t="s">
        <v>248</v>
      </c>
      <c r="F38" s="311" t="s">
        <v>572</v>
      </c>
      <c r="G38" s="311"/>
      <c r="H38" s="312"/>
      <c r="I38" s="546" t="s">
        <v>696</v>
      </c>
      <c r="J38" s="547"/>
      <c r="K38" s="547"/>
      <c r="L38" s="547"/>
      <c r="M38" s="548"/>
      <c r="N38" s="546" t="s">
        <v>697</v>
      </c>
      <c r="O38" s="547"/>
      <c r="P38" s="547"/>
      <c r="Q38" s="547"/>
      <c r="R38" s="548"/>
      <c r="S38" s="546" t="s">
        <v>698</v>
      </c>
      <c r="T38" s="547"/>
      <c r="U38" s="547"/>
      <c r="V38" s="547"/>
      <c r="W38" s="548"/>
    </row>
    <row r="39" spans="2:23" x14ac:dyDescent="0.6">
      <c r="B39" s="179">
        <f t="shared" si="0"/>
        <v>34</v>
      </c>
      <c r="C39" s="311" t="s">
        <v>699</v>
      </c>
      <c r="D39" s="311" t="s">
        <v>119</v>
      </c>
      <c r="E39" s="311" t="s">
        <v>250</v>
      </c>
      <c r="F39" s="311" t="s">
        <v>572</v>
      </c>
      <c r="G39" s="311"/>
      <c r="H39" s="312"/>
      <c r="I39" s="546" t="s">
        <v>700</v>
      </c>
      <c r="J39" s="547"/>
      <c r="K39" s="547"/>
      <c r="L39" s="547"/>
      <c r="M39" s="548"/>
      <c r="N39" s="546" t="s">
        <v>701</v>
      </c>
      <c r="O39" s="547"/>
      <c r="P39" s="547"/>
      <c r="Q39" s="547"/>
      <c r="R39" s="548"/>
      <c r="S39" s="546" t="s">
        <v>702</v>
      </c>
      <c r="T39" s="547"/>
      <c r="U39" s="547"/>
      <c r="V39" s="547"/>
      <c r="W39" s="548"/>
    </row>
    <row r="40" spans="2:23" x14ac:dyDescent="0.6">
      <c r="B40" s="179">
        <f t="shared" si="0"/>
        <v>35</v>
      </c>
      <c r="C40" s="311" t="s">
        <v>703</v>
      </c>
      <c r="D40" s="311" t="s">
        <v>119</v>
      </c>
      <c r="E40" s="311" t="s">
        <v>252</v>
      </c>
      <c r="F40" s="311" t="s">
        <v>572</v>
      </c>
      <c r="G40" s="311"/>
      <c r="H40" s="312"/>
      <c r="I40" s="546" t="s">
        <v>704</v>
      </c>
      <c r="J40" s="547"/>
      <c r="K40" s="547"/>
      <c r="L40" s="547"/>
      <c r="M40" s="548"/>
      <c r="N40" s="546" t="s">
        <v>705</v>
      </c>
      <c r="O40" s="547"/>
      <c r="P40" s="547"/>
      <c r="Q40" s="547"/>
      <c r="R40" s="548"/>
      <c r="S40" s="546" t="s">
        <v>706</v>
      </c>
      <c r="T40" s="547"/>
      <c r="U40" s="547"/>
      <c r="V40" s="547"/>
      <c r="W40" s="548"/>
    </row>
    <row r="41" spans="2:23" x14ac:dyDescent="0.6">
      <c r="B41" s="179">
        <f t="shared" si="0"/>
        <v>36</v>
      </c>
      <c r="C41" s="311" t="s">
        <v>707</v>
      </c>
      <c r="D41" s="311" t="s">
        <v>119</v>
      </c>
      <c r="E41" s="311" t="s">
        <v>254</v>
      </c>
      <c r="F41" s="311" t="s">
        <v>572</v>
      </c>
      <c r="G41" s="311"/>
      <c r="H41" s="312"/>
      <c r="I41" s="546" t="s">
        <v>708</v>
      </c>
      <c r="J41" s="547"/>
      <c r="K41" s="547"/>
      <c r="L41" s="547"/>
      <c r="M41" s="548"/>
      <c r="N41" s="546" t="s">
        <v>709</v>
      </c>
      <c r="O41" s="547"/>
      <c r="P41" s="547"/>
      <c r="Q41" s="547"/>
      <c r="R41" s="548"/>
      <c r="S41" s="546" t="s">
        <v>710</v>
      </c>
      <c r="T41" s="547"/>
      <c r="U41" s="547"/>
      <c r="V41" s="547"/>
      <c r="W41" s="548"/>
    </row>
    <row r="42" spans="2:23" x14ac:dyDescent="0.6">
      <c r="B42" s="179">
        <f t="shared" si="0"/>
        <v>37</v>
      </c>
      <c r="C42" s="311" t="s">
        <v>711</v>
      </c>
      <c r="D42" s="311" t="s">
        <v>119</v>
      </c>
      <c r="E42" s="311" t="s">
        <v>180</v>
      </c>
      <c r="F42" s="311" t="s">
        <v>572</v>
      </c>
      <c r="G42" s="311"/>
      <c r="H42" s="312"/>
      <c r="I42" s="546" t="s">
        <v>712</v>
      </c>
      <c r="J42" s="547"/>
      <c r="K42" s="547"/>
      <c r="L42" s="547"/>
      <c r="M42" s="548"/>
      <c r="N42" s="546" t="s">
        <v>713</v>
      </c>
      <c r="O42" s="547"/>
      <c r="P42" s="547"/>
      <c r="Q42" s="547"/>
      <c r="R42" s="548"/>
      <c r="S42" s="546" t="s">
        <v>714</v>
      </c>
      <c r="T42" s="547"/>
      <c r="U42" s="547"/>
      <c r="V42" s="547"/>
      <c r="W42" s="548"/>
    </row>
    <row r="43" spans="2:23" x14ac:dyDescent="0.6">
      <c r="B43" s="179">
        <f t="shared" si="0"/>
        <v>38</v>
      </c>
      <c r="C43" s="311" t="s">
        <v>715</v>
      </c>
      <c r="D43" s="311" t="s">
        <v>119</v>
      </c>
      <c r="E43" s="311" t="s">
        <v>181</v>
      </c>
      <c r="F43" s="311" t="s">
        <v>572</v>
      </c>
      <c r="G43" s="311"/>
      <c r="H43" s="312"/>
      <c r="I43" s="546" t="s">
        <v>716</v>
      </c>
      <c r="J43" s="547"/>
      <c r="K43" s="547"/>
      <c r="L43" s="547"/>
      <c r="M43" s="548"/>
      <c r="N43" s="546" t="s">
        <v>717</v>
      </c>
      <c r="O43" s="547"/>
      <c r="P43" s="547"/>
      <c r="Q43" s="547"/>
      <c r="R43" s="548"/>
      <c r="S43" s="546" t="s">
        <v>718</v>
      </c>
      <c r="T43" s="547"/>
      <c r="U43" s="547"/>
      <c r="V43" s="547"/>
      <c r="W43" s="548"/>
    </row>
    <row r="44" spans="2:23" x14ac:dyDescent="0.6">
      <c r="B44" s="179"/>
      <c r="C44" s="311"/>
      <c r="D44" s="311"/>
      <c r="E44" s="311"/>
      <c r="F44" s="311"/>
      <c r="G44" s="311"/>
      <c r="H44" s="311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</row>
    <row r="45" spans="2:23" x14ac:dyDescent="0.6">
      <c r="B45" s="179">
        <f>B43+1</f>
        <v>39</v>
      </c>
      <c r="C45" s="176" t="s">
        <v>719</v>
      </c>
      <c r="D45" s="176" t="s">
        <v>119</v>
      </c>
      <c r="E45" s="176" t="s">
        <v>185</v>
      </c>
      <c r="F45" s="176" t="s">
        <v>720</v>
      </c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540" t="s">
        <v>721</v>
      </c>
      <c r="U45" s="542"/>
      <c r="V45" s="542"/>
      <c r="W45" s="541"/>
    </row>
    <row r="46" spans="2:23" x14ac:dyDescent="0.6">
      <c r="B46" s="179"/>
    </row>
    <row r="47" spans="2:23" ht="17.100000000000001" customHeight="1" x14ac:dyDescent="0.6">
      <c r="B47" s="179">
        <f>B45+1</f>
        <v>40</v>
      </c>
      <c r="C47" s="176" t="s">
        <v>722</v>
      </c>
      <c r="D47" s="176" t="s">
        <v>119</v>
      </c>
      <c r="E47" s="176" t="s">
        <v>723</v>
      </c>
      <c r="F47" s="176" t="s">
        <v>572</v>
      </c>
      <c r="H47" s="184"/>
      <c r="I47" s="540" t="s">
        <v>724</v>
      </c>
      <c r="J47" s="542"/>
      <c r="K47" s="542"/>
      <c r="L47" s="542"/>
      <c r="M47" s="541"/>
      <c r="N47" s="540" t="s">
        <v>725</v>
      </c>
      <c r="O47" s="542"/>
      <c r="P47" s="542"/>
      <c r="Q47" s="542"/>
      <c r="R47" s="541"/>
      <c r="S47" s="543" t="s">
        <v>726</v>
      </c>
      <c r="T47" s="544"/>
      <c r="U47" s="544"/>
      <c r="V47" s="544"/>
      <c r="W47" s="545"/>
    </row>
    <row r="48" spans="2:23" x14ac:dyDescent="0.6">
      <c r="B48" s="179">
        <f t="shared" si="0"/>
        <v>41</v>
      </c>
      <c r="C48" s="176" t="s">
        <v>727</v>
      </c>
      <c r="D48" s="176" t="s">
        <v>119</v>
      </c>
      <c r="E48" s="176" t="s">
        <v>728</v>
      </c>
      <c r="F48" s="176" t="s">
        <v>572</v>
      </c>
      <c r="H48" s="184"/>
      <c r="I48" s="540" t="s">
        <v>729</v>
      </c>
      <c r="J48" s="542"/>
      <c r="K48" s="542"/>
      <c r="L48" s="542"/>
      <c r="M48" s="541"/>
      <c r="N48" s="540" t="s">
        <v>730</v>
      </c>
      <c r="O48" s="542"/>
      <c r="P48" s="542"/>
      <c r="Q48" s="542"/>
      <c r="R48" s="541"/>
      <c r="S48" s="540" t="s">
        <v>731</v>
      </c>
      <c r="T48" s="542"/>
      <c r="U48" s="542"/>
      <c r="V48" s="542"/>
      <c r="W48" s="541"/>
    </row>
    <row r="49" spans="2:23" x14ac:dyDescent="0.6">
      <c r="B49" s="179">
        <f t="shared" si="0"/>
        <v>42</v>
      </c>
      <c r="C49" s="176" t="s">
        <v>732</v>
      </c>
      <c r="D49" s="176" t="s">
        <v>119</v>
      </c>
      <c r="E49" s="176" t="s">
        <v>733</v>
      </c>
      <c r="F49" s="176" t="s">
        <v>572</v>
      </c>
      <c r="H49" s="184"/>
      <c r="I49" s="540" t="s">
        <v>734</v>
      </c>
      <c r="J49" s="542"/>
      <c r="K49" s="542"/>
      <c r="L49" s="542"/>
      <c r="M49" s="541"/>
      <c r="N49" s="540" t="s">
        <v>735</v>
      </c>
      <c r="O49" s="542"/>
      <c r="P49" s="542"/>
      <c r="Q49" s="542"/>
      <c r="R49" s="541"/>
      <c r="S49" s="540" t="s">
        <v>736</v>
      </c>
      <c r="T49" s="542"/>
      <c r="U49" s="542"/>
      <c r="V49" s="542"/>
      <c r="W49" s="541"/>
    </row>
    <row r="50" spans="2:23" x14ac:dyDescent="0.6">
      <c r="B50" s="179">
        <f t="shared" si="0"/>
        <v>43</v>
      </c>
      <c r="C50" s="176" t="s">
        <v>737</v>
      </c>
      <c r="D50" s="176" t="s">
        <v>119</v>
      </c>
      <c r="E50" s="176" t="s">
        <v>738</v>
      </c>
      <c r="F50" s="176" t="s">
        <v>572</v>
      </c>
      <c r="H50" s="184"/>
      <c r="I50" s="540" t="s">
        <v>739</v>
      </c>
      <c r="J50" s="542"/>
      <c r="K50" s="542"/>
      <c r="L50" s="542"/>
      <c r="M50" s="541"/>
      <c r="N50" s="540" t="s">
        <v>740</v>
      </c>
      <c r="O50" s="542"/>
      <c r="P50" s="542"/>
      <c r="Q50" s="542"/>
      <c r="R50" s="541"/>
      <c r="S50" s="540" t="s">
        <v>741</v>
      </c>
      <c r="T50" s="542"/>
      <c r="U50" s="542"/>
      <c r="V50" s="542"/>
      <c r="W50" s="541"/>
    </row>
    <row r="51" spans="2:23" x14ac:dyDescent="0.6">
      <c r="B51" s="179">
        <f t="shared" si="0"/>
        <v>44</v>
      </c>
      <c r="C51" s="176" t="s">
        <v>742</v>
      </c>
      <c r="D51" s="176" t="s">
        <v>119</v>
      </c>
      <c r="E51" s="176" t="s">
        <v>743</v>
      </c>
      <c r="F51" s="176" t="s">
        <v>572</v>
      </c>
      <c r="H51" s="184"/>
      <c r="I51" s="540" t="s">
        <v>744</v>
      </c>
      <c r="J51" s="542"/>
      <c r="K51" s="542"/>
      <c r="L51" s="542"/>
      <c r="M51" s="541"/>
      <c r="N51" s="540" t="s">
        <v>745</v>
      </c>
      <c r="O51" s="542"/>
      <c r="P51" s="542"/>
      <c r="Q51" s="542"/>
      <c r="R51" s="541"/>
      <c r="S51" s="540" t="s">
        <v>746</v>
      </c>
      <c r="T51" s="542"/>
      <c r="U51" s="542"/>
      <c r="V51" s="542"/>
      <c r="W51" s="541"/>
    </row>
    <row r="52" spans="2:23" x14ac:dyDescent="0.6">
      <c r="B52" s="179">
        <f t="shared" si="0"/>
        <v>45</v>
      </c>
      <c r="C52" s="176" t="s">
        <v>747</v>
      </c>
      <c r="D52" s="176" t="s">
        <v>119</v>
      </c>
      <c r="E52" s="176" t="s">
        <v>748</v>
      </c>
      <c r="F52" s="176" t="s">
        <v>572</v>
      </c>
      <c r="H52" s="184"/>
      <c r="I52" s="540" t="s">
        <v>749</v>
      </c>
      <c r="J52" s="542"/>
      <c r="K52" s="542"/>
      <c r="L52" s="542"/>
      <c r="M52" s="541"/>
      <c r="N52" s="540" t="s">
        <v>750</v>
      </c>
      <c r="O52" s="542"/>
      <c r="P52" s="542"/>
      <c r="Q52" s="542"/>
      <c r="R52" s="541"/>
      <c r="S52" s="540" t="s">
        <v>751</v>
      </c>
      <c r="T52" s="542"/>
      <c r="U52" s="542"/>
      <c r="V52" s="542"/>
      <c r="W52" s="541"/>
    </row>
    <row r="53" spans="2:23" x14ac:dyDescent="0.6">
      <c r="B53" s="179">
        <f t="shared" si="0"/>
        <v>46</v>
      </c>
      <c r="C53" s="176" t="s">
        <v>752</v>
      </c>
      <c r="D53" s="176" t="s">
        <v>119</v>
      </c>
      <c r="E53" s="176" t="s">
        <v>753</v>
      </c>
      <c r="F53" s="176" t="s">
        <v>572</v>
      </c>
      <c r="H53" s="184"/>
      <c r="I53" s="540" t="s">
        <v>754</v>
      </c>
      <c r="J53" s="542"/>
      <c r="K53" s="542"/>
      <c r="L53" s="542"/>
      <c r="M53" s="541"/>
      <c r="N53" s="540" t="s">
        <v>755</v>
      </c>
      <c r="O53" s="542"/>
      <c r="P53" s="542"/>
      <c r="Q53" s="542"/>
      <c r="R53" s="541"/>
      <c r="S53" s="540" t="s">
        <v>756</v>
      </c>
      <c r="T53" s="542"/>
      <c r="U53" s="542"/>
      <c r="V53" s="542"/>
      <c r="W53" s="541"/>
    </row>
    <row r="54" spans="2:23" x14ac:dyDescent="0.6">
      <c r="B54" s="179">
        <f t="shared" si="0"/>
        <v>47</v>
      </c>
      <c r="C54" s="176" t="s">
        <v>757</v>
      </c>
      <c r="D54" s="176" t="s">
        <v>119</v>
      </c>
      <c r="E54" s="176" t="s">
        <v>758</v>
      </c>
      <c r="F54" s="176" t="s">
        <v>572</v>
      </c>
      <c r="H54" s="184"/>
      <c r="I54" s="540" t="s">
        <v>759</v>
      </c>
      <c r="J54" s="542"/>
      <c r="K54" s="542"/>
      <c r="L54" s="542"/>
      <c r="M54" s="541"/>
      <c r="N54" s="540" t="s">
        <v>760</v>
      </c>
      <c r="O54" s="542"/>
      <c r="P54" s="542"/>
      <c r="Q54" s="542"/>
      <c r="R54" s="541"/>
      <c r="S54" s="540" t="s">
        <v>761</v>
      </c>
      <c r="T54" s="542"/>
      <c r="U54" s="542"/>
      <c r="V54" s="542"/>
      <c r="W54" s="541"/>
    </row>
    <row r="55" spans="2:23" x14ac:dyDescent="0.6">
      <c r="B55" s="179">
        <f t="shared" si="0"/>
        <v>48</v>
      </c>
      <c r="C55" s="176" t="s">
        <v>762</v>
      </c>
      <c r="D55" s="176" t="s">
        <v>119</v>
      </c>
      <c r="E55" s="176" t="s">
        <v>763</v>
      </c>
      <c r="F55" s="176" t="s">
        <v>572</v>
      </c>
      <c r="H55" s="540" t="s">
        <v>764</v>
      </c>
      <c r="I55" s="542"/>
      <c r="J55" s="542"/>
      <c r="K55" s="542"/>
      <c r="L55" s="542"/>
      <c r="M55" s="542"/>
      <c r="N55" s="542"/>
      <c r="O55" s="541"/>
      <c r="P55" s="540" t="s">
        <v>765</v>
      </c>
      <c r="Q55" s="542"/>
      <c r="R55" s="542"/>
      <c r="S55" s="542"/>
      <c r="T55" s="542"/>
      <c r="U55" s="542"/>
      <c r="V55" s="542"/>
      <c r="W55" s="541"/>
    </row>
    <row r="56" spans="2:23" x14ac:dyDescent="0.6">
      <c r="B56" s="179">
        <f t="shared" si="0"/>
        <v>49</v>
      </c>
      <c r="C56" s="176" t="s">
        <v>766</v>
      </c>
      <c r="D56" s="176" t="s">
        <v>119</v>
      </c>
      <c r="E56" s="176" t="s">
        <v>767</v>
      </c>
      <c r="F56" s="176" t="s">
        <v>572</v>
      </c>
      <c r="H56" s="540" t="s">
        <v>768</v>
      </c>
      <c r="I56" s="542"/>
      <c r="J56" s="542"/>
      <c r="K56" s="542"/>
      <c r="L56" s="542"/>
      <c r="M56" s="542"/>
      <c r="N56" s="542"/>
      <c r="O56" s="541"/>
      <c r="P56" s="540" t="s">
        <v>769</v>
      </c>
      <c r="Q56" s="542"/>
      <c r="R56" s="542"/>
      <c r="S56" s="542"/>
      <c r="T56" s="542"/>
      <c r="U56" s="542"/>
      <c r="V56" s="542"/>
      <c r="W56" s="541"/>
    </row>
    <row r="57" spans="2:23" x14ac:dyDescent="0.6">
      <c r="B57" s="179">
        <f t="shared" si="0"/>
        <v>50</v>
      </c>
      <c r="C57" s="176" t="s">
        <v>770</v>
      </c>
      <c r="D57" s="176" t="s">
        <v>119</v>
      </c>
      <c r="E57" s="176" t="s">
        <v>193</v>
      </c>
      <c r="F57" s="176" t="s">
        <v>572</v>
      </c>
      <c r="H57" s="540" t="s">
        <v>771</v>
      </c>
      <c r="I57" s="542"/>
      <c r="J57" s="542"/>
      <c r="K57" s="542"/>
      <c r="L57" s="542"/>
      <c r="M57" s="542"/>
      <c r="N57" s="542"/>
      <c r="O57" s="541"/>
      <c r="P57" s="540" t="s">
        <v>772</v>
      </c>
      <c r="Q57" s="542"/>
      <c r="R57" s="542"/>
      <c r="S57" s="542"/>
      <c r="T57" s="542"/>
      <c r="U57" s="542"/>
      <c r="V57" s="542"/>
      <c r="W57" s="541"/>
    </row>
    <row r="58" spans="2:23" x14ac:dyDescent="0.6">
      <c r="B58" s="179">
        <f t="shared" si="0"/>
        <v>51</v>
      </c>
      <c r="C58" s="176" t="s">
        <v>773</v>
      </c>
      <c r="D58" s="176" t="s">
        <v>119</v>
      </c>
      <c r="E58" s="176" t="s">
        <v>196</v>
      </c>
      <c r="F58" s="176" t="s">
        <v>572</v>
      </c>
      <c r="H58" s="540" t="s">
        <v>774</v>
      </c>
      <c r="I58" s="542"/>
      <c r="J58" s="542"/>
      <c r="K58" s="542"/>
      <c r="L58" s="542"/>
      <c r="M58" s="542"/>
      <c r="N58" s="542"/>
      <c r="O58" s="541"/>
      <c r="P58" s="540" t="s">
        <v>775</v>
      </c>
      <c r="Q58" s="542"/>
      <c r="R58" s="542"/>
      <c r="S58" s="542"/>
      <c r="T58" s="542"/>
      <c r="U58" s="542"/>
      <c r="V58" s="542"/>
      <c r="W58" s="541"/>
    </row>
    <row r="59" spans="2:23" x14ac:dyDescent="0.6">
      <c r="B59" s="179">
        <f t="shared" si="0"/>
        <v>52</v>
      </c>
      <c r="C59" s="176" t="s">
        <v>776</v>
      </c>
      <c r="D59" s="176" t="s">
        <v>119</v>
      </c>
      <c r="E59" s="176" t="s">
        <v>199</v>
      </c>
      <c r="F59" s="176" t="s">
        <v>572</v>
      </c>
      <c r="H59" s="540" t="s">
        <v>777</v>
      </c>
      <c r="I59" s="542"/>
      <c r="J59" s="542"/>
      <c r="K59" s="542"/>
      <c r="L59" s="542"/>
      <c r="M59" s="542"/>
      <c r="N59" s="542"/>
      <c r="O59" s="541"/>
      <c r="P59" s="540" t="s">
        <v>778</v>
      </c>
      <c r="Q59" s="542"/>
      <c r="R59" s="542"/>
      <c r="S59" s="542"/>
      <c r="T59" s="542"/>
      <c r="U59" s="542"/>
      <c r="V59" s="542"/>
      <c r="W59" s="541"/>
    </row>
    <row r="60" spans="2:23" x14ac:dyDescent="0.6">
      <c r="B60" s="179">
        <f t="shared" si="0"/>
        <v>53</v>
      </c>
      <c r="C60" s="176" t="s">
        <v>779</v>
      </c>
      <c r="D60" s="176" t="s">
        <v>119</v>
      </c>
      <c r="E60" s="176" t="s">
        <v>203</v>
      </c>
      <c r="F60" s="176" t="s">
        <v>572</v>
      </c>
      <c r="H60" s="540" t="s">
        <v>780</v>
      </c>
      <c r="I60" s="542"/>
      <c r="J60" s="542"/>
      <c r="K60" s="542"/>
      <c r="L60" s="542"/>
      <c r="M60" s="542"/>
      <c r="N60" s="542"/>
      <c r="O60" s="541"/>
      <c r="P60" s="540" t="s">
        <v>781</v>
      </c>
      <c r="Q60" s="542"/>
      <c r="R60" s="542"/>
      <c r="S60" s="542"/>
      <c r="T60" s="542"/>
      <c r="U60" s="542"/>
      <c r="V60" s="542"/>
      <c r="W60" s="541"/>
    </row>
    <row r="61" spans="2:23" x14ac:dyDescent="0.6">
      <c r="B61" s="179">
        <f t="shared" si="0"/>
        <v>54</v>
      </c>
      <c r="C61" s="176" t="s">
        <v>782</v>
      </c>
      <c r="D61" s="176" t="s">
        <v>119</v>
      </c>
      <c r="E61" s="176" t="s">
        <v>207</v>
      </c>
      <c r="F61" s="176" t="s">
        <v>572</v>
      </c>
      <c r="H61" s="540" t="s">
        <v>783</v>
      </c>
      <c r="I61" s="542"/>
      <c r="J61" s="542"/>
      <c r="K61" s="542"/>
      <c r="L61" s="542"/>
      <c r="M61" s="542"/>
      <c r="N61" s="542"/>
      <c r="O61" s="541"/>
      <c r="P61" s="540" t="s">
        <v>784</v>
      </c>
      <c r="Q61" s="542"/>
      <c r="R61" s="542"/>
      <c r="S61" s="542"/>
      <c r="T61" s="542"/>
      <c r="U61" s="542"/>
      <c r="V61" s="542"/>
      <c r="W61" s="541"/>
    </row>
    <row r="62" spans="2:23" x14ac:dyDescent="0.6">
      <c r="B62" s="179">
        <f t="shared" si="0"/>
        <v>55</v>
      </c>
      <c r="C62" s="176" t="s">
        <v>785</v>
      </c>
      <c r="D62" s="176" t="s">
        <v>119</v>
      </c>
      <c r="E62" s="176" t="s">
        <v>189</v>
      </c>
      <c r="F62" s="176" t="s">
        <v>572</v>
      </c>
      <c r="H62" s="540" t="s">
        <v>786</v>
      </c>
      <c r="I62" s="542"/>
      <c r="J62" s="542"/>
      <c r="K62" s="542"/>
      <c r="L62" s="542"/>
      <c r="M62" s="542"/>
      <c r="N62" s="542"/>
      <c r="O62" s="541"/>
      <c r="P62" s="540" t="s">
        <v>787</v>
      </c>
      <c r="Q62" s="542"/>
      <c r="R62" s="542"/>
      <c r="S62" s="542"/>
      <c r="T62" s="542"/>
      <c r="U62" s="542"/>
      <c r="V62" s="542"/>
      <c r="W62" s="541"/>
    </row>
    <row r="63" spans="2:23" x14ac:dyDescent="0.6">
      <c r="B63" s="179">
        <f t="shared" si="0"/>
        <v>56</v>
      </c>
      <c r="C63" s="176" t="s">
        <v>788</v>
      </c>
      <c r="D63" s="176" t="s">
        <v>119</v>
      </c>
      <c r="E63" s="176" t="s">
        <v>789</v>
      </c>
      <c r="F63" s="176" t="s">
        <v>572</v>
      </c>
      <c r="H63" s="540" t="s">
        <v>790</v>
      </c>
      <c r="I63" s="542"/>
      <c r="J63" s="542"/>
      <c r="K63" s="542"/>
      <c r="L63" s="542"/>
      <c r="M63" s="542"/>
      <c r="N63" s="542"/>
      <c r="O63" s="541"/>
      <c r="P63" s="540" t="s">
        <v>791</v>
      </c>
      <c r="Q63" s="542"/>
      <c r="R63" s="542"/>
      <c r="S63" s="542"/>
      <c r="T63" s="542"/>
      <c r="U63" s="542"/>
      <c r="V63" s="542"/>
      <c r="W63" s="541"/>
    </row>
    <row r="64" spans="2:23" x14ac:dyDescent="0.6">
      <c r="B64" s="179">
        <f t="shared" si="0"/>
        <v>57</v>
      </c>
      <c r="C64" s="176" t="s">
        <v>792</v>
      </c>
      <c r="D64" s="176" t="s">
        <v>119</v>
      </c>
      <c r="E64" s="176" t="s">
        <v>793</v>
      </c>
      <c r="F64" s="176" t="s">
        <v>572</v>
      </c>
      <c r="H64" s="540" t="s">
        <v>794</v>
      </c>
      <c r="I64" s="542"/>
      <c r="J64" s="542"/>
      <c r="K64" s="542"/>
      <c r="L64" s="542"/>
      <c r="M64" s="542"/>
      <c r="N64" s="542"/>
      <c r="O64" s="541"/>
      <c r="P64" s="540" t="s">
        <v>795</v>
      </c>
      <c r="Q64" s="542"/>
      <c r="R64" s="542"/>
      <c r="S64" s="542"/>
      <c r="T64" s="542"/>
      <c r="U64" s="542"/>
      <c r="V64" s="542"/>
      <c r="W64" s="541"/>
    </row>
    <row r="65" spans="2:23" x14ac:dyDescent="0.6">
      <c r="B65" s="179">
        <f t="shared" si="0"/>
        <v>58</v>
      </c>
      <c r="C65" s="176" t="s">
        <v>796</v>
      </c>
      <c r="D65" s="176" t="s">
        <v>119</v>
      </c>
      <c r="E65" s="176" t="s">
        <v>797</v>
      </c>
      <c r="F65" s="176" t="s">
        <v>572</v>
      </c>
      <c r="H65" s="540" t="s">
        <v>798</v>
      </c>
      <c r="I65" s="542"/>
      <c r="J65" s="542"/>
      <c r="K65" s="542"/>
      <c r="L65" s="542"/>
      <c r="M65" s="542"/>
      <c r="N65" s="542"/>
      <c r="O65" s="541"/>
      <c r="P65" s="540" t="s">
        <v>799</v>
      </c>
      <c r="Q65" s="542"/>
      <c r="R65" s="542"/>
      <c r="S65" s="542"/>
      <c r="T65" s="542"/>
      <c r="U65" s="542"/>
      <c r="V65" s="542"/>
      <c r="W65" s="541"/>
    </row>
    <row r="66" spans="2:23" x14ac:dyDescent="0.6">
      <c r="B66" s="179">
        <f t="shared" si="0"/>
        <v>59</v>
      </c>
      <c r="C66" s="176" t="s">
        <v>800</v>
      </c>
      <c r="D66" s="176" t="s">
        <v>119</v>
      </c>
      <c r="E66" s="176" t="s">
        <v>801</v>
      </c>
      <c r="F66" s="176" t="s">
        <v>572</v>
      </c>
      <c r="H66" s="540" t="s">
        <v>802</v>
      </c>
      <c r="I66" s="542"/>
      <c r="J66" s="542"/>
      <c r="K66" s="542"/>
      <c r="L66" s="542"/>
      <c r="M66" s="542"/>
      <c r="N66" s="542"/>
      <c r="O66" s="541"/>
      <c r="P66" s="540" t="s">
        <v>803</v>
      </c>
      <c r="Q66" s="542"/>
      <c r="R66" s="542"/>
      <c r="S66" s="542"/>
      <c r="T66" s="542"/>
      <c r="U66" s="542"/>
      <c r="V66" s="542"/>
      <c r="W66" s="541"/>
    </row>
    <row r="67" spans="2:23" x14ac:dyDescent="0.6">
      <c r="B67" s="179"/>
    </row>
    <row r="68" spans="2:23" x14ac:dyDescent="0.6">
      <c r="B68" s="179">
        <f>B66+1</f>
        <v>60</v>
      </c>
      <c r="C68" s="176" t="s">
        <v>804</v>
      </c>
      <c r="D68" s="176" t="s">
        <v>119</v>
      </c>
      <c r="E68" s="176" t="s">
        <v>805</v>
      </c>
      <c r="F68" s="176" t="s">
        <v>572</v>
      </c>
      <c r="H68" s="183" t="s">
        <v>806</v>
      </c>
      <c r="I68" s="183" t="s">
        <v>807</v>
      </c>
      <c r="J68" s="183" t="s">
        <v>808</v>
      </c>
      <c r="K68" s="183" t="s">
        <v>809</v>
      </c>
      <c r="L68" s="183" t="s">
        <v>810</v>
      </c>
      <c r="M68" s="183" t="s">
        <v>811</v>
      </c>
      <c r="N68" s="183" t="s">
        <v>812</v>
      </c>
      <c r="O68" s="183" t="s">
        <v>813</v>
      </c>
      <c r="P68" s="183" t="s">
        <v>814</v>
      </c>
      <c r="Q68" s="183" t="s">
        <v>815</v>
      </c>
      <c r="R68" s="183" t="s">
        <v>816</v>
      </c>
      <c r="S68" s="183" t="s">
        <v>817</v>
      </c>
      <c r="T68" s="183" t="s">
        <v>818</v>
      </c>
      <c r="U68" s="183" t="s">
        <v>819</v>
      </c>
      <c r="V68" s="183" t="s">
        <v>820</v>
      </c>
      <c r="W68" s="183" t="s">
        <v>821</v>
      </c>
    </row>
    <row r="69" spans="2:23" x14ac:dyDescent="0.6">
      <c r="B69" s="179">
        <f t="shared" ref="B69:B132" si="1">B68+1</f>
        <v>61</v>
      </c>
      <c r="C69" s="176" t="s">
        <v>822</v>
      </c>
      <c r="D69" s="176" t="s">
        <v>119</v>
      </c>
      <c r="E69" s="176" t="s">
        <v>823</v>
      </c>
      <c r="F69" s="176" t="s">
        <v>572</v>
      </c>
      <c r="H69" s="540" t="s">
        <v>824</v>
      </c>
      <c r="I69" s="541"/>
      <c r="J69" s="184"/>
      <c r="K69" s="540" t="s">
        <v>825</v>
      </c>
      <c r="L69" s="542"/>
      <c r="M69" s="542"/>
      <c r="N69" s="542"/>
      <c r="O69" s="541"/>
      <c r="P69" s="183" t="s">
        <v>826</v>
      </c>
      <c r="Q69" s="183" t="s">
        <v>827</v>
      </c>
      <c r="R69" s="183" t="s">
        <v>828</v>
      </c>
      <c r="S69" s="183" t="s">
        <v>829</v>
      </c>
      <c r="T69" s="183" t="s">
        <v>830</v>
      </c>
      <c r="U69" s="183" t="s">
        <v>831</v>
      </c>
      <c r="V69" s="183" t="s">
        <v>832</v>
      </c>
      <c r="W69" s="183" t="s">
        <v>833</v>
      </c>
    </row>
    <row r="70" spans="2:23" x14ac:dyDescent="0.6">
      <c r="B70" s="179">
        <f t="shared" si="1"/>
        <v>62</v>
      </c>
      <c r="C70" s="176" t="s">
        <v>834</v>
      </c>
    </row>
    <row r="71" spans="2:23" x14ac:dyDescent="0.6">
      <c r="B71" s="179">
        <f t="shared" si="1"/>
        <v>63</v>
      </c>
      <c r="C71" s="176" t="s">
        <v>835</v>
      </c>
      <c r="D71" s="176" t="s">
        <v>119</v>
      </c>
      <c r="E71" s="176" t="s">
        <v>836</v>
      </c>
      <c r="F71" s="176" t="s">
        <v>559</v>
      </c>
      <c r="H71" s="184"/>
      <c r="I71" s="184"/>
      <c r="J71" s="184"/>
      <c r="K71" s="184"/>
      <c r="L71" s="539" t="s">
        <v>837</v>
      </c>
      <c r="M71" s="539"/>
      <c r="N71" s="539"/>
      <c r="O71" s="539"/>
      <c r="P71" s="539"/>
      <c r="Q71" s="539"/>
      <c r="R71" s="539"/>
      <c r="S71" s="539"/>
      <c r="T71" s="539"/>
      <c r="U71" s="539"/>
      <c r="V71" s="539"/>
      <c r="W71" s="539"/>
    </row>
    <row r="72" spans="2:23" x14ac:dyDescent="0.6">
      <c r="B72" s="179">
        <f t="shared" si="1"/>
        <v>64</v>
      </c>
      <c r="C72" s="176" t="s">
        <v>838</v>
      </c>
      <c r="D72" s="176" t="s">
        <v>148</v>
      </c>
      <c r="E72" s="176" t="s">
        <v>839</v>
      </c>
      <c r="F72" s="176" t="s">
        <v>559</v>
      </c>
      <c r="H72" s="539" t="s">
        <v>840</v>
      </c>
      <c r="I72" s="539"/>
      <c r="J72" s="539"/>
      <c r="K72" s="539"/>
      <c r="L72" s="539" t="s">
        <v>841</v>
      </c>
      <c r="M72" s="539"/>
      <c r="N72" s="539"/>
      <c r="O72" s="539"/>
      <c r="P72" s="539" t="s">
        <v>842</v>
      </c>
      <c r="Q72" s="539"/>
      <c r="R72" s="539"/>
      <c r="S72" s="539"/>
      <c r="T72" s="539" t="s">
        <v>843</v>
      </c>
      <c r="U72" s="539"/>
      <c r="V72" s="539"/>
      <c r="W72" s="539"/>
    </row>
    <row r="73" spans="2:23" x14ac:dyDescent="0.6">
      <c r="B73" s="179">
        <f t="shared" si="1"/>
        <v>65</v>
      </c>
      <c r="C73" s="176" t="s">
        <v>844</v>
      </c>
      <c r="D73" s="176" t="s">
        <v>148</v>
      </c>
      <c r="E73" s="176" t="s">
        <v>845</v>
      </c>
      <c r="F73" s="176" t="s">
        <v>559</v>
      </c>
      <c r="H73" s="539" t="s">
        <v>846</v>
      </c>
      <c r="I73" s="539"/>
      <c r="J73" s="539"/>
      <c r="K73" s="539"/>
      <c r="L73" s="539" t="s">
        <v>847</v>
      </c>
      <c r="M73" s="539"/>
      <c r="N73" s="539"/>
      <c r="O73" s="539"/>
      <c r="P73" s="539" t="s">
        <v>848</v>
      </c>
      <c r="Q73" s="539"/>
      <c r="R73" s="539"/>
      <c r="S73" s="539"/>
      <c r="T73" s="539" t="s">
        <v>849</v>
      </c>
      <c r="U73" s="539"/>
      <c r="V73" s="539"/>
      <c r="W73" s="539"/>
    </row>
    <row r="74" spans="2:23" x14ac:dyDescent="0.6">
      <c r="B74" s="179">
        <f t="shared" si="1"/>
        <v>66</v>
      </c>
      <c r="C74" s="176" t="s">
        <v>850</v>
      </c>
      <c r="D74" s="176" t="s">
        <v>148</v>
      </c>
      <c r="E74" s="176" t="s">
        <v>851</v>
      </c>
      <c r="F74" s="176" t="s">
        <v>559</v>
      </c>
      <c r="H74" s="539" t="s">
        <v>852</v>
      </c>
      <c r="I74" s="539"/>
      <c r="J74" s="539"/>
      <c r="K74" s="539"/>
      <c r="L74" s="539" t="s">
        <v>853</v>
      </c>
      <c r="M74" s="539"/>
      <c r="N74" s="539"/>
      <c r="O74" s="539"/>
      <c r="P74" s="539" t="s">
        <v>854</v>
      </c>
      <c r="Q74" s="539"/>
      <c r="R74" s="539"/>
      <c r="S74" s="539"/>
      <c r="T74" s="539" t="s">
        <v>855</v>
      </c>
      <c r="U74" s="539"/>
      <c r="V74" s="539"/>
      <c r="W74" s="539"/>
    </row>
    <row r="75" spans="2:23" x14ac:dyDescent="0.6">
      <c r="B75" s="179">
        <f t="shared" si="1"/>
        <v>67</v>
      </c>
      <c r="C75" s="176" t="s">
        <v>856</v>
      </c>
      <c r="D75" s="176" t="s">
        <v>148</v>
      </c>
      <c r="E75" s="176" t="s">
        <v>857</v>
      </c>
      <c r="F75" s="176" t="s">
        <v>559</v>
      </c>
      <c r="H75" s="539" t="s">
        <v>858</v>
      </c>
      <c r="I75" s="539"/>
      <c r="J75" s="539"/>
      <c r="K75" s="539"/>
      <c r="L75" s="539" t="s">
        <v>859</v>
      </c>
      <c r="M75" s="539"/>
      <c r="N75" s="539"/>
      <c r="O75" s="539"/>
      <c r="P75" s="539" t="s">
        <v>860</v>
      </c>
      <c r="Q75" s="539"/>
      <c r="R75" s="539"/>
      <c r="S75" s="539"/>
      <c r="T75" s="539" t="s">
        <v>861</v>
      </c>
      <c r="U75" s="539"/>
      <c r="V75" s="539"/>
      <c r="W75" s="539"/>
    </row>
    <row r="76" spans="2:23" x14ac:dyDescent="0.6">
      <c r="B76" s="179">
        <f t="shared" si="1"/>
        <v>68</v>
      </c>
      <c r="C76" s="176" t="s">
        <v>862</v>
      </c>
      <c r="D76" s="176" t="s">
        <v>148</v>
      </c>
      <c r="E76" s="176" t="s">
        <v>863</v>
      </c>
      <c r="F76" s="176" t="s">
        <v>559</v>
      </c>
      <c r="H76" s="539" t="s">
        <v>864</v>
      </c>
      <c r="I76" s="539"/>
      <c r="J76" s="539"/>
      <c r="K76" s="539"/>
      <c r="L76" s="539" t="s">
        <v>865</v>
      </c>
      <c r="M76" s="539"/>
      <c r="N76" s="539"/>
      <c r="O76" s="539"/>
      <c r="P76" s="539" t="s">
        <v>866</v>
      </c>
      <c r="Q76" s="539"/>
      <c r="R76" s="539"/>
      <c r="S76" s="539"/>
      <c r="T76" s="539" t="s">
        <v>867</v>
      </c>
      <c r="U76" s="539"/>
      <c r="V76" s="539"/>
      <c r="W76" s="539"/>
    </row>
    <row r="77" spans="2:23" x14ac:dyDescent="0.6">
      <c r="B77" s="179">
        <f t="shared" si="1"/>
        <v>69</v>
      </c>
      <c r="C77" s="176" t="s">
        <v>868</v>
      </c>
      <c r="D77" s="176" t="s">
        <v>148</v>
      </c>
      <c r="E77" s="176" t="s">
        <v>869</v>
      </c>
      <c r="F77" s="176" t="s">
        <v>559</v>
      </c>
      <c r="H77" s="539" t="s">
        <v>870</v>
      </c>
      <c r="I77" s="539"/>
      <c r="J77" s="539"/>
      <c r="K77" s="539"/>
      <c r="L77" s="539" t="s">
        <v>871</v>
      </c>
      <c r="M77" s="539"/>
      <c r="N77" s="539"/>
      <c r="O77" s="539"/>
      <c r="P77" s="539" t="s">
        <v>872</v>
      </c>
      <c r="Q77" s="539"/>
      <c r="R77" s="539"/>
      <c r="S77" s="539"/>
      <c r="T77" s="539" t="s">
        <v>873</v>
      </c>
      <c r="U77" s="539"/>
      <c r="V77" s="539"/>
      <c r="W77" s="539"/>
    </row>
    <row r="78" spans="2:23" x14ac:dyDescent="0.6">
      <c r="B78" s="179"/>
    </row>
    <row r="79" spans="2:23" x14ac:dyDescent="0.6">
      <c r="B79" s="179"/>
      <c r="C79" s="176" t="s">
        <v>874</v>
      </c>
      <c r="G79" s="310"/>
      <c r="H79" s="310"/>
      <c r="I79" s="310"/>
      <c r="J79" s="310"/>
      <c r="K79" s="310"/>
      <c r="L79" s="310"/>
      <c r="M79" s="310"/>
      <c r="N79" s="310"/>
      <c r="O79" s="310"/>
      <c r="P79" s="310"/>
      <c r="Q79" s="310"/>
      <c r="R79" s="310"/>
      <c r="S79" s="310"/>
      <c r="T79" s="310"/>
      <c r="U79" s="310"/>
      <c r="V79" s="310"/>
      <c r="W79" s="310"/>
    </row>
    <row r="80" spans="2:23" x14ac:dyDescent="0.6">
      <c r="B80" s="179">
        <f>B77+1</f>
        <v>70</v>
      </c>
      <c r="C80" s="314" t="s">
        <v>875</v>
      </c>
      <c r="D80" s="314" t="s">
        <v>119</v>
      </c>
      <c r="E80" s="314" t="s">
        <v>876</v>
      </c>
      <c r="F80" s="314" t="s">
        <v>559</v>
      </c>
      <c r="H80" s="184"/>
      <c r="I80" s="184"/>
      <c r="J80" s="184"/>
      <c r="K80" s="184"/>
      <c r="L80" s="539" t="s">
        <v>837</v>
      </c>
      <c r="M80" s="539"/>
      <c r="N80" s="539"/>
      <c r="O80" s="539"/>
      <c r="P80" s="539"/>
      <c r="Q80" s="539"/>
      <c r="R80" s="539"/>
      <c r="S80" s="539"/>
      <c r="T80" s="539"/>
      <c r="U80" s="539"/>
      <c r="V80" s="539"/>
      <c r="W80" s="539"/>
    </row>
    <row r="81" spans="2:23" x14ac:dyDescent="0.6">
      <c r="B81" s="179">
        <f t="shared" si="1"/>
        <v>71</v>
      </c>
      <c r="C81" s="314" t="s">
        <v>877</v>
      </c>
      <c r="D81" s="314" t="s">
        <v>119</v>
      </c>
      <c r="E81" s="314" t="s">
        <v>878</v>
      </c>
      <c r="F81" s="314" t="s">
        <v>559</v>
      </c>
      <c r="H81" s="184"/>
      <c r="I81" s="184"/>
      <c r="J81" s="184"/>
      <c r="K81" s="184"/>
      <c r="L81" s="539" t="s">
        <v>837</v>
      </c>
      <c r="M81" s="539"/>
      <c r="N81" s="539"/>
      <c r="O81" s="539"/>
      <c r="P81" s="539"/>
      <c r="Q81" s="539"/>
      <c r="R81" s="539"/>
      <c r="S81" s="539"/>
      <c r="T81" s="539"/>
      <c r="U81" s="539"/>
      <c r="V81" s="539"/>
      <c r="W81" s="539"/>
    </row>
    <row r="82" spans="2:23" x14ac:dyDescent="0.6">
      <c r="B82" s="179">
        <f t="shared" si="1"/>
        <v>72</v>
      </c>
      <c r="C82" s="314" t="s">
        <v>879</v>
      </c>
      <c r="D82" s="314" t="s">
        <v>119</v>
      </c>
      <c r="E82" s="314" t="s">
        <v>880</v>
      </c>
      <c r="F82" s="314" t="s">
        <v>572</v>
      </c>
      <c r="H82" s="184"/>
      <c r="I82" s="184"/>
      <c r="J82" s="184"/>
      <c r="K82" s="184"/>
      <c r="L82" s="539" t="s">
        <v>881</v>
      </c>
      <c r="M82" s="539"/>
      <c r="N82" s="539"/>
      <c r="O82" s="539"/>
      <c r="P82" s="539"/>
      <c r="Q82" s="539"/>
      <c r="R82" s="539"/>
      <c r="S82" s="539"/>
      <c r="T82" s="539"/>
      <c r="U82" s="539"/>
      <c r="V82" s="539"/>
      <c r="W82" s="539"/>
    </row>
    <row r="83" spans="2:23" x14ac:dyDescent="0.6">
      <c r="B83" s="179">
        <f t="shared" si="1"/>
        <v>73</v>
      </c>
      <c r="C83" s="314" t="s">
        <v>882</v>
      </c>
      <c r="D83" s="314" t="s">
        <v>119</v>
      </c>
      <c r="E83" s="314" t="s">
        <v>883</v>
      </c>
      <c r="F83" s="314" t="s">
        <v>572</v>
      </c>
      <c r="H83" s="184"/>
      <c r="I83" s="184"/>
      <c r="J83" s="184"/>
      <c r="K83" s="184"/>
      <c r="L83" s="539" t="s">
        <v>881</v>
      </c>
      <c r="M83" s="539"/>
      <c r="N83" s="539"/>
      <c r="O83" s="539"/>
      <c r="P83" s="539"/>
      <c r="Q83" s="539"/>
      <c r="R83" s="539"/>
      <c r="S83" s="539"/>
      <c r="T83" s="539"/>
      <c r="U83" s="539"/>
      <c r="V83" s="539"/>
      <c r="W83" s="539"/>
    </row>
    <row r="84" spans="2:23" x14ac:dyDescent="0.6">
      <c r="B84" s="179">
        <f t="shared" si="1"/>
        <v>74</v>
      </c>
      <c r="C84" s="314" t="s">
        <v>884</v>
      </c>
      <c r="D84" s="314" t="s">
        <v>119</v>
      </c>
      <c r="E84" s="314" t="s">
        <v>885</v>
      </c>
      <c r="F84" s="314" t="s">
        <v>572</v>
      </c>
      <c r="H84" s="184"/>
      <c r="I84" s="184"/>
      <c r="J84" s="184"/>
      <c r="K84" s="184"/>
      <c r="L84" s="539" t="s">
        <v>881</v>
      </c>
      <c r="M84" s="539"/>
      <c r="N84" s="539"/>
      <c r="O84" s="539"/>
      <c r="P84" s="539"/>
      <c r="Q84" s="539"/>
      <c r="R84" s="539"/>
      <c r="S84" s="539"/>
      <c r="T84" s="539"/>
      <c r="U84" s="539"/>
      <c r="V84" s="539"/>
      <c r="W84" s="539"/>
    </row>
    <row r="85" spans="2:23" x14ac:dyDescent="0.6">
      <c r="B85" s="179">
        <f t="shared" si="1"/>
        <v>75</v>
      </c>
      <c r="C85" s="314" t="s">
        <v>886</v>
      </c>
      <c r="D85" s="314" t="s">
        <v>119</v>
      </c>
      <c r="E85" s="314" t="s">
        <v>887</v>
      </c>
      <c r="F85" s="314" t="s">
        <v>572</v>
      </c>
      <c r="H85" s="184"/>
      <c r="I85" s="184"/>
      <c r="J85" s="184"/>
      <c r="K85" s="184"/>
      <c r="L85" s="539" t="s">
        <v>881</v>
      </c>
      <c r="M85" s="539"/>
      <c r="N85" s="539"/>
      <c r="O85" s="539"/>
      <c r="P85" s="539"/>
      <c r="Q85" s="539"/>
      <c r="R85" s="539"/>
      <c r="S85" s="539"/>
      <c r="T85" s="539"/>
      <c r="U85" s="539"/>
      <c r="V85" s="539"/>
      <c r="W85" s="539"/>
    </row>
    <row r="86" spans="2:23" x14ac:dyDescent="0.6">
      <c r="B86" s="179">
        <f t="shared" si="1"/>
        <v>76</v>
      </c>
      <c r="C86" s="314" t="s">
        <v>888</v>
      </c>
      <c r="D86" s="314" t="s">
        <v>119</v>
      </c>
      <c r="E86" s="314" t="s">
        <v>889</v>
      </c>
      <c r="F86" s="314" t="s">
        <v>572</v>
      </c>
      <c r="H86" s="184"/>
      <c r="I86" s="184"/>
      <c r="J86" s="184"/>
      <c r="K86" s="184"/>
      <c r="L86" s="539" t="s">
        <v>881</v>
      </c>
      <c r="M86" s="539"/>
      <c r="N86" s="539"/>
      <c r="O86" s="539"/>
      <c r="P86" s="539"/>
      <c r="Q86" s="539"/>
      <c r="R86" s="539"/>
      <c r="S86" s="539"/>
      <c r="T86" s="539"/>
      <c r="U86" s="539"/>
      <c r="V86" s="539"/>
      <c r="W86" s="539"/>
    </row>
    <row r="87" spans="2:23" x14ac:dyDescent="0.6">
      <c r="B87" s="179">
        <f t="shared" si="1"/>
        <v>77</v>
      </c>
      <c r="C87" s="314" t="s">
        <v>890</v>
      </c>
      <c r="D87" s="314" t="s">
        <v>119</v>
      </c>
      <c r="E87" s="314" t="s">
        <v>891</v>
      </c>
      <c r="F87" s="314" t="s">
        <v>572</v>
      </c>
      <c r="H87" s="184"/>
      <c r="I87" s="184"/>
      <c r="J87" s="184"/>
      <c r="K87" s="184"/>
      <c r="L87" s="539" t="s">
        <v>881</v>
      </c>
      <c r="M87" s="539"/>
      <c r="N87" s="539"/>
      <c r="O87" s="539"/>
      <c r="P87" s="539"/>
      <c r="Q87" s="539"/>
      <c r="R87" s="539"/>
      <c r="S87" s="539"/>
      <c r="T87" s="539"/>
      <c r="U87" s="539"/>
      <c r="V87" s="539"/>
      <c r="W87" s="539"/>
    </row>
    <row r="88" spans="2:23" x14ac:dyDescent="0.6">
      <c r="B88" s="179">
        <f t="shared" si="1"/>
        <v>78</v>
      </c>
      <c r="C88" s="176" t="s">
        <v>892</v>
      </c>
      <c r="D88" s="176" t="s">
        <v>119</v>
      </c>
      <c r="E88" s="176" t="s">
        <v>893</v>
      </c>
      <c r="F88" s="176" t="s">
        <v>559</v>
      </c>
      <c r="H88" s="184"/>
      <c r="I88" s="184"/>
      <c r="J88" s="184"/>
      <c r="K88" s="184"/>
      <c r="L88" s="539" t="s">
        <v>837</v>
      </c>
      <c r="M88" s="539"/>
      <c r="N88" s="539"/>
      <c r="O88" s="539"/>
      <c r="P88" s="539"/>
      <c r="Q88" s="539"/>
      <c r="R88" s="539"/>
      <c r="S88" s="539"/>
      <c r="T88" s="539"/>
      <c r="U88" s="539"/>
      <c r="V88" s="539"/>
      <c r="W88" s="539"/>
    </row>
    <row r="89" spans="2:23" x14ac:dyDescent="0.6">
      <c r="B89" s="179">
        <f t="shared" si="1"/>
        <v>79</v>
      </c>
      <c r="C89" s="176" t="s">
        <v>894</v>
      </c>
      <c r="D89" s="176" t="s">
        <v>119</v>
      </c>
      <c r="E89" s="176" t="s">
        <v>895</v>
      </c>
      <c r="F89" s="176" t="s">
        <v>559</v>
      </c>
      <c r="H89" s="184"/>
      <c r="I89" s="184"/>
      <c r="J89" s="184"/>
      <c r="K89" s="184"/>
      <c r="L89" s="539" t="s">
        <v>837</v>
      </c>
      <c r="M89" s="539"/>
      <c r="N89" s="539"/>
      <c r="O89" s="539"/>
      <c r="P89" s="539"/>
      <c r="Q89" s="539"/>
      <c r="R89" s="539"/>
      <c r="S89" s="539"/>
      <c r="T89" s="539"/>
      <c r="U89" s="539"/>
      <c r="V89" s="539"/>
      <c r="W89" s="539"/>
    </row>
    <row r="90" spans="2:23" x14ac:dyDescent="0.6">
      <c r="B90" s="179">
        <f t="shared" si="1"/>
        <v>80</v>
      </c>
      <c r="C90" s="176" t="s">
        <v>896</v>
      </c>
      <c r="D90" s="176" t="s">
        <v>119</v>
      </c>
      <c r="E90" s="176" t="s">
        <v>897</v>
      </c>
      <c r="F90" s="176" t="s">
        <v>572</v>
      </c>
      <c r="H90" s="184"/>
      <c r="I90" s="184"/>
      <c r="J90" s="184"/>
      <c r="K90" s="184"/>
      <c r="L90" s="539" t="s">
        <v>881</v>
      </c>
      <c r="M90" s="539"/>
      <c r="N90" s="539"/>
      <c r="O90" s="539"/>
      <c r="P90" s="539"/>
      <c r="Q90" s="539"/>
      <c r="R90" s="539"/>
      <c r="S90" s="539"/>
      <c r="T90" s="539"/>
      <c r="U90" s="539"/>
      <c r="V90" s="539"/>
      <c r="W90" s="539"/>
    </row>
    <row r="91" spans="2:23" x14ac:dyDescent="0.6">
      <c r="B91" s="179">
        <f t="shared" si="1"/>
        <v>81</v>
      </c>
      <c r="C91" s="176" t="s">
        <v>898</v>
      </c>
      <c r="D91" s="176" t="s">
        <v>119</v>
      </c>
      <c r="E91" s="176" t="s">
        <v>899</v>
      </c>
      <c r="F91" s="176" t="s">
        <v>572</v>
      </c>
      <c r="H91" s="184"/>
      <c r="I91" s="184"/>
      <c r="J91" s="184"/>
      <c r="K91" s="184"/>
      <c r="L91" s="539" t="s">
        <v>881</v>
      </c>
      <c r="M91" s="539"/>
      <c r="N91" s="539"/>
      <c r="O91" s="539"/>
      <c r="P91" s="539"/>
      <c r="Q91" s="539"/>
      <c r="R91" s="539"/>
      <c r="S91" s="539"/>
      <c r="T91" s="539"/>
      <c r="U91" s="539"/>
      <c r="V91" s="539"/>
      <c r="W91" s="539"/>
    </row>
    <row r="92" spans="2:23" x14ac:dyDescent="0.6">
      <c r="B92" s="179">
        <f t="shared" si="1"/>
        <v>82</v>
      </c>
      <c r="C92" s="176" t="s">
        <v>900</v>
      </c>
      <c r="D92" s="176" t="s">
        <v>119</v>
      </c>
      <c r="E92" s="176" t="s">
        <v>901</v>
      </c>
      <c r="F92" s="176" t="s">
        <v>572</v>
      </c>
      <c r="H92" s="184"/>
      <c r="I92" s="184"/>
      <c r="J92" s="184"/>
      <c r="K92" s="184"/>
      <c r="L92" s="539" t="s">
        <v>881</v>
      </c>
      <c r="M92" s="539"/>
      <c r="N92" s="539"/>
      <c r="O92" s="539"/>
      <c r="P92" s="539"/>
      <c r="Q92" s="539"/>
      <c r="R92" s="539"/>
      <c r="S92" s="539"/>
      <c r="T92" s="539"/>
      <c r="U92" s="539"/>
      <c r="V92" s="539"/>
      <c r="W92" s="539"/>
    </row>
    <row r="93" spans="2:23" x14ac:dyDescent="0.6">
      <c r="B93" s="179">
        <f t="shared" si="1"/>
        <v>83</v>
      </c>
      <c r="C93" s="176" t="s">
        <v>902</v>
      </c>
      <c r="D93" s="176" t="s">
        <v>119</v>
      </c>
      <c r="E93" s="176" t="s">
        <v>903</v>
      </c>
      <c r="F93" s="176" t="s">
        <v>572</v>
      </c>
      <c r="H93" s="184"/>
      <c r="I93" s="184"/>
      <c r="J93" s="184"/>
      <c r="K93" s="184"/>
      <c r="L93" s="539" t="s">
        <v>881</v>
      </c>
      <c r="M93" s="539"/>
      <c r="N93" s="539"/>
      <c r="O93" s="539"/>
      <c r="P93" s="539"/>
      <c r="Q93" s="539"/>
      <c r="R93" s="539"/>
      <c r="S93" s="539"/>
      <c r="T93" s="539"/>
      <c r="U93" s="539"/>
      <c r="V93" s="539"/>
      <c r="W93" s="539"/>
    </row>
    <row r="94" spans="2:23" x14ac:dyDescent="0.6">
      <c r="B94" s="179">
        <f t="shared" si="1"/>
        <v>84</v>
      </c>
      <c r="C94" s="176" t="s">
        <v>904</v>
      </c>
      <c r="D94" s="176" t="s">
        <v>119</v>
      </c>
      <c r="E94" s="176" t="s">
        <v>905</v>
      </c>
      <c r="F94" s="176" t="s">
        <v>572</v>
      </c>
      <c r="H94" s="184"/>
      <c r="I94" s="184"/>
      <c r="J94" s="184"/>
      <c r="K94" s="184"/>
      <c r="L94" s="539" t="s">
        <v>881</v>
      </c>
      <c r="M94" s="539"/>
      <c r="N94" s="539"/>
      <c r="O94" s="539"/>
      <c r="P94" s="539"/>
      <c r="Q94" s="539"/>
      <c r="R94" s="539"/>
      <c r="S94" s="539"/>
      <c r="T94" s="539"/>
      <c r="U94" s="539"/>
      <c r="V94" s="539"/>
      <c r="W94" s="539"/>
    </row>
    <row r="95" spans="2:23" x14ac:dyDescent="0.6">
      <c r="B95" s="179">
        <f t="shared" si="1"/>
        <v>85</v>
      </c>
      <c r="C95" s="176" t="s">
        <v>906</v>
      </c>
      <c r="D95" s="176" t="s">
        <v>119</v>
      </c>
      <c r="E95" s="176" t="s">
        <v>907</v>
      </c>
      <c r="F95" s="176" t="s">
        <v>572</v>
      </c>
      <c r="H95" s="184"/>
      <c r="I95" s="184"/>
      <c r="J95" s="184"/>
      <c r="K95" s="184"/>
      <c r="L95" s="539" t="s">
        <v>881</v>
      </c>
      <c r="M95" s="539"/>
      <c r="N95" s="539"/>
      <c r="O95" s="539"/>
      <c r="P95" s="539"/>
      <c r="Q95" s="539"/>
      <c r="R95" s="539"/>
      <c r="S95" s="539"/>
      <c r="T95" s="539"/>
      <c r="U95" s="539"/>
      <c r="V95" s="539"/>
      <c r="W95" s="539"/>
    </row>
    <row r="96" spans="2:23" x14ac:dyDescent="0.6">
      <c r="B96" s="179">
        <f t="shared" si="1"/>
        <v>86</v>
      </c>
      <c r="C96" s="314" t="s">
        <v>908</v>
      </c>
      <c r="D96" s="314" t="s">
        <v>119</v>
      </c>
      <c r="E96" s="314" t="s">
        <v>909</v>
      </c>
      <c r="F96" s="314" t="s">
        <v>559</v>
      </c>
      <c r="H96" s="184"/>
      <c r="I96" s="184"/>
      <c r="J96" s="184"/>
      <c r="K96" s="184"/>
      <c r="L96" s="539" t="s">
        <v>837</v>
      </c>
      <c r="M96" s="539"/>
      <c r="N96" s="539"/>
      <c r="O96" s="539"/>
      <c r="P96" s="539"/>
      <c r="Q96" s="539"/>
      <c r="R96" s="539"/>
      <c r="S96" s="539"/>
      <c r="T96" s="539"/>
      <c r="U96" s="539"/>
      <c r="V96" s="539"/>
      <c r="W96" s="539"/>
    </row>
    <row r="97" spans="2:23" x14ac:dyDescent="0.6">
      <c r="B97" s="179">
        <f t="shared" si="1"/>
        <v>87</v>
      </c>
      <c r="C97" s="314" t="s">
        <v>910</v>
      </c>
      <c r="D97" s="314" t="s">
        <v>119</v>
      </c>
      <c r="E97" s="314" t="s">
        <v>911</v>
      </c>
      <c r="F97" s="314" t="s">
        <v>559</v>
      </c>
      <c r="H97" s="184"/>
      <c r="I97" s="184"/>
      <c r="J97" s="184"/>
      <c r="K97" s="184"/>
      <c r="L97" s="539" t="s">
        <v>837</v>
      </c>
      <c r="M97" s="539"/>
      <c r="N97" s="539"/>
      <c r="O97" s="539"/>
      <c r="P97" s="539"/>
      <c r="Q97" s="539"/>
      <c r="R97" s="539"/>
      <c r="S97" s="539"/>
      <c r="T97" s="539"/>
      <c r="U97" s="539"/>
      <c r="V97" s="539"/>
      <c r="W97" s="539"/>
    </row>
    <row r="98" spans="2:23" x14ac:dyDescent="0.6">
      <c r="B98" s="179">
        <f t="shared" si="1"/>
        <v>88</v>
      </c>
      <c r="C98" s="314" t="s">
        <v>912</v>
      </c>
      <c r="D98" s="314" t="s">
        <v>119</v>
      </c>
      <c r="E98" s="314" t="s">
        <v>913</v>
      </c>
      <c r="F98" s="314" t="s">
        <v>572</v>
      </c>
      <c r="H98" s="184"/>
      <c r="I98" s="184"/>
      <c r="J98" s="184"/>
      <c r="K98" s="184"/>
      <c r="L98" s="539" t="s">
        <v>881</v>
      </c>
      <c r="M98" s="539"/>
      <c r="N98" s="539"/>
      <c r="O98" s="539"/>
      <c r="P98" s="539"/>
      <c r="Q98" s="539"/>
      <c r="R98" s="539"/>
      <c r="S98" s="539"/>
      <c r="T98" s="539"/>
      <c r="U98" s="539"/>
      <c r="V98" s="539"/>
      <c r="W98" s="539"/>
    </row>
    <row r="99" spans="2:23" x14ac:dyDescent="0.6">
      <c r="B99" s="179">
        <f t="shared" si="1"/>
        <v>89</v>
      </c>
      <c r="C99" s="314" t="s">
        <v>914</v>
      </c>
      <c r="D99" s="314" t="s">
        <v>119</v>
      </c>
      <c r="E99" s="314" t="s">
        <v>915</v>
      </c>
      <c r="F99" s="314" t="s">
        <v>572</v>
      </c>
      <c r="H99" s="184"/>
      <c r="I99" s="184"/>
      <c r="J99" s="184"/>
      <c r="K99" s="184"/>
      <c r="L99" s="539" t="s">
        <v>881</v>
      </c>
      <c r="M99" s="539"/>
      <c r="N99" s="539"/>
      <c r="O99" s="539"/>
      <c r="P99" s="539"/>
      <c r="Q99" s="539"/>
      <c r="R99" s="539"/>
      <c r="S99" s="539"/>
      <c r="T99" s="539"/>
      <c r="U99" s="539"/>
      <c r="V99" s="539"/>
      <c r="W99" s="539"/>
    </row>
    <row r="100" spans="2:23" x14ac:dyDescent="0.6">
      <c r="B100" s="179">
        <f t="shared" si="1"/>
        <v>90</v>
      </c>
      <c r="C100" s="314" t="s">
        <v>916</v>
      </c>
      <c r="D100" s="314" t="s">
        <v>119</v>
      </c>
      <c r="E100" s="314" t="s">
        <v>917</v>
      </c>
      <c r="F100" s="314" t="s">
        <v>572</v>
      </c>
      <c r="H100" s="184"/>
      <c r="I100" s="184"/>
      <c r="J100" s="184"/>
      <c r="K100" s="184"/>
      <c r="L100" s="539" t="s">
        <v>881</v>
      </c>
      <c r="M100" s="539"/>
      <c r="N100" s="539"/>
      <c r="O100" s="539"/>
      <c r="P100" s="539"/>
      <c r="Q100" s="539"/>
      <c r="R100" s="539"/>
      <c r="S100" s="539"/>
      <c r="T100" s="539"/>
      <c r="U100" s="539"/>
      <c r="V100" s="539"/>
      <c r="W100" s="539"/>
    </row>
    <row r="101" spans="2:23" x14ac:dyDescent="0.6">
      <c r="B101" s="179">
        <f t="shared" si="1"/>
        <v>91</v>
      </c>
      <c r="C101" s="314" t="s">
        <v>918</v>
      </c>
      <c r="D101" s="314" t="s">
        <v>119</v>
      </c>
      <c r="E101" s="314" t="s">
        <v>919</v>
      </c>
      <c r="F101" s="314" t="s">
        <v>572</v>
      </c>
      <c r="H101" s="184"/>
      <c r="I101" s="184"/>
      <c r="J101" s="184"/>
      <c r="K101" s="184"/>
      <c r="L101" s="539" t="s">
        <v>881</v>
      </c>
      <c r="M101" s="539"/>
      <c r="N101" s="539"/>
      <c r="O101" s="539"/>
      <c r="P101" s="539"/>
      <c r="Q101" s="539"/>
      <c r="R101" s="539"/>
      <c r="S101" s="539"/>
      <c r="T101" s="539"/>
      <c r="U101" s="539"/>
      <c r="V101" s="539"/>
      <c r="W101" s="539"/>
    </row>
    <row r="102" spans="2:23" x14ac:dyDescent="0.6">
      <c r="B102" s="179">
        <f t="shared" si="1"/>
        <v>92</v>
      </c>
      <c r="C102" s="314" t="s">
        <v>920</v>
      </c>
      <c r="D102" s="314" t="s">
        <v>119</v>
      </c>
      <c r="E102" s="314" t="s">
        <v>921</v>
      </c>
      <c r="F102" s="314" t="s">
        <v>572</v>
      </c>
      <c r="H102" s="184"/>
      <c r="I102" s="184"/>
      <c r="J102" s="184"/>
      <c r="K102" s="184"/>
      <c r="L102" s="539" t="s">
        <v>881</v>
      </c>
      <c r="M102" s="539"/>
      <c r="N102" s="539"/>
      <c r="O102" s="539"/>
      <c r="P102" s="539"/>
      <c r="Q102" s="539"/>
      <c r="R102" s="539"/>
      <c r="S102" s="539"/>
      <c r="T102" s="539"/>
      <c r="U102" s="539"/>
      <c r="V102" s="539"/>
      <c r="W102" s="539"/>
    </row>
    <row r="103" spans="2:23" x14ac:dyDescent="0.6">
      <c r="B103" s="179">
        <f t="shared" si="1"/>
        <v>93</v>
      </c>
      <c r="C103" s="314" t="s">
        <v>922</v>
      </c>
      <c r="D103" s="314" t="s">
        <v>119</v>
      </c>
      <c r="E103" s="314" t="s">
        <v>923</v>
      </c>
      <c r="F103" s="314" t="s">
        <v>572</v>
      </c>
      <c r="H103" s="184"/>
      <c r="I103" s="184"/>
      <c r="J103" s="184"/>
      <c r="K103" s="184"/>
      <c r="L103" s="539" t="s">
        <v>881</v>
      </c>
      <c r="M103" s="539"/>
      <c r="N103" s="539"/>
      <c r="O103" s="539"/>
      <c r="P103" s="539"/>
      <c r="Q103" s="539"/>
      <c r="R103" s="539"/>
      <c r="S103" s="539"/>
      <c r="T103" s="539"/>
      <c r="U103" s="539"/>
      <c r="V103" s="539"/>
      <c r="W103" s="539"/>
    </row>
    <row r="104" spans="2:23" x14ac:dyDescent="0.6">
      <c r="B104" s="179">
        <f t="shared" si="1"/>
        <v>94</v>
      </c>
      <c r="C104" s="176" t="s">
        <v>924</v>
      </c>
      <c r="D104" s="176" t="s">
        <v>119</v>
      </c>
      <c r="E104" s="176" t="s">
        <v>925</v>
      </c>
      <c r="F104" s="176" t="s">
        <v>559</v>
      </c>
      <c r="H104" s="184"/>
      <c r="I104" s="184"/>
      <c r="J104" s="184"/>
      <c r="K104" s="184"/>
      <c r="L104" s="539" t="s">
        <v>837</v>
      </c>
      <c r="M104" s="539"/>
      <c r="N104" s="539"/>
      <c r="O104" s="539"/>
      <c r="P104" s="539"/>
      <c r="Q104" s="539"/>
      <c r="R104" s="539"/>
      <c r="S104" s="539"/>
      <c r="T104" s="539"/>
      <c r="U104" s="539"/>
      <c r="V104" s="539"/>
      <c r="W104" s="539"/>
    </row>
    <row r="105" spans="2:23" x14ac:dyDescent="0.6">
      <c r="B105" s="179">
        <f t="shared" si="1"/>
        <v>95</v>
      </c>
      <c r="C105" s="176" t="s">
        <v>926</v>
      </c>
      <c r="D105" s="176" t="s">
        <v>119</v>
      </c>
      <c r="E105" s="176" t="s">
        <v>927</v>
      </c>
      <c r="F105" s="176" t="s">
        <v>559</v>
      </c>
      <c r="H105" s="184"/>
      <c r="I105" s="184"/>
      <c r="J105" s="184"/>
      <c r="K105" s="184"/>
      <c r="L105" s="539" t="s">
        <v>837</v>
      </c>
      <c r="M105" s="539"/>
      <c r="N105" s="539"/>
      <c r="O105" s="539"/>
      <c r="P105" s="539"/>
      <c r="Q105" s="539"/>
      <c r="R105" s="539"/>
      <c r="S105" s="539"/>
      <c r="T105" s="539"/>
      <c r="U105" s="539"/>
      <c r="V105" s="539"/>
      <c r="W105" s="539"/>
    </row>
    <row r="106" spans="2:23" x14ac:dyDescent="0.6">
      <c r="B106" s="179">
        <f t="shared" si="1"/>
        <v>96</v>
      </c>
      <c r="C106" s="176" t="s">
        <v>928</v>
      </c>
      <c r="D106" s="176" t="s">
        <v>119</v>
      </c>
      <c r="E106" s="176" t="s">
        <v>929</v>
      </c>
      <c r="F106" s="176" t="s">
        <v>572</v>
      </c>
      <c r="H106" s="184"/>
      <c r="I106" s="184"/>
      <c r="J106" s="184"/>
      <c r="K106" s="184"/>
      <c r="L106" s="539" t="s">
        <v>881</v>
      </c>
      <c r="M106" s="539"/>
      <c r="N106" s="539"/>
      <c r="O106" s="539"/>
      <c r="P106" s="539"/>
      <c r="Q106" s="539"/>
      <c r="R106" s="539"/>
      <c r="S106" s="539"/>
      <c r="T106" s="539"/>
      <c r="U106" s="539"/>
      <c r="V106" s="539"/>
      <c r="W106" s="539"/>
    </row>
    <row r="107" spans="2:23" x14ac:dyDescent="0.6">
      <c r="B107" s="179">
        <f t="shared" si="1"/>
        <v>97</v>
      </c>
      <c r="C107" s="176" t="s">
        <v>930</v>
      </c>
      <c r="D107" s="176" t="s">
        <v>119</v>
      </c>
      <c r="E107" s="176" t="s">
        <v>931</v>
      </c>
      <c r="F107" s="176" t="s">
        <v>572</v>
      </c>
      <c r="H107" s="184"/>
      <c r="I107" s="184"/>
      <c r="J107" s="184"/>
      <c r="K107" s="184"/>
      <c r="L107" s="539" t="s">
        <v>881</v>
      </c>
      <c r="M107" s="539"/>
      <c r="N107" s="539"/>
      <c r="O107" s="539"/>
      <c r="P107" s="539"/>
      <c r="Q107" s="539"/>
      <c r="R107" s="539"/>
      <c r="S107" s="539"/>
      <c r="T107" s="539"/>
      <c r="U107" s="539"/>
      <c r="V107" s="539"/>
      <c r="W107" s="539"/>
    </row>
    <row r="108" spans="2:23" x14ac:dyDescent="0.6">
      <c r="B108" s="179">
        <f t="shared" si="1"/>
        <v>98</v>
      </c>
      <c r="C108" s="176" t="s">
        <v>932</v>
      </c>
      <c r="D108" s="176" t="s">
        <v>119</v>
      </c>
      <c r="E108" s="176" t="s">
        <v>933</v>
      </c>
      <c r="F108" s="176" t="s">
        <v>572</v>
      </c>
      <c r="H108" s="184"/>
      <c r="I108" s="184"/>
      <c r="J108" s="184"/>
      <c r="K108" s="184"/>
      <c r="L108" s="539" t="s">
        <v>881</v>
      </c>
      <c r="M108" s="539"/>
      <c r="N108" s="539"/>
      <c r="O108" s="539"/>
      <c r="P108" s="539"/>
      <c r="Q108" s="539"/>
      <c r="R108" s="539"/>
      <c r="S108" s="539"/>
      <c r="T108" s="539"/>
      <c r="U108" s="539"/>
      <c r="V108" s="539"/>
      <c r="W108" s="539"/>
    </row>
    <row r="109" spans="2:23" x14ac:dyDescent="0.6">
      <c r="B109" s="179">
        <f t="shared" si="1"/>
        <v>99</v>
      </c>
      <c r="C109" s="176" t="s">
        <v>934</v>
      </c>
      <c r="D109" s="176" t="s">
        <v>119</v>
      </c>
      <c r="E109" s="176" t="s">
        <v>935</v>
      </c>
      <c r="F109" s="176" t="s">
        <v>572</v>
      </c>
      <c r="H109" s="184"/>
      <c r="I109" s="184"/>
      <c r="J109" s="184"/>
      <c r="K109" s="184"/>
      <c r="L109" s="539" t="s">
        <v>881</v>
      </c>
      <c r="M109" s="539"/>
      <c r="N109" s="539"/>
      <c r="O109" s="539"/>
      <c r="P109" s="539"/>
      <c r="Q109" s="539"/>
      <c r="R109" s="539"/>
      <c r="S109" s="539"/>
      <c r="T109" s="539"/>
      <c r="U109" s="539"/>
      <c r="V109" s="539"/>
      <c r="W109" s="539"/>
    </row>
    <row r="110" spans="2:23" x14ac:dyDescent="0.6">
      <c r="B110" s="179">
        <f t="shared" si="1"/>
        <v>100</v>
      </c>
      <c r="C110" s="176" t="s">
        <v>936</v>
      </c>
      <c r="D110" s="176" t="s">
        <v>119</v>
      </c>
      <c r="E110" s="176" t="s">
        <v>937</v>
      </c>
      <c r="F110" s="176" t="s">
        <v>572</v>
      </c>
      <c r="H110" s="184"/>
      <c r="I110" s="184"/>
      <c r="J110" s="184"/>
      <c r="K110" s="184"/>
      <c r="L110" s="539" t="s">
        <v>881</v>
      </c>
      <c r="M110" s="539"/>
      <c r="N110" s="539"/>
      <c r="O110" s="539"/>
      <c r="P110" s="539"/>
      <c r="Q110" s="539"/>
      <c r="R110" s="539"/>
      <c r="S110" s="539"/>
      <c r="T110" s="539"/>
      <c r="U110" s="539"/>
      <c r="V110" s="539"/>
      <c r="W110" s="539"/>
    </row>
    <row r="111" spans="2:23" x14ac:dyDescent="0.6">
      <c r="B111" s="179">
        <f t="shared" si="1"/>
        <v>101</v>
      </c>
      <c r="C111" s="176" t="s">
        <v>938</v>
      </c>
      <c r="D111" s="176" t="s">
        <v>119</v>
      </c>
      <c r="E111" s="176" t="s">
        <v>939</v>
      </c>
      <c r="F111" s="176" t="s">
        <v>572</v>
      </c>
      <c r="H111" s="184"/>
      <c r="I111" s="184"/>
      <c r="J111" s="184"/>
      <c r="K111" s="184"/>
      <c r="L111" s="539" t="s">
        <v>881</v>
      </c>
      <c r="M111" s="539"/>
      <c r="N111" s="539"/>
      <c r="O111" s="539"/>
      <c r="P111" s="539"/>
      <c r="Q111" s="539"/>
      <c r="R111" s="539"/>
      <c r="S111" s="539"/>
      <c r="T111" s="539"/>
      <c r="U111" s="539"/>
      <c r="V111" s="539"/>
      <c r="W111" s="539"/>
    </row>
    <row r="112" spans="2:23" x14ac:dyDescent="0.6">
      <c r="B112" s="179">
        <f t="shared" si="1"/>
        <v>102</v>
      </c>
      <c r="C112" s="314" t="s">
        <v>940</v>
      </c>
      <c r="D112" s="314" t="s">
        <v>119</v>
      </c>
      <c r="E112" s="314" t="s">
        <v>941</v>
      </c>
      <c r="F112" s="314" t="s">
        <v>559</v>
      </c>
      <c r="H112" s="184"/>
      <c r="I112" s="184"/>
      <c r="J112" s="184"/>
      <c r="K112" s="184"/>
      <c r="L112" s="539" t="s">
        <v>837</v>
      </c>
      <c r="M112" s="539"/>
      <c r="N112" s="539"/>
      <c r="O112" s="539"/>
      <c r="P112" s="539"/>
      <c r="Q112" s="539"/>
      <c r="R112" s="539"/>
      <c r="S112" s="539"/>
      <c r="T112" s="539"/>
      <c r="U112" s="539"/>
      <c r="V112" s="539"/>
      <c r="W112" s="539"/>
    </row>
    <row r="113" spans="2:23" x14ac:dyDescent="0.6">
      <c r="B113" s="179">
        <f t="shared" si="1"/>
        <v>103</v>
      </c>
      <c r="C113" s="314" t="s">
        <v>942</v>
      </c>
      <c r="D113" s="314" t="s">
        <v>119</v>
      </c>
      <c r="E113" s="314" t="s">
        <v>943</v>
      </c>
      <c r="F113" s="314" t="s">
        <v>559</v>
      </c>
      <c r="H113" s="184"/>
      <c r="I113" s="184"/>
      <c r="J113" s="184"/>
      <c r="K113" s="184"/>
      <c r="L113" s="539" t="s">
        <v>837</v>
      </c>
      <c r="M113" s="539"/>
      <c r="N113" s="539"/>
      <c r="O113" s="539"/>
      <c r="P113" s="539"/>
      <c r="Q113" s="539"/>
      <c r="R113" s="539"/>
      <c r="S113" s="539"/>
      <c r="T113" s="539"/>
      <c r="U113" s="539"/>
      <c r="V113" s="539"/>
      <c r="W113" s="539"/>
    </row>
    <row r="114" spans="2:23" x14ac:dyDescent="0.6">
      <c r="B114" s="179">
        <f t="shared" si="1"/>
        <v>104</v>
      </c>
      <c r="C114" s="314" t="s">
        <v>944</v>
      </c>
      <c r="D114" s="314" t="s">
        <v>119</v>
      </c>
      <c r="E114" s="314" t="s">
        <v>945</v>
      </c>
      <c r="F114" s="314" t="s">
        <v>572</v>
      </c>
      <c r="H114" s="184"/>
      <c r="I114" s="184"/>
      <c r="J114" s="184"/>
      <c r="K114" s="184"/>
      <c r="L114" s="539" t="s">
        <v>881</v>
      </c>
      <c r="M114" s="539"/>
      <c r="N114" s="539"/>
      <c r="O114" s="539"/>
      <c r="P114" s="539"/>
      <c r="Q114" s="539"/>
      <c r="R114" s="539"/>
      <c r="S114" s="539"/>
      <c r="T114" s="539"/>
      <c r="U114" s="539"/>
      <c r="V114" s="539"/>
      <c r="W114" s="539"/>
    </row>
    <row r="115" spans="2:23" x14ac:dyDescent="0.6">
      <c r="B115" s="179">
        <f t="shared" si="1"/>
        <v>105</v>
      </c>
      <c r="C115" s="314" t="s">
        <v>946</v>
      </c>
      <c r="D115" s="314" t="s">
        <v>119</v>
      </c>
      <c r="E115" s="314" t="s">
        <v>947</v>
      </c>
      <c r="F115" s="314" t="s">
        <v>572</v>
      </c>
      <c r="H115" s="184"/>
      <c r="I115" s="184"/>
      <c r="J115" s="184"/>
      <c r="K115" s="184"/>
      <c r="L115" s="539" t="s">
        <v>881</v>
      </c>
      <c r="M115" s="539"/>
      <c r="N115" s="539"/>
      <c r="O115" s="539"/>
      <c r="P115" s="539"/>
      <c r="Q115" s="539"/>
      <c r="R115" s="539"/>
      <c r="S115" s="539"/>
      <c r="T115" s="539"/>
      <c r="U115" s="539"/>
      <c r="V115" s="539"/>
      <c r="W115" s="539"/>
    </row>
    <row r="116" spans="2:23" x14ac:dyDescent="0.6">
      <c r="B116" s="179">
        <f t="shared" si="1"/>
        <v>106</v>
      </c>
      <c r="C116" s="314" t="s">
        <v>948</v>
      </c>
      <c r="D116" s="314" t="s">
        <v>119</v>
      </c>
      <c r="E116" s="314" t="s">
        <v>949</v>
      </c>
      <c r="F116" s="314" t="s">
        <v>572</v>
      </c>
      <c r="H116" s="184"/>
      <c r="I116" s="184"/>
      <c r="J116" s="184"/>
      <c r="K116" s="184"/>
      <c r="L116" s="539" t="s">
        <v>881</v>
      </c>
      <c r="M116" s="539"/>
      <c r="N116" s="539"/>
      <c r="O116" s="539"/>
      <c r="P116" s="539"/>
      <c r="Q116" s="539"/>
      <c r="R116" s="539"/>
      <c r="S116" s="539"/>
      <c r="T116" s="539"/>
      <c r="U116" s="539"/>
      <c r="V116" s="539"/>
      <c r="W116" s="539"/>
    </row>
    <row r="117" spans="2:23" x14ac:dyDescent="0.6">
      <c r="B117" s="179">
        <f t="shared" si="1"/>
        <v>107</v>
      </c>
      <c r="C117" s="314" t="s">
        <v>950</v>
      </c>
      <c r="D117" s="314" t="s">
        <v>119</v>
      </c>
      <c r="E117" s="314" t="s">
        <v>951</v>
      </c>
      <c r="F117" s="314" t="s">
        <v>572</v>
      </c>
      <c r="H117" s="184"/>
      <c r="I117" s="184"/>
      <c r="J117" s="184"/>
      <c r="K117" s="184"/>
      <c r="L117" s="539" t="s">
        <v>881</v>
      </c>
      <c r="M117" s="539"/>
      <c r="N117" s="539"/>
      <c r="O117" s="539"/>
      <c r="P117" s="539"/>
      <c r="Q117" s="539"/>
      <c r="R117" s="539"/>
      <c r="S117" s="539"/>
      <c r="T117" s="539"/>
      <c r="U117" s="539"/>
      <c r="V117" s="539"/>
      <c r="W117" s="539"/>
    </row>
    <row r="118" spans="2:23" x14ac:dyDescent="0.6">
      <c r="B118" s="179">
        <f t="shared" si="1"/>
        <v>108</v>
      </c>
      <c r="C118" s="314" t="s">
        <v>952</v>
      </c>
      <c r="D118" s="314" t="s">
        <v>119</v>
      </c>
      <c r="E118" s="314" t="s">
        <v>953</v>
      </c>
      <c r="F118" s="314" t="s">
        <v>572</v>
      </c>
      <c r="H118" s="184"/>
      <c r="I118" s="184"/>
      <c r="J118" s="184"/>
      <c r="K118" s="184"/>
      <c r="L118" s="539" t="s">
        <v>881</v>
      </c>
      <c r="M118" s="539"/>
      <c r="N118" s="539"/>
      <c r="O118" s="539"/>
      <c r="P118" s="539"/>
      <c r="Q118" s="539"/>
      <c r="R118" s="539"/>
      <c r="S118" s="539"/>
      <c r="T118" s="539"/>
      <c r="U118" s="539"/>
      <c r="V118" s="539"/>
      <c r="W118" s="539"/>
    </row>
    <row r="119" spans="2:23" x14ac:dyDescent="0.6">
      <c r="B119" s="179">
        <f t="shared" si="1"/>
        <v>109</v>
      </c>
      <c r="C119" s="314" t="s">
        <v>954</v>
      </c>
      <c r="D119" s="314" t="s">
        <v>119</v>
      </c>
      <c r="E119" s="314" t="s">
        <v>955</v>
      </c>
      <c r="F119" s="314" t="s">
        <v>572</v>
      </c>
      <c r="H119" s="184"/>
      <c r="I119" s="184"/>
      <c r="J119" s="184"/>
      <c r="K119" s="184"/>
      <c r="L119" s="539" t="s">
        <v>881</v>
      </c>
      <c r="M119" s="539"/>
      <c r="N119" s="539"/>
      <c r="O119" s="539"/>
      <c r="P119" s="539"/>
      <c r="Q119" s="539"/>
      <c r="R119" s="539"/>
      <c r="S119" s="539"/>
      <c r="T119" s="539"/>
      <c r="U119" s="539"/>
      <c r="V119" s="539"/>
      <c r="W119" s="539"/>
    </row>
    <row r="120" spans="2:23" x14ac:dyDescent="0.6">
      <c r="B120" s="179">
        <f t="shared" si="1"/>
        <v>110</v>
      </c>
      <c r="C120" s="176" t="s">
        <v>956</v>
      </c>
      <c r="D120" s="176" t="s">
        <v>119</v>
      </c>
      <c r="E120" s="176" t="s">
        <v>957</v>
      </c>
      <c r="F120" s="176" t="s">
        <v>559</v>
      </c>
      <c r="H120" s="184"/>
      <c r="I120" s="184"/>
      <c r="J120" s="184"/>
      <c r="K120" s="184"/>
      <c r="L120" s="539" t="s">
        <v>837</v>
      </c>
      <c r="M120" s="539"/>
      <c r="N120" s="539"/>
      <c r="O120" s="539"/>
      <c r="P120" s="539"/>
      <c r="Q120" s="539"/>
      <c r="R120" s="539"/>
      <c r="S120" s="539"/>
      <c r="T120" s="539"/>
      <c r="U120" s="539"/>
      <c r="V120" s="539"/>
      <c r="W120" s="539"/>
    </row>
    <row r="121" spans="2:23" x14ac:dyDescent="0.6">
      <c r="B121" s="179">
        <f t="shared" si="1"/>
        <v>111</v>
      </c>
      <c r="C121" s="176" t="s">
        <v>958</v>
      </c>
      <c r="D121" s="176" t="s">
        <v>119</v>
      </c>
      <c r="E121" s="176" t="s">
        <v>959</v>
      </c>
      <c r="F121" s="176" t="s">
        <v>559</v>
      </c>
      <c r="H121" s="184"/>
      <c r="I121" s="184"/>
      <c r="J121" s="184"/>
      <c r="K121" s="184"/>
      <c r="L121" s="539" t="s">
        <v>837</v>
      </c>
      <c r="M121" s="539"/>
      <c r="N121" s="539"/>
      <c r="O121" s="539"/>
      <c r="P121" s="539"/>
      <c r="Q121" s="539"/>
      <c r="R121" s="539"/>
      <c r="S121" s="539"/>
      <c r="T121" s="539"/>
      <c r="U121" s="539"/>
      <c r="V121" s="539"/>
      <c r="W121" s="539"/>
    </row>
    <row r="122" spans="2:23" x14ac:dyDescent="0.6">
      <c r="B122" s="179">
        <f t="shared" si="1"/>
        <v>112</v>
      </c>
      <c r="C122" s="176" t="s">
        <v>960</v>
      </c>
      <c r="D122" s="176" t="s">
        <v>119</v>
      </c>
      <c r="E122" s="176" t="s">
        <v>961</v>
      </c>
      <c r="F122" s="176" t="s">
        <v>572</v>
      </c>
      <c r="H122" s="184"/>
      <c r="I122" s="184"/>
      <c r="J122" s="184"/>
      <c r="K122" s="184"/>
      <c r="L122" s="539" t="s">
        <v>881</v>
      </c>
      <c r="M122" s="539"/>
      <c r="N122" s="539"/>
      <c r="O122" s="539"/>
      <c r="P122" s="539"/>
      <c r="Q122" s="539"/>
      <c r="R122" s="539"/>
      <c r="S122" s="539"/>
      <c r="T122" s="539"/>
      <c r="U122" s="539"/>
      <c r="V122" s="539"/>
      <c r="W122" s="539"/>
    </row>
    <row r="123" spans="2:23" x14ac:dyDescent="0.6">
      <c r="B123" s="179">
        <f t="shared" si="1"/>
        <v>113</v>
      </c>
      <c r="C123" s="176" t="s">
        <v>962</v>
      </c>
      <c r="D123" s="176" t="s">
        <v>119</v>
      </c>
      <c r="E123" s="176" t="s">
        <v>963</v>
      </c>
      <c r="F123" s="176" t="s">
        <v>572</v>
      </c>
      <c r="H123" s="184"/>
      <c r="I123" s="184"/>
      <c r="J123" s="184"/>
      <c r="K123" s="184"/>
      <c r="L123" s="539" t="s">
        <v>881</v>
      </c>
      <c r="M123" s="539"/>
      <c r="N123" s="539"/>
      <c r="O123" s="539"/>
      <c r="P123" s="539"/>
      <c r="Q123" s="539"/>
      <c r="R123" s="539"/>
      <c r="S123" s="539"/>
      <c r="T123" s="539"/>
      <c r="U123" s="539"/>
      <c r="V123" s="539"/>
      <c r="W123" s="539"/>
    </row>
    <row r="124" spans="2:23" x14ac:dyDescent="0.6">
      <c r="B124" s="179">
        <f t="shared" si="1"/>
        <v>114</v>
      </c>
      <c r="C124" s="176" t="s">
        <v>964</v>
      </c>
      <c r="D124" s="176" t="s">
        <v>119</v>
      </c>
      <c r="E124" s="176" t="s">
        <v>965</v>
      </c>
      <c r="F124" s="176" t="s">
        <v>572</v>
      </c>
      <c r="H124" s="184"/>
      <c r="I124" s="184"/>
      <c r="J124" s="184"/>
      <c r="K124" s="184"/>
      <c r="L124" s="539" t="s">
        <v>881</v>
      </c>
      <c r="M124" s="539"/>
      <c r="N124" s="539"/>
      <c r="O124" s="539"/>
      <c r="P124" s="539"/>
      <c r="Q124" s="539"/>
      <c r="R124" s="539"/>
      <c r="S124" s="539"/>
      <c r="T124" s="539"/>
      <c r="U124" s="539"/>
      <c r="V124" s="539"/>
      <c r="W124" s="539"/>
    </row>
    <row r="125" spans="2:23" x14ac:dyDescent="0.6">
      <c r="B125" s="179">
        <f t="shared" si="1"/>
        <v>115</v>
      </c>
      <c r="C125" s="176" t="s">
        <v>966</v>
      </c>
      <c r="D125" s="176" t="s">
        <v>119</v>
      </c>
      <c r="E125" s="176" t="s">
        <v>967</v>
      </c>
      <c r="F125" s="176" t="s">
        <v>572</v>
      </c>
      <c r="H125" s="184"/>
      <c r="I125" s="184"/>
      <c r="J125" s="184"/>
      <c r="K125" s="184"/>
      <c r="L125" s="539" t="s">
        <v>881</v>
      </c>
      <c r="M125" s="539"/>
      <c r="N125" s="539"/>
      <c r="O125" s="539"/>
      <c r="P125" s="539"/>
      <c r="Q125" s="539"/>
      <c r="R125" s="539"/>
      <c r="S125" s="539"/>
      <c r="T125" s="539"/>
      <c r="U125" s="539"/>
      <c r="V125" s="539"/>
      <c r="W125" s="539"/>
    </row>
    <row r="126" spans="2:23" x14ac:dyDescent="0.6">
      <c r="B126" s="179">
        <f t="shared" si="1"/>
        <v>116</v>
      </c>
      <c r="C126" s="176" t="s">
        <v>968</v>
      </c>
      <c r="D126" s="176" t="s">
        <v>119</v>
      </c>
      <c r="E126" s="176" t="s">
        <v>969</v>
      </c>
      <c r="F126" s="176" t="s">
        <v>572</v>
      </c>
      <c r="H126" s="184"/>
      <c r="I126" s="184"/>
      <c r="J126" s="184"/>
      <c r="K126" s="184"/>
      <c r="L126" s="539" t="s">
        <v>881</v>
      </c>
      <c r="M126" s="539"/>
      <c r="N126" s="539"/>
      <c r="O126" s="539"/>
      <c r="P126" s="539"/>
      <c r="Q126" s="539"/>
      <c r="R126" s="539"/>
      <c r="S126" s="539"/>
      <c r="T126" s="539"/>
      <c r="U126" s="539"/>
      <c r="V126" s="539"/>
      <c r="W126" s="539"/>
    </row>
    <row r="127" spans="2:23" x14ac:dyDescent="0.6">
      <c r="B127" s="179">
        <f t="shared" si="1"/>
        <v>117</v>
      </c>
      <c r="C127" s="176" t="s">
        <v>970</v>
      </c>
      <c r="D127" s="176" t="s">
        <v>119</v>
      </c>
      <c r="E127" s="176" t="s">
        <v>971</v>
      </c>
      <c r="F127" s="176" t="s">
        <v>572</v>
      </c>
      <c r="H127" s="184"/>
      <c r="I127" s="184"/>
      <c r="J127" s="184"/>
      <c r="K127" s="184"/>
      <c r="L127" s="539" t="s">
        <v>881</v>
      </c>
      <c r="M127" s="539"/>
      <c r="N127" s="539"/>
      <c r="O127" s="539"/>
      <c r="P127" s="539"/>
      <c r="Q127" s="539"/>
      <c r="R127" s="539"/>
      <c r="S127" s="539"/>
      <c r="T127" s="539"/>
      <c r="U127" s="539"/>
      <c r="V127" s="539"/>
      <c r="W127" s="539"/>
    </row>
    <row r="128" spans="2:23" x14ac:dyDescent="0.6">
      <c r="B128" s="179">
        <f t="shared" si="1"/>
        <v>118</v>
      </c>
      <c r="C128" s="314" t="s">
        <v>972</v>
      </c>
      <c r="D128" s="314" t="s">
        <v>119</v>
      </c>
      <c r="E128" s="314" t="s">
        <v>973</v>
      </c>
      <c r="F128" s="314" t="s">
        <v>559</v>
      </c>
      <c r="H128" s="184"/>
      <c r="I128" s="184"/>
      <c r="J128" s="184"/>
      <c r="K128" s="184"/>
      <c r="L128" s="539" t="s">
        <v>837</v>
      </c>
      <c r="M128" s="539"/>
      <c r="N128" s="539"/>
      <c r="O128" s="539"/>
      <c r="P128" s="539"/>
      <c r="Q128" s="539"/>
      <c r="R128" s="539"/>
      <c r="S128" s="539"/>
      <c r="T128" s="539"/>
      <c r="U128" s="539"/>
      <c r="V128" s="539"/>
      <c r="W128" s="539"/>
    </row>
    <row r="129" spans="2:23" x14ac:dyDescent="0.6">
      <c r="B129" s="179">
        <f t="shared" si="1"/>
        <v>119</v>
      </c>
      <c r="C129" s="314" t="s">
        <v>974</v>
      </c>
      <c r="D129" s="314" t="s">
        <v>119</v>
      </c>
      <c r="E129" s="314" t="s">
        <v>975</v>
      </c>
      <c r="F129" s="314" t="s">
        <v>559</v>
      </c>
      <c r="H129" s="184"/>
      <c r="I129" s="184"/>
      <c r="J129" s="184"/>
      <c r="K129" s="184"/>
      <c r="L129" s="539" t="s">
        <v>837</v>
      </c>
      <c r="M129" s="539"/>
      <c r="N129" s="539"/>
      <c r="O129" s="539"/>
      <c r="P129" s="539"/>
      <c r="Q129" s="539"/>
      <c r="R129" s="539"/>
      <c r="S129" s="539"/>
      <c r="T129" s="539"/>
      <c r="U129" s="539"/>
      <c r="V129" s="539"/>
      <c r="W129" s="539"/>
    </row>
    <row r="130" spans="2:23" x14ac:dyDescent="0.6">
      <c r="B130" s="179">
        <f t="shared" si="1"/>
        <v>120</v>
      </c>
      <c r="C130" s="314" t="s">
        <v>976</v>
      </c>
      <c r="D130" s="314" t="s">
        <v>119</v>
      </c>
      <c r="E130" s="314" t="s">
        <v>977</v>
      </c>
      <c r="F130" s="314" t="s">
        <v>572</v>
      </c>
      <c r="H130" s="184"/>
      <c r="I130" s="184"/>
      <c r="J130" s="184"/>
      <c r="K130" s="184"/>
      <c r="L130" s="539" t="s">
        <v>881</v>
      </c>
      <c r="M130" s="539"/>
      <c r="N130" s="539"/>
      <c r="O130" s="539"/>
      <c r="P130" s="539"/>
      <c r="Q130" s="539"/>
      <c r="R130" s="539"/>
      <c r="S130" s="539"/>
      <c r="T130" s="539"/>
      <c r="U130" s="539"/>
      <c r="V130" s="539"/>
      <c r="W130" s="539"/>
    </row>
    <row r="131" spans="2:23" x14ac:dyDescent="0.6">
      <c r="B131" s="179">
        <f t="shared" si="1"/>
        <v>121</v>
      </c>
      <c r="C131" s="314" t="s">
        <v>978</v>
      </c>
      <c r="D131" s="314" t="s">
        <v>119</v>
      </c>
      <c r="E131" s="314" t="s">
        <v>979</v>
      </c>
      <c r="F131" s="314" t="s">
        <v>572</v>
      </c>
      <c r="H131" s="184"/>
      <c r="I131" s="184"/>
      <c r="J131" s="184"/>
      <c r="K131" s="184"/>
      <c r="L131" s="539" t="s">
        <v>881</v>
      </c>
      <c r="M131" s="539"/>
      <c r="N131" s="539"/>
      <c r="O131" s="539"/>
      <c r="P131" s="539"/>
      <c r="Q131" s="539"/>
      <c r="R131" s="539"/>
      <c r="S131" s="539"/>
      <c r="T131" s="539"/>
      <c r="U131" s="539"/>
      <c r="V131" s="539"/>
      <c r="W131" s="539"/>
    </row>
    <row r="132" spans="2:23" x14ac:dyDescent="0.6">
      <c r="B132" s="179">
        <f t="shared" si="1"/>
        <v>122</v>
      </c>
      <c r="C132" s="314" t="s">
        <v>980</v>
      </c>
      <c r="D132" s="314" t="s">
        <v>119</v>
      </c>
      <c r="E132" s="314" t="s">
        <v>981</v>
      </c>
      <c r="F132" s="314" t="s">
        <v>572</v>
      </c>
      <c r="H132" s="184"/>
      <c r="I132" s="184"/>
      <c r="J132" s="184"/>
      <c r="K132" s="184"/>
      <c r="L132" s="539" t="s">
        <v>881</v>
      </c>
      <c r="M132" s="539"/>
      <c r="N132" s="539"/>
      <c r="O132" s="539"/>
      <c r="P132" s="539"/>
      <c r="Q132" s="539"/>
      <c r="R132" s="539"/>
      <c r="S132" s="539"/>
      <c r="T132" s="539"/>
      <c r="U132" s="539"/>
      <c r="V132" s="539"/>
      <c r="W132" s="539"/>
    </row>
    <row r="133" spans="2:23" x14ac:dyDescent="0.6">
      <c r="B133" s="179">
        <f t="shared" ref="B133:B196" si="2">B132+1</f>
        <v>123</v>
      </c>
      <c r="C133" s="314" t="s">
        <v>982</v>
      </c>
      <c r="D133" s="314" t="s">
        <v>119</v>
      </c>
      <c r="E133" s="314" t="s">
        <v>983</v>
      </c>
      <c r="F133" s="314" t="s">
        <v>572</v>
      </c>
      <c r="H133" s="184"/>
      <c r="I133" s="184"/>
      <c r="J133" s="184"/>
      <c r="K133" s="184"/>
      <c r="L133" s="539" t="s">
        <v>881</v>
      </c>
      <c r="M133" s="539"/>
      <c r="N133" s="539"/>
      <c r="O133" s="539"/>
      <c r="P133" s="539"/>
      <c r="Q133" s="539"/>
      <c r="R133" s="539"/>
      <c r="S133" s="539"/>
      <c r="T133" s="539"/>
      <c r="U133" s="539"/>
      <c r="V133" s="539"/>
      <c r="W133" s="539"/>
    </row>
    <row r="134" spans="2:23" x14ac:dyDescent="0.6">
      <c r="B134" s="179">
        <f t="shared" si="2"/>
        <v>124</v>
      </c>
      <c r="C134" s="314" t="s">
        <v>984</v>
      </c>
      <c r="D134" s="314" t="s">
        <v>119</v>
      </c>
      <c r="E134" s="314" t="s">
        <v>985</v>
      </c>
      <c r="F134" s="314" t="s">
        <v>572</v>
      </c>
      <c r="H134" s="184"/>
      <c r="I134" s="184"/>
      <c r="J134" s="184"/>
      <c r="K134" s="184"/>
      <c r="L134" s="539" t="s">
        <v>881</v>
      </c>
      <c r="M134" s="539"/>
      <c r="N134" s="539"/>
      <c r="O134" s="539"/>
      <c r="P134" s="539"/>
      <c r="Q134" s="539"/>
      <c r="R134" s="539"/>
      <c r="S134" s="539"/>
      <c r="T134" s="539"/>
      <c r="U134" s="539"/>
      <c r="V134" s="539"/>
      <c r="W134" s="539"/>
    </row>
    <row r="135" spans="2:23" x14ac:dyDescent="0.6">
      <c r="B135" s="179">
        <f t="shared" si="2"/>
        <v>125</v>
      </c>
      <c r="C135" s="314" t="s">
        <v>986</v>
      </c>
      <c r="D135" s="314" t="s">
        <v>119</v>
      </c>
      <c r="E135" s="314" t="s">
        <v>987</v>
      </c>
      <c r="F135" s="314" t="s">
        <v>572</v>
      </c>
      <c r="H135" s="184"/>
      <c r="I135" s="184"/>
      <c r="J135" s="184"/>
      <c r="K135" s="184"/>
      <c r="L135" s="539" t="s">
        <v>881</v>
      </c>
      <c r="M135" s="539"/>
      <c r="N135" s="539"/>
      <c r="O135" s="539"/>
      <c r="P135" s="539"/>
      <c r="Q135" s="539"/>
      <c r="R135" s="539"/>
      <c r="S135" s="539"/>
      <c r="T135" s="539"/>
      <c r="U135" s="539"/>
      <c r="V135" s="539"/>
      <c r="W135" s="539"/>
    </row>
    <row r="136" spans="2:23" x14ac:dyDescent="0.6">
      <c r="B136" s="179">
        <f t="shared" si="2"/>
        <v>126</v>
      </c>
      <c r="C136" s="176" t="s">
        <v>988</v>
      </c>
      <c r="D136" s="176" t="s">
        <v>119</v>
      </c>
      <c r="E136" s="176" t="s">
        <v>989</v>
      </c>
      <c r="F136" s="176" t="s">
        <v>559</v>
      </c>
      <c r="H136" s="184"/>
      <c r="I136" s="184"/>
      <c r="J136" s="184"/>
      <c r="K136" s="184"/>
      <c r="L136" s="539" t="s">
        <v>837</v>
      </c>
      <c r="M136" s="539"/>
      <c r="N136" s="539"/>
      <c r="O136" s="539"/>
      <c r="P136" s="539"/>
      <c r="Q136" s="539"/>
      <c r="R136" s="539"/>
      <c r="S136" s="539"/>
      <c r="T136" s="539"/>
      <c r="U136" s="539"/>
      <c r="V136" s="539"/>
      <c r="W136" s="539"/>
    </row>
    <row r="137" spans="2:23" x14ac:dyDescent="0.6">
      <c r="B137" s="179">
        <f t="shared" si="2"/>
        <v>127</v>
      </c>
      <c r="C137" s="176" t="s">
        <v>990</v>
      </c>
      <c r="D137" s="176" t="s">
        <v>119</v>
      </c>
      <c r="E137" s="176" t="s">
        <v>991</v>
      </c>
      <c r="F137" s="176" t="s">
        <v>559</v>
      </c>
      <c r="H137" s="184"/>
      <c r="I137" s="184"/>
      <c r="J137" s="184"/>
      <c r="K137" s="184"/>
      <c r="L137" s="539" t="s">
        <v>837</v>
      </c>
      <c r="M137" s="539"/>
      <c r="N137" s="539"/>
      <c r="O137" s="539"/>
      <c r="P137" s="539"/>
      <c r="Q137" s="539"/>
      <c r="R137" s="539"/>
      <c r="S137" s="539"/>
      <c r="T137" s="539"/>
      <c r="U137" s="539"/>
      <c r="V137" s="539"/>
      <c r="W137" s="539"/>
    </row>
    <row r="138" spans="2:23" x14ac:dyDescent="0.6">
      <c r="B138" s="179">
        <f t="shared" si="2"/>
        <v>128</v>
      </c>
      <c r="C138" s="176" t="s">
        <v>992</v>
      </c>
      <c r="D138" s="176" t="s">
        <v>119</v>
      </c>
      <c r="E138" s="176" t="s">
        <v>993</v>
      </c>
      <c r="F138" s="176" t="s">
        <v>572</v>
      </c>
      <c r="H138" s="184"/>
      <c r="I138" s="184"/>
      <c r="J138" s="184"/>
      <c r="K138" s="184"/>
      <c r="L138" s="539" t="s">
        <v>881</v>
      </c>
      <c r="M138" s="539"/>
      <c r="N138" s="539"/>
      <c r="O138" s="539"/>
      <c r="P138" s="539"/>
      <c r="Q138" s="539"/>
      <c r="R138" s="539"/>
      <c r="S138" s="539"/>
      <c r="T138" s="539"/>
      <c r="U138" s="539"/>
      <c r="V138" s="539"/>
      <c r="W138" s="539"/>
    </row>
    <row r="139" spans="2:23" x14ac:dyDescent="0.6">
      <c r="B139" s="179">
        <f t="shared" si="2"/>
        <v>129</v>
      </c>
      <c r="C139" s="176" t="s">
        <v>994</v>
      </c>
      <c r="D139" s="176" t="s">
        <v>119</v>
      </c>
      <c r="E139" s="176" t="s">
        <v>995</v>
      </c>
      <c r="F139" s="176" t="s">
        <v>572</v>
      </c>
      <c r="H139" s="184"/>
      <c r="I139" s="184"/>
      <c r="J139" s="184"/>
      <c r="K139" s="184"/>
      <c r="L139" s="539" t="s">
        <v>881</v>
      </c>
      <c r="M139" s="539"/>
      <c r="N139" s="539"/>
      <c r="O139" s="539"/>
      <c r="P139" s="539"/>
      <c r="Q139" s="539"/>
      <c r="R139" s="539"/>
      <c r="S139" s="539"/>
      <c r="T139" s="539"/>
      <c r="U139" s="539"/>
      <c r="V139" s="539"/>
      <c r="W139" s="539"/>
    </row>
    <row r="140" spans="2:23" x14ac:dyDescent="0.6">
      <c r="B140" s="179">
        <f t="shared" si="2"/>
        <v>130</v>
      </c>
      <c r="C140" s="176" t="s">
        <v>996</v>
      </c>
      <c r="D140" s="176" t="s">
        <v>119</v>
      </c>
      <c r="E140" s="176" t="s">
        <v>997</v>
      </c>
      <c r="F140" s="176" t="s">
        <v>572</v>
      </c>
      <c r="H140" s="184"/>
      <c r="I140" s="184"/>
      <c r="J140" s="184"/>
      <c r="K140" s="184"/>
      <c r="L140" s="539" t="s">
        <v>881</v>
      </c>
      <c r="M140" s="539"/>
      <c r="N140" s="539"/>
      <c r="O140" s="539"/>
      <c r="P140" s="539"/>
      <c r="Q140" s="539"/>
      <c r="R140" s="539"/>
      <c r="S140" s="539"/>
      <c r="T140" s="539"/>
      <c r="U140" s="539"/>
      <c r="V140" s="539"/>
      <c r="W140" s="539"/>
    </row>
    <row r="141" spans="2:23" x14ac:dyDescent="0.6">
      <c r="B141" s="179">
        <f t="shared" si="2"/>
        <v>131</v>
      </c>
      <c r="C141" s="176" t="s">
        <v>998</v>
      </c>
      <c r="D141" s="176" t="s">
        <v>119</v>
      </c>
      <c r="E141" s="176" t="s">
        <v>999</v>
      </c>
      <c r="F141" s="176" t="s">
        <v>572</v>
      </c>
      <c r="H141" s="184"/>
      <c r="I141" s="184"/>
      <c r="J141" s="184"/>
      <c r="K141" s="184"/>
      <c r="L141" s="539" t="s">
        <v>881</v>
      </c>
      <c r="M141" s="539"/>
      <c r="N141" s="539"/>
      <c r="O141" s="539"/>
      <c r="P141" s="539"/>
      <c r="Q141" s="539"/>
      <c r="R141" s="539"/>
      <c r="S141" s="539"/>
      <c r="T141" s="539"/>
      <c r="U141" s="539"/>
      <c r="V141" s="539"/>
      <c r="W141" s="539"/>
    </row>
    <row r="142" spans="2:23" x14ac:dyDescent="0.6">
      <c r="B142" s="179">
        <f t="shared" si="2"/>
        <v>132</v>
      </c>
      <c r="C142" s="176" t="s">
        <v>1000</v>
      </c>
      <c r="D142" s="176" t="s">
        <v>119</v>
      </c>
      <c r="E142" s="176" t="s">
        <v>1001</v>
      </c>
      <c r="F142" s="176" t="s">
        <v>572</v>
      </c>
      <c r="H142" s="184"/>
      <c r="I142" s="184"/>
      <c r="J142" s="184"/>
      <c r="K142" s="184"/>
      <c r="L142" s="539" t="s">
        <v>881</v>
      </c>
      <c r="M142" s="539"/>
      <c r="N142" s="539"/>
      <c r="O142" s="539"/>
      <c r="P142" s="539"/>
      <c r="Q142" s="539"/>
      <c r="R142" s="539"/>
      <c r="S142" s="539"/>
      <c r="T142" s="539"/>
      <c r="U142" s="539"/>
      <c r="V142" s="539"/>
      <c r="W142" s="539"/>
    </row>
    <row r="143" spans="2:23" x14ac:dyDescent="0.6">
      <c r="B143" s="179">
        <f t="shared" si="2"/>
        <v>133</v>
      </c>
      <c r="C143" s="176" t="s">
        <v>1002</v>
      </c>
      <c r="D143" s="176" t="s">
        <v>119</v>
      </c>
      <c r="E143" s="176" t="s">
        <v>1003</v>
      </c>
      <c r="F143" s="176" t="s">
        <v>572</v>
      </c>
      <c r="H143" s="184"/>
      <c r="I143" s="184"/>
      <c r="J143" s="184"/>
      <c r="K143" s="184"/>
      <c r="L143" s="539" t="s">
        <v>881</v>
      </c>
      <c r="M143" s="539"/>
      <c r="N143" s="539"/>
      <c r="O143" s="539"/>
      <c r="P143" s="539"/>
      <c r="Q143" s="539"/>
      <c r="R143" s="539"/>
      <c r="S143" s="539"/>
      <c r="T143" s="539"/>
      <c r="U143" s="539"/>
      <c r="V143" s="539"/>
      <c r="W143" s="539"/>
    </row>
    <row r="144" spans="2:23" x14ac:dyDescent="0.6">
      <c r="B144" s="179">
        <f t="shared" si="2"/>
        <v>134</v>
      </c>
      <c r="C144" s="314" t="s">
        <v>1004</v>
      </c>
      <c r="D144" s="314" t="s">
        <v>119</v>
      </c>
      <c r="E144" s="314" t="s">
        <v>1005</v>
      </c>
      <c r="F144" s="314" t="s">
        <v>559</v>
      </c>
      <c r="H144" s="184"/>
      <c r="I144" s="184"/>
      <c r="J144" s="184"/>
      <c r="K144" s="184"/>
      <c r="L144" s="539" t="s">
        <v>837</v>
      </c>
      <c r="M144" s="539"/>
      <c r="N144" s="539"/>
      <c r="O144" s="539"/>
      <c r="P144" s="539"/>
      <c r="Q144" s="539"/>
      <c r="R144" s="539"/>
      <c r="S144" s="539"/>
      <c r="T144" s="539"/>
      <c r="U144" s="539"/>
      <c r="V144" s="539"/>
      <c r="W144" s="539"/>
    </row>
    <row r="145" spans="2:23" x14ac:dyDescent="0.6">
      <c r="B145" s="179">
        <f t="shared" si="2"/>
        <v>135</v>
      </c>
      <c r="C145" s="314" t="s">
        <v>1006</v>
      </c>
      <c r="D145" s="314" t="s">
        <v>119</v>
      </c>
      <c r="E145" s="314" t="s">
        <v>1007</v>
      </c>
      <c r="F145" s="314" t="s">
        <v>559</v>
      </c>
      <c r="H145" s="184"/>
      <c r="I145" s="184"/>
      <c r="J145" s="184"/>
      <c r="K145" s="184"/>
      <c r="L145" s="539" t="s">
        <v>837</v>
      </c>
      <c r="M145" s="539"/>
      <c r="N145" s="539"/>
      <c r="O145" s="539"/>
      <c r="P145" s="539"/>
      <c r="Q145" s="539"/>
      <c r="R145" s="539"/>
      <c r="S145" s="539"/>
      <c r="T145" s="539"/>
      <c r="U145" s="539"/>
      <c r="V145" s="539"/>
      <c r="W145" s="539"/>
    </row>
    <row r="146" spans="2:23" x14ac:dyDescent="0.6">
      <c r="B146" s="179">
        <f t="shared" si="2"/>
        <v>136</v>
      </c>
      <c r="C146" s="314" t="s">
        <v>1008</v>
      </c>
      <c r="D146" s="314" t="s">
        <v>119</v>
      </c>
      <c r="E146" s="314" t="s">
        <v>1009</v>
      </c>
      <c r="F146" s="314" t="s">
        <v>572</v>
      </c>
      <c r="H146" s="184"/>
      <c r="I146" s="184"/>
      <c r="J146" s="184"/>
      <c r="K146" s="184"/>
      <c r="L146" s="539" t="s">
        <v>881</v>
      </c>
      <c r="M146" s="539"/>
      <c r="N146" s="539"/>
      <c r="O146" s="539"/>
      <c r="P146" s="539"/>
      <c r="Q146" s="539"/>
      <c r="R146" s="539"/>
      <c r="S146" s="539"/>
      <c r="T146" s="539"/>
      <c r="U146" s="539"/>
      <c r="V146" s="539"/>
      <c r="W146" s="539"/>
    </row>
    <row r="147" spans="2:23" x14ac:dyDescent="0.6">
      <c r="B147" s="179">
        <f t="shared" si="2"/>
        <v>137</v>
      </c>
      <c r="C147" s="314" t="s">
        <v>1010</v>
      </c>
      <c r="D147" s="314" t="s">
        <v>119</v>
      </c>
      <c r="E147" s="314" t="s">
        <v>1011</v>
      </c>
      <c r="F147" s="314" t="s">
        <v>572</v>
      </c>
      <c r="H147" s="184"/>
      <c r="I147" s="184"/>
      <c r="J147" s="184"/>
      <c r="K147" s="184"/>
      <c r="L147" s="539" t="s">
        <v>881</v>
      </c>
      <c r="M147" s="539"/>
      <c r="N147" s="539"/>
      <c r="O147" s="539"/>
      <c r="P147" s="539"/>
      <c r="Q147" s="539"/>
      <c r="R147" s="539"/>
      <c r="S147" s="539"/>
      <c r="T147" s="539"/>
      <c r="U147" s="539"/>
      <c r="V147" s="539"/>
      <c r="W147" s="539"/>
    </row>
    <row r="148" spans="2:23" x14ac:dyDescent="0.6">
      <c r="B148" s="179">
        <f t="shared" si="2"/>
        <v>138</v>
      </c>
      <c r="C148" s="314" t="s">
        <v>1012</v>
      </c>
      <c r="D148" s="314" t="s">
        <v>119</v>
      </c>
      <c r="E148" s="314" t="s">
        <v>1013</v>
      </c>
      <c r="F148" s="314" t="s">
        <v>572</v>
      </c>
      <c r="H148" s="184"/>
      <c r="I148" s="184"/>
      <c r="J148" s="184"/>
      <c r="K148" s="184"/>
      <c r="L148" s="539" t="s">
        <v>881</v>
      </c>
      <c r="M148" s="539"/>
      <c r="N148" s="539"/>
      <c r="O148" s="539"/>
      <c r="P148" s="539"/>
      <c r="Q148" s="539"/>
      <c r="R148" s="539"/>
      <c r="S148" s="539"/>
      <c r="T148" s="539"/>
      <c r="U148" s="539"/>
      <c r="V148" s="539"/>
      <c r="W148" s="539"/>
    </row>
    <row r="149" spans="2:23" x14ac:dyDescent="0.6">
      <c r="B149" s="179">
        <f t="shared" si="2"/>
        <v>139</v>
      </c>
      <c r="C149" s="314" t="s">
        <v>1014</v>
      </c>
      <c r="D149" s="314" t="s">
        <v>119</v>
      </c>
      <c r="E149" s="314" t="s">
        <v>1015</v>
      </c>
      <c r="F149" s="314" t="s">
        <v>572</v>
      </c>
      <c r="H149" s="184"/>
      <c r="I149" s="184"/>
      <c r="J149" s="184"/>
      <c r="K149" s="184"/>
      <c r="L149" s="539" t="s">
        <v>881</v>
      </c>
      <c r="M149" s="539"/>
      <c r="N149" s="539"/>
      <c r="O149" s="539"/>
      <c r="P149" s="539"/>
      <c r="Q149" s="539"/>
      <c r="R149" s="539"/>
      <c r="S149" s="539"/>
      <c r="T149" s="539"/>
      <c r="U149" s="539"/>
      <c r="V149" s="539"/>
      <c r="W149" s="539"/>
    </row>
    <row r="150" spans="2:23" x14ac:dyDescent="0.6">
      <c r="B150" s="179">
        <f t="shared" si="2"/>
        <v>140</v>
      </c>
      <c r="C150" s="314" t="s">
        <v>1016</v>
      </c>
      <c r="D150" s="314" t="s">
        <v>119</v>
      </c>
      <c r="E150" s="314" t="s">
        <v>1017</v>
      </c>
      <c r="F150" s="314" t="s">
        <v>572</v>
      </c>
      <c r="H150" s="184"/>
      <c r="I150" s="184"/>
      <c r="J150" s="184"/>
      <c r="K150" s="184"/>
      <c r="L150" s="539" t="s">
        <v>881</v>
      </c>
      <c r="M150" s="539"/>
      <c r="N150" s="539"/>
      <c r="O150" s="539"/>
      <c r="P150" s="539"/>
      <c r="Q150" s="539"/>
      <c r="R150" s="539"/>
      <c r="S150" s="539"/>
      <c r="T150" s="539"/>
      <c r="U150" s="539"/>
      <c r="V150" s="539"/>
      <c r="W150" s="539"/>
    </row>
    <row r="151" spans="2:23" x14ac:dyDescent="0.6">
      <c r="B151" s="179">
        <f t="shared" si="2"/>
        <v>141</v>
      </c>
      <c r="C151" s="314" t="s">
        <v>1018</v>
      </c>
      <c r="D151" s="314" t="s">
        <v>119</v>
      </c>
      <c r="E151" s="314" t="s">
        <v>1019</v>
      </c>
      <c r="F151" s="314" t="s">
        <v>572</v>
      </c>
      <c r="H151" s="184"/>
      <c r="I151" s="184"/>
      <c r="J151" s="184"/>
      <c r="K151" s="184"/>
      <c r="L151" s="539" t="s">
        <v>881</v>
      </c>
      <c r="M151" s="539"/>
      <c r="N151" s="539"/>
      <c r="O151" s="539"/>
      <c r="P151" s="539"/>
      <c r="Q151" s="539"/>
      <c r="R151" s="539"/>
      <c r="S151" s="539"/>
      <c r="T151" s="539"/>
      <c r="U151" s="539"/>
      <c r="V151" s="539"/>
      <c r="W151" s="539"/>
    </row>
    <row r="152" spans="2:23" x14ac:dyDescent="0.6">
      <c r="B152" s="179">
        <f t="shared" si="2"/>
        <v>142</v>
      </c>
      <c r="C152" s="176" t="s">
        <v>1020</v>
      </c>
      <c r="D152" s="176" t="s">
        <v>119</v>
      </c>
      <c r="E152" s="176" t="s">
        <v>1021</v>
      </c>
      <c r="F152" s="176" t="s">
        <v>559</v>
      </c>
      <c r="H152" s="184"/>
      <c r="I152" s="184"/>
      <c r="J152" s="184"/>
      <c r="K152" s="184"/>
      <c r="L152" s="539" t="s">
        <v>837</v>
      </c>
      <c r="M152" s="539"/>
      <c r="N152" s="539"/>
      <c r="O152" s="539"/>
      <c r="P152" s="539"/>
      <c r="Q152" s="539"/>
      <c r="R152" s="539"/>
      <c r="S152" s="539"/>
      <c r="T152" s="539"/>
      <c r="U152" s="539"/>
      <c r="V152" s="539"/>
      <c r="W152" s="539"/>
    </row>
    <row r="153" spans="2:23" x14ac:dyDescent="0.6">
      <c r="B153" s="179">
        <f t="shared" si="2"/>
        <v>143</v>
      </c>
      <c r="C153" s="176" t="s">
        <v>1022</v>
      </c>
      <c r="D153" s="176" t="s">
        <v>119</v>
      </c>
      <c r="E153" s="176" t="s">
        <v>1023</v>
      </c>
      <c r="F153" s="176" t="s">
        <v>559</v>
      </c>
      <c r="H153" s="184"/>
      <c r="I153" s="184"/>
      <c r="J153" s="184"/>
      <c r="K153" s="184"/>
      <c r="L153" s="539" t="s">
        <v>837</v>
      </c>
      <c r="M153" s="539"/>
      <c r="N153" s="539"/>
      <c r="O153" s="539"/>
      <c r="P153" s="539"/>
      <c r="Q153" s="539"/>
      <c r="R153" s="539"/>
      <c r="S153" s="539"/>
      <c r="T153" s="539"/>
      <c r="U153" s="539"/>
      <c r="V153" s="539"/>
      <c r="W153" s="539"/>
    </row>
    <row r="154" spans="2:23" x14ac:dyDescent="0.6">
      <c r="B154" s="179">
        <f t="shared" si="2"/>
        <v>144</v>
      </c>
      <c r="C154" s="176" t="s">
        <v>1024</v>
      </c>
      <c r="D154" s="176" t="s">
        <v>119</v>
      </c>
      <c r="E154" s="176" t="s">
        <v>1025</v>
      </c>
      <c r="F154" s="176" t="s">
        <v>572</v>
      </c>
      <c r="H154" s="184"/>
      <c r="I154" s="184"/>
      <c r="J154" s="184"/>
      <c r="K154" s="184"/>
      <c r="L154" s="539" t="s">
        <v>881</v>
      </c>
      <c r="M154" s="539"/>
      <c r="N154" s="539"/>
      <c r="O154" s="539"/>
      <c r="P154" s="539"/>
      <c r="Q154" s="539"/>
      <c r="R154" s="539"/>
      <c r="S154" s="539"/>
      <c r="T154" s="539"/>
      <c r="U154" s="539"/>
      <c r="V154" s="539"/>
      <c r="W154" s="539"/>
    </row>
    <row r="155" spans="2:23" x14ac:dyDescent="0.6">
      <c r="B155" s="179">
        <f t="shared" si="2"/>
        <v>145</v>
      </c>
      <c r="C155" s="176" t="s">
        <v>1026</v>
      </c>
      <c r="D155" s="176" t="s">
        <v>119</v>
      </c>
      <c r="E155" s="176" t="s">
        <v>1027</v>
      </c>
      <c r="F155" s="176" t="s">
        <v>572</v>
      </c>
      <c r="H155" s="184"/>
      <c r="I155" s="184"/>
      <c r="J155" s="184"/>
      <c r="K155" s="184"/>
      <c r="L155" s="539" t="s">
        <v>881</v>
      </c>
      <c r="M155" s="539"/>
      <c r="N155" s="539"/>
      <c r="O155" s="539"/>
      <c r="P155" s="539"/>
      <c r="Q155" s="539"/>
      <c r="R155" s="539"/>
      <c r="S155" s="539"/>
      <c r="T155" s="539"/>
      <c r="U155" s="539"/>
      <c r="V155" s="539"/>
      <c r="W155" s="539"/>
    </row>
    <row r="156" spans="2:23" x14ac:dyDescent="0.6">
      <c r="B156" s="179">
        <f t="shared" si="2"/>
        <v>146</v>
      </c>
      <c r="C156" s="176" t="s">
        <v>1028</v>
      </c>
      <c r="D156" s="176" t="s">
        <v>119</v>
      </c>
      <c r="E156" s="176" t="s">
        <v>1029</v>
      </c>
      <c r="F156" s="176" t="s">
        <v>572</v>
      </c>
      <c r="H156" s="184"/>
      <c r="I156" s="184"/>
      <c r="J156" s="184"/>
      <c r="K156" s="184"/>
      <c r="L156" s="539" t="s">
        <v>881</v>
      </c>
      <c r="M156" s="539"/>
      <c r="N156" s="539"/>
      <c r="O156" s="539"/>
      <c r="P156" s="539"/>
      <c r="Q156" s="539"/>
      <c r="R156" s="539"/>
      <c r="S156" s="539"/>
      <c r="T156" s="539"/>
      <c r="U156" s="539"/>
      <c r="V156" s="539"/>
      <c r="W156" s="539"/>
    </row>
    <row r="157" spans="2:23" x14ac:dyDescent="0.6">
      <c r="B157" s="179">
        <f t="shared" si="2"/>
        <v>147</v>
      </c>
      <c r="C157" s="176" t="s">
        <v>1030</v>
      </c>
      <c r="D157" s="176" t="s">
        <v>119</v>
      </c>
      <c r="E157" s="176" t="s">
        <v>1031</v>
      </c>
      <c r="F157" s="176" t="s">
        <v>572</v>
      </c>
      <c r="H157" s="184"/>
      <c r="I157" s="184"/>
      <c r="J157" s="184"/>
      <c r="K157" s="184"/>
      <c r="L157" s="539" t="s">
        <v>881</v>
      </c>
      <c r="M157" s="539"/>
      <c r="N157" s="539"/>
      <c r="O157" s="539"/>
      <c r="P157" s="539"/>
      <c r="Q157" s="539"/>
      <c r="R157" s="539"/>
      <c r="S157" s="539"/>
      <c r="T157" s="539"/>
      <c r="U157" s="539"/>
      <c r="V157" s="539"/>
      <c r="W157" s="539"/>
    </row>
    <row r="158" spans="2:23" x14ac:dyDescent="0.6">
      <c r="B158" s="179">
        <f t="shared" si="2"/>
        <v>148</v>
      </c>
      <c r="C158" s="176" t="s">
        <v>1032</v>
      </c>
      <c r="D158" s="176" t="s">
        <v>119</v>
      </c>
      <c r="E158" s="176" t="s">
        <v>1033</v>
      </c>
      <c r="F158" s="176" t="s">
        <v>572</v>
      </c>
      <c r="H158" s="184"/>
      <c r="I158" s="184"/>
      <c r="J158" s="184"/>
      <c r="K158" s="184"/>
      <c r="L158" s="539" t="s">
        <v>881</v>
      </c>
      <c r="M158" s="539"/>
      <c r="N158" s="539"/>
      <c r="O158" s="539"/>
      <c r="P158" s="539"/>
      <c r="Q158" s="539"/>
      <c r="R158" s="539"/>
      <c r="S158" s="539"/>
      <c r="T158" s="539"/>
      <c r="U158" s="539"/>
      <c r="V158" s="539"/>
      <c r="W158" s="539"/>
    </row>
    <row r="159" spans="2:23" x14ac:dyDescent="0.6">
      <c r="B159" s="179">
        <f t="shared" si="2"/>
        <v>149</v>
      </c>
      <c r="C159" s="176" t="s">
        <v>1034</v>
      </c>
      <c r="D159" s="176" t="s">
        <v>119</v>
      </c>
      <c r="E159" s="176" t="s">
        <v>1035</v>
      </c>
      <c r="F159" s="176" t="s">
        <v>572</v>
      </c>
      <c r="H159" s="184"/>
      <c r="I159" s="184"/>
      <c r="J159" s="184"/>
      <c r="K159" s="184"/>
      <c r="L159" s="539" t="s">
        <v>881</v>
      </c>
      <c r="M159" s="539"/>
      <c r="N159" s="539"/>
      <c r="O159" s="539"/>
      <c r="P159" s="539"/>
      <c r="Q159" s="539"/>
      <c r="R159" s="539"/>
      <c r="S159" s="539"/>
      <c r="T159" s="539"/>
      <c r="U159" s="539"/>
      <c r="V159" s="539"/>
      <c r="W159" s="539"/>
    </row>
    <row r="160" spans="2:23" x14ac:dyDescent="0.6">
      <c r="B160" s="179">
        <f t="shared" si="2"/>
        <v>150</v>
      </c>
      <c r="C160" s="314" t="s">
        <v>1036</v>
      </c>
      <c r="D160" s="314" t="s">
        <v>119</v>
      </c>
      <c r="E160" s="314" t="s">
        <v>1037</v>
      </c>
      <c r="F160" s="314" t="s">
        <v>559</v>
      </c>
      <c r="H160" s="184"/>
      <c r="I160" s="184"/>
      <c r="J160" s="184"/>
      <c r="K160" s="184"/>
      <c r="L160" s="539" t="s">
        <v>837</v>
      </c>
      <c r="M160" s="539"/>
      <c r="N160" s="539"/>
      <c r="O160" s="539"/>
      <c r="P160" s="539"/>
      <c r="Q160" s="539"/>
      <c r="R160" s="539"/>
      <c r="S160" s="539"/>
      <c r="T160" s="539"/>
      <c r="U160" s="539"/>
      <c r="V160" s="539"/>
      <c r="W160" s="539"/>
    </row>
    <row r="161" spans="2:23" x14ac:dyDescent="0.6">
      <c r="B161" s="179">
        <f t="shared" si="2"/>
        <v>151</v>
      </c>
      <c r="C161" s="314" t="s">
        <v>1038</v>
      </c>
      <c r="D161" s="314" t="s">
        <v>119</v>
      </c>
      <c r="E161" s="314" t="s">
        <v>1039</v>
      </c>
      <c r="F161" s="314" t="s">
        <v>559</v>
      </c>
      <c r="H161" s="184"/>
      <c r="I161" s="184"/>
      <c r="J161" s="184"/>
      <c r="K161" s="184"/>
      <c r="L161" s="539" t="s">
        <v>837</v>
      </c>
      <c r="M161" s="539"/>
      <c r="N161" s="539"/>
      <c r="O161" s="539"/>
      <c r="P161" s="539"/>
      <c r="Q161" s="539"/>
      <c r="R161" s="539"/>
      <c r="S161" s="539"/>
      <c r="T161" s="539"/>
      <c r="U161" s="539"/>
      <c r="V161" s="539"/>
      <c r="W161" s="539"/>
    </row>
    <row r="162" spans="2:23" x14ac:dyDescent="0.6">
      <c r="B162" s="179">
        <f t="shared" si="2"/>
        <v>152</v>
      </c>
      <c r="C162" s="314" t="s">
        <v>1040</v>
      </c>
      <c r="D162" s="314" t="s">
        <v>119</v>
      </c>
      <c r="E162" s="314" t="s">
        <v>1041</v>
      </c>
      <c r="F162" s="314" t="s">
        <v>572</v>
      </c>
      <c r="H162" s="184"/>
      <c r="I162" s="184"/>
      <c r="J162" s="184"/>
      <c r="K162" s="184"/>
      <c r="L162" s="539" t="s">
        <v>881</v>
      </c>
      <c r="M162" s="539"/>
      <c r="N162" s="539"/>
      <c r="O162" s="539"/>
      <c r="P162" s="539"/>
      <c r="Q162" s="539"/>
      <c r="R162" s="539"/>
      <c r="S162" s="539"/>
      <c r="T162" s="539"/>
      <c r="U162" s="539"/>
      <c r="V162" s="539"/>
      <c r="W162" s="539"/>
    </row>
    <row r="163" spans="2:23" x14ac:dyDescent="0.6">
      <c r="B163" s="179">
        <f t="shared" si="2"/>
        <v>153</v>
      </c>
      <c r="C163" s="314" t="s">
        <v>1042</v>
      </c>
      <c r="D163" s="314" t="s">
        <v>119</v>
      </c>
      <c r="E163" s="314" t="s">
        <v>1043</v>
      </c>
      <c r="F163" s="314" t="s">
        <v>572</v>
      </c>
      <c r="H163" s="184"/>
      <c r="I163" s="184"/>
      <c r="J163" s="184"/>
      <c r="K163" s="184"/>
      <c r="L163" s="539" t="s">
        <v>881</v>
      </c>
      <c r="M163" s="539"/>
      <c r="N163" s="539"/>
      <c r="O163" s="539"/>
      <c r="P163" s="539"/>
      <c r="Q163" s="539"/>
      <c r="R163" s="539"/>
      <c r="S163" s="539"/>
      <c r="T163" s="539"/>
      <c r="U163" s="539"/>
      <c r="V163" s="539"/>
      <c r="W163" s="539"/>
    </row>
    <row r="164" spans="2:23" x14ac:dyDescent="0.6">
      <c r="B164" s="179">
        <f t="shared" si="2"/>
        <v>154</v>
      </c>
      <c r="C164" s="314" t="s">
        <v>1044</v>
      </c>
      <c r="D164" s="314" t="s">
        <v>119</v>
      </c>
      <c r="E164" s="314" t="s">
        <v>1045</v>
      </c>
      <c r="F164" s="314" t="s">
        <v>572</v>
      </c>
      <c r="H164" s="184"/>
      <c r="I164" s="184"/>
      <c r="J164" s="184"/>
      <c r="K164" s="184"/>
      <c r="L164" s="539" t="s">
        <v>881</v>
      </c>
      <c r="M164" s="539"/>
      <c r="N164" s="539"/>
      <c r="O164" s="539"/>
      <c r="P164" s="539"/>
      <c r="Q164" s="539"/>
      <c r="R164" s="539"/>
      <c r="S164" s="539"/>
      <c r="T164" s="539"/>
      <c r="U164" s="539"/>
      <c r="V164" s="539"/>
      <c r="W164" s="539"/>
    </row>
    <row r="165" spans="2:23" x14ac:dyDescent="0.6">
      <c r="B165" s="179">
        <f t="shared" si="2"/>
        <v>155</v>
      </c>
      <c r="C165" s="314" t="s">
        <v>1046</v>
      </c>
      <c r="D165" s="314" t="s">
        <v>119</v>
      </c>
      <c r="E165" s="314" t="s">
        <v>1047</v>
      </c>
      <c r="F165" s="314" t="s">
        <v>572</v>
      </c>
      <c r="H165" s="184"/>
      <c r="I165" s="184"/>
      <c r="J165" s="184"/>
      <c r="K165" s="184"/>
      <c r="L165" s="539" t="s">
        <v>881</v>
      </c>
      <c r="M165" s="539"/>
      <c r="N165" s="539"/>
      <c r="O165" s="539"/>
      <c r="P165" s="539"/>
      <c r="Q165" s="539"/>
      <c r="R165" s="539"/>
      <c r="S165" s="539"/>
      <c r="T165" s="539"/>
      <c r="U165" s="539"/>
      <c r="V165" s="539"/>
      <c r="W165" s="539"/>
    </row>
    <row r="166" spans="2:23" x14ac:dyDescent="0.6">
      <c r="B166" s="179">
        <f t="shared" si="2"/>
        <v>156</v>
      </c>
      <c r="C166" s="314" t="s">
        <v>1048</v>
      </c>
      <c r="D166" s="314" t="s">
        <v>119</v>
      </c>
      <c r="E166" s="314" t="s">
        <v>1049</v>
      </c>
      <c r="F166" s="314" t="s">
        <v>572</v>
      </c>
      <c r="H166" s="184"/>
      <c r="I166" s="184"/>
      <c r="J166" s="184"/>
      <c r="K166" s="184"/>
      <c r="L166" s="539" t="s">
        <v>881</v>
      </c>
      <c r="M166" s="539"/>
      <c r="N166" s="539"/>
      <c r="O166" s="539"/>
      <c r="P166" s="539"/>
      <c r="Q166" s="539"/>
      <c r="R166" s="539"/>
      <c r="S166" s="539"/>
      <c r="T166" s="539"/>
      <c r="U166" s="539"/>
      <c r="V166" s="539"/>
      <c r="W166" s="539"/>
    </row>
    <row r="167" spans="2:23" x14ac:dyDescent="0.6">
      <c r="B167" s="179">
        <f t="shared" si="2"/>
        <v>157</v>
      </c>
      <c r="C167" s="314" t="s">
        <v>1050</v>
      </c>
      <c r="D167" s="314" t="s">
        <v>119</v>
      </c>
      <c r="E167" s="314" t="s">
        <v>1051</v>
      </c>
      <c r="F167" s="314" t="s">
        <v>572</v>
      </c>
      <c r="H167" s="184"/>
      <c r="I167" s="184"/>
      <c r="J167" s="184"/>
      <c r="K167" s="184"/>
      <c r="L167" s="539" t="s">
        <v>881</v>
      </c>
      <c r="M167" s="539"/>
      <c r="N167" s="539"/>
      <c r="O167" s="539"/>
      <c r="P167" s="539"/>
      <c r="Q167" s="539"/>
      <c r="R167" s="539"/>
      <c r="S167" s="539"/>
      <c r="T167" s="539"/>
      <c r="U167" s="539"/>
      <c r="V167" s="539"/>
      <c r="W167" s="539"/>
    </row>
    <row r="168" spans="2:23" x14ac:dyDescent="0.6">
      <c r="B168" s="179">
        <f t="shared" si="2"/>
        <v>158</v>
      </c>
      <c r="C168" s="176" t="s">
        <v>1052</v>
      </c>
      <c r="D168" s="176" t="s">
        <v>119</v>
      </c>
      <c r="E168" s="176" t="s">
        <v>1053</v>
      </c>
      <c r="F168" s="176" t="s">
        <v>559</v>
      </c>
      <c r="H168" s="184"/>
      <c r="I168" s="184"/>
      <c r="J168" s="184"/>
      <c r="K168" s="184"/>
      <c r="L168" s="539" t="s">
        <v>837</v>
      </c>
      <c r="M168" s="539"/>
      <c r="N168" s="539"/>
      <c r="O168" s="539"/>
      <c r="P168" s="539"/>
      <c r="Q168" s="539"/>
      <c r="R168" s="539"/>
      <c r="S168" s="539"/>
      <c r="T168" s="539"/>
      <c r="U168" s="539"/>
      <c r="V168" s="539"/>
      <c r="W168" s="539"/>
    </row>
    <row r="169" spans="2:23" x14ac:dyDescent="0.6">
      <c r="B169" s="179">
        <f t="shared" si="2"/>
        <v>159</v>
      </c>
      <c r="C169" s="176" t="s">
        <v>1054</v>
      </c>
      <c r="D169" s="176" t="s">
        <v>119</v>
      </c>
      <c r="E169" s="176" t="s">
        <v>1055</v>
      </c>
      <c r="F169" s="176" t="s">
        <v>559</v>
      </c>
      <c r="H169" s="184"/>
      <c r="I169" s="184"/>
      <c r="J169" s="184"/>
      <c r="K169" s="184"/>
      <c r="L169" s="539" t="s">
        <v>837</v>
      </c>
      <c r="M169" s="539"/>
      <c r="N169" s="539"/>
      <c r="O169" s="539"/>
      <c r="P169" s="539"/>
      <c r="Q169" s="539"/>
      <c r="R169" s="539"/>
      <c r="S169" s="539"/>
      <c r="T169" s="539"/>
      <c r="U169" s="539"/>
      <c r="V169" s="539"/>
      <c r="W169" s="539"/>
    </row>
    <row r="170" spans="2:23" x14ac:dyDescent="0.6">
      <c r="B170" s="179">
        <f t="shared" si="2"/>
        <v>160</v>
      </c>
      <c r="C170" s="176" t="s">
        <v>1056</v>
      </c>
      <c r="D170" s="176" t="s">
        <v>119</v>
      </c>
      <c r="E170" s="176" t="s">
        <v>1057</v>
      </c>
      <c r="F170" s="176" t="s">
        <v>572</v>
      </c>
      <c r="H170" s="184"/>
      <c r="I170" s="184"/>
      <c r="J170" s="184"/>
      <c r="K170" s="184"/>
      <c r="L170" s="539" t="s">
        <v>881</v>
      </c>
      <c r="M170" s="539"/>
      <c r="N170" s="539"/>
      <c r="O170" s="539"/>
      <c r="P170" s="539"/>
      <c r="Q170" s="539"/>
      <c r="R170" s="539"/>
      <c r="S170" s="539"/>
      <c r="T170" s="539"/>
      <c r="U170" s="539"/>
      <c r="V170" s="539"/>
      <c r="W170" s="539"/>
    </row>
    <row r="171" spans="2:23" x14ac:dyDescent="0.6">
      <c r="B171" s="179">
        <f t="shared" si="2"/>
        <v>161</v>
      </c>
      <c r="C171" s="176" t="s">
        <v>1058</v>
      </c>
      <c r="D171" s="176" t="s">
        <v>119</v>
      </c>
      <c r="E171" s="176" t="s">
        <v>1059</v>
      </c>
      <c r="F171" s="176" t="s">
        <v>572</v>
      </c>
      <c r="H171" s="184"/>
      <c r="I171" s="184"/>
      <c r="J171" s="184"/>
      <c r="K171" s="184"/>
      <c r="L171" s="539" t="s">
        <v>881</v>
      </c>
      <c r="M171" s="539"/>
      <c r="N171" s="539"/>
      <c r="O171" s="539"/>
      <c r="P171" s="539"/>
      <c r="Q171" s="539"/>
      <c r="R171" s="539"/>
      <c r="S171" s="539"/>
      <c r="T171" s="539"/>
      <c r="U171" s="539"/>
      <c r="V171" s="539"/>
      <c r="W171" s="539"/>
    </row>
    <row r="172" spans="2:23" x14ac:dyDescent="0.6">
      <c r="B172" s="179">
        <f t="shared" si="2"/>
        <v>162</v>
      </c>
      <c r="C172" s="176" t="s">
        <v>1060</v>
      </c>
      <c r="D172" s="176" t="s">
        <v>119</v>
      </c>
      <c r="E172" s="176" t="s">
        <v>1061</v>
      </c>
      <c r="F172" s="176" t="s">
        <v>572</v>
      </c>
      <c r="H172" s="184"/>
      <c r="I172" s="184"/>
      <c r="J172" s="184"/>
      <c r="K172" s="184"/>
      <c r="L172" s="539" t="s">
        <v>881</v>
      </c>
      <c r="M172" s="539"/>
      <c r="N172" s="539"/>
      <c r="O172" s="539"/>
      <c r="P172" s="539"/>
      <c r="Q172" s="539"/>
      <c r="R172" s="539"/>
      <c r="S172" s="539"/>
      <c r="T172" s="539"/>
      <c r="U172" s="539"/>
      <c r="V172" s="539"/>
      <c r="W172" s="539"/>
    </row>
    <row r="173" spans="2:23" x14ac:dyDescent="0.6">
      <c r="B173" s="179">
        <f t="shared" si="2"/>
        <v>163</v>
      </c>
      <c r="C173" s="176" t="s">
        <v>1062</v>
      </c>
      <c r="D173" s="176" t="s">
        <v>119</v>
      </c>
      <c r="E173" s="176" t="s">
        <v>1063</v>
      </c>
      <c r="F173" s="176" t="s">
        <v>572</v>
      </c>
      <c r="H173" s="184"/>
      <c r="I173" s="184"/>
      <c r="J173" s="184"/>
      <c r="K173" s="184"/>
      <c r="L173" s="539" t="s">
        <v>881</v>
      </c>
      <c r="M173" s="539"/>
      <c r="N173" s="539"/>
      <c r="O173" s="539"/>
      <c r="P173" s="539"/>
      <c r="Q173" s="539"/>
      <c r="R173" s="539"/>
      <c r="S173" s="539"/>
      <c r="T173" s="539"/>
      <c r="U173" s="539"/>
      <c r="V173" s="539"/>
      <c r="W173" s="539"/>
    </row>
    <row r="174" spans="2:23" x14ac:dyDescent="0.6">
      <c r="B174" s="179">
        <f t="shared" si="2"/>
        <v>164</v>
      </c>
      <c r="C174" s="176" t="s">
        <v>1064</v>
      </c>
      <c r="D174" s="176" t="s">
        <v>119</v>
      </c>
      <c r="E174" s="176" t="s">
        <v>1065</v>
      </c>
      <c r="F174" s="176" t="s">
        <v>572</v>
      </c>
      <c r="H174" s="184"/>
      <c r="I174" s="184"/>
      <c r="J174" s="184"/>
      <c r="K174" s="184"/>
      <c r="L174" s="539" t="s">
        <v>881</v>
      </c>
      <c r="M174" s="539"/>
      <c r="N174" s="539"/>
      <c r="O174" s="539"/>
      <c r="P174" s="539"/>
      <c r="Q174" s="539"/>
      <c r="R174" s="539"/>
      <c r="S174" s="539"/>
      <c r="T174" s="539"/>
      <c r="U174" s="539"/>
      <c r="V174" s="539"/>
      <c r="W174" s="539"/>
    </row>
    <row r="175" spans="2:23" x14ac:dyDescent="0.6">
      <c r="B175" s="179">
        <f t="shared" si="2"/>
        <v>165</v>
      </c>
      <c r="C175" s="176" t="s">
        <v>1066</v>
      </c>
      <c r="D175" s="176" t="s">
        <v>119</v>
      </c>
      <c r="E175" s="176" t="s">
        <v>1067</v>
      </c>
      <c r="F175" s="176" t="s">
        <v>572</v>
      </c>
      <c r="H175" s="184"/>
      <c r="I175" s="184"/>
      <c r="J175" s="184"/>
      <c r="K175" s="184"/>
      <c r="L175" s="539" t="s">
        <v>881</v>
      </c>
      <c r="M175" s="539"/>
      <c r="N175" s="539"/>
      <c r="O175" s="539"/>
      <c r="P175" s="539"/>
      <c r="Q175" s="539"/>
      <c r="R175" s="539"/>
      <c r="S175" s="539"/>
      <c r="T175" s="539"/>
      <c r="U175" s="539"/>
      <c r="V175" s="539"/>
      <c r="W175" s="539"/>
    </row>
    <row r="176" spans="2:23" x14ac:dyDescent="0.6">
      <c r="B176" s="179">
        <f t="shared" si="2"/>
        <v>166</v>
      </c>
      <c r="C176" s="314" t="s">
        <v>1068</v>
      </c>
      <c r="D176" s="314" t="s">
        <v>119</v>
      </c>
      <c r="E176" s="314" t="s">
        <v>1069</v>
      </c>
      <c r="F176" s="314" t="s">
        <v>559</v>
      </c>
      <c r="H176" s="184"/>
      <c r="I176" s="184"/>
      <c r="J176" s="184"/>
      <c r="K176" s="184"/>
      <c r="L176" s="539" t="s">
        <v>837</v>
      </c>
      <c r="M176" s="539"/>
      <c r="N176" s="539"/>
      <c r="O176" s="539"/>
      <c r="P176" s="539"/>
      <c r="Q176" s="539"/>
      <c r="R176" s="539"/>
      <c r="S176" s="539"/>
      <c r="T176" s="539"/>
      <c r="U176" s="539"/>
      <c r="V176" s="539"/>
      <c r="W176" s="539"/>
    </row>
    <row r="177" spans="2:23" x14ac:dyDescent="0.6">
      <c r="B177" s="179">
        <f t="shared" si="2"/>
        <v>167</v>
      </c>
      <c r="C177" s="314" t="s">
        <v>1070</v>
      </c>
      <c r="D177" s="314" t="s">
        <v>119</v>
      </c>
      <c r="E177" s="314" t="s">
        <v>1071</v>
      </c>
      <c r="F177" s="314" t="s">
        <v>559</v>
      </c>
      <c r="H177" s="184"/>
      <c r="I177" s="184"/>
      <c r="J177" s="184"/>
      <c r="K177" s="184"/>
      <c r="L177" s="539" t="s">
        <v>837</v>
      </c>
      <c r="M177" s="539"/>
      <c r="N177" s="539"/>
      <c r="O177" s="539"/>
      <c r="P177" s="539"/>
      <c r="Q177" s="539"/>
      <c r="R177" s="539"/>
      <c r="S177" s="539"/>
      <c r="T177" s="539"/>
      <c r="U177" s="539"/>
      <c r="V177" s="539"/>
      <c r="W177" s="539"/>
    </row>
    <row r="178" spans="2:23" x14ac:dyDescent="0.6">
      <c r="B178" s="179">
        <f t="shared" si="2"/>
        <v>168</v>
      </c>
      <c r="C178" s="314" t="s">
        <v>1072</v>
      </c>
      <c r="D178" s="314" t="s">
        <v>119</v>
      </c>
      <c r="E178" s="314" t="s">
        <v>1073</v>
      </c>
      <c r="F178" s="314" t="s">
        <v>572</v>
      </c>
      <c r="H178" s="184"/>
      <c r="I178" s="184"/>
      <c r="J178" s="184"/>
      <c r="K178" s="184"/>
      <c r="L178" s="539" t="s">
        <v>881</v>
      </c>
      <c r="M178" s="539"/>
      <c r="N178" s="539"/>
      <c r="O178" s="539"/>
      <c r="P178" s="539"/>
      <c r="Q178" s="539"/>
      <c r="R178" s="539"/>
      <c r="S178" s="539"/>
      <c r="T178" s="539"/>
      <c r="U178" s="539"/>
      <c r="V178" s="539"/>
      <c r="W178" s="539"/>
    </row>
    <row r="179" spans="2:23" x14ac:dyDescent="0.6">
      <c r="B179" s="179">
        <f t="shared" si="2"/>
        <v>169</v>
      </c>
      <c r="C179" s="314" t="s">
        <v>1074</v>
      </c>
      <c r="D179" s="314" t="s">
        <v>119</v>
      </c>
      <c r="E179" s="314" t="s">
        <v>1075</v>
      </c>
      <c r="F179" s="314" t="s">
        <v>572</v>
      </c>
      <c r="H179" s="184"/>
      <c r="I179" s="184"/>
      <c r="J179" s="184"/>
      <c r="K179" s="184"/>
      <c r="L179" s="539" t="s">
        <v>881</v>
      </c>
      <c r="M179" s="539"/>
      <c r="N179" s="539"/>
      <c r="O179" s="539"/>
      <c r="P179" s="539"/>
      <c r="Q179" s="539"/>
      <c r="R179" s="539"/>
      <c r="S179" s="539"/>
      <c r="T179" s="539"/>
      <c r="U179" s="539"/>
      <c r="V179" s="539"/>
      <c r="W179" s="539"/>
    </row>
    <row r="180" spans="2:23" x14ac:dyDescent="0.6">
      <c r="B180" s="179">
        <f t="shared" si="2"/>
        <v>170</v>
      </c>
      <c r="C180" s="314" t="s">
        <v>1076</v>
      </c>
      <c r="D180" s="314" t="s">
        <v>119</v>
      </c>
      <c r="E180" s="314" t="s">
        <v>1077</v>
      </c>
      <c r="F180" s="314" t="s">
        <v>572</v>
      </c>
      <c r="H180" s="184"/>
      <c r="I180" s="184"/>
      <c r="J180" s="184"/>
      <c r="K180" s="184"/>
      <c r="L180" s="539" t="s">
        <v>881</v>
      </c>
      <c r="M180" s="539"/>
      <c r="N180" s="539"/>
      <c r="O180" s="539"/>
      <c r="P180" s="539"/>
      <c r="Q180" s="539"/>
      <c r="R180" s="539"/>
      <c r="S180" s="539"/>
      <c r="T180" s="539"/>
      <c r="U180" s="539"/>
      <c r="V180" s="539"/>
      <c r="W180" s="539"/>
    </row>
    <row r="181" spans="2:23" x14ac:dyDescent="0.6">
      <c r="B181" s="179">
        <f t="shared" si="2"/>
        <v>171</v>
      </c>
      <c r="C181" s="314" t="s">
        <v>1078</v>
      </c>
      <c r="D181" s="314" t="s">
        <v>119</v>
      </c>
      <c r="E181" s="314" t="s">
        <v>1079</v>
      </c>
      <c r="F181" s="314" t="s">
        <v>572</v>
      </c>
      <c r="H181" s="184"/>
      <c r="I181" s="184"/>
      <c r="J181" s="184"/>
      <c r="K181" s="184"/>
      <c r="L181" s="539" t="s">
        <v>881</v>
      </c>
      <c r="M181" s="539"/>
      <c r="N181" s="539"/>
      <c r="O181" s="539"/>
      <c r="P181" s="539"/>
      <c r="Q181" s="539"/>
      <c r="R181" s="539"/>
      <c r="S181" s="539"/>
      <c r="T181" s="539"/>
      <c r="U181" s="539"/>
      <c r="V181" s="539"/>
      <c r="W181" s="539"/>
    </row>
    <row r="182" spans="2:23" x14ac:dyDescent="0.6">
      <c r="B182" s="179">
        <f t="shared" si="2"/>
        <v>172</v>
      </c>
      <c r="C182" s="314" t="s">
        <v>1080</v>
      </c>
      <c r="D182" s="314" t="s">
        <v>119</v>
      </c>
      <c r="E182" s="314" t="s">
        <v>1081</v>
      </c>
      <c r="F182" s="314" t="s">
        <v>572</v>
      </c>
      <c r="H182" s="184"/>
      <c r="I182" s="184"/>
      <c r="J182" s="184"/>
      <c r="K182" s="184"/>
      <c r="L182" s="539" t="s">
        <v>881</v>
      </c>
      <c r="M182" s="539"/>
      <c r="N182" s="539"/>
      <c r="O182" s="539"/>
      <c r="P182" s="539"/>
      <c r="Q182" s="539"/>
      <c r="R182" s="539"/>
      <c r="S182" s="539"/>
      <c r="T182" s="539"/>
      <c r="U182" s="539"/>
      <c r="V182" s="539"/>
      <c r="W182" s="539"/>
    </row>
    <row r="183" spans="2:23" x14ac:dyDescent="0.6">
      <c r="B183" s="179">
        <f t="shared" si="2"/>
        <v>173</v>
      </c>
      <c r="C183" s="314" t="s">
        <v>1082</v>
      </c>
      <c r="D183" s="314" t="s">
        <v>119</v>
      </c>
      <c r="E183" s="314" t="s">
        <v>1083</v>
      </c>
      <c r="F183" s="314" t="s">
        <v>572</v>
      </c>
      <c r="H183" s="184"/>
      <c r="I183" s="184"/>
      <c r="J183" s="184"/>
      <c r="K183" s="184"/>
      <c r="L183" s="539" t="s">
        <v>881</v>
      </c>
      <c r="M183" s="539"/>
      <c r="N183" s="539"/>
      <c r="O183" s="539"/>
      <c r="P183" s="539"/>
      <c r="Q183" s="539"/>
      <c r="R183" s="539"/>
      <c r="S183" s="539"/>
      <c r="T183" s="539"/>
      <c r="U183" s="539"/>
      <c r="V183" s="539"/>
      <c r="W183" s="539"/>
    </row>
    <row r="184" spans="2:23" x14ac:dyDescent="0.6">
      <c r="B184" s="179">
        <f t="shared" si="2"/>
        <v>174</v>
      </c>
      <c r="C184" s="176" t="s">
        <v>1084</v>
      </c>
      <c r="D184" s="176" t="s">
        <v>119</v>
      </c>
      <c r="E184" s="176" t="s">
        <v>1085</v>
      </c>
      <c r="F184" s="176" t="s">
        <v>559</v>
      </c>
      <c r="H184" s="184"/>
      <c r="I184" s="184"/>
      <c r="J184" s="184"/>
      <c r="K184" s="184"/>
      <c r="L184" s="539" t="s">
        <v>837</v>
      </c>
      <c r="M184" s="539"/>
      <c r="N184" s="539"/>
      <c r="O184" s="539"/>
      <c r="P184" s="539"/>
      <c r="Q184" s="539"/>
      <c r="R184" s="539"/>
      <c r="S184" s="539"/>
      <c r="T184" s="539"/>
      <c r="U184" s="539"/>
      <c r="V184" s="539"/>
      <c r="W184" s="539"/>
    </row>
    <row r="185" spans="2:23" x14ac:dyDescent="0.6">
      <c r="B185" s="179">
        <f t="shared" si="2"/>
        <v>175</v>
      </c>
      <c r="C185" s="176" t="s">
        <v>1086</v>
      </c>
      <c r="D185" s="176" t="s">
        <v>119</v>
      </c>
      <c r="E185" s="176" t="s">
        <v>1087</v>
      </c>
      <c r="F185" s="176" t="s">
        <v>559</v>
      </c>
      <c r="H185" s="184"/>
      <c r="I185" s="184"/>
      <c r="J185" s="184"/>
      <c r="K185" s="184"/>
      <c r="L185" s="539" t="s">
        <v>837</v>
      </c>
      <c r="M185" s="539"/>
      <c r="N185" s="539"/>
      <c r="O185" s="539"/>
      <c r="P185" s="539"/>
      <c r="Q185" s="539"/>
      <c r="R185" s="539"/>
      <c r="S185" s="539"/>
      <c r="T185" s="539"/>
      <c r="U185" s="539"/>
      <c r="V185" s="539"/>
      <c r="W185" s="539"/>
    </row>
    <row r="186" spans="2:23" x14ac:dyDescent="0.6">
      <c r="B186" s="179">
        <f t="shared" si="2"/>
        <v>176</v>
      </c>
      <c r="C186" s="176" t="s">
        <v>1088</v>
      </c>
      <c r="D186" s="176" t="s">
        <v>119</v>
      </c>
      <c r="E186" s="176" t="s">
        <v>1089</v>
      </c>
      <c r="F186" s="176" t="s">
        <v>572</v>
      </c>
      <c r="H186" s="184"/>
      <c r="I186" s="184"/>
      <c r="J186" s="184"/>
      <c r="K186" s="184"/>
      <c r="L186" s="539" t="s">
        <v>881</v>
      </c>
      <c r="M186" s="539"/>
      <c r="N186" s="539"/>
      <c r="O186" s="539"/>
      <c r="P186" s="539"/>
      <c r="Q186" s="539"/>
      <c r="R186" s="539"/>
      <c r="S186" s="539"/>
      <c r="T186" s="539"/>
      <c r="U186" s="539"/>
      <c r="V186" s="539"/>
      <c r="W186" s="539"/>
    </row>
    <row r="187" spans="2:23" x14ac:dyDescent="0.6">
      <c r="B187" s="179">
        <f t="shared" si="2"/>
        <v>177</v>
      </c>
      <c r="C187" s="176" t="s">
        <v>1090</v>
      </c>
      <c r="D187" s="176" t="s">
        <v>119</v>
      </c>
      <c r="E187" s="176" t="s">
        <v>1091</v>
      </c>
      <c r="F187" s="176" t="s">
        <v>572</v>
      </c>
      <c r="H187" s="184"/>
      <c r="I187" s="184"/>
      <c r="J187" s="184"/>
      <c r="K187" s="184"/>
      <c r="L187" s="539" t="s">
        <v>881</v>
      </c>
      <c r="M187" s="539"/>
      <c r="N187" s="539"/>
      <c r="O187" s="539"/>
      <c r="P187" s="539"/>
      <c r="Q187" s="539"/>
      <c r="R187" s="539"/>
      <c r="S187" s="539"/>
      <c r="T187" s="539"/>
      <c r="U187" s="539"/>
      <c r="V187" s="539"/>
      <c r="W187" s="539"/>
    </row>
    <row r="188" spans="2:23" x14ac:dyDescent="0.6">
      <c r="B188" s="179">
        <f t="shared" si="2"/>
        <v>178</v>
      </c>
      <c r="C188" s="176" t="s">
        <v>1092</v>
      </c>
      <c r="D188" s="176" t="s">
        <v>119</v>
      </c>
      <c r="E188" s="176" t="s">
        <v>1093</v>
      </c>
      <c r="F188" s="176" t="s">
        <v>572</v>
      </c>
      <c r="H188" s="184"/>
      <c r="I188" s="184"/>
      <c r="J188" s="184"/>
      <c r="K188" s="184"/>
      <c r="L188" s="539" t="s">
        <v>881</v>
      </c>
      <c r="M188" s="539"/>
      <c r="N188" s="539"/>
      <c r="O188" s="539"/>
      <c r="P188" s="539"/>
      <c r="Q188" s="539"/>
      <c r="R188" s="539"/>
      <c r="S188" s="539"/>
      <c r="T188" s="539"/>
      <c r="U188" s="539"/>
      <c r="V188" s="539"/>
      <c r="W188" s="539"/>
    </row>
    <row r="189" spans="2:23" x14ac:dyDescent="0.6">
      <c r="B189" s="179">
        <f t="shared" si="2"/>
        <v>179</v>
      </c>
      <c r="C189" s="176" t="s">
        <v>1094</v>
      </c>
      <c r="D189" s="176" t="s">
        <v>119</v>
      </c>
      <c r="E189" s="176" t="s">
        <v>1095</v>
      </c>
      <c r="F189" s="176" t="s">
        <v>572</v>
      </c>
      <c r="H189" s="184"/>
      <c r="I189" s="184"/>
      <c r="J189" s="184"/>
      <c r="K189" s="184"/>
      <c r="L189" s="539" t="s">
        <v>881</v>
      </c>
      <c r="M189" s="539"/>
      <c r="N189" s="539"/>
      <c r="O189" s="539"/>
      <c r="P189" s="539"/>
      <c r="Q189" s="539"/>
      <c r="R189" s="539"/>
      <c r="S189" s="539"/>
      <c r="T189" s="539"/>
      <c r="U189" s="539"/>
      <c r="V189" s="539"/>
      <c r="W189" s="539"/>
    </row>
    <row r="190" spans="2:23" x14ac:dyDescent="0.6">
      <c r="B190" s="179">
        <f t="shared" si="2"/>
        <v>180</v>
      </c>
      <c r="C190" s="176" t="s">
        <v>1096</v>
      </c>
      <c r="D190" s="176" t="s">
        <v>119</v>
      </c>
      <c r="E190" s="176" t="s">
        <v>1097</v>
      </c>
      <c r="F190" s="176" t="s">
        <v>572</v>
      </c>
      <c r="H190" s="184"/>
      <c r="I190" s="184"/>
      <c r="J190" s="184"/>
      <c r="K190" s="184"/>
      <c r="L190" s="539" t="s">
        <v>881</v>
      </c>
      <c r="M190" s="539"/>
      <c r="N190" s="539"/>
      <c r="O190" s="539"/>
      <c r="P190" s="539"/>
      <c r="Q190" s="539"/>
      <c r="R190" s="539"/>
      <c r="S190" s="539"/>
      <c r="T190" s="539"/>
      <c r="U190" s="539"/>
      <c r="V190" s="539"/>
      <c r="W190" s="539"/>
    </row>
    <row r="191" spans="2:23" x14ac:dyDescent="0.6">
      <c r="B191" s="179">
        <f t="shared" si="2"/>
        <v>181</v>
      </c>
      <c r="C191" s="176" t="s">
        <v>1098</v>
      </c>
      <c r="D191" s="176" t="s">
        <v>119</v>
      </c>
      <c r="E191" s="176" t="s">
        <v>1099</v>
      </c>
      <c r="F191" s="176" t="s">
        <v>572</v>
      </c>
      <c r="H191" s="184"/>
      <c r="I191" s="184"/>
      <c r="J191" s="184"/>
      <c r="K191" s="184"/>
      <c r="L191" s="539" t="s">
        <v>881</v>
      </c>
      <c r="M191" s="539"/>
      <c r="N191" s="539"/>
      <c r="O191" s="539"/>
      <c r="P191" s="539"/>
      <c r="Q191" s="539"/>
      <c r="R191" s="539"/>
      <c r="S191" s="539"/>
      <c r="T191" s="539"/>
      <c r="U191" s="539"/>
      <c r="V191" s="539"/>
      <c r="W191" s="539"/>
    </row>
    <row r="192" spans="2:23" x14ac:dyDescent="0.6">
      <c r="B192" s="179">
        <f t="shared" si="2"/>
        <v>182</v>
      </c>
      <c r="C192" s="314" t="s">
        <v>1100</v>
      </c>
      <c r="D192" s="314" t="s">
        <v>119</v>
      </c>
      <c r="E192" s="314" t="s">
        <v>1101</v>
      </c>
      <c r="F192" s="314" t="s">
        <v>559</v>
      </c>
      <c r="H192" s="184"/>
      <c r="I192" s="184"/>
      <c r="J192" s="184"/>
      <c r="K192" s="184"/>
      <c r="L192" s="539" t="s">
        <v>837</v>
      </c>
      <c r="M192" s="539"/>
      <c r="N192" s="539"/>
      <c r="O192" s="539"/>
      <c r="P192" s="539"/>
      <c r="Q192" s="539"/>
      <c r="R192" s="539"/>
      <c r="S192" s="539"/>
      <c r="T192" s="539"/>
      <c r="U192" s="539"/>
      <c r="V192" s="539"/>
      <c r="W192" s="539"/>
    </row>
    <row r="193" spans="1:23" x14ac:dyDescent="0.6">
      <c r="B193" s="179">
        <f t="shared" si="2"/>
        <v>183</v>
      </c>
      <c r="C193" s="314" t="s">
        <v>1102</v>
      </c>
      <c r="D193" s="314" t="s">
        <v>119</v>
      </c>
      <c r="E193" s="314" t="s">
        <v>1103</v>
      </c>
      <c r="F193" s="314" t="s">
        <v>559</v>
      </c>
      <c r="H193" s="184"/>
      <c r="I193" s="184"/>
      <c r="J193" s="184"/>
      <c r="K193" s="184"/>
      <c r="L193" s="539" t="s">
        <v>837</v>
      </c>
      <c r="M193" s="539"/>
      <c r="N193" s="539"/>
      <c r="O193" s="539"/>
      <c r="P193" s="539"/>
      <c r="Q193" s="539"/>
      <c r="R193" s="539"/>
      <c r="S193" s="539"/>
      <c r="T193" s="539"/>
      <c r="U193" s="539"/>
      <c r="V193" s="539"/>
      <c r="W193" s="539"/>
    </row>
    <row r="194" spans="1:23" x14ac:dyDescent="0.6">
      <c r="B194" s="179">
        <f t="shared" si="2"/>
        <v>184</v>
      </c>
      <c r="C194" s="314" t="s">
        <v>1104</v>
      </c>
      <c r="D194" s="314" t="s">
        <v>119</v>
      </c>
      <c r="E194" s="314" t="s">
        <v>1105</v>
      </c>
      <c r="F194" s="314" t="s">
        <v>572</v>
      </c>
      <c r="H194" s="184"/>
      <c r="I194" s="184"/>
      <c r="J194" s="184"/>
      <c r="K194" s="184"/>
      <c r="L194" s="539" t="s">
        <v>881</v>
      </c>
      <c r="M194" s="539"/>
      <c r="N194" s="539"/>
      <c r="O194" s="539"/>
      <c r="P194" s="539"/>
      <c r="Q194" s="539"/>
      <c r="R194" s="539"/>
      <c r="S194" s="539"/>
      <c r="T194" s="539"/>
      <c r="U194" s="539"/>
      <c r="V194" s="539"/>
      <c r="W194" s="539"/>
    </row>
    <row r="195" spans="1:23" x14ac:dyDescent="0.6">
      <c r="B195" s="179">
        <f t="shared" si="2"/>
        <v>185</v>
      </c>
      <c r="C195" s="314" t="s">
        <v>1106</v>
      </c>
      <c r="D195" s="314" t="s">
        <v>119</v>
      </c>
      <c r="E195" s="314" t="s">
        <v>1107</v>
      </c>
      <c r="F195" s="314" t="s">
        <v>572</v>
      </c>
      <c r="H195" s="184"/>
      <c r="I195" s="184"/>
      <c r="J195" s="184"/>
      <c r="K195" s="184"/>
      <c r="L195" s="539" t="s">
        <v>881</v>
      </c>
      <c r="M195" s="539"/>
      <c r="N195" s="539"/>
      <c r="O195" s="539"/>
      <c r="P195" s="539"/>
      <c r="Q195" s="539"/>
      <c r="R195" s="539"/>
      <c r="S195" s="539"/>
      <c r="T195" s="539"/>
      <c r="U195" s="539"/>
      <c r="V195" s="539"/>
      <c r="W195" s="539"/>
    </row>
    <row r="196" spans="1:23" x14ac:dyDescent="0.6">
      <c r="B196" s="179">
        <f t="shared" si="2"/>
        <v>186</v>
      </c>
      <c r="C196" s="314" t="s">
        <v>1108</v>
      </c>
      <c r="D196" s="314" t="s">
        <v>119</v>
      </c>
      <c r="E196" s="314" t="s">
        <v>1109</v>
      </c>
      <c r="F196" s="314" t="s">
        <v>572</v>
      </c>
      <c r="H196" s="184"/>
      <c r="I196" s="184"/>
      <c r="J196" s="184"/>
      <c r="K196" s="184"/>
      <c r="L196" s="539" t="s">
        <v>881</v>
      </c>
      <c r="M196" s="539"/>
      <c r="N196" s="539"/>
      <c r="O196" s="539"/>
      <c r="P196" s="539"/>
      <c r="Q196" s="539"/>
      <c r="R196" s="539"/>
      <c r="S196" s="539"/>
      <c r="T196" s="539"/>
      <c r="U196" s="539"/>
      <c r="V196" s="539"/>
      <c r="W196" s="539"/>
    </row>
    <row r="197" spans="1:23" x14ac:dyDescent="0.6">
      <c r="B197" s="179">
        <f t="shared" ref="B197:B207" si="3">B196+1</f>
        <v>187</v>
      </c>
      <c r="C197" s="314" t="s">
        <v>1110</v>
      </c>
      <c r="D197" s="314" t="s">
        <v>119</v>
      </c>
      <c r="E197" s="314" t="s">
        <v>1111</v>
      </c>
      <c r="F197" s="314" t="s">
        <v>572</v>
      </c>
      <c r="H197" s="184"/>
      <c r="I197" s="184"/>
      <c r="J197" s="184"/>
      <c r="K197" s="184"/>
      <c r="L197" s="539" t="s">
        <v>881</v>
      </c>
      <c r="M197" s="539"/>
      <c r="N197" s="539"/>
      <c r="O197" s="539"/>
      <c r="P197" s="539"/>
      <c r="Q197" s="539"/>
      <c r="R197" s="539"/>
      <c r="S197" s="539"/>
      <c r="T197" s="539"/>
      <c r="U197" s="539"/>
      <c r="V197" s="539"/>
      <c r="W197" s="539"/>
    </row>
    <row r="198" spans="1:23" x14ac:dyDescent="0.6">
      <c r="B198" s="179">
        <f t="shared" si="3"/>
        <v>188</v>
      </c>
      <c r="C198" s="314" t="s">
        <v>1112</v>
      </c>
      <c r="D198" s="314" t="s">
        <v>119</v>
      </c>
      <c r="E198" s="314" t="s">
        <v>1113</v>
      </c>
      <c r="F198" s="314" t="s">
        <v>572</v>
      </c>
      <c r="H198" s="184"/>
      <c r="I198" s="184"/>
      <c r="J198" s="184"/>
      <c r="K198" s="184"/>
      <c r="L198" s="539" t="s">
        <v>881</v>
      </c>
      <c r="M198" s="539"/>
      <c r="N198" s="539"/>
      <c r="O198" s="539"/>
      <c r="P198" s="539"/>
      <c r="Q198" s="539"/>
      <c r="R198" s="539"/>
      <c r="S198" s="539"/>
      <c r="T198" s="539"/>
      <c r="U198" s="539"/>
      <c r="V198" s="539"/>
      <c r="W198" s="539"/>
    </row>
    <row r="199" spans="1:23" x14ac:dyDescent="0.6">
      <c r="B199" s="179">
        <f t="shared" si="3"/>
        <v>189</v>
      </c>
      <c r="C199" s="314" t="s">
        <v>1114</v>
      </c>
      <c r="D199" s="314" t="s">
        <v>119</v>
      </c>
      <c r="E199" s="314" t="s">
        <v>1115</v>
      </c>
      <c r="F199" s="314" t="s">
        <v>572</v>
      </c>
      <c r="H199" s="184"/>
      <c r="I199" s="184"/>
      <c r="J199" s="184"/>
      <c r="K199" s="184"/>
      <c r="L199" s="539" t="s">
        <v>881</v>
      </c>
      <c r="M199" s="539"/>
      <c r="N199" s="539"/>
      <c r="O199" s="539"/>
      <c r="P199" s="539"/>
      <c r="Q199" s="539"/>
      <c r="R199" s="539"/>
      <c r="S199" s="539"/>
      <c r="T199" s="539"/>
      <c r="U199" s="539"/>
      <c r="V199" s="539"/>
      <c r="W199" s="539"/>
    </row>
    <row r="200" spans="1:23" x14ac:dyDescent="0.6">
      <c r="B200" s="179">
        <f t="shared" si="3"/>
        <v>190</v>
      </c>
      <c r="C200" s="176" t="s">
        <v>1116</v>
      </c>
      <c r="D200" s="176" t="s">
        <v>119</v>
      </c>
      <c r="E200" s="176" t="s">
        <v>1117</v>
      </c>
      <c r="F200" s="176" t="s">
        <v>559</v>
      </c>
      <c r="H200" s="184"/>
      <c r="I200" s="184"/>
      <c r="J200" s="184"/>
      <c r="K200" s="184"/>
      <c r="L200" s="539" t="s">
        <v>837</v>
      </c>
      <c r="M200" s="539"/>
      <c r="N200" s="539"/>
      <c r="O200" s="539"/>
      <c r="P200" s="539"/>
      <c r="Q200" s="539"/>
      <c r="R200" s="539"/>
      <c r="S200" s="539"/>
      <c r="T200" s="539"/>
      <c r="U200" s="539"/>
      <c r="V200" s="539"/>
      <c r="W200" s="539"/>
    </row>
    <row r="201" spans="1:23" x14ac:dyDescent="0.6">
      <c r="B201" s="179">
        <f t="shared" si="3"/>
        <v>191</v>
      </c>
      <c r="C201" s="176" t="s">
        <v>1118</v>
      </c>
      <c r="D201" s="176" t="s">
        <v>119</v>
      </c>
      <c r="E201" s="176" t="s">
        <v>1119</v>
      </c>
      <c r="F201" s="176" t="s">
        <v>559</v>
      </c>
      <c r="H201" s="184"/>
      <c r="I201" s="184"/>
      <c r="J201" s="184"/>
      <c r="K201" s="184"/>
      <c r="L201" s="539" t="s">
        <v>837</v>
      </c>
      <c r="M201" s="539"/>
      <c r="N201" s="539"/>
      <c r="O201" s="539"/>
      <c r="P201" s="539"/>
      <c r="Q201" s="539"/>
      <c r="R201" s="539"/>
      <c r="S201" s="539"/>
      <c r="T201" s="539"/>
      <c r="U201" s="539"/>
      <c r="V201" s="539"/>
      <c r="W201" s="539"/>
    </row>
    <row r="202" spans="1:23" x14ac:dyDescent="0.6">
      <c r="B202" s="179">
        <f t="shared" si="3"/>
        <v>192</v>
      </c>
      <c r="C202" s="176" t="s">
        <v>1120</v>
      </c>
      <c r="D202" s="176" t="s">
        <v>119</v>
      </c>
      <c r="E202" s="176" t="s">
        <v>1121</v>
      </c>
      <c r="F202" s="176" t="s">
        <v>572</v>
      </c>
      <c r="H202" s="184"/>
      <c r="I202" s="184"/>
      <c r="J202" s="184"/>
      <c r="K202" s="184"/>
      <c r="L202" s="539" t="s">
        <v>881</v>
      </c>
      <c r="M202" s="539"/>
      <c r="N202" s="539"/>
      <c r="O202" s="539"/>
      <c r="P202" s="539"/>
      <c r="Q202" s="539"/>
      <c r="R202" s="539"/>
      <c r="S202" s="539"/>
      <c r="T202" s="539"/>
      <c r="U202" s="539"/>
      <c r="V202" s="539"/>
      <c r="W202" s="539"/>
    </row>
    <row r="203" spans="1:23" x14ac:dyDescent="0.6">
      <c r="B203" s="179">
        <f t="shared" si="3"/>
        <v>193</v>
      </c>
      <c r="C203" s="176" t="s">
        <v>1122</v>
      </c>
      <c r="D203" s="176" t="s">
        <v>119</v>
      </c>
      <c r="E203" s="176" t="s">
        <v>1123</v>
      </c>
      <c r="F203" s="176" t="s">
        <v>572</v>
      </c>
      <c r="H203" s="184"/>
      <c r="I203" s="184"/>
      <c r="J203" s="184"/>
      <c r="K203" s="184"/>
      <c r="L203" s="539" t="s">
        <v>881</v>
      </c>
      <c r="M203" s="539"/>
      <c r="N203" s="539"/>
      <c r="O203" s="539"/>
      <c r="P203" s="539"/>
      <c r="Q203" s="539"/>
      <c r="R203" s="539"/>
      <c r="S203" s="539"/>
      <c r="T203" s="539"/>
      <c r="U203" s="539"/>
      <c r="V203" s="539"/>
      <c r="W203" s="539"/>
    </row>
    <row r="204" spans="1:23" x14ac:dyDescent="0.6">
      <c r="B204" s="179">
        <f t="shared" si="3"/>
        <v>194</v>
      </c>
      <c r="C204" s="176" t="s">
        <v>1124</v>
      </c>
      <c r="D204" s="176" t="s">
        <v>119</v>
      </c>
      <c r="E204" s="176" t="s">
        <v>1125</v>
      </c>
      <c r="F204" s="176" t="s">
        <v>572</v>
      </c>
      <c r="H204" s="184"/>
      <c r="I204" s="184"/>
      <c r="J204" s="184"/>
      <c r="K204" s="184"/>
      <c r="L204" s="539" t="s">
        <v>881</v>
      </c>
      <c r="M204" s="539"/>
      <c r="N204" s="539"/>
      <c r="O204" s="539"/>
      <c r="P204" s="539"/>
      <c r="Q204" s="539"/>
      <c r="R204" s="539"/>
      <c r="S204" s="539"/>
      <c r="T204" s="539"/>
      <c r="U204" s="539"/>
      <c r="V204" s="539"/>
      <c r="W204" s="539"/>
    </row>
    <row r="205" spans="1:23" x14ac:dyDescent="0.6">
      <c r="B205" s="179">
        <f t="shared" si="3"/>
        <v>195</v>
      </c>
      <c r="C205" s="176" t="s">
        <v>1126</v>
      </c>
      <c r="D205" s="176" t="s">
        <v>119</v>
      </c>
      <c r="E205" s="176" t="s">
        <v>1127</v>
      </c>
      <c r="F205" s="176" t="s">
        <v>572</v>
      </c>
      <c r="H205" s="184"/>
      <c r="I205" s="184"/>
      <c r="J205" s="184"/>
      <c r="K205" s="184"/>
      <c r="L205" s="539" t="s">
        <v>881</v>
      </c>
      <c r="M205" s="539"/>
      <c r="N205" s="539"/>
      <c r="O205" s="539"/>
      <c r="P205" s="539"/>
      <c r="Q205" s="539"/>
      <c r="R205" s="539"/>
      <c r="S205" s="539"/>
      <c r="T205" s="539"/>
      <c r="U205" s="539"/>
      <c r="V205" s="539"/>
      <c r="W205" s="539"/>
    </row>
    <row r="206" spans="1:23" x14ac:dyDescent="0.6">
      <c r="B206" s="179">
        <f t="shared" si="3"/>
        <v>196</v>
      </c>
      <c r="C206" s="176" t="s">
        <v>1128</v>
      </c>
      <c r="D206" s="176" t="s">
        <v>119</v>
      </c>
      <c r="E206" s="176" t="s">
        <v>1129</v>
      </c>
      <c r="F206" s="176" t="s">
        <v>572</v>
      </c>
      <c r="H206" s="184"/>
      <c r="I206" s="184"/>
      <c r="J206" s="184"/>
      <c r="K206" s="184"/>
      <c r="L206" s="539" t="s">
        <v>881</v>
      </c>
      <c r="M206" s="539"/>
      <c r="N206" s="539"/>
      <c r="O206" s="539"/>
      <c r="P206" s="539"/>
      <c r="Q206" s="539"/>
      <c r="R206" s="539"/>
      <c r="S206" s="539"/>
      <c r="T206" s="539"/>
      <c r="U206" s="539"/>
      <c r="V206" s="539"/>
      <c r="W206" s="539"/>
    </row>
    <row r="207" spans="1:23" x14ac:dyDescent="0.6">
      <c r="B207" s="179">
        <f t="shared" si="3"/>
        <v>197</v>
      </c>
      <c r="C207" s="176" t="s">
        <v>1130</v>
      </c>
      <c r="D207" s="176" t="s">
        <v>119</v>
      </c>
      <c r="E207" s="176" t="s">
        <v>1131</v>
      </c>
      <c r="F207" s="176" t="s">
        <v>572</v>
      </c>
      <c r="H207" s="184"/>
      <c r="I207" s="184"/>
      <c r="J207" s="184"/>
      <c r="K207" s="184"/>
      <c r="L207" s="539" t="s">
        <v>881</v>
      </c>
      <c r="M207" s="539"/>
      <c r="N207" s="539"/>
      <c r="O207" s="539"/>
      <c r="P207" s="539"/>
      <c r="Q207" s="539"/>
      <c r="R207" s="539"/>
      <c r="S207" s="539"/>
      <c r="T207" s="539"/>
      <c r="U207" s="539"/>
      <c r="V207" s="539"/>
      <c r="W207" s="539"/>
    </row>
    <row r="208" spans="1:23" x14ac:dyDescent="0.6">
      <c r="A208" s="120"/>
      <c r="B208" s="120"/>
    </row>
    <row r="212" spans="1:2" s="176" customFormat="1" x14ac:dyDescent="0.6">
      <c r="A212" s="114"/>
      <c r="B212" s="114"/>
    </row>
    <row r="214" spans="1:2" s="176" customFormat="1" x14ac:dyDescent="0.6">
      <c r="A214" s="114"/>
      <c r="B214" s="114"/>
    </row>
    <row r="215" spans="1:2" s="176" customFormat="1" x14ac:dyDescent="0.6">
      <c r="A215" s="114"/>
      <c r="B215" s="114"/>
    </row>
    <row r="216" spans="1:2" s="176" customFormat="1" x14ac:dyDescent="0.6">
      <c r="A216" s="114"/>
      <c r="B216" s="114"/>
    </row>
    <row r="217" spans="1:2" s="176" customFormat="1" x14ac:dyDescent="0.6">
      <c r="A217" s="114"/>
      <c r="B217" s="114"/>
    </row>
  </sheetData>
  <mergeCells count="254">
    <mergeCell ref="R4:W4"/>
    <mergeCell ref="N5:O5"/>
    <mergeCell ref="R5:W5"/>
    <mergeCell ref="N6:O6"/>
    <mergeCell ref="R6:W6"/>
    <mergeCell ref="O12:W12"/>
    <mergeCell ref="J17:O17"/>
    <mergeCell ref="R17:W17"/>
    <mergeCell ref="J18:O18"/>
    <mergeCell ref="R18:W18"/>
    <mergeCell ref="H20:W20"/>
    <mergeCell ref="H21:O21"/>
    <mergeCell ref="O13:W13"/>
    <mergeCell ref="R14:W14"/>
    <mergeCell ref="J15:O15"/>
    <mergeCell ref="R15:W15"/>
    <mergeCell ref="J16:O16"/>
    <mergeCell ref="R16:W16"/>
    <mergeCell ref="M32:W32"/>
    <mergeCell ref="P34:W34"/>
    <mergeCell ref="I36:M36"/>
    <mergeCell ref="N36:R36"/>
    <mergeCell ref="S36:W36"/>
    <mergeCell ref="I37:M37"/>
    <mergeCell ref="N37:R37"/>
    <mergeCell ref="S37:W37"/>
    <mergeCell ref="L22:O22"/>
    <mergeCell ref="S22:W22"/>
    <mergeCell ref="M29:W29"/>
    <mergeCell ref="O30:W30"/>
    <mergeCell ref="H31:K31"/>
    <mergeCell ref="P31:W31"/>
    <mergeCell ref="I40:M40"/>
    <mergeCell ref="N40:R40"/>
    <mergeCell ref="S40:W40"/>
    <mergeCell ref="I41:M41"/>
    <mergeCell ref="N41:R41"/>
    <mergeCell ref="S41:W41"/>
    <mergeCell ref="I38:M38"/>
    <mergeCell ref="N38:R38"/>
    <mergeCell ref="S38:W38"/>
    <mergeCell ref="I39:M39"/>
    <mergeCell ref="N39:R39"/>
    <mergeCell ref="S39:W39"/>
    <mergeCell ref="T45:W45"/>
    <mergeCell ref="I47:M47"/>
    <mergeCell ref="N47:R47"/>
    <mergeCell ref="S47:W47"/>
    <mergeCell ref="I48:M48"/>
    <mergeCell ref="N48:R48"/>
    <mergeCell ref="S48:W48"/>
    <mergeCell ref="I42:M42"/>
    <mergeCell ref="N42:R42"/>
    <mergeCell ref="S42:W42"/>
    <mergeCell ref="I43:M43"/>
    <mergeCell ref="N43:R43"/>
    <mergeCell ref="S43:W43"/>
    <mergeCell ref="I51:M51"/>
    <mergeCell ref="N51:R51"/>
    <mergeCell ref="S51:W51"/>
    <mergeCell ref="I52:M52"/>
    <mergeCell ref="N52:R52"/>
    <mergeCell ref="S52:W52"/>
    <mergeCell ref="I49:M49"/>
    <mergeCell ref="N49:R49"/>
    <mergeCell ref="S49:W49"/>
    <mergeCell ref="I50:M50"/>
    <mergeCell ref="N50:R50"/>
    <mergeCell ref="S50:W50"/>
    <mergeCell ref="H55:O55"/>
    <mergeCell ref="P55:W55"/>
    <mergeCell ref="H56:O56"/>
    <mergeCell ref="P56:W56"/>
    <mergeCell ref="H57:O57"/>
    <mergeCell ref="P57:W57"/>
    <mergeCell ref="I53:M53"/>
    <mergeCell ref="N53:R53"/>
    <mergeCell ref="S53:W53"/>
    <mergeCell ref="I54:M54"/>
    <mergeCell ref="N54:R54"/>
    <mergeCell ref="S54:W54"/>
    <mergeCell ref="H61:O61"/>
    <mergeCell ref="P61:W61"/>
    <mergeCell ref="H62:O62"/>
    <mergeCell ref="P62:W62"/>
    <mergeCell ref="H63:O63"/>
    <mergeCell ref="P63:W63"/>
    <mergeCell ref="H58:O58"/>
    <mergeCell ref="P58:W58"/>
    <mergeCell ref="H59:O59"/>
    <mergeCell ref="P59:W59"/>
    <mergeCell ref="H60:O60"/>
    <mergeCell ref="P60:W60"/>
    <mergeCell ref="H69:I69"/>
    <mergeCell ref="K69:O69"/>
    <mergeCell ref="L71:W71"/>
    <mergeCell ref="H72:K72"/>
    <mergeCell ref="L72:O72"/>
    <mergeCell ref="P72:S72"/>
    <mergeCell ref="T72:W72"/>
    <mergeCell ref="H64:O64"/>
    <mergeCell ref="P64:W64"/>
    <mergeCell ref="H65:O65"/>
    <mergeCell ref="P65:W65"/>
    <mergeCell ref="H66:O66"/>
    <mergeCell ref="P66:W66"/>
    <mergeCell ref="H75:K75"/>
    <mergeCell ref="L75:O75"/>
    <mergeCell ref="P75:S75"/>
    <mergeCell ref="T75:W75"/>
    <mergeCell ref="H76:K76"/>
    <mergeCell ref="L76:O76"/>
    <mergeCell ref="P76:S76"/>
    <mergeCell ref="T76:W76"/>
    <mergeCell ref="H73:K73"/>
    <mergeCell ref="L73:O73"/>
    <mergeCell ref="P73:S73"/>
    <mergeCell ref="T73:W73"/>
    <mergeCell ref="H74:K74"/>
    <mergeCell ref="L74:O74"/>
    <mergeCell ref="P74:S74"/>
    <mergeCell ref="T74:W74"/>
    <mergeCell ref="L82:W82"/>
    <mergeCell ref="L83:W83"/>
    <mergeCell ref="L84:W84"/>
    <mergeCell ref="L85:W85"/>
    <mergeCell ref="L86:W86"/>
    <mergeCell ref="L87:W87"/>
    <mergeCell ref="H77:K77"/>
    <mergeCell ref="L77:O77"/>
    <mergeCell ref="P77:S77"/>
    <mergeCell ref="T77:W77"/>
    <mergeCell ref="L80:W80"/>
    <mergeCell ref="L81:W81"/>
    <mergeCell ref="L94:W94"/>
    <mergeCell ref="L95:W95"/>
    <mergeCell ref="L96:W96"/>
    <mergeCell ref="L97:W97"/>
    <mergeCell ref="L98:W98"/>
    <mergeCell ref="L99:W99"/>
    <mergeCell ref="L88:W88"/>
    <mergeCell ref="L89:W89"/>
    <mergeCell ref="L90:W90"/>
    <mergeCell ref="L91:W91"/>
    <mergeCell ref="L92:W92"/>
    <mergeCell ref="L93:W93"/>
    <mergeCell ref="L106:W106"/>
    <mergeCell ref="L107:W107"/>
    <mergeCell ref="L108:W108"/>
    <mergeCell ref="L109:W109"/>
    <mergeCell ref="L110:W110"/>
    <mergeCell ref="L111:W111"/>
    <mergeCell ref="L100:W100"/>
    <mergeCell ref="L101:W101"/>
    <mergeCell ref="L102:W102"/>
    <mergeCell ref="L103:W103"/>
    <mergeCell ref="L104:W104"/>
    <mergeCell ref="L105:W105"/>
    <mergeCell ref="L118:W118"/>
    <mergeCell ref="L119:W119"/>
    <mergeCell ref="L120:W120"/>
    <mergeCell ref="L121:W121"/>
    <mergeCell ref="L122:W122"/>
    <mergeCell ref="L123:W123"/>
    <mergeCell ref="L112:W112"/>
    <mergeCell ref="L113:W113"/>
    <mergeCell ref="L114:W114"/>
    <mergeCell ref="L115:W115"/>
    <mergeCell ref="L116:W116"/>
    <mergeCell ref="L117:W117"/>
    <mergeCell ref="L130:W130"/>
    <mergeCell ref="L131:W131"/>
    <mergeCell ref="L132:W132"/>
    <mergeCell ref="L133:W133"/>
    <mergeCell ref="L134:W134"/>
    <mergeCell ref="L135:W135"/>
    <mergeCell ref="L124:W124"/>
    <mergeCell ref="L125:W125"/>
    <mergeCell ref="L126:W126"/>
    <mergeCell ref="L127:W127"/>
    <mergeCell ref="L128:W128"/>
    <mergeCell ref="L129:W129"/>
    <mergeCell ref="L142:W142"/>
    <mergeCell ref="L143:W143"/>
    <mergeCell ref="L144:W144"/>
    <mergeCell ref="L145:W145"/>
    <mergeCell ref="L146:W146"/>
    <mergeCell ref="L147:W147"/>
    <mergeCell ref="L136:W136"/>
    <mergeCell ref="L137:W137"/>
    <mergeCell ref="L138:W138"/>
    <mergeCell ref="L139:W139"/>
    <mergeCell ref="L140:W140"/>
    <mergeCell ref="L141:W141"/>
    <mergeCell ref="L154:W154"/>
    <mergeCell ref="L155:W155"/>
    <mergeCell ref="L156:W156"/>
    <mergeCell ref="L157:W157"/>
    <mergeCell ref="L158:W158"/>
    <mergeCell ref="L159:W159"/>
    <mergeCell ref="L148:W148"/>
    <mergeCell ref="L149:W149"/>
    <mergeCell ref="L150:W150"/>
    <mergeCell ref="L151:W151"/>
    <mergeCell ref="L152:W152"/>
    <mergeCell ref="L153:W153"/>
    <mergeCell ref="L166:W166"/>
    <mergeCell ref="L167:W167"/>
    <mergeCell ref="L168:W168"/>
    <mergeCell ref="L169:W169"/>
    <mergeCell ref="L170:W170"/>
    <mergeCell ref="L171:W171"/>
    <mergeCell ref="L160:W160"/>
    <mergeCell ref="L161:W161"/>
    <mergeCell ref="L162:W162"/>
    <mergeCell ref="L163:W163"/>
    <mergeCell ref="L164:W164"/>
    <mergeCell ref="L165:W165"/>
    <mergeCell ref="L178:W178"/>
    <mergeCell ref="L179:W179"/>
    <mergeCell ref="L180:W180"/>
    <mergeCell ref="L181:W181"/>
    <mergeCell ref="L182:W182"/>
    <mergeCell ref="L183:W183"/>
    <mergeCell ref="L172:W172"/>
    <mergeCell ref="L173:W173"/>
    <mergeCell ref="L174:W174"/>
    <mergeCell ref="L175:W175"/>
    <mergeCell ref="L176:W176"/>
    <mergeCell ref="L177:W177"/>
    <mergeCell ref="L190:W190"/>
    <mergeCell ref="L191:W191"/>
    <mergeCell ref="L192:W192"/>
    <mergeCell ref="L193:W193"/>
    <mergeCell ref="L194:W194"/>
    <mergeCell ref="L195:W195"/>
    <mergeCell ref="L184:W184"/>
    <mergeCell ref="L185:W185"/>
    <mergeCell ref="L186:W186"/>
    <mergeCell ref="L187:W187"/>
    <mergeCell ref="L188:W188"/>
    <mergeCell ref="L189:W189"/>
    <mergeCell ref="L202:W202"/>
    <mergeCell ref="L203:W203"/>
    <mergeCell ref="L204:W204"/>
    <mergeCell ref="L205:W205"/>
    <mergeCell ref="L206:W206"/>
    <mergeCell ref="L207:W207"/>
    <mergeCell ref="L196:W196"/>
    <mergeCell ref="L197:W197"/>
    <mergeCell ref="L198:W198"/>
    <mergeCell ref="L199:W199"/>
    <mergeCell ref="L200:W200"/>
    <mergeCell ref="L201:W201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88D47-617B-48AC-8B65-BFFACEB01CD6}">
  <sheetPr>
    <tabColor theme="1"/>
  </sheetPr>
  <dimension ref="A1:V82"/>
  <sheetViews>
    <sheetView showGridLines="0" tabSelected="1" zoomScale="70" zoomScaleNormal="70" workbookViewId="0">
      <pane xSplit="2" ySplit="2" topLeftCell="F3" activePane="bottomRight" state="frozen"/>
      <selection pane="topRight" activeCell="C1" sqref="C1"/>
      <selection pane="bottomLeft" activeCell="A3" sqref="A3"/>
      <selection pane="bottomRight"/>
    </sheetView>
  </sheetViews>
  <sheetFormatPr defaultColWidth="8.625" defaultRowHeight="16.899999999999999" x14ac:dyDescent="0.6"/>
  <cols>
    <col min="1" max="1" width="1.6875" style="114" customWidth="1"/>
    <col min="2" max="2" width="3.1875" style="114" bestFit="1" customWidth="1"/>
    <col min="3" max="3" width="18.1875" style="120" bestFit="1" customWidth="1"/>
    <col min="4" max="4" width="6.375" style="176" bestFit="1" customWidth="1"/>
    <col min="5" max="5" width="7.625" style="176" bestFit="1" customWidth="1"/>
    <col min="6" max="6" width="6.875" style="176" bestFit="1" customWidth="1"/>
    <col min="7" max="7" width="1.625" style="176" customWidth="1"/>
    <col min="8" max="8" width="13.1875" style="176" bestFit="1" customWidth="1"/>
    <col min="9" max="9" width="13.625" style="176" bestFit="1" customWidth="1"/>
    <col min="10" max="10" width="8.6875" style="176" bestFit="1" customWidth="1"/>
    <col min="11" max="11" width="13.8125" style="176" bestFit="1" customWidth="1"/>
    <col min="12" max="12" width="14.5" style="176" bestFit="1" customWidth="1"/>
    <col min="13" max="13" width="14.1875" style="176" bestFit="1" customWidth="1"/>
    <col min="14" max="14" width="10.5" style="176" bestFit="1" customWidth="1"/>
    <col min="15" max="15" width="9" style="176" bestFit="1" customWidth="1"/>
    <col min="16" max="16" width="9.1875" style="176" bestFit="1" customWidth="1"/>
    <col min="17" max="17" width="10.6875" style="176" bestFit="1" customWidth="1"/>
    <col min="18" max="18" width="9.625" style="176" bestFit="1" customWidth="1"/>
    <col min="19" max="19" width="9.8125" style="176" bestFit="1" customWidth="1"/>
    <col min="20" max="20" width="88.6875" style="177" bestFit="1" customWidth="1"/>
    <col min="21" max="21" width="66.875" style="178" bestFit="1" customWidth="1"/>
    <col min="22" max="22" width="66.875" style="114" bestFit="1" customWidth="1"/>
    <col min="23" max="16384" width="8.625" style="114"/>
  </cols>
  <sheetData>
    <row r="1" spans="2:22" x14ac:dyDescent="0.6">
      <c r="D1" s="120"/>
      <c r="E1" s="120"/>
      <c r="F1" s="120"/>
    </row>
    <row r="2" spans="2:22" x14ac:dyDescent="0.6">
      <c r="B2" s="179"/>
      <c r="C2" s="180" t="s">
        <v>101</v>
      </c>
      <c r="D2" s="181" t="s">
        <v>102</v>
      </c>
      <c r="E2" s="181" t="s">
        <v>103</v>
      </c>
      <c r="F2" s="181" t="s">
        <v>104</v>
      </c>
      <c r="G2" s="181"/>
      <c r="H2" s="181" t="s">
        <v>105</v>
      </c>
      <c r="I2" s="181" t="s">
        <v>106</v>
      </c>
      <c r="J2" s="181" t="s">
        <v>107</v>
      </c>
      <c r="K2" s="181" t="s">
        <v>108</v>
      </c>
      <c r="L2" s="181" t="s">
        <v>109</v>
      </c>
      <c r="M2" s="181" t="s">
        <v>110</v>
      </c>
      <c r="N2" s="181" t="s">
        <v>111</v>
      </c>
      <c r="O2" s="181" t="s">
        <v>112</v>
      </c>
      <c r="P2" s="181" t="s">
        <v>113</v>
      </c>
      <c r="Q2" s="181" t="s">
        <v>114</v>
      </c>
      <c r="R2" s="181" t="s">
        <v>115</v>
      </c>
      <c r="S2" s="181" t="s">
        <v>116</v>
      </c>
      <c r="T2" s="182" t="s">
        <v>117</v>
      </c>
      <c r="U2" s="182" t="s">
        <v>118</v>
      </c>
    </row>
    <row r="3" spans="2:22" ht="33.75" x14ac:dyDescent="0.6">
      <c r="B3" s="179">
        <v>1</v>
      </c>
      <c r="C3" s="120" t="s">
        <v>1159</v>
      </c>
      <c r="D3" s="176" t="s">
        <v>119</v>
      </c>
      <c r="E3" s="176" t="s">
        <v>120</v>
      </c>
      <c r="F3" s="176" t="s">
        <v>121</v>
      </c>
      <c r="H3" s="183" t="s">
        <v>256</v>
      </c>
      <c r="I3" s="184"/>
      <c r="J3" s="184"/>
      <c r="K3" s="184"/>
      <c r="L3" s="184"/>
      <c r="M3" s="184"/>
      <c r="N3" s="184"/>
      <c r="O3" s="561" t="s">
        <v>122</v>
      </c>
      <c r="P3" s="562"/>
      <c r="Q3" s="562"/>
      <c r="R3" s="562"/>
      <c r="S3" s="563"/>
      <c r="T3" s="185" t="s">
        <v>259</v>
      </c>
      <c r="U3" s="186"/>
    </row>
    <row r="4" spans="2:22" ht="118.15" x14ac:dyDescent="0.6">
      <c r="B4" s="179">
        <f>B3+1</f>
        <v>2</v>
      </c>
      <c r="C4" s="120" t="s">
        <v>1158</v>
      </c>
      <c r="D4" s="176" t="s">
        <v>119</v>
      </c>
      <c r="E4" s="176" t="s">
        <v>123</v>
      </c>
      <c r="F4" s="176" t="s">
        <v>121</v>
      </c>
      <c r="H4" s="540" t="s">
        <v>127</v>
      </c>
      <c r="I4" s="542"/>
      <c r="J4" s="542"/>
      <c r="K4" s="541"/>
      <c r="L4" s="551" t="s">
        <v>1308</v>
      </c>
      <c r="M4" s="552"/>
      <c r="N4" s="555" t="s">
        <v>302</v>
      </c>
      <c r="O4" s="556"/>
      <c r="P4" s="557"/>
      <c r="Q4" s="461" t="s">
        <v>258</v>
      </c>
      <c r="R4" s="461" t="s">
        <v>257</v>
      </c>
      <c r="S4" s="461" t="s">
        <v>124</v>
      </c>
      <c r="T4" s="185" t="s">
        <v>1309</v>
      </c>
      <c r="U4" s="185" t="s">
        <v>327</v>
      </c>
    </row>
    <row r="5" spans="2:22" x14ac:dyDescent="0.6">
      <c r="B5" s="179">
        <f t="shared" ref="B5:B25" si="0">B4+1</f>
        <v>3</v>
      </c>
      <c r="C5" s="120" t="s">
        <v>263</v>
      </c>
      <c r="D5" s="176" t="s">
        <v>119</v>
      </c>
      <c r="E5" s="176" t="s">
        <v>215</v>
      </c>
      <c r="F5" s="176" t="s">
        <v>121</v>
      </c>
      <c r="H5" s="184"/>
      <c r="I5" s="184"/>
      <c r="J5" s="184"/>
      <c r="K5" s="184"/>
      <c r="L5" s="184"/>
      <c r="M5" s="540" t="s">
        <v>264</v>
      </c>
      <c r="N5" s="542"/>
      <c r="O5" s="542"/>
      <c r="P5" s="542"/>
      <c r="Q5" s="542"/>
      <c r="R5" s="542"/>
      <c r="S5" s="541"/>
      <c r="T5" s="197" t="s">
        <v>1134</v>
      </c>
      <c r="U5" s="185" t="s">
        <v>262</v>
      </c>
    </row>
    <row r="6" spans="2:22" x14ac:dyDescent="0.6">
      <c r="B6" s="179">
        <f t="shared" si="0"/>
        <v>4</v>
      </c>
      <c r="C6" s="120" t="s">
        <v>133</v>
      </c>
      <c r="D6" s="176" t="s">
        <v>119</v>
      </c>
      <c r="E6" s="176" t="s">
        <v>125</v>
      </c>
      <c r="F6" s="176" t="s">
        <v>121</v>
      </c>
      <c r="H6" s="188" t="s">
        <v>135</v>
      </c>
      <c r="I6" s="188" t="s">
        <v>136</v>
      </c>
      <c r="J6" s="188" t="s">
        <v>137</v>
      </c>
      <c r="K6" s="188" t="s">
        <v>138</v>
      </c>
      <c r="L6" s="188" t="s">
        <v>139</v>
      </c>
      <c r="M6" s="188" t="s">
        <v>140</v>
      </c>
      <c r="N6" s="188" t="s">
        <v>141</v>
      </c>
      <c r="O6" s="188" t="s">
        <v>142</v>
      </c>
      <c r="P6" s="188" t="s">
        <v>143</v>
      </c>
      <c r="Q6" s="188" t="s">
        <v>144</v>
      </c>
      <c r="R6" s="188" t="s">
        <v>145</v>
      </c>
      <c r="S6" s="188" t="s">
        <v>146</v>
      </c>
      <c r="T6" s="189"/>
      <c r="U6" s="186"/>
    </row>
    <row r="7" spans="2:22" x14ac:dyDescent="0.6">
      <c r="B7" s="179"/>
      <c r="C7" s="120" t="s">
        <v>291</v>
      </c>
      <c r="E7" s="176" t="s">
        <v>126</v>
      </c>
      <c r="T7" s="176"/>
      <c r="U7" s="176"/>
    </row>
    <row r="8" spans="2:22" ht="101.25" x14ac:dyDescent="0.6">
      <c r="B8" s="179">
        <f>B6+1</f>
        <v>5</v>
      </c>
      <c r="C8" s="120" t="s">
        <v>147</v>
      </c>
      <c r="D8" s="176" t="s">
        <v>148</v>
      </c>
      <c r="E8" s="176" t="s">
        <v>219</v>
      </c>
      <c r="F8" s="176" t="s">
        <v>129</v>
      </c>
      <c r="H8" s="183" t="s">
        <v>300</v>
      </c>
      <c r="I8" s="184"/>
      <c r="J8" s="184"/>
      <c r="K8" s="184"/>
      <c r="L8" s="184"/>
      <c r="M8" s="184"/>
      <c r="N8" s="184"/>
      <c r="O8" s="184"/>
      <c r="P8" s="188" t="s">
        <v>150</v>
      </c>
      <c r="Q8" s="183" t="s">
        <v>151</v>
      </c>
      <c r="R8" s="183" t="s">
        <v>152</v>
      </c>
      <c r="S8" s="188" t="s">
        <v>77</v>
      </c>
      <c r="T8" s="189" t="s">
        <v>1151</v>
      </c>
      <c r="U8" s="190" t="s">
        <v>354</v>
      </c>
    </row>
    <row r="9" spans="2:22" x14ac:dyDescent="0.6">
      <c r="B9" s="179">
        <f t="shared" si="0"/>
        <v>6</v>
      </c>
      <c r="C9" s="120" t="s">
        <v>153</v>
      </c>
      <c r="D9" s="176" t="s">
        <v>119</v>
      </c>
      <c r="E9" s="176" t="s">
        <v>128</v>
      </c>
      <c r="F9" s="176" t="s">
        <v>129</v>
      </c>
      <c r="H9" s="184"/>
      <c r="I9" s="564" t="s">
        <v>155</v>
      </c>
      <c r="J9" s="565"/>
      <c r="K9" s="566"/>
      <c r="L9" s="184"/>
      <c r="M9" s="564" t="s">
        <v>156</v>
      </c>
      <c r="N9" s="567"/>
      <c r="O9" s="568"/>
      <c r="P9" s="191"/>
      <c r="Q9" s="558" t="s">
        <v>157</v>
      </c>
      <c r="R9" s="559"/>
      <c r="S9" s="560"/>
      <c r="T9" s="185"/>
      <c r="U9" s="186"/>
    </row>
    <row r="10" spans="2:22" ht="185.65" x14ac:dyDescent="0.6">
      <c r="B10" s="179">
        <f t="shared" si="0"/>
        <v>7</v>
      </c>
      <c r="C10" s="120" t="s">
        <v>303</v>
      </c>
      <c r="D10" s="176" t="s">
        <v>119</v>
      </c>
      <c r="E10" s="176" t="s">
        <v>222</v>
      </c>
      <c r="F10" s="176" t="s">
        <v>159</v>
      </c>
      <c r="H10" s="183" t="s">
        <v>309</v>
      </c>
      <c r="I10" s="471" t="s">
        <v>320</v>
      </c>
      <c r="J10" s="184"/>
      <c r="K10" s="183" t="s">
        <v>299</v>
      </c>
      <c r="L10" s="183" t="s">
        <v>301</v>
      </c>
      <c r="M10" s="183" t="s">
        <v>304</v>
      </c>
      <c r="N10" s="183" t="s">
        <v>308</v>
      </c>
      <c r="O10" s="183" t="s">
        <v>1152</v>
      </c>
      <c r="P10" s="183" t="s">
        <v>553</v>
      </c>
      <c r="Q10" s="188" t="s">
        <v>307</v>
      </c>
      <c r="R10" s="188" t="s">
        <v>306</v>
      </c>
      <c r="S10" s="183" t="s">
        <v>305</v>
      </c>
      <c r="T10" s="185" t="s">
        <v>1156</v>
      </c>
      <c r="U10" s="198" t="s">
        <v>1153</v>
      </c>
      <c r="V10" s="198" t="s">
        <v>1291</v>
      </c>
    </row>
    <row r="11" spans="2:22" x14ac:dyDescent="0.6">
      <c r="B11" s="179">
        <f t="shared" si="0"/>
        <v>8</v>
      </c>
      <c r="C11" s="120" t="s">
        <v>130</v>
      </c>
      <c r="D11" s="176" t="s">
        <v>119</v>
      </c>
      <c r="E11" s="176" t="s">
        <v>131</v>
      </c>
      <c r="F11" s="176" t="s">
        <v>129</v>
      </c>
      <c r="H11" s="561" t="s">
        <v>132</v>
      </c>
      <c r="I11" s="562"/>
      <c r="J11" s="562"/>
      <c r="K11" s="562"/>
      <c r="L11" s="562"/>
      <c r="M11" s="562"/>
      <c r="N11" s="562"/>
      <c r="O11" s="562"/>
      <c r="P11" s="562"/>
      <c r="Q11" s="562"/>
      <c r="R11" s="562"/>
      <c r="S11" s="563"/>
      <c r="T11" s="185"/>
      <c r="U11" s="185" t="s">
        <v>262</v>
      </c>
    </row>
    <row r="12" spans="2:22" x14ac:dyDescent="0.6">
      <c r="B12" s="179">
        <f t="shared" si="0"/>
        <v>9</v>
      </c>
      <c r="C12" s="120" t="s">
        <v>292</v>
      </c>
      <c r="D12" s="176" t="s">
        <v>119</v>
      </c>
      <c r="E12" s="176" t="s">
        <v>134</v>
      </c>
      <c r="F12" s="176" t="s">
        <v>129</v>
      </c>
      <c r="H12" s="540" t="s">
        <v>284</v>
      </c>
      <c r="I12" s="541"/>
      <c r="J12" s="540" t="s">
        <v>283</v>
      </c>
      <c r="K12" s="541"/>
      <c r="L12" s="540" t="s">
        <v>282</v>
      </c>
      <c r="M12" s="541"/>
      <c r="N12" s="540" t="s">
        <v>281</v>
      </c>
      <c r="O12" s="541"/>
      <c r="P12" s="540" t="s">
        <v>280</v>
      </c>
      <c r="Q12" s="541"/>
      <c r="R12" s="540" t="s">
        <v>279</v>
      </c>
      <c r="S12" s="541"/>
      <c r="T12" s="187" t="s">
        <v>266</v>
      </c>
      <c r="U12" s="186"/>
    </row>
    <row r="13" spans="2:22" x14ac:dyDescent="0.6">
      <c r="B13" s="179">
        <f t="shared" si="0"/>
        <v>10</v>
      </c>
      <c r="C13" s="120" t="s">
        <v>293</v>
      </c>
      <c r="D13" s="176" t="s">
        <v>119</v>
      </c>
      <c r="E13" s="176" t="s">
        <v>226</v>
      </c>
      <c r="F13" s="176" t="s">
        <v>129</v>
      </c>
      <c r="H13" s="540" t="s">
        <v>290</v>
      </c>
      <c r="I13" s="541"/>
      <c r="J13" s="540" t="s">
        <v>289</v>
      </c>
      <c r="K13" s="541"/>
      <c r="L13" s="540" t="s">
        <v>288</v>
      </c>
      <c r="M13" s="541"/>
      <c r="N13" s="540" t="s">
        <v>287</v>
      </c>
      <c r="O13" s="541"/>
      <c r="P13" s="540" t="s">
        <v>286</v>
      </c>
      <c r="Q13" s="541"/>
      <c r="R13" s="540" t="s">
        <v>285</v>
      </c>
      <c r="S13" s="541"/>
      <c r="T13" s="185"/>
      <c r="U13" s="186"/>
    </row>
    <row r="14" spans="2:22" x14ac:dyDescent="0.6">
      <c r="B14" s="179">
        <f t="shared" si="0"/>
        <v>11</v>
      </c>
      <c r="C14" s="120" t="s">
        <v>160</v>
      </c>
      <c r="D14" s="176" t="s">
        <v>119</v>
      </c>
      <c r="E14" s="176" t="s">
        <v>149</v>
      </c>
      <c r="F14" s="176" t="s">
        <v>129</v>
      </c>
      <c r="H14" s="540" t="s">
        <v>267</v>
      </c>
      <c r="I14" s="542"/>
      <c r="J14" s="542"/>
      <c r="K14" s="542"/>
      <c r="L14" s="542"/>
      <c r="M14" s="542"/>
      <c r="N14" s="542"/>
      <c r="O14" s="542"/>
      <c r="P14" s="542"/>
      <c r="Q14" s="542"/>
      <c r="R14" s="542"/>
      <c r="S14" s="541"/>
      <c r="T14" s="187"/>
      <c r="U14" s="186"/>
    </row>
    <row r="15" spans="2:22" x14ac:dyDescent="0.6">
      <c r="B15" s="179">
        <f t="shared" si="0"/>
        <v>12</v>
      </c>
      <c r="C15" s="120" t="s">
        <v>162</v>
      </c>
      <c r="D15" s="176" t="s">
        <v>119</v>
      </c>
      <c r="E15" s="176" t="s">
        <v>154</v>
      </c>
      <c r="F15" s="176" t="s">
        <v>129</v>
      </c>
      <c r="H15" s="540" t="s">
        <v>268</v>
      </c>
      <c r="I15" s="542"/>
      <c r="J15" s="542"/>
      <c r="K15" s="542"/>
      <c r="L15" s="542"/>
      <c r="M15" s="542"/>
      <c r="N15" s="542"/>
      <c r="O15" s="542"/>
      <c r="P15" s="542"/>
      <c r="Q15" s="542"/>
      <c r="R15" s="542"/>
      <c r="S15" s="541"/>
      <c r="T15" s="187"/>
      <c r="U15" s="186"/>
    </row>
    <row r="16" spans="2:22" x14ac:dyDescent="0.6">
      <c r="B16" s="179">
        <f t="shared" si="0"/>
        <v>13</v>
      </c>
      <c r="C16" s="120" t="s">
        <v>164</v>
      </c>
      <c r="D16" s="176" t="s">
        <v>119</v>
      </c>
      <c r="E16" s="176" t="s">
        <v>158</v>
      </c>
      <c r="F16" s="176" t="s">
        <v>129</v>
      </c>
      <c r="H16" s="540" t="s">
        <v>269</v>
      </c>
      <c r="I16" s="542"/>
      <c r="J16" s="542"/>
      <c r="K16" s="542"/>
      <c r="L16" s="542"/>
      <c r="M16" s="542"/>
      <c r="N16" s="542"/>
      <c r="O16" s="542"/>
      <c r="P16" s="542"/>
      <c r="Q16" s="542"/>
      <c r="R16" s="542"/>
      <c r="S16" s="541"/>
      <c r="T16" s="187"/>
      <c r="U16" s="186"/>
    </row>
    <row r="17" spans="2:21" x14ac:dyDescent="0.6">
      <c r="B17" s="179">
        <f t="shared" si="0"/>
        <v>14</v>
      </c>
      <c r="C17" s="120" t="s">
        <v>166</v>
      </c>
      <c r="D17" s="176" t="s">
        <v>119</v>
      </c>
      <c r="E17" s="176" t="s">
        <v>161</v>
      </c>
      <c r="F17" s="176" t="s">
        <v>129</v>
      </c>
      <c r="H17" s="540" t="s">
        <v>270</v>
      </c>
      <c r="I17" s="542"/>
      <c r="J17" s="542"/>
      <c r="K17" s="542"/>
      <c r="L17" s="542"/>
      <c r="M17" s="542"/>
      <c r="N17" s="542"/>
      <c r="O17" s="542"/>
      <c r="P17" s="542"/>
      <c r="Q17" s="542"/>
      <c r="R17" s="542"/>
      <c r="S17" s="541"/>
      <c r="T17" s="187"/>
      <c r="U17" s="186"/>
    </row>
    <row r="18" spans="2:21" x14ac:dyDescent="0.6">
      <c r="B18" s="179">
        <f t="shared" si="0"/>
        <v>15</v>
      </c>
      <c r="C18" s="120" t="s">
        <v>167</v>
      </c>
      <c r="D18" s="176" t="s">
        <v>119</v>
      </c>
      <c r="E18" s="176" t="s">
        <v>163</v>
      </c>
      <c r="F18" s="176" t="s">
        <v>129</v>
      </c>
      <c r="H18" s="540" t="s">
        <v>271</v>
      </c>
      <c r="I18" s="542"/>
      <c r="J18" s="542"/>
      <c r="K18" s="542"/>
      <c r="L18" s="542"/>
      <c r="M18" s="542"/>
      <c r="N18" s="542"/>
      <c r="O18" s="542"/>
      <c r="P18" s="542"/>
      <c r="Q18" s="542"/>
      <c r="R18" s="542"/>
      <c r="S18" s="541"/>
      <c r="T18" s="187"/>
      <c r="U18" s="186"/>
    </row>
    <row r="19" spans="2:21" x14ac:dyDescent="0.6">
      <c r="B19" s="179">
        <f t="shared" si="0"/>
        <v>16</v>
      </c>
      <c r="C19" s="120" t="s">
        <v>169</v>
      </c>
      <c r="D19" s="176" t="s">
        <v>119</v>
      </c>
      <c r="E19" s="176" t="s">
        <v>165</v>
      </c>
      <c r="F19" s="176" t="s">
        <v>129</v>
      </c>
      <c r="H19" s="540" t="s">
        <v>272</v>
      </c>
      <c r="I19" s="542"/>
      <c r="J19" s="542"/>
      <c r="K19" s="542"/>
      <c r="L19" s="542"/>
      <c r="M19" s="542"/>
      <c r="N19" s="542"/>
      <c r="O19" s="542"/>
      <c r="P19" s="542"/>
      <c r="Q19" s="542"/>
      <c r="R19" s="542"/>
      <c r="S19" s="541"/>
      <c r="T19" s="187"/>
      <c r="U19" s="186"/>
    </row>
    <row r="20" spans="2:21" x14ac:dyDescent="0.6">
      <c r="B20" s="179">
        <f t="shared" si="0"/>
        <v>17</v>
      </c>
      <c r="C20" s="120" t="s">
        <v>171</v>
      </c>
      <c r="D20" s="176" t="s">
        <v>119</v>
      </c>
      <c r="E20" s="176" t="s">
        <v>294</v>
      </c>
      <c r="F20" s="176" t="s">
        <v>129</v>
      </c>
      <c r="H20" s="540" t="s">
        <v>273</v>
      </c>
      <c r="I20" s="542"/>
      <c r="J20" s="542"/>
      <c r="K20" s="542"/>
      <c r="L20" s="542"/>
      <c r="M20" s="542"/>
      <c r="N20" s="542"/>
      <c r="O20" s="542"/>
      <c r="P20" s="542"/>
      <c r="Q20" s="542"/>
      <c r="R20" s="542"/>
      <c r="S20" s="541"/>
      <c r="T20" s="187"/>
      <c r="U20" s="186"/>
    </row>
    <row r="21" spans="2:21" x14ac:dyDescent="0.6">
      <c r="B21" s="179">
        <f t="shared" si="0"/>
        <v>18</v>
      </c>
      <c r="C21" s="120" t="s">
        <v>173</v>
      </c>
      <c r="D21" s="176" t="s">
        <v>119</v>
      </c>
      <c r="E21" s="176" t="s">
        <v>168</v>
      </c>
      <c r="F21" s="176" t="s">
        <v>129</v>
      </c>
      <c r="H21" s="540" t="s">
        <v>274</v>
      </c>
      <c r="I21" s="542"/>
      <c r="J21" s="542"/>
      <c r="K21" s="542"/>
      <c r="L21" s="542"/>
      <c r="M21" s="542"/>
      <c r="N21" s="542"/>
      <c r="O21" s="542"/>
      <c r="P21" s="542"/>
      <c r="Q21" s="542"/>
      <c r="R21" s="542"/>
      <c r="S21" s="541"/>
      <c r="T21" s="187"/>
      <c r="U21" s="186"/>
    </row>
    <row r="22" spans="2:21" x14ac:dyDescent="0.6">
      <c r="B22" s="179">
        <f t="shared" si="0"/>
        <v>19</v>
      </c>
      <c r="C22" s="120" t="s">
        <v>175</v>
      </c>
      <c r="D22" s="176" t="s">
        <v>119</v>
      </c>
      <c r="E22" s="176" t="s">
        <v>170</v>
      </c>
      <c r="F22" s="176" t="s">
        <v>129</v>
      </c>
      <c r="H22" s="540" t="s">
        <v>275</v>
      </c>
      <c r="I22" s="542"/>
      <c r="J22" s="542"/>
      <c r="K22" s="542"/>
      <c r="L22" s="542"/>
      <c r="M22" s="542"/>
      <c r="N22" s="542"/>
      <c r="O22" s="542"/>
      <c r="P22" s="542"/>
      <c r="Q22" s="542"/>
      <c r="R22" s="542"/>
      <c r="S22" s="541"/>
      <c r="T22" s="187"/>
      <c r="U22" s="186"/>
    </row>
    <row r="23" spans="2:21" x14ac:dyDescent="0.6">
      <c r="B23" s="179">
        <f t="shared" si="0"/>
        <v>20</v>
      </c>
      <c r="C23" s="120" t="s">
        <v>177</v>
      </c>
      <c r="D23" s="176" t="s">
        <v>119</v>
      </c>
      <c r="E23" s="176" t="s">
        <v>172</v>
      </c>
      <c r="F23" s="176" t="s">
        <v>129</v>
      </c>
      <c r="H23" s="540" t="s">
        <v>276</v>
      </c>
      <c r="I23" s="542"/>
      <c r="J23" s="542"/>
      <c r="K23" s="542"/>
      <c r="L23" s="542"/>
      <c r="M23" s="542"/>
      <c r="N23" s="542"/>
      <c r="O23" s="542"/>
      <c r="P23" s="542"/>
      <c r="Q23" s="542"/>
      <c r="R23" s="542"/>
      <c r="S23" s="541"/>
      <c r="T23" s="187"/>
      <c r="U23" s="186"/>
    </row>
    <row r="24" spans="2:21" x14ac:dyDescent="0.6">
      <c r="B24" s="179">
        <f t="shared" si="0"/>
        <v>21</v>
      </c>
      <c r="C24" s="120" t="s">
        <v>178</v>
      </c>
      <c r="D24" s="176" t="s">
        <v>119</v>
      </c>
      <c r="E24" s="176" t="s">
        <v>174</v>
      </c>
      <c r="F24" s="176" t="s">
        <v>129</v>
      </c>
      <c r="H24" s="540" t="s">
        <v>277</v>
      </c>
      <c r="I24" s="542"/>
      <c r="J24" s="542"/>
      <c r="K24" s="542"/>
      <c r="L24" s="542"/>
      <c r="M24" s="542"/>
      <c r="N24" s="542"/>
      <c r="O24" s="542"/>
      <c r="P24" s="542"/>
      <c r="Q24" s="542"/>
      <c r="R24" s="542"/>
      <c r="S24" s="541"/>
      <c r="T24" s="187"/>
      <c r="U24" s="186"/>
    </row>
    <row r="25" spans="2:21" x14ac:dyDescent="0.6">
      <c r="B25" s="179">
        <f t="shared" si="0"/>
        <v>22</v>
      </c>
      <c r="C25" s="120" t="s">
        <v>179</v>
      </c>
      <c r="D25" s="176" t="s">
        <v>119</v>
      </c>
      <c r="E25" s="176" t="s">
        <v>176</v>
      </c>
      <c r="F25" s="176" t="s">
        <v>129</v>
      </c>
      <c r="H25" s="540" t="s">
        <v>278</v>
      </c>
      <c r="I25" s="542"/>
      <c r="J25" s="542"/>
      <c r="K25" s="542"/>
      <c r="L25" s="542"/>
      <c r="M25" s="542"/>
      <c r="N25" s="542"/>
      <c r="O25" s="542"/>
      <c r="P25" s="542"/>
      <c r="Q25" s="542"/>
      <c r="R25" s="542"/>
      <c r="S25" s="541"/>
      <c r="T25" s="187"/>
      <c r="U25" s="186"/>
    </row>
    <row r="26" spans="2:21" x14ac:dyDescent="0.6">
      <c r="B26" s="179"/>
      <c r="C26" s="120" t="s">
        <v>291</v>
      </c>
      <c r="E26" s="176" t="s">
        <v>295</v>
      </c>
      <c r="H26" s="176">
        <v>0</v>
      </c>
      <c r="I26" s="176">
        <v>0</v>
      </c>
      <c r="J26" s="176">
        <v>1</v>
      </c>
      <c r="K26" s="176">
        <v>1</v>
      </c>
      <c r="L26" s="176">
        <v>0</v>
      </c>
      <c r="M26" s="176">
        <v>0</v>
      </c>
      <c r="N26" s="176">
        <v>0</v>
      </c>
      <c r="O26" s="176">
        <v>1</v>
      </c>
      <c r="P26" s="176">
        <v>1</v>
      </c>
      <c r="T26" s="112"/>
      <c r="U26" s="176"/>
    </row>
    <row r="27" spans="2:21" x14ac:dyDescent="0.6">
      <c r="B27" s="179">
        <f>B25+1</f>
        <v>23</v>
      </c>
      <c r="C27" s="120" t="s">
        <v>298</v>
      </c>
      <c r="D27" s="176" t="s">
        <v>119</v>
      </c>
      <c r="E27" s="176" t="s">
        <v>254</v>
      </c>
      <c r="F27" s="176" t="s">
        <v>1147</v>
      </c>
      <c r="H27" s="540" t="s">
        <v>1149</v>
      </c>
      <c r="I27" s="542"/>
      <c r="J27" s="542"/>
      <c r="K27" s="542"/>
      <c r="L27" s="542"/>
      <c r="M27" s="541"/>
      <c r="N27" s="540" t="s">
        <v>1150</v>
      </c>
      <c r="O27" s="542"/>
      <c r="P27" s="542"/>
      <c r="Q27" s="542"/>
      <c r="R27" s="542"/>
      <c r="S27" s="541"/>
      <c r="T27" s="185" t="s">
        <v>1145</v>
      </c>
      <c r="U27" s="186"/>
    </row>
    <row r="28" spans="2:21" ht="33.75" x14ac:dyDescent="0.6">
      <c r="B28" s="179">
        <f>B27+1</f>
        <v>24</v>
      </c>
      <c r="C28" s="120" t="s">
        <v>548</v>
      </c>
      <c r="D28" s="176" t="s">
        <v>119</v>
      </c>
      <c r="E28" s="176" t="s">
        <v>556</v>
      </c>
      <c r="F28" s="451" t="s">
        <v>1289</v>
      </c>
      <c r="H28" s="184"/>
      <c r="I28" s="184"/>
      <c r="J28" s="184"/>
      <c r="K28" s="184"/>
      <c r="L28" s="184"/>
      <c r="M28" s="540" t="s">
        <v>1298</v>
      </c>
      <c r="N28" s="542"/>
      <c r="O28" s="542"/>
      <c r="P28" s="542"/>
      <c r="Q28" s="542"/>
      <c r="R28" s="542"/>
      <c r="S28" s="541"/>
      <c r="T28" s="198" t="s">
        <v>1154</v>
      </c>
      <c r="U28" s="198"/>
    </row>
    <row r="29" spans="2:21" x14ac:dyDescent="0.6">
      <c r="B29" s="179">
        <f t="shared" ref="B29:B30" si="1">B28+1</f>
        <v>25</v>
      </c>
      <c r="C29" s="120" t="s">
        <v>296</v>
      </c>
      <c r="D29" s="176" t="s">
        <v>119</v>
      </c>
      <c r="E29" s="176" t="s">
        <v>181</v>
      </c>
      <c r="F29" s="451" t="s">
        <v>1133</v>
      </c>
      <c r="H29" s="540" t="s">
        <v>184</v>
      </c>
      <c r="I29" s="542"/>
      <c r="J29" s="542"/>
      <c r="K29" s="542"/>
      <c r="L29" s="542"/>
      <c r="M29" s="542"/>
      <c r="N29" s="542"/>
      <c r="O29" s="542"/>
      <c r="P29" s="542"/>
      <c r="Q29" s="542"/>
      <c r="R29" s="542"/>
      <c r="S29" s="541"/>
      <c r="T29" s="185" t="s">
        <v>1132</v>
      </c>
      <c r="U29" s="185"/>
    </row>
    <row r="30" spans="2:21" ht="73.5" customHeight="1" x14ac:dyDescent="0.6">
      <c r="B30" s="179">
        <f t="shared" si="1"/>
        <v>26</v>
      </c>
      <c r="C30" s="120" t="s">
        <v>297</v>
      </c>
      <c r="D30" s="176" t="s">
        <v>119</v>
      </c>
      <c r="E30" s="176" t="s">
        <v>183</v>
      </c>
      <c r="F30" s="451" t="s">
        <v>1334</v>
      </c>
      <c r="H30" s="183" t="s">
        <v>186</v>
      </c>
      <c r="I30" s="184"/>
      <c r="J30" s="553" t="s">
        <v>1292</v>
      </c>
      <c r="K30" s="554"/>
      <c r="L30" s="540" t="s">
        <v>265</v>
      </c>
      <c r="M30" s="542"/>
      <c r="N30" s="542"/>
      <c r="O30" s="542"/>
      <c r="P30" s="542"/>
      <c r="Q30" s="542"/>
      <c r="R30" s="542"/>
      <c r="S30" s="541"/>
      <c r="T30" s="185" t="s">
        <v>1155</v>
      </c>
      <c r="U30" s="185"/>
    </row>
    <row r="31" spans="2:21" x14ac:dyDescent="0.6">
      <c r="B31" s="179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85"/>
      <c r="U31" s="185"/>
    </row>
    <row r="32" spans="2:21" x14ac:dyDescent="0.6">
      <c r="B32" s="179">
        <f>B30+1</f>
        <v>27</v>
      </c>
      <c r="C32" s="120" t="s">
        <v>555</v>
      </c>
      <c r="D32" s="176" t="s">
        <v>119</v>
      </c>
      <c r="E32" s="176" t="s">
        <v>554</v>
      </c>
      <c r="F32" s="451" t="s">
        <v>1296</v>
      </c>
      <c r="H32" s="540" t="s">
        <v>182</v>
      </c>
      <c r="I32" s="542"/>
      <c r="J32" s="542"/>
      <c r="K32" s="541"/>
      <c r="L32" s="184"/>
      <c r="M32" s="452" t="s">
        <v>1293</v>
      </c>
      <c r="N32" s="553" t="s">
        <v>1294</v>
      </c>
      <c r="O32" s="554"/>
      <c r="P32" s="184"/>
      <c r="Q32" s="184"/>
      <c r="R32" s="540" t="s">
        <v>314</v>
      </c>
      <c r="S32" s="541"/>
      <c r="T32" s="185"/>
      <c r="U32" s="185"/>
    </row>
    <row r="33" spans="2:21" x14ac:dyDescent="0.6">
      <c r="B33" s="179">
        <f t="shared" ref="B33:B36" si="2">B32+1</f>
        <v>28</v>
      </c>
      <c r="C33" s="120" t="s">
        <v>315</v>
      </c>
      <c r="D33" s="176" t="s">
        <v>119</v>
      </c>
      <c r="E33" s="176" t="s">
        <v>185</v>
      </c>
      <c r="F33" s="176" t="s">
        <v>121</v>
      </c>
      <c r="H33" s="540" t="s">
        <v>312</v>
      </c>
      <c r="I33" s="542"/>
      <c r="J33" s="542"/>
      <c r="K33" s="542"/>
      <c r="L33" s="542"/>
      <c r="M33" s="542"/>
      <c r="N33" s="542"/>
      <c r="O33" s="542"/>
      <c r="P33" s="542"/>
      <c r="Q33" s="542"/>
      <c r="R33" s="542"/>
      <c r="S33" s="541"/>
      <c r="T33" s="198"/>
      <c r="U33" s="198"/>
    </row>
    <row r="34" spans="2:21" x14ac:dyDescent="0.6">
      <c r="B34" s="179">
        <f t="shared" si="2"/>
        <v>29</v>
      </c>
      <c r="C34" s="120" t="s">
        <v>316</v>
      </c>
      <c r="D34" s="176" t="s">
        <v>119</v>
      </c>
      <c r="E34" s="176" t="s">
        <v>187</v>
      </c>
      <c r="F34" s="451" t="s">
        <v>1290</v>
      </c>
      <c r="H34" s="183" t="s">
        <v>313</v>
      </c>
      <c r="I34" s="184"/>
      <c r="J34" s="184"/>
      <c r="K34" s="184"/>
      <c r="L34" s="184"/>
      <c r="M34" s="184"/>
      <c r="N34" s="184"/>
      <c r="O34" s="184"/>
      <c r="P34" s="540" t="s">
        <v>1148</v>
      </c>
      <c r="Q34" s="542"/>
      <c r="R34" s="542"/>
      <c r="S34" s="541"/>
      <c r="T34" s="198"/>
      <c r="U34" s="198"/>
    </row>
    <row r="35" spans="2:21" s="455" customFormat="1" x14ac:dyDescent="0.6">
      <c r="B35" s="179">
        <f t="shared" si="2"/>
        <v>30</v>
      </c>
      <c r="C35" s="456" t="s">
        <v>1303</v>
      </c>
      <c r="D35" s="457" t="s">
        <v>1304</v>
      </c>
      <c r="E35" s="457" t="s">
        <v>1305</v>
      </c>
      <c r="F35" s="457" t="s">
        <v>121</v>
      </c>
      <c r="G35" s="457"/>
      <c r="H35" s="458"/>
      <c r="I35" s="458"/>
      <c r="J35" s="458"/>
      <c r="K35" s="458"/>
      <c r="L35" s="458"/>
      <c r="M35" s="549" t="s">
        <v>1306</v>
      </c>
      <c r="N35" s="550"/>
      <c r="O35" s="550"/>
      <c r="P35" s="550"/>
      <c r="Q35" s="550"/>
      <c r="R35" s="550"/>
      <c r="S35" s="550"/>
      <c r="T35" s="460" t="s">
        <v>1307</v>
      </c>
      <c r="U35" s="459"/>
    </row>
    <row r="36" spans="2:21" x14ac:dyDescent="0.6">
      <c r="B36" s="179">
        <f t="shared" si="2"/>
        <v>31</v>
      </c>
    </row>
    <row r="37" spans="2:21" ht="292.89999999999998" customHeight="1" x14ac:dyDescent="0.6">
      <c r="B37" s="179">
        <v>1</v>
      </c>
      <c r="C37" s="120" t="s">
        <v>188</v>
      </c>
      <c r="D37" s="176" t="s">
        <v>119</v>
      </c>
      <c r="E37" s="192" t="s">
        <v>189</v>
      </c>
      <c r="F37" s="176" t="s">
        <v>121</v>
      </c>
      <c r="H37" s="183" t="s">
        <v>190</v>
      </c>
      <c r="I37" s="452" t="s">
        <v>1300</v>
      </c>
      <c r="J37" s="553" t="s">
        <v>1295</v>
      </c>
      <c r="K37" s="554"/>
      <c r="L37" s="184"/>
      <c r="M37" s="183" t="s">
        <v>260</v>
      </c>
      <c r="N37" s="452" t="s">
        <v>1299</v>
      </c>
      <c r="O37" s="183" t="s">
        <v>261</v>
      </c>
      <c r="P37" s="184"/>
      <c r="Q37" s="184"/>
      <c r="R37" s="184"/>
      <c r="S37" s="183" t="s">
        <v>191</v>
      </c>
      <c r="T37" s="185" t="s">
        <v>1301</v>
      </c>
      <c r="U37" s="185"/>
    </row>
    <row r="38" spans="2:21" x14ac:dyDescent="0.6">
      <c r="B38" s="179">
        <f>B37+1</f>
        <v>2</v>
      </c>
      <c r="C38" s="120" t="s">
        <v>192</v>
      </c>
      <c r="D38" s="176" t="s">
        <v>119</v>
      </c>
      <c r="E38" s="192" t="s">
        <v>193</v>
      </c>
      <c r="F38" s="176" t="s">
        <v>121</v>
      </c>
      <c r="H38" s="184"/>
      <c r="I38" s="184"/>
      <c r="J38" s="184"/>
      <c r="K38" s="184"/>
      <c r="L38" s="184"/>
      <c r="M38" s="184"/>
      <c r="N38" s="184"/>
      <c r="O38" s="184"/>
      <c r="P38" s="540" t="s">
        <v>194</v>
      </c>
      <c r="Q38" s="542"/>
      <c r="R38" s="542"/>
      <c r="S38" s="541"/>
      <c r="U38" s="186"/>
    </row>
    <row r="39" spans="2:21" x14ac:dyDescent="0.6">
      <c r="B39" s="179">
        <f t="shared" ref="B39:B42" si="3">B38+1</f>
        <v>3</v>
      </c>
      <c r="C39" s="120" t="s">
        <v>195</v>
      </c>
      <c r="D39" s="176" t="s">
        <v>119</v>
      </c>
      <c r="E39" s="192" t="s">
        <v>196</v>
      </c>
      <c r="F39" s="176" t="s">
        <v>547</v>
      </c>
      <c r="H39" s="540" t="s">
        <v>197</v>
      </c>
      <c r="I39" s="542"/>
      <c r="J39" s="542"/>
      <c r="K39" s="542"/>
      <c r="L39" s="542"/>
      <c r="M39" s="542"/>
      <c r="N39" s="542"/>
      <c r="O39" s="542"/>
      <c r="P39" s="542"/>
      <c r="Q39" s="542"/>
      <c r="R39" s="542"/>
      <c r="S39" s="541"/>
      <c r="T39" s="193"/>
      <c r="U39" s="186"/>
    </row>
    <row r="40" spans="2:21" x14ac:dyDescent="0.6">
      <c r="B40" s="179">
        <f t="shared" si="3"/>
        <v>4</v>
      </c>
      <c r="C40" s="120" t="s">
        <v>198</v>
      </c>
      <c r="D40" s="176" t="s">
        <v>119</v>
      </c>
      <c r="E40" s="192" t="s">
        <v>199</v>
      </c>
      <c r="F40" s="176" t="s">
        <v>200</v>
      </c>
      <c r="H40" s="184"/>
      <c r="I40" s="184"/>
      <c r="J40" s="184"/>
      <c r="K40" s="184"/>
      <c r="L40" s="184"/>
      <c r="M40" s="184"/>
      <c r="N40" s="184"/>
      <c r="O40" s="184"/>
      <c r="P40" s="540" t="s">
        <v>201</v>
      </c>
      <c r="Q40" s="542"/>
      <c r="R40" s="542"/>
      <c r="S40" s="541"/>
      <c r="T40" s="187"/>
      <c r="U40" s="186"/>
    </row>
    <row r="41" spans="2:21" x14ac:dyDescent="0.6">
      <c r="B41" s="179">
        <f t="shared" si="3"/>
        <v>5</v>
      </c>
      <c r="C41" s="120" t="s">
        <v>202</v>
      </c>
      <c r="D41" s="176" t="s">
        <v>119</v>
      </c>
      <c r="E41" s="192" t="s">
        <v>203</v>
      </c>
      <c r="F41" s="176" t="s">
        <v>121</v>
      </c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3" t="s">
        <v>204</v>
      </c>
      <c r="S41" s="183" t="s">
        <v>205</v>
      </c>
      <c r="T41" s="193" t="s">
        <v>1157</v>
      </c>
      <c r="U41" s="186"/>
    </row>
    <row r="42" spans="2:21" x14ac:dyDescent="0.6">
      <c r="B42" s="179">
        <f t="shared" si="3"/>
        <v>6</v>
      </c>
      <c r="C42" s="120" t="s">
        <v>206</v>
      </c>
      <c r="D42" s="176" t="s">
        <v>119</v>
      </c>
      <c r="E42" s="192" t="s">
        <v>207</v>
      </c>
      <c r="F42" s="176" t="s">
        <v>1160</v>
      </c>
      <c r="H42" s="540" t="s">
        <v>208</v>
      </c>
      <c r="I42" s="542"/>
      <c r="J42" s="542"/>
      <c r="K42" s="542"/>
      <c r="L42" s="542"/>
      <c r="M42" s="542"/>
      <c r="N42" s="542"/>
      <c r="O42" s="542"/>
      <c r="P42" s="542"/>
      <c r="Q42" s="542"/>
      <c r="R42" s="542"/>
      <c r="S42" s="541"/>
      <c r="T42" s="193"/>
      <c r="U42" s="186"/>
    </row>
    <row r="43" spans="2:21" x14ac:dyDescent="0.6">
      <c r="B43" s="179"/>
      <c r="C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87"/>
      <c r="U43" s="186"/>
    </row>
    <row r="44" spans="2:21" x14ac:dyDescent="0.6">
      <c r="B44" s="179">
        <v>1</v>
      </c>
      <c r="C44" s="120" t="s">
        <v>209</v>
      </c>
      <c r="D44" s="176" t="s">
        <v>119</v>
      </c>
      <c r="E44" s="176" t="s">
        <v>120</v>
      </c>
      <c r="F44" s="176" t="s">
        <v>121</v>
      </c>
      <c r="H44" s="184"/>
      <c r="I44" s="184"/>
      <c r="J44" s="184"/>
      <c r="K44" s="184"/>
      <c r="L44" s="569" t="s">
        <v>210</v>
      </c>
      <c r="M44" s="570"/>
      <c r="N44" s="570"/>
      <c r="O44" s="570"/>
      <c r="P44" s="570"/>
      <c r="Q44" s="570"/>
      <c r="R44" s="570"/>
      <c r="S44" s="571"/>
      <c r="T44" s="187"/>
      <c r="U44" s="186"/>
    </row>
    <row r="45" spans="2:21" x14ac:dyDescent="0.6">
      <c r="B45" s="179">
        <f>B44+1</f>
        <v>2</v>
      </c>
      <c r="C45" s="120" t="s">
        <v>211</v>
      </c>
      <c r="D45" s="176" t="s">
        <v>119</v>
      </c>
      <c r="E45" s="176" t="s">
        <v>212</v>
      </c>
      <c r="F45" s="176" t="s">
        <v>310</v>
      </c>
      <c r="H45" s="184"/>
      <c r="I45" s="184"/>
      <c r="J45" s="184"/>
      <c r="K45" s="184"/>
      <c r="L45" s="184"/>
      <c r="M45" s="184"/>
      <c r="N45" s="569" t="s">
        <v>328</v>
      </c>
      <c r="O45" s="570"/>
      <c r="P45" s="570"/>
      <c r="Q45" s="570"/>
      <c r="R45" s="570"/>
      <c r="S45" s="571"/>
      <c r="T45" s="187"/>
      <c r="U45" s="186"/>
    </row>
    <row r="46" spans="2:21" x14ac:dyDescent="0.6">
      <c r="B46" s="179">
        <f t="shared" ref="B46:B71" si="4">B45+1</f>
        <v>3</v>
      </c>
      <c r="C46" s="120" t="s">
        <v>214</v>
      </c>
      <c r="D46" s="176" t="s">
        <v>119</v>
      </c>
      <c r="E46" s="176" t="s">
        <v>215</v>
      </c>
      <c r="F46" s="176" t="s">
        <v>310</v>
      </c>
      <c r="H46" s="184"/>
      <c r="I46" s="184"/>
      <c r="J46" s="184"/>
      <c r="K46" s="184"/>
      <c r="L46" s="184"/>
      <c r="M46" s="184"/>
      <c r="N46" s="569" t="s">
        <v>329</v>
      </c>
      <c r="O46" s="570"/>
      <c r="P46" s="570"/>
      <c r="Q46" s="570"/>
      <c r="R46" s="570"/>
      <c r="S46" s="571"/>
      <c r="T46" s="187"/>
      <c r="U46" s="186"/>
    </row>
    <row r="47" spans="2:21" s="112" customFormat="1" x14ac:dyDescent="0.6">
      <c r="B47" s="179">
        <f t="shared" si="4"/>
        <v>4</v>
      </c>
      <c r="C47" s="120" t="s">
        <v>216</v>
      </c>
      <c r="D47" s="176" t="s">
        <v>119</v>
      </c>
      <c r="E47" s="176" t="s">
        <v>125</v>
      </c>
      <c r="F47" s="176" t="s">
        <v>213</v>
      </c>
      <c r="G47" s="176"/>
      <c r="H47" s="184"/>
      <c r="I47" s="184"/>
      <c r="J47" s="184"/>
      <c r="K47" s="184"/>
      <c r="L47" s="184"/>
      <c r="M47" s="569" t="s">
        <v>330</v>
      </c>
      <c r="N47" s="570"/>
      <c r="O47" s="570"/>
      <c r="P47" s="570"/>
      <c r="Q47" s="570"/>
      <c r="R47" s="570"/>
      <c r="S47" s="571"/>
      <c r="T47" s="187"/>
      <c r="U47" s="186"/>
    </row>
    <row r="48" spans="2:21" s="112" customFormat="1" x14ac:dyDescent="0.6">
      <c r="B48" s="179">
        <f t="shared" si="4"/>
        <v>5</v>
      </c>
      <c r="C48" s="120" t="s">
        <v>217</v>
      </c>
      <c r="D48" s="176" t="s">
        <v>119</v>
      </c>
      <c r="E48" s="176" t="s">
        <v>126</v>
      </c>
      <c r="F48" s="176" t="s">
        <v>213</v>
      </c>
      <c r="G48" s="176"/>
      <c r="H48" s="184"/>
      <c r="I48" s="184"/>
      <c r="J48" s="184"/>
      <c r="K48" s="184"/>
      <c r="L48" s="184"/>
      <c r="M48" s="569" t="s">
        <v>331</v>
      </c>
      <c r="N48" s="570"/>
      <c r="O48" s="570"/>
      <c r="P48" s="570"/>
      <c r="Q48" s="570"/>
      <c r="R48" s="570"/>
      <c r="S48" s="571"/>
      <c r="T48" s="187"/>
      <c r="U48" s="186"/>
    </row>
    <row r="49" spans="2:21" s="112" customFormat="1" x14ac:dyDescent="0.6">
      <c r="B49" s="179">
        <f t="shared" si="4"/>
        <v>6</v>
      </c>
      <c r="C49" s="120" t="s">
        <v>218</v>
      </c>
      <c r="D49" s="176" t="s">
        <v>119</v>
      </c>
      <c r="E49" s="176" t="s">
        <v>219</v>
      </c>
      <c r="F49" s="176" t="s">
        <v>213</v>
      </c>
      <c r="G49" s="176"/>
      <c r="H49" s="184"/>
      <c r="I49" s="184"/>
      <c r="J49" s="184"/>
      <c r="K49" s="184"/>
      <c r="L49" s="184"/>
      <c r="M49" s="569" t="s">
        <v>332</v>
      </c>
      <c r="N49" s="570"/>
      <c r="O49" s="570"/>
      <c r="P49" s="570"/>
      <c r="Q49" s="570"/>
      <c r="R49" s="570"/>
      <c r="S49" s="571"/>
      <c r="T49" s="187"/>
      <c r="U49" s="186"/>
    </row>
    <row r="50" spans="2:21" s="112" customFormat="1" x14ac:dyDescent="0.6">
      <c r="B50" s="179">
        <f t="shared" si="4"/>
        <v>7</v>
      </c>
      <c r="C50" s="120" t="s">
        <v>220</v>
      </c>
      <c r="D50" s="176" t="s">
        <v>119</v>
      </c>
      <c r="E50" s="176" t="s">
        <v>128</v>
      </c>
      <c r="F50" s="176" t="s">
        <v>213</v>
      </c>
      <c r="G50" s="176"/>
      <c r="H50" s="184"/>
      <c r="I50" s="184"/>
      <c r="J50" s="184"/>
      <c r="K50" s="184"/>
      <c r="L50" s="184"/>
      <c r="M50" s="569" t="s">
        <v>333</v>
      </c>
      <c r="N50" s="570"/>
      <c r="O50" s="570"/>
      <c r="P50" s="570"/>
      <c r="Q50" s="570"/>
      <c r="R50" s="570"/>
      <c r="S50" s="571"/>
      <c r="T50" s="187"/>
      <c r="U50" s="186"/>
    </row>
    <row r="51" spans="2:21" s="112" customFormat="1" x14ac:dyDescent="0.6">
      <c r="B51" s="179">
        <f t="shared" si="4"/>
        <v>8</v>
      </c>
      <c r="C51" s="120" t="s">
        <v>221</v>
      </c>
      <c r="D51" s="176" t="s">
        <v>119</v>
      </c>
      <c r="E51" s="176" t="s">
        <v>222</v>
      </c>
      <c r="F51" s="176" t="s">
        <v>213</v>
      </c>
      <c r="G51" s="176"/>
      <c r="H51" s="184"/>
      <c r="I51" s="184"/>
      <c r="J51" s="184"/>
      <c r="K51" s="184"/>
      <c r="L51" s="184"/>
      <c r="M51" s="569" t="s">
        <v>334</v>
      </c>
      <c r="N51" s="570"/>
      <c r="O51" s="570"/>
      <c r="P51" s="570"/>
      <c r="Q51" s="570"/>
      <c r="R51" s="570"/>
      <c r="S51" s="571"/>
      <c r="T51" s="187"/>
      <c r="U51" s="186"/>
    </row>
    <row r="52" spans="2:21" s="112" customFormat="1" x14ac:dyDescent="0.6">
      <c r="B52" s="179">
        <f t="shared" si="4"/>
        <v>9</v>
      </c>
      <c r="C52" s="120" t="s">
        <v>223</v>
      </c>
      <c r="D52" s="176" t="s">
        <v>119</v>
      </c>
      <c r="E52" s="176" t="s">
        <v>131</v>
      </c>
      <c r="F52" s="176" t="s">
        <v>213</v>
      </c>
      <c r="G52" s="176"/>
      <c r="H52" s="184"/>
      <c r="I52" s="184"/>
      <c r="J52" s="184"/>
      <c r="K52" s="184"/>
      <c r="L52" s="184"/>
      <c r="M52" s="569" t="s">
        <v>335</v>
      </c>
      <c r="N52" s="570"/>
      <c r="O52" s="570"/>
      <c r="P52" s="570"/>
      <c r="Q52" s="570"/>
      <c r="R52" s="570"/>
      <c r="S52" s="571"/>
      <c r="T52" s="187"/>
      <c r="U52" s="186"/>
    </row>
    <row r="53" spans="2:21" s="112" customFormat="1" x14ac:dyDescent="0.6">
      <c r="B53" s="179">
        <f t="shared" si="4"/>
        <v>10</v>
      </c>
      <c r="C53" s="120" t="s">
        <v>224</v>
      </c>
      <c r="D53" s="176" t="s">
        <v>119</v>
      </c>
      <c r="E53" s="176" t="s">
        <v>134</v>
      </c>
      <c r="F53" s="176" t="s">
        <v>213</v>
      </c>
      <c r="G53" s="176"/>
      <c r="H53" s="184"/>
      <c r="I53" s="184"/>
      <c r="J53" s="184"/>
      <c r="K53" s="184"/>
      <c r="L53" s="184"/>
      <c r="M53" s="569" t="s">
        <v>336</v>
      </c>
      <c r="N53" s="570"/>
      <c r="O53" s="570"/>
      <c r="P53" s="570"/>
      <c r="Q53" s="570"/>
      <c r="R53" s="570"/>
      <c r="S53" s="571"/>
      <c r="T53" s="187"/>
      <c r="U53" s="186"/>
    </row>
    <row r="54" spans="2:21" s="112" customFormat="1" x14ac:dyDescent="0.6">
      <c r="B54" s="179">
        <f t="shared" si="4"/>
        <v>11</v>
      </c>
      <c r="C54" s="120" t="s">
        <v>225</v>
      </c>
      <c r="D54" s="176" t="s">
        <v>119</v>
      </c>
      <c r="E54" s="176" t="s">
        <v>226</v>
      </c>
      <c r="F54" s="176" t="s">
        <v>213</v>
      </c>
      <c r="G54" s="176"/>
      <c r="H54" s="184"/>
      <c r="I54" s="184"/>
      <c r="J54" s="184"/>
      <c r="K54" s="184"/>
      <c r="L54" s="184"/>
      <c r="M54" s="569" t="s">
        <v>337</v>
      </c>
      <c r="N54" s="570"/>
      <c r="O54" s="570"/>
      <c r="P54" s="570"/>
      <c r="Q54" s="570"/>
      <c r="R54" s="570"/>
      <c r="S54" s="571"/>
      <c r="T54" s="187"/>
      <c r="U54" s="186"/>
    </row>
    <row r="55" spans="2:21" s="112" customFormat="1" x14ac:dyDescent="0.6">
      <c r="B55" s="179">
        <f t="shared" si="4"/>
        <v>12</v>
      </c>
      <c r="C55" s="120" t="s">
        <v>227</v>
      </c>
      <c r="D55" s="176" t="s">
        <v>119</v>
      </c>
      <c r="E55" s="176" t="s">
        <v>149</v>
      </c>
      <c r="F55" s="176" t="s">
        <v>213</v>
      </c>
      <c r="G55" s="176"/>
      <c r="H55" s="184"/>
      <c r="I55" s="184"/>
      <c r="J55" s="184"/>
      <c r="K55" s="184"/>
      <c r="L55" s="184"/>
      <c r="M55" s="569" t="s">
        <v>338</v>
      </c>
      <c r="N55" s="570"/>
      <c r="O55" s="570"/>
      <c r="P55" s="570"/>
      <c r="Q55" s="570"/>
      <c r="R55" s="570"/>
      <c r="S55" s="571"/>
      <c r="T55" s="187"/>
      <c r="U55" s="186"/>
    </row>
    <row r="56" spans="2:21" s="112" customFormat="1" x14ac:dyDescent="0.6">
      <c r="B56" s="179">
        <f t="shared" si="4"/>
        <v>13</v>
      </c>
      <c r="C56" s="120" t="s">
        <v>228</v>
      </c>
      <c r="D56" s="176" t="s">
        <v>119</v>
      </c>
      <c r="E56" s="176" t="s">
        <v>154</v>
      </c>
      <c r="F56" s="176" t="s">
        <v>213</v>
      </c>
      <c r="G56" s="176"/>
      <c r="H56" s="184"/>
      <c r="I56" s="184"/>
      <c r="J56" s="184"/>
      <c r="K56" s="184"/>
      <c r="L56" s="184"/>
      <c r="M56" s="569" t="s">
        <v>339</v>
      </c>
      <c r="N56" s="570"/>
      <c r="O56" s="570"/>
      <c r="P56" s="570"/>
      <c r="Q56" s="570"/>
      <c r="R56" s="570"/>
      <c r="S56" s="571"/>
      <c r="T56" s="187"/>
      <c r="U56" s="186"/>
    </row>
    <row r="57" spans="2:21" s="112" customFormat="1" x14ac:dyDescent="0.6">
      <c r="B57" s="179">
        <f t="shared" si="4"/>
        <v>14</v>
      </c>
      <c r="C57" s="120" t="s">
        <v>229</v>
      </c>
      <c r="D57" s="176" t="s">
        <v>119</v>
      </c>
      <c r="E57" s="176" t="s">
        <v>158</v>
      </c>
      <c r="F57" s="176" t="s">
        <v>213</v>
      </c>
      <c r="G57" s="176"/>
      <c r="H57" s="184"/>
      <c r="I57" s="184"/>
      <c r="J57" s="184"/>
      <c r="K57" s="184"/>
      <c r="L57" s="184"/>
      <c r="M57" s="569" t="s">
        <v>340</v>
      </c>
      <c r="N57" s="570"/>
      <c r="O57" s="570"/>
      <c r="P57" s="570"/>
      <c r="Q57" s="570"/>
      <c r="R57" s="570"/>
      <c r="S57" s="571"/>
      <c r="T57" s="187"/>
      <c r="U57" s="186"/>
    </row>
    <row r="58" spans="2:21" s="112" customFormat="1" x14ac:dyDescent="0.6">
      <c r="B58" s="179">
        <f t="shared" si="4"/>
        <v>15</v>
      </c>
      <c r="C58" s="120" t="s">
        <v>230</v>
      </c>
      <c r="D58" s="176" t="s">
        <v>119</v>
      </c>
      <c r="E58" s="176" t="s">
        <v>161</v>
      </c>
      <c r="F58" s="176" t="s">
        <v>213</v>
      </c>
      <c r="G58" s="176"/>
      <c r="H58" s="184"/>
      <c r="I58" s="184"/>
      <c r="J58" s="184"/>
      <c r="K58" s="184"/>
      <c r="L58" s="184"/>
      <c r="M58" s="569" t="s">
        <v>341</v>
      </c>
      <c r="N58" s="570"/>
      <c r="O58" s="570"/>
      <c r="P58" s="570"/>
      <c r="Q58" s="570"/>
      <c r="R58" s="570"/>
      <c r="S58" s="571"/>
      <c r="T58" s="187"/>
      <c r="U58" s="186"/>
    </row>
    <row r="59" spans="2:21" s="112" customFormat="1" x14ac:dyDescent="0.6">
      <c r="B59" s="179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87"/>
      <c r="U59" s="186"/>
    </row>
    <row r="60" spans="2:21" s="112" customFormat="1" x14ac:dyDescent="0.6">
      <c r="B60" s="179">
        <f>B58+1</f>
        <v>16</v>
      </c>
      <c r="C60" s="120" t="s">
        <v>231</v>
      </c>
      <c r="D60" s="176" t="s">
        <v>119</v>
      </c>
      <c r="E60" s="176" t="s">
        <v>232</v>
      </c>
      <c r="F60" s="176" t="s">
        <v>233</v>
      </c>
      <c r="G60" s="176"/>
      <c r="H60" s="184"/>
      <c r="I60" s="184"/>
      <c r="J60" s="184"/>
      <c r="K60" s="184"/>
      <c r="L60" s="184"/>
      <c r="M60" s="569" t="s">
        <v>342</v>
      </c>
      <c r="N60" s="570"/>
      <c r="O60" s="570"/>
      <c r="P60" s="570"/>
      <c r="Q60" s="570"/>
      <c r="R60" s="570"/>
      <c r="S60" s="571"/>
      <c r="T60" s="187" t="s">
        <v>311</v>
      </c>
      <c r="U60" s="186"/>
    </row>
    <row r="61" spans="2:21" s="112" customFormat="1" x14ac:dyDescent="0.6">
      <c r="B61" s="179">
        <f t="shared" si="4"/>
        <v>17</v>
      </c>
      <c r="C61" s="120" t="s">
        <v>234</v>
      </c>
      <c r="D61" s="176" t="s">
        <v>119</v>
      </c>
      <c r="E61" s="176" t="s">
        <v>235</v>
      </c>
      <c r="F61" s="176" t="s">
        <v>233</v>
      </c>
      <c r="G61" s="176"/>
      <c r="H61" s="184"/>
      <c r="I61" s="184"/>
      <c r="J61" s="184"/>
      <c r="K61" s="184"/>
      <c r="L61" s="184"/>
      <c r="M61" s="569" t="s">
        <v>343</v>
      </c>
      <c r="N61" s="570"/>
      <c r="O61" s="570"/>
      <c r="P61" s="570"/>
      <c r="Q61" s="570"/>
      <c r="R61" s="570"/>
      <c r="S61" s="571"/>
      <c r="T61" s="187"/>
      <c r="U61" s="186"/>
    </row>
    <row r="62" spans="2:21" s="112" customFormat="1" x14ac:dyDescent="0.6">
      <c r="B62" s="179">
        <f t="shared" si="4"/>
        <v>18</v>
      </c>
      <c r="C62" s="120" t="s">
        <v>236</v>
      </c>
      <c r="D62" s="176" t="s">
        <v>119</v>
      </c>
      <c r="E62" s="176" t="s">
        <v>237</v>
      </c>
      <c r="F62" s="176" t="s">
        <v>233</v>
      </c>
      <c r="G62" s="176"/>
      <c r="H62" s="184"/>
      <c r="I62" s="184"/>
      <c r="J62" s="184"/>
      <c r="K62" s="184"/>
      <c r="L62" s="184"/>
      <c r="M62" s="569" t="s">
        <v>344</v>
      </c>
      <c r="N62" s="570"/>
      <c r="O62" s="570"/>
      <c r="P62" s="570"/>
      <c r="Q62" s="570"/>
      <c r="R62" s="570"/>
      <c r="S62" s="571"/>
      <c r="T62" s="187"/>
      <c r="U62" s="186"/>
    </row>
    <row r="63" spans="2:21" s="112" customFormat="1" x14ac:dyDescent="0.6">
      <c r="B63" s="179">
        <f t="shared" si="4"/>
        <v>19</v>
      </c>
      <c r="C63" s="120" t="s">
        <v>238</v>
      </c>
      <c r="D63" s="176" t="s">
        <v>119</v>
      </c>
      <c r="E63" s="176" t="s">
        <v>239</v>
      </c>
      <c r="F63" s="176" t="s">
        <v>233</v>
      </c>
      <c r="G63" s="176"/>
      <c r="H63" s="184"/>
      <c r="I63" s="184"/>
      <c r="J63" s="184"/>
      <c r="K63" s="184"/>
      <c r="L63" s="184"/>
      <c r="M63" s="569" t="s">
        <v>345</v>
      </c>
      <c r="N63" s="570"/>
      <c r="O63" s="570"/>
      <c r="P63" s="570"/>
      <c r="Q63" s="570"/>
      <c r="R63" s="570"/>
      <c r="S63" s="571"/>
      <c r="T63" s="187"/>
      <c r="U63" s="186"/>
    </row>
    <row r="64" spans="2:21" s="112" customFormat="1" x14ac:dyDescent="0.6">
      <c r="B64" s="179">
        <f t="shared" si="4"/>
        <v>20</v>
      </c>
      <c r="C64" s="120" t="s">
        <v>240</v>
      </c>
      <c r="D64" s="176" t="s">
        <v>119</v>
      </c>
      <c r="E64" s="176" t="s">
        <v>241</v>
      </c>
      <c r="F64" s="176" t="s">
        <v>233</v>
      </c>
      <c r="G64" s="176"/>
      <c r="H64" s="184"/>
      <c r="I64" s="184"/>
      <c r="J64" s="184"/>
      <c r="K64" s="184"/>
      <c r="L64" s="184"/>
      <c r="M64" s="569" t="s">
        <v>346</v>
      </c>
      <c r="N64" s="570"/>
      <c r="O64" s="570"/>
      <c r="P64" s="570"/>
      <c r="Q64" s="570"/>
      <c r="R64" s="570"/>
      <c r="S64" s="571"/>
      <c r="T64" s="187"/>
      <c r="U64" s="186"/>
    </row>
    <row r="65" spans="1:21" s="112" customFormat="1" x14ac:dyDescent="0.6">
      <c r="B65" s="179">
        <f t="shared" si="4"/>
        <v>21</v>
      </c>
      <c r="C65" s="120" t="s">
        <v>242</v>
      </c>
      <c r="D65" s="176" t="s">
        <v>119</v>
      </c>
      <c r="E65" s="176" t="s">
        <v>243</v>
      </c>
      <c r="F65" s="176" t="s">
        <v>233</v>
      </c>
      <c r="G65" s="176"/>
      <c r="H65" s="184"/>
      <c r="I65" s="184"/>
      <c r="J65" s="184"/>
      <c r="K65" s="184"/>
      <c r="L65" s="184"/>
      <c r="M65" s="569" t="s">
        <v>347</v>
      </c>
      <c r="N65" s="570"/>
      <c r="O65" s="570"/>
      <c r="P65" s="570"/>
      <c r="Q65" s="570"/>
      <c r="R65" s="570"/>
      <c r="S65" s="571"/>
      <c r="T65" s="187"/>
      <c r="U65" s="186"/>
    </row>
    <row r="66" spans="1:21" s="112" customFormat="1" x14ac:dyDescent="0.6">
      <c r="A66" s="112" t="s">
        <v>244</v>
      </c>
      <c r="B66" s="179">
        <f t="shared" si="4"/>
        <v>22</v>
      </c>
      <c r="C66" s="120" t="s">
        <v>245</v>
      </c>
      <c r="D66" s="176" t="s">
        <v>119</v>
      </c>
      <c r="E66" s="176" t="s">
        <v>246</v>
      </c>
      <c r="F66" s="176" t="s">
        <v>233</v>
      </c>
      <c r="G66" s="176"/>
      <c r="H66" s="184"/>
      <c r="I66" s="184"/>
      <c r="J66" s="184"/>
      <c r="K66" s="184"/>
      <c r="L66" s="184"/>
      <c r="M66" s="569" t="s">
        <v>348</v>
      </c>
      <c r="N66" s="570"/>
      <c r="O66" s="570"/>
      <c r="P66" s="570"/>
      <c r="Q66" s="570"/>
      <c r="R66" s="570"/>
      <c r="S66" s="571"/>
      <c r="T66" s="187"/>
      <c r="U66" s="186"/>
    </row>
    <row r="67" spans="1:21" s="112" customFormat="1" x14ac:dyDescent="0.6">
      <c r="B67" s="179">
        <f t="shared" si="4"/>
        <v>23</v>
      </c>
      <c r="C67" s="120" t="s">
        <v>247</v>
      </c>
      <c r="D67" s="176" t="s">
        <v>119</v>
      </c>
      <c r="E67" s="176" t="s">
        <v>248</v>
      </c>
      <c r="F67" s="176" t="s">
        <v>233</v>
      </c>
      <c r="G67" s="176"/>
      <c r="H67" s="184"/>
      <c r="I67" s="184"/>
      <c r="J67" s="184"/>
      <c r="K67" s="184"/>
      <c r="L67" s="184"/>
      <c r="M67" s="569" t="s">
        <v>349</v>
      </c>
      <c r="N67" s="570"/>
      <c r="O67" s="570"/>
      <c r="P67" s="570"/>
      <c r="Q67" s="570"/>
      <c r="R67" s="570"/>
      <c r="S67" s="571"/>
      <c r="T67" s="187"/>
      <c r="U67" s="186"/>
    </row>
    <row r="68" spans="1:21" s="112" customFormat="1" x14ac:dyDescent="0.6">
      <c r="B68" s="179">
        <f t="shared" si="4"/>
        <v>24</v>
      </c>
      <c r="C68" s="120" t="s">
        <v>249</v>
      </c>
      <c r="D68" s="176" t="s">
        <v>119</v>
      </c>
      <c r="E68" s="176" t="s">
        <v>250</v>
      </c>
      <c r="F68" s="176" t="s">
        <v>233</v>
      </c>
      <c r="G68" s="176"/>
      <c r="H68" s="184"/>
      <c r="I68" s="184"/>
      <c r="J68" s="184"/>
      <c r="K68" s="184"/>
      <c r="L68" s="184"/>
      <c r="M68" s="569" t="s">
        <v>350</v>
      </c>
      <c r="N68" s="570"/>
      <c r="O68" s="570"/>
      <c r="P68" s="570"/>
      <c r="Q68" s="570"/>
      <c r="R68" s="570"/>
      <c r="S68" s="571"/>
      <c r="T68" s="187"/>
      <c r="U68" s="186"/>
    </row>
    <row r="69" spans="1:21" s="112" customFormat="1" x14ac:dyDescent="0.6">
      <c r="B69" s="179">
        <f t="shared" si="4"/>
        <v>25</v>
      </c>
      <c r="C69" s="120" t="s">
        <v>251</v>
      </c>
      <c r="D69" s="176" t="s">
        <v>119</v>
      </c>
      <c r="E69" s="176" t="s">
        <v>252</v>
      </c>
      <c r="F69" s="176" t="s">
        <v>233</v>
      </c>
      <c r="G69" s="176"/>
      <c r="H69" s="184"/>
      <c r="I69" s="184"/>
      <c r="J69" s="184"/>
      <c r="K69" s="184"/>
      <c r="L69" s="184"/>
      <c r="M69" s="569" t="s">
        <v>351</v>
      </c>
      <c r="N69" s="570"/>
      <c r="O69" s="570"/>
      <c r="P69" s="570"/>
      <c r="Q69" s="570"/>
      <c r="R69" s="570"/>
      <c r="S69" s="571"/>
      <c r="T69" s="187"/>
      <c r="U69" s="186"/>
    </row>
    <row r="70" spans="1:21" x14ac:dyDescent="0.6">
      <c r="B70" s="179">
        <f t="shared" si="4"/>
        <v>26</v>
      </c>
      <c r="C70" s="120" t="s">
        <v>253</v>
      </c>
      <c r="D70" s="176" t="s">
        <v>119</v>
      </c>
      <c r="E70" s="176" t="s">
        <v>254</v>
      </c>
      <c r="F70" s="176" t="s">
        <v>213</v>
      </c>
      <c r="H70" s="184"/>
      <c r="I70" s="184"/>
      <c r="J70" s="184"/>
      <c r="K70" s="184"/>
      <c r="L70" s="184"/>
      <c r="M70" s="569" t="s">
        <v>352</v>
      </c>
      <c r="N70" s="570"/>
      <c r="O70" s="570"/>
      <c r="P70" s="570"/>
      <c r="Q70" s="570"/>
      <c r="R70" s="570"/>
      <c r="S70" s="571"/>
      <c r="T70" s="187"/>
      <c r="U70" s="186"/>
    </row>
    <row r="71" spans="1:21" x14ac:dyDescent="0.6">
      <c r="B71" s="179">
        <f t="shared" si="4"/>
        <v>27</v>
      </c>
      <c r="C71" s="120" t="s">
        <v>255</v>
      </c>
      <c r="D71" s="176" t="s">
        <v>119</v>
      </c>
      <c r="E71" s="176" t="s">
        <v>180</v>
      </c>
      <c r="F71" s="176" t="s">
        <v>213</v>
      </c>
      <c r="H71" s="184"/>
      <c r="I71" s="184"/>
      <c r="J71" s="184"/>
      <c r="K71" s="184"/>
      <c r="L71" s="184"/>
      <c r="M71" s="569" t="s">
        <v>353</v>
      </c>
      <c r="N71" s="570"/>
      <c r="O71" s="570"/>
      <c r="P71" s="570"/>
      <c r="Q71" s="570"/>
      <c r="R71" s="570"/>
      <c r="S71" s="571"/>
      <c r="T71" s="187"/>
      <c r="U71" s="186"/>
    </row>
    <row r="72" spans="1:21" x14ac:dyDescent="0.6">
      <c r="U72" s="186"/>
    </row>
    <row r="80" spans="1:21" s="176" customFormat="1" x14ac:dyDescent="0.6">
      <c r="A80" s="114"/>
      <c r="B80" s="114"/>
      <c r="C80" s="120"/>
      <c r="H80" s="194"/>
      <c r="T80" s="177"/>
      <c r="U80" s="178"/>
    </row>
    <row r="82" spans="1:21" s="176" customFormat="1" x14ac:dyDescent="0.6">
      <c r="A82" s="114"/>
      <c r="B82" s="114"/>
      <c r="C82" s="120"/>
      <c r="H82" s="194"/>
      <c r="T82" s="177"/>
      <c r="U82" s="178"/>
    </row>
  </sheetData>
  <mergeCells count="77">
    <mergeCell ref="M61:S61"/>
    <mergeCell ref="M49:S49"/>
    <mergeCell ref="M50:S50"/>
    <mergeCell ref="M51:S51"/>
    <mergeCell ref="M52:S52"/>
    <mergeCell ref="M53:S53"/>
    <mergeCell ref="M54:S54"/>
    <mergeCell ref="M55:S55"/>
    <mergeCell ref="M56:S56"/>
    <mergeCell ref="M57:S57"/>
    <mergeCell ref="M58:S58"/>
    <mergeCell ref="M69:S69"/>
    <mergeCell ref="M70:S70"/>
    <mergeCell ref="M71:S71"/>
    <mergeCell ref="M62:S62"/>
    <mergeCell ref="M63:S63"/>
    <mergeCell ref="M64:S64"/>
    <mergeCell ref="M65:S65"/>
    <mergeCell ref="M66:S66"/>
    <mergeCell ref="M67:S67"/>
    <mergeCell ref="M68:S68"/>
    <mergeCell ref="H32:K32"/>
    <mergeCell ref="H29:S29"/>
    <mergeCell ref="M60:S60"/>
    <mergeCell ref="M48:S48"/>
    <mergeCell ref="P38:S38"/>
    <mergeCell ref="H39:S39"/>
    <mergeCell ref="P40:S40"/>
    <mergeCell ref="H42:S42"/>
    <mergeCell ref="L44:S44"/>
    <mergeCell ref="M47:S47"/>
    <mergeCell ref="N46:S46"/>
    <mergeCell ref="N45:S45"/>
    <mergeCell ref="H33:S33"/>
    <mergeCell ref="P34:S34"/>
    <mergeCell ref="J30:K30"/>
    <mergeCell ref="N32:O32"/>
    <mergeCell ref="H25:S25"/>
    <mergeCell ref="H18:S18"/>
    <mergeCell ref="H19:S19"/>
    <mergeCell ref="H20:S20"/>
    <mergeCell ref="H21:S21"/>
    <mergeCell ref="H22:S22"/>
    <mergeCell ref="H23:S23"/>
    <mergeCell ref="H24:S24"/>
    <mergeCell ref="O3:S3"/>
    <mergeCell ref="H4:K4"/>
    <mergeCell ref="M5:S5"/>
    <mergeCell ref="H14:S14"/>
    <mergeCell ref="H12:I12"/>
    <mergeCell ref="J12:K12"/>
    <mergeCell ref="L12:M12"/>
    <mergeCell ref="N12:O12"/>
    <mergeCell ref="P12:Q12"/>
    <mergeCell ref="H11:S11"/>
    <mergeCell ref="I9:K9"/>
    <mergeCell ref="R12:S12"/>
    <mergeCell ref="H13:I13"/>
    <mergeCell ref="J13:K13"/>
    <mergeCell ref="L13:M13"/>
    <mergeCell ref="M9:O9"/>
    <mergeCell ref="M35:S35"/>
    <mergeCell ref="L4:M4"/>
    <mergeCell ref="J37:K37"/>
    <mergeCell ref="M28:S28"/>
    <mergeCell ref="R32:S32"/>
    <mergeCell ref="N4:P4"/>
    <mergeCell ref="Q9:S9"/>
    <mergeCell ref="L30:S30"/>
    <mergeCell ref="H15:S15"/>
    <mergeCell ref="N13:O13"/>
    <mergeCell ref="P13:Q13"/>
    <mergeCell ref="R13:S13"/>
    <mergeCell ref="H16:S16"/>
    <mergeCell ref="H17:S17"/>
    <mergeCell ref="H27:M27"/>
    <mergeCell ref="N27:S27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039CB-D081-4DCD-9E55-167EC82AC3E9}">
  <dimension ref="B1:P40"/>
  <sheetViews>
    <sheetView zoomScale="85" zoomScaleNormal="85" workbookViewId="0">
      <selection activeCell="M29" sqref="M29"/>
    </sheetView>
  </sheetViews>
  <sheetFormatPr defaultRowHeight="16.899999999999999" x14ac:dyDescent="0.6"/>
  <cols>
    <col min="2" max="2" width="15.6875" style="1" bestFit="1" customWidth="1"/>
    <col min="3" max="3" width="5.6875" style="1" bestFit="1" customWidth="1"/>
    <col min="4" max="4" width="10.6875" style="1" bestFit="1" customWidth="1"/>
  </cols>
  <sheetData>
    <row r="1" spans="2:16" ht="17.25" thickBot="1" x14ac:dyDescent="0.65"/>
    <row r="2" spans="2:16" ht="17.25" thickTop="1" x14ac:dyDescent="0.6">
      <c r="B2" s="413" t="s">
        <v>1253</v>
      </c>
      <c r="C2" s="386" t="s">
        <v>0</v>
      </c>
      <c r="D2" s="414">
        <v>10</v>
      </c>
      <c r="E2" s="390"/>
    </row>
    <row r="3" spans="2:16" x14ac:dyDescent="0.6">
      <c r="B3" s="415"/>
      <c r="C3" s="1" t="s">
        <v>1</v>
      </c>
      <c r="D3" s="1">
        <f>1/D2</f>
        <v>0.1</v>
      </c>
      <c r="E3" s="392"/>
    </row>
    <row r="4" spans="2:16" x14ac:dyDescent="0.6">
      <c r="B4" s="415" t="s">
        <v>1254</v>
      </c>
      <c r="C4" s="1" t="s">
        <v>5</v>
      </c>
      <c r="D4" s="416">
        <v>20</v>
      </c>
      <c r="E4" s="392"/>
    </row>
    <row r="5" spans="2:16" x14ac:dyDescent="0.6">
      <c r="B5" s="415" t="s">
        <v>1255</v>
      </c>
      <c r="C5" s="1" t="s">
        <v>5</v>
      </c>
      <c r="D5" s="1">
        <f>D17*D18</f>
        <v>168</v>
      </c>
      <c r="E5" s="392"/>
    </row>
    <row r="6" spans="2:16" x14ac:dyDescent="0.6">
      <c r="B6" s="415" t="s">
        <v>1256</v>
      </c>
      <c r="C6" s="1" t="s">
        <v>1</v>
      </c>
      <c r="D6" s="1">
        <v>1</v>
      </c>
      <c r="E6" s="392"/>
    </row>
    <row r="7" spans="2:16" x14ac:dyDescent="0.6">
      <c r="B7" s="415" t="s">
        <v>1267</v>
      </c>
      <c r="C7" s="1" t="s">
        <v>1</v>
      </c>
      <c r="D7" s="1">
        <v>1</v>
      </c>
      <c r="E7" s="392"/>
    </row>
    <row r="8" spans="2:16" x14ac:dyDescent="0.6">
      <c r="B8" s="415" t="s">
        <v>1266</v>
      </c>
      <c r="C8" s="1" t="s">
        <v>1</v>
      </c>
      <c r="D8" s="1">
        <v>10</v>
      </c>
      <c r="E8" s="392"/>
    </row>
    <row r="9" spans="2:16" x14ac:dyDescent="0.6">
      <c r="B9" s="415"/>
      <c r="E9" s="392"/>
    </row>
    <row r="10" spans="2:16" x14ac:dyDescent="0.6">
      <c r="B10" s="415" t="s">
        <v>1263</v>
      </c>
      <c r="C10" s="1" t="s">
        <v>5</v>
      </c>
      <c r="D10" s="416">
        <v>32</v>
      </c>
      <c r="E10" s="392"/>
    </row>
    <row r="11" spans="2:16" x14ac:dyDescent="0.6">
      <c r="B11" s="415" t="s">
        <v>1264</v>
      </c>
      <c r="C11" s="1" t="s">
        <v>5</v>
      </c>
      <c r="D11" s="1">
        <f>D5/D10</f>
        <v>5.25</v>
      </c>
      <c r="E11" s="392"/>
    </row>
    <row r="12" spans="2:16" x14ac:dyDescent="0.6">
      <c r="B12" s="415" t="s">
        <v>1265</v>
      </c>
      <c r="C12" s="1" t="s">
        <v>1</v>
      </c>
      <c r="D12" s="1">
        <f>D8*ROUNDUP(D11,0)+(D6+16*D3+16*D4*D10*D3+1)*ROUNDDOWN(D11,0)+(D6+16*D3+16*D4*  (D11-ROUNDDOWN(D11,0))*D10     *D3+1)</f>
        <v>5457.6</v>
      </c>
      <c r="E12" s="392"/>
    </row>
    <row r="13" spans="2:16" ht="17.25" thickBot="1" x14ac:dyDescent="0.65">
      <c r="B13" s="417"/>
      <c r="C13" s="418"/>
      <c r="D13" s="418"/>
      <c r="E13" s="419"/>
      <c r="I13">
        <f>I14*I15</f>
        <v>10080</v>
      </c>
      <c r="J13" t="s">
        <v>1272</v>
      </c>
      <c r="L13">
        <f>14*I13</f>
        <v>141120</v>
      </c>
    </row>
    <row r="14" spans="2:16" ht="17.25" thickTop="1" x14ac:dyDescent="0.6">
      <c r="B14" s="413"/>
      <c r="C14" s="420"/>
      <c r="D14" s="420"/>
      <c r="E14" s="421"/>
      <c r="I14">
        <v>24</v>
      </c>
      <c r="J14" t="s">
        <v>1273</v>
      </c>
      <c r="L14">
        <v>4</v>
      </c>
      <c r="M14">
        <v>16</v>
      </c>
      <c r="N14">
        <f>1/M14</f>
        <v>6.25E-2</v>
      </c>
      <c r="O14">
        <f>(L13/L14)*N14/1000</f>
        <v>2.2050000000000001</v>
      </c>
      <c r="P14" t="s">
        <v>1276</v>
      </c>
    </row>
    <row r="15" spans="2:16" x14ac:dyDescent="0.6">
      <c r="B15" s="415" t="s">
        <v>2</v>
      </c>
      <c r="C15" s="1" t="s">
        <v>0</v>
      </c>
      <c r="D15" s="416">
        <v>14.7456</v>
      </c>
      <c r="E15" s="392"/>
      <c r="I15">
        <v>420</v>
      </c>
      <c r="J15" t="s">
        <v>1272</v>
      </c>
      <c r="L15">
        <v>4</v>
      </c>
    </row>
    <row r="16" spans="2:16" x14ac:dyDescent="0.6">
      <c r="B16" s="415"/>
      <c r="C16" s="1" t="s">
        <v>1</v>
      </c>
      <c r="D16" s="1">
        <f>1/D15</f>
        <v>6.7816840277777776E-2</v>
      </c>
      <c r="E16" s="392"/>
      <c r="H16">
        <v>12</v>
      </c>
      <c r="I16">
        <f>I15/H16</f>
        <v>35</v>
      </c>
      <c r="J16" t="s">
        <v>1274</v>
      </c>
    </row>
    <row r="17" spans="2:10" x14ac:dyDescent="0.6">
      <c r="B17" s="415" t="s">
        <v>1260</v>
      </c>
      <c r="C17" s="1" t="s">
        <v>5</v>
      </c>
      <c r="D17" s="416">
        <v>14</v>
      </c>
      <c r="E17" s="392"/>
      <c r="H17">
        <v>4</v>
      </c>
      <c r="I17">
        <f>I16/H17</f>
        <v>8.75</v>
      </c>
      <c r="J17" t="s">
        <v>1275</v>
      </c>
    </row>
    <row r="18" spans="2:10" x14ac:dyDescent="0.6">
      <c r="B18" s="415" t="s">
        <v>1259</v>
      </c>
      <c r="C18" s="1" t="s">
        <v>5</v>
      </c>
      <c r="D18" s="416">
        <v>12</v>
      </c>
      <c r="E18" s="392"/>
    </row>
    <row r="19" spans="2:10" x14ac:dyDescent="0.6">
      <c r="B19" s="415" t="s">
        <v>1261</v>
      </c>
      <c r="C19" s="1" t="s">
        <v>5</v>
      </c>
      <c r="D19" s="1">
        <f>D17*D18</f>
        <v>168</v>
      </c>
      <c r="E19" s="392"/>
    </row>
    <row r="20" spans="2:10" x14ac:dyDescent="0.6">
      <c r="B20" s="415"/>
      <c r="E20" s="392"/>
    </row>
    <row r="21" spans="2:10" x14ac:dyDescent="0.6">
      <c r="B21" s="415" t="s">
        <v>1257</v>
      </c>
      <c r="C21" s="1">
        <v>18</v>
      </c>
      <c r="D21" s="416">
        <f>$D$16*C21</f>
        <v>1.220703125</v>
      </c>
      <c r="E21" s="392"/>
    </row>
    <row r="22" spans="2:10" x14ac:dyDescent="0.6">
      <c r="B22" s="415" t="s">
        <v>1258</v>
      </c>
      <c r="C22" s="1">
        <v>9</v>
      </c>
      <c r="D22" s="416">
        <f>$D$16*C22</f>
        <v>0.6103515625</v>
      </c>
      <c r="E22" s="392"/>
    </row>
    <row r="23" spans="2:10" x14ac:dyDescent="0.6">
      <c r="B23" s="415" t="s">
        <v>47</v>
      </c>
      <c r="C23" s="1" t="s">
        <v>1</v>
      </c>
      <c r="D23" s="1">
        <f>D21+D22</f>
        <v>1.8310546875</v>
      </c>
      <c r="E23" s="392"/>
    </row>
    <row r="24" spans="2:10" x14ac:dyDescent="0.6">
      <c r="B24" s="415"/>
      <c r="C24" s="1" t="s">
        <v>48</v>
      </c>
      <c r="D24" s="422">
        <f>1/(D21+D22)</f>
        <v>0.54613333333333336</v>
      </c>
      <c r="E24" s="392"/>
    </row>
    <row r="25" spans="2:10" x14ac:dyDescent="0.6">
      <c r="B25" s="415"/>
      <c r="E25" s="392"/>
    </row>
    <row r="26" spans="2:10" x14ac:dyDescent="0.6">
      <c r="B26" s="415" t="s">
        <v>1268</v>
      </c>
      <c r="C26" s="1" t="s">
        <v>5</v>
      </c>
      <c r="D26" s="416">
        <v>15</v>
      </c>
      <c r="E26" s="392"/>
    </row>
    <row r="27" spans="2:10" x14ac:dyDescent="0.6">
      <c r="B27" s="415"/>
      <c r="C27" s="1" t="s">
        <v>1</v>
      </c>
      <c r="D27" s="1">
        <f>(4*ROUNDUP(D26/D18,0))*D23+16*D26*D23</f>
        <v>454.1015625</v>
      </c>
      <c r="E27" s="392"/>
    </row>
    <row r="28" spans="2:10" x14ac:dyDescent="0.6">
      <c r="B28" s="415"/>
      <c r="E28" s="392"/>
    </row>
    <row r="29" spans="2:10" ht="17.25" thickBot="1" x14ac:dyDescent="0.65">
      <c r="B29" s="417" t="s">
        <v>1265</v>
      </c>
      <c r="C29" s="418" t="s">
        <v>1</v>
      </c>
      <c r="D29" s="418">
        <f>4*D17*D23+16*D17*D18*D23</f>
        <v>5024.4140625</v>
      </c>
      <c r="E29" s="419"/>
    </row>
    <row r="30" spans="2:10" ht="17.25" thickTop="1" x14ac:dyDescent="0.6">
      <c r="B30" s="413"/>
      <c r="C30" s="420"/>
      <c r="D30" s="420"/>
      <c r="E30" s="421"/>
    </row>
    <row r="31" spans="2:10" x14ac:dyDescent="0.6">
      <c r="B31" s="424" t="s">
        <v>1262</v>
      </c>
      <c r="C31" s="338" t="s">
        <v>1</v>
      </c>
      <c r="D31" s="425">
        <f>D29+D27-D12</f>
        <v>20.915624999999636</v>
      </c>
      <c r="E31" s="426"/>
    </row>
    <row r="32" spans="2:10" ht="17.25" thickBot="1" x14ac:dyDescent="0.65">
      <c r="B32" s="417"/>
      <c r="C32" s="418"/>
      <c r="D32" s="418"/>
      <c r="E32" s="419"/>
    </row>
    <row r="33" spans="2:5" ht="17.25" thickTop="1" x14ac:dyDescent="0.6">
      <c r="B33" s="413"/>
      <c r="C33" s="420"/>
      <c r="D33" s="420"/>
      <c r="E33" s="421"/>
    </row>
    <row r="34" spans="2:5" x14ac:dyDescent="0.6">
      <c r="B34" s="415" t="s">
        <v>3</v>
      </c>
      <c r="C34" s="1" t="s">
        <v>4</v>
      </c>
      <c r="D34" s="423">
        <v>60</v>
      </c>
      <c r="E34" s="392"/>
    </row>
    <row r="35" spans="2:5" x14ac:dyDescent="0.6">
      <c r="B35" s="415"/>
      <c r="C35" s="1" t="s">
        <v>1</v>
      </c>
      <c r="D35" s="375">
        <f>1/D34*1000000</f>
        <v>16666.666666666668</v>
      </c>
      <c r="E35" s="392"/>
    </row>
    <row r="36" spans="2:5" x14ac:dyDescent="0.6">
      <c r="B36" s="415" t="s">
        <v>1269</v>
      </c>
      <c r="C36" s="1" t="s">
        <v>1</v>
      </c>
      <c r="D36" s="375">
        <f>D12+D29-D27</f>
        <v>10027.9125</v>
      </c>
      <c r="E36" s="392"/>
    </row>
    <row r="37" spans="2:5" x14ac:dyDescent="0.6">
      <c r="B37" s="415"/>
      <c r="D37" s="375"/>
      <c r="E37" s="392"/>
    </row>
    <row r="38" spans="2:5" x14ac:dyDescent="0.6">
      <c r="B38" s="424" t="s">
        <v>1270</v>
      </c>
      <c r="C38" s="338" t="s">
        <v>1</v>
      </c>
      <c r="D38" s="427">
        <f>D35-D36</f>
        <v>6638.7541666666675</v>
      </c>
      <c r="E38" s="392"/>
    </row>
    <row r="39" spans="2:5" ht="17.25" thickBot="1" x14ac:dyDescent="0.65">
      <c r="B39" s="428"/>
      <c r="C39" s="429" t="s">
        <v>1271</v>
      </c>
      <c r="D39" s="430">
        <f>D38/D35</f>
        <v>0.39832525000000002</v>
      </c>
      <c r="E39" s="419"/>
    </row>
    <row r="40" spans="2:5" ht="17.25" thickTop="1" x14ac:dyDescent="0.6"/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E5551-23B7-4F13-9BE3-2D1216279AB6}">
  <dimension ref="B2:BK56"/>
  <sheetViews>
    <sheetView showGridLines="0" topLeftCell="W1" zoomScaleNormal="100" workbookViewId="0">
      <selection activeCell="BA24" sqref="BA24"/>
    </sheetView>
  </sheetViews>
  <sheetFormatPr defaultRowHeight="16.899999999999999" x14ac:dyDescent="0.6"/>
  <cols>
    <col min="2" max="2" width="11.375" style="1" bestFit="1" customWidth="1"/>
    <col min="3" max="3" width="6.6875" style="6" bestFit="1" customWidth="1"/>
    <col min="4" max="4" width="10.6875" bestFit="1" customWidth="1"/>
    <col min="5" max="7" width="9.6875" bestFit="1" customWidth="1"/>
    <col min="8" max="8" width="11.125" bestFit="1" customWidth="1"/>
    <col min="9" max="10" width="9.6875" bestFit="1" customWidth="1"/>
    <col min="11" max="12" width="9.1875" bestFit="1" customWidth="1"/>
    <col min="13" max="13" width="6.125" style="6" bestFit="1" customWidth="1"/>
    <col min="14" max="14" width="12.6875" style="114" bestFit="1" customWidth="1"/>
    <col min="15" max="15" width="6.125" style="114" bestFit="1" customWidth="1"/>
    <col min="16" max="19" width="10.6875" style="114" bestFit="1" customWidth="1"/>
    <col min="20" max="20" width="9.6875" style="114" bestFit="1" customWidth="1"/>
    <col min="21" max="22" width="10.6875" style="114" bestFit="1" customWidth="1"/>
    <col min="23" max="24" width="10.6875" style="122" bestFit="1" customWidth="1"/>
    <col min="25" max="25" width="9.1875" style="112" bestFit="1" customWidth="1"/>
    <col min="26" max="26" width="11.1875" style="1" bestFit="1" customWidth="1"/>
    <col min="27" max="27" width="1.625" style="1" customWidth="1"/>
    <col min="28" max="51" width="4.625" customWidth="1"/>
    <col min="53" max="53" width="12.6875" bestFit="1" customWidth="1"/>
    <col min="54" max="54" width="6.125" bestFit="1" customWidth="1"/>
    <col min="55" max="55" width="10.6875" bestFit="1" customWidth="1"/>
    <col min="56" max="56" width="10.1875" bestFit="1" customWidth="1"/>
    <col min="57" max="57" width="9.6875" bestFit="1" customWidth="1"/>
    <col min="58" max="58" width="10.1875" bestFit="1" customWidth="1"/>
    <col min="59" max="59" width="9.6875" bestFit="1" customWidth="1"/>
    <col min="60" max="60" width="10.1875" bestFit="1" customWidth="1"/>
    <col min="61" max="61" width="9.6875" bestFit="1" customWidth="1"/>
    <col min="62" max="62" width="10.1875" bestFit="1" customWidth="1"/>
    <col min="63" max="63" width="10.6875" bestFit="1" customWidth="1"/>
  </cols>
  <sheetData>
    <row r="2" spans="2:63" ht="17.25" thickBot="1" x14ac:dyDescent="0.65">
      <c r="B2" s="371" t="s">
        <v>1278</v>
      </c>
      <c r="C2" s="369"/>
      <c r="D2" s="3"/>
      <c r="E2" s="3"/>
      <c r="F2" s="3"/>
      <c r="G2" s="3"/>
      <c r="H2" s="3"/>
      <c r="I2" s="3"/>
      <c r="J2" s="3"/>
      <c r="K2" s="3"/>
      <c r="L2" s="3"/>
      <c r="N2" s="371" t="s">
        <v>1279</v>
      </c>
      <c r="O2" s="369"/>
      <c r="P2" s="3"/>
      <c r="Q2" s="3"/>
      <c r="R2" s="3"/>
      <c r="S2" s="3"/>
      <c r="T2" s="3"/>
      <c r="U2" s="3"/>
      <c r="V2" s="3"/>
      <c r="W2" s="3"/>
      <c r="X2" s="3"/>
      <c r="BA2" s="371" t="s">
        <v>1279</v>
      </c>
      <c r="BB2" s="369"/>
      <c r="BC2" s="3"/>
      <c r="BD2" s="3"/>
      <c r="BE2" s="3"/>
      <c r="BF2" s="3"/>
      <c r="BG2" s="3"/>
      <c r="BH2" s="3"/>
      <c r="BI2" s="3"/>
      <c r="BJ2" s="3"/>
      <c r="BK2" s="3"/>
    </row>
    <row r="3" spans="2:63" ht="17.25" thickTop="1" x14ac:dyDescent="0.6">
      <c r="B3" s="2" t="s">
        <v>3</v>
      </c>
      <c r="C3" s="2" t="s">
        <v>4</v>
      </c>
      <c r="D3" s="3">
        <v>100</v>
      </c>
      <c r="E3" s="3">
        <v>120</v>
      </c>
      <c r="F3" s="3">
        <v>144</v>
      </c>
      <c r="G3" s="3">
        <v>165</v>
      </c>
      <c r="H3" s="3">
        <v>240</v>
      </c>
      <c r="I3" s="3">
        <f>D3*2^(D5-I5)</f>
        <v>800</v>
      </c>
      <c r="J3" s="3">
        <f>E3*2^(E5-J5)</f>
        <v>960</v>
      </c>
      <c r="K3" s="93">
        <f>G3*2^(F5-K5)</f>
        <v>1320</v>
      </c>
      <c r="L3" s="93">
        <f>H3*2^(G5-L5)</f>
        <v>1920</v>
      </c>
      <c r="N3" s="110" t="s">
        <v>3</v>
      </c>
      <c r="O3" s="130" t="s">
        <v>4</v>
      </c>
      <c r="P3" s="439">
        <v>100</v>
      </c>
      <c r="Q3" s="438">
        <v>105</v>
      </c>
      <c r="R3" s="439">
        <v>110</v>
      </c>
      <c r="S3" s="438">
        <v>115</v>
      </c>
      <c r="T3" s="439">
        <v>120</v>
      </c>
      <c r="U3" s="438">
        <v>115</v>
      </c>
      <c r="V3" s="439">
        <v>110</v>
      </c>
      <c r="W3" s="438">
        <v>105</v>
      </c>
      <c r="X3" s="439">
        <v>100</v>
      </c>
      <c r="AB3" s="447"/>
      <c r="AC3" s="388"/>
      <c r="AD3" s="388"/>
      <c r="AE3" s="388"/>
      <c r="AF3" s="388"/>
      <c r="AG3" s="390"/>
      <c r="AH3" s="447"/>
      <c r="AI3" s="388"/>
      <c r="AJ3" s="388"/>
      <c r="AK3" s="388"/>
      <c r="AL3" s="388"/>
      <c r="AM3" s="390"/>
      <c r="AN3" s="447"/>
      <c r="AO3" s="388"/>
      <c r="AP3" s="388"/>
      <c r="AQ3" s="388"/>
      <c r="AR3" s="388"/>
      <c r="AS3" s="390"/>
      <c r="AT3" s="447"/>
      <c r="AU3" s="388"/>
      <c r="AV3" s="388"/>
      <c r="AW3" s="388"/>
      <c r="AX3" s="388"/>
      <c r="AY3" s="390"/>
      <c r="BA3" s="110" t="s">
        <v>3</v>
      </c>
      <c r="BB3" s="130" t="s">
        <v>4</v>
      </c>
      <c r="BC3" s="439">
        <v>100</v>
      </c>
      <c r="BD3" s="438">
        <f>1/BD4*1000000</f>
        <v>104.34782608695654</v>
      </c>
      <c r="BE3" s="438">
        <f t="shared" ref="BE3:BK3" si="0">1/BE4*1000000</f>
        <v>109.09090909090909</v>
      </c>
      <c r="BF3" s="438">
        <f t="shared" si="0"/>
        <v>114.28571428571431</v>
      </c>
      <c r="BG3" s="438">
        <f t="shared" si="0"/>
        <v>120.00000000000001</v>
      </c>
      <c r="BH3" s="438">
        <f t="shared" si="0"/>
        <v>114.28571428571431</v>
      </c>
      <c r="BI3" s="438">
        <f t="shared" si="0"/>
        <v>109.09090909090909</v>
      </c>
      <c r="BJ3" s="438">
        <f t="shared" si="0"/>
        <v>104.34782608695654</v>
      </c>
      <c r="BK3" s="438">
        <f t="shared" si="0"/>
        <v>100.00000000000001</v>
      </c>
    </row>
    <row r="4" spans="2:63" x14ac:dyDescent="0.6">
      <c r="B4" s="2"/>
      <c r="C4" s="2" t="s">
        <v>1</v>
      </c>
      <c r="D4" s="7">
        <f>1/D3*1000000</f>
        <v>10000</v>
      </c>
      <c r="E4" s="7">
        <f t="shared" ref="E4:L4" si="1">1/E3*1000000</f>
        <v>8333.3333333333339</v>
      </c>
      <c r="F4" s="7">
        <f>1/F3*1000000</f>
        <v>6944.4444444444443</v>
      </c>
      <c r="G4" s="7">
        <f t="shared" si="1"/>
        <v>6060.606060606061</v>
      </c>
      <c r="H4" s="7">
        <f t="shared" si="1"/>
        <v>4166.666666666667</v>
      </c>
      <c r="I4" s="7">
        <f t="shared" si="1"/>
        <v>1250</v>
      </c>
      <c r="J4" s="7">
        <f t="shared" si="1"/>
        <v>1041.6666666666667</v>
      </c>
      <c r="K4" s="101">
        <f t="shared" si="1"/>
        <v>757.57575757575762</v>
      </c>
      <c r="L4" s="101">
        <f t="shared" si="1"/>
        <v>520.83333333333337</v>
      </c>
      <c r="N4" s="110"/>
      <c r="O4" s="130" t="s">
        <v>1</v>
      </c>
      <c r="P4" s="113">
        <f>1/P3*1000000</f>
        <v>10000</v>
      </c>
      <c r="Q4" s="432">
        <f>1/Q3*1000000</f>
        <v>9523.8095238095248</v>
      </c>
      <c r="R4" s="113">
        <f t="shared" ref="R4:X4" si="2">1/R3*1000000</f>
        <v>9090.9090909090901</v>
      </c>
      <c r="S4" s="432">
        <f t="shared" si="2"/>
        <v>8695.652173913044</v>
      </c>
      <c r="T4" s="113">
        <f t="shared" si="2"/>
        <v>8333.3333333333339</v>
      </c>
      <c r="U4" s="432">
        <f t="shared" si="2"/>
        <v>8695.652173913044</v>
      </c>
      <c r="V4" s="113">
        <f t="shared" si="2"/>
        <v>9090.9090909090901</v>
      </c>
      <c r="W4" s="432">
        <f t="shared" si="2"/>
        <v>9523.8095238095248</v>
      </c>
      <c r="X4" s="113">
        <f t="shared" si="2"/>
        <v>10000</v>
      </c>
      <c r="Z4" s="1" t="s">
        <v>51</v>
      </c>
      <c r="AB4" s="448"/>
      <c r="AC4" s="26"/>
      <c r="AD4" s="22"/>
      <c r="AE4" s="26"/>
      <c r="AF4" s="22"/>
      <c r="AG4" s="446"/>
      <c r="AH4" s="448"/>
      <c r="AI4" s="26"/>
      <c r="AJ4" s="22"/>
      <c r="AK4" s="26"/>
      <c r="AL4" s="22"/>
      <c r="AM4" s="446"/>
      <c r="AN4" s="448"/>
      <c r="AO4" s="26"/>
      <c r="AP4" s="22"/>
      <c r="AQ4" s="26"/>
      <c r="AR4" s="22"/>
      <c r="AS4" s="446"/>
      <c r="AT4" s="448"/>
      <c r="AU4" s="26"/>
      <c r="AV4" s="22"/>
      <c r="AW4" s="26"/>
      <c r="AX4" s="22"/>
      <c r="AY4" s="446"/>
      <c r="BA4" s="110"/>
      <c r="BB4" s="130" t="s">
        <v>1</v>
      </c>
      <c r="BC4" s="113">
        <f>1/BC3*1000000</f>
        <v>10000</v>
      </c>
      <c r="BD4" s="432">
        <f>BD6*BD8*BD10</f>
        <v>9583.3333333333321</v>
      </c>
      <c r="BE4" s="432">
        <f t="shared" ref="BE4:BK4" si="3">BE6*BE8*BE10</f>
        <v>9166.6666666666661</v>
      </c>
      <c r="BF4" s="432">
        <f t="shared" si="3"/>
        <v>8749.9999999999982</v>
      </c>
      <c r="BG4" s="432">
        <f t="shared" si="3"/>
        <v>8333.3333333333321</v>
      </c>
      <c r="BH4" s="432">
        <f t="shared" si="3"/>
        <v>8749.9999999999982</v>
      </c>
      <c r="BI4" s="432">
        <f t="shared" si="3"/>
        <v>9166.6666666666661</v>
      </c>
      <c r="BJ4" s="432">
        <f t="shared" si="3"/>
        <v>9583.3333333333321</v>
      </c>
      <c r="BK4" s="432">
        <f t="shared" si="3"/>
        <v>9999.9999999999982</v>
      </c>
    </row>
    <row r="5" spans="2:63" x14ac:dyDescent="0.6">
      <c r="B5" s="2" t="s">
        <v>99</v>
      </c>
      <c r="C5" s="2" t="s">
        <v>100</v>
      </c>
      <c r="D5" s="129">
        <v>12</v>
      </c>
      <c r="E5" s="138">
        <v>12</v>
      </c>
      <c r="F5" s="138">
        <v>12</v>
      </c>
      <c r="G5" s="138">
        <v>12</v>
      </c>
      <c r="H5" s="138">
        <v>12</v>
      </c>
      <c r="I5" s="129">
        <v>9</v>
      </c>
      <c r="J5" s="129">
        <v>9</v>
      </c>
      <c r="K5" s="139">
        <v>9</v>
      </c>
      <c r="L5" s="139">
        <v>9</v>
      </c>
      <c r="N5" s="2" t="s">
        <v>99</v>
      </c>
      <c r="O5" s="130" t="s">
        <v>100</v>
      </c>
      <c r="P5" s="120">
        <v>14</v>
      </c>
      <c r="Q5" s="431">
        <f>P5</f>
        <v>14</v>
      </c>
      <c r="R5" s="114">
        <f t="shared" ref="R5:X5" si="4">Q5</f>
        <v>14</v>
      </c>
      <c r="S5" s="431">
        <f t="shared" si="4"/>
        <v>14</v>
      </c>
      <c r="T5" s="114">
        <f t="shared" si="4"/>
        <v>14</v>
      </c>
      <c r="U5" s="431">
        <f t="shared" si="4"/>
        <v>14</v>
      </c>
      <c r="V5" s="114">
        <f t="shared" si="4"/>
        <v>14</v>
      </c>
      <c r="W5" s="431">
        <f t="shared" si="4"/>
        <v>14</v>
      </c>
      <c r="X5" s="114">
        <f t="shared" si="4"/>
        <v>14</v>
      </c>
      <c r="AB5" s="449"/>
      <c r="AG5" s="392"/>
      <c r="AH5" s="449"/>
      <c r="AM5" s="392"/>
      <c r="AN5" s="449"/>
      <c r="AS5" s="392"/>
      <c r="AT5" s="449"/>
      <c r="AY5" s="392"/>
      <c r="BA5" s="2" t="s">
        <v>99</v>
      </c>
      <c r="BB5" s="130" t="s">
        <v>100</v>
      </c>
      <c r="BC5" s="120">
        <v>14</v>
      </c>
      <c r="BD5" s="431">
        <f>BC5</f>
        <v>14</v>
      </c>
      <c r="BE5" s="114">
        <f t="shared" ref="BE5:BK5" si="5">BD5</f>
        <v>14</v>
      </c>
      <c r="BF5" s="431">
        <f t="shared" si="5"/>
        <v>14</v>
      </c>
      <c r="BG5" s="114">
        <f t="shared" si="5"/>
        <v>14</v>
      </c>
      <c r="BH5" s="431">
        <f t="shared" si="5"/>
        <v>14</v>
      </c>
      <c r="BI5" s="114">
        <f t="shared" si="5"/>
        <v>14</v>
      </c>
      <c r="BJ5" s="431">
        <f t="shared" si="5"/>
        <v>14</v>
      </c>
      <c r="BK5" s="114">
        <f t="shared" si="5"/>
        <v>14</v>
      </c>
    </row>
    <row r="6" spans="2:63" x14ac:dyDescent="0.6">
      <c r="B6" s="2"/>
      <c r="C6" s="135" t="s">
        <v>5</v>
      </c>
      <c r="D6">
        <f>2^$D$5-1</f>
        <v>4095</v>
      </c>
      <c r="E6">
        <f>2^$D$5-1</f>
        <v>4095</v>
      </c>
      <c r="F6">
        <f>2^$D$5-1</f>
        <v>4095</v>
      </c>
      <c r="G6">
        <f>2^$D$5-1</f>
        <v>4095</v>
      </c>
      <c r="H6">
        <f>2^$D$5-1</f>
        <v>4095</v>
      </c>
      <c r="I6">
        <f>2^$I$5-1</f>
        <v>511</v>
      </c>
      <c r="J6">
        <f t="shared" ref="J6:L6" si="6">2^$I$5-1</f>
        <v>511</v>
      </c>
      <c r="K6" s="102">
        <f t="shared" si="6"/>
        <v>511</v>
      </c>
      <c r="L6" s="102">
        <f t="shared" si="6"/>
        <v>511</v>
      </c>
      <c r="N6" s="110"/>
      <c r="O6" s="133" t="s">
        <v>5</v>
      </c>
      <c r="P6" s="114">
        <f>2^P5-1</f>
        <v>16383</v>
      </c>
      <c r="Q6" s="431">
        <f t="shared" ref="Q6:X6" si="7">2^Q5-1</f>
        <v>16383</v>
      </c>
      <c r="R6" s="114">
        <f t="shared" si="7"/>
        <v>16383</v>
      </c>
      <c r="S6" s="431">
        <f t="shared" si="7"/>
        <v>16383</v>
      </c>
      <c r="T6" s="114">
        <f t="shared" si="7"/>
        <v>16383</v>
      </c>
      <c r="U6" s="431">
        <f t="shared" si="7"/>
        <v>16383</v>
      </c>
      <c r="V6" s="114">
        <f t="shared" si="7"/>
        <v>16383</v>
      </c>
      <c r="W6" s="431">
        <f t="shared" si="7"/>
        <v>16383</v>
      </c>
      <c r="X6" s="114">
        <f t="shared" si="7"/>
        <v>16383</v>
      </c>
      <c r="Z6" s="1" t="s">
        <v>1280</v>
      </c>
      <c r="AB6" s="581">
        <v>100</v>
      </c>
      <c r="AC6" s="572"/>
      <c r="AD6" s="572">
        <v>100</v>
      </c>
      <c r="AE6" s="572"/>
      <c r="AF6" s="582">
        <f>BD3</f>
        <v>104.34782608695654</v>
      </c>
      <c r="AG6" s="583"/>
      <c r="AH6" s="581">
        <f>AF6</f>
        <v>104.34782608695654</v>
      </c>
      <c r="AI6" s="572"/>
      <c r="AJ6" s="572">
        <f>AH6</f>
        <v>104.34782608695654</v>
      </c>
      <c r="AK6" s="572"/>
      <c r="AL6" s="582">
        <f>BE3</f>
        <v>109.09090909090909</v>
      </c>
      <c r="AM6" s="583"/>
      <c r="AN6" s="581">
        <f>AL6</f>
        <v>109.09090909090909</v>
      </c>
      <c r="AO6" s="572"/>
      <c r="AP6" s="572">
        <f>AN6</f>
        <v>109.09090909090909</v>
      </c>
      <c r="AQ6" s="572"/>
      <c r="AR6" s="582">
        <f>BF3</f>
        <v>114.28571428571431</v>
      </c>
      <c r="AS6" s="583"/>
      <c r="AT6" s="581">
        <f>AR6</f>
        <v>114.28571428571431</v>
      </c>
      <c r="AU6" s="572"/>
      <c r="AV6" s="572">
        <f>AT6</f>
        <v>114.28571428571431</v>
      </c>
      <c r="AW6" s="572"/>
      <c r="AX6" s="582">
        <v>120</v>
      </c>
      <c r="AY6" s="583"/>
      <c r="BA6" s="110"/>
      <c r="BB6" s="133" t="s">
        <v>5</v>
      </c>
      <c r="BC6" s="114">
        <f>2^BC5-1</f>
        <v>16383</v>
      </c>
      <c r="BD6" s="431">
        <f t="shared" ref="BD6" si="8">2^BD5-1</f>
        <v>16383</v>
      </c>
      <c r="BE6" s="114">
        <f t="shared" ref="BE6" si="9">2^BE5-1</f>
        <v>16383</v>
      </c>
      <c r="BF6" s="431">
        <f t="shared" ref="BF6" si="10">2^BF5-1</f>
        <v>16383</v>
      </c>
      <c r="BG6" s="114">
        <f t="shared" ref="BG6" si="11">2^BG5-1</f>
        <v>16383</v>
      </c>
      <c r="BH6" s="431">
        <f t="shared" ref="BH6" si="12">2^BH5-1</f>
        <v>16383</v>
      </c>
      <c r="BI6" s="114">
        <f t="shared" ref="BI6" si="13">2^BI5-1</f>
        <v>16383</v>
      </c>
      <c r="BJ6" s="431">
        <f t="shared" ref="BJ6" si="14">2^BJ5-1</f>
        <v>16383</v>
      </c>
      <c r="BK6" s="114">
        <f t="shared" ref="BK6" si="15">2^BK5-1</f>
        <v>16383</v>
      </c>
    </row>
    <row r="7" spans="2:63" x14ac:dyDescent="0.6">
      <c r="B7" s="2"/>
      <c r="C7" s="136" t="s">
        <v>1</v>
      </c>
      <c r="D7" s="94">
        <f>D4/D6</f>
        <v>2.4420024420024422</v>
      </c>
      <c r="E7" s="94">
        <f t="shared" ref="E7:L7" si="16">E4/E6</f>
        <v>2.035002035002035</v>
      </c>
      <c r="F7" s="94">
        <f t="shared" si="16"/>
        <v>1.6958350291683624</v>
      </c>
      <c r="G7" s="94">
        <f t="shared" si="16"/>
        <v>1.48000148000148</v>
      </c>
      <c r="H7" s="94">
        <f t="shared" si="16"/>
        <v>1.0175010175010175</v>
      </c>
      <c r="I7" s="94">
        <f t="shared" si="16"/>
        <v>2.4461839530332683</v>
      </c>
      <c r="J7" s="94">
        <f t="shared" si="16"/>
        <v>2.0384866275277234</v>
      </c>
      <c r="K7" s="103">
        <f t="shared" si="16"/>
        <v>1.4825357291110717</v>
      </c>
      <c r="L7" s="103">
        <f t="shared" si="16"/>
        <v>1.0192433137638617</v>
      </c>
      <c r="N7" s="110"/>
      <c r="O7" s="134" t="s">
        <v>1</v>
      </c>
      <c r="P7" s="115">
        <f>P4/P6</f>
        <v>0.61038881767686015</v>
      </c>
      <c r="Q7" s="434">
        <f t="shared" ref="Q7:X7" si="17">Q4/Q6</f>
        <v>0.58132268350177163</v>
      </c>
      <c r="R7" s="115">
        <f t="shared" si="17"/>
        <v>0.55489892516078188</v>
      </c>
      <c r="S7" s="434">
        <f t="shared" si="17"/>
        <v>0.53077288493640018</v>
      </c>
      <c r="T7" s="115">
        <f t="shared" si="17"/>
        <v>0.50865734806405016</v>
      </c>
      <c r="U7" s="434">
        <f t="shared" si="17"/>
        <v>0.53077288493640018</v>
      </c>
      <c r="V7" s="115">
        <f t="shared" si="17"/>
        <v>0.55489892516078188</v>
      </c>
      <c r="W7" s="434">
        <f t="shared" si="17"/>
        <v>0.58132268350177163</v>
      </c>
      <c r="X7" s="115">
        <f t="shared" si="17"/>
        <v>0.61038881767686015</v>
      </c>
      <c r="Z7" s="1" t="s">
        <v>95</v>
      </c>
      <c r="AB7" s="581">
        <v>24</v>
      </c>
      <c r="AC7" s="572"/>
      <c r="AD7" s="572">
        <v>24</v>
      </c>
      <c r="AE7" s="572"/>
      <c r="AF7" s="584">
        <v>23</v>
      </c>
      <c r="AG7" s="585"/>
      <c r="AH7" s="581">
        <v>23</v>
      </c>
      <c r="AI7" s="572"/>
      <c r="AJ7" s="572">
        <v>23</v>
      </c>
      <c r="AK7" s="572"/>
      <c r="AL7" s="584">
        <v>22</v>
      </c>
      <c r="AM7" s="585"/>
      <c r="AN7" s="581">
        <v>22</v>
      </c>
      <c r="AO7" s="572"/>
      <c r="AP7" s="572">
        <v>22</v>
      </c>
      <c r="AQ7" s="572"/>
      <c r="AR7" s="584">
        <v>21</v>
      </c>
      <c r="AS7" s="585"/>
      <c r="AT7" s="581">
        <v>21</v>
      </c>
      <c r="AU7" s="572"/>
      <c r="AV7" s="572">
        <v>21</v>
      </c>
      <c r="AW7" s="572"/>
      <c r="AX7" s="584">
        <v>20</v>
      </c>
      <c r="AY7" s="585"/>
      <c r="BA7" s="110"/>
      <c r="BB7" s="134" t="s">
        <v>1</v>
      </c>
      <c r="BC7" s="115">
        <f>BC4/BC6</f>
        <v>0.61038881767686015</v>
      </c>
      <c r="BD7" s="434">
        <f t="shared" ref="BD7" si="18">BD4/BD6</f>
        <v>0.58495595027365754</v>
      </c>
      <c r="BE7" s="115">
        <f t="shared" ref="BE7" si="19">BE4/BE6</f>
        <v>0.55952308287045516</v>
      </c>
      <c r="BF7" s="434">
        <f t="shared" ref="BF7" si="20">BF4/BF6</f>
        <v>0.53409021546725255</v>
      </c>
      <c r="BG7" s="115">
        <f t="shared" ref="BG7" si="21">BG4/BG6</f>
        <v>0.50865734806405005</v>
      </c>
      <c r="BH7" s="434">
        <f t="shared" ref="BH7" si="22">BH4/BH6</f>
        <v>0.53409021546725255</v>
      </c>
      <c r="BI7" s="115">
        <f t="shared" ref="BI7" si="23">BI4/BI6</f>
        <v>0.55952308287045516</v>
      </c>
      <c r="BJ7" s="434">
        <f t="shared" ref="BJ7" si="24">BJ4/BJ6</f>
        <v>0.58495595027365754</v>
      </c>
      <c r="BK7" s="115">
        <f t="shared" ref="BK7" si="25">BK4/BK6</f>
        <v>0.61038881767686004</v>
      </c>
    </row>
    <row r="8" spans="2:63" x14ac:dyDescent="0.6">
      <c r="B8" s="2" t="s">
        <v>95</v>
      </c>
      <c r="C8" s="2" t="s">
        <v>5</v>
      </c>
      <c r="D8" s="13">
        <v>96</v>
      </c>
      <c r="E8" s="13">
        <v>80</v>
      </c>
      <c r="F8" s="13">
        <v>68</v>
      </c>
      <c r="G8" s="13">
        <v>60</v>
      </c>
      <c r="H8" s="13">
        <f>E8/2</f>
        <v>40</v>
      </c>
      <c r="I8" s="13">
        <f>D8</f>
        <v>96</v>
      </c>
      <c r="J8" s="13">
        <f t="shared" ref="J8" si="26">E8</f>
        <v>80</v>
      </c>
      <c r="K8" s="104">
        <f>G8</f>
        <v>60</v>
      </c>
      <c r="L8" s="104">
        <f>H8</f>
        <v>40</v>
      </c>
      <c r="N8" s="110" t="s">
        <v>95</v>
      </c>
      <c r="O8" s="130" t="s">
        <v>5</v>
      </c>
      <c r="P8" s="439">
        <v>24</v>
      </c>
      <c r="Q8" s="438">
        <v>23</v>
      </c>
      <c r="R8" s="439">
        <v>22</v>
      </c>
      <c r="S8" s="438">
        <v>21</v>
      </c>
      <c r="T8" s="439">
        <v>20</v>
      </c>
      <c r="U8" s="438">
        <v>21</v>
      </c>
      <c r="V8" s="439">
        <v>22</v>
      </c>
      <c r="W8" s="438">
        <v>23</v>
      </c>
      <c r="X8" s="439">
        <v>24</v>
      </c>
      <c r="Z8" s="1" t="s">
        <v>1283</v>
      </c>
      <c r="AB8" s="581">
        <v>1</v>
      </c>
      <c r="AC8" s="572"/>
      <c r="AD8" s="572">
        <v>1</v>
      </c>
      <c r="AE8" s="572"/>
      <c r="AF8" s="572">
        <v>1</v>
      </c>
      <c r="AG8" s="573"/>
      <c r="AH8" s="581">
        <v>1</v>
      </c>
      <c r="AI8" s="572"/>
      <c r="AJ8" s="572">
        <v>1</v>
      </c>
      <c r="AK8" s="572"/>
      <c r="AL8" s="572">
        <v>1</v>
      </c>
      <c r="AM8" s="573"/>
      <c r="AN8" s="581">
        <v>1</v>
      </c>
      <c r="AO8" s="572"/>
      <c r="AP8" s="572">
        <v>1</v>
      </c>
      <c r="AQ8" s="572"/>
      <c r="AR8" s="572">
        <v>1</v>
      </c>
      <c r="AS8" s="573"/>
      <c r="AT8" s="581">
        <v>1</v>
      </c>
      <c r="AU8" s="572"/>
      <c r="AV8" s="572">
        <v>1</v>
      </c>
      <c r="AW8" s="572"/>
      <c r="AX8" s="572">
        <v>1</v>
      </c>
      <c r="AY8" s="573"/>
      <c r="BA8" s="110" t="s">
        <v>95</v>
      </c>
      <c r="BB8" s="130" t="s">
        <v>5</v>
      </c>
      <c r="BC8" s="439">
        <v>24</v>
      </c>
      <c r="BD8" s="438">
        <v>23</v>
      </c>
      <c r="BE8" s="439">
        <v>22</v>
      </c>
      <c r="BF8" s="438">
        <v>21</v>
      </c>
      <c r="BG8" s="439">
        <v>20</v>
      </c>
      <c r="BH8" s="438">
        <v>21</v>
      </c>
      <c r="BI8" s="439">
        <v>22</v>
      </c>
      <c r="BJ8" s="438">
        <v>23</v>
      </c>
      <c r="BK8" s="439">
        <v>24</v>
      </c>
    </row>
    <row r="9" spans="2:63" x14ac:dyDescent="0.6">
      <c r="B9" s="2" t="s">
        <v>2</v>
      </c>
      <c r="C9" s="2" t="s">
        <v>0</v>
      </c>
      <c r="D9" s="92">
        <f>1/D10</f>
        <v>39.311999999999998</v>
      </c>
      <c r="E9" s="92">
        <f t="shared" ref="E9:J9" si="27">1/E10</f>
        <v>39.311999999999998</v>
      </c>
      <c r="F9" s="92">
        <f t="shared" si="27"/>
        <v>40.098240000000004</v>
      </c>
      <c r="G9" s="92">
        <f t="shared" si="27"/>
        <v>40.540499999999994</v>
      </c>
      <c r="H9" s="92">
        <f t="shared" si="27"/>
        <v>39.311999999999998</v>
      </c>
      <c r="I9" s="92">
        <f t="shared" si="27"/>
        <v>39.244799999999998</v>
      </c>
      <c r="J9" s="92">
        <f t="shared" si="27"/>
        <v>39.244800000000005</v>
      </c>
      <c r="K9" s="105">
        <f>1/K10</f>
        <v>40.471199999999996</v>
      </c>
      <c r="L9" s="105">
        <f>1/L10</f>
        <v>39.244800000000005</v>
      </c>
      <c r="M9" s="100"/>
      <c r="N9" s="110" t="s">
        <v>2</v>
      </c>
      <c r="O9" s="130" t="s">
        <v>0</v>
      </c>
      <c r="P9" s="114">
        <f>1/P10</f>
        <v>39.319200000000002</v>
      </c>
      <c r="Q9" s="431">
        <f t="shared" ref="Q9:W9" si="28">1/Q10</f>
        <v>39.564945000000002</v>
      </c>
      <c r="R9" s="114">
        <f t="shared" si="28"/>
        <v>39.646860000000004</v>
      </c>
      <c r="S9" s="431">
        <f t="shared" si="28"/>
        <v>39.564945000000002</v>
      </c>
      <c r="T9" s="114">
        <f t="shared" si="28"/>
        <v>39.319200000000002</v>
      </c>
      <c r="U9" s="431">
        <f t="shared" si="28"/>
        <v>39.564945000000002</v>
      </c>
      <c r="V9" s="114">
        <f t="shared" si="28"/>
        <v>39.646860000000004</v>
      </c>
      <c r="W9" s="431">
        <f t="shared" si="28"/>
        <v>39.564945000000002</v>
      </c>
      <c r="X9" s="114">
        <f>1/X10</f>
        <v>39.319200000000002</v>
      </c>
      <c r="Z9" s="1" t="s">
        <v>1281</v>
      </c>
      <c r="AB9" s="581">
        <v>0</v>
      </c>
      <c r="AC9" s="572"/>
      <c r="AD9" s="572">
        <v>0</v>
      </c>
      <c r="AE9" s="572"/>
      <c r="AF9" s="572">
        <v>0</v>
      </c>
      <c r="AG9" s="573"/>
      <c r="AH9" s="581">
        <v>0</v>
      </c>
      <c r="AI9" s="572"/>
      <c r="AJ9" s="572">
        <v>0</v>
      </c>
      <c r="AK9" s="572"/>
      <c r="AL9" s="572">
        <v>0</v>
      </c>
      <c r="AM9" s="573"/>
      <c r="AN9" s="581">
        <v>0</v>
      </c>
      <c r="AO9" s="572"/>
      <c r="AP9" s="572">
        <v>0</v>
      </c>
      <c r="AQ9" s="572"/>
      <c r="AR9" s="572">
        <v>0</v>
      </c>
      <c r="AS9" s="573"/>
      <c r="AT9" s="581">
        <v>0</v>
      </c>
      <c r="AU9" s="572"/>
      <c r="AV9" s="572">
        <v>0</v>
      </c>
      <c r="AW9" s="572"/>
      <c r="AX9" s="572">
        <v>0</v>
      </c>
      <c r="AY9" s="573"/>
      <c r="BA9" s="110" t="s">
        <v>2</v>
      </c>
      <c r="BB9" s="130" t="s">
        <v>0</v>
      </c>
      <c r="BC9" s="114">
        <v>39.319200000000002</v>
      </c>
      <c r="BD9" s="431">
        <f>BC9</f>
        <v>39.319200000000002</v>
      </c>
      <c r="BE9" s="431">
        <f t="shared" ref="BE9:BK9" si="29">BD9</f>
        <v>39.319200000000002</v>
      </c>
      <c r="BF9" s="431">
        <f t="shared" si="29"/>
        <v>39.319200000000002</v>
      </c>
      <c r="BG9" s="431">
        <f t="shared" si="29"/>
        <v>39.319200000000002</v>
      </c>
      <c r="BH9" s="431">
        <f t="shared" si="29"/>
        <v>39.319200000000002</v>
      </c>
      <c r="BI9" s="431">
        <f t="shared" si="29"/>
        <v>39.319200000000002</v>
      </c>
      <c r="BJ9" s="431">
        <f t="shared" si="29"/>
        <v>39.319200000000002</v>
      </c>
      <c r="BK9" s="431">
        <f t="shared" si="29"/>
        <v>39.319200000000002</v>
      </c>
    </row>
    <row r="10" spans="2:63" x14ac:dyDescent="0.6">
      <c r="B10" s="2"/>
      <c r="C10" s="2" t="s">
        <v>1</v>
      </c>
      <c r="D10" s="94">
        <f>D4/D6/D8</f>
        <v>2.5437525437525439E-2</v>
      </c>
      <c r="E10" s="94">
        <f t="shared" ref="E10:J10" si="30">E4/E6/E8</f>
        <v>2.5437525437525439E-2</v>
      </c>
      <c r="F10" s="94">
        <f t="shared" si="30"/>
        <v>2.4938750428946506E-2</v>
      </c>
      <c r="G10" s="94">
        <f t="shared" si="30"/>
        <v>2.4666691333358002E-2</v>
      </c>
      <c r="H10" s="94">
        <f t="shared" si="30"/>
        <v>2.5437525437525439E-2</v>
      </c>
      <c r="I10" s="94">
        <f t="shared" si="30"/>
        <v>2.5481082844096545E-2</v>
      </c>
      <c r="J10" s="94">
        <f t="shared" si="30"/>
        <v>2.5481082844096541E-2</v>
      </c>
      <c r="K10" s="103">
        <f>K4/K6/K8</f>
        <v>2.4708928818517863E-2</v>
      </c>
      <c r="L10" s="103">
        <f>L4/L6/L8</f>
        <v>2.5481082844096541E-2</v>
      </c>
      <c r="M10" s="100"/>
      <c r="N10" s="110"/>
      <c r="O10" s="130" t="s">
        <v>1</v>
      </c>
      <c r="P10" s="115">
        <f>P4/P6/P8</f>
        <v>2.5432867403202507E-2</v>
      </c>
      <c r="Q10" s="434">
        <f t="shared" ref="Q10:X10" si="31">Q4/Q6/Q8</f>
        <v>2.5274899282685722E-2</v>
      </c>
      <c r="R10" s="115">
        <f t="shared" si="31"/>
        <v>2.5222678416399177E-2</v>
      </c>
      <c r="S10" s="434">
        <f t="shared" si="31"/>
        <v>2.5274899282685722E-2</v>
      </c>
      <c r="T10" s="115">
        <f t="shared" si="31"/>
        <v>2.5432867403202507E-2</v>
      </c>
      <c r="U10" s="434">
        <f t="shared" si="31"/>
        <v>2.5274899282685722E-2</v>
      </c>
      <c r="V10" s="115">
        <f t="shared" si="31"/>
        <v>2.5222678416399177E-2</v>
      </c>
      <c r="W10" s="434">
        <f t="shared" si="31"/>
        <v>2.5274899282685722E-2</v>
      </c>
      <c r="X10" s="115">
        <f t="shared" si="31"/>
        <v>2.5432867403202507E-2</v>
      </c>
      <c r="Z10" s="1" t="s">
        <v>49</v>
      </c>
      <c r="AB10" s="579">
        <f>BD13</f>
        <v>378317</v>
      </c>
      <c r="AC10" s="580"/>
      <c r="AD10" s="572"/>
      <c r="AE10" s="572"/>
      <c r="AF10" s="572"/>
      <c r="AG10" s="573"/>
      <c r="AH10" s="579">
        <f>BE13</f>
        <v>361868</v>
      </c>
      <c r="AI10" s="580"/>
      <c r="AJ10" s="572"/>
      <c r="AK10" s="572"/>
      <c r="AL10" s="572"/>
      <c r="AM10" s="573"/>
      <c r="AN10" s="579">
        <f>BF13</f>
        <v>345420</v>
      </c>
      <c r="AO10" s="580"/>
      <c r="AP10" s="572"/>
      <c r="AQ10" s="572"/>
      <c r="AR10" s="572"/>
      <c r="AS10" s="573"/>
      <c r="AT10" s="579">
        <f>BG13</f>
        <v>328971</v>
      </c>
      <c r="AU10" s="580"/>
      <c r="AV10" s="572"/>
      <c r="AW10" s="572"/>
      <c r="AX10" s="572"/>
      <c r="AY10" s="573"/>
      <c r="BA10" s="110"/>
      <c r="BB10" s="130" t="s">
        <v>1</v>
      </c>
      <c r="BC10" s="115">
        <f>1/BC9</f>
        <v>2.5432867403202504E-2</v>
      </c>
      <c r="BD10" s="115">
        <f t="shared" ref="BD10:BK10" si="32">1/BD9</f>
        <v>2.5432867403202504E-2</v>
      </c>
      <c r="BE10" s="115">
        <f t="shared" si="32"/>
        <v>2.5432867403202504E-2</v>
      </c>
      <c r="BF10" s="115">
        <f t="shared" si="32"/>
        <v>2.5432867403202504E-2</v>
      </c>
      <c r="BG10" s="115">
        <f t="shared" si="32"/>
        <v>2.5432867403202504E-2</v>
      </c>
      <c r="BH10" s="115">
        <f t="shared" si="32"/>
        <v>2.5432867403202504E-2</v>
      </c>
      <c r="BI10" s="115">
        <f t="shared" si="32"/>
        <v>2.5432867403202504E-2</v>
      </c>
      <c r="BJ10" s="115">
        <f t="shared" si="32"/>
        <v>2.5432867403202504E-2</v>
      </c>
      <c r="BK10" s="115">
        <f t="shared" si="32"/>
        <v>2.5432867403202504E-2</v>
      </c>
    </row>
    <row r="11" spans="2:63" ht="17.25" thickBot="1" x14ac:dyDescent="0.65">
      <c r="B11" s="2" t="s">
        <v>49</v>
      </c>
      <c r="C11" s="2" t="s">
        <v>5</v>
      </c>
      <c r="D11" s="8">
        <f>D4/D10</f>
        <v>393120</v>
      </c>
      <c r="E11" s="8">
        <f>E4/E10</f>
        <v>327600</v>
      </c>
      <c r="F11" s="8">
        <f>F4/F10</f>
        <v>278460</v>
      </c>
      <c r="G11" s="8">
        <f>G4/G10</f>
        <v>245700</v>
      </c>
      <c r="H11" s="8">
        <f>H4/H10</f>
        <v>163800</v>
      </c>
      <c r="I11" s="8">
        <f>I4*8/I10</f>
        <v>392447.99999999994</v>
      </c>
      <c r="J11" s="8">
        <f>J4*8/J10</f>
        <v>327040.00000000006</v>
      </c>
      <c r="K11" s="106">
        <f>K4*8/K10</f>
        <v>245279.99999999997</v>
      </c>
      <c r="L11" s="106">
        <f>L4*8/L10</f>
        <v>163520.00000000003</v>
      </c>
      <c r="M11" s="99"/>
      <c r="N11" s="2" t="s">
        <v>49</v>
      </c>
      <c r="O11" s="2" t="s">
        <v>5</v>
      </c>
      <c r="P11" s="8">
        <f>P4/P10</f>
        <v>393192</v>
      </c>
      <c r="Q11" s="435">
        <f>Q4/Q10</f>
        <v>376809</v>
      </c>
      <c r="R11" s="8">
        <f t="shared" ref="R11:X11" si="33">R4/R10</f>
        <v>360426</v>
      </c>
      <c r="S11" s="435">
        <f>S4/S10</f>
        <v>344043</v>
      </c>
      <c r="T11" s="8">
        <f t="shared" si="33"/>
        <v>327660</v>
      </c>
      <c r="U11" s="435">
        <f t="shared" si="33"/>
        <v>344043</v>
      </c>
      <c r="V11" s="8">
        <f t="shared" si="33"/>
        <v>360426</v>
      </c>
      <c r="W11" s="435">
        <f t="shared" si="33"/>
        <v>376809</v>
      </c>
      <c r="X11" s="8">
        <f t="shared" si="33"/>
        <v>393192</v>
      </c>
      <c r="Z11" s="1" t="s">
        <v>1282</v>
      </c>
      <c r="AB11" s="574"/>
      <c r="AC11" s="575"/>
      <c r="AD11" s="576">
        <v>1</v>
      </c>
      <c r="AE11" s="577"/>
      <c r="AF11" s="576">
        <v>5</v>
      </c>
      <c r="AG11" s="578"/>
      <c r="AH11" s="574"/>
      <c r="AI11" s="575"/>
      <c r="AJ11" s="576">
        <v>1</v>
      </c>
      <c r="AK11" s="577"/>
      <c r="AL11" s="576">
        <v>5</v>
      </c>
      <c r="AM11" s="578"/>
      <c r="AN11" s="574"/>
      <c r="AO11" s="575"/>
      <c r="AP11" s="576">
        <v>1</v>
      </c>
      <c r="AQ11" s="577"/>
      <c r="AR11" s="576">
        <v>5</v>
      </c>
      <c r="AS11" s="578"/>
      <c r="AT11" s="574"/>
      <c r="AU11" s="575"/>
      <c r="AV11" s="576">
        <v>1</v>
      </c>
      <c r="AW11" s="577"/>
      <c r="AX11" s="576">
        <v>5</v>
      </c>
      <c r="AY11" s="578"/>
      <c r="BA11" s="2" t="s">
        <v>49</v>
      </c>
      <c r="BB11" s="2" t="s">
        <v>5</v>
      </c>
      <c r="BC11" s="8">
        <f>BC4/BC10</f>
        <v>393192.00000000006</v>
      </c>
      <c r="BD11" s="8">
        <f>BD4/BD10</f>
        <v>376809</v>
      </c>
      <c r="BE11" s="8">
        <f t="shared" ref="BE11:BK11" si="34">BE4/BE10</f>
        <v>360426</v>
      </c>
      <c r="BF11" s="8">
        <f t="shared" si="34"/>
        <v>344042.99999999994</v>
      </c>
      <c r="BG11" s="8">
        <f>BG4/BG10</f>
        <v>327660</v>
      </c>
      <c r="BH11" s="8">
        <f t="shared" si="34"/>
        <v>344042.99999999994</v>
      </c>
      <c r="BI11" s="8">
        <f t="shared" si="34"/>
        <v>360426</v>
      </c>
      <c r="BJ11" s="8">
        <f t="shared" si="34"/>
        <v>376809</v>
      </c>
      <c r="BK11" s="8">
        <f t="shared" si="34"/>
        <v>393191.99999999994</v>
      </c>
    </row>
    <row r="12" spans="2:63" ht="17.649999999999999" thickTop="1" thickBot="1" x14ac:dyDescent="0.65">
      <c r="B12" s="2"/>
      <c r="C12" s="2" t="s">
        <v>50</v>
      </c>
      <c r="D12" s="1" t="str">
        <f>DEC2HEX(D11)</f>
        <v>5FFA0</v>
      </c>
      <c r="E12" s="1" t="str">
        <f t="shared" ref="E12:L12" si="35">DEC2HEX(E11)</f>
        <v>4FFB0</v>
      </c>
      <c r="F12" s="1" t="str">
        <f t="shared" si="35"/>
        <v>43FBC</v>
      </c>
      <c r="G12" s="1" t="str">
        <f t="shared" si="35"/>
        <v>3BFC4</v>
      </c>
      <c r="H12" s="1" t="str">
        <f t="shared" si="35"/>
        <v>27FD8</v>
      </c>
      <c r="I12" s="1" t="str">
        <f t="shared" si="35"/>
        <v>5FCFF</v>
      </c>
      <c r="J12" s="1" t="str">
        <f t="shared" si="35"/>
        <v>4FD80</v>
      </c>
      <c r="K12" s="107" t="str">
        <f t="shared" si="35"/>
        <v>3BE1F</v>
      </c>
      <c r="L12" s="107" t="str">
        <f t="shared" si="35"/>
        <v>27EC0</v>
      </c>
      <c r="N12" s="2"/>
      <c r="O12" s="2" t="s">
        <v>50</v>
      </c>
      <c r="P12" s="1" t="str">
        <f>DEC2HEX(P11)</f>
        <v>5FFE8</v>
      </c>
      <c r="Q12" s="372" t="str">
        <f t="shared" ref="Q12:X12" si="36">DEC2HEX(Q11)</f>
        <v>5BFE9</v>
      </c>
      <c r="R12" s="1" t="str">
        <f t="shared" si="36"/>
        <v>57FEA</v>
      </c>
      <c r="S12" s="372" t="str">
        <f t="shared" si="36"/>
        <v>53FEB</v>
      </c>
      <c r="T12" s="1" t="str">
        <f t="shared" si="36"/>
        <v>4FFEC</v>
      </c>
      <c r="U12" s="372" t="str">
        <f t="shared" si="36"/>
        <v>53FEB</v>
      </c>
      <c r="V12" s="1" t="str">
        <f t="shared" si="36"/>
        <v>57FEA</v>
      </c>
      <c r="W12" s="372" t="str">
        <f t="shared" si="36"/>
        <v>5BFE9</v>
      </c>
      <c r="X12" s="1" t="str">
        <f t="shared" si="36"/>
        <v>5FFE8</v>
      </c>
      <c r="BA12" s="2"/>
      <c r="BB12" s="2" t="s">
        <v>50</v>
      </c>
      <c r="BC12" s="1" t="str">
        <f>DEC2HEX(BC11)</f>
        <v>5FFE8</v>
      </c>
      <c r="BD12" s="372" t="str">
        <f t="shared" ref="BD12" si="37">DEC2HEX(BD11)</f>
        <v>5BFE9</v>
      </c>
      <c r="BE12" s="1" t="str">
        <f t="shared" ref="BE12" si="38">DEC2HEX(BE11)</f>
        <v>57FEA</v>
      </c>
      <c r="BF12" s="372" t="str">
        <f t="shared" ref="BF12" si="39">DEC2HEX(BF11)</f>
        <v>53FEA</v>
      </c>
      <c r="BG12" s="1" t="str">
        <f t="shared" ref="BG12" si="40">DEC2HEX(BG11)</f>
        <v>4FFEC</v>
      </c>
      <c r="BH12" s="372" t="str">
        <f t="shared" ref="BH12" si="41">DEC2HEX(BH11)</f>
        <v>53FEA</v>
      </c>
      <c r="BI12" s="1" t="str">
        <f t="shared" ref="BI12" si="42">DEC2HEX(BI11)</f>
        <v>57FEA</v>
      </c>
      <c r="BJ12" s="372" t="str">
        <f t="shared" ref="BJ12" si="43">DEC2HEX(BJ11)</f>
        <v>5BFE9</v>
      </c>
      <c r="BK12" s="1" t="str">
        <f t="shared" ref="BK12" si="44">DEC2HEX(BK11)</f>
        <v>5FFE7</v>
      </c>
    </row>
    <row r="13" spans="2:63" ht="17.25" thickTop="1" x14ac:dyDescent="0.6">
      <c r="B13" s="2"/>
      <c r="C13" s="2">
        <v>20</v>
      </c>
      <c r="D13" s="8">
        <f>2^C13-1</f>
        <v>1048575</v>
      </c>
      <c r="K13" s="102"/>
      <c r="L13" s="102"/>
      <c r="N13" s="2" t="s">
        <v>1277</v>
      </c>
      <c r="O13" s="441">
        <v>4.0000000000000001E-3</v>
      </c>
      <c r="P13" s="443">
        <f t="shared" ref="P13:X13" si="45">ROUNDUP(P11+P11*$O$13,0)</f>
        <v>394765</v>
      </c>
      <c r="Q13" s="442">
        <f t="shared" si="45"/>
        <v>378317</v>
      </c>
      <c r="R13" s="443">
        <f t="shared" si="45"/>
        <v>361868</v>
      </c>
      <c r="S13" s="442">
        <f t="shared" si="45"/>
        <v>345420</v>
      </c>
      <c r="T13" s="443">
        <f t="shared" si="45"/>
        <v>328971</v>
      </c>
      <c r="U13" s="442">
        <f t="shared" si="45"/>
        <v>345420</v>
      </c>
      <c r="V13" s="443">
        <f t="shared" si="45"/>
        <v>361868</v>
      </c>
      <c r="W13" s="442">
        <f t="shared" si="45"/>
        <v>378317</v>
      </c>
      <c r="X13" s="443">
        <f t="shared" si="45"/>
        <v>394765</v>
      </c>
      <c r="AB13" s="447"/>
      <c r="AC13" s="388"/>
      <c r="AD13" s="388"/>
      <c r="AE13" s="388"/>
      <c r="AF13" s="388"/>
      <c r="AG13" s="390"/>
      <c r="AH13" s="447"/>
      <c r="AI13" s="388"/>
      <c r="AJ13" s="388"/>
      <c r="AK13" s="388"/>
      <c r="AL13" s="388"/>
      <c r="AM13" s="390"/>
      <c r="AN13" s="447"/>
      <c r="AO13" s="388"/>
      <c r="AP13" s="388"/>
      <c r="AQ13" s="388"/>
      <c r="AR13" s="388"/>
      <c r="AS13" s="390"/>
      <c r="AT13" s="447"/>
      <c r="AU13" s="388"/>
      <c r="AV13" s="388"/>
      <c r="AW13" s="388"/>
      <c r="AX13" s="388"/>
      <c r="AY13" s="390"/>
      <c r="BA13" s="2" t="s">
        <v>1277</v>
      </c>
      <c r="BB13" s="441">
        <v>4.0000000000000001E-3</v>
      </c>
      <c r="BC13" s="443">
        <f>ROUNDUP(BC11+BC11*$BB$13,0)</f>
        <v>394765</v>
      </c>
      <c r="BD13" s="443">
        <f t="shared" ref="BD13:BK13" si="46">ROUNDUP(BD11+BD11*$BB$13,0)</f>
        <v>378317</v>
      </c>
      <c r="BE13" s="443">
        <f t="shared" si="46"/>
        <v>361868</v>
      </c>
      <c r="BF13" s="443">
        <f t="shared" si="46"/>
        <v>345420</v>
      </c>
      <c r="BG13" s="443">
        <f t="shared" si="46"/>
        <v>328971</v>
      </c>
      <c r="BH13" s="443">
        <f t="shared" si="46"/>
        <v>345420</v>
      </c>
      <c r="BI13" s="443">
        <f t="shared" si="46"/>
        <v>361868</v>
      </c>
      <c r="BJ13" s="443">
        <f t="shared" si="46"/>
        <v>378317</v>
      </c>
      <c r="BK13" s="443">
        <f t="shared" si="46"/>
        <v>394765</v>
      </c>
    </row>
    <row r="14" spans="2:63" x14ac:dyDescent="0.6">
      <c r="B14" s="2"/>
      <c r="C14" s="2" t="s">
        <v>97</v>
      </c>
      <c r="D14" s="95">
        <f t="shared" ref="D14:L14" si="47">$D$13*D10</f>
        <v>26673.153235653237</v>
      </c>
      <c r="E14" s="95">
        <f t="shared" si="47"/>
        <v>26673.153235653237</v>
      </c>
      <c r="F14" s="95">
        <f t="shared" si="47"/>
        <v>26150.150231032581</v>
      </c>
      <c r="G14" s="95">
        <f t="shared" si="47"/>
        <v>25864.875864875867</v>
      </c>
      <c r="H14" s="95">
        <f t="shared" si="47"/>
        <v>26673.153235653237</v>
      </c>
      <c r="I14" s="95">
        <f t="shared" si="47"/>
        <v>26718.826443248534</v>
      </c>
      <c r="J14" s="95">
        <f t="shared" si="47"/>
        <v>26718.82644324853</v>
      </c>
      <c r="K14" s="108">
        <f t="shared" si="47"/>
        <v>25909.16503587737</v>
      </c>
      <c r="L14" s="108">
        <f t="shared" si="47"/>
        <v>26718.82644324853</v>
      </c>
      <c r="N14" s="2"/>
      <c r="O14" s="2"/>
      <c r="P14" s="437" t="str">
        <f>DEC2HEX(P13)</f>
        <v>6060D</v>
      </c>
      <c r="Q14" s="436" t="str">
        <f t="shared" ref="Q14:X14" si="48">DEC2HEX(Q13)</f>
        <v>5C5CD</v>
      </c>
      <c r="R14" s="437" t="str">
        <f t="shared" si="48"/>
        <v>5858C</v>
      </c>
      <c r="S14" s="436" t="str">
        <f t="shared" si="48"/>
        <v>5454C</v>
      </c>
      <c r="T14" s="437" t="str">
        <f t="shared" si="48"/>
        <v>5050B</v>
      </c>
      <c r="U14" s="436" t="str">
        <f t="shared" si="48"/>
        <v>5454C</v>
      </c>
      <c r="V14" s="437" t="str">
        <f t="shared" si="48"/>
        <v>5858C</v>
      </c>
      <c r="W14" s="436" t="str">
        <f t="shared" si="48"/>
        <v>5C5CD</v>
      </c>
      <c r="X14" s="437" t="str">
        <f t="shared" si="48"/>
        <v>6060D</v>
      </c>
      <c r="Z14" s="1" t="s">
        <v>51</v>
      </c>
      <c r="AB14" s="448"/>
      <c r="AC14" s="26"/>
      <c r="AD14" s="22"/>
      <c r="AE14" s="26"/>
      <c r="AF14" s="22"/>
      <c r="AG14" s="446"/>
      <c r="AH14" s="448"/>
      <c r="AI14" s="26"/>
      <c r="AJ14" s="22"/>
      <c r="AK14" s="26"/>
      <c r="AL14" s="22"/>
      <c r="AM14" s="446"/>
      <c r="AN14" s="448"/>
      <c r="AO14" s="26"/>
      <c r="AP14" s="22"/>
      <c r="AQ14" s="26"/>
      <c r="AR14" s="22"/>
      <c r="AS14" s="446"/>
      <c r="AT14" s="448"/>
      <c r="AU14" s="26"/>
      <c r="AV14" s="22"/>
      <c r="AW14" s="26"/>
      <c r="AX14" s="22"/>
      <c r="AY14" s="446"/>
      <c r="BA14" s="2"/>
      <c r="BB14" s="2"/>
      <c r="BC14" s="437" t="str">
        <f>DEC2HEX(BC13)</f>
        <v>6060D</v>
      </c>
      <c r="BD14" s="436" t="str">
        <f t="shared" ref="BD14" si="49">DEC2HEX(BD13)</f>
        <v>5C5CD</v>
      </c>
      <c r="BE14" s="437" t="str">
        <f t="shared" ref="BE14" si="50">DEC2HEX(BE13)</f>
        <v>5858C</v>
      </c>
      <c r="BF14" s="436" t="str">
        <f t="shared" ref="BF14" si="51">DEC2HEX(BF13)</f>
        <v>5454C</v>
      </c>
      <c r="BG14" s="437" t="str">
        <f t="shared" ref="BG14" si="52">DEC2HEX(BG13)</f>
        <v>5050B</v>
      </c>
      <c r="BH14" s="436" t="str">
        <f t="shared" ref="BH14" si="53">DEC2HEX(BH13)</f>
        <v>5454C</v>
      </c>
      <c r="BI14" s="437" t="str">
        <f t="shared" ref="BI14" si="54">DEC2HEX(BI13)</f>
        <v>5858C</v>
      </c>
      <c r="BJ14" s="436" t="str">
        <f t="shared" ref="BJ14" si="55">DEC2HEX(BJ13)</f>
        <v>5C5CD</v>
      </c>
      <c r="BK14" s="437" t="str">
        <f t="shared" ref="BK14" si="56">DEC2HEX(BK13)</f>
        <v>6060D</v>
      </c>
    </row>
    <row r="15" spans="2:63" x14ac:dyDescent="0.6">
      <c r="B15" s="2"/>
      <c r="C15" s="2" t="s">
        <v>96</v>
      </c>
      <c r="D15" s="8">
        <f>D11*2</f>
        <v>786240</v>
      </c>
      <c r="K15" s="102"/>
      <c r="L15" s="102"/>
      <c r="N15" s="2"/>
      <c r="O15" s="2"/>
      <c r="Q15" s="431"/>
      <c r="S15" s="431"/>
      <c r="U15" s="431"/>
      <c r="W15" s="440"/>
      <c r="AB15" s="449"/>
      <c r="AG15" s="392"/>
      <c r="AH15" s="449"/>
      <c r="AM15" s="392"/>
      <c r="AN15" s="449"/>
      <c r="AS15" s="392"/>
      <c r="AT15" s="449"/>
      <c r="AY15" s="392"/>
      <c r="BA15" s="2"/>
      <c r="BB15" s="2"/>
      <c r="BC15" s="114"/>
      <c r="BD15" s="431"/>
      <c r="BE15" s="114"/>
      <c r="BF15" s="431"/>
      <c r="BG15" s="114"/>
      <c r="BH15" s="431"/>
      <c r="BI15" s="114"/>
      <c r="BJ15" s="440"/>
      <c r="BK15" s="122"/>
    </row>
    <row r="16" spans="2:63" x14ac:dyDescent="0.6">
      <c r="B16" s="130" t="s">
        <v>78</v>
      </c>
      <c r="C16" s="130" t="s">
        <v>5</v>
      </c>
      <c r="D16">
        <f>2^($D$5-D5)</f>
        <v>1</v>
      </c>
      <c r="E16">
        <f>2^($E$5-E5)</f>
        <v>1</v>
      </c>
      <c r="F16">
        <f>2^($F$5-F5)</f>
        <v>1</v>
      </c>
      <c r="G16">
        <f>2^($G$5-G5)</f>
        <v>1</v>
      </c>
      <c r="H16">
        <f>2^($H$5-H5)</f>
        <v>1</v>
      </c>
      <c r="I16">
        <f>2^(D5-I5)</f>
        <v>8</v>
      </c>
      <c r="J16">
        <f>2^(E5-J5)</f>
        <v>8</v>
      </c>
      <c r="K16" s="122">
        <f>2^(G5-K5)</f>
        <v>8</v>
      </c>
      <c r="L16" s="122">
        <f>2^(H5-L5)</f>
        <v>8</v>
      </c>
      <c r="N16" s="130" t="s">
        <v>78</v>
      </c>
      <c r="O16" s="130" t="s">
        <v>5</v>
      </c>
      <c r="P16">
        <f>2^($D$20-P5)</f>
        <v>1</v>
      </c>
      <c r="Q16" s="333">
        <f>2^($D$20-Q5)</f>
        <v>1</v>
      </c>
      <c r="R16">
        <f>2^($D$20-R5)</f>
        <v>1</v>
      </c>
      <c r="S16" s="333">
        <f>2^($D$20-S5)</f>
        <v>1</v>
      </c>
      <c r="T16">
        <f>2^($D$20-T5)</f>
        <v>1</v>
      </c>
      <c r="U16" s="333">
        <f>2^(P5-U5)</f>
        <v>1</v>
      </c>
      <c r="V16">
        <f>2^(Q5-V5)</f>
        <v>1</v>
      </c>
      <c r="W16" s="440">
        <f>2^(S5-W5)</f>
        <v>1</v>
      </c>
      <c r="X16" s="122">
        <f>2^(T5-X5)</f>
        <v>1</v>
      </c>
      <c r="Z16" s="1" t="s">
        <v>1280</v>
      </c>
      <c r="AB16" s="581">
        <v>120</v>
      </c>
      <c r="AC16" s="572"/>
      <c r="AD16" s="572">
        <v>120</v>
      </c>
      <c r="AE16" s="572"/>
      <c r="AF16" s="582">
        <f>BH3</f>
        <v>114.28571428571431</v>
      </c>
      <c r="AG16" s="583"/>
      <c r="AH16" s="581">
        <f>AF16</f>
        <v>114.28571428571431</v>
      </c>
      <c r="AI16" s="572"/>
      <c r="AJ16" s="572">
        <f>AH16</f>
        <v>114.28571428571431</v>
      </c>
      <c r="AK16" s="572"/>
      <c r="AL16" s="582">
        <f>BI3</f>
        <v>109.09090909090909</v>
      </c>
      <c r="AM16" s="583"/>
      <c r="AN16" s="581">
        <f>AL16</f>
        <v>109.09090909090909</v>
      </c>
      <c r="AO16" s="572"/>
      <c r="AP16" s="572">
        <f>AN16</f>
        <v>109.09090909090909</v>
      </c>
      <c r="AQ16" s="572"/>
      <c r="AR16" s="582">
        <f>BJ3</f>
        <v>104.34782608695654</v>
      </c>
      <c r="AS16" s="583"/>
      <c r="AT16" s="581">
        <f>AR16</f>
        <v>104.34782608695654</v>
      </c>
      <c r="AU16" s="572"/>
      <c r="AV16" s="572">
        <f>AT16</f>
        <v>104.34782608695654</v>
      </c>
      <c r="AW16" s="572"/>
      <c r="AX16" s="582">
        <f>BK3</f>
        <v>100.00000000000001</v>
      </c>
      <c r="AY16" s="583"/>
      <c r="BA16" s="130" t="s">
        <v>78</v>
      </c>
      <c r="BB16" s="130" t="s">
        <v>5</v>
      </c>
      <c r="BC16">
        <f>2^($D$20-BC5)</f>
        <v>1</v>
      </c>
      <c r="BD16" s="333">
        <f>2^($D$20-BD5)</f>
        <v>1</v>
      </c>
      <c r="BE16">
        <f>2^($D$20-BE5)</f>
        <v>1</v>
      </c>
      <c r="BF16" s="333">
        <f>2^($D$20-BF5)</f>
        <v>1</v>
      </c>
      <c r="BG16">
        <f>2^($D$20-BG5)</f>
        <v>1</v>
      </c>
      <c r="BH16" s="333">
        <f>2^(BC5-BH5)</f>
        <v>1</v>
      </c>
      <c r="BI16">
        <f>2^(BD5-BI5)</f>
        <v>1</v>
      </c>
      <c r="BJ16" s="440">
        <f>2^(BF5-BJ5)</f>
        <v>1</v>
      </c>
      <c r="BK16" s="122">
        <f>2^(BG5-BK5)</f>
        <v>1</v>
      </c>
    </row>
    <row r="17" spans="2:63" x14ac:dyDescent="0.6">
      <c r="D17" s="6"/>
      <c r="Q17" s="150">
        <f>P13-Q13</f>
        <v>16448</v>
      </c>
      <c r="R17" s="150">
        <f t="shared" ref="R17" si="57">Q13-R13</f>
        <v>16449</v>
      </c>
      <c r="S17" s="150">
        <f>R13-S13</f>
        <v>16448</v>
      </c>
      <c r="T17" s="150"/>
      <c r="U17" s="150"/>
      <c r="V17" s="150"/>
      <c r="W17" s="150"/>
      <c r="X17" s="150"/>
      <c r="Z17" s="1" t="s">
        <v>95</v>
      </c>
      <c r="AB17" s="581">
        <v>20</v>
      </c>
      <c r="AC17" s="572"/>
      <c r="AD17" s="572">
        <v>20</v>
      </c>
      <c r="AE17" s="572"/>
      <c r="AF17" s="584">
        <v>21</v>
      </c>
      <c r="AG17" s="585"/>
      <c r="AH17" s="581">
        <v>21</v>
      </c>
      <c r="AI17" s="572"/>
      <c r="AJ17" s="572">
        <v>21</v>
      </c>
      <c r="AK17" s="572"/>
      <c r="AL17" s="584">
        <v>22</v>
      </c>
      <c r="AM17" s="585"/>
      <c r="AN17" s="581">
        <v>22</v>
      </c>
      <c r="AO17" s="572"/>
      <c r="AP17" s="572">
        <v>22</v>
      </c>
      <c r="AQ17" s="572"/>
      <c r="AR17" s="584">
        <v>23</v>
      </c>
      <c r="AS17" s="585"/>
      <c r="AT17" s="581">
        <v>21</v>
      </c>
      <c r="AU17" s="572"/>
      <c r="AV17" s="572">
        <v>21</v>
      </c>
      <c r="AW17" s="572"/>
      <c r="AX17" s="584">
        <v>24</v>
      </c>
      <c r="AY17" s="585"/>
    </row>
    <row r="18" spans="2:63" x14ac:dyDescent="0.6">
      <c r="B18" s="110" t="s">
        <v>3</v>
      </c>
      <c r="C18" s="130" t="s">
        <v>4</v>
      </c>
      <c r="D18" s="111">
        <v>100</v>
      </c>
      <c r="E18" s="111">
        <v>120</v>
      </c>
      <c r="F18" s="111">
        <v>144</v>
      </c>
      <c r="G18" s="111">
        <v>165</v>
      </c>
      <c r="H18" s="111">
        <v>240</v>
      </c>
      <c r="I18" s="111">
        <f>D18*2^(D20-I20)</f>
        <v>800</v>
      </c>
      <c r="J18" s="111">
        <f>E18*2^(E20-J20)</f>
        <v>960</v>
      </c>
      <c r="K18" s="140">
        <f>G18*2^(F20-K20)</f>
        <v>1320</v>
      </c>
      <c r="L18" s="140">
        <f>H18*2^(G20-L20)</f>
        <v>1920</v>
      </c>
      <c r="N18" s="371" t="s">
        <v>1279</v>
      </c>
      <c r="O18" s="369"/>
      <c r="P18" s="3"/>
      <c r="Q18" s="3"/>
      <c r="R18" s="3"/>
      <c r="S18" s="3"/>
      <c r="T18" s="3"/>
      <c r="U18" s="3"/>
      <c r="V18" s="3"/>
      <c r="W18" s="3"/>
      <c r="X18" s="3"/>
      <c r="Y18"/>
      <c r="Z18" s="1" t="s">
        <v>1283</v>
      </c>
      <c r="AB18" s="581">
        <v>1</v>
      </c>
      <c r="AC18" s="572"/>
      <c r="AD18" s="572">
        <v>1</v>
      </c>
      <c r="AE18" s="572"/>
      <c r="AF18" s="572">
        <v>1</v>
      </c>
      <c r="AG18" s="573"/>
      <c r="AH18" s="581">
        <v>1</v>
      </c>
      <c r="AI18" s="572"/>
      <c r="AJ18" s="572">
        <v>1</v>
      </c>
      <c r="AK18" s="572"/>
      <c r="AL18" s="572">
        <v>1</v>
      </c>
      <c r="AM18" s="573"/>
      <c r="AN18" s="581">
        <v>1</v>
      </c>
      <c r="AO18" s="572"/>
      <c r="AP18" s="572">
        <v>1</v>
      </c>
      <c r="AQ18" s="572"/>
      <c r="AR18" s="572">
        <v>1</v>
      </c>
      <c r="AS18" s="573"/>
      <c r="AT18" s="581">
        <v>1</v>
      </c>
      <c r="AU18" s="572"/>
      <c r="AV18" s="572">
        <v>1</v>
      </c>
      <c r="AW18" s="572"/>
      <c r="AX18" s="572">
        <v>1</v>
      </c>
      <c r="AY18" s="573"/>
      <c r="BC18" s="7">
        <f>BD3-BC3</f>
        <v>4.3478260869565446</v>
      </c>
      <c r="BD18" s="7">
        <f t="shared" ref="BD18:BF18" si="58">BE3-BD3</f>
        <v>4.7430830039525489</v>
      </c>
      <c r="BE18" s="7">
        <f t="shared" si="58"/>
        <v>5.1948051948052125</v>
      </c>
      <c r="BF18" s="7">
        <f t="shared" si="58"/>
        <v>5.7142857142857082</v>
      </c>
      <c r="BG18" s="7"/>
      <c r="BH18" s="7">
        <f>BG3-BH3</f>
        <v>5.7142857142857082</v>
      </c>
      <c r="BI18" s="7">
        <f t="shared" ref="BI18:BK18" si="59">BH3-BI3</f>
        <v>5.1948051948052125</v>
      </c>
      <c r="BJ18" s="7">
        <f t="shared" si="59"/>
        <v>4.7430830039525489</v>
      </c>
      <c r="BK18" s="7">
        <f t="shared" si="59"/>
        <v>4.3478260869565304</v>
      </c>
    </row>
    <row r="19" spans="2:63" x14ac:dyDescent="0.6">
      <c r="B19" s="110"/>
      <c r="C19" s="130" t="s">
        <v>1</v>
      </c>
      <c r="D19" s="113">
        <f>1/D18*1000000</f>
        <v>10000</v>
      </c>
      <c r="E19" s="113">
        <f t="shared" ref="E19" si="60">1/E18*1000000</f>
        <v>8333.3333333333339</v>
      </c>
      <c r="F19" s="113">
        <f>1/F18*1000000</f>
        <v>6944.4444444444443</v>
      </c>
      <c r="G19" s="113">
        <f t="shared" ref="G19:L19" si="61">1/G18*1000000</f>
        <v>6060.606060606061</v>
      </c>
      <c r="H19" s="113">
        <f t="shared" si="61"/>
        <v>4166.666666666667</v>
      </c>
      <c r="I19" s="113">
        <f t="shared" si="61"/>
        <v>1250</v>
      </c>
      <c r="J19" s="113">
        <f t="shared" si="61"/>
        <v>1041.6666666666667</v>
      </c>
      <c r="K19" s="121">
        <f t="shared" si="61"/>
        <v>757.57575757575762</v>
      </c>
      <c r="L19" s="121">
        <f t="shared" si="61"/>
        <v>520.83333333333337</v>
      </c>
      <c r="N19" s="110" t="s">
        <v>3</v>
      </c>
      <c r="O19" s="130" t="s">
        <v>4</v>
      </c>
      <c r="P19" s="439">
        <v>100</v>
      </c>
      <c r="Q19" s="438">
        <f>P19*2</f>
        <v>200</v>
      </c>
      <c r="R19" s="439">
        <f t="shared" ref="R19:S19" si="62">Q19*2</f>
        <v>400</v>
      </c>
      <c r="S19" s="438">
        <f t="shared" si="62"/>
        <v>800</v>
      </c>
      <c r="T19"/>
      <c r="U19" s="438">
        <f>S19</f>
        <v>800</v>
      </c>
      <c r="V19" s="439">
        <f>U19/2</f>
        <v>400</v>
      </c>
      <c r="W19" s="438">
        <f t="shared" ref="W19:X19" si="63">V19/2</f>
        <v>200</v>
      </c>
      <c r="X19" s="439">
        <f t="shared" si="63"/>
        <v>100</v>
      </c>
      <c r="Y19"/>
      <c r="Z19" s="1" t="s">
        <v>1281</v>
      </c>
      <c r="AB19" s="581">
        <v>0</v>
      </c>
      <c r="AC19" s="572"/>
      <c r="AD19" s="572">
        <v>0</v>
      </c>
      <c r="AE19" s="572"/>
      <c r="AF19" s="572">
        <v>0</v>
      </c>
      <c r="AG19" s="573"/>
      <c r="AH19" s="581">
        <v>0</v>
      </c>
      <c r="AI19" s="572"/>
      <c r="AJ19" s="572">
        <v>0</v>
      </c>
      <c r="AK19" s="572"/>
      <c r="AL19" s="572">
        <v>0</v>
      </c>
      <c r="AM19" s="573"/>
      <c r="AN19" s="581">
        <v>0</v>
      </c>
      <c r="AO19" s="572"/>
      <c r="AP19" s="572">
        <v>0</v>
      </c>
      <c r="AQ19" s="572"/>
      <c r="AR19" s="572">
        <v>0</v>
      </c>
      <c r="AS19" s="573"/>
      <c r="AT19" s="581">
        <v>0</v>
      </c>
      <c r="AU19" s="572"/>
      <c r="AV19" s="572">
        <v>0</v>
      </c>
      <c r="AW19" s="572"/>
      <c r="AX19" s="572">
        <v>0</v>
      </c>
      <c r="AY19" s="573"/>
    </row>
    <row r="20" spans="2:63" x14ac:dyDescent="0.6">
      <c r="B20" s="2" t="s">
        <v>99</v>
      </c>
      <c r="C20" s="130" t="s">
        <v>100</v>
      </c>
      <c r="D20" s="137">
        <v>14</v>
      </c>
      <c r="E20" s="116">
        <v>14</v>
      </c>
      <c r="F20" s="116">
        <v>14</v>
      </c>
      <c r="G20" s="116">
        <v>14</v>
      </c>
      <c r="H20" s="116">
        <v>14</v>
      </c>
      <c r="I20" s="129">
        <v>11</v>
      </c>
      <c r="J20" s="116">
        <v>11</v>
      </c>
      <c r="K20" s="124">
        <v>11</v>
      </c>
      <c r="L20" s="124">
        <v>11</v>
      </c>
      <c r="N20" s="110"/>
      <c r="O20" s="130" t="s">
        <v>1</v>
      </c>
      <c r="P20" s="113">
        <f>1/P19*1000000</f>
        <v>10000</v>
      </c>
      <c r="Q20" s="432">
        <f t="shared" ref="Q20:X20" si="64">1/Q19*1000000</f>
        <v>5000</v>
      </c>
      <c r="R20" s="113">
        <f t="shared" si="64"/>
        <v>2500</v>
      </c>
      <c r="S20" s="432">
        <f t="shared" si="64"/>
        <v>1250</v>
      </c>
      <c r="T20" s="113"/>
      <c r="U20" s="432">
        <f t="shared" si="64"/>
        <v>1250</v>
      </c>
      <c r="V20" s="113">
        <f t="shared" si="64"/>
        <v>2500</v>
      </c>
      <c r="W20" s="432">
        <f t="shared" si="64"/>
        <v>5000</v>
      </c>
      <c r="X20" s="113">
        <f t="shared" si="64"/>
        <v>10000</v>
      </c>
      <c r="Y20"/>
      <c r="Z20" s="1" t="s">
        <v>49</v>
      </c>
      <c r="AB20" s="579">
        <f>BH13</f>
        <v>345420</v>
      </c>
      <c r="AC20" s="580"/>
      <c r="AD20" s="572"/>
      <c r="AE20" s="572"/>
      <c r="AF20" s="572"/>
      <c r="AG20" s="573"/>
      <c r="AH20" s="579">
        <f>BI13</f>
        <v>361868</v>
      </c>
      <c r="AI20" s="580"/>
      <c r="AJ20" s="572"/>
      <c r="AK20" s="572"/>
      <c r="AL20" s="572"/>
      <c r="AM20" s="573"/>
      <c r="AN20" s="579">
        <f>BJ13</f>
        <v>378317</v>
      </c>
      <c r="AO20" s="580"/>
      <c r="AP20" s="572"/>
      <c r="AQ20" s="572"/>
      <c r="AR20" s="572"/>
      <c r="AS20" s="573"/>
      <c r="AT20" s="579">
        <f>BK13</f>
        <v>394765</v>
      </c>
      <c r="AU20" s="580"/>
      <c r="AV20" s="572"/>
      <c r="AW20" s="572"/>
      <c r="AX20" s="572"/>
      <c r="AY20" s="573"/>
    </row>
    <row r="21" spans="2:63" ht="17.25" thickBot="1" x14ac:dyDescent="0.65">
      <c r="B21" s="110"/>
      <c r="C21" s="133" t="s">
        <v>5</v>
      </c>
      <c r="D21" s="114">
        <f>2^$D$20-1</f>
        <v>16383</v>
      </c>
      <c r="E21" s="114">
        <f>2^$D$20-1</f>
        <v>16383</v>
      </c>
      <c r="F21" s="114">
        <f>2^$D$20-1</f>
        <v>16383</v>
      </c>
      <c r="G21" s="114">
        <f>2^$D$20-1</f>
        <v>16383</v>
      </c>
      <c r="H21" s="114">
        <f>2^$D$20-1</f>
        <v>16383</v>
      </c>
      <c r="I21" s="114">
        <f>2^$I$20-1</f>
        <v>2047</v>
      </c>
      <c r="J21" s="114">
        <f>2^$I$20-1</f>
        <v>2047</v>
      </c>
      <c r="K21" s="122">
        <f>2^$I$20-1</f>
        <v>2047</v>
      </c>
      <c r="L21" s="122">
        <f>2^$I$20-1</f>
        <v>2047</v>
      </c>
      <c r="N21" s="2" t="s">
        <v>99</v>
      </c>
      <c r="O21" s="130" t="s">
        <v>100</v>
      </c>
      <c r="P21" s="120">
        <v>14</v>
      </c>
      <c r="Q21" s="431">
        <f>P21-1</f>
        <v>13</v>
      </c>
      <c r="R21" s="114">
        <f t="shared" ref="R21:S21" si="65">Q21-1</f>
        <v>12</v>
      </c>
      <c r="S21" s="431">
        <f t="shared" si="65"/>
        <v>11</v>
      </c>
      <c r="T21"/>
      <c r="U21" s="433">
        <f>S21</f>
        <v>11</v>
      </c>
      <c r="V21" s="114">
        <f>U21+1</f>
        <v>12</v>
      </c>
      <c r="W21" s="431">
        <f t="shared" ref="W21:X21" si="66">V21+1</f>
        <v>13</v>
      </c>
      <c r="X21" s="114">
        <f t="shared" si="66"/>
        <v>14</v>
      </c>
      <c r="Y21"/>
      <c r="Z21" s="1" t="s">
        <v>1282</v>
      </c>
      <c r="AB21" s="574"/>
      <c r="AC21" s="575"/>
      <c r="AD21" s="576">
        <v>1</v>
      </c>
      <c r="AE21" s="577"/>
      <c r="AF21" s="576">
        <v>5</v>
      </c>
      <c r="AG21" s="578"/>
      <c r="AH21" s="574"/>
      <c r="AI21" s="575"/>
      <c r="AJ21" s="576">
        <v>1</v>
      </c>
      <c r="AK21" s="577"/>
      <c r="AL21" s="576">
        <v>5</v>
      </c>
      <c r="AM21" s="578"/>
      <c r="AN21" s="574"/>
      <c r="AO21" s="575"/>
      <c r="AP21" s="576">
        <v>1</v>
      </c>
      <c r="AQ21" s="577"/>
      <c r="AR21" s="576">
        <v>5</v>
      </c>
      <c r="AS21" s="578"/>
      <c r="AT21" s="574"/>
      <c r="AU21" s="575"/>
      <c r="AV21" s="576">
        <v>1</v>
      </c>
      <c r="AW21" s="577"/>
      <c r="AX21" s="576">
        <v>5</v>
      </c>
      <c r="AY21" s="578"/>
    </row>
    <row r="22" spans="2:63" ht="17.25" thickTop="1" x14ac:dyDescent="0.6">
      <c r="B22" s="110"/>
      <c r="C22" s="134" t="s">
        <v>1</v>
      </c>
      <c r="D22" s="115">
        <f>D19/D21</f>
        <v>0.61038881767686015</v>
      </c>
      <c r="E22" s="115">
        <f t="shared" ref="E22:L22" si="67">E19/E21</f>
        <v>0.50865734806405016</v>
      </c>
      <c r="F22" s="115">
        <f t="shared" si="67"/>
        <v>0.42388112338670841</v>
      </c>
      <c r="G22" s="115">
        <f t="shared" si="67"/>
        <v>0.36993261677385464</v>
      </c>
      <c r="H22" s="115">
        <f t="shared" si="67"/>
        <v>0.25432867403202508</v>
      </c>
      <c r="I22" s="115">
        <f t="shared" si="67"/>
        <v>0.61064973131411826</v>
      </c>
      <c r="J22" s="115">
        <f t="shared" si="67"/>
        <v>0.50887477609509857</v>
      </c>
      <c r="K22" s="123">
        <f t="shared" si="67"/>
        <v>0.37009074625098076</v>
      </c>
      <c r="L22" s="123">
        <f t="shared" si="67"/>
        <v>0.25443738804754928</v>
      </c>
      <c r="N22" s="110"/>
      <c r="O22" s="133" t="s">
        <v>5</v>
      </c>
      <c r="P22" s="114">
        <f>2^P21-1</f>
        <v>16383</v>
      </c>
      <c r="Q22" s="431">
        <f t="shared" ref="Q22" si="68">2^Q21-1</f>
        <v>8191</v>
      </c>
      <c r="R22" s="114">
        <f t="shared" ref="R22" si="69">2^R21-1</f>
        <v>4095</v>
      </c>
      <c r="S22" s="431">
        <f t="shared" ref="S22" si="70">2^S21-1</f>
        <v>2047</v>
      </c>
      <c r="T22"/>
      <c r="U22" s="431">
        <f>2^U21-1</f>
        <v>2047</v>
      </c>
      <c r="V22" s="114">
        <f t="shared" ref="V22" si="71">2^V21-1</f>
        <v>4095</v>
      </c>
      <c r="W22" s="431">
        <f t="shared" ref="W22" si="72">2^W21-1</f>
        <v>8191</v>
      </c>
      <c r="X22" s="114">
        <f t="shared" ref="X22" si="73">2^X21-1</f>
        <v>16383</v>
      </c>
      <c r="Y22"/>
    </row>
    <row r="23" spans="2:63" x14ac:dyDescent="0.6">
      <c r="B23" s="110" t="s">
        <v>95</v>
      </c>
      <c r="C23" s="130" t="s">
        <v>5</v>
      </c>
      <c r="D23" s="116">
        <v>24</v>
      </c>
      <c r="E23" s="116">
        <v>20</v>
      </c>
      <c r="F23" s="116">
        <f>F8/4</f>
        <v>17</v>
      </c>
      <c r="G23" s="116">
        <f>G8/4</f>
        <v>15</v>
      </c>
      <c r="H23" s="116">
        <f>H8/4</f>
        <v>10</v>
      </c>
      <c r="I23" s="116">
        <f>D23</f>
        <v>24</v>
      </c>
      <c r="J23" s="116">
        <f t="shared" ref="J23" si="74">E23</f>
        <v>20</v>
      </c>
      <c r="K23" s="124">
        <f>G23</f>
        <v>15</v>
      </c>
      <c r="L23" s="124">
        <f>H23</f>
        <v>10</v>
      </c>
      <c r="N23" s="110"/>
      <c r="O23" s="134" t="s">
        <v>1</v>
      </c>
      <c r="P23" s="115">
        <f>P20/P22</f>
        <v>0.61038881767686015</v>
      </c>
      <c r="Q23" s="434">
        <f t="shared" ref="Q23" si="75">Q20/Q22</f>
        <v>0.61042607740202659</v>
      </c>
      <c r="R23" s="115">
        <f t="shared" ref="R23" si="76">R20/R22</f>
        <v>0.61050061050061055</v>
      </c>
      <c r="S23" s="434">
        <f t="shared" ref="S23" si="77">S20/S22</f>
        <v>0.61064973131411826</v>
      </c>
      <c r="T23"/>
      <c r="U23" s="434">
        <f>U20/U22</f>
        <v>0.61064973131411826</v>
      </c>
      <c r="V23" s="115">
        <f t="shared" ref="V23" si="78">V20/V22</f>
        <v>0.61050061050061055</v>
      </c>
      <c r="W23" s="434">
        <f t="shared" ref="W23" si="79">W20/W22</f>
        <v>0.61042607740202659</v>
      </c>
      <c r="X23" s="115">
        <f t="shared" ref="X23" si="80">X20/X22</f>
        <v>0.61038881767686015</v>
      </c>
      <c r="Y23"/>
    </row>
    <row r="24" spans="2:63" x14ac:dyDescent="0.6">
      <c r="B24" s="110" t="s">
        <v>2</v>
      </c>
      <c r="C24" s="130" t="s">
        <v>0</v>
      </c>
      <c r="D24" s="118">
        <f>1/D25</f>
        <v>39.319200000000002</v>
      </c>
      <c r="E24" s="118">
        <f t="shared" ref="E24:K24" si="81">1/E25</f>
        <v>39.319200000000002</v>
      </c>
      <c r="F24" s="118">
        <f t="shared" si="81"/>
        <v>40.105584000000007</v>
      </c>
      <c r="G24" s="118">
        <f t="shared" si="81"/>
        <v>40.547924999999999</v>
      </c>
      <c r="H24" s="118">
        <f t="shared" si="81"/>
        <v>39.319200000000002</v>
      </c>
      <c r="I24" s="118">
        <f t="shared" si="81"/>
        <v>39.302399999999999</v>
      </c>
      <c r="J24" s="118">
        <f t="shared" si="81"/>
        <v>39.302399999999992</v>
      </c>
      <c r="K24" s="125">
        <f t="shared" si="81"/>
        <v>40.530599999999993</v>
      </c>
      <c r="L24" s="125">
        <f>1/L25</f>
        <v>39.302399999999992</v>
      </c>
      <c r="N24" s="110" t="s">
        <v>95</v>
      </c>
      <c r="O24" s="130" t="s">
        <v>5</v>
      </c>
      <c r="P24" s="439">
        <v>24</v>
      </c>
      <c r="Q24" s="438">
        <f>P24</f>
        <v>24</v>
      </c>
      <c r="R24" s="439">
        <f>Q24</f>
        <v>24</v>
      </c>
      <c r="S24" s="438">
        <f>R24</f>
        <v>24</v>
      </c>
      <c r="T24"/>
      <c r="U24" s="438">
        <f>S24</f>
        <v>24</v>
      </c>
      <c r="V24" s="439">
        <f>U24</f>
        <v>24</v>
      </c>
      <c r="W24" s="438">
        <f>V24</f>
        <v>24</v>
      </c>
      <c r="X24" s="439">
        <f>W24</f>
        <v>24</v>
      </c>
      <c r="Y24"/>
    </row>
    <row r="25" spans="2:63" x14ac:dyDescent="0.6">
      <c r="B25" s="110"/>
      <c r="C25" s="130" t="s">
        <v>1</v>
      </c>
      <c r="D25" s="115">
        <f t="shared" ref="D25:L25" si="82">D19/D21/D23</f>
        <v>2.5432867403202507E-2</v>
      </c>
      <c r="E25" s="115">
        <f t="shared" si="82"/>
        <v>2.5432867403202507E-2</v>
      </c>
      <c r="F25" s="115">
        <f t="shared" si="82"/>
        <v>2.4934183728629905E-2</v>
      </c>
      <c r="G25" s="115">
        <f t="shared" si="82"/>
        <v>2.4662174451590309E-2</v>
      </c>
      <c r="H25" s="115">
        <f t="shared" si="82"/>
        <v>2.5432867403202507E-2</v>
      </c>
      <c r="I25" s="115">
        <f t="shared" si="82"/>
        <v>2.5443738804754926E-2</v>
      </c>
      <c r="J25" s="115">
        <f t="shared" si="82"/>
        <v>2.544373880475493E-2</v>
      </c>
      <c r="K25" s="123">
        <f t="shared" si="82"/>
        <v>2.4672716416732052E-2</v>
      </c>
      <c r="L25" s="123">
        <f t="shared" si="82"/>
        <v>2.544373880475493E-2</v>
      </c>
      <c r="N25" s="110" t="s">
        <v>2</v>
      </c>
      <c r="O25" s="130" t="s">
        <v>0</v>
      </c>
      <c r="P25" s="114">
        <f>1/P26</f>
        <v>39.319200000000002</v>
      </c>
      <c r="Q25" s="431">
        <f>1/Q26</f>
        <v>39.316800000000001</v>
      </c>
      <c r="R25" s="114">
        <f t="shared" ref="R25:X25" si="83">1/R26</f>
        <v>39.311999999999998</v>
      </c>
      <c r="S25" s="431">
        <f t="shared" si="83"/>
        <v>39.302399999999999</v>
      </c>
      <c r="T25"/>
      <c r="U25" s="431">
        <f>1/U26</f>
        <v>39.302399999999999</v>
      </c>
      <c r="V25" s="114">
        <f t="shared" si="83"/>
        <v>39.311999999999998</v>
      </c>
      <c r="W25" s="431">
        <f t="shared" si="83"/>
        <v>39.316800000000001</v>
      </c>
      <c r="X25" s="114">
        <f t="shared" si="83"/>
        <v>39.319200000000002</v>
      </c>
      <c r="Y25"/>
    </row>
    <row r="26" spans="2:63" ht="17.25" thickBot="1" x14ac:dyDescent="0.65">
      <c r="B26" s="2" t="s">
        <v>49</v>
      </c>
      <c r="C26" s="2" t="s">
        <v>5</v>
      </c>
      <c r="D26" s="8">
        <f>D19/D25</f>
        <v>393192</v>
      </c>
      <c r="E26" s="8">
        <f>E19/E25</f>
        <v>327660</v>
      </c>
      <c r="F26" s="8">
        <f>F19/F25</f>
        <v>278511.00000000006</v>
      </c>
      <c r="G26" s="8">
        <f>G19/G25</f>
        <v>245745.00000000003</v>
      </c>
      <c r="H26" s="8">
        <f>H19/H25</f>
        <v>163830</v>
      </c>
      <c r="I26" s="8">
        <f>I19*2^(D20-I20)/I25</f>
        <v>393024</v>
      </c>
      <c r="J26" s="8">
        <f>J19*2^(E20-J20)/J25</f>
        <v>327520</v>
      </c>
      <c r="K26" s="126">
        <f>K19*2^(G20-K20)/K25</f>
        <v>245639.99999999997</v>
      </c>
      <c r="L26" s="126">
        <f>L19*2^(H20-L20)/L25</f>
        <v>163760</v>
      </c>
      <c r="N26" s="110"/>
      <c r="O26" s="130" t="s">
        <v>1</v>
      </c>
      <c r="P26" s="115">
        <f>P20/P22/P24</f>
        <v>2.5432867403202507E-2</v>
      </c>
      <c r="Q26" s="434">
        <f>(Q20*Q32)/(Q22*Q32)/Q24</f>
        <v>2.5434419891751107E-2</v>
      </c>
      <c r="R26" s="115">
        <f t="shared" ref="R26:X26" si="84">(R20*R32)/(R22*R32)/R24</f>
        <v>2.5437525437525439E-2</v>
      </c>
      <c r="S26" s="434">
        <f t="shared" si="84"/>
        <v>2.5443738804754926E-2</v>
      </c>
      <c r="T26"/>
      <c r="U26" s="434">
        <f t="shared" si="84"/>
        <v>2.5443738804754926E-2</v>
      </c>
      <c r="V26" s="115">
        <f t="shared" si="84"/>
        <v>2.5437525437525439E-2</v>
      </c>
      <c r="W26" s="434">
        <f t="shared" si="84"/>
        <v>2.5434419891751107E-2</v>
      </c>
      <c r="X26" s="115">
        <f t="shared" si="84"/>
        <v>2.5432867403202507E-2</v>
      </c>
      <c r="Y26"/>
    </row>
    <row r="27" spans="2:63" ht="17.25" thickTop="1" x14ac:dyDescent="0.6">
      <c r="B27" s="2"/>
      <c r="C27" s="2" t="s">
        <v>50</v>
      </c>
      <c r="D27" s="1" t="str">
        <f>DEC2HEX(D26)</f>
        <v>5FFE8</v>
      </c>
      <c r="E27" s="1" t="str">
        <f t="shared" ref="E27:L27" si="85">DEC2HEX(E26)</f>
        <v>4FFEC</v>
      </c>
      <c r="F27" s="1" t="str">
        <f t="shared" si="85"/>
        <v>43FEF</v>
      </c>
      <c r="G27" s="1" t="str">
        <f t="shared" si="85"/>
        <v>3BFF1</v>
      </c>
      <c r="H27" s="1" t="str">
        <f t="shared" si="85"/>
        <v>27FF6</v>
      </c>
      <c r="I27" s="1" t="str">
        <f t="shared" si="85"/>
        <v>5FF40</v>
      </c>
      <c r="J27" s="1" t="str">
        <f t="shared" si="85"/>
        <v>4FF60</v>
      </c>
      <c r="K27" s="127" t="str">
        <f t="shared" si="85"/>
        <v>3BF87</v>
      </c>
      <c r="L27" s="127" t="str">
        <f t="shared" si="85"/>
        <v>27FB0</v>
      </c>
      <c r="N27" s="2" t="s">
        <v>49</v>
      </c>
      <c r="O27" s="2" t="s">
        <v>5</v>
      </c>
      <c r="P27" s="8">
        <f>P20/P26</f>
        <v>393192</v>
      </c>
      <c r="Q27" s="435">
        <f>Q20*Q32/Q26</f>
        <v>393168.00000000006</v>
      </c>
      <c r="R27" s="8">
        <f>R20*R32/R26</f>
        <v>393120</v>
      </c>
      <c r="S27" s="435">
        <f t="shared" ref="S27:X27" si="86">S20*S32/S26</f>
        <v>393024</v>
      </c>
      <c r="T27"/>
      <c r="U27" s="435">
        <f t="shared" si="86"/>
        <v>393024</v>
      </c>
      <c r="V27" s="8">
        <f t="shared" si="86"/>
        <v>393120</v>
      </c>
      <c r="W27" s="435">
        <f>W20*W32/W26</f>
        <v>393168.00000000006</v>
      </c>
      <c r="X27" s="8">
        <f t="shared" si="86"/>
        <v>393192</v>
      </c>
      <c r="Y27"/>
      <c r="AB27" s="447"/>
      <c r="AC27" s="388"/>
      <c r="AD27" s="388"/>
      <c r="AE27" s="388"/>
      <c r="AF27" s="388"/>
      <c r="AG27" s="390"/>
      <c r="AH27" s="447"/>
      <c r="AI27" s="388"/>
      <c r="AJ27" s="388"/>
      <c r="AK27" s="388"/>
      <c r="AL27" s="388"/>
      <c r="AM27" s="390"/>
      <c r="AN27" s="447"/>
      <c r="AO27" s="388"/>
      <c r="AP27" s="388"/>
      <c r="AQ27" s="388"/>
      <c r="AR27" s="388"/>
      <c r="AS27" s="390"/>
      <c r="AT27" s="447"/>
      <c r="AU27" s="388"/>
      <c r="AV27" s="388"/>
      <c r="AW27" s="388"/>
      <c r="AX27" s="388"/>
      <c r="AY27" s="390"/>
    </row>
    <row r="28" spans="2:63" x14ac:dyDescent="0.6">
      <c r="B28" s="2"/>
      <c r="C28" s="2"/>
      <c r="D28" s="8"/>
      <c r="K28" s="122"/>
      <c r="L28" s="122"/>
      <c r="M28" s="100"/>
      <c r="N28" s="2"/>
      <c r="O28" s="2" t="s">
        <v>50</v>
      </c>
      <c r="P28" s="1" t="str">
        <f>DEC2HEX(P27)</f>
        <v>5FFE8</v>
      </c>
      <c r="Q28" s="372" t="str">
        <f t="shared" ref="Q28" si="87">DEC2HEX(Q27)</f>
        <v>5FFD0</v>
      </c>
      <c r="R28" s="1" t="str">
        <f t="shared" ref="R28" si="88">DEC2HEX(R27)</f>
        <v>5FFA0</v>
      </c>
      <c r="S28" s="372" t="str">
        <f t="shared" ref="S28" si="89">DEC2HEX(S27)</f>
        <v>5FF40</v>
      </c>
      <c r="T28"/>
      <c r="U28" s="372" t="str">
        <f>DEC2HEX(U27)</f>
        <v>5FF40</v>
      </c>
      <c r="V28" s="1" t="str">
        <f t="shared" ref="V28" si="90">DEC2HEX(V27)</f>
        <v>5FFA0</v>
      </c>
      <c r="W28" s="372" t="str">
        <f t="shared" ref="W28" si="91">DEC2HEX(W27)</f>
        <v>5FFD0</v>
      </c>
      <c r="X28" s="1" t="str">
        <f t="shared" ref="X28" si="92">DEC2HEX(X27)</f>
        <v>5FFE8</v>
      </c>
      <c r="Y28"/>
      <c r="Z28" s="1" t="s">
        <v>51</v>
      </c>
      <c r="AB28" s="448"/>
      <c r="AC28" s="26"/>
      <c r="AD28" s="22"/>
      <c r="AE28" s="26"/>
      <c r="AF28" s="22"/>
      <c r="AG28" s="446"/>
      <c r="AH28" s="448"/>
      <c r="AI28" s="26"/>
      <c r="AJ28" s="22"/>
      <c r="AK28" s="26"/>
      <c r="AL28" s="22"/>
      <c r="AM28" s="446"/>
      <c r="AN28" s="448"/>
      <c r="AO28" s="26"/>
      <c r="AP28" s="22"/>
      <c r="AQ28" s="26"/>
      <c r="AR28" s="22"/>
      <c r="AS28" s="446"/>
      <c r="AT28" s="448"/>
      <c r="AU28" s="26"/>
      <c r="AV28" s="22"/>
      <c r="AW28" s="26"/>
      <c r="AX28" s="22"/>
      <c r="AY28" s="446"/>
    </row>
    <row r="29" spans="2:63" x14ac:dyDescent="0.6">
      <c r="B29" s="2"/>
      <c r="C29" s="2"/>
      <c r="D29" s="95"/>
      <c r="E29" s="95"/>
      <c r="F29" s="95"/>
      <c r="G29" s="95"/>
      <c r="H29" s="95"/>
      <c r="I29" s="95"/>
      <c r="J29" s="95"/>
      <c r="K29" s="128"/>
      <c r="L29" s="128"/>
      <c r="N29" s="2" t="s">
        <v>1277</v>
      </c>
      <c r="O29" s="441">
        <v>4.0000000000000001E-3</v>
      </c>
      <c r="P29" s="443">
        <f>ROUNDUP(P27+P27*$O$29,0)</f>
        <v>394765</v>
      </c>
      <c r="Q29" s="442">
        <f t="shared" ref="Q29:S29" si="93">ROUNDUP(Q27+Q27*$O$29,0)</f>
        <v>394741</v>
      </c>
      <c r="R29" s="443">
        <f t="shared" si="93"/>
        <v>394693</v>
      </c>
      <c r="S29" s="442">
        <f t="shared" si="93"/>
        <v>394597</v>
      </c>
      <c r="T29" s="8"/>
      <c r="U29" s="442">
        <f>ROUNDUP(U27+U27*$O$29,0)</f>
        <v>394597</v>
      </c>
      <c r="V29" s="443">
        <f t="shared" ref="V29:X29" si="94">ROUNDUP(V27+V27*$O$29,0)</f>
        <v>394693</v>
      </c>
      <c r="W29" s="442">
        <f t="shared" si="94"/>
        <v>394741</v>
      </c>
      <c r="X29" s="443">
        <f t="shared" si="94"/>
        <v>394765</v>
      </c>
      <c r="Y29"/>
      <c r="AB29" s="449"/>
      <c r="AG29" s="392"/>
      <c r="AH29" s="449"/>
      <c r="AM29" s="392"/>
      <c r="AN29" s="449"/>
      <c r="AS29" s="392"/>
      <c r="AT29" s="449"/>
      <c r="AY29" s="392"/>
    </row>
    <row r="30" spans="2:63" x14ac:dyDescent="0.6">
      <c r="B30" s="2"/>
      <c r="C30" s="2"/>
      <c r="D30" s="8"/>
      <c r="K30" s="122"/>
      <c r="L30" s="122"/>
      <c r="N30" s="2"/>
      <c r="O30" s="2"/>
      <c r="P30" s="437" t="str">
        <f>DEC2HEX(P29)</f>
        <v>6060D</v>
      </c>
      <c r="Q30" s="436" t="str">
        <f t="shared" ref="Q30" si="95">DEC2HEX(Q29)</f>
        <v>605F5</v>
      </c>
      <c r="R30" s="437" t="str">
        <f t="shared" ref="R30" si="96">DEC2HEX(R29)</f>
        <v>605C5</v>
      </c>
      <c r="S30" s="436" t="str">
        <f t="shared" ref="S30" si="97">DEC2HEX(S29)</f>
        <v>60565</v>
      </c>
      <c r="T30"/>
      <c r="U30" s="436" t="str">
        <f>DEC2HEX(U29)</f>
        <v>60565</v>
      </c>
      <c r="V30" s="437" t="str">
        <f t="shared" ref="V30" si="98">DEC2HEX(V29)</f>
        <v>605C5</v>
      </c>
      <c r="W30" s="436" t="str">
        <f t="shared" ref="W30" si="99">DEC2HEX(W29)</f>
        <v>605F5</v>
      </c>
      <c r="X30" s="437" t="str">
        <f t="shared" ref="X30" si="100">DEC2HEX(X29)</f>
        <v>6060D</v>
      </c>
      <c r="Y30"/>
      <c r="Z30" s="1" t="s">
        <v>1280</v>
      </c>
      <c r="AB30" s="581">
        <v>100</v>
      </c>
      <c r="AC30" s="572"/>
      <c r="AD30" s="572">
        <v>100</v>
      </c>
      <c r="AE30" s="572"/>
      <c r="AF30" s="572">
        <v>100</v>
      </c>
      <c r="AG30" s="573"/>
      <c r="AH30" s="581">
        <v>100</v>
      </c>
      <c r="AI30" s="572"/>
      <c r="AJ30" s="572">
        <v>100</v>
      </c>
      <c r="AK30" s="572"/>
      <c r="AL30" s="572">
        <v>100</v>
      </c>
      <c r="AM30" s="573"/>
      <c r="AN30" s="581">
        <v>100</v>
      </c>
      <c r="AO30" s="572"/>
      <c r="AP30" s="572">
        <v>100</v>
      </c>
      <c r="AQ30" s="572"/>
      <c r="AR30" s="572">
        <v>100</v>
      </c>
      <c r="AS30" s="573"/>
      <c r="AT30" s="581">
        <v>100</v>
      </c>
      <c r="AU30" s="572"/>
      <c r="AV30" s="572">
        <v>100</v>
      </c>
      <c r="AW30" s="572"/>
      <c r="AX30" s="572">
        <v>100</v>
      </c>
      <c r="AY30" s="573"/>
    </row>
    <row r="31" spans="2:63" x14ac:dyDescent="0.6">
      <c r="B31" s="130" t="s">
        <v>78</v>
      </c>
      <c r="C31" s="130" t="s">
        <v>5</v>
      </c>
      <c r="D31">
        <f>2^($D$20-D20)</f>
        <v>1</v>
      </c>
      <c r="E31">
        <f>2^($D$20-E20)</f>
        <v>1</v>
      </c>
      <c r="F31">
        <f>2^($D$20-F20)</f>
        <v>1</v>
      </c>
      <c r="G31">
        <f>2^($D$20-G20)</f>
        <v>1</v>
      </c>
      <c r="H31">
        <f>2^($D$20-H20)</f>
        <v>1</v>
      </c>
      <c r="I31">
        <f>2^(D20-I20)</f>
        <v>8</v>
      </c>
      <c r="J31">
        <f>2^(E20-J20)</f>
        <v>8</v>
      </c>
      <c r="K31" s="122">
        <f>2^(G20-K20)</f>
        <v>8</v>
      </c>
      <c r="L31" s="122">
        <f>2^(H20-L20)</f>
        <v>8</v>
      </c>
      <c r="M31"/>
      <c r="N31" s="2"/>
      <c r="O31" s="2"/>
      <c r="Q31" s="431"/>
      <c r="S31" s="431"/>
      <c r="T31"/>
      <c r="U31" s="431"/>
      <c r="W31" s="431"/>
      <c r="X31" s="114"/>
      <c r="Y31"/>
      <c r="Z31" s="1" t="s">
        <v>95</v>
      </c>
      <c r="AB31" s="581">
        <v>24</v>
      </c>
      <c r="AC31" s="572"/>
      <c r="AD31" s="572">
        <v>24</v>
      </c>
      <c r="AE31" s="572"/>
      <c r="AF31" s="572">
        <v>24</v>
      </c>
      <c r="AG31" s="573"/>
      <c r="AH31" s="581">
        <v>24</v>
      </c>
      <c r="AI31" s="572"/>
      <c r="AJ31" s="572">
        <v>24</v>
      </c>
      <c r="AK31" s="572"/>
      <c r="AL31" s="572">
        <v>24</v>
      </c>
      <c r="AM31" s="573"/>
      <c r="AN31" s="581">
        <v>24</v>
      </c>
      <c r="AO31" s="572"/>
      <c r="AP31" s="572">
        <v>24</v>
      </c>
      <c r="AQ31" s="572"/>
      <c r="AR31" s="572">
        <v>24</v>
      </c>
      <c r="AS31" s="573"/>
      <c r="AT31" s="581">
        <v>24</v>
      </c>
      <c r="AU31" s="572"/>
      <c r="AV31" s="572">
        <v>24</v>
      </c>
      <c r="AW31" s="572"/>
      <c r="AX31" s="572">
        <v>24</v>
      </c>
      <c r="AY31" s="573"/>
    </row>
    <row r="32" spans="2:63" x14ac:dyDescent="0.6">
      <c r="M32"/>
      <c r="N32" s="130" t="s">
        <v>78</v>
      </c>
      <c r="O32" s="130" t="s">
        <v>5</v>
      </c>
      <c r="P32" s="444">
        <f>2^($D$20-P21)</f>
        <v>1</v>
      </c>
      <c r="Q32" s="445">
        <v>2</v>
      </c>
      <c r="R32" s="444">
        <v>4</v>
      </c>
      <c r="S32" s="445">
        <v>8</v>
      </c>
      <c r="T32" s="444"/>
      <c r="U32" s="445">
        <f>S32</f>
        <v>8</v>
      </c>
      <c r="V32" s="444">
        <f>U32/2</f>
        <v>4</v>
      </c>
      <c r="W32" s="445">
        <f>V32/2</f>
        <v>2</v>
      </c>
      <c r="X32" s="444">
        <v>1</v>
      </c>
      <c r="Y32"/>
      <c r="Z32" s="1" t="s">
        <v>1283</v>
      </c>
      <c r="AB32" s="581">
        <v>1</v>
      </c>
      <c r="AC32" s="572"/>
      <c r="AD32" s="572">
        <v>1</v>
      </c>
      <c r="AE32" s="572"/>
      <c r="AF32" s="584">
        <v>2</v>
      </c>
      <c r="AG32" s="585"/>
      <c r="AH32" s="581">
        <v>2</v>
      </c>
      <c r="AI32" s="572"/>
      <c r="AJ32" s="572">
        <v>2</v>
      </c>
      <c r="AK32" s="572"/>
      <c r="AL32" s="584">
        <v>4</v>
      </c>
      <c r="AM32" s="585"/>
      <c r="AN32" s="581">
        <v>4</v>
      </c>
      <c r="AO32" s="572"/>
      <c r="AP32" s="572">
        <v>4</v>
      </c>
      <c r="AQ32" s="572"/>
      <c r="AR32" s="584">
        <v>8</v>
      </c>
      <c r="AS32" s="585"/>
      <c r="AT32" s="581">
        <v>8</v>
      </c>
      <c r="AU32" s="572"/>
      <c r="AV32" s="572">
        <v>8</v>
      </c>
      <c r="AW32" s="572"/>
      <c r="AX32" s="572">
        <v>8</v>
      </c>
      <c r="AY32" s="573"/>
    </row>
    <row r="33" spans="2:52" x14ac:dyDescent="0.6">
      <c r="M33"/>
      <c r="N33"/>
      <c r="O33"/>
      <c r="P33"/>
      <c r="Q33"/>
      <c r="R33"/>
      <c r="S33"/>
      <c r="T33"/>
      <c r="U33"/>
      <c r="V33"/>
      <c r="W33"/>
      <c r="X33"/>
      <c r="Y33"/>
      <c r="Z33" s="1" t="s">
        <v>1281</v>
      </c>
      <c r="AB33" s="581">
        <v>0</v>
      </c>
      <c r="AC33" s="572"/>
      <c r="AD33" s="572">
        <v>0</v>
      </c>
      <c r="AE33" s="572"/>
      <c r="AF33" s="572">
        <v>0</v>
      </c>
      <c r="AG33" s="573"/>
      <c r="AH33" s="581">
        <v>0</v>
      </c>
      <c r="AI33" s="572"/>
      <c r="AJ33" s="572">
        <v>0</v>
      </c>
      <c r="AK33" s="572"/>
      <c r="AL33" s="572">
        <v>0</v>
      </c>
      <c r="AM33" s="573"/>
      <c r="AN33" s="581">
        <v>0</v>
      </c>
      <c r="AO33" s="572"/>
      <c r="AP33" s="572">
        <v>0</v>
      </c>
      <c r="AQ33" s="572"/>
      <c r="AR33" s="572">
        <v>0</v>
      </c>
      <c r="AS33" s="573"/>
      <c r="AT33" s="581">
        <v>0</v>
      </c>
      <c r="AU33" s="572"/>
      <c r="AV33" s="572">
        <v>0</v>
      </c>
      <c r="AW33" s="572"/>
      <c r="AX33" s="572">
        <v>0</v>
      </c>
      <c r="AY33" s="573"/>
    </row>
    <row r="34" spans="2:52" s="114" customFormat="1" x14ac:dyDescent="0.6">
      <c r="B34" s="1"/>
      <c r="C34" s="6"/>
      <c r="D34"/>
      <c r="E34"/>
      <c r="F34"/>
      <c r="G34"/>
      <c r="H34"/>
      <c r="I34"/>
      <c r="J34"/>
      <c r="K34"/>
      <c r="L34"/>
      <c r="M34"/>
      <c r="N34" s="371" t="s">
        <v>1279</v>
      </c>
      <c r="O34" s="369"/>
      <c r="P34" s="3"/>
      <c r="Q34" s="3"/>
      <c r="R34" s="3"/>
      <c r="S34" s="3"/>
      <c r="T34" s="3"/>
      <c r="U34" s="3"/>
      <c r="V34" s="3"/>
      <c r="W34" s="3"/>
      <c r="X34" s="3"/>
      <c r="Y34"/>
      <c r="Z34" s="1" t="s">
        <v>49</v>
      </c>
      <c r="AA34" s="1"/>
      <c r="AB34" s="579">
        <f>Q29</f>
        <v>394741</v>
      </c>
      <c r="AC34" s="580"/>
      <c r="AD34" s="572"/>
      <c r="AE34" s="572"/>
      <c r="AF34" s="572"/>
      <c r="AG34" s="573"/>
      <c r="AH34" s="579">
        <f>R29</f>
        <v>394693</v>
      </c>
      <c r="AI34" s="580"/>
      <c r="AJ34" s="572"/>
      <c r="AK34" s="572"/>
      <c r="AL34" s="572"/>
      <c r="AM34" s="573"/>
      <c r="AN34" s="579">
        <f>S29</f>
        <v>394597</v>
      </c>
      <c r="AO34" s="580"/>
      <c r="AP34" s="572"/>
      <c r="AQ34" s="572"/>
      <c r="AR34" s="572"/>
      <c r="AS34" s="573"/>
      <c r="AT34" s="588"/>
      <c r="AU34" s="572"/>
      <c r="AV34" s="572"/>
      <c r="AW34" s="572"/>
      <c r="AX34" s="572"/>
      <c r="AY34" s="573"/>
    </row>
    <row r="35" spans="2:52" ht="17.25" thickBot="1" x14ac:dyDescent="0.65">
      <c r="M35"/>
      <c r="N35" s="110" t="s">
        <v>3</v>
      </c>
      <c r="O35" s="130" t="s">
        <v>4</v>
      </c>
      <c r="P35" s="439">
        <v>120</v>
      </c>
      <c r="Q35" s="438">
        <f>P35*2</f>
        <v>240</v>
      </c>
      <c r="R35" s="439">
        <f t="shared" ref="R35:S35" si="101">Q35*2</f>
        <v>480</v>
      </c>
      <c r="S35" s="438">
        <f t="shared" si="101"/>
        <v>960</v>
      </c>
      <c r="T35"/>
      <c r="U35" s="438">
        <f>S35</f>
        <v>960</v>
      </c>
      <c r="V35" s="439">
        <f>U35/2</f>
        <v>480</v>
      </c>
      <c r="W35" s="438">
        <f t="shared" ref="W35:X35" si="102">V35/2</f>
        <v>240</v>
      </c>
      <c r="X35" s="439">
        <f t="shared" si="102"/>
        <v>120</v>
      </c>
      <c r="Y35"/>
      <c r="Z35" s="1" t="s">
        <v>1282</v>
      </c>
      <c r="AB35" s="574"/>
      <c r="AC35" s="575"/>
      <c r="AD35" s="576">
        <v>5</v>
      </c>
      <c r="AE35" s="577"/>
      <c r="AF35" s="576">
        <v>5</v>
      </c>
      <c r="AG35" s="578"/>
      <c r="AH35" s="574"/>
      <c r="AI35" s="575"/>
      <c r="AJ35" s="576">
        <v>5</v>
      </c>
      <c r="AK35" s="577"/>
      <c r="AL35" s="576">
        <v>5</v>
      </c>
      <c r="AM35" s="578"/>
      <c r="AN35" s="574"/>
      <c r="AO35" s="575"/>
      <c r="AP35" s="576">
        <v>5</v>
      </c>
      <c r="AQ35" s="577"/>
      <c r="AR35" s="576">
        <v>5</v>
      </c>
      <c r="AS35" s="578"/>
      <c r="AT35" s="574"/>
      <c r="AU35" s="575"/>
      <c r="AV35" s="586"/>
      <c r="AW35" s="575"/>
      <c r="AX35" s="586"/>
      <c r="AY35" s="587"/>
    </row>
    <row r="36" spans="2:52" ht="17.649999999999999" thickTop="1" thickBot="1" x14ac:dyDescent="0.65">
      <c r="M36"/>
      <c r="N36" s="110"/>
      <c r="O36" s="130" t="s">
        <v>1</v>
      </c>
      <c r="P36" s="113">
        <f>1/P35*1000000</f>
        <v>8333.3333333333339</v>
      </c>
      <c r="Q36" s="432">
        <f t="shared" ref="Q36" si="103">1/Q35*1000000</f>
        <v>4166.666666666667</v>
      </c>
      <c r="R36" s="113">
        <f t="shared" ref="R36" si="104">1/R35*1000000</f>
        <v>2083.3333333333335</v>
      </c>
      <c r="S36" s="432">
        <f t="shared" ref="S36" si="105">1/S35*1000000</f>
        <v>1041.6666666666667</v>
      </c>
      <c r="T36" s="113"/>
      <c r="U36" s="432">
        <f t="shared" ref="U36" si="106">1/U35*1000000</f>
        <v>1041.6666666666667</v>
      </c>
      <c r="V36" s="113">
        <f t="shared" ref="V36" si="107">1/V35*1000000</f>
        <v>2083.3333333333335</v>
      </c>
      <c r="W36" s="432">
        <f t="shared" ref="W36" si="108">1/W35*1000000</f>
        <v>4166.666666666667</v>
      </c>
      <c r="X36" s="113">
        <f t="shared" ref="X36" si="109">1/X35*1000000</f>
        <v>8333.3333333333339</v>
      </c>
      <c r="Y36"/>
      <c r="AZ36" s="8"/>
    </row>
    <row r="37" spans="2:52" ht="17.25" thickTop="1" x14ac:dyDescent="0.6">
      <c r="M37"/>
      <c r="N37" s="2" t="s">
        <v>99</v>
      </c>
      <c r="O37" s="130" t="s">
        <v>100</v>
      </c>
      <c r="P37" s="120">
        <v>14</v>
      </c>
      <c r="Q37" s="431">
        <f>P37-1</f>
        <v>13</v>
      </c>
      <c r="R37" s="114">
        <f t="shared" ref="R37:S37" si="110">Q37-1</f>
        <v>12</v>
      </c>
      <c r="S37" s="431">
        <f t="shared" si="110"/>
        <v>11</v>
      </c>
      <c r="T37"/>
      <c r="U37" s="433">
        <f>S37</f>
        <v>11</v>
      </c>
      <c r="V37" s="114">
        <f>U37+1</f>
        <v>12</v>
      </c>
      <c r="W37" s="431">
        <f t="shared" ref="W37:X37" si="111">V37+1</f>
        <v>13</v>
      </c>
      <c r="X37" s="114">
        <f t="shared" si="111"/>
        <v>14</v>
      </c>
      <c r="Y37"/>
      <c r="AB37" s="447"/>
      <c r="AC37" s="388"/>
      <c r="AD37" s="388"/>
      <c r="AE37" s="390"/>
      <c r="AF37" s="447"/>
      <c r="AG37" s="388"/>
      <c r="AH37" s="388"/>
      <c r="AI37" s="390"/>
      <c r="AJ37" s="447"/>
      <c r="AK37" s="388"/>
      <c r="AL37" s="388"/>
      <c r="AM37" s="390"/>
      <c r="AN37" s="447"/>
      <c r="AO37" s="388"/>
      <c r="AP37" s="388"/>
      <c r="AQ37" s="388"/>
      <c r="AR37" s="388"/>
      <c r="AS37" s="388"/>
      <c r="AT37" s="388"/>
      <c r="AU37" s="388"/>
      <c r="AV37" s="388"/>
      <c r="AW37" s="388"/>
      <c r="AX37" s="388"/>
      <c r="AY37" s="390"/>
    </row>
    <row r="38" spans="2:52" x14ac:dyDescent="0.6">
      <c r="M38"/>
      <c r="N38" s="110"/>
      <c r="O38" s="133" t="s">
        <v>5</v>
      </c>
      <c r="P38" s="114">
        <f>2^P37-1</f>
        <v>16383</v>
      </c>
      <c r="Q38" s="431">
        <f t="shared" ref="Q38" si="112">2^Q37-1</f>
        <v>8191</v>
      </c>
      <c r="R38" s="114">
        <f t="shared" ref="R38" si="113">2^R37-1</f>
        <v>4095</v>
      </c>
      <c r="S38" s="431">
        <f t="shared" ref="S38" si="114">2^S37-1</f>
        <v>2047</v>
      </c>
      <c r="T38"/>
      <c r="U38" s="431">
        <f>2^U37-1</f>
        <v>2047</v>
      </c>
      <c r="V38" s="114">
        <f t="shared" ref="V38" si="115">2^V37-1</f>
        <v>4095</v>
      </c>
      <c r="W38" s="431">
        <f t="shared" ref="W38" si="116">2^W37-1</f>
        <v>8191</v>
      </c>
      <c r="X38" s="114">
        <f t="shared" ref="X38" si="117">2^X37-1</f>
        <v>16383</v>
      </c>
      <c r="Y38"/>
      <c r="Z38" s="1" t="s">
        <v>51</v>
      </c>
      <c r="AB38" s="448"/>
      <c r="AC38" s="26"/>
      <c r="AD38" s="22"/>
      <c r="AE38" s="446"/>
      <c r="AF38" s="448"/>
      <c r="AG38" s="26"/>
      <c r="AH38" s="22"/>
      <c r="AI38" s="446"/>
      <c r="AJ38" s="448"/>
      <c r="AK38" s="26"/>
      <c r="AL38" s="22"/>
      <c r="AM38" s="446"/>
      <c r="AN38" s="448"/>
      <c r="AO38" s="26"/>
      <c r="AP38" s="22"/>
      <c r="AQ38" s="26"/>
      <c r="AR38" s="22"/>
      <c r="AS38" s="26"/>
      <c r="AT38" s="22"/>
      <c r="AU38" s="26"/>
      <c r="AV38" s="22"/>
      <c r="AW38" s="26"/>
      <c r="AX38" s="22"/>
      <c r="AY38" s="446"/>
    </row>
    <row r="39" spans="2:52" x14ac:dyDescent="0.6">
      <c r="M39"/>
      <c r="N39" s="110"/>
      <c r="O39" s="134" t="s">
        <v>1</v>
      </c>
      <c r="P39" s="115">
        <f>P36/P38</f>
        <v>0.50865734806405016</v>
      </c>
      <c r="Q39" s="434">
        <f t="shared" ref="Q39" si="118">Q36/Q38</f>
        <v>0.50868839783502218</v>
      </c>
      <c r="R39" s="115">
        <f t="shared" ref="R39" si="119">R36/R38</f>
        <v>0.50875050875050876</v>
      </c>
      <c r="S39" s="434">
        <f t="shared" ref="S39" si="120">S36/S38</f>
        <v>0.50887477609509857</v>
      </c>
      <c r="T39"/>
      <c r="U39" s="434">
        <f>U36/U38</f>
        <v>0.50887477609509857</v>
      </c>
      <c r="V39" s="115">
        <f t="shared" ref="V39" si="121">V36/V38</f>
        <v>0.50875050875050876</v>
      </c>
      <c r="W39" s="434">
        <f t="shared" ref="W39" si="122">W36/W38</f>
        <v>0.50868839783502218</v>
      </c>
      <c r="X39" s="115">
        <f t="shared" ref="X39" si="123">X36/X38</f>
        <v>0.50865734806405016</v>
      </c>
      <c r="Y39"/>
      <c r="AB39" s="449"/>
      <c r="AE39" s="392"/>
      <c r="AF39" s="449"/>
      <c r="AI39" s="392"/>
      <c r="AJ39" s="449"/>
      <c r="AM39" s="392"/>
      <c r="AN39" s="449"/>
      <c r="AY39" s="392"/>
    </row>
    <row r="40" spans="2:52" x14ac:dyDescent="0.6">
      <c r="M40"/>
      <c r="N40" s="110" t="s">
        <v>95</v>
      </c>
      <c r="O40" s="130" t="s">
        <v>5</v>
      </c>
      <c r="P40" s="439">
        <v>20</v>
      </c>
      <c r="Q40" s="438">
        <f>P40</f>
        <v>20</v>
      </c>
      <c r="R40" s="439">
        <f>Q40</f>
        <v>20</v>
      </c>
      <c r="S40" s="438">
        <f>R40</f>
        <v>20</v>
      </c>
      <c r="T40"/>
      <c r="U40" s="438">
        <f>S40</f>
        <v>20</v>
      </c>
      <c r="V40" s="439">
        <f>U40</f>
        <v>20</v>
      </c>
      <c r="W40" s="438">
        <f>V40</f>
        <v>20</v>
      </c>
      <c r="X40" s="439">
        <f>W40</f>
        <v>20</v>
      </c>
      <c r="Y40"/>
      <c r="Z40" s="1" t="s">
        <v>1280</v>
      </c>
      <c r="AB40" s="581">
        <v>100</v>
      </c>
      <c r="AC40" s="572"/>
      <c r="AD40" s="572">
        <v>100</v>
      </c>
      <c r="AE40" s="573"/>
      <c r="AF40" s="581">
        <v>100</v>
      </c>
      <c r="AG40" s="572"/>
      <c r="AH40" s="572">
        <v>100</v>
      </c>
      <c r="AI40" s="573"/>
      <c r="AJ40" s="581">
        <v>100</v>
      </c>
      <c r="AK40" s="572"/>
      <c r="AL40" s="572">
        <v>100</v>
      </c>
      <c r="AM40" s="573"/>
      <c r="AN40" s="581">
        <v>100</v>
      </c>
      <c r="AO40" s="572"/>
      <c r="AP40" s="572">
        <v>100</v>
      </c>
      <c r="AQ40" s="572"/>
      <c r="AR40" s="572">
        <v>100</v>
      </c>
      <c r="AS40" s="572"/>
      <c r="AT40" s="572">
        <v>100</v>
      </c>
      <c r="AU40" s="572"/>
      <c r="AV40" s="572">
        <v>100</v>
      </c>
      <c r="AW40" s="572"/>
      <c r="AX40" s="572">
        <v>100</v>
      </c>
      <c r="AY40" s="573"/>
    </row>
    <row r="41" spans="2:52" x14ac:dyDescent="0.6">
      <c r="M41"/>
      <c r="N41" s="110" t="s">
        <v>2</v>
      </c>
      <c r="O41" s="130" t="s">
        <v>0</v>
      </c>
      <c r="P41" s="114">
        <f>1/P42</f>
        <v>39.319200000000002</v>
      </c>
      <c r="Q41" s="431">
        <f>1/Q42</f>
        <v>39.316800000000001</v>
      </c>
      <c r="R41" s="114">
        <f t="shared" ref="R41:X41" si="124">1/R42</f>
        <v>39.311999999999998</v>
      </c>
      <c r="S41" s="431">
        <f t="shared" si="124"/>
        <v>39.302399999999992</v>
      </c>
      <c r="T41"/>
      <c r="U41" s="431">
        <f>1/U42</f>
        <v>39.302399999999992</v>
      </c>
      <c r="V41" s="114">
        <f t="shared" si="124"/>
        <v>39.311999999999998</v>
      </c>
      <c r="W41" s="431">
        <f t="shared" si="124"/>
        <v>39.316800000000001</v>
      </c>
      <c r="X41" s="114">
        <f t="shared" si="124"/>
        <v>39.319200000000002</v>
      </c>
      <c r="Y41"/>
      <c r="Z41" s="1" t="s">
        <v>95</v>
      </c>
      <c r="AB41" s="581">
        <v>24</v>
      </c>
      <c r="AC41" s="572"/>
      <c r="AD41" s="572">
        <v>24</v>
      </c>
      <c r="AE41" s="573"/>
      <c r="AF41" s="581">
        <v>24</v>
      </c>
      <c r="AG41" s="572"/>
      <c r="AH41" s="572">
        <v>24</v>
      </c>
      <c r="AI41" s="573"/>
      <c r="AJ41" s="581">
        <v>24</v>
      </c>
      <c r="AK41" s="572"/>
      <c r="AL41" s="572">
        <v>24</v>
      </c>
      <c r="AM41" s="573"/>
      <c r="AN41" s="581">
        <v>24</v>
      </c>
      <c r="AO41" s="572"/>
      <c r="AP41" s="572">
        <v>24</v>
      </c>
      <c r="AQ41" s="572"/>
      <c r="AR41" s="572">
        <v>24</v>
      </c>
      <c r="AS41" s="572"/>
      <c r="AT41" s="572">
        <v>24</v>
      </c>
      <c r="AU41" s="572"/>
      <c r="AV41" s="572">
        <v>24</v>
      </c>
      <c r="AW41" s="572"/>
      <c r="AX41" s="572">
        <v>24</v>
      </c>
      <c r="AY41" s="573"/>
    </row>
    <row r="42" spans="2:52" x14ac:dyDescent="0.6">
      <c r="M42"/>
      <c r="N42" s="110"/>
      <c r="O42" s="130" t="s">
        <v>1</v>
      </c>
      <c r="P42" s="115">
        <f>P36/P38/P40</f>
        <v>2.5432867403202507E-2</v>
      </c>
      <c r="Q42" s="434">
        <f>(Q36*Q48)/(Q38*Q48)/Q40</f>
        <v>2.543441989175111E-2</v>
      </c>
      <c r="R42" s="115">
        <f t="shared" ref="R42:S42" si="125">(R36*R48)/(R38*R48)/R40</f>
        <v>2.5437525437525439E-2</v>
      </c>
      <c r="S42" s="434">
        <f t="shared" si="125"/>
        <v>2.544373880475493E-2</v>
      </c>
      <c r="T42"/>
      <c r="U42" s="434">
        <f t="shared" ref="U42:X42" si="126">(U36*U48)/(U38*U48)/U40</f>
        <v>2.544373880475493E-2</v>
      </c>
      <c r="V42" s="115">
        <f t="shared" si="126"/>
        <v>2.5437525437525439E-2</v>
      </c>
      <c r="W42" s="434">
        <f t="shared" si="126"/>
        <v>2.543441989175111E-2</v>
      </c>
      <c r="X42" s="115">
        <f t="shared" si="126"/>
        <v>2.5432867403202507E-2</v>
      </c>
      <c r="Y42"/>
      <c r="Z42" s="1" t="s">
        <v>1283</v>
      </c>
      <c r="AB42" s="581">
        <v>1</v>
      </c>
      <c r="AC42" s="572"/>
      <c r="AD42" s="584">
        <v>2</v>
      </c>
      <c r="AE42" s="585"/>
      <c r="AF42" s="581">
        <v>2</v>
      </c>
      <c r="AG42" s="572"/>
      <c r="AH42" s="584">
        <v>4</v>
      </c>
      <c r="AI42" s="585"/>
      <c r="AJ42" s="581">
        <v>4</v>
      </c>
      <c r="AK42" s="572"/>
      <c r="AL42" s="584">
        <v>8</v>
      </c>
      <c r="AM42" s="585"/>
      <c r="AN42" s="581">
        <v>8</v>
      </c>
      <c r="AO42" s="572"/>
      <c r="AP42" s="572">
        <v>8</v>
      </c>
      <c r="AQ42" s="572"/>
      <c r="AR42" s="572">
        <v>8</v>
      </c>
      <c r="AS42" s="572"/>
      <c r="AT42" s="572">
        <v>8</v>
      </c>
      <c r="AU42" s="572"/>
      <c r="AV42" s="572">
        <v>8</v>
      </c>
      <c r="AW42" s="572"/>
      <c r="AX42" s="572">
        <v>8</v>
      </c>
      <c r="AY42" s="573"/>
    </row>
    <row r="43" spans="2:52" x14ac:dyDescent="0.6">
      <c r="M43"/>
      <c r="N43" s="2" t="s">
        <v>49</v>
      </c>
      <c r="O43" s="2" t="s">
        <v>5</v>
      </c>
      <c r="P43" s="8">
        <f>P36/P42</f>
        <v>327660</v>
      </c>
      <c r="Q43" s="435">
        <f>Q36*Q48/Q42</f>
        <v>327640</v>
      </c>
      <c r="R43" s="8">
        <f>R36*R48/R42</f>
        <v>327600</v>
      </c>
      <c r="S43" s="435">
        <f t="shared" ref="S43" si="127">S36*S48/S42</f>
        <v>327520</v>
      </c>
      <c r="T43"/>
      <c r="U43" s="435">
        <f t="shared" ref="U43" si="128">U36*U48/U42</f>
        <v>327520</v>
      </c>
      <c r="V43" s="8">
        <f t="shared" ref="V43" si="129">V36*V48/V42</f>
        <v>327600</v>
      </c>
      <c r="W43" s="435">
        <f t="shared" ref="W43" si="130">W36*W48/W42</f>
        <v>327640</v>
      </c>
      <c r="X43" s="8">
        <f t="shared" ref="X43" si="131">X36*X48/X42</f>
        <v>327660</v>
      </c>
      <c r="Y43"/>
      <c r="Z43" s="1" t="s">
        <v>1281</v>
      </c>
      <c r="AB43" s="581">
        <v>0</v>
      </c>
      <c r="AC43" s="572"/>
      <c r="AD43" s="572">
        <v>0</v>
      </c>
      <c r="AE43" s="573"/>
      <c r="AF43" s="581">
        <v>0</v>
      </c>
      <c r="AG43" s="572"/>
      <c r="AH43" s="572">
        <v>0</v>
      </c>
      <c r="AI43" s="573"/>
      <c r="AJ43" s="581">
        <v>0</v>
      </c>
      <c r="AK43" s="572"/>
      <c r="AL43" s="572">
        <v>0</v>
      </c>
      <c r="AM43" s="573"/>
      <c r="AN43" s="581">
        <v>0</v>
      </c>
      <c r="AO43" s="572"/>
      <c r="AP43" s="572">
        <v>0</v>
      </c>
      <c r="AQ43" s="572"/>
      <c r="AR43" s="572">
        <v>0</v>
      </c>
      <c r="AS43" s="572"/>
      <c r="AT43" s="572">
        <v>0</v>
      </c>
      <c r="AU43" s="572"/>
      <c r="AV43" s="572">
        <v>0</v>
      </c>
      <c r="AW43" s="572"/>
      <c r="AX43" s="572">
        <v>0</v>
      </c>
      <c r="AY43" s="573"/>
    </row>
    <row r="44" spans="2:52" x14ac:dyDescent="0.6">
      <c r="M44"/>
      <c r="N44" s="2"/>
      <c r="O44" s="2" t="s">
        <v>50</v>
      </c>
      <c r="P44" s="1" t="str">
        <f>DEC2HEX(P43)</f>
        <v>4FFEC</v>
      </c>
      <c r="Q44" s="372" t="str">
        <f t="shared" ref="Q44" si="132">DEC2HEX(Q43)</f>
        <v>4FFD8</v>
      </c>
      <c r="R44" s="1" t="str">
        <f t="shared" ref="R44" si="133">DEC2HEX(R43)</f>
        <v>4FFB0</v>
      </c>
      <c r="S44" s="372" t="str">
        <f t="shared" ref="S44" si="134">DEC2HEX(S43)</f>
        <v>4FF60</v>
      </c>
      <c r="T44"/>
      <c r="U44" s="372" t="str">
        <f>DEC2HEX(U43)</f>
        <v>4FF60</v>
      </c>
      <c r="V44" s="1" t="str">
        <f t="shared" ref="V44" si="135">DEC2HEX(V43)</f>
        <v>4FFB0</v>
      </c>
      <c r="W44" s="372" t="str">
        <f t="shared" ref="W44" si="136">DEC2HEX(W43)</f>
        <v>4FFD8</v>
      </c>
      <c r="X44" s="1" t="str">
        <f t="shared" ref="X44" si="137">DEC2HEX(X43)</f>
        <v>4FFEC</v>
      </c>
      <c r="Y44"/>
      <c r="Z44" s="1" t="s">
        <v>49</v>
      </c>
      <c r="AB44" s="588">
        <f>P29</f>
        <v>394765</v>
      </c>
      <c r="AC44" s="572"/>
      <c r="AD44" s="572"/>
      <c r="AE44" s="573"/>
      <c r="AF44" s="588"/>
      <c r="AG44" s="572"/>
      <c r="AH44" s="572"/>
      <c r="AI44" s="573"/>
      <c r="AJ44" s="588"/>
      <c r="AK44" s="572"/>
      <c r="AL44" s="572"/>
      <c r="AM44" s="573"/>
      <c r="AN44" s="589">
        <f>P29-($P$29-$S$29)/4</f>
        <v>394723</v>
      </c>
      <c r="AO44" s="584"/>
      <c r="AP44" s="590">
        <f>AN44-($P$29-$S$29)/4</f>
        <v>394681</v>
      </c>
      <c r="AQ44" s="584"/>
      <c r="AR44" s="590">
        <f t="shared" ref="AR44" si="138">AP44-($P$29-$S$29)/4</f>
        <v>394639</v>
      </c>
      <c r="AS44" s="584"/>
      <c r="AT44" s="590">
        <f t="shared" ref="AT44" si="139">AR44-($P$29-$S$29)/4</f>
        <v>394597</v>
      </c>
      <c r="AU44" s="584"/>
      <c r="AV44" s="572"/>
      <c r="AW44" s="572"/>
      <c r="AX44" s="572"/>
      <c r="AY44" s="573"/>
    </row>
    <row r="45" spans="2:52" ht="17.25" thickBot="1" x14ac:dyDescent="0.65">
      <c r="M45"/>
      <c r="N45" s="2" t="s">
        <v>1277</v>
      </c>
      <c r="O45" s="441">
        <v>4.0000000000000001E-3</v>
      </c>
      <c r="P45" s="443">
        <f>ROUNDUP(P43+P43*$O$29,0)</f>
        <v>328971</v>
      </c>
      <c r="Q45" s="442">
        <f t="shared" ref="Q45:S45" si="140">ROUNDUP(Q43+Q43*$O$29,0)</f>
        <v>328951</v>
      </c>
      <c r="R45" s="443">
        <f t="shared" si="140"/>
        <v>328911</v>
      </c>
      <c r="S45" s="442">
        <f t="shared" si="140"/>
        <v>328831</v>
      </c>
      <c r="T45"/>
      <c r="U45" s="442">
        <f>ROUNDUP(U43+U43*$O$29,0)</f>
        <v>328831</v>
      </c>
      <c r="V45" s="443">
        <f t="shared" ref="V45:X45" si="141">ROUNDUP(V43+V43*$O$29,0)</f>
        <v>328911</v>
      </c>
      <c r="W45" s="442">
        <f t="shared" si="141"/>
        <v>328951</v>
      </c>
      <c r="X45" s="443">
        <f t="shared" si="141"/>
        <v>328971</v>
      </c>
      <c r="Y45"/>
      <c r="Z45" s="1" t="s">
        <v>1282</v>
      </c>
      <c r="AB45" s="574"/>
      <c r="AC45" s="575"/>
      <c r="AD45" s="576">
        <v>10</v>
      </c>
      <c r="AE45" s="578"/>
      <c r="AF45" s="574"/>
      <c r="AG45" s="575"/>
      <c r="AH45" s="576">
        <v>10</v>
      </c>
      <c r="AI45" s="578"/>
      <c r="AJ45" s="574"/>
      <c r="AK45" s="575"/>
      <c r="AL45" s="576">
        <v>10</v>
      </c>
      <c r="AM45" s="578"/>
      <c r="AN45" s="591">
        <v>10</v>
      </c>
      <c r="AO45" s="577"/>
      <c r="AP45" s="576">
        <v>10</v>
      </c>
      <c r="AQ45" s="577"/>
      <c r="AR45" s="576">
        <v>10</v>
      </c>
      <c r="AS45" s="577"/>
      <c r="AT45" s="586"/>
      <c r="AU45" s="575"/>
      <c r="AV45" s="586"/>
      <c r="AW45" s="575"/>
      <c r="AX45" s="586"/>
      <c r="AY45" s="587"/>
    </row>
    <row r="46" spans="2:52" ht="17.649999999999999" thickTop="1" thickBot="1" x14ac:dyDescent="0.65">
      <c r="M46"/>
      <c r="N46" s="2"/>
      <c r="O46" s="2"/>
      <c r="P46" s="437" t="str">
        <f>DEC2HEX(P45)</f>
        <v>5050B</v>
      </c>
      <c r="Q46" s="436" t="str">
        <f t="shared" ref="Q46" si="142">DEC2HEX(Q45)</f>
        <v>504F7</v>
      </c>
      <c r="R46" s="437" t="str">
        <f t="shared" ref="R46" si="143">DEC2HEX(R45)</f>
        <v>504CF</v>
      </c>
      <c r="S46" s="436" t="str">
        <f t="shared" ref="S46" si="144">DEC2HEX(S45)</f>
        <v>5047F</v>
      </c>
      <c r="T46"/>
      <c r="U46" s="436" t="str">
        <f>DEC2HEX(U45)</f>
        <v>5047F</v>
      </c>
      <c r="V46" s="437" t="str">
        <f t="shared" ref="V46" si="145">DEC2HEX(V45)</f>
        <v>504CF</v>
      </c>
      <c r="W46" s="436" t="str">
        <f t="shared" ref="W46" si="146">DEC2HEX(W45)</f>
        <v>504F7</v>
      </c>
      <c r="X46" s="437" t="str">
        <f t="shared" ref="X46" si="147">DEC2HEX(X45)</f>
        <v>5050B</v>
      </c>
      <c r="Y46"/>
    </row>
    <row r="47" spans="2:52" ht="17.25" thickTop="1" x14ac:dyDescent="0.6">
      <c r="M47"/>
      <c r="N47" s="2"/>
      <c r="O47" s="2"/>
      <c r="Q47" s="431"/>
      <c r="S47" s="431"/>
      <c r="T47"/>
      <c r="U47" s="431"/>
      <c r="W47" s="431"/>
      <c r="X47" s="114"/>
      <c r="Y47"/>
      <c r="AB47" s="447"/>
      <c r="AC47" s="388"/>
      <c r="AD47" s="388"/>
      <c r="AE47" s="388"/>
      <c r="AF47" s="388"/>
      <c r="AG47" s="390"/>
      <c r="AH47" s="447"/>
      <c r="AI47" s="388"/>
      <c r="AJ47" s="388"/>
      <c r="AK47" s="388"/>
      <c r="AL47" s="388"/>
      <c r="AM47" s="390"/>
      <c r="AN47" s="447"/>
      <c r="AO47" s="388"/>
      <c r="AP47" s="388"/>
      <c r="AQ47" s="388"/>
      <c r="AR47" s="388"/>
      <c r="AS47" s="390"/>
      <c r="AT47" s="447"/>
      <c r="AU47" s="388"/>
      <c r="AV47" s="388"/>
      <c r="AW47" s="388"/>
      <c r="AX47" s="388"/>
      <c r="AY47" s="390"/>
    </row>
    <row r="48" spans="2:52" x14ac:dyDescent="0.6">
      <c r="M48"/>
      <c r="N48" s="130" t="s">
        <v>78</v>
      </c>
      <c r="O48" s="130" t="s">
        <v>5</v>
      </c>
      <c r="P48" s="444">
        <f>2^($D$20-P37)</f>
        <v>1</v>
      </c>
      <c r="Q48" s="445">
        <v>2</v>
      </c>
      <c r="R48" s="444">
        <v>4</v>
      </c>
      <c r="S48" s="445">
        <v>8</v>
      </c>
      <c r="T48" s="444"/>
      <c r="U48" s="445">
        <f>S48</f>
        <v>8</v>
      </c>
      <c r="V48" s="444">
        <f>U48/2</f>
        <v>4</v>
      </c>
      <c r="W48" s="445">
        <f>V48/2</f>
        <v>2</v>
      </c>
      <c r="X48" s="444">
        <v>1</v>
      </c>
      <c r="Y48"/>
      <c r="Z48" s="1" t="s">
        <v>51</v>
      </c>
      <c r="AB48" s="448"/>
      <c r="AC48" s="26"/>
      <c r="AD48" s="22"/>
      <c r="AE48" s="26"/>
      <c r="AF48" s="22"/>
      <c r="AG48" s="446"/>
      <c r="AH48" s="448"/>
      <c r="AI48" s="26"/>
      <c r="AJ48" s="22"/>
      <c r="AK48" s="26"/>
      <c r="AL48" s="22"/>
      <c r="AM48" s="446"/>
      <c r="AN48" s="448"/>
      <c r="AO48" s="26"/>
      <c r="AP48" s="22"/>
      <c r="AQ48" s="26"/>
      <c r="AR48" s="22"/>
      <c r="AS48" s="446"/>
      <c r="AT48" s="448"/>
      <c r="AU48" s="26"/>
      <c r="AV48" s="22"/>
      <c r="AW48" s="26"/>
      <c r="AX48" s="22"/>
      <c r="AY48" s="446"/>
    </row>
    <row r="49" spans="13:51" x14ac:dyDescent="0.6">
      <c r="M49"/>
      <c r="N49"/>
      <c r="O49"/>
      <c r="P49"/>
      <c r="Q49"/>
      <c r="R49"/>
      <c r="S49"/>
      <c r="T49"/>
      <c r="U49"/>
      <c r="V49"/>
      <c r="W49"/>
      <c r="X49"/>
      <c r="Y49"/>
      <c r="AB49" s="449"/>
      <c r="AG49" s="392"/>
      <c r="AH49" s="449"/>
      <c r="AM49" s="392"/>
      <c r="AN49" s="449"/>
      <c r="AS49" s="392"/>
      <c r="AT49" s="449"/>
      <c r="AY49" s="392"/>
    </row>
    <row r="50" spans="13:51" x14ac:dyDescent="0.6">
      <c r="Z50" s="1" t="s">
        <v>1280</v>
      </c>
      <c r="AB50" s="581">
        <v>100</v>
      </c>
      <c r="AC50" s="572"/>
      <c r="AD50" s="572">
        <v>100</v>
      </c>
      <c r="AE50" s="572"/>
      <c r="AF50" s="572">
        <v>100</v>
      </c>
      <c r="AG50" s="573"/>
      <c r="AH50" s="581">
        <v>100</v>
      </c>
      <c r="AI50" s="572"/>
      <c r="AJ50" s="572">
        <v>100</v>
      </c>
      <c r="AK50" s="572"/>
      <c r="AL50" s="572">
        <v>100</v>
      </c>
      <c r="AM50" s="573"/>
      <c r="AN50" s="581">
        <v>100</v>
      </c>
      <c r="AO50" s="572"/>
      <c r="AP50" s="572">
        <v>100</v>
      </c>
      <c r="AQ50" s="572"/>
      <c r="AR50" s="572">
        <v>100</v>
      </c>
      <c r="AS50" s="573"/>
      <c r="AT50" s="581">
        <v>100</v>
      </c>
      <c r="AU50" s="572"/>
      <c r="AV50" s="572">
        <v>100</v>
      </c>
      <c r="AW50" s="572"/>
      <c r="AX50" s="572">
        <v>100</v>
      </c>
      <c r="AY50" s="573"/>
    </row>
    <row r="51" spans="13:51" x14ac:dyDescent="0.6">
      <c r="Z51" s="1" t="s">
        <v>95</v>
      </c>
      <c r="AB51" s="581">
        <v>24</v>
      </c>
      <c r="AC51" s="572"/>
      <c r="AD51" s="572">
        <v>24</v>
      </c>
      <c r="AE51" s="572"/>
      <c r="AF51" s="572">
        <v>24</v>
      </c>
      <c r="AG51" s="573"/>
      <c r="AH51" s="581">
        <v>24</v>
      </c>
      <c r="AI51" s="572"/>
      <c r="AJ51" s="572">
        <v>24</v>
      </c>
      <c r="AK51" s="572"/>
      <c r="AL51" s="572">
        <v>24</v>
      </c>
      <c r="AM51" s="573"/>
      <c r="AN51" s="581">
        <v>24</v>
      </c>
      <c r="AO51" s="572"/>
      <c r="AP51" s="572">
        <v>24</v>
      </c>
      <c r="AQ51" s="572"/>
      <c r="AR51" s="572">
        <v>24</v>
      </c>
      <c r="AS51" s="573"/>
      <c r="AT51" s="581">
        <v>24</v>
      </c>
      <c r="AU51" s="572"/>
      <c r="AV51" s="572">
        <v>24</v>
      </c>
      <c r="AW51" s="572"/>
      <c r="AX51" s="572">
        <v>24</v>
      </c>
      <c r="AY51" s="573"/>
    </row>
    <row r="52" spans="13:51" x14ac:dyDescent="0.6">
      <c r="Z52" s="1" t="s">
        <v>1283</v>
      </c>
      <c r="AB52" s="581">
        <v>8</v>
      </c>
      <c r="AC52" s="572"/>
      <c r="AD52" s="572">
        <v>8</v>
      </c>
      <c r="AE52" s="572"/>
      <c r="AF52" s="572">
        <v>8</v>
      </c>
      <c r="AG52" s="573"/>
      <c r="AH52" s="581">
        <v>4</v>
      </c>
      <c r="AI52" s="572"/>
      <c r="AJ52" s="572">
        <v>4</v>
      </c>
      <c r="AK52" s="572"/>
      <c r="AL52" s="584">
        <v>8</v>
      </c>
      <c r="AM52" s="585"/>
      <c r="AN52" s="581">
        <v>2</v>
      </c>
      <c r="AO52" s="572"/>
      <c r="AP52" s="572">
        <v>2</v>
      </c>
      <c r="AQ52" s="572"/>
      <c r="AR52" s="584">
        <v>4</v>
      </c>
      <c r="AS52" s="585"/>
      <c r="AT52" s="581">
        <v>1</v>
      </c>
      <c r="AU52" s="572"/>
      <c r="AV52" s="572">
        <v>1</v>
      </c>
      <c r="AW52" s="572"/>
      <c r="AX52" s="584">
        <v>2</v>
      </c>
      <c r="AY52" s="585"/>
    </row>
    <row r="53" spans="13:51" x14ac:dyDescent="0.6">
      <c r="Z53" s="1" t="s">
        <v>1281</v>
      </c>
      <c r="AB53" s="581">
        <v>0</v>
      </c>
      <c r="AC53" s="572"/>
      <c r="AD53" s="572">
        <v>0</v>
      </c>
      <c r="AE53" s="572"/>
      <c r="AF53" s="572">
        <v>0</v>
      </c>
      <c r="AG53" s="573"/>
      <c r="AH53" s="581">
        <v>0</v>
      </c>
      <c r="AI53" s="572"/>
      <c r="AJ53" s="572">
        <v>0</v>
      </c>
      <c r="AK53" s="572"/>
      <c r="AL53" s="572">
        <v>0</v>
      </c>
      <c r="AM53" s="573"/>
      <c r="AN53" s="581">
        <v>0</v>
      </c>
      <c r="AO53" s="572"/>
      <c r="AP53" s="572">
        <v>0</v>
      </c>
      <c r="AQ53" s="572"/>
      <c r="AR53" s="572">
        <v>0</v>
      </c>
      <c r="AS53" s="573"/>
      <c r="AT53" s="581">
        <v>0</v>
      </c>
      <c r="AU53" s="572"/>
      <c r="AV53" s="572">
        <v>0</v>
      </c>
      <c r="AW53" s="572"/>
      <c r="AX53" s="572">
        <v>0</v>
      </c>
      <c r="AY53" s="573"/>
    </row>
    <row r="54" spans="13:51" x14ac:dyDescent="0.6">
      <c r="Z54" s="1" t="s">
        <v>49</v>
      </c>
      <c r="AB54" s="588">
        <f>U29</f>
        <v>394597</v>
      </c>
      <c r="AC54" s="572"/>
      <c r="AD54" s="572"/>
      <c r="AE54" s="572"/>
      <c r="AF54" s="572"/>
      <c r="AG54" s="573"/>
      <c r="AH54" s="579">
        <f>V29</f>
        <v>394693</v>
      </c>
      <c r="AI54" s="580"/>
      <c r="AJ54" s="572"/>
      <c r="AK54" s="572"/>
      <c r="AL54" s="572"/>
      <c r="AM54" s="573"/>
      <c r="AN54" s="579">
        <f>W29</f>
        <v>394741</v>
      </c>
      <c r="AO54" s="580"/>
      <c r="AP54" s="572"/>
      <c r="AQ54" s="572"/>
      <c r="AR54" s="572"/>
      <c r="AS54" s="573"/>
      <c r="AT54" s="579">
        <f>X29</f>
        <v>394765</v>
      </c>
      <c r="AU54" s="580"/>
      <c r="AV54" s="572"/>
      <c r="AW54" s="572"/>
      <c r="AX54" s="572"/>
      <c r="AY54" s="573"/>
    </row>
    <row r="55" spans="13:51" ht="17.25" thickBot="1" x14ac:dyDescent="0.65">
      <c r="Z55" s="1" t="s">
        <v>1282</v>
      </c>
      <c r="AB55" s="574"/>
      <c r="AC55" s="575"/>
      <c r="AD55" s="586"/>
      <c r="AE55" s="575"/>
      <c r="AF55" s="586"/>
      <c r="AG55" s="587"/>
      <c r="AH55" s="574"/>
      <c r="AI55" s="575"/>
      <c r="AJ55" s="576">
        <v>5</v>
      </c>
      <c r="AK55" s="577"/>
      <c r="AL55" s="576">
        <v>5</v>
      </c>
      <c r="AM55" s="578"/>
      <c r="AN55" s="574"/>
      <c r="AO55" s="575"/>
      <c r="AP55" s="576">
        <v>5</v>
      </c>
      <c r="AQ55" s="577"/>
      <c r="AR55" s="576">
        <v>5</v>
      </c>
      <c r="AS55" s="578"/>
      <c r="AT55" s="574"/>
      <c r="AU55" s="575"/>
      <c r="AV55" s="576">
        <v>5</v>
      </c>
      <c r="AW55" s="577"/>
      <c r="AX55" s="576">
        <v>5</v>
      </c>
      <c r="AY55" s="578"/>
    </row>
    <row r="56" spans="13:51" ht="17.25" thickTop="1" x14ac:dyDescent="0.6"/>
  </sheetData>
  <mergeCells count="360">
    <mergeCell ref="AB54:AC54"/>
    <mergeCell ref="AD54:AE54"/>
    <mergeCell ref="AF54:AG54"/>
    <mergeCell ref="AB55:AC55"/>
    <mergeCell ref="AD55:AE55"/>
    <mergeCell ref="AF55:AG55"/>
    <mergeCell ref="AB52:AC52"/>
    <mergeCell ref="AD52:AE52"/>
    <mergeCell ref="AF52:AG52"/>
    <mergeCell ref="AB53:AC53"/>
    <mergeCell ref="AD53:AE53"/>
    <mergeCell ref="AF53:AG53"/>
    <mergeCell ref="AB50:AC50"/>
    <mergeCell ref="AD50:AE50"/>
    <mergeCell ref="AF50:AG50"/>
    <mergeCell ref="AB51:AC51"/>
    <mergeCell ref="AD51:AE51"/>
    <mergeCell ref="AF51:AG51"/>
    <mergeCell ref="AN45:AO45"/>
    <mergeCell ref="AP45:AQ45"/>
    <mergeCell ref="AR45:AS45"/>
    <mergeCell ref="AH50:AI50"/>
    <mergeCell ref="AJ50:AK50"/>
    <mergeCell ref="AL50:AM50"/>
    <mergeCell ref="AX44:AY44"/>
    <mergeCell ref="AB44:AC44"/>
    <mergeCell ref="AD44:AE44"/>
    <mergeCell ref="AF44:AG44"/>
    <mergeCell ref="AH44:AI44"/>
    <mergeCell ref="AJ44:AK44"/>
    <mergeCell ref="AL44:AM44"/>
    <mergeCell ref="AT45:AU45"/>
    <mergeCell ref="AV45:AW45"/>
    <mergeCell ref="AX45:AY45"/>
    <mergeCell ref="AB45:AC45"/>
    <mergeCell ref="AD45:AE45"/>
    <mergeCell ref="AF45:AG45"/>
    <mergeCell ref="AH45:AI45"/>
    <mergeCell ref="AJ45:AK45"/>
    <mergeCell ref="AL45:AM45"/>
    <mergeCell ref="AN44:AO44"/>
    <mergeCell ref="AP44:AQ44"/>
    <mergeCell ref="AR44:AS44"/>
    <mergeCell ref="AT44:AU44"/>
    <mergeCell ref="AV44:AW44"/>
    <mergeCell ref="AX43:AY43"/>
    <mergeCell ref="AB43:AC43"/>
    <mergeCell ref="AD43:AE43"/>
    <mergeCell ref="AF43:AG43"/>
    <mergeCell ref="AH43:AI43"/>
    <mergeCell ref="AJ43:AK43"/>
    <mergeCell ref="AL43:AM43"/>
    <mergeCell ref="AB42:AC42"/>
    <mergeCell ref="AD42:AE42"/>
    <mergeCell ref="AF42:AG42"/>
    <mergeCell ref="AH42:AI42"/>
    <mergeCell ref="AJ42:AK42"/>
    <mergeCell ref="AL42:AM42"/>
    <mergeCell ref="AN42:AO42"/>
    <mergeCell ref="AP42:AQ42"/>
    <mergeCell ref="AR42:AS42"/>
    <mergeCell ref="AT42:AU42"/>
    <mergeCell ref="AV42:AW42"/>
    <mergeCell ref="AX42:AY42"/>
    <mergeCell ref="AN43:AO43"/>
    <mergeCell ref="AP43:AQ43"/>
    <mergeCell ref="AR43:AS43"/>
    <mergeCell ref="AT43:AU43"/>
    <mergeCell ref="AV43:AW43"/>
    <mergeCell ref="AB41:AC41"/>
    <mergeCell ref="AD41:AE41"/>
    <mergeCell ref="AF41:AG41"/>
    <mergeCell ref="AH41:AI41"/>
    <mergeCell ref="AJ41:AK41"/>
    <mergeCell ref="AL41:AM41"/>
    <mergeCell ref="AN41:AO41"/>
    <mergeCell ref="AP41:AQ41"/>
    <mergeCell ref="AB40:AC40"/>
    <mergeCell ref="AD40:AE40"/>
    <mergeCell ref="AF40:AG40"/>
    <mergeCell ref="AH40:AI40"/>
    <mergeCell ref="AX32:AY32"/>
    <mergeCell ref="AT33:AU33"/>
    <mergeCell ref="AV33:AW33"/>
    <mergeCell ref="AT35:AU35"/>
    <mergeCell ref="AJ40:AK40"/>
    <mergeCell ref="AL40:AM40"/>
    <mergeCell ref="AV40:AW40"/>
    <mergeCell ref="AX40:AY40"/>
    <mergeCell ref="AX41:AY41"/>
    <mergeCell ref="AV41:AW41"/>
    <mergeCell ref="AF35:AG35"/>
    <mergeCell ref="AX33:AY33"/>
    <mergeCell ref="AB34:AC34"/>
    <mergeCell ref="AD34:AE34"/>
    <mergeCell ref="AF34:AG34"/>
    <mergeCell ref="AH34:AI34"/>
    <mergeCell ref="AN34:AO34"/>
    <mergeCell ref="AP34:AQ34"/>
    <mergeCell ref="AR34:AS34"/>
    <mergeCell ref="AL33:AM33"/>
    <mergeCell ref="AN33:AO33"/>
    <mergeCell ref="AP33:AQ33"/>
    <mergeCell ref="AB33:AC33"/>
    <mergeCell ref="AD33:AE33"/>
    <mergeCell ref="AF33:AG33"/>
    <mergeCell ref="AH33:AI33"/>
    <mergeCell ref="AJ33:AK33"/>
    <mergeCell ref="AJ35:AK35"/>
    <mergeCell ref="AL35:AM35"/>
    <mergeCell ref="AP35:AQ35"/>
    <mergeCell ref="AR35:AS35"/>
    <mergeCell ref="AV35:AW35"/>
    <mergeCell ref="AJ34:AK34"/>
    <mergeCell ref="AL34:AM34"/>
    <mergeCell ref="AV30:AW30"/>
    <mergeCell ref="AT32:AU32"/>
    <mergeCell ref="AV32:AW32"/>
    <mergeCell ref="AN40:AO40"/>
    <mergeCell ref="AP40:AQ40"/>
    <mergeCell ref="AR40:AS40"/>
    <mergeCell ref="AT40:AU40"/>
    <mergeCell ref="AL52:AM52"/>
    <mergeCell ref="AT53:AU53"/>
    <mergeCell ref="AV53:AW53"/>
    <mergeCell ref="AR33:AS33"/>
    <mergeCell ref="AP32:AQ32"/>
    <mergeCell ref="AV31:AW31"/>
    <mergeCell ref="AT50:AU50"/>
    <mergeCell ref="AV50:AW50"/>
    <mergeCell ref="AR41:AS41"/>
    <mergeCell ref="AT41:AU41"/>
    <mergeCell ref="AH54:AI54"/>
    <mergeCell ref="AJ54:AK54"/>
    <mergeCell ref="AL54:AM54"/>
    <mergeCell ref="AT55:AU55"/>
    <mergeCell ref="AV55:AW55"/>
    <mergeCell ref="AX55:AY55"/>
    <mergeCell ref="AN55:AO55"/>
    <mergeCell ref="AP55:AQ55"/>
    <mergeCell ref="AR55:AS55"/>
    <mergeCell ref="AH55:AI55"/>
    <mergeCell ref="AT54:AU54"/>
    <mergeCell ref="AV54:AW54"/>
    <mergeCell ref="AX54:AY54"/>
    <mergeCell ref="AN54:AO54"/>
    <mergeCell ref="AP54:AQ54"/>
    <mergeCell ref="AR54:AS54"/>
    <mergeCell ref="AJ55:AK55"/>
    <mergeCell ref="AL55:AM55"/>
    <mergeCell ref="AX53:AY53"/>
    <mergeCell ref="AN53:AO53"/>
    <mergeCell ref="AP53:AQ53"/>
    <mergeCell ref="AR53:AS53"/>
    <mergeCell ref="AH53:AI53"/>
    <mergeCell ref="AJ53:AK53"/>
    <mergeCell ref="AL53:AM53"/>
    <mergeCell ref="AJ51:AK51"/>
    <mergeCell ref="AL51:AM51"/>
    <mergeCell ref="AT52:AU52"/>
    <mergeCell ref="AV52:AW52"/>
    <mergeCell ref="AX52:AY52"/>
    <mergeCell ref="AN52:AO52"/>
    <mergeCell ref="AP52:AQ52"/>
    <mergeCell ref="AR52:AS52"/>
    <mergeCell ref="AH52:AI52"/>
    <mergeCell ref="AJ52:AK52"/>
    <mergeCell ref="AT51:AU51"/>
    <mergeCell ref="AV51:AW51"/>
    <mergeCell ref="AX51:AY51"/>
    <mergeCell ref="AN51:AO51"/>
    <mergeCell ref="AP51:AQ51"/>
    <mergeCell ref="AR51:AS51"/>
    <mergeCell ref="AH51:AI51"/>
    <mergeCell ref="AX50:AY50"/>
    <mergeCell ref="AN50:AO50"/>
    <mergeCell ref="AP50:AQ50"/>
    <mergeCell ref="AR50:AS50"/>
    <mergeCell ref="AB35:AC35"/>
    <mergeCell ref="AH35:AI35"/>
    <mergeCell ref="AN35:AO35"/>
    <mergeCell ref="AN8:AO8"/>
    <mergeCell ref="AP8:AQ8"/>
    <mergeCell ref="AR8:AS8"/>
    <mergeCell ref="AT8:AU8"/>
    <mergeCell ref="AV8:AW8"/>
    <mergeCell ref="AX8:AY8"/>
    <mergeCell ref="AB8:AC8"/>
    <mergeCell ref="AD8:AE8"/>
    <mergeCell ref="AF8:AG8"/>
    <mergeCell ref="AH8:AI8"/>
    <mergeCell ref="AJ8:AK8"/>
    <mergeCell ref="AL8:AM8"/>
    <mergeCell ref="AX35:AY35"/>
    <mergeCell ref="AT34:AU34"/>
    <mergeCell ref="AV34:AW34"/>
    <mergeCell ref="AX34:AY34"/>
    <mergeCell ref="AD35:AE35"/>
    <mergeCell ref="AX31:AY31"/>
    <mergeCell ref="AB32:AC32"/>
    <mergeCell ref="AD32:AE32"/>
    <mergeCell ref="AF32:AG32"/>
    <mergeCell ref="AH32:AI32"/>
    <mergeCell ref="AJ32:AK32"/>
    <mergeCell ref="AL32:AM32"/>
    <mergeCell ref="AN32:AO32"/>
    <mergeCell ref="AP30:AQ30"/>
    <mergeCell ref="AR30:AS30"/>
    <mergeCell ref="AR32:AS32"/>
    <mergeCell ref="AT31:AU31"/>
    <mergeCell ref="AT30:AU30"/>
    <mergeCell ref="AB31:AC31"/>
    <mergeCell ref="AD31:AE31"/>
    <mergeCell ref="AF31:AG31"/>
    <mergeCell ref="AH31:AI31"/>
    <mergeCell ref="AJ31:AK31"/>
    <mergeCell ref="AL31:AM31"/>
    <mergeCell ref="AN31:AO31"/>
    <mergeCell ref="AP31:AQ31"/>
    <mergeCell ref="AR31:AS31"/>
    <mergeCell ref="AB30:AC30"/>
    <mergeCell ref="AD30:AE30"/>
    <mergeCell ref="AF30:AG30"/>
    <mergeCell ref="AH30:AI30"/>
    <mergeCell ref="AJ30:AK30"/>
    <mergeCell ref="AT9:AU9"/>
    <mergeCell ref="AV9:AW9"/>
    <mergeCell ref="AX9:AY9"/>
    <mergeCell ref="AT10:AU10"/>
    <mergeCell ref="AV10:AW10"/>
    <mergeCell ref="AX10:AY10"/>
    <mergeCell ref="AJ11:AK11"/>
    <mergeCell ref="AL11:AM11"/>
    <mergeCell ref="AN11:AO11"/>
    <mergeCell ref="AR17:AS17"/>
    <mergeCell ref="AT17:AU17"/>
    <mergeCell ref="AV17:AW17"/>
    <mergeCell ref="AX17:AY17"/>
    <mergeCell ref="AT18:AU18"/>
    <mergeCell ref="AV18:AW18"/>
    <mergeCell ref="AX18:AY18"/>
    <mergeCell ref="AT19:AU19"/>
    <mergeCell ref="AV19:AW19"/>
    <mergeCell ref="AX19:AY19"/>
    <mergeCell ref="AT20:AU20"/>
    <mergeCell ref="AV20:AW20"/>
    <mergeCell ref="AB9:AC9"/>
    <mergeCell ref="AB11:AC11"/>
    <mergeCell ref="AD11:AE11"/>
    <mergeCell ref="AF11:AG11"/>
    <mergeCell ref="AH11:AI11"/>
    <mergeCell ref="AL9:AM9"/>
    <mergeCell ref="AN9:AO9"/>
    <mergeCell ref="AX30:AY30"/>
    <mergeCell ref="AL30:AM30"/>
    <mergeCell ref="AN30:AO30"/>
    <mergeCell ref="AL10:AM10"/>
    <mergeCell ref="AN10:AO10"/>
    <mergeCell ref="AJ10:AK10"/>
    <mergeCell ref="AT16:AU16"/>
    <mergeCell ref="AV16:AW16"/>
    <mergeCell ref="AX16:AY16"/>
    <mergeCell ref="AB17:AC17"/>
    <mergeCell ref="AD17:AE17"/>
    <mergeCell ref="AF17:AG17"/>
    <mergeCell ref="AH17:AI17"/>
    <mergeCell ref="AJ17:AK17"/>
    <mergeCell ref="AL17:AM17"/>
    <mergeCell ref="AN17:AO17"/>
    <mergeCell ref="AP17:AQ17"/>
    <mergeCell ref="AX6:AY6"/>
    <mergeCell ref="AT7:AU7"/>
    <mergeCell ref="AV7:AW7"/>
    <mergeCell ref="AX7:AY7"/>
    <mergeCell ref="AP10:AQ10"/>
    <mergeCell ref="AR10:AS10"/>
    <mergeCell ref="AP11:AQ11"/>
    <mergeCell ref="AR11:AS11"/>
    <mergeCell ref="AP6:AQ6"/>
    <mergeCell ref="AR6:AS6"/>
    <mergeCell ref="AP7:AQ7"/>
    <mergeCell ref="AR7:AS7"/>
    <mergeCell ref="AP9:AQ9"/>
    <mergeCell ref="AR9:AS9"/>
    <mergeCell ref="AT11:AU11"/>
    <mergeCell ref="AV11:AW11"/>
    <mergeCell ref="AX11:AY11"/>
    <mergeCell ref="AL6:AM6"/>
    <mergeCell ref="AN6:AO6"/>
    <mergeCell ref="AL7:AM7"/>
    <mergeCell ref="AN7:AO7"/>
    <mergeCell ref="AT6:AU6"/>
    <mergeCell ref="AV6:AW6"/>
    <mergeCell ref="AB10:AC10"/>
    <mergeCell ref="AD9:AE9"/>
    <mergeCell ref="AF9:AG9"/>
    <mergeCell ref="AH9:AI9"/>
    <mergeCell ref="AJ9:AK9"/>
    <mergeCell ref="AB6:AC6"/>
    <mergeCell ref="AD6:AE6"/>
    <mergeCell ref="AF6:AG6"/>
    <mergeCell ref="AH6:AI6"/>
    <mergeCell ref="AJ6:AK6"/>
    <mergeCell ref="AB7:AC7"/>
    <mergeCell ref="AD7:AE7"/>
    <mergeCell ref="AF7:AG7"/>
    <mergeCell ref="AH7:AI7"/>
    <mergeCell ref="AJ7:AK7"/>
    <mergeCell ref="AD10:AE10"/>
    <mergeCell ref="AF10:AG10"/>
    <mergeCell ref="AH10:AI10"/>
    <mergeCell ref="AB16:AC16"/>
    <mergeCell ref="AD16:AE16"/>
    <mergeCell ref="AF16:AG16"/>
    <mergeCell ref="AH16:AI16"/>
    <mergeCell ref="AJ16:AK16"/>
    <mergeCell ref="AL16:AM16"/>
    <mergeCell ref="AN16:AO16"/>
    <mergeCell ref="AP16:AQ16"/>
    <mergeCell ref="AR16:AS16"/>
    <mergeCell ref="AB19:AC19"/>
    <mergeCell ref="AD19:AE19"/>
    <mergeCell ref="AF19:AG19"/>
    <mergeCell ref="AH19:AI19"/>
    <mergeCell ref="AJ19:AK19"/>
    <mergeCell ref="AL19:AM19"/>
    <mergeCell ref="AN19:AO19"/>
    <mergeCell ref="AP19:AQ19"/>
    <mergeCell ref="AR19:AS19"/>
    <mergeCell ref="AB18:AC18"/>
    <mergeCell ref="AD18:AE18"/>
    <mergeCell ref="AF18:AG18"/>
    <mergeCell ref="AH18:AI18"/>
    <mergeCell ref="AJ18:AK18"/>
    <mergeCell ref="AL18:AM18"/>
    <mergeCell ref="AN18:AO18"/>
    <mergeCell ref="AP18:AQ18"/>
    <mergeCell ref="AR18:AS18"/>
    <mergeCell ref="AX20:AY20"/>
    <mergeCell ref="AB21:AC21"/>
    <mergeCell ref="AD21:AE21"/>
    <mergeCell ref="AF21:AG21"/>
    <mergeCell ref="AH21:AI21"/>
    <mergeCell ref="AJ21:AK21"/>
    <mergeCell ref="AL21:AM21"/>
    <mergeCell ref="AN21:AO21"/>
    <mergeCell ref="AP21:AQ21"/>
    <mergeCell ref="AR21:AS21"/>
    <mergeCell ref="AT21:AU21"/>
    <mergeCell ref="AV21:AW21"/>
    <mergeCell ref="AX21:AY21"/>
    <mergeCell ref="AB20:AC20"/>
    <mergeCell ref="AD20:AE20"/>
    <mergeCell ref="AF20:AG20"/>
    <mergeCell ref="AH20:AI20"/>
    <mergeCell ref="AJ20:AK20"/>
    <mergeCell ref="AL20:AM20"/>
    <mergeCell ref="AN20:AO20"/>
    <mergeCell ref="AP20:AQ20"/>
    <mergeCell ref="AR20:AS20"/>
  </mergeCells>
  <phoneticPr fontId="2" type="noConversion"/>
  <pageMargins left="0.7" right="0.7" top="0.75" bottom="0.75" header="0.3" footer="0.3"/>
  <pageSetup paperSize="9" orientation="portrait" r:id="rId1"/>
  <ignoredErrors>
    <ignoredError sqref="P13 P29:S29 U29:X29 U20:X23 U30:X31 U25:X26 V24:X24 P45:X45 U36:V36 Q13:X13 BC13:BK13 U28:X28 U27:V27 X27 U32:W32 AL6:AY6 AL16:AY16" formula="1"/>
  </ignoredError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F4BB-9071-4373-93A0-1DEB0B610E10}">
  <dimension ref="B1:BC33"/>
  <sheetViews>
    <sheetView showGridLines="0" zoomScaleNormal="100" workbookViewId="0"/>
  </sheetViews>
  <sheetFormatPr defaultRowHeight="16.899999999999999" x14ac:dyDescent="0.6"/>
  <cols>
    <col min="2" max="2" width="10.1875" style="1" bestFit="1" customWidth="1"/>
    <col min="3" max="3" width="6.6875" style="6" bestFit="1" customWidth="1"/>
    <col min="4" max="4" width="10.6875" bestFit="1" customWidth="1"/>
    <col min="5" max="7" width="9.6875" bestFit="1" customWidth="1"/>
    <col min="8" max="8" width="11.125" bestFit="1" customWidth="1"/>
    <col min="9" max="10" width="9.6875" bestFit="1" customWidth="1"/>
    <col min="11" max="12" width="9.1875" bestFit="1" customWidth="1"/>
    <col min="13" max="13" width="6.125" style="6" bestFit="1" customWidth="1"/>
    <col min="14" max="14" width="6.125" style="6" customWidth="1"/>
    <col min="15" max="15" width="9.6875" style="114" bestFit="1" customWidth="1"/>
    <col min="16" max="16" width="5.6875" style="114" bestFit="1" customWidth="1"/>
    <col min="17" max="17" width="10.6875" style="114" bestFit="1" customWidth="1"/>
    <col min="18" max="18" width="9.6875" style="114" bestFit="1" customWidth="1"/>
    <col min="19" max="20" width="10.1875" style="114" bestFit="1" customWidth="1"/>
    <col min="21" max="23" width="9.6875" style="114" bestFit="1" customWidth="1"/>
    <col min="24" max="25" width="9.1875" style="122" bestFit="1" customWidth="1"/>
    <col min="26" max="26" width="6.125" style="112" bestFit="1" customWidth="1"/>
    <col min="27" max="27" width="6.125" bestFit="1" customWidth="1"/>
    <col min="28" max="28" width="9.6875" style="114" bestFit="1" customWidth="1"/>
    <col min="29" max="29" width="5.6875" style="120" bestFit="1" customWidth="1"/>
    <col min="30" max="30" width="10.6875" style="114" bestFit="1" customWidth="1"/>
    <col min="31" max="37" width="9.6875" style="114" bestFit="1" customWidth="1"/>
    <col min="38" max="41" width="9.1875" style="114" bestFit="1" customWidth="1"/>
    <col min="42" max="42" width="9.6875" bestFit="1" customWidth="1"/>
    <col min="43" max="43" width="8.875" bestFit="1" customWidth="1"/>
    <col min="44" max="44" width="4.6875" style="1" bestFit="1" customWidth="1"/>
    <col min="45" max="45" width="8.6875" style="1" bestFit="1" customWidth="1"/>
    <col min="46" max="53" width="8.1875" style="1" bestFit="1" customWidth="1"/>
    <col min="54" max="54" width="7.125" bestFit="1" customWidth="1"/>
    <col min="55" max="55" width="6.8125" bestFit="1" customWidth="1"/>
  </cols>
  <sheetData>
    <row r="1" spans="2:55" ht="17.25" thickBot="1" x14ac:dyDescent="0.65"/>
    <row r="2" spans="2:55" x14ac:dyDescent="0.6">
      <c r="B2" s="2" t="s">
        <v>3</v>
      </c>
      <c r="C2" s="2" t="s">
        <v>4</v>
      </c>
      <c r="D2" s="3">
        <v>100</v>
      </c>
      <c r="E2" s="3">
        <v>120</v>
      </c>
      <c r="F2" s="3">
        <v>144</v>
      </c>
      <c r="G2" s="3">
        <v>165</v>
      </c>
      <c r="H2" s="3">
        <v>240</v>
      </c>
      <c r="I2" s="3">
        <f>D2*2^(D4-I4)</f>
        <v>800</v>
      </c>
      <c r="J2" s="3">
        <f>E2*2^(E4-J4)</f>
        <v>960</v>
      </c>
      <c r="K2" s="140">
        <f>G2*2^(F4-K4)</f>
        <v>1320</v>
      </c>
      <c r="L2" s="140">
        <f>H2*2^(G4-L4)</f>
        <v>1920</v>
      </c>
      <c r="O2" s="110" t="s">
        <v>3</v>
      </c>
      <c r="P2" s="130" t="s">
        <v>4</v>
      </c>
      <c r="Q2" s="111">
        <v>100</v>
      </c>
      <c r="R2" s="111">
        <v>120</v>
      </c>
      <c r="S2" s="111">
        <v>144</v>
      </c>
      <c r="T2" s="111">
        <v>165</v>
      </c>
      <c r="U2" s="111">
        <v>240</v>
      </c>
      <c r="V2" s="111">
        <f>Q2*2^(Q4-V4)</f>
        <v>800</v>
      </c>
      <c r="W2" s="111">
        <f>R2*2^(R4-W4)</f>
        <v>960</v>
      </c>
      <c r="X2" s="140">
        <f>T2*2^(S4-X4)</f>
        <v>1320</v>
      </c>
      <c r="Y2" s="140">
        <f>U2*2^(T4-Y4)</f>
        <v>1920</v>
      </c>
      <c r="AB2" s="130" t="s">
        <v>3</v>
      </c>
      <c r="AC2" s="130" t="s">
        <v>4</v>
      </c>
      <c r="AD2" s="152">
        <v>100</v>
      </c>
      <c r="AE2" s="153">
        <v>120</v>
      </c>
      <c r="AF2" s="152">
        <f>AD2*2^(AD4-AF4)</f>
        <v>200</v>
      </c>
      <c r="AG2" s="153">
        <f>AE2*2^(AE4-AG4)</f>
        <v>240</v>
      </c>
      <c r="AH2" s="152">
        <f>AD2*2^(AD4-AH4)</f>
        <v>400</v>
      </c>
      <c r="AI2" s="153">
        <f>AE2*2^(AE4-AI4)</f>
        <v>480</v>
      </c>
      <c r="AJ2" s="152">
        <f>AD2*2^(AD4-AJ4)</f>
        <v>800</v>
      </c>
      <c r="AK2" s="154">
        <f>AE2*2^(AE4-AK4)</f>
        <v>960</v>
      </c>
      <c r="AL2" s="153">
        <f>AJ2*2^(AJ4-AL4)</f>
        <v>1600</v>
      </c>
      <c r="AM2" s="154">
        <f>AK2*2^(AK4-AM4)</f>
        <v>1920</v>
      </c>
      <c r="AN2" s="153">
        <f>AL2*2^(AL4-AN4)</f>
        <v>3200</v>
      </c>
      <c r="AO2" s="154">
        <f>AM2*2^(AM4-AO4)</f>
        <v>3840</v>
      </c>
      <c r="AP2" s="122"/>
      <c r="AQ2" s="110" t="s">
        <v>3</v>
      </c>
      <c r="AR2" s="130" t="s">
        <v>4</v>
      </c>
      <c r="AS2" s="130">
        <v>100</v>
      </c>
      <c r="AT2" s="130">
        <v>120</v>
      </c>
      <c r="AU2" s="130">
        <v>144</v>
      </c>
      <c r="AV2" s="130">
        <v>165</v>
      </c>
      <c r="AW2" s="130">
        <v>240</v>
      </c>
      <c r="AX2" s="130">
        <f>AS2*8</f>
        <v>800</v>
      </c>
      <c r="AY2" s="130">
        <f t="shared" ref="AY2" si="0">AT2*8</f>
        <v>960</v>
      </c>
      <c r="AZ2" s="141">
        <f>AV2*8</f>
        <v>1320</v>
      </c>
      <c r="BA2" s="141">
        <f>AW2*8</f>
        <v>1920</v>
      </c>
      <c r="BB2" s="112"/>
    </row>
    <row r="3" spans="2:55" x14ac:dyDescent="0.6">
      <c r="B3" s="2"/>
      <c r="C3" s="2" t="s">
        <v>1</v>
      </c>
      <c r="D3" s="7">
        <f>1/D2*1000000</f>
        <v>10000</v>
      </c>
      <c r="E3" s="7">
        <f t="shared" ref="E3:L3" si="1">1/E2*1000000</f>
        <v>8333.3333333333339</v>
      </c>
      <c r="F3" s="7">
        <f>1/F2*1000000</f>
        <v>6944.4444444444443</v>
      </c>
      <c r="G3" s="7">
        <f t="shared" si="1"/>
        <v>6060.606060606061</v>
      </c>
      <c r="H3" s="7">
        <f t="shared" si="1"/>
        <v>4166.666666666667</v>
      </c>
      <c r="I3" s="7">
        <f t="shared" si="1"/>
        <v>1250</v>
      </c>
      <c r="J3" s="7">
        <f t="shared" si="1"/>
        <v>1041.6666666666667</v>
      </c>
      <c r="K3" s="121">
        <f t="shared" si="1"/>
        <v>757.57575757575762</v>
      </c>
      <c r="L3" s="121">
        <f t="shared" si="1"/>
        <v>520.83333333333337</v>
      </c>
      <c r="O3" s="110"/>
      <c r="P3" s="130" t="s">
        <v>1</v>
      </c>
      <c r="Q3" s="113">
        <f>1/Q2*1000000</f>
        <v>10000</v>
      </c>
      <c r="R3" s="113">
        <f t="shared" ref="R3" si="2">1/R2*1000000</f>
        <v>8333.3333333333339</v>
      </c>
      <c r="S3" s="113">
        <f>1/S2*1000000</f>
        <v>6944.4444444444443</v>
      </c>
      <c r="T3" s="113">
        <f t="shared" ref="T3:Y3" si="3">1/T2*1000000</f>
        <v>6060.606060606061</v>
      </c>
      <c r="U3" s="113">
        <f t="shared" si="3"/>
        <v>4166.666666666667</v>
      </c>
      <c r="V3" s="113">
        <f>1/V2*1000000</f>
        <v>1250</v>
      </c>
      <c r="W3" s="113">
        <f t="shared" si="3"/>
        <v>1041.6666666666667</v>
      </c>
      <c r="X3" s="121">
        <f>1/X2*1000000</f>
        <v>757.57575757575762</v>
      </c>
      <c r="Y3" s="121">
        <f t="shared" si="3"/>
        <v>520.83333333333337</v>
      </c>
      <c r="AB3" s="130"/>
      <c r="AC3" s="130" t="s">
        <v>1</v>
      </c>
      <c r="AD3" s="155">
        <f>1/AD2*1000000</f>
        <v>10000</v>
      </c>
      <c r="AE3" s="113">
        <f t="shared" ref="AE3" si="4">1/AE2*1000000</f>
        <v>8333.3333333333339</v>
      </c>
      <c r="AF3" s="155">
        <f>1/AF2*1000000</f>
        <v>5000</v>
      </c>
      <c r="AG3" s="113">
        <f t="shared" ref="AG3" si="5">1/AG2*1000000</f>
        <v>4166.666666666667</v>
      </c>
      <c r="AH3" s="155">
        <f>1/AH2*1000000</f>
        <v>2500</v>
      </c>
      <c r="AI3" s="113">
        <f t="shared" ref="AI3" si="6">1/AI2*1000000</f>
        <v>2083.3333333333335</v>
      </c>
      <c r="AJ3" s="155">
        <f>1/AJ2*1000000</f>
        <v>1250</v>
      </c>
      <c r="AK3" s="156">
        <f t="shared" ref="AK3:AO3" si="7">1/AK2*1000000</f>
        <v>1041.6666666666667</v>
      </c>
      <c r="AL3" s="113">
        <f t="shared" si="7"/>
        <v>625</v>
      </c>
      <c r="AM3" s="156">
        <f t="shared" si="7"/>
        <v>520.83333333333337</v>
      </c>
      <c r="AN3" s="113">
        <f t="shared" si="7"/>
        <v>312.5</v>
      </c>
      <c r="AO3" s="156">
        <f t="shared" si="7"/>
        <v>260.41666666666669</v>
      </c>
      <c r="AP3" s="121"/>
      <c r="AQ3" s="110"/>
      <c r="AR3" s="130" t="s">
        <v>1</v>
      </c>
      <c r="AS3" s="142">
        <f>1/AS2*1000000</f>
        <v>10000</v>
      </c>
      <c r="AT3" s="142">
        <f t="shared" ref="AT3" si="8">1/AT2*1000000</f>
        <v>8333.3333333333339</v>
      </c>
      <c r="AU3" s="142">
        <f>1/AU2*1000000</f>
        <v>6944.4444444444443</v>
      </c>
      <c r="AV3" s="142">
        <f t="shared" ref="AV3:BA3" si="9">1/AV2*1000000</f>
        <v>6060.606060606061</v>
      </c>
      <c r="AW3" s="142">
        <f t="shared" si="9"/>
        <v>4166.666666666667</v>
      </c>
      <c r="AX3" s="142">
        <f t="shared" si="9"/>
        <v>1250</v>
      </c>
      <c r="AY3" s="142">
        <f t="shared" si="9"/>
        <v>1041.6666666666667</v>
      </c>
      <c r="AZ3" s="143">
        <f t="shared" si="9"/>
        <v>757.57575757575762</v>
      </c>
      <c r="BA3" s="143">
        <f t="shared" si="9"/>
        <v>520.83333333333337</v>
      </c>
      <c r="BB3" s="112"/>
    </row>
    <row r="4" spans="2:55" x14ac:dyDescent="0.6">
      <c r="B4" s="2" t="s">
        <v>99</v>
      </c>
      <c r="C4" s="2" t="s">
        <v>100</v>
      </c>
      <c r="D4" s="129">
        <v>12</v>
      </c>
      <c r="E4" s="138">
        <v>12</v>
      </c>
      <c r="F4" s="138">
        <v>12</v>
      </c>
      <c r="G4" s="138">
        <v>12</v>
      </c>
      <c r="H4" s="138">
        <v>12</v>
      </c>
      <c r="I4" s="129">
        <v>9</v>
      </c>
      <c r="J4" s="129">
        <v>9</v>
      </c>
      <c r="K4" s="144">
        <v>9</v>
      </c>
      <c r="L4" s="144">
        <v>9</v>
      </c>
      <c r="O4" s="2" t="s">
        <v>99</v>
      </c>
      <c r="P4" s="130" t="s">
        <v>100</v>
      </c>
      <c r="Q4" s="137">
        <v>14</v>
      </c>
      <c r="R4" s="116">
        <v>14</v>
      </c>
      <c r="S4" s="116">
        <v>14</v>
      </c>
      <c r="T4" s="116">
        <v>14</v>
      </c>
      <c r="U4" s="116">
        <v>14</v>
      </c>
      <c r="V4" s="129">
        <v>11</v>
      </c>
      <c r="W4" s="116">
        <v>11</v>
      </c>
      <c r="X4" s="124">
        <v>11</v>
      </c>
      <c r="Y4" s="124">
        <v>11</v>
      </c>
      <c r="AB4" s="130" t="s">
        <v>99</v>
      </c>
      <c r="AC4" s="130" t="s">
        <v>100</v>
      </c>
      <c r="AD4" s="157">
        <v>14</v>
      </c>
      <c r="AE4" s="116">
        <v>14</v>
      </c>
      <c r="AF4" s="163">
        <v>13</v>
      </c>
      <c r="AG4" s="116">
        <v>13</v>
      </c>
      <c r="AH4" s="163">
        <v>12</v>
      </c>
      <c r="AI4" s="116">
        <v>12</v>
      </c>
      <c r="AJ4" s="163">
        <v>11</v>
      </c>
      <c r="AK4" s="158">
        <v>11</v>
      </c>
      <c r="AL4" s="116">
        <v>10</v>
      </c>
      <c r="AM4" s="158">
        <v>10</v>
      </c>
      <c r="AN4" s="116">
        <v>9</v>
      </c>
      <c r="AO4" s="158">
        <v>9</v>
      </c>
      <c r="AP4" s="122"/>
      <c r="AQ4" s="2" t="s">
        <v>99</v>
      </c>
      <c r="AR4" s="2" t="s">
        <v>100</v>
      </c>
      <c r="AS4" s="137">
        <v>13</v>
      </c>
      <c r="AT4" s="137"/>
      <c r="AU4" s="137"/>
      <c r="AV4" s="137"/>
      <c r="AW4" s="137"/>
      <c r="AX4" s="137"/>
      <c r="AY4" s="137"/>
      <c r="AZ4" s="144"/>
      <c r="BA4" s="144"/>
      <c r="BB4" s="112"/>
    </row>
    <row r="5" spans="2:55" x14ac:dyDescent="0.6">
      <c r="B5" s="2"/>
      <c r="C5" s="135" t="s">
        <v>5</v>
      </c>
      <c r="D5">
        <f>2^$D$4-1</f>
        <v>4095</v>
      </c>
      <c r="E5">
        <f>2^$D$4-1</f>
        <v>4095</v>
      </c>
      <c r="F5">
        <f>2^$D$4-1</f>
        <v>4095</v>
      </c>
      <c r="G5">
        <f>2^$D$4-1</f>
        <v>4095</v>
      </c>
      <c r="H5">
        <f>2^$D$4-1</f>
        <v>4095</v>
      </c>
      <c r="I5">
        <f>2^$I$4-1</f>
        <v>511</v>
      </c>
      <c r="J5">
        <f t="shared" ref="J5:L5" si="10">2^$I$4-1</f>
        <v>511</v>
      </c>
      <c r="K5" s="122">
        <f t="shared" si="10"/>
        <v>511</v>
      </c>
      <c r="L5" s="122">
        <f t="shared" si="10"/>
        <v>511</v>
      </c>
      <c r="O5" s="110"/>
      <c r="P5" s="133" t="s">
        <v>5</v>
      </c>
      <c r="Q5" s="114">
        <f>2^$Q$4-1</f>
        <v>16383</v>
      </c>
      <c r="R5" s="114">
        <f>2^$Q$4-1</f>
        <v>16383</v>
      </c>
      <c r="S5" s="114">
        <f>2^$Q$4-1</f>
        <v>16383</v>
      </c>
      <c r="T5" s="114">
        <f>2^$Q$4-1</f>
        <v>16383</v>
      </c>
      <c r="U5" s="114">
        <f>2^$Q$4-1</f>
        <v>16383</v>
      </c>
      <c r="V5" s="114">
        <f>2^$V$4-1</f>
        <v>2047</v>
      </c>
      <c r="W5" s="114">
        <f t="shared" ref="W5:Y5" si="11">2^$V$4-1</f>
        <v>2047</v>
      </c>
      <c r="X5" s="122">
        <f t="shared" si="11"/>
        <v>2047</v>
      </c>
      <c r="Y5" s="122">
        <f t="shared" si="11"/>
        <v>2047</v>
      </c>
      <c r="AB5" s="130"/>
      <c r="AC5" s="133" t="s">
        <v>5</v>
      </c>
      <c r="AD5" s="159">
        <f>2^$Q$4-1</f>
        <v>16383</v>
      </c>
      <c r="AE5" s="114">
        <f>2^$Q$4-1</f>
        <v>16383</v>
      </c>
      <c r="AF5" s="159">
        <f>2^AF4-1</f>
        <v>8191</v>
      </c>
      <c r="AG5" s="114">
        <f t="shared" ref="AG5:AO5" si="12">2^AG4-1</f>
        <v>8191</v>
      </c>
      <c r="AH5" s="159">
        <f t="shared" si="12"/>
        <v>4095</v>
      </c>
      <c r="AI5" s="114">
        <f t="shared" si="12"/>
        <v>4095</v>
      </c>
      <c r="AJ5" s="159">
        <f t="shared" si="12"/>
        <v>2047</v>
      </c>
      <c r="AK5" s="160">
        <f t="shared" si="12"/>
        <v>2047</v>
      </c>
      <c r="AL5" s="114">
        <f t="shared" si="12"/>
        <v>1023</v>
      </c>
      <c r="AM5" s="160">
        <f t="shared" si="12"/>
        <v>1023</v>
      </c>
      <c r="AN5" s="114">
        <f t="shared" si="12"/>
        <v>511</v>
      </c>
      <c r="AO5" s="160">
        <f t="shared" si="12"/>
        <v>511</v>
      </c>
      <c r="AP5" s="122"/>
      <c r="AQ5" s="110"/>
      <c r="AR5" s="133" t="s">
        <v>5</v>
      </c>
      <c r="AS5" s="120">
        <f>2^$AS$4-1</f>
        <v>8191</v>
      </c>
      <c r="AT5" s="120">
        <f>2^$AS$4-1</f>
        <v>8191</v>
      </c>
      <c r="AU5" s="120">
        <f>2^$AS$4-1</f>
        <v>8191</v>
      </c>
      <c r="AV5" s="120">
        <f>2^$AS$4-1</f>
        <v>8191</v>
      </c>
      <c r="AW5" s="120">
        <f>2^$AS$4-1</f>
        <v>8191</v>
      </c>
      <c r="AX5" s="120">
        <f>2^$AS$4/8-1</f>
        <v>1023</v>
      </c>
      <c r="AY5" s="120">
        <f>2^$AS$4/8-1</f>
        <v>1023</v>
      </c>
      <c r="AZ5" s="127">
        <f>2^$AS$4/8-1</f>
        <v>1023</v>
      </c>
      <c r="BA5" s="127">
        <f>2^$AS$4/8-1</f>
        <v>1023</v>
      </c>
      <c r="BB5" s="112"/>
    </row>
    <row r="6" spans="2:55" x14ac:dyDescent="0.6">
      <c r="B6" s="2"/>
      <c r="C6" s="136" t="s">
        <v>1</v>
      </c>
      <c r="D6" s="94">
        <f>D3/D5</f>
        <v>2.4420024420024422</v>
      </c>
      <c r="E6" s="94">
        <f t="shared" ref="E6:L6" si="13">E3/E5</f>
        <v>2.035002035002035</v>
      </c>
      <c r="F6" s="94">
        <f t="shared" si="13"/>
        <v>1.6958350291683624</v>
      </c>
      <c r="G6" s="94">
        <f t="shared" si="13"/>
        <v>1.48000148000148</v>
      </c>
      <c r="H6" s="94">
        <f t="shared" si="13"/>
        <v>1.0175010175010175</v>
      </c>
      <c r="I6" s="94">
        <f t="shared" si="13"/>
        <v>2.4461839530332683</v>
      </c>
      <c r="J6" s="94">
        <f t="shared" si="13"/>
        <v>2.0384866275277234</v>
      </c>
      <c r="K6" s="123">
        <f t="shared" si="13"/>
        <v>1.4825357291110717</v>
      </c>
      <c r="L6" s="123">
        <f t="shared" si="13"/>
        <v>1.0192433137638617</v>
      </c>
      <c r="O6" s="110"/>
      <c r="P6" s="134" t="s">
        <v>1</v>
      </c>
      <c r="Q6" s="115">
        <f>Q3/Q5</f>
        <v>0.61038881767686015</v>
      </c>
      <c r="R6" s="115">
        <f t="shared" ref="R6:Y6" si="14">R3/R5</f>
        <v>0.50865734806405016</v>
      </c>
      <c r="S6" s="115">
        <f t="shared" si="14"/>
        <v>0.42388112338670841</v>
      </c>
      <c r="T6" s="115">
        <f t="shared" si="14"/>
        <v>0.36993261677385464</v>
      </c>
      <c r="U6" s="115">
        <f t="shared" si="14"/>
        <v>0.25432867403202508</v>
      </c>
      <c r="V6" s="115">
        <f t="shared" si="14"/>
        <v>0.61064973131411826</v>
      </c>
      <c r="W6" s="115">
        <f t="shared" si="14"/>
        <v>0.50887477609509857</v>
      </c>
      <c r="X6" s="123">
        <f t="shared" si="14"/>
        <v>0.37009074625098076</v>
      </c>
      <c r="Y6" s="123">
        <f t="shared" si="14"/>
        <v>0.25443738804754928</v>
      </c>
      <c r="AB6" s="130"/>
      <c r="AC6" s="134" t="s">
        <v>1</v>
      </c>
      <c r="AD6" s="161">
        <f t="shared" ref="AD6:AO6" si="15">AD3/AD5</f>
        <v>0.61038881767686015</v>
      </c>
      <c r="AE6" s="115">
        <f t="shared" si="15"/>
        <v>0.50865734806405016</v>
      </c>
      <c r="AF6" s="161">
        <f t="shared" si="15"/>
        <v>0.61042607740202659</v>
      </c>
      <c r="AG6" s="115">
        <f t="shared" si="15"/>
        <v>0.50868839783502218</v>
      </c>
      <c r="AH6" s="161">
        <f t="shared" si="15"/>
        <v>0.61050061050061055</v>
      </c>
      <c r="AI6" s="115">
        <f t="shared" si="15"/>
        <v>0.50875050875050876</v>
      </c>
      <c r="AJ6" s="161">
        <f t="shared" si="15"/>
        <v>0.61064973131411826</v>
      </c>
      <c r="AK6" s="162">
        <f t="shared" si="15"/>
        <v>0.50887477609509857</v>
      </c>
      <c r="AL6" s="115">
        <f t="shared" si="15"/>
        <v>0.6109481915933529</v>
      </c>
      <c r="AM6" s="162">
        <f t="shared" si="15"/>
        <v>0.5091234929944608</v>
      </c>
      <c r="AN6" s="115">
        <f t="shared" si="15"/>
        <v>0.61154598825831707</v>
      </c>
      <c r="AO6" s="162">
        <f t="shared" si="15"/>
        <v>0.50962165688193084</v>
      </c>
      <c r="AP6" s="123"/>
      <c r="AQ6" s="110"/>
      <c r="AR6" s="134" t="s">
        <v>1</v>
      </c>
      <c r="AS6" s="132">
        <f t="shared" ref="AS6:BA6" si="16">AS3/AS5</f>
        <v>1.2208521548040532</v>
      </c>
      <c r="AT6" s="132">
        <f t="shared" si="16"/>
        <v>1.0173767956700444</v>
      </c>
      <c r="AU6" s="132">
        <f t="shared" si="16"/>
        <v>0.84781399639170363</v>
      </c>
      <c r="AV6" s="132">
        <f t="shared" si="16"/>
        <v>0.7399103968509414</v>
      </c>
      <c r="AW6" s="132">
        <f t="shared" si="16"/>
        <v>0.50868839783502218</v>
      </c>
      <c r="AX6" s="132">
        <f t="shared" si="16"/>
        <v>1.2218963831867058</v>
      </c>
      <c r="AY6" s="132">
        <f t="shared" si="16"/>
        <v>1.0182469859889216</v>
      </c>
      <c r="AZ6" s="145">
        <f t="shared" si="16"/>
        <v>0.74054326253739744</v>
      </c>
      <c r="BA6" s="145">
        <f t="shared" si="16"/>
        <v>0.5091234929944608</v>
      </c>
      <c r="BB6" s="112"/>
    </row>
    <row r="7" spans="2:55" x14ac:dyDescent="0.6">
      <c r="B7" s="2" t="s">
        <v>95</v>
      </c>
      <c r="C7" s="2" t="s">
        <v>5</v>
      </c>
      <c r="D7" s="13">
        <v>96</v>
      </c>
      <c r="E7" s="13">
        <v>80</v>
      </c>
      <c r="F7" s="13">
        <v>68</v>
      </c>
      <c r="G7" s="13">
        <v>60</v>
      </c>
      <c r="H7" s="13">
        <f>E7/2</f>
        <v>40</v>
      </c>
      <c r="I7" s="13">
        <f>D7</f>
        <v>96</v>
      </c>
      <c r="J7" s="13">
        <f t="shared" ref="J7" si="17">E7</f>
        <v>80</v>
      </c>
      <c r="K7" s="124">
        <f>G7</f>
        <v>60</v>
      </c>
      <c r="L7" s="124">
        <f>H7</f>
        <v>40</v>
      </c>
      <c r="O7" s="110" t="s">
        <v>95</v>
      </c>
      <c r="P7" s="130" t="s">
        <v>5</v>
      </c>
      <c r="Q7" s="116">
        <v>24</v>
      </c>
      <c r="R7" s="116">
        <v>20</v>
      </c>
      <c r="S7" s="116">
        <f>F7/4</f>
        <v>17</v>
      </c>
      <c r="T7" s="116">
        <f>G7/4</f>
        <v>15</v>
      </c>
      <c r="U7" s="116">
        <f>H7/4</f>
        <v>10</v>
      </c>
      <c r="V7" s="116">
        <f>Q7</f>
        <v>24</v>
      </c>
      <c r="W7" s="116">
        <f>R7</f>
        <v>20</v>
      </c>
      <c r="X7" s="124">
        <f>T7</f>
        <v>15</v>
      </c>
      <c r="Y7" s="124">
        <f>U7</f>
        <v>10</v>
      </c>
      <c r="Z7" s="117"/>
      <c r="AB7" s="130" t="s">
        <v>95</v>
      </c>
      <c r="AC7" s="130" t="s">
        <v>5</v>
      </c>
      <c r="AD7" s="163">
        <f>Q7</f>
        <v>24</v>
      </c>
      <c r="AE7" s="116">
        <f>R7</f>
        <v>20</v>
      </c>
      <c r="AF7" s="163">
        <f t="shared" ref="AF7:AO7" si="18">AD7</f>
        <v>24</v>
      </c>
      <c r="AG7" s="116">
        <f t="shared" si="18"/>
        <v>20</v>
      </c>
      <c r="AH7" s="163">
        <f t="shared" si="18"/>
        <v>24</v>
      </c>
      <c r="AI7" s="116">
        <f t="shared" si="18"/>
        <v>20</v>
      </c>
      <c r="AJ7" s="163">
        <f t="shared" si="18"/>
        <v>24</v>
      </c>
      <c r="AK7" s="158">
        <f t="shared" si="18"/>
        <v>20</v>
      </c>
      <c r="AL7" s="116">
        <f t="shared" si="18"/>
        <v>24</v>
      </c>
      <c r="AM7" s="158">
        <f t="shared" si="18"/>
        <v>20</v>
      </c>
      <c r="AN7" s="116">
        <f t="shared" si="18"/>
        <v>24</v>
      </c>
      <c r="AO7" s="158">
        <f t="shared" si="18"/>
        <v>20</v>
      </c>
      <c r="AP7" s="122"/>
      <c r="AQ7" s="110" t="s">
        <v>95</v>
      </c>
      <c r="AR7" s="130" t="s">
        <v>5</v>
      </c>
      <c r="AS7" s="137">
        <f>D7/2</f>
        <v>48</v>
      </c>
      <c r="AT7" s="137">
        <f>E7/2</f>
        <v>40</v>
      </c>
      <c r="AU7" s="137">
        <f>F7/2</f>
        <v>34</v>
      </c>
      <c r="AV7" s="137">
        <f>G7/2</f>
        <v>30</v>
      </c>
      <c r="AW7" s="137">
        <f>H7/2</f>
        <v>20</v>
      </c>
      <c r="AX7" s="137">
        <f>AS7</f>
        <v>48</v>
      </c>
      <c r="AY7" s="137">
        <f>AT7</f>
        <v>40</v>
      </c>
      <c r="AZ7" s="144">
        <f>AV7</f>
        <v>30</v>
      </c>
      <c r="BA7" s="144">
        <f>AW7</f>
        <v>20</v>
      </c>
      <c r="BB7" s="112"/>
    </row>
    <row r="8" spans="2:55" x14ac:dyDescent="0.6">
      <c r="B8" s="2" t="s">
        <v>2</v>
      </c>
      <c r="C8" s="2" t="s">
        <v>0</v>
      </c>
      <c r="D8" s="92">
        <f>1/D9</f>
        <v>39.311999999999998</v>
      </c>
      <c r="E8" s="92">
        <f t="shared" ref="E8:J8" si="19">1/E9</f>
        <v>39.311999999999998</v>
      </c>
      <c r="F8" s="92">
        <f t="shared" si="19"/>
        <v>40.098240000000004</v>
      </c>
      <c r="G8" s="92">
        <f t="shared" si="19"/>
        <v>40.540499999999994</v>
      </c>
      <c r="H8" s="92">
        <f t="shared" si="19"/>
        <v>39.311999999999998</v>
      </c>
      <c r="I8" s="92">
        <f t="shared" si="19"/>
        <v>39.244799999999998</v>
      </c>
      <c r="J8" s="92">
        <f t="shared" si="19"/>
        <v>39.244800000000005</v>
      </c>
      <c r="K8" s="125">
        <f>1/K9</f>
        <v>40.471199999999996</v>
      </c>
      <c r="L8" s="125">
        <f>1/L9</f>
        <v>39.244800000000005</v>
      </c>
      <c r="M8" s="100">
        <f>(G8-D8)/D8</f>
        <v>3.124999999999992E-2</v>
      </c>
      <c r="N8" s="100">
        <f>(F8-D8)/D8</f>
        <v>2.0000000000000167E-2</v>
      </c>
      <c r="O8" s="110" t="s">
        <v>2</v>
      </c>
      <c r="P8" s="130" t="s">
        <v>0</v>
      </c>
      <c r="Q8" s="118">
        <f>1/Q9</f>
        <v>39.319200000000002</v>
      </c>
      <c r="R8" s="118">
        <f t="shared" ref="R8:X8" si="20">1/R9</f>
        <v>39.319200000000002</v>
      </c>
      <c r="S8" s="118">
        <f t="shared" si="20"/>
        <v>40.105584000000007</v>
      </c>
      <c r="T8" s="118">
        <f t="shared" si="20"/>
        <v>40.547924999999999</v>
      </c>
      <c r="U8" s="118">
        <f t="shared" si="20"/>
        <v>39.319200000000002</v>
      </c>
      <c r="V8" s="118">
        <f t="shared" si="20"/>
        <v>39.302399999999999</v>
      </c>
      <c r="W8" s="118">
        <f>1/W9</f>
        <v>39.302399999999992</v>
      </c>
      <c r="X8" s="125">
        <f t="shared" si="20"/>
        <v>40.530599999999993</v>
      </c>
      <c r="Y8" s="125">
        <f>1/Y9</f>
        <v>39.302399999999992</v>
      </c>
      <c r="Z8" s="100">
        <f>(T8-Q8)/Q8</f>
        <v>3.1249999999999927E-2</v>
      </c>
      <c r="AA8" s="100">
        <f>(S8-Q8)/Q8</f>
        <v>2.0000000000000132E-2</v>
      </c>
      <c r="AB8" s="130" t="s">
        <v>2</v>
      </c>
      <c r="AC8" s="130" t="s">
        <v>0</v>
      </c>
      <c r="AD8" s="164">
        <f>1/AD9</f>
        <v>39.319200000000002</v>
      </c>
      <c r="AE8" s="118">
        <f t="shared" ref="AE8:AO8" si="21">1/AE9</f>
        <v>39.319200000000002</v>
      </c>
      <c r="AF8" s="164">
        <f t="shared" si="21"/>
        <v>39.316800000000001</v>
      </c>
      <c r="AG8" s="118">
        <f t="shared" si="21"/>
        <v>39.316800000000001</v>
      </c>
      <c r="AH8" s="164">
        <f t="shared" si="21"/>
        <v>39.311999999999998</v>
      </c>
      <c r="AI8" s="118">
        <f t="shared" si="21"/>
        <v>39.311999999999998</v>
      </c>
      <c r="AJ8" s="164">
        <f t="shared" si="21"/>
        <v>39.302399999999999</v>
      </c>
      <c r="AK8" s="165">
        <f t="shared" si="21"/>
        <v>39.302399999999992</v>
      </c>
      <c r="AL8" s="118">
        <f t="shared" si="21"/>
        <v>39.283200000000001</v>
      </c>
      <c r="AM8" s="165">
        <f t="shared" si="21"/>
        <v>39.283199999999994</v>
      </c>
      <c r="AN8" s="118">
        <f t="shared" si="21"/>
        <v>39.244799999999998</v>
      </c>
      <c r="AO8" s="165">
        <f t="shared" si="21"/>
        <v>39.244800000000005</v>
      </c>
      <c r="AP8" s="122"/>
      <c r="AQ8" s="110" t="s">
        <v>2</v>
      </c>
      <c r="AR8" s="130" t="s">
        <v>0</v>
      </c>
      <c r="AS8" s="146">
        <f>1/AS9</f>
        <v>39.316800000000001</v>
      </c>
      <c r="AT8" s="146">
        <f t="shared" ref="AT8:BA8" si="22">1/AT9</f>
        <v>39.316800000000001</v>
      </c>
      <c r="AU8" s="146">
        <f t="shared" si="22"/>
        <v>40.103135999999999</v>
      </c>
      <c r="AV8" s="146">
        <f t="shared" si="22"/>
        <v>40.545449999999995</v>
      </c>
      <c r="AW8" s="146">
        <f t="shared" si="22"/>
        <v>39.316800000000001</v>
      </c>
      <c r="AX8" s="146">
        <f t="shared" si="22"/>
        <v>39.283200000000001</v>
      </c>
      <c r="AY8" s="146">
        <f t="shared" si="22"/>
        <v>39.283199999999994</v>
      </c>
      <c r="AZ8" s="147">
        <f t="shared" si="22"/>
        <v>40.510799999999996</v>
      </c>
      <c r="BA8" s="147">
        <f t="shared" si="22"/>
        <v>39.283199999999994</v>
      </c>
      <c r="BB8" s="100">
        <f>(AV8-AS8)/AS8</f>
        <v>3.1249999999999865E-2</v>
      </c>
      <c r="BC8" s="100">
        <f>(AU8-AS8)/AS8</f>
        <v>1.9999999999999962E-2</v>
      </c>
    </row>
    <row r="9" spans="2:55" x14ac:dyDescent="0.6">
      <c r="B9" s="2"/>
      <c r="C9" s="2" t="s">
        <v>1</v>
      </c>
      <c r="D9" s="94">
        <f>D3/D5/D7</f>
        <v>2.5437525437525439E-2</v>
      </c>
      <c r="E9" s="94">
        <f t="shared" ref="E9:H9" si="23">E3/E5/E7</f>
        <v>2.5437525437525439E-2</v>
      </c>
      <c r="F9" s="94">
        <f t="shared" si="23"/>
        <v>2.4938750428946506E-2</v>
      </c>
      <c r="G9" s="94">
        <f t="shared" si="23"/>
        <v>2.4666691333358002E-2</v>
      </c>
      <c r="H9" s="94">
        <f t="shared" si="23"/>
        <v>2.5437525437525439E-2</v>
      </c>
      <c r="I9" s="115">
        <f>(I3*I15)/(I5*I15)/I7</f>
        <v>2.5481082844096545E-2</v>
      </c>
      <c r="J9" s="115">
        <f t="shared" ref="J9:L9" si="24">(J3*J15)/(J5*J15)/J7</f>
        <v>2.5481082844096541E-2</v>
      </c>
      <c r="K9" s="123">
        <f t="shared" si="24"/>
        <v>2.4708928818517863E-2</v>
      </c>
      <c r="L9" s="123">
        <f t="shared" si="24"/>
        <v>2.5481082844096541E-2</v>
      </c>
      <c r="M9" s="100">
        <f>(D8-I8)/I8</f>
        <v>1.7123287671232802E-3</v>
      </c>
      <c r="N9" s="100"/>
      <c r="O9" s="110"/>
      <c r="P9" s="130" t="s">
        <v>1</v>
      </c>
      <c r="Q9" s="115">
        <f t="shared" ref="Q9:T9" si="25">Q3/Q5/Q7</f>
        <v>2.5432867403202507E-2</v>
      </c>
      <c r="R9" s="115">
        <f t="shared" si="25"/>
        <v>2.5432867403202507E-2</v>
      </c>
      <c r="S9" s="115">
        <f t="shared" si="25"/>
        <v>2.4934183728629905E-2</v>
      </c>
      <c r="T9" s="115">
        <f t="shared" si="25"/>
        <v>2.4662174451590309E-2</v>
      </c>
      <c r="U9" s="115">
        <f>U3/U5/U7</f>
        <v>2.5432867403202507E-2</v>
      </c>
      <c r="V9" s="115">
        <f>(V3*V15)/(V5*V15)/V7</f>
        <v>2.5443738804754926E-2</v>
      </c>
      <c r="W9" s="115">
        <f t="shared" ref="W9:Y9" si="26">(W3*W15)/(W5*W15)/W7</f>
        <v>2.544373880475493E-2</v>
      </c>
      <c r="X9" s="123">
        <f t="shared" si="26"/>
        <v>2.4672716416732052E-2</v>
      </c>
      <c r="Y9" s="123">
        <f t="shared" si="26"/>
        <v>2.544373880475493E-2</v>
      </c>
      <c r="Z9" s="100">
        <f>(Q8-V8)/V8</f>
        <v>4.2745481191997127E-4</v>
      </c>
      <c r="AB9" s="130"/>
      <c r="AC9" s="130" t="s">
        <v>1</v>
      </c>
      <c r="AD9" s="161">
        <f>AD3/AD5/AD7</f>
        <v>2.5432867403202507E-2</v>
      </c>
      <c r="AE9" s="115">
        <f t="shared" ref="AE9:AO9" si="27">AE3/AE5/AE7</f>
        <v>2.5432867403202507E-2</v>
      </c>
      <c r="AF9" s="161">
        <f t="shared" si="27"/>
        <v>2.5434419891751107E-2</v>
      </c>
      <c r="AG9" s="115">
        <f t="shared" si="27"/>
        <v>2.543441989175111E-2</v>
      </c>
      <c r="AH9" s="161">
        <f t="shared" si="27"/>
        <v>2.5437525437525439E-2</v>
      </c>
      <c r="AI9" s="115">
        <f t="shared" si="27"/>
        <v>2.5437525437525439E-2</v>
      </c>
      <c r="AJ9" s="161">
        <f t="shared" si="27"/>
        <v>2.5443738804754926E-2</v>
      </c>
      <c r="AK9" s="162">
        <f t="shared" si="27"/>
        <v>2.544373880475493E-2</v>
      </c>
      <c r="AL9" s="115">
        <f t="shared" si="27"/>
        <v>2.5456174649723037E-2</v>
      </c>
      <c r="AM9" s="162">
        <f t="shared" si="27"/>
        <v>2.5456174649723041E-2</v>
      </c>
      <c r="AN9" s="115">
        <f t="shared" si="27"/>
        <v>2.5481082844096545E-2</v>
      </c>
      <c r="AO9" s="162">
        <f t="shared" si="27"/>
        <v>2.5481082844096541E-2</v>
      </c>
      <c r="AP9" s="123"/>
      <c r="AQ9" s="110"/>
      <c r="AR9" s="130" t="s">
        <v>1</v>
      </c>
      <c r="AS9" s="132">
        <f>AS3/AS5/AS7</f>
        <v>2.5434419891751107E-2</v>
      </c>
      <c r="AT9" s="132">
        <f t="shared" ref="AT9:BA9" si="28">AT3/AT5/AT7</f>
        <v>2.543441989175111E-2</v>
      </c>
      <c r="AU9" s="132">
        <f t="shared" si="28"/>
        <v>2.4935705776226579E-2</v>
      </c>
      <c r="AV9" s="132">
        <f t="shared" si="28"/>
        <v>2.466367989503138E-2</v>
      </c>
      <c r="AW9" s="132">
        <f t="shared" si="28"/>
        <v>2.543441989175111E-2</v>
      </c>
      <c r="AX9" s="132">
        <f t="shared" si="28"/>
        <v>2.5456174649723037E-2</v>
      </c>
      <c r="AY9" s="132">
        <f t="shared" si="28"/>
        <v>2.5456174649723041E-2</v>
      </c>
      <c r="AZ9" s="145">
        <f t="shared" si="28"/>
        <v>2.4684775417913248E-2</v>
      </c>
      <c r="BA9" s="145">
        <f t="shared" si="28"/>
        <v>2.5456174649723041E-2</v>
      </c>
      <c r="BB9" s="100">
        <f>(AS8-AX8)/AX8</f>
        <v>8.5532746823069024E-4</v>
      </c>
    </row>
    <row r="10" spans="2:55" x14ac:dyDescent="0.6">
      <c r="B10" s="2" t="s">
        <v>49</v>
      </c>
      <c r="C10" s="2" t="s">
        <v>5</v>
      </c>
      <c r="D10" s="8">
        <f>D3/D9</f>
        <v>393120</v>
      </c>
      <c r="E10" s="8">
        <f>E3/E9</f>
        <v>327600</v>
      </c>
      <c r="F10" s="8">
        <f>F3/F9</f>
        <v>278460</v>
      </c>
      <c r="G10" s="8">
        <f>G3/G9</f>
        <v>245700</v>
      </c>
      <c r="H10" s="8">
        <f>H3/H9</f>
        <v>163800</v>
      </c>
      <c r="I10" s="8">
        <f>I3*I15/I9</f>
        <v>392447.99999999994</v>
      </c>
      <c r="J10" s="8">
        <f t="shared" ref="J10" si="29">J3*J15/J9</f>
        <v>327040.00000000006</v>
      </c>
      <c r="K10" s="126">
        <f t="shared" ref="K10" si="30">K3*K15/K9</f>
        <v>245279.99999999997</v>
      </c>
      <c r="L10" s="126">
        <f t="shared" ref="L10" si="31">L3*L15/L9</f>
        <v>163520.00000000003</v>
      </c>
      <c r="M10" s="99"/>
      <c r="N10" s="99"/>
      <c r="O10" s="2" t="s">
        <v>49</v>
      </c>
      <c r="P10" s="2" t="s">
        <v>5</v>
      </c>
      <c r="Q10" s="8">
        <f>Q3/Q9</f>
        <v>393192</v>
      </c>
      <c r="R10" s="8">
        <f>R3/R9</f>
        <v>327660</v>
      </c>
      <c r="S10" s="8">
        <f>S3/S9</f>
        <v>278511.00000000006</v>
      </c>
      <c r="T10" s="8">
        <f>T3/T9</f>
        <v>245745.00000000003</v>
      </c>
      <c r="U10" s="8">
        <f>U3/U9</f>
        <v>163830</v>
      </c>
      <c r="V10" s="8">
        <f>V3*V15/V9</f>
        <v>393024</v>
      </c>
      <c r="W10" s="8">
        <f t="shared" ref="W10:Y10" si="32">W3*W15/W9</f>
        <v>327520</v>
      </c>
      <c r="X10" s="126">
        <f t="shared" si="32"/>
        <v>245639.99999999997</v>
      </c>
      <c r="Y10" s="126">
        <f t="shared" si="32"/>
        <v>163760</v>
      </c>
      <c r="AB10" s="130" t="s">
        <v>49</v>
      </c>
      <c r="AC10" s="130" t="s">
        <v>5</v>
      </c>
      <c r="AD10" s="166">
        <f>AD3/AD9</f>
        <v>393192</v>
      </c>
      <c r="AE10" s="150">
        <f t="shared" ref="AE10" si="33">AE3/AE9</f>
        <v>327660</v>
      </c>
      <c r="AF10" s="175">
        <f>AF3*2^($AD$4-AF4)/AF9</f>
        <v>393168.00000000006</v>
      </c>
      <c r="AG10" s="8">
        <f>AG3*2^($AE$4-AG4)/AG9</f>
        <v>327640</v>
      </c>
      <c r="AH10" s="175">
        <f>AH3*2^($AD$4-AH4)/AH9</f>
        <v>393120</v>
      </c>
      <c r="AI10" s="8">
        <f>AI3*2^($AE$4-AI4)/AI9</f>
        <v>327600</v>
      </c>
      <c r="AJ10" s="175">
        <f>AJ3*2^($AD$4-AJ4)/AJ9</f>
        <v>393024</v>
      </c>
      <c r="AK10" s="167">
        <f>AK3*2^($AE$4-AK4)/AK9</f>
        <v>327520</v>
      </c>
      <c r="AL10" s="8">
        <f>AL3*2^($AD$4-AL4)/AL9</f>
        <v>392832</v>
      </c>
      <c r="AM10" s="167">
        <f>AM3*2^($AE$4-AM4)/AM9</f>
        <v>327360</v>
      </c>
      <c r="AN10" s="8">
        <f>AN3*2^($AD$4-AN4)/AN9</f>
        <v>392447.99999999994</v>
      </c>
      <c r="AO10" s="167">
        <f>AO3*2^($AE$4-AO4)/AO9</f>
        <v>327040.00000000006</v>
      </c>
      <c r="AP10" s="106"/>
      <c r="AQ10" s="119" t="s">
        <v>49</v>
      </c>
      <c r="AR10" s="119" t="s">
        <v>5</v>
      </c>
      <c r="AS10" s="131">
        <f>AS3/AS9</f>
        <v>393168.00000000006</v>
      </c>
      <c r="AT10" s="131">
        <f>AT3/AT9</f>
        <v>327640</v>
      </c>
      <c r="AU10" s="131">
        <f>AU3/AU9</f>
        <v>278494</v>
      </c>
      <c r="AV10" s="131">
        <f>AV3/AV9</f>
        <v>245730</v>
      </c>
      <c r="AW10" s="131">
        <f>AW3/AW9</f>
        <v>163820</v>
      </c>
      <c r="AX10" s="131">
        <f>AX3*8/AX9</f>
        <v>392832</v>
      </c>
      <c r="AY10" s="131">
        <f>AY3*8/AY9</f>
        <v>327360</v>
      </c>
      <c r="AZ10" s="148">
        <f>AZ3*8/AZ9</f>
        <v>245520</v>
      </c>
      <c r="BA10" s="148">
        <f>BA3*8/BA9</f>
        <v>163680</v>
      </c>
      <c r="BB10" s="112"/>
    </row>
    <row r="11" spans="2:55" x14ac:dyDescent="0.6">
      <c r="B11" s="2"/>
      <c r="C11" s="2" t="s">
        <v>50</v>
      </c>
      <c r="D11" s="1" t="str">
        <f>DEC2HEX(D10)</f>
        <v>5FFA0</v>
      </c>
      <c r="E11" s="1" t="str">
        <f t="shared" ref="E11:L11" si="34">DEC2HEX(E10)</f>
        <v>4FFB0</v>
      </c>
      <c r="F11" s="1" t="str">
        <f t="shared" si="34"/>
        <v>43FBC</v>
      </c>
      <c r="G11" s="1" t="str">
        <f t="shared" si="34"/>
        <v>3BFC4</v>
      </c>
      <c r="H11" s="1" t="str">
        <f t="shared" si="34"/>
        <v>27FD8</v>
      </c>
      <c r="I11" s="1" t="str">
        <f t="shared" si="34"/>
        <v>5FCFF</v>
      </c>
      <c r="J11" s="1" t="str">
        <f t="shared" si="34"/>
        <v>4FD80</v>
      </c>
      <c r="K11" s="127" t="str">
        <f t="shared" si="34"/>
        <v>3BE1F</v>
      </c>
      <c r="L11" s="127" t="str">
        <f t="shared" si="34"/>
        <v>27EC0</v>
      </c>
      <c r="O11" s="2"/>
      <c r="P11" s="2" t="s">
        <v>50</v>
      </c>
      <c r="Q11" s="1" t="str">
        <f>DEC2HEX(Q10)</f>
        <v>5FFE8</v>
      </c>
      <c r="R11" s="1" t="str">
        <f t="shared" ref="R11" si="35">DEC2HEX(R10)</f>
        <v>4FFEC</v>
      </c>
      <c r="S11" s="1" t="str">
        <f t="shared" ref="S11" si="36">DEC2HEX(S10)</f>
        <v>43FEF</v>
      </c>
      <c r="T11" s="1" t="str">
        <f t="shared" ref="T11" si="37">DEC2HEX(T10)</f>
        <v>3BFF1</v>
      </c>
      <c r="U11" s="1" t="str">
        <f t="shared" ref="U11" si="38">DEC2HEX(U10)</f>
        <v>27FF6</v>
      </c>
      <c r="V11" s="1" t="str">
        <f t="shared" ref="V11" si="39">DEC2HEX(V10)</f>
        <v>5FF40</v>
      </c>
      <c r="W11" s="1" t="str">
        <f t="shared" ref="W11" si="40">DEC2HEX(W10)</f>
        <v>4FF60</v>
      </c>
      <c r="X11" s="127" t="str">
        <f t="shared" ref="X11" si="41">DEC2HEX(X10)</f>
        <v>3BF87</v>
      </c>
      <c r="Y11" s="127" t="str">
        <f t="shared" ref="Y11" si="42">DEC2HEX(Y10)</f>
        <v>27FB0</v>
      </c>
      <c r="AB11" s="130"/>
      <c r="AC11" s="130" t="s">
        <v>50</v>
      </c>
      <c r="AD11" s="168" t="str">
        <f>DEC2HEX(AD10)</f>
        <v>5FFE8</v>
      </c>
      <c r="AE11" s="120" t="str">
        <f t="shared" ref="AE11:AO11" si="43">DEC2HEX(AE10)</f>
        <v>4FFEC</v>
      </c>
      <c r="AF11" s="168" t="str">
        <f t="shared" si="43"/>
        <v>5FFD0</v>
      </c>
      <c r="AG11" s="120" t="str">
        <f t="shared" si="43"/>
        <v>4FFD8</v>
      </c>
      <c r="AH11" s="168" t="str">
        <f t="shared" si="43"/>
        <v>5FFA0</v>
      </c>
      <c r="AI11" s="120" t="str">
        <f t="shared" si="43"/>
        <v>4FFB0</v>
      </c>
      <c r="AJ11" s="168" t="str">
        <f t="shared" si="43"/>
        <v>5FF40</v>
      </c>
      <c r="AK11" s="169" t="str">
        <f t="shared" si="43"/>
        <v>4FF60</v>
      </c>
      <c r="AL11" s="120" t="str">
        <f t="shared" si="43"/>
        <v>5FE80</v>
      </c>
      <c r="AM11" s="169" t="str">
        <f t="shared" si="43"/>
        <v>4FEC0</v>
      </c>
      <c r="AN11" s="120" t="str">
        <f t="shared" si="43"/>
        <v>5FCFF</v>
      </c>
      <c r="AO11" s="169" t="str">
        <f t="shared" si="43"/>
        <v>4FD80</v>
      </c>
      <c r="AP11" s="107"/>
      <c r="AQ11" s="110"/>
      <c r="AR11" s="130" t="s">
        <v>50</v>
      </c>
      <c r="AS11" s="120" t="str">
        <f>DEC2HEX(AS10)</f>
        <v>5FFD0</v>
      </c>
      <c r="AT11" s="120" t="str">
        <f t="shared" ref="AT11:BA11" si="44">DEC2HEX(AT10)</f>
        <v>4FFD8</v>
      </c>
      <c r="AU11" s="120" t="str">
        <f t="shared" si="44"/>
        <v>43FDE</v>
      </c>
      <c r="AV11" s="120" t="str">
        <f t="shared" si="44"/>
        <v>3BFE2</v>
      </c>
      <c r="AW11" s="120" t="str">
        <f t="shared" si="44"/>
        <v>27FEC</v>
      </c>
      <c r="AX11" s="120" t="str">
        <f t="shared" si="44"/>
        <v>5FE80</v>
      </c>
      <c r="AY11" s="120" t="str">
        <f t="shared" si="44"/>
        <v>4FEC0</v>
      </c>
      <c r="AZ11" s="127" t="str">
        <f t="shared" si="44"/>
        <v>3BF10</v>
      </c>
      <c r="BA11" s="127" t="str">
        <f t="shared" si="44"/>
        <v>27F60</v>
      </c>
      <c r="BB11" s="112"/>
    </row>
    <row r="12" spans="2:55" x14ac:dyDescent="0.6">
      <c r="B12" s="2"/>
      <c r="C12" s="2">
        <v>20</v>
      </c>
      <c r="D12" s="8">
        <f>2^C12-1</f>
        <v>1048575</v>
      </c>
      <c r="K12" s="122"/>
      <c r="L12" s="122"/>
      <c r="O12" s="2"/>
      <c r="P12" s="2"/>
      <c r="Q12" s="8"/>
      <c r="R12"/>
      <c r="S12"/>
      <c r="T12"/>
      <c r="U12"/>
      <c r="V12"/>
      <c r="W12"/>
      <c r="AB12" s="130"/>
      <c r="AC12" s="130"/>
      <c r="AD12" s="166"/>
      <c r="AF12" s="159"/>
      <c r="AH12" s="159"/>
      <c r="AJ12" s="159"/>
      <c r="AK12" s="160"/>
      <c r="AM12" s="160"/>
      <c r="AO12" s="160"/>
      <c r="AP12" s="102"/>
      <c r="AQ12" s="114"/>
      <c r="AR12" s="120"/>
      <c r="AS12" s="120"/>
      <c r="AT12" s="120"/>
      <c r="AU12" s="120"/>
      <c r="AV12" s="120"/>
      <c r="AW12" s="120"/>
      <c r="AX12" s="120"/>
      <c r="AY12" s="120"/>
      <c r="AZ12" s="127"/>
      <c r="BA12" s="127"/>
      <c r="BB12" s="112"/>
    </row>
    <row r="13" spans="2:55" x14ac:dyDescent="0.6">
      <c r="B13" s="2"/>
      <c r="C13" s="2" t="s">
        <v>97</v>
      </c>
      <c r="D13" s="95">
        <f t="shared" ref="D13:L13" si="45">$D$12*D9</f>
        <v>26673.153235653237</v>
      </c>
      <c r="E13" s="95">
        <f t="shared" si="45"/>
        <v>26673.153235653237</v>
      </c>
      <c r="F13" s="95">
        <f t="shared" si="45"/>
        <v>26150.150231032581</v>
      </c>
      <c r="G13" s="95">
        <f t="shared" si="45"/>
        <v>25864.875864875867</v>
      </c>
      <c r="H13" s="95">
        <f t="shared" si="45"/>
        <v>26673.153235653237</v>
      </c>
      <c r="I13" s="95">
        <f t="shared" si="45"/>
        <v>26718.826443248534</v>
      </c>
      <c r="J13" s="95">
        <f t="shared" si="45"/>
        <v>26718.82644324853</v>
      </c>
      <c r="K13" s="128">
        <f t="shared" si="45"/>
        <v>25909.16503587737</v>
      </c>
      <c r="L13" s="128">
        <f t="shared" si="45"/>
        <v>26718.82644324853</v>
      </c>
      <c r="O13" s="2"/>
      <c r="P13" s="2"/>
      <c r="Q13" s="95"/>
      <c r="R13" s="95"/>
      <c r="S13" s="95"/>
      <c r="T13" s="95"/>
      <c r="U13" s="95"/>
      <c r="V13" s="95"/>
      <c r="W13" s="95"/>
      <c r="X13" s="128"/>
      <c r="Y13" s="128"/>
      <c r="AB13" s="130"/>
      <c r="AC13" s="130"/>
      <c r="AD13" s="170"/>
      <c r="AE13" s="151"/>
      <c r="AF13" s="170"/>
      <c r="AG13" s="151"/>
      <c r="AH13" s="170"/>
      <c r="AI13" s="151"/>
      <c r="AJ13" s="170"/>
      <c r="AK13" s="171"/>
      <c r="AL13" s="151"/>
      <c r="AM13" s="171"/>
      <c r="AN13" s="151"/>
      <c r="AO13" s="171"/>
      <c r="AP13" s="108"/>
      <c r="AQ13" s="110" t="s">
        <v>3</v>
      </c>
      <c r="AR13" s="130" t="s">
        <v>4</v>
      </c>
      <c r="AS13" s="130">
        <v>100</v>
      </c>
      <c r="AT13" s="130">
        <v>120</v>
      </c>
      <c r="AU13" s="130">
        <v>144</v>
      </c>
      <c r="AV13" s="130">
        <v>165</v>
      </c>
      <c r="AW13" s="130">
        <v>240</v>
      </c>
      <c r="AX13" s="130">
        <f>AS13*8</f>
        <v>800</v>
      </c>
      <c r="AY13" s="130">
        <f t="shared" ref="AY13" si="46">AT13*8</f>
        <v>960</v>
      </c>
      <c r="AZ13" s="141">
        <f>AV13*8</f>
        <v>1320</v>
      </c>
      <c r="BA13" s="141">
        <f>AW13*8</f>
        <v>1920</v>
      </c>
      <c r="BB13" s="114"/>
    </row>
    <row r="14" spans="2:55" x14ac:dyDescent="0.6">
      <c r="B14" s="2"/>
      <c r="C14" s="2" t="s">
        <v>96</v>
      </c>
      <c r="D14" s="8">
        <f>D10*2</f>
        <v>786240</v>
      </c>
      <c r="K14" s="122"/>
      <c r="L14" s="122"/>
      <c r="O14" s="2"/>
      <c r="P14" s="2"/>
      <c r="Q14" s="8"/>
      <c r="R14"/>
      <c r="S14"/>
      <c r="T14"/>
      <c r="U14"/>
      <c r="V14"/>
      <c r="W14"/>
      <c r="AB14" s="130"/>
      <c r="AC14" s="130"/>
      <c r="AD14" s="166"/>
      <c r="AF14" s="159"/>
      <c r="AH14" s="159"/>
      <c r="AJ14" s="159"/>
      <c r="AK14" s="160"/>
      <c r="AM14" s="160"/>
      <c r="AO14" s="160"/>
      <c r="AP14" s="102"/>
      <c r="AQ14" s="110"/>
      <c r="AR14" s="130" t="s">
        <v>1</v>
      </c>
      <c r="AS14" s="142">
        <f>1/AS13*1000000</f>
        <v>10000</v>
      </c>
      <c r="AT14" s="142">
        <f t="shared" ref="AT14" si="47">1/AT13*1000000</f>
        <v>8333.3333333333339</v>
      </c>
      <c r="AU14" s="142">
        <f>1/AU13*1000000</f>
        <v>6944.4444444444443</v>
      </c>
      <c r="AV14" s="142">
        <f t="shared" ref="AV14:BA14" si="48">1/AV13*1000000</f>
        <v>6060.606060606061</v>
      </c>
      <c r="AW14" s="142">
        <f t="shared" si="48"/>
        <v>4166.666666666667</v>
      </c>
      <c r="AX14" s="142">
        <f t="shared" si="48"/>
        <v>1250</v>
      </c>
      <c r="AY14" s="142">
        <f t="shared" si="48"/>
        <v>1041.6666666666667</v>
      </c>
      <c r="AZ14" s="143">
        <f t="shared" si="48"/>
        <v>757.57575757575762</v>
      </c>
      <c r="BA14" s="143">
        <f t="shared" si="48"/>
        <v>520.83333333333337</v>
      </c>
      <c r="BB14" s="114"/>
    </row>
    <row r="15" spans="2:55" ht="17.25" thickBot="1" x14ac:dyDescent="0.65">
      <c r="B15" s="130" t="s">
        <v>78</v>
      </c>
      <c r="C15" s="130" t="s">
        <v>5</v>
      </c>
      <c r="D15">
        <f>2^($D$4-D4)</f>
        <v>1</v>
      </c>
      <c r="E15">
        <f>2^($E$4-E4)</f>
        <v>1</v>
      </c>
      <c r="F15">
        <f>2^($F$4-F4)</f>
        <v>1</v>
      </c>
      <c r="G15">
        <f>2^($G$4-G4)</f>
        <v>1</v>
      </c>
      <c r="H15">
        <f>2^($H$4-H4)</f>
        <v>1</v>
      </c>
      <c r="I15">
        <f>2^(D4-I4)</f>
        <v>8</v>
      </c>
      <c r="J15">
        <f>2^(E4-J4)</f>
        <v>8</v>
      </c>
      <c r="K15" s="122">
        <f>2^(G4-K4)</f>
        <v>8</v>
      </c>
      <c r="L15" s="122">
        <f>2^(H4-L4)</f>
        <v>8</v>
      </c>
      <c r="O15" s="130" t="s">
        <v>78</v>
      </c>
      <c r="P15" s="130" t="s">
        <v>5</v>
      </c>
      <c r="Q15">
        <f>2^($Q$4-Q4)</f>
        <v>1</v>
      </c>
      <c r="R15">
        <f>2^($Q$4-R4)</f>
        <v>1</v>
      </c>
      <c r="S15">
        <f>2^($Q$4-S4)</f>
        <v>1</v>
      </c>
      <c r="T15">
        <f t="shared" ref="T15:U15" si="49">2^($Q$4-T4)</f>
        <v>1</v>
      </c>
      <c r="U15">
        <f t="shared" si="49"/>
        <v>1</v>
      </c>
      <c r="V15">
        <v>8</v>
      </c>
      <c r="W15">
        <v>8</v>
      </c>
      <c r="X15" s="122">
        <v>8</v>
      </c>
      <c r="Y15" s="122">
        <v>8</v>
      </c>
      <c r="AB15" s="130" t="s">
        <v>78</v>
      </c>
      <c r="AC15" s="130" t="s">
        <v>5</v>
      </c>
      <c r="AD15" s="172">
        <f>2^($AD$4-AD4)</f>
        <v>1</v>
      </c>
      <c r="AE15" s="173">
        <f>2^($AD$4-AE4)</f>
        <v>1</v>
      </c>
      <c r="AF15" s="172">
        <f>2^($AD$4-AF4)</f>
        <v>2</v>
      </c>
      <c r="AG15" s="173">
        <f>2^($AE$4-AG4)</f>
        <v>2</v>
      </c>
      <c r="AH15" s="172">
        <f>2^($AD$4-AH4)</f>
        <v>4</v>
      </c>
      <c r="AI15" s="173">
        <f>2^($AE$4-AI4)</f>
        <v>4</v>
      </c>
      <c r="AJ15" s="172">
        <f>2^($AD$4-AJ4)</f>
        <v>8</v>
      </c>
      <c r="AK15" s="174">
        <f>2^($AE$4-AK4)</f>
        <v>8</v>
      </c>
      <c r="AL15" s="173">
        <f>2^($AD$4-AL4)</f>
        <v>16</v>
      </c>
      <c r="AM15" s="174">
        <f>2^($AE$4-AM4)</f>
        <v>16</v>
      </c>
      <c r="AN15" s="173">
        <f>2^($AD$4-AN4)</f>
        <v>32</v>
      </c>
      <c r="AO15" s="174">
        <f>2^($AE$4-AO4)</f>
        <v>32</v>
      </c>
      <c r="AP15" s="102"/>
      <c r="AQ15" s="2" t="s">
        <v>99</v>
      </c>
      <c r="AR15" s="2" t="s">
        <v>100</v>
      </c>
      <c r="AS15" s="137">
        <v>15</v>
      </c>
      <c r="AT15" s="137"/>
      <c r="AU15" s="137"/>
      <c r="AV15" s="137"/>
      <c r="AW15" s="137"/>
      <c r="AX15" s="137"/>
      <c r="AY15" s="137"/>
      <c r="AZ15" s="144"/>
      <c r="BA15" s="144"/>
      <c r="BB15" s="114"/>
    </row>
    <row r="16" spans="2:55" x14ac:dyDescent="0.6">
      <c r="B16" s="130"/>
      <c r="C16" s="2"/>
      <c r="F16" s="109"/>
      <c r="K16" s="102"/>
      <c r="U16" s="7"/>
      <c r="V16"/>
      <c r="W16"/>
      <c r="AP16" s="102"/>
      <c r="AQ16" s="110"/>
      <c r="AR16" s="133" t="s">
        <v>5</v>
      </c>
      <c r="AS16" s="120">
        <f>2^$AS$15-1</f>
        <v>32767</v>
      </c>
      <c r="AT16" s="120">
        <f>2^$AS$15-1</f>
        <v>32767</v>
      </c>
      <c r="AU16" s="120">
        <f>2^$AS$15-1</f>
        <v>32767</v>
      </c>
      <c r="AV16" s="120">
        <f>2^$AS$15-1</f>
        <v>32767</v>
      </c>
      <c r="AW16" s="120">
        <f>2^$AS$15-1</f>
        <v>32767</v>
      </c>
      <c r="AX16" s="120">
        <f>2^$AS$15/8-1</f>
        <v>4095</v>
      </c>
      <c r="AY16" s="120">
        <f>2^$AS$15/8-1</f>
        <v>4095</v>
      </c>
      <c r="AZ16" s="127">
        <f>2^$AS$15/8-1</f>
        <v>4095</v>
      </c>
      <c r="BA16" s="127">
        <f>2^$AS$15/8-1</f>
        <v>4095</v>
      </c>
      <c r="BB16" s="114"/>
    </row>
    <row r="17" spans="2:55" x14ac:dyDescent="0.6">
      <c r="B17" s="2" t="s">
        <v>98</v>
      </c>
      <c r="C17" s="2" t="s">
        <v>0</v>
      </c>
      <c r="D17" s="333">
        <f>G8</f>
        <v>40.540499999999994</v>
      </c>
      <c r="E17" s="334"/>
      <c r="F17" s="330" t="s">
        <v>1144</v>
      </c>
      <c r="G17" s="331">
        <f>D17</f>
        <v>40.540499999999994</v>
      </c>
      <c r="H17" s="330" t="s">
        <v>1143</v>
      </c>
      <c r="I17" s="331">
        <v>8</v>
      </c>
      <c r="J17" s="332">
        <v>12</v>
      </c>
      <c r="K17" s="335">
        <v>14.75</v>
      </c>
      <c r="U17" s="7"/>
      <c r="V17"/>
      <c r="W17"/>
      <c r="AP17" s="102"/>
      <c r="AQ17" s="110"/>
      <c r="AR17" s="134" t="s">
        <v>1</v>
      </c>
      <c r="AS17" s="132">
        <f t="shared" ref="AS17:BA17" si="50">AS14/AS16</f>
        <v>0.30518509475997191</v>
      </c>
      <c r="AT17" s="132">
        <f t="shared" si="50"/>
        <v>0.25432091229997661</v>
      </c>
      <c r="AU17" s="132">
        <f t="shared" si="50"/>
        <v>0.21193409358331383</v>
      </c>
      <c r="AV17" s="132">
        <f t="shared" si="50"/>
        <v>0.18496066349089207</v>
      </c>
      <c r="AW17" s="132">
        <f t="shared" si="50"/>
        <v>0.1271604561499883</v>
      </c>
      <c r="AX17" s="132">
        <f t="shared" si="50"/>
        <v>0.30525030525030528</v>
      </c>
      <c r="AY17" s="132">
        <f t="shared" si="50"/>
        <v>0.25437525437525438</v>
      </c>
      <c r="AZ17" s="145">
        <f t="shared" si="50"/>
        <v>0.185000185000185</v>
      </c>
      <c r="BA17" s="145">
        <f t="shared" si="50"/>
        <v>0.12718762718762719</v>
      </c>
      <c r="BB17" s="114"/>
    </row>
    <row r="18" spans="2:55" x14ac:dyDescent="0.6">
      <c r="B18" s="2" t="s">
        <v>44</v>
      </c>
      <c r="C18" s="2">
        <v>62</v>
      </c>
      <c r="D18" s="7">
        <f>(1/$D$17)*C18</f>
        <v>1.5293348626681962</v>
      </c>
      <c r="E18" s="7" t="s">
        <v>1</v>
      </c>
      <c r="F18" s="195">
        <v>20</v>
      </c>
      <c r="G18" s="325">
        <f>$G$9*F18</f>
        <v>0.49333382666716002</v>
      </c>
      <c r="H18" s="195"/>
      <c r="I18" s="325">
        <f>G18/(1/$I$17)</f>
        <v>3.9466706133372802</v>
      </c>
      <c r="J18" s="328">
        <f>G18/(1/$J$17)</f>
        <v>5.920005920005921</v>
      </c>
      <c r="K18" s="328">
        <f>G18/(1/$K$17)</f>
        <v>7.2766739433406107</v>
      </c>
      <c r="U18" s="7"/>
      <c r="V18"/>
      <c r="W18"/>
      <c r="AP18" s="102"/>
      <c r="AQ18" s="110" t="s">
        <v>95</v>
      </c>
      <c r="AR18" s="130" t="s">
        <v>5</v>
      </c>
      <c r="AS18" s="137">
        <f>D7/8</f>
        <v>12</v>
      </c>
      <c r="AT18" s="137">
        <f>E7/8</f>
        <v>10</v>
      </c>
      <c r="AU18" s="149">
        <v>8</v>
      </c>
      <c r="AV18" s="149">
        <v>7</v>
      </c>
      <c r="AW18" s="137">
        <f>H7/8</f>
        <v>5</v>
      </c>
      <c r="AX18" s="137">
        <f>AS18</f>
        <v>12</v>
      </c>
      <c r="AY18" s="137">
        <f t="shared" ref="AY18" si="51">AT18</f>
        <v>10</v>
      </c>
      <c r="AZ18" s="144">
        <f>AV18</f>
        <v>7</v>
      </c>
      <c r="BA18" s="144">
        <f>AW18</f>
        <v>5</v>
      </c>
      <c r="BB18" s="114"/>
    </row>
    <row r="19" spans="2:55" x14ac:dyDescent="0.6">
      <c r="B19" s="2" t="s">
        <v>45</v>
      </c>
      <c r="C19" s="2">
        <v>40</v>
      </c>
      <c r="D19" s="7">
        <f t="shared" ref="D19:D20" si="52">(1/$D$17)*C19</f>
        <v>0.98666765333432005</v>
      </c>
      <c r="E19" s="7" t="s">
        <v>1</v>
      </c>
      <c r="F19" s="195">
        <v>10</v>
      </c>
      <c r="G19" s="325">
        <f t="shared" ref="G19:G20" si="53">$G$9*F19</f>
        <v>0.24666691333358001</v>
      </c>
      <c r="H19" s="195"/>
      <c r="I19" s="325">
        <f>G19/(1/$I$17)</f>
        <v>1.9733353066686401</v>
      </c>
      <c r="J19" s="328">
        <f t="shared" ref="J19:J20" si="54">G19/(1/$J$17)</f>
        <v>2.9600029600029605</v>
      </c>
      <c r="K19" s="328">
        <f t="shared" ref="K19:K20" si="55">G19/(1/$K$17)</f>
        <v>3.6383369716703053</v>
      </c>
      <c r="U19" s="7"/>
      <c r="V19"/>
      <c r="W19"/>
      <c r="AP19" s="102"/>
      <c r="AQ19" s="110" t="s">
        <v>2</v>
      </c>
      <c r="AR19" s="130" t="s">
        <v>0</v>
      </c>
      <c r="AS19" s="146">
        <f>1/AS20</f>
        <v>39.320399999999999</v>
      </c>
      <c r="AT19" s="146">
        <f t="shared" ref="AT19:AZ19" si="56">1/AT20</f>
        <v>39.320399999999999</v>
      </c>
      <c r="AU19" s="146">
        <f t="shared" si="56"/>
        <v>37.747584000000003</v>
      </c>
      <c r="AV19" s="146">
        <f t="shared" si="56"/>
        <v>37.845885000000003</v>
      </c>
      <c r="AW19" s="146">
        <f t="shared" si="56"/>
        <v>39.320399999999999</v>
      </c>
      <c r="AX19" s="146">
        <f t="shared" si="56"/>
        <v>39.311999999999998</v>
      </c>
      <c r="AY19" s="146">
        <f t="shared" si="56"/>
        <v>39.311999999999998</v>
      </c>
      <c r="AZ19" s="147">
        <f t="shared" si="56"/>
        <v>37.837800000000001</v>
      </c>
      <c r="BA19" s="147">
        <f>1/BA20</f>
        <v>39.311999999999998</v>
      </c>
      <c r="BB19" s="100">
        <f>(AV19-AS19)/AS19</f>
        <v>-3.7499999999999915E-2</v>
      </c>
      <c r="BC19" s="100">
        <f>(AU19-AS19)/AS19</f>
        <v>-3.9999999999999897E-2</v>
      </c>
    </row>
    <row r="20" spans="2:55" x14ac:dyDescent="0.6">
      <c r="B20" s="2" t="s">
        <v>46</v>
      </c>
      <c r="C20" s="2">
        <f>C18+C19</f>
        <v>102</v>
      </c>
      <c r="D20" s="7">
        <f t="shared" si="52"/>
        <v>2.5160025160025161</v>
      </c>
      <c r="E20" s="7" t="s">
        <v>1</v>
      </c>
      <c r="F20" s="195">
        <f>F18+F19</f>
        <v>30</v>
      </c>
      <c r="G20" s="325">
        <f t="shared" si="53"/>
        <v>0.74000074000074001</v>
      </c>
      <c r="H20" s="195"/>
      <c r="I20" s="325">
        <f>G20/(1/$I$17)</f>
        <v>5.9200059200059201</v>
      </c>
      <c r="J20" s="328">
        <f t="shared" si="54"/>
        <v>8.8800088800088801</v>
      </c>
      <c r="K20" s="328">
        <f t="shared" si="55"/>
        <v>10.915010915010916</v>
      </c>
      <c r="U20" s="7"/>
      <c r="V20"/>
      <c r="W20"/>
      <c r="AP20" s="102"/>
      <c r="AQ20" s="110"/>
      <c r="AR20" s="130" t="s">
        <v>1</v>
      </c>
      <c r="AS20" s="132">
        <f t="shared" ref="AS20:BA20" si="57">AS14/AS16/AS18</f>
        <v>2.543209122999766E-2</v>
      </c>
      <c r="AT20" s="132">
        <f t="shared" si="57"/>
        <v>2.543209122999766E-2</v>
      </c>
      <c r="AU20" s="132">
        <f t="shared" si="57"/>
        <v>2.6491761697914229E-2</v>
      </c>
      <c r="AV20" s="132">
        <f t="shared" si="57"/>
        <v>2.6422951927270295E-2</v>
      </c>
      <c r="AW20" s="132">
        <f t="shared" si="57"/>
        <v>2.543209122999766E-2</v>
      </c>
      <c r="AX20" s="132">
        <f t="shared" si="57"/>
        <v>2.5437525437525439E-2</v>
      </c>
      <c r="AY20" s="132">
        <f t="shared" si="57"/>
        <v>2.5437525437525439E-2</v>
      </c>
      <c r="AZ20" s="145">
        <f t="shared" si="57"/>
        <v>2.6428597857169285E-2</v>
      </c>
      <c r="BA20" s="145">
        <f t="shared" si="57"/>
        <v>2.5437525437525439E-2</v>
      </c>
      <c r="BB20" s="100">
        <f>(AS19-AX19)/AX19</f>
        <v>2.1367521367525794E-4</v>
      </c>
    </row>
    <row r="21" spans="2:55" x14ac:dyDescent="0.6">
      <c r="B21" s="2" t="s">
        <v>47</v>
      </c>
      <c r="C21" s="2" t="s">
        <v>48</v>
      </c>
      <c r="D21" s="7">
        <f>1/D20</f>
        <v>0.39745588235294116</v>
      </c>
      <c r="E21" s="7" t="s">
        <v>48</v>
      </c>
      <c r="F21" s="196"/>
      <c r="G21" s="329">
        <f>1/G20</f>
        <v>1.3513500000000001</v>
      </c>
      <c r="H21" s="196"/>
      <c r="I21" s="326"/>
      <c r="J21" s="327"/>
      <c r="K21" s="327"/>
      <c r="U21" s="7"/>
      <c r="V21"/>
      <c r="W21"/>
      <c r="AP21" s="102"/>
      <c r="AQ21" s="119" t="s">
        <v>49</v>
      </c>
      <c r="AR21" s="119" t="s">
        <v>5</v>
      </c>
      <c r="AS21" s="131">
        <f>AS14/AS20</f>
        <v>393204</v>
      </c>
      <c r="AT21" s="131">
        <f>AT14/AT20</f>
        <v>327670</v>
      </c>
      <c r="AU21" s="131">
        <f>AU14/AU20</f>
        <v>262136</v>
      </c>
      <c r="AV21" s="131">
        <f>AV14/AV20</f>
        <v>229369.00000000003</v>
      </c>
      <c r="AW21" s="131">
        <f>AW14/AW20</f>
        <v>163835</v>
      </c>
      <c r="AX21" s="131">
        <f>AX14*8/AX20</f>
        <v>393120</v>
      </c>
      <c r="AY21" s="131">
        <f>AY14*8/AY20</f>
        <v>327600</v>
      </c>
      <c r="AZ21" s="148">
        <f>AZ14*8/AZ20</f>
        <v>229320.00000000003</v>
      </c>
      <c r="BA21" s="148">
        <f>BA14*8/BA20</f>
        <v>163800</v>
      </c>
      <c r="BB21" s="114"/>
    </row>
    <row r="22" spans="2:55" x14ac:dyDescent="0.6">
      <c r="U22" s="7"/>
      <c r="V22"/>
      <c r="W22"/>
      <c r="AP22" s="102"/>
      <c r="AQ22" s="110"/>
      <c r="AR22" s="130" t="s">
        <v>50</v>
      </c>
      <c r="AS22" s="120" t="str">
        <f>DEC2HEX(AS21)</f>
        <v>5FFF4</v>
      </c>
      <c r="AT22" s="120" t="str">
        <f t="shared" ref="AT22:BA22" si="58">DEC2HEX(AT21)</f>
        <v>4FFF6</v>
      </c>
      <c r="AU22" s="120" t="str">
        <f t="shared" si="58"/>
        <v>3FFF8</v>
      </c>
      <c r="AV22" s="120" t="str">
        <f t="shared" si="58"/>
        <v>37FF9</v>
      </c>
      <c r="AW22" s="120" t="str">
        <f t="shared" si="58"/>
        <v>27FFB</v>
      </c>
      <c r="AX22" s="120" t="str">
        <f t="shared" si="58"/>
        <v>5FFA0</v>
      </c>
      <c r="AY22" s="120" t="str">
        <f t="shared" si="58"/>
        <v>4FFB0</v>
      </c>
      <c r="AZ22" s="127" t="str">
        <f t="shared" si="58"/>
        <v>37FC8</v>
      </c>
      <c r="BA22" s="127" t="str">
        <f t="shared" si="58"/>
        <v>27FD8</v>
      </c>
      <c r="BB22" s="114"/>
    </row>
    <row r="24" spans="2:55" x14ac:dyDescent="0.6">
      <c r="C24" s="1"/>
    </row>
    <row r="25" spans="2:55" x14ac:dyDescent="0.6">
      <c r="D25" s="6"/>
    </row>
    <row r="26" spans="2:55" x14ac:dyDescent="0.6">
      <c r="D26" s="6"/>
    </row>
    <row r="27" spans="2:55" x14ac:dyDescent="0.6">
      <c r="M27" s="100"/>
      <c r="N27" s="100"/>
    </row>
    <row r="30" spans="2:55" x14ac:dyDescent="0.6">
      <c r="M30"/>
      <c r="N30"/>
      <c r="O30"/>
      <c r="P30"/>
      <c r="Q30"/>
      <c r="R30"/>
      <c r="S30"/>
      <c r="T30"/>
    </row>
    <row r="31" spans="2:55" x14ac:dyDescent="0.6">
      <c r="M31"/>
      <c r="N31"/>
      <c r="O31"/>
      <c r="P31"/>
      <c r="Q31"/>
      <c r="R31"/>
      <c r="S31"/>
      <c r="T31"/>
    </row>
    <row r="32" spans="2:55" x14ac:dyDescent="0.6">
      <c r="M32"/>
      <c r="N32"/>
      <c r="O32"/>
      <c r="P32"/>
      <c r="Q32"/>
      <c r="R32"/>
      <c r="S32"/>
      <c r="T32"/>
    </row>
    <row r="33" spans="13:20" x14ac:dyDescent="0.6">
      <c r="M33"/>
      <c r="N33"/>
      <c r="O33"/>
      <c r="P33"/>
      <c r="Q33"/>
      <c r="R33"/>
      <c r="S33"/>
      <c r="T33"/>
    </row>
  </sheetData>
  <phoneticPr fontId="2" type="noConversion"/>
  <pageMargins left="0.7" right="0.7" top="0.75" bottom="0.75" header="0.3" footer="0.3"/>
  <pageSetup paperSize="9" orientation="portrait" r:id="rId1"/>
  <ignoredErrors>
    <ignoredError sqref="AJ15:AO15 AG6:AI15 AK10:AM10 AJ10 AN10" formula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57CA-2D95-4690-A574-BFE553622895}">
  <dimension ref="B2:E23"/>
  <sheetViews>
    <sheetView workbookViewId="0">
      <selection activeCell="G15" sqref="G15"/>
    </sheetView>
  </sheetViews>
  <sheetFormatPr defaultRowHeight="16.899999999999999" x14ac:dyDescent="0.6"/>
  <cols>
    <col min="2" max="2" width="13.625" style="1" bestFit="1" customWidth="1"/>
    <col min="3" max="3" width="8.6875" style="1"/>
    <col min="4" max="4" width="8.6875" style="6"/>
  </cols>
  <sheetData>
    <row r="2" spans="2:5" x14ac:dyDescent="0.6">
      <c r="B2" s="2" t="s">
        <v>2</v>
      </c>
      <c r="C2" s="1">
        <v>16</v>
      </c>
      <c r="D2" s="6" t="s">
        <v>0</v>
      </c>
    </row>
    <row r="3" spans="2:5" x14ac:dyDescent="0.6">
      <c r="B3" s="2"/>
      <c r="C3" s="1">
        <f>1/C2</f>
        <v>6.25E-2</v>
      </c>
      <c r="D3" s="6" t="s">
        <v>1</v>
      </c>
    </row>
    <row r="4" spans="2:5" x14ac:dyDescent="0.6">
      <c r="B4" s="2"/>
    </row>
    <row r="5" spans="2:5" x14ac:dyDescent="0.6">
      <c r="B5" s="2" t="s">
        <v>1286</v>
      </c>
      <c r="C5" s="1">
        <v>20</v>
      </c>
      <c r="D5" s="6" t="s">
        <v>1284</v>
      </c>
    </row>
    <row r="6" spans="2:5" x14ac:dyDescent="0.6">
      <c r="B6" s="2"/>
      <c r="C6" s="1">
        <f>1/(C5*1000)*1000000</f>
        <v>50</v>
      </c>
      <c r="D6" s="6" t="s">
        <v>1</v>
      </c>
    </row>
    <row r="7" spans="2:5" x14ac:dyDescent="0.6">
      <c r="B7" s="2"/>
      <c r="C7" s="1">
        <f>C6/C3</f>
        <v>800</v>
      </c>
      <c r="D7" s="6" t="s">
        <v>1285</v>
      </c>
      <c r="E7" t="str">
        <f>DEC2HEX(C7)</f>
        <v>320</v>
      </c>
    </row>
    <row r="8" spans="2:5" x14ac:dyDescent="0.6">
      <c r="B8" s="2"/>
    </row>
    <row r="9" spans="2:5" x14ac:dyDescent="0.6">
      <c r="B9" s="2" t="s">
        <v>1287</v>
      </c>
      <c r="C9" s="450">
        <v>0.1</v>
      </c>
      <c r="D9" s="6" t="s">
        <v>1271</v>
      </c>
    </row>
    <row r="10" spans="2:5" x14ac:dyDescent="0.6">
      <c r="B10" s="2"/>
      <c r="C10" s="375">
        <f>C6*C9</f>
        <v>5</v>
      </c>
      <c r="D10" s="6" t="s">
        <v>1</v>
      </c>
    </row>
    <row r="11" spans="2:5" x14ac:dyDescent="0.6">
      <c r="B11" s="2"/>
      <c r="C11" s="1">
        <f>C10/C3</f>
        <v>80</v>
      </c>
      <c r="D11" s="6" t="s">
        <v>5</v>
      </c>
      <c r="E11" t="str">
        <f>DEC2HEX(C11)</f>
        <v>50</v>
      </c>
    </row>
    <row r="12" spans="2:5" x14ac:dyDescent="0.6">
      <c r="B12" s="2"/>
    </row>
    <row r="13" spans="2:5" x14ac:dyDescent="0.6">
      <c r="B13" s="2" t="s">
        <v>1288</v>
      </c>
      <c r="C13" s="450">
        <v>3.3000000000000002E-2</v>
      </c>
      <c r="D13" s="6" t="s">
        <v>1271</v>
      </c>
    </row>
    <row r="14" spans="2:5" x14ac:dyDescent="0.6">
      <c r="B14" s="2"/>
      <c r="C14" s="375">
        <f>C6*C13</f>
        <v>1.6500000000000001</v>
      </c>
      <c r="D14" s="6" t="s">
        <v>1</v>
      </c>
    </row>
    <row r="15" spans="2:5" x14ac:dyDescent="0.6">
      <c r="B15" s="2"/>
      <c r="C15" s="1">
        <f>C14/C3</f>
        <v>26.400000000000002</v>
      </c>
      <c r="D15" s="6" t="s">
        <v>5</v>
      </c>
      <c r="E15" t="str">
        <f>DEC2HEX(C15)</f>
        <v>1A</v>
      </c>
    </row>
    <row r="16" spans="2:5" x14ac:dyDescent="0.6">
      <c r="B16" s="2"/>
    </row>
    <row r="17" spans="2:2" x14ac:dyDescent="0.6">
      <c r="B17" s="2"/>
    </row>
    <row r="18" spans="2:2" x14ac:dyDescent="0.6">
      <c r="B18" s="2"/>
    </row>
    <row r="19" spans="2:2" x14ac:dyDescent="0.6">
      <c r="B19" s="2"/>
    </row>
    <row r="20" spans="2:2" x14ac:dyDescent="0.6">
      <c r="B20" s="2"/>
    </row>
    <row r="21" spans="2:2" x14ac:dyDescent="0.6">
      <c r="B21" s="2"/>
    </row>
    <row r="22" spans="2:2" x14ac:dyDescent="0.6">
      <c r="B22" s="2"/>
    </row>
    <row r="23" spans="2:2" x14ac:dyDescent="0.6">
      <c r="B23" s="2"/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38C50-FCE6-4521-877D-DFE83A5EAFFB}">
  <dimension ref="A1:AH51"/>
  <sheetViews>
    <sheetView topLeftCell="C1" zoomScaleNormal="100" workbookViewId="0">
      <selection activeCell="L58" sqref="L58"/>
    </sheetView>
  </sheetViews>
  <sheetFormatPr defaultRowHeight="16.899999999999999" x14ac:dyDescent="0.6"/>
  <cols>
    <col min="2" max="2" width="3.625" style="1" bestFit="1" customWidth="1"/>
    <col min="3" max="3" width="28.375" style="1" bestFit="1" customWidth="1"/>
    <col min="4" max="4" width="3.125" style="1" bestFit="1" customWidth="1"/>
    <col min="5" max="5" width="9.6875" style="1" bestFit="1" customWidth="1"/>
    <col min="6" max="6" width="8.1875" style="1" bestFit="1" customWidth="1"/>
    <col min="7" max="7" width="7.1875" style="1" bestFit="1" customWidth="1"/>
    <col min="8" max="8" width="8.1875" bestFit="1" customWidth="1"/>
    <col min="9" max="10" width="8.1875" style="1" bestFit="1" customWidth="1"/>
    <col min="11" max="11" width="2.1875" style="1" customWidth="1"/>
    <col min="18" max="18" width="3.625" customWidth="1"/>
    <col min="20" max="20" width="8.625" style="1" bestFit="1" customWidth="1"/>
    <col min="21" max="21" width="12.3125" style="1" bestFit="1" customWidth="1"/>
    <col min="22" max="22" width="7.1875" style="6" bestFit="1" customWidth="1"/>
    <col min="23" max="23" width="13.1875" bestFit="1" customWidth="1"/>
    <col min="24" max="24" width="7.1875" style="1" bestFit="1" customWidth="1"/>
    <col min="25" max="25" width="8" style="7" bestFit="1" customWidth="1"/>
    <col min="26" max="26" width="3.125" bestFit="1" customWidth="1"/>
    <col min="27" max="27" width="7.1875" bestFit="1" customWidth="1"/>
    <col min="28" max="28" width="3.125" bestFit="1" customWidth="1"/>
    <col min="29" max="29" width="13.1875" bestFit="1" customWidth="1"/>
    <col min="30" max="30" width="6.3125" bestFit="1" customWidth="1"/>
    <col min="31" max="31" width="8" bestFit="1" customWidth="1"/>
    <col min="32" max="32" width="3.125" bestFit="1" customWidth="1"/>
    <col min="33" max="33" width="7.1875" bestFit="1" customWidth="1"/>
    <col min="34" max="34" width="3.125" bestFit="1" customWidth="1"/>
  </cols>
  <sheetData>
    <row r="1" spans="2:34" x14ac:dyDescent="0.6">
      <c r="B1" s="2"/>
      <c r="C1" s="2"/>
      <c r="D1" s="2"/>
      <c r="E1" s="2" t="s">
        <v>1185</v>
      </c>
      <c r="F1" s="2"/>
      <c r="G1" s="2"/>
      <c r="H1" s="3"/>
      <c r="I1" s="2"/>
      <c r="J1" s="2"/>
      <c r="K1" s="2"/>
      <c r="L1" s="2" t="s">
        <v>1186</v>
      </c>
      <c r="M1" s="2"/>
      <c r="N1" s="2"/>
      <c r="O1" s="3"/>
      <c r="P1" s="2"/>
      <c r="Q1" s="2"/>
      <c r="R1" s="2"/>
    </row>
    <row r="2" spans="2:34" x14ac:dyDescent="0.6">
      <c r="B2" s="2" t="s">
        <v>1187</v>
      </c>
      <c r="C2" s="371" t="s">
        <v>1188</v>
      </c>
      <c r="D2" s="2" t="s">
        <v>1189</v>
      </c>
      <c r="E2" s="378">
        <v>8.8810000000000002</v>
      </c>
      <c r="K2" s="2"/>
      <c r="L2" s="378">
        <v>4.7759999999999998</v>
      </c>
      <c r="M2" s="1">
        <f>L2/E2</f>
        <v>0.53777727733363356</v>
      </c>
      <c r="N2" s="1"/>
      <c r="P2" s="1"/>
      <c r="Q2" s="1"/>
      <c r="R2" s="2"/>
    </row>
    <row r="3" spans="2:34" x14ac:dyDescent="0.6">
      <c r="B3" s="2"/>
      <c r="C3" s="371" t="s">
        <v>1190</v>
      </c>
      <c r="D3" s="2" t="s">
        <v>1189</v>
      </c>
      <c r="E3" s="378">
        <v>9.3160000000000007</v>
      </c>
      <c r="K3" s="2"/>
      <c r="L3" s="378">
        <v>5.0110000000000001</v>
      </c>
      <c r="M3" s="1">
        <f>L3/E3</f>
        <v>0.53789179905538853</v>
      </c>
      <c r="N3" s="1"/>
      <c r="P3" s="1"/>
      <c r="Q3" s="1"/>
      <c r="R3" s="2"/>
    </row>
    <row r="4" spans="2:34" x14ac:dyDescent="0.6">
      <c r="B4" s="2"/>
      <c r="C4" s="2"/>
      <c r="D4" s="2"/>
      <c r="K4" s="2"/>
      <c r="L4" s="1"/>
      <c r="M4" s="1"/>
      <c r="N4" s="1"/>
      <c r="P4" s="1"/>
      <c r="Q4" s="1"/>
      <c r="R4" s="2"/>
    </row>
    <row r="5" spans="2:34" x14ac:dyDescent="0.6">
      <c r="B5" s="2"/>
      <c r="C5" s="371" t="s">
        <v>1191</v>
      </c>
      <c r="D5" s="2"/>
      <c r="E5" s="2" t="s">
        <v>1192</v>
      </c>
      <c r="F5" s="2" t="s">
        <v>1193</v>
      </c>
      <c r="G5" s="2"/>
      <c r="H5" s="2" t="s">
        <v>1192</v>
      </c>
      <c r="I5" s="2" t="s">
        <v>1193</v>
      </c>
      <c r="J5" s="2"/>
      <c r="K5" s="2"/>
      <c r="L5" s="2" t="s">
        <v>1192</v>
      </c>
      <c r="M5" s="2" t="s">
        <v>1193</v>
      </c>
      <c r="N5" s="2"/>
      <c r="O5" s="2" t="s">
        <v>1192</v>
      </c>
      <c r="P5" s="2" t="s">
        <v>1193</v>
      </c>
      <c r="Q5" s="2"/>
      <c r="R5" s="2"/>
    </row>
    <row r="6" spans="2:34" x14ac:dyDescent="0.6">
      <c r="B6" s="2"/>
      <c r="C6" s="2" t="s">
        <v>1194</v>
      </c>
      <c r="D6" s="2" t="s">
        <v>1189</v>
      </c>
      <c r="E6" s="1">
        <v>406.8</v>
      </c>
      <c r="F6" s="1">
        <v>203.4</v>
      </c>
      <c r="G6" s="1">
        <f>SUM(E6:F6)</f>
        <v>610.20000000000005</v>
      </c>
      <c r="H6">
        <v>203.4</v>
      </c>
      <c r="I6" s="1">
        <v>406.8</v>
      </c>
      <c r="J6" s="1">
        <f>SUM(H6:I6)</f>
        <v>610.20000000000005</v>
      </c>
      <c r="K6" s="2"/>
      <c r="L6" s="1">
        <v>406.8</v>
      </c>
      <c r="M6" s="1">
        <v>203.4</v>
      </c>
      <c r="N6" s="1">
        <f>SUM(L6:M6)</f>
        <v>610.20000000000005</v>
      </c>
      <c r="O6">
        <v>203.4</v>
      </c>
      <c r="P6" s="1">
        <v>406.8</v>
      </c>
      <c r="Q6" s="1">
        <f>SUM(O6:P6)</f>
        <v>610.20000000000005</v>
      </c>
      <c r="R6" s="2"/>
      <c r="T6" s="370" t="s">
        <v>1246</v>
      </c>
      <c r="U6" s="2"/>
      <c r="V6" s="369"/>
      <c r="W6" s="3"/>
      <c r="X6" s="2"/>
      <c r="Y6" s="379"/>
      <c r="Z6" s="3"/>
      <c r="AA6" s="3"/>
      <c r="AB6" s="3"/>
      <c r="AC6" s="3"/>
      <c r="AD6" s="3"/>
      <c r="AE6" s="3"/>
      <c r="AF6" s="3"/>
      <c r="AG6" s="3"/>
      <c r="AH6" s="3"/>
    </row>
    <row r="7" spans="2:34" x14ac:dyDescent="0.6">
      <c r="B7" s="2"/>
      <c r="C7" s="2" t="s">
        <v>1195</v>
      </c>
      <c r="D7" s="2" t="s">
        <v>1189</v>
      </c>
      <c r="E7" s="1">
        <v>404.27499999999998</v>
      </c>
      <c r="F7" s="1">
        <v>205.92500000000001</v>
      </c>
      <c r="G7" s="1">
        <f>SUM(E7:F7)</f>
        <v>610.20000000000005</v>
      </c>
      <c r="H7">
        <v>200.875</v>
      </c>
      <c r="I7" s="1">
        <v>409.32499999999999</v>
      </c>
      <c r="J7" s="1">
        <f>SUM(H7:I7)</f>
        <v>610.20000000000005</v>
      </c>
      <c r="K7" s="2"/>
      <c r="L7" s="1">
        <v>405.35300000000001</v>
      </c>
      <c r="M7" s="1">
        <v>204.84700000000001</v>
      </c>
      <c r="N7" s="1">
        <f>SUM(L7:M7)</f>
        <v>610.20000000000005</v>
      </c>
      <c r="O7">
        <v>201.953</v>
      </c>
      <c r="P7" s="1">
        <v>408.24700000000001</v>
      </c>
      <c r="Q7" s="1">
        <f>SUM(O7:P7)</f>
        <v>610.20000000000005</v>
      </c>
      <c r="R7" s="2"/>
      <c r="T7" s="2"/>
      <c r="U7" s="2"/>
      <c r="V7" s="2"/>
      <c r="W7" s="592" t="s">
        <v>1196</v>
      </c>
      <c r="X7" s="592"/>
      <c r="Y7" s="592"/>
      <c r="Z7" s="592"/>
      <c r="AA7" s="592"/>
      <c r="AB7" s="592"/>
      <c r="AC7" s="592" t="s">
        <v>1197</v>
      </c>
      <c r="AD7" s="592"/>
      <c r="AE7" s="592"/>
      <c r="AF7" s="592"/>
      <c r="AG7" s="592"/>
      <c r="AH7" s="592"/>
    </row>
    <row r="8" spans="2:34" x14ac:dyDescent="0.6">
      <c r="B8" s="2"/>
      <c r="C8" s="2" t="s">
        <v>1198</v>
      </c>
      <c r="D8" s="2" t="s">
        <v>1189</v>
      </c>
      <c r="E8" s="380">
        <f>E7-E6</f>
        <v>-2.5250000000000341</v>
      </c>
      <c r="F8" s="381">
        <f t="shared" ref="F8:J8" si="0">F7-F6</f>
        <v>2.5250000000000057</v>
      </c>
      <c r="G8" s="381">
        <f t="shared" si="0"/>
        <v>0</v>
      </c>
      <c r="H8" s="380">
        <f t="shared" si="0"/>
        <v>-2.5250000000000057</v>
      </c>
      <c r="I8" s="381">
        <f t="shared" si="0"/>
        <v>2.5249999999999773</v>
      </c>
      <c r="J8" s="381">
        <f t="shared" si="0"/>
        <v>0</v>
      </c>
      <c r="K8" s="382"/>
      <c r="L8" s="380">
        <f>L7-L6</f>
        <v>-1.4470000000000027</v>
      </c>
      <c r="M8" s="381">
        <f t="shared" ref="M8:Q8" si="1">M7-M6</f>
        <v>1.4470000000000027</v>
      </c>
      <c r="N8" s="381">
        <f t="shared" si="1"/>
        <v>0</v>
      </c>
      <c r="O8" s="380">
        <f t="shared" si="1"/>
        <v>-1.4470000000000027</v>
      </c>
      <c r="P8" s="381">
        <f t="shared" si="1"/>
        <v>1.4470000000000027</v>
      </c>
      <c r="Q8" s="381">
        <f t="shared" si="1"/>
        <v>0</v>
      </c>
      <c r="R8" s="382"/>
      <c r="T8" s="2" t="s">
        <v>1199</v>
      </c>
      <c r="U8" s="409">
        <v>16</v>
      </c>
      <c r="V8" s="6" t="s">
        <v>0</v>
      </c>
      <c r="W8" s="2" t="s">
        <v>1200</v>
      </c>
      <c r="X8" s="1" t="s">
        <v>1201</v>
      </c>
      <c r="Y8" s="411">
        <v>31</v>
      </c>
      <c r="Z8" s="6" t="s">
        <v>5</v>
      </c>
      <c r="AC8" s="2" t="s">
        <v>1200</v>
      </c>
      <c r="AD8" s="1" t="s">
        <v>1201</v>
      </c>
      <c r="AE8" s="411">
        <v>31</v>
      </c>
      <c r="AF8" s="6" t="s">
        <v>5</v>
      </c>
    </row>
    <row r="9" spans="2:34" x14ac:dyDescent="0.6">
      <c r="B9" s="2"/>
      <c r="C9" s="2"/>
      <c r="D9" s="2"/>
      <c r="E9" s="381"/>
      <c r="F9" s="381"/>
      <c r="G9" s="381"/>
      <c r="H9" s="381"/>
      <c r="I9" s="381"/>
      <c r="J9" s="381"/>
      <c r="K9" s="382"/>
      <c r="L9" s="381"/>
      <c r="M9" s="381"/>
      <c r="N9" s="381"/>
      <c r="O9" s="381"/>
      <c r="P9" s="381"/>
      <c r="Q9" s="381"/>
      <c r="R9" s="382"/>
      <c r="T9" s="2"/>
      <c r="U9" s="410">
        <v>0</v>
      </c>
      <c r="V9" s="6" t="s">
        <v>1202</v>
      </c>
      <c r="W9" s="2" t="s">
        <v>1203</v>
      </c>
      <c r="X9" s="1" t="s">
        <v>1204</v>
      </c>
      <c r="Y9" s="375">
        <v>-2.5249999999999999</v>
      </c>
      <c r="Z9" t="s">
        <v>1189</v>
      </c>
      <c r="AC9" s="2" t="s">
        <v>1203</v>
      </c>
      <c r="AD9" s="1" t="s">
        <v>1204</v>
      </c>
      <c r="AE9" s="375">
        <v>-2.2480000000000002</v>
      </c>
      <c r="AF9" t="s">
        <v>1189</v>
      </c>
    </row>
    <row r="10" spans="2:34" x14ac:dyDescent="0.6">
      <c r="B10" s="2"/>
      <c r="C10" s="2" t="s">
        <v>1205</v>
      </c>
      <c r="D10" s="2" t="s">
        <v>1189</v>
      </c>
      <c r="E10" s="381">
        <f>E2*(31-1)</f>
        <v>266.43</v>
      </c>
      <c r="F10" s="381"/>
      <c r="G10" s="381"/>
      <c r="H10" s="381"/>
      <c r="I10" s="381"/>
      <c r="J10" s="381"/>
      <c r="K10" s="382"/>
      <c r="L10" s="381">
        <f>L2*(31-1)</f>
        <v>143.28</v>
      </c>
      <c r="M10" s="381"/>
      <c r="N10" s="381"/>
      <c r="O10" s="381"/>
      <c r="P10" s="381"/>
      <c r="Q10" s="381"/>
      <c r="R10" s="382"/>
      <c r="T10" s="2"/>
      <c r="U10" s="1">
        <f>U8+U8*U9</f>
        <v>16</v>
      </c>
      <c r="V10" s="6" t="s">
        <v>0</v>
      </c>
      <c r="W10" s="3"/>
      <c r="X10" s="1" t="s">
        <v>1206</v>
      </c>
      <c r="Y10" s="7">
        <f>-Y9</f>
        <v>2.5249999999999999</v>
      </c>
      <c r="Z10" t="s">
        <v>1189</v>
      </c>
      <c r="AC10" s="3"/>
      <c r="AD10" s="1" t="s">
        <v>1206</v>
      </c>
      <c r="AE10" s="7">
        <f>-AE9</f>
        <v>2.2480000000000002</v>
      </c>
      <c r="AF10" t="s">
        <v>1189</v>
      </c>
    </row>
    <row r="11" spans="2:34" x14ac:dyDescent="0.6">
      <c r="B11" s="2"/>
      <c r="C11" s="2" t="s">
        <v>1207</v>
      </c>
      <c r="D11" s="2" t="s">
        <v>1189</v>
      </c>
      <c r="E11" s="381">
        <v>331.05</v>
      </c>
      <c r="F11" s="381">
        <v>279.14999999999998</v>
      </c>
      <c r="G11" s="1">
        <f>SUM(E11:F11)</f>
        <v>610.20000000000005</v>
      </c>
      <c r="H11" s="381">
        <v>127.65</v>
      </c>
      <c r="I11" s="381">
        <v>482.55</v>
      </c>
      <c r="J11" s="381">
        <f>SUM(H11:I11)</f>
        <v>610.20000000000005</v>
      </c>
      <c r="K11" s="382"/>
      <c r="L11" s="381">
        <v>363.39</v>
      </c>
      <c r="M11" s="381">
        <v>246.81</v>
      </c>
      <c r="N11" s="1">
        <f>SUM(L11:M11)</f>
        <v>610.20000000000005</v>
      </c>
      <c r="O11" s="381">
        <v>159.99</v>
      </c>
      <c r="P11" s="381">
        <v>450.21</v>
      </c>
      <c r="Q11" s="381">
        <f>SUM(O11:P11)</f>
        <v>610.20000000000005</v>
      </c>
      <c r="R11" s="382"/>
      <c r="T11" s="2"/>
      <c r="U11" s="1">
        <f>1/U10*1000</f>
        <v>62.5</v>
      </c>
      <c r="V11" s="6" t="s">
        <v>1189</v>
      </c>
      <c r="W11" s="2" t="s">
        <v>1208</v>
      </c>
      <c r="X11" s="1" t="s">
        <v>1204</v>
      </c>
      <c r="Y11" s="7">
        <f>Y9*(W16-1)</f>
        <v>-75.75</v>
      </c>
      <c r="Z11" t="s">
        <v>1189</v>
      </c>
      <c r="AC11" s="2" t="s">
        <v>1208</v>
      </c>
      <c r="AD11" s="1" t="s">
        <v>1204</v>
      </c>
      <c r="AE11" s="7">
        <f>AE9*(AC16-1)</f>
        <v>-67.440000000000012</v>
      </c>
      <c r="AF11" t="s">
        <v>1189</v>
      </c>
    </row>
    <row r="12" spans="2:34" x14ac:dyDescent="0.6">
      <c r="B12" s="2"/>
      <c r="C12" s="2" t="s">
        <v>1209</v>
      </c>
      <c r="D12" s="2" t="s">
        <v>1189</v>
      </c>
      <c r="E12" s="381">
        <f>E8*(31-1)</f>
        <v>-75.750000000001023</v>
      </c>
      <c r="F12" s="381">
        <f t="shared" ref="F12:J12" si="2">F8*(31-1)</f>
        <v>75.750000000000171</v>
      </c>
      <c r="G12" s="381">
        <f t="shared" si="2"/>
        <v>0</v>
      </c>
      <c r="H12" s="381">
        <f t="shared" si="2"/>
        <v>-75.750000000000171</v>
      </c>
      <c r="I12" s="381">
        <f t="shared" si="2"/>
        <v>75.749999999999318</v>
      </c>
      <c r="J12" s="381">
        <f t="shared" si="2"/>
        <v>0</v>
      </c>
      <c r="K12" s="382"/>
      <c r="L12" s="381">
        <f>L8*(31-1)</f>
        <v>-43.410000000000082</v>
      </c>
      <c r="M12" s="381">
        <f t="shared" ref="M12:Q12" si="3">M8*(31-1)</f>
        <v>43.410000000000082</v>
      </c>
      <c r="N12" s="381">
        <f t="shared" si="3"/>
        <v>0</v>
      </c>
      <c r="O12" s="381">
        <f t="shared" si="3"/>
        <v>-43.410000000000082</v>
      </c>
      <c r="P12" s="381">
        <f t="shared" si="3"/>
        <v>43.410000000000082</v>
      </c>
      <c r="Q12" s="381">
        <f t="shared" si="3"/>
        <v>0</v>
      </c>
      <c r="R12" s="382"/>
      <c r="T12" s="2" t="s">
        <v>1210</v>
      </c>
      <c r="U12" s="406">
        <v>3</v>
      </c>
      <c r="V12" s="6" t="s">
        <v>5</v>
      </c>
      <c r="W12" s="3"/>
      <c r="X12" s="1" t="s">
        <v>1206</v>
      </c>
      <c r="Y12" s="7">
        <f>Y10*(W16-1)</f>
        <v>75.75</v>
      </c>
      <c r="Z12" t="s">
        <v>1189</v>
      </c>
      <c r="AC12" s="3"/>
      <c r="AD12" s="1" t="s">
        <v>1206</v>
      </c>
      <c r="AE12" s="7">
        <f>AE10*(AC16-1)</f>
        <v>67.440000000000012</v>
      </c>
      <c r="AF12" t="s">
        <v>1189</v>
      </c>
    </row>
    <row r="13" spans="2:34" x14ac:dyDescent="0.6">
      <c r="B13" s="2"/>
      <c r="C13" s="2"/>
      <c r="D13" s="2"/>
      <c r="E13" s="383"/>
      <c r="F13" s="383"/>
      <c r="G13" s="381"/>
      <c r="H13" s="381"/>
      <c r="I13" s="381"/>
      <c r="J13" s="381"/>
      <c r="K13" s="382"/>
      <c r="L13" s="383"/>
      <c r="M13" s="381"/>
      <c r="N13" s="381"/>
      <c r="O13" s="381"/>
      <c r="P13" s="381"/>
      <c r="Q13" s="381"/>
      <c r="R13" s="382"/>
      <c r="T13" s="2" t="s">
        <v>1211</v>
      </c>
      <c r="U13" s="406">
        <v>6</v>
      </c>
      <c r="V13" s="6" t="s">
        <v>5</v>
      </c>
      <c r="W13" s="3"/>
      <c r="X13" s="592" t="s">
        <v>1212</v>
      </c>
      <c r="Y13" s="592"/>
      <c r="Z13" s="592" t="s">
        <v>1213</v>
      </c>
      <c r="AA13" s="592"/>
      <c r="AB13" s="3"/>
      <c r="AC13" s="3"/>
      <c r="AD13" s="592" t="s">
        <v>1212</v>
      </c>
      <c r="AE13" s="592"/>
      <c r="AF13" s="592" t="s">
        <v>1213</v>
      </c>
      <c r="AG13" s="592"/>
    </row>
    <row r="14" spans="2:34" x14ac:dyDescent="0.6">
      <c r="B14" s="2"/>
      <c r="C14" s="371" t="s">
        <v>1214</v>
      </c>
      <c r="D14" s="2" t="s">
        <v>1189</v>
      </c>
      <c r="E14" s="2" t="s">
        <v>1192</v>
      </c>
      <c r="F14" s="2" t="s">
        <v>1193</v>
      </c>
      <c r="G14" s="2"/>
      <c r="H14" s="2" t="s">
        <v>1192</v>
      </c>
      <c r="I14" s="2" t="s">
        <v>1193</v>
      </c>
      <c r="J14" s="2"/>
      <c r="K14" s="2"/>
      <c r="L14" s="2" t="s">
        <v>1192</v>
      </c>
      <c r="M14" s="2" t="s">
        <v>1193</v>
      </c>
      <c r="N14" s="2"/>
      <c r="O14" s="2" t="s">
        <v>1192</v>
      </c>
      <c r="P14" s="2" t="s">
        <v>1193</v>
      </c>
      <c r="Q14" s="2"/>
      <c r="R14" s="2"/>
      <c r="T14" s="2" t="s">
        <v>47</v>
      </c>
      <c r="U14" s="375">
        <f>U11*(U12+U13)</f>
        <v>562.5</v>
      </c>
      <c r="V14" s="6" t="s">
        <v>1189</v>
      </c>
      <c r="W14" s="2">
        <v>1</v>
      </c>
      <c r="X14" s="1" t="s">
        <v>1204</v>
      </c>
      <c r="Y14" s="384">
        <f>U11*U12</f>
        <v>187.5</v>
      </c>
      <c r="Z14" t="s">
        <v>1189</v>
      </c>
      <c r="AA14" s="95">
        <f>Y15</f>
        <v>375</v>
      </c>
      <c r="AB14" t="s">
        <v>1189</v>
      </c>
      <c r="AC14" s="2">
        <v>1</v>
      </c>
      <c r="AD14" s="1" t="s">
        <v>1204</v>
      </c>
      <c r="AE14" s="384">
        <f>U20*U21</f>
        <v>508.6573480640501</v>
      </c>
      <c r="AF14" t="s">
        <v>1189</v>
      </c>
      <c r="AG14" s="95">
        <f>AE15</f>
        <v>254.32867403202505</v>
      </c>
      <c r="AH14" t="s">
        <v>1189</v>
      </c>
    </row>
    <row r="15" spans="2:34" x14ac:dyDescent="0.6">
      <c r="B15" s="2"/>
      <c r="C15" s="2" t="s">
        <v>1215</v>
      </c>
      <c r="D15" s="2" t="s">
        <v>1189</v>
      </c>
      <c r="E15" s="1">
        <v>361.05200000000002</v>
      </c>
      <c r="F15" s="1">
        <v>184.46799999999999</v>
      </c>
      <c r="G15" s="1">
        <f t="shared" ref="G15:G16" si="4">SUM(E15:F15)</f>
        <v>545.52</v>
      </c>
      <c r="H15">
        <v>179.21199999999999</v>
      </c>
      <c r="I15" s="1">
        <v>366.30799999999999</v>
      </c>
      <c r="J15" s="1">
        <f>SUM(H15:I15)</f>
        <v>545.52</v>
      </c>
      <c r="K15" s="2"/>
      <c r="L15" s="1">
        <v>362.12400000000002</v>
      </c>
      <c r="M15" s="1">
        <v>183.39599999999999</v>
      </c>
      <c r="N15" s="1">
        <f t="shared" ref="N15:N16" si="5">SUM(L15:M15)</f>
        <v>545.52</v>
      </c>
      <c r="O15">
        <v>180.28399999999999</v>
      </c>
      <c r="P15" s="1">
        <v>365.23599999999999</v>
      </c>
      <c r="Q15" s="1">
        <f>SUM(O15:P15)</f>
        <v>545.52</v>
      </c>
      <c r="R15" s="2"/>
      <c r="T15" s="2"/>
      <c r="U15" s="375">
        <f>1/U14*1000</f>
        <v>1.7777777777777779</v>
      </c>
      <c r="V15" s="6" t="s">
        <v>48</v>
      </c>
      <c r="W15" s="2"/>
      <c r="X15" s="1" t="s">
        <v>1206</v>
      </c>
      <c r="Y15" s="384">
        <f>U11*U13</f>
        <v>375</v>
      </c>
      <c r="Z15" t="s">
        <v>1189</v>
      </c>
      <c r="AA15" s="95">
        <f>Y14</f>
        <v>187.5</v>
      </c>
      <c r="AB15" t="s">
        <v>1189</v>
      </c>
      <c r="AC15" s="2"/>
      <c r="AD15" s="1" t="s">
        <v>1206</v>
      </c>
      <c r="AE15" s="384">
        <f>U20*U22</f>
        <v>254.32867403202505</v>
      </c>
      <c r="AF15" t="s">
        <v>1189</v>
      </c>
      <c r="AG15" s="95">
        <f>AE14</f>
        <v>508.6573480640501</v>
      </c>
      <c r="AH15" t="s">
        <v>1189</v>
      </c>
    </row>
    <row r="16" spans="2:34" x14ac:dyDescent="0.6">
      <c r="B16" s="2"/>
      <c r="C16" s="2" t="s">
        <v>1216</v>
      </c>
      <c r="D16" s="2" t="s">
        <v>1189</v>
      </c>
      <c r="E16" s="1">
        <v>358.80399999999997</v>
      </c>
      <c r="F16" s="1">
        <v>186.71600000000001</v>
      </c>
      <c r="G16" s="1">
        <f t="shared" si="4"/>
        <v>545.52</v>
      </c>
      <c r="H16">
        <v>176.964</v>
      </c>
      <c r="I16" s="1">
        <v>368.55599999999998</v>
      </c>
      <c r="J16" s="1">
        <f t="shared" ref="J16" si="6">SUM(H16:I16)</f>
        <v>545.52</v>
      </c>
      <c r="K16" s="2"/>
      <c r="L16" s="1">
        <v>360.791</v>
      </c>
      <c r="M16" s="1">
        <v>184.72900000000001</v>
      </c>
      <c r="N16" s="1">
        <f t="shared" si="5"/>
        <v>545.52</v>
      </c>
      <c r="O16">
        <v>178.95099999999999</v>
      </c>
      <c r="P16" s="1">
        <v>366.56900000000002</v>
      </c>
      <c r="Q16" s="1">
        <f t="shared" ref="Q16" si="7">SUM(O16:P16)</f>
        <v>545.52</v>
      </c>
      <c r="R16" s="2"/>
      <c r="T16" s="2"/>
      <c r="U16" s="2"/>
      <c r="V16" s="369"/>
      <c r="W16" s="2">
        <f>Y8</f>
        <v>31</v>
      </c>
      <c r="X16" s="1" t="s">
        <v>1204</v>
      </c>
      <c r="Y16" s="95">
        <f>Y14+Y11</f>
        <v>111.75</v>
      </c>
      <c r="Z16" t="s">
        <v>1189</v>
      </c>
      <c r="AA16" s="95">
        <f>AA14+Y11</f>
        <v>299.25</v>
      </c>
      <c r="AB16" t="s">
        <v>1189</v>
      </c>
      <c r="AC16" s="2">
        <f>AE8</f>
        <v>31</v>
      </c>
      <c r="AD16" s="1" t="s">
        <v>1204</v>
      </c>
      <c r="AE16" s="95">
        <f>AE14+AE11</f>
        <v>441.2173480640501</v>
      </c>
      <c r="AF16" t="s">
        <v>1189</v>
      </c>
      <c r="AG16" s="95">
        <f>AG14+AE11</f>
        <v>186.88867403202505</v>
      </c>
      <c r="AH16" t="s">
        <v>1189</v>
      </c>
    </row>
    <row r="17" spans="1:34" x14ac:dyDescent="0.6">
      <c r="B17" s="2"/>
      <c r="C17" s="2" t="s">
        <v>1217</v>
      </c>
      <c r="D17" s="2" t="s">
        <v>1189</v>
      </c>
      <c r="E17" s="380">
        <f>E16-E15</f>
        <v>-2.2480000000000473</v>
      </c>
      <c r="F17" s="381">
        <f>F16-F15</f>
        <v>2.2480000000000189</v>
      </c>
      <c r="G17" s="381">
        <f t="shared" ref="G17:J17" si="8">G16-G15</f>
        <v>0</v>
      </c>
      <c r="H17" s="380">
        <f>H16-H15</f>
        <v>-2.2479999999999905</v>
      </c>
      <c r="I17" s="381">
        <f t="shared" si="8"/>
        <v>2.2479999999999905</v>
      </c>
      <c r="J17" s="381">
        <f t="shared" si="8"/>
        <v>0</v>
      </c>
      <c r="K17" s="382"/>
      <c r="L17" s="380">
        <f>L16-L15</f>
        <v>-1.3330000000000268</v>
      </c>
      <c r="M17" s="381">
        <f t="shared" ref="M17:N17" si="9">M16-M15</f>
        <v>1.3330000000000268</v>
      </c>
      <c r="N17" s="381">
        <f t="shared" si="9"/>
        <v>0</v>
      </c>
      <c r="O17" s="380">
        <f>O16-O15</f>
        <v>-1.3329999999999984</v>
      </c>
      <c r="P17" s="381">
        <f t="shared" ref="P17:Q17" si="10">P16-P15</f>
        <v>1.3330000000000268</v>
      </c>
      <c r="Q17" s="381">
        <f t="shared" si="10"/>
        <v>0</v>
      </c>
      <c r="R17" s="382"/>
      <c r="T17" s="2" t="s">
        <v>98</v>
      </c>
      <c r="U17" s="409">
        <v>39.319200000000002</v>
      </c>
      <c r="V17" s="6" t="s">
        <v>0</v>
      </c>
      <c r="W17" s="3"/>
      <c r="X17" s="1" t="s">
        <v>1206</v>
      </c>
      <c r="Y17" s="95">
        <f>Y15+Y12</f>
        <v>450.75</v>
      </c>
      <c r="Z17" t="s">
        <v>1189</v>
      </c>
      <c r="AA17" s="95">
        <f>AA15+Y12</f>
        <v>263.25</v>
      </c>
      <c r="AB17" t="s">
        <v>1189</v>
      </c>
      <c r="AC17" s="3"/>
      <c r="AD17" s="1" t="s">
        <v>1206</v>
      </c>
      <c r="AE17" s="95">
        <f>AE15+AE12</f>
        <v>321.76867403202505</v>
      </c>
      <c r="AF17" t="s">
        <v>1189</v>
      </c>
      <c r="AG17" s="95">
        <f>AG15+AE12</f>
        <v>576.09734806405015</v>
      </c>
      <c r="AH17" t="s">
        <v>1189</v>
      </c>
    </row>
    <row r="18" spans="1:34" x14ac:dyDescent="0.6">
      <c r="B18" s="2"/>
      <c r="C18" s="2"/>
      <c r="D18" s="2"/>
      <c r="E18" s="381"/>
      <c r="F18" s="381"/>
      <c r="K18" s="2"/>
      <c r="L18" s="381"/>
      <c r="M18" s="381"/>
      <c r="N18" s="1"/>
      <c r="P18" s="1"/>
      <c r="Q18" s="1"/>
      <c r="R18" s="2"/>
      <c r="T18" s="2"/>
      <c r="U18" s="410">
        <v>0</v>
      </c>
      <c r="V18" s="6" t="s">
        <v>1202</v>
      </c>
      <c r="W18" s="369" t="s">
        <v>1218</v>
      </c>
      <c r="X18" s="592" t="s">
        <v>1212</v>
      </c>
      <c r="Y18" s="592"/>
      <c r="Z18" s="592" t="s">
        <v>1213</v>
      </c>
      <c r="AA18" s="592"/>
      <c r="AB18" s="3"/>
      <c r="AC18" s="369" t="s">
        <v>1218</v>
      </c>
      <c r="AD18" s="592" t="s">
        <v>1212</v>
      </c>
      <c r="AE18" s="592"/>
      <c r="AF18" s="592" t="s">
        <v>1213</v>
      </c>
      <c r="AG18" s="592"/>
    </row>
    <row r="19" spans="1:34" x14ac:dyDescent="0.6">
      <c r="B19" s="2"/>
      <c r="C19" s="2" t="s">
        <v>1219</v>
      </c>
      <c r="D19" s="2" t="s">
        <v>1189</v>
      </c>
      <c r="E19" s="381">
        <f>E3*(31-1)</f>
        <v>279.48</v>
      </c>
      <c r="F19" s="381"/>
      <c r="K19" s="2"/>
      <c r="L19" s="381">
        <f>L3*(31-1)</f>
        <v>150.33000000000001</v>
      </c>
      <c r="M19" s="381"/>
      <c r="N19" s="1"/>
      <c r="P19" s="1"/>
      <c r="Q19" s="1"/>
      <c r="R19" s="2"/>
      <c r="T19" s="2"/>
      <c r="U19" s="1">
        <f>U17+U17*U18</f>
        <v>39.319200000000002</v>
      </c>
      <c r="V19" s="6" t="s">
        <v>0</v>
      </c>
      <c r="W19" s="3"/>
      <c r="X19" s="1" t="s">
        <v>1210</v>
      </c>
      <c r="Y19" s="7">
        <f>Y16/$U$20</f>
        <v>4.3939206000000004</v>
      </c>
      <c r="Z19" t="s">
        <v>5</v>
      </c>
      <c r="AA19" s="7">
        <f>AA16/$U$20</f>
        <v>11.7662706</v>
      </c>
      <c r="AB19" t="s">
        <v>5</v>
      </c>
      <c r="AC19" s="3"/>
      <c r="AD19" s="1" t="s">
        <v>1210</v>
      </c>
      <c r="AE19" s="7">
        <f>AE16/$U$11</f>
        <v>7.0594775690248017</v>
      </c>
      <c r="AF19" t="s">
        <v>5</v>
      </c>
      <c r="AG19" s="7">
        <f>AG16/$U$11</f>
        <v>2.9902187845124009</v>
      </c>
      <c r="AH19" t="s">
        <v>5</v>
      </c>
    </row>
    <row r="20" spans="1:34" x14ac:dyDescent="0.6">
      <c r="B20" s="2"/>
      <c r="C20" s="2" t="s">
        <v>1194</v>
      </c>
      <c r="D20" s="2" t="s">
        <v>1189</v>
      </c>
      <c r="E20" s="381">
        <v>293.61200000000002</v>
      </c>
      <c r="F20" s="381">
        <v>251.90799999999999</v>
      </c>
      <c r="G20" s="1">
        <f>SUM(E20:F20)</f>
        <v>545.52</v>
      </c>
      <c r="H20" s="381">
        <v>111.77200000000001</v>
      </c>
      <c r="I20" s="381">
        <v>433.74799999999999</v>
      </c>
      <c r="J20" s="381">
        <f>SUM(H20:I20)</f>
        <v>545.52</v>
      </c>
      <c r="K20" s="382"/>
      <c r="L20" s="381">
        <v>322.13400000000001</v>
      </c>
      <c r="M20" s="381">
        <v>223.386</v>
      </c>
      <c r="N20" s="1">
        <f>SUM(L20:M20)</f>
        <v>545.52</v>
      </c>
      <c r="O20" s="381">
        <v>140.29400000000001</v>
      </c>
      <c r="P20" s="381">
        <v>405.226</v>
      </c>
      <c r="Q20" s="381">
        <f>SUM(O20:P20)</f>
        <v>545.52</v>
      </c>
      <c r="R20" s="382"/>
      <c r="T20" s="2"/>
      <c r="U20" s="1">
        <f>1/U19*1000</f>
        <v>25.432867403202504</v>
      </c>
      <c r="V20" s="6" t="s">
        <v>1189</v>
      </c>
      <c r="W20" s="3"/>
      <c r="X20" s="1" t="s">
        <v>1211</v>
      </c>
      <c r="Y20" s="7">
        <f>Y17/$U$20</f>
        <v>17.723129400000001</v>
      </c>
      <c r="Z20" t="s">
        <v>5</v>
      </c>
      <c r="AA20" s="7">
        <f>AA17/$U$20</f>
        <v>10.3507794</v>
      </c>
      <c r="AB20" t="s">
        <v>5</v>
      </c>
      <c r="AC20" s="3"/>
      <c r="AD20" s="1" t="s">
        <v>1211</v>
      </c>
      <c r="AE20" s="7">
        <f>AE17/$U$11</f>
        <v>5.1482987845124004</v>
      </c>
      <c r="AF20" t="s">
        <v>5</v>
      </c>
      <c r="AG20" s="7">
        <f>AG17/$U$11</f>
        <v>9.2175575690248017</v>
      </c>
      <c r="AH20" t="s">
        <v>5</v>
      </c>
    </row>
    <row r="21" spans="1:34" ht="17.25" thickBot="1" x14ac:dyDescent="0.65">
      <c r="B21" s="2"/>
      <c r="C21" s="2" t="s">
        <v>1198</v>
      </c>
      <c r="D21" s="2" t="s">
        <v>1189</v>
      </c>
      <c r="E21" s="381">
        <f>E17*(31-1)</f>
        <v>-67.440000000001419</v>
      </c>
      <c r="F21" s="381">
        <f>F17*(31-1)</f>
        <v>67.440000000000566</v>
      </c>
      <c r="G21" s="381">
        <f t="shared" ref="G21:J21" si="11">G17*(31-1)</f>
        <v>0</v>
      </c>
      <c r="H21" s="381">
        <f>H17*(31-1)</f>
        <v>-67.439999999999714</v>
      </c>
      <c r="I21" s="381">
        <f t="shared" si="11"/>
        <v>67.439999999999714</v>
      </c>
      <c r="J21" s="381">
        <f t="shared" si="11"/>
        <v>0</v>
      </c>
      <c r="K21" s="382"/>
      <c r="L21" s="381">
        <f>L17*(31-1)</f>
        <v>-39.990000000000805</v>
      </c>
      <c r="M21" s="381">
        <f>M17*(31-1)</f>
        <v>39.990000000000805</v>
      </c>
      <c r="N21" s="381">
        <f t="shared" ref="N21" si="12">N17*(31-1)</f>
        <v>0</v>
      </c>
      <c r="O21" s="381">
        <f>O17*(31-1)</f>
        <v>-39.989999999999952</v>
      </c>
      <c r="P21" s="381">
        <f t="shared" ref="P21:Q21" si="13">P17*(31-1)</f>
        <v>39.990000000000805</v>
      </c>
      <c r="Q21" s="381">
        <f t="shared" si="13"/>
        <v>0</v>
      </c>
      <c r="R21" s="382"/>
      <c r="T21" s="2" t="s">
        <v>1210</v>
      </c>
      <c r="U21" s="406">
        <v>20</v>
      </c>
      <c r="V21" s="6" t="s">
        <v>5</v>
      </c>
      <c r="W21" s="3"/>
      <c r="AC21" s="3"/>
    </row>
    <row r="22" spans="1:34" ht="17.25" thickTop="1" x14ac:dyDescent="0.6">
      <c r="A22" s="383"/>
      <c r="B22" s="2"/>
      <c r="C22" s="2"/>
      <c r="D22" s="2"/>
      <c r="E22" s="383"/>
      <c r="F22" s="383"/>
      <c r="G22" s="383"/>
      <c r="H22" s="383"/>
      <c r="I22" s="383"/>
      <c r="J22" s="383"/>
      <c r="K22" s="382"/>
      <c r="L22" s="383"/>
      <c r="M22" s="383"/>
      <c r="N22" s="383"/>
      <c r="O22" s="383"/>
      <c r="P22" s="383"/>
      <c r="Q22" s="383"/>
      <c r="R22" s="382"/>
      <c r="T22" s="2" t="s">
        <v>1211</v>
      </c>
      <c r="U22" s="406">
        <v>10</v>
      </c>
      <c r="V22" s="6" t="s">
        <v>5</v>
      </c>
      <c r="W22" s="385" t="s">
        <v>1220</v>
      </c>
      <c r="X22" s="386"/>
      <c r="Y22" s="387">
        <f>ROUNDDOWN(Y19,0)</f>
        <v>4</v>
      </c>
      <c r="Z22" s="388" t="s">
        <v>5</v>
      </c>
      <c r="AA22" s="387">
        <f>ROUNDUP(AA19,0)</f>
        <v>12</v>
      </c>
      <c r="AB22" s="388" t="s">
        <v>5</v>
      </c>
      <c r="AC22" s="389" t="s">
        <v>1220</v>
      </c>
      <c r="AD22" s="388"/>
      <c r="AE22" s="387">
        <f>ROUNDDOWN(AE19,0)</f>
        <v>7</v>
      </c>
      <c r="AF22" s="388" t="s">
        <v>5</v>
      </c>
      <c r="AG22" s="387">
        <f>ROUNDUP(AG19,0)</f>
        <v>3</v>
      </c>
      <c r="AH22" s="390" t="s">
        <v>5</v>
      </c>
    </row>
    <row r="23" spans="1:34" ht="17.25" thickBot="1" x14ac:dyDescent="0.65">
      <c r="A23" s="383"/>
      <c r="B23" s="2"/>
      <c r="C23" s="371" t="s">
        <v>1221</v>
      </c>
      <c r="D23" s="2" t="s">
        <v>1189</v>
      </c>
      <c r="E23" s="379">
        <v>8.6560000000000006</v>
      </c>
      <c r="F23" s="391"/>
      <c r="G23" s="391"/>
      <c r="H23" s="391"/>
      <c r="I23" s="391"/>
      <c r="J23" s="391"/>
      <c r="K23" s="382"/>
      <c r="L23" s="379"/>
      <c r="M23" s="391"/>
      <c r="N23" s="391"/>
      <c r="O23" s="391"/>
      <c r="P23" s="391"/>
      <c r="Q23" s="391"/>
      <c r="R23" s="382"/>
      <c r="T23" s="2" t="s">
        <v>47</v>
      </c>
      <c r="U23" s="375">
        <f>U20*(U21+U22)</f>
        <v>762.98602209607509</v>
      </c>
      <c r="V23" s="6" t="s">
        <v>1189</v>
      </c>
      <c r="W23" s="402" t="s">
        <v>1244</v>
      </c>
      <c r="Y23" s="8">
        <f>ROUNDUP(Y20,0)</f>
        <v>18</v>
      </c>
      <c r="Z23" t="s">
        <v>5</v>
      </c>
      <c r="AA23" s="8">
        <f>ROUNDDOWN(AA20,0)</f>
        <v>10</v>
      </c>
      <c r="AB23" t="s">
        <v>5</v>
      </c>
      <c r="AC23" s="403" t="s">
        <v>1243</v>
      </c>
      <c r="AE23" s="8">
        <f>ROUNDUP(AE20,0)</f>
        <v>6</v>
      </c>
      <c r="AF23" t="s">
        <v>5</v>
      </c>
      <c r="AG23" s="8">
        <f>ROUNDDOWN(AG20,0)</f>
        <v>9</v>
      </c>
      <c r="AH23" s="392" t="s">
        <v>5</v>
      </c>
    </row>
    <row r="24" spans="1:34" ht="17.649999999999999" thickTop="1" thickBot="1" x14ac:dyDescent="0.65">
      <c r="A24" s="383"/>
      <c r="B24" s="2"/>
      <c r="C24" s="371" t="s">
        <v>1222</v>
      </c>
      <c r="D24" s="2" t="s">
        <v>1189</v>
      </c>
      <c r="E24" s="379"/>
      <c r="F24" s="391"/>
      <c r="G24" s="391"/>
      <c r="H24" s="391"/>
      <c r="I24" s="391"/>
      <c r="J24" s="391"/>
      <c r="K24" s="382"/>
      <c r="L24" s="379">
        <f>E23*M2</f>
        <v>4.6550001125999323</v>
      </c>
      <c r="M24" s="391"/>
      <c r="N24" s="391"/>
      <c r="O24" s="391"/>
      <c r="P24" s="391"/>
      <c r="Q24" s="391"/>
      <c r="R24" s="382"/>
      <c r="T24" s="2"/>
      <c r="U24" s="375">
        <f>1/U23*1000</f>
        <v>1.3106400000000002</v>
      </c>
      <c r="V24" s="6" t="s">
        <v>48</v>
      </c>
      <c r="W24" s="397" t="s">
        <v>1241</v>
      </c>
      <c r="X24" s="398" t="s">
        <v>1242</v>
      </c>
      <c r="Y24" s="399"/>
      <c r="Z24" s="400"/>
      <c r="AA24" s="400"/>
      <c r="AB24" s="400"/>
      <c r="AC24" s="400"/>
      <c r="AD24" s="400"/>
      <c r="AE24" s="400"/>
      <c r="AF24" s="400"/>
      <c r="AG24" s="400"/>
      <c r="AH24" s="401"/>
    </row>
    <row r="25" spans="1:34" ht="17.25" thickTop="1" x14ac:dyDescent="0.6">
      <c r="A25" s="383"/>
      <c r="B25" s="383"/>
      <c r="C25" s="383"/>
      <c r="D25" s="383"/>
      <c r="E25" s="383"/>
      <c r="F25" s="383"/>
      <c r="G25" s="383"/>
      <c r="H25" s="383"/>
      <c r="I25" s="383"/>
      <c r="J25" s="383"/>
      <c r="K25" s="383"/>
    </row>
    <row r="26" spans="1:34" x14ac:dyDescent="0.6">
      <c r="B26" s="2"/>
      <c r="C26" s="2"/>
      <c r="D26" s="2"/>
      <c r="E26" s="2" t="s">
        <v>1176</v>
      </c>
      <c r="F26" s="2"/>
      <c r="G26" s="2"/>
      <c r="H26" s="382">
        <v>30</v>
      </c>
      <c r="I26" s="3" t="s">
        <v>0</v>
      </c>
      <c r="J26" s="2"/>
      <c r="K26" s="2"/>
      <c r="L26" s="2" t="s">
        <v>1223</v>
      </c>
      <c r="M26" s="2"/>
      <c r="N26" s="2"/>
      <c r="O26" s="382">
        <v>30</v>
      </c>
      <c r="P26" s="3" t="s">
        <v>0</v>
      </c>
      <c r="Q26" s="2"/>
      <c r="R26" s="382"/>
      <c r="T26" s="370" t="s">
        <v>1245</v>
      </c>
      <c r="U26" s="371"/>
      <c r="V26" s="371"/>
      <c r="W26" s="371"/>
      <c r="X26"/>
      <c r="Y26"/>
    </row>
    <row r="27" spans="1:34" x14ac:dyDescent="0.6">
      <c r="B27" s="2" t="s">
        <v>1174</v>
      </c>
      <c r="C27" s="2"/>
      <c r="D27" s="2"/>
      <c r="E27" s="2" t="s">
        <v>1224</v>
      </c>
      <c r="F27" s="2"/>
      <c r="G27" s="2"/>
      <c r="H27" s="2">
        <f>1/H26*1000</f>
        <v>33.333333333333336</v>
      </c>
      <c r="I27" s="369" t="s">
        <v>1189</v>
      </c>
      <c r="J27" s="2"/>
      <c r="K27" s="2"/>
      <c r="L27" s="2" t="s">
        <v>1224</v>
      </c>
      <c r="M27" s="2"/>
      <c r="N27" s="2"/>
      <c r="O27" s="2">
        <f>1/O26*1000</f>
        <v>33.333333333333336</v>
      </c>
      <c r="P27" s="369" t="s">
        <v>1189</v>
      </c>
      <c r="Q27" s="2"/>
      <c r="R27" s="382"/>
      <c r="T27" s="2">
        <v>39.311999999999998</v>
      </c>
      <c r="U27" s="369" t="s">
        <v>0</v>
      </c>
      <c r="V27" s="412">
        <v>9.0999999999999998E-2</v>
      </c>
      <c r="W27" s="369" t="s">
        <v>1172</v>
      </c>
      <c r="X27"/>
      <c r="Y27"/>
    </row>
    <row r="28" spans="1:34" x14ac:dyDescent="0.6">
      <c r="B28" s="2"/>
      <c r="C28" s="2"/>
      <c r="D28" s="2"/>
      <c r="E28" s="2" t="s">
        <v>1192</v>
      </c>
      <c r="F28" s="2" t="s">
        <v>1193</v>
      </c>
      <c r="G28" s="2"/>
      <c r="H28" s="2">
        <f>H27/2</f>
        <v>16.666666666666668</v>
      </c>
      <c r="I28" s="369" t="s">
        <v>1189</v>
      </c>
      <c r="J28" s="3"/>
      <c r="K28" s="2"/>
      <c r="L28" s="2" t="s">
        <v>1192</v>
      </c>
      <c r="M28" s="2" t="s">
        <v>1193</v>
      </c>
      <c r="N28" s="2"/>
      <c r="O28" s="2">
        <f>O27/2</f>
        <v>16.666666666666668</v>
      </c>
      <c r="P28" s="369" t="s">
        <v>1189</v>
      </c>
      <c r="Q28" s="3"/>
      <c r="R28" s="382"/>
      <c r="T28" s="372">
        <f>T27+T27*V27</f>
        <v>42.889392000000001</v>
      </c>
      <c r="U28" s="373" t="s">
        <v>0</v>
      </c>
      <c r="V28" s="334">
        <f>1/T28*1000</f>
        <v>23.315788668675928</v>
      </c>
      <c r="W28" s="333" t="s">
        <v>1189</v>
      </c>
      <c r="X28"/>
      <c r="Y28"/>
    </row>
    <row r="29" spans="1:34" x14ac:dyDescent="0.6">
      <c r="B29" s="2"/>
      <c r="C29" s="2" t="s">
        <v>487</v>
      </c>
      <c r="D29" s="2" t="s">
        <v>1189</v>
      </c>
      <c r="E29" s="1">
        <v>16.670000000000002</v>
      </c>
      <c r="F29" s="1">
        <f>E29</f>
        <v>16.670000000000002</v>
      </c>
      <c r="H29" s="1"/>
      <c r="K29" s="2"/>
      <c r="L29" s="1">
        <v>16.670000000000002</v>
      </c>
      <c r="M29" s="1">
        <f>L29</f>
        <v>16.670000000000002</v>
      </c>
      <c r="N29" s="1"/>
      <c r="O29" s="1"/>
      <c r="P29" s="1"/>
      <c r="Q29" s="1"/>
      <c r="R29" s="382"/>
      <c r="T29" s="372">
        <f>T27-T27*V27</f>
        <v>35.734607999999994</v>
      </c>
      <c r="U29" s="373" t="s">
        <v>0</v>
      </c>
      <c r="V29" s="334">
        <f>1/T29*1000</f>
        <v>27.984076388916879</v>
      </c>
      <c r="W29" s="333" t="s">
        <v>1189</v>
      </c>
      <c r="X29"/>
      <c r="Y29"/>
    </row>
    <row r="30" spans="1:34" x14ac:dyDescent="0.6">
      <c r="B30" s="2"/>
      <c r="C30" s="2" t="s">
        <v>1225</v>
      </c>
      <c r="D30" s="2" t="s">
        <v>1189</v>
      </c>
      <c r="E30" s="1">
        <v>13.972</v>
      </c>
      <c r="F30" s="1">
        <v>19.367999999999999</v>
      </c>
      <c r="H30" s="1"/>
      <c r="K30" s="2"/>
      <c r="L30" s="1">
        <v>15.157999999999999</v>
      </c>
      <c r="M30" s="1">
        <v>18.181999999999999</v>
      </c>
      <c r="N30" s="1"/>
      <c r="O30" s="1"/>
      <c r="P30" s="1"/>
      <c r="Q30" s="1"/>
      <c r="R30" s="382"/>
      <c r="T30" s="406">
        <v>60</v>
      </c>
      <c r="U30" s="369" t="s">
        <v>5</v>
      </c>
      <c r="V30" s="379">
        <f>(T30+12)*V28/1000</f>
        <v>1.678736784144667</v>
      </c>
      <c r="W30" s="3" t="s">
        <v>1</v>
      </c>
      <c r="X30"/>
      <c r="Y30"/>
    </row>
    <row r="31" spans="1:34" x14ac:dyDescent="0.6">
      <c r="B31" s="2"/>
      <c r="C31" s="2" t="s">
        <v>1226</v>
      </c>
      <c r="D31" s="2" t="s">
        <v>1189</v>
      </c>
      <c r="E31" s="375">
        <f>E30-E29</f>
        <v>-2.6980000000000022</v>
      </c>
      <c r="F31" s="375">
        <f>F30-F29</f>
        <v>2.6979999999999968</v>
      </c>
      <c r="H31" s="1"/>
      <c r="K31" s="2"/>
      <c r="L31" s="375">
        <f>L30-L29</f>
        <v>-1.5120000000000022</v>
      </c>
      <c r="M31" s="375">
        <f>M30-M29</f>
        <v>1.5119999999999969</v>
      </c>
      <c r="N31" s="1"/>
      <c r="O31" s="1"/>
      <c r="P31" s="1"/>
      <c r="Q31" s="1"/>
      <c r="R31" s="382"/>
      <c r="T31" s="2"/>
      <c r="U31" s="2"/>
      <c r="V31" s="379">
        <f>T30*V29/1000</f>
        <v>1.6790445833350127</v>
      </c>
      <c r="W31" s="3" t="s">
        <v>1</v>
      </c>
      <c r="X31"/>
      <c r="Y31"/>
    </row>
    <row r="32" spans="1:34" x14ac:dyDescent="0.6">
      <c r="B32" s="2"/>
      <c r="C32" s="2" t="s">
        <v>1227</v>
      </c>
      <c r="D32" s="2" t="s">
        <v>1189</v>
      </c>
      <c r="E32" s="378">
        <v>10.218</v>
      </c>
      <c r="K32" s="2"/>
      <c r="L32" s="378">
        <v>5.3869999999999996</v>
      </c>
      <c r="M32" s="393">
        <f>L32/E32</f>
        <v>0.52720688980230956</v>
      </c>
      <c r="N32" s="1"/>
      <c r="P32" s="1"/>
      <c r="Q32" s="1"/>
      <c r="R32" s="382"/>
      <c r="T32" s="372" t="s">
        <v>1173</v>
      </c>
      <c r="U32" s="373" t="s">
        <v>1</v>
      </c>
      <c r="V32" s="334">
        <f>V30-V31</f>
        <v>-3.0779919034573666E-4</v>
      </c>
      <c r="W32" s="333" t="s">
        <v>1</v>
      </c>
      <c r="X32"/>
      <c r="Y32"/>
    </row>
    <row r="33" spans="1:29" x14ac:dyDescent="0.6">
      <c r="B33" s="2"/>
      <c r="C33" s="2"/>
      <c r="D33" s="2"/>
      <c r="E33" s="2" t="s">
        <v>1192</v>
      </c>
      <c r="F33" s="2" t="s">
        <v>1193</v>
      </c>
      <c r="K33" s="2"/>
      <c r="L33" s="2" t="s">
        <v>1192</v>
      </c>
      <c r="M33" s="2" t="s">
        <v>1193</v>
      </c>
      <c r="N33" s="1"/>
      <c r="P33" s="1"/>
      <c r="Q33" s="1"/>
      <c r="R33" s="382"/>
      <c r="U33" s="6"/>
      <c r="V33"/>
      <c r="X33"/>
      <c r="Y33"/>
    </row>
    <row r="34" spans="1:29" s="1" customFormat="1" x14ac:dyDescent="0.6">
      <c r="A34"/>
      <c r="B34" s="2"/>
      <c r="C34" s="2" t="s">
        <v>1228</v>
      </c>
      <c r="D34" s="2" t="s">
        <v>1189</v>
      </c>
      <c r="E34" s="378">
        <v>9.7609999999999992</v>
      </c>
      <c r="F34" s="1">
        <v>6.9749999999999996</v>
      </c>
      <c r="H34"/>
      <c r="K34" s="2"/>
      <c r="L34" s="378">
        <v>5.1639999999999997</v>
      </c>
      <c r="M34" s="1">
        <v>3.6190000000000002</v>
      </c>
      <c r="O34"/>
      <c r="R34" s="382"/>
      <c r="T34" s="404" t="s">
        <v>1175</v>
      </c>
      <c r="U34" s="369"/>
      <c r="V34" s="369"/>
      <c r="W34" s="369"/>
      <c r="X34" s="3"/>
      <c r="Y34" s="3"/>
      <c r="Z34" s="3"/>
      <c r="AA34" s="3"/>
      <c r="AB34" s="3"/>
      <c r="AC34" s="3"/>
    </row>
    <row r="35" spans="1:29" s="1" customFormat="1" x14ac:dyDescent="0.6">
      <c r="A35"/>
      <c r="B35" s="2"/>
      <c r="C35" s="2" t="s">
        <v>1229</v>
      </c>
      <c r="D35" s="2" t="s">
        <v>1189</v>
      </c>
      <c r="E35" s="394">
        <f>E34-E32</f>
        <v>-0.45700000000000074</v>
      </c>
      <c r="H35"/>
      <c r="K35" s="2"/>
      <c r="L35" s="394">
        <f>L34-L32</f>
        <v>-0.22299999999999986</v>
      </c>
      <c r="O35"/>
      <c r="R35" s="382"/>
      <c r="T35" s="369"/>
      <c r="U35" s="3" t="s">
        <v>1251</v>
      </c>
      <c r="V35" s="369"/>
      <c r="W35" s="369" t="s">
        <v>1181</v>
      </c>
      <c r="X35" s="376"/>
      <c r="Y35" s="376"/>
      <c r="Z35" s="3"/>
      <c r="AA35" s="3"/>
      <c r="AB35" s="3"/>
      <c r="AC35" s="3" t="s">
        <v>1184</v>
      </c>
    </row>
    <row r="36" spans="1:29" s="1" customFormat="1" x14ac:dyDescent="0.6">
      <c r="A36"/>
      <c r="B36" s="2"/>
      <c r="C36" s="2"/>
      <c r="D36" s="2"/>
      <c r="E36"/>
      <c r="H36"/>
      <c r="K36" s="2"/>
      <c r="L36"/>
      <c r="O36"/>
      <c r="R36" s="382"/>
      <c r="T36" s="369"/>
      <c r="U36" s="377" t="s">
        <v>1250</v>
      </c>
      <c r="V36" s="405"/>
      <c r="W36" s="374" t="s">
        <v>1177</v>
      </c>
      <c r="X36" s="374" t="s">
        <v>2</v>
      </c>
      <c r="Y36" s="374" t="s">
        <v>1252</v>
      </c>
      <c r="Z36" s="3"/>
      <c r="AA36" s="2" t="s">
        <v>1182</v>
      </c>
      <c r="AB36" s="3"/>
      <c r="AC36" s="374" t="s">
        <v>1183</v>
      </c>
    </row>
    <row r="37" spans="1:29" s="1" customFormat="1" x14ac:dyDescent="0.6">
      <c r="A37"/>
      <c r="B37" s="2"/>
      <c r="C37" s="2" t="s">
        <v>1230</v>
      </c>
      <c r="D37" s="2" t="s">
        <v>1189</v>
      </c>
      <c r="E37" s="378">
        <v>11.964</v>
      </c>
      <c r="H37"/>
      <c r="K37" s="2"/>
      <c r="L37" s="378">
        <v>6.2610000000000001</v>
      </c>
      <c r="M37" s="393">
        <f>L37/E37</f>
        <v>0.52331995987963886</v>
      </c>
      <c r="O37"/>
      <c r="R37" s="382"/>
      <c r="T37" s="369"/>
      <c r="U37" s="2" t="s">
        <v>1249</v>
      </c>
      <c r="V37" s="2"/>
      <c r="W37" s="2">
        <v>16</v>
      </c>
      <c r="X37" s="2" t="s">
        <v>1180</v>
      </c>
      <c r="Y37" s="2" t="s">
        <v>97</v>
      </c>
      <c r="Z37" s="3"/>
      <c r="AA37" s="2" t="s">
        <v>97</v>
      </c>
      <c r="AB37" s="3"/>
      <c r="AC37" s="2" t="s">
        <v>97</v>
      </c>
    </row>
    <row r="38" spans="1:29" s="1" customFormat="1" x14ac:dyDescent="0.6">
      <c r="A38"/>
      <c r="B38" s="2"/>
      <c r="C38" s="2" t="s">
        <v>1231</v>
      </c>
      <c r="D38" s="2" t="s">
        <v>1189</v>
      </c>
      <c r="E38" s="1">
        <f>E32+E37</f>
        <v>22.182000000000002</v>
      </c>
      <c r="H38" s="381"/>
      <c r="I38" s="381"/>
      <c r="J38"/>
      <c r="K38" s="2"/>
      <c r="L38" s="1">
        <f>L32+L37</f>
        <v>11.648</v>
      </c>
      <c r="O38" s="381"/>
      <c r="P38" s="381"/>
      <c r="Q38"/>
      <c r="R38" s="382"/>
      <c r="T38" s="2" t="s">
        <v>1174</v>
      </c>
      <c r="U38" s="1" t="s">
        <v>1247</v>
      </c>
      <c r="W38" s="1">
        <f>2^W37</f>
        <v>65536</v>
      </c>
      <c r="X38" s="406">
        <v>10</v>
      </c>
      <c r="Y38" s="375">
        <f>W38*(1/X38)/1000</f>
        <v>6.5536000000000003</v>
      </c>
      <c r="AA38">
        <v>1</v>
      </c>
      <c r="AC38" s="7">
        <f>Y38+AA38</f>
        <v>7.5536000000000003</v>
      </c>
    </row>
    <row r="39" spans="1:29" s="1" customFormat="1" x14ac:dyDescent="0.6">
      <c r="A39"/>
      <c r="B39" s="2"/>
      <c r="C39" s="2" t="s">
        <v>1232</v>
      </c>
      <c r="D39" s="2" t="s">
        <v>1189</v>
      </c>
      <c r="E39" s="1">
        <f>E32*2+E37</f>
        <v>32.4</v>
      </c>
      <c r="H39" s="381"/>
      <c r="I39" s="381"/>
      <c r="J39"/>
      <c r="K39" s="2"/>
      <c r="L39" s="1">
        <f>L32*2+L37</f>
        <v>17.035</v>
      </c>
      <c r="O39" s="381"/>
      <c r="P39" s="381"/>
      <c r="Q39"/>
      <c r="R39" s="382"/>
      <c r="T39" s="2" t="s">
        <v>1178</v>
      </c>
      <c r="U39" s="1" t="s">
        <v>1248</v>
      </c>
      <c r="W39" s="1">
        <f>2^W37</f>
        <v>65536</v>
      </c>
      <c r="X39" s="407">
        <f>14.75</f>
        <v>14.75</v>
      </c>
      <c r="Y39" s="375">
        <f t="shared" ref="Y39:Y40" si="14">W39*(1/X39)/1000</f>
        <v>4.4431186440677966</v>
      </c>
      <c r="AA39">
        <v>1</v>
      </c>
      <c r="AC39" s="7">
        <f>Y39+AA39</f>
        <v>5.4431186440677966</v>
      </c>
    </row>
    <row r="40" spans="1:29" s="1" customFormat="1" x14ac:dyDescent="0.6">
      <c r="A40"/>
      <c r="B40" s="2"/>
      <c r="C40" s="2"/>
      <c r="D40" s="2"/>
      <c r="H40" s="381"/>
      <c r="I40" s="381"/>
      <c r="J40"/>
      <c r="K40" s="2"/>
      <c r="O40" s="381"/>
      <c r="P40" s="381"/>
      <c r="Q40"/>
      <c r="R40" s="382"/>
      <c r="T40" s="2" t="s">
        <v>1179</v>
      </c>
      <c r="U40" s="1" t="s">
        <v>1248</v>
      </c>
      <c r="W40">
        <f>2^W37</f>
        <v>65536</v>
      </c>
      <c r="X40" s="408">
        <v>39.311999999999998</v>
      </c>
      <c r="Y40" s="375">
        <f t="shared" si="14"/>
        <v>1.6670736670736672</v>
      </c>
      <c r="AA40">
        <v>1</v>
      </c>
      <c r="AC40" s="7">
        <f>Y40+AA40</f>
        <v>2.6670736670736672</v>
      </c>
    </row>
    <row r="41" spans="1:29" s="1" customFormat="1" x14ac:dyDescent="0.6">
      <c r="A41"/>
      <c r="B41" s="2"/>
      <c r="C41" s="2" t="s">
        <v>1233</v>
      </c>
      <c r="D41" s="2" t="s">
        <v>1189</v>
      </c>
      <c r="H41" s="381" t="s">
        <v>1234</v>
      </c>
      <c r="I41" s="395" t="s">
        <v>1235</v>
      </c>
      <c r="J41"/>
      <c r="K41" s="2"/>
      <c r="O41" s="381" t="s">
        <v>1234</v>
      </c>
      <c r="P41" s="395" t="s">
        <v>1235</v>
      </c>
      <c r="Q41"/>
      <c r="R41" s="382"/>
      <c r="V41" s="6"/>
      <c r="Y41" s="375"/>
    </row>
    <row r="42" spans="1:29" s="1" customFormat="1" x14ac:dyDescent="0.6">
      <c r="A42"/>
      <c r="B42" s="2"/>
      <c r="C42" s="2" t="s">
        <v>1236</v>
      </c>
      <c r="D42" s="2" t="s">
        <v>1189</v>
      </c>
      <c r="H42" s="381">
        <f>H28-E37</f>
        <v>4.7026666666666674</v>
      </c>
      <c r="I42" s="395" t="s">
        <v>1237</v>
      </c>
      <c r="J42" s="396"/>
      <c r="K42" s="2"/>
      <c r="O42" s="381">
        <f>O28-L37</f>
        <v>10.405666666666669</v>
      </c>
      <c r="P42" s="395" t="s">
        <v>1237</v>
      </c>
      <c r="Q42" s="396"/>
      <c r="R42" s="382"/>
      <c r="V42" s="6"/>
      <c r="Y42" s="375"/>
    </row>
    <row r="43" spans="1:29" s="1" customFormat="1" x14ac:dyDescent="0.6">
      <c r="A43"/>
      <c r="B43" s="2"/>
      <c r="C43" s="2"/>
      <c r="D43" s="2"/>
      <c r="G43" s="381"/>
      <c r="K43" s="2"/>
      <c r="N43" s="381"/>
      <c r="R43" s="382"/>
      <c r="V43" s="6"/>
      <c r="Y43" s="375"/>
    </row>
    <row r="44" spans="1:29" s="1" customFormat="1" x14ac:dyDescent="0.6">
      <c r="A44"/>
      <c r="B44" s="2"/>
      <c r="C44" s="2" t="s">
        <v>1238</v>
      </c>
      <c r="D44" s="2" t="s">
        <v>1189</v>
      </c>
      <c r="H44" s="381" t="s">
        <v>1234</v>
      </c>
      <c r="I44" s="395" t="s">
        <v>1235</v>
      </c>
      <c r="K44" s="2"/>
      <c r="O44" s="381" t="s">
        <v>1234</v>
      </c>
      <c r="P44" s="395" t="s">
        <v>1235</v>
      </c>
      <c r="R44" s="382"/>
      <c r="V44" s="6"/>
      <c r="Y44" s="375"/>
    </row>
    <row r="45" spans="1:29" s="1" customFormat="1" x14ac:dyDescent="0.6">
      <c r="A45"/>
      <c r="B45" s="2"/>
      <c r="C45" s="2" t="s">
        <v>1239</v>
      </c>
      <c r="D45" s="2" t="s">
        <v>1189</v>
      </c>
      <c r="H45" s="1">
        <f>1/(2* (E32+E37+5))*1000</f>
        <v>18.394525789125154</v>
      </c>
      <c r="I45" s="395" t="s">
        <v>1240</v>
      </c>
      <c r="K45" s="2"/>
      <c r="O45" s="1">
        <f>1/(2* (L32+L37+5))*1000</f>
        <v>30.033637674195099</v>
      </c>
      <c r="P45" s="395" t="s">
        <v>1240</v>
      </c>
      <c r="R45" s="382"/>
      <c r="V45" s="6"/>
      <c r="Y45" s="375"/>
    </row>
    <row r="46" spans="1:29" s="1" customFormat="1" x14ac:dyDescent="0.6">
      <c r="A46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V46" s="6"/>
      <c r="Y46" s="375"/>
    </row>
    <row r="51" spans="1:25" s="1" customFormat="1" x14ac:dyDescent="0.6">
      <c r="A51"/>
      <c r="C51" s="6"/>
      <c r="H51"/>
      <c r="L51"/>
      <c r="M51"/>
      <c r="N51"/>
      <c r="O51"/>
      <c r="P51"/>
      <c r="Q51"/>
      <c r="R51"/>
      <c r="V51" s="6"/>
      <c r="Y51" s="375"/>
    </row>
  </sheetData>
  <mergeCells count="10">
    <mergeCell ref="X18:Y18"/>
    <mergeCell ref="Z18:AA18"/>
    <mergeCell ref="AD18:AE18"/>
    <mergeCell ref="AF18:AG18"/>
    <mergeCell ref="W7:AB7"/>
    <mergeCell ref="AC7:AH7"/>
    <mergeCell ref="X13:Y13"/>
    <mergeCell ref="Z13:AA13"/>
    <mergeCell ref="AD13:AE13"/>
    <mergeCell ref="AF13:AG13"/>
  </mergeCells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F09A-5A40-4F1B-99FF-BF0908488D42}">
  <dimension ref="B2:G7"/>
  <sheetViews>
    <sheetView workbookViewId="0">
      <selection activeCell="K5" sqref="K5"/>
    </sheetView>
  </sheetViews>
  <sheetFormatPr defaultRowHeight="16.899999999999999" x14ac:dyDescent="0.6"/>
  <cols>
    <col min="2" max="2" width="10.875" customWidth="1"/>
    <col min="3" max="3" width="11" bestFit="1" customWidth="1"/>
    <col min="4" max="4" width="16.1875" bestFit="1" customWidth="1"/>
    <col min="5" max="5" width="18.5" customWidth="1"/>
    <col min="6" max="6" width="15.6875" bestFit="1" customWidth="1"/>
    <col min="7" max="7" width="13.875" bestFit="1" customWidth="1"/>
  </cols>
  <sheetData>
    <row r="2" spans="2:7" x14ac:dyDescent="0.6">
      <c r="B2" s="337" t="s">
        <v>1335</v>
      </c>
    </row>
    <row r="4" spans="2:7" ht="67.5" x14ac:dyDescent="0.6">
      <c r="B4" s="472" t="s">
        <v>1336</v>
      </c>
      <c r="C4" s="472" t="s">
        <v>1337</v>
      </c>
      <c r="D4" s="472" t="s">
        <v>1338</v>
      </c>
      <c r="E4" s="472" t="s">
        <v>1340</v>
      </c>
      <c r="F4" s="472" t="s">
        <v>1341</v>
      </c>
      <c r="G4" s="472" t="s">
        <v>1339</v>
      </c>
    </row>
    <row r="5" spans="2:7" x14ac:dyDescent="0.6">
      <c r="B5" s="200">
        <v>0.5</v>
      </c>
      <c r="C5" s="473">
        <v>2000</v>
      </c>
      <c r="D5" s="473">
        <f>C5/25</f>
        <v>80</v>
      </c>
      <c r="E5" s="473">
        <v>84</v>
      </c>
      <c r="F5" s="473">
        <v>87</v>
      </c>
      <c r="G5" s="473">
        <f>F5*25</f>
        <v>2175</v>
      </c>
    </row>
    <row r="6" spans="2:7" x14ac:dyDescent="0.6">
      <c r="B6" s="200">
        <v>1</v>
      </c>
      <c r="C6" s="473">
        <v>1000</v>
      </c>
      <c r="D6" s="473">
        <f>C6/25</f>
        <v>40</v>
      </c>
      <c r="E6" s="473">
        <v>45</v>
      </c>
      <c r="F6" s="473">
        <v>45</v>
      </c>
      <c r="G6" s="473">
        <f>F6*25</f>
        <v>1125</v>
      </c>
    </row>
    <row r="7" spans="2:7" x14ac:dyDescent="0.6">
      <c r="B7" s="200">
        <v>2</v>
      </c>
      <c r="C7" s="473">
        <v>500</v>
      </c>
      <c r="D7" s="473">
        <f>C7/25</f>
        <v>20</v>
      </c>
      <c r="E7" s="473">
        <v>24</v>
      </c>
      <c r="F7" s="473">
        <v>24</v>
      </c>
      <c r="G7" s="473">
        <f>F7*25</f>
        <v>600</v>
      </c>
    </row>
  </sheetData>
  <phoneticPr fontId="2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42092-B524-4427-8428-70B76669E59C}">
  <dimension ref="B2:I15"/>
  <sheetViews>
    <sheetView workbookViewId="0">
      <selection activeCell="H30" sqref="H30"/>
    </sheetView>
  </sheetViews>
  <sheetFormatPr defaultColWidth="8.6875" defaultRowHeight="16.899999999999999" x14ac:dyDescent="0.6"/>
  <cols>
    <col min="1" max="1" width="8.6875" style="24"/>
    <col min="2" max="2" width="5.5" style="24" bestFit="1" customWidth="1"/>
    <col min="3" max="3" width="4.5" style="24" bestFit="1" customWidth="1"/>
    <col min="4" max="4" width="14.1875" style="24" bestFit="1" customWidth="1"/>
    <col min="5" max="5" width="11.6875" style="24" bestFit="1" customWidth="1"/>
    <col min="6" max="6" width="13.5" style="24" bestFit="1" customWidth="1"/>
    <col min="7" max="7" width="7.1875" style="24" bestFit="1" customWidth="1"/>
    <col min="8" max="16384" width="8.6875" style="24"/>
  </cols>
  <sheetData>
    <row r="2" spans="2:9" x14ac:dyDescent="0.6">
      <c r="B2" s="593" t="s">
        <v>257</v>
      </c>
      <c r="C2" s="594"/>
      <c r="D2" s="324" t="s">
        <v>1146</v>
      </c>
      <c r="E2" s="79" t="s">
        <v>1137</v>
      </c>
      <c r="F2" s="79" t="s">
        <v>1142</v>
      </c>
      <c r="G2" s="79" t="s">
        <v>1138</v>
      </c>
    </row>
    <row r="3" spans="2:9" x14ac:dyDescent="0.6">
      <c r="B3" s="315" t="s">
        <v>1140</v>
      </c>
      <c r="C3" s="316" t="s">
        <v>1139</v>
      </c>
      <c r="D3" s="77" t="s">
        <v>1140</v>
      </c>
      <c r="E3" s="77" t="s">
        <v>1141</v>
      </c>
      <c r="F3" s="77" t="s">
        <v>1139</v>
      </c>
      <c r="G3" s="77" t="s">
        <v>1141</v>
      </c>
      <c r="I3" s="24">
        <v>120</v>
      </c>
    </row>
    <row r="4" spans="2:9" x14ac:dyDescent="0.6">
      <c r="B4" s="595">
        <v>0</v>
      </c>
      <c r="C4" s="597">
        <v>12</v>
      </c>
      <c r="D4" s="79">
        <v>0</v>
      </c>
      <c r="E4" s="317">
        <v>1</v>
      </c>
      <c r="F4" s="317">
        <f>$C$4-D4</f>
        <v>12</v>
      </c>
      <c r="G4" s="318">
        <f>2^F4-1</f>
        <v>4095</v>
      </c>
      <c r="H4" s="24">
        <f>E4*G4</f>
        <v>4095</v>
      </c>
      <c r="I4" s="24">
        <f>$I$3*E4</f>
        <v>120</v>
      </c>
    </row>
    <row r="5" spans="2:9" x14ac:dyDescent="0.6">
      <c r="B5" s="534"/>
      <c r="C5" s="535"/>
      <c r="D5" s="319">
        <v>1</v>
      </c>
      <c r="E5" s="320">
        <v>2</v>
      </c>
      <c r="F5" s="320">
        <f t="shared" ref="F5:F9" si="0">$C$4-D5</f>
        <v>11</v>
      </c>
      <c r="G5" s="321">
        <f t="shared" ref="G5:G15" si="1">2^F5-1</f>
        <v>2047</v>
      </c>
      <c r="H5" s="24">
        <f t="shared" ref="H5:H15" si="2">E5*G5</f>
        <v>4094</v>
      </c>
      <c r="I5" s="24">
        <f t="shared" ref="I5:I15" si="3">$I$3*E5</f>
        <v>240</v>
      </c>
    </row>
    <row r="6" spans="2:9" x14ac:dyDescent="0.6">
      <c r="B6" s="534"/>
      <c r="C6" s="535"/>
      <c r="D6" s="319">
        <v>2</v>
      </c>
      <c r="E6" s="320">
        <v>4</v>
      </c>
      <c r="F6" s="320">
        <f t="shared" si="0"/>
        <v>10</v>
      </c>
      <c r="G6" s="321">
        <f t="shared" si="1"/>
        <v>1023</v>
      </c>
      <c r="H6" s="24">
        <f t="shared" si="2"/>
        <v>4092</v>
      </c>
      <c r="I6" s="24">
        <f t="shared" si="3"/>
        <v>480</v>
      </c>
    </row>
    <row r="7" spans="2:9" x14ac:dyDescent="0.6">
      <c r="B7" s="534"/>
      <c r="C7" s="535"/>
      <c r="D7" s="319">
        <v>3</v>
      </c>
      <c r="E7" s="320">
        <v>8</v>
      </c>
      <c r="F7" s="320">
        <f t="shared" si="0"/>
        <v>9</v>
      </c>
      <c r="G7" s="321">
        <f t="shared" si="1"/>
        <v>511</v>
      </c>
      <c r="H7" s="24">
        <f t="shared" si="2"/>
        <v>4088</v>
      </c>
      <c r="I7" s="24">
        <f t="shared" si="3"/>
        <v>960</v>
      </c>
    </row>
    <row r="8" spans="2:9" x14ac:dyDescent="0.6">
      <c r="B8" s="534"/>
      <c r="C8" s="535"/>
      <c r="D8" s="319">
        <v>4</v>
      </c>
      <c r="E8" s="320">
        <v>16</v>
      </c>
      <c r="F8" s="320">
        <f t="shared" si="0"/>
        <v>8</v>
      </c>
      <c r="G8" s="321">
        <f t="shared" si="1"/>
        <v>255</v>
      </c>
      <c r="H8" s="24">
        <f t="shared" si="2"/>
        <v>4080</v>
      </c>
      <c r="I8" s="24">
        <f t="shared" si="3"/>
        <v>1920</v>
      </c>
    </row>
    <row r="9" spans="2:9" x14ac:dyDescent="0.6">
      <c r="B9" s="596"/>
      <c r="C9" s="598"/>
      <c r="D9" s="77">
        <v>5</v>
      </c>
      <c r="E9" s="322">
        <v>32</v>
      </c>
      <c r="F9" s="322">
        <f t="shared" si="0"/>
        <v>7</v>
      </c>
      <c r="G9" s="323">
        <f t="shared" si="1"/>
        <v>127</v>
      </c>
      <c r="H9" s="24">
        <f t="shared" si="2"/>
        <v>4064</v>
      </c>
      <c r="I9" s="24">
        <f t="shared" si="3"/>
        <v>3840</v>
      </c>
    </row>
    <row r="10" spans="2:9" x14ac:dyDescent="0.6">
      <c r="B10" s="595">
        <v>1</v>
      </c>
      <c r="C10" s="597">
        <v>14</v>
      </c>
      <c r="D10" s="79">
        <v>0</v>
      </c>
      <c r="E10" s="317">
        <v>1</v>
      </c>
      <c r="F10" s="317">
        <f>$C$10-D10</f>
        <v>14</v>
      </c>
      <c r="G10" s="318">
        <f t="shared" si="1"/>
        <v>16383</v>
      </c>
      <c r="H10" s="24">
        <f t="shared" si="2"/>
        <v>16383</v>
      </c>
      <c r="I10" s="24">
        <f t="shared" si="3"/>
        <v>120</v>
      </c>
    </row>
    <row r="11" spans="2:9" x14ac:dyDescent="0.6">
      <c r="B11" s="534"/>
      <c r="C11" s="535"/>
      <c r="D11" s="319">
        <v>1</v>
      </c>
      <c r="E11" s="320">
        <v>2</v>
      </c>
      <c r="F11" s="320">
        <f t="shared" ref="F11:F15" si="4">$C$10-D11</f>
        <v>13</v>
      </c>
      <c r="G11" s="321">
        <f t="shared" si="1"/>
        <v>8191</v>
      </c>
      <c r="H11" s="24">
        <f t="shared" si="2"/>
        <v>16382</v>
      </c>
      <c r="I11" s="24">
        <f t="shared" si="3"/>
        <v>240</v>
      </c>
    </row>
    <row r="12" spans="2:9" x14ac:dyDescent="0.6">
      <c r="B12" s="534"/>
      <c r="C12" s="535"/>
      <c r="D12" s="319">
        <v>2</v>
      </c>
      <c r="E12" s="320">
        <v>4</v>
      </c>
      <c r="F12" s="320">
        <f t="shared" si="4"/>
        <v>12</v>
      </c>
      <c r="G12" s="321">
        <f t="shared" si="1"/>
        <v>4095</v>
      </c>
      <c r="H12" s="24">
        <f t="shared" si="2"/>
        <v>16380</v>
      </c>
      <c r="I12" s="24">
        <f t="shared" si="3"/>
        <v>480</v>
      </c>
    </row>
    <row r="13" spans="2:9" x14ac:dyDescent="0.6">
      <c r="B13" s="534"/>
      <c r="C13" s="535"/>
      <c r="D13" s="319">
        <v>3</v>
      </c>
      <c r="E13" s="320">
        <v>8</v>
      </c>
      <c r="F13" s="320">
        <f t="shared" si="4"/>
        <v>11</v>
      </c>
      <c r="G13" s="321">
        <f t="shared" si="1"/>
        <v>2047</v>
      </c>
      <c r="H13" s="24">
        <f t="shared" si="2"/>
        <v>16376</v>
      </c>
      <c r="I13" s="24">
        <f t="shared" si="3"/>
        <v>960</v>
      </c>
    </row>
    <row r="14" spans="2:9" x14ac:dyDescent="0.6">
      <c r="B14" s="534"/>
      <c r="C14" s="535"/>
      <c r="D14" s="319">
        <v>4</v>
      </c>
      <c r="E14" s="320">
        <v>16</v>
      </c>
      <c r="F14" s="320">
        <f t="shared" si="4"/>
        <v>10</v>
      </c>
      <c r="G14" s="321">
        <f t="shared" si="1"/>
        <v>1023</v>
      </c>
      <c r="H14" s="24">
        <f t="shared" si="2"/>
        <v>16368</v>
      </c>
      <c r="I14" s="24">
        <f t="shared" si="3"/>
        <v>1920</v>
      </c>
    </row>
    <row r="15" spans="2:9" x14ac:dyDescent="0.6">
      <c r="B15" s="596"/>
      <c r="C15" s="598"/>
      <c r="D15" s="77">
        <v>5</v>
      </c>
      <c r="E15" s="322">
        <v>32</v>
      </c>
      <c r="F15" s="322">
        <f t="shared" si="4"/>
        <v>9</v>
      </c>
      <c r="G15" s="323">
        <f t="shared" si="1"/>
        <v>511</v>
      </c>
      <c r="H15" s="24">
        <f t="shared" si="2"/>
        <v>16352</v>
      </c>
      <c r="I15" s="24">
        <f t="shared" si="3"/>
        <v>3840</v>
      </c>
    </row>
  </sheetData>
  <mergeCells count="5">
    <mergeCell ref="B2:C2"/>
    <mergeCell ref="B4:B9"/>
    <mergeCell ref="C4:C9"/>
    <mergeCell ref="B10:B15"/>
    <mergeCell ref="C10:C15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DAB21-EA91-4164-9B9A-0ABDAD9957B9}">
  <dimension ref="B2:AB96"/>
  <sheetViews>
    <sheetView showGridLines="0" topLeftCell="A79" zoomScale="80" zoomScaleNormal="80" workbookViewId="0">
      <selection activeCell="AC110" sqref="AC110"/>
    </sheetView>
  </sheetViews>
  <sheetFormatPr defaultRowHeight="16.899999999999999" x14ac:dyDescent="0.6"/>
  <cols>
    <col min="4" max="4" width="8.6875" customWidth="1"/>
    <col min="23" max="23" width="3.1875" bestFit="1" customWidth="1"/>
    <col min="24" max="27" width="5.1875" bestFit="1" customWidth="1"/>
    <col min="28" max="28" width="15.1875" bestFit="1" customWidth="1"/>
  </cols>
  <sheetData>
    <row r="2" spans="2:2" x14ac:dyDescent="0.6">
      <c r="B2" s="469" t="s">
        <v>1325</v>
      </c>
    </row>
    <row r="24" spans="4:5" x14ac:dyDescent="0.6">
      <c r="D24" t="s">
        <v>321</v>
      </c>
    </row>
    <row r="25" spans="4:5" x14ac:dyDescent="0.6">
      <c r="D25">
        <v>1</v>
      </c>
      <c r="E25" s="114" t="s">
        <v>1135</v>
      </c>
    </row>
    <row r="26" spans="4:5" x14ac:dyDescent="0.6">
      <c r="D26">
        <v>2</v>
      </c>
      <c r="E26" t="s">
        <v>324</v>
      </c>
    </row>
    <row r="27" spans="4:5" x14ac:dyDescent="0.6">
      <c r="D27">
        <v>3</v>
      </c>
      <c r="E27" t="s">
        <v>325</v>
      </c>
    </row>
    <row r="28" spans="4:5" x14ac:dyDescent="0.6">
      <c r="E28" t="s">
        <v>326</v>
      </c>
    </row>
    <row r="30" spans="4:5" x14ac:dyDescent="0.6">
      <c r="D30" t="s">
        <v>317</v>
      </c>
    </row>
    <row r="31" spans="4:5" x14ac:dyDescent="0.6">
      <c r="D31">
        <v>1</v>
      </c>
      <c r="E31" t="s">
        <v>322</v>
      </c>
    </row>
    <row r="32" spans="4:5" x14ac:dyDescent="0.6">
      <c r="E32" s="202" t="s">
        <v>1297</v>
      </c>
    </row>
    <row r="33" spans="2:28" x14ac:dyDescent="0.6">
      <c r="D33" s="1"/>
      <c r="E33" s="336" t="s">
        <v>1136</v>
      </c>
      <c r="F33" s="92"/>
      <c r="G33" s="92"/>
      <c r="H33" s="92"/>
      <c r="I33" s="92"/>
      <c r="J33" s="92"/>
      <c r="K33" s="92"/>
      <c r="L33" s="92"/>
      <c r="M33" s="92"/>
      <c r="N33" s="92"/>
    </row>
    <row r="34" spans="2:28" x14ac:dyDescent="0.6">
      <c r="D34">
        <v>2</v>
      </c>
      <c r="E34" t="s">
        <v>546</v>
      </c>
    </row>
    <row r="35" spans="2:28" x14ac:dyDescent="0.6">
      <c r="D35">
        <v>3</v>
      </c>
      <c r="E35" t="s">
        <v>323</v>
      </c>
    </row>
    <row r="37" spans="2:28" x14ac:dyDescent="0.6">
      <c r="B37" s="469" t="s">
        <v>1326</v>
      </c>
    </row>
    <row r="38" spans="2:28" x14ac:dyDescent="0.6">
      <c r="B38" t="s">
        <v>1332</v>
      </c>
    </row>
    <row r="42" spans="2:28" x14ac:dyDescent="0.6">
      <c r="W42" s="465"/>
      <c r="X42" s="465" t="s">
        <v>319</v>
      </c>
      <c r="Y42" s="465" t="s">
        <v>318</v>
      </c>
      <c r="Z42" s="465" t="s">
        <v>1311</v>
      </c>
      <c r="AA42" s="465" t="s">
        <v>1310</v>
      </c>
      <c r="AB42" s="465" t="s">
        <v>1318</v>
      </c>
    </row>
    <row r="43" spans="2:28" x14ac:dyDescent="0.6">
      <c r="W43" s="466" t="s">
        <v>1312</v>
      </c>
      <c r="X43" t="s">
        <v>1316</v>
      </c>
      <c r="Y43" t="s">
        <v>1316</v>
      </c>
      <c r="Z43" t="s">
        <v>1316</v>
      </c>
      <c r="AA43" t="s">
        <v>1316</v>
      </c>
      <c r="AB43" t="s">
        <v>1317</v>
      </c>
    </row>
    <row r="44" spans="2:28" x14ac:dyDescent="0.6">
      <c r="W44" s="466" t="s">
        <v>1313</v>
      </c>
      <c r="X44" t="s">
        <v>1316</v>
      </c>
      <c r="Y44" t="s">
        <v>1316</v>
      </c>
      <c r="Z44" s="16" t="s">
        <v>1319</v>
      </c>
      <c r="AA44" s="16" t="s">
        <v>1319</v>
      </c>
    </row>
    <row r="45" spans="2:28" x14ac:dyDescent="0.6">
      <c r="W45" s="466" t="s">
        <v>1314</v>
      </c>
      <c r="X45" s="16" t="s">
        <v>1319</v>
      </c>
      <c r="Y45" s="16" t="s">
        <v>1319</v>
      </c>
      <c r="Z45" t="s">
        <v>1316</v>
      </c>
      <c r="AA45" t="s">
        <v>1316</v>
      </c>
    </row>
    <row r="46" spans="2:28" x14ac:dyDescent="0.6">
      <c r="W46" s="466" t="s">
        <v>1315</v>
      </c>
      <c r="X46" t="s">
        <v>1316</v>
      </c>
      <c r="Y46" s="16" t="s">
        <v>1319</v>
      </c>
      <c r="Z46" t="s">
        <v>1316</v>
      </c>
      <c r="AA46" s="16" t="s">
        <v>1319</v>
      </c>
    </row>
    <row r="59" spans="3:5" ht="27" x14ac:dyDescent="0.6">
      <c r="C59" s="468" t="s">
        <v>1322</v>
      </c>
      <c r="D59" s="92"/>
      <c r="E59" s="467" t="s">
        <v>1324</v>
      </c>
    </row>
    <row r="60" spans="3:5" x14ac:dyDescent="0.6">
      <c r="C60" s="468" t="s">
        <v>1321</v>
      </c>
      <c r="D60" s="92"/>
      <c r="E60" s="464" t="s">
        <v>1323</v>
      </c>
    </row>
    <row r="65" spans="2:2" x14ac:dyDescent="0.6">
      <c r="B65" t="s">
        <v>1333</v>
      </c>
    </row>
    <row r="87" spans="3:11" ht="27" x14ac:dyDescent="0.6">
      <c r="C87" s="92" t="s">
        <v>1320</v>
      </c>
      <c r="D87" s="92"/>
      <c r="E87" s="467" t="s">
        <v>1331</v>
      </c>
    </row>
    <row r="89" spans="3:11" ht="27" x14ac:dyDescent="0.6">
      <c r="C89" s="92" t="s">
        <v>1327</v>
      </c>
      <c r="D89" s="92"/>
      <c r="E89" s="470" t="s">
        <v>1330</v>
      </c>
    </row>
    <row r="90" spans="3:11" x14ac:dyDescent="0.6">
      <c r="C90" s="92" t="s">
        <v>1310</v>
      </c>
      <c r="D90" s="92"/>
      <c r="E90" s="470" t="s">
        <v>1328</v>
      </c>
    </row>
    <row r="92" spans="3:11" x14ac:dyDescent="0.6">
      <c r="F92" s="465" t="s">
        <v>1308</v>
      </c>
      <c r="G92" s="465" t="s">
        <v>319</v>
      </c>
      <c r="H92" s="465" t="s">
        <v>318</v>
      </c>
      <c r="I92" s="465" t="s">
        <v>1311</v>
      </c>
      <c r="J92" s="465" t="s">
        <v>1310</v>
      </c>
      <c r="K92" s="465" t="s">
        <v>1318</v>
      </c>
    </row>
    <row r="93" spans="3:11" x14ac:dyDescent="0.6">
      <c r="F93" s="466" t="s">
        <v>1312</v>
      </c>
      <c r="G93" t="s">
        <v>1316</v>
      </c>
      <c r="H93" t="s">
        <v>1316</v>
      </c>
      <c r="I93" t="s">
        <v>1316</v>
      </c>
      <c r="J93" t="s">
        <v>1316</v>
      </c>
      <c r="K93" t="s">
        <v>1329</v>
      </c>
    </row>
    <row r="94" spans="3:11" x14ac:dyDescent="0.6">
      <c r="F94" s="466" t="s">
        <v>1313</v>
      </c>
      <c r="G94" t="s">
        <v>1316</v>
      </c>
      <c r="H94" t="s">
        <v>1316</v>
      </c>
      <c r="I94" s="16" t="s">
        <v>1319</v>
      </c>
      <c r="J94" s="16" t="s">
        <v>1319</v>
      </c>
    </row>
    <row r="95" spans="3:11" x14ac:dyDescent="0.6">
      <c r="F95" s="466" t="s">
        <v>1314</v>
      </c>
      <c r="G95" s="16" t="s">
        <v>1319</v>
      </c>
      <c r="H95" s="16" t="s">
        <v>1319</v>
      </c>
      <c r="I95" t="s">
        <v>1316</v>
      </c>
      <c r="J95" t="s">
        <v>1316</v>
      </c>
    </row>
    <row r="96" spans="3:11" x14ac:dyDescent="0.6">
      <c r="F96" s="466" t="s">
        <v>1315</v>
      </c>
      <c r="G96" t="s">
        <v>1316</v>
      </c>
      <c r="H96" s="16" t="s">
        <v>1319</v>
      </c>
      <c r="I96" t="s">
        <v>1316</v>
      </c>
      <c r="J96" s="16" t="s">
        <v>1319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W43:W46 F93:F96" numberStoredAsText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AAAB8-26ED-43BC-B111-F2154D366221}">
  <sheetPr>
    <tabColor theme="1"/>
  </sheetPr>
  <dimension ref="A1:AL46"/>
  <sheetViews>
    <sheetView showGridLines="0" topLeftCell="A7" zoomScale="130" zoomScaleNormal="130" workbookViewId="0">
      <selection activeCell="R33" sqref="R33"/>
    </sheetView>
  </sheetViews>
  <sheetFormatPr defaultRowHeight="16.05" customHeight="1" x14ac:dyDescent="0.6"/>
  <cols>
    <col min="1" max="1" width="8.6875" style="24"/>
    <col min="2" max="16" width="4.375" style="24" customWidth="1"/>
    <col min="17" max="20" width="8.625" customWidth="1"/>
    <col min="21" max="21" width="5.8125" bestFit="1" customWidth="1"/>
    <col min="22" max="25" width="4.375" customWidth="1"/>
    <col min="26" max="26" width="4.375" style="1" customWidth="1"/>
    <col min="27" max="34" width="4.375" customWidth="1"/>
    <col min="35" max="35" width="5" bestFit="1" customWidth="1"/>
    <col min="36" max="37" width="4.375" customWidth="1"/>
  </cols>
  <sheetData>
    <row r="1" spans="1:38" ht="16.05" customHeight="1" x14ac:dyDescent="0.6"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</row>
    <row r="2" spans="1:38" ht="14.55" customHeight="1" x14ac:dyDescent="0.6"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8" ht="14.55" customHeight="1" thickBot="1" x14ac:dyDescent="0.65"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8" ht="14.55" customHeight="1" x14ac:dyDescent="0.6">
      <c r="B4" s="80"/>
      <c r="C4" s="81"/>
      <c r="D4" s="87" t="s">
        <v>72</v>
      </c>
      <c r="E4" s="81"/>
      <c r="F4" s="87" t="s">
        <v>72</v>
      </c>
      <c r="G4" s="81"/>
      <c r="H4" s="87" t="s">
        <v>72</v>
      </c>
      <c r="I4" s="81"/>
      <c r="J4" s="87" t="s">
        <v>72</v>
      </c>
      <c r="K4" s="81"/>
      <c r="L4" s="87" t="s">
        <v>72</v>
      </c>
      <c r="M4" s="81"/>
      <c r="N4" s="87" t="s">
        <v>72</v>
      </c>
      <c r="O4" s="81"/>
      <c r="P4" s="83"/>
      <c r="U4" s="80"/>
      <c r="V4" s="81"/>
      <c r="W4" s="87" t="s">
        <v>72</v>
      </c>
      <c r="X4" s="81"/>
      <c r="Y4" s="87" t="s">
        <v>72</v>
      </c>
      <c r="Z4" s="81"/>
      <c r="AA4" s="82" t="s">
        <v>76</v>
      </c>
      <c r="AB4" s="81"/>
      <c r="AC4" s="82" t="s">
        <v>76</v>
      </c>
      <c r="AD4" s="81"/>
      <c r="AE4" s="87" t="s">
        <v>72</v>
      </c>
      <c r="AF4" s="81"/>
      <c r="AG4" s="87" t="s">
        <v>72</v>
      </c>
      <c r="AH4" s="81"/>
      <c r="AI4" s="83"/>
    </row>
    <row r="5" spans="1:38" ht="14.55" customHeight="1" thickBot="1" x14ac:dyDescent="0.65">
      <c r="B5" s="84"/>
      <c r="D5" s="85">
        <v>1</v>
      </c>
      <c r="F5" s="85">
        <v>3</v>
      </c>
      <c r="H5" s="85">
        <v>5</v>
      </c>
      <c r="J5" s="85">
        <v>7</v>
      </c>
      <c r="L5" s="85">
        <v>9</v>
      </c>
      <c r="N5" s="85">
        <v>11</v>
      </c>
      <c r="P5" s="86"/>
      <c r="U5" s="84"/>
      <c r="V5" s="24"/>
      <c r="W5" s="85">
        <v>1</v>
      </c>
      <c r="X5" s="24"/>
      <c r="Y5" s="85">
        <v>1</v>
      </c>
      <c r="Z5" s="24"/>
      <c r="AA5" s="85"/>
      <c r="AB5" s="24"/>
      <c r="AC5" s="85"/>
      <c r="AD5" s="24"/>
      <c r="AE5" s="85">
        <v>3</v>
      </c>
      <c r="AF5" s="24"/>
      <c r="AG5" s="85">
        <v>3</v>
      </c>
      <c r="AH5" s="24"/>
      <c r="AI5" s="86"/>
    </row>
    <row r="6" spans="1:38" ht="14.55" customHeight="1" x14ac:dyDescent="0.6">
      <c r="B6" s="84"/>
      <c r="D6" s="24">
        <v>24</v>
      </c>
      <c r="F6" s="24">
        <v>23</v>
      </c>
      <c r="H6" s="24">
        <v>22</v>
      </c>
      <c r="J6" s="24">
        <v>21</v>
      </c>
      <c r="L6" s="24">
        <v>20</v>
      </c>
      <c r="N6" s="24">
        <v>19</v>
      </c>
      <c r="P6" s="86"/>
      <c r="U6" s="84"/>
      <c r="V6" s="24"/>
      <c r="W6" s="24">
        <v>24</v>
      </c>
      <c r="X6" s="24"/>
      <c r="Y6" s="24">
        <v>23</v>
      </c>
      <c r="Z6" s="24"/>
      <c r="AA6" s="24">
        <v>22</v>
      </c>
      <c r="AB6" s="24"/>
      <c r="AC6" s="24">
        <v>21</v>
      </c>
      <c r="AD6" s="24"/>
      <c r="AE6" s="24">
        <v>20</v>
      </c>
      <c r="AF6" s="24"/>
      <c r="AG6" s="24">
        <v>19</v>
      </c>
      <c r="AH6" s="24"/>
      <c r="AI6" s="86"/>
      <c r="AL6" s="78"/>
    </row>
    <row r="7" spans="1:38" ht="14.55" customHeight="1" thickBot="1" x14ac:dyDescent="0.65">
      <c r="B7" s="84"/>
      <c r="P7" s="86"/>
      <c r="U7" s="8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86"/>
      <c r="AL7" s="78"/>
    </row>
    <row r="8" spans="1:38" s="1" customFormat="1" ht="14.55" customHeight="1" x14ac:dyDescent="0.6">
      <c r="A8" s="24"/>
      <c r="B8" s="87" t="s">
        <v>73</v>
      </c>
      <c r="C8" s="24">
        <v>1</v>
      </c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>
        <v>18</v>
      </c>
      <c r="P8" s="87" t="s">
        <v>73</v>
      </c>
      <c r="Q8"/>
      <c r="R8"/>
      <c r="S8"/>
      <c r="T8"/>
      <c r="U8" s="87" t="s">
        <v>73</v>
      </c>
      <c r="V8" s="24">
        <v>1</v>
      </c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>
        <v>18</v>
      </c>
      <c r="AI8" s="87" t="s">
        <v>73</v>
      </c>
      <c r="AJ8"/>
      <c r="AK8"/>
      <c r="AL8" s="78"/>
    </row>
    <row r="9" spans="1:38" s="1" customFormat="1" ht="14.55" customHeight="1" thickBot="1" x14ac:dyDescent="0.65">
      <c r="A9" s="24"/>
      <c r="B9" s="85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85"/>
      <c r="Q9"/>
      <c r="R9"/>
      <c r="S9"/>
      <c r="T9"/>
      <c r="U9" s="8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85"/>
      <c r="AJ9"/>
      <c r="AK9"/>
      <c r="AL9" s="78"/>
    </row>
    <row r="10" spans="1:38" s="1" customFormat="1" ht="14.55" customHeight="1" x14ac:dyDescent="0.6">
      <c r="A10" s="24"/>
      <c r="B10" s="8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86"/>
      <c r="Q10"/>
      <c r="R10"/>
      <c r="S10"/>
      <c r="T10"/>
      <c r="U10" s="8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86"/>
      <c r="AJ10"/>
      <c r="AK10"/>
      <c r="AL10" s="78"/>
    </row>
    <row r="11" spans="1:38" s="1" customFormat="1" ht="14.55" customHeight="1" thickBot="1" x14ac:dyDescent="0.65">
      <c r="A11" s="24"/>
      <c r="B11" s="8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86"/>
      <c r="Q11"/>
      <c r="R11"/>
      <c r="S11"/>
      <c r="T11"/>
      <c r="U11" s="8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86"/>
      <c r="AJ11"/>
      <c r="AK11"/>
      <c r="AL11" s="78"/>
    </row>
    <row r="12" spans="1:38" s="1" customFormat="1" ht="14.55" customHeight="1" x14ac:dyDescent="0.6">
      <c r="A12" s="24"/>
      <c r="B12" s="87" t="s">
        <v>73</v>
      </c>
      <c r="C12" s="24">
        <v>2</v>
      </c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>
        <v>17</v>
      </c>
      <c r="P12" s="87" t="s">
        <v>73</v>
      </c>
      <c r="Q12"/>
      <c r="R12"/>
      <c r="S12"/>
      <c r="T12"/>
      <c r="U12" s="87" t="s">
        <v>73</v>
      </c>
      <c r="V12" s="24">
        <v>2</v>
      </c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>
        <v>17</v>
      </c>
      <c r="AI12" s="87" t="s">
        <v>73</v>
      </c>
      <c r="AJ12"/>
      <c r="AK12"/>
      <c r="AL12" s="78"/>
    </row>
    <row r="13" spans="1:38" s="1" customFormat="1" ht="14.55" customHeight="1" thickBot="1" x14ac:dyDescent="0.65">
      <c r="A13" s="24"/>
      <c r="B13" s="85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85"/>
      <c r="Q13"/>
      <c r="R13"/>
      <c r="S13"/>
      <c r="T13"/>
      <c r="U13" s="8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85"/>
      <c r="AJ13"/>
      <c r="AK13"/>
      <c r="AL13" s="78"/>
    </row>
    <row r="14" spans="1:38" s="1" customFormat="1" ht="14.55" customHeight="1" x14ac:dyDescent="0.6">
      <c r="A14" s="24"/>
      <c r="B14" s="8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86"/>
      <c r="Q14"/>
      <c r="R14"/>
      <c r="S14"/>
      <c r="T14"/>
      <c r="U14" s="8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86"/>
      <c r="AJ14"/>
      <c r="AK14"/>
      <c r="AL14" s="78"/>
    </row>
    <row r="15" spans="1:38" s="1" customFormat="1" ht="14.55" customHeight="1" thickBot="1" x14ac:dyDescent="0.65">
      <c r="A15" s="24"/>
      <c r="B15" s="8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86"/>
      <c r="Q15"/>
      <c r="R15"/>
      <c r="S15"/>
      <c r="T15"/>
      <c r="U15" s="8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86"/>
      <c r="AJ15"/>
      <c r="AK15"/>
      <c r="AL15" s="78"/>
    </row>
    <row r="16" spans="1:38" s="1" customFormat="1" ht="14.55" customHeight="1" x14ac:dyDescent="0.6">
      <c r="A16" s="24"/>
      <c r="B16" s="87" t="s">
        <v>76</v>
      </c>
      <c r="C16" s="24">
        <v>3</v>
      </c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>
        <v>16</v>
      </c>
      <c r="P16" s="87" t="s">
        <v>76</v>
      </c>
      <c r="Q16"/>
      <c r="R16"/>
      <c r="S16"/>
      <c r="T16"/>
      <c r="U16" s="87" t="s">
        <v>76</v>
      </c>
      <c r="V16" s="24">
        <v>3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>
        <v>16</v>
      </c>
      <c r="AI16" s="87" t="s">
        <v>76</v>
      </c>
      <c r="AJ16"/>
      <c r="AK16"/>
      <c r="AL16" s="78"/>
    </row>
    <row r="17" spans="1:38" s="1" customFormat="1" ht="14.55" customHeight="1" thickBot="1" x14ac:dyDescent="0.65">
      <c r="A17" s="24"/>
      <c r="B17" s="85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85"/>
      <c r="Q17"/>
      <c r="R17"/>
      <c r="S17"/>
      <c r="T17"/>
      <c r="U17" s="85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85"/>
      <c r="AJ17"/>
      <c r="AK17"/>
      <c r="AL17" s="78"/>
    </row>
    <row r="18" spans="1:38" s="1" customFormat="1" ht="14.55" customHeight="1" x14ac:dyDescent="0.6">
      <c r="A18" s="24"/>
      <c r="B18" s="8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86"/>
      <c r="Q18"/>
      <c r="R18"/>
      <c r="S18"/>
      <c r="T18"/>
      <c r="U18" s="8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86"/>
      <c r="AJ18"/>
      <c r="AK18"/>
      <c r="AL18" s="78"/>
    </row>
    <row r="19" spans="1:38" s="1" customFormat="1" ht="14.55" customHeight="1" thickBot="1" x14ac:dyDescent="0.65">
      <c r="A19" s="24"/>
      <c r="B19" s="8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86"/>
      <c r="Q19"/>
      <c r="R19"/>
      <c r="S19"/>
      <c r="T19"/>
      <c r="U19" s="8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86"/>
      <c r="AJ19"/>
      <c r="AK19"/>
      <c r="AL19"/>
    </row>
    <row r="20" spans="1:38" s="1" customFormat="1" ht="14.55" customHeight="1" x14ac:dyDescent="0.6">
      <c r="A20" s="24"/>
      <c r="B20" s="87" t="s">
        <v>76</v>
      </c>
      <c r="C20" s="24">
        <v>4</v>
      </c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>
        <v>15</v>
      </c>
      <c r="P20" s="87" t="s">
        <v>76</v>
      </c>
      <c r="Q20"/>
      <c r="R20"/>
      <c r="S20"/>
      <c r="T20"/>
      <c r="U20" s="87" t="s">
        <v>76</v>
      </c>
      <c r="V20" s="24">
        <v>4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>
        <v>15</v>
      </c>
      <c r="AI20" s="87" t="s">
        <v>76</v>
      </c>
      <c r="AJ20"/>
      <c r="AK20"/>
      <c r="AL20"/>
    </row>
    <row r="21" spans="1:38" s="1" customFormat="1" ht="14.55" customHeight="1" thickBot="1" x14ac:dyDescent="0.65">
      <c r="A21" s="24"/>
      <c r="B21" s="91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91"/>
      <c r="Q21"/>
      <c r="R21"/>
      <c r="S21"/>
      <c r="T21"/>
      <c r="U21" s="91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91"/>
      <c r="AJ21"/>
      <c r="AK21"/>
      <c r="AL21"/>
    </row>
    <row r="22" spans="1:38" s="1" customFormat="1" ht="14.55" customHeight="1" x14ac:dyDescent="0.6">
      <c r="A22" s="24"/>
      <c r="B22" s="8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86"/>
      <c r="Q22"/>
      <c r="R22"/>
      <c r="S22"/>
      <c r="T22"/>
      <c r="U22" s="8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86"/>
      <c r="AJ22"/>
      <c r="AK22"/>
      <c r="AL22"/>
    </row>
    <row r="23" spans="1:38" s="1" customFormat="1" ht="14.55" customHeight="1" thickBot="1" x14ac:dyDescent="0.65">
      <c r="A23" s="24"/>
      <c r="B23" s="8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86"/>
      <c r="Q23"/>
      <c r="R23"/>
      <c r="S23"/>
      <c r="T23"/>
      <c r="U23" s="8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86"/>
      <c r="AJ23"/>
      <c r="AK23"/>
      <c r="AL23"/>
    </row>
    <row r="24" spans="1:38" ht="14.55" customHeight="1" x14ac:dyDescent="0.6">
      <c r="B24" s="462" t="s">
        <v>318</v>
      </c>
      <c r="C24" s="24">
        <v>5</v>
      </c>
      <c r="O24" s="24">
        <v>14</v>
      </c>
      <c r="P24" s="462" t="s">
        <v>319</v>
      </c>
      <c r="U24" s="453" t="s">
        <v>1302</v>
      </c>
      <c r="V24" s="24">
        <v>5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>
        <v>14</v>
      </c>
      <c r="AI24" s="454" t="s">
        <v>318</v>
      </c>
    </row>
    <row r="25" spans="1:38" ht="14.55" customHeight="1" thickBot="1" x14ac:dyDescent="0.65">
      <c r="B25" s="463" t="s">
        <v>1310</v>
      </c>
      <c r="P25" s="463" t="s">
        <v>1311</v>
      </c>
      <c r="U25" s="91" t="s">
        <v>76</v>
      </c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91" t="s">
        <v>76</v>
      </c>
    </row>
    <row r="26" spans="1:38" ht="14.55" customHeight="1" x14ac:dyDescent="0.6">
      <c r="B26" s="84"/>
      <c r="P26" s="86"/>
      <c r="U26" s="8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86"/>
    </row>
    <row r="27" spans="1:38" ht="14.55" customHeight="1" thickBot="1" x14ac:dyDescent="0.65">
      <c r="B27" s="84"/>
      <c r="P27" s="86"/>
      <c r="U27" s="8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86"/>
    </row>
    <row r="28" spans="1:38" ht="14.55" customHeight="1" x14ac:dyDescent="0.6">
      <c r="B28" s="87" t="s">
        <v>74</v>
      </c>
      <c r="C28" s="24">
        <v>6</v>
      </c>
      <c r="O28" s="24">
        <v>13</v>
      </c>
      <c r="P28" s="87" t="s">
        <v>75</v>
      </c>
      <c r="U28" s="87" t="s">
        <v>74</v>
      </c>
      <c r="V28" s="24">
        <v>6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>
        <v>13</v>
      </c>
      <c r="AI28" s="87" t="s">
        <v>75</v>
      </c>
    </row>
    <row r="29" spans="1:38" ht="14.55" customHeight="1" thickBot="1" x14ac:dyDescent="0.65">
      <c r="B29" s="85"/>
      <c r="P29" s="85"/>
      <c r="U29" s="8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85"/>
    </row>
    <row r="30" spans="1:38" ht="14.55" customHeight="1" x14ac:dyDescent="0.6">
      <c r="B30" s="84"/>
      <c r="P30" s="86"/>
      <c r="U30" s="8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86"/>
    </row>
    <row r="31" spans="1:38" ht="14.55" customHeight="1" thickBot="1" x14ac:dyDescent="0.65">
      <c r="B31" s="84"/>
      <c r="D31" s="24">
        <v>7</v>
      </c>
      <c r="F31" s="24">
        <v>8</v>
      </c>
      <c r="H31" s="24">
        <v>9</v>
      </c>
      <c r="J31" s="24">
        <v>10</v>
      </c>
      <c r="L31" s="24">
        <v>11</v>
      </c>
      <c r="N31" s="24">
        <v>12</v>
      </c>
      <c r="P31" s="86"/>
      <c r="U31" s="84"/>
      <c r="V31" s="24"/>
      <c r="W31" s="24">
        <v>7</v>
      </c>
      <c r="X31" s="24"/>
      <c r="Y31" s="24">
        <v>8</v>
      </c>
      <c r="Z31" s="24"/>
      <c r="AA31" s="24">
        <v>9</v>
      </c>
      <c r="AB31" s="24"/>
      <c r="AC31" s="24">
        <v>10</v>
      </c>
      <c r="AD31" s="24"/>
      <c r="AE31" s="24">
        <v>11</v>
      </c>
      <c r="AF31" s="24"/>
      <c r="AG31" s="24">
        <v>12</v>
      </c>
      <c r="AH31" s="24"/>
      <c r="AI31" s="86"/>
    </row>
    <row r="32" spans="1:38" ht="14.55" customHeight="1" x14ac:dyDescent="0.6">
      <c r="B32" s="84"/>
      <c r="D32" s="87" t="s">
        <v>72</v>
      </c>
      <c r="F32" s="87" t="s">
        <v>72</v>
      </c>
      <c r="H32" s="87" t="s">
        <v>72</v>
      </c>
      <c r="J32" s="87" t="s">
        <v>72</v>
      </c>
      <c r="L32" s="87" t="s">
        <v>72</v>
      </c>
      <c r="N32" s="87" t="s">
        <v>72</v>
      </c>
      <c r="P32" s="86"/>
      <c r="U32" s="84"/>
      <c r="V32" s="24"/>
      <c r="W32" s="87" t="s">
        <v>72</v>
      </c>
      <c r="X32" s="24"/>
      <c r="Y32" s="87" t="s">
        <v>72</v>
      </c>
      <c r="Z32" s="24"/>
      <c r="AA32" s="87"/>
      <c r="AB32" s="24"/>
      <c r="AC32" s="87"/>
      <c r="AD32" s="24"/>
      <c r="AE32" s="87" t="s">
        <v>72</v>
      </c>
      <c r="AF32" s="24"/>
      <c r="AG32" s="87" t="s">
        <v>72</v>
      </c>
      <c r="AH32" s="24"/>
      <c r="AI32" s="86"/>
    </row>
    <row r="33" spans="2:35" ht="14.55" customHeight="1" thickBot="1" x14ac:dyDescent="0.65">
      <c r="B33" s="88"/>
      <c r="C33" s="89"/>
      <c r="D33" s="85">
        <v>2</v>
      </c>
      <c r="E33" s="89"/>
      <c r="F33" s="85">
        <v>4</v>
      </c>
      <c r="G33" s="89"/>
      <c r="H33" s="85">
        <v>6</v>
      </c>
      <c r="I33" s="89"/>
      <c r="J33" s="85">
        <v>8</v>
      </c>
      <c r="K33" s="89"/>
      <c r="L33" s="85">
        <v>10</v>
      </c>
      <c r="M33" s="89"/>
      <c r="N33" s="85">
        <v>12</v>
      </c>
      <c r="O33" s="89"/>
      <c r="P33" s="90"/>
      <c r="U33" s="88"/>
      <c r="V33" s="89"/>
      <c r="W33" s="85">
        <v>2</v>
      </c>
      <c r="X33" s="89"/>
      <c r="Y33" s="85">
        <v>2</v>
      </c>
      <c r="Z33" s="89"/>
      <c r="AA33" s="85" t="s">
        <v>76</v>
      </c>
      <c r="AB33" s="89"/>
      <c r="AC33" s="85" t="s">
        <v>76</v>
      </c>
      <c r="AD33" s="89"/>
      <c r="AE33" s="85">
        <v>4</v>
      </c>
      <c r="AF33" s="89"/>
      <c r="AG33" s="85">
        <v>4</v>
      </c>
      <c r="AH33" s="89"/>
      <c r="AI33" s="90"/>
    </row>
    <row r="34" spans="2:35" ht="14.55" customHeight="1" x14ac:dyDescent="0.6"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</row>
    <row r="35" spans="2:35" ht="16.899999999999999" x14ac:dyDescent="0.6"/>
    <row r="36" spans="2:35" ht="16.899999999999999" x14ac:dyDescent="0.6"/>
    <row r="37" spans="2:35" ht="16.899999999999999" x14ac:dyDescent="0.6"/>
    <row r="38" spans="2:35" ht="16.899999999999999" x14ac:dyDescent="0.6">
      <c r="Z38" s="339"/>
      <c r="AA38" s="338"/>
    </row>
    <row r="39" spans="2:35" ht="16.05" customHeight="1" x14ac:dyDescent="0.6">
      <c r="AA39" s="338"/>
    </row>
    <row r="40" spans="2:35" ht="16.05" customHeight="1" x14ac:dyDescent="0.6">
      <c r="AA40" s="338"/>
    </row>
    <row r="41" spans="2:35" ht="16.05" customHeight="1" x14ac:dyDescent="0.6">
      <c r="AA41" s="338"/>
    </row>
    <row r="42" spans="2:35" ht="16.05" customHeight="1" x14ac:dyDescent="0.6">
      <c r="AA42" s="338"/>
    </row>
    <row r="43" spans="2:35" ht="16.05" customHeight="1" x14ac:dyDescent="0.6">
      <c r="AA43" s="337"/>
    </row>
    <row r="44" spans="2:35" ht="16.05" customHeight="1" x14ac:dyDescent="0.6">
      <c r="Y44" s="338"/>
      <c r="Z44" s="340"/>
    </row>
    <row r="45" spans="2:35" ht="16.05" customHeight="1" x14ac:dyDescent="0.6">
      <c r="Y45" s="338"/>
      <c r="Z45" s="340"/>
    </row>
    <row r="46" spans="2:35" ht="16.05" customHeight="1" x14ac:dyDescent="0.6">
      <c r="Y46" s="338"/>
      <c r="Z46" s="340"/>
    </row>
  </sheetData>
  <phoneticPr fontId="2" type="noConversion"/>
  <pageMargins left="0.23622047244094491" right="0.23622047244094491" top="0.74803149606299213" bottom="0.74803149606299213" header="0.31496062992125984" footer="0.31496062992125984"/>
  <pageSetup paperSize="9" scale="8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F372A-D1F2-40AE-B389-28BD58651F29}">
  <sheetPr>
    <tabColor theme="0"/>
  </sheetPr>
  <dimension ref="B4:AU50"/>
  <sheetViews>
    <sheetView showGridLines="0" zoomScale="164" zoomScaleNormal="164" workbookViewId="0"/>
  </sheetViews>
  <sheetFormatPr defaultRowHeight="16.899999999999999" x14ac:dyDescent="0.6"/>
  <cols>
    <col min="2" max="2" width="13" style="1" bestFit="1" customWidth="1"/>
    <col min="3" max="3" width="1.625" customWidth="1"/>
    <col min="4" max="47" width="3.125" customWidth="1"/>
  </cols>
  <sheetData>
    <row r="4" spans="2:47" x14ac:dyDescent="0.6">
      <c r="B4" s="1" t="s">
        <v>51</v>
      </c>
      <c r="D4" s="25"/>
      <c r="E4" s="25"/>
      <c r="F4" s="25"/>
      <c r="G4" s="25"/>
      <c r="H4" s="25"/>
      <c r="I4" s="21"/>
      <c r="J4" s="22"/>
      <c r="K4" s="26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2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</row>
    <row r="6" spans="2:47" x14ac:dyDescent="0.6">
      <c r="B6" s="1" t="s">
        <v>1163</v>
      </c>
      <c r="D6" s="25"/>
      <c r="E6" s="341"/>
      <c r="F6" s="342"/>
      <c r="G6" s="342"/>
      <c r="H6" s="343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351"/>
      <c r="W6" s="352"/>
      <c r="X6" s="352"/>
      <c r="Y6" s="352"/>
      <c r="Z6" s="353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</row>
    <row r="8" spans="2:47" x14ac:dyDescent="0.6">
      <c r="B8" s="1" t="s">
        <v>549</v>
      </c>
      <c r="D8" s="29"/>
      <c r="E8" s="23"/>
      <c r="F8" s="22"/>
      <c r="G8" s="23"/>
      <c r="H8" s="22"/>
      <c r="I8" s="23"/>
      <c r="J8" s="22"/>
      <c r="K8" s="23"/>
      <c r="L8" s="22"/>
      <c r="M8" s="23"/>
      <c r="N8" s="22"/>
      <c r="O8" s="23"/>
      <c r="P8" s="22"/>
      <c r="Q8" s="23"/>
      <c r="R8" s="22"/>
      <c r="S8" s="23"/>
      <c r="T8" s="22"/>
      <c r="U8" s="26"/>
      <c r="V8" s="22"/>
      <c r="W8" s="21"/>
      <c r="X8" s="22"/>
      <c r="Y8" s="23"/>
      <c r="Z8" s="22"/>
      <c r="AA8" s="23"/>
      <c r="AB8" s="22"/>
      <c r="AC8" s="23"/>
      <c r="AD8" s="22"/>
      <c r="AE8" s="23"/>
      <c r="AF8" s="22"/>
      <c r="AG8" s="23"/>
      <c r="AH8" s="22"/>
      <c r="AI8" s="23"/>
      <c r="AJ8" s="22"/>
      <c r="AK8" s="23"/>
      <c r="AL8" s="22"/>
      <c r="AM8" s="23"/>
      <c r="AN8" s="22"/>
      <c r="AO8" s="23"/>
      <c r="AP8" s="22"/>
      <c r="AQ8" s="23"/>
      <c r="AR8" s="22"/>
      <c r="AS8" s="23"/>
      <c r="AT8" s="22"/>
      <c r="AU8" s="23"/>
    </row>
    <row r="10" spans="2:47" x14ac:dyDescent="0.6">
      <c r="B10" s="1" t="s">
        <v>1161</v>
      </c>
      <c r="D10" s="25"/>
      <c r="E10" s="25"/>
      <c r="F10" s="25"/>
      <c r="G10" s="25"/>
      <c r="H10" s="25"/>
      <c r="I10" s="25"/>
      <c r="J10" s="294"/>
      <c r="K10" s="295"/>
      <c r="L10" s="295"/>
      <c r="M10" s="295"/>
      <c r="N10" s="295"/>
      <c r="O10" s="295"/>
      <c r="P10" s="295"/>
      <c r="Q10" s="295"/>
      <c r="R10" s="295"/>
      <c r="S10" s="295"/>
      <c r="T10" s="295"/>
      <c r="U10" s="295"/>
      <c r="V10" s="295"/>
      <c r="W10" s="295"/>
      <c r="X10" s="295"/>
      <c r="Y10" s="295"/>
      <c r="Z10" s="295"/>
      <c r="AA10" s="295"/>
      <c r="AB10" s="295"/>
      <c r="AC10" s="295"/>
      <c r="AD10" s="344"/>
      <c r="AE10" s="345"/>
      <c r="AF10" s="345"/>
      <c r="AG10" s="345"/>
      <c r="AH10" s="345"/>
      <c r="AI10" s="346"/>
      <c r="AJ10" s="296"/>
      <c r="AK10" s="295"/>
      <c r="AL10" s="295"/>
      <c r="AM10" s="295"/>
      <c r="AN10" s="295"/>
      <c r="AO10" s="295"/>
      <c r="AP10" s="295"/>
      <c r="AQ10" s="295"/>
      <c r="AR10" s="295"/>
      <c r="AS10" s="295"/>
      <c r="AT10" s="295"/>
      <c r="AU10" s="295"/>
    </row>
    <row r="12" spans="2:47" x14ac:dyDescent="0.6">
      <c r="B12" s="1" t="s">
        <v>1162</v>
      </c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94"/>
      <c r="O12" s="295"/>
      <c r="P12" s="295"/>
      <c r="Q12" s="295"/>
      <c r="R12" s="295"/>
      <c r="S12" s="295"/>
      <c r="T12" s="295"/>
      <c r="U12" s="295"/>
      <c r="V12" s="295"/>
      <c r="W12" s="295"/>
      <c r="X12" s="295"/>
      <c r="Y12" s="295"/>
      <c r="Z12" s="295"/>
      <c r="AA12" s="295"/>
      <c r="AB12" s="295"/>
      <c r="AC12" s="295"/>
      <c r="AD12" s="295"/>
      <c r="AE12" s="303"/>
      <c r="AF12" s="347"/>
      <c r="AG12" s="348"/>
      <c r="AH12" s="348"/>
      <c r="AI12" s="348"/>
      <c r="AJ12" s="348"/>
      <c r="AK12" s="348"/>
      <c r="AL12" s="348"/>
      <c r="AM12" s="349"/>
      <c r="AN12" s="293"/>
      <c r="AO12" s="30"/>
      <c r="AP12" s="30"/>
      <c r="AQ12" s="30"/>
      <c r="AR12" s="30"/>
      <c r="AS12" s="30"/>
      <c r="AT12" s="30"/>
      <c r="AU12" s="30"/>
    </row>
    <row r="15" spans="2:47" x14ac:dyDescent="0.6">
      <c r="B15" s="1" t="s">
        <v>51</v>
      </c>
      <c r="D15" s="25"/>
      <c r="E15" s="25"/>
      <c r="F15" s="25"/>
      <c r="G15" s="25"/>
      <c r="H15" s="25"/>
      <c r="I15" s="21"/>
      <c r="J15" s="22"/>
      <c r="K15" s="26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2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</row>
    <row r="17" spans="2:47" s="292" customFormat="1" x14ac:dyDescent="0.6">
      <c r="B17" s="1" t="s">
        <v>1163</v>
      </c>
      <c r="D17" s="25"/>
      <c r="E17" s="341"/>
      <c r="F17" s="342"/>
      <c r="G17" s="342"/>
      <c r="H17" s="343"/>
      <c r="I17" s="25"/>
      <c r="J17" s="350"/>
      <c r="K17" s="350"/>
      <c r="L17" s="350"/>
      <c r="M17" s="350"/>
      <c r="N17" s="350"/>
      <c r="O17" s="350"/>
      <c r="P17" s="350"/>
      <c r="Q17" s="350"/>
      <c r="R17" s="350"/>
      <c r="S17" s="350"/>
      <c r="T17" s="350"/>
      <c r="U17" s="351"/>
      <c r="V17" s="352"/>
      <c r="W17" s="352"/>
      <c r="X17" s="352"/>
      <c r="Y17" s="353"/>
      <c r="Z17" s="350"/>
      <c r="AA17" s="350"/>
      <c r="AB17" s="350"/>
      <c r="AC17" s="350"/>
      <c r="AD17" s="350"/>
      <c r="AE17" s="350"/>
      <c r="AF17" s="350"/>
      <c r="AG17" s="350"/>
      <c r="AH17" s="350"/>
      <c r="AI17" s="350"/>
      <c r="AJ17" s="350"/>
      <c r="AK17" s="350"/>
      <c r="AL17" s="350"/>
      <c r="AM17" s="350"/>
      <c r="AN17" s="350"/>
      <c r="AO17" s="350"/>
      <c r="AP17" s="350"/>
      <c r="AQ17" s="350"/>
      <c r="AR17" s="350"/>
      <c r="AS17" s="350"/>
      <c r="AT17" s="350"/>
      <c r="AU17" s="350"/>
    </row>
    <row r="18" spans="2:47" s="292" customFormat="1" ht="30" customHeight="1" x14ac:dyDescent="0.55000000000000004">
      <c r="B18" s="291"/>
      <c r="D18"/>
      <c r="E18"/>
      <c r="F18"/>
      <c r="G18"/>
      <c r="H18"/>
      <c r="I18"/>
      <c r="P18" s="290"/>
      <c r="Q18" s="304"/>
      <c r="AD18" s="304"/>
      <c r="AE18" s="304"/>
    </row>
    <row r="19" spans="2:47" x14ac:dyDescent="0.55000000000000004">
      <c r="B19" s="1" t="s">
        <v>549</v>
      </c>
      <c r="D19" s="29"/>
      <c r="E19" s="23"/>
      <c r="F19" s="22"/>
      <c r="G19" s="23"/>
      <c r="H19" s="22"/>
      <c r="I19" s="23"/>
      <c r="J19" s="22"/>
      <c r="K19" s="23"/>
      <c r="L19" s="22"/>
      <c r="M19" s="26"/>
      <c r="N19" s="22"/>
      <c r="O19" s="26"/>
      <c r="P19" s="366"/>
      <c r="Q19" s="21"/>
      <c r="R19" s="22"/>
      <c r="S19" s="23"/>
      <c r="T19" s="22"/>
      <c r="U19" s="23"/>
      <c r="V19" s="22"/>
      <c r="W19" s="26"/>
      <c r="X19" s="22"/>
      <c r="Y19" s="25"/>
      <c r="Z19" s="22"/>
      <c r="AA19" s="26"/>
      <c r="AB19" s="22"/>
      <c r="AC19" s="26"/>
      <c r="AD19" s="367"/>
      <c r="AE19" s="21"/>
      <c r="AF19" s="22"/>
      <c r="AG19" s="23"/>
      <c r="AH19" s="22"/>
      <c r="AI19" s="23"/>
      <c r="AJ19" s="22"/>
      <c r="AK19" s="23"/>
      <c r="AL19" s="22"/>
      <c r="AM19" s="23"/>
      <c r="AN19" s="22"/>
      <c r="AO19" s="23"/>
      <c r="AP19" s="22"/>
      <c r="AQ19" s="23"/>
      <c r="AR19" s="22"/>
      <c r="AS19" s="23"/>
      <c r="AT19" s="22"/>
      <c r="AU19" s="23"/>
    </row>
    <row r="21" spans="2:47" x14ac:dyDescent="0.6">
      <c r="B21" s="1" t="s">
        <v>550</v>
      </c>
      <c r="D21" s="25"/>
      <c r="E21" s="25"/>
      <c r="F21" s="25"/>
      <c r="G21" s="25"/>
      <c r="H21" s="25"/>
      <c r="I21" s="25"/>
      <c r="J21" s="294"/>
      <c r="K21" s="295"/>
      <c r="L21" s="295"/>
      <c r="M21" s="295"/>
      <c r="N21" s="295"/>
      <c r="O21" s="295"/>
      <c r="P21" s="295"/>
      <c r="Q21" s="295"/>
      <c r="R21" s="344"/>
      <c r="S21" s="345"/>
      <c r="T21" s="345"/>
      <c r="U21" s="346"/>
      <c r="V21" s="295"/>
      <c r="W21" s="295"/>
      <c r="X21" s="344"/>
      <c r="Y21" s="345"/>
      <c r="Z21" s="345"/>
      <c r="AA21" s="346"/>
      <c r="AB21" s="295"/>
      <c r="AC21" s="295"/>
      <c r="AD21" s="295"/>
      <c r="AE21" s="295"/>
      <c r="AF21" s="344"/>
      <c r="AG21" s="345"/>
      <c r="AH21" s="345"/>
      <c r="AI21" s="346"/>
      <c r="AJ21" s="296"/>
      <c r="AK21" s="295"/>
      <c r="AL21" s="295"/>
      <c r="AM21" s="295"/>
      <c r="AN21" s="295"/>
      <c r="AO21" s="295"/>
      <c r="AP21" s="295"/>
      <c r="AQ21" s="295"/>
      <c r="AR21" s="295"/>
      <c r="AS21" s="295"/>
      <c r="AT21" s="295"/>
      <c r="AU21" s="295"/>
    </row>
    <row r="23" spans="2:47" x14ac:dyDescent="0.6">
      <c r="B23" s="1" t="s">
        <v>551</v>
      </c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94"/>
      <c r="O23" s="295"/>
      <c r="P23" s="295"/>
      <c r="Q23" s="295"/>
      <c r="R23" s="295"/>
      <c r="S23" s="295"/>
      <c r="T23" s="344"/>
      <c r="U23" s="345"/>
      <c r="V23" s="345"/>
      <c r="W23" s="295"/>
      <c r="X23" s="295"/>
      <c r="Y23" s="295"/>
      <c r="Z23" s="344"/>
      <c r="AA23" s="345"/>
      <c r="AB23" s="345"/>
      <c r="AC23" s="345"/>
      <c r="AD23" s="345"/>
      <c r="AE23" s="295"/>
      <c r="AF23" s="295"/>
      <c r="AG23" s="295"/>
      <c r="AH23" s="347"/>
      <c r="AI23" s="348"/>
      <c r="AJ23" s="348"/>
      <c r="AK23" s="348"/>
      <c r="AL23" s="348"/>
      <c r="AM23" s="349"/>
      <c r="AN23" s="293"/>
      <c r="AO23" s="30"/>
      <c r="AP23" s="30"/>
      <c r="AQ23" s="30"/>
      <c r="AR23" s="30"/>
      <c r="AS23" s="30"/>
      <c r="AT23" s="30"/>
      <c r="AU23" s="30"/>
    </row>
    <row r="29" spans="2:47" x14ac:dyDescent="0.6">
      <c r="B29" s="1" t="s">
        <v>51</v>
      </c>
      <c r="D29" s="25"/>
      <c r="E29" s="25"/>
      <c r="F29" s="25"/>
      <c r="G29" s="25"/>
      <c r="H29" s="25"/>
      <c r="I29" s="21"/>
      <c r="J29" s="22"/>
      <c r="K29" s="26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2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</row>
    <row r="31" spans="2:47" x14ac:dyDescent="0.6">
      <c r="B31" s="1" t="s">
        <v>1163</v>
      </c>
      <c r="D31" s="25"/>
      <c r="E31" s="341"/>
      <c r="F31" s="342"/>
      <c r="G31" s="342"/>
      <c r="H31" s="343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354"/>
      <c r="W31" s="355"/>
      <c r="X31" s="355"/>
      <c r="Y31" s="355"/>
      <c r="Z31" s="356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</row>
    <row r="33" spans="2:47" x14ac:dyDescent="0.6">
      <c r="B33" s="1" t="s">
        <v>549</v>
      </c>
      <c r="D33" s="29"/>
      <c r="E33" s="23"/>
      <c r="F33" s="22"/>
      <c r="G33" s="23"/>
      <c r="H33" s="22"/>
      <c r="I33" s="23"/>
      <c r="J33" s="22"/>
      <c r="K33" s="23"/>
      <c r="L33" s="22"/>
      <c r="M33" s="23"/>
      <c r="N33" s="22"/>
      <c r="O33" s="23"/>
      <c r="P33" s="22"/>
      <c r="Q33" s="23"/>
      <c r="R33" s="22"/>
      <c r="S33" s="23"/>
      <c r="T33" s="22"/>
      <c r="U33" s="26"/>
      <c r="V33" s="22"/>
      <c r="W33" s="21"/>
      <c r="X33" s="22"/>
      <c r="Y33" s="23"/>
      <c r="Z33" s="22"/>
      <c r="AA33" s="23"/>
      <c r="AB33" s="22"/>
      <c r="AC33" s="23"/>
      <c r="AD33" s="22"/>
      <c r="AE33" s="23"/>
      <c r="AF33" s="22"/>
      <c r="AG33" s="23"/>
      <c r="AH33" s="22"/>
      <c r="AI33" s="23"/>
      <c r="AJ33" s="22"/>
      <c r="AK33" s="23"/>
      <c r="AL33" s="22"/>
      <c r="AM33" s="23"/>
      <c r="AN33" s="22"/>
      <c r="AO33" s="23"/>
      <c r="AP33" s="22"/>
      <c r="AQ33" s="23"/>
      <c r="AR33" s="22"/>
      <c r="AS33" s="23"/>
      <c r="AT33" s="22"/>
      <c r="AU33" s="23"/>
    </row>
    <row r="35" spans="2:47" x14ac:dyDescent="0.6">
      <c r="B35" s="1" t="s">
        <v>1161</v>
      </c>
      <c r="D35" s="25"/>
      <c r="E35" s="25"/>
      <c r="F35" s="25"/>
      <c r="G35" s="25"/>
      <c r="H35" s="25"/>
      <c r="I35" s="25"/>
      <c r="J35" s="344"/>
      <c r="K35" s="345"/>
      <c r="L35" s="345"/>
      <c r="M35" s="345"/>
      <c r="N35" s="345"/>
      <c r="O35" s="346"/>
      <c r="P35" s="26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357"/>
      <c r="AK35" s="358"/>
      <c r="AL35" s="358"/>
      <c r="AM35" s="359"/>
      <c r="AN35" s="25"/>
      <c r="AO35" s="25"/>
      <c r="AP35" s="25"/>
      <c r="AQ35" s="25"/>
      <c r="AR35" s="25"/>
      <c r="AS35" s="25"/>
      <c r="AT35" s="25"/>
      <c r="AU35" s="25"/>
    </row>
    <row r="37" spans="2:47" x14ac:dyDescent="0.6">
      <c r="B37" s="1" t="s">
        <v>1162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344"/>
      <c r="O37" s="345"/>
      <c r="P37" s="345"/>
      <c r="Q37" s="345"/>
      <c r="R37" s="345"/>
      <c r="S37" s="345"/>
      <c r="T37" s="345"/>
      <c r="U37" s="346"/>
      <c r="V37" s="26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360"/>
      <c r="AO37" s="361"/>
      <c r="AP37" s="361"/>
      <c r="AQ37" s="361"/>
      <c r="AR37" s="361"/>
      <c r="AS37" s="362"/>
      <c r="AT37" s="25"/>
      <c r="AU37" s="25"/>
    </row>
    <row r="40" spans="2:47" x14ac:dyDescent="0.6">
      <c r="B40" s="1" t="s">
        <v>51</v>
      </c>
      <c r="D40" s="25"/>
      <c r="E40" s="25"/>
      <c r="F40" s="25"/>
      <c r="G40" s="25"/>
      <c r="H40" s="25"/>
      <c r="I40" s="21"/>
      <c r="J40" s="22"/>
      <c r="K40" s="26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2"/>
      <c r="AM40" s="25"/>
      <c r="AN40" s="25"/>
      <c r="AO40" s="25"/>
      <c r="AP40" s="25"/>
      <c r="AQ40" s="25"/>
      <c r="AR40" s="25"/>
      <c r="AS40" s="25"/>
      <c r="AT40" s="25"/>
      <c r="AU40" s="25"/>
    </row>
    <row r="42" spans="2:47" s="292" customFormat="1" x14ac:dyDescent="0.6">
      <c r="B42" s="1" t="s">
        <v>1163</v>
      </c>
      <c r="D42" s="25"/>
      <c r="E42" s="341"/>
      <c r="F42" s="342"/>
      <c r="G42" s="342"/>
      <c r="H42" s="343"/>
      <c r="I42" s="25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1"/>
      <c r="V42" s="352"/>
      <c r="W42" s="352"/>
      <c r="X42" s="352"/>
      <c r="Y42" s="353"/>
      <c r="Z42" s="350"/>
      <c r="AA42" s="350"/>
      <c r="AB42" s="350"/>
      <c r="AC42" s="350"/>
      <c r="AD42" s="350"/>
      <c r="AE42" s="350"/>
      <c r="AF42" s="350"/>
      <c r="AG42" s="350"/>
      <c r="AH42" s="350"/>
      <c r="AI42" s="350"/>
      <c r="AJ42" s="350"/>
      <c r="AK42" s="350"/>
      <c r="AL42" s="350"/>
      <c r="AM42" s="350"/>
      <c r="AN42" s="350"/>
      <c r="AO42" s="350"/>
      <c r="AP42" s="350"/>
      <c r="AQ42" s="350"/>
      <c r="AR42" s="350"/>
      <c r="AS42" s="350"/>
      <c r="AT42" s="350"/>
      <c r="AU42" s="350"/>
    </row>
    <row r="43" spans="2:47" s="292" customFormat="1" ht="30" customHeight="1" x14ac:dyDescent="0.55000000000000004">
      <c r="B43" s="291"/>
      <c r="D43"/>
      <c r="E43"/>
      <c r="F43"/>
      <c r="G43"/>
      <c r="H43"/>
      <c r="I43"/>
      <c r="P43" s="290"/>
      <c r="Q43" s="304"/>
      <c r="AD43" s="304"/>
      <c r="AE43" s="304"/>
    </row>
    <row r="44" spans="2:47" x14ac:dyDescent="0.55000000000000004">
      <c r="B44" s="1" t="s">
        <v>549</v>
      </c>
      <c r="D44" s="29"/>
      <c r="E44" s="23"/>
      <c r="F44" s="22"/>
      <c r="G44" s="23"/>
      <c r="H44" s="22"/>
      <c r="I44" s="23"/>
      <c r="J44" s="22"/>
      <c r="K44" s="23"/>
      <c r="L44" s="22"/>
      <c r="M44" s="26"/>
      <c r="N44" s="22"/>
      <c r="O44" s="26"/>
      <c r="P44" s="366"/>
      <c r="Q44" s="21"/>
      <c r="R44" s="22"/>
      <c r="S44" s="23"/>
      <c r="T44" s="22"/>
      <c r="U44" s="23"/>
      <c r="V44" s="22"/>
      <c r="W44" s="26"/>
      <c r="X44" s="22"/>
      <c r="Y44" s="26"/>
      <c r="Z44" s="22"/>
      <c r="AA44" s="26"/>
      <c r="AB44" s="22"/>
      <c r="AC44" s="25"/>
      <c r="AD44" s="22"/>
      <c r="AE44" s="26"/>
      <c r="AF44" s="22"/>
      <c r="AG44" s="26"/>
      <c r="AH44" s="22"/>
      <c r="AI44" s="365"/>
      <c r="AJ44" s="364"/>
      <c r="AK44" s="25"/>
      <c r="AL44" s="22"/>
      <c r="AM44" s="23"/>
      <c r="AN44" s="22"/>
      <c r="AO44" s="23"/>
      <c r="AP44" s="22"/>
      <c r="AQ44" s="23"/>
      <c r="AR44" s="22"/>
      <c r="AS44" s="23"/>
      <c r="AT44" s="22"/>
      <c r="AU44" s="23"/>
    </row>
    <row r="45" spans="2:47" x14ac:dyDescent="0.6">
      <c r="AI45" s="292"/>
      <c r="AJ45" s="292"/>
    </row>
    <row r="46" spans="2:47" x14ac:dyDescent="0.6">
      <c r="B46" s="1" t="s">
        <v>550</v>
      </c>
      <c r="D46" s="25"/>
      <c r="E46" s="25"/>
      <c r="F46" s="25"/>
      <c r="G46" s="25"/>
      <c r="H46" s="25"/>
      <c r="I46" s="25"/>
      <c r="J46" s="344"/>
      <c r="K46" s="345"/>
      <c r="L46" s="345"/>
      <c r="M46" s="346"/>
      <c r="N46" s="26"/>
      <c r="O46" s="25"/>
      <c r="P46" s="25"/>
      <c r="Q46" s="25"/>
      <c r="R46" s="25"/>
      <c r="S46" s="25"/>
      <c r="T46" s="25"/>
      <c r="U46" s="25"/>
      <c r="V46" s="344"/>
      <c r="W46" s="345"/>
      <c r="X46" s="345"/>
      <c r="Y46" s="346"/>
      <c r="Z46" s="26"/>
      <c r="AA46" s="25"/>
      <c r="AB46" s="25"/>
      <c r="AC46" s="25"/>
      <c r="AD46" s="344"/>
      <c r="AE46" s="345"/>
      <c r="AF46" s="345"/>
      <c r="AG46" s="346"/>
      <c r="AH46" s="26"/>
      <c r="AI46" s="350"/>
      <c r="AJ46" s="350"/>
      <c r="AK46" s="350"/>
      <c r="AL46" s="357"/>
      <c r="AM46" s="359"/>
      <c r="AN46" s="25"/>
      <c r="AO46" s="25"/>
      <c r="AP46" s="25"/>
      <c r="AQ46" s="25"/>
      <c r="AR46" s="25"/>
      <c r="AS46" s="350"/>
      <c r="AT46" s="350"/>
      <c r="AU46" s="350"/>
    </row>
    <row r="47" spans="2:47" x14ac:dyDescent="0.6">
      <c r="AI47" s="292"/>
      <c r="AJ47" s="292"/>
    </row>
    <row r="48" spans="2:47" x14ac:dyDescent="0.6">
      <c r="B48" s="1" t="s">
        <v>551</v>
      </c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344"/>
      <c r="O48" s="346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344"/>
      <c r="AA48" s="346"/>
      <c r="AB48" s="26"/>
      <c r="AC48" s="25"/>
      <c r="AD48" s="25"/>
      <c r="AE48" s="25"/>
      <c r="AF48" s="25"/>
      <c r="AG48" s="21"/>
      <c r="AH48" s="347"/>
      <c r="AI48" s="368"/>
      <c r="AJ48" s="350"/>
      <c r="AK48" s="363"/>
      <c r="AL48" s="25"/>
      <c r="AM48" s="25"/>
      <c r="AN48" s="25"/>
      <c r="AO48" s="25"/>
      <c r="AP48" s="357"/>
      <c r="AQ48" s="358"/>
      <c r="AR48" s="358"/>
      <c r="AS48" s="359"/>
      <c r="AT48" s="25"/>
      <c r="AU48" s="25"/>
    </row>
    <row r="49" spans="35:36" x14ac:dyDescent="0.6">
      <c r="AI49" s="292"/>
      <c r="AJ49" s="292"/>
    </row>
    <row r="50" spans="35:36" x14ac:dyDescent="0.6">
      <c r="AJ50" s="292"/>
    </row>
  </sheetData>
  <phoneticPr fontId="2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50F1-DC45-46D9-9A98-F26BDA6C0311}">
  <sheetPr>
    <tabColor theme="0"/>
  </sheetPr>
  <dimension ref="B2:AO35"/>
  <sheetViews>
    <sheetView workbookViewId="0">
      <selection activeCell="U40" sqref="U40"/>
    </sheetView>
  </sheetViews>
  <sheetFormatPr defaultRowHeight="16.899999999999999" x14ac:dyDescent="0.6"/>
  <cols>
    <col min="2" max="3" width="3.1875" bestFit="1" customWidth="1"/>
    <col min="4" max="13" width="2.1875" bestFit="1" customWidth="1"/>
    <col min="14" max="14" width="2.1875" customWidth="1"/>
    <col min="15" max="15" width="4.3125" style="1" bestFit="1" customWidth="1"/>
    <col min="16" max="16" width="5.1875" bestFit="1" customWidth="1"/>
    <col min="17" max="17" width="9.125" bestFit="1" customWidth="1"/>
    <col min="19" max="19" width="4.375" style="1" bestFit="1" customWidth="1"/>
    <col min="20" max="20" width="4.1875" bestFit="1" customWidth="1"/>
    <col min="21" max="21" width="9.125" bestFit="1" customWidth="1"/>
  </cols>
  <sheetData>
    <row r="2" spans="2:41" x14ac:dyDescent="0.6">
      <c r="B2" s="3">
        <v>11</v>
      </c>
      <c r="C2" s="3">
        <v>10</v>
      </c>
      <c r="D2" s="3">
        <v>9</v>
      </c>
      <c r="E2" s="3">
        <v>8</v>
      </c>
      <c r="F2" s="10">
        <v>7</v>
      </c>
      <c r="G2" s="10">
        <v>6</v>
      </c>
      <c r="H2" s="10">
        <v>5</v>
      </c>
      <c r="I2" s="10">
        <v>4</v>
      </c>
      <c r="J2" s="3">
        <v>3</v>
      </c>
      <c r="K2" s="3">
        <v>2</v>
      </c>
      <c r="L2" s="3">
        <v>1</v>
      </c>
      <c r="M2" s="3">
        <v>0</v>
      </c>
      <c r="O2" s="1" t="s">
        <v>7</v>
      </c>
      <c r="P2">
        <f>HEX2DEC(O2)</f>
        <v>4095</v>
      </c>
      <c r="S2" s="1" t="s">
        <v>40</v>
      </c>
      <c r="T2">
        <f>HEX2DEC(S2)</f>
        <v>511</v>
      </c>
      <c r="X2" t="s">
        <v>79</v>
      </c>
      <c r="Y2" t="s">
        <v>80</v>
      </c>
      <c r="Z2" s="3">
        <v>15</v>
      </c>
      <c r="AA2" s="3">
        <v>14</v>
      </c>
      <c r="AB2" s="3">
        <v>13</v>
      </c>
      <c r="AC2" s="3">
        <v>12</v>
      </c>
      <c r="AD2" s="3">
        <v>11</v>
      </c>
      <c r="AE2" s="3">
        <v>10</v>
      </c>
      <c r="AF2" s="3">
        <v>9</v>
      </c>
      <c r="AG2" s="3">
        <v>8</v>
      </c>
      <c r="AH2" s="3">
        <v>7</v>
      </c>
      <c r="AI2" s="3">
        <v>6</v>
      </c>
      <c r="AJ2" s="3">
        <v>5</v>
      </c>
      <c r="AK2" s="3">
        <v>4</v>
      </c>
      <c r="AL2" s="3">
        <v>3</v>
      </c>
      <c r="AM2" s="3">
        <v>2</v>
      </c>
      <c r="AN2" s="3">
        <v>1</v>
      </c>
      <c r="AO2" s="3">
        <v>0</v>
      </c>
    </row>
    <row r="3" spans="2:41" x14ac:dyDescent="0.6">
      <c r="B3">
        <v>1</v>
      </c>
      <c r="C3">
        <v>1</v>
      </c>
      <c r="D3">
        <v>1</v>
      </c>
      <c r="E3">
        <v>1</v>
      </c>
      <c r="F3" s="10">
        <v>1</v>
      </c>
      <c r="G3" s="10">
        <v>1</v>
      </c>
      <c r="H3" s="10">
        <v>1</v>
      </c>
      <c r="I3" s="10">
        <v>1</v>
      </c>
      <c r="J3">
        <v>0</v>
      </c>
      <c r="K3">
        <v>1</v>
      </c>
      <c r="L3">
        <v>1</v>
      </c>
      <c r="M3">
        <v>0</v>
      </c>
      <c r="O3" s="18" t="s">
        <v>11</v>
      </c>
      <c r="P3" s="19">
        <f>HEX2DEC(O3)</f>
        <v>4064</v>
      </c>
      <c r="Q3" s="20">
        <f>P3/$P$2</f>
        <v>0.99242979242979246</v>
      </c>
      <c r="R3" s="19"/>
      <c r="S3" s="18" t="s">
        <v>41</v>
      </c>
      <c r="T3" s="19">
        <f>HEX2DEC(S3)</f>
        <v>508</v>
      </c>
      <c r="U3" s="20">
        <f>T3/$T$2</f>
        <v>0.9941291585127201</v>
      </c>
      <c r="V3" s="5">
        <f>U3-Q3</f>
        <v>1.6993660829276447E-3</v>
      </c>
      <c r="X3" s="96">
        <v>1</v>
      </c>
      <c r="Y3" s="96">
        <v>4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98">
        <v>0</v>
      </c>
      <c r="AM3" s="98">
        <v>1</v>
      </c>
      <c r="AN3" s="98"/>
      <c r="AO3" s="98"/>
    </row>
    <row r="4" spans="2:41" x14ac:dyDescent="0.6">
      <c r="B4">
        <v>1</v>
      </c>
      <c r="C4">
        <v>1</v>
      </c>
      <c r="D4">
        <v>1</v>
      </c>
      <c r="E4">
        <v>1</v>
      </c>
      <c r="F4" s="10">
        <v>1</v>
      </c>
      <c r="G4" s="10">
        <v>1</v>
      </c>
      <c r="H4" s="10">
        <v>1</v>
      </c>
      <c r="I4" s="10">
        <v>1</v>
      </c>
      <c r="J4">
        <v>0</v>
      </c>
      <c r="K4">
        <v>1</v>
      </c>
      <c r="L4">
        <v>1</v>
      </c>
      <c r="M4">
        <v>1</v>
      </c>
      <c r="O4" s="18" t="s">
        <v>12</v>
      </c>
      <c r="P4" s="19">
        <f t="shared" ref="P4:P34" si="0">HEX2DEC(O4)</f>
        <v>4065</v>
      </c>
      <c r="Q4" s="20">
        <f t="shared" ref="Q4:Q34" si="1">P4/$P$2</f>
        <v>0.9926739926739927</v>
      </c>
      <c r="R4" s="19"/>
      <c r="S4" s="18" t="s">
        <v>41</v>
      </c>
      <c r="T4" s="19">
        <f t="shared" ref="T4:T34" si="2">HEX2DEC(S4)</f>
        <v>508</v>
      </c>
      <c r="U4" s="20">
        <f t="shared" ref="U4:U34" si="3">T4/$T$2</f>
        <v>0.9941291585127201</v>
      </c>
      <c r="V4" s="5">
        <f t="shared" ref="V4:V34" si="4">U4-Q4</f>
        <v>1.4551658387274014E-3</v>
      </c>
      <c r="X4" s="96">
        <v>2</v>
      </c>
      <c r="Y4" s="96">
        <v>8</v>
      </c>
      <c r="AK4">
        <v>0</v>
      </c>
      <c r="AL4" s="98">
        <v>1</v>
      </c>
      <c r="AM4" s="98">
        <v>0</v>
      </c>
      <c r="AN4" s="98"/>
      <c r="AO4" s="98"/>
    </row>
    <row r="5" spans="2:41" x14ac:dyDescent="0.6">
      <c r="B5">
        <v>1</v>
      </c>
      <c r="C5">
        <v>1</v>
      </c>
      <c r="D5">
        <v>1</v>
      </c>
      <c r="E5">
        <v>1</v>
      </c>
      <c r="F5" s="10">
        <v>1</v>
      </c>
      <c r="G5" s="10">
        <v>1</v>
      </c>
      <c r="H5" s="10">
        <v>1</v>
      </c>
      <c r="I5" s="10">
        <v>1</v>
      </c>
      <c r="J5">
        <v>1</v>
      </c>
      <c r="K5">
        <v>0</v>
      </c>
      <c r="L5">
        <v>0</v>
      </c>
      <c r="M5">
        <v>0</v>
      </c>
      <c r="O5" s="18" t="s">
        <v>13</v>
      </c>
      <c r="P5" s="19">
        <f t="shared" si="0"/>
        <v>4066</v>
      </c>
      <c r="Q5" s="20">
        <f t="shared" si="1"/>
        <v>0.99291819291819294</v>
      </c>
      <c r="R5" s="19"/>
      <c r="S5" s="18" t="s">
        <v>41</v>
      </c>
      <c r="T5" s="19">
        <f t="shared" si="2"/>
        <v>508</v>
      </c>
      <c r="U5" s="20">
        <f t="shared" si="3"/>
        <v>0.9941291585127201</v>
      </c>
      <c r="V5" s="5">
        <f t="shared" si="4"/>
        <v>1.210965594527158E-3</v>
      </c>
      <c r="X5" s="96">
        <v>3</v>
      </c>
      <c r="Y5" s="97" t="s">
        <v>83</v>
      </c>
      <c r="AK5">
        <v>0</v>
      </c>
      <c r="AL5" s="98">
        <v>1</v>
      </c>
      <c r="AM5" s="98">
        <v>1</v>
      </c>
      <c r="AN5" s="98"/>
      <c r="AO5" s="98"/>
    </row>
    <row r="6" spans="2:41" x14ac:dyDescent="0.6">
      <c r="B6">
        <v>1</v>
      </c>
      <c r="C6">
        <v>1</v>
      </c>
      <c r="D6">
        <v>1</v>
      </c>
      <c r="E6">
        <v>1</v>
      </c>
      <c r="F6" s="10">
        <v>1</v>
      </c>
      <c r="G6" s="10">
        <v>1</v>
      </c>
      <c r="H6" s="10">
        <v>1</v>
      </c>
      <c r="I6" s="10">
        <v>1</v>
      </c>
      <c r="J6">
        <v>1</v>
      </c>
      <c r="K6">
        <v>0</v>
      </c>
      <c r="L6">
        <v>0</v>
      </c>
      <c r="M6">
        <v>0</v>
      </c>
      <c r="O6" s="18" t="s">
        <v>14</v>
      </c>
      <c r="P6" s="19">
        <f t="shared" si="0"/>
        <v>4067</v>
      </c>
      <c r="Q6" s="20">
        <f t="shared" si="1"/>
        <v>0.99316239316239319</v>
      </c>
      <c r="R6" s="19"/>
      <c r="S6" s="18" t="s">
        <v>41</v>
      </c>
      <c r="T6" s="19">
        <f t="shared" si="2"/>
        <v>508</v>
      </c>
      <c r="U6" s="20">
        <f t="shared" si="3"/>
        <v>0.9941291585127201</v>
      </c>
      <c r="V6" s="5">
        <f t="shared" si="4"/>
        <v>9.6676535032691469E-4</v>
      </c>
      <c r="X6" s="96">
        <v>4</v>
      </c>
      <c r="Y6" s="96">
        <v>10</v>
      </c>
      <c r="AK6">
        <v>1</v>
      </c>
      <c r="AL6" s="98">
        <v>0</v>
      </c>
      <c r="AM6" s="98">
        <v>0</v>
      </c>
      <c r="AN6" s="98"/>
      <c r="AO6" s="98"/>
    </row>
    <row r="7" spans="2:41" x14ac:dyDescent="0.6">
      <c r="B7">
        <v>1</v>
      </c>
      <c r="C7">
        <v>1</v>
      </c>
      <c r="D7">
        <v>1</v>
      </c>
      <c r="E7">
        <v>1</v>
      </c>
      <c r="F7" s="10">
        <v>1</v>
      </c>
      <c r="G7" s="10">
        <v>1</v>
      </c>
      <c r="H7" s="10">
        <v>1</v>
      </c>
      <c r="I7" s="10">
        <v>1</v>
      </c>
      <c r="J7">
        <v>1</v>
      </c>
      <c r="K7">
        <v>0</v>
      </c>
      <c r="L7">
        <v>0</v>
      </c>
      <c r="M7">
        <v>0</v>
      </c>
      <c r="O7" s="18" t="s">
        <v>15</v>
      </c>
      <c r="P7" s="19">
        <f t="shared" si="0"/>
        <v>4068</v>
      </c>
      <c r="Q7" s="20">
        <f t="shared" si="1"/>
        <v>0.99340659340659343</v>
      </c>
      <c r="R7" s="19"/>
      <c r="S7" s="18" t="s">
        <v>41</v>
      </c>
      <c r="T7" s="19">
        <f t="shared" si="2"/>
        <v>508</v>
      </c>
      <c r="U7" s="20">
        <f t="shared" si="3"/>
        <v>0.9941291585127201</v>
      </c>
      <c r="V7" s="5">
        <f t="shared" si="4"/>
        <v>7.2256510612667135E-4</v>
      </c>
      <c r="X7" s="96">
        <v>5</v>
      </c>
      <c r="Y7" s="96">
        <v>14</v>
      </c>
      <c r="AK7">
        <v>1</v>
      </c>
      <c r="AL7" s="98">
        <v>0</v>
      </c>
      <c r="AM7" s="98">
        <v>1</v>
      </c>
      <c r="AN7" s="98"/>
      <c r="AO7" s="98"/>
    </row>
    <row r="8" spans="2:41" x14ac:dyDescent="0.6">
      <c r="B8">
        <v>1</v>
      </c>
      <c r="C8">
        <v>1</v>
      </c>
      <c r="D8">
        <v>1</v>
      </c>
      <c r="E8">
        <v>1</v>
      </c>
      <c r="F8" s="10">
        <v>1</v>
      </c>
      <c r="G8" s="10">
        <v>1</v>
      </c>
      <c r="H8" s="10">
        <v>1</v>
      </c>
      <c r="I8" s="10">
        <v>1</v>
      </c>
      <c r="J8">
        <v>1</v>
      </c>
      <c r="K8">
        <v>0</v>
      </c>
      <c r="L8">
        <v>0</v>
      </c>
      <c r="M8">
        <v>0</v>
      </c>
      <c r="O8" s="18" t="s">
        <v>16</v>
      </c>
      <c r="P8" s="19">
        <f t="shared" si="0"/>
        <v>4069</v>
      </c>
      <c r="Q8" s="20">
        <f t="shared" si="1"/>
        <v>0.99365079365079367</v>
      </c>
      <c r="R8" s="19"/>
      <c r="S8" s="18" t="s">
        <v>41</v>
      </c>
      <c r="T8" s="19">
        <f t="shared" si="2"/>
        <v>508</v>
      </c>
      <c r="U8" s="20">
        <f t="shared" si="3"/>
        <v>0.9941291585127201</v>
      </c>
      <c r="V8" s="5">
        <f t="shared" si="4"/>
        <v>4.7836486192642802E-4</v>
      </c>
      <c r="X8" s="96">
        <v>6</v>
      </c>
      <c r="Y8" s="96">
        <v>6</v>
      </c>
    </row>
    <row r="9" spans="2:41" x14ac:dyDescent="0.6">
      <c r="B9">
        <v>1</v>
      </c>
      <c r="C9">
        <v>1</v>
      </c>
      <c r="D9">
        <v>1</v>
      </c>
      <c r="E9">
        <v>1</v>
      </c>
      <c r="F9" s="10">
        <v>1</v>
      </c>
      <c r="G9" s="10">
        <v>1</v>
      </c>
      <c r="H9" s="10">
        <v>1</v>
      </c>
      <c r="I9" s="10">
        <v>1</v>
      </c>
      <c r="J9">
        <v>1</v>
      </c>
      <c r="K9">
        <v>0</v>
      </c>
      <c r="L9">
        <v>0</v>
      </c>
      <c r="M9">
        <v>0</v>
      </c>
      <c r="O9" s="18" t="s">
        <v>17</v>
      </c>
      <c r="P9" s="19">
        <f t="shared" si="0"/>
        <v>4070</v>
      </c>
      <c r="Q9" s="20">
        <f t="shared" si="1"/>
        <v>0.99389499389499392</v>
      </c>
      <c r="R9" s="19"/>
      <c r="S9" s="18" t="s">
        <v>41</v>
      </c>
      <c r="T9" s="19">
        <f t="shared" si="2"/>
        <v>508</v>
      </c>
      <c r="U9" s="20">
        <f t="shared" si="3"/>
        <v>0.9941291585127201</v>
      </c>
      <c r="V9" s="5">
        <f t="shared" si="4"/>
        <v>2.3416461772618469E-4</v>
      </c>
      <c r="X9" s="96">
        <v>7</v>
      </c>
      <c r="Y9" s="96">
        <v>7</v>
      </c>
    </row>
    <row r="10" spans="2:41" x14ac:dyDescent="0.6">
      <c r="B10">
        <v>1</v>
      </c>
      <c r="C10">
        <v>1</v>
      </c>
      <c r="D10">
        <v>1</v>
      </c>
      <c r="E10">
        <v>1</v>
      </c>
      <c r="F10" s="10">
        <v>1</v>
      </c>
      <c r="G10" s="10">
        <v>1</v>
      </c>
      <c r="H10" s="10">
        <v>1</v>
      </c>
      <c r="I10" s="10">
        <v>0</v>
      </c>
      <c r="J10">
        <v>0</v>
      </c>
      <c r="K10">
        <v>0</v>
      </c>
      <c r="L10">
        <v>0</v>
      </c>
      <c r="M10">
        <v>0</v>
      </c>
      <c r="O10" s="18" t="s">
        <v>18</v>
      </c>
      <c r="P10" s="19">
        <f t="shared" si="0"/>
        <v>4071</v>
      </c>
      <c r="Q10" s="20">
        <f t="shared" si="1"/>
        <v>0.99413919413919416</v>
      </c>
      <c r="R10" s="19"/>
      <c r="S10" s="18" t="s">
        <v>41</v>
      </c>
      <c r="T10" s="19">
        <f t="shared" si="2"/>
        <v>508</v>
      </c>
      <c r="U10" s="20">
        <f t="shared" si="3"/>
        <v>0.9941291585127201</v>
      </c>
      <c r="V10" s="5">
        <f t="shared" si="4"/>
        <v>-1.0035626474058645E-5</v>
      </c>
      <c r="X10" s="96">
        <v>8</v>
      </c>
      <c r="Y10" s="96">
        <v>8</v>
      </c>
    </row>
    <row r="11" spans="2:41" x14ac:dyDescent="0.6">
      <c r="B11">
        <v>1</v>
      </c>
      <c r="C11">
        <v>1</v>
      </c>
      <c r="D11">
        <v>1</v>
      </c>
      <c r="E11">
        <v>1</v>
      </c>
      <c r="F11" s="10">
        <v>1</v>
      </c>
      <c r="G11" s="10">
        <v>1</v>
      </c>
      <c r="H11" s="10">
        <v>1</v>
      </c>
      <c r="I11" s="10">
        <v>0</v>
      </c>
      <c r="J11">
        <v>1</v>
      </c>
      <c r="K11">
        <v>0</v>
      </c>
      <c r="L11">
        <v>0</v>
      </c>
      <c r="M11">
        <v>0</v>
      </c>
      <c r="O11" s="15" t="s">
        <v>9</v>
      </c>
      <c r="P11" s="16">
        <f t="shared" si="0"/>
        <v>4072</v>
      </c>
      <c r="Q11" s="17">
        <f t="shared" si="1"/>
        <v>0.9943833943833944</v>
      </c>
      <c r="R11" s="16"/>
      <c r="S11" s="15" t="s">
        <v>42</v>
      </c>
      <c r="T11" s="16">
        <f t="shared" si="2"/>
        <v>509</v>
      </c>
      <c r="U11" s="17">
        <f t="shared" si="3"/>
        <v>0.99608610567514677</v>
      </c>
      <c r="V11" s="5">
        <f t="shared" si="4"/>
        <v>1.7027112917523679E-3</v>
      </c>
      <c r="X11" s="96">
        <v>9</v>
      </c>
      <c r="Y11" s="96">
        <v>9</v>
      </c>
    </row>
    <row r="12" spans="2:41" x14ac:dyDescent="0.6">
      <c r="O12" s="15" t="s">
        <v>19</v>
      </c>
      <c r="P12" s="16">
        <f t="shared" si="0"/>
        <v>4073</v>
      </c>
      <c r="Q12" s="17">
        <f t="shared" si="1"/>
        <v>0.99462759462759465</v>
      </c>
      <c r="R12" s="16"/>
      <c r="S12" s="15" t="s">
        <v>42</v>
      </c>
      <c r="T12" s="16">
        <f t="shared" si="2"/>
        <v>509</v>
      </c>
      <c r="U12" s="17">
        <f t="shared" si="3"/>
        <v>0.99608610567514677</v>
      </c>
      <c r="V12" s="5">
        <f t="shared" si="4"/>
        <v>1.4585110475521246E-3</v>
      </c>
      <c r="X12" s="97" t="s">
        <v>81</v>
      </c>
      <c r="Y12" s="97" t="s">
        <v>87</v>
      </c>
    </row>
    <row r="13" spans="2:41" x14ac:dyDescent="0.6">
      <c r="O13" s="15" t="s">
        <v>28</v>
      </c>
      <c r="P13" s="16">
        <f t="shared" si="0"/>
        <v>4074</v>
      </c>
      <c r="Q13" s="17">
        <f t="shared" si="1"/>
        <v>0.99487179487179489</v>
      </c>
      <c r="R13" s="16"/>
      <c r="S13" s="15" t="s">
        <v>42</v>
      </c>
      <c r="T13" s="16">
        <f t="shared" si="2"/>
        <v>509</v>
      </c>
      <c r="U13" s="17">
        <f t="shared" si="3"/>
        <v>0.99608610567514677</v>
      </c>
      <c r="V13" s="5">
        <f t="shared" si="4"/>
        <v>1.2143108033518812E-3</v>
      </c>
      <c r="X13" s="97" t="s">
        <v>82</v>
      </c>
      <c r="Y13" s="97" t="s">
        <v>88</v>
      </c>
    </row>
    <row r="14" spans="2:41" x14ac:dyDescent="0.6">
      <c r="O14" s="15" t="s">
        <v>29</v>
      </c>
      <c r="P14" s="16">
        <f t="shared" si="0"/>
        <v>4075</v>
      </c>
      <c r="Q14" s="17">
        <f t="shared" si="1"/>
        <v>0.99511599511599513</v>
      </c>
      <c r="R14" s="16"/>
      <c r="S14" s="15" t="s">
        <v>42</v>
      </c>
      <c r="T14" s="16">
        <f t="shared" si="2"/>
        <v>509</v>
      </c>
      <c r="U14" s="17">
        <f t="shared" si="3"/>
        <v>0.99608610567514677</v>
      </c>
      <c r="V14" s="5">
        <f t="shared" si="4"/>
        <v>9.7011055915163791E-4</v>
      </c>
      <c r="X14" s="97" t="s">
        <v>83</v>
      </c>
      <c r="Y14" s="97" t="s">
        <v>89</v>
      </c>
    </row>
    <row r="15" spans="2:41" x14ac:dyDescent="0.6">
      <c r="O15" s="15" t="s">
        <v>30</v>
      </c>
      <c r="P15" s="16">
        <f t="shared" si="0"/>
        <v>4076</v>
      </c>
      <c r="Q15" s="17">
        <f t="shared" si="1"/>
        <v>0.99536019536019538</v>
      </c>
      <c r="R15" s="16"/>
      <c r="S15" s="15" t="s">
        <v>42</v>
      </c>
      <c r="T15" s="16">
        <f t="shared" si="2"/>
        <v>509</v>
      </c>
      <c r="U15" s="17">
        <f t="shared" si="3"/>
        <v>0.99608610567514677</v>
      </c>
      <c r="V15" s="5">
        <f t="shared" si="4"/>
        <v>7.2591031495139458E-4</v>
      </c>
      <c r="X15" s="97" t="s">
        <v>84</v>
      </c>
      <c r="Y15" s="97" t="s">
        <v>90</v>
      </c>
    </row>
    <row r="16" spans="2:41" x14ac:dyDescent="0.6">
      <c r="O16" s="15" t="s">
        <v>31</v>
      </c>
      <c r="P16" s="16">
        <f t="shared" si="0"/>
        <v>4077</v>
      </c>
      <c r="Q16" s="17">
        <f t="shared" si="1"/>
        <v>0.99560439560439562</v>
      </c>
      <c r="R16" s="16"/>
      <c r="S16" s="15" t="s">
        <v>42</v>
      </c>
      <c r="T16" s="16">
        <f t="shared" si="2"/>
        <v>509</v>
      </c>
      <c r="U16" s="17">
        <f t="shared" si="3"/>
        <v>0.99608610567514677</v>
      </c>
      <c r="V16" s="5">
        <f t="shared" si="4"/>
        <v>4.8171007075115124E-4</v>
      </c>
      <c r="X16" s="97" t="s">
        <v>85</v>
      </c>
      <c r="Y16" s="97" t="s">
        <v>91</v>
      </c>
    </row>
    <row r="17" spans="15:25" x14ac:dyDescent="0.6">
      <c r="O17" s="15" t="s">
        <v>32</v>
      </c>
      <c r="P17" s="16">
        <f t="shared" si="0"/>
        <v>4078</v>
      </c>
      <c r="Q17" s="17">
        <f t="shared" si="1"/>
        <v>0.99584859584859586</v>
      </c>
      <c r="R17" s="16"/>
      <c r="S17" s="15" t="s">
        <v>42</v>
      </c>
      <c r="T17" s="16">
        <f t="shared" si="2"/>
        <v>509</v>
      </c>
      <c r="U17" s="17">
        <f t="shared" si="3"/>
        <v>0.99608610567514677</v>
      </c>
      <c r="V17" s="5">
        <f t="shared" si="4"/>
        <v>2.3750982655090791E-4</v>
      </c>
      <c r="X17" s="97" t="s">
        <v>86</v>
      </c>
      <c r="Y17" s="97" t="s">
        <v>92</v>
      </c>
    </row>
    <row r="18" spans="15:25" x14ac:dyDescent="0.6">
      <c r="O18" s="15" t="s">
        <v>33</v>
      </c>
      <c r="P18" s="16">
        <f t="shared" si="0"/>
        <v>4079</v>
      </c>
      <c r="Q18" s="17">
        <f t="shared" si="1"/>
        <v>0.99609279609279611</v>
      </c>
      <c r="R18" s="16"/>
      <c r="S18" s="15" t="s">
        <v>42</v>
      </c>
      <c r="T18" s="16">
        <f t="shared" si="2"/>
        <v>509</v>
      </c>
      <c r="U18" s="17">
        <f t="shared" si="3"/>
        <v>0.99608610567514677</v>
      </c>
      <c r="V18" s="5">
        <f t="shared" si="4"/>
        <v>-6.6904176493354228E-6</v>
      </c>
      <c r="X18" s="97" t="s">
        <v>93</v>
      </c>
      <c r="Y18" s="97" t="s">
        <v>94</v>
      </c>
    </row>
    <row r="19" spans="15:25" x14ac:dyDescent="0.6">
      <c r="O19" s="12" t="s">
        <v>8</v>
      </c>
      <c r="P19" s="13">
        <f t="shared" si="0"/>
        <v>4080</v>
      </c>
      <c r="Q19" s="14">
        <f t="shared" si="1"/>
        <v>0.99633699633699635</v>
      </c>
      <c r="R19" s="13"/>
      <c r="S19" s="12" t="s">
        <v>43</v>
      </c>
      <c r="T19" s="13">
        <f t="shared" si="2"/>
        <v>510</v>
      </c>
      <c r="U19" s="14">
        <f t="shared" si="3"/>
        <v>0.99804305283757333</v>
      </c>
      <c r="V19" s="5">
        <f t="shared" si="4"/>
        <v>1.7060565005769801E-3</v>
      </c>
    </row>
    <row r="20" spans="15:25" x14ac:dyDescent="0.6">
      <c r="O20" s="12" t="s">
        <v>20</v>
      </c>
      <c r="P20" s="13">
        <f t="shared" si="0"/>
        <v>4081</v>
      </c>
      <c r="Q20" s="14">
        <f t="shared" si="1"/>
        <v>0.99658119658119659</v>
      </c>
      <c r="R20" s="13"/>
      <c r="S20" s="12" t="s">
        <v>43</v>
      </c>
      <c r="T20" s="13">
        <f t="shared" si="2"/>
        <v>510</v>
      </c>
      <c r="U20" s="14">
        <f t="shared" si="3"/>
        <v>0.99804305283757333</v>
      </c>
      <c r="V20" s="5">
        <f t="shared" si="4"/>
        <v>1.4618562563767368E-3</v>
      </c>
    </row>
    <row r="21" spans="15:25" x14ac:dyDescent="0.6">
      <c r="O21" s="12" t="s">
        <v>21</v>
      </c>
      <c r="P21" s="13">
        <f t="shared" si="0"/>
        <v>4082</v>
      </c>
      <c r="Q21" s="14">
        <f t="shared" si="1"/>
        <v>0.99682539682539684</v>
      </c>
      <c r="R21" s="13"/>
      <c r="S21" s="12" t="s">
        <v>43</v>
      </c>
      <c r="T21" s="13">
        <f t="shared" si="2"/>
        <v>510</v>
      </c>
      <c r="U21" s="14">
        <f t="shared" si="3"/>
        <v>0.99804305283757333</v>
      </c>
      <c r="V21" s="5">
        <f t="shared" si="4"/>
        <v>1.2176560121764934E-3</v>
      </c>
    </row>
    <row r="22" spans="15:25" x14ac:dyDescent="0.6">
      <c r="O22" s="12" t="s">
        <v>22</v>
      </c>
      <c r="P22" s="13">
        <f t="shared" si="0"/>
        <v>4083</v>
      </c>
      <c r="Q22" s="14">
        <f t="shared" si="1"/>
        <v>0.99706959706959708</v>
      </c>
      <c r="R22" s="13"/>
      <c r="S22" s="12" t="s">
        <v>43</v>
      </c>
      <c r="T22" s="13">
        <f t="shared" si="2"/>
        <v>510</v>
      </c>
      <c r="U22" s="14">
        <f t="shared" si="3"/>
        <v>0.99804305283757333</v>
      </c>
      <c r="V22" s="5">
        <f t="shared" si="4"/>
        <v>9.7345576797625011E-4</v>
      </c>
    </row>
    <row r="23" spans="15:25" x14ac:dyDescent="0.6">
      <c r="O23" s="12" t="s">
        <v>23</v>
      </c>
      <c r="P23" s="13">
        <f t="shared" si="0"/>
        <v>4084</v>
      </c>
      <c r="Q23" s="14">
        <f t="shared" si="1"/>
        <v>0.99731379731379732</v>
      </c>
      <c r="R23" s="13"/>
      <c r="S23" s="12" t="s">
        <v>43</v>
      </c>
      <c r="T23" s="13">
        <f t="shared" si="2"/>
        <v>510</v>
      </c>
      <c r="U23" s="14">
        <f t="shared" si="3"/>
        <v>0.99804305283757333</v>
      </c>
      <c r="V23" s="5">
        <f t="shared" si="4"/>
        <v>7.2925552377600678E-4</v>
      </c>
    </row>
    <row r="24" spans="15:25" x14ac:dyDescent="0.6">
      <c r="O24" s="12" t="s">
        <v>24</v>
      </c>
      <c r="P24" s="13">
        <f t="shared" si="0"/>
        <v>4085</v>
      </c>
      <c r="Q24" s="14">
        <f t="shared" si="1"/>
        <v>0.99755799755799757</v>
      </c>
      <c r="R24" s="13"/>
      <c r="S24" s="12" t="s">
        <v>43</v>
      </c>
      <c r="T24" s="13">
        <f t="shared" si="2"/>
        <v>510</v>
      </c>
      <c r="U24" s="14">
        <f t="shared" si="3"/>
        <v>0.99804305283757333</v>
      </c>
      <c r="V24" s="5">
        <f t="shared" si="4"/>
        <v>4.8505527957576344E-4</v>
      </c>
    </row>
    <row r="25" spans="15:25" x14ac:dyDescent="0.6">
      <c r="O25" s="12" t="s">
        <v>25</v>
      </c>
      <c r="P25" s="13">
        <f t="shared" si="0"/>
        <v>4086</v>
      </c>
      <c r="Q25" s="14">
        <f t="shared" si="1"/>
        <v>0.99780219780219781</v>
      </c>
      <c r="R25" s="13"/>
      <c r="S25" s="12" t="s">
        <v>43</v>
      </c>
      <c r="T25" s="13">
        <f t="shared" si="2"/>
        <v>510</v>
      </c>
      <c r="U25" s="14">
        <f t="shared" si="3"/>
        <v>0.99804305283757333</v>
      </c>
      <c r="V25" s="5">
        <f t="shared" si="4"/>
        <v>2.4085503537552011E-4</v>
      </c>
    </row>
    <row r="26" spans="15:25" x14ac:dyDescent="0.6">
      <c r="O26" s="12" t="s">
        <v>26</v>
      </c>
      <c r="P26" s="13">
        <f t="shared" si="0"/>
        <v>4087</v>
      </c>
      <c r="Q26" s="14">
        <f t="shared" si="1"/>
        <v>0.99804639804639805</v>
      </c>
      <c r="R26" s="13"/>
      <c r="S26" s="12" t="s">
        <v>43</v>
      </c>
      <c r="T26" s="13">
        <f t="shared" si="2"/>
        <v>510</v>
      </c>
      <c r="U26" s="14">
        <f t="shared" si="3"/>
        <v>0.99804305283757333</v>
      </c>
      <c r="V26" s="5">
        <f t="shared" si="4"/>
        <v>-3.3452088247232226E-6</v>
      </c>
    </row>
    <row r="27" spans="15:25" x14ac:dyDescent="0.6">
      <c r="O27" s="9" t="s">
        <v>10</v>
      </c>
      <c r="P27" s="10">
        <f t="shared" si="0"/>
        <v>4088</v>
      </c>
      <c r="Q27" s="11">
        <f t="shared" si="1"/>
        <v>0.9982905982905983</v>
      </c>
      <c r="R27" s="10"/>
      <c r="S27" s="9" t="s">
        <v>40</v>
      </c>
      <c r="T27" s="10">
        <f t="shared" si="2"/>
        <v>511</v>
      </c>
      <c r="U27" s="11">
        <f t="shared" si="3"/>
        <v>1</v>
      </c>
      <c r="V27" s="5">
        <f t="shared" si="4"/>
        <v>1.7094017094017033E-3</v>
      </c>
    </row>
    <row r="28" spans="15:25" x14ac:dyDescent="0.6">
      <c r="O28" s="9" t="s">
        <v>27</v>
      </c>
      <c r="P28" s="10">
        <f t="shared" si="0"/>
        <v>4089</v>
      </c>
      <c r="Q28" s="11">
        <f t="shared" si="1"/>
        <v>0.99853479853479854</v>
      </c>
      <c r="R28" s="10"/>
      <c r="S28" s="9" t="s">
        <v>40</v>
      </c>
      <c r="T28" s="10">
        <f t="shared" si="2"/>
        <v>511</v>
      </c>
      <c r="U28" s="11">
        <f t="shared" si="3"/>
        <v>1</v>
      </c>
      <c r="V28" s="5">
        <f t="shared" si="4"/>
        <v>1.46520146520146E-3</v>
      </c>
    </row>
    <row r="29" spans="15:25" x14ac:dyDescent="0.6">
      <c r="O29" s="9" t="s">
        <v>34</v>
      </c>
      <c r="P29" s="10">
        <f t="shared" si="0"/>
        <v>4090</v>
      </c>
      <c r="Q29" s="11">
        <f t="shared" si="1"/>
        <v>0.99877899877899878</v>
      </c>
      <c r="R29" s="10"/>
      <c r="S29" s="9" t="s">
        <v>39</v>
      </c>
      <c r="T29" s="10">
        <f t="shared" si="2"/>
        <v>511</v>
      </c>
      <c r="U29" s="11">
        <f t="shared" si="3"/>
        <v>1</v>
      </c>
      <c r="V29" s="5">
        <f t="shared" si="4"/>
        <v>1.2210012210012167E-3</v>
      </c>
    </row>
    <row r="30" spans="15:25" x14ac:dyDescent="0.6">
      <c r="O30" s="9" t="s">
        <v>35</v>
      </c>
      <c r="P30" s="10">
        <f t="shared" si="0"/>
        <v>4091</v>
      </c>
      <c r="Q30" s="11">
        <f t="shared" si="1"/>
        <v>0.99902319902319903</v>
      </c>
      <c r="R30" s="10"/>
      <c r="S30" s="9" t="s">
        <v>39</v>
      </c>
      <c r="T30" s="10">
        <f t="shared" si="2"/>
        <v>511</v>
      </c>
      <c r="U30" s="11">
        <f t="shared" si="3"/>
        <v>1</v>
      </c>
      <c r="V30" s="5">
        <f t="shared" si="4"/>
        <v>9.7680097680097333E-4</v>
      </c>
    </row>
    <row r="31" spans="15:25" x14ac:dyDescent="0.6">
      <c r="O31" s="9" t="s">
        <v>36</v>
      </c>
      <c r="P31" s="10">
        <f t="shared" si="0"/>
        <v>4092</v>
      </c>
      <c r="Q31" s="11">
        <f t="shared" si="1"/>
        <v>0.99926739926739927</v>
      </c>
      <c r="R31" s="10"/>
      <c r="S31" s="9" t="s">
        <v>39</v>
      </c>
      <c r="T31" s="10">
        <f t="shared" si="2"/>
        <v>511</v>
      </c>
      <c r="U31" s="11">
        <f t="shared" si="3"/>
        <v>1</v>
      </c>
      <c r="V31" s="5">
        <f t="shared" si="4"/>
        <v>7.3260073260073E-4</v>
      </c>
    </row>
    <row r="32" spans="15:25" x14ac:dyDescent="0.6">
      <c r="O32" s="9" t="s">
        <v>37</v>
      </c>
      <c r="P32" s="10">
        <f t="shared" si="0"/>
        <v>4093</v>
      </c>
      <c r="Q32" s="11">
        <f t="shared" si="1"/>
        <v>0.99951159951159951</v>
      </c>
      <c r="R32" s="10"/>
      <c r="S32" s="9" t="s">
        <v>39</v>
      </c>
      <c r="T32" s="10">
        <f t="shared" si="2"/>
        <v>511</v>
      </c>
      <c r="U32" s="11">
        <f t="shared" si="3"/>
        <v>1</v>
      </c>
      <c r="V32" s="5">
        <f t="shared" si="4"/>
        <v>4.8840048840048667E-4</v>
      </c>
    </row>
    <row r="33" spans="15:22" x14ac:dyDescent="0.6">
      <c r="O33" s="9" t="s">
        <v>38</v>
      </c>
      <c r="P33" s="10">
        <f t="shared" si="0"/>
        <v>4094</v>
      </c>
      <c r="Q33" s="11">
        <f t="shared" si="1"/>
        <v>0.99975579975579976</v>
      </c>
      <c r="R33" s="10"/>
      <c r="S33" s="9" t="s">
        <v>39</v>
      </c>
      <c r="T33" s="10">
        <f t="shared" si="2"/>
        <v>511</v>
      </c>
      <c r="U33" s="11">
        <f t="shared" si="3"/>
        <v>1</v>
      </c>
      <c r="V33" s="5">
        <f t="shared" si="4"/>
        <v>2.4420024420024333E-4</v>
      </c>
    </row>
    <row r="34" spans="15:22" x14ac:dyDescent="0.6">
      <c r="O34" s="9" t="s">
        <v>7</v>
      </c>
      <c r="P34" s="10">
        <f t="shared" si="0"/>
        <v>4095</v>
      </c>
      <c r="Q34" s="11">
        <f t="shared" si="1"/>
        <v>1</v>
      </c>
      <c r="R34" s="10"/>
      <c r="S34" s="9" t="s">
        <v>39</v>
      </c>
      <c r="T34" s="10">
        <f t="shared" si="2"/>
        <v>511</v>
      </c>
      <c r="U34" s="11">
        <f t="shared" si="3"/>
        <v>1</v>
      </c>
      <c r="V34" s="5">
        <f t="shared" si="4"/>
        <v>0</v>
      </c>
    </row>
    <row r="35" spans="15:22" x14ac:dyDescent="0.6">
      <c r="O35" s="4"/>
      <c r="S35" s="4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5E37C-E3C2-4D87-B5EB-001E5CB0AC55}">
  <sheetPr>
    <tabColor theme="0"/>
  </sheetPr>
  <dimension ref="B1:CK100"/>
  <sheetViews>
    <sheetView showGridLines="0" topLeftCell="A7" workbookViewId="0"/>
  </sheetViews>
  <sheetFormatPr defaultRowHeight="16.899999999999999" x14ac:dyDescent="0.6"/>
  <cols>
    <col min="2" max="2" width="12.1875" style="1" bestFit="1" customWidth="1"/>
    <col min="3" max="3" width="2.625" customWidth="1"/>
    <col min="4" max="89" width="1.625" customWidth="1"/>
  </cols>
  <sheetData>
    <row r="1" spans="2:89" x14ac:dyDescent="0.6">
      <c r="D1" s="31"/>
      <c r="BP1" s="31"/>
    </row>
    <row r="2" spans="2:89" x14ac:dyDescent="0.6">
      <c r="B2" s="1" t="s">
        <v>51</v>
      </c>
      <c r="C2" s="25"/>
      <c r="D2" s="22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2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</row>
    <row r="3" spans="2:89" x14ac:dyDescent="0.6">
      <c r="D3" s="31"/>
      <c r="BP3" s="31"/>
    </row>
    <row r="4" spans="2:89" x14ac:dyDescent="0.6">
      <c r="B4" s="1" t="s">
        <v>6</v>
      </c>
      <c r="C4" s="25"/>
      <c r="D4" s="22"/>
      <c r="E4" s="23"/>
      <c r="F4" s="22"/>
      <c r="G4" s="23"/>
      <c r="H4" s="22"/>
      <c r="I4" s="23"/>
      <c r="J4" s="22"/>
      <c r="K4" s="23"/>
      <c r="L4" s="22"/>
      <c r="M4" s="23"/>
      <c r="N4" s="22"/>
      <c r="O4" s="23"/>
      <c r="P4" s="22"/>
      <c r="Q4" s="23"/>
      <c r="R4" s="22"/>
      <c r="S4" s="23"/>
      <c r="T4" s="22"/>
      <c r="U4" s="23"/>
      <c r="V4" s="22"/>
      <c r="W4" s="23"/>
      <c r="X4" s="22"/>
      <c r="Y4" s="23"/>
      <c r="Z4" s="22"/>
      <c r="AA4" s="23"/>
      <c r="AB4" s="22"/>
      <c r="AC4" s="23"/>
      <c r="AD4" s="22"/>
      <c r="AE4" s="26"/>
      <c r="AG4" s="21"/>
      <c r="AH4" s="22"/>
      <c r="AI4" s="23"/>
      <c r="AJ4" s="22"/>
      <c r="AK4" s="23"/>
      <c r="AL4" s="22"/>
      <c r="AM4" s="23"/>
      <c r="AN4" s="22"/>
      <c r="AO4" s="23"/>
      <c r="AP4" s="22"/>
      <c r="AQ4" s="23"/>
      <c r="AR4" s="22"/>
      <c r="AS4" s="23"/>
      <c r="AT4" s="22"/>
      <c r="AU4" s="23"/>
      <c r="AV4" s="22"/>
      <c r="AW4" s="23"/>
      <c r="AX4" s="22"/>
      <c r="AY4" s="23"/>
      <c r="AZ4" s="22"/>
      <c r="BA4" s="23"/>
      <c r="BB4" s="22"/>
      <c r="BC4" s="23"/>
      <c r="BD4" s="22"/>
      <c r="BE4" s="23"/>
      <c r="BF4" s="22"/>
      <c r="BG4" s="23"/>
      <c r="BH4" s="22"/>
      <c r="BI4" s="23"/>
      <c r="BJ4" s="22"/>
      <c r="BK4" s="23"/>
      <c r="BL4" s="22"/>
      <c r="BM4" s="23"/>
      <c r="BN4" s="22"/>
      <c r="BO4" s="26"/>
      <c r="BP4" s="22"/>
      <c r="BQ4" s="23"/>
      <c r="BR4" s="22"/>
      <c r="BS4" s="23"/>
      <c r="BT4" s="22"/>
      <c r="BU4" s="23"/>
      <c r="BV4" s="22"/>
      <c r="BW4" s="23"/>
      <c r="BX4" s="22"/>
      <c r="BY4" s="23"/>
      <c r="BZ4" s="22"/>
      <c r="CA4" s="23"/>
      <c r="CB4" s="22"/>
      <c r="CC4" s="23"/>
      <c r="CD4" s="22"/>
      <c r="CE4" s="23"/>
      <c r="CF4" s="22"/>
      <c r="CG4" s="23"/>
      <c r="CH4" s="22"/>
      <c r="CI4" s="23"/>
      <c r="CJ4" s="22"/>
      <c r="CK4" s="23"/>
    </row>
    <row r="5" spans="2:89" x14ac:dyDescent="0.6">
      <c r="D5" s="31"/>
      <c r="BP5" s="31"/>
    </row>
    <row r="6" spans="2:89" x14ac:dyDescent="0.6">
      <c r="B6" s="1" t="s">
        <v>52</v>
      </c>
      <c r="C6" s="25"/>
      <c r="D6" s="27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9"/>
      <c r="BN6" s="25"/>
      <c r="BO6" s="25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6"/>
      <c r="CC6" s="25"/>
      <c r="CD6" s="25"/>
      <c r="CE6" s="25"/>
      <c r="CF6" s="25"/>
      <c r="CG6" s="25"/>
      <c r="CH6" s="25"/>
      <c r="CI6" s="25"/>
      <c r="CJ6" s="25"/>
      <c r="CK6" s="25"/>
    </row>
    <row r="7" spans="2:89" x14ac:dyDescent="0.6">
      <c r="D7" s="31"/>
      <c r="BP7" s="31"/>
    </row>
    <row r="9" spans="2:89" x14ac:dyDescent="0.6">
      <c r="D9" s="31"/>
      <c r="BP9" s="31"/>
    </row>
    <row r="10" spans="2:89" x14ac:dyDescent="0.6">
      <c r="B10" s="1" t="s">
        <v>51</v>
      </c>
      <c r="C10" s="25"/>
      <c r="D10" s="22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33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33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33"/>
      <c r="AU10" s="25"/>
      <c r="AW10" s="25"/>
      <c r="AX10" s="25"/>
      <c r="AY10" s="25"/>
      <c r="AZ10" s="25"/>
      <c r="BA10" s="25"/>
      <c r="BB10" s="33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2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33"/>
      <c r="CE10" s="25"/>
      <c r="CF10" s="25"/>
      <c r="CG10" s="25"/>
      <c r="CH10" s="25"/>
      <c r="CI10" s="25"/>
      <c r="CJ10" s="25"/>
      <c r="CK10" s="25"/>
    </row>
    <row r="11" spans="2:89" x14ac:dyDescent="0.6">
      <c r="D11" s="31"/>
      <c r="R11" s="31"/>
      <c r="AF11" s="31"/>
      <c r="AT11" s="31"/>
      <c r="BB11" s="31"/>
      <c r="BP11" s="31"/>
      <c r="CD11" s="31"/>
    </row>
    <row r="12" spans="2:89" x14ac:dyDescent="0.6">
      <c r="B12" s="1" t="s">
        <v>6</v>
      </c>
      <c r="C12" s="25"/>
      <c r="D12" s="22"/>
      <c r="E12" s="23"/>
      <c r="F12" s="22"/>
      <c r="G12" s="23"/>
      <c r="H12" s="22"/>
      <c r="I12" s="26"/>
      <c r="K12" s="21"/>
      <c r="L12" s="22"/>
      <c r="M12" s="23"/>
      <c r="N12" s="22"/>
      <c r="O12" s="23"/>
      <c r="P12" s="22"/>
      <c r="Q12" s="26"/>
      <c r="R12" s="22"/>
      <c r="S12" s="23"/>
      <c r="T12" s="22"/>
      <c r="U12" s="23"/>
      <c r="V12" s="22"/>
      <c r="W12" s="26"/>
      <c r="Y12" s="21"/>
      <c r="Z12" s="22"/>
      <c r="AA12" s="23"/>
      <c r="AB12" s="22"/>
      <c r="AC12" s="23"/>
      <c r="AD12" s="22"/>
      <c r="AE12" s="26"/>
      <c r="AF12" s="22"/>
      <c r="AG12" s="23"/>
      <c r="AH12" s="22"/>
      <c r="AI12" s="23"/>
      <c r="AJ12" s="22"/>
      <c r="AK12" s="26"/>
      <c r="AM12" s="21"/>
      <c r="AN12" s="22"/>
      <c r="AO12" s="23"/>
      <c r="AP12" s="22"/>
      <c r="AQ12" s="23"/>
      <c r="AR12" s="22"/>
      <c r="AS12" s="26"/>
      <c r="AT12" s="22"/>
      <c r="AU12" s="26"/>
      <c r="AW12" s="21"/>
      <c r="AX12" s="22"/>
      <c r="AY12" s="26"/>
      <c r="AZ12" s="22"/>
      <c r="BA12" s="26"/>
      <c r="BB12" s="22"/>
      <c r="BC12" s="23"/>
      <c r="BD12" s="22"/>
      <c r="BE12" s="23"/>
      <c r="BF12" s="22"/>
      <c r="BG12" s="26"/>
      <c r="BI12" s="21"/>
      <c r="BJ12" s="22"/>
      <c r="BK12" s="23"/>
      <c r="BL12" s="22"/>
      <c r="BM12" s="23"/>
      <c r="BN12" s="22"/>
      <c r="BO12" s="26"/>
      <c r="BP12" s="22"/>
      <c r="BQ12" s="23"/>
      <c r="BR12" s="22"/>
      <c r="BS12" s="23"/>
      <c r="BT12" s="22"/>
      <c r="BU12" s="26"/>
      <c r="BW12" s="21"/>
      <c r="BX12" s="22"/>
      <c r="BY12" s="23"/>
      <c r="BZ12" s="22"/>
      <c r="CA12" s="23"/>
      <c r="CB12" s="22"/>
      <c r="CC12" s="26"/>
      <c r="CD12" s="22"/>
      <c r="CE12" s="23"/>
      <c r="CF12" s="22"/>
      <c r="CG12" s="23"/>
      <c r="CH12" s="22"/>
      <c r="CI12" s="26"/>
      <c r="CK12" s="21"/>
    </row>
    <row r="13" spans="2:89" x14ac:dyDescent="0.6">
      <c r="D13" s="31"/>
      <c r="R13" s="31"/>
      <c r="AF13" s="31"/>
      <c r="AT13" s="31"/>
      <c r="BB13" s="31"/>
      <c r="BP13" s="31"/>
      <c r="CD13" s="31"/>
    </row>
    <row r="14" spans="2:89" x14ac:dyDescent="0.6">
      <c r="B14" s="1" t="s">
        <v>52</v>
      </c>
      <c r="C14" s="25"/>
      <c r="D14" s="27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6"/>
      <c r="Q14" s="21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6"/>
      <c r="AE14" s="21"/>
      <c r="AF14" s="32"/>
      <c r="AG14" s="28"/>
      <c r="AH14" s="28"/>
      <c r="AI14" s="28"/>
      <c r="AJ14" s="28"/>
      <c r="AK14" s="28"/>
      <c r="AM14" s="28"/>
      <c r="AN14" s="28"/>
      <c r="AO14" s="28"/>
      <c r="AP14" s="28"/>
      <c r="AQ14" s="28"/>
      <c r="AR14" s="26"/>
      <c r="AS14" s="21"/>
      <c r="AT14" s="32"/>
      <c r="AU14" s="28"/>
      <c r="AW14" s="28"/>
      <c r="AX14" s="28"/>
      <c r="AY14" s="28"/>
      <c r="AZ14" s="26"/>
      <c r="BA14" s="21"/>
      <c r="BB14" s="32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6"/>
      <c r="BO14" s="21"/>
      <c r="BP14" s="32"/>
      <c r="BQ14" s="28"/>
      <c r="BR14" s="28"/>
      <c r="BS14" s="28"/>
      <c r="BT14" s="26"/>
      <c r="BU14" s="25"/>
      <c r="BV14" s="25"/>
      <c r="BW14" s="25"/>
      <c r="BX14" s="25"/>
      <c r="BY14" s="25"/>
      <c r="BZ14" s="25"/>
      <c r="CA14" s="25"/>
      <c r="CB14" s="25"/>
      <c r="CC14" s="21"/>
      <c r="CD14" s="32"/>
      <c r="CE14" s="28"/>
      <c r="CF14" s="28"/>
      <c r="CG14" s="28"/>
      <c r="CH14" s="26"/>
      <c r="CI14" s="25"/>
      <c r="CJ14" s="25"/>
      <c r="CK14" s="25"/>
    </row>
    <row r="15" spans="2:89" x14ac:dyDescent="0.6">
      <c r="D15" s="31"/>
      <c r="R15" s="31"/>
      <c r="AF15" s="31"/>
      <c r="AT15" s="31"/>
      <c r="BB15" s="31"/>
      <c r="BP15" s="31"/>
      <c r="CD15" s="31"/>
    </row>
    <row r="17" spans="2:89" x14ac:dyDescent="0.6">
      <c r="D17" s="33"/>
      <c r="AD17" s="31"/>
      <c r="BC17" s="34"/>
      <c r="CD17" s="31"/>
    </row>
    <row r="18" spans="2:89" x14ac:dyDescent="0.6">
      <c r="B18" s="1" t="s">
        <v>51</v>
      </c>
      <c r="C18" s="25"/>
      <c r="D18" s="22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2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35"/>
      <c r="BD18" s="22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2"/>
      <c r="CE18" s="25"/>
      <c r="CF18" s="25"/>
      <c r="CG18" s="25"/>
      <c r="CH18" s="25"/>
      <c r="CI18" s="25"/>
      <c r="CJ18" s="25"/>
      <c r="CK18" s="25"/>
    </row>
    <row r="19" spans="2:89" x14ac:dyDescent="0.6">
      <c r="D19" s="31"/>
      <c r="AD19" s="31"/>
      <c r="BC19" s="34"/>
      <c r="CD19" s="31"/>
    </row>
    <row r="20" spans="2:89" x14ac:dyDescent="0.6">
      <c r="B20" s="1" t="s">
        <v>6</v>
      </c>
      <c r="C20" s="25"/>
      <c r="D20" s="22"/>
      <c r="E20" s="23"/>
      <c r="F20" s="22"/>
      <c r="G20" s="23"/>
      <c r="H20" s="22"/>
      <c r="I20" s="23"/>
      <c r="J20" s="22"/>
      <c r="K20" s="23"/>
      <c r="L20" s="22"/>
      <c r="M20" s="23"/>
      <c r="N20" s="22"/>
      <c r="O20" s="23"/>
      <c r="P20" s="22"/>
      <c r="Q20" s="23"/>
      <c r="R20" s="22"/>
      <c r="S20" s="23"/>
      <c r="T20" s="22"/>
      <c r="U20" s="23"/>
      <c r="V20" s="22"/>
      <c r="W20" s="23"/>
      <c r="X20" s="22"/>
      <c r="Y20" s="23"/>
      <c r="Z20" s="22"/>
      <c r="AA20" s="23"/>
      <c r="AB20" s="22"/>
      <c r="AC20" s="23"/>
      <c r="AD20" s="22"/>
      <c r="AE20" s="23"/>
      <c r="AF20" s="22"/>
      <c r="AG20" s="23"/>
      <c r="AH20" s="22"/>
      <c r="AI20" s="23"/>
      <c r="AJ20" s="22"/>
      <c r="AK20" s="23"/>
      <c r="AL20" s="22"/>
      <c r="AM20" s="23"/>
      <c r="AN20" s="22"/>
      <c r="AO20" s="23"/>
      <c r="AP20" s="22"/>
      <c r="AQ20" s="23"/>
      <c r="AR20" s="22"/>
      <c r="AS20" s="23"/>
      <c r="AT20" s="22"/>
      <c r="AU20" s="23"/>
      <c r="AV20" s="22"/>
      <c r="AW20" s="23"/>
      <c r="AX20" s="22"/>
      <c r="AY20" s="23"/>
      <c r="AZ20" s="22"/>
      <c r="BA20" s="23"/>
      <c r="BB20" s="22"/>
      <c r="BC20" s="23"/>
      <c r="BD20" s="22"/>
      <c r="BE20" s="23"/>
      <c r="BF20" s="22"/>
      <c r="BG20" s="23"/>
      <c r="BH20" s="22"/>
      <c r="BI20" s="23"/>
      <c r="BJ20" s="22"/>
      <c r="BK20" s="23"/>
      <c r="BL20" s="22"/>
      <c r="BM20" s="23"/>
      <c r="BN20" s="22"/>
      <c r="BO20" s="23"/>
      <c r="BP20" s="22"/>
      <c r="BQ20" s="23"/>
      <c r="BR20" s="22"/>
      <c r="BS20" s="23"/>
      <c r="BT20" s="22"/>
      <c r="BU20" s="23"/>
      <c r="BV20" s="22"/>
      <c r="BW20" s="23"/>
      <c r="BX20" s="22"/>
      <c r="BY20" s="23"/>
      <c r="BZ20" s="22"/>
      <c r="CA20" s="23"/>
      <c r="CB20" s="22"/>
      <c r="CC20" s="23"/>
      <c r="CD20" s="22"/>
      <c r="CE20" s="23"/>
      <c r="CF20" s="22"/>
      <c r="CG20" s="23"/>
      <c r="CH20" s="22"/>
      <c r="CI20" s="23"/>
      <c r="CJ20" s="22"/>
      <c r="CK20" s="23"/>
    </row>
    <row r="21" spans="2:89" ht="17.25" thickBot="1" x14ac:dyDescent="0.65">
      <c r="D21" s="31"/>
      <c r="AD21" s="31"/>
      <c r="BC21" s="34"/>
      <c r="CD21" s="31"/>
    </row>
    <row r="22" spans="2:89" ht="17.25" thickBot="1" x14ac:dyDescent="0.65">
      <c r="B22" s="1" t="s">
        <v>53</v>
      </c>
      <c r="D22" s="36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8"/>
      <c r="AA22" s="38"/>
      <c r="AB22" s="38"/>
      <c r="AC22" s="39"/>
      <c r="AD22" s="36"/>
      <c r="AE22" s="37"/>
      <c r="AF22" s="37"/>
      <c r="AG22" s="37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2"/>
      <c r="BD22" s="36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43"/>
      <c r="BU22" s="43"/>
      <c r="BV22" s="43"/>
      <c r="BW22" s="43"/>
      <c r="BX22" s="43"/>
      <c r="BY22" s="43"/>
      <c r="BZ22" s="43"/>
      <c r="CA22" s="43"/>
      <c r="CB22" s="43"/>
      <c r="CC22" s="44"/>
    </row>
    <row r="23" spans="2:89" ht="17.25" thickBot="1" x14ac:dyDescent="0.65"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spans="2:89" ht="17.25" thickBot="1" x14ac:dyDescent="0.65">
      <c r="B24" s="1" t="s">
        <v>54</v>
      </c>
      <c r="D24" s="31"/>
      <c r="J24" s="36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8"/>
      <c r="AG24" s="38"/>
      <c r="AH24" s="38"/>
      <c r="AI24" s="39"/>
      <c r="AJ24" s="36"/>
      <c r="AK24" s="37"/>
      <c r="AL24" s="37"/>
      <c r="AM24" s="37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2"/>
      <c r="BJ24" s="36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43"/>
      <c r="CA24" s="43"/>
      <c r="CB24" s="43"/>
      <c r="CC24" s="43"/>
      <c r="CD24" s="43"/>
      <c r="CE24" s="43"/>
      <c r="CF24" s="43"/>
      <c r="CG24" s="43"/>
      <c r="CH24" s="43"/>
      <c r="CI24" s="44"/>
    </row>
    <row r="25" spans="2:89" ht="17.25" thickBot="1" x14ac:dyDescent="0.65">
      <c r="D25" s="31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37"/>
      <c r="CI25" s="37"/>
    </row>
    <row r="26" spans="2:89" ht="17.25" thickBot="1" x14ac:dyDescent="0.65">
      <c r="B26" s="1" t="s">
        <v>55</v>
      </c>
      <c r="D26" s="31"/>
      <c r="P26" s="36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8"/>
      <c r="AM26" s="38"/>
      <c r="AN26" s="38"/>
      <c r="AO26" s="39"/>
      <c r="AP26" s="36"/>
      <c r="AQ26" s="37"/>
      <c r="AR26" s="37"/>
      <c r="AS26" s="37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2"/>
      <c r="BP26" s="36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43"/>
      <c r="CG26" s="43"/>
      <c r="CH26" s="43"/>
      <c r="CI26" s="43"/>
      <c r="CJ26" s="43"/>
      <c r="CK26" s="43"/>
    </row>
    <row r="27" spans="2:89" ht="17.25" thickBot="1" x14ac:dyDescent="0.65">
      <c r="D27" s="31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37"/>
      <c r="CI27" s="37"/>
      <c r="CJ27" s="37"/>
      <c r="CK27" s="37"/>
    </row>
    <row r="28" spans="2:89" ht="17.25" thickBot="1" x14ac:dyDescent="0.65">
      <c r="B28" s="1" t="s">
        <v>56</v>
      </c>
      <c r="D28" s="31"/>
      <c r="V28" s="36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8"/>
      <c r="AS28" s="38"/>
      <c r="AT28" s="38"/>
      <c r="AU28" s="39"/>
      <c r="AV28" s="36"/>
      <c r="AW28" s="37"/>
      <c r="AX28" s="37"/>
      <c r="AY28" s="37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2"/>
      <c r="BV28" s="36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37"/>
      <c r="CI28" s="37"/>
      <c r="CJ28" s="37"/>
      <c r="CK28" s="37"/>
    </row>
    <row r="29" spans="2:89" ht="17.25" thickBot="1" x14ac:dyDescent="0.65">
      <c r="D29" s="31"/>
    </row>
    <row r="30" spans="2:89" ht="17.25" thickBot="1" x14ac:dyDescent="0.65">
      <c r="B30" s="1" t="s">
        <v>57</v>
      </c>
      <c r="D30" s="31"/>
      <c r="AB30" s="36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8"/>
      <c r="AY30" s="38"/>
      <c r="AZ30" s="38"/>
      <c r="BA30" s="39"/>
      <c r="BB30" s="36"/>
      <c r="BC30" s="37"/>
      <c r="BD30" s="37"/>
      <c r="BE30" s="37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2"/>
      <c r="CB30" s="36"/>
      <c r="CC30" s="37"/>
      <c r="CD30" s="37"/>
      <c r="CE30" s="37"/>
      <c r="CF30" s="37"/>
      <c r="CG30" s="37"/>
      <c r="CH30" s="37"/>
      <c r="CI30" s="37"/>
      <c r="CJ30" s="37"/>
      <c r="CK30" s="37"/>
    </row>
    <row r="34" spans="2:89" x14ac:dyDescent="0.6">
      <c r="D34" s="31"/>
      <c r="AS34" s="34"/>
    </row>
    <row r="35" spans="2:89" x14ac:dyDescent="0.6">
      <c r="B35" s="1" t="s">
        <v>51</v>
      </c>
      <c r="C35" s="25"/>
      <c r="D35" s="32"/>
      <c r="E35" s="28"/>
      <c r="F35" s="29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35"/>
      <c r="AT35" s="32"/>
      <c r="AU35" s="28"/>
      <c r="AV35" s="29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35"/>
      <c r="CJ35" s="25"/>
      <c r="CK35" s="25"/>
    </row>
    <row r="36" spans="2:89" x14ac:dyDescent="0.6">
      <c r="D36" s="31"/>
      <c r="AN36" s="6"/>
      <c r="AO36" s="6"/>
      <c r="AP36" s="6"/>
      <c r="AQ36" s="6"/>
      <c r="AR36" s="6"/>
      <c r="AS36" s="46"/>
      <c r="AT36" s="31"/>
      <c r="CD36" s="6"/>
      <c r="CE36" s="6"/>
      <c r="CF36" s="6"/>
      <c r="CG36" s="6"/>
      <c r="CH36" s="6"/>
      <c r="CI36" s="46"/>
    </row>
    <row r="37" spans="2:89" x14ac:dyDescent="0.6">
      <c r="B37" s="1" t="s">
        <v>6</v>
      </c>
      <c r="C37" s="25"/>
      <c r="D37" s="32"/>
      <c r="E37" s="28"/>
      <c r="F37" s="29"/>
      <c r="G37" s="26"/>
      <c r="H37" s="25"/>
      <c r="I37" s="21"/>
      <c r="J37" s="27"/>
      <c r="K37" s="28"/>
      <c r="L37" s="29"/>
      <c r="M37" s="26"/>
      <c r="N37" s="25"/>
      <c r="O37" s="25"/>
      <c r="S37" s="25"/>
      <c r="T37" s="25"/>
      <c r="U37" s="21"/>
      <c r="V37" s="27"/>
      <c r="W37" s="28"/>
      <c r="X37" s="29"/>
      <c r="Y37" s="26"/>
      <c r="Z37" s="25"/>
      <c r="AA37" s="21"/>
      <c r="AB37" s="27"/>
      <c r="AC37" s="28"/>
      <c r="AD37" s="29"/>
      <c r="AE37" s="26"/>
      <c r="AF37" s="25"/>
      <c r="AG37" s="21"/>
      <c r="AH37" s="26"/>
      <c r="AI37" s="25"/>
      <c r="AJ37" s="25"/>
      <c r="AK37" s="25"/>
      <c r="AL37" s="25"/>
      <c r="AM37" s="21"/>
      <c r="AN37" s="26"/>
      <c r="AO37" s="25"/>
      <c r="AP37" s="25"/>
      <c r="AQ37" s="25"/>
      <c r="AR37" s="25"/>
      <c r="AS37" s="35"/>
      <c r="AT37" s="32"/>
      <c r="AU37" s="28"/>
      <c r="AV37" s="29"/>
      <c r="AW37" s="26"/>
      <c r="AX37" s="25"/>
      <c r="AY37" s="21"/>
      <c r="AZ37" s="27"/>
      <c r="BA37" s="28"/>
      <c r="BB37" s="29"/>
      <c r="BC37" s="26"/>
      <c r="BD37" s="25"/>
      <c r="BE37" s="25"/>
      <c r="BI37" s="25"/>
      <c r="BJ37" s="25"/>
      <c r="BK37" s="21"/>
      <c r="BL37" s="27"/>
      <c r="BM37" s="28"/>
      <c r="BN37" s="29"/>
      <c r="BO37" s="26"/>
      <c r="BP37" s="25"/>
      <c r="BQ37" s="21"/>
      <c r="BR37" s="27"/>
      <c r="BS37" s="28"/>
      <c r="BT37" s="29"/>
      <c r="BU37" s="26"/>
      <c r="BV37" s="25"/>
      <c r="BW37" s="21"/>
      <c r="BX37" s="26"/>
      <c r="BY37" s="25"/>
      <c r="BZ37" s="25"/>
      <c r="CA37" s="25"/>
      <c r="CB37" s="25"/>
      <c r="CC37" s="21"/>
      <c r="CD37" s="26"/>
      <c r="CE37" s="25"/>
      <c r="CF37" s="25"/>
      <c r="CG37" s="25"/>
      <c r="CH37" s="25"/>
      <c r="CI37" s="35"/>
      <c r="CJ37" s="27"/>
      <c r="CK37" s="28"/>
    </row>
    <row r="38" spans="2:89" ht="17.25" thickBot="1" x14ac:dyDescent="0.65">
      <c r="C38" s="1"/>
      <c r="D38" s="47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48"/>
      <c r="AT38" s="47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48"/>
      <c r="CJ38" s="1"/>
      <c r="CK38" s="1"/>
    </row>
    <row r="39" spans="2:89" ht="17.25" thickBot="1" x14ac:dyDescent="0.65">
      <c r="C39" s="1"/>
      <c r="D39" s="49"/>
      <c r="E39" s="50"/>
      <c r="F39" s="50"/>
      <c r="G39" s="50">
        <v>1</v>
      </c>
      <c r="H39" s="50"/>
      <c r="I39" s="50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2"/>
      <c r="AH39" s="54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5"/>
      <c r="AT39" s="49"/>
      <c r="AU39" s="50"/>
      <c r="AV39" s="50">
        <v>1</v>
      </c>
      <c r="AW39" s="50"/>
      <c r="AX39" s="50"/>
      <c r="AY39" s="50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2"/>
      <c r="BX39" s="53"/>
      <c r="BY39" s="53"/>
      <c r="BZ39" s="53"/>
      <c r="CA39" s="53"/>
      <c r="CB39" s="53"/>
      <c r="CC39" s="53"/>
      <c r="CD39" s="53"/>
      <c r="CE39" s="53"/>
      <c r="CF39" s="53"/>
      <c r="CG39" s="53"/>
      <c r="CH39" s="53"/>
      <c r="CI39" s="55"/>
      <c r="CJ39" s="1"/>
      <c r="CK39" s="1"/>
    </row>
    <row r="40" spans="2:89" ht="17.25" thickBot="1" x14ac:dyDescent="0.65">
      <c r="C40" s="1"/>
      <c r="D40" s="47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65"/>
      <c r="AU40" s="53"/>
      <c r="AV40" s="53"/>
      <c r="AW40" s="53"/>
      <c r="AX40" s="53"/>
      <c r="AY40" s="53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55"/>
      <c r="CJ40" s="1"/>
      <c r="CK40" s="1"/>
    </row>
    <row r="41" spans="2:89" ht="17.25" thickBot="1" x14ac:dyDescent="0.65">
      <c r="C41" s="1"/>
      <c r="D41" s="47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49"/>
      <c r="W41" s="50"/>
      <c r="X41" s="50">
        <v>1</v>
      </c>
      <c r="Y41" s="50"/>
      <c r="Z41" s="50"/>
      <c r="AA41" s="50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51"/>
      <c r="AQ41" s="51"/>
      <c r="AR41" s="51"/>
      <c r="AS41" s="51"/>
      <c r="AT41" s="65"/>
      <c r="AU41" s="51"/>
      <c r="AV41" s="51"/>
      <c r="AW41" s="51"/>
      <c r="AX41" s="51"/>
      <c r="AY41" s="52"/>
      <c r="AZ41" s="54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6"/>
      <c r="BL41" s="49"/>
      <c r="BM41" s="50"/>
      <c r="BN41" s="50">
        <v>1</v>
      </c>
      <c r="BO41" s="50"/>
      <c r="BP41" s="50"/>
      <c r="BQ41" s="50"/>
      <c r="BR41" s="51"/>
      <c r="BS41" s="51"/>
      <c r="BT41" s="51"/>
      <c r="BU41" s="51"/>
      <c r="BV41" s="51"/>
      <c r="BW41" s="51"/>
      <c r="BX41" s="51"/>
      <c r="BY41" s="51"/>
      <c r="BZ41" s="51"/>
      <c r="CA41" s="51"/>
      <c r="CB41" s="51"/>
      <c r="CC41" s="51"/>
      <c r="CD41" s="51"/>
      <c r="CE41" s="51"/>
      <c r="CF41" s="51"/>
      <c r="CG41" s="51"/>
      <c r="CH41" s="51"/>
      <c r="CI41" s="51"/>
      <c r="CJ41" s="51"/>
      <c r="CK41" s="51"/>
    </row>
    <row r="42" spans="2:89" x14ac:dyDescent="0.6">
      <c r="C42" s="1"/>
      <c r="D42" s="47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69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</row>
    <row r="43" spans="2:89" ht="17.25" thickBot="1" x14ac:dyDescent="0.65">
      <c r="C43" s="1"/>
      <c r="D43" s="47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70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</row>
    <row r="44" spans="2:89" ht="17.25" thickBot="1" x14ac:dyDescent="0.65">
      <c r="C44" s="1"/>
      <c r="D44" s="49"/>
      <c r="E44" s="50"/>
      <c r="F44" s="50"/>
      <c r="G44" s="50"/>
      <c r="H44" s="60" t="s">
        <v>61</v>
      </c>
      <c r="I44" s="50"/>
      <c r="J44" s="50"/>
      <c r="K44" s="50"/>
      <c r="L44" s="50"/>
      <c r="M44" s="50"/>
      <c r="N44" s="50"/>
      <c r="O44" s="50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2"/>
      <c r="AH44" s="54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49"/>
      <c r="AU44" s="50"/>
      <c r="AV44" s="50"/>
      <c r="AW44" s="50"/>
      <c r="AX44" s="60" t="s">
        <v>61</v>
      </c>
      <c r="AY44" s="50"/>
      <c r="AZ44" s="50"/>
      <c r="BA44" s="50"/>
      <c r="BB44" s="50"/>
      <c r="BC44" s="50"/>
      <c r="BD44" s="50"/>
      <c r="BE44" s="50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  <c r="BQ44" s="51"/>
      <c r="BR44" s="51"/>
      <c r="BS44" s="51"/>
      <c r="BT44" s="51"/>
      <c r="BU44" s="51"/>
      <c r="BV44" s="51"/>
      <c r="BW44" s="52"/>
      <c r="BX44" s="53"/>
      <c r="BY44" s="53"/>
      <c r="BZ44" s="53"/>
      <c r="CA44" s="53"/>
      <c r="CB44" s="53"/>
      <c r="CC44" s="53"/>
      <c r="CD44" s="53"/>
      <c r="CE44" s="53"/>
      <c r="CF44" s="53"/>
      <c r="CG44" s="53"/>
      <c r="CH44" s="53"/>
      <c r="CI44" s="55"/>
      <c r="CJ44" s="1"/>
      <c r="CK44" s="1"/>
    </row>
    <row r="45" spans="2:89" ht="17.25" thickBot="1" x14ac:dyDescent="0.65">
      <c r="C45" s="1"/>
      <c r="D45" s="47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47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</row>
    <row r="46" spans="2:89" ht="17.25" thickBot="1" x14ac:dyDescent="0.65">
      <c r="C46" s="1"/>
      <c r="D46" s="47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49"/>
      <c r="W46" s="50"/>
      <c r="X46" s="50"/>
      <c r="Y46" s="50"/>
      <c r="Z46" s="50"/>
      <c r="AA46" s="60" t="s">
        <v>58</v>
      </c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65"/>
      <c r="AU46" s="51"/>
      <c r="AV46" s="51"/>
      <c r="AW46" s="51"/>
      <c r="AX46" s="51"/>
      <c r="AY46" s="51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49"/>
      <c r="BM46" s="50"/>
      <c r="BN46" s="50"/>
      <c r="BO46" s="50"/>
      <c r="BP46" s="50"/>
      <c r="BQ46" s="60" t="s">
        <v>58</v>
      </c>
      <c r="BR46" s="50"/>
      <c r="BS46" s="50"/>
      <c r="BT46" s="50"/>
      <c r="BU46" s="50"/>
      <c r="BV46" s="50"/>
      <c r="BW46" s="50"/>
      <c r="BX46" s="50"/>
      <c r="BY46" s="50"/>
      <c r="BZ46" s="50"/>
      <c r="CA46" s="50"/>
      <c r="CB46" s="50"/>
      <c r="CC46" s="50"/>
      <c r="CD46" s="50"/>
      <c r="CE46" s="50"/>
      <c r="CF46" s="50"/>
      <c r="CG46" s="50"/>
      <c r="CH46" s="50"/>
      <c r="CI46" s="50"/>
      <c r="CJ46" s="51"/>
      <c r="CK46" s="51"/>
    </row>
    <row r="47" spans="2:89" ht="17.25" thickBot="1" x14ac:dyDescent="0.65">
      <c r="C47" s="1"/>
      <c r="D47" s="47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47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</row>
    <row r="48" spans="2:89" ht="17.25" thickBot="1" x14ac:dyDescent="0.65">
      <c r="C48" s="1"/>
      <c r="D48" s="47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58"/>
      <c r="W48" s="59"/>
      <c r="X48" s="59"/>
      <c r="Y48" s="59"/>
      <c r="Z48" s="59"/>
      <c r="AA48" s="63" t="s">
        <v>59</v>
      </c>
      <c r="AB48" s="59"/>
      <c r="AC48" s="59"/>
      <c r="AD48" s="59"/>
      <c r="AE48" s="59"/>
      <c r="AF48" s="59"/>
      <c r="AG48" s="59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65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8"/>
      <c r="BM48" s="59"/>
      <c r="BN48" s="59"/>
      <c r="BO48" s="59"/>
      <c r="BP48" s="59"/>
      <c r="BQ48" s="63" t="s">
        <v>59</v>
      </c>
      <c r="BR48" s="59"/>
      <c r="BS48" s="59"/>
      <c r="BT48" s="59"/>
      <c r="BU48" s="59"/>
      <c r="BV48" s="59"/>
      <c r="BW48" s="59"/>
      <c r="BX48" s="51"/>
      <c r="BY48" s="51"/>
      <c r="BZ48" s="51"/>
      <c r="CA48" s="51"/>
      <c r="CB48" s="51"/>
      <c r="CC48" s="51"/>
      <c r="CD48" s="51"/>
      <c r="CE48" s="51"/>
      <c r="CF48" s="51"/>
      <c r="CG48" s="51"/>
      <c r="CH48" s="51"/>
      <c r="CI48" s="51"/>
      <c r="CJ48" s="51"/>
      <c r="CK48" s="51"/>
    </row>
    <row r="49" spans="2:89" x14ac:dyDescent="0.6">
      <c r="C49" s="1"/>
      <c r="D49" s="47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47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</row>
    <row r="50" spans="2:89" x14ac:dyDescent="0.6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</row>
    <row r="51" spans="2:89" x14ac:dyDescent="0.6">
      <c r="C51" s="1"/>
      <c r="D51" s="47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68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</row>
    <row r="52" spans="2:89" x14ac:dyDescent="0.6">
      <c r="B52" s="1" t="s">
        <v>51</v>
      </c>
      <c r="C52" s="25"/>
      <c r="D52" s="27"/>
      <c r="E52" s="28"/>
      <c r="F52" s="29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7"/>
      <c r="AI52" s="28"/>
      <c r="AJ52" s="29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  <c r="CF52" s="25"/>
      <c r="CG52" s="25"/>
      <c r="CH52" s="25"/>
      <c r="CI52" s="25"/>
      <c r="CJ52" s="27"/>
      <c r="CK52" s="28"/>
    </row>
    <row r="53" spans="2:89" x14ac:dyDescent="0.6">
      <c r="D53" s="31"/>
      <c r="AB53" s="6"/>
      <c r="AC53" s="6"/>
      <c r="AD53" s="6"/>
      <c r="AE53" s="6"/>
      <c r="AF53" s="6"/>
      <c r="AG53" s="46"/>
      <c r="AH53" s="31"/>
      <c r="BL53" s="6"/>
      <c r="BM53" s="6"/>
      <c r="BN53" s="6"/>
      <c r="BO53" s="6"/>
      <c r="BP53" s="6"/>
      <c r="BQ53" s="6"/>
      <c r="BR53" s="30"/>
      <c r="CJ53" s="31"/>
    </row>
    <row r="54" spans="2:89" x14ac:dyDescent="0.6">
      <c r="B54" s="1" t="s">
        <v>6</v>
      </c>
      <c r="C54" s="25"/>
      <c r="D54" s="32"/>
      <c r="E54" s="28"/>
      <c r="F54" s="29"/>
      <c r="G54" s="45"/>
      <c r="I54" s="40"/>
      <c r="J54" s="27"/>
      <c r="K54" s="28"/>
      <c r="L54" s="29"/>
      <c r="M54" s="26"/>
      <c r="N54" s="25"/>
      <c r="O54" s="21"/>
      <c r="P54" s="27"/>
      <c r="Q54" s="28"/>
      <c r="R54" s="29"/>
      <c r="S54" s="26"/>
      <c r="T54" s="25"/>
      <c r="U54" s="21"/>
      <c r="V54" s="26"/>
      <c r="W54" s="25"/>
      <c r="X54" s="25"/>
      <c r="Y54" s="25"/>
      <c r="Z54" s="25"/>
      <c r="AA54" s="21"/>
      <c r="AB54" s="26"/>
      <c r="AC54" s="25"/>
      <c r="AD54" s="25"/>
      <c r="AE54" s="25"/>
      <c r="AF54" s="25"/>
      <c r="AG54" s="35"/>
      <c r="AH54" s="32"/>
      <c r="AI54" s="28"/>
      <c r="AJ54" s="29"/>
      <c r="AK54" s="45"/>
      <c r="AM54" s="40"/>
      <c r="AN54" s="27"/>
      <c r="AO54" s="28"/>
      <c r="AP54" s="29"/>
      <c r="AQ54" s="26"/>
      <c r="AR54" s="25"/>
      <c r="AS54" s="21"/>
      <c r="AT54" s="27"/>
      <c r="AU54" s="28"/>
      <c r="AV54" s="29"/>
      <c r="AW54" s="26"/>
      <c r="AX54" s="25"/>
      <c r="AY54" s="21"/>
      <c r="AZ54" s="27"/>
      <c r="BA54" s="28"/>
      <c r="BB54" s="29"/>
      <c r="BC54" s="26"/>
      <c r="BD54" s="25"/>
      <c r="BE54" s="21"/>
      <c r="BF54" s="27"/>
      <c r="BG54" s="28"/>
      <c r="BH54" s="29"/>
      <c r="BI54" s="26"/>
      <c r="BJ54" s="25"/>
      <c r="BK54" s="21"/>
      <c r="BL54" s="27"/>
      <c r="BM54" s="28"/>
      <c r="BN54" s="29"/>
      <c r="BO54" s="26"/>
      <c r="BP54" s="25"/>
      <c r="BQ54" s="21"/>
      <c r="BR54" s="27"/>
      <c r="BS54" s="28"/>
      <c r="BT54" s="29"/>
      <c r="BU54" s="26"/>
      <c r="BV54" s="25"/>
      <c r="BW54" s="21"/>
      <c r="BX54" s="26"/>
      <c r="BY54" s="25"/>
      <c r="BZ54" s="25"/>
      <c r="CA54" s="25"/>
      <c r="CB54" s="25"/>
      <c r="CC54" s="21"/>
      <c r="CD54" s="26"/>
      <c r="CE54" s="25"/>
      <c r="CF54" s="25"/>
      <c r="CG54" s="25"/>
      <c r="CH54" s="25"/>
      <c r="CI54" s="25"/>
      <c r="CJ54" s="32"/>
      <c r="CK54" s="28"/>
    </row>
    <row r="55" spans="2:89" ht="17.25" thickBot="1" x14ac:dyDescent="0.65">
      <c r="C55" s="1"/>
      <c r="D55" s="47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48"/>
      <c r="AH55" s="47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CJ55" s="31"/>
    </row>
    <row r="56" spans="2:89" ht="17.25" thickBot="1" x14ac:dyDescent="0.65">
      <c r="C56" s="1"/>
      <c r="D56" s="49"/>
      <c r="E56" s="50"/>
      <c r="F56" s="50"/>
      <c r="G56" s="50"/>
      <c r="H56" s="62" t="s">
        <v>60</v>
      </c>
      <c r="I56" s="50"/>
      <c r="J56" s="50"/>
      <c r="K56" s="50"/>
      <c r="L56" s="50"/>
      <c r="M56" s="50"/>
      <c r="N56" s="50"/>
      <c r="O56" s="50"/>
      <c r="P56" s="51"/>
      <c r="Q56" s="51"/>
      <c r="R56" s="51"/>
      <c r="S56" s="51"/>
      <c r="T56" s="51"/>
      <c r="U56" s="52"/>
      <c r="V56" s="54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5"/>
      <c r="AH56" s="49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62" t="s">
        <v>60</v>
      </c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1"/>
      <c r="BS56" s="51"/>
      <c r="BT56" s="51"/>
      <c r="BU56" s="51"/>
      <c r="BV56" s="51"/>
      <c r="BW56" s="52"/>
      <c r="BX56" s="53"/>
      <c r="BY56" s="53"/>
      <c r="BZ56" s="53"/>
      <c r="CA56" s="53"/>
      <c r="CB56" s="53"/>
      <c r="CC56" s="53"/>
      <c r="CD56" s="53"/>
      <c r="CE56" s="53"/>
      <c r="CF56" s="53"/>
      <c r="CG56" s="53"/>
      <c r="CH56" s="53"/>
      <c r="CI56" s="53"/>
      <c r="CJ56" s="66"/>
      <c r="CK56" s="50"/>
    </row>
    <row r="57" spans="2:89" ht="17.25" thickBot="1" x14ac:dyDescent="0.65">
      <c r="C57" s="1"/>
      <c r="D57" s="47"/>
      <c r="E57" s="1"/>
      <c r="F57" s="1"/>
      <c r="G57" s="1"/>
      <c r="H57" s="1"/>
      <c r="I57" s="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6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65"/>
      <c r="AI57" s="53"/>
      <c r="AJ57" s="53"/>
      <c r="AK57" s="53"/>
      <c r="AL57" s="53"/>
      <c r="AM57" s="53"/>
      <c r="AN57" s="1"/>
      <c r="AO57" s="1"/>
      <c r="AP57" s="1"/>
      <c r="AQ57" s="1"/>
      <c r="AR57" s="1"/>
      <c r="AS57" s="1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53"/>
      <c r="BR57" s="1"/>
      <c r="BS57" s="1"/>
      <c r="BT57" s="1"/>
      <c r="BU57" s="1"/>
      <c r="BV57" s="1"/>
      <c r="BW57" s="1"/>
      <c r="CJ57" s="31"/>
    </row>
    <row r="58" spans="2:89" ht="17.25" thickBot="1" x14ac:dyDescent="0.65">
      <c r="C58" s="1"/>
      <c r="D58" s="47"/>
      <c r="E58" s="1"/>
      <c r="F58" s="1"/>
      <c r="G58" s="1"/>
      <c r="H58" s="1"/>
      <c r="I58" s="1"/>
      <c r="J58" s="49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62" t="s">
        <v>58</v>
      </c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66"/>
      <c r="AI58" s="50"/>
      <c r="AJ58" s="50"/>
      <c r="AK58" s="50"/>
      <c r="AL58" s="50"/>
      <c r="AM58" s="50"/>
      <c r="AN58" s="50"/>
      <c r="AO58" s="50"/>
      <c r="AP58" s="62" t="s">
        <v>64</v>
      </c>
      <c r="AQ58" s="50"/>
      <c r="AR58" s="50"/>
      <c r="AS58" s="50"/>
      <c r="AT58" s="50"/>
      <c r="AU58" s="50"/>
      <c r="AV58" s="50"/>
      <c r="AW58" s="50"/>
      <c r="AX58" s="50"/>
      <c r="AY58" s="50"/>
      <c r="AZ58" s="50"/>
      <c r="BA58" s="50"/>
      <c r="BB58" s="50"/>
      <c r="BC58" s="50"/>
      <c r="BD58" s="50"/>
      <c r="BE58" s="50"/>
      <c r="BF58" s="51"/>
      <c r="BG58" s="51"/>
      <c r="BH58" s="51"/>
      <c r="BI58" s="51"/>
      <c r="BJ58" s="51"/>
      <c r="BK58" s="51"/>
      <c r="BL58" s="49"/>
      <c r="BM58" s="50"/>
      <c r="BN58" s="50"/>
      <c r="BO58" s="50"/>
      <c r="BP58" s="50"/>
      <c r="BQ58" s="50"/>
      <c r="BR58" s="50"/>
      <c r="BS58" s="50"/>
      <c r="BT58" s="50"/>
      <c r="BU58" s="50"/>
      <c r="BV58" s="50"/>
      <c r="BW58" s="62" t="s">
        <v>58</v>
      </c>
      <c r="BX58" s="50"/>
      <c r="BY58" s="50"/>
      <c r="BZ58" s="50"/>
      <c r="CA58" s="50"/>
      <c r="CB58" s="50"/>
      <c r="CC58" s="50"/>
      <c r="CD58" s="50"/>
      <c r="CE58" s="50"/>
      <c r="CF58" s="50"/>
      <c r="CG58" s="50"/>
      <c r="CH58" s="50"/>
      <c r="CI58" s="50"/>
      <c r="CJ58" s="66"/>
      <c r="CK58" s="50"/>
    </row>
    <row r="59" spans="2:89" ht="17.25" thickBot="1" x14ac:dyDescent="0.65">
      <c r="C59" s="1"/>
      <c r="D59" s="47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47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CJ59" s="31"/>
    </row>
    <row r="60" spans="2:89" ht="17.25" thickBot="1" x14ac:dyDescent="0.65">
      <c r="C60" s="1"/>
      <c r="D60" s="47"/>
      <c r="E60" s="1"/>
      <c r="F60" s="1"/>
      <c r="G60" s="1"/>
      <c r="H60" s="1"/>
      <c r="I60" s="1"/>
      <c r="J60" s="58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64" t="s">
        <v>62</v>
      </c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67"/>
      <c r="AI60" s="59"/>
      <c r="AJ60" s="59"/>
      <c r="AK60" s="64" t="s">
        <v>65</v>
      </c>
      <c r="AL60" s="59"/>
      <c r="AM60" s="59"/>
      <c r="AN60" s="59"/>
      <c r="AO60" s="59"/>
      <c r="AP60" s="59"/>
      <c r="AQ60" s="59"/>
      <c r="AR60" s="59"/>
      <c r="AS60" s="59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8"/>
      <c r="BM60" s="59"/>
      <c r="BN60" s="59"/>
      <c r="BO60" s="59"/>
      <c r="BP60" s="59"/>
      <c r="BQ60" s="59"/>
      <c r="BR60" s="59"/>
      <c r="BS60" s="59"/>
      <c r="BT60" s="59"/>
      <c r="BU60" s="59"/>
      <c r="BV60" s="59"/>
      <c r="BW60" s="64" t="s">
        <v>62</v>
      </c>
      <c r="BX60" s="59"/>
      <c r="BY60" s="59"/>
      <c r="BZ60" s="59"/>
      <c r="CA60" s="59"/>
      <c r="CB60" s="59"/>
      <c r="CC60" s="59"/>
      <c r="CD60" s="59"/>
      <c r="CE60" s="59"/>
      <c r="CF60" s="59"/>
      <c r="CG60" s="59"/>
      <c r="CH60" s="59"/>
      <c r="CI60" s="59"/>
      <c r="CJ60" s="67"/>
      <c r="CK60" s="59"/>
    </row>
    <row r="61" spans="2:89" x14ac:dyDescent="0.6">
      <c r="C61" s="1"/>
      <c r="D61" s="47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47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J61" s="31"/>
    </row>
    <row r="62" spans="2:89" x14ac:dyDescent="0.6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2:89" x14ac:dyDescent="0.6">
      <c r="D63" s="31"/>
      <c r="AS63" s="34"/>
    </row>
    <row r="64" spans="2:89" x14ac:dyDescent="0.6">
      <c r="B64" s="1" t="s">
        <v>51</v>
      </c>
      <c r="C64" s="25"/>
      <c r="D64" s="32"/>
      <c r="E64" s="28"/>
      <c r="F64" s="29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35"/>
      <c r="AT64" s="32"/>
      <c r="AU64" s="28"/>
      <c r="AV64" s="29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  <c r="CF64" s="25"/>
      <c r="CG64" s="25"/>
      <c r="CH64" s="25"/>
      <c r="CI64" s="35"/>
      <c r="CJ64" s="32"/>
      <c r="CK64" s="28"/>
    </row>
    <row r="65" spans="2:89" x14ac:dyDescent="0.6">
      <c r="D65" s="31"/>
      <c r="AN65" s="6"/>
      <c r="AO65" s="6"/>
      <c r="AP65" s="6"/>
      <c r="AQ65" s="6"/>
      <c r="AR65" s="6"/>
      <c r="AS65" s="46"/>
      <c r="AT65" s="31"/>
      <c r="CD65" s="6"/>
      <c r="CE65" s="6"/>
      <c r="CF65" s="6"/>
      <c r="CG65" s="6"/>
      <c r="CH65" s="6"/>
      <c r="CI65" s="46"/>
    </row>
    <row r="66" spans="2:89" x14ac:dyDescent="0.6">
      <c r="B66" s="1" t="s">
        <v>6</v>
      </c>
      <c r="C66" s="25"/>
      <c r="D66" s="32"/>
      <c r="E66" s="28"/>
      <c r="F66" s="29"/>
      <c r="G66" s="26"/>
      <c r="H66" s="25"/>
      <c r="I66" s="21"/>
      <c r="J66" s="27"/>
      <c r="K66" s="28"/>
      <c r="L66" s="29"/>
      <c r="M66" s="26"/>
      <c r="N66" s="25"/>
      <c r="O66" s="25"/>
      <c r="S66" s="25"/>
      <c r="T66" s="25"/>
      <c r="U66" s="21"/>
      <c r="V66" s="27"/>
      <c r="W66" s="28"/>
      <c r="X66" s="29"/>
      <c r="Y66" s="26"/>
      <c r="Z66" s="25"/>
      <c r="AA66" s="21"/>
      <c r="AB66" s="27"/>
      <c r="AC66" s="28"/>
      <c r="AD66" s="29"/>
      <c r="AE66" s="26"/>
      <c r="AF66" s="25"/>
      <c r="AG66" s="21"/>
      <c r="AH66" s="27"/>
      <c r="AI66" s="28"/>
      <c r="AJ66" s="29"/>
      <c r="AK66" s="26"/>
      <c r="AL66" s="25"/>
      <c r="AM66" s="21"/>
      <c r="AN66" s="27"/>
      <c r="AO66" s="28"/>
      <c r="AP66" s="29"/>
      <c r="AQ66" s="26"/>
      <c r="AR66" s="25"/>
      <c r="AS66" s="21"/>
      <c r="AT66" s="27"/>
      <c r="AU66" s="28"/>
      <c r="AV66" s="29"/>
      <c r="AW66" s="26"/>
      <c r="AX66" s="25"/>
      <c r="AY66" s="21"/>
      <c r="AZ66" s="27"/>
      <c r="BA66" s="28"/>
      <c r="BB66" s="29"/>
      <c r="BC66" s="26"/>
      <c r="BD66" s="25"/>
      <c r="BE66" s="25"/>
      <c r="BI66" s="25"/>
      <c r="BJ66" s="25"/>
      <c r="BK66" s="21"/>
      <c r="BL66" s="27"/>
      <c r="BM66" s="28"/>
      <c r="BN66" s="29"/>
      <c r="BO66" s="26"/>
      <c r="BP66" s="25"/>
      <c r="BQ66" s="21"/>
      <c r="BR66" s="27"/>
      <c r="BS66" s="28"/>
      <c r="BT66" s="29"/>
      <c r="BU66" s="26"/>
      <c r="BV66" s="25"/>
      <c r="BW66" s="21"/>
      <c r="BX66" s="27"/>
      <c r="BY66" s="28"/>
      <c r="BZ66" s="29"/>
      <c r="CA66" s="26"/>
      <c r="CB66" s="25"/>
      <c r="CC66" s="21"/>
      <c r="CD66" s="27"/>
      <c r="CE66" s="28"/>
      <c r="CF66" s="29"/>
      <c r="CG66" s="26"/>
      <c r="CH66" s="25"/>
      <c r="CI66" s="21"/>
      <c r="CJ66" s="27"/>
      <c r="CK66" s="28"/>
    </row>
    <row r="67" spans="2:89" ht="17.25" thickBot="1" x14ac:dyDescent="0.65">
      <c r="C67" s="1"/>
      <c r="D67" s="47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48"/>
      <c r="AT67" s="47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47"/>
      <c r="CK67" s="1"/>
    </row>
    <row r="68" spans="2:89" ht="17.25" thickBot="1" x14ac:dyDescent="0.65">
      <c r="C68" s="1"/>
      <c r="D68" s="49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60" t="s">
        <v>66</v>
      </c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1"/>
      <c r="AI68" s="51"/>
      <c r="AJ68" s="51"/>
      <c r="AK68" s="51"/>
      <c r="AL68" s="51"/>
      <c r="AM68" s="51"/>
      <c r="AN68" s="51"/>
      <c r="AO68" s="51"/>
      <c r="AP68" s="51"/>
      <c r="AQ68" s="51"/>
      <c r="AR68" s="51"/>
      <c r="AS68" s="51"/>
      <c r="AT68" s="49"/>
      <c r="AU68" s="50"/>
      <c r="AV68" s="50"/>
      <c r="AW68" s="50"/>
      <c r="AX68" s="50"/>
      <c r="AY68" s="50"/>
      <c r="AZ68" s="50"/>
      <c r="BA68" s="50"/>
      <c r="BB68" s="50"/>
      <c r="BC68" s="50"/>
      <c r="BD68" s="50"/>
      <c r="BE68" s="50"/>
      <c r="BF68" s="50"/>
      <c r="BG68" s="60" t="s">
        <v>66</v>
      </c>
      <c r="BH68" s="50"/>
      <c r="BI68" s="50"/>
      <c r="BJ68" s="50"/>
      <c r="BK68" s="50"/>
      <c r="BL68" s="50"/>
      <c r="BM68" s="50"/>
      <c r="BN68" s="50"/>
      <c r="BO68" s="50"/>
      <c r="BP68" s="50"/>
      <c r="BQ68" s="50"/>
      <c r="BR68" s="50"/>
      <c r="BS68" s="50"/>
      <c r="BT68" s="50"/>
      <c r="BU68" s="50"/>
      <c r="BV68" s="50"/>
      <c r="BW68" s="50"/>
      <c r="BX68" s="51"/>
      <c r="BY68" s="51"/>
      <c r="BZ68" s="51"/>
      <c r="CA68" s="51"/>
      <c r="CB68" s="51"/>
      <c r="CC68" s="51"/>
      <c r="CD68" s="51"/>
      <c r="CE68" s="51"/>
      <c r="CF68" s="51"/>
      <c r="CG68" s="51"/>
      <c r="CH68" s="51"/>
      <c r="CI68" s="52"/>
      <c r="CJ68" s="50"/>
      <c r="CK68" s="50"/>
    </row>
    <row r="69" spans="2:89" ht="17.25" thickBot="1" x14ac:dyDescent="0.65">
      <c r="C69" s="1"/>
      <c r="D69" s="47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65"/>
      <c r="AU69" s="53"/>
      <c r="AV69" s="53"/>
      <c r="AW69" s="53"/>
      <c r="AX69" s="53"/>
      <c r="AY69" s="53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53"/>
      <c r="BM69" s="53"/>
      <c r="BN69" s="53"/>
      <c r="BO69" s="53"/>
      <c r="BP69" s="53"/>
      <c r="BQ69" s="53"/>
      <c r="BR69" s="53"/>
      <c r="BS69" s="53"/>
      <c r="BT69" s="53"/>
      <c r="BU69" s="53"/>
      <c r="BV69" s="53"/>
      <c r="BW69" s="53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53"/>
      <c r="CJ69" s="47"/>
      <c r="CK69" s="1"/>
    </row>
    <row r="70" spans="2:89" ht="17.25" thickBot="1" x14ac:dyDescent="0.65">
      <c r="C70" s="1"/>
      <c r="D70" s="47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N70" s="72" t="s">
        <v>67</v>
      </c>
      <c r="AO70" s="60"/>
      <c r="AP70" s="50"/>
      <c r="AQ70" s="50"/>
      <c r="AR70" s="50"/>
      <c r="AS70" s="50"/>
      <c r="AT70" s="66"/>
      <c r="AU70" s="50"/>
      <c r="AV70" s="50"/>
      <c r="AW70" s="50"/>
      <c r="AX70" s="60" t="s">
        <v>63</v>
      </c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1"/>
      <c r="BS70" s="51"/>
      <c r="BT70" s="51"/>
      <c r="BU70" s="51"/>
      <c r="BV70" s="51"/>
      <c r="BW70" s="51"/>
      <c r="BX70" s="51"/>
      <c r="BY70" s="51"/>
      <c r="BZ70" s="51"/>
      <c r="CA70" s="51"/>
      <c r="CB70" s="51"/>
      <c r="CC70" s="51"/>
      <c r="CD70" s="49"/>
      <c r="CE70" s="50"/>
      <c r="CF70" s="50"/>
      <c r="CG70" s="50"/>
      <c r="CH70" s="50"/>
      <c r="CI70" s="50"/>
      <c r="CJ70" s="50"/>
      <c r="CK70" s="50"/>
    </row>
    <row r="71" spans="2:89" x14ac:dyDescent="0.6">
      <c r="C71" s="1"/>
      <c r="D71" s="47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69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47"/>
      <c r="CK71" s="1"/>
    </row>
    <row r="72" spans="2:89" ht="17.25" thickBot="1" x14ac:dyDescent="0.65">
      <c r="C72" s="1"/>
      <c r="D72" s="47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70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47"/>
      <c r="CK72" s="1"/>
    </row>
    <row r="73" spans="2:89" ht="17.25" thickBot="1" x14ac:dyDescent="0.65">
      <c r="C73" s="1"/>
      <c r="D73" s="49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60" t="s">
        <v>68</v>
      </c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73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60" t="s">
        <v>68</v>
      </c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  <c r="BX73" s="50"/>
      <c r="BY73" s="50"/>
      <c r="BZ73" s="50"/>
      <c r="CA73" s="50"/>
      <c r="CB73" s="50"/>
      <c r="CC73" s="50"/>
      <c r="CD73" s="50"/>
      <c r="CE73" s="50"/>
      <c r="CF73" s="50"/>
      <c r="CG73" s="50"/>
      <c r="CH73" s="50"/>
      <c r="CI73" s="50"/>
      <c r="CJ73" s="66"/>
      <c r="CK73" s="50"/>
    </row>
    <row r="74" spans="2:89" ht="17.25" thickBot="1" x14ac:dyDescent="0.65">
      <c r="C74" s="1"/>
      <c r="D74" s="47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65"/>
      <c r="AU74" s="53"/>
      <c r="AV74" s="53"/>
      <c r="AW74" s="53"/>
      <c r="AX74" s="53"/>
      <c r="AY74" s="53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53"/>
      <c r="BM74" s="53"/>
      <c r="BN74" s="53"/>
      <c r="BO74" s="53"/>
      <c r="BP74" s="53"/>
      <c r="BQ74" s="53"/>
      <c r="BR74" s="53"/>
      <c r="BS74" s="53"/>
      <c r="BT74" s="53"/>
      <c r="BU74" s="53"/>
      <c r="BV74" s="53"/>
      <c r="BW74" s="53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53"/>
      <c r="CJ74" s="47"/>
      <c r="CK74" s="1"/>
    </row>
    <row r="75" spans="2:89" ht="17.25" thickBot="1" x14ac:dyDescent="0.65">
      <c r="C75" s="1"/>
      <c r="D75" s="47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N75" s="72" t="s">
        <v>67</v>
      </c>
      <c r="AO75" s="60"/>
      <c r="AP75" s="50"/>
      <c r="AQ75" s="50"/>
      <c r="AR75" s="50"/>
      <c r="AS75" s="50"/>
      <c r="AT75" s="66"/>
      <c r="AU75" s="50"/>
      <c r="AV75" s="50"/>
      <c r="AW75" s="50"/>
      <c r="AX75" s="50"/>
      <c r="AY75" s="50"/>
      <c r="AZ75" s="50"/>
      <c r="BA75" s="50"/>
      <c r="BB75" s="50"/>
      <c r="BC75" s="50"/>
      <c r="BD75" s="50"/>
      <c r="BE75" s="50"/>
      <c r="BF75" s="50"/>
      <c r="BG75" s="60" t="s">
        <v>64</v>
      </c>
      <c r="BH75" s="50"/>
      <c r="BI75" s="50"/>
      <c r="BJ75" s="50"/>
      <c r="BK75" s="50"/>
      <c r="BL75" s="50"/>
      <c r="BM75" s="50"/>
      <c r="BN75" s="50"/>
      <c r="BO75" s="50"/>
      <c r="BP75" s="50"/>
      <c r="BQ75" s="50"/>
      <c r="BR75" s="50"/>
      <c r="BS75" s="50"/>
      <c r="BT75" s="50"/>
      <c r="BU75" s="50"/>
      <c r="BV75" s="50"/>
      <c r="BW75" s="50"/>
      <c r="BX75" s="50"/>
      <c r="BY75" s="50"/>
      <c r="BZ75" s="50"/>
      <c r="CA75" s="50"/>
      <c r="CB75" s="50"/>
      <c r="CC75" s="50"/>
      <c r="CD75" s="49"/>
      <c r="CE75" s="50"/>
      <c r="CF75" s="50"/>
      <c r="CG75" s="50"/>
      <c r="CH75" s="50"/>
      <c r="CI75" s="50"/>
      <c r="CJ75" s="66"/>
      <c r="CK75" s="50"/>
    </row>
    <row r="76" spans="2:89" x14ac:dyDescent="0.6">
      <c r="C76" s="1"/>
      <c r="D76" s="47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47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47"/>
      <c r="CK76" s="1"/>
    </row>
    <row r="88" spans="2:89" x14ac:dyDescent="0.6">
      <c r="B88" s="1" t="s">
        <v>51</v>
      </c>
      <c r="C88" s="25"/>
      <c r="D88" s="32"/>
      <c r="E88" s="28"/>
      <c r="F88" s="29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35"/>
      <c r="AT88" s="32"/>
      <c r="AU88" s="28"/>
      <c r="AV88" s="29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  <c r="CF88" s="25"/>
      <c r="CG88" s="25"/>
      <c r="CH88" s="25"/>
      <c r="CI88" s="35"/>
      <c r="CJ88" s="32"/>
      <c r="CK88" s="28"/>
    </row>
    <row r="89" spans="2:89" x14ac:dyDescent="0.6">
      <c r="D89" s="31"/>
      <c r="AN89" s="6"/>
      <c r="AO89" s="6"/>
      <c r="AP89" s="6"/>
      <c r="AQ89" s="6"/>
      <c r="AR89" s="6"/>
      <c r="AS89" s="46"/>
      <c r="AT89" s="31"/>
      <c r="CD89" s="6"/>
      <c r="CE89" s="6"/>
      <c r="CF89" s="6"/>
      <c r="CG89" s="6"/>
      <c r="CH89" s="6"/>
      <c r="CI89" s="46"/>
    </row>
    <row r="90" spans="2:89" x14ac:dyDescent="0.6">
      <c r="B90" s="1" t="s">
        <v>6</v>
      </c>
      <c r="C90" s="25"/>
      <c r="D90" s="32"/>
      <c r="E90" s="28"/>
      <c r="F90" s="29"/>
      <c r="G90" s="26"/>
      <c r="H90" s="25"/>
      <c r="I90" s="21"/>
      <c r="J90" s="27"/>
      <c r="K90" s="28"/>
      <c r="L90" s="29"/>
      <c r="M90" s="26"/>
      <c r="N90" s="25"/>
      <c r="O90" s="25"/>
      <c r="S90" s="25"/>
      <c r="T90" s="25"/>
      <c r="U90" s="21"/>
      <c r="V90" s="27"/>
      <c r="W90" s="28"/>
      <c r="X90" s="29"/>
      <c r="Y90" s="26"/>
      <c r="Z90" s="25"/>
      <c r="AA90" s="21"/>
      <c r="AB90" s="27"/>
      <c r="AC90" s="28"/>
      <c r="AD90" s="29"/>
      <c r="AE90" s="26"/>
      <c r="AF90" s="25"/>
      <c r="AG90" s="21"/>
      <c r="AH90" s="27"/>
      <c r="AI90" s="28"/>
      <c r="AJ90" s="29"/>
      <c r="AK90" s="26"/>
      <c r="AL90" s="25"/>
      <c r="AM90" s="21"/>
      <c r="AN90" s="27"/>
      <c r="AO90" s="28"/>
      <c r="AP90" s="29"/>
      <c r="AQ90" s="26"/>
      <c r="AR90" s="25"/>
      <c r="AS90" s="21"/>
      <c r="AT90" s="27"/>
      <c r="AU90" s="28"/>
      <c r="AV90" s="29"/>
      <c r="AW90" s="26"/>
      <c r="AX90" s="25"/>
      <c r="AY90" s="21"/>
      <c r="AZ90" s="27"/>
      <c r="BA90" s="28"/>
      <c r="BB90" s="29"/>
      <c r="BC90" s="26"/>
      <c r="BD90" s="25"/>
      <c r="BE90" s="25"/>
      <c r="BI90" s="25"/>
      <c r="BJ90" s="25"/>
      <c r="BK90" s="21"/>
      <c r="BL90" s="27"/>
      <c r="BM90" s="28"/>
      <c r="BN90" s="29"/>
      <c r="BO90" s="26"/>
      <c r="BP90" s="25"/>
      <c r="BQ90" s="21"/>
      <c r="BR90" s="27"/>
      <c r="BS90" s="28"/>
      <c r="BT90" s="29"/>
      <c r="BU90" s="26"/>
      <c r="BV90" s="25"/>
      <c r="BW90" s="21"/>
      <c r="BX90" s="27"/>
      <c r="BY90" s="28"/>
      <c r="BZ90" s="29"/>
      <c r="CA90" s="26"/>
      <c r="CB90" s="25"/>
      <c r="CC90" s="21"/>
      <c r="CD90" s="27"/>
      <c r="CE90" s="28"/>
      <c r="CF90" s="29"/>
      <c r="CG90" s="26"/>
      <c r="CH90" s="25"/>
      <c r="CI90" s="21"/>
      <c r="CJ90" s="27"/>
      <c r="CK90" s="28"/>
    </row>
    <row r="91" spans="2:89" ht="17.25" thickBot="1" x14ac:dyDescent="0.65">
      <c r="C91" s="1"/>
      <c r="D91" s="47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48"/>
      <c r="AT91" s="47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47"/>
      <c r="CK91" s="1"/>
    </row>
    <row r="92" spans="2:89" ht="17.25" thickBot="1" x14ac:dyDescent="0.65">
      <c r="C92" s="1"/>
      <c r="D92" s="7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0"/>
      <c r="AO92" s="60" t="s">
        <v>70</v>
      </c>
      <c r="AP92" s="50"/>
      <c r="AQ92" s="50"/>
      <c r="AR92" s="50"/>
      <c r="AS92" s="50"/>
      <c r="AT92" s="71"/>
      <c r="AU92" s="51"/>
      <c r="AV92" s="51"/>
      <c r="AW92" s="51"/>
      <c r="AX92" s="51"/>
      <c r="AY92" s="51"/>
      <c r="AZ92" s="51"/>
      <c r="BA92" s="51"/>
      <c r="BB92" s="51"/>
      <c r="BC92" s="51"/>
      <c r="BD92" s="51"/>
      <c r="BE92" s="51"/>
      <c r="BF92" s="51"/>
      <c r="BG92" s="51"/>
      <c r="BH92" s="51">
        <v>2</v>
      </c>
      <c r="BI92" s="51"/>
      <c r="BJ92" s="51"/>
      <c r="BK92" s="51"/>
      <c r="BL92" s="51"/>
      <c r="BM92" s="51"/>
      <c r="BN92" s="51"/>
      <c r="BO92" s="51"/>
      <c r="BP92" s="51"/>
      <c r="BQ92" s="51"/>
      <c r="BR92" s="51"/>
      <c r="BS92" s="51"/>
      <c r="BT92" s="51"/>
      <c r="BU92" s="51"/>
      <c r="BV92" s="51"/>
      <c r="BW92" s="51"/>
      <c r="BX92" s="51"/>
      <c r="BY92" s="51"/>
      <c r="BZ92" s="51"/>
      <c r="CA92" s="51"/>
      <c r="CB92" s="51"/>
      <c r="CC92" s="51"/>
      <c r="CD92" s="50"/>
      <c r="CE92" s="60" t="s">
        <v>70</v>
      </c>
      <c r="CF92" s="50"/>
      <c r="CG92" s="50"/>
      <c r="CH92" s="50"/>
      <c r="CI92" s="57"/>
      <c r="CJ92" s="51"/>
      <c r="CK92" s="51"/>
    </row>
    <row r="93" spans="2:89" ht="17.25" thickBot="1" x14ac:dyDescent="0.65">
      <c r="C93" s="1"/>
      <c r="D93" s="47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65"/>
      <c r="AU93" s="53"/>
      <c r="AV93" s="53"/>
      <c r="AW93" s="53"/>
      <c r="AX93" s="53"/>
      <c r="AY93" s="53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53"/>
      <c r="BM93" s="53"/>
      <c r="BN93" s="53"/>
      <c r="BO93" s="53"/>
      <c r="BP93" s="53"/>
      <c r="BQ93" s="53"/>
      <c r="BR93" s="53"/>
      <c r="BS93" s="53"/>
      <c r="BT93" s="53"/>
      <c r="BU93" s="53"/>
      <c r="BV93" s="53"/>
      <c r="BW93" s="53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53"/>
      <c r="CJ93" s="47"/>
      <c r="CK93" s="1"/>
    </row>
    <row r="94" spans="2:89" ht="17.25" thickBot="1" x14ac:dyDescent="0.65">
      <c r="C94" s="1"/>
      <c r="D94" s="47"/>
      <c r="E94" s="1"/>
      <c r="F94" s="1"/>
      <c r="G94" s="1"/>
      <c r="H94" s="1"/>
      <c r="I94" s="1"/>
      <c r="J94" s="1"/>
      <c r="K94" s="1"/>
      <c r="L94" s="1"/>
      <c r="M94" s="1"/>
      <c r="O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6" t="s">
        <v>69</v>
      </c>
      <c r="AH94" s="1"/>
      <c r="AN94" s="74"/>
      <c r="AO94" s="75"/>
      <c r="AP94" s="51"/>
      <c r="AQ94" s="51"/>
      <c r="AR94" s="51"/>
      <c r="AS94" s="51"/>
      <c r="AT94" s="65"/>
      <c r="AU94" s="51"/>
      <c r="AV94" s="51"/>
      <c r="AW94" s="51"/>
      <c r="AX94" s="51"/>
      <c r="AY94" s="51"/>
      <c r="AZ94" s="51"/>
      <c r="BA94" s="51"/>
      <c r="BB94" s="51"/>
      <c r="BC94" s="51"/>
      <c r="BD94" s="51"/>
      <c r="BE94" s="51"/>
      <c r="BF94" s="51"/>
      <c r="BG94" s="51"/>
      <c r="BH94" s="51"/>
      <c r="BI94" s="51"/>
      <c r="BJ94" s="51"/>
      <c r="BK94" s="51"/>
      <c r="BL94" s="51"/>
      <c r="BM94" s="51"/>
      <c r="BN94" s="51"/>
      <c r="BO94" s="51"/>
      <c r="BP94" s="51"/>
      <c r="BQ94" s="51"/>
      <c r="BR94" s="51"/>
      <c r="BS94" s="51"/>
      <c r="BT94" s="51"/>
      <c r="BU94" s="51"/>
      <c r="BV94" s="51"/>
      <c r="BW94" s="51"/>
      <c r="BX94" s="50"/>
      <c r="BY94" s="60" t="s">
        <v>70</v>
      </c>
      <c r="BZ94" s="50"/>
      <c r="CA94" s="50"/>
      <c r="CB94" s="50"/>
      <c r="CC94" s="50"/>
      <c r="CD94" s="71"/>
      <c r="CE94" s="51"/>
      <c r="CF94" s="51"/>
      <c r="CG94" s="51"/>
      <c r="CH94" s="51"/>
      <c r="CI94" s="51"/>
      <c r="CJ94" s="51"/>
      <c r="CK94" s="51"/>
    </row>
    <row r="95" spans="2:89" x14ac:dyDescent="0.6">
      <c r="C95" s="1"/>
      <c r="D95" s="47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69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47"/>
      <c r="CK95" s="1"/>
    </row>
    <row r="96" spans="2:89" ht="17.25" thickBot="1" x14ac:dyDescent="0.65">
      <c r="C96" s="1"/>
      <c r="D96" s="47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70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47"/>
      <c r="CK96" s="1"/>
    </row>
    <row r="97" spans="3:89" ht="17.25" thickBot="1" x14ac:dyDescent="0.65">
      <c r="C97" s="1"/>
      <c r="D97" s="71"/>
      <c r="E97" s="51"/>
      <c r="F97" s="51"/>
      <c r="G97" s="51"/>
      <c r="H97" s="51"/>
      <c r="I97" s="51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60" t="s">
        <v>71</v>
      </c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76"/>
      <c r="AU97" s="51"/>
      <c r="AV97" s="51"/>
      <c r="AW97" s="51"/>
      <c r="AX97" s="51"/>
      <c r="AY97" s="51"/>
      <c r="AZ97" s="50"/>
      <c r="BA97" s="50"/>
      <c r="BB97" s="50"/>
      <c r="BC97" s="50"/>
      <c r="BD97" s="50"/>
      <c r="BE97" s="50"/>
      <c r="BF97" s="50"/>
      <c r="BG97" s="50"/>
      <c r="BH97" s="50"/>
      <c r="BI97" s="50"/>
      <c r="BJ97" s="50"/>
      <c r="BK97" s="50"/>
      <c r="BL97" s="50"/>
      <c r="BM97" s="50"/>
      <c r="BN97" s="50"/>
      <c r="BO97" s="60" t="s">
        <v>71</v>
      </c>
      <c r="BP97" s="50"/>
      <c r="BQ97" s="50"/>
      <c r="BR97" s="50"/>
      <c r="BS97" s="50"/>
      <c r="BT97" s="50"/>
      <c r="BU97" s="50"/>
      <c r="BV97" s="50"/>
      <c r="BW97" s="50"/>
      <c r="BX97" s="50"/>
      <c r="BY97" s="50"/>
      <c r="BZ97" s="50"/>
      <c r="CA97" s="50"/>
      <c r="CB97" s="50"/>
      <c r="CC97" s="50"/>
      <c r="CD97" s="50"/>
      <c r="CE97" s="50"/>
      <c r="CF97" s="50"/>
      <c r="CG97" s="50"/>
      <c r="CH97" s="50"/>
      <c r="CI97" s="57"/>
      <c r="CJ97" s="50"/>
      <c r="CK97" s="50"/>
    </row>
    <row r="98" spans="3:89" ht="17.25" thickBot="1" x14ac:dyDescent="0.65">
      <c r="C98" s="1"/>
      <c r="D98" s="47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65"/>
      <c r="AU98" s="53"/>
      <c r="AV98" s="53"/>
      <c r="AW98" s="53"/>
      <c r="AX98" s="53"/>
      <c r="AY98" s="53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53"/>
      <c r="BM98" s="53"/>
      <c r="BN98" s="53"/>
      <c r="BO98" s="53"/>
      <c r="BP98" s="53"/>
      <c r="BQ98" s="53"/>
      <c r="BR98" s="53"/>
      <c r="BS98" s="53"/>
      <c r="BT98" s="53"/>
      <c r="BU98" s="53"/>
      <c r="BV98" s="53"/>
      <c r="BW98" s="53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53"/>
      <c r="CJ98" s="47"/>
      <c r="CK98" s="1"/>
    </row>
    <row r="99" spans="3:89" ht="17.25" thickBot="1" x14ac:dyDescent="0.65">
      <c r="C99" s="1"/>
      <c r="D99" s="47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6" t="s">
        <v>69</v>
      </c>
      <c r="AH99" s="1"/>
      <c r="AN99" s="74"/>
      <c r="AO99" s="75"/>
      <c r="AP99" s="51"/>
      <c r="AQ99" s="51"/>
      <c r="AR99" s="51"/>
      <c r="AS99" s="51"/>
      <c r="AT99" s="66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50"/>
      <c r="BF99" s="60" t="s">
        <v>71</v>
      </c>
      <c r="BG99" s="50"/>
      <c r="BH99" s="50"/>
      <c r="BI99" s="50"/>
      <c r="BJ99" s="50"/>
      <c r="BK99" s="50"/>
      <c r="BL99" s="50"/>
      <c r="BM99" s="50"/>
      <c r="BN99" s="50"/>
      <c r="BO99" s="50"/>
      <c r="BP99" s="50"/>
      <c r="BQ99" s="50"/>
      <c r="BR99" s="50"/>
      <c r="BS99" s="50"/>
      <c r="BT99" s="50"/>
      <c r="BU99" s="50"/>
      <c r="BV99" s="50"/>
      <c r="BW99" s="50"/>
      <c r="BX99" s="50"/>
      <c r="BY99" s="50"/>
      <c r="BZ99" s="50"/>
      <c r="CA99" s="50"/>
      <c r="CB99" s="50"/>
      <c r="CC99" s="50"/>
      <c r="CD99" s="71"/>
      <c r="CE99" s="51"/>
      <c r="CF99" s="51"/>
      <c r="CG99" s="51"/>
      <c r="CH99" s="51"/>
      <c r="CI99" s="51"/>
      <c r="CJ99" s="66"/>
      <c r="CK99" s="50"/>
    </row>
    <row r="100" spans="3:89" x14ac:dyDescent="0.6">
      <c r="C100" s="1"/>
      <c r="D100" s="47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47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47"/>
      <c r="CK100" s="1"/>
    </row>
  </sheetData>
  <phoneticPr fontId="2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BD817-9CA0-425C-B59F-A34BAE58E947}">
  <sheetPr>
    <tabColor theme="0"/>
  </sheetPr>
  <dimension ref="B4:AW35"/>
  <sheetViews>
    <sheetView showGridLines="0" zoomScale="116" zoomScaleNormal="116" workbookViewId="0"/>
  </sheetViews>
  <sheetFormatPr defaultRowHeight="16.899999999999999" x14ac:dyDescent="0.6"/>
  <cols>
    <col min="2" max="2" width="10" style="1" bestFit="1" customWidth="1"/>
    <col min="3" max="3" width="1.625" customWidth="1"/>
    <col min="4" max="49" width="2.625" customWidth="1"/>
  </cols>
  <sheetData>
    <row r="4" spans="2:49" x14ac:dyDescent="0.6">
      <c r="B4" s="1" t="s">
        <v>51</v>
      </c>
      <c r="D4" s="21"/>
      <c r="E4" s="22"/>
      <c r="F4" s="26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2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</row>
    <row r="6" spans="2:49" s="290" customFormat="1" ht="15.75" x14ac:dyDescent="0.55000000000000004">
      <c r="B6" s="289"/>
      <c r="S6" s="601">
        <v>16381</v>
      </c>
      <c r="T6" s="601"/>
      <c r="U6" s="601">
        <v>16381</v>
      </c>
      <c r="V6" s="601"/>
      <c r="W6" s="601">
        <v>16381</v>
      </c>
      <c r="X6" s="601"/>
      <c r="Y6" s="601">
        <v>16381</v>
      </c>
      <c r="Z6" s="601"/>
      <c r="AA6" s="601">
        <v>16382</v>
      </c>
      <c r="AB6" s="601"/>
      <c r="AC6" s="601">
        <v>16383</v>
      </c>
      <c r="AD6" s="601"/>
    </row>
    <row r="7" spans="2:49" s="292" customFormat="1" ht="15.75" x14ac:dyDescent="0.6">
      <c r="B7" s="291"/>
      <c r="E7" s="292">
        <v>1</v>
      </c>
      <c r="G7" s="292">
        <v>2</v>
      </c>
      <c r="I7" s="292">
        <v>3</v>
      </c>
      <c r="K7" s="292">
        <v>4</v>
      </c>
      <c r="M7" s="292">
        <v>5</v>
      </c>
      <c r="O7" s="292">
        <v>6</v>
      </c>
      <c r="S7" s="600">
        <v>4093</v>
      </c>
      <c r="T7" s="600"/>
      <c r="U7" s="600">
        <v>4093</v>
      </c>
      <c r="V7" s="600"/>
      <c r="W7" s="600">
        <v>4093</v>
      </c>
      <c r="X7" s="600"/>
      <c r="Y7" s="600">
        <v>4093</v>
      </c>
      <c r="Z7" s="600"/>
      <c r="AA7" s="600">
        <v>4094</v>
      </c>
      <c r="AB7" s="600"/>
      <c r="AC7" s="600">
        <v>4095</v>
      </c>
      <c r="AD7" s="600"/>
      <c r="AE7" s="292">
        <v>1</v>
      </c>
      <c r="AG7" s="292">
        <v>2</v>
      </c>
      <c r="AI7" s="292">
        <v>3</v>
      </c>
      <c r="AK7" s="292">
        <v>4</v>
      </c>
      <c r="AM7" s="292">
        <v>5</v>
      </c>
      <c r="AO7" s="292">
        <v>6</v>
      </c>
      <c r="AQ7" s="292">
        <v>7</v>
      </c>
      <c r="AS7" s="292">
        <v>8</v>
      </c>
      <c r="AU7" s="292">
        <v>9</v>
      </c>
    </row>
    <row r="8" spans="2:49" s="292" customFormat="1" ht="15.75" x14ac:dyDescent="0.6">
      <c r="B8" s="291"/>
    </row>
    <row r="9" spans="2:49" x14ac:dyDescent="0.6">
      <c r="B9" s="1" t="s">
        <v>549</v>
      </c>
      <c r="D9" s="21"/>
      <c r="E9" s="22"/>
      <c r="F9" s="23"/>
      <c r="G9" s="22"/>
      <c r="H9" s="23"/>
      <c r="I9" s="22"/>
      <c r="J9" s="23"/>
      <c r="K9" s="22"/>
      <c r="L9" s="23"/>
      <c r="M9" s="22"/>
      <c r="N9" s="23"/>
      <c r="O9" s="22"/>
      <c r="P9" s="26"/>
      <c r="R9" s="21"/>
      <c r="S9" s="22"/>
      <c r="T9" s="23"/>
      <c r="U9" s="22"/>
      <c r="V9" s="23"/>
      <c r="W9" s="22"/>
      <c r="X9" s="23"/>
      <c r="Y9" s="22"/>
      <c r="Z9" s="23"/>
      <c r="AA9" s="22"/>
      <c r="AB9" s="23"/>
      <c r="AC9" s="22"/>
      <c r="AD9" s="23"/>
      <c r="AE9" s="22"/>
      <c r="AF9" s="23"/>
      <c r="AG9" s="22"/>
      <c r="AH9" s="23"/>
      <c r="AI9" s="22"/>
      <c r="AJ9" s="23"/>
      <c r="AK9" s="22"/>
      <c r="AL9" s="23"/>
      <c r="AM9" s="22"/>
      <c r="AN9" s="23"/>
      <c r="AO9" s="22"/>
      <c r="AP9" s="23"/>
      <c r="AQ9" s="22"/>
      <c r="AR9" s="23"/>
      <c r="AS9" s="22"/>
      <c r="AT9" s="23"/>
      <c r="AU9" s="22"/>
      <c r="AV9" s="23"/>
      <c r="AW9" s="22"/>
    </row>
    <row r="11" spans="2:49" x14ac:dyDescent="0.6">
      <c r="B11" s="1" t="s">
        <v>550</v>
      </c>
      <c r="D11" s="25"/>
      <c r="E11" s="294"/>
      <c r="F11" s="295"/>
      <c r="G11" s="295"/>
      <c r="H11" s="295"/>
      <c r="I11" s="295"/>
      <c r="J11" s="295"/>
      <c r="K11" s="295"/>
      <c r="L11" s="295"/>
      <c r="M11" s="295"/>
      <c r="N11" s="295"/>
      <c r="O11" s="295"/>
      <c r="P11" s="295"/>
      <c r="Q11" s="295"/>
      <c r="R11" s="295"/>
      <c r="S11" s="295"/>
      <c r="T11" s="295"/>
      <c r="U11" s="295"/>
      <c r="V11" s="295"/>
      <c r="W11" s="295"/>
      <c r="X11" s="295"/>
      <c r="Y11" s="299"/>
      <c r="Z11" s="300"/>
      <c r="AA11" s="300"/>
      <c r="AB11" s="300"/>
      <c r="AC11" s="300"/>
      <c r="AD11" s="301"/>
      <c r="AE11" s="296"/>
      <c r="AF11" s="295"/>
      <c r="AG11" s="295"/>
      <c r="AH11" s="295"/>
      <c r="AI11" s="295"/>
      <c r="AJ11" s="295"/>
      <c r="AK11" s="295"/>
      <c r="AL11" s="295"/>
      <c r="AM11" s="295"/>
      <c r="AN11" s="295"/>
      <c r="AO11" s="295"/>
      <c r="AP11" s="295"/>
      <c r="AQ11" s="295"/>
      <c r="AR11" s="295"/>
      <c r="AS11" s="295"/>
      <c r="AT11" s="295"/>
      <c r="AU11" s="295"/>
      <c r="AV11" s="295"/>
      <c r="AW11" s="295"/>
    </row>
    <row r="13" spans="2:49" x14ac:dyDescent="0.6">
      <c r="B13" s="1" t="s">
        <v>551</v>
      </c>
      <c r="D13" s="25"/>
      <c r="E13" s="25"/>
      <c r="F13" s="25"/>
      <c r="G13" s="25"/>
      <c r="H13" s="25"/>
      <c r="I13" s="294"/>
      <c r="J13" s="295"/>
      <c r="K13" s="295"/>
      <c r="L13" s="295"/>
      <c r="M13" s="295"/>
      <c r="N13" s="295"/>
      <c r="O13" s="295"/>
      <c r="P13" s="295"/>
      <c r="Q13" s="295"/>
      <c r="R13" s="295"/>
      <c r="S13" s="295"/>
      <c r="T13" s="295"/>
      <c r="U13" s="295"/>
      <c r="V13" s="295"/>
      <c r="W13" s="295"/>
      <c r="X13" s="295"/>
      <c r="Y13" s="295"/>
      <c r="Z13" s="303"/>
      <c r="AA13" s="302"/>
      <c r="AB13" s="297"/>
      <c r="AC13" s="297"/>
      <c r="AD13" s="297"/>
      <c r="AE13" s="297"/>
      <c r="AF13" s="297"/>
      <c r="AG13" s="297"/>
      <c r="AH13" s="298"/>
      <c r="AI13" s="293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</row>
    <row r="19" spans="2:49" x14ac:dyDescent="0.6">
      <c r="B19" s="1" t="s">
        <v>51</v>
      </c>
      <c r="D19" s="21"/>
      <c r="E19" s="22"/>
      <c r="F19" s="26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2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</row>
    <row r="22" spans="2:49" s="290" customFormat="1" ht="15.75" x14ac:dyDescent="0.55000000000000004">
      <c r="B22" s="289"/>
      <c r="M22" s="599">
        <v>2046</v>
      </c>
      <c r="N22" s="599"/>
      <c r="O22" s="599">
        <f>2^14/8-1</f>
        <v>2047</v>
      </c>
      <c r="P22" s="599"/>
      <c r="S22" s="601"/>
      <c r="T22" s="601"/>
      <c r="U22" s="599">
        <f>2^14/8-1</f>
        <v>2047</v>
      </c>
      <c r="V22" s="599"/>
      <c r="W22" s="599">
        <v>1</v>
      </c>
      <c r="X22" s="599"/>
      <c r="Y22" s="601"/>
      <c r="Z22" s="601"/>
      <c r="AA22" s="599">
        <v>2046</v>
      </c>
      <c r="AB22" s="599"/>
      <c r="AC22" s="599">
        <f>2^14/8-1</f>
        <v>2047</v>
      </c>
      <c r="AD22" s="599"/>
    </row>
    <row r="23" spans="2:49" s="292" customFormat="1" ht="15.75" x14ac:dyDescent="0.55000000000000004">
      <c r="B23" s="291"/>
      <c r="E23" s="292">
        <v>1</v>
      </c>
      <c r="G23" s="292">
        <v>2</v>
      </c>
      <c r="I23" s="600">
        <v>3</v>
      </c>
      <c r="J23" s="600"/>
      <c r="K23" s="290"/>
      <c r="L23" s="304"/>
      <c r="M23" s="600">
        <v>510</v>
      </c>
      <c r="N23" s="600"/>
      <c r="O23" s="600">
        <v>511</v>
      </c>
      <c r="P23" s="600"/>
      <c r="Q23" s="600">
        <v>1</v>
      </c>
      <c r="R23" s="600"/>
      <c r="S23" s="600"/>
      <c r="T23" s="600"/>
      <c r="U23" s="600">
        <v>511</v>
      </c>
      <c r="V23" s="600"/>
      <c r="W23" s="600">
        <v>1</v>
      </c>
      <c r="X23" s="600"/>
      <c r="Y23" s="304"/>
      <c r="Z23" s="304"/>
      <c r="AA23" s="600">
        <v>510</v>
      </c>
      <c r="AB23" s="600"/>
      <c r="AC23" s="600">
        <v>511</v>
      </c>
      <c r="AD23" s="600"/>
      <c r="AE23" s="292">
        <v>1</v>
      </c>
      <c r="AG23" s="292">
        <v>2</v>
      </c>
      <c r="AI23" s="292">
        <v>3</v>
      </c>
      <c r="AK23" s="292">
        <v>4</v>
      </c>
      <c r="AM23" s="292">
        <v>5</v>
      </c>
      <c r="AO23" s="292">
        <v>6</v>
      </c>
      <c r="AQ23" s="292">
        <v>7</v>
      </c>
      <c r="AS23" s="292">
        <v>8</v>
      </c>
      <c r="AU23" s="292">
        <v>9</v>
      </c>
    </row>
    <row r="24" spans="2:49" s="292" customFormat="1" ht="15.75" x14ac:dyDescent="0.55000000000000004">
      <c r="B24" s="291"/>
      <c r="K24" s="290"/>
      <c r="L24" s="304"/>
      <c r="Y24" s="304"/>
      <c r="Z24" s="304"/>
    </row>
    <row r="25" spans="2:49" x14ac:dyDescent="0.55000000000000004">
      <c r="B25" s="1" t="s">
        <v>549</v>
      </c>
      <c r="D25" s="21"/>
      <c r="E25" s="22"/>
      <c r="F25" s="23"/>
      <c r="G25" s="22"/>
      <c r="H25" s="26"/>
      <c r="I25" s="22"/>
      <c r="J25" s="26"/>
      <c r="K25" s="290"/>
      <c r="L25" s="21"/>
      <c r="M25" s="22"/>
      <c r="N25" s="23"/>
      <c r="O25" s="22"/>
      <c r="P25" s="23"/>
      <c r="Q25" s="22"/>
      <c r="R25" s="26"/>
      <c r="T25" s="25"/>
      <c r="U25" s="22"/>
      <c r="V25" s="26"/>
      <c r="W25" s="22"/>
      <c r="X25" s="26"/>
      <c r="Y25" s="304"/>
      <c r="Z25" s="21"/>
      <c r="AA25" s="22"/>
      <c r="AB25" s="23"/>
      <c r="AC25" s="22"/>
      <c r="AD25" s="23"/>
      <c r="AE25" s="22"/>
      <c r="AF25" s="23"/>
      <c r="AG25" s="22"/>
      <c r="AH25" s="23"/>
      <c r="AI25" s="22"/>
      <c r="AJ25" s="23"/>
      <c r="AK25" s="22"/>
      <c r="AL25" s="23"/>
      <c r="AM25" s="22"/>
      <c r="AN25" s="23"/>
      <c r="AO25" s="22"/>
      <c r="AP25" s="23"/>
      <c r="AQ25" s="22"/>
      <c r="AR25" s="23"/>
      <c r="AS25" s="22"/>
      <c r="AT25" s="23"/>
      <c r="AU25" s="22"/>
      <c r="AV25" s="23"/>
      <c r="AW25" s="22"/>
    </row>
    <row r="27" spans="2:49" x14ac:dyDescent="0.6">
      <c r="B27" s="1" t="s">
        <v>550</v>
      </c>
      <c r="D27" s="25"/>
      <c r="E27" s="294"/>
      <c r="F27" s="295"/>
      <c r="G27" s="295"/>
      <c r="H27" s="295"/>
      <c r="I27" s="295"/>
      <c r="J27" s="295"/>
      <c r="K27" s="295"/>
      <c r="L27" s="295"/>
      <c r="M27" s="299"/>
      <c r="N27" s="300"/>
      <c r="O27" s="300"/>
      <c r="P27" s="301"/>
      <c r="Q27" s="295"/>
      <c r="R27" s="295"/>
      <c r="T27" s="300"/>
      <c r="U27" s="300"/>
      <c r="V27" s="301"/>
      <c r="W27" s="295"/>
      <c r="X27" s="295"/>
      <c r="Y27" s="295"/>
      <c r="Z27" s="295"/>
      <c r="AA27" s="299"/>
      <c r="AB27" s="300"/>
      <c r="AC27" s="300"/>
      <c r="AD27" s="301"/>
      <c r="AE27" s="296"/>
      <c r="AF27" s="295"/>
      <c r="AG27" s="295"/>
      <c r="AH27" s="295"/>
      <c r="AI27" s="295"/>
      <c r="AJ27" s="295"/>
      <c r="AK27" s="295"/>
      <c r="AL27" s="295"/>
      <c r="AM27" s="295"/>
      <c r="AN27" s="295"/>
      <c r="AO27" s="295"/>
      <c r="AP27" s="295"/>
      <c r="AQ27" s="295"/>
      <c r="AR27" s="295"/>
      <c r="AS27" s="295"/>
      <c r="AT27" s="295"/>
      <c r="AU27" s="295"/>
      <c r="AV27" s="295"/>
      <c r="AW27" s="295"/>
    </row>
    <row r="29" spans="2:49" x14ac:dyDescent="0.6">
      <c r="B29" s="1" t="s">
        <v>551</v>
      </c>
      <c r="D29" s="25"/>
      <c r="E29" s="25"/>
      <c r="F29" s="25"/>
      <c r="G29" s="25"/>
      <c r="H29" s="25"/>
      <c r="I29" s="294"/>
      <c r="J29" s="295"/>
      <c r="K29" s="295"/>
      <c r="L29" s="295"/>
      <c r="M29" s="295"/>
      <c r="N29" s="295"/>
      <c r="O29" s="307"/>
      <c r="P29" s="305"/>
      <c r="Q29" s="305"/>
      <c r="R29" s="305"/>
      <c r="T29" s="305"/>
      <c r="U29" s="305"/>
      <c r="V29" s="306"/>
      <c r="W29" s="295"/>
      <c r="X29" s="295"/>
      <c r="Y29" s="295"/>
      <c r="Z29" s="295"/>
      <c r="AA29" s="295"/>
      <c r="AB29" s="295"/>
      <c r="AC29" s="302"/>
      <c r="AD29" s="297"/>
      <c r="AE29" s="297"/>
      <c r="AF29" s="297"/>
      <c r="AG29" s="297"/>
      <c r="AH29" s="298"/>
      <c r="AI29" s="293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</row>
    <row r="33" spans="2:49" x14ac:dyDescent="0.6">
      <c r="B33" s="1" t="s">
        <v>51</v>
      </c>
      <c r="D33" s="25"/>
      <c r="E33" s="25"/>
      <c r="F33" s="25"/>
      <c r="G33" s="25"/>
      <c r="H33" s="25"/>
      <c r="I33" s="25"/>
      <c r="J33" s="25"/>
      <c r="K33" s="21"/>
      <c r="L33" s="22"/>
      <c r="M33" s="26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2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</row>
    <row r="35" spans="2:49" x14ac:dyDescent="0.6">
      <c r="B35" s="1" t="s">
        <v>552</v>
      </c>
      <c r="D35" s="25"/>
      <c r="E35" s="25"/>
      <c r="F35" s="25"/>
      <c r="G35" s="25"/>
      <c r="H35" s="25"/>
      <c r="I35" s="25"/>
      <c r="J35" s="25"/>
      <c r="K35" s="25"/>
      <c r="L35" s="200"/>
      <c r="M35" s="200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0"/>
      <c r="AK35" s="200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</row>
  </sheetData>
  <mergeCells count="29">
    <mergeCell ref="W22:X22"/>
    <mergeCell ref="AA7:AB7"/>
    <mergeCell ref="AC7:AD7"/>
    <mergeCell ref="Y7:Z7"/>
    <mergeCell ref="AC6:AD6"/>
    <mergeCell ref="Y6:Z6"/>
    <mergeCell ref="AA6:AB6"/>
    <mergeCell ref="S6:T6"/>
    <mergeCell ref="U6:V6"/>
    <mergeCell ref="W6:X6"/>
    <mergeCell ref="S7:T7"/>
    <mergeCell ref="U7:V7"/>
    <mergeCell ref="W7:X7"/>
    <mergeCell ref="O22:P22"/>
    <mergeCell ref="M22:N22"/>
    <mergeCell ref="AC23:AD23"/>
    <mergeCell ref="I23:J23"/>
    <mergeCell ref="M23:N23"/>
    <mergeCell ref="O23:P23"/>
    <mergeCell ref="Q23:R23"/>
    <mergeCell ref="Y22:Z22"/>
    <mergeCell ref="AA22:AB22"/>
    <mergeCell ref="S23:T23"/>
    <mergeCell ref="U23:V23"/>
    <mergeCell ref="W23:X23"/>
    <mergeCell ref="AA23:AB23"/>
    <mergeCell ref="AC22:AD22"/>
    <mergeCell ref="S22:T22"/>
    <mergeCell ref="U22:V22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spi_protocol</vt:lpstr>
      <vt:lpstr>serial_protocol</vt:lpstr>
      <vt:lpstr>serial_protocol (2)</vt:lpstr>
      <vt:lpstr>xc(mp)_reg</vt:lpstr>
      <vt:lpstr>xd_pwm(mp)_reg</vt:lpstr>
      <vt:lpstr>spi2serial_thruput</vt:lpstr>
      <vt:lpstr>mclk_transition</vt:lpstr>
      <vt:lpstr>mclk_pwm</vt:lpstr>
      <vt:lpstr>xc_pwm</vt:lpstr>
      <vt:lpstr>mclk_variable</vt:lpstr>
      <vt:lpstr>serial_latency</vt:lpstr>
      <vt:lpstr>ld_format</vt:lpstr>
      <vt:lpstr>ext_vs&amp;fb</vt:lpstr>
      <vt:lpstr>package</vt:lpstr>
      <vt:lpstr>misc</vt:lpstr>
      <vt:lpstr>misc2</vt:lpstr>
      <vt:lpstr>misc3</vt:lpstr>
      <vt:lpstr>misc4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 진수</dc:creator>
  <cp:lastModifiedBy>이 준영</cp:lastModifiedBy>
  <dcterms:created xsi:type="dcterms:W3CDTF">2024-08-08T02:03:23Z</dcterms:created>
  <dcterms:modified xsi:type="dcterms:W3CDTF">2025-04-18T01:27:07Z</dcterms:modified>
</cp:coreProperties>
</file>