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PWM\측정자료\"/>
    </mc:Choice>
  </mc:AlternateContent>
  <xr:revisionPtr revIDLastSave="0" documentId="13_ncr:1_{A2B98F9C-F454-4316-8FF7-69CB635AECEC}" xr6:coauthVersionLast="47" xr6:coauthVersionMax="47" xr10:uidLastSave="{00000000-0000-0000-0000-000000000000}"/>
  <bookViews>
    <workbookView xWindow="-98" yWindow="-98" windowWidth="21795" windowHeight="12975" activeTab="1" xr2:uid="{A28DDC38-9FF8-4BD8-99DA-6A911DBD3587}"/>
  </bookViews>
  <sheets>
    <sheet name="241211" sheetId="2" r:id="rId1"/>
    <sheet name="24121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H9" i="3"/>
  <c r="H10" i="3"/>
  <c r="H12" i="3"/>
  <c r="H13" i="3"/>
  <c r="H14" i="3"/>
  <c r="H16" i="3"/>
  <c r="H17" i="3"/>
  <c r="H18" i="3"/>
  <c r="H5" i="3"/>
  <c r="H6" i="3"/>
  <c r="H4" i="3"/>
  <c r="F18" i="3"/>
  <c r="F17" i="3"/>
  <c r="F16" i="3"/>
  <c r="F14" i="3"/>
  <c r="F13" i="3"/>
  <c r="F12" i="3"/>
  <c r="F10" i="3"/>
  <c r="F9" i="3"/>
  <c r="F8" i="3"/>
  <c r="F6" i="3"/>
  <c r="F5" i="3"/>
  <c r="F4" i="3"/>
  <c r="L4" i="2"/>
  <c r="L5" i="2"/>
  <c r="L6" i="2"/>
  <c r="L7" i="2"/>
  <c r="L8" i="2"/>
  <c r="L3" i="2"/>
  <c r="K4" i="2"/>
  <c r="K5" i="2"/>
  <c r="K6" i="2"/>
  <c r="K7" i="2"/>
  <c r="K8" i="2"/>
  <c r="K3" i="2"/>
  <c r="I4" i="2"/>
  <c r="I5" i="2"/>
  <c r="I6" i="2"/>
  <c r="I7" i="2"/>
  <c r="I8" i="2"/>
  <c r="F4" i="2"/>
  <c r="F5" i="2"/>
  <c r="F6" i="2"/>
  <c r="F7" i="2"/>
  <c r="F8" i="2"/>
  <c r="F3" i="2"/>
  <c r="D6" i="2"/>
  <c r="E6" i="2" s="1"/>
  <c r="D7" i="2"/>
  <c r="E7" i="2" s="1"/>
  <c r="D8" i="2"/>
  <c r="E8" i="2" s="1"/>
  <c r="D4" i="2"/>
  <c r="E4" i="2" s="1"/>
  <c r="D5" i="2"/>
  <c r="E5" i="2" s="1"/>
  <c r="I3" i="2"/>
  <c r="D3" i="2"/>
  <c r="E3" i="2" s="1"/>
</calcChain>
</file>

<file path=xl/sharedStrings.xml><?xml version="1.0" encoding="utf-8"?>
<sst xmlns="http://schemas.openxmlformats.org/spreadsheetml/2006/main" count="27" uniqueCount="14">
  <si>
    <t>4f</t>
  </si>
  <si>
    <t>4f</t>
    <phoneticPr fontId="2" type="noConversion"/>
  </si>
  <si>
    <t>fb0</t>
    <phoneticPr fontId="2" type="noConversion"/>
  </si>
  <si>
    <t>eb0</t>
    <phoneticPr fontId="2" type="noConversion"/>
  </si>
  <si>
    <t>db0</t>
    <phoneticPr fontId="2" type="noConversion"/>
  </si>
  <si>
    <t>ab0</t>
    <phoneticPr fontId="2" type="noConversion"/>
  </si>
  <si>
    <t>bb0</t>
    <phoneticPr fontId="2" type="noConversion"/>
  </si>
  <si>
    <t>cb0</t>
    <phoneticPr fontId="2" type="noConversion"/>
  </si>
  <si>
    <t>계산상</t>
    <phoneticPr fontId="2" type="noConversion"/>
  </si>
  <si>
    <t>측정</t>
    <phoneticPr fontId="2" type="noConversion"/>
  </si>
  <si>
    <t>mean</t>
    <phoneticPr fontId="2" type="noConversion"/>
  </si>
  <si>
    <t>min</t>
    <phoneticPr fontId="2" type="noConversion"/>
  </si>
  <si>
    <t>max</t>
    <phoneticPr fontId="2" type="noConversion"/>
  </si>
  <si>
    <t>flt_gain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</si>
</sst>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0" fontId="0" fillId="0" borderId="0" xfId="1" applyNumberFormat="1" applyFont="1">
      <alignment vertical="center"/>
    </xf>
    <xf numFmtId="176" fontId="0" fillId="0" borderId="0" xfId="1" applyNumberFormat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0384-2190-44EA-8549-CA1AB546F8D3}">
  <dimension ref="B2:L16"/>
  <sheetViews>
    <sheetView workbookViewId="0">
      <selection activeCell="B2" sqref="B2:L8"/>
    </sheetView>
  </sheetViews>
  <sheetFormatPr defaultRowHeight="16.899999999999999" x14ac:dyDescent="0.6"/>
  <sheetData>
    <row r="2" spans="2:12" x14ac:dyDescent="0.6">
      <c r="F2" t="s">
        <v>8</v>
      </c>
      <c r="I2" t="s">
        <v>9</v>
      </c>
    </row>
    <row r="3" spans="2:12" x14ac:dyDescent="0.6">
      <c r="B3" t="s">
        <v>1</v>
      </c>
      <c r="C3" t="s">
        <v>2</v>
      </c>
      <c r="D3" t="str">
        <f>_xlfn.CONCAT(B3:C3)</f>
        <v>4ffb0</v>
      </c>
      <c r="E3">
        <f>HEX2DEC(D3)</f>
        <v>327600</v>
      </c>
      <c r="F3" s="1">
        <f>E3*120/1000000</f>
        <v>39.311999999999998</v>
      </c>
      <c r="H3">
        <v>1.2283500000000001</v>
      </c>
      <c r="I3" s="1">
        <f>H3*32</f>
        <v>39.307200000000002</v>
      </c>
      <c r="K3">
        <f>F3-I3</f>
        <v>4.7999999999959186E-3</v>
      </c>
      <c r="L3" s="3">
        <f>K3/I3</f>
        <v>1.2211503236037974E-4</v>
      </c>
    </row>
    <row r="4" spans="2:12" x14ac:dyDescent="0.6">
      <c r="B4" t="s">
        <v>1</v>
      </c>
      <c r="C4" t="s">
        <v>3</v>
      </c>
      <c r="D4" t="str">
        <f t="shared" ref="D4:D5" si="0">_xlfn.CONCAT(B4:C4)</f>
        <v>4feb0</v>
      </c>
      <c r="E4">
        <f t="shared" ref="E4:E8" si="1">HEX2DEC(D4)</f>
        <v>327344</v>
      </c>
      <c r="F4" s="1">
        <f t="shared" ref="F4:F8" si="2">E4*120/1000000</f>
        <v>39.281280000000002</v>
      </c>
      <c r="H4">
        <v>1.2274499999999999</v>
      </c>
      <c r="I4" s="1">
        <f t="shared" ref="I4:I8" si="3">H4*32</f>
        <v>39.278399999999998</v>
      </c>
      <c r="K4">
        <f t="shared" ref="K4:K8" si="4">F4-I4</f>
        <v>2.8800000000046566E-3</v>
      </c>
      <c r="L4" s="3">
        <f t="shared" ref="L4:L8" si="5">K4/I4</f>
        <v>7.3322742270679478E-5</v>
      </c>
    </row>
    <row r="5" spans="2:12" x14ac:dyDescent="0.6">
      <c r="B5" t="s">
        <v>1</v>
      </c>
      <c r="C5" t="s">
        <v>4</v>
      </c>
      <c r="D5" t="str">
        <f t="shared" si="0"/>
        <v>4fdb0</v>
      </c>
      <c r="E5">
        <f t="shared" si="1"/>
        <v>327088</v>
      </c>
      <c r="F5" s="1">
        <f t="shared" si="2"/>
        <v>39.25056</v>
      </c>
      <c r="H5">
        <v>1.2264999999999999</v>
      </c>
      <c r="I5" s="1">
        <f t="shared" si="3"/>
        <v>39.247999999999998</v>
      </c>
      <c r="K5">
        <f t="shared" si="4"/>
        <v>2.5600000000025602E-3</v>
      </c>
      <c r="L5" s="3">
        <f t="shared" si="5"/>
        <v>6.5226253567125984E-5</v>
      </c>
    </row>
    <row r="6" spans="2:12" x14ac:dyDescent="0.6">
      <c r="B6" t="s">
        <v>0</v>
      </c>
      <c r="C6" t="s">
        <v>7</v>
      </c>
      <c r="D6" t="str">
        <f t="shared" ref="D6:D8" si="6">_xlfn.CONCAT(B6:C6)</f>
        <v>4fcb0</v>
      </c>
      <c r="E6">
        <f t="shared" si="1"/>
        <v>326832</v>
      </c>
      <c r="F6" s="1">
        <f t="shared" si="2"/>
        <v>39.219839999999998</v>
      </c>
      <c r="H6">
        <v>1.2256</v>
      </c>
      <c r="I6" s="1">
        <f t="shared" si="3"/>
        <v>39.219200000000001</v>
      </c>
      <c r="K6">
        <f t="shared" si="4"/>
        <v>6.3999999999708734E-4</v>
      </c>
      <c r="L6" s="3">
        <f t="shared" si="5"/>
        <v>1.6318537858933568E-5</v>
      </c>
    </row>
    <row r="7" spans="2:12" x14ac:dyDescent="0.6">
      <c r="B7" t="s">
        <v>0</v>
      </c>
      <c r="C7" t="s">
        <v>6</v>
      </c>
      <c r="D7" t="str">
        <f t="shared" si="6"/>
        <v>4fbb0</v>
      </c>
      <c r="E7">
        <f t="shared" si="1"/>
        <v>326576</v>
      </c>
      <c r="F7" s="1">
        <f t="shared" si="2"/>
        <v>39.189120000000003</v>
      </c>
      <c r="H7">
        <v>1.2245999999999999</v>
      </c>
      <c r="I7" s="1">
        <f t="shared" si="3"/>
        <v>39.187199999999997</v>
      </c>
      <c r="K7">
        <f t="shared" si="4"/>
        <v>1.9200000000054729E-3</v>
      </c>
      <c r="L7" s="3">
        <f t="shared" si="5"/>
        <v>4.8995590397003944E-5</v>
      </c>
    </row>
    <row r="8" spans="2:12" x14ac:dyDescent="0.6">
      <c r="B8" t="s">
        <v>0</v>
      </c>
      <c r="C8" t="s">
        <v>5</v>
      </c>
      <c r="D8" t="str">
        <f t="shared" si="6"/>
        <v>4fab0</v>
      </c>
      <c r="E8">
        <f t="shared" si="1"/>
        <v>326320</v>
      </c>
      <c r="F8" s="1">
        <f t="shared" si="2"/>
        <v>39.1584</v>
      </c>
      <c r="H8">
        <v>1.2237</v>
      </c>
      <c r="I8" s="1">
        <f t="shared" si="3"/>
        <v>39.1584</v>
      </c>
      <c r="K8">
        <f t="shared" si="4"/>
        <v>0</v>
      </c>
      <c r="L8" s="3">
        <f t="shared" si="5"/>
        <v>0</v>
      </c>
    </row>
    <row r="16" spans="2:12" x14ac:dyDescent="0.6">
      <c r="D16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0956-A253-4317-9E52-0EA6715C711D}">
  <dimension ref="B2:H18"/>
  <sheetViews>
    <sheetView tabSelected="1" workbookViewId="0">
      <selection activeCell="K14" sqref="K14"/>
    </sheetView>
  </sheetViews>
  <sheetFormatPr defaultRowHeight="16.899999999999999" x14ac:dyDescent="0.6"/>
  <sheetData>
    <row r="2" spans="2:8" x14ac:dyDescent="0.6">
      <c r="B2">
        <v>39.319200000000002</v>
      </c>
    </row>
    <row r="4" spans="2:8" x14ac:dyDescent="0.6">
      <c r="B4" t="s">
        <v>13</v>
      </c>
      <c r="C4">
        <v>0</v>
      </c>
      <c r="D4" t="s">
        <v>10</v>
      </c>
      <c r="E4">
        <v>1.22855</v>
      </c>
      <c r="F4" s="1">
        <f t="shared" ref="F4:F6" si="0">E4*32</f>
        <v>39.313600000000001</v>
      </c>
      <c r="H4">
        <f>327600/F4</f>
        <v>8332.9941801310488</v>
      </c>
    </row>
    <row r="5" spans="2:8" x14ac:dyDescent="0.6">
      <c r="D5" t="s">
        <v>11</v>
      </c>
      <c r="E5">
        <v>1.2242</v>
      </c>
      <c r="F5" s="1">
        <f t="shared" si="0"/>
        <v>39.174399999999999</v>
      </c>
      <c r="H5">
        <f t="shared" ref="H5:H18" si="1">327600/F5</f>
        <v>8362.6041496487505</v>
      </c>
    </row>
    <row r="6" spans="2:8" x14ac:dyDescent="0.6">
      <c r="D6" t="s">
        <v>12</v>
      </c>
      <c r="E6">
        <v>1.2333000000000001</v>
      </c>
      <c r="F6" s="1">
        <f t="shared" si="0"/>
        <v>39.465600000000002</v>
      </c>
      <c r="H6">
        <f t="shared" si="1"/>
        <v>8300.9000243249811</v>
      </c>
    </row>
    <row r="8" spans="2:8" x14ac:dyDescent="0.6">
      <c r="C8">
        <v>1</v>
      </c>
      <c r="D8" t="s">
        <v>10</v>
      </c>
      <c r="E8">
        <v>1.2285999999999999</v>
      </c>
      <c r="F8" s="1">
        <f>E8*32</f>
        <v>39.315199999999997</v>
      </c>
      <c r="H8">
        <f t="shared" si="1"/>
        <v>8332.6550545336158</v>
      </c>
    </row>
    <row r="9" spans="2:8" x14ac:dyDescent="0.6">
      <c r="D9" t="s">
        <v>11</v>
      </c>
      <c r="E9">
        <v>1.2242</v>
      </c>
      <c r="F9" s="1">
        <f>E9*32</f>
        <v>39.174399999999999</v>
      </c>
      <c r="H9">
        <f t="shared" si="1"/>
        <v>8362.6041496487505</v>
      </c>
    </row>
    <row r="10" spans="2:8" x14ac:dyDescent="0.6">
      <c r="D10" t="s">
        <v>12</v>
      </c>
      <c r="E10">
        <v>1.2323</v>
      </c>
      <c r="F10" s="1">
        <f>E10*32</f>
        <v>39.433599999999998</v>
      </c>
      <c r="H10">
        <f t="shared" si="1"/>
        <v>8307.6361275663403</v>
      </c>
    </row>
    <row r="12" spans="2:8" x14ac:dyDescent="0.6">
      <c r="C12">
        <v>2</v>
      </c>
      <c r="D12" t="s">
        <v>10</v>
      </c>
      <c r="E12">
        <v>1.2282999999999999</v>
      </c>
      <c r="F12" s="1">
        <f>E12*32</f>
        <v>39.305599999999998</v>
      </c>
      <c r="H12">
        <f t="shared" si="1"/>
        <v>8334.6902222584067</v>
      </c>
    </row>
    <row r="13" spans="2:8" x14ac:dyDescent="0.6">
      <c r="D13" t="s">
        <v>11</v>
      </c>
      <c r="E13">
        <v>1.2246999999999999</v>
      </c>
      <c r="F13" s="1">
        <f>E13*32</f>
        <v>39.190399999999997</v>
      </c>
      <c r="H13">
        <f t="shared" si="1"/>
        <v>8359.1900057156854</v>
      </c>
    </row>
    <row r="14" spans="2:8" x14ac:dyDescent="0.6">
      <c r="D14" t="s">
        <v>12</v>
      </c>
      <c r="E14">
        <v>1.2326999999999999</v>
      </c>
      <c r="F14" s="1">
        <f>E14*32</f>
        <v>39.446399999999997</v>
      </c>
      <c r="H14">
        <f t="shared" si="1"/>
        <v>8304.9403747870529</v>
      </c>
    </row>
    <row r="16" spans="2:8" x14ac:dyDescent="0.6">
      <c r="C16">
        <v>3</v>
      </c>
      <c r="D16" t="s">
        <v>10</v>
      </c>
      <c r="E16">
        <v>1.2285999999999999</v>
      </c>
      <c r="F16" s="1">
        <f>E16*32</f>
        <v>39.315199999999997</v>
      </c>
      <c r="H16">
        <f t="shared" si="1"/>
        <v>8332.6550545336158</v>
      </c>
    </row>
    <row r="17" spans="4:8" x14ac:dyDescent="0.6">
      <c r="D17" t="s">
        <v>11</v>
      </c>
      <c r="E17">
        <v>1.2222</v>
      </c>
      <c r="F17" s="1">
        <f>E17*32</f>
        <v>39.110399999999998</v>
      </c>
      <c r="H17">
        <f t="shared" si="1"/>
        <v>8376.2886597938141</v>
      </c>
    </row>
    <row r="18" spans="4:8" x14ac:dyDescent="0.6">
      <c r="D18" t="s">
        <v>12</v>
      </c>
      <c r="E18">
        <v>1.2326999999999999</v>
      </c>
      <c r="F18" s="1">
        <f>E18*32</f>
        <v>39.446399999999997</v>
      </c>
      <c r="H18">
        <f t="shared" si="1"/>
        <v>8304.9403747870529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241211</vt:lpstr>
      <vt:lpstr>241212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2024-12-10T01:02:24Z</dcterms:created>
  <dcterms:modified xsi:type="dcterms:W3CDTF">2024-12-12T07:58:46Z</dcterms:modified>
</cp:coreProperties>
</file>