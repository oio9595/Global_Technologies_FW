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PWM\측정자료\"/>
    </mc:Choice>
  </mc:AlternateContent>
  <xr:revisionPtr revIDLastSave="0" documentId="13_ncr:1_{4647AB9C-C5F4-4FCB-9806-04F036BEC43C}" xr6:coauthVersionLast="47" xr6:coauthVersionMax="47" xr10:uidLastSave="{00000000-0000-0000-0000-000000000000}"/>
  <bookViews>
    <workbookView xWindow="-98" yWindow="-98" windowWidth="21795" windowHeight="12975" xr2:uid="{BA245512-A571-45C4-9C42-B88B0B71D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Q9" i="1"/>
  <c r="M10" i="1"/>
  <c r="M9" i="1"/>
  <c r="I10" i="1"/>
  <c r="I9" i="1"/>
  <c r="E10" i="1"/>
  <c r="E9" i="1"/>
  <c r="P10" i="1"/>
  <c r="P9" i="1"/>
  <c r="P8" i="1"/>
  <c r="L10" i="1"/>
  <c r="L9" i="1"/>
  <c r="L8" i="1"/>
  <c r="H10" i="1"/>
  <c r="H9" i="1"/>
  <c r="H8" i="1"/>
  <c r="D9" i="1"/>
  <c r="D10" i="1"/>
  <c r="D8" i="1"/>
  <c r="O3" i="1"/>
  <c r="O5" i="1" s="1"/>
  <c r="P5" i="1" s="1"/>
  <c r="K3" i="1"/>
  <c r="K4" i="1" s="1"/>
  <c r="L4" i="1" s="1"/>
  <c r="G3" i="1"/>
  <c r="G5" i="1" s="1"/>
  <c r="H5" i="1" s="1"/>
  <c r="C5" i="1"/>
  <c r="D5" i="1" s="1"/>
  <c r="C4" i="1"/>
  <c r="D4" i="1" s="1"/>
  <c r="K5" i="1" l="1"/>
  <c r="L5" i="1" s="1"/>
  <c r="G4" i="1"/>
  <c r="H4" i="1" s="1"/>
  <c r="O4" i="1"/>
  <c r="P4" i="1" s="1"/>
</calcChain>
</file>

<file path=xl/sharedStrings.xml><?xml version="1.0" encoding="utf-8"?>
<sst xmlns="http://schemas.openxmlformats.org/spreadsheetml/2006/main" count="19" uniqueCount="10">
  <si>
    <t>vsync</t>
    <phoneticPr fontId="1" type="noConversion"/>
  </si>
  <si>
    <t>mclk_lock_cnt</t>
    <phoneticPr fontId="1" type="noConversion"/>
  </si>
  <si>
    <t>mclk_lock_cnt[11:0]</t>
    <phoneticPr fontId="1" type="noConversion"/>
  </si>
  <si>
    <t>mclk_lock_cnt[19:12]</t>
    <phoneticPr fontId="1" type="noConversion"/>
  </si>
  <si>
    <t>mclk_freq_mean</t>
    <phoneticPr fontId="1" type="noConversion"/>
  </si>
  <si>
    <t>mclk_freq_min</t>
    <phoneticPr fontId="1" type="noConversion"/>
  </si>
  <si>
    <t>mclk_freq_max</t>
    <phoneticPr fontId="1" type="noConversion"/>
  </si>
  <si>
    <t>divided</t>
    <phoneticPr fontId="1" type="noConversion"/>
  </si>
  <si>
    <t>MHz</t>
    <phoneticPr fontId="1" type="noConversion"/>
  </si>
  <si>
    <t>dev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</si>
</sst>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Hz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176" fontId="0" fillId="2" borderId="0" xfId="0" applyNumberFormat="1" applyFill="1" applyAlignment="1">
      <alignment horizontal="left" vertical="center"/>
    </xf>
    <xf numFmtId="10" fontId="0" fillId="0" borderId="0" xfId="1" applyNumberFormat="1" applyFont="1" applyAlignment="1">
      <alignment horizontal="left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D163-FDE2-43D8-BFF0-5909F895B10D}">
  <dimension ref="B2:Q10"/>
  <sheetViews>
    <sheetView tabSelected="1" workbookViewId="0"/>
  </sheetViews>
  <sheetFormatPr defaultRowHeight="16.899999999999999" x14ac:dyDescent="0.6"/>
  <cols>
    <col min="1" max="1" width="2.5625" style="1" customWidth="1"/>
    <col min="2" max="2" width="18.1875" style="1" bestFit="1" customWidth="1"/>
    <col min="3" max="3" width="8" style="1" bestFit="1" customWidth="1"/>
    <col min="4" max="4" width="9" style="1" bestFit="1" customWidth="1"/>
    <col min="5" max="5" width="6.625" style="1" bestFit="1" customWidth="1"/>
    <col min="6" max="7" width="8" style="1" bestFit="1" customWidth="1"/>
    <col min="8" max="8" width="9" style="1" bestFit="1" customWidth="1"/>
    <col min="9" max="9" width="6.625" style="1" bestFit="1" customWidth="1"/>
    <col min="10" max="10" width="9" style="1" bestFit="1" customWidth="1"/>
    <col min="11" max="11" width="8" style="1" bestFit="1" customWidth="1"/>
    <col min="12" max="12" width="9" style="1" bestFit="1" customWidth="1"/>
    <col min="13" max="13" width="6.625" style="1" bestFit="1" customWidth="1"/>
    <col min="14" max="14" width="9" style="1"/>
    <col min="15" max="15" width="8" style="1" bestFit="1" customWidth="1"/>
    <col min="16" max="16" width="9" style="1"/>
    <col min="17" max="17" width="6.625" style="1" bestFit="1" customWidth="1"/>
    <col min="18" max="16384" width="9" style="1"/>
  </cols>
  <sheetData>
    <row r="2" spans="2:17" x14ac:dyDescent="0.6">
      <c r="B2" s="2" t="s">
        <v>0</v>
      </c>
      <c r="C2" s="3">
        <v>120</v>
      </c>
      <c r="D2" s="2"/>
      <c r="E2" s="2"/>
      <c r="F2" s="2"/>
      <c r="G2" s="3">
        <v>240</v>
      </c>
      <c r="H2" s="2"/>
      <c r="I2" s="2"/>
      <c r="J2" s="2"/>
      <c r="K2" s="3">
        <v>480</v>
      </c>
      <c r="L2" s="2"/>
      <c r="M2" s="2"/>
      <c r="N2" s="2"/>
      <c r="O2" s="3">
        <v>960</v>
      </c>
      <c r="P2" s="2"/>
      <c r="Q2" s="2"/>
    </row>
    <row r="3" spans="2:17" x14ac:dyDescent="0.6">
      <c r="B3" s="2" t="s">
        <v>1</v>
      </c>
      <c r="C3" s="1">
        <v>327600</v>
      </c>
      <c r="G3" s="1">
        <f>$C$3*$C$2/G2</f>
        <v>163800</v>
      </c>
      <c r="K3" s="1">
        <f>$C$3*$C$2/K2</f>
        <v>81900</v>
      </c>
      <c r="O3" s="1">
        <f>$C$3*$C$2/O2</f>
        <v>40950</v>
      </c>
    </row>
    <row r="4" spans="2:17" x14ac:dyDescent="0.6">
      <c r="B4" s="2" t="s">
        <v>2</v>
      </c>
      <c r="C4" s="1">
        <f>_xlfn.BITAND($C$3, 4095)</f>
        <v>4016</v>
      </c>
      <c r="D4" s="1" t="str">
        <f>_xlfn.CONCAT("0x", DEC2HEX(C4))</f>
        <v>0xFB0</v>
      </c>
      <c r="G4" s="1">
        <f>_xlfn.BITAND(G3, 4095)</f>
        <v>4056</v>
      </c>
      <c r="H4" s="1" t="str">
        <f>_xlfn.CONCAT("0x", DEC2HEX(G4))</f>
        <v>0xFD8</v>
      </c>
      <c r="K4" s="1">
        <f>_xlfn.BITAND(K3, 4095)</f>
        <v>4076</v>
      </c>
      <c r="L4" s="1" t="str">
        <f>_xlfn.CONCAT("0x", DEC2HEX(K4))</f>
        <v>0xFEC</v>
      </c>
      <c r="O4" s="1">
        <f>_xlfn.BITAND(O3, 4095)</f>
        <v>4086</v>
      </c>
      <c r="P4" s="1" t="str">
        <f>_xlfn.CONCAT("0x", DEC2HEX(O4))</f>
        <v>0xFF6</v>
      </c>
    </row>
    <row r="5" spans="2:17" x14ac:dyDescent="0.6">
      <c r="B5" s="2" t="s">
        <v>3</v>
      </c>
      <c r="C5" s="1">
        <f>_xlfn.BITRSHIFT(_xlfn.BITAND($C$3, 16773120), 12)</f>
        <v>79</v>
      </c>
      <c r="D5" s="1" t="str">
        <f>_xlfn.CONCAT("0x", DEC2HEX(C5))</f>
        <v>0x4F</v>
      </c>
      <c r="G5" s="1">
        <f>_xlfn.BITRSHIFT(_xlfn.BITAND(G3, 16773120), 12)</f>
        <v>39</v>
      </c>
      <c r="H5" s="1" t="str">
        <f>_xlfn.CONCAT("0x", DEC2HEX(G5))</f>
        <v>0x27</v>
      </c>
      <c r="K5" s="1">
        <f>_xlfn.BITRSHIFT(_xlfn.BITAND(K3, 16773120), 12)</f>
        <v>19</v>
      </c>
      <c r="L5" s="1" t="str">
        <f>_xlfn.CONCAT("0x", DEC2HEX(K5))</f>
        <v>0x13</v>
      </c>
      <c r="O5" s="1">
        <f>_xlfn.BITRSHIFT(_xlfn.BITAND(O3, 16773120), 12)</f>
        <v>9</v>
      </c>
      <c r="P5" s="1" t="str">
        <f>_xlfn.CONCAT("0x", DEC2HEX(O5))</f>
        <v>0x9</v>
      </c>
    </row>
    <row r="7" spans="2:17" x14ac:dyDescent="0.6">
      <c r="B7" s="2"/>
      <c r="C7" s="2" t="s">
        <v>7</v>
      </c>
      <c r="D7" s="2" t="s">
        <v>8</v>
      </c>
      <c r="E7" s="2" t="s">
        <v>9</v>
      </c>
      <c r="F7" s="2"/>
      <c r="G7" s="2" t="s">
        <v>7</v>
      </c>
      <c r="H7" s="2" t="s">
        <v>8</v>
      </c>
      <c r="I7" s="2" t="s">
        <v>9</v>
      </c>
      <c r="J7" s="2"/>
      <c r="K7" s="2" t="s">
        <v>7</v>
      </c>
      <c r="L7" s="2" t="s">
        <v>8</v>
      </c>
      <c r="M7" s="2" t="s">
        <v>9</v>
      </c>
      <c r="N7" s="2"/>
      <c r="O7" s="2" t="s">
        <v>7</v>
      </c>
      <c r="P7" s="2" t="s">
        <v>8</v>
      </c>
      <c r="Q7" s="2" t="s">
        <v>9</v>
      </c>
    </row>
    <row r="8" spans="2:17" x14ac:dyDescent="0.6">
      <c r="B8" s="2" t="s">
        <v>4</v>
      </c>
      <c r="C8" s="1">
        <v>1.22844</v>
      </c>
      <c r="D8" s="1">
        <f>C8*32</f>
        <v>39.310079999999999</v>
      </c>
      <c r="G8" s="1">
        <v>1.22847</v>
      </c>
      <c r="H8" s="1">
        <f>G8*32</f>
        <v>39.311039999999998</v>
      </c>
      <c r="K8" s="1">
        <v>1.2284200000000001</v>
      </c>
      <c r="L8" s="1">
        <f>K8*32</f>
        <v>39.309440000000002</v>
      </c>
      <c r="O8" s="1">
        <v>1.2284900000000001</v>
      </c>
      <c r="P8" s="1">
        <f>O8*32</f>
        <v>39.311680000000003</v>
      </c>
    </row>
    <row r="9" spans="2:17" x14ac:dyDescent="0.6">
      <c r="B9" s="2" t="s">
        <v>5</v>
      </c>
      <c r="C9" s="1">
        <v>1.2255499999999999</v>
      </c>
      <c r="D9" s="1">
        <f t="shared" ref="D9:D10" si="0">C9*32</f>
        <v>39.217599999999997</v>
      </c>
      <c r="E9" s="4">
        <f>(D9-D8)/D8</f>
        <v>-2.3525772524503104E-3</v>
      </c>
      <c r="G9" s="1">
        <v>1.2249000000000001</v>
      </c>
      <c r="H9" s="1">
        <f t="shared" ref="H9:H10" si="1">G9*32</f>
        <v>39.196800000000003</v>
      </c>
      <c r="I9" s="4">
        <f>(H9-H8)/H8</f>
        <v>-2.9060538718893021E-3</v>
      </c>
      <c r="K9" s="1">
        <v>1.2251099999999999</v>
      </c>
      <c r="L9" s="1">
        <f t="shared" ref="L9:L10" si="2">K9*32</f>
        <v>39.203519999999997</v>
      </c>
      <c r="M9" s="4">
        <f>(L9-L8)/L8</f>
        <v>-2.6945181615409598E-3</v>
      </c>
      <c r="O9" s="1">
        <v>1.22563</v>
      </c>
      <c r="P9" s="1">
        <f t="shared" ref="P9:P10" si="3">O9*32</f>
        <v>39.22016</v>
      </c>
      <c r="Q9" s="4">
        <f>(P9-P8)/P8</f>
        <v>-2.3280612784801541E-3</v>
      </c>
    </row>
    <row r="10" spans="2:17" x14ac:dyDescent="0.6">
      <c r="B10" s="2" t="s">
        <v>6</v>
      </c>
      <c r="C10" s="1">
        <v>1.2363999999999999</v>
      </c>
      <c r="D10" s="1">
        <f t="shared" si="0"/>
        <v>39.564799999999998</v>
      </c>
      <c r="E10" s="4">
        <f>(D10-D8)/D8</f>
        <v>6.4797629513854704E-3</v>
      </c>
      <c r="G10" s="1">
        <v>1.2354700000000001</v>
      </c>
      <c r="H10" s="1">
        <f t="shared" si="1"/>
        <v>39.535040000000002</v>
      </c>
      <c r="I10" s="4">
        <f>(H10-H8)/H8</f>
        <v>5.6981448468421021E-3</v>
      </c>
      <c r="K10" s="1">
        <v>1.2335</v>
      </c>
      <c r="L10" s="1">
        <f t="shared" si="2"/>
        <v>39.472000000000001</v>
      </c>
      <c r="M10" s="4">
        <f>(L10-L8)/L8</f>
        <v>4.1353934322137164E-3</v>
      </c>
      <c r="O10" s="1">
        <v>1.2356499999999999</v>
      </c>
      <c r="P10" s="1">
        <f t="shared" si="3"/>
        <v>39.540799999999997</v>
      </c>
      <c r="Q10" s="4">
        <f>(P10-P8)/P8</f>
        <v>5.8282932706003572E-3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2024-12-13T02:34:35Z</dcterms:created>
  <dcterms:modified xsi:type="dcterms:W3CDTF">2024-12-13T08:55:20Z</dcterms:modified>
</cp:coreProperties>
</file>