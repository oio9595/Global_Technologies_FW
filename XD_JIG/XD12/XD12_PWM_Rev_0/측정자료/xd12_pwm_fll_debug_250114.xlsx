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o95\OneDrive\Desktop\"/>
    </mc:Choice>
  </mc:AlternateContent>
  <xr:revisionPtr revIDLastSave="0" documentId="13_ncr:1_{8D70E2E6-3D30-4E29-91BD-F20770D54780}" xr6:coauthVersionLast="47" xr6:coauthVersionMax="47" xr10:uidLastSave="{00000000-0000-0000-0000-000000000000}"/>
  <bookViews>
    <workbookView xWindow="43080" yWindow="4095" windowWidth="29040" windowHeight="15720" activeTab="1" xr2:uid="{02EBC587-2A76-4818-8F5D-95028297325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2" l="1"/>
  <c r="S3" i="2"/>
  <c r="R7" i="2" s="1"/>
  <c r="I4" i="2"/>
  <c r="K6" i="2"/>
  <c r="J6" i="2"/>
  <c r="I6" i="2"/>
  <c r="L3" i="2"/>
  <c r="D23" i="2"/>
  <c r="C23" i="2"/>
  <c r="B23" i="2"/>
  <c r="C19" i="2"/>
  <c r="E19" i="2" s="1"/>
  <c r="C11" i="2"/>
  <c r="E11" i="2" s="1"/>
  <c r="D15" i="2" s="1"/>
  <c r="E3" i="2"/>
  <c r="D7" i="2" s="1"/>
  <c r="C3" i="2"/>
  <c r="F34" i="1"/>
  <c r="D37" i="1"/>
  <c r="C37" i="1"/>
  <c r="B37" i="1"/>
  <c r="D32" i="1"/>
  <c r="C32" i="1"/>
  <c r="B32" i="1"/>
  <c r="D27" i="1"/>
  <c r="C27" i="1"/>
  <c r="B27" i="1"/>
  <c r="B2" i="1"/>
  <c r="C17" i="1"/>
  <c r="P6" i="1"/>
  <c r="E5" i="1"/>
  <c r="E2" i="1"/>
  <c r="B5" i="1" s="1"/>
  <c r="P11" i="2" l="1"/>
  <c r="R11" i="2"/>
  <c r="Q11" i="2"/>
  <c r="P7" i="2"/>
  <c r="Q7" i="2"/>
  <c r="B15" i="2"/>
  <c r="C15" i="2"/>
  <c r="B7" i="2"/>
  <c r="C7" i="2"/>
  <c r="B12" i="1"/>
  <c r="B17" i="1"/>
  <c r="D17" i="1"/>
  <c r="D22" i="1"/>
  <c r="C12" i="1"/>
  <c r="D12" i="1"/>
  <c r="B22" i="1"/>
  <c r="C22" i="1"/>
  <c r="K7" i="1"/>
</calcChain>
</file>

<file path=xl/sharedStrings.xml><?xml version="1.0" encoding="utf-8"?>
<sst xmlns="http://schemas.openxmlformats.org/spreadsheetml/2006/main" count="86" uniqueCount="17">
  <si>
    <t>MHz</t>
    <phoneticPr fontId="1" type="noConversion"/>
  </si>
  <si>
    <t>ns</t>
    <phoneticPr fontId="1" type="noConversion"/>
  </si>
  <si>
    <t>300kHz</t>
    <phoneticPr fontId="1" type="noConversion"/>
  </si>
  <si>
    <t>H</t>
    <phoneticPr fontId="1" type="noConversion"/>
  </si>
  <si>
    <t>L</t>
    <phoneticPr fontId="1" type="noConversion"/>
  </si>
  <si>
    <t>period</t>
    <phoneticPr fontId="1" type="noConversion"/>
  </si>
  <si>
    <t>kHz</t>
    <phoneticPr fontId="1" type="noConversion"/>
  </si>
  <si>
    <t>serial latency = 127</t>
    <phoneticPr fontId="1" type="noConversion"/>
  </si>
  <si>
    <t>serial latency = 80</t>
    <phoneticPr fontId="1" type="noConversion"/>
  </si>
  <si>
    <t>read 한계 지점</t>
    <phoneticPr fontId="1" type="noConversion"/>
  </si>
  <si>
    <t>serial latency</t>
    <phoneticPr fontId="1" type="noConversion"/>
  </si>
  <si>
    <t>FLL</t>
    <phoneticPr fontId="1" type="noConversion"/>
  </si>
  <si>
    <t>disable</t>
    <phoneticPr fontId="1" type="noConversion"/>
  </si>
  <si>
    <t>XD #1</t>
    <phoneticPr fontId="1" type="noConversion"/>
  </si>
  <si>
    <t>XD #2</t>
    <phoneticPr fontId="1" type="noConversion"/>
  </si>
  <si>
    <t>fll en</t>
    <phoneticPr fontId="1" type="noConversion"/>
  </si>
  <si>
    <t>XD #3 (가정)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</si>
</sst>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FF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24A30-AB65-43FD-880B-B892350715CF}">
  <dimension ref="B2:P37"/>
  <sheetViews>
    <sheetView topLeftCell="A13" zoomScaleNormal="100" workbookViewId="0">
      <selection activeCell="F24" sqref="F24"/>
    </sheetView>
  </sheetViews>
  <sheetFormatPr defaultRowHeight="16.899999999999999" x14ac:dyDescent="0.6"/>
  <cols>
    <col min="7" max="7" width="13.3125" bestFit="1" customWidth="1"/>
  </cols>
  <sheetData>
    <row r="2" spans="2:16" x14ac:dyDescent="0.6">
      <c r="B2">
        <f>32*(1.2285)*1.01</f>
        <v>39.705120000000001</v>
      </c>
      <c r="C2" t="s">
        <v>0</v>
      </c>
      <c r="E2">
        <f>1000/B2</f>
        <v>25.185668750025187</v>
      </c>
      <c r="F2" t="s">
        <v>1</v>
      </c>
    </row>
    <row r="3" spans="2:16" x14ac:dyDescent="0.6">
      <c r="K3" t="s">
        <v>3</v>
      </c>
      <c r="L3" t="s">
        <v>4</v>
      </c>
    </row>
    <row r="4" spans="2:16" x14ac:dyDescent="0.6">
      <c r="B4">
        <v>80</v>
      </c>
      <c r="J4" t="s">
        <v>2</v>
      </c>
      <c r="K4">
        <v>2214</v>
      </c>
      <c r="L4">
        <v>1118</v>
      </c>
    </row>
    <row r="5" spans="2:16" x14ac:dyDescent="0.6">
      <c r="B5">
        <f>B4*E2</f>
        <v>2014.8535000020149</v>
      </c>
      <c r="E5">
        <f>1/1800</f>
        <v>5.5555555555555556E-4</v>
      </c>
      <c r="J5">
        <v>317</v>
      </c>
      <c r="K5">
        <v>2098</v>
      </c>
      <c r="L5">
        <v>1056</v>
      </c>
    </row>
    <row r="6" spans="2:16" x14ac:dyDescent="0.6">
      <c r="J6">
        <v>350</v>
      </c>
      <c r="K6">
        <v>1890</v>
      </c>
      <c r="L6">
        <v>960</v>
      </c>
      <c r="P6">
        <f>1/4.5</f>
        <v>0.22222222222222221</v>
      </c>
    </row>
    <row r="7" spans="2:16" x14ac:dyDescent="0.6">
      <c r="K7">
        <f>K5/E2</f>
        <v>83.30134176</v>
      </c>
    </row>
    <row r="9" spans="2:16" x14ac:dyDescent="0.6">
      <c r="B9">
        <v>310</v>
      </c>
      <c r="C9" t="s">
        <v>6</v>
      </c>
    </row>
    <row r="10" spans="2:16" x14ac:dyDescent="0.6">
      <c r="B10" t="s">
        <v>5</v>
      </c>
      <c r="C10" t="s">
        <v>3</v>
      </c>
      <c r="D10" t="s">
        <v>4</v>
      </c>
    </row>
    <row r="11" spans="2:16" x14ac:dyDescent="0.6">
      <c r="B11">
        <v>3232</v>
      </c>
      <c r="C11">
        <v>1932</v>
      </c>
      <c r="D11">
        <v>1284</v>
      </c>
    </row>
    <row r="12" spans="2:16" x14ac:dyDescent="0.6">
      <c r="B12">
        <f>B11/$E$2</f>
        <v>128.32694784</v>
      </c>
      <c r="C12">
        <f t="shared" ref="C12:D12" si="0">C11/$E$2</f>
        <v>76.710291839999996</v>
      </c>
      <c r="D12">
        <f t="shared" si="0"/>
        <v>50.981374079999995</v>
      </c>
    </row>
    <row r="14" spans="2:16" x14ac:dyDescent="0.6">
      <c r="B14">
        <v>315</v>
      </c>
      <c r="C14" t="s">
        <v>6</v>
      </c>
    </row>
    <row r="15" spans="2:16" x14ac:dyDescent="0.6">
      <c r="B15" t="s">
        <v>5</v>
      </c>
      <c r="C15" t="s">
        <v>3</v>
      </c>
      <c r="D15" t="s">
        <v>4</v>
      </c>
    </row>
    <row r="16" spans="2:16" x14ac:dyDescent="0.6">
      <c r="B16">
        <v>3176</v>
      </c>
      <c r="C16">
        <v>1894</v>
      </c>
      <c r="D16">
        <v>1264</v>
      </c>
    </row>
    <row r="17" spans="2:6" x14ac:dyDescent="0.6">
      <c r="B17">
        <f>B16/$E$2</f>
        <v>126.10346111999999</v>
      </c>
      <c r="C17">
        <f t="shared" ref="C17" si="1">C16/$E$2</f>
        <v>75.201497279999998</v>
      </c>
      <c r="D17">
        <f t="shared" ref="D17" si="2">D16/$E$2</f>
        <v>50.187271679999995</v>
      </c>
    </row>
    <row r="19" spans="2:6" x14ac:dyDescent="0.6">
      <c r="B19" s="1">
        <v>317</v>
      </c>
      <c r="C19" s="1" t="s">
        <v>6</v>
      </c>
      <c r="D19" s="1" t="s">
        <v>7</v>
      </c>
      <c r="E19" s="3"/>
      <c r="F19" s="4" t="s">
        <v>15</v>
      </c>
    </row>
    <row r="20" spans="2:6" x14ac:dyDescent="0.6">
      <c r="B20" t="s">
        <v>5</v>
      </c>
      <c r="C20" s="1" t="s">
        <v>3</v>
      </c>
      <c r="D20" t="s">
        <v>4</v>
      </c>
    </row>
    <row r="21" spans="2:6" x14ac:dyDescent="0.6">
      <c r="B21">
        <v>3156</v>
      </c>
      <c r="C21" s="1">
        <v>1884</v>
      </c>
      <c r="D21">
        <v>1254</v>
      </c>
    </row>
    <row r="22" spans="2:6" x14ac:dyDescent="0.6">
      <c r="B22">
        <f>B21/$E$2</f>
        <v>125.30935871999999</v>
      </c>
      <c r="C22" s="1">
        <f t="shared" ref="C22" si="3">C21/$E$2</f>
        <v>74.804446079999991</v>
      </c>
      <c r="D22">
        <f t="shared" ref="D22" si="4">D21/$E$2</f>
        <v>49.790220479999995</v>
      </c>
    </row>
    <row r="24" spans="2:6" x14ac:dyDescent="0.6">
      <c r="B24">
        <v>350</v>
      </c>
      <c r="C24" t="s">
        <v>6</v>
      </c>
    </row>
    <row r="25" spans="2:6" x14ac:dyDescent="0.6">
      <c r="B25" t="s">
        <v>5</v>
      </c>
      <c r="C25" s="1" t="s">
        <v>3</v>
      </c>
      <c r="D25" t="s">
        <v>4</v>
      </c>
    </row>
    <row r="26" spans="2:6" x14ac:dyDescent="0.6">
      <c r="B26">
        <v>2854</v>
      </c>
      <c r="C26" s="1">
        <v>1894</v>
      </c>
      <c r="D26">
        <v>944</v>
      </c>
    </row>
    <row r="27" spans="2:6" x14ac:dyDescent="0.6">
      <c r="B27">
        <f>B26/$E$2</f>
        <v>113.31841247999999</v>
      </c>
      <c r="C27" s="1">
        <f t="shared" ref="C27" si="5">C26/$E$2</f>
        <v>75.201497279999998</v>
      </c>
      <c r="D27">
        <f t="shared" ref="D27" si="6">D26/$E$2</f>
        <v>37.481633279999997</v>
      </c>
    </row>
    <row r="29" spans="2:6" x14ac:dyDescent="0.6">
      <c r="B29" s="1">
        <v>550</v>
      </c>
      <c r="C29" s="1" t="s">
        <v>6</v>
      </c>
      <c r="D29" s="1" t="s">
        <v>8</v>
      </c>
      <c r="E29" s="1"/>
      <c r="F29" s="4" t="s">
        <v>15</v>
      </c>
    </row>
    <row r="30" spans="2:6" x14ac:dyDescent="0.6">
      <c r="B30" t="s">
        <v>5</v>
      </c>
      <c r="C30" t="s">
        <v>3</v>
      </c>
      <c r="D30" t="s">
        <v>4</v>
      </c>
    </row>
    <row r="31" spans="2:6" x14ac:dyDescent="0.6">
      <c r="B31">
        <v>1820</v>
      </c>
      <c r="C31">
        <v>1206</v>
      </c>
      <c r="D31">
        <v>596</v>
      </c>
    </row>
    <row r="32" spans="2:6" x14ac:dyDescent="0.6">
      <c r="B32">
        <f>B31/$E$2</f>
        <v>72.263318400000003</v>
      </c>
      <c r="C32">
        <f t="shared" ref="C32" si="7">C31/$E$2</f>
        <v>47.884374719999997</v>
      </c>
      <c r="D32">
        <f t="shared" ref="D32" si="8">D31/$E$2</f>
        <v>23.664251520000001</v>
      </c>
    </row>
    <row r="34" spans="2:8" x14ac:dyDescent="0.6">
      <c r="B34" s="1">
        <v>525</v>
      </c>
      <c r="C34" s="1" t="s">
        <v>6</v>
      </c>
      <c r="D34" s="1" t="s">
        <v>8</v>
      </c>
      <c r="E34" s="1"/>
      <c r="F34" s="1">
        <f>80*$E$2</f>
        <v>2014.8535000020149</v>
      </c>
      <c r="G34" s="1" t="s">
        <v>9</v>
      </c>
      <c r="H34" s="4" t="s">
        <v>15</v>
      </c>
    </row>
    <row r="35" spans="2:8" x14ac:dyDescent="0.6">
      <c r="B35" t="s">
        <v>5</v>
      </c>
      <c r="C35" t="s">
        <v>3</v>
      </c>
      <c r="D35" t="s">
        <v>4</v>
      </c>
    </row>
    <row r="36" spans="2:8" x14ac:dyDescent="0.6">
      <c r="B36">
        <v>1902</v>
      </c>
      <c r="C36">
        <v>1262</v>
      </c>
      <c r="D36">
        <v>624</v>
      </c>
    </row>
    <row r="37" spans="2:8" x14ac:dyDescent="0.6">
      <c r="B37">
        <f>B36/$E$2</f>
        <v>75.519138240000004</v>
      </c>
      <c r="C37">
        <f t="shared" ref="C37" si="9">C36/$E$2</f>
        <v>50.107861440000001</v>
      </c>
      <c r="D37">
        <f t="shared" ref="D37" si="10">D36/$E$2</f>
        <v>24.775994879999999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96126-597F-452A-9EA8-A61669422F56}">
  <dimension ref="B2:U23"/>
  <sheetViews>
    <sheetView tabSelected="1" zoomScaleNormal="100" workbookViewId="0"/>
  </sheetViews>
  <sheetFormatPr defaultRowHeight="16.899999999999999" x14ac:dyDescent="0.6"/>
  <cols>
    <col min="4" max="4" width="11.8125" bestFit="1" customWidth="1"/>
  </cols>
  <sheetData>
    <row r="2" spans="2:21" x14ac:dyDescent="0.6">
      <c r="B2" t="s">
        <v>13</v>
      </c>
      <c r="I2" t="s">
        <v>13</v>
      </c>
      <c r="P2" t="s">
        <v>13</v>
      </c>
    </row>
    <row r="3" spans="2:21" x14ac:dyDescent="0.6">
      <c r="B3">
        <v>1.35</v>
      </c>
      <c r="C3">
        <f>B3*32*1.01</f>
        <v>43.632000000000005</v>
      </c>
      <c r="D3" t="s">
        <v>0</v>
      </c>
      <c r="E3">
        <f>1000/C3</f>
        <v>22.918958562522917</v>
      </c>
      <c r="F3" t="s">
        <v>1</v>
      </c>
      <c r="J3">
        <v>50</v>
      </c>
      <c r="K3" t="s">
        <v>0</v>
      </c>
      <c r="L3">
        <f>1000/J3</f>
        <v>20</v>
      </c>
      <c r="M3" t="s">
        <v>1</v>
      </c>
      <c r="Q3">
        <v>80</v>
      </c>
      <c r="R3" t="s">
        <v>0</v>
      </c>
      <c r="S3">
        <f>1000/Q3</f>
        <v>12.5</v>
      </c>
      <c r="T3" t="s">
        <v>1</v>
      </c>
    </row>
    <row r="4" spans="2:21" x14ac:dyDescent="0.6">
      <c r="B4" s="2">
        <v>560</v>
      </c>
      <c r="C4" s="2" t="s">
        <v>6</v>
      </c>
      <c r="D4" s="2" t="s">
        <v>10</v>
      </c>
      <c r="E4" s="2">
        <v>80</v>
      </c>
      <c r="F4" s="2" t="s">
        <v>11</v>
      </c>
      <c r="G4" s="2" t="s">
        <v>12</v>
      </c>
      <c r="I4" s="2">
        <f>1000000/I6</f>
        <v>666.66666666666663</v>
      </c>
      <c r="J4" s="2" t="s">
        <v>6</v>
      </c>
      <c r="K4" s="2" t="s">
        <v>10</v>
      </c>
      <c r="L4" s="2">
        <v>80</v>
      </c>
      <c r="M4" s="2" t="s">
        <v>11</v>
      </c>
      <c r="N4" s="2" t="s">
        <v>12</v>
      </c>
      <c r="P4" s="2">
        <v>1000</v>
      </c>
      <c r="Q4" s="2" t="s">
        <v>6</v>
      </c>
      <c r="R4" s="2" t="s">
        <v>10</v>
      </c>
      <c r="S4" s="2">
        <v>80</v>
      </c>
      <c r="T4" s="2" t="s">
        <v>11</v>
      </c>
      <c r="U4" s="2" t="s">
        <v>12</v>
      </c>
    </row>
    <row r="5" spans="2:21" x14ac:dyDescent="0.6">
      <c r="B5" t="s">
        <v>5</v>
      </c>
      <c r="C5" t="s">
        <v>3</v>
      </c>
      <c r="D5" t="s">
        <v>4</v>
      </c>
      <c r="I5" t="s">
        <v>5</v>
      </c>
      <c r="J5" t="s">
        <v>3</v>
      </c>
      <c r="K5" t="s">
        <v>4</v>
      </c>
      <c r="P5" t="s">
        <v>5</v>
      </c>
      <c r="Q5" t="s">
        <v>3</v>
      </c>
      <c r="R5" t="s">
        <v>4</v>
      </c>
    </row>
    <row r="6" spans="2:21" x14ac:dyDescent="0.6">
      <c r="B6">
        <v>1784</v>
      </c>
      <c r="C6">
        <v>1178</v>
      </c>
      <c r="D6">
        <v>590</v>
      </c>
      <c r="I6">
        <f>I7*$L$3</f>
        <v>1500</v>
      </c>
      <c r="J6">
        <f t="shared" ref="J6:K6" si="0">J7*$L$3</f>
        <v>1000</v>
      </c>
      <c r="K6">
        <f t="shared" si="0"/>
        <v>500</v>
      </c>
      <c r="P6">
        <v>50</v>
      </c>
      <c r="Q6">
        <v>34</v>
      </c>
      <c r="R6">
        <v>17</v>
      </c>
    </row>
    <row r="7" spans="2:21" x14ac:dyDescent="0.6">
      <c r="B7">
        <f>B6/$E$3</f>
        <v>77.839488000000003</v>
      </c>
      <c r="C7">
        <f>C6/$E$3</f>
        <v>51.398496000000002</v>
      </c>
      <c r="D7">
        <f>D6/$E$3</f>
        <v>25.742880000000003</v>
      </c>
      <c r="I7">
        <v>75</v>
      </c>
      <c r="J7">
        <v>50</v>
      </c>
      <c r="K7">
        <v>25</v>
      </c>
      <c r="P7">
        <f>P6*$S$3</f>
        <v>625</v>
      </c>
      <c r="Q7">
        <f t="shared" ref="Q7:R7" si="1">Q6*$S$3</f>
        <v>425</v>
      </c>
      <c r="R7">
        <f t="shared" si="1"/>
        <v>212.5</v>
      </c>
    </row>
    <row r="10" spans="2:21" x14ac:dyDescent="0.6">
      <c r="B10" t="s">
        <v>14</v>
      </c>
      <c r="P10">
        <v>1000</v>
      </c>
      <c r="Q10">
        <v>680</v>
      </c>
      <c r="R10">
        <v>340</v>
      </c>
    </row>
    <row r="11" spans="2:21" x14ac:dyDescent="0.6">
      <c r="B11">
        <v>1.5369999999999999</v>
      </c>
      <c r="C11">
        <f>B11*32*1.01</f>
        <v>49.675840000000001</v>
      </c>
      <c r="D11" t="s">
        <v>0</v>
      </c>
      <c r="E11">
        <f>1000/C11</f>
        <v>20.13051012323093</v>
      </c>
      <c r="F11" t="s">
        <v>1</v>
      </c>
      <c r="P11">
        <f>P10/$S$3</f>
        <v>80</v>
      </c>
      <c r="Q11">
        <f t="shared" ref="Q11:R11" si="2">Q10/$S$3</f>
        <v>54.4</v>
      </c>
      <c r="R11">
        <f t="shared" si="2"/>
        <v>27.2</v>
      </c>
    </row>
    <row r="12" spans="2:21" x14ac:dyDescent="0.6">
      <c r="B12" s="2">
        <v>640</v>
      </c>
      <c r="C12" s="2" t="s">
        <v>6</v>
      </c>
      <c r="D12" s="2" t="s">
        <v>10</v>
      </c>
      <c r="E12" s="2">
        <v>80</v>
      </c>
      <c r="F12" s="2" t="s">
        <v>11</v>
      </c>
      <c r="G12" s="2" t="s">
        <v>12</v>
      </c>
    </row>
    <row r="13" spans="2:21" x14ac:dyDescent="0.6">
      <c r="B13" t="s">
        <v>5</v>
      </c>
      <c r="C13" t="s">
        <v>3</v>
      </c>
      <c r="D13" t="s">
        <v>4</v>
      </c>
    </row>
    <row r="14" spans="2:21" x14ac:dyDescent="0.6">
      <c r="B14">
        <v>1564</v>
      </c>
      <c r="C14">
        <v>1034</v>
      </c>
      <c r="D14">
        <v>512</v>
      </c>
    </row>
    <row r="15" spans="2:21" x14ac:dyDescent="0.6">
      <c r="B15">
        <f>B14/$E$11</f>
        <v>77.693013759999999</v>
      </c>
      <c r="C15">
        <f>C14/$E$11</f>
        <v>51.364818560000003</v>
      </c>
      <c r="D15">
        <f>D14/$E$11</f>
        <v>25.434030079999999</v>
      </c>
    </row>
    <row r="18" spans="2:7" x14ac:dyDescent="0.6">
      <c r="B18" t="s">
        <v>16</v>
      </c>
    </row>
    <row r="19" spans="2:7" x14ac:dyDescent="0.6">
      <c r="B19">
        <v>1.58</v>
      </c>
      <c r="C19">
        <f>B19*32*1.01</f>
        <v>51.065600000000003</v>
      </c>
      <c r="D19" t="s">
        <v>0</v>
      </c>
      <c r="E19">
        <f>1000/C19</f>
        <v>19.582654467978443</v>
      </c>
      <c r="F19" t="s">
        <v>1</v>
      </c>
    </row>
    <row r="20" spans="2:7" x14ac:dyDescent="0.6">
      <c r="B20" s="2">
        <f>1000000/B22</f>
        <v>663.57000663570011</v>
      </c>
      <c r="C20" s="2" t="s">
        <v>6</v>
      </c>
      <c r="D20" s="2" t="s">
        <v>10</v>
      </c>
      <c r="E20" s="2">
        <v>80</v>
      </c>
      <c r="F20" s="2" t="s">
        <v>11</v>
      </c>
      <c r="G20" s="2" t="s">
        <v>12</v>
      </c>
    </row>
    <row r="21" spans="2:7" x14ac:dyDescent="0.6">
      <c r="B21" t="s">
        <v>5</v>
      </c>
      <c r="C21" t="s">
        <v>3</v>
      </c>
      <c r="D21" t="s">
        <v>4</v>
      </c>
    </row>
    <row r="22" spans="2:7" x14ac:dyDescent="0.6">
      <c r="B22">
        <v>1507</v>
      </c>
      <c r="C22">
        <v>998</v>
      </c>
      <c r="D22">
        <v>489</v>
      </c>
    </row>
    <row r="23" spans="2:7" x14ac:dyDescent="0.6">
      <c r="B23">
        <f>B22/$E$19</f>
        <v>76.955859200000006</v>
      </c>
      <c r="C23">
        <f t="shared" ref="C23" si="3">C22/$E$19</f>
        <v>50.963468800000001</v>
      </c>
      <c r="D23">
        <f>D22/$E$19</f>
        <v>24.9710784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2024-12-26T00:29:37Z</dcterms:created>
  <dcterms:modified xsi:type="dcterms:W3CDTF">2025-01-14T00:02:22Z</dcterms:modified>
</cp:coreProperties>
</file>