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0\Docs\"/>
    </mc:Choice>
  </mc:AlternateContent>
  <xr:revisionPtr revIDLastSave="0" documentId="13_ncr:1_{4B700265-9EE2-477C-AD49-F7A9C0E8E9E3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Test_Plan" sheetId="12" r:id="rId1"/>
    <sheet name="Sheet1" sheetId="13" r:id="rId2"/>
    <sheet name="Sheet2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4" l="1"/>
  <c r="E4" i="14"/>
  <c r="C2" i="14"/>
  <c r="C4" i="14"/>
  <c r="B2" i="14"/>
  <c r="Q17" i="13"/>
  <c r="K17" i="13"/>
  <c r="Q13" i="13"/>
  <c r="K13" i="13"/>
  <c r="E13" i="13"/>
  <c r="E17" i="13"/>
  <c r="Q8" i="13"/>
  <c r="Q4" i="13"/>
  <c r="K8" i="13"/>
  <c r="K4" i="13"/>
  <c r="P11" i="13" l="1"/>
  <c r="J11" i="13"/>
  <c r="D11" i="13"/>
  <c r="P2" i="13"/>
  <c r="J2" i="13"/>
  <c r="O11" i="13"/>
  <c r="I11" i="13"/>
  <c r="C11" i="13"/>
  <c r="O2" i="13"/>
  <c r="I2" i="13"/>
  <c r="Q18" i="13"/>
  <c r="E18" i="13"/>
  <c r="Q14" i="13"/>
  <c r="K14" i="13"/>
  <c r="E14" i="13"/>
  <c r="Q9" i="13"/>
  <c r="K9" i="13"/>
  <c r="K18" i="13"/>
  <c r="E9" i="13"/>
  <c r="E5" i="13"/>
  <c r="C35" i="12"/>
  <c r="E36" i="12" s="1"/>
  <c r="C31" i="12"/>
  <c r="E32" i="12" s="1"/>
  <c r="Q5" i="13" l="1"/>
  <c r="K5" i="13"/>
  <c r="E10" i="12"/>
  <c r="E6" i="12" l="1"/>
</calcChain>
</file>

<file path=xl/sharedStrings.xml><?xml version="1.0" encoding="utf-8"?>
<sst xmlns="http://schemas.openxmlformats.org/spreadsheetml/2006/main" count="252" uniqueCount="58">
  <si>
    <t>IOUT</t>
    <phoneticPr fontId="2" type="noConversion"/>
  </si>
  <si>
    <t>Bit</t>
    <phoneticPr fontId="2" type="noConversion"/>
  </si>
  <si>
    <t>mA</t>
    <phoneticPr fontId="2" type="noConversion"/>
  </si>
  <si>
    <t>TEST PIN</t>
    <phoneticPr fontId="2" type="noConversion"/>
  </si>
  <si>
    <t>SET REG</t>
    <phoneticPr fontId="2" type="noConversion"/>
  </si>
  <si>
    <t>TRIM REG</t>
    <phoneticPr fontId="2" type="noConversion"/>
  </si>
  <si>
    <t>TARGET</t>
    <phoneticPr fontId="2" type="noConversion"/>
  </si>
  <si>
    <t>Max current</t>
    <phoneticPr fontId="2" type="noConversion"/>
  </si>
  <si>
    <t>CH1 ~~~ CH12</t>
    <phoneticPr fontId="2" type="noConversion"/>
  </si>
  <si>
    <t>2.2V</t>
    <phoneticPr fontId="2" type="noConversion"/>
  </si>
  <si>
    <t>(Unsigned), Default : 7'd 64</t>
    <phoneticPr fontId="2" type="noConversion"/>
  </si>
  <si>
    <t>000</t>
    <phoneticPr fontId="2" type="noConversion"/>
  </si>
  <si>
    <t>001</t>
    <phoneticPr fontId="2" type="noConversion"/>
  </si>
  <si>
    <t>010</t>
    <phoneticPr fontId="2" type="noConversion"/>
  </si>
  <si>
    <t>011</t>
    <phoneticPr fontId="2" type="noConversion"/>
  </si>
  <si>
    <t>100</t>
    <phoneticPr fontId="2" type="noConversion"/>
  </si>
  <si>
    <t>101</t>
    <phoneticPr fontId="2" type="noConversion"/>
  </si>
  <si>
    <t>110</t>
    <phoneticPr fontId="2" type="noConversion"/>
  </si>
  <si>
    <t>111</t>
    <phoneticPr fontId="2" type="noConversion"/>
  </si>
  <si>
    <t>VREF_CTL[5:0]</t>
    <phoneticPr fontId="2" type="noConversion"/>
  </si>
  <si>
    <t>step = 25mV (simulation)</t>
    <phoneticPr fontId="2" type="noConversion"/>
  </si>
  <si>
    <t>(Unsigned), Default : 6'd 32</t>
    <phoneticPr fontId="2" type="noConversion"/>
  </si>
  <si>
    <t>OSC_CTL[5:0]</t>
    <phoneticPr fontId="2" type="noConversion"/>
  </si>
  <si>
    <t>MAX_CURR_LEVEL&lt;2:0&gt;</t>
    <phoneticPr fontId="2" type="noConversion"/>
  </si>
  <si>
    <t>TEST_EN = 1,  O_MAX_CURR_VREF[11:0] = 4095</t>
    <phoneticPr fontId="2" type="noConversion"/>
  </si>
  <si>
    <t>Offset</t>
    <phoneticPr fontId="2" type="noConversion"/>
  </si>
  <si>
    <r>
      <t>ICTL_</t>
    </r>
    <r>
      <rPr>
        <b/>
        <sz val="11"/>
        <color rgb="FFFF0000"/>
        <rFont val="Calibri"/>
        <family val="2"/>
      </rPr>
      <t>H</t>
    </r>
    <r>
      <rPr>
        <sz val="11"/>
        <color theme="1"/>
        <rFont val="Calibri"/>
        <family val="2"/>
      </rPr>
      <t>_CH1~12[6:0]</t>
    </r>
    <phoneticPr fontId="2" type="noConversion"/>
  </si>
  <si>
    <r>
      <t>ICTL_</t>
    </r>
    <r>
      <rPr>
        <b/>
        <sz val="11"/>
        <color rgb="FFFF0000"/>
        <rFont val="Calibri"/>
        <family val="2"/>
      </rPr>
      <t>L</t>
    </r>
    <r>
      <rPr>
        <sz val="11"/>
        <color theme="1"/>
        <rFont val="Calibri"/>
        <family val="2"/>
      </rPr>
      <t>_CH1~12[6:0]</t>
    </r>
    <phoneticPr fontId="2" type="noConversion"/>
  </si>
  <si>
    <t>ICTL_L_CH1[6:0] ~~~ ICTL_L_CH12[6:0]</t>
    <phoneticPr fontId="2" type="noConversion"/>
  </si>
  <si>
    <t>ICTL_H_CH1[6:0] ~~~ ICTL_H_CH12[6:0]</t>
    <phoneticPr fontId="2" type="noConversion"/>
  </si>
  <si>
    <t>ICTL_L (4/8/12/16)mA</t>
    <phoneticPr fontId="2" type="noConversion"/>
  </si>
  <si>
    <t>ICTL_H (24/32/46/64)mA</t>
    <phoneticPr fontId="2" type="noConversion"/>
  </si>
  <si>
    <r>
      <t xml:space="preserve">3.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C4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E4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2" type="noConversion"/>
  </si>
  <si>
    <r>
      <t xml:space="preserve">4. DIN 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C8 </t>
    </r>
    <r>
      <rPr>
        <b/>
        <sz val="9"/>
        <rFont val="Arial Unicode MS"/>
        <family val="2"/>
        <charset val="129"/>
      </rPr>
      <t>값으로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설정하고</t>
    </r>
    <r>
      <rPr>
        <b/>
        <sz val="9"/>
        <rFont val="Calibri"/>
        <family val="2"/>
      </rPr>
      <t>, IOUT</t>
    </r>
    <r>
      <rPr>
        <b/>
        <sz val="9"/>
        <rFont val="Arial Unicode MS"/>
        <family val="2"/>
        <charset val="129"/>
      </rPr>
      <t>이</t>
    </r>
    <r>
      <rPr>
        <b/>
        <sz val="9"/>
        <rFont val="Calibri"/>
        <family val="2"/>
      </rPr>
      <t xml:space="preserve"> E8 </t>
    </r>
    <r>
      <rPr>
        <b/>
        <sz val="9"/>
        <rFont val="Arial Unicode MS"/>
        <family val="2"/>
        <charset val="129"/>
      </rPr>
      <t>가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되도록</t>
    </r>
    <r>
      <rPr>
        <b/>
        <sz val="9"/>
        <rFont val="Calibri"/>
        <family val="2"/>
      </rPr>
      <t xml:space="preserve"> TRIM</t>
    </r>
    <r>
      <rPr>
        <b/>
        <sz val="9"/>
        <rFont val="Arial Unicode MS"/>
        <family val="2"/>
        <charset val="129"/>
      </rPr>
      <t>을</t>
    </r>
    <r>
      <rPr>
        <b/>
        <sz val="9"/>
        <rFont val="Calibri"/>
        <family val="2"/>
      </rPr>
      <t xml:space="preserve"> </t>
    </r>
    <r>
      <rPr>
        <b/>
        <sz val="9"/>
        <rFont val="Arial Unicode MS"/>
        <family val="2"/>
        <charset val="129"/>
      </rPr>
      <t>진행한다</t>
    </r>
    <r>
      <rPr>
        <b/>
        <sz val="9"/>
        <rFont val="Calibri"/>
        <family val="2"/>
      </rPr>
      <t>.</t>
    </r>
    <phoneticPr fontId="2" type="noConversion"/>
  </si>
  <si>
    <t>15 (DOUT)</t>
    <phoneticPr fontId="2" type="noConversion"/>
  </si>
  <si>
    <t>14 (VSYNCO / TEST)</t>
    <phoneticPr fontId="2" type="noConversion"/>
  </si>
  <si>
    <t>E4</t>
    <phoneticPr fontId="2" type="noConversion"/>
  </si>
  <si>
    <t>E8</t>
    <phoneticPr fontId="2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</si>
  <si>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C4, MAX_CURR_LEVEL[2:0] = 3'd 1,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2" type="noConversion"/>
  </si>
  <si>
    <r>
      <rPr>
        <sz val="9"/>
        <rFont val="Calibri"/>
        <family val="2"/>
      </rPr>
      <t xml:space="preserve">LD_DATA[13:0] </t>
    </r>
    <r>
      <rPr>
        <sz val="9"/>
        <color rgb="FF000000"/>
        <rFont val="Calibri"/>
        <family val="2"/>
      </rPr>
      <t>= C8, MAX_CURR_LEVEL[2:0] = 3'd 5,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</t>
    </r>
    <phoneticPr fontId="2" type="noConversion"/>
  </si>
  <si>
    <r>
      <t>step = 625KHz (simulation) (</t>
    </r>
    <r>
      <rPr>
        <sz val="9"/>
        <color rgb="FF000000"/>
        <rFont val="Arial Unicode MS"/>
        <family val="2"/>
        <charset val="129"/>
      </rPr>
      <t>실제출력</t>
    </r>
    <r>
      <rPr>
        <sz val="9"/>
        <color rgb="FF000000"/>
        <rFont val="Calibri"/>
        <family val="2"/>
      </rPr>
      <t xml:space="preserve"> = </t>
    </r>
    <r>
      <rPr>
        <b/>
        <sz val="9"/>
        <color rgb="FFFF0000"/>
        <rFont val="Calibri"/>
        <family val="2"/>
      </rPr>
      <t>1/32</t>
    </r>
    <r>
      <rPr>
        <sz val="9"/>
        <color rgb="FF000000"/>
        <rFont val="Calibri"/>
        <family val="2"/>
      </rPr>
      <t>)</t>
    </r>
    <phoneticPr fontId="2" type="noConversion"/>
  </si>
  <si>
    <t>40MHz (1/32) = 1.25MHz</t>
    <phoneticPr fontId="2" type="noConversion"/>
  </si>
  <si>
    <t>step = 0.54% (Max current)</t>
    <phoneticPr fontId="2" type="noConversion"/>
  </si>
  <si>
    <r>
      <t>1. VREF(2.2V)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2.2V</t>
    </r>
    <r>
      <rPr>
        <b/>
        <sz val="9"/>
        <color rgb="FF000000"/>
        <rFont val="맑은 고딕"/>
        <family val="3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맑은 고딕"/>
        <family val="3"/>
        <charset val="129"/>
      </rPr>
      <t>을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맑은 고딕"/>
        <family val="3"/>
        <charset val="129"/>
      </rPr>
      <t>진행한다</t>
    </r>
    <r>
      <rPr>
        <b/>
        <sz val="9"/>
        <color rgb="FF000000"/>
        <rFont val="Calibri"/>
        <family val="2"/>
      </rPr>
      <t>.</t>
    </r>
    <phoneticPr fontId="2" type="noConversion"/>
  </si>
  <si>
    <r>
      <t>2. OSC Frequency</t>
    </r>
    <r>
      <rPr>
        <b/>
        <sz val="9"/>
        <color rgb="FF000000"/>
        <rFont val="맑은 고딕"/>
        <family val="3"/>
        <charset val="129"/>
      </rPr>
      <t>를</t>
    </r>
    <r>
      <rPr>
        <b/>
        <sz val="9"/>
        <color rgb="FF000000"/>
        <rFont val="Calibri"/>
        <family val="2"/>
      </rPr>
      <t xml:space="preserve"> Target frequency</t>
    </r>
    <r>
      <rPr>
        <b/>
        <sz val="9"/>
        <color rgb="FF000000"/>
        <rFont val="Arial Unicode MS"/>
        <family val="2"/>
        <charset val="129"/>
      </rPr>
      <t>에</t>
    </r>
    <r>
      <rPr>
        <b/>
        <sz val="9"/>
        <color rgb="FF000000"/>
        <rFont val="Calibri"/>
        <family val="2"/>
      </rPr>
      <t xml:space="preserve"> </t>
    </r>
    <r>
      <rPr>
        <b/>
        <sz val="9"/>
        <color rgb="FF000000"/>
        <rFont val="Arial Unicode MS"/>
        <family val="2"/>
        <charset val="129"/>
      </rPr>
      <t>수렴하도록</t>
    </r>
    <r>
      <rPr>
        <b/>
        <sz val="9"/>
        <color rgb="FF000000"/>
        <rFont val="Calibri"/>
        <family val="2"/>
      </rPr>
      <t xml:space="preserve"> Trim</t>
    </r>
    <r>
      <rPr>
        <b/>
        <sz val="9"/>
        <color rgb="FF000000"/>
        <rFont val="Arial Unicode MS"/>
        <family val="2"/>
        <charset val="129"/>
      </rPr>
      <t>한다</t>
    </r>
    <r>
      <rPr>
        <b/>
        <sz val="9"/>
        <color rgb="FF000000"/>
        <rFont val="Calibri"/>
        <family val="2"/>
      </rPr>
      <t>.</t>
    </r>
    <phoneticPr fontId="2" type="noConversion"/>
  </si>
  <si>
    <r>
      <t xml:space="preserve">TEST_EN = 1 , </t>
    </r>
    <r>
      <rPr>
        <sz val="9"/>
        <color rgb="FFFF0000"/>
        <rFont val="Calibri"/>
        <family val="2"/>
      </rPr>
      <t>OSC_MAN_E = 1 , OSC_FLL_MAN[15:0] = 32768</t>
    </r>
    <phoneticPr fontId="2" type="noConversion"/>
  </si>
  <si>
    <t>4CH</t>
    <phoneticPr fontId="2" type="noConversion"/>
  </si>
  <si>
    <t>12CH / 6CH / 1CH</t>
    <phoneticPr fontId="2" type="noConversion"/>
  </si>
  <si>
    <t>ICTL_L (8/16/24/32)mA</t>
    <phoneticPr fontId="2" type="noConversion"/>
  </si>
  <si>
    <t>ICTL_H (48/64/92/128)mA</t>
    <phoneticPr fontId="2" type="noConversion"/>
  </si>
  <si>
    <t>ICTL_L_CH1[6:0] ~~~ ICTL_L_CH4[6:0]</t>
    <phoneticPr fontId="2" type="noConversion"/>
  </si>
  <si>
    <t>ICTL_H_CH1[6:0] ~~~ ICTL_H_CH4[6:0]</t>
    <phoneticPr fontId="2" type="noConversion"/>
  </si>
  <si>
    <t>TEST_EN = 1,  O_MAX_CURR_VREF[11:0] = 4095, VREF_O = 1</t>
    <phoneticPr fontId="2" type="noConversion"/>
  </si>
  <si>
    <r>
      <t xml:space="preserve">TEST_EN = 1 , </t>
    </r>
    <r>
      <rPr>
        <sz val="9"/>
        <color rgb="FFFF0000"/>
        <rFont val="Calibri"/>
        <family val="2"/>
      </rPr>
      <t>OSC_MAN_E = 1 , OSC_FLL_MAN[15:0] = 32768</t>
    </r>
    <r>
      <rPr>
        <sz val="9"/>
        <color rgb="FF000000"/>
        <rFont val="Calibri"/>
        <family val="2"/>
      </rPr>
      <t>, MCLK_O = 1</t>
    </r>
    <phoneticPr fontId="2" type="noConversion"/>
  </si>
  <si>
    <r>
      <rPr>
        <strike/>
        <sz val="9"/>
        <rFont val="Calibri"/>
        <family val="2"/>
      </rPr>
      <t xml:space="preserve">LD_DATA[13:0] </t>
    </r>
    <r>
      <rPr>
        <strike/>
        <sz val="9"/>
        <color rgb="FF000000"/>
        <rFont val="Calibri"/>
        <family val="2"/>
      </rPr>
      <t>= C5</t>
    </r>
    <r>
      <rPr>
        <sz val="9"/>
        <color rgb="FF000000"/>
        <rFont val="Calibri"/>
        <family val="2"/>
      </rPr>
      <t>, MAX_CURR_LEVEL[2:0] = 3'd 1,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CH), PWM_FULL_O = 1</t>
    </r>
    <phoneticPr fontId="2" type="noConversion"/>
  </si>
  <si>
    <r>
      <rPr>
        <strike/>
        <sz val="9"/>
        <rFont val="Calibri"/>
        <family val="2"/>
      </rPr>
      <t xml:space="preserve">LD_DATA[13:0] </t>
    </r>
    <r>
      <rPr>
        <strike/>
        <sz val="9"/>
        <color rgb="FF000000"/>
        <rFont val="Calibri"/>
        <family val="2"/>
      </rPr>
      <t>= C9</t>
    </r>
    <r>
      <rPr>
        <sz val="9"/>
        <color rgb="FF000000"/>
        <rFont val="Calibri"/>
        <family val="2"/>
      </rPr>
      <t>, MAX_CURR_LEVEL[2:0] = 3'd 5, CH_EN(</t>
    </r>
    <r>
      <rPr>
        <sz val="9"/>
        <color rgb="FF000000"/>
        <rFont val="돋움"/>
        <family val="2"/>
        <charset val="129"/>
      </rPr>
      <t>각</t>
    </r>
    <r>
      <rPr>
        <sz val="9"/>
        <color rgb="FF000000"/>
        <rFont val="Calibri"/>
        <family val="2"/>
      </rPr>
      <t xml:space="preserve"> CH), PWM_FULL_O = 1</t>
    </r>
    <phoneticPr fontId="2" type="noConversion"/>
  </si>
  <si>
    <t>ana</t>
    <phoneticPr fontId="2" type="noConversion"/>
  </si>
  <si>
    <t>MHz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</si>
</sst>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2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sz val="11"/>
      <name val="돋움"/>
      <family val="3"/>
      <charset val="129"/>
    </font>
    <font>
      <b/>
      <sz val="9"/>
      <color rgb="FF000000"/>
      <name val="Arial Unicode MS"/>
      <family val="2"/>
      <charset val="129"/>
    </font>
    <font>
      <sz val="9"/>
      <color rgb="FF000000"/>
      <name val="돋움"/>
      <family val="2"/>
      <charset val="129"/>
    </font>
    <font>
      <b/>
      <sz val="9"/>
      <name val="Arial Unicode MS"/>
      <family val="2"/>
      <charset val="129"/>
    </font>
    <font>
      <sz val="11"/>
      <color indexed="8"/>
      <name val="맑은 고딕"/>
      <family val="2"/>
      <scheme val="minor"/>
    </font>
    <font>
      <sz val="9"/>
      <color rgb="FF000000"/>
      <name val="Arial Unicode MS"/>
      <family val="2"/>
      <charset val="129"/>
    </font>
    <font>
      <sz val="11"/>
      <color theme="1"/>
      <name val="Cambria"/>
      <family val="1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11"/>
      <color rgb="FFFF0000"/>
      <name val="Calibri"/>
      <family val="2"/>
    </font>
    <font>
      <b/>
      <sz val="9"/>
      <color rgb="FFFF0000"/>
      <name val="Calibri"/>
      <family val="2"/>
    </font>
    <font>
      <sz val="9"/>
      <color rgb="FFFF0000"/>
      <name val="Calibri"/>
      <family val="2"/>
    </font>
    <font>
      <strike/>
      <sz val="9"/>
      <name val="Calibri"/>
      <family val="2"/>
    </font>
    <font>
      <strike/>
      <sz val="9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6F0F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4" fillId="0" borderId="0">
      <alignment vertical="center"/>
    </xf>
    <xf numFmtId="0" fontId="8" fillId="0" borderId="0">
      <alignment vertical="center"/>
    </xf>
    <xf numFmtId="0" fontId="1" fillId="0" borderId="0">
      <alignment vertical="center"/>
    </xf>
  </cellStyleXfs>
  <cellXfs count="48">
    <xf numFmtId="0" fontId="0" fillId="0" borderId="0" xfId="0"/>
    <xf numFmtId="0" fontId="10" fillId="0" borderId="0" xfId="0" applyFont="1" applyAlignment="1">
      <alignment wrapText="1"/>
    </xf>
    <xf numFmtId="0" fontId="11" fillId="0" borderId="3" xfId="0" applyFont="1" applyBorder="1" applyAlignment="1">
      <alignment horizontal="center"/>
    </xf>
    <xf numFmtId="0" fontId="11" fillId="4" borderId="4" xfId="0" applyFont="1" applyFill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2" fillId="0" borderId="0" xfId="0" applyFont="1"/>
    <xf numFmtId="0" fontId="13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 wrapText="1"/>
    </xf>
    <xf numFmtId="0" fontId="13" fillId="0" borderId="6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/>
    </xf>
    <xf numFmtId="0" fontId="11" fillId="4" borderId="9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8" xfId="0" applyFont="1" applyBorder="1" applyAlignment="1">
      <alignment horizontal="left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49" fontId="12" fillId="0" borderId="6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1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49" fontId="12" fillId="0" borderId="8" xfId="0" applyNumberFormat="1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9" xfId="0" applyFont="1" applyBorder="1" applyAlignment="1">
      <alignment horizontal="left" vertical="center" wrapText="1"/>
    </xf>
    <xf numFmtId="49" fontId="12" fillId="0" borderId="3" xfId="0" applyNumberFormat="1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176" fontId="11" fillId="3" borderId="9" xfId="0" applyNumberFormat="1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</cellXfs>
  <cellStyles count="4">
    <cellStyle name="표준" xfId="0" builtinId="0"/>
    <cellStyle name="표준 2" xfId="2" xr:uid="{9F4744C2-D004-4D65-AFD9-E324AE97E296}"/>
    <cellStyle name="표준 3" xfId="1" xr:uid="{13F5CB06-83C7-47F7-B37F-FD00C68A5D3A}"/>
    <cellStyle name="표준 4" xfId="3" xr:uid="{9A0B9DFA-B7DE-4598-9BCC-0B1565D6F6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361950</xdr:colOff>
      <xdr:row>17</xdr:row>
      <xdr:rowOff>63500</xdr:rowOff>
    </xdr:from>
    <xdr:to>
      <xdr:col>12</xdr:col>
      <xdr:colOff>1987550</xdr:colOff>
      <xdr:row>19</xdr:row>
      <xdr:rowOff>196850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12192000" y="3390900"/>
          <a:ext cx="3302000" cy="660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(4/8/12/16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mA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는 자동으로 해당 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TRIM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값을 사용함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  <xdr:twoCellAnchor>
    <xdr:from>
      <xdr:col>10</xdr:col>
      <xdr:colOff>381000</xdr:colOff>
      <xdr:row>3</xdr:row>
      <xdr:rowOff>0</xdr:rowOff>
    </xdr:from>
    <xdr:to>
      <xdr:col>12</xdr:col>
      <xdr:colOff>2038350</xdr:colOff>
      <xdr:row>10</xdr:row>
      <xdr:rowOff>88900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12211050" y="222250"/>
          <a:ext cx="3333750" cy="166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** </a:t>
          </a:r>
          <a:r>
            <a:rPr lang="ko-KR" altLang="en-US" sz="900">
              <a:latin typeface="+mn-lt"/>
              <a:cs typeface="Arial" panose="020B0604020202020204" pitchFamily="34" charset="0"/>
            </a:rPr>
            <a:t>기존 </a:t>
          </a:r>
          <a:r>
            <a:rPr lang="en-US" altLang="ko-KR" sz="900">
              <a:latin typeface="+mn-lt"/>
              <a:cs typeface="Arial" panose="020B0604020202020204" pitchFamily="34" charset="0"/>
            </a:rPr>
            <a:t>XDIC(GT1005A2R0) </a:t>
          </a:r>
          <a:r>
            <a:rPr lang="ko-KR" altLang="en-US" sz="900">
              <a:latin typeface="+mn-lt"/>
              <a:cs typeface="Arial" panose="020B0604020202020204" pitchFamily="34" charset="0"/>
            </a:rPr>
            <a:t>대비 변경점 </a:t>
          </a:r>
          <a:r>
            <a:rPr lang="en-US" altLang="ko-KR" sz="900">
              <a:latin typeface="+mn-lt"/>
              <a:cs typeface="Arial" panose="020B0604020202020204" pitchFamily="34" charset="0"/>
            </a:rPr>
            <a:t>**</a:t>
          </a:r>
        </a:p>
        <a:p>
          <a:endParaRPr lang="en-US" altLang="ko-KR" sz="900">
            <a:latin typeface="+mn-lt"/>
            <a:cs typeface="Arial" panose="020B0604020202020204" pitchFamily="34" charset="0"/>
          </a:endParaRPr>
        </a:p>
        <a:p>
          <a:r>
            <a:rPr lang="en-US" altLang="ko-KR" sz="900">
              <a:latin typeface="+mn-lt"/>
              <a:cs typeface="Arial" panose="020B0604020202020204" pitchFamily="34" charset="0"/>
            </a:rPr>
            <a:t>----Bit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변경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---</a:t>
          </a:r>
          <a:br>
            <a:rPr lang="en-US" altLang="ko-KR" sz="900" baseline="0">
              <a:latin typeface="+mn-lt"/>
              <a:cs typeface="Arial" panose="020B0604020202020204" pitchFamily="34" charset="0"/>
            </a:rPr>
          </a:br>
          <a:r>
            <a:rPr lang="en-US" altLang="ko-KR" sz="900" baseline="0">
              <a:latin typeface="+mn-lt"/>
              <a:cs typeface="Arial" panose="020B0604020202020204" pitchFamily="34" charset="0"/>
            </a:rPr>
            <a:t>OSC_CTL[6:0] -&gt; OSC_CTL[5:0]]  (bit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감소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r>
            <a:rPr lang="en-US" altLang="ko-KR" sz="900" baseline="0">
              <a:latin typeface="+mn-lt"/>
              <a:cs typeface="Arial" panose="020B0604020202020204" pitchFamily="34" charset="0"/>
            </a:rPr>
            <a:t>VREF_CTL[4:0] -&gt; VER_CTL[5:0] (bit </a:t>
          </a:r>
          <a:r>
            <a:rPr lang="ko-KR" altLang="en-US" sz="900" baseline="0">
              <a:latin typeface="+mn-lt"/>
              <a:cs typeface="Arial" panose="020B0604020202020204" pitchFamily="34" charset="0"/>
            </a:rPr>
            <a:t>추가</a:t>
          </a:r>
          <a:r>
            <a:rPr lang="en-US" altLang="ko-KR" sz="900" baseline="0">
              <a:latin typeface="+mn-lt"/>
              <a:cs typeface="Arial" panose="020B0604020202020204" pitchFamily="34" charset="0"/>
            </a:rPr>
            <a:t>)</a:t>
          </a:r>
        </a:p>
        <a:p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OSC 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출력 분주비 기존 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16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분주 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-&gt; 32</a:t>
          </a:r>
          <a:r>
            <a:rPr lang="ko-KR" altLang="en-US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분주 로 변경</a:t>
          </a:r>
          <a:r>
            <a:rPr lang="en-US" altLang="ko-KR" sz="900" b="1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.</a:t>
          </a:r>
        </a:p>
        <a:p>
          <a:endParaRPr lang="en-US" altLang="ko-KR" sz="900" b="1" baseline="0">
            <a:solidFill>
              <a:srgbClr val="FF0000"/>
            </a:solidFill>
            <a:latin typeface="+mn-lt"/>
            <a:cs typeface="Arial" panose="020B0604020202020204" pitchFamily="34" charset="0"/>
          </a:endParaRPr>
        </a:p>
        <a:p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VREF(2.2V)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를 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OSC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보다 먼저 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Trim </a:t>
          </a:r>
          <a:r>
            <a:rPr lang="ko-KR" altLang="en-US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한다</a:t>
          </a:r>
          <a:r>
            <a:rPr lang="en-US" altLang="ko-KR" sz="900" b="0" baseline="0">
              <a:solidFill>
                <a:sysClr val="windowText" lastClr="000000"/>
              </a:solidFill>
              <a:latin typeface="+mn-lt"/>
              <a:cs typeface="Arial" panose="020B0604020202020204" pitchFamily="34" charset="0"/>
            </a:rPr>
            <a:t>.</a:t>
          </a:r>
        </a:p>
      </xdr:txBody>
    </xdr:sp>
    <xdr:clientData/>
  </xdr:twoCellAnchor>
  <xdr:twoCellAnchor>
    <xdr:from>
      <xdr:col>10</xdr:col>
      <xdr:colOff>361950</xdr:colOff>
      <xdr:row>21</xdr:row>
      <xdr:rowOff>158750</xdr:rowOff>
    </xdr:from>
    <xdr:to>
      <xdr:col>12</xdr:col>
      <xdr:colOff>1987550</xdr:colOff>
      <xdr:row>24</xdr:row>
      <xdr:rowOff>165100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 txBox="1"/>
      </xdr:nvSpPr>
      <xdr:spPr>
        <a:xfrm>
          <a:off x="12909550" y="4457700"/>
          <a:ext cx="3302000" cy="6667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900">
              <a:latin typeface="+mn-lt"/>
              <a:cs typeface="Arial" panose="020B0604020202020204" pitchFamily="34" charset="0"/>
            </a:rPr>
            <a:t>&lt;&lt;&lt;     12CH </a:t>
          </a:r>
          <a:r>
            <a:rPr lang="ko-KR" altLang="en-US" sz="900">
              <a:latin typeface="+mn-lt"/>
              <a:cs typeface="Arial" panose="020B0604020202020204" pitchFamily="34" charset="0"/>
            </a:rPr>
            <a:t>각각 진행</a:t>
          </a:r>
          <a:endParaRPr lang="en-US" altLang="ko-KR" sz="900">
            <a:latin typeface="+mn-lt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(24/32/46/64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는 자동으로 해당 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TRIM </a:t>
          </a:r>
          <a:r>
            <a:rPr lang="ko-KR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값을 사용함</a:t>
          </a:r>
          <a:r>
            <a:rPr lang="en-US" altLang="ko-KR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  <a:endParaRPr lang="ko-KR" altLang="ko-KR" sz="900">
            <a:effectLst/>
          </a:endParaRPr>
        </a:p>
        <a:p>
          <a:endParaRPr lang="ko-KR" altLang="en-US" sz="900">
            <a:latin typeface="+mn-lt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93C8C-4E16-4F58-992A-7EEE2E9B921A}">
  <dimension ref="B1:J52"/>
  <sheetViews>
    <sheetView tabSelected="1" zoomScaleNormal="100" workbookViewId="0"/>
  </sheetViews>
  <sheetFormatPr defaultRowHeight="16.899999999999999"/>
  <cols>
    <col min="1" max="1" width="2.5625" customWidth="1"/>
    <col min="2" max="2" width="14.8125" customWidth="1"/>
    <col min="3" max="3" width="11.8125" customWidth="1"/>
    <col min="4" max="4" width="12.9375" customWidth="1"/>
    <col min="5" max="5" width="16.75" customWidth="1"/>
    <col min="8" max="8" width="9.8125" customWidth="1"/>
    <col min="9" max="9" width="42.3125" customWidth="1"/>
    <col min="10" max="10" width="41.75" customWidth="1"/>
    <col min="12" max="12" width="13.3125" customWidth="1"/>
    <col min="13" max="13" width="37.25" customWidth="1"/>
  </cols>
  <sheetData>
    <row r="1" spans="2:10" ht="17.25" thickBot="1">
      <c r="I1" s="1"/>
    </row>
    <row r="2" spans="2:10" ht="17.25" thickBot="1">
      <c r="B2" s="30" t="s">
        <v>47</v>
      </c>
      <c r="C2" s="31"/>
      <c r="D2" s="31"/>
      <c r="E2" s="31"/>
      <c r="F2" s="31"/>
      <c r="G2" s="31"/>
      <c r="H2" s="31"/>
      <c r="I2" s="31"/>
      <c r="J2" s="32"/>
    </row>
    <row r="3" spans="2:10" ht="17.25" thickBot="1">
      <c r="I3" s="1"/>
    </row>
    <row r="4" spans="2:10" ht="19.05" customHeight="1" thickBot="1">
      <c r="B4" s="33" t="s">
        <v>30</v>
      </c>
      <c r="C4" s="34"/>
      <c r="D4" s="34"/>
      <c r="E4" s="34"/>
      <c r="F4" s="35"/>
      <c r="G4" s="6"/>
      <c r="H4" s="36" t="s">
        <v>43</v>
      </c>
      <c r="I4" s="37"/>
      <c r="J4" s="38"/>
    </row>
    <row r="5" spans="2:10">
      <c r="B5" s="2" t="s">
        <v>7</v>
      </c>
      <c r="C5" s="3">
        <v>16383</v>
      </c>
      <c r="D5" s="4" t="s">
        <v>1</v>
      </c>
      <c r="E5" s="3">
        <v>8</v>
      </c>
      <c r="F5" s="5" t="s">
        <v>2</v>
      </c>
      <c r="G5" s="6"/>
      <c r="H5" s="7" t="s">
        <v>3</v>
      </c>
      <c r="I5" s="8" t="s">
        <v>35</v>
      </c>
      <c r="J5" s="9"/>
    </row>
    <row r="6" spans="2:10" ht="17.25" thickBot="1">
      <c r="B6" s="13" t="s">
        <v>25</v>
      </c>
      <c r="C6" s="14">
        <v>16383</v>
      </c>
      <c r="D6" s="15" t="s">
        <v>1</v>
      </c>
      <c r="E6" s="29">
        <f>E5*(C6/C5)</f>
        <v>8</v>
      </c>
      <c r="F6" s="16" t="s">
        <v>2</v>
      </c>
      <c r="G6" s="6"/>
      <c r="H6" s="10" t="s">
        <v>6</v>
      </c>
      <c r="I6" s="11" t="s">
        <v>9</v>
      </c>
      <c r="J6" s="12" t="s">
        <v>20</v>
      </c>
    </row>
    <row r="7" spans="2:10" ht="17.25" thickBot="1">
      <c r="G7" s="6"/>
      <c r="H7" s="10" t="s">
        <v>4</v>
      </c>
      <c r="I7" s="11" t="s">
        <v>52</v>
      </c>
      <c r="J7" s="12"/>
    </row>
    <row r="8" spans="2:10" ht="17.25" thickBot="1">
      <c r="B8" s="33" t="s">
        <v>31</v>
      </c>
      <c r="C8" s="34"/>
      <c r="D8" s="34"/>
      <c r="E8" s="34"/>
      <c r="F8" s="35"/>
      <c r="G8" s="6"/>
      <c r="H8" s="17" t="s">
        <v>5</v>
      </c>
      <c r="I8" s="26" t="s">
        <v>19</v>
      </c>
      <c r="J8" s="19" t="s">
        <v>21</v>
      </c>
    </row>
    <row r="9" spans="2:10" ht="17.25" thickBot="1">
      <c r="B9" s="2" t="s">
        <v>7</v>
      </c>
      <c r="C9" s="3">
        <v>16383</v>
      </c>
      <c r="D9" s="4" t="s">
        <v>1</v>
      </c>
      <c r="E9" s="3">
        <v>24</v>
      </c>
      <c r="F9" s="5" t="s">
        <v>2</v>
      </c>
      <c r="G9" s="6"/>
      <c r="H9" s="6"/>
      <c r="I9" s="6"/>
      <c r="J9" s="6"/>
    </row>
    <row r="10" spans="2:10" ht="17.25" thickBot="1">
      <c r="B10" s="13" t="s">
        <v>25</v>
      </c>
      <c r="C10" s="14">
        <v>16383</v>
      </c>
      <c r="D10" s="15" t="s">
        <v>1</v>
      </c>
      <c r="E10" s="29">
        <f>E9*(C10/C9)</f>
        <v>24</v>
      </c>
      <c r="F10" s="16" t="s">
        <v>2</v>
      </c>
      <c r="G10" s="6"/>
      <c r="H10" s="36" t="s">
        <v>44</v>
      </c>
      <c r="I10" s="37"/>
      <c r="J10" s="38"/>
    </row>
    <row r="11" spans="2:10">
      <c r="B11" s="6"/>
      <c r="C11" s="6"/>
      <c r="D11" s="6"/>
      <c r="E11" s="6"/>
      <c r="F11" s="6"/>
      <c r="G11" s="6"/>
      <c r="H11" s="7" t="s">
        <v>3</v>
      </c>
      <c r="I11" s="8" t="s">
        <v>34</v>
      </c>
      <c r="J11" s="9"/>
    </row>
    <row r="12" spans="2:10">
      <c r="B12" s="6"/>
      <c r="C12" s="6"/>
      <c r="D12" s="6"/>
      <c r="E12" s="6"/>
      <c r="F12" s="6"/>
      <c r="G12" s="6"/>
      <c r="H12" s="10" t="s">
        <v>6</v>
      </c>
      <c r="I12" s="11" t="s">
        <v>41</v>
      </c>
      <c r="J12" s="12" t="s">
        <v>40</v>
      </c>
    </row>
    <row r="13" spans="2:10" ht="23.25">
      <c r="B13" s="6"/>
      <c r="C13" s="6"/>
      <c r="D13" s="6"/>
      <c r="E13" s="6"/>
      <c r="F13" s="6"/>
      <c r="G13" s="6"/>
      <c r="H13" s="10" t="s">
        <v>4</v>
      </c>
      <c r="I13" s="11" t="s">
        <v>53</v>
      </c>
      <c r="J13" s="12"/>
    </row>
    <row r="14" spans="2:10" ht="17.25" thickBot="1">
      <c r="B14" s="6"/>
      <c r="C14" s="6"/>
      <c r="D14" s="6"/>
      <c r="E14" s="6"/>
      <c r="F14" s="6"/>
      <c r="G14" s="6"/>
      <c r="H14" s="17" t="s">
        <v>5</v>
      </c>
      <c r="I14" s="26" t="s">
        <v>22</v>
      </c>
      <c r="J14" s="19" t="s">
        <v>21</v>
      </c>
    </row>
    <row r="15" spans="2:10" ht="17.25" thickBot="1">
      <c r="B15" s="33" t="s">
        <v>23</v>
      </c>
      <c r="C15" s="34"/>
      <c r="D15" s="34"/>
      <c r="E15" s="35"/>
      <c r="F15" s="6"/>
      <c r="G15" s="6"/>
      <c r="H15" s="6"/>
      <c r="I15" s="6"/>
      <c r="J15" s="6"/>
    </row>
    <row r="16" spans="2:10" ht="17.55" customHeight="1" thickBot="1">
      <c r="B16" s="27" t="s">
        <v>11</v>
      </c>
      <c r="C16" s="28">
        <v>4</v>
      </c>
      <c r="D16" s="28" t="s">
        <v>2</v>
      </c>
      <c r="E16" s="45" t="s">
        <v>27</v>
      </c>
      <c r="F16" s="6"/>
      <c r="G16" s="6"/>
      <c r="H16" s="39" t="s">
        <v>32</v>
      </c>
      <c r="I16" s="40"/>
      <c r="J16" s="41"/>
    </row>
    <row r="17" spans="2:10">
      <c r="B17" s="20" t="s">
        <v>12</v>
      </c>
      <c r="C17" s="21">
        <v>8</v>
      </c>
      <c r="D17" s="21" t="s">
        <v>2</v>
      </c>
      <c r="E17" s="46"/>
      <c r="F17" s="6"/>
      <c r="G17" s="6"/>
      <c r="H17" s="7" t="s">
        <v>3</v>
      </c>
      <c r="I17" s="8" t="s">
        <v>0</v>
      </c>
      <c r="J17" s="9" t="s">
        <v>8</v>
      </c>
    </row>
    <row r="18" spans="2:10">
      <c r="B18" s="20" t="s">
        <v>13</v>
      </c>
      <c r="C18" s="21">
        <v>12</v>
      </c>
      <c r="D18" s="21" t="s">
        <v>2</v>
      </c>
      <c r="E18" s="46"/>
      <c r="F18" s="6"/>
      <c r="G18" s="6"/>
      <c r="H18" s="22" t="s">
        <v>6</v>
      </c>
      <c r="I18" s="23" t="s">
        <v>36</v>
      </c>
      <c r="J18" s="12" t="s">
        <v>42</v>
      </c>
    </row>
    <row r="19" spans="2:10" ht="24" thickBot="1">
      <c r="B19" s="24" t="s">
        <v>14</v>
      </c>
      <c r="C19" s="25">
        <v>16</v>
      </c>
      <c r="D19" s="25" t="s">
        <v>2</v>
      </c>
      <c r="E19" s="47"/>
      <c r="F19" s="6"/>
      <c r="G19" s="6"/>
      <c r="H19" s="10" t="s">
        <v>4</v>
      </c>
      <c r="I19" s="11" t="s">
        <v>54</v>
      </c>
      <c r="J19" s="12"/>
    </row>
    <row r="20" spans="2:10" ht="17.25" thickBot="1">
      <c r="B20" s="27" t="s">
        <v>15</v>
      </c>
      <c r="C20" s="28">
        <v>24</v>
      </c>
      <c r="D20" s="28" t="s">
        <v>2</v>
      </c>
      <c r="E20" s="42" t="s">
        <v>26</v>
      </c>
      <c r="F20" s="6"/>
      <c r="G20" s="6"/>
      <c r="H20" s="17" t="s">
        <v>5</v>
      </c>
      <c r="I20" s="18" t="s">
        <v>28</v>
      </c>
      <c r="J20" s="19" t="s">
        <v>10</v>
      </c>
    </row>
    <row r="21" spans="2:10" ht="17.25" thickBot="1">
      <c r="B21" s="20" t="s">
        <v>16</v>
      </c>
      <c r="C21" s="21">
        <v>32</v>
      </c>
      <c r="D21" s="21" t="s">
        <v>2</v>
      </c>
      <c r="E21" s="43"/>
      <c r="F21" s="6"/>
      <c r="G21" s="6"/>
      <c r="H21" s="6"/>
      <c r="I21" s="6"/>
      <c r="J21" s="6"/>
    </row>
    <row r="22" spans="2:10" ht="17.55" customHeight="1" thickBot="1">
      <c r="B22" s="20" t="s">
        <v>17</v>
      </c>
      <c r="C22" s="21">
        <v>46</v>
      </c>
      <c r="D22" s="21" t="s">
        <v>2</v>
      </c>
      <c r="E22" s="43"/>
      <c r="F22" s="6"/>
      <c r="G22" s="6"/>
      <c r="H22" s="39" t="s">
        <v>33</v>
      </c>
      <c r="I22" s="40"/>
      <c r="J22" s="41"/>
    </row>
    <row r="23" spans="2:10" ht="17.25" thickBot="1">
      <c r="B23" s="24" t="s">
        <v>18</v>
      </c>
      <c r="C23" s="25">
        <v>64</v>
      </c>
      <c r="D23" s="25" t="s">
        <v>2</v>
      </c>
      <c r="E23" s="44"/>
      <c r="F23" s="6"/>
      <c r="G23" s="6"/>
      <c r="H23" s="7" t="s">
        <v>3</v>
      </c>
      <c r="I23" s="8" t="s">
        <v>0</v>
      </c>
      <c r="J23" s="9" t="s">
        <v>8</v>
      </c>
    </row>
    <row r="24" spans="2:10">
      <c r="F24" s="6"/>
      <c r="G24" s="6"/>
      <c r="H24" s="22" t="s">
        <v>6</v>
      </c>
      <c r="I24" s="23" t="s">
        <v>37</v>
      </c>
      <c r="J24" s="12" t="s">
        <v>42</v>
      </c>
    </row>
    <row r="25" spans="2:10" ht="23.65">
      <c r="F25" s="6"/>
      <c r="G25" s="6"/>
      <c r="H25" s="10" t="s">
        <v>4</v>
      </c>
      <c r="I25" s="11" t="s">
        <v>55</v>
      </c>
      <c r="J25" s="12"/>
    </row>
    <row r="26" spans="2:10" ht="17.25" thickBot="1">
      <c r="F26" s="6"/>
      <c r="G26" s="6"/>
      <c r="H26" s="17" t="s">
        <v>5</v>
      </c>
      <c r="I26" s="18" t="s">
        <v>29</v>
      </c>
      <c r="J26" s="19" t="s">
        <v>10</v>
      </c>
    </row>
    <row r="27" spans="2:10" ht="17.25" thickBot="1">
      <c r="F27" s="6"/>
      <c r="G27" s="6"/>
      <c r="H27" s="6"/>
      <c r="I27" s="6"/>
      <c r="J27" s="6"/>
    </row>
    <row r="28" spans="2:10" ht="17" customHeight="1" thickBot="1">
      <c r="B28" s="30" t="s">
        <v>46</v>
      </c>
      <c r="C28" s="31"/>
      <c r="D28" s="31"/>
      <c r="E28" s="31"/>
      <c r="F28" s="31"/>
      <c r="G28" s="31"/>
      <c r="H28" s="31"/>
      <c r="I28" s="31"/>
      <c r="J28" s="32"/>
    </row>
    <row r="29" spans="2:10" ht="17.25" thickBot="1">
      <c r="F29" s="6"/>
      <c r="G29" s="6"/>
    </row>
    <row r="30" spans="2:10" ht="17.25" thickBot="1">
      <c r="B30" s="33" t="s">
        <v>48</v>
      </c>
      <c r="C30" s="34"/>
      <c r="D30" s="34"/>
      <c r="E30" s="34"/>
      <c r="F30" s="35"/>
      <c r="G30" s="6"/>
      <c r="H30" s="36" t="s">
        <v>43</v>
      </c>
      <c r="I30" s="37"/>
      <c r="J30" s="38"/>
    </row>
    <row r="31" spans="2:10">
      <c r="B31" s="2" t="s">
        <v>7</v>
      </c>
      <c r="C31" s="3">
        <f>2^14</f>
        <v>16384</v>
      </c>
      <c r="D31" s="4" t="s">
        <v>1</v>
      </c>
      <c r="E31" s="3">
        <v>16</v>
      </c>
      <c r="F31" s="5" t="s">
        <v>2</v>
      </c>
      <c r="G31" s="6"/>
      <c r="H31" s="7" t="s">
        <v>3</v>
      </c>
      <c r="I31" s="8" t="s">
        <v>35</v>
      </c>
      <c r="J31" s="9"/>
    </row>
    <row r="32" spans="2:10" ht="17" customHeight="1" thickBot="1">
      <c r="B32" s="13" t="s">
        <v>25</v>
      </c>
      <c r="C32" s="14">
        <v>16384</v>
      </c>
      <c r="D32" s="15" t="s">
        <v>1</v>
      </c>
      <c r="E32" s="29">
        <f>E31*(C32/C31)</f>
        <v>16</v>
      </c>
      <c r="F32" s="16" t="s">
        <v>2</v>
      </c>
      <c r="G32" s="6"/>
      <c r="H32" s="10" t="s">
        <v>6</v>
      </c>
      <c r="I32" s="11" t="s">
        <v>9</v>
      </c>
      <c r="J32" s="12" t="s">
        <v>20</v>
      </c>
    </row>
    <row r="33" spans="2:10" ht="17.25" thickBot="1">
      <c r="G33" s="6"/>
      <c r="H33" s="10" t="s">
        <v>4</v>
      </c>
      <c r="I33" s="11" t="s">
        <v>24</v>
      </c>
      <c r="J33" s="12"/>
    </row>
    <row r="34" spans="2:10" ht="17.25" thickBot="1">
      <c r="B34" s="33" t="s">
        <v>49</v>
      </c>
      <c r="C34" s="34"/>
      <c r="D34" s="34"/>
      <c r="E34" s="34"/>
      <c r="F34" s="35"/>
      <c r="G34" s="6"/>
      <c r="H34" s="17" t="s">
        <v>5</v>
      </c>
      <c r="I34" s="26" t="s">
        <v>19</v>
      </c>
      <c r="J34" s="19" t="s">
        <v>21</v>
      </c>
    </row>
    <row r="35" spans="2:10" ht="17.25" thickBot="1">
      <c r="B35" s="2" t="s">
        <v>7</v>
      </c>
      <c r="C35" s="3">
        <f>2^14</f>
        <v>16384</v>
      </c>
      <c r="D35" s="4" t="s">
        <v>1</v>
      </c>
      <c r="E35" s="3">
        <v>64</v>
      </c>
      <c r="F35" s="5" t="s">
        <v>2</v>
      </c>
      <c r="G35" s="6"/>
      <c r="H35" s="6"/>
      <c r="I35" s="6"/>
      <c r="J35" s="6"/>
    </row>
    <row r="36" spans="2:10" ht="17.25" thickBot="1">
      <c r="B36" s="13" t="s">
        <v>25</v>
      </c>
      <c r="C36" s="14">
        <v>16384</v>
      </c>
      <c r="D36" s="15" t="s">
        <v>1</v>
      </c>
      <c r="E36" s="29">
        <f>E35*(C36/C35)</f>
        <v>64</v>
      </c>
      <c r="F36" s="16" t="s">
        <v>2</v>
      </c>
      <c r="G36" s="6"/>
      <c r="H36" s="36" t="s">
        <v>44</v>
      </c>
      <c r="I36" s="37"/>
      <c r="J36" s="38"/>
    </row>
    <row r="37" spans="2:10">
      <c r="B37" s="6"/>
      <c r="C37" s="6"/>
      <c r="D37" s="6"/>
      <c r="E37" s="6"/>
      <c r="F37" s="6"/>
      <c r="G37" s="6"/>
      <c r="H37" s="7" t="s">
        <v>3</v>
      </c>
      <c r="I37" s="8" t="s">
        <v>34</v>
      </c>
      <c r="J37" s="9"/>
    </row>
    <row r="38" spans="2:10">
      <c r="B38" s="6"/>
      <c r="C38" s="6"/>
      <c r="D38" s="6"/>
      <c r="E38" s="6"/>
      <c r="F38" s="6"/>
      <c r="G38" s="6"/>
      <c r="H38" s="10" t="s">
        <v>6</v>
      </c>
      <c r="I38" s="11" t="s">
        <v>41</v>
      </c>
      <c r="J38" s="12" t="s">
        <v>40</v>
      </c>
    </row>
    <row r="39" spans="2:10">
      <c r="B39" s="6"/>
      <c r="C39" s="6"/>
      <c r="D39" s="6"/>
      <c r="E39" s="6"/>
      <c r="F39" s="6"/>
      <c r="G39" s="6"/>
      <c r="H39" s="10" t="s">
        <v>4</v>
      </c>
      <c r="I39" s="11" t="s">
        <v>45</v>
      </c>
      <c r="J39" s="12"/>
    </row>
    <row r="40" spans="2:10" ht="17.25" thickBot="1">
      <c r="B40" s="6"/>
      <c r="C40" s="6"/>
      <c r="D40" s="6"/>
      <c r="E40" s="6"/>
      <c r="F40" s="6"/>
      <c r="G40" s="6"/>
      <c r="H40" s="17" t="s">
        <v>5</v>
      </c>
      <c r="I40" s="26" t="s">
        <v>22</v>
      </c>
      <c r="J40" s="19" t="s">
        <v>21</v>
      </c>
    </row>
    <row r="41" spans="2:10" ht="17.25" thickBot="1">
      <c r="B41" s="33" t="s">
        <v>23</v>
      </c>
      <c r="C41" s="34"/>
      <c r="D41" s="34"/>
      <c r="E41" s="35"/>
      <c r="F41" s="6"/>
      <c r="G41" s="6"/>
      <c r="H41" s="6"/>
      <c r="I41" s="6"/>
      <c r="J41" s="6"/>
    </row>
    <row r="42" spans="2:10" ht="17.25" thickBot="1">
      <c r="B42" s="27" t="s">
        <v>11</v>
      </c>
      <c r="C42" s="28">
        <v>8</v>
      </c>
      <c r="D42" s="28" t="s">
        <v>2</v>
      </c>
      <c r="E42" s="45" t="s">
        <v>27</v>
      </c>
      <c r="F42" s="6"/>
      <c r="G42" s="6"/>
      <c r="H42" s="39" t="s">
        <v>32</v>
      </c>
      <c r="I42" s="40"/>
      <c r="J42" s="41"/>
    </row>
    <row r="43" spans="2:10">
      <c r="B43" s="20" t="s">
        <v>12</v>
      </c>
      <c r="C43" s="21">
        <v>16</v>
      </c>
      <c r="D43" s="21" t="s">
        <v>2</v>
      </c>
      <c r="E43" s="46"/>
      <c r="F43" s="6"/>
      <c r="G43" s="6"/>
      <c r="H43" s="7" t="s">
        <v>3</v>
      </c>
      <c r="I43" s="8" t="s">
        <v>0</v>
      </c>
      <c r="J43" s="9" t="s">
        <v>8</v>
      </c>
    </row>
    <row r="44" spans="2:10">
      <c r="B44" s="20" t="s">
        <v>13</v>
      </c>
      <c r="C44" s="21">
        <v>24</v>
      </c>
      <c r="D44" s="21" t="s">
        <v>2</v>
      </c>
      <c r="E44" s="46"/>
      <c r="F44" s="6"/>
      <c r="G44" s="6"/>
      <c r="H44" s="22" t="s">
        <v>6</v>
      </c>
      <c r="I44" s="23" t="s">
        <v>36</v>
      </c>
      <c r="J44" s="12" t="s">
        <v>42</v>
      </c>
    </row>
    <row r="45" spans="2:10" ht="17.25" thickBot="1">
      <c r="B45" s="24" t="s">
        <v>14</v>
      </c>
      <c r="C45" s="25">
        <v>32</v>
      </c>
      <c r="D45" s="25" t="s">
        <v>2</v>
      </c>
      <c r="E45" s="47"/>
      <c r="F45" s="6"/>
      <c r="G45" s="6"/>
      <c r="H45" s="10" t="s">
        <v>4</v>
      </c>
      <c r="I45" s="11" t="s">
        <v>38</v>
      </c>
      <c r="J45" s="12"/>
    </row>
    <row r="46" spans="2:10" ht="17.25" thickBot="1">
      <c r="B46" s="27" t="s">
        <v>15</v>
      </c>
      <c r="C46" s="28">
        <v>48</v>
      </c>
      <c r="D46" s="28" t="s">
        <v>2</v>
      </c>
      <c r="E46" s="42" t="s">
        <v>26</v>
      </c>
      <c r="F46" s="6"/>
      <c r="G46" s="6"/>
      <c r="H46" s="17" t="s">
        <v>5</v>
      </c>
      <c r="I46" s="18" t="s">
        <v>50</v>
      </c>
      <c r="J46" s="19" t="s">
        <v>10</v>
      </c>
    </row>
    <row r="47" spans="2:10" ht="17.25" thickBot="1">
      <c r="B47" s="20" t="s">
        <v>16</v>
      </c>
      <c r="C47" s="21">
        <v>64</v>
      </c>
      <c r="D47" s="21" t="s">
        <v>2</v>
      </c>
      <c r="E47" s="43"/>
      <c r="F47" s="6"/>
      <c r="G47" s="6"/>
      <c r="H47" s="6"/>
      <c r="I47" s="6"/>
      <c r="J47" s="6"/>
    </row>
    <row r="48" spans="2:10" ht="17.25" thickBot="1">
      <c r="B48" s="20" t="s">
        <v>17</v>
      </c>
      <c r="C48" s="21">
        <v>92</v>
      </c>
      <c r="D48" s="21" t="s">
        <v>2</v>
      </c>
      <c r="E48" s="43"/>
      <c r="F48" s="6"/>
      <c r="G48" s="6"/>
      <c r="H48" s="39" t="s">
        <v>33</v>
      </c>
      <c r="I48" s="40"/>
      <c r="J48" s="41"/>
    </row>
    <row r="49" spans="2:10" ht="17.25" thickBot="1">
      <c r="B49" s="24" t="s">
        <v>18</v>
      </c>
      <c r="C49" s="25">
        <v>128</v>
      </c>
      <c r="D49" s="25" t="s">
        <v>2</v>
      </c>
      <c r="E49" s="44"/>
      <c r="F49" s="6"/>
      <c r="G49" s="6"/>
      <c r="H49" s="7" t="s">
        <v>3</v>
      </c>
      <c r="I49" s="8" t="s">
        <v>0</v>
      </c>
      <c r="J49" s="9" t="s">
        <v>8</v>
      </c>
    </row>
    <row r="50" spans="2:10">
      <c r="F50" s="6"/>
      <c r="G50" s="6"/>
      <c r="H50" s="22" t="s">
        <v>6</v>
      </c>
      <c r="I50" s="23" t="s">
        <v>37</v>
      </c>
      <c r="J50" s="12" t="s">
        <v>42</v>
      </c>
    </row>
    <row r="51" spans="2:10">
      <c r="F51" s="6"/>
      <c r="G51" s="6"/>
      <c r="H51" s="10" t="s">
        <v>4</v>
      </c>
      <c r="I51" s="11" t="s">
        <v>39</v>
      </c>
      <c r="J51" s="12"/>
    </row>
    <row r="52" spans="2:10" ht="17.25" thickBot="1">
      <c r="F52" s="6"/>
      <c r="G52" s="6"/>
      <c r="H52" s="17" t="s">
        <v>5</v>
      </c>
      <c r="I52" s="18" t="s">
        <v>51</v>
      </c>
      <c r="J52" s="19" t="s">
        <v>10</v>
      </c>
    </row>
  </sheetData>
  <mergeCells count="20">
    <mergeCell ref="E42:E45"/>
    <mergeCell ref="H42:J42"/>
    <mergeCell ref="E46:E49"/>
    <mergeCell ref="H48:J48"/>
    <mergeCell ref="H36:J36"/>
    <mergeCell ref="B41:E41"/>
    <mergeCell ref="B2:J2"/>
    <mergeCell ref="B28:J28"/>
    <mergeCell ref="B30:F30"/>
    <mergeCell ref="H30:J30"/>
    <mergeCell ref="B34:F34"/>
    <mergeCell ref="H10:J10"/>
    <mergeCell ref="H4:J4"/>
    <mergeCell ref="H16:J16"/>
    <mergeCell ref="H22:J22"/>
    <mergeCell ref="E20:E23"/>
    <mergeCell ref="B4:F4"/>
    <mergeCell ref="B8:F8"/>
    <mergeCell ref="E16:E19"/>
    <mergeCell ref="B15:E15"/>
  </mergeCells>
  <phoneticPr fontId="2" type="noConversion"/>
  <pageMargins left="0.7" right="0.7" top="0.75" bottom="0.75" header="0.3" footer="0.3"/>
  <pageSetup paperSize="9" orientation="portrait" r:id="rId1"/>
  <ignoredErrors>
    <ignoredError sqref="B16:B23 B42:B49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9E05D-C01E-4813-A7F7-74A8992E95DB}">
  <dimension ref="B2:R18"/>
  <sheetViews>
    <sheetView zoomScaleNormal="100" workbookViewId="0"/>
  </sheetViews>
  <sheetFormatPr defaultRowHeight="16.899999999999999"/>
  <sheetData>
    <row r="2" spans="2:18" ht="17.25" thickBot="1">
      <c r="B2" t="s">
        <v>56</v>
      </c>
      <c r="C2">
        <v>4095</v>
      </c>
      <c r="H2" t="s">
        <v>56</v>
      </c>
      <c r="I2">
        <f>$C$2*7/8</f>
        <v>3583.125</v>
      </c>
      <c r="J2">
        <f>ROUND(I2, 0)</f>
        <v>3583</v>
      </c>
      <c r="N2" t="s">
        <v>56</v>
      </c>
      <c r="O2">
        <f>$C$2*6/8</f>
        <v>3071.25</v>
      </c>
      <c r="P2">
        <f>ROUND(O2, 0)</f>
        <v>3071</v>
      </c>
    </row>
    <row r="3" spans="2:18" ht="17.25" thickBot="1">
      <c r="B3" s="33" t="s">
        <v>30</v>
      </c>
      <c r="C3" s="34"/>
      <c r="D3" s="34"/>
      <c r="E3" s="34"/>
      <c r="F3" s="35"/>
      <c r="H3" s="33" t="s">
        <v>30</v>
      </c>
      <c r="I3" s="34"/>
      <c r="J3" s="34"/>
      <c r="K3" s="34"/>
      <c r="L3" s="35"/>
      <c r="N3" s="33" t="s">
        <v>30</v>
      </c>
      <c r="O3" s="34"/>
      <c r="P3" s="34"/>
      <c r="Q3" s="34"/>
      <c r="R3" s="35"/>
    </row>
    <row r="4" spans="2:18">
      <c r="B4" s="2" t="s">
        <v>7</v>
      </c>
      <c r="C4" s="3">
        <v>16383</v>
      </c>
      <c r="D4" s="4" t="s">
        <v>1</v>
      </c>
      <c r="E4" s="3">
        <v>8</v>
      </c>
      <c r="F4" s="5" t="s">
        <v>2</v>
      </c>
      <c r="H4" s="2" t="s">
        <v>7</v>
      </c>
      <c r="I4" s="3">
        <v>16383</v>
      </c>
      <c r="J4" s="4" t="s">
        <v>1</v>
      </c>
      <c r="K4" s="3">
        <f>$E$4/4095*J2</f>
        <v>6.9997557997557998</v>
      </c>
      <c r="L4" s="5" t="s">
        <v>2</v>
      </c>
      <c r="N4" s="2" t="s">
        <v>7</v>
      </c>
      <c r="O4" s="3">
        <v>16383</v>
      </c>
      <c r="P4" s="4" t="s">
        <v>1</v>
      </c>
      <c r="Q4" s="3">
        <f>$E$4/4095*P2</f>
        <v>5.9995115995115995</v>
      </c>
      <c r="R4" s="5" t="s">
        <v>2</v>
      </c>
    </row>
    <row r="5" spans="2:18" ht="17.25" thickBot="1">
      <c r="B5" s="13" t="s">
        <v>25</v>
      </c>
      <c r="C5" s="14">
        <v>16383</v>
      </c>
      <c r="D5" s="15" t="s">
        <v>1</v>
      </c>
      <c r="E5" s="29">
        <f>E4*(C5/C4)</f>
        <v>8</v>
      </c>
      <c r="F5" s="16" t="s">
        <v>2</v>
      </c>
      <c r="H5" s="13" t="s">
        <v>25</v>
      </c>
      <c r="I5" s="14">
        <v>16383</v>
      </c>
      <c r="J5" s="15" t="s">
        <v>1</v>
      </c>
      <c r="K5" s="29">
        <f>K4*(I5/I4)</f>
        <v>6.9997557997557998</v>
      </c>
      <c r="L5" s="16" t="s">
        <v>2</v>
      </c>
      <c r="N5" s="13" t="s">
        <v>25</v>
      </c>
      <c r="O5" s="14">
        <v>16383</v>
      </c>
      <c r="P5" s="15" t="s">
        <v>1</v>
      </c>
      <c r="Q5" s="29">
        <f>Q4*(O5/O4)</f>
        <v>5.9995115995115995</v>
      </c>
      <c r="R5" s="16" t="s">
        <v>2</v>
      </c>
    </row>
    <row r="6" spans="2:18" ht="17.25" thickBot="1"/>
    <row r="7" spans="2:18" ht="17.25" thickBot="1">
      <c r="B7" s="33" t="s">
        <v>31</v>
      </c>
      <c r="C7" s="34"/>
      <c r="D7" s="34"/>
      <c r="E7" s="34"/>
      <c r="F7" s="35"/>
      <c r="H7" s="33" t="s">
        <v>31</v>
      </c>
      <c r="I7" s="34"/>
      <c r="J7" s="34"/>
      <c r="K7" s="34"/>
      <c r="L7" s="35"/>
      <c r="N7" s="33" t="s">
        <v>31</v>
      </c>
      <c r="O7" s="34"/>
      <c r="P7" s="34"/>
      <c r="Q7" s="34"/>
      <c r="R7" s="35"/>
    </row>
    <row r="8" spans="2:18">
      <c r="B8" s="2" t="s">
        <v>7</v>
      </c>
      <c r="C8" s="3">
        <v>16383</v>
      </c>
      <c r="D8" s="4" t="s">
        <v>1</v>
      </c>
      <c r="E8" s="3">
        <v>32</v>
      </c>
      <c r="F8" s="5" t="s">
        <v>2</v>
      </c>
      <c r="H8" s="2" t="s">
        <v>7</v>
      </c>
      <c r="I8" s="3">
        <v>16383</v>
      </c>
      <c r="J8" s="4" t="s">
        <v>1</v>
      </c>
      <c r="K8" s="3">
        <f>$E$8/4095*J2</f>
        <v>27.999023199023199</v>
      </c>
      <c r="L8" s="5" t="s">
        <v>2</v>
      </c>
      <c r="N8" s="2" t="s">
        <v>7</v>
      </c>
      <c r="O8" s="3">
        <v>16383</v>
      </c>
      <c r="P8" s="4" t="s">
        <v>1</v>
      </c>
      <c r="Q8" s="3">
        <f>$E$8/4095*P2</f>
        <v>23.998046398046398</v>
      </c>
      <c r="R8" s="5" t="s">
        <v>2</v>
      </c>
    </row>
    <row r="9" spans="2:18" ht="17.25" thickBot="1">
      <c r="B9" s="13" t="s">
        <v>25</v>
      </c>
      <c r="C9" s="14">
        <v>16383</v>
      </c>
      <c r="D9" s="15" t="s">
        <v>1</v>
      </c>
      <c r="E9" s="29">
        <f>E8*(C9/C8)</f>
        <v>32</v>
      </c>
      <c r="F9" s="16" t="s">
        <v>2</v>
      </c>
      <c r="H9" s="13" t="s">
        <v>25</v>
      </c>
      <c r="I9" s="14">
        <v>16383</v>
      </c>
      <c r="J9" s="15" t="s">
        <v>1</v>
      </c>
      <c r="K9" s="29">
        <f>K8*(I9/I8)</f>
        <v>27.999023199023199</v>
      </c>
      <c r="L9" s="16" t="s">
        <v>2</v>
      </c>
      <c r="N9" s="13" t="s">
        <v>25</v>
      </c>
      <c r="O9" s="14">
        <v>16383</v>
      </c>
      <c r="P9" s="15" t="s">
        <v>1</v>
      </c>
      <c r="Q9" s="29">
        <f>Q8*(O9/O8)</f>
        <v>23.998046398046398</v>
      </c>
      <c r="R9" s="16" t="s">
        <v>2</v>
      </c>
    </row>
    <row r="11" spans="2:18" ht="17.25" thickBot="1">
      <c r="B11" t="s">
        <v>56</v>
      </c>
      <c r="C11">
        <f>$C$2*5/8</f>
        <v>2559.375</v>
      </c>
      <c r="D11">
        <f>ROUND(C11, 0)</f>
        <v>2559</v>
      </c>
      <c r="H11" t="s">
        <v>56</v>
      </c>
      <c r="I11">
        <f>$C$2*4/8</f>
        <v>2047.5</v>
      </c>
      <c r="J11">
        <f>ROUND(I11, 0)</f>
        <v>2048</v>
      </c>
      <c r="N11" t="s">
        <v>56</v>
      </c>
      <c r="O11">
        <f>$C$2*3/8</f>
        <v>1535.625</v>
      </c>
      <c r="P11">
        <f>ROUND(O11, 0)</f>
        <v>1536</v>
      </c>
    </row>
    <row r="12" spans="2:18" ht="17.25" thickBot="1">
      <c r="B12" s="33" t="s">
        <v>30</v>
      </c>
      <c r="C12" s="34"/>
      <c r="D12" s="34"/>
      <c r="E12" s="34"/>
      <c r="F12" s="35"/>
      <c r="H12" s="33" t="s">
        <v>30</v>
      </c>
      <c r="I12" s="34"/>
      <c r="J12" s="34"/>
      <c r="K12" s="34"/>
      <c r="L12" s="35"/>
      <c r="N12" s="33" t="s">
        <v>30</v>
      </c>
      <c r="O12" s="34"/>
      <c r="P12" s="34"/>
      <c r="Q12" s="34"/>
      <c r="R12" s="35"/>
    </row>
    <row r="13" spans="2:18">
      <c r="B13" s="2" t="s">
        <v>7</v>
      </c>
      <c r="C13" s="3">
        <v>16383</v>
      </c>
      <c r="D13" s="4" t="s">
        <v>1</v>
      </c>
      <c r="E13" s="3">
        <f>$E$4/4095*D11</f>
        <v>4.9992673992673993</v>
      </c>
      <c r="F13" s="5" t="s">
        <v>2</v>
      </c>
      <c r="H13" s="2" t="s">
        <v>7</v>
      </c>
      <c r="I13" s="3">
        <v>16383</v>
      </c>
      <c r="J13" s="4" t="s">
        <v>1</v>
      </c>
      <c r="K13" s="3">
        <f>$E$4/4095*J11</f>
        <v>4.000976800976801</v>
      </c>
      <c r="L13" s="5" t="s">
        <v>2</v>
      </c>
      <c r="N13" s="2" t="s">
        <v>7</v>
      </c>
      <c r="O13" s="3">
        <v>16383</v>
      </c>
      <c r="P13" s="4" t="s">
        <v>1</v>
      </c>
      <c r="Q13" s="3">
        <f>$E$4/4095*P11</f>
        <v>3.0007326007326007</v>
      </c>
      <c r="R13" s="5" t="s">
        <v>2</v>
      </c>
    </row>
    <row r="14" spans="2:18" ht="17.25" thickBot="1">
      <c r="B14" s="13" t="s">
        <v>25</v>
      </c>
      <c r="C14" s="14">
        <v>16383</v>
      </c>
      <c r="D14" s="15" t="s">
        <v>1</v>
      </c>
      <c r="E14" s="29">
        <f>E13*(C14/C13)</f>
        <v>4.9992673992673993</v>
      </c>
      <c r="F14" s="16" t="s">
        <v>2</v>
      </c>
      <c r="H14" s="13" t="s">
        <v>25</v>
      </c>
      <c r="I14" s="14">
        <v>16383</v>
      </c>
      <c r="J14" s="15" t="s">
        <v>1</v>
      </c>
      <c r="K14" s="29">
        <f>K13*(I14/I13)</f>
        <v>4.000976800976801</v>
      </c>
      <c r="L14" s="16" t="s">
        <v>2</v>
      </c>
      <c r="N14" s="13" t="s">
        <v>25</v>
      </c>
      <c r="O14" s="14">
        <v>16383</v>
      </c>
      <c r="P14" s="15" t="s">
        <v>1</v>
      </c>
      <c r="Q14" s="29">
        <f>Q13*(O14/O13)</f>
        <v>3.0007326007326007</v>
      </c>
      <c r="R14" s="16" t="s">
        <v>2</v>
      </c>
    </row>
    <row r="15" spans="2:18" ht="17.25" thickBot="1"/>
    <row r="16" spans="2:18" ht="17.25" thickBot="1">
      <c r="B16" s="33" t="s">
        <v>31</v>
      </c>
      <c r="C16" s="34"/>
      <c r="D16" s="34"/>
      <c r="E16" s="34"/>
      <c r="F16" s="35"/>
      <c r="H16" s="33" t="s">
        <v>31</v>
      </c>
      <c r="I16" s="34"/>
      <c r="J16" s="34"/>
      <c r="K16" s="34"/>
      <c r="L16" s="35"/>
      <c r="N16" s="33" t="s">
        <v>31</v>
      </c>
      <c r="O16" s="34"/>
      <c r="P16" s="34"/>
      <c r="Q16" s="34"/>
      <c r="R16" s="35"/>
    </row>
    <row r="17" spans="2:18">
      <c r="B17" s="2" t="s">
        <v>7</v>
      </c>
      <c r="C17" s="3">
        <v>16383</v>
      </c>
      <c r="D17" s="4" t="s">
        <v>1</v>
      </c>
      <c r="E17" s="3">
        <f>$E$8/4095*D11</f>
        <v>19.997069597069597</v>
      </c>
      <c r="F17" s="5" t="s">
        <v>2</v>
      </c>
      <c r="H17" s="2" t="s">
        <v>7</v>
      </c>
      <c r="I17" s="3">
        <v>16383</v>
      </c>
      <c r="J17" s="4" t="s">
        <v>1</v>
      </c>
      <c r="K17" s="3">
        <f>$E$8/4095*J11</f>
        <v>16.003907203907204</v>
      </c>
      <c r="L17" s="5" t="s">
        <v>2</v>
      </c>
      <c r="N17" s="2" t="s">
        <v>7</v>
      </c>
      <c r="O17" s="3">
        <v>16383</v>
      </c>
      <c r="P17" s="4" t="s">
        <v>1</v>
      </c>
      <c r="Q17" s="3">
        <f>$E$8/4095*P11</f>
        <v>12.002930402930403</v>
      </c>
      <c r="R17" s="5" t="s">
        <v>2</v>
      </c>
    </row>
    <row r="18" spans="2:18" ht="17.25" thickBot="1">
      <c r="B18" s="13" t="s">
        <v>25</v>
      </c>
      <c r="C18" s="14">
        <v>16383</v>
      </c>
      <c r="D18" s="15" t="s">
        <v>1</v>
      </c>
      <c r="E18" s="29">
        <f>E17*(C18/C17)</f>
        <v>19.997069597069597</v>
      </c>
      <c r="F18" s="16" t="s">
        <v>2</v>
      </c>
      <c r="H18" s="13" t="s">
        <v>25</v>
      </c>
      <c r="I18" s="14">
        <v>16383</v>
      </c>
      <c r="J18" s="15" t="s">
        <v>1</v>
      </c>
      <c r="K18" s="29">
        <f>K17*(I18/I17)</f>
        <v>16.003907203907204</v>
      </c>
      <c r="L18" s="16" t="s">
        <v>2</v>
      </c>
      <c r="N18" s="13" t="s">
        <v>25</v>
      </c>
      <c r="O18" s="14">
        <v>16383</v>
      </c>
      <c r="P18" s="15" t="s">
        <v>1</v>
      </c>
      <c r="Q18" s="29">
        <f>Q17*(O18/O17)</f>
        <v>12.002930402930403</v>
      </c>
      <c r="R18" s="16" t="s">
        <v>2</v>
      </c>
    </row>
  </sheetData>
  <mergeCells count="12">
    <mergeCell ref="B3:F3"/>
    <mergeCell ref="B7:F7"/>
    <mergeCell ref="H3:L3"/>
    <mergeCell ref="H7:L7"/>
    <mergeCell ref="N3:R3"/>
    <mergeCell ref="N7:R7"/>
    <mergeCell ref="B12:F12"/>
    <mergeCell ref="B16:F16"/>
    <mergeCell ref="H12:L12"/>
    <mergeCell ref="H16:L16"/>
    <mergeCell ref="N12:R12"/>
    <mergeCell ref="N16:R16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8E3F6-4271-4757-9F5C-18DD0E258FAE}">
  <dimension ref="B2:I4"/>
  <sheetViews>
    <sheetView workbookViewId="0">
      <selection activeCell="H3" sqref="H3"/>
    </sheetView>
  </sheetViews>
  <sheetFormatPr defaultRowHeight="16.899999999999999"/>
  <sheetData>
    <row r="2" spans="2:9">
      <c r="B2">
        <f>2^16</f>
        <v>65536</v>
      </c>
      <c r="C2">
        <f>B2*2/3</f>
        <v>43690.666666666664</v>
      </c>
      <c r="E2">
        <v>39000</v>
      </c>
      <c r="H2">
        <v>39.311999999999998</v>
      </c>
      <c r="I2" t="s">
        <v>57</v>
      </c>
    </row>
    <row r="3" spans="2:9">
      <c r="C3">
        <v>32768</v>
      </c>
      <c r="E3">
        <v>32768</v>
      </c>
      <c r="H3">
        <f>H2+1.5</f>
        <v>40.811999999999998</v>
      </c>
      <c r="I3" t="s">
        <v>57</v>
      </c>
    </row>
    <row r="4" spans="2:9">
      <c r="C4">
        <f>AVERAGE(C2:C3)</f>
        <v>38229.333333333328</v>
      </c>
      <c r="E4">
        <f>AVERAGE(E2:E3)</f>
        <v>35884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Test_Plan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김영훈</dc:creator>
  <cp:lastModifiedBy>이 준영</cp:lastModifiedBy>
  <dcterms:created xsi:type="dcterms:W3CDTF">2015-06-05T18:19:34Z</dcterms:created>
  <dcterms:modified xsi:type="dcterms:W3CDTF">2025-03-28T05:10:55Z</dcterms:modified>
</cp:coreProperties>
</file>