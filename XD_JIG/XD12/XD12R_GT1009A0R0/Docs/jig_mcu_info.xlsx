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3497A481-C257-471E-9F59-6ABA3934D24F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mcu set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H24" i="2"/>
  <c r="I23" i="2"/>
  <c r="I22" i="2"/>
  <c r="H23" i="2"/>
  <c r="H22" i="2"/>
  <c r="D22" i="2"/>
  <c r="D24" i="2" s="1"/>
  <c r="E22" i="2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<sst xmlns="http://schemas.openxmlformats.org/spreadsheetml/2006/main" count="75" uniqueCount="50">
  <si>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</si>
  <si>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</si>
  <si>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</si>
  <si>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</si>
  <si>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</si>
  <si>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</si>
  <si>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</si>
  <si>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</si>
  <si>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</si>
  <si>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</si>
  <si>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</si>
  <si>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</si>
  <si>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</si>
  <si>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</si>
  <si>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</si>
  <si>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</si>
  <si>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</si>
  <si>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</si>
  <si>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</si>
  <si>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</si>
  <si>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</si>
  <si>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</si>
  <si>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</si>
  <si>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</si>
  <si>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xd data out</t>
    <phoneticPr fontId="18" type="noConversion"/>
  </si>
  <si>
    <t>xd data in</t>
    <phoneticPr fontId="18" type="noConversion"/>
  </si>
  <si>
    <t>osc trim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</si>
  <si>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</si>
  <si>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</si>
  <si>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</si>
  <si>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</si>
  <si>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</si>
  <si>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xc spi</t>
    <phoneticPr fontId="18" type="noConversion"/>
  </si>
  <si>
    <t>adc spi</t>
    <phoneticPr fontId="18" type="noConversion"/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</si>
  <si>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</si>
  <si>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</si>
  <si>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</si>
  <si>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</si>
  <si>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</si>
  <si>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</si>
  <si>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xc</t>
    <phoneticPr fontId="18" type="noConversion"/>
  </si>
  <si>
    <t>xd</t>
    <phoneticPr fontId="18" type="noConversion"/>
  </si>
  <si>
    <t>MCLK</t>
    <phoneticPr fontId="18" type="noConversion"/>
  </si>
  <si>
    <t>serial high</t>
    <phoneticPr fontId="18" type="noConversion"/>
  </si>
  <si>
    <t>serial low</t>
    <phoneticPr fontId="18" type="noConversion"/>
  </si>
  <si>
    <t>duty high</t>
    <phoneticPr fontId="18" type="noConversion"/>
  </si>
  <si>
    <t>duty low</t>
    <phoneticPr fontId="18" type="noConversion"/>
  </si>
  <si>
    <t>serial freq</t>
    <phoneticPr fontId="18" type="noConversion"/>
  </si>
  <si>
    <t>vsync</t>
    <phoneticPr fontId="18" type="noConversion"/>
  </si>
  <si>
    <t>svsync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</si>
</sst>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.00&quot;MHz&quot;"/>
    <numFmt numFmtId="178" formatCode="0.000&quot;MHz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521637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2" width="9.1640625" bestFit="1" customWidth="1"/>
    <col min="3" max="16" width="10.58203125" customWidth="1"/>
  </cols>
  <sheetData>
    <row r="2" spans="2:16" x14ac:dyDescent="0.45">
      <c r="C2" t="s">
        <v>34</v>
      </c>
      <c r="D2" t="s">
        <v>35</v>
      </c>
    </row>
    <row r="3" spans="2:16" x14ac:dyDescent="0.45">
      <c r="B3" s="1" t="s">
        <v>16</v>
      </c>
      <c r="C3" s="2">
        <v>45</v>
      </c>
      <c r="D3" s="2">
        <f>C3*2</f>
        <v>90</v>
      </c>
    </row>
    <row r="4" spans="2:16" x14ac:dyDescent="0.45">
      <c r="B4" s="1" t="s">
        <v>15</v>
      </c>
      <c r="C4" s="2">
        <v>90</v>
      </c>
      <c r="D4" s="2">
        <f>C4*2</f>
        <v>180</v>
      </c>
    </row>
    <row r="6" spans="2:16" x14ac:dyDescent="0.45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</row>
    <row r="7" spans="2:16" x14ac:dyDescent="0.45">
      <c r="B7" s="1" t="s">
        <v>14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16</v>
      </c>
      <c r="O7" s="1" t="s">
        <v>16</v>
      </c>
      <c r="P7" s="1" t="s">
        <v>16</v>
      </c>
    </row>
    <row r="8" spans="2:16" x14ac:dyDescent="0.45">
      <c r="B8" s="1" t="s">
        <v>23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45">
      <c r="B9" s="1" t="s">
        <v>28</v>
      </c>
      <c r="C9" t="s">
        <v>24</v>
      </c>
      <c r="D9" t="s">
        <v>25</v>
      </c>
      <c r="E9" t="s">
        <v>49</v>
      </c>
      <c r="G9" t="s">
        <v>26</v>
      </c>
      <c r="J9" t="s">
        <v>48</v>
      </c>
      <c r="N9" t="s">
        <v>27</v>
      </c>
    </row>
    <row r="10" spans="2:16" x14ac:dyDescent="0.45">
      <c r="B10" s="1" t="s">
        <v>17</v>
      </c>
      <c r="C10" s="3">
        <f t="shared" ref="C10:P10" si="0">IF(C7="APB2",$D$4, $D$3)</f>
        <v>180</v>
      </c>
      <c r="D10" s="3">
        <f t="shared" si="0"/>
        <v>90</v>
      </c>
      <c r="E10" s="3">
        <f t="shared" si="0"/>
        <v>90</v>
      </c>
      <c r="F10" s="3">
        <f t="shared" si="0"/>
        <v>90</v>
      </c>
      <c r="G10" s="3">
        <f t="shared" si="0"/>
        <v>90</v>
      </c>
      <c r="H10" s="3">
        <f t="shared" si="0"/>
        <v>90</v>
      </c>
      <c r="I10" s="3">
        <f t="shared" si="0"/>
        <v>90</v>
      </c>
      <c r="J10" s="3">
        <f t="shared" si="0"/>
        <v>180</v>
      </c>
      <c r="K10" s="3">
        <f t="shared" si="0"/>
        <v>180</v>
      </c>
      <c r="L10" s="3">
        <f t="shared" si="0"/>
        <v>180</v>
      </c>
      <c r="M10" s="3">
        <f t="shared" si="0"/>
        <v>180</v>
      </c>
      <c r="N10" s="3">
        <f t="shared" si="0"/>
        <v>90</v>
      </c>
      <c r="O10" s="2">
        <f t="shared" si="0"/>
        <v>90</v>
      </c>
      <c r="P10" s="2">
        <f t="shared" si="0"/>
        <v>90</v>
      </c>
    </row>
    <row r="11" spans="2:16" x14ac:dyDescent="0.45">
      <c r="B11" s="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0</v>
      </c>
      <c r="L11">
        <v>0</v>
      </c>
      <c r="M11">
        <v>0</v>
      </c>
      <c r="N11">
        <v>89</v>
      </c>
      <c r="O11">
        <v>0</v>
      </c>
      <c r="P11">
        <v>0</v>
      </c>
    </row>
    <row r="12" spans="2:16" x14ac:dyDescent="0.45">
      <c r="B12" s="1" t="s">
        <v>19</v>
      </c>
      <c r="C12">
        <v>179</v>
      </c>
      <c r="D12">
        <v>0</v>
      </c>
      <c r="E12">
        <v>11717</v>
      </c>
      <c r="F12">
        <v>0</v>
      </c>
      <c r="G12">
        <v>0</v>
      </c>
      <c r="H12">
        <v>0</v>
      </c>
      <c r="I12">
        <v>0</v>
      </c>
      <c r="J12">
        <v>49999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2:16" x14ac:dyDescent="0.45">
      <c r="B13" s="1" t="s">
        <v>20</v>
      </c>
      <c r="C13">
        <f>C10/((C11+1)*(C12+1))</f>
        <v>1</v>
      </c>
      <c r="D13">
        <f t="shared" ref="D13:P13" si="1">D10/((D11+1)*(D12+1))</f>
        <v>90</v>
      </c>
      <c r="E13">
        <f t="shared" si="1"/>
        <v>7.6804915514592934E-3</v>
      </c>
      <c r="F13">
        <f t="shared" si="1"/>
        <v>90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1.2E-4</v>
      </c>
      <c r="K13">
        <f t="shared" si="1"/>
        <v>180</v>
      </c>
      <c r="L13">
        <f t="shared" si="1"/>
        <v>180</v>
      </c>
      <c r="M13">
        <f t="shared" si="1"/>
        <v>180</v>
      </c>
      <c r="N13">
        <f t="shared" si="1"/>
        <v>1</v>
      </c>
      <c r="O13">
        <f t="shared" si="1"/>
        <v>90</v>
      </c>
      <c r="P13">
        <f t="shared" si="1"/>
        <v>90</v>
      </c>
    </row>
    <row r="14" spans="2:16" x14ac:dyDescent="0.45">
      <c r="B14" s="1" t="s">
        <v>21</v>
      </c>
      <c r="C14">
        <f>C13*1000</f>
        <v>1000</v>
      </c>
      <c r="D14">
        <f t="shared" ref="D14:P15" si="2">D13*1000</f>
        <v>90000</v>
      </c>
      <c r="E14">
        <f t="shared" si="2"/>
        <v>7.6804915514592933</v>
      </c>
      <c r="F14">
        <f t="shared" si="2"/>
        <v>90000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0.12000000000000001</v>
      </c>
      <c r="K14">
        <f t="shared" si="2"/>
        <v>180000</v>
      </c>
      <c r="L14">
        <f t="shared" si="2"/>
        <v>180000</v>
      </c>
      <c r="M14">
        <f t="shared" si="2"/>
        <v>180000</v>
      </c>
      <c r="N14">
        <f t="shared" si="2"/>
        <v>1000</v>
      </c>
      <c r="O14">
        <f t="shared" si="2"/>
        <v>90000</v>
      </c>
      <c r="P14">
        <f t="shared" si="2"/>
        <v>90000</v>
      </c>
    </row>
    <row r="15" spans="2:16" x14ac:dyDescent="0.45">
      <c r="B15" s="1" t="s">
        <v>22</v>
      </c>
      <c r="C15">
        <f>C14*1000</f>
        <v>1000000</v>
      </c>
      <c r="D15">
        <f t="shared" si="2"/>
        <v>90000000</v>
      </c>
      <c r="E15">
        <f t="shared" si="2"/>
        <v>7680.4915514592931</v>
      </c>
      <c r="F15">
        <f t="shared" si="2"/>
        <v>90000000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120.00000000000001</v>
      </c>
      <c r="K15">
        <f t="shared" si="2"/>
        <v>180000000</v>
      </c>
      <c r="L15">
        <f t="shared" si="2"/>
        <v>180000000</v>
      </c>
      <c r="M15">
        <f t="shared" si="2"/>
        <v>180000000</v>
      </c>
      <c r="N15">
        <f t="shared" si="2"/>
        <v>1000000</v>
      </c>
      <c r="O15">
        <f t="shared" si="2"/>
        <v>90000000</v>
      </c>
      <c r="P15">
        <f t="shared" si="2"/>
        <v>90000000</v>
      </c>
    </row>
    <row r="18" spans="2:9" x14ac:dyDescent="0.45">
      <c r="B18" s="1"/>
      <c r="C18" s="1" t="s">
        <v>29</v>
      </c>
      <c r="D18" s="1" t="s">
        <v>30</v>
      </c>
      <c r="E18" s="1" t="s">
        <v>31</v>
      </c>
      <c r="G18" s="1"/>
      <c r="H18" s="1" t="s">
        <v>40</v>
      </c>
      <c r="I18" s="1" t="s">
        <v>41</v>
      </c>
    </row>
    <row r="19" spans="2:9" x14ac:dyDescent="0.45">
      <c r="B19" s="1" t="s">
        <v>14</v>
      </c>
      <c r="C19" s="1" t="s">
        <v>15</v>
      </c>
      <c r="D19" s="1" t="s">
        <v>16</v>
      </c>
      <c r="E19" s="1" t="s">
        <v>16</v>
      </c>
      <c r="G19" s="1" t="s">
        <v>42</v>
      </c>
      <c r="H19" s="3">
        <v>16</v>
      </c>
      <c r="I19" s="4">
        <v>39.319200000000002</v>
      </c>
    </row>
    <row r="20" spans="2:9" x14ac:dyDescent="0.45">
      <c r="B20" s="1" t="s">
        <v>23</v>
      </c>
      <c r="C20" s="1">
        <v>16</v>
      </c>
      <c r="D20" s="1">
        <v>32</v>
      </c>
      <c r="E20" s="1">
        <v>16</v>
      </c>
      <c r="G20" s="1" t="s">
        <v>44</v>
      </c>
      <c r="H20">
        <v>6</v>
      </c>
      <c r="I20">
        <v>13</v>
      </c>
    </row>
    <row r="21" spans="2:9" x14ac:dyDescent="0.45">
      <c r="B21" s="1" t="s">
        <v>28</v>
      </c>
      <c r="C21" t="s">
        <v>32</v>
      </c>
      <c r="D21" t="s">
        <v>33</v>
      </c>
      <c r="G21" s="1" t="s">
        <v>43</v>
      </c>
      <c r="H21">
        <v>10</v>
      </c>
      <c r="I21">
        <v>26</v>
      </c>
    </row>
    <row r="22" spans="2:9" x14ac:dyDescent="0.45">
      <c r="B22" s="1" t="s">
        <v>17</v>
      </c>
      <c r="C22" s="3">
        <f>IF(C19="APB2",$C$4, $C$3)</f>
        <v>90</v>
      </c>
      <c r="D22" s="3">
        <f t="shared" ref="D22:E22" si="3">IF(D19="APB2",$C$4, $C$3)</f>
        <v>45</v>
      </c>
      <c r="E22" s="3">
        <f t="shared" si="3"/>
        <v>45</v>
      </c>
      <c r="G22" s="1" t="s">
        <v>46</v>
      </c>
      <c r="H22">
        <f>H20/(H20+H21)</f>
        <v>0.375</v>
      </c>
      <c r="I22">
        <f>I20/(I20+I21)</f>
        <v>0.33333333333333331</v>
      </c>
    </row>
    <row r="23" spans="2:9" x14ac:dyDescent="0.45">
      <c r="B23" s="1" t="s">
        <v>18</v>
      </c>
      <c r="C23">
        <v>4</v>
      </c>
      <c r="D23">
        <v>2</v>
      </c>
      <c r="G23" s="1" t="s">
        <v>45</v>
      </c>
      <c r="H23">
        <f>H21/(H20+H21)</f>
        <v>0.625</v>
      </c>
      <c r="I23">
        <f>I21/(I20+I21)</f>
        <v>0.66666666666666663</v>
      </c>
    </row>
    <row r="24" spans="2:9" x14ac:dyDescent="0.45">
      <c r="B24" s="1" t="s">
        <v>20</v>
      </c>
      <c r="C24">
        <f>C22/(C23)</f>
        <v>22.5</v>
      </c>
      <c r="D24">
        <f t="shared" ref="D24" si="4">D22/(D23)</f>
        <v>22.5</v>
      </c>
      <c r="G24" s="1" t="s">
        <v>47</v>
      </c>
      <c r="H24">
        <f>H19/(H20+H21)</f>
        <v>1</v>
      </c>
      <c r="I24">
        <f>I19/(I20+I21)</f>
        <v>1.0081846153846155</v>
      </c>
    </row>
    <row r="25" spans="2:9" x14ac:dyDescent="0.45">
      <c r="B25" s="1" t="s">
        <v>36</v>
      </c>
      <c r="C25" t="s">
        <v>38</v>
      </c>
      <c r="D25" t="s">
        <v>38</v>
      </c>
    </row>
    <row r="26" spans="2:9" x14ac:dyDescent="0.45">
      <c r="B26" s="1" t="s">
        <v>37</v>
      </c>
      <c r="C26" t="s">
        <v>39</v>
      </c>
      <c r="D26" t="s">
        <v>39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2026-01-28T09:00:41Z</dcterms:modified>
</cp:coreProperties>
</file>