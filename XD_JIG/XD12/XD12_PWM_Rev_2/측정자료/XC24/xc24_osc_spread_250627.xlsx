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2\측정자료\XC24\"/>
    </mc:Choice>
  </mc:AlternateContent>
  <xr:revisionPtr revIDLastSave="0" documentId="13_ncr:1_{B50A2734-0487-4BDF-9867-615CEC67C33F}" xr6:coauthVersionLast="47" xr6:coauthVersionMax="47" xr10:uidLastSave="{00000000-0000-0000-0000-000000000000}"/>
  <bookViews>
    <workbookView xWindow="-120" yWindow="-120" windowWidth="29040" windowHeight="15720" xr2:uid="{08964B46-B64A-40FB-B5F8-7FAEBF9867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1" l="1"/>
  <c r="Q7" i="1" s="1"/>
  <c r="M6" i="1"/>
  <c r="M7" i="1" s="1"/>
  <c r="I6" i="1"/>
  <c r="I7" i="1" s="1"/>
  <c r="E6" i="1"/>
  <c r="E7" i="1" s="1"/>
  <c r="C10" i="1" l="1"/>
</calcChain>
</file>

<file path=xl/sharedStrings.xml><?xml version="1.0" encoding="utf-8"?>
<sst xmlns="http://schemas.openxmlformats.org/spreadsheetml/2006/main" count="45" uniqueCount="36">
  <si>
    <t>B15</t>
    <phoneticPr fontId="1" type="noConversion"/>
  </si>
  <si>
    <t>B14</t>
    <phoneticPr fontId="1" type="noConversion"/>
  </si>
  <si>
    <t>B13</t>
  </si>
  <si>
    <t>B12</t>
  </si>
  <si>
    <t>B11</t>
  </si>
  <si>
    <t>B10</t>
  </si>
  <si>
    <t>B9</t>
  </si>
  <si>
    <t>B8</t>
  </si>
  <si>
    <t>B7</t>
  </si>
  <si>
    <t>B6</t>
  </si>
  <si>
    <t>B5</t>
  </si>
  <si>
    <t>B4</t>
  </si>
  <si>
    <t>B3</t>
  </si>
  <si>
    <t>B2</t>
  </si>
  <si>
    <t>B1</t>
  </si>
  <si>
    <t>B0</t>
  </si>
  <si>
    <t>X</t>
    <phoneticPr fontId="1" type="noConversion"/>
  </si>
  <si>
    <t>SPREAD_A</t>
    <phoneticPr fontId="1" type="noConversion"/>
  </si>
  <si>
    <t>LD_CLK_SEL</t>
    <phoneticPr fontId="1" type="noConversion"/>
  </si>
  <si>
    <t>SPREA_D</t>
    <phoneticPr fontId="1" type="noConversion"/>
  </si>
  <si>
    <t>SPREAD_SPEED</t>
    <phoneticPr fontId="1" type="noConversion"/>
  </si>
  <si>
    <t>SPREAD_DIR</t>
    <phoneticPr fontId="1" type="noConversion"/>
  </si>
  <si>
    <t>SR_C_SEL</t>
    <phoneticPr fontId="1" type="noConversion"/>
  </si>
  <si>
    <t>OSC_SP_EN</t>
    <phoneticPr fontId="1" type="noConversion"/>
  </si>
  <si>
    <t>SKEW_EN</t>
    <phoneticPr fontId="1" type="noConversion"/>
  </si>
  <si>
    <t>MCLK_MODE</t>
    <phoneticPr fontId="1" type="noConversion"/>
  </si>
  <si>
    <t>SERIA_STATUS</t>
    <phoneticPr fontId="1" type="noConversion"/>
  </si>
  <si>
    <t>가변</t>
    <phoneticPr fontId="1" type="noConversion"/>
  </si>
  <si>
    <t>0 고정</t>
    <phoneticPr fontId="1" type="noConversion"/>
  </si>
  <si>
    <t>2 고정</t>
    <phoneticPr fontId="1" type="noConversion"/>
  </si>
  <si>
    <t>1 고정</t>
    <phoneticPr fontId="1" type="noConversion"/>
  </si>
  <si>
    <t>SPREAD_D</t>
    <phoneticPr fontId="1" type="noConversion"/>
  </si>
  <si>
    <t>mclk_min</t>
    <phoneticPr fontId="1" type="noConversion"/>
  </si>
  <si>
    <t>mclk_max</t>
    <phoneticPr fontId="1" type="noConversion"/>
  </si>
  <si>
    <t>mclk_mean</t>
    <phoneticPr fontId="1" type="noConversion"/>
  </si>
  <si>
    <t>0x1B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</si>
</sst>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539AE-8F57-4261-96D5-911D48672EB5}">
  <dimension ref="B1:Q22"/>
  <sheetViews>
    <sheetView tabSelected="1" workbookViewId="0"/>
  </sheetViews>
  <sheetFormatPr defaultRowHeight="16.5" x14ac:dyDescent="0.3"/>
  <cols>
    <col min="1" max="1" width="9" style="1"/>
    <col min="2" max="2" width="10.375" style="1" bestFit="1" customWidth="1"/>
    <col min="3" max="3" width="10.5" style="1" bestFit="1" customWidth="1"/>
    <col min="4" max="4" width="15.125" style="1" bestFit="1" customWidth="1"/>
    <col min="5" max="5" width="9.5" style="1" bestFit="1" customWidth="1"/>
    <col min="6" max="6" width="11.5" style="1" bestFit="1" customWidth="1"/>
    <col min="7" max="7" width="14.125" style="1" bestFit="1" customWidth="1"/>
    <col min="8" max="9" width="9" style="1" customWidth="1"/>
    <col min="10" max="17" width="14.5" style="1" customWidth="1"/>
    <col min="18" max="16384" width="9" style="1"/>
  </cols>
  <sheetData>
    <row r="1" spans="2:17" ht="17.25" thickBot="1" x14ac:dyDescent="0.35"/>
    <row r="2" spans="2:17" ht="17.25" thickBot="1" x14ac:dyDescent="0.35">
      <c r="B2" s="3" t="s">
        <v>0</v>
      </c>
      <c r="C2" s="9" t="s">
        <v>1</v>
      </c>
      <c r="D2" s="9" t="s">
        <v>2</v>
      </c>
      <c r="E2" s="9" t="s">
        <v>3</v>
      </c>
      <c r="F2" s="4" t="s">
        <v>4</v>
      </c>
      <c r="G2" s="4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5" t="s">
        <v>15</v>
      </c>
    </row>
    <row r="3" spans="2:17" ht="17.25" thickBot="1" x14ac:dyDescent="0.35">
      <c r="B3" s="6" t="s">
        <v>16</v>
      </c>
      <c r="C3" s="10" t="s">
        <v>17</v>
      </c>
      <c r="D3" s="10"/>
      <c r="E3" s="10"/>
      <c r="F3" s="7" t="s">
        <v>18</v>
      </c>
      <c r="G3" s="7" t="s">
        <v>26</v>
      </c>
      <c r="H3" s="10" t="s">
        <v>19</v>
      </c>
      <c r="I3" s="10"/>
      <c r="J3" s="10" t="s">
        <v>20</v>
      </c>
      <c r="K3" s="10"/>
      <c r="L3" s="11" t="s">
        <v>21</v>
      </c>
      <c r="M3" s="11"/>
      <c r="N3" s="7" t="s">
        <v>22</v>
      </c>
      <c r="O3" s="7" t="s">
        <v>23</v>
      </c>
      <c r="P3" s="7" t="s">
        <v>24</v>
      </c>
      <c r="Q3" s="8" t="s">
        <v>25</v>
      </c>
    </row>
    <row r="4" spans="2:17" ht="17.25" thickBot="1" x14ac:dyDescent="0.35">
      <c r="B4" s="6" t="s">
        <v>16</v>
      </c>
      <c r="C4" s="10" t="s">
        <v>27</v>
      </c>
      <c r="D4" s="10"/>
      <c r="E4" s="10"/>
      <c r="F4" s="7" t="s">
        <v>28</v>
      </c>
      <c r="G4" s="7" t="s">
        <v>28</v>
      </c>
      <c r="H4" s="10" t="s">
        <v>27</v>
      </c>
      <c r="I4" s="10"/>
      <c r="J4" s="10" t="s">
        <v>27</v>
      </c>
      <c r="K4" s="10"/>
      <c r="L4" s="11" t="s">
        <v>29</v>
      </c>
      <c r="M4" s="11"/>
      <c r="N4" s="7" t="s">
        <v>28</v>
      </c>
      <c r="O4" s="7" t="s">
        <v>30</v>
      </c>
      <c r="P4" s="7" t="s">
        <v>30</v>
      </c>
      <c r="Q4" s="8" t="s">
        <v>28</v>
      </c>
    </row>
    <row r="5" spans="2:17" x14ac:dyDescent="0.3">
      <c r="B5" s="1">
        <v>0</v>
      </c>
      <c r="C5" s="1">
        <v>1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1</v>
      </c>
      <c r="J5" s="1">
        <v>0</v>
      </c>
      <c r="K5" s="1">
        <v>0</v>
      </c>
      <c r="L5" s="1">
        <v>1</v>
      </c>
      <c r="M5" s="1">
        <v>0</v>
      </c>
      <c r="N5" s="1">
        <v>0</v>
      </c>
      <c r="O5" s="1">
        <v>0</v>
      </c>
      <c r="P5" s="1">
        <v>1</v>
      </c>
      <c r="Q5" s="1">
        <v>0</v>
      </c>
    </row>
    <row r="6" spans="2:17" x14ac:dyDescent="0.3">
      <c r="E6" s="1" t="str">
        <f>_xlfn.CONCAT(B5:E5)</f>
        <v>0111</v>
      </c>
      <c r="I6" s="1" t="str">
        <f>_xlfn.CONCAT(F5:I5)</f>
        <v>0011</v>
      </c>
      <c r="M6" s="1" t="str">
        <f>_xlfn.CONCAT(J5:M5)</f>
        <v>0010</v>
      </c>
      <c r="Q6" s="1" t="str">
        <f>_xlfn.CONCAT(N5:Q5)</f>
        <v>0010</v>
      </c>
    </row>
    <row r="7" spans="2:17" x14ac:dyDescent="0.3">
      <c r="E7" s="1" t="str">
        <f>BIN2HEX(E6)</f>
        <v>7</v>
      </c>
      <c r="I7" s="1" t="str">
        <f>BIN2HEX(I6)</f>
        <v>3</v>
      </c>
      <c r="M7" s="1" t="str">
        <f>BIN2HEX(M6)</f>
        <v>2</v>
      </c>
      <c r="Q7" s="1" t="str">
        <f>BIN2HEX(Q6)</f>
        <v>2</v>
      </c>
    </row>
    <row r="10" spans="2:17" x14ac:dyDescent="0.3">
      <c r="B10" s="1" t="s">
        <v>35</v>
      </c>
      <c r="C10" s="1" t="str">
        <f>_xlfn.CONCAT("0x", E7, I7, M7, Q7)</f>
        <v>0x7322</v>
      </c>
    </row>
    <row r="14" spans="2:17" x14ac:dyDescent="0.3">
      <c r="B14" s="2" t="s">
        <v>17</v>
      </c>
      <c r="C14" s="2" t="s">
        <v>31</v>
      </c>
      <c r="D14" s="2" t="s">
        <v>20</v>
      </c>
      <c r="E14" s="2" t="s">
        <v>32</v>
      </c>
      <c r="F14" s="2" t="s">
        <v>33</v>
      </c>
      <c r="G14" s="2" t="s">
        <v>34</v>
      </c>
    </row>
    <row r="15" spans="2:17" x14ac:dyDescent="0.3">
      <c r="B15" s="2">
        <v>0</v>
      </c>
      <c r="C15" s="2">
        <v>0</v>
      </c>
      <c r="D15" s="2">
        <v>0</v>
      </c>
      <c r="E15" s="1">
        <v>24.54</v>
      </c>
      <c r="F15" s="1">
        <v>24.6</v>
      </c>
      <c r="G15" s="1">
        <v>24.5657</v>
      </c>
    </row>
    <row r="16" spans="2:17" x14ac:dyDescent="0.3">
      <c r="B16" s="2">
        <v>0</v>
      </c>
      <c r="C16" s="2">
        <v>3</v>
      </c>
      <c r="D16" s="2">
        <v>0</v>
      </c>
      <c r="E16" s="1">
        <v>24.32</v>
      </c>
      <c r="F16" s="1">
        <v>24.81</v>
      </c>
      <c r="G16" s="1">
        <v>24.562000000000001</v>
      </c>
    </row>
    <row r="17" spans="2:7" x14ac:dyDescent="0.3">
      <c r="B17" s="2">
        <v>7</v>
      </c>
      <c r="C17" s="2">
        <v>0</v>
      </c>
      <c r="D17" s="2">
        <v>0</v>
      </c>
      <c r="E17" s="1">
        <v>25.3</v>
      </c>
      <c r="F17" s="1">
        <v>25.363</v>
      </c>
      <c r="G17" s="1">
        <v>25.340699999999998</v>
      </c>
    </row>
    <row r="18" spans="2:7" x14ac:dyDescent="0.3">
      <c r="B18" s="2">
        <v>7</v>
      </c>
      <c r="C18" s="2">
        <v>3</v>
      </c>
      <c r="D18" s="2">
        <v>0</v>
      </c>
      <c r="E18" s="1">
        <v>24.72</v>
      </c>
      <c r="F18" s="1">
        <v>25.94</v>
      </c>
      <c r="G18" s="1">
        <v>25.31</v>
      </c>
    </row>
    <row r="19" spans="2:7" x14ac:dyDescent="0.3">
      <c r="B19" s="2">
        <v>0</v>
      </c>
      <c r="C19" s="2">
        <v>0</v>
      </c>
      <c r="D19" s="2">
        <v>3</v>
      </c>
      <c r="E19" s="1">
        <v>24.527000000000001</v>
      </c>
      <c r="F19" s="1">
        <v>24.585599999999999</v>
      </c>
      <c r="G19" s="1">
        <v>24.559799999999999</v>
      </c>
    </row>
    <row r="20" spans="2:7" x14ac:dyDescent="0.3">
      <c r="B20" s="2">
        <v>0</v>
      </c>
      <c r="C20" s="2">
        <v>3</v>
      </c>
      <c r="D20" s="2">
        <v>3</v>
      </c>
      <c r="E20" s="1">
        <v>24.490200000000002</v>
      </c>
      <c r="F20" s="1">
        <v>24.593900000000001</v>
      </c>
      <c r="G20" s="1">
        <v>24.5505</v>
      </c>
    </row>
    <row r="21" spans="2:7" x14ac:dyDescent="0.3">
      <c r="B21" s="2">
        <v>7</v>
      </c>
      <c r="C21" s="2">
        <v>0</v>
      </c>
      <c r="D21" s="2">
        <v>3</v>
      </c>
      <c r="E21" s="1">
        <v>25.308</v>
      </c>
      <c r="F21" s="1">
        <v>25.333600000000001</v>
      </c>
      <c r="G21" s="1">
        <v>25.3188</v>
      </c>
    </row>
    <row r="22" spans="2:7" x14ac:dyDescent="0.3">
      <c r="B22" s="2">
        <v>7</v>
      </c>
      <c r="C22" s="2">
        <v>3</v>
      </c>
      <c r="D22" s="2">
        <v>3</v>
      </c>
      <c r="E22" s="1">
        <v>25.248000000000001</v>
      </c>
      <c r="F22" s="1">
        <v>25.359000000000002</v>
      </c>
      <c r="G22" s="1">
        <v>25.306999999999999</v>
      </c>
    </row>
  </sheetData>
  <mergeCells count="8">
    <mergeCell ref="C3:E3"/>
    <mergeCell ref="H3:I3"/>
    <mergeCell ref="J3:K3"/>
    <mergeCell ref="L3:M3"/>
    <mergeCell ref="C4:E4"/>
    <mergeCell ref="H4:I4"/>
    <mergeCell ref="J4:K4"/>
    <mergeCell ref="L4:M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2025-06-27T07:06:33Z</dcterms:created>
  <dcterms:modified xsi:type="dcterms:W3CDTF">2025-06-27T08:25:36Z</dcterms:modified>
</cp:coreProperties>
</file>