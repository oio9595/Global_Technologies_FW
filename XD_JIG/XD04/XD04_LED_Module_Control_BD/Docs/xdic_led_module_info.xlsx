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BDAB1733-0EF5-4E42-B81F-2BAFC20C8DD8}" xr6:coauthVersionLast="47" xr6:coauthVersionMax="47" xr10:uidLastSave="{00000000-0000-0000-0000-000000000000}"/>
  <bookViews>
    <workbookView xWindow="28680" yWindow="-255" windowWidth="29040" windowHeight="15720" activeTab="3" xr2:uid="{00000000-000D-0000-FFFF-FFFF00000000}"/>
  </bookViews>
  <sheets>
    <sheet name="protocol" sheetId="1" r:id="rId1"/>
    <sheet name="xc xd mapping" sheetId="2" r:id="rId2"/>
    <sheet name="B'D check list" sheetId="3" r:id="rId3"/>
    <sheet name="B'D connector summary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" l="1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<sst xmlns="http://schemas.openxmlformats.org/spreadsheetml/2006/main" count="322" uniqueCount="204">
  <si>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</si>
  <si>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</si>
  <si>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</si>
  <si>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</si>
  <si>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</si>
  <si>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</si>
  <si>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</si>
  <si>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</si>
  <si>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</si>
  <si>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</si>
  <si>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</si>
  <si>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</si>
  <si>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</si>
  <si>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</si>
  <si>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</si>
  <si>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</si>
  <si>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</si>
  <si>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</si>
  <si>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</si>
  <si>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</si>
  <si>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</si>
  <si>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</si>
  <si>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</si>
  <si>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</si>
  <si>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</si>
  <si>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</si>
  <si>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</si>
  <si>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</si>
  <si>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</si>
  <si>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</si>
  <si>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</si>
  <si>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</si>
  <si>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</si>
  <si>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</si>
  <si>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</si>
  <si>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</si>
  <si>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</si>
  <si>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</si>
  <si>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</si>
  <si>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</si>
  <si>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</si>
  <si>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</si>
  <si>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</si>
  <si>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</si>
  <si>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</si>
  <si>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</si>
  <si>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</si>
  <si>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</si>
  <si>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</si>
  <si>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</si>
  <si>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</si>
  <si>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</si>
  <si>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</si>
  <si>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</si>
  <si>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</si>
  <si>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</si>
  <si>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</si>
  <si>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</si>
  <si>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</si>
  <si>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</si>
  <si>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</si>
  <si>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</si>
  <si>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</si>
  <si>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</si>
  <si>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</si>
  <si>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</si>
  <si>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</si>
  <si>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3. Example Frames</t>
    <phoneticPr fontId="1" type="noConversion"/>
  </si>
  <si>
    <t>Scenario</t>
    <phoneticPr fontId="1" type="noConversion"/>
  </si>
  <si>
    <t xml:space="preserve">Checksum </t>
    <phoneticPr fontId="1" type="noConversion"/>
  </si>
  <si>
    <t>LEN</t>
    <phoneticPr fontId="1" type="noConversion"/>
  </si>
  <si>
    <t>Current 50mA</t>
    <phoneticPr fontId="1" type="noConversion"/>
  </si>
  <si>
    <t>Protocol Fields</t>
    <phoneticPr fontId="1" type="noConversion"/>
  </si>
  <si>
    <t>0 ~ 128</t>
    <phoneticPr fontId="1" type="noConversion"/>
  </si>
  <si>
    <t>0 ~ 20</t>
    <phoneticPr fontId="1" type="noConversion"/>
  </si>
  <si>
    <t>0xA6</t>
    <phoneticPr fontId="1" type="noConversion"/>
  </si>
  <si>
    <t>LED 전류 설정 (1mA 단위 조절)</t>
    <phoneticPr fontId="1" type="noConversion"/>
  </si>
  <si>
    <t>0x32</t>
    <phoneticPr fontId="1" type="noConversion"/>
  </si>
  <si>
    <t>0xD9</t>
    <phoneticPr fontId="1" type="noConversion"/>
  </si>
  <si>
    <t>Current 10mA</t>
    <phoneticPr fontId="1" type="noConversion"/>
  </si>
  <si>
    <t>0x0A</t>
    <phoneticPr fontId="1" type="noConversion"/>
  </si>
  <si>
    <t>0xB1</t>
    <phoneticPr fontId="1" type="noConversion"/>
  </si>
  <si>
    <t>Current 128mA</t>
    <phoneticPr fontId="1" type="noConversion"/>
  </si>
  <si>
    <t>0x27</t>
    <phoneticPr fontId="1" type="noConversion"/>
  </si>
  <si>
    <t>Bar #1 On</t>
    <phoneticPr fontId="1" type="noConversion"/>
  </si>
  <si>
    <t>0xB7</t>
    <phoneticPr fontId="1" type="noConversion"/>
  </si>
  <si>
    <t>Bar #19 Off</t>
    <phoneticPr fontId="1" type="noConversion"/>
  </si>
  <si>
    <t>0x13</t>
    <phoneticPr fontId="1" type="noConversion"/>
  </si>
  <si>
    <t>Block #5 On</t>
    <phoneticPr fontId="1" type="noConversion"/>
  </si>
  <si>
    <t>Block All Off</t>
    <phoneticPr fontId="1" type="noConversion"/>
  </si>
  <si>
    <t>0x05</t>
    <phoneticPr fontId="1" type="noConversion"/>
  </si>
  <si>
    <t>0xEB</t>
    <phoneticPr fontId="1" type="noConversion"/>
  </si>
  <si>
    <t>0x26</t>
    <phoneticPr fontId="1" type="noConversion"/>
  </si>
  <si>
    <t>수행할 명령 코드, "2. Command 목록" 참조</t>
    <phoneticPr fontId="1" type="noConversion"/>
  </si>
  <si>
    <t>명령에 따른 가변 길이 데이터, "2. Command 목록" 참조</t>
    <phoneticPr fontId="1" type="noConversion"/>
  </si>
  <si>
    <t>2. Command 목록</t>
    <phoneticPr fontId="1" type="noConversion"/>
  </si>
  <si>
    <t>4. Control B'D &lt;==&gt; LED Bar Mapping ("xc xd mapping" sheet 참조할것)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</si>
  <si>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</si>
  <si>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</si>
  <si>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</si>
  <si>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</si>
  <si>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</si>
  <si>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</si>
  <si>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</si>
  <si>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</si>
  <si>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</si>
  <si>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</si>
  <si>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</si>
  <si>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</si>
  <si>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</si>
  <si>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</si>
  <si>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</si>
  <si>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</si>
  <si>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</si>
  <si>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</si>
  <si>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</si>
  <si>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</si>
  <si>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</si>
  <si>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</si>
  <si>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</si>
  <si>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</si>
  <si>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</si>
  <si>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</si>
  <si>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</si>
  <si>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</si>
  <si>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</si>
  <si>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</si>
  <si>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</si>
  <si>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</si>
  <si>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</si>
  <si>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</si>
  <si>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</si>
  <si>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</si>
  <si>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</si>
  <si>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</si>
  <si>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</si>
  <si>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</si>
  <si>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</si>
  <si>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</si>
  <si>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</si>
  <si>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</si>
  <si>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</si>
  <si>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Baudrate = 115200, Parity = None, Stopbits = 1-bit, Data = 8-bits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</si>
  <si>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</si>
  <si>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</si>
  <si>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</si>
  <si>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</si>
  <si>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</si>
  <si>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선택 Bar 점등 (Data = 0 → 전체 Bar 점등), "xc xd mapping" 시트 참조</t>
    <phoneticPr fontId="1" type="noConversion"/>
  </si>
  <si>
    <t>선택 Bar 소등 (Data = 0 → 전체 Bar 소등), "xc xd mapping" 시트 참조</t>
    <phoneticPr fontId="1" type="noConversion"/>
  </si>
  <si>
    <t>선택 Block 점등 (Data= 0 → 전체 Block 점등), "xc xd mapping" 시트 참조</t>
    <phoneticPr fontId="1" type="noConversion"/>
  </si>
  <si>
    <t>선택 Block 소등 (Data= 0 → 전체 Block 소등), "xc xd mapping" 시트 참조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</si>
  <si>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</si>
  <si>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</si>
  <si>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</si>
  <si>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</si>
  <si>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</si>
  <si>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</si>
  <si>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</si>
  <si>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</si>
  <si>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</si>
  <si>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</si>
  <si>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</si>
  <si>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</si>
  <si>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</si>
  <si>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</si>
  <si>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</si>
  <si>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</si>
  <si>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</si>
  <si>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</si>
  <si>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TP25 (780kHz Pulse 파형)</t>
    <phoneticPr fontId="1" type="noConversion"/>
  </si>
  <si>
    <t>TP50 (UART 파형)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</si>
  <si>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</si>
  <si>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</si>
  <si>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</si>
  <si>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</si>
  <si>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</si>
  <si>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</si>
  <si>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</si>
  <si>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</si>
  <si>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</si>
  <si>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</si>
  <si>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</si>
  <si>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</si>
  <si>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</si>
  <si>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</si>
  <si>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</si>
  <si>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</si>
  <si>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</si>
  <si>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</si>
  <si>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</si>
  <si>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</si>
  <si>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</si>
  <si>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</si>
  <si>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</si>
  <si>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</si>
  <si>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</si>
  <si>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</si>
  <si>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</si>
  <si>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</si>
  <si>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</si>
  <si>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XC24, XD04 전원 차단, VLED Off 필요</t>
    <phoneticPr fontId="1" type="noConversion"/>
  </si>
  <si>
    <t>XC24, XD04 전원 인가, 레지스터 설정, LED 전류 0mA, VLED On 필요</t>
    <phoneticPr fontId="1" type="noConversion"/>
  </si>
  <si>
    <t>Data field의 바이트 수, "2. Command 목록" 참조, 최소 length = 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</si>
</sst>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B-&quot;0"/>
    <numFmt numFmtId="177" formatCode="&quot;Blk-&quot;0"/>
  </numFmts>
  <fonts count="8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3" fillId="0" borderId="10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5</xdr:col>
      <xdr:colOff>390962</xdr:colOff>
      <xdr:row>29</xdr:row>
      <xdr:rowOff>57948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AF428C8-FCB6-4E15-B3EF-9B259FCD7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419100"/>
          <a:ext cx="3134162" cy="571579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54"/>
  <sheetViews>
    <sheetView zoomScaleNormal="100" workbookViewId="0"/>
  </sheetViews>
  <sheetFormatPr defaultRowHeight="13.5" x14ac:dyDescent="0.3"/>
  <cols>
    <col min="1" max="1" width="2.625" style="6" customWidth="1"/>
    <col min="2" max="2" width="17.75" style="6" customWidth="1"/>
    <col min="3" max="10" width="13.625" style="6" customWidth="1"/>
    <col min="11" max="12" width="11.125" style="6" customWidth="1"/>
    <col min="13" max="13" width="11.5" style="6" bestFit="1" customWidth="1"/>
    <col min="14" max="16384" width="9" style="6"/>
  </cols>
  <sheetData>
    <row r="2" spans="2:10" x14ac:dyDescent="0.3">
      <c r="B2" s="5" t="s">
        <v>7</v>
      </c>
    </row>
    <row r="3" spans="2:10" x14ac:dyDescent="0.3">
      <c r="B3" s="64" t="s">
        <v>142</v>
      </c>
      <c r="C3" s="64"/>
      <c r="D3" s="64"/>
      <c r="E3" s="64"/>
      <c r="F3" s="64"/>
      <c r="G3" s="64"/>
    </row>
    <row r="4" spans="2:10" x14ac:dyDescent="0.3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3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3">
      <c r="B7" s="1" t="s">
        <v>62</v>
      </c>
      <c r="C7" s="1" t="s">
        <v>52</v>
      </c>
      <c r="D7" s="1" t="s">
        <v>53</v>
      </c>
      <c r="E7" s="69" t="s">
        <v>54</v>
      </c>
      <c r="F7" s="69"/>
      <c r="G7" s="69"/>
      <c r="H7" s="69"/>
      <c r="I7" s="69"/>
      <c r="J7" s="69"/>
    </row>
    <row r="8" spans="2:10" x14ac:dyDescent="0.3">
      <c r="B8" s="2" t="s">
        <v>0</v>
      </c>
      <c r="C8" s="3" t="s">
        <v>5</v>
      </c>
      <c r="D8" s="3" t="s">
        <v>8</v>
      </c>
      <c r="E8" s="70" t="s">
        <v>65</v>
      </c>
      <c r="F8" s="70"/>
      <c r="G8" s="70"/>
      <c r="H8" s="70"/>
      <c r="I8" s="70"/>
      <c r="J8" s="70"/>
    </row>
    <row r="9" spans="2:10" x14ac:dyDescent="0.3">
      <c r="B9" s="2" t="s">
        <v>66</v>
      </c>
      <c r="C9" s="3" t="s">
        <v>5</v>
      </c>
      <c r="D9" s="4" t="s">
        <v>9</v>
      </c>
      <c r="E9" s="76" t="s">
        <v>203</v>
      </c>
      <c r="F9" s="77"/>
      <c r="G9" s="77"/>
      <c r="H9" s="77"/>
      <c r="I9" s="77"/>
      <c r="J9" s="78"/>
    </row>
    <row r="10" spans="2:10" x14ac:dyDescent="0.3">
      <c r="B10" s="2" t="s">
        <v>1</v>
      </c>
      <c r="C10" s="3" t="s">
        <v>5</v>
      </c>
      <c r="D10" s="4" t="s">
        <v>9</v>
      </c>
      <c r="E10" s="70" t="s">
        <v>93</v>
      </c>
      <c r="F10" s="70"/>
      <c r="G10" s="70"/>
      <c r="H10" s="70"/>
      <c r="I10" s="70"/>
      <c r="J10" s="70"/>
    </row>
    <row r="11" spans="2:10" x14ac:dyDescent="0.3">
      <c r="B11" s="2" t="s">
        <v>2</v>
      </c>
      <c r="C11" s="3" t="s">
        <v>6</v>
      </c>
      <c r="D11" s="4" t="s">
        <v>9</v>
      </c>
      <c r="E11" s="65" t="s">
        <v>94</v>
      </c>
      <c r="F11" s="66"/>
      <c r="G11" s="66"/>
      <c r="H11" s="66"/>
      <c r="I11" s="66"/>
      <c r="J11" s="67"/>
    </row>
    <row r="12" spans="2:10" x14ac:dyDescent="0.3">
      <c r="B12" s="2" t="s">
        <v>3</v>
      </c>
      <c r="C12" s="3" t="s">
        <v>5</v>
      </c>
      <c r="D12" s="4" t="s">
        <v>9</v>
      </c>
      <c r="E12" s="70" t="s">
        <v>63</v>
      </c>
      <c r="F12" s="70"/>
      <c r="G12" s="70"/>
      <c r="H12" s="70"/>
      <c r="I12" s="70"/>
      <c r="J12" s="70"/>
    </row>
    <row r="13" spans="2:10" x14ac:dyDescent="0.3">
      <c r="B13" s="2" t="s">
        <v>4</v>
      </c>
      <c r="C13" s="3" t="s">
        <v>5</v>
      </c>
      <c r="D13" s="3" t="s">
        <v>10</v>
      </c>
      <c r="E13" s="65" t="s">
        <v>64</v>
      </c>
      <c r="F13" s="66"/>
      <c r="G13" s="66"/>
      <c r="H13" s="66"/>
      <c r="I13" s="66"/>
      <c r="J13" s="67"/>
    </row>
    <row r="16" spans="2:10" x14ac:dyDescent="0.3">
      <c r="B16" s="5" t="s">
        <v>95</v>
      </c>
    </row>
    <row r="17" spans="2:10" x14ac:dyDescent="0.3">
      <c r="B17" s="1" t="s">
        <v>1</v>
      </c>
      <c r="C17" s="1" t="s">
        <v>51</v>
      </c>
      <c r="D17" s="1" t="s">
        <v>66</v>
      </c>
      <c r="E17" s="1" t="s">
        <v>2</v>
      </c>
      <c r="F17" s="69" t="s">
        <v>54</v>
      </c>
      <c r="G17" s="69"/>
      <c r="H17" s="69"/>
      <c r="I17" s="69"/>
      <c r="J17" s="69"/>
    </row>
    <row r="18" spans="2:10" x14ac:dyDescent="0.3">
      <c r="B18" s="3" t="s">
        <v>12</v>
      </c>
      <c r="C18" s="3" t="s">
        <v>11</v>
      </c>
      <c r="D18" s="3" t="s">
        <v>5</v>
      </c>
      <c r="E18" s="4">
        <v>0</v>
      </c>
      <c r="F18" s="75" t="s">
        <v>202</v>
      </c>
      <c r="G18" s="75"/>
      <c r="H18" s="75"/>
      <c r="I18" s="75"/>
      <c r="J18" s="75"/>
    </row>
    <row r="19" spans="2:10" x14ac:dyDescent="0.3">
      <c r="B19" s="3" t="s">
        <v>13</v>
      </c>
      <c r="C19" s="3" t="s">
        <v>15</v>
      </c>
      <c r="D19" s="3" t="s">
        <v>5</v>
      </c>
      <c r="E19" s="4">
        <v>0</v>
      </c>
      <c r="F19" s="75" t="s">
        <v>201</v>
      </c>
      <c r="G19" s="75"/>
      <c r="H19" s="75"/>
      <c r="I19" s="75"/>
      <c r="J19" s="75"/>
    </row>
    <row r="20" spans="2:10" x14ac:dyDescent="0.3">
      <c r="B20" s="3" t="s">
        <v>143</v>
      </c>
      <c r="C20" s="3" t="s">
        <v>144</v>
      </c>
      <c r="D20" s="3" t="s">
        <v>5</v>
      </c>
      <c r="E20" s="3" t="s">
        <v>145</v>
      </c>
      <c r="F20" s="70" t="s">
        <v>146</v>
      </c>
      <c r="G20" s="70"/>
      <c r="H20" s="70"/>
      <c r="I20" s="70"/>
      <c r="J20" s="70"/>
    </row>
    <row r="21" spans="2:10" x14ac:dyDescent="0.3">
      <c r="B21" s="3" t="s">
        <v>16</v>
      </c>
      <c r="C21" s="3" t="s">
        <v>14</v>
      </c>
      <c r="D21" s="3" t="s">
        <v>5</v>
      </c>
      <c r="E21" s="3" t="s">
        <v>73</v>
      </c>
      <c r="F21" s="70" t="s">
        <v>76</v>
      </c>
      <c r="G21" s="70"/>
      <c r="H21" s="70"/>
      <c r="I21" s="70"/>
      <c r="J21" s="70"/>
    </row>
    <row r="22" spans="2:10" x14ac:dyDescent="0.3">
      <c r="B22" s="3" t="s">
        <v>19</v>
      </c>
      <c r="C22" s="3" t="s">
        <v>17</v>
      </c>
      <c r="D22" s="3" t="s">
        <v>5</v>
      </c>
      <c r="E22" s="3" t="s">
        <v>74</v>
      </c>
      <c r="F22" s="70" t="s">
        <v>148</v>
      </c>
      <c r="G22" s="70"/>
      <c r="H22" s="70"/>
      <c r="I22" s="70"/>
      <c r="J22" s="70"/>
    </row>
    <row r="23" spans="2:10" x14ac:dyDescent="0.3">
      <c r="B23" s="3" t="s">
        <v>20</v>
      </c>
      <c r="C23" s="3" t="s">
        <v>21</v>
      </c>
      <c r="D23" s="3" t="s">
        <v>5</v>
      </c>
      <c r="E23" s="3" t="s">
        <v>74</v>
      </c>
      <c r="F23" s="70" t="s">
        <v>149</v>
      </c>
      <c r="G23" s="70"/>
      <c r="H23" s="70"/>
      <c r="I23" s="70"/>
      <c r="J23" s="70"/>
    </row>
    <row r="24" spans="2:10" x14ac:dyDescent="0.3">
      <c r="B24" s="3" t="s">
        <v>22</v>
      </c>
      <c r="C24" s="3" t="s">
        <v>18</v>
      </c>
      <c r="D24" s="3" t="s">
        <v>5</v>
      </c>
      <c r="E24" s="3" t="s">
        <v>147</v>
      </c>
      <c r="F24" s="70" t="s">
        <v>150</v>
      </c>
      <c r="G24" s="70"/>
      <c r="H24" s="70"/>
      <c r="I24" s="70"/>
      <c r="J24" s="70"/>
    </row>
    <row r="25" spans="2:10" x14ac:dyDescent="0.3">
      <c r="B25" s="3" t="s">
        <v>23</v>
      </c>
      <c r="C25" s="3" t="s">
        <v>24</v>
      </c>
      <c r="D25" s="3" t="s">
        <v>5</v>
      </c>
      <c r="E25" s="3" t="s">
        <v>147</v>
      </c>
      <c r="F25" s="70" t="s">
        <v>151</v>
      </c>
      <c r="G25" s="70"/>
      <c r="H25" s="70"/>
      <c r="I25" s="70"/>
      <c r="J25" s="70"/>
    </row>
    <row r="28" spans="2:10" x14ac:dyDescent="0.3">
      <c r="B28" s="5" t="s">
        <v>67</v>
      </c>
    </row>
    <row r="29" spans="2:10" x14ac:dyDescent="0.3">
      <c r="B29" s="1"/>
      <c r="C29" s="68" t="s">
        <v>72</v>
      </c>
      <c r="D29" s="68"/>
      <c r="E29" s="68"/>
      <c r="F29" s="68"/>
      <c r="G29" s="68"/>
      <c r="H29" s="68"/>
    </row>
    <row r="30" spans="2:10" x14ac:dyDescent="0.3">
      <c r="B30" s="1" t="s">
        <v>68</v>
      </c>
      <c r="C30" s="7" t="s">
        <v>0</v>
      </c>
      <c r="D30" s="8" t="s">
        <v>70</v>
      </c>
      <c r="E30" s="7" t="s">
        <v>1</v>
      </c>
      <c r="F30" s="7" t="s">
        <v>2</v>
      </c>
      <c r="G30" s="7" t="s">
        <v>69</v>
      </c>
      <c r="H30" s="7" t="s">
        <v>4</v>
      </c>
    </row>
    <row r="31" spans="2:10" x14ac:dyDescent="0.3">
      <c r="B31" s="3" t="s">
        <v>12</v>
      </c>
      <c r="C31" s="72" t="s">
        <v>8</v>
      </c>
      <c r="D31" s="10" t="s">
        <v>14</v>
      </c>
      <c r="E31" s="9" t="s">
        <v>11</v>
      </c>
      <c r="F31" s="9" t="s">
        <v>11</v>
      </c>
      <c r="G31" s="9" t="s">
        <v>75</v>
      </c>
      <c r="H31" s="72" t="s">
        <v>10</v>
      </c>
    </row>
    <row r="32" spans="2:10" x14ac:dyDescent="0.3">
      <c r="B32" s="3" t="s">
        <v>79</v>
      </c>
      <c r="C32" s="72"/>
      <c r="D32" s="9" t="s">
        <v>14</v>
      </c>
      <c r="E32" s="9" t="s">
        <v>14</v>
      </c>
      <c r="F32" s="9" t="s">
        <v>80</v>
      </c>
      <c r="G32" s="9" t="s">
        <v>81</v>
      </c>
      <c r="H32" s="72"/>
    </row>
    <row r="33" spans="2:13" x14ac:dyDescent="0.3">
      <c r="B33" s="3" t="s">
        <v>71</v>
      </c>
      <c r="C33" s="72"/>
      <c r="D33" s="9" t="s">
        <v>14</v>
      </c>
      <c r="E33" s="9" t="s">
        <v>14</v>
      </c>
      <c r="F33" s="9" t="s">
        <v>77</v>
      </c>
      <c r="G33" s="9" t="s">
        <v>78</v>
      </c>
      <c r="H33" s="72"/>
    </row>
    <row r="34" spans="2:13" x14ac:dyDescent="0.3">
      <c r="B34" s="3" t="s">
        <v>82</v>
      </c>
      <c r="C34" s="72"/>
      <c r="D34" s="9" t="s">
        <v>14</v>
      </c>
      <c r="E34" s="9" t="s">
        <v>14</v>
      </c>
      <c r="F34" s="9" t="s">
        <v>24</v>
      </c>
      <c r="G34" s="9" t="s">
        <v>83</v>
      </c>
      <c r="H34" s="72"/>
    </row>
    <row r="35" spans="2:13" x14ac:dyDescent="0.3">
      <c r="B35" s="3" t="s">
        <v>84</v>
      </c>
      <c r="C35" s="72"/>
      <c r="D35" s="9" t="s">
        <v>14</v>
      </c>
      <c r="E35" s="9" t="s">
        <v>17</v>
      </c>
      <c r="F35" s="9" t="s">
        <v>14</v>
      </c>
      <c r="G35" s="9" t="s">
        <v>85</v>
      </c>
      <c r="H35" s="72"/>
    </row>
    <row r="36" spans="2:13" x14ac:dyDescent="0.3">
      <c r="B36" s="3" t="s">
        <v>86</v>
      </c>
      <c r="C36" s="72"/>
      <c r="D36" s="9" t="s">
        <v>14</v>
      </c>
      <c r="E36" s="9" t="s">
        <v>21</v>
      </c>
      <c r="F36" s="9" t="s">
        <v>87</v>
      </c>
      <c r="G36" s="9" t="s">
        <v>78</v>
      </c>
      <c r="H36" s="72"/>
    </row>
    <row r="37" spans="2:13" x14ac:dyDescent="0.3">
      <c r="B37" s="3" t="s">
        <v>88</v>
      </c>
      <c r="C37" s="72"/>
      <c r="D37" s="9" t="s">
        <v>14</v>
      </c>
      <c r="E37" s="9" t="s">
        <v>18</v>
      </c>
      <c r="F37" s="9" t="s">
        <v>90</v>
      </c>
      <c r="G37" s="9" t="s">
        <v>91</v>
      </c>
      <c r="H37" s="72"/>
    </row>
    <row r="38" spans="2:13" x14ac:dyDescent="0.3">
      <c r="B38" s="3" t="s">
        <v>89</v>
      </c>
      <c r="C38" s="72"/>
      <c r="D38" s="9" t="s">
        <v>14</v>
      </c>
      <c r="E38" s="9" t="s">
        <v>24</v>
      </c>
      <c r="F38" s="9" t="s">
        <v>11</v>
      </c>
      <c r="G38" s="9" t="s">
        <v>92</v>
      </c>
      <c r="H38" s="72"/>
    </row>
    <row r="39" spans="2:13" x14ac:dyDescent="0.3">
      <c r="B39" s="3" t="s">
        <v>13</v>
      </c>
      <c r="C39" s="72"/>
      <c r="D39" s="10" t="s">
        <v>14</v>
      </c>
      <c r="E39" s="9" t="s">
        <v>15</v>
      </c>
      <c r="F39" s="9" t="s">
        <v>11</v>
      </c>
      <c r="G39" s="9" t="s">
        <v>8</v>
      </c>
      <c r="H39" s="72"/>
    </row>
    <row r="40" spans="2:13" x14ac:dyDescent="0.3">
      <c r="C40" s="11"/>
      <c r="D40" s="12"/>
      <c r="E40" s="11"/>
      <c r="F40" s="11"/>
      <c r="G40" s="11"/>
      <c r="H40" s="11"/>
    </row>
    <row r="42" spans="2:13" x14ac:dyDescent="0.3">
      <c r="B42" s="5" t="s">
        <v>96</v>
      </c>
    </row>
    <row r="43" spans="2:13" x14ac:dyDescent="0.3">
      <c r="B43" s="7" t="s">
        <v>48</v>
      </c>
      <c r="C43" s="11"/>
      <c r="D43" s="7" t="s">
        <v>47</v>
      </c>
      <c r="E43" s="13"/>
      <c r="F43" s="71" t="s">
        <v>47</v>
      </c>
      <c r="G43" s="71"/>
      <c r="H43" s="71"/>
      <c r="I43" s="71"/>
      <c r="J43" s="71"/>
      <c r="K43" s="71"/>
      <c r="L43" s="71"/>
      <c r="M43" s="71"/>
    </row>
    <row r="44" spans="2:13" x14ac:dyDescent="0.3">
      <c r="B44" s="9" t="s">
        <v>25</v>
      </c>
      <c r="C44" s="14" t="s">
        <v>46</v>
      </c>
      <c r="D44" s="9" t="s">
        <v>36</v>
      </c>
      <c r="E44" s="15" t="s">
        <v>49</v>
      </c>
      <c r="F44" s="16" t="s">
        <v>50</v>
      </c>
      <c r="G44" s="17" t="s">
        <v>132</v>
      </c>
      <c r="H44" s="18" t="s">
        <v>133</v>
      </c>
      <c r="I44" s="17" t="s">
        <v>134</v>
      </c>
      <c r="J44" s="18" t="s">
        <v>135</v>
      </c>
      <c r="K44" s="17" t="s">
        <v>136</v>
      </c>
      <c r="L44" s="19" t="s">
        <v>137</v>
      </c>
      <c r="M44" s="19" t="s">
        <v>152</v>
      </c>
    </row>
    <row r="45" spans="2:13" x14ac:dyDescent="0.3">
      <c r="B45" s="9" t="s">
        <v>26</v>
      </c>
      <c r="C45" s="14" t="s">
        <v>46</v>
      </c>
      <c r="D45" s="9" t="s">
        <v>37</v>
      </c>
      <c r="E45" s="20"/>
      <c r="F45" s="21" t="s">
        <v>55</v>
      </c>
      <c r="G45" s="22" t="s">
        <v>56</v>
      </c>
      <c r="H45" s="23" t="s">
        <v>57</v>
      </c>
      <c r="I45" s="22" t="s">
        <v>58</v>
      </c>
      <c r="J45" s="23" t="s">
        <v>59</v>
      </c>
      <c r="K45" s="22" t="s">
        <v>60</v>
      </c>
      <c r="L45" s="24" t="s">
        <v>61</v>
      </c>
      <c r="M45" s="24" t="s">
        <v>153</v>
      </c>
    </row>
    <row r="46" spans="2:13" x14ac:dyDescent="0.3">
      <c r="B46" s="9" t="s">
        <v>27</v>
      </c>
      <c r="C46" s="14" t="s">
        <v>46</v>
      </c>
      <c r="D46" s="9" t="s">
        <v>38</v>
      </c>
      <c r="E46" s="11"/>
      <c r="F46" s="11"/>
      <c r="G46" s="11"/>
      <c r="H46" s="11"/>
      <c r="I46" s="11"/>
      <c r="J46" s="11"/>
      <c r="K46" s="11"/>
      <c r="L46" s="11"/>
    </row>
    <row r="47" spans="2:13" x14ac:dyDescent="0.3">
      <c r="B47" s="9" t="s">
        <v>28</v>
      </c>
      <c r="C47" s="14" t="s">
        <v>46</v>
      </c>
      <c r="D47" s="9" t="s">
        <v>39</v>
      </c>
      <c r="E47" s="11"/>
      <c r="F47" s="11"/>
      <c r="G47" s="11"/>
      <c r="H47" s="11"/>
      <c r="I47" s="11"/>
      <c r="J47" s="11"/>
      <c r="K47" s="11"/>
      <c r="L47" s="11"/>
    </row>
    <row r="48" spans="2:13" x14ac:dyDescent="0.3">
      <c r="B48" s="9" t="s">
        <v>29</v>
      </c>
      <c r="C48" s="14" t="s">
        <v>46</v>
      </c>
      <c r="D48" s="9" t="s">
        <v>40</v>
      </c>
      <c r="E48" s="11"/>
      <c r="F48" s="11"/>
      <c r="G48" s="11"/>
      <c r="H48" s="11"/>
      <c r="I48" s="11"/>
      <c r="J48" s="11"/>
      <c r="K48" s="11"/>
      <c r="L48" s="11"/>
    </row>
    <row r="49" spans="2:12" x14ac:dyDescent="0.3">
      <c r="B49" s="9" t="s">
        <v>35</v>
      </c>
      <c r="C49" s="14"/>
      <c r="D49" s="9" t="s">
        <v>35</v>
      </c>
      <c r="E49" s="11"/>
      <c r="F49" s="11"/>
      <c r="G49" s="11"/>
      <c r="H49" s="11"/>
      <c r="I49" s="11"/>
      <c r="J49" s="11"/>
      <c r="K49" s="11"/>
      <c r="L49" s="11"/>
    </row>
    <row r="50" spans="2:12" x14ac:dyDescent="0.3">
      <c r="B50" s="9" t="s">
        <v>34</v>
      </c>
      <c r="C50" s="14" t="s">
        <v>46</v>
      </c>
      <c r="D50" s="9" t="s">
        <v>41</v>
      </c>
      <c r="E50" s="11"/>
      <c r="F50" s="11"/>
      <c r="G50" s="11"/>
      <c r="H50" s="11"/>
      <c r="I50" s="11"/>
      <c r="J50" s="11"/>
      <c r="K50" s="11"/>
      <c r="L50" s="11"/>
    </row>
    <row r="51" spans="2:12" x14ac:dyDescent="0.3">
      <c r="B51" s="9" t="s">
        <v>33</v>
      </c>
      <c r="C51" s="14" t="s">
        <v>46</v>
      </c>
      <c r="D51" s="9" t="s">
        <v>42</v>
      </c>
      <c r="E51" s="11"/>
      <c r="F51" s="11"/>
      <c r="G51" s="11"/>
      <c r="H51" s="11"/>
      <c r="I51" s="11"/>
      <c r="J51" s="11"/>
      <c r="K51" s="11"/>
      <c r="L51" s="11"/>
    </row>
    <row r="52" spans="2:12" x14ac:dyDescent="0.3">
      <c r="B52" s="9" t="s">
        <v>32</v>
      </c>
      <c r="C52" s="14" t="s">
        <v>46</v>
      </c>
      <c r="D52" s="9" t="s">
        <v>43</v>
      </c>
      <c r="E52" s="11"/>
      <c r="F52" s="11"/>
      <c r="G52" s="11"/>
      <c r="H52" s="11"/>
      <c r="I52" s="11"/>
      <c r="J52" s="11"/>
      <c r="K52" s="11"/>
      <c r="L52" s="11"/>
    </row>
    <row r="53" spans="2:12" x14ac:dyDescent="0.3">
      <c r="B53" s="9" t="s">
        <v>31</v>
      </c>
      <c r="C53" s="14" t="s">
        <v>46</v>
      </c>
      <c r="D53" s="9" t="s">
        <v>44</v>
      </c>
      <c r="E53" s="11"/>
      <c r="F53" s="11"/>
      <c r="G53" s="11"/>
      <c r="H53" s="11"/>
      <c r="I53" s="11"/>
      <c r="J53" s="11"/>
      <c r="K53" s="11"/>
      <c r="L53" s="11"/>
    </row>
    <row r="54" spans="2:12" x14ac:dyDescent="0.3">
      <c r="B54" s="9" t="s">
        <v>30</v>
      </c>
      <c r="C54" s="14" t="s">
        <v>46</v>
      </c>
      <c r="D54" s="9" t="s">
        <v>45</v>
      </c>
      <c r="E54" s="11"/>
      <c r="F54" s="11"/>
      <c r="G54" s="11"/>
      <c r="H54" s="11"/>
      <c r="I54" s="11"/>
      <c r="J54" s="11"/>
      <c r="K54" s="11"/>
      <c r="L54" s="11"/>
    </row>
  </sheetData>
  <mergeCells count="21">
    <mergeCell ref="F43:M43"/>
    <mergeCell ref="E8:J8"/>
    <mergeCell ref="E10:J10"/>
    <mergeCell ref="E12:J12"/>
    <mergeCell ref="C31:C39"/>
    <mergeCell ref="H31:H39"/>
    <mergeCell ref="B3:G3"/>
    <mergeCell ref="E9:J9"/>
    <mergeCell ref="E11:J11"/>
    <mergeCell ref="E13:J13"/>
    <mergeCell ref="C29:H29"/>
    <mergeCell ref="F17:J17"/>
    <mergeCell ref="F24:J24"/>
    <mergeCell ref="F23:J23"/>
    <mergeCell ref="F22:J22"/>
    <mergeCell ref="F21:J21"/>
    <mergeCell ref="F19:J19"/>
    <mergeCell ref="F18:J18"/>
    <mergeCell ref="F20:J20"/>
    <mergeCell ref="F25:J25"/>
    <mergeCell ref="E7:J7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/>
  </sheetViews>
  <sheetFormatPr defaultRowHeight="13.5" x14ac:dyDescent="0.3"/>
  <cols>
    <col min="1" max="1" width="2.625" style="11" customWidth="1"/>
    <col min="2" max="16384" width="9" style="11"/>
  </cols>
  <sheetData>
    <row r="2" spans="2:12" ht="16.5" customHeight="1" x14ac:dyDescent="0.3">
      <c r="B2" s="73" t="s">
        <v>131</v>
      </c>
      <c r="D2" s="71" t="s">
        <v>110</v>
      </c>
      <c r="E2" s="71" t="s">
        <v>98</v>
      </c>
      <c r="F2" s="71"/>
      <c r="G2" s="71"/>
      <c r="H2" s="71"/>
      <c r="I2" s="71" t="s">
        <v>97</v>
      </c>
      <c r="J2" s="71"/>
      <c r="K2" s="71"/>
      <c r="L2" s="71"/>
    </row>
    <row r="3" spans="2:12" x14ac:dyDescent="0.3">
      <c r="B3" s="74"/>
      <c r="D3" s="71"/>
      <c r="E3" s="7" t="s">
        <v>138</v>
      </c>
      <c r="F3" s="7" t="s">
        <v>139</v>
      </c>
      <c r="G3" s="7" t="s">
        <v>140</v>
      </c>
      <c r="H3" s="7" t="s">
        <v>141</v>
      </c>
      <c r="I3" s="7" t="s">
        <v>138</v>
      </c>
      <c r="J3" s="7" t="s">
        <v>139</v>
      </c>
      <c r="K3" s="7" t="s">
        <v>140</v>
      </c>
      <c r="L3" s="30" t="s">
        <v>141</v>
      </c>
    </row>
    <row r="4" spans="2:12" x14ac:dyDescent="0.3">
      <c r="B4" s="25" t="s">
        <v>130</v>
      </c>
      <c r="C4" s="29" t="s">
        <v>46</v>
      </c>
      <c r="D4" s="25" t="s">
        <v>36</v>
      </c>
      <c r="E4" s="26">
        <v>1</v>
      </c>
      <c r="F4" s="27">
        <f t="shared" ref="F4:L13" si="0">E4+20</f>
        <v>21</v>
      </c>
      <c r="G4" s="27">
        <f t="shared" si="0"/>
        <v>41</v>
      </c>
      <c r="H4" s="27">
        <f t="shared" si="0"/>
        <v>61</v>
      </c>
      <c r="I4" s="27">
        <f t="shared" si="0"/>
        <v>81</v>
      </c>
      <c r="J4" s="27">
        <f t="shared" si="0"/>
        <v>101</v>
      </c>
      <c r="K4" s="27">
        <f t="shared" ref="K4:K23" si="1">J4+20</f>
        <v>121</v>
      </c>
      <c r="L4" s="28">
        <f t="shared" si="0"/>
        <v>141</v>
      </c>
    </row>
    <row r="5" spans="2:12" x14ac:dyDescent="0.3">
      <c r="B5" s="25" t="s">
        <v>129</v>
      </c>
      <c r="C5" s="29" t="s">
        <v>46</v>
      </c>
      <c r="D5" s="25" t="s">
        <v>37</v>
      </c>
      <c r="E5" s="26">
        <v>2</v>
      </c>
      <c r="F5" s="27">
        <f t="shared" si="0"/>
        <v>22</v>
      </c>
      <c r="G5" s="27">
        <f t="shared" si="0"/>
        <v>42</v>
      </c>
      <c r="H5" s="27">
        <f t="shared" si="0"/>
        <v>62</v>
      </c>
      <c r="I5" s="27">
        <f t="shared" si="0"/>
        <v>82</v>
      </c>
      <c r="J5" s="27">
        <f t="shared" si="0"/>
        <v>102</v>
      </c>
      <c r="K5" s="27">
        <f t="shared" si="1"/>
        <v>122</v>
      </c>
      <c r="L5" s="28">
        <f t="shared" si="0"/>
        <v>142</v>
      </c>
    </row>
    <row r="6" spans="2:12" x14ac:dyDescent="0.3">
      <c r="B6" s="25" t="s">
        <v>128</v>
      </c>
      <c r="C6" s="29" t="s">
        <v>46</v>
      </c>
      <c r="D6" s="25" t="s">
        <v>38</v>
      </c>
      <c r="E6" s="26">
        <v>3</v>
      </c>
      <c r="F6" s="27">
        <f t="shared" si="0"/>
        <v>23</v>
      </c>
      <c r="G6" s="27">
        <f t="shared" si="0"/>
        <v>43</v>
      </c>
      <c r="H6" s="27">
        <f t="shared" si="0"/>
        <v>63</v>
      </c>
      <c r="I6" s="27">
        <f t="shared" si="0"/>
        <v>83</v>
      </c>
      <c r="J6" s="27">
        <f t="shared" si="0"/>
        <v>103</v>
      </c>
      <c r="K6" s="27">
        <f t="shared" si="1"/>
        <v>123</v>
      </c>
      <c r="L6" s="28">
        <f t="shared" si="0"/>
        <v>143</v>
      </c>
    </row>
    <row r="7" spans="2:12" x14ac:dyDescent="0.3">
      <c r="B7" s="25" t="s">
        <v>127</v>
      </c>
      <c r="C7" s="29" t="s">
        <v>46</v>
      </c>
      <c r="D7" s="25" t="s">
        <v>39</v>
      </c>
      <c r="E7" s="26">
        <v>4</v>
      </c>
      <c r="F7" s="27">
        <f t="shared" si="0"/>
        <v>24</v>
      </c>
      <c r="G7" s="27">
        <f t="shared" si="0"/>
        <v>44</v>
      </c>
      <c r="H7" s="27">
        <f t="shared" si="0"/>
        <v>64</v>
      </c>
      <c r="I7" s="27">
        <f t="shared" si="0"/>
        <v>84</v>
      </c>
      <c r="J7" s="27">
        <f t="shared" si="0"/>
        <v>104</v>
      </c>
      <c r="K7" s="27">
        <f t="shared" si="1"/>
        <v>124</v>
      </c>
      <c r="L7" s="28">
        <f t="shared" si="0"/>
        <v>144</v>
      </c>
    </row>
    <row r="8" spans="2:12" x14ac:dyDescent="0.3">
      <c r="B8" s="25" t="s">
        <v>126</v>
      </c>
      <c r="C8" s="29" t="s">
        <v>46</v>
      </c>
      <c r="D8" s="25" t="s">
        <v>40</v>
      </c>
      <c r="E8" s="26">
        <v>5</v>
      </c>
      <c r="F8" s="27">
        <f t="shared" si="0"/>
        <v>25</v>
      </c>
      <c r="G8" s="27">
        <f t="shared" si="0"/>
        <v>45</v>
      </c>
      <c r="H8" s="27">
        <f t="shared" si="0"/>
        <v>65</v>
      </c>
      <c r="I8" s="27">
        <f t="shared" si="0"/>
        <v>85</v>
      </c>
      <c r="J8" s="27">
        <f t="shared" si="0"/>
        <v>105</v>
      </c>
      <c r="K8" s="27">
        <f t="shared" si="1"/>
        <v>125</v>
      </c>
      <c r="L8" s="28">
        <f t="shared" si="0"/>
        <v>145</v>
      </c>
    </row>
    <row r="9" spans="2:12" x14ac:dyDescent="0.3">
      <c r="B9" s="25" t="s">
        <v>125</v>
      </c>
      <c r="C9" s="29" t="s">
        <v>46</v>
      </c>
      <c r="D9" s="25" t="s">
        <v>109</v>
      </c>
      <c r="E9" s="26">
        <v>6</v>
      </c>
      <c r="F9" s="27">
        <f t="shared" si="0"/>
        <v>26</v>
      </c>
      <c r="G9" s="27">
        <f t="shared" si="0"/>
        <v>46</v>
      </c>
      <c r="H9" s="27">
        <f t="shared" si="0"/>
        <v>66</v>
      </c>
      <c r="I9" s="27">
        <f t="shared" si="0"/>
        <v>86</v>
      </c>
      <c r="J9" s="27">
        <f t="shared" si="0"/>
        <v>106</v>
      </c>
      <c r="K9" s="27">
        <f t="shared" si="1"/>
        <v>126</v>
      </c>
      <c r="L9" s="28">
        <f t="shared" si="0"/>
        <v>146</v>
      </c>
    </row>
    <row r="10" spans="2:12" x14ac:dyDescent="0.3">
      <c r="B10" s="25" t="s">
        <v>124</v>
      </c>
      <c r="C10" s="29" t="s">
        <v>46</v>
      </c>
      <c r="D10" s="25" t="s">
        <v>108</v>
      </c>
      <c r="E10" s="26">
        <v>7</v>
      </c>
      <c r="F10" s="27">
        <f t="shared" si="0"/>
        <v>27</v>
      </c>
      <c r="G10" s="27">
        <f t="shared" si="0"/>
        <v>47</v>
      </c>
      <c r="H10" s="27">
        <f t="shared" si="0"/>
        <v>67</v>
      </c>
      <c r="I10" s="27">
        <f t="shared" si="0"/>
        <v>87</v>
      </c>
      <c r="J10" s="27">
        <f t="shared" si="0"/>
        <v>107</v>
      </c>
      <c r="K10" s="27">
        <f t="shared" si="1"/>
        <v>127</v>
      </c>
      <c r="L10" s="28">
        <f t="shared" si="0"/>
        <v>147</v>
      </c>
    </row>
    <row r="11" spans="2:12" x14ac:dyDescent="0.3">
      <c r="B11" s="25" t="s">
        <v>123</v>
      </c>
      <c r="C11" s="29" t="s">
        <v>46</v>
      </c>
      <c r="D11" s="25" t="s">
        <v>107</v>
      </c>
      <c r="E11" s="26">
        <v>8</v>
      </c>
      <c r="F11" s="27">
        <f t="shared" si="0"/>
        <v>28</v>
      </c>
      <c r="G11" s="27">
        <f t="shared" si="0"/>
        <v>48</v>
      </c>
      <c r="H11" s="27">
        <f t="shared" si="0"/>
        <v>68</v>
      </c>
      <c r="I11" s="27">
        <f t="shared" si="0"/>
        <v>88</v>
      </c>
      <c r="J11" s="27">
        <f t="shared" si="0"/>
        <v>108</v>
      </c>
      <c r="K11" s="27">
        <f t="shared" si="1"/>
        <v>128</v>
      </c>
      <c r="L11" s="28">
        <f t="shared" si="0"/>
        <v>148</v>
      </c>
    </row>
    <row r="12" spans="2:12" x14ac:dyDescent="0.3">
      <c r="B12" s="25" t="s">
        <v>122</v>
      </c>
      <c r="C12" s="29" t="s">
        <v>46</v>
      </c>
      <c r="D12" s="25" t="s">
        <v>106</v>
      </c>
      <c r="E12" s="26">
        <v>9</v>
      </c>
      <c r="F12" s="27">
        <f t="shared" si="0"/>
        <v>29</v>
      </c>
      <c r="G12" s="27">
        <f t="shared" si="0"/>
        <v>49</v>
      </c>
      <c r="H12" s="27">
        <f t="shared" si="0"/>
        <v>69</v>
      </c>
      <c r="I12" s="27">
        <f t="shared" si="0"/>
        <v>89</v>
      </c>
      <c r="J12" s="27">
        <f t="shared" si="0"/>
        <v>109</v>
      </c>
      <c r="K12" s="27">
        <f t="shared" si="1"/>
        <v>129</v>
      </c>
      <c r="L12" s="28">
        <f t="shared" si="0"/>
        <v>149</v>
      </c>
    </row>
    <row r="13" spans="2:12" x14ac:dyDescent="0.3">
      <c r="B13" s="25" t="s">
        <v>121</v>
      </c>
      <c r="C13" s="29" t="s">
        <v>46</v>
      </c>
      <c r="D13" s="25" t="s">
        <v>105</v>
      </c>
      <c r="E13" s="26">
        <v>10</v>
      </c>
      <c r="F13" s="27">
        <f t="shared" si="0"/>
        <v>30</v>
      </c>
      <c r="G13" s="27">
        <f t="shared" si="0"/>
        <v>50</v>
      </c>
      <c r="H13" s="27">
        <f t="shared" si="0"/>
        <v>70</v>
      </c>
      <c r="I13" s="27">
        <f t="shared" si="0"/>
        <v>90</v>
      </c>
      <c r="J13" s="27">
        <f t="shared" si="0"/>
        <v>110</v>
      </c>
      <c r="K13" s="27">
        <f t="shared" si="1"/>
        <v>130</v>
      </c>
      <c r="L13" s="28">
        <f t="shared" si="0"/>
        <v>150</v>
      </c>
    </row>
    <row r="14" spans="2:12" x14ac:dyDescent="0.3">
      <c r="B14" s="25" t="s">
        <v>120</v>
      </c>
      <c r="C14" s="29" t="s">
        <v>46</v>
      </c>
      <c r="D14" s="25" t="s">
        <v>104</v>
      </c>
      <c r="E14" s="26">
        <v>11</v>
      </c>
      <c r="F14" s="27">
        <f t="shared" ref="F14:L23" si="2">E14+20</f>
        <v>31</v>
      </c>
      <c r="G14" s="27">
        <f t="shared" si="2"/>
        <v>51</v>
      </c>
      <c r="H14" s="27">
        <f t="shared" si="2"/>
        <v>71</v>
      </c>
      <c r="I14" s="27">
        <f t="shared" si="2"/>
        <v>91</v>
      </c>
      <c r="J14" s="27">
        <f t="shared" si="2"/>
        <v>111</v>
      </c>
      <c r="K14" s="27">
        <f t="shared" si="1"/>
        <v>131</v>
      </c>
      <c r="L14" s="28">
        <f t="shared" si="2"/>
        <v>151</v>
      </c>
    </row>
    <row r="15" spans="2:12" x14ac:dyDescent="0.3">
      <c r="B15" s="25" t="s">
        <v>119</v>
      </c>
      <c r="C15" s="29" t="s">
        <v>46</v>
      </c>
      <c r="D15" s="25" t="s">
        <v>103</v>
      </c>
      <c r="E15" s="26">
        <v>12</v>
      </c>
      <c r="F15" s="27">
        <f t="shared" si="2"/>
        <v>32</v>
      </c>
      <c r="G15" s="27">
        <f t="shared" si="2"/>
        <v>52</v>
      </c>
      <c r="H15" s="27">
        <f t="shared" si="2"/>
        <v>72</v>
      </c>
      <c r="I15" s="27">
        <f t="shared" si="2"/>
        <v>92</v>
      </c>
      <c r="J15" s="27">
        <f t="shared" si="2"/>
        <v>112</v>
      </c>
      <c r="K15" s="27">
        <f t="shared" si="1"/>
        <v>132</v>
      </c>
      <c r="L15" s="28">
        <f t="shared" si="2"/>
        <v>152</v>
      </c>
    </row>
    <row r="16" spans="2:12" x14ac:dyDescent="0.3">
      <c r="B16" s="25" t="s">
        <v>118</v>
      </c>
      <c r="C16" s="29" t="s">
        <v>46</v>
      </c>
      <c r="D16" s="25" t="s">
        <v>102</v>
      </c>
      <c r="E16" s="26">
        <v>13</v>
      </c>
      <c r="F16" s="27">
        <f t="shared" si="2"/>
        <v>33</v>
      </c>
      <c r="G16" s="27">
        <f t="shared" si="2"/>
        <v>53</v>
      </c>
      <c r="H16" s="27">
        <f t="shared" si="2"/>
        <v>73</v>
      </c>
      <c r="I16" s="27">
        <f t="shared" si="2"/>
        <v>93</v>
      </c>
      <c r="J16" s="27">
        <f t="shared" si="2"/>
        <v>113</v>
      </c>
      <c r="K16" s="27">
        <f t="shared" si="1"/>
        <v>133</v>
      </c>
      <c r="L16" s="28">
        <f t="shared" si="2"/>
        <v>153</v>
      </c>
    </row>
    <row r="17" spans="2:12" x14ac:dyDescent="0.3">
      <c r="B17" s="25" t="s">
        <v>117</v>
      </c>
      <c r="C17" s="29" t="s">
        <v>46</v>
      </c>
      <c r="D17" s="25" t="s">
        <v>101</v>
      </c>
      <c r="E17" s="26">
        <v>14</v>
      </c>
      <c r="F17" s="27">
        <f t="shared" si="2"/>
        <v>34</v>
      </c>
      <c r="G17" s="27">
        <f t="shared" si="2"/>
        <v>54</v>
      </c>
      <c r="H17" s="27">
        <f t="shared" si="2"/>
        <v>74</v>
      </c>
      <c r="I17" s="27">
        <f t="shared" si="2"/>
        <v>94</v>
      </c>
      <c r="J17" s="27">
        <f t="shared" si="2"/>
        <v>114</v>
      </c>
      <c r="K17" s="27">
        <f t="shared" si="1"/>
        <v>134</v>
      </c>
      <c r="L17" s="28">
        <f t="shared" si="2"/>
        <v>154</v>
      </c>
    </row>
    <row r="18" spans="2:12" x14ac:dyDescent="0.3">
      <c r="B18" s="25" t="s">
        <v>116</v>
      </c>
      <c r="C18" s="29" t="s">
        <v>46</v>
      </c>
      <c r="D18" s="25" t="s">
        <v>100</v>
      </c>
      <c r="E18" s="26">
        <v>15</v>
      </c>
      <c r="F18" s="27">
        <f t="shared" si="2"/>
        <v>35</v>
      </c>
      <c r="G18" s="27">
        <f t="shared" si="2"/>
        <v>55</v>
      </c>
      <c r="H18" s="27">
        <f t="shared" si="2"/>
        <v>75</v>
      </c>
      <c r="I18" s="27">
        <f t="shared" si="2"/>
        <v>95</v>
      </c>
      <c r="J18" s="27">
        <f t="shared" si="2"/>
        <v>115</v>
      </c>
      <c r="K18" s="27">
        <f t="shared" si="1"/>
        <v>135</v>
      </c>
      <c r="L18" s="28">
        <f t="shared" si="2"/>
        <v>155</v>
      </c>
    </row>
    <row r="19" spans="2:12" x14ac:dyDescent="0.3">
      <c r="B19" s="25" t="s">
        <v>115</v>
      </c>
      <c r="C19" s="29" t="s">
        <v>46</v>
      </c>
      <c r="D19" s="25" t="s">
        <v>99</v>
      </c>
      <c r="E19" s="26">
        <v>16</v>
      </c>
      <c r="F19" s="27">
        <f t="shared" si="2"/>
        <v>36</v>
      </c>
      <c r="G19" s="27">
        <f t="shared" si="2"/>
        <v>56</v>
      </c>
      <c r="H19" s="27">
        <f t="shared" si="2"/>
        <v>76</v>
      </c>
      <c r="I19" s="27">
        <f t="shared" si="2"/>
        <v>96</v>
      </c>
      <c r="J19" s="27">
        <f t="shared" si="2"/>
        <v>116</v>
      </c>
      <c r="K19" s="27">
        <f t="shared" si="1"/>
        <v>136</v>
      </c>
      <c r="L19" s="28">
        <f t="shared" si="2"/>
        <v>156</v>
      </c>
    </row>
    <row r="20" spans="2:12" x14ac:dyDescent="0.3">
      <c r="B20" s="25" t="s">
        <v>114</v>
      </c>
      <c r="C20" s="29" t="s">
        <v>46</v>
      </c>
      <c r="D20" s="25" t="s">
        <v>42</v>
      </c>
      <c r="E20" s="26">
        <v>17</v>
      </c>
      <c r="F20" s="27">
        <f t="shared" si="2"/>
        <v>37</v>
      </c>
      <c r="G20" s="27">
        <f t="shared" si="2"/>
        <v>57</v>
      </c>
      <c r="H20" s="27">
        <f t="shared" si="2"/>
        <v>77</v>
      </c>
      <c r="I20" s="27">
        <f t="shared" si="2"/>
        <v>97</v>
      </c>
      <c r="J20" s="27">
        <f t="shared" si="2"/>
        <v>117</v>
      </c>
      <c r="K20" s="27">
        <f t="shared" si="1"/>
        <v>137</v>
      </c>
      <c r="L20" s="28">
        <f t="shared" si="2"/>
        <v>157</v>
      </c>
    </row>
    <row r="21" spans="2:12" x14ac:dyDescent="0.3">
      <c r="B21" s="25" t="s">
        <v>113</v>
      </c>
      <c r="C21" s="29" t="s">
        <v>46</v>
      </c>
      <c r="D21" s="25" t="s">
        <v>43</v>
      </c>
      <c r="E21" s="26">
        <v>18</v>
      </c>
      <c r="F21" s="27">
        <f t="shared" si="2"/>
        <v>38</v>
      </c>
      <c r="G21" s="27">
        <f t="shared" si="2"/>
        <v>58</v>
      </c>
      <c r="H21" s="27">
        <f t="shared" si="2"/>
        <v>78</v>
      </c>
      <c r="I21" s="27">
        <f t="shared" si="2"/>
        <v>98</v>
      </c>
      <c r="J21" s="27">
        <f t="shared" si="2"/>
        <v>118</v>
      </c>
      <c r="K21" s="27">
        <f t="shared" si="1"/>
        <v>138</v>
      </c>
      <c r="L21" s="28">
        <f t="shared" si="2"/>
        <v>158</v>
      </c>
    </row>
    <row r="22" spans="2:12" x14ac:dyDescent="0.3">
      <c r="B22" s="25" t="s">
        <v>112</v>
      </c>
      <c r="C22" s="29" t="s">
        <v>46</v>
      </c>
      <c r="D22" s="25" t="s">
        <v>44</v>
      </c>
      <c r="E22" s="26">
        <v>19</v>
      </c>
      <c r="F22" s="27">
        <f t="shared" si="2"/>
        <v>39</v>
      </c>
      <c r="G22" s="27">
        <f t="shared" si="2"/>
        <v>59</v>
      </c>
      <c r="H22" s="27">
        <f t="shared" si="2"/>
        <v>79</v>
      </c>
      <c r="I22" s="27">
        <f t="shared" si="2"/>
        <v>99</v>
      </c>
      <c r="J22" s="27">
        <f t="shared" si="2"/>
        <v>119</v>
      </c>
      <c r="K22" s="27">
        <f t="shared" si="1"/>
        <v>139</v>
      </c>
      <c r="L22" s="28">
        <f t="shared" si="2"/>
        <v>159</v>
      </c>
    </row>
    <row r="23" spans="2:12" x14ac:dyDescent="0.3">
      <c r="B23" s="25" t="s">
        <v>111</v>
      </c>
      <c r="C23" s="29" t="s">
        <v>46</v>
      </c>
      <c r="D23" s="25" t="s">
        <v>45</v>
      </c>
      <c r="E23" s="26">
        <v>20</v>
      </c>
      <c r="F23" s="27">
        <f t="shared" si="2"/>
        <v>40</v>
      </c>
      <c r="G23" s="27">
        <f t="shared" si="2"/>
        <v>60</v>
      </c>
      <c r="H23" s="27">
        <f t="shared" si="2"/>
        <v>80</v>
      </c>
      <c r="I23" s="27">
        <f t="shared" si="2"/>
        <v>100</v>
      </c>
      <c r="J23" s="27">
        <f t="shared" si="2"/>
        <v>120</v>
      </c>
      <c r="K23" s="27">
        <f t="shared" si="1"/>
        <v>140</v>
      </c>
      <c r="L23" s="28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8"/>
  <sheetViews>
    <sheetView zoomScale="85" zoomScaleNormal="85" workbookViewId="0">
      <selection activeCell="K15" sqref="K15"/>
    </sheetView>
  </sheetViews>
  <sheetFormatPr defaultRowHeight="16.5" x14ac:dyDescent="0.3"/>
  <cols>
    <col min="1" max="1" width="2.625" style="31" customWidth="1"/>
    <col min="2" max="2" width="8.375" style="31" bestFit="1" customWidth="1"/>
    <col min="3" max="3" width="21.375" style="31" bestFit="1" customWidth="1"/>
    <col min="4" max="4" width="24.75" style="31" bestFit="1" customWidth="1"/>
    <col min="5" max="5" width="41.875" style="31" bestFit="1" customWidth="1"/>
    <col min="6" max="6" width="27.375" style="31" bestFit="1" customWidth="1"/>
    <col min="7" max="7" width="24.75" style="31" bestFit="1" customWidth="1"/>
    <col min="8" max="8" width="23.125" style="31" bestFit="1" customWidth="1"/>
    <col min="9" max="9" width="15.625" style="31" bestFit="1" customWidth="1"/>
    <col min="10" max="11" width="13.875" style="31" bestFit="1" customWidth="1"/>
    <col min="12" max="12" width="9.25" style="31" bestFit="1" customWidth="1"/>
    <col min="13" max="13" width="9" style="31"/>
    <col min="14" max="14" width="9.25" style="31" bestFit="1" customWidth="1"/>
    <col min="15" max="16384" width="9" style="31"/>
  </cols>
  <sheetData>
    <row r="1" spans="2:12" ht="17.25" thickBot="1" x14ac:dyDescent="0.35"/>
    <row r="2" spans="2:12" ht="17.25" thickBot="1" x14ac:dyDescent="0.35">
      <c r="B2" s="42" t="s">
        <v>181</v>
      </c>
      <c r="C2" s="43" t="s">
        <v>154</v>
      </c>
      <c r="D2" s="35" t="s">
        <v>165</v>
      </c>
      <c r="E2" s="36" t="s">
        <v>166</v>
      </c>
      <c r="F2" s="38" t="s">
        <v>167</v>
      </c>
      <c r="G2" s="47" t="s">
        <v>155</v>
      </c>
      <c r="H2" s="37" t="s">
        <v>156</v>
      </c>
      <c r="I2" s="37" t="s">
        <v>157</v>
      </c>
      <c r="J2" s="37" t="s">
        <v>158</v>
      </c>
      <c r="K2" s="54" t="s">
        <v>159</v>
      </c>
      <c r="L2" s="42" t="s">
        <v>161</v>
      </c>
    </row>
    <row r="3" spans="2:12" x14ac:dyDescent="0.3">
      <c r="B3" s="61">
        <v>1</v>
      </c>
      <c r="C3" s="44" t="s">
        <v>183</v>
      </c>
      <c r="D3" s="48"/>
      <c r="E3" s="34"/>
      <c r="F3" s="49"/>
      <c r="G3" s="39" t="s">
        <v>178</v>
      </c>
      <c r="H3" s="34" t="s">
        <v>179</v>
      </c>
      <c r="I3" s="34"/>
      <c r="J3" s="34"/>
      <c r="K3" s="55"/>
      <c r="L3" s="58" t="s">
        <v>196</v>
      </c>
    </row>
    <row r="4" spans="2:12" x14ac:dyDescent="0.3">
      <c r="B4" s="62">
        <v>2</v>
      </c>
      <c r="C4" s="45" t="s">
        <v>173</v>
      </c>
      <c r="D4" s="50" t="s">
        <v>180</v>
      </c>
      <c r="E4" s="32" t="s">
        <v>175</v>
      </c>
      <c r="F4" s="51"/>
      <c r="G4" s="40" t="s">
        <v>190</v>
      </c>
      <c r="H4" s="32" t="s">
        <v>192</v>
      </c>
      <c r="I4" s="32" t="s">
        <v>194</v>
      </c>
      <c r="J4" s="32" t="s">
        <v>173</v>
      </c>
      <c r="K4" s="56"/>
      <c r="L4" s="59" t="s">
        <v>164</v>
      </c>
    </row>
    <row r="5" spans="2:12" x14ac:dyDescent="0.3">
      <c r="B5" s="62">
        <v>3</v>
      </c>
      <c r="C5" s="45" t="s">
        <v>174</v>
      </c>
      <c r="D5" s="50" t="s">
        <v>180</v>
      </c>
      <c r="E5" s="32" t="s">
        <v>176</v>
      </c>
      <c r="F5" s="51" t="s">
        <v>168</v>
      </c>
      <c r="G5" s="40" t="s">
        <v>191</v>
      </c>
      <c r="H5" s="32" t="s">
        <v>193</v>
      </c>
      <c r="I5" s="32" t="s">
        <v>195</v>
      </c>
      <c r="J5" s="32" t="s">
        <v>174</v>
      </c>
      <c r="K5" s="56"/>
      <c r="L5" s="59" t="s">
        <v>164</v>
      </c>
    </row>
    <row r="6" spans="2:12" x14ac:dyDescent="0.3">
      <c r="B6" s="62">
        <v>4</v>
      </c>
      <c r="C6" s="45" t="s">
        <v>184</v>
      </c>
      <c r="D6" s="50" t="s">
        <v>169</v>
      </c>
      <c r="E6" s="32" t="s">
        <v>160</v>
      </c>
      <c r="F6" s="51"/>
      <c r="G6" s="40" t="s">
        <v>171</v>
      </c>
      <c r="H6" s="32" t="s">
        <v>172</v>
      </c>
      <c r="I6" s="32"/>
      <c r="J6" s="32"/>
      <c r="K6" s="56"/>
      <c r="L6" s="59" t="s">
        <v>164</v>
      </c>
    </row>
    <row r="7" spans="2:12" x14ac:dyDescent="0.3">
      <c r="B7" s="62">
        <v>5</v>
      </c>
      <c r="C7" s="45" t="s">
        <v>182</v>
      </c>
      <c r="D7" s="50" t="s">
        <v>169</v>
      </c>
      <c r="E7" s="32"/>
      <c r="F7" s="51"/>
      <c r="G7" s="40" t="s">
        <v>186</v>
      </c>
      <c r="H7" s="32" t="s">
        <v>187</v>
      </c>
      <c r="I7" s="32" t="s">
        <v>188</v>
      </c>
      <c r="J7" s="32" t="s">
        <v>189</v>
      </c>
      <c r="K7" s="56"/>
      <c r="L7" s="59" t="s">
        <v>163</v>
      </c>
    </row>
    <row r="8" spans="2:12" ht="17.25" thickBot="1" x14ac:dyDescent="0.35">
      <c r="B8" s="63">
        <v>6</v>
      </c>
      <c r="C8" s="46" t="s">
        <v>185</v>
      </c>
      <c r="D8" s="52" t="s">
        <v>169</v>
      </c>
      <c r="E8" s="33" t="s">
        <v>177</v>
      </c>
      <c r="F8" s="53" t="s">
        <v>197</v>
      </c>
      <c r="G8" s="41" t="s">
        <v>170</v>
      </c>
      <c r="H8" s="33" t="s">
        <v>162</v>
      </c>
      <c r="I8" s="33"/>
      <c r="J8" s="33"/>
      <c r="K8" s="57"/>
      <c r="L8" s="60" t="s">
        <v>163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tabSelected="1" zoomScale="85" zoomScaleNormal="85" workbookViewId="0"/>
  </sheetViews>
  <sheetFormatPr defaultRowHeight="16.5" x14ac:dyDescent="0.3"/>
  <cols>
    <col min="1" max="1" width="2.625" customWidth="1"/>
  </cols>
  <sheetData>
    <row r="2" spans="2:23" x14ac:dyDescent="0.3">
      <c r="B2" t="s">
        <v>198</v>
      </c>
      <c r="H2" t="s">
        <v>199</v>
      </c>
      <c r="W2" t="s">
        <v>200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protocol</vt:lpstr>
      <vt:lpstr>xc xd mapping</vt:lpstr>
      <vt:lpstr>B'D check list</vt:lpstr>
      <vt:lpstr>B'D connector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2025-09-10T08:43:53Z</dcterms:modified>
</cp:coreProperties>
</file>