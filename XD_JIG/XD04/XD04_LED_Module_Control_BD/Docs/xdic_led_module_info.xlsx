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77A8592F-3AE8-40D3-836F-67D08AD7B212}" xr6:coauthVersionLast="47" xr6:coauthVersionMax="47" xr10:uidLastSave="{00000000-0000-0000-0000-000000000000}"/>
  <bookViews>
    <workbookView xWindow="43080" yWindow="2160" windowWidth="29040" windowHeight="15720" xr2:uid="{00000000-000D-0000-FFFF-FFFF00000000}"/>
  </bookViews>
  <sheets>
    <sheet name="protocol" sheetId="1" r:id="rId1"/>
    <sheet name="xc xd mapping" sheetId="2" r:id="rId2"/>
    <sheet name="B'D check list" sheetId="3" r:id="rId3"/>
    <sheet name="B'D connector summary" sheetId="5" r:id="rId4"/>
    <sheet name="exampl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6" l="1"/>
  <c r="H21" i="6" s="1"/>
  <c r="I21" i="6" s="1"/>
  <c r="J21" i="6" s="1"/>
  <c r="K21" i="6" s="1"/>
  <c r="L21" i="6" s="1"/>
  <c r="M21" i="6" s="1"/>
  <c r="G5" i="6"/>
  <c r="H5" i="6" s="1"/>
  <c r="I5" i="6" s="1"/>
  <c r="J5" i="6" s="1"/>
  <c r="K5" i="6" s="1"/>
  <c r="L5" i="6" s="1"/>
  <c r="M5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<sst xmlns="http://schemas.openxmlformats.org/spreadsheetml/2006/main" count="406" uniqueCount="241">
  <si>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</si>
  <si>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</si>
  <si>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</si>
  <si>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</si>
  <si>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</si>
  <si>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</si>
  <si>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</si>
  <si>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</si>
  <si>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</si>
  <si>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</si>
  <si>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</si>
  <si>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</si>
  <si>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</si>
  <si>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</si>
  <si>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</si>
  <si>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</si>
  <si>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</si>
  <si>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</si>
  <si>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</si>
  <si>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</si>
  <si>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</si>
  <si>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</si>
  <si>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</si>
  <si>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</si>
  <si>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</si>
  <si>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</si>
  <si>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</si>
  <si>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</si>
  <si>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</si>
  <si>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</si>
  <si>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</si>
  <si>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</si>
  <si>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</si>
  <si>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</si>
  <si>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</si>
  <si>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</si>
  <si>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</si>
  <si>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</si>
  <si>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</si>
  <si>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</si>
  <si>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</si>
  <si>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</si>
  <si>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</si>
  <si>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</si>
  <si>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</si>
  <si>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</si>
  <si>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</si>
  <si>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</si>
  <si>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</si>
  <si>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</si>
  <si>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</si>
  <si>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</si>
  <si>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</si>
  <si>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</si>
  <si>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</si>
  <si>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</si>
  <si>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</si>
  <si>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</si>
  <si>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</si>
  <si>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</si>
  <si>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</si>
  <si>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</si>
  <si>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</si>
  <si>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</si>
  <si>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</si>
  <si>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</si>
  <si>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</si>
  <si>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3. Example Frames</t>
    <phoneticPr fontId="1" type="noConversion"/>
  </si>
  <si>
    <t>Scenario</t>
    <phoneticPr fontId="1" type="noConversion"/>
  </si>
  <si>
    <t xml:space="preserve">Checksum </t>
    <phoneticPr fontId="1" type="noConversion"/>
  </si>
  <si>
    <t>LEN</t>
    <phoneticPr fontId="1" type="noConversion"/>
  </si>
  <si>
    <t>Current 50mA</t>
    <phoneticPr fontId="1" type="noConversion"/>
  </si>
  <si>
    <t>Protocol Fields</t>
    <phoneticPr fontId="1" type="noConversion"/>
  </si>
  <si>
    <t>0 ~ 128</t>
    <phoneticPr fontId="1" type="noConversion"/>
  </si>
  <si>
    <t>0 ~ 20</t>
    <phoneticPr fontId="1" type="noConversion"/>
  </si>
  <si>
    <t>0xA6</t>
    <phoneticPr fontId="1" type="noConversion"/>
  </si>
  <si>
    <t>LED 전류 설정 (1mA 단위 조절)</t>
    <phoneticPr fontId="1" type="noConversion"/>
  </si>
  <si>
    <t>0x32</t>
    <phoneticPr fontId="1" type="noConversion"/>
  </si>
  <si>
    <t>0xD9</t>
    <phoneticPr fontId="1" type="noConversion"/>
  </si>
  <si>
    <t>Current 10mA</t>
    <phoneticPr fontId="1" type="noConversion"/>
  </si>
  <si>
    <t>0x0A</t>
    <phoneticPr fontId="1" type="noConversion"/>
  </si>
  <si>
    <t>0xB1</t>
    <phoneticPr fontId="1" type="noConversion"/>
  </si>
  <si>
    <t>Current 128mA</t>
    <phoneticPr fontId="1" type="noConversion"/>
  </si>
  <si>
    <t>0x27</t>
    <phoneticPr fontId="1" type="noConversion"/>
  </si>
  <si>
    <t>Bar #1 On</t>
    <phoneticPr fontId="1" type="noConversion"/>
  </si>
  <si>
    <t>0xB7</t>
    <phoneticPr fontId="1" type="noConversion"/>
  </si>
  <si>
    <t>Bar #19 Off</t>
    <phoneticPr fontId="1" type="noConversion"/>
  </si>
  <si>
    <t>0x13</t>
    <phoneticPr fontId="1" type="noConversion"/>
  </si>
  <si>
    <t>Block #5 On</t>
    <phoneticPr fontId="1" type="noConversion"/>
  </si>
  <si>
    <t>Block All Off</t>
    <phoneticPr fontId="1" type="noConversion"/>
  </si>
  <si>
    <t>0x05</t>
    <phoneticPr fontId="1" type="noConversion"/>
  </si>
  <si>
    <t>0xEB</t>
    <phoneticPr fontId="1" type="noConversion"/>
  </si>
  <si>
    <t>0x26</t>
    <phoneticPr fontId="1" type="noConversion"/>
  </si>
  <si>
    <t>수행할 명령 코드, "2. Command 목록" 참조</t>
    <phoneticPr fontId="1" type="noConversion"/>
  </si>
  <si>
    <t>명령에 따른 가변 길이 데이터, "2. Command 목록" 참조</t>
    <phoneticPr fontId="1" type="noConversion"/>
  </si>
  <si>
    <t>2. Command 목록</t>
    <phoneticPr fontId="1" type="noConversion"/>
  </si>
  <si>
    <t>4. Control B'D &lt;==&gt; LED Bar Mapping ("xc xd mapping" sheet 참조할것)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</si>
  <si>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</si>
  <si>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</si>
  <si>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</si>
  <si>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</si>
  <si>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</si>
  <si>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</si>
  <si>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</si>
  <si>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</si>
  <si>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</si>
  <si>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</si>
  <si>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</si>
  <si>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</si>
  <si>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</si>
  <si>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</si>
  <si>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</si>
  <si>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</si>
  <si>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</si>
  <si>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</si>
  <si>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</si>
  <si>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</si>
  <si>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</si>
  <si>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</si>
  <si>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</si>
  <si>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</si>
  <si>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</si>
  <si>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</si>
  <si>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</si>
  <si>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</si>
  <si>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</si>
  <si>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</si>
  <si>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</si>
  <si>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</si>
  <si>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</si>
  <si>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</si>
  <si>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</si>
  <si>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</si>
  <si>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</si>
  <si>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</si>
  <si>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</si>
  <si>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</si>
  <si>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</si>
  <si>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</si>
  <si>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</si>
  <si>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</si>
  <si>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</si>
  <si>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</si>
  <si>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</si>
  <si>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</si>
  <si>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</si>
  <si>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</si>
  <si>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선택 Bar 점등 (Data = 0 → 전체 Bar 점등), "xc xd mapping" 시트 참조</t>
    <phoneticPr fontId="1" type="noConversion"/>
  </si>
  <si>
    <t>선택 Bar 소등 (Data = 0 → 전체 Bar 소등), "xc xd mapping" 시트 참조</t>
    <phoneticPr fontId="1" type="noConversion"/>
  </si>
  <si>
    <t>선택 Block 점등 (Data= 0 → 전체 Block 점등), "xc xd mapping" 시트 참조</t>
    <phoneticPr fontId="1" type="noConversion"/>
  </si>
  <si>
    <t>선택 Block 소등 (Data= 0 → 전체 Block 소등), "xc xd mapping" 시트 참조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</si>
  <si>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</si>
  <si>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</si>
  <si>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</si>
  <si>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</si>
  <si>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</si>
  <si>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</si>
  <si>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</si>
  <si>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</si>
  <si>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</si>
  <si>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</si>
  <si>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</si>
  <si>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</si>
  <si>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</si>
  <si>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</si>
  <si>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</si>
  <si>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</si>
  <si>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</si>
  <si>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</si>
  <si>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</si>
  <si>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</si>
  <si>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</si>
  <si>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</si>
  <si>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</si>
  <si>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</si>
  <si>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</si>
  <si>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</si>
  <si>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</si>
  <si>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</si>
  <si>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</si>
  <si>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</si>
  <si>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</si>
  <si>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</si>
  <si>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</si>
  <si>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</si>
  <si>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</si>
  <si>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</si>
  <si>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</si>
  <si>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</si>
  <si>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</si>
  <si>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</si>
  <si>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</si>
  <si>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</si>
  <si>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</si>
  <si>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</si>
  <si>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</si>
  <si>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</si>
  <si>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</si>
  <si>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</si>
  <si>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</si>
  <si>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</si>
  <si>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</si>
  <si>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</si>
  <si>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</si>
  <si>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</si>
  <si>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</si>
  <si>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</si>
  <si>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</si>
  <si>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</si>
  <si>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</si>
  <si>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</si>
  <si>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</si>
  <si>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</si>
  <si>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</si>
  <si>
    <t>Baudrate = 115200, Parity = None, Stopbits = 1-bit, Data = 8-bits, Protocol 사이 1ms delay 필요</t>
    <phoneticPr fontId="1" type="noConversion"/>
  </si>
  <si>
    <t>Example with LED Bar No. 1</t>
    <phoneticPr fontId="1" type="noConversion"/>
  </si>
  <si>
    <t>Example with LED Bar No. 12</t>
    <phoneticPr fontId="1" type="noConversion"/>
  </si>
  <si>
    <t>전류 25mA 설정; Block/BAR 선택 전이므로 아직 off 상태</t>
    <phoneticPr fontId="1" type="noConversion"/>
  </si>
  <si>
    <t>12번 Bar 점등</t>
    <phoneticPr fontId="1" type="noConversion"/>
  </si>
  <si>
    <t>12번 Block 소등</t>
    <phoneticPr fontId="1" type="noConversion"/>
  </si>
  <si>
    <t>52번 Block 소등</t>
    <phoneticPr fontId="1" type="noConversion"/>
  </si>
  <si>
    <t>92번 Block 소등</t>
    <phoneticPr fontId="1" type="noConversion"/>
  </si>
  <si>
    <t>12번 Bar 소등</t>
    <phoneticPr fontId="1" type="noConversion"/>
  </si>
  <si>
    <t>132번 Block 소등 (현재 단계에서 ABAB 패턴 구현)</t>
    <phoneticPr fontId="1" type="noConversion"/>
  </si>
  <si>
    <t>전류 75mA 설정; 선택된 Block/BAR가 없으므로 off 상태</t>
    <phoneticPr fontId="1" type="noConversion"/>
  </si>
  <si>
    <t>12번 Block 점등</t>
    <phoneticPr fontId="1" type="noConversion"/>
  </si>
  <si>
    <t>52번 Block 점등</t>
    <phoneticPr fontId="1" type="noConversion"/>
  </si>
  <si>
    <t>92번 Block 점등</t>
    <phoneticPr fontId="1" type="noConversion"/>
  </si>
  <si>
    <t>132번 Block 점등 (현재 단계에서 BABA 패턴 구현)</t>
    <phoneticPr fontId="1" type="noConversion"/>
  </si>
  <si>
    <t>XC24, XD04 전원 차단, VLED Off 필요, 다음 명령어까지 최소 250ms delay 필요 (IC De-Initalize &amp; VDD Off Time)</t>
    <phoneticPr fontId="1" type="noConversion"/>
  </si>
  <si>
    <t>5. Example Screenshot</t>
    <phoneticPr fontId="1" type="noConversion"/>
  </si>
  <si>
    <t>1) RS232 --&gt; Control B'D</t>
    <phoneticPr fontId="1" type="noConversion"/>
  </si>
  <si>
    <t>2) Control B'D --&gt; RS232 (Good Packet)</t>
    <phoneticPr fontId="1" type="noConversion"/>
  </si>
  <si>
    <t>3) Control B'D --&gt; RS232 (Bad Packet ex. Wrong checksum)</t>
    <phoneticPr fontId="1" type="noConversion"/>
  </si>
  <si>
    <t>D11 3초간 점멸 후 점등</t>
    <phoneticPr fontId="1" type="noConversion"/>
  </si>
  <si>
    <t>XC24, XD04 전원 인가, 레지스터 설정, LED 전류 0mA, VLED On 필요, 다음 명령어까지 최소 250ms delay 필요 (VDD Ramp-up &amp; Settling Time, IC Initial)</t>
    <phoneticPr fontId="1" type="noConversion"/>
  </si>
  <si>
    <t>TP28 (780kHz Pulse 파형)</t>
    <phoneticPr fontId="1" type="noConversion"/>
  </si>
  <si>
    <t>R86 0옴 부착</t>
    <phoneticPr fontId="1" type="noConversion"/>
  </si>
  <si>
    <t>명시된 Check Point의 값 대비 ±3% 이내 값이 측정된다면 OK, 이상 벗어나는 경우 NG</t>
    <phoneticPr fontId="1" type="noConversion"/>
  </si>
  <si>
    <t>Ex) TP9 (5V)의 경우 5V ± 3% = 4.85 ~ 5.15V 사이의 값이 측정되면 OK. 이외의 값이면 NG</t>
    <phoneticPr fontId="1" type="noConversion"/>
  </si>
  <si>
    <t>TP65 (UART 파형)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</si>
</sst>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B-&quot;0"/>
    <numFmt numFmtId="177" formatCode="&quot;Blk-&quot;0"/>
  </numFmts>
  <fonts count="8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left" vertical="center"/>
    </xf>
    <xf numFmtId="0" fontId="3" fillId="0" borderId="39" xfId="0" applyFont="1" applyBorder="1" applyAlignment="1">
      <alignment horizontal="center" vertical="center"/>
    </xf>
    <xf numFmtId="0" fontId="3" fillId="0" borderId="44" xfId="0" applyFont="1" applyBorder="1" applyAlignment="1">
      <alignment horizontal="left" vertical="center"/>
    </xf>
    <xf numFmtId="0" fontId="3" fillId="0" borderId="45" xfId="0" applyFont="1" applyBorder="1" applyAlignment="1">
      <alignment horizontal="left" vertical="center"/>
    </xf>
    <xf numFmtId="177" fontId="3" fillId="0" borderId="42" xfId="0" applyNumberFormat="1" applyFont="1" applyBorder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20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0" fillId="0" borderId="6" xfId="0" applyFill="1" applyBorder="1" applyAlignment="1">
      <alignment horizontal="left" vertical="center"/>
    </xf>
    <xf numFmtId="0" fontId="3" fillId="0" borderId="10" xfId="0" applyFont="1" applyFill="1" applyBorder="1" applyAlignment="1">
      <alignment horizontal="left" vertical="center"/>
    </xf>
    <xf numFmtId="0" fontId="3" fillId="0" borderId="4" xfId="0" applyFont="1" applyFill="1" applyBorder="1" applyAlignment="1">
      <alignment horizontal="left" vertical="center"/>
    </xf>
    <xf numFmtId="0" fontId="3" fillId="0" borderId="5" xfId="0" applyFont="1" applyFill="1" applyBorder="1" applyAlignment="1">
      <alignment horizontal="left" vertical="center"/>
    </xf>
    <xf numFmtId="0" fontId="3" fillId="0" borderId="6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58</xdr:row>
      <xdr:rowOff>0</xdr:rowOff>
    </xdr:from>
    <xdr:to>
      <xdr:col>7</xdr:col>
      <xdr:colOff>685800</xdr:colOff>
      <xdr:row>87</xdr:row>
      <xdr:rowOff>31432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8B8C97B-5A41-4608-BA71-EA47D5D9F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99441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285750</xdr:colOff>
      <xdr:row>66</xdr:row>
      <xdr:rowOff>114300</xdr:rowOff>
    </xdr:from>
    <xdr:ext cx="572849" cy="280205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CC1104E-FE48-274F-F27D-9082C308C3FA}"/>
            </a:ext>
          </a:extLst>
        </xdr:cNvPr>
        <xdr:cNvSpPr txBox="1"/>
      </xdr:nvSpPr>
      <xdr:spPr>
        <a:xfrm>
          <a:off x="485775" y="11430000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78</xdr:row>
      <xdr:rowOff>161925</xdr:rowOff>
    </xdr:from>
    <xdr:ext cx="497059" cy="280205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5B5F93B-ED2A-42D8-A840-794673294450}"/>
            </a:ext>
          </a:extLst>
        </xdr:cNvPr>
        <xdr:cNvSpPr txBox="1"/>
      </xdr:nvSpPr>
      <xdr:spPr>
        <a:xfrm>
          <a:off x="552450" y="135350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 editAs="oneCell">
    <xdr:from>
      <xdr:col>1</xdr:col>
      <xdr:colOff>0</xdr:colOff>
      <xdr:row>90</xdr:row>
      <xdr:rowOff>0</xdr:rowOff>
    </xdr:from>
    <xdr:to>
      <xdr:col>7</xdr:col>
      <xdr:colOff>685800</xdr:colOff>
      <xdr:row>119</xdr:row>
      <xdr:rowOff>31432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DB65DE1D-4CE0-47BD-AB8B-7954FAF8C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54305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247650</xdr:colOff>
      <xdr:row>98</xdr:row>
      <xdr:rowOff>104775</xdr:rowOff>
    </xdr:from>
    <xdr:ext cx="572849" cy="280205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4AD454C-52DC-4B71-8096-80882AB3FFBA}"/>
            </a:ext>
          </a:extLst>
        </xdr:cNvPr>
        <xdr:cNvSpPr txBox="1"/>
      </xdr:nvSpPr>
      <xdr:spPr>
        <a:xfrm>
          <a:off x="447675" y="1690687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361950</xdr:colOff>
      <xdr:row>111</xdr:row>
      <xdr:rowOff>9525</xdr:rowOff>
    </xdr:from>
    <xdr:ext cx="497059" cy="280205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D4D244A-0724-4E54-A4DC-A74B4A5FED1B}"/>
            </a:ext>
          </a:extLst>
        </xdr:cNvPr>
        <xdr:cNvSpPr txBox="1"/>
      </xdr:nvSpPr>
      <xdr:spPr>
        <a:xfrm>
          <a:off x="561975" y="1904047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304800</xdr:colOff>
      <xdr:row>107</xdr:row>
      <xdr:rowOff>123825</xdr:rowOff>
    </xdr:from>
    <xdr:to>
      <xdr:col>5</xdr:col>
      <xdr:colOff>514350</xdr:colOff>
      <xdr:row>107</xdr:row>
      <xdr:rowOff>123825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6383B1E1-A330-FD2A-BA16-A2D6CEE3E95E}"/>
            </a:ext>
          </a:extLst>
        </xdr:cNvPr>
        <xdr:cNvCxnSpPr/>
      </xdr:nvCxnSpPr>
      <xdr:spPr>
        <a:xfrm>
          <a:off x="3171825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542925</xdr:colOff>
      <xdr:row>107</xdr:row>
      <xdr:rowOff>123825</xdr:rowOff>
    </xdr:from>
    <xdr:to>
      <xdr:col>5</xdr:col>
      <xdr:colOff>1590675</xdr:colOff>
      <xdr:row>107</xdr:row>
      <xdr:rowOff>123825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6D73773B-A799-4922-8CD8-8A6E5C022ECA}"/>
            </a:ext>
          </a:extLst>
        </xdr:cNvPr>
        <xdr:cNvCxnSpPr/>
      </xdr:nvCxnSpPr>
      <xdr:spPr>
        <a:xfrm>
          <a:off x="4248150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504825</xdr:colOff>
      <xdr:row>105</xdr:row>
      <xdr:rowOff>0</xdr:rowOff>
    </xdr:from>
    <xdr:ext cx="701282" cy="436786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88B84FA-1C68-E3F4-543C-5E835745D11D}"/>
            </a:ext>
          </a:extLst>
        </xdr:cNvPr>
        <xdr:cNvSpPr txBox="1"/>
      </xdr:nvSpPr>
      <xdr:spPr>
        <a:xfrm>
          <a:off x="3371850" y="1800225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537156</xdr:colOff>
      <xdr:row>104</xdr:row>
      <xdr:rowOff>161925</xdr:rowOff>
    </xdr:from>
    <xdr:ext cx="1093826" cy="43678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E3ABB40-F3D0-4DBC-AB28-BFD43A2DC99D}"/>
            </a:ext>
          </a:extLst>
        </xdr:cNvPr>
        <xdr:cNvSpPr txBox="1"/>
      </xdr:nvSpPr>
      <xdr:spPr>
        <a:xfrm>
          <a:off x="4242381" y="1799272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Good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122</xdr:row>
      <xdr:rowOff>0</xdr:rowOff>
    </xdr:from>
    <xdr:to>
      <xdr:col>7</xdr:col>
      <xdr:colOff>685800</xdr:colOff>
      <xdr:row>151</xdr:row>
      <xdr:rowOff>31432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77033AC0-FA41-471F-A676-8C197D532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209169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238125</xdr:colOff>
      <xdr:row>130</xdr:row>
      <xdr:rowOff>47625</xdr:rowOff>
    </xdr:from>
    <xdr:ext cx="572849" cy="280205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7F5E7AC7-4B14-4488-9251-6EB281C8FBFF}"/>
            </a:ext>
          </a:extLst>
        </xdr:cNvPr>
        <xdr:cNvSpPr txBox="1"/>
      </xdr:nvSpPr>
      <xdr:spPr>
        <a:xfrm>
          <a:off x="438150" y="2233612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142</xdr:row>
      <xdr:rowOff>123825</xdr:rowOff>
    </xdr:from>
    <xdr:ext cx="497059" cy="280205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7D3359D-3FB7-4EAE-8D0E-872337029656}"/>
            </a:ext>
          </a:extLst>
        </xdr:cNvPr>
        <xdr:cNvSpPr txBox="1"/>
      </xdr:nvSpPr>
      <xdr:spPr>
        <a:xfrm>
          <a:off x="552450" y="244697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295275</xdr:colOff>
      <xdr:row>139</xdr:row>
      <xdr:rowOff>66675</xdr:rowOff>
    </xdr:from>
    <xdr:to>
      <xdr:col>5</xdr:col>
      <xdr:colOff>504825</xdr:colOff>
      <xdr:row>139</xdr:row>
      <xdr:rowOff>66675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7D224A6C-AF41-456B-B4E5-CB32BE2AB517}"/>
            </a:ext>
          </a:extLst>
        </xdr:cNvPr>
        <xdr:cNvCxnSpPr/>
      </xdr:nvCxnSpPr>
      <xdr:spPr>
        <a:xfrm>
          <a:off x="3162300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533400</xdr:colOff>
      <xdr:row>139</xdr:row>
      <xdr:rowOff>66675</xdr:rowOff>
    </xdr:from>
    <xdr:to>
      <xdr:col>5</xdr:col>
      <xdr:colOff>1581150</xdr:colOff>
      <xdr:row>139</xdr:row>
      <xdr:rowOff>66675</xdr:rowOff>
    </xdr:to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F1522E29-C238-484F-8F46-2F9449B54EAD}"/>
            </a:ext>
          </a:extLst>
        </xdr:cNvPr>
        <xdr:cNvCxnSpPr/>
      </xdr:nvCxnSpPr>
      <xdr:spPr>
        <a:xfrm>
          <a:off x="4238625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495300</xdr:colOff>
      <xdr:row>136</xdr:row>
      <xdr:rowOff>114300</xdr:rowOff>
    </xdr:from>
    <xdr:ext cx="701282" cy="436786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2DB9F24-E268-47CA-A23E-324A796868B4}"/>
            </a:ext>
          </a:extLst>
        </xdr:cNvPr>
        <xdr:cNvSpPr txBox="1"/>
      </xdr:nvSpPr>
      <xdr:spPr>
        <a:xfrm>
          <a:off x="3362325" y="2343150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527629</xdr:colOff>
      <xdr:row>136</xdr:row>
      <xdr:rowOff>104775</xdr:rowOff>
    </xdr:from>
    <xdr:ext cx="1093826" cy="436786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189B8362-FCBB-4B24-82B9-73B97A61ED12}"/>
            </a:ext>
          </a:extLst>
        </xdr:cNvPr>
        <xdr:cNvSpPr txBox="1"/>
      </xdr:nvSpPr>
      <xdr:spPr>
        <a:xfrm>
          <a:off x="4232854" y="2342197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Bad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5</xdr:col>
      <xdr:colOff>390962</xdr:colOff>
      <xdr:row>29</xdr:row>
      <xdr:rowOff>57948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AF428C8-FCB6-4E15-B3EF-9B259FCD7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419100"/>
          <a:ext cx="3134162" cy="571579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6</xdr:row>
      <xdr:rowOff>161925</xdr:rowOff>
    </xdr:from>
    <xdr:to>
      <xdr:col>4</xdr:col>
      <xdr:colOff>2019300</xdr:colOff>
      <xdr:row>11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  <xdr:twoCellAnchor>
    <xdr:from>
      <xdr:col>4</xdr:col>
      <xdr:colOff>285750</xdr:colOff>
      <xdr:row>22</xdr:row>
      <xdr:rowOff>161925</xdr:rowOff>
    </xdr:from>
    <xdr:to>
      <xdr:col>4</xdr:col>
      <xdr:colOff>2019300</xdr:colOff>
      <xdr:row>27</xdr:row>
      <xdr:rowOff>19050</xdr:rowOff>
    </xdr:to>
    <xdr:sp macro="" textlink="">
      <xdr:nvSpPr>
        <xdr:cNvPr id="3" name="화살표: 오른쪽 2">
          <a:extLst>
            <a:ext uri="{FF2B5EF4-FFF2-40B4-BE49-F238E27FC236}">
              <a16:creationId xmlns:a16="http://schemas.microsoft.com/office/drawing/2014/main" id="{978CF594-026D-4309-883A-8D78CAABE886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22"/>
  <sheetViews>
    <sheetView tabSelected="1" zoomScale="85" zoomScaleNormal="85" workbookViewId="0"/>
  </sheetViews>
  <sheetFormatPr defaultColWidth="9" defaultRowHeight="16" x14ac:dyDescent="0.45"/>
  <cols>
    <col min="1" max="1" width="2.58203125" style="6" customWidth="1"/>
    <col min="2" max="2" width="18.58203125" style="6" customWidth="1"/>
    <col min="3" max="3" width="7" style="6" bestFit="1" customWidth="1"/>
    <col min="4" max="4" width="9.33203125" style="6" bestFit="1" customWidth="1"/>
    <col min="5" max="5" width="11" style="6" bestFit="1" customWidth="1"/>
    <col min="6" max="10" width="23.5" style="6" customWidth="1"/>
    <col min="11" max="13" width="10.83203125" style="6" bestFit="1" customWidth="1"/>
    <col min="14" max="16" width="9" style="6" customWidth="1"/>
    <col min="17" max="16384" width="9" style="6"/>
  </cols>
  <sheetData>
    <row r="2" spans="2:10" x14ac:dyDescent="0.45">
      <c r="B2" s="5" t="s">
        <v>7</v>
      </c>
    </row>
    <row r="3" spans="2:10" x14ac:dyDescent="0.45">
      <c r="B3" s="129" t="s">
        <v>214</v>
      </c>
      <c r="C3" s="129"/>
      <c r="D3" s="129"/>
      <c r="E3" s="129"/>
      <c r="F3" s="129"/>
      <c r="G3" s="129"/>
    </row>
    <row r="4" spans="2:10" x14ac:dyDescent="0.45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45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45">
      <c r="B7" s="1" t="s">
        <v>62</v>
      </c>
      <c r="C7" s="1" t="s">
        <v>52</v>
      </c>
      <c r="D7" s="1" t="s">
        <v>53</v>
      </c>
      <c r="E7" s="111" t="s">
        <v>54</v>
      </c>
      <c r="F7" s="111"/>
      <c r="G7" s="111"/>
      <c r="H7" s="111"/>
      <c r="I7" s="111"/>
      <c r="J7" s="111"/>
    </row>
    <row r="8" spans="2:10" x14ac:dyDescent="0.45">
      <c r="B8" s="2" t="s">
        <v>0</v>
      </c>
      <c r="C8" s="3" t="s">
        <v>5</v>
      </c>
      <c r="D8" s="3" t="s">
        <v>8</v>
      </c>
      <c r="E8" s="105" t="s">
        <v>65</v>
      </c>
      <c r="F8" s="105"/>
      <c r="G8" s="105"/>
      <c r="H8" s="105"/>
      <c r="I8" s="105"/>
      <c r="J8" s="105"/>
    </row>
    <row r="9" spans="2:10" x14ac:dyDescent="0.45">
      <c r="B9" s="2" t="s">
        <v>66</v>
      </c>
      <c r="C9" s="3" t="s">
        <v>5</v>
      </c>
      <c r="D9" s="4" t="s">
        <v>9</v>
      </c>
      <c r="E9" s="130" t="s">
        <v>198</v>
      </c>
      <c r="F9" s="131"/>
      <c r="G9" s="131"/>
      <c r="H9" s="131"/>
      <c r="I9" s="131"/>
      <c r="J9" s="132"/>
    </row>
    <row r="10" spans="2:10" x14ac:dyDescent="0.45">
      <c r="B10" s="2" t="s">
        <v>1</v>
      </c>
      <c r="C10" s="3" t="s">
        <v>5</v>
      </c>
      <c r="D10" s="4" t="s">
        <v>9</v>
      </c>
      <c r="E10" s="105" t="s">
        <v>93</v>
      </c>
      <c r="F10" s="105"/>
      <c r="G10" s="105"/>
      <c r="H10" s="105"/>
      <c r="I10" s="105"/>
      <c r="J10" s="105"/>
    </row>
    <row r="11" spans="2:10" x14ac:dyDescent="0.45">
      <c r="B11" s="2" t="s">
        <v>2</v>
      </c>
      <c r="C11" s="3" t="s">
        <v>6</v>
      </c>
      <c r="D11" s="4" t="s">
        <v>9</v>
      </c>
      <c r="E11" s="107" t="s">
        <v>94</v>
      </c>
      <c r="F11" s="108"/>
      <c r="G11" s="108"/>
      <c r="H11" s="108"/>
      <c r="I11" s="108"/>
      <c r="J11" s="109"/>
    </row>
    <row r="12" spans="2:10" x14ac:dyDescent="0.45">
      <c r="B12" s="2" t="s">
        <v>3</v>
      </c>
      <c r="C12" s="3" t="s">
        <v>5</v>
      </c>
      <c r="D12" s="4" t="s">
        <v>9</v>
      </c>
      <c r="E12" s="105" t="s">
        <v>63</v>
      </c>
      <c r="F12" s="105"/>
      <c r="G12" s="105"/>
      <c r="H12" s="105"/>
      <c r="I12" s="105"/>
      <c r="J12" s="105"/>
    </row>
    <row r="13" spans="2:10" x14ac:dyDescent="0.45">
      <c r="B13" s="2" t="s">
        <v>4</v>
      </c>
      <c r="C13" s="3" t="s">
        <v>5</v>
      </c>
      <c r="D13" s="3" t="s">
        <v>10</v>
      </c>
      <c r="E13" s="107" t="s">
        <v>64</v>
      </c>
      <c r="F13" s="108"/>
      <c r="G13" s="108"/>
      <c r="H13" s="108"/>
      <c r="I13" s="108"/>
      <c r="J13" s="109"/>
    </row>
    <row r="16" spans="2:10" x14ac:dyDescent="0.45">
      <c r="B16" s="5" t="s">
        <v>95</v>
      </c>
    </row>
    <row r="17" spans="2:10" x14ac:dyDescent="0.45">
      <c r="B17" s="1" t="s">
        <v>1</v>
      </c>
      <c r="C17" s="1" t="s">
        <v>51</v>
      </c>
      <c r="D17" s="1" t="s">
        <v>66</v>
      </c>
      <c r="E17" s="1" t="s">
        <v>2</v>
      </c>
      <c r="F17" s="111" t="s">
        <v>54</v>
      </c>
      <c r="G17" s="111"/>
      <c r="H17" s="111"/>
      <c r="I17" s="111"/>
      <c r="J17" s="111"/>
    </row>
    <row r="18" spans="2:10" x14ac:dyDescent="0.45">
      <c r="B18" s="3" t="s">
        <v>12</v>
      </c>
      <c r="C18" s="3" t="s">
        <v>11</v>
      </c>
      <c r="D18" s="3" t="s">
        <v>5</v>
      </c>
      <c r="E18" s="4">
        <v>0</v>
      </c>
      <c r="F18" s="133" t="s">
        <v>235</v>
      </c>
      <c r="G18" s="133"/>
      <c r="H18" s="133"/>
      <c r="I18" s="133"/>
      <c r="J18" s="133"/>
    </row>
    <row r="19" spans="2:10" x14ac:dyDescent="0.45">
      <c r="B19" s="3" t="s">
        <v>13</v>
      </c>
      <c r="C19" s="3" t="s">
        <v>15</v>
      </c>
      <c r="D19" s="3" t="s">
        <v>5</v>
      </c>
      <c r="E19" s="4">
        <v>0</v>
      </c>
      <c r="F19" s="133" t="s">
        <v>229</v>
      </c>
      <c r="G19" s="133"/>
      <c r="H19" s="133"/>
      <c r="I19" s="133"/>
      <c r="J19" s="133"/>
    </row>
    <row r="20" spans="2:10" x14ac:dyDescent="0.45">
      <c r="B20" s="3" t="s">
        <v>142</v>
      </c>
      <c r="C20" s="3" t="s">
        <v>143</v>
      </c>
      <c r="D20" s="3" t="s">
        <v>5</v>
      </c>
      <c r="E20" s="3" t="s">
        <v>144</v>
      </c>
      <c r="F20" s="105" t="s">
        <v>145</v>
      </c>
      <c r="G20" s="105"/>
      <c r="H20" s="105"/>
      <c r="I20" s="105"/>
      <c r="J20" s="105"/>
    </row>
    <row r="21" spans="2:10" x14ac:dyDescent="0.45">
      <c r="B21" s="3" t="s">
        <v>16</v>
      </c>
      <c r="C21" s="3" t="s">
        <v>14</v>
      </c>
      <c r="D21" s="3" t="s">
        <v>5</v>
      </c>
      <c r="E21" s="3" t="s">
        <v>73</v>
      </c>
      <c r="F21" s="105" t="s">
        <v>76</v>
      </c>
      <c r="G21" s="105"/>
      <c r="H21" s="105"/>
      <c r="I21" s="105"/>
      <c r="J21" s="105"/>
    </row>
    <row r="22" spans="2:10" x14ac:dyDescent="0.45">
      <c r="B22" s="3" t="s">
        <v>19</v>
      </c>
      <c r="C22" s="3" t="s">
        <v>17</v>
      </c>
      <c r="D22" s="3" t="s">
        <v>5</v>
      </c>
      <c r="E22" s="3" t="s">
        <v>74</v>
      </c>
      <c r="F22" s="105" t="s">
        <v>147</v>
      </c>
      <c r="G22" s="105"/>
      <c r="H22" s="105"/>
      <c r="I22" s="105"/>
      <c r="J22" s="105"/>
    </row>
    <row r="23" spans="2:10" x14ac:dyDescent="0.45">
      <c r="B23" s="3" t="s">
        <v>20</v>
      </c>
      <c r="C23" s="3" t="s">
        <v>21</v>
      </c>
      <c r="D23" s="3" t="s">
        <v>5</v>
      </c>
      <c r="E23" s="3" t="s">
        <v>74</v>
      </c>
      <c r="F23" s="105" t="s">
        <v>148</v>
      </c>
      <c r="G23" s="105"/>
      <c r="H23" s="105"/>
      <c r="I23" s="105"/>
      <c r="J23" s="105"/>
    </row>
    <row r="24" spans="2:10" x14ac:dyDescent="0.45">
      <c r="B24" s="3" t="s">
        <v>22</v>
      </c>
      <c r="C24" s="3" t="s">
        <v>18</v>
      </c>
      <c r="D24" s="3" t="s">
        <v>5</v>
      </c>
      <c r="E24" s="3" t="s">
        <v>146</v>
      </c>
      <c r="F24" s="105" t="s">
        <v>149</v>
      </c>
      <c r="G24" s="105"/>
      <c r="H24" s="105"/>
      <c r="I24" s="105"/>
      <c r="J24" s="105"/>
    </row>
    <row r="25" spans="2:10" x14ac:dyDescent="0.45">
      <c r="B25" s="3" t="s">
        <v>23</v>
      </c>
      <c r="C25" s="3" t="s">
        <v>24</v>
      </c>
      <c r="D25" s="3" t="s">
        <v>5</v>
      </c>
      <c r="E25" s="3" t="s">
        <v>146</v>
      </c>
      <c r="F25" s="105" t="s">
        <v>150</v>
      </c>
      <c r="G25" s="105"/>
      <c r="H25" s="105"/>
      <c r="I25" s="105"/>
      <c r="J25" s="105"/>
    </row>
    <row r="28" spans="2:10" x14ac:dyDescent="0.45">
      <c r="B28" s="5" t="s">
        <v>67</v>
      </c>
    </row>
    <row r="29" spans="2:10" x14ac:dyDescent="0.45">
      <c r="B29" s="1"/>
      <c r="C29" s="110" t="s">
        <v>72</v>
      </c>
      <c r="D29" s="110"/>
      <c r="E29" s="110"/>
      <c r="F29" s="110"/>
      <c r="G29" s="110"/>
      <c r="H29" s="110"/>
    </row>
    <row r="30" spans="2:10" x14ac:dyDescent="0.45">
      <c r="B30" s="1" t="s">
        <v>68</v>
      </c>
      <c r="C30" s="7" t="s">
        <v>0</v>
      </c>
      <c r="D30" s="8" t="s">
        <v>70</v>
      </c>
      <c r="E30" s="7" t="s">
        <v>1</v>
      </c>
      <c r="F30" s="7" t="s">
        <v>2</v>
      </c>
      <c r="G30" s="7" t="s">
        <v>69</v>
      </c>
      <c r="H30" s="7" t="s">
        <v>4</v>
      </c>
    </row>
    <row r="31" spans="2:10" x14ac:dyDescent="0.45">
      <c r="B31" s="3" t="s">
        <v>12</v>
      </c>
      <c r="C31" s="106" t="s">
        <v>8</v>
      </c>
      <c r="D31" s="10" t="s">
        <v>14</v>
      </c>
      <c r="E31" s="9" t="s">
        <v>11</v>
      </c>
      <c r="F31" s="9" t="s">
        <v>11</v>
      </c>
      <c r="G31" s="9" t="s">
        <v>75</v>
      </c>
      <c r="H31" s="106" t="s">
        <v>10</v>
      </c>
    </row>
    <row r="32" spans="2:10" x14ac:dyDescent="0.45">
      <c r="B32" s="3" t="s">
        <v>79</v>
      </c>
      <c r="C32" s="106"/>
      <c r="D32" s="9" t="s">
        <v>14</v>
      </c>
      <c r="E32" s="9" t="s">
        <v>14</v>
      </c>
      <c r="F32" s="9" t="s">
        <v>80</v>
      </c>
      <c r="G32" s="9" t="s">
        <v>81</v>
      </c>
      <c r="H32" s="106"/>
    </row>
    <row r="33" spans="2:13" x14ac:dyDescent="0.45">
      <c r="B33" s="3" t="s">
        <v>71</v>
      </c>
      <c r="C33" s="106"/>
      <c r="D33" s="9" t="s">
        <v>14</v>
      </c>
      <c r="E33" s="9" t="s">
        <v>14</v>
      </c>
      <c r="F33" s="9" t="s">
        <v>77</v>
      </c>
      <c r="G33" s="9" t="s">
        <v>78</v>
      </c>
      <c r="H33" s="106"/>
    </row>
    <row r="34" spans="2:13" x14ac:dyDescent="0.45">
      <c r="B34" s="3" t="s">
        <v>82</v>
      </c>
      <c r="C34" s="106"/>
      <c r="D34" s="9" t="s">
        <v>14</v>
      </c>
      <c r="E34" s="9" t="s">
        <v>14</v>
      </c>
      <c r="F34" s="9" t="s">
        <v>24</v>
      </c>
      <c r="G34" s="9" t="s">
        <v>83</v>
      </c>
      <c r="H34" s="106"/>
    </row>
    <row r="35" spans="2:13" x14ac:dyDescent="0.45">
      <c r="B35" s="3" t="s">
        <v>84</v>
      </c>
      <c r="C35" s="106"/>
      <c r="D35" s="9" t="s">
        <v>14</v>
      </c>
      <c r="E35" s="9" t="s">
        <v>17</v>
      </c>
      <c r="F35" s="9" t="s">
        <v>14</v>
      </c>
      <c r="G35" s="9" t="s">
        <v>85</v>
      </c>
      <c r="H35" s="106"/>
    </row>
    <row r="36" spans="2:13" x14ac:dyDescent="0.45">
      <c r="B36" s="3" t="s">
        <v>86</v>
      </c>
      <c r="C36" s="106"/>
      <c r="D36" s="9" t="s">
        <v>14</v>
      </c>
      <c r="E36" s="9" t="s">
        <v>21</v>
      </c>
      <c r="F36" s="9" t="s">
        <v>87</v>
      </c>
      <c r="G36" s="9" t="s">
        <v>78</v>
      </c>
      <c r="H36" s="106"/>
    </row>
    <row r="37" spans="2:13" x14ac:dyDescent="0.45">
      <c r="B37" s="3" t="s">
        <v>88</v>
      </c>
      <c r="C37" s="106"/>
      <c r="D37" s="9" t="s">
        <v>14</v>
      </c>
      <c r="E37" s="9" t="s">
        <v>18</v>
      </c>
      <c r="F37" s="9" t="s">
        <v>90</v>
      </c>
      <c r="G37" s="9" t="s">
        <v>91</v>
      </c>
      <c r="H37" s="106"/>
    </row>
    <row r="38" spans="2:13" x14ac:dyDescent="0.45">
      <c r="B38" s="3" t="s">
        <v>89</v>
      </c>
      <c r="C38" s="106"/>
      <c r="D38" s="9" t="s">
        <v>14</v>
      </c>
      <c r="E38" s="9" t="s">
        <v>24</v>
      </c>
      <c r="F38" s="9" t="s">
        <v>11</v>
      </c>
      <c r="G38" s="9" t="s">
        <v>92</v>
      </c>
      <c r="H38" s="106"/>
    </row>
    <row r="39" spans="2:13" x14ac:dyDescent="0.45">
      <c r="B39" s="3" t="s">
        <v>13</v>
      </c>
      <c r="C39" s="106"/>
      <c r="D39" s="10" t="s">
        <v>14</v>
      </c>
      <c r="E39" s="9" t="s">
        <v>15</v>
      </c>
      <c r="F39" s="9" t="s">
        <v>11</v>
      </c>
      <c r="G39" s="9" t="s">
        <v>8</v>
      </c>
      <c r="H39" s="106"/>
    </row>
    <row r="40" spans="2:13" x14ac:dyDescent="0.45">
      <c r="C40" s="11"/>
      <c r="D40" s="12"/>
      <c r="E40" s="11"/>
      <c r="F40" s="11"/>
      <c r="G40" s="11"/>
      <c r="H40" s="11"/>
    </row>
    <row r="42" spans="2:13" x14ac:dyDescent="0.45">
      <c r="B42" s="5" t="s">
        <v>96</v>
      </c>
    </row>
    <row r="43" spans="2:13" x14ac:dyDescent="0.45">
      <c r="B43" s="7" t="s">
        <v>48</v>
      </c>
      <c r="C43" s="11"/>
      <c r="D43" s="7" t="s">
        <v>47</v>
      </c>
      <c r="E43" s="13"/>
      <c r="F43" s="104" t="s">
        <v>47</v>
      </c>
      <c r="G43" s="104"/>
      <c r="H43" s="104"/>
      <c r="I43" s="104"/>
      <c r="J43" s="104"/>
      <c r="K43" s="104"/>
      <c r="L43" s="104"/>
      <c r="M43" s="104"/>
    </row>
    <row r="44" spans="2:13" x14ac:dyDescent="0.45">
      <c r="B44" s="9" t="s">
        <v>25</v>
      </c>
      <c r="C44" s="14" t="s">
        <v>46</v>
      </c>
      <c r="D44" s="9" t="s">
        <v>36</v>
      </c>
      <c r="E44" s="15" t="s">
        <v>49</v>
      </c>
      <c r="F44" s="16" t="s">
        <v>50</v>
      </c>
      <c r="G44" s="17" t="s">
        <v>132</v>
      </c>
      <c r="H44" s="18" t="s">
        <v>133</v>
      </c>
      <c r="I44" s="17" t="s">
        <v>134</v>
      </c>
      <c r="J44" s="18" t="s">
        <v>135</v>
      </c>
      <c r="K44" s="17" t="s">
        <v>136</v>
      </c>
      <c r="L44" s="19" t="s">
        <v>137</v>
      </c>
      <c r="M44" s="19" t="s">
        <v>151</v>
      </c>
    </row>
    <row r="45" spans="2:13" x14ac:dyDescent="0.45">
      <c r="B45" s="9" t="s">
        <v>26</v>
      </c>
      <c r="C45" s="14" t="s">
        <v>46</v>
      </c>
      <c r="D45" s="9" t="s">
        <v>37</v>
      </c>
      <c r="E45" s="20"/>
      <c r="F45" s="21" t="s">
        <v>55</v>
      </c>
      <c r="G45" s="22" t="s">
        <v>56</v>
      </c>
      <c r="H45" s="23" t="s">
        <v>57</v>
      </c>
      <c r="I45" s="22" t="s">
        <v>58</v>
      </c>
      <c r="J45" s="23" t="s">
        <v>59</v>
      </c>
      <c r="K45" s="22" t="s">
        <v>60</v>
      </c>
      <c r="L45" s="24" t="s">
        <v>61</v>
      </c>
      <c r="M45" s="24" t="s">
        <v>152</v>
      </c>
    </row>
    <row r="46" spans="2:13" x14ac:dyDescent="0.45">
      <c r="B46" s="9" t="s">
        <v>27</v>
      </c>
      <c r="C46" s="14" t="s">
        <v>46</v>
      </c>
      <c r="D46" s="9" t="s">
        <v>38</v>
      </c>
      <c r="E46" s="11"/>
      <c r="F46" s="11"/>
      <c r="G46" s="11"/>
      <c r="H46" s="11"/>
      <c r="I46" s="11"/>
      <c r="J46" s="11"/>
      <c r="K46" s="11"/>
      <c r="L46" s="11"/>
    </row>
    <row r="47" spans="2:13" x14ac:dyDescent="0.45">
      <c r="B47" s="9" t="s">
        <v>28</v>
      </c>
      <c r="C47" s="14" t="s">
        <v>46</v>
      </c>
      <c r="D47" s="9" t="s">
        <v>39</v>
      </c>
      <c r="E47" s="11"/>
      <c r="F47" s="11"/>
      <c r="G47" s="11"/>
      <c r="H47" s="11"/>
      <c r="I47" s="11"/>
      <c r="J47" s="11"/>
      <c r="K47" s="11"/>
      <c r="L47" s="11"/>
    </row>
    <row r="48" spans="2:13" x14ac:dyDescent="0.45">
      <c r="B48" s="9" t="s">
        <v>29</v>
      </c>
      <c r="C48" s="14" t="s">
        <v>46</v>
      </c>
      <c r="D48" s="9" t="s">
        <v>40</v>
      </c>
      <c r="E48" s="11"/>
      <c r="F48" s="11"/>
      <c r="G48" s="11"/>
      <c r="H48" s="11"/>
      <c r="I48" s="11"/>
      <c r="J48" s="11"/>
      <c r="K48" s="11"/>
      <c r="L48" s="11"/>
    </row>
    <row r="49" spans="2:12" x14ac:dyDescent="0.45">
      <c r="B49" s="9" t="s">
        <v>35</v>
      </c>
      <c r="C49" s="14"/>
      <c r="D49" s="9" t="s">
        <v>35</v>
      </c>
      <c r="E49" s="11"/>
      <c r="F49" s="11"/>
      <c r="G49" s="11"/>
      <c r="H49" s="11"/>
      <c r="I49" s="11"/>
      <c r="J49" s="11"/>
      <c r="K49" s="11"/>
      <c r="L49" s="11"/>
    </row>
    <row r="50" spans="2:12" x14ac:dyDescent="0.45">
      <c r="B50" s="9" t="s">
        <v>34</v>
      </c>
      <c r="C50" s="14" t="s">
        <v>46</v>
      </c>
      <c r="D50" s="9" t="s">
        <v>41</v>
      </c>
      <c r="E50" s="11"/>
      <c r="F50" s="11"/>
      <c r="G50" s="11"/>
      <c r="H50" s="11"/>
      <c r="I50" s="11"/>
      <c r="J50" s="11"/>
      <c r="K50" s="11"/>
      <c r="L50" s="11"/>
    </row>
    <row r="51" spans="2:12" x14ac:dyDescent="0.45">
      <c r="B51" s="9" t="s">
        <v>33</v>
      </c>
      <c r="C51" s="14" t="s">
        <v>46</v>
      </c>
      <c r="D51" s="9" t="s">
        <v>42</v>
      </c>
      <c r="E51" s="11"/>
      <c r="F51" s="11"/>
      <c r="G51" s="11"/>
      <c r="H51" s="11"/>
      <c r="I51" s="11"/>
      <c r="J51" s="11"/>
      <c r="K51" s="11"/>
      <c r="L51" s="11"/>
    </row>
    <row r="52" spans="2:12" x14ac:dyDescent="0.45">
      <c r="B52" s="9" t="s">
        <v>32</v>
      </c>
      <c r="C52" s="14" t="s">
        <v>46</v>
      </c>
      <c r="D52" s="9" t="s">
        <v>43</v>
      </c>
      <c r="E52" s="11"/>
      <c r="F52" s="11"/>
      <c r="G52" s="11"/>
      <c r="H52" s="11"/>
      <c r="I52" s="11"/>
      <c r="J52" s="11"/>
      <c r="K52" s="11"/>
      <c r="L52" s="11"/>
    </row>
    <row r="53" spans="2:12" x14ac:dyDescent="0.45">
      <c r="B53" s="9" t="s">
        <v>31</v>
      </c>
      <c r="C53" s="14" t="s">
        <v>46</v>
      </c>
      <c r="D53" s="9" t="s">
        <v>44</v>
      </c>
      <c r="E53" s="11"/>
      <c r="F53" s="11"/>
      <c r="G53" s="11"/>
      <c r="H53" s="11"/>
      <c r="I53" s="11"/>
      <c r="J53" s="11"/>
      <c r="K53" s="11"/>
      <c r="L53" s="11"/>
    </row>
    <row r="54" spans="2:12" x14ac:dyDescent="0.45">
      <c r="B54" s="9" t="s">
        <v>30</v>
      </c>
      <c r="C54" s="14" t="s">
        <v>46</v>
      </c>
      <c r="D54" s="9" t="s">
        <v>45</v>
      </c>
      <c r="E54" s="11"/>
      <c r="F54" s="11"/>
      <c r="G54" s="11"/>
      <c r="H54" s="11"/>
      <c r="I54" s="11"/>
      <c r="J54" s="11"/>
      <c r="K54" s="11"/>
      <c r="L54" s="11"/>
    </row>
    <row r="57" spans="2:12" x14ac:dyDescent="0.45">
      <c r="B57" s="5" t="s">
        <v>230</v>
      </c>
    </row>
    <row r="58" spans="2:12" x14ac:dyDescent="0.45">
      <c r="B58" s="6" t="s">
        <v>231</v>
      </c>
    </row>
    <row r="90" spans="2:2" x14ac:dyDescent="0.45">
      <c r="B90" s="6" t="s">
        <v>232</v>
      </c>
    </row>
    <row r="122" spans="2:2" x14ac:dyDescent="0.45">
      <c r="B122" s="6" t="s">
        <v>233</v>
      </c>
    </row>
  </sheetData>
  <mergeCells count="21">
    <mergeCell ref="B3:G3"/>
    <mergeCell ref="E9:J9"/>
    <mergeCell ref="E11:J11"/>
    <mergeCell ref="E13:J13"/>
    <mergeCell ref="C29:H29"/>
    <mergeCell ref="F17:J17"/>
    <mergeCell ref="F24:J24"/>
    <mergeCell ref="F23:J23"/>
    <mergeCell ref="F22:J22"/>
    <mergeCell ref="F21:J21"/>
    <mergeCell ref="F19:J19"/>
    <mergeCell ref="F18:J18"/>
    <mergeCell ref="F20:J20"/>
    <mergeCell ref="F25:J25"/>
    <mergeCell ref="E7:J7"/>
    <mergeCell ref="F43:M43"/>
    <mergeCell ref="E8:J8"/>
    <mergeCell ref="E10:J10"/>
    <mergeCell ref="E12:J12"/>
    <mergeCell ref="C31:C39"/>
    <mergeCell ref="H31:H39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/>
  </sheetViews>
  <sheetFormatPr defaultColWidth="9" defaultRowHeight="16" x14ac:dyDescent="0.45"/>
  <cols>
    <col min="1" max="1" width="2.58203125" style="11" customWidth="1"/>
    <col min="2" max="4" width="9" style="11"/>
    <col min="5" max="5" width="9" style="11" customWidth="1"/>
    <col min="6" max="16384" width="9" style="11"/>
  </cols>
  <sheetData>
    <row r="2" spans="2:12" ht="16.5" customHeight="1" x14ac:dyDescent="0.45">
      <c r="B2" s="112" t="s">
        <v>131</v>
      </c>
      <c r="D2" s="104" t="s">
        <v>110</v>
      </c>
      <c r="E2" s="104" t="s">
        <v>98</v>
      </c>
      <c r="F2" s="104"/>
      <c r="G2" s="104"/>
      <c r="H2" s="104"/>
      <c r="I2" s="104" t="s">
        <v>97</v>
      </c>
      <c r="J2" s="104"/>
      <c r="K2" s="104"/>
      <c r="L2" s="104"/>
    </row>
    <row r="3" spans="2:12" x14ac:dyDescent="0.45">
      <c r="B3" s="113"/>
      <c r="D3" s="104"/>
      <c r="E3" s="7" t="s">
        <v>138</v>
      </c>
      <c r="F3" s="7" t="s">
        <v>139</v>
      </c>
      <c r="G3" s="7" t="s">
        <v>140</v>
      </c>
      <c r="H3" s="7" t="s">
        <v>141</v>
      </c>
      <c r="I3" s="7" t="s">
        <v>138</v>
      </c>
      <c r="J3" s="7" t="s">
        <v>139</v>
      </c>
      <c r="K3" s="7" t="s">
        <v>140</v>
      </c>
      <c r="L3" s="30" t="s">
        <v>141</v>
      </c>
    </row>
    <row r="4" spans="2:12" x14ac:dyDescent="0.45">
      <c r="B4" s="25" t="s">
        <v>130</v>
      </c>
      <c r="C4" s="29" t="s">
        <v>46</v>
      </c>
      <c r="D4" s="25" t="s">
        <v>36</v>
      </c>
      <c r="E4" s="26">
        <v>1</v>
      </c>
      <c r="F4" s="27">
        <f t="shared" ref="F4:L13" si="0">E4+20</f>
        <v>21</v>
      </c>
      <c r="G4" s="27">
        <f t="shared" si="0"/>
        <v>41</v>
      </c>
      <c r="H4" s="27">
        <f t="shared" si="0"/>
        <v>61</v>
      </c>
      <c r="I4" s="27">
        <f t="shared" si="0"/>
        <v>81</v>
      </c>
      <c r="J4" s="27">
        <f t="shared" si="0"/>
        <v>101</v>
      </c>
      <c r="K4" s="27">
        <f t="shared" ref="K4:K23" si="1">J4+20</f>
        <v>121</v>
      </c>
      <c r="L4" s="28">
        <f t="shared" si="0"/>
        <v>141</v>
      </c>
    </row>
    <row r="5" spans="2:12" x14ac:dyDescent="0.45">
      <c r="B5" s="25" t="s">
        <v>129</v>
      </c>
      <c r="C5" s="29" t="s">
        <v>46</v>
      </c>
      <c r="D5" s="25" t="s">
        <v>37</v>
      </c>
      <c r="E5" s="26">
        <v>2</v>
      </c>
      <c r="F5" s="27">
        <f t="shared" si="0"/>
        <v>22</v>
      </c>
      <c r="G5" s="27">
        <f t="shared" si="0"/>
        <v>42</v>
      </c>
      <c r="H5" s="27">
        <f t="shared" si="0"/>
        <v>62</v>
      </c>
      <c r="I5" s="27">
        <f t="shared" si="0"/>
        <v>82</v>
      </c>
      <c r="J5" s="27">
        <f t="shared" si="0"/>
        <v>102</v>
      </c>
      <c r="K5" s="27">
        <f t="shared" si="1"/>
        <v>122</v>
      </c>
      <c r="L5" s="28">
        <f t="shared" si="0"/>
        <v>142</v>
      </c>
    </row>
    <row r="6" spans="2:12" x14ac:dyDescent="0.45">
      <c r="B6" s="25" t="s">
        <v>128</v>
      </c>
      <c r="C6" s="29" t="s">
        <v>46</v>
      </c>
      <c r="D6" s="25" t="s">
        <v>38</v>
      </c>
      <c r="E6" s="26">
        <v>3</v>
      </c>
      <c r="F6" s="27">
        <f t="shared" si="0"/>
        <v>23</v>
      </c>
      <c r="G6" s="27">
        <f t="shared" si="0"/>
        <v>43</v>
      </c>
      <c r="H6" s="27">
        <f t="shared" si="0"/>
        <v>63</v>
      </c>
      <c r="I6" s="27">
        <f t="shared" si="0"/>
        <v>83</v>
      </c>
      <c r="J6" s="27">
        <f t="shared" si="0"/>
        <v>103</v>
      </c>
      <c r="K6" s="27">
        <f t="shared" si="1"/>
        <v>123</v>
      </c>
      <c r="L6" s="28">
        <f t="shared" si="0"/>
        <v>143</v>
      </c>
    </row>
    <row r="7" spans="2:12" x14ac:dyDescent="0.45">
      <c r="B7" s="25" t="s">
        <v>127</v>
      </c>
      <c r="C7" s="29" t="s">
        <v>46</v>
      </c>
      <c r="D7" s="25" t="s">
        <v>39</v>
      </c>
      <c r="E7" s="26">
        <v>4</v>
      </c>
      <c r="F7" s="27">
        <f t="shared" si="0"/>
        <v>24</v>
      </c>
      <c r="G7" s="27">
        <f t="shared" si="0"/>
        <v>44</v>
      </c>
      <c r="H7" s="27">
        <f t="shared" si="0"/>
        <v>64</v>
      </c>
      <c r="I7" s="27">
        <f t="shared" si="0"/>
        <v>84</v>
      </c>
      <c r="J7" s="27">
        <f t="shared" si="0"/>
        <v>104</v>
      </c>
      <c r="K7" s="27">
        <f t="shared" si="1"/>
        <v>124</v>
      </c>
      <c r="L7" s="28">
        <f t="shared" si="0"/>
        <v>144</v>
      </c>
    </row>
    <row r="8" spans="2:12" x14ac:dyDescent="0.45">
      <c r="B8" s="25" t="s">
        <v>126</v>
      </c>
      <c r="C8" s="29" t="s">
        <v>46</v>
      </c>
      <c r="D8" s="25" t="s">
        <v>40</v>
      </c>
      <c r="E8" s="26">
        <v>5</v>
      </c>
      <c r="F8" s="27">
        <f t="shared" si="0"/>
        <v>25</v>
      </c>
      <c r="G8" s="27">
        <f t="shared" si="0"/>
        <v>45</v>
      </c>
      <c r="H8" s="27">
        <f t="shared" si="0"/>
        <v>65</v>
      </c>
      <c r="I8" s="27">
        <f t="shared" si="0"/>
        <v>85</v>
      </c>
      <c r="J8" s="27">
        <f t="shared" si="0"/>
        <v>105</v>
      </c>
      <c r="K8" s="27">
        <f t="shared" si="1"/>
        <v>125</v>
      </c>
      <c r="L8" s="28">
        <f t="shared" si="0"/>
        <v>145</v>
      </c>
    </row>
    <row r="9" spans="2:12" x14ac:dyDescent="0.45">
      <c r="B9" s="25" t="s">
        <v>125</v>
      </c>
      <c r="C9" s="29" t="s">
        <v>46</v>
      </c>
      <c r="D9" s="25" t="s">
        <v>109</v>
      </c>
      <c r="E9" s="26">
        <v>6</v>
      </c>
      <c r="F9" s="27">
        <f t="shared" si="0"/>
        <v>26</v>
      </c>
      <c r="G9" s="27">
        <f t="shared" si="0"/>
        <v>46</v>
      </c>
      <c r="H9" s="27">
        <f t="shared" si="0"/>
        <v>66</v>
      </c>
      <c r="I9" s="27">
        <f t="shared" si="0"/>
        <v>86</v>
      </c>
      <c r="J9" s="27">
        <f t="shared" si="0"/>
        <v>106</v>
      </c>
      <c r="K9" s="27">
        <f t="shared" si="1"/>
        <v>126</v>
      </c>
      <c r="L9" s="28">
        <f t="shared" si="0"/>
        <v>146</v>
      </c>
    </row>
    <row r="10" spans="2:12" x14ac:dyDescent="0.45">
      <c r="B10" s="25" t="s">
        <v>124</v>
      </c>
      <c r="C10" s="29" t="s">
        <v>46</v>
      </c>
      <c r="D10" s="25" t="s">
        <v>108</v>
      </c>
      <c r="E10" s="26">
        <v>7</v>
      </c>
      <c r="F10" s="27">
        <f t="shared" si="0"/>
        <v>27</v>
      </c>
      <c r="G10" s="27">
        <f t="shared" si="0"/>
        <v>47</v>
      </c>
      <c r="H10" s="27">
        <f t="shared" si="0"/>
        <v>67</v>
      </c>
      <c r="I10" s="27">
        <f t="shared" si="0"/>
        <v>87</v>
      </c>
      <c r="J10" s="27">
        <f t="shared" si="0"/>
        <v>107</v>
      </c>
      <c r="K10" s="27">
        <f t="shared" si="1"/>
        <v>127</v>
      </c>
      <c r="L10" s="28">
        <f t="shared" si="0"/>
        <v>147</v>
      </c>
    </row>
    <row r="11" spans="2:12" x14ac:dyDescent="0.45">
      <c r="B11" s="25" t="s">
        <v>123</v>
      </c>
      <c r="C11" s="29" t="s">
        <v>46</v>
      </c>
      <c r="D11" s="25" t="s">
        <v>107</v>
      </c>
      <c r="E11" s="26">
        <v>8</v>
      </c>
      <c r="F11" s="27">
        <f t="shared" si="0"/>
        <v>28</v>
      </c>
      <c r="G11" s="27">
        <f t="shared" si="0"/>
        <v>48</v>
      </c>
      <c r="H11" s="27">
        <f t="shared" si="0"/>
        <v>68</v>
      </c>
      <c r="I11" s="27">
        <f t="shared" si="0"/>
        <v>88</v>
      </c>
      <c r="J11" s="27">
        <f t="shared" si="0"/>
        <v>108</v>
      </c>
      <c r="K11" s="27">
        <f t="shared" si="1"/>
        <v>128</v>
      </c>
      <c r="L11" s="28">
        <f t="shared" si="0"/>
        <v>148</v>
      </c>
    </row>
    <row r="12" spans="2:12" x14ac:dyDescent="0.45">
      <c r="B12" s="25" t="s">
        <v>122</v>
      </c>
      <c r="C12" s="29" t="s">
        <v>46</v>
      </c>
      <c r="D12" s="25" t="s">
        <v>106</v>
      </c>
      <c r="E12" s="26">
        <v>9</v>
      </c>
      <c r="F12" s="27">
        <f t="shared" si="0"/>
        <v>29</v>
      </c>
      <c r="G12" s="27">
        <f t="shared" si="0"/>
        <v>49</v>
      </c>
      <c r="H12" s="27">
        <f t="shared" si="0"/>
        <v>69</v>
      </c>
      <c r="I12" s="27">
        <f t="shared" si="0"/>
        <v>89</v>
      </c>
      <c r="J12" s="27">
        <f t="shared" si="0"/>
        <v>109</v>
      </c>
      <c r="K12" s="27">
        <f t="shared" si="1"/>
        <v>129</v>
      </c>
      <c r="L12" s="28">
        <f t="shared" si="0"/>
        <v>149</v>
      </c>
    </row>
    <row r="13" spans="2:12" x14ac:dyDescent="0.45">
      <c r="B13" s="25" t="s">
        <v>121</v>
      </c>
      <c r="C13" s="29" t="s">
        <v>46</v>
      </c>
      <c r="D13" s="25" t="s">
        <v>105</v>
      </c>
      <c r="E13" s="26">
        <v>10</v>
      </c>
      <c r="F13" s="27">
        <f t="shared" si="0"/>
        <v>30</v>
      </c>
      <c r="G13" s="27">
        <f t="shared" si="0"/>
        <v>50</v>
      </c>
      <c r="H13" s="27">
        <f t="shared" si="0"/>
        <v>70</v>
      </c>
      <c r="I13" s="27">
        <f t="shared" si="0"/>
        <v>90</v>
      </c>
      <c r="J13" s="27">
        <f t="shared" si="0"/>
        <v>110</v>
      </c>
      <c r="K13" s="27">
        <f t="shared" si="1"/>
        <v>130</v>
      </c>
      <c r="L13" s="28">
        <f t="shared" si="0"/>
        <v>150</v>
      </c>
    </row>
    <row r="14" spans="2:12" x14ac:dyDescent="0.45">
      <c r="B14" s="25" t="s">
        <v>120</v>
      </c>
      <c r="C14" s="29" t="s">
        <v>46</v>
      </c>
      <c r="D14" s="25" t="s">
        <v>104</v>
      </c>
      <c r="E14" s="26">
        <v>11</v>
      </c>
      <c r="F14" s="27">
        <f t="shared" ref="F14:L23" si="2">E14+20</f>
        <v>31</v>
      </c>
      <c r="G14" s="27">
        <f t="shared" si="2"/>
        <v>51</v>
      </c>
      <c r="H14" s="27">
        <f t="shared" si="2"/>
        <v>71</v>
      </c>
      <c r="I14" s="27">
        <f t="shared" si="2"/>
        <v>91</v>
      </c>
      <c r="J14" s="27">
        <f t="shared" si="2"/>
        <v>111</v>
      </c>
      <c r="K14" s="27">
        <f t="shared" si="1"/>
        <v>131</v>
      </c>
      <c r="L14" s="28">
        <f t="shared" si="2"/>
        <v>151</v>
      </c>
    </row>
    <row r="15" spans="2:12" x14ac:dyDescent="0.45">
      <c r="B15" s="25" t="s">
        <v>119</v>
      </c>
      <c r="C15" s="29" t="s">
        <v>46</v>
      </c>
      <c r="D15" s="25" t="s">
        <v>103</v>
      </c>
      <c r="E15" s="26">
        <v>12</v>
      </c>
      <c r="F15" s="27">
        <f t="shared" si="2"/>
        <v>32</v>
      </c>
      <c r="G15" s="27">
        <f t="shared" si="2"/>
        <v>52</v>
      </c>
      <c r="H15" s="27">
        <f t="shared" si="2"/>
        <v>72</v>
      </c>
      <c r="I15" s="27">
        <f t="shared" si="2"/>
        <v>92</v>
      </c>
      <c r="J15" s="27">
        <f t="shared" si="2"/>
        <v>112</v>
      </c>
      <c r="K15" s="27">
        <f t="shared" si="1"/>
        <v>132</v>
      </c>
      <c r="L15" s="28">
        <f t="shared" si="2"/>
        <v>152</v>
      </c>
    </row>
    <row r="16" spans="2:12" x14ac:dyDescent="0.45">
      <c r="B16" s="25" t="s">
        <v>118</v>
      </c>
      <c r="C16" s="29" t="s">
        <v>46</v>
      </c>
      <c r="D16" s="25" t="s">
        <v>102</v>
      </c>
      <c r="E16" s="26">
        <v>13</v>
      </c>
      <c r="F16" s="27">
        <f t="shared" si="2"/>
        <v>33</v>
      </c>
      <c r="G16" s="27">
        <f t="shared" si="2"/>
        <v>53</v>
      </c>
      <c r="H16" s="27">
        <f t="shared" si="2"/>
        <v>73</v>
      </c>
      <c r="I16" s="27">
        <f t="shared" si="2"/>
        <v>93</v>
      </c>
      <c r="J16" s="27">
        <f t="shared" si="2"/>
        <v>113</v>
      </c>
      <c r="K16" s="27">
        <f t="shared" si="1"/>
        <v>133</v>
      </c>
      <c r="L16" s="28">
        <f t="shared" si="2"/>
        <v>153</v>
      </c>
    </row>
    <row r="17" spans="2:12" x14ac:dyDescent="0.45">
      <c r="B17" s="25" t="s">
        <v>117</v>
      </c>
      <c r="C17" s="29" t="s">
        <v>46</v>
      </c>
      <c r="D17" s="25" t="s">
        <v>101</v>
      </c>
      <c r="E17" s="26">
        <v>14</v>
      </c>
      <c r="F17" s="27">
        <f t="shared" si="2"/>
        <v>34</v>
      </c>
      <c r="G17" s="27">
        <f t="shared" si="2"/>
        <v>54</v>
      </c>
      <c r="H17" s="27">
        <f t="shared" si="2"/>
        <v>74</v>
      </c>
      <c r="I17" s="27">
        <f t="shared" si="2"/>
        <v>94</v>
      </c>
      <c r="J17" s="27">
        <f t="shared" si="2"/>
        <v>114</v>
      </c>
      <c r="K17" s="27">
        <f t="shared" si="1"/>
        <v>134</v>
      </c>
      <c r="L17" s="28">
        <f t="shared" si="2"/>
        <v>154</v>
      </c>
    </row>
    <row r="18" spans="2:12" x14ac:dyDescent="0.45">
      <c r="B18" s="25" t="s">
        <v>116</v>
      </c>
      <c r="C18" s="29" t="s">
        <v>46</v>
      </c>
      <c r="D18" s="25" t="s">
        <v>100</v>
      </c>
      <c r="E18" s="26">
        <v>15</v>
      </c>
      <c r="F18" s="27">
        <f t="shared" si="2"/>
        <v>35</v>
      </c>
      <c r="G18" s="27">
        <f t="shared" si="2"/>
        <v>55</v>
      </c>
      <c r="H18" s="27">
        <f t="shared" si="2"/>
        <v>75</v>
      </c>
      <c r="I18" s="27">
        <f t="shared" si="2"/>
        <v>95</v>
      </c>
      <c r="J18" s="27">
        <f t="shared" si="2"/>
        <v>115</v>
      </c>
      <c r="K18" s="27">
        <f t="shared" si="1"/>
        <v>135</v>
      </c>
      <c r="L18" s="28">
        <f t="shared" si="2"/>
        <v>155</v>
      </c>
    </row>
    <row r="19" spans="2:12" x14ac:dyDescent="0.45">
      <c r="B19" s="25" t="s">
        <v>115</v>
      </c>
      <c r="C19" s="29" t="s">
        <v>46</v>
      </c>
      <c r="D19" s="25" t="s">
        <v>99</v>
      </c>
      <c r="E19" s="26">
        <v>16</v>
      </c>
      <c r="F19" s="27">
        <f t="shared" si="2"/>
        <v>36</v>
      </c>
      <c r="G19" s="27">
        <f t="shared" si="2"/>
        <v>56</v>
      </c>
      <c r="H19" s="27">
        <f t="shared" si="2"/>
        <v>76</v>
      </c>
      <c r="I19" s="27">
        <f t="shared" si="2"/>
        <v>96</v>
      </c>
      <c r="J19" s="27">
        <f t="shared" si="2"/>
        <v>116</v>
      </c>
      <c r="K19" s="27">
        <f t="shared" si="1"/>
        <v>136</v>
      </c>
      <c r="L19" s="28">
        <f t="shared" si="2"/>
        <v>156</v>
      </c>
    </row>
    <row r="20" spans="2:12" x14ac:dyDescent="0.45">
      <c r="B20" s="25" t="s">
        <v>114</v>
      </c>
      <c r="C20" s="29" t="s">
        <v>46</v>
      </c>
      <c r="D20" s="25" t="s">
        <v>42</v>
      </c>
      <c r="E20" s="26">
        <v>17</v>
      </c>
      <c r="F20" s="27">
        <f t="shared" si="2"/>
        <v>37</v>
      </c>
      <c r="G20" s="27">
        <f t="shared" si="2"/>
        <v>57</v>
      </c>
      <c r="H20" s="27">
        <f t="shared" si="2"/>
        <v>77</v>
      </c>
      <c r="I20" s="27">
        <f t="shared" si="2"/>
        <v>97</v>
      </c>
      <c r="J20" s="27">
        <f t="shared" si="2"/>
        <v>117</v>
      </c>
      <c r="K20" s="27">
        <f t="shared" si="1"/>
        <v>137</v>
      </c>
      <c r="L20" s="28">
        <f t="shared" si="2"/>
        <v>157</v>
      </c>
    </row>
    <row r="21" spans="2:12" x14ac:dyDescent="0.45">
      <c r="B21" s="25" t="s">
        <v>113</v>
      </c>
      <c r="C21" s="29" t="s">
        <v>46</v>
      </c>
      <c r="D21" s="25" t="s">
        <v>43</v>
      </c>
      <c r="E21" s="26">
        <v>18</v>
      </c>
      <c r="F21" s="27">
        <f t="shared" si="2"/>
        <v>38</v>
      </c>
      <c r="G21" s="27">
        <f t="shared" si="2"/>
        <v>58</v>
      </c>
      <c r="H21" s="27">
        <f t="shared" si="2"/>
        <v>78</v>
      </c>
      <c r="I21" s="27">
        <f t="shared" si="2"/>
        <v>98</v>
      </c>
      <c r="J21" s="27">
        <f t="shared" si="2"/>
        <v>118</v>
      </c>
      <c r="K21" s="27">
        <f t="shared" si="1"/>
        <v>138</v>
      </c>
      <c r="L21" s="28">
        <f t="shared" si="2"/>
        <v>158</v>
      </c>
    </row>
    <row r="22" spans="2:12" x14ac:dyDescent="0.45">
      <c r="B22" s="25" t="s">
        <v>112</v>
      </c>
      <c r="C22" s="29" t="s">
        <v>46</v>
      </c>
      <c r="D22" s="25" t="s">
        <v>44</v>
      </c>
      <c r="E22" s="26">
        <v>19</v>
      </c>
      <c r="F22" s="27">
        <f t="shared" si="2"/>
        <v>39</v>
      </c>
      <c r="G22" s="27">
        <f t="shared" si="2"/>
        <v>59</v>
      </c>
      <c r="H22" s="27">
        <f t="shared" si="2"/>
        <v>79</v>
      </c>
      <c r="I22" s="27">
        <f t="shared" si="2"/>
        <v>99</v>
      </c>
      <c r="J22" s="27">
        <f t="shared" si="2"/>
        <v>119</v>
      </c>
      <c r="K22" s="27">
        <f t="shared" si="1"/>
        <v>139</v>
      </c>
      <c r="L22" s="28">
        <f t="shared" si="2"/>
        <v>159</v>
      </c>
    </row>
    <row r="23" spans="2:12" x14ac:dyDescent="0.45">
      <c r="B23" s="25" t="s">
        <v>111</v>
      </c>
      <c r="C23" s="29" t="s">
        <v>46</v>
      </c>
      <c r="D23" s="25" t="s">
        <v>45</v>
      </c>
      <c r="E23" s="26">
        <v>20</v>
      </c>
      <c r="F23" s="27">
        <f t="shared" si="2"/>
        <v>40</v>
      </c>
      <c r="G23" s="27">
        <f t="shared" si="2"/>
        <v>60</v>
      </c>
      <c r="H23" s="27">
        <f t="shared" si="2"/>
        <v>80</v>
      </c>
      <c r="I23" s="27">
        <f t="shared" si="2"/>
        <v>100</v>
      </c>
      <c r="J23" s="27">
        <f t="shared" si="2"/>
        <v>120</v>
      </c>
      <c r="K23" s="27">
        <f t="shared" si="1"/>
        <v>140</v>
      </c>
      <c r="L23" s="28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11"/>
  <sheetViews>
    <sheetView zoomScale="85" zoomScaleNormal="85" workbookViewId="0"/>
  </sheetViews>
  <sheetFormatPr defaultColWidth="9" defaultRowHeight="17" x14ac:dyDescent="0.45"/>
  <cols>
    <col min="1" max="1" width="2.58203125" style="31" customWidth="1"/>
    <col min="2" max="2" width="8.33203125" style="31" bestFit="1" customWidth="1"/>
    <col min="3" max="3" width="21.33203125" style="31" bestFit="1" customWidth="1"/>
    <col min="4" max="4" width="24.75" style="31" bestFit="1" customWidth="1"/>
    <col min="5" max="5" width="41.83203125" style="31" bestFit="1" customWidth="1"/>
    <col min="6" max="6" width="27.33203125" style="31" bestFit="1" customWidth="1"/>
    <col min="7" max="7" width="24.75" style="31" bestFit="1" customWidth="1"/>
    <col min="8" max="8" width="23.08203125" style="31" bestFit="1" customWidth="1"/>
    <col min="9" max="9" width="15.58203125" style="31" bestFit="1" customWidth="1"/>
    <col min="10" max="10" width="13.83203125" style="31" bestFit="1" customWidth="1"/>
    <col min="11" max="11" width="22.75" style="31" bestFit="1" customWidth="1"/>
    <col min="12" max="12" width="9.25" style="31" bestFit="1" customWidth="1"/>
    <col min="13" max="13" width="9" style="31"/>
    <col min="14" max="14" width="9.25" style="31" bestFit="1" customWidth="1"/>
    <col min="15" max="16384" width="9" style="31"/>
  </cols>
  <sheetData>
    <row r="1" spans="2:12" ht="17.5" thickBot="1" x14ac:dyDescent="0.5"/>
    <row r="2" spans="2:12" ht="17.5" thickBot="1" x14ac:dyDescent="0.5">
      <c r="B2" s="41" t="s">
        <v>178</v>
      </c>
      <c r="C2" s="42" t="s">
        <v>153</v>
      </c>
      <c r="D2" s="35" t="s">
        <v>164</v>
      </c>
      <c r="E2" s="36" t="s">
        <v>165</v>
      </c>
      <c r="F2" s="38" t="s">
        <v>166</v>
      </c>
      <c r="G2" s="46" t="s">
        <v>154</v>
      </c>
      <c r="H2" s="37" t="s">
        <v>155</v>
      </c>
      <c r="I2" s="37" t="s">
        <v>156</v>
      </c>
      <c r="J2" s="37" t="s">
        <v>157</v>
      </c>
      <c r="K2" s="53" t="s">
        <v>158</v>
      </c>
      <c r="L2" s="41" t="s">
        <v>160</v>
      </c>
    </row>
    <row r="3" spans="2:12" x14ac:dyDescent="0.45">
      <c r="B3" s="60">
        <v>1</v>
      </c>
      <c r="C3" s="43" t="s">
        <v>180</v>
      </c>
      <c r="D3" s="47"/>
      <c r="E3" s="34"/>
      <c r="F3" s="48"/>
      <c r="G3" s="39" t="s">
        <v>175</v>
      </c>
      <c r="H3" s="34" t="s">
        <v>176</v>
      </c>
      <c r="I3" s="34"/>
      <c r="J3" s="34"/>
      <c r="K3" s="54"/>
      <c r="L3" s="57" t="s">
        <v>193</v>
      </c>
    </row>
    <row r="4" spans="2:12" x14ac:dyDescent="0.45">
      <c r="B4" s="61">
        <v>2</v>
      </c>
      <c r="C4" s="44" t="s">
        <v>170</v>
      </c>
      <c r="D4" s="49" t="s">
        <v>177</v>
      </c>
      <c r="E4" s="32" t="s">
        <v>172</v>
      </c>
      <c r="F4" s="50" t="s">
        <v>237</v>
      </c>
      <c r="G4" s="40" t="s">
        <v>187</v>
      </c>
      <c r="H4" s="32" t="s">
        <v>189</v>
      </c>
      <c r="I4" s="32" t="s">
        <v>191</v>
      </c>
      <c r="J4" s="32" t="s">
        <v>170</v>
      </c>
      <c r="K4" s="55"/>
      <c r="L4" s="58" t="s">
        <v>163</v>
      </c>
    </row>
    <row r="5" spans="2:12" x14ac:dyDescent="0.45">
      <c r="B5" s="61">
        <v>3</v>
      </c>
      <c r="C5" s="44" t="s">
        <v>171</v>
      </c>
      <c r="D5" s="49" t="s">
        <v>177</v>
      </c>
      <c r="E5" s="32" t="s">
        <v>173</v>
      </c>
      <c r="F5" s="50" t="s">
        <v>167</v>
      </c>
      <c r="G5" s="40" t="s">
        <v>188</v>
      </c>
      <c r="H5" s="32" t="s">
        <v>190</v>
      </c>
      <c r="I5" s="32" t="s">
        <v>192</v>
      </c>
      <c r="J5" s="32" t="s">
        <v>171</v>
      </c>
      <c r="K5" s="55"/>
      <c r="L5" s="58" t="s">
        <v>163</v>
      </c>
    </row>
    <row r="6" spans="2:12" x14ac:dyDescent="0.45">
      <c r="B6" s="61">
        <v>4</v>
      </c>
      <c r="C6" s="44" t="s">
        <v>181</v>
      </c>
      <c r="D6" s="49" t="s">
        <v>168</v>
      </c>
      <c r="E6" s="32" t="s">
        <v>159</v>
      </c>
      <c r="F6" s="50"/>
      <c r="G6" s="128" t="s">
        <v>240</v>
      </c>
      <c r="H6" s="32" t="s">
        <v>169</v>
      </c>
      <c r="I6" s="32"/>
      <c r="J6" s="32"/>
      <c r="K6" s="55"/>
      <c r="L6" s="58" t="s">
        <v>163</v>
      </c>
    </row>
    <row r="7" spans="2:12" x14ac:dyDescent="0.45">
      <c r="B7" s="61">
        <v>5</v>
      </c>
      <c r="C7" s="44" t="s">
        <v>179</v>
      </c>
      <c r="D7" s="49" t="s">
        <v>168</v>
      </c>
      <c r="E7" s="32"/>
      <c r="F7" s="50"/>
      <c r="G7" s="40" t="s">
        <v>183</v>
      </c>
      <c r="H7" s="32" t="s">
        <v>184</v>
      </c>
      <c r="I7" s="32" t="s">
        <v>185</v>
      </c>
      <c r="J7" s="32" t="s">
        <v>186</v>
      </c>
      <c r="K7" s="55" t="s">
        <v>234</v>
      </c>
      <c r="L7" s="58" t="s">
        <v>162</v>
      </c>
    </row>
    <row r="8" spans="2:12" ht="17.5" thickBot="1" x14ac:dyDescent="0.5">
      <c r="B8" s="62">
        <v>6</v>
      </c>
      <c r="C8" s="45" t="s">
        <v>182</v>
      </c>
      <c r="D8" s="51" t="s">
        <v>168</v>
      </c>
      <c r="E8" s="33" t="s">
        <v>174</v>
      </c>
      <c r="F8" s="52" t="s">
        <v>194</v>
      </c>
      <c r="G8" s="103" t="s">
        <v>236</v>
      </c>
      <c r="H8" s="33" t="s">
        <v>161</v>
      </c>
      <c r="I8" s="33"/>
      <c r="J8" s="33"/>
      <c r="K8" s="56"/>
      <c r="L8" s="59" t="s">
        <v>162</v>
      </c>
    </row>
    <row r="10" spans="2:12" x14ac:dyDescent="0.45">
      <c r="B10" s="31" t="s">
        <v>238</v>
      </c>
    </row>
    <row r="11" spans="2:12" x14ac:dyDescent="0.45">
      <c r="B11" s="31" t="s">
        <v>239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zoomScale="85" zoomScaleNormal="85" workbookViewId="0"/>
  </sheetViews>
  <sheetFormatPr defaultRowHeight="17" x14ac:dyDescent="0.45"/>
  <cols>
    <col min="1" max="1" width="2.58203125" customWidth="1"/>
  </cols>
  <sheetData>
    <row r="2" spans="2:23" x14ac:dyDescent="0.45">
      <c r="B2" t="s">
        <v>195</v>
      </c>
      <c r="H2" t="s">
        <v>196</v>
      </c>
      <c r="W2" t="s">
        <v>197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2:N34"/>
  <sheetViews>
    <sheetView zoomScale="85" zoomScaleNormal="85" workbookViewId="0"/>
  </sheetViews>
  <sheetFormatPr defaultColWidth="9" defaultRowHeight="16" x14ac:dyDescent="0.45"/>
  <cols>
    <col min="1" max="1" width="2.58203125" style="11" customWidth="1"/>
    <col min="2" max="2" width="8.75" style="11" bestFit="1" customWidth="1"/>
    <col min="3" max="3" width="13.58203125" style="11" bestFit="1" customWidth="1"/>
    <col min="4" max="4" width="4.83203125" style="11" bestFit="1" customWidth="1"/>
    <col min="5" max="5" width="28.83203125" style="11" customWidth="1"/>
    <col min="6" max="13" width="6.08203125" style="11" customWidth="1"/>
    <col min="14" max="14" width="54.5" style="11" bestFit="1" customWidth="1"/>
    <col min="15" max="16384" width="9" style="11"/>
  </cols>
  <sheetData>
    <row r="2" spans="2:14" ht="16.5" thickBot="1" x14ac:dyDescent="0.5">
      <c r="B2" s="6" t="s">
        <v>215</v>
      </c>
    </row>
    <row r="3" spans="2:14" ht="16.5" customHeight="1" x14ac:dyDescent="0.45">
      <c r="B3" s="117" t="s">
        <v>199</v>
      </c>
      <c r="C3" s="120" t="s">
        <v>201</v>
      </c>
      <c r="D3" s="122" t="s">
        <v>202</v>
      </c>
      <c r="F3" s="117" t="s">
        <v>98</v>
      </c>
      <c r="G3" s="120"/>
      <c r="H3" s="120"/>
      <c r="I3" s="120"/>
      <c r="J3" s="120" t="s">
        <v>97</v>
      </c>
      <c r="K3" s="120"/>
      <c r="L3" s="120"/>
      <c r="M3" s="125"/>
      <c r="N3" s="114" t="s">
        <v>200</v>
      </c>
    </row>
    <row r="4" spans="2:14" x14ac:dyDescent="0.45">
      <c r="B4" s="118"/>
      <c r="C4" s="104"/>
      <c r="D4" s="123"/>
      <c r="F4" s="63" t="s">
        <v>138</v>
      </c>
      <c r="G4" s="7" t="s">
        <v>139</v>
      </c>
      <c r="H4" s="7" t="s">
        <v>140</v>
      </c>
      <c r="I4" s="7" t="s">
        <v>141</v>
      </c>
      <c r="J4" s="7" t="s">
        <v>138</v>
      </c>
      <c r="K4" s="7" t="s">
        <v>139</v>
      </c>
      <c r="L4" s="7" t="s">
        <v>140</v>
      </c>
      <c r="M4" s="75" t="s">
        <v>141</v>
      </c>
      <c r="N4" s="115"/>
    </row>
    <row r="5" spans="2:14" ht="16.5" thickBot="1" x14ac:dyDescent="0.5">
      <c r="B5" s="119"/>
      <c r="C5" s="121"/>
      <c r="D5" s="124"/>
      <c r="F5" s="73">
        <v>1</v>
      </c>
      <c r="G5" s="74">
        <f t="shared" ref="G5:M5" si="0">F5+20</f>
        <v>21</v>
      </c>
      <c r="H5" s="74">
        <f t="shared" si="0"/>
        <v>41</v>
      </c>
      <c r="I5" s="74">
        <f t="shared" si="0"/>
        <v>61</v>
      </c>
      <c r="J5" s="74">
        <f t="shared" si="0"/>
        <v>81</v>
      </c>
      <c r="K5" s="74">
        <f t="shared" si="0"/>
        <v>101</v>
      </c>
      <c r="L5" s="74">
        <f t="shared" si="0"/>
        <v>121</v>
      </c>
      <c r="M5" s="76">
        <f t="shared" si="0"/>
        <v>141</v>
      </c>
      <c r="N5" s="116"/>
    </row>
    <row r="6" spans="2:14" x14ac:dyDescent="0.45">
      <c r="B6" s="69">
        <v>1</v>
      </c>
      <c r="C6" s="70" t="s">
        <v>12</v>
      </c>
      <c r="D6" s="71">
        <v>0</v>
      </c>
      <c r="F6" s="69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1">
        <v>0</v>
      </c>
      <c r="N6" s="79" t="s">
        <v>206</v>
      </c>
    </row>
    <row r="7" spans="2:14" x14ac:dyDescent="0.45">
      <c r="B7" s="64">
        <v>2</v>
      </c>
      <c r="C7" s="3" t="s">
        <v>203</v>
      </c>
      <c r="D7" s="65">
        <v>50</v>
      </c>
      <c r="F7" s="64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77">
        <v>0</v>
      </c>
      <c r="N7" s="80" t="s">
        <v>205</v>
      </c>
    </row>
    <row r="8" spans="2:14" x14ac:dyDescent="0.45">
      <c r="B8" s="64">
        <v>3</v>
      </c>
      <c r="C8" s="3" t="s">
        <v>19</v>
      </c>
      <c r="D8" s="65">
        <v>1</v>
      </c>
      <c r="F8" s="82">
        <v>50</v>
      </c>
      <c r="G8" s="83">
        <v>50</v>
      </c>
      <c r="H8" s="83">
        <v>50</v>
      </c>
      <c r="I8" s="83">
        <v>50</v>
      </c>
      <c r="J8" s="83">
        <v>50</v>
      </c>
      <c r="K8" s="83">
        <v>50</v>
      </c>
      <c r="L8" s="83">
        <v>50</v>
      </c>
      <c r="M8" s="84">
        <v>50</v>
      </c>
      <c r="N8" s="80" t="s">
        <v>207</v>
      </c>
    </row>
    <row r="9" spans="2:14" x14ac:dyDescent="0.45">
      <c r="B9" s="64">
        <v>4</v>
      </c>
      <c r="C9" s="3" t="s">
        <v>23</v>
      </c>
      <c r="D9" s="65">
        <v>1</v>
      </c>
      <c r="F9" s="64">
        <v>0</v>
      </c>
      <c r="G9" s="83">
        <v>50</v>
      </c>
      <c r="H9" s="83">
        <v>50</v>
      </c>
      <c r="I9" s="83">
        <v>50</v>
      </c>
      <c r="J9" s="83">
        <v>50</v>
      </c>
      <c r="K9" s="83">
        <v>50</v>
      </c>
      <c r="L9" s="83">
        <v>50</v>
      </c>
      <c r="M9" s="84">
        <v>50</v>
      </c>
      <c r="N9" s="80" t="s">
        <v>208</v>
      </c>
    </row>
    <row r="10" spans="2:14" x14ac:dyDescent="0.45">
      <c r="B10" s="64">
        <v>5</v>
      </c>
      <c r="C10" s="3" t="s">
        <v>23</v>
      </c>
      <c r="D10" s="65">
        <v>61</v>
      </c>
      <c r="F10" s="64">
        <v>0</v>
      </c>
      <c r="G10" s="83">
        <v>50</v>
      </c>
      <c r="H10" s="83">
        <v>50</v>
      </c>
      <c r="I10" s="9">
        <v>0</v>
      </c>
      <c r="J10" s="83">
        <v>50</v>
      </c>
      <c r="K10" s="83">
        <v>50</v>
      </c>
      <c r="L10" s="83">
        <v>50</v>
      </c>
      <c r="M10" s="84">
        <v>50</v>
      </c>
      <c r="N10" s="80" t="s">
        <v>209</v>
      </c>
    </row>
    <row r="11" spans="2:14" x14ac:dyDescent="0.45">
      <c r="B11" s="64">
        <v>6</v>
      </c>
      <c r="C11" s="3" t="s">
        <v>20</v>
      </c>
      <c r="D11" s="65">
        <v>0</v>
      </c>
      <c r="F11" s="64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77">
        <v>0</v>
      </c>
      <c r="N11" s="80" t="s">
        <v>210</v>
      </c>
    </row>
    <row r="12" spans="2:14" x14ac:dyDescent="0.45">
      <c r="B12" s="64">
        <v>7</v>
      </c>
      <c r="C12" s="3" t="s">
        <v>22</v>
      </c>
      <c r="D12" s="65">
        <v>81</v>
      </c>
      <c r="F12" s="64">
        <v>0</v>
      </c>
      <c r="G12" s="9">
        <v>0</v>
      </c>
      <c r="H12" s="9">
        <v>0</v>
      </c>
      <c r="I12" s="9">
        <v>0</v>
      </c>
      <c r="J12" s="83">
        <v>50</v>
      </c>
      <c r="K12" s="9">
        <v>0</v>
      </c>
      <c r="L12" s="9">
        <v>0</v>
      </c>
      <c r="M12" s="77">
        <v>0</v>
      </c>
      <c r="N12" s="80" t="s">
        <v>211</v>
      </c>
    </row>
    <row r="13" spans="2:14" x14ac:dyDescent="0.45">
      <c r="B13" s="64">
        <v>8</v>
      </c>
      <c r="C13" s="3" t="s">
        <v>203</v>
      </c>
      <c r="D13" s="65">
        <v>100</v>
      </c>
      <c r="F13" s="64">
        <v>0</v>
      </c>
      <c r="G13" s="9">
        <v>0</v>
      </c>
      <c r="H13" s="9">
        <v>0</v>
      </c>
      <c r="I13" s="9">
        <v>0</v>
      </c>
      <c r="J13" s="86">
        <v>100</v>
      </c>
      <c r="K13" s="9">
        <v>0</v>
      </c>
      <c r="L13" s="9">
        <v>0</v>
      </c>
      <c r="M13" s="77">
        <v>0</v>
      </c>
      <c r="N13" s="80" t="s">
        <v>204</v>
      </c>
    </row>
    <row r="14" spans="2:14" x14ac:dyDescent="0.45">
      <c r="B14" s="64">
        <v>9</v>
      </c>
      <c r="C14" s="3" t="s">
        <v>22</v>
      </c>
      <c r="D14" s="65">
        <v>0</v>
      </c>
      <c r="F14" s="85">
        <v>100</v>
      </c>
      <c r="G14" s="86">
        <v>100</v>
      </c>
      <c r="H14" s="86">
        <v>100</v>
      </c>
      <c r="I14" s="86">
        <v>100</v>
      </c>
      <c r="J14" s="86">
        <v>100</v>
      </c>
      <c r="K14" s="86">
        <v>100</v>
      </c>
      <c r="L14" s="86">
        <v>100</v>
      </c>
      <c r="M14" s="87">
        <v>100</v>
      </c>
      <c r="N14" s="80" t="s">
        <v>212</v>
      </c>
    </row>
    <row r="15" spans="2:14" ht="16.5" thickBot="1" x14ac:dyDescent="0.5">
      <c r="B15" s="66">
        <v>10</v>
      </c>
      <c r="C15" s="67" t="s">
        <v>203</v>
      </c>
      <c r="D15" s="68">
        <v>0</v>
      </c>
      <c r="F15" s="66">
        <v>0</v>
      </c>
      <c r="G15" s="72">
        <v>0</v>
      </c>
      <c r="H15" s="72">
        <v>0</v>
      </c>
      <c r="I15" s="72">
        <v>0</v>
      </c>
      <c r="J15" s="72">
        <v>0</v>
      </c>
      <c r="K15" s="72">
        <v>0</v>
      </c>
      <c r="L15" s="72">
        <v>0</v>
      </c>
      <c r="M15" s="78">
        <v>0</v>
      </c>
      <c r="N15" s="81" t="s">
        <v>213</v>
      </c>
    </row>
    <row r="18" spans="2:14" ht="16.5" thickBot="1" x14ac:dyDescent="0.5">
      <c r="B18" s="6" t="s">
        <v>216</v>
      </c>
    </row>
    <row r="19" spans="2:14" x14ac:dyDescent="0.45">
      <c r="B19" s="117" t="s">
        <v>199</v>
      </c>
      <c r="C19" s="120" t="s">
        <v>201</v>
      </c>
      <c r="D19" s="122" t="s">
        <v>202</v>
      </c>
      <c r="F19" s="117" t="s">
        <v>98</v>
      </c>
      <c r="G19" s="120"/>
      <c r="H19" s="120"/>
      <c r="I19" s="120"/>
      <c r="J19" s="120" t="s">
        <v>97</v>
      </c>
      <c r="K19" s="120"/>
      <c r="L19" s="120"/>
      <c r="M19" s="125"/>
      <c r="N19" s="114" t="s">
        <v>200</v>
      </c>
    </row>
    <row r="20" spans="2:14" x14ac:dyDescent="0.45">
      <c r="B20" s="118"/>
      <c r="C20" s="104"/>
      <c r="D20" s="123"/>
      <c r="F20" s="63" t="s">
        <v>138</v>
      </c>
      <c r="G20" s="7" t="s">
        <v>139</v>
      </c>
      <c r="H20" s="7" t="s">
        <v>140</v>
      </c>
      <c r="I20" s="7" t="s">
        <v>141</v>
      </c>
      <c r="J20" s="7" t="s">
        <v>138</v>
      </c>
      <c r="K20" s="7" t="s">
        <v>139</v>
      </c>
      <c r="L20" s="7" t="s">
        <v>140</v>
      </c>
      <c r="M20" s="75" t="s">
        <v>141</v>
      </c>
      <c r="N20" s="115"/>
    </row>
    <row r="21" spans="2:14" ht="16.5" thickBot="1" x14ac:dyDescent="0.5">
      <c r="B21" s="126"/>
      <c r="C21" s="112"/>
      <c r="D21" s="127"/>
      <c r="F21" s="93">
        <v>12</v>
      </c>
      <c r="G21" s="94">
        <f t="shared" ref="G21" si="1">F21+20</f>
        <v>32</v>
      </c>
      <c r="H21" s="94">
        <f t="shared" ref="H21" si="2">G21+20</f>
        <v>52</v>
      </c>
      <c r="I21" s="94">
        <f t="shared" ref="I21" si="3">H21+20</f>
        <v>72</v>
      </c>
      <c r="J21" s="94">
        <f t="shared" ref="J21" si="4">I21+20</f>
        <v>92</v>
      </c>
      <c r="K21" s="94">
        <f t="shared" ref="K21" si="5">J21+20</f>
        <v>112</v>
      </c>
      <c r="L21" s="94">
        <f t="shared" ref="L21" si="6">K21+20</f>
        <v>132</v>
      </c>
      <c r="M21" s="95">
        <f t="shared" ref="M21" si="7">L21+20</f>
        <v>152</v>
      </c>
      <c r="N21" s="116"/>
    </row>
    <row r="22" spans="2:14" x14ac:dyDescent="0.45">
      <c r="B22" s="88">
        <v>1</v>
      </c>
      <c r="C22" s="89" t="s">
        <v>12</v>
      </c>
      <c r="D22" s="90">
        <v>0</v>
      </c>
      <c r="F22" s="88">
        <v>0</v>
      </c>
      <c r="G22" s="97">
        <v>0</v>
      </c>
      <c r="H22" s="97">
        <v>0</v>
      </c>
      <c r="I22" s="97">
        <v>0</v>
      </c>
      <c r="J22" s="97">
        <v>0</v>
      </c>
      <c r="K22" s="97">
        <v>0</v>
      </c>
      <c r="L22" s="97">
        <v>0</v>
      </c>
      <c r="M22" s="90">
        <v>0</v>
      </c>
      <c r="N22" s="91" t="s">
        <v>206</v>
      </c>
    </row>
    <row r="23" spans="2:14" x14ac:dyDescent="0.45">
      <c r="B23" s="64">
        <v>2</v>
      </c>
      <c r="C23" s="3" t="s">
        <v>203</v>
      </c>
      <c r="D23" s="65">
        <v>25</v>
      </c>
      <c r="F23" s="64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65">
        <v>0</v>
      </c>
      <c r="N23" s="92" t="s">
        <v>217</v>
      </c>
    </row>
    <row r="24" spans="2:14" x14ac:dyDescent="0.45">
      <c r="B24" s="64">
        <v>3</v>
      </c>
      <c r="C24" s="3" t="s">
        <v>19</v>
      </c>
      <c r="D24" s="65">
        <v>12</v>
      </c>
      <c r="F24" s="82">
        <v>25</v>
      </c>
      <c r="G24" s="83">
        <v>25</v>
      </c>
      <c r="H24" s="83">
        <v>25</v>
      </c>
      <c r="I24" s="83">
        <v>25</v>
      </c>
      <c r="J24" s="83">
        <v>25</v>
      </c>
      <c r="K24" s="83">
        <v>25</v>
      </c>
      <c r="L24" s="83">
        <v>25</v>
      </c>
      <c r="M24" s="98">
        <v>25</v>
      </c>
      <c r="N24" s="92" t="s">
        <v>218</v>
      </c>
    </row>
    <row r="25" spans="2:14" x14ac:dyDescent="0.45">
      <c r="B25" s="64">
        <v>4</v>
      </c>
      <c r="C25" s="3" t="s">
        <v>23</v>
      </c>
      <c r="D25" s="65">
        <v>12</v>
      </c>
      <c r="F25" s="64">
        <v>0</v>
      </c>
      <c r="G25" s="83">
        <v>25</v>
      </c>
      <c r="H25" s="83">
        <v>25</v>
      </c>
      <c r="I25" s="83">
        <v>25</v>
      </c>
      <c r="J25" s="83">
        <v>25</v>
      </c>
      <c r="K25" s="83">
        <v>25</v>
      </c>
      <c r="L25" s="83">
        <v>25</v>
      </c>
      <c r="M25" s="98">
        <v>25</v>
      </c>
      <c r="N25" s="92" t="s">
        <v>219</v>
      </c>
    </row>
    <row r="26" spans="2:14" x14ac:dyDescent="0.45">
      <c r="B26" s="64">
        <v>5</v>
      </c>
      <c r="C26" s="3" t="s">
        <v>23</v>
      </c>
      <c r="D26" s="65">
        <v>52</v>
      </c>
      <c r="F26" s="64">
        <v>0</v>
      </c>
      <c r="G26" s="83">
        <v>25</v>
      </c>
      <c r="H26" s="9">
        <v>0</v>
      </c>
      <c r="I26" s="83">
        <v>25</v>
      </c>
      <c r="J26" s="83">
        <v>25</v>
      </c>
      <c r="K26" s="83">
        <v>25</v>
      </c>
      <c r="L26" s="83">
        <v>25</v>
      </c>
      <c r="M26" s="98">
        <v>25</v>
      </c>
      <c r="N26" s="92" t="s">
        <v>220</v>
      </c>
    </row>
    <row r="27" spans="2:14" x14ac:dyDescent="0.45">
      <c r="B27" s="64">
        <v>6</v>
      </c>
      <c r="C27" s="3" t="s">
        <v>23</v>
      </c>
      <c r="D27" s="65">
        <v>92</v>
      </c>
      <c r="F27" s="64">
        <v>0</v>
      </c>
      <c r="G27" s="83">
        <v>25</v>
      </c>
      <c r="H27" s="9">
        <v>0</v>
      </c>
      <c r="I27" s="83">
        <v>25</v>
      </c>
      <c r="J27" s="9">
        <v>0</v>
      </c>
      <c r="K27" s="83">
        <v>25</v>
      </c>
      <c r="L27" s="83">
        <v>25</v>
      </c>
      <c r="M27" s="98">
        <v>25</v>
      </c>
      <c r="N27" s="92" t="s">
        <v>221</v>
      </c>
    </row>
    <row r="28" spans="2:14" x14ac:dyDescent="0.45">
      <c r="B28" s="64">
        <v>7</v>
      </c>
      <c r="C28" s="3" t="s">
        <v>23</v>
      </c>
      <c r="D28" s="65">
        <v>132</v>
      </c>
      <c r="F28" s="64">
        <v>0</v>
      </c>
      <c r="G28" s="83">
        <v>25</v>
      </c>
      <c r="H28" s="9">
        <v>0</v>
      </c>
      <c r="I28" s="83">
        <v>25</v>
      </c>
      <c r="J28" s="9">
        <v>0</v>
      </c>
      <c r="K28" s="83">
        <v>25</v>
      </c>
      <c r="L28" s="9">
        <v>0</v>
      </c>
      <c r="M28" s="98">
        <v>25</v>
      </c>
      <c r="N28" s="92" t="s">
        <v>223</v>
      </c>
    </row>
    <row r="29" spans="2:14" x14ac:dyDescent="0.45">
      <c r="B29" s="64">
        <v>8</v>
      </c>
      <c r="C29" s="3" t="s">
        <v>20</v>
      </c>
      <c r="D29" s="65">
        <v>12</v>
      </c>
      <c r="F29" s="64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65">
        <v>0</v>
      </c>
      <c r="N29" s="92" t="s">
        <v>222</v>
      </c>
    </row>
    <row r="30" spans="2:14" x14ac:dyDescent="0.45">
      <c r="B30" s="64">
        <v>9</v>
      </c>
      <c r="C30" s="3" t="s">
        <v>203</v>
      </c>
      <c r="D30" s="65">
        <v>75</v>
      </c>
      <c r="F30" s="64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65">
        <v>0</v>
      </c>
      <c r="N30" s="92" t="s">
        <v>224</v>
      </c>
    </row>
    <row r="31" spans="2:14" x14ac:dyDescent="0.45">
      <c r="B31" s="64">
        <v>10</v>
      </c>
      <c r="C31" s="3" t="s">
        <v>22</v>
      </c>
      <c r="D31" s="65">
        <v>12</v>
      </c>
      <c r="F31" s="99">
        <v>75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65">
        <v>0</v>
      </c>
      <c r="N31" s="92" t="s">
        <v>225</v>
      </c>
    </row>
    <row r="32" spans="2:14" x14ac:dyDescent="0.45">
      <c r="B32" s="64">
        <v>11</v>
      </c>
      <c r="C32" s="3" t="s">
        <v>22</v>
      </c>
      <c r="D32" s="65">
        <v>52</v>
      </c>
      <c r="F32" s="99">
        <v>75</v>
      </c>
      <c r="G32" s="9">
        <v>0</v>
      </c>
      <c r="H32" s="96">
        <v>75</v>
      </c>
      <c r="I32" s="9">
        <v>0</v>
      </c>
      <c r="J32" s="9">
        <v>0</v>
      </c>
      <c r="K32" s="9">
        <v>0</v>
      </c>
      <c r="L32" s="9">
        <v>0</v>
      </c>
      <c r="M32" s="65">
        <v>0</v>
      </c>
      <c r="N32" s="92" t="s">
        <v>226</v>
      </c>
    </row>
    <row r="33" spans="2:14" x14ac:dyDescent="0.45">
      <c r="B33" s="64">
        <v>12</v>
      </c>
      <c r="C33" s="3" t="s">
        <v>22</v>
      </c>
      <c r="D33" s="65">
        <v>92</v>
      </c>
      <c r="F33" s="99">
        <v>75</v>
      </c>
      <c r="G33" s="9">
        <v>0</v>
      </c>
      <c r="H33" s="96">
        <v>75</v>
      </c>
      <c r="I33" s="9">
        <v>0</v>
      </c>
      <c r="J33" s="96">
        <v>75</v>
      </c>
      <c r="K33" s="9">
        <v>0</v>
      </c>
      <c r="L33" s="9">
        <v>0</v>
      </c>
      <c r="M33" s="65">
        <v>0</v>
      </c>
      <c r="N33" s="92" t="s">
        <v>227</v>
      </c>
    </row>
    <row r="34" spans="2:14" ht="16.5" thickBot="1" x14ac:dyDescent="0.5">
      <c r="B34" s="66">
        <v>13</v>
      </c>
      <c r="C34" s="67" t="s">
        <v>22</v>
      </c>
      <c r="D34" s="68">
        <v>132</v>
      </c>
      <c r="F34" s="100">
        <v>75</v>
      </c>
      <c r="G34" s="72">
        <v>0</v>
      </c>
      <c r="H34" s="101">
        <v>75</v>
      </c>
      <c r="I34" s="72">
        <v>0</v>
      </c>
      <c r="J34" s="101">
        <v>75</v>
      </c>
      <c r="K34" s="72">
        <v>0</v>
      </c>
      <c r="L34" s="101">
        <v>75</v>
      </c>
      <c r="M34" s="68">
        <v>0</v>
      </c>
      <c r="N34" s="102" t="s">
        <v>228</v>
      </c>
    </row>
  </sheetData>
  <mergeCells count="12">
    <mergeCell ref="N19:N21"/>
    <mergeCell ref="B19:B21"/>
    <mergeCell ref="C19:C21"/>
    <mergeCell ref="D19:D21"/>
    <mergeCell ref="F19:I19"/>
    <mergeCell ref="J19:M19"/>
    <mergeCell ref="N3:N5"/>
    <mergeCell ref="B3:B5"/>
    <mergeCell ref="C3:C5"/>
    <mergeCell ref="D3:D5"/>
    <mergeCell ref="F3:I3"/>
    <mergeCell ref="J3:M3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protocol</vt:lpstr>
      <vt:lpstr>xc xd mapping</vt:lpstr>
      <vt:lpstr>B'D check list</vt:lpstr>
      <vt:lpstr>B'D connector summary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2025-10-15T07:40:09Z</dcterms:modified>
</cp:coreProperties>
</file>