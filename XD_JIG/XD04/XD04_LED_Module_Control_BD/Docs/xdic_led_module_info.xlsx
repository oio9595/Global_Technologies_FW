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27A8DA65-A755-4000-A4C0-C0335DE2264A}" xr6:coauthVersionLast="47" xr6:coauthVersionMax="47" xr10:uidLastSave="{00000000-0000-0000-0000-000000000000}"/>
  <bookViews>
    <workbookView xWindow="28680" yWindow="-255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H4" i="6" s="1"/>
  <c r="I4" i="6" s="1"/>
  <c r="J4" i="6" s="1"/>
  <c r="K4" i="6" s="1"/>
  <c r="L4" i="6" s="1"/>
  <c r="M4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<sst xmlns="http://schemas.openxmlformats.org/spreadsheetml/2006/main" count="357" uniqueCount="220">
  <si>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</si>
  <si>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</si>
  <si>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</si>
  <si>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</si>
  <si>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</si>
  <si>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</si>
  <si>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</si>
  <si>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</si>
  <si>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</si>
  <si>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</si>
  <si>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</si>
  <si>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</si>
  <si>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</si>
  <si>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</si>
  <si>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</si>
  <si>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</si>
  <si>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</si>
  <si>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</si>
  <si>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</si>
  <si>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</si>
  <si>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</si>
  <si>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</si>
  <si>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</si>
  <si>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</si>
  <si>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</si>
  <si>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</si>
  <si>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</si>
  <si>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</si>
  <si>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</si>
  <si>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</si>
  <si>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</si>
  <si>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</si>
  <si>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</si>
  <si>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</si>
  <si>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</si>
  <si>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</si>
  <si>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</si>
  <si>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</si>
  <si>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</si>
  <si>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</si>
  <si>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</si>
  <si>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</si>
  <si>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</si>
  <si>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</si>
  <si>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</si>
  <si>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</si>
  <si>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</si>
  <si>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</si>
  <si>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</si>
  <si>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</si>
  <si>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</si>
  <si>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</si>
  <si>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</si>
  <si>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</si>
  <si>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</si>
  <si>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</si>
  <si>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</si>
  <si>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</si>
  <si>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</si>
  <si>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</si>
  <si>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</si>
  <si>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</si>
  <si>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</si>
  <si>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</si>
  <si>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</si>
  <si>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</si>
  <si>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</si>
  <si>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</si>
  <si>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</si>
  <si>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</si>
  <si>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</si>
  <si>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</si>
  <si>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</si>
  <si>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</si>
  <si>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</si>
  <si>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</si>
  <si>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</si>
  <si>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</si>
  <si>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</si>
  <si>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</si>
  <si>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</si>
  <si>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</si>
  <si>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</si>
  <si>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</si>
  <si>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</si>
  <si>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</si>
  <si>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</si>
  <si>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</si>
  <si>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</si>
  <si>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</si>
  <si>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</si>
  <si>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</si>
  <si>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</si>
  <si>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</si>
  <si>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</si>
  <si>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</si>
  <si>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</si>
  <si>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</si>
  <si>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</si>
  <si>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</si>
  <si>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</si>
  <si>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</si>
  <si>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</si>
  <si>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</si>
  <si>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</si>
  <si>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</si>
  <si>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</si>
  <si>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</si>
  <si>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</si>
  <si>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</si>
  <si>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</si>
  <si>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</si>
  <si>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</si>
  <si>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</si>
  <si>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</si>
  <si>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</si>
  <si>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</si>
  <si>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</si>
  <si>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</si>
  <si>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</si>
  <si>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</si>
  <si>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</si>
  <si>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</si>
  <si>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</si>
  <si>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</si>
  <si>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</si>
  <si>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</si>
  <si>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</si>
  <si>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</si>
  <si>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</si>
  <si>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</si>
  <si>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</si>
  <si>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</si>
  <si>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</si>
  <si>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</si>
  <si>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</si>
  <si>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</si>
  <si>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</si>
  <si>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</si>
  <si>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</si>
  <si>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</si>
  <si>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</si>
  <si>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</si>
  <si>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</si>
  <si>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</si>
  <si>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</si>
  <si>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</si>
  <si>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</si>
  <si>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</si>
  <si>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</si>
  <si>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</si>
  <si>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</si>
  <si>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</si>
  <si>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</si>
  <si>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</si>
  <si>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</si>
  <si>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</si>
  <si>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</si>
  <si>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</si>
  <si>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</si>
  <si>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</si>
  <si>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</si>
  <si>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</si>
  <si>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</si>
  <si>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</si>
  <si>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</si>
  <si>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</si>
  <si>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</si>
  <si>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</si>
  <si>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TP25 (780kHz Pulse 파형)</t>
    <phoneticPr fontId="1" type="noConversion"/>
  </si>
  <si>
    <t>TP50 (UART 파형)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</si>
  <si>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</si>
  <si>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</si>
  <si>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</si>
  <si>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</si>
  <si>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</si>
  <si>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</si>
  <si>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</si>
  <si>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</si>
  <si>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</si>
  <si>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</si>
  <si>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</si>
  <si>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</si>
  <si>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</si>
  <si>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</si>
  <si>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</si>
  <si>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</si>
  <si>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</si>
  <si>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</si>
  <si>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</si>
  <si>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</si>
  <si>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</si>
  <si>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</si>
  <si>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</si>
  <si>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</si>
  <si>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</si>
  <si>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</si>
  <si>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</si>
  <si>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</si>
  <si>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</si>
  <si>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</si>
  <si>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</si>
  <si>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</si>
  <si>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</si>
  <si>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</si>
  <si>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</si>
  <si>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</si>
  <si>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</si>
  <si>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</si>
  <si>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</si>
  <si>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</si>
  <si>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</si>
  <si>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</si>
  <si>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</si>
  <si>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</si>
  <si>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</si>
  <si>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D11 점멸 후 점등</t>
    <phoneticPr fontId="1" type="noConversion"/>
  </si>
  <si>
    <t>XC24, XD04 전원 인가, 레지스터 설정, LED 전류 0mA, VLED On 필요, 다음 명령어까지 50ms delay 필요</t>
    <phoneticPr fontId="1" type="noConversion"/>
  </si>
  <si>
    <t>XC24, XD04 전원 차단, VLED Off 필요, 다음 명령어까지 50ms delay 필요</t>
    <phoneticPr fontId="1" type="noConversion"/>
  </si>
  <si>
    <t>Baudrate = 115200, Parity = None, Stopbits = 1-bit, Data = 8-bits, Protocol 사이 1ms delay 필요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</si>
</sst>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left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5</xdr:row>
      <xdr:rowOff>161925</xdr:rowOff>
    </xdr:from>
    <xdr:to>
      <xdr:col>4</xdr:col>
      <xdr:colOff>2019300</xdr:colOff>
      <xdr:row>10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4"/>
  <sheetViews>
    <sheetView tabSelected="1" zoomScaleNormal="100" workbookViewId="0"/>
  </sheetViews>
  <sheetFormatPr defaultRowHeight="13.5" x14ac:dyDescent="0.3"/>
  <cols>
    <col min="1" max="1" width="2.625" style="6" customWidth="1"/>
    <col min="2" max="2" width="17.75" style="6" customWidth="1"/>
    <col min="3" max="10" width="17.625" style="6" customWidth="1"/>
    <col min="11" max="16" width="9" style="6" customWidth="1"/>
    <col min="17" max="16384" width="9" style="6"/>
  </cols>
  <sheetData>
    <row r="2" spans="2:10" x14ac:dyDescent="0.3">
      <c r="B2" s="5" t="s">
        <v>7</v>
      </c>
    </row>
    <row r="3" spans="2:10" x14ac:dyDescent="0.3">
      <c r="B3" s="115" t="s">
        <v>219</v>
      </c>
      <c r="C3" s="115"/>
      <c r="D3" s="115"/>
      <c r="E3" s="115"/>
      <c r="F3" s="115"/>
      <c r="G3" s="115"/>
    </row>
    <row r="4" spans="2:10" x14ac:dyDescent="0.3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96" t="s">
        <v>54</v>
      </c>
      <c r="F7" s="96"/>
      <c r="G7" s="96"/>
      <c r="H7" s="96"/>
      <c r="I7" s="96"/>
      <c r="J7" s="96"/>
    </row>
    <row r="8" spans="2:10" x14ac:dyDescent="0.3">
      <c r="B8" s="2" t="s">
        <v>0</v>
      </c>
      <c r="C8" s="3" t="s">
        <v>5</v>
      </c>
      <c r="D8" s="3" t="s">
        <v>8</v>
      </c>
      <c r="E8" s="97" t="s">
        <v>65</v>
      </c>
      <c r="F8" s="97"/>
      <c r="G8" s="97"/>
      <c r="H8" s="97"/>
      <c r="I8" s="97"/>
      <c r="J8" s="97"/>
    </row>
    <row r="9" spans="2:10" x14ac:dyDescent="0.3">
      <c r="B9" s="2" t="s">
        <v>66</v>
      </c>
      <c r="C9" s="3" t="s">
        <v>5</v>
      </c>
      <c r="D9" s="4" t="s">
        <v>9</v>
      </c>
      <c r="E9" s="89" t="s">
        <v>200</v>
      </c>
      <c r="F9" s="90"/>
      <c r="G9" s="90"/>
      <c r="H9" s="90"/>
      <c r="I9" s="90"/>
      <c r="J9" s="91"/>
    </row>
    <row r="10" spans="2:10" x14ac:dyDescent="0.3">
      <c r="B10" s="2" t="s">
        <v>1</v>
      </c>
      <c r="C10" s="3" t="s">
        <v>5</v>
      </c>
      <c r="D10" s="4" t="s">
        <v>9</v>
      </c>
      <c r="E10" s="97" t="s">
        <v>93</v>
      </c>
      <c r="F10" s="97"/>
      <c r="G10" s="97"/>
      <c r="H10" s="97"/>
      <c r="I10" s="97"/>
      <c r="J10" s="97"/>
    </row>
    <row r="11" spans="2:10" x14ac:dyDescent="0.3">
      <c r="B11" s="2" t="s">
        <v>2</v>
      </c>
      <c r="C11" s="3" t="s">
        <v>6</v>
      </c>
      <c r="D11" s="4" t="s">
        <v>9</v>
      </c>
      <c r="E11" s="92" t="s">
        <v>94</v>
      </c>
      <c r="F11" s="93"/>
      <c r="G11" s="93"/>
      <c r="H11" s="93"/>
      <c r="I11" s="93"/>
      <c r="J11" s="94"/>
    </row>
    <row r="12" spans="2:10" x14ac:dyDescent="0.3">
      <c r="B12" s="2" t="s">
        <v>3</v>
      </c>
      <c r="C12" s="3" t="s">
        <v>5</v>
      </c>
      <c r="D12" s="4" t="s">
        <v>9</v>
      </c>
      <c r="E12" s="97" t="s">
        <v>63</v>
      </c>
      <c r="F12" s="97"/>
      <c r="G12" s="97"/>
      <c r="H12" s="97"/>
      <c r="I12" s="97"/>
      <c r="J12" s="97"/>
    </row>
    <row r="13" spans="2:10" x14ac:dyDescent="0.3">
      <c r="B13" s="2" t="s">
        <v>4</v>
      </c>
      <c r="C13" s="3" t="s">
        <v>5</v>
      </c>
      <c r="D13" s="3" t="s">
        <v>10</v>
      </c>
      <c r="E13" s="92" t="s">
        <v>64</v>
      </c>
      <c r="F13" s="93"/>
      <c r="G13" s="93"/>
      <c r="H13" s="93"/>
      <c r="I13" s="93"/>
      <c r="J13" s="94"/>
    </row>
    <row r="16" spans="2:10" x14ac:dyDescent="0.3">
      <c r="B16" s="5" t="s">
        <v>95</v>
      </c>
    </row>
    <row r="17" spans="2:10" x14ac:dyDescent="0.3">
      <c r="B17" s="1" t="s">
        <v>1</v>
      </c>
      <c r="C17" s="1" t="s">
        <v>51</v>
      </c>
      <c r="D17" s="1" t="s">
        <v>66</v>
      </c>
      <c r="E17" s="1" t="s">
        <v>2</v>
      </c>
      <c r="F17" s="96" t="s">
        <v>54</v>
      </c>
      <c r="G17" s="96"/>
      <c r="H17" s="96"/>
      <c r="I17" s="96"/>
      <c r="J17" s="96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98" t="s">
        <v>217</v>
      </c>
      <c r="G18" s="98"/>
      <c r="H18" s="98"/>
      <c r="I18" s="98"/>
      <c r="J18" s="98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98" t="s">
        <v>218</v>
      </c>
      <c r="G19" s="98"/>
      <c r="H19" s="98"/>
      <c r="I19" s="98"/>
      <c r="J19" s="98"/>
    </row>
    <row r="20" spans="2:10" x14ac:dyDescent="0.3">
      <c r="B20" s="3" t="s">
        <v>142</v>
      </c>
      <c r="C20" s="3" t="s">
        <v>143</v>
      </c>
      <c r="D20" s="3" t="s">
        <v>5</v>
      </c>
      <c r="E20" s="3" t="s">
        <v>144</v>
      </c>
      <c r="F20" s="97" t="s">
        <v>145</v>
      </c>
      <c r="G20" s="97"/>
      <c r="H20" s="97"/>
      <c r="I20" s="97"/>
      <c r="J20" s="97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73</v>
      </c>
      <c r="F21" s="97" t="s">
        <v>76</v>
      </c>
      <c r="G21" s="97"/>
      <c r="H21" s="97"/>
      <c r="I21" s="97"/>
      <c r="J21" s="97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74</v>
      </c>
      <c r="F22" s="97" t="s">
        <v>147</v>
      </c>
      <c r="G22" s="97"/>
      <c r="H22" s="97"/>
      <c r="I22" s="97"/>
      <c r="J22" s="97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74</v>
      </c>
      <c r="F23" s="97" t="s">
        <v>148</v>
      </c>
      <c r="G23" s="97"/>
      <c r="H23" s="97"/>
      <c r="I23" s="97"/>
      <c r="J23" s="97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146</v>
      </c>
      <c r="F24" s="97" t="s">
        <v>149</v>
      </c>
      <c r="G24" s="97"/>
      <c r="H24" s="97"/>
      <c r="I24" s="97"/>
      <c r="J24" s="97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146</v>
      </c>
      <c r="F25" s="97" t="s">
        <v>150</v>
      </c>
      <c r="G25" s="97"/>
      <c r="H25" s="97"/>
      <c r="I25" s="97"/>
      <c r="J25" s="97"/>
    </row>
    <row r="28" spans="2:10" x14ac:dyDescent="0.3">
      <c r="B28" s="5" t="s">
        <v>67</v>
      </c>
    </row>
    <row r="29" spans="2:10" x14ac:dyDescent="0.3">
      <c r="B29" s="1"/>
      <c r="C29" s="95" t="s">
        <v>72</v>
      </c>
      <c r="D29" s="95"/>
      <c r="E29" s="95"/>
      <c r="F29" s="95"/>
      <c r="G29" s="95"/>
      <c r="H29" s="95"/>
    </row>
    <row r="30" spans="2:10" x14ac:dyDescent="0.3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3">
      <c r="B31" s="3" t="s">
        <v>12</v>
      </c>
      <c r="C31" s="100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100" t="s">
        <v>10</v>
      </c>
    </row>
    <row r="32" spans="2:10" x14ac:dyDescent="0.3">
      <c r="B32" s="3" t="s">
        <v>79</v>
      </c>
      <c r="C32" s="100"/>
      <c r="D32" s="9" t="s">
        <v>14</v>
      </c>
      <c r="E32" s="9" t="s">
        <v>14</v>
      </c>
      <c r="F32" s="9" t="s">
        <v>80</v>
      </c>
      <c r="G32" s="9" t="s">
        <v>81</v>
      </c>
      <c r="H32" s="100"/>
    </row>
    <row r="33" spans="2:13" x14ac:dyDescent="0.3">
      <c r="B33" s="3" t="s">
        <v>71</v>
      </c>
      <c r="C33" s="100"/>
      <c r="D33" s="9" t="s">
        <v>14</v>
      </c>
      <c r="E33" s="9" t="s">
        <v>14</v>
      </c>
      <c r="F33" s="9" t="s">
        <v>77</v>
      </c>
      <c r="G33" s="9" t="s">
        <v>78</v>
      </c>
      <c r="H33" s="100"/>
    </row>
    <row r="34" spans="2:13" x14ac:dyDescent="0.3">
      <c r="B34" s="3" t="s">
        <v>82</v>
      </c>
      <c r="C34" s="100"/>
      <c r="D34" s="9" t="s">
        <v>14</v>
      </c>
      <c r="E34" s="9" t="s">
        <v>14</v>
      </c>
      <c r="F34" s="9" t="s">
        <v>24</v>
      </c>
      <c r="G34" s="9" t="s">
        <v>83</v>
      </c>
      <c r="H34" s="100"/>
    </row>
    <row r="35" spans="2:13" x14ac:dyDescent="0.3">
      <c r="B35" s="3" t="s">
        <v>84</v>
      </c>
      <c r="C35" s="100"/>
      <c r="D35" s="9" t="s">
        <v>14</v>
      </c>
      <c r="E35" s="9" t="s">
        <v>17</v>
      </c>
      <c r="F35" s="9" t="s">
        <v>14</v>
      </c>
      <c r="G35" s="9" t="s">
        <v>85</v>
      </c>
      <c r="H35" s="100"/>
    </row>
    <row r="36" spans="2:13" x14ac:dyDescent="0.3">
      <c r="B36" s="3" t="s">
        <v>86</v>
      </c>
      <c r="C36" s="100"/>
      <c r="D36" s="9" t="s">
        <v>14</v>
      </c>
      <c r="E36" s="9" t="s">
        <v>21</v>
      </c>
      <c r="F36" s="9" t="s">
        <v>87</v>
      </c>
      <c r="G36" s="9" t="s">
        <v>78</v>
      </c>
      <c r="H36" s="100"/>
    </row>
    <row r="37" spans="2:13" x14ac:dyDescent="0.3">
      <c r="B37" s="3" t="s">
        <v>88</v>
      </c>
      <c r="C37" s="100"/>
      <c r="D37" s="9" t="s">
        <v>14</v>
      </c>
      <c r="E37" s="9" t="s">
        <v>18</v>
      </c>
      <c r="F37" s="9" t="s">
        <v>90</v>
      </c>
      <c r="G37" s="9" t="s">
        <v>91</v>
      </c>
      <c r="H37" s="100"/>
    </row>
    <row r="38" spans="2:13" x14ac:dyDescent="0.3">
      <c r="B38" s="3" t="s">
        <v>89</v>
      </c>
      <c r="C38" s="100"/>
      <c r="D38" s="9" t="s">
        <v>14</v>
      </c>
      <c r="E38" s="9" t="s">
        <v>24</v>
      </c>
      <c r="F38" s="9" t="s">
        <v>11</v>
      </c>
      <c r="G38" s="9" t="s">
        <v>92</v>
      </c>
      <c r="H38" s="100"/>
    </row>
    <row r="39" spans="2:13" x14ac:dyDescent="0.3">
      <c r="B39" s="3" t="s">
        <v>13</v>
      </c>
      <c r="C39" s="100"/>
      <c r="D39" s="10" t="s">
        <v>14</v>
      </c>
      <c r="E39" s="9" t="s">
        <v>15</v>
      </c>
      <c r="F39" s="9" t="s">
        <v>11</v>
      </c>
      <c r="G39" s="9" t="s">
        <v>8</v>
      </c>
      <c r="H39" s="100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96</v>
      </c>
    </row>
    <row r="43" spans="2:13" x14ac:dyDescent="0.3">
      <c r="B43" s="7" t="s">
        <v>48</v>
      </c>
      <c r="C43" s="11"/>
      <c r="D43" s="7" t="s">
        <v>47</v>
      </c>
      <c r="E43" s="13"/>
      <c r="F43" s="99" t="s">
        <v>47</v>
      </c>
      <c r="G43" s="99"/>
      <c r="H43" s="99"/>
      <c r="I43" s="99"/>
      <c r="J43" s="99"/>
      <c r="K43" s="99"/>
      <c r="L43" s="99"/>
      <c r="M43" s="99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151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152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F43:M43"/>
    <mergeCell ref="E8:J8"/>
    <mergeCell ref="E10:J10"/>
    <mergeCell ref="E12:J12"/>
    <mergeCell ref="C31:C39"/>
    <mergeCell ref="H31:H39"/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101" t="s">
        <v>131</v>
      </c>
      <c r="D2" s="99" t="s">
        <v>110</v>
      </c>
      <c r="E2" s="99" t="s">
        <v>98</v>
      </c>
      <c r="F2" s="99"/>
      <c r="G2" s="99"/>
      <c r="H2" s="99"/>
      <c r="I2" s="99" t="s">
        <v>97</v>
      </c>
      <c r="J2" s="99"/>
      <c r="K2" s="99"/>
      <c r="L2" s="99"/>
    </row>
    <row r="3" spans="2:12" x14ac:dyDescent="0.3">
      <c r="B3" s="102"/>
      <c r="D3" s="99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3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8"/>
  <sheetViews>
    <sheetView zoomScale="85" zoomScaleNormal="85" workbookViewId="0">
      <selection activeCell="E27" sqref="E27"/>
    </sheetView>
  </sheetViews>
  <sheetFormatPr defaultRowHeight="16.5" x14ac:dyDescent="0.3"/>
  <cols>
    <col min="1" max="1" width="2.625" style="31" customWidth="1"/>
    <col min="2" max="2" width="8.375" style="31" bestFit="1" customWidth="1"/>
    <col min="3" max="3" width="21.375" style="31" bestFit="1" customWidth="1"/>
    <col min="4" max="4" width="24.75" style="31" bestFit="1" customWidth="1"/>
    <col min="5" max="5" width="41.875" style="31" bestFit="1" customWidth="1"/>
    <col min="6" max="6" width="27.375" style="31" bestFit="1" customWidth="1"/>
    <col min="7" max="7" width="24.75" style="31" bestFit="1" customWidth="1"/>
    <col min="8" max="8" width="23.125" style="31" bestFit="1" customWidth="1"/>
    <col min="9" max="9" width="15.625" style="31" bestFit="1" customWidth="1"/>
    <col min="10" max="10" width="13.875" style="31" bestFit="1" customWidth="1"/>
    <col min="11" max="11" width="16.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25" thickBot="1" x14ac:dyDescent="0.35"/>
    <row r="2" spans="2:12" ht="17.25" thickBot="1" x14ac:dyDescent="0.35">
      <c r="B2" s="42" t="s">
        <v>180</v>
      </c>
      <c r="C2" s="43" t="s">
        <v>153</v>
      </c>
      <c r="D2" s="35" t="s">
        <v>164</v>
      </c>
      <c r="E2" s="36" t="s">
        <v>165</v>
      </c>
      <c r="F2" s="38" t="s">
        <v>166</v>
      </c>
      <c r="G2" s="47" t="s">
        <v>154</v>
      </c>
      <c r="H2" s="37" t="s">
        <v>155</v>
      </c>
      <c r="I2" s="37" t="s">
        <v>156</v>
      </c>
      <c r="J2" s="37" t="s">
        <v>157</v>
      </c>
      <c r="K2" s="54" t="s">
        <v>158</v>
      </c>
      <c r="L2" s="42" t="s">
        <v>160</v>
      </c>
    </row>
    <row r="3" spans="2:12" x14ac:dyDescent="0.3">
      <c r="B3" s="61">
        <v>1</v>
      </c>
      <c r="C3" s="44" t="s">
        <v>182</v>
      </c>
      <c r="D3" s="48"/>
      <c r="E3" s="34"/>
      <c r="F3" s="49"/>
      <c r="G3" s="39" t="s">
        <v>177</v>
      </c>
      <c r="H3" s="34" t="s">
        <v>178</v>
      </c>
      <c r="I3" s="34"/>
      <c r="J3" s="34"/>
      <c r="K3" s="55"/>
      <c r="L3" s="58" t="s">
        <v>195</v>
      </c>
    </row>
    <row r="4" spans="2:12" x14ac:dyDescent="0.3">
      <c r="B4" s="62">
        <v>2</v>
      </c>
      <c r="C4" s="45" t="s">
        <v>172</v>
      </c>
      <c r="D4" s="50" t="s">
        <v>179</v>
      </c>
      <c r="E4" s="32" t="s">
        <v>174</v>
      </c>
      <c r="F4" s="51"/>
      <c r="G4" s="40" t="s">
        <v>189</v>
      </c>
      <c r="H4" s="32" t="s">
        <v>191</v>
      </c>
      <c r="I4" s="32" t="s">
        <v>193</v>
      </c>
      <c r="J4" s="32" t="s">
        <v>172</v>
      </c>
      <c r="K4" s="56"/>
      <c r="L4" s="59" t="s">
        <v>163</v>
      </c>
    </row>
    <row r="5" spans="2:12" x14ac:dyDescent="0.3">
      <c r="B5" s="62">
        <v>3</v>
      </c>
      <c r="C5" s="45" t="s">
        <v>173</v>
      </c>
      <c r="D5" s="50" t="s">
        <v>179</v>
      </c>
      <c r="E5" s="32" t="s">
        <v>175</v>
      </c>
      <c r="F5" s="51" t="s">
        <v>167</v>
      </c>
      <c r="G5" s="40" t="s">
        <v>190</v>
      </c>
      <c r="H5" s="32" t="s">
        <v>192</v>
      </c>
      <c r="I5" s="32" t="s">
        <v>194</v>
      </c>
      <c r="J5" s="32" t="s">
        <v>173</v>
      </c>
      <c r="K5" s="56"/>
      <c r="L5" s="59" t="s">
        <v>163</v>
      </c>
    </row>
    <row r="6" spans="2:12" x14ac:dyDescent="0.3">
      <c r="B6" s="62">
        <v>4</v>
      </c>
      <c r="C6" s="45" t="s">
        <v>183</v>
      </c>
      <c r="D6" s="50" t="s">
        <v>168</v>
      </c>
      <c r="E6" s="32" t="s">
        <v>159</v>
      </c>
      <c r="F6" s="51"/>
      <c r="G6" s="40" t="s">
        <v>170</v>
      </c>
      <c r="H6" s="32" t="s">
        <v>171</v>
      </c>
      <c r="I6" s="32"/>
      <c r="J6" s="32"/>
      <c r="K6" s="56"/>
      <c r="L6" s="59" t="s">
        <v>163</v>
      </c>
    </row>
    <row r="7" spans="2:12" x14ac:dyDescent="0.3">
      <c r="B7" s="62">
        <v>5</v>
      </c>
      <c r="C7" s="45" t="s">
        <v>181</v>
      </c>
      <c r="D7" s="50" t="s">
        <v>168</v>
      </c>
      <c r="E7" s="32"/>
      <c r="F7" s="51"/>
      <c r="G7" s="40" t="s">
        <v>185</v>
      </c>
      <c r="H7" s="32" t="s">
        <v>186</v>
      </c>
      <c r="I7" s="32" t="s">
        <v>187</v>
      </c>
      <c r="J7" s="32" t="s">
        <v>188</v>
      </c>
      <c r="K7" s="56" t="s">
        <v>216</v>
      </c>
      <c r="L7" s="59" t="s">
        <v>162</v>
      </c>
    </row>
    <row r="8" spans="2:12" ht="17.25" thickBot="1" x14ac:dyDescent="0.35">
      <c r="B8" s="63">
        <v>6</v>
      </c>
      <c r="C8" s="46" t="s">
        <v>184</v>
      </c>
      <c r="D8" s="52" t="s">
        <v>168</v>
      </c>
      <c r="E8" s="33" t="s">
        <v>176</v>
      </c>
      <c r="F8" s="53" t="s">
        <v>196</v>
      </c>
      <c r="G8" s="41" t="s">
        <v>169</v>
      </c>
      <c r="H8" s="33" t="s">
        <v>161</v>
      </c>
      <c r="I8" s="33"/>
      <c r="J8" s="33"/>
      <c r="K8" s="57"/>
      <c r="L8" s="60" t="s">
        <v>162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6.5" x14ac:dyDescent="0.3"/>
  <cols>
    <col min="1" max="1" width="2.625" customWidth="1"/>
  </cols>
  <sheetData>
    <row r="2" spans="2:23" x14ac:dyDescent="0.3">
      <c r="B2" t="s">
        <v>197</v>
      </c>
      <c r="H2" t="s">
        <v>198</v>
      </c>
      <c r="W2" t="s">
        <v>199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1:N14"/>
  <sheetViews>
    <sheetView workbookViewId="0"/>
  </sheetViews>
  <sheetFormatPr defaultRowHeight="13.5" x14ac:dyDescent="0.3"/>
  <cols>
    <col min="1" max="1" width="2.625" style="11" customWidth="1"/>
    <col min="2" max="2" width="8.75" style="11" bestFit="1" customWidth="1"/>
    <col min="3" max="3" width="13.625" style="11" bestFit="1" customWidth="1"/>
    <col min="4" max="4" width="4.875" style="11" bestFit="1" customWidth="1"/>
    <col min="5" max="5" width="28.875" style="11" customWidth="1"/>
    <col min="6" max="6" width="5.25" style="11" bestFit="1" customWidth="1"/>
    <col min="7" max="10" width="4.875" style="11" bestFit="1" customWidth="1"/>
    <col min="11" max="13" width="5.75" style="11" bestFit="1" customWidth="1"/>
    <col min="14" max="14" width="54.5" style="11" bestFit="1" customWidth="1"/>
    <col min="15" max="16384" width="9" style="11"/>
  </cols>
  <sheetData>
    <row r="1" spans="2:14" ht="14.25" thickBot="1" x14ac:dyDescent="0.35"/>
    <row r="2" spans="2:14" ht="16.5" customHeight="1" x14ac:dyDescent="0.3">
      <c r="B2" s="106" t="s">
        <v>201</v>
      </c>
      <c r="C2" s="109" t="s">
        <v>203</v>
      </c>
      <c r="D2" s="111" t="s">
        <v>204</v>
      </c>
      <c r="F2" s="106" t="s">
        <v>98</v>
      </c>
      <c r="G2" s="109"/>
      <c r="H2" s="109"/>
      <c r="I2" s="109"/>
      <c r="J2" s="109" t="s">
        <v>97</v>
      </c>
      <c r="K2" s="109"/>
      <c r="L2" s="109"/>
      <c r="M2" s="114"/>
      <c r="N2" s="103" t="s">
        <v>202</v>
      </c>
    </row>
    <row r="3" spans="2:14" x14ac:dyDescent="0.3">
      <c r="B3" s="107"/>
      <c r="C3" s="99"/>
      <c r="D3" s="112"/>
      <c r="F3" s="64" t="s">
        <v>138</v>
      </c>
      <c r="G3" s="7" t="s">
        <v>139</v>
      </c>
      <c r="H3" s="7" t="s">
        <v>140</v>
      </c>
      <c r="I3" s="7" t="s">
        <v>141</v>
      </c>
      <c r="J3" s="7" t="s">
        <v>138</v>
      </c>
      <c r="K3" s="7" t="s">
        <v>139</v>
      </c>
      <c r="L3" s="7" t="s">
        <v>140</v>
      </c>
      <c r="M3" s="76" t="s">
        <v>141</v>
      </c>
      <c r="N3" s="104"/>
    </row>
    <row r="4" spans="2:14" ht="14.25" thickBot="1" x14ac:dyDescent="0.35">
      <c r="B4" s="108"/>
      <c r="C4" s="110"/>
      <c r="D4" s="113"/>
      <c r="F4" s="74">
        <v>1</v>
      </c>
      <c r="G4" s="75">
        <f t="shared" ref="G4:M4" si="0">F4+20</f>
        <v>21</v>
      </c>
      <c r="H4" s="75">
        <f t="shared" si="0"/>
        <v>41</v>
      </c>
      <c r="I4" s="75">
        <f t="shared" si="0"/>
        <v>61</v>
      </c>
      <c r="J4" s="75">
        <f t="shared" si="0"/>
        <v>81</v>
      </c>
      <c r="K4" s="75">
        <f t="shared" si="0"/>
        <v>101</v>
      </c>
      <c r="L4" s="75">
        <f t="shared" si="0"/>
        <v>121</v>
      </c>
      <c r="M4" s="77">
        <f t="shared" si="0"/>
        <v>141</v>
      </c>
      <c r="N4" s="105"/>
    </row>
    <row r="5" spans="2:14" x14ac:dyDescent="0.3">
      <c r="B5" s="70">
        <v>1</v>
      </c>
      <c r="C5" s="71" t="s">
        <v>12</v>
      </c>
      <c r="D5" s="72">
        <v>0</v>
      </c>
      <c r="F5" s="70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80" t="s">
        <v>208</v>
      </c>
    </row>
    <row r="6" spans="2:14" x14ac:dyDescent="0.3">
      <c r="B6" s="65">
        <v>2</v>
      </c>
      <c r="C6" s="3" t="s">
        <v>205</v>
      </c>
      <c r="D6" s="66">
        <v>50</v>
      </c>
      <c r="F6" s="65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78">
        <v>0</v>
      </c>
      <c r="N6" s="81" t="s">
        <v>207</v>
      </c>
    </row>
    <row r="7" spans="2:14" x14ac:dyDescent="0.3">
      <c r="B7" s="65">
        <v>3</v>
      </c>
      <c r="C7" s="3" t="s">
        <v>19</v>
      </c>
      <c r="D7" s="66">
        <v>1</v>
      </c>
      <c r="F7" s="83">
        <v>50</v>
      </c>
      <c r="G7" s="84">
        <v>50</v>
      </c>
      <c r="H7" s="84">
        <v>50</v>
      </c>
      <c r="I7" s="84">
        <v>50</v>
      </c>
      <c r="J7" s="84">
        <v>50</v>
      </c>
      <c r="K7" s="84">
        <v>50</v>
      </c>
      <c r="L7" s="84">
        <v>50</v>
      </c>
      <c r="M7" s="85">
        <v>50</v>
      </c>
      <c r="N7" s="81" t="s">
        <v>209</v>
      </c>
    </row>
    <row r="8" spans="2:14" x14ac:dyDescent="0.3">
      <c r="B8" s="65">
        <v>4</v>
      </c>
      <c r="C8" s="3" t="s">
        <v>23</v>
      </c>
      <c r="D8" s="66">
        <v>1</v>
      </c>
      <c r="F8" s="65">
        <v>0</v>
      </c>
      <c r="G8" s="84">
        <v>50</v>
      </c>
      <c r="H8" s="84">
        <v>50</v>
      </c>
      <c r="I8" s="84">
        <v>50</v>
      </c>
      <c r="J8" s="84">
        <v>50</v>
      </c>
      <c r="K8" s="84">
        <v>50</v>
      </c>
      <c r="L8" s="84">
        <v>50</v>
      </c>
      <c r="M8" s="85">
        <v>50</v>
      </c>
      <c r="N8" s="81" t="s">
        <v>210</v>
      </c>
    </row>
    <row r="9" spans="2:14" x14ac:dyDescent="0.3">
      <c r="B9" s="65">
        <v>5</v>
      </c>
      <c r="C9" s="3" t="s">
        <v>23</v>
      </c>
      <c r="D9" s="66">
        <v>61</v>
      </c>
      <c r="F9" s="65">
        <v>0</v>
      </c>
      <c r="G9" s="84">
        <v>50</v>
      </c>
      <c r="H9" s="84">
        <v>50</v>
      </c>
      <c r="I9" s="9">
        <v>0</v>
      </c>
      <c r="J9" s="84">
        <v>50</v>
      </c>
      <c r="K9" s="84">
        <v>50</v>
      </c>
      <c r="L9" s="84">
        <v>50</v>
      </c>
      <c r="M9" s="85">
        <v>50</v>
      </c>
      <c r="N9" s="81" t="s">
        <v>211</v>
      </c>
    </row>
    <row r="10" spans="2:14" x14ac:dyDescent="0.3">
      <c r="B10" s="65">
        <v>6</v>
      </c>
      <c r="C10" s="3" t="s">
        <v>20</v>
      </c>
      <c r="D10" s="66">
        <v>0</v>
      </c>
      <c r="F10" s="65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78">
        <v>0</v>
      </c>
      <c r="N10" s="81" t="s">
        <v>212</v>
      </c>
    </row>
    <row r="11" spans="2:14" x14ac:dyDescent="0.3">
      <c r="B11" s="65">
        <v>7</v>
      </c>
      <c r="C11" s="3" t="s">
        <v>22</v>
      </c>
      <c r="D11" s="66">
        <v>81</v>
      </c>
      <c r="F11" s="65">
        <v>0</v>
      </c>
      <c r="G11" s="9">
        <v>0</v>
      </c>
      <c r="H11" s="9">
        <v>0</v>
      </c>
      <c r="I11" s="9">
        <v>0</v>
      </c>
      <c r="J11" s="84">
        <v>50</v>
      </c>
      <c r="K11" s="9">
        <v>0</v>
      </c>
      <c r="L11" s="9">
        <v>0</v>
      </c>
      <c r="M11" s="78">
        <v>0</v>
      </c>
      <c r="N11" s="81" t="s">
        <v>213</v>
      </c>
    </row>
    <row r="12" spans="2:14" x14ac:dyDescent="0.3">
      <c r="B12" s="65">
        <v>8</v>
      </c>
      <c r="C12" s="3" t="s">
        <v>205</v>
      </c>
      <c r="D12" s="66">
        <v>100</v>
      </c>
      <c r="F12" s="65">
        <v>0</v>
      </c>
      <c r="G12" s="9">
        <v>0</v>
      </c>
      <c r="H12" s="9">
        <v>0</v>
      </c>
      <c r="I12" s="9">
        <v>0</v>
      </c>
      <c r="J12" s="87">
        <v>100</v>
      </c>
      <c r="K12" s="9">
        <v>0</v>
      </c>
      <c r="L12" s="9">
        <v>0</v>
      </c>
      <c r="M12" s="78">
        <v>0</v>
      </c>
      <c r="N12" s="81" t="s">
        <v>206</v>
      </c>
    </row>
    <row r="13" spans="2:14" x14ac:dyDescent="0.3">
      <c r="B13" s="65">
        <v>9</v>
      </c>
      <c r="C13" s="3" t="s">
        <v>22</v>
      </c>
      <c r="D13" s="66">
        <v>0</v>
      </c>
      <c r="F13" s="86">
        <v>100</v>
      </c>
      <c r="G13" s="87">
        <v>100</v>
      </c>
      <c r="H13" s="87">
        <v>100</v>
      </c>
      <c r="I13" s="87">
        <v>100</v>
      </c>
      <c r="J13" s="87">
        <v>100</v>
      </c>
      <c r="K13" s="87">
        <v>100</v>
      </c>
      <c r="L13" s="87">
        <v>100</v>
      </c>
      <c r="M13" s="88">
        <v>100</v>
      </c>
      <c r="N13" s="81" t="s">
        <v>214</v>
      </c>
    </row>
    <row r="14" spans="2:14" ht="14.25" thickBot="1" x14ac:dyDescent="0.35">
      <c r="B14" s="67">
        <v>10</v>
      </c>
      <c r="C14" s="68" t="s">
        <v>205</v>
      </c>
      <c r="D14" s="69">
        <v>0</v>
      </c>
      <c r="F14" s="67">
        <v>0</v>
      </c>
      <c r="G14" s="73">
        <v>0</v>
      </c>
      <c r="H14" s="73">
        <v>0</v>
      </c>
      <c r="I14" s="73">
        <v>0</v>
      </c>
      <c r="J14" s="73">
        <v>0</v>
      </c>
      <c r="K14" s="73">
        <v>0</v>
      </c>
      <c r="L14" s="73">
        <v>0</v>
      </c>
      <c r="M14" s="79">
        <v>0</v>
      </c>
      <c r="N14" s="82" t="s">
        <v>215</v>
      </c>
    </row>
  </sheetData>
  <mergeCells count="6">
    <mergeCell ref="N2:N4"/>
    <mergeCell ref="B2:B4"/>
    <mergeCell ref="C2:C4"/>
    <mergeCell ref="D2:D4"/>
    <mergeCell ref="F2:I2"/>
    <mergeCell ref="J2:M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2025-09-24T06:06:01Z</dcterms:modified>
</cp:coreProperties>
</file>