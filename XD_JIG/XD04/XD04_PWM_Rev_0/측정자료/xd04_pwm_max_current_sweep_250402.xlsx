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working\01_Project\Jig\XD_JIG\XD04\XD04_PWM_Rev_0\측정자료\"/>
    </mc:Choice>
  </mc:AlternateContent>
  <xr:revisionPtr revIDLastSave="0" documentId="13_ncr:1_{11F94DB6-7D6A-480E-87FF-7B2820AF79EB}" xr6:coauthVersionLast="47" xr6:coauthVersionMax="47" xr10:uidLastSave="{00000000-0000-0000-0000-000000000000}"/>
  <bookViews>
    <workbookView xWindow="43080" yWindow="4095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1" l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AP14" i="1"/>
  <c r="AQ14" i="1"/>
  <c r="AR14" i="1"/>
  <c r="AS14" i="1"/>
  <c r="AT14" i="1"/>
  <c r="AU14" i="1"/>
  <c r="AV14" i="1"/>
  <c r="AW14" i="1"/>
  <c r="AX14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AM15" i="1"/>
  <c r="AN15" i="1"/>
  <c r="AO15" i="1"/>
  <c r="AP15" i="1"/>
  <c r="AQ15" i="1"/>
  <c r="AR15" i="1"/>
  <c r="AS15" i="1"/>
  <c r="AT15" i="1"/>
  <c r="AU15" i="1"/>
  <c r="AV15" i="1"/>
  <c r="AW15" i="1"/>
  <c r="AX15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AO16" i="1"/>
  <c r="AP16" i="1"/>
  <c r="AQ16" i="1"/>
  <c r="AR16" i="1"/>
  <c r="AS16" i="1"/>
  <c r="AT16" i="1"/>
  <c r="AU16" i="1"/>
  <c r="AV16" i="1"/>
  <c r="AW16" i="1"/>
  <c r="AX16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AN17" i="1"/>
  <c r="AO17" i="1"/>
  <c r="AP17" i="1"/>
  <c r="AQ17" i="1"/>
  <c r="AR17" i="1"/>
  <c r="AS17" i="1"/>
  <c r="AT17" i="1"/>
  <c r="AU17" i="1"/>
  <c r="AV17" i="1"/>
  <c r="AW17" i="1"/>
  <c r="AX17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AO18" i="1"/>
  <c r="AP18" i="1"/>
  <c r="AQ18" i="1"/>
  <c r="AR18" i="1"/>
  <c r="AS18" i="1"/>
  <c r="AT18" i="1"/>
  <c r="AU18" i="1"/>
  <c r="AV18" i="1"/>
  <c r="AW18" i="1"/>
  <c r="AX18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AO19" i="1"/>
  <c r="AP19" i="1"/>
  <c r="AQ19" i="1"/>
  <c r="AR19" i="1"/>
  <c r="AS19" i="1"/>
  <c r="AT19" i="1"/>
  <c r="AU19" i="1"/>
  <c r="AV19" i="1"/>
  <c r="AW19" i="1"/>
  <c r="AX19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AM20" i="1"/>
  <c r="AN20" i="1"/>
  <c r="AO20" i="1"/>
  <c r="AP20" i="1"/>
  <c r="AQ20" i="1"/>
  <c r="AR20" i="1"/>
  <c r="AS20" i="1"/>
  <c r="AT20" i="1"/>
  <c r="AU20" i="1"/>
  <c r="AV20" i="1"/>
  <c r="AW20" i="1"/>
  <c r="AX20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AM21" i="1"/>
  <c r="AN21" i="1"/>
  <c r="AO21" i="1"/>
  <c r="AP21" i="1"/>
  <c r="AQ21" i="1"/>
  <c r="AR21" i="1"/>
  <c r="AS21" i="1"/>
  <c r="AT21" i="1"/>
  <c r="AU21" i="1"/>
  <c r="AV21" i="1"/>
  <c r="AW21" i="1"/>
  <c r="AX21" i="1"/>
  <c r="C15" i="1"/>
  <c r="C16" i="1"/>
  <c r="C17" i="1"/>
  <c r="C18" i="1"/>
  <c r="C19" i="1"/>
  <c r="C20" i="1"/>
  <c r="C21" i="1"/>
  <c r="C14" i="1"/>
</calcChain>
</file>

<file path=xl/sharedStrings.xml><?xml version="1.0" encoding="utf-8"?>
<sst xmlns="http://schemas.openxmlformats.org/spreadsheetml/2006/main" count="98" uniqueCount="5">
  <si>
    <t xml:space="preserve"> io_1</t>
  </si>
  <si>
    <t xml:space="preserve"> io_2</t>
  </si>
  <si>
    <t xml:space="preserve"> io_3</t>
  </si>
  <si>
    <t xml:space="preserve"> io_4</t>
  </si>
  <si>
    <t>max current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</si>
</sst>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>
      <alignment vertical="center"/>
    </xf>
  </cellStyleXfs>
  <cellXfs count="19">
    <xf numFmtId="0" fontId="0" fillId="0" borderId="0" xfId="0"/>
    <xf numFmtId="0" fontId="0" fillId="2" borderId="2" xfId="0" applyFill="1" applyBorder="1"/>
    <xf numFmtId="0" fontId="0" fillId="2" borderId="3" xfId="0" applyFill="1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2" borderId="1" xfId="0" applyFill="1" applyBorder="1"/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/>
    <xf numFmtId="10" fontId="0" fillId="0" borderId="4" xfId="1" applyNumberFormat="1" applyFont="1" applyBorder="1" applyAlignment="1"/>
    <xf numFmtId="10" fontId="0" fillId="0" borderId="0" xfId="1" applyNumberFormat="1" applyFont="1" applyBorder="1" applyAlignment="1"/>
    <xf numFmtId="10" fontId="0" fillId="0" borderId="5" xfId="1" applyNumberFormat="1" applyFont="1" applyBorder="1" applyAlignment="1"/>
    <xf numFmtId="10" fontId="0" fillId="0" borderId="6" xfId="1" applyNumberFormat="1" applyFont="1" applyBorder="1" applyAlignment="1"/>
    <xf numFmtId="10" fontId="0" fillId="0" borderId="7" xfId="1" applyNumberFormat="1" applyFont="1" applyBorder="1" applyAlignment="1"/>
    <xf numFmtId="10" fontId="0" fillId="0" borderId="8" xfId="1" applyNumberFormat="1" applyFont="1" applyBorder="1" applyAlignment="1"/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X21"/>
  <sheetViews>
    <sheetView tabSelected="1" zoomScale="70" zoomScaleNormal="70" workbookViewId="0"/>
  </sheetViews>
  <sheetFormatPr defaultRowHeight="16.899999999999999" x14ac:dyDescent="0.6"/>
  <cols>
    <col min="1" max="1" width="2.5625" customWidth="1"/>
    <col min="2" max="2" width="12.1875" bestFit="1" customWidth="1"/>
  </cols>
  <sheetData>
    <row r="1" spans="2:50" ht="17.25" thickBot="1" x14ac:dyDescent="0.65"/>
    <row r="2" spans="2:50" ht="17.25" thickBot="1" x14ac:dyDescent="0.65">
      <c r="B2" s="9" t="s">
        <v>4</v>
      </c>
      <c r="C2" s="10" t="s">
        <v>0</v>
      </c>
      <c r="D2" s="11" t="s">
        <v>1</v>
      </c>
      <c r="E2" s="11" t="s">
        <v>2</v>
      </c>
      <c r="F2" s="12" t="s">
        <v>3</v>
      </c>
      <c r="G2" s="10" t="s">
        <v>0</v>
      </c>
      <c r="H2" s="11" t="s">
        <v>1</v>
      </c>
      <c r="I2" s="11" t="s">
        <v>2</v>
      </c>
      <c r="J2" s="12" t="s">
        <v>3</v>
      </c>
      <c r="K2" s="10" t="s">
        <v>0</v>
      </c>
      <c r="L2" s="11" t="s">
        <v>1</v>
      </c>
      <c r="M2" s="11" t="s">
        <v>2</v>
      </c>
      <c r="N2" s="12" t="s">
        <v>3</v>
      </c>
      <c r="O2" s="10" t="s">
        <v>0</v>
      </c>
      <c r="P2" s="11" t="s">
        <v>1</v>
      </c>
      <c r="Q2" s="11" t="s">
        <v>2</v>
      </c>
      <c r="R2" s="12" t="s">
        <v>3</v>
      </c>
      <c r="S2" s="10" t="s">
        <v>0</v>
      </c>
      <c r="T2" s="11" t="s">
        <v>1</v>
      </c>
      <c r="U2" s="11" t="s">
        <v>2</v>
      </c>
      <c r="V2" s="12" t="s">
        <v>3</v>
      </c>
      <c r="W2" s="10" t="s">
        <v>0</v>
      </c>
      <c r="X2" s="11" t="s">
        <v>1</v>
      </c>
      <c r="Y2" s="11" t="s">
        <v>2</v>
      </c>
      <c r="Z2" s="12" t="s">
        <v>3</v>
      </c>
      <c r="AA2" s="10" t="s">
        <v>0</v>
      </c>
      <c r="AB2" s="11" t="s">
        <v>1</v>
      </c>
      <c r="AC2" s="11" t="s">
        <v>2</v>
      </c>
      <c r="AD2" s="12" t="s">
        <v>3</v>
      </c>
      <c r="AE2" s="10" t="s">
        <v>0</v>
      </c>
      <c r="AF2" s="11" t="s">
        <v>1</v>
      </c>
      <c r="AG2" s="11" t="s">
        <v>2</v>
      </c>
      <c r="AH2" s="12" t="s">
        <v>3</v>
      </c>
      <c r="AI2" s="10" t="s">
        <v>0</v>
      </c>
      <c r="AJ2" s="11" t="s">
        <v>1</v>
      </c>
      <c r="AK2" s="11" t="s">
        <v>2</v>
      </c>
      <c r="AL2" s="12" t="s">
        <v>3</v>
      </c>
      <c r="AM2" s="10" t="s">
        <v>0</v>
      </c>
      <c r="AN2" s="11" t="s">
        <v>1</v>
      </c>
      <c r="AO2" s="11" t="s">
        <v>2</v>
      </c>
      <c r="AP2" s="12" t="s">
        <v>3</v>
      </c>
      <c r="AQ2" s="10" t="s">
        <v>0</v>
      </c>
      <c r="AR2" s="11" t="s">
        <v>1</v>
      </c>
      <c r="AS2" s="11" t="s">
        <v>2</v>
      </c>
      <c r="AT2" s="12" t="s">
        <v>3</v>
      </c>
      <c r="AU2" s="10" t="s">
        <v>0</v>
      </c>
      <c r="AV2" s="11" t="s">
        <v>1</v>
      </c>
      <c r="AW2" s="11" t="s">
        <v>2</v>
      </c>
      <c r="AX2" s="12" t="s">
        <v>3</v>
      </c>
    </row>
    <row r="3" spans="2:50" x14ac:dyDescent="0.6">
      <c r="B3" s="1">
        <v>8</v>
      </c>
      <c r="C3" s="3">
        <v>7.8643900000000002</v>
      </c>
      <c r="D3" s="4">
        <v>7.9974100000000004</v>
      </c>
      <c r="E3" s="4">
        <v>7.9504599999999996</v>
      </c>
      <c r="F3" s="5">
        <v>7.9974100000000004</v>
      </c>
      <c r="G3" s="3">
        <v>7.91134</v>
      </c>
      <c r="H3" s="4">
        <v>7.9582899999999999</v>
      </c>
      <c r="I3" s="4">
        <v>7.9426399999999999</v>
      </c>
      <c r="J3" s="5">
        <v>7.9504599999999996</v>
      </c>
      <c r="K3" s="3">
        <v>8.0365400000000005</v>
      </c>
      <c r="L3" s="4">
        <v>7.9739399999999998</v>
      </c>
      <c r="M3" s="4">
        <v>8.0287199999999999</v>
      </c>
      <c r="N3" s="5">
        <v>8.0521899999999995</v>
      </c>
      <c r="O3" s="3">
        <v>7.9191599999999998</v>
      </c>
      <c r="P3" s="4">
        <v>8.0130700000000008</v>
      </c>
      <c r="Q3" s="4">
        <v>7.9348099999999997</v>
      </c>
      <c r="R3" s="5">
        <v>8.0287199999999999</v>
      </c>
      <c r="S3" s="3">
        <v>7.8643900000000002</v>
      </c>
      <c r="T3" s="4">
        <v>8.0443700000000007</v>
      </c>
      <c r="U3" s="4">
        <v>8.0052400000000006</v>
      </c>
      <c r="V3" s="5">
        <v>7.9974100000000004</v>
      </c>
      <c r="W3" s="3">
        <v>8.0521899999999995</v>
      </c>
      <c r="X3" s="4">
        <v>8.0130700000000008</v>
      </c>
      <c r="Y3" s="4">
        <v>8.0991400000000002</v>
      </c>
      <c r="Z3" s="5">
        <v>8.0913199999999996</v>
      </c>
      <c r="AA3" s="3">
        <v>7.9348099999999997</v>
      </c>
      <c r="AB3" s="4">
        <v>7.9582899999999999</v>
      </c>
      <c r="AC3" s="4">
        <v>8.0365400000000005</v>
      </c>
      <c r="AD3" s="5">
        <v>8.0130700000000008</v>
      </c>
      <c r="AE3" s="3">
        <v>8.0521899999999995</v>
      </c>
      <c r="AF3" s="4">
        <v>8.1069700000000005</v>
      </c>
      <c r="AG3" s="4">
        <v>8.1617499999999996</v>
      </c>
      <c r="AH3" s="5">
        <v>8.0365400000000005</v>
      </c>
      <c r="AI3" s="3">
        <v>8.0287199999999999</v>
      </c>
      <c r="AJ3" s="4">
        <v>7.9895899999999997</v>
      </c>
      <c r="AK3" s="4">
        <v>7.9348099999999997</v>
      </c>
      <c r="AL3" s="5">
        <v>7.9739399999999998</v>
      </c>
      <c r="AM3" s="3">
        <v>7.9191599999999998</v>
      </c>
      <c r="AN3" s="4">
        <v>7.8800400000000002</v>
      </c>
      <c r="AO3" s="4">
        <v>7.8252600000000001</v>
      </c>
      <c r="AP3" s="5">
        <v>7.8878599999999999</v>
      </c>
      <c r="AQ3" s="3">
        <v>7.9895899999999997</v>
      </c>
      <c r="AR3" s="4">
        <v>8.0756700000000006</v>
      </c>
      <c r="AS3" s="4">
        <v>8.0052400000000006</v>
      </c>
      <c r="AT3" s="5">
        <v>8.1304400000000001</v>
      </c>
      <c r="AU3" s="3">
        <v>8.0208899999999996</v>
      </c>
      <c r="AV3" s="4">
        <v>8.0130700000000008</v>
      </c>
      <c r="AW3" s="4">
        <v>7.9895899999999997</v>
      </c>
      <c r="AX3" s="5">
        <v>8.0208899999999996</v>
      </c>
    </row>
    <row r="4" spans="2:50" x14ac:dyDescent="0.6">
      <c r="B4" s="1">
        <v>16</v>
      </c>
      <c r="C4" s="3">
        <v>16.135680000000001</v>
      </c>
      <c r="D4" s="4">
        <v>16.19829</v>
      </c>
      <c r="E4" s="4">
        <v>16.09656</v>
      </c>
      <c r="F4" s="5">
        <v>15.971349999999999</v>
      </c>
      <c r="G4" s="3">
        <v>16.002659999999999</v>
      </c>
      <c r="H4" s="4">
        <v>15.987</v>
      </c>
      <c r="I4" s="4">
        <v>16.026129999999998</v>
      </c>
      <c r="J4" s="5">
        <v>16.033950000000001</v>
      </c>
      <c r="K4" s="3">
        <v>15.900930000000001</v>
      </c>
      <c r="L4" s="4">
        <v>16.026129999999998</v>
      </c>
      <c r="M4" s="4">
        <v>15.940049999999999</v>
      </c>
      <c r="N4" s="5">
        <v>15.96353</v>
      </c>
      <c r="O4" s="3">
        <v>15.971349999999999</v>
      </c>
      <c r="P4" s="4">
        <v>15.971349999999999</v>
      </c>
      <c r="Q4" s="4">
        <v>16.049610000000001</v>
      </c>
      <c r="R4" s="5">
        <v>15.940049999999999</v>
      </c>
      <c r="S4" s="3">
        <v>16.002659999999999</v>
      </c>
      <c r="T4" s="4">
        <v>15.9557</v>
      </c>
      <c r="U4" s="4">
        <v>15.94788</v>
      </c>
      <c r="V4" s="5">
        <v>15.932230000000001</v>
      </c>
      <c r="W4" s="3">
        <v>15.9244</v>
      </c>
      <c r="X4" s="4">
        <v>16.026129999999998</v>
      </c>
      <c r="Y4" s="4">
        <v>15.9244</v>
      </c>
      <c r="Z4" s="5">
        <v>15.9557</v>
      </c>
      <c r="AA4" s="3">
        <v>16.05743</v>
      </c>
      <c r="AB4" s="4">
        <v>16.049610000000001</v>
      </c>
      <c r="AC4" s="4">
        <v>15.971349999999999</v>
      </c>
      <c r="AD4" s="5">
        <v>15.94788</v>
      </c>
      <c r="AE4" s="3">
        <v>15.861800000000001</v>
      </c>
      <c r="AF4" s="4">
        <v>15.96353</v>
      </c>
      <c r="AG4" s="4">
        <v>15.932230000000001</v>
      </c>
      <c r="AH4" s="5">
        <v>16.002659999999999</v>
      </c>
      <c r="AI4" s="3">
        <v>15.85397</v>
      </c>
      <c r="AJ4" s="4">
        <v>15.940049999999999</v>
      </c>
      <c r="AK4" s="4">
        <v>16.05743</v>
      </c>
      <c r="AL4" s="5">
        <v>15.940049999999999</v>
      </c>
      <c r="AM4" s="3">
        <v>15.99483</v>
      </c>
      <c r="AN4" s="4">
        <v>16.19829</v>
      </c>
      <c r="AO4" s="4">
        <v>16.049610000000001</v>
      </c>
      <c r="AP4" s="5">
        <v>16.049610000000001</v>
      </c>
      <c r="AQ4" s="3">
        <v>15.91658</v>
      </c>
      <c r="AR4" s="4">
        <v>15.861800000000001</v>
      </c>
      <c r="AS4" s="4">
        <v>16.010480000000001</v>
      </c>
      <c r="AT4" s="5">
        <v>15.8931</v>
      </c>
      <c r="AU4" s="3">
        <v>15.91658</v>
      </c>
      <c r="AV4" s="4">
        <v>15.900930000000001</v>
      </c>
      <c r="AW4" s="4">
        <v>15.94788</v>
      </c>
      <c r="AX4" s="5">
        <v>15.987</v>
      </c>
    </row>
    <row r="5" spans="2:50" x14ac:dyDescent="0.6">
      <c r="B5" s="1">
        <v>24</v>
      </c>
      <c r="C5" s="3">
        <v>24.446110000000001</v>
      </c>
      <c r="D5" s="4">
        <v>24.446110000000001</v>
      </c>
      <c r="E5" s="4">
        <v>24.180050000000001</v>
      </c>
      <c r="F5" s="5">
        <v>23.827909999999999</v>
      </c>
      <c r="G5" s="3">
        <v>23.992239999999999</v>
      </c>
      <c r="H5" s="4">
        <v>23.937470000000001</v>
      </c>
      <c r="I5" s="4">
        <v>24.054849999999998</v>
      </c>
      <c r="J5" s="5">
        <v>24.031369999999999</v>
      </c>
      <c r="K5" s="3">
        <v>23.655760000000001</v>
      </c>
      <c r="L5" s="4">
        <v>24.00789</v>
      </c>
      <c r="M5" s="4">
        <v>23.78096</v>
      </c>
      <c r="N5" s="5">
        <v>23.765309999999999</v>
      </c>
      <c r="O5" s="3">
        <v>23.98442</v>
      </c>
      <c r="P5" s="4">
        <v>23.82009</v>
      </c>
      <c r="Q5" s="4">
        <v>24.172219999999999</v>
      </c>
      <c r="R5" s="5">
        <v>23.74183</v>
      </c>
      <c r="S5" s="3">
        <v>24.133099999999999</v>
      </c>
      <c r="T5" s="4">
        <v>23.757490000000001</v>
      </c>
      <c r="U5" s="4">
        <v>23.812259999999998</v>
      </c>
      <c r="V5" s="5">
        <v>23.796610000000001</v>
      </c>
      <c r="W5" s="3">
        <v>23.647929999999999</v>
      </c>
      <c r="X5" s="4">
        <v>23.953119999999998</v>
      </c>
      <c r="Y5" s="4">
        <v>23.57751</v>
      </c>
      <c r="Z5" s="5">
        <v>23.647929999999999</v>
      </c>
      <c r="AA5" s="3">
        <v>24.08615</v>
      </c>
      <c r="AB5" s="4">
        <v>24.10962</v>
      </c>
      <c r="AC5" s="4">
        <v>23.796610000000001</v>
      </c>
      <c r="AD5" s="5">
        <v>23.773140000000001</v>
      </c>
      <c r="AE5" s="3">
        <v>23.460129999999999</v>
      </c>
      <c r="AF5" s="4">
        <v>23.593150000000001</v>
      </c>
      <c r="AG5" s="4">
        <v>23.483599999999999</v>
      </c>
      <c r="AH5" s="5">
        <v>23.773140000000001</v>
      </c>
      <c r="AI5" s="3">
        <v>23.522729999999999</v>
      </c>
      <c r="AJ5" s="4">
        <v>23.757490000000001</v>
      </c>
      <c r="AK5" s="4">
        <v>24.101800000000001</v>
      </c>
      <c r="AL5" s="5">
        <v>23.788789999999999</v>
      </c>
      <c r="AM5" s="3">
        <v>24.054849999999998</v>
      </c>
      <c r="AN5" s="4">
        <v>24.626090000000001</v>
      </c>
      <c r="AO5" s="4">
        <v>24.32873</v>
      </c>
      <c r="AP5" s="5">
        <v>24.211349999999999</v>
      </c>
      <c r="AQ5" s="3">
        <v>23.694880000000001</v>
      </c>
      <c r="AR5" s="4">
        <v>23.452300000000001</v>
      </c>
      <c r="AS5" s="4">
        <v>23.929639999999999</v>
      </c>
      <c r="AT5" s="5">
        <v>23.452300000000001</v>
      </c>
      <c r="AU5" s="3">
        <v>23.70271</v>
      </c>
      <c r="AV5" s="4">
        <v>23.66358</v>
      </c>
      <c r="AW5" s="4">
        <v>23.812259999999998</v>
      </c>
      <c r="AX5" s="5">
        <v>23.859210000000001</v>
      </c>
    </row>
    <row r="6" spans="2:50" x14ac:dyDescent="0.6">
      <c r="B6" s="1">
        <v>32</v>
      </c>
      <c r="C6" s="3">
        <v>32.686109999999999</v>
      </c>
      <c r="D6" s="4">
        <v>32.600029999999997</v>
      </c>
      <c r="E6" s="4">
        <v>32.169640000000001</v>
      </c>
      <c r="F6" s="5">
        <v>31.582740000000001</v>
      </c>
      <c r="G6" s="3">
        <v>31.880099999999999</v>
      </c>
      <c r="H6" s="4">
        <v>31.786200000000001</v>
      </c>
      <c r="I6" s="4">
        <v>32.013129999999997</v>
      </c>
      <c r="J6" s="5">
        <v>31.919229999999999</v>
      </c>
      <c r="K6" s="3">
        <v>31.254079999999998</v>
      </c>
      <c r="L6" s="4">
        <v>31.856629999999999</v>
      </c>
      <c r="M6" s="4">
        <v>31.48884</v>
      </c>
      <c r="N6" s="5">
        <v>31.42624</v>
      </c>
      <c r="O6" s="3">
        <v>31.856629999999999</v>
      </c>
      <c r="P6" s="4">
        <v>31.535789999999999</v>
      </c>
      <c r="Q6" s="4">
        <v>32.216589999999997</v>
      </c>
      <c r="R6" s="5">
        <v>31.402760000000001</v>
      </c>
      <c r="S6" s="3">
        <v>32.185290000000002</v>
      </c>
      <c r="T6" s="4">
        <v>31.410589999999999</v>
      </c>
      <c r="U6" s="4">
        <v>31.559270000000001</v>
      </c>
      <c r="V6" s="5">
        <v>31.52797</v>
      </c>
      <c r="W6" s="3">
        <v>31.207129999999999</v>
      </c>
      <c r="X6" s="4">
        <v>31.762730000000001</v>
      </c>
      <c r="Y6" s="4">
        <v>31.066279999999999</v>
      </c>
      <c r="Z6" s="5">
        <v>31.18366</v>
      </c>
      <c r="AA6" s="3">
        <v>31.981829999999999</v>
      </c>
      <c r="AB6" s="4">
        <v>32.075740000000003</v>
      </c>
      <c r="AC6" s="4">
        <v>31.496670000000002</v>
      </c>
      <c r="AD6" s="5">
        <v>31.473189999999999</v>
      </c>
      <c r="AE6" s="3">
        <v>30.894120000000001</v>
      </c>
      <c r="AF6" s="4">
        <v>31.066279999999999</v>
      </c>
      <c r="AG6" s="4">
        <v>30.886299999999999</v>
      </c>
      <c r="AH6" s="5">
        <v>31.371459999999999</v>
      </c>
      <c r="AI6" s="3">
        <v>31.0428</v>
      </c>
      <c r="AJ6" s="4">
        <v>31.410589999999999</v>
      </c>
      <c r="AK6" s="4">
        <v>32.028790000000001</v>
      </c>
      <c r="AL6" s="5">
        <v>31.481020000000001</v>
      </c>
      <c r="AM6" s="3">
        <v>32.067909999999998</v>
      </c>
      <c r="AN6" s="4">
        <v>33.038240000000002</v>
      </c>
      <c r="AO6" s="4">
        <v>32.553080000000001</v>
      </c>
      <c r="AP6" s="5">
        <v>32.294840000000001</v>
      </c>
      <c r="AQ6" s="3">
        <v>31.36364</v>
      </c>
      <c r="AR6" s="4">
        <v>30.933250000000001</v>
      </c>
      <c r="AS6" s="4">
        <v>31.754899999999999</v>
      </c>
      <c r="AT6" s="5">
        <v>30.862819999999999</v>
      </c>
      <c r="AU6" s="3">
        <v>31.355810000000002</v>
      </c>
      <c r="AV6" s="4">
        <v>31.293209999999998</v>
      </c>
      <c r="AW6" s="4">
        <v>31.551439999999999</v>
      </c>
      <c r="AX6" s="5">
        <v>31.60622</v>
      </c>
    </row>
    <row r="7" spans="2:50" x14ac:dyDescent="0.6">
      <c r="B7" s="1">
        <v>48</v>
      </c>
      <c r="C7" s="3">
        <v>48.047089999999997</v>
      </c>
      <c r="D7" s="4">
        <v>48.399230000000003</v>
      </c>
      <c r="E7" s="4">
        <v>48.039259999999999</v>
      </c>
      <c r="F7" s="5">
        <v>48.219250000000002</v>
      </c>
      <c r="G7" s="3">
        <v>48.047089999999997</v>
      </c>
      <c r="H7" s="4">
        <v>48.211419999999997</v>
      </c>
      <c r="I7" s="4">
        <v>48.156640000000003</v>
      </c>
      <c r="J7" s="5">
        <v>48.078389999999999</v>
      </c>
      <c r="K7" s="3">
        <v>48.047089999999997</v>
      </c>
      <c r="L7" s="4">
        <v>48.078389999999999</v>
      </c>
      <c r="M7" s="4">
        <v>48.000140000000002</v>
      </c>
      <c r="N7" s="5">
        <v>48.031440000000003</v>
      </c>
      <c r="O7" s="3">
        <v>48.109690000000001</v>
      </c>
      <c r="P7" s="4">
        <v>48.180120000000002</v>
      </c>
      <c r="Q7" s="4">
        <v>48.117519999999999</v>
      </c>
      <c r="R7" s="5">
        <v>48.117519999999999</v>
      </c>
      <c r="S7" s="3">
        <v>47.78886</v>
      </c>
      <c r="T7" s="4">
        <v>47.96884</v>
      </c>
      <c r="U7" s="4">
        <v>48.015790000000003</v>
      </c>
      <c r="V7" s="5">
        <v>47.882759999999998</v>
      </c>
      <c r="W7" s="3">
        <v>48.007959999999997</v>
      </c>
      <c r="X7" s="4">
        <v>48.039259999999999</v>
      </c>
      <c r="Y7" s="4">
        <v>48.305320000000002</v>
      </c>
      <c r="Z7" s="5">
        <v>48.242719999999998</v>
      </c>
      <c r="AA7" s="3">
        <v>48.172289999999997</v>
      </c>
      <c r="AB7" s="4">
        <v>47.953189999999999</v>
      </c>
      <c r="AC7" s="4">
        <v>48.086219999999997</v>
      </c>
      <c r="AD7" s="5">
        <v>48.086219999999997</v>
      </c>
      <c r="AE7" s="3">
        <v>48.047089999999997</v>
      </c>
      <c r="AF7" s="4">
        <v>48.023609999999998</v>
      </c>
      <c r="AG7" s="4">
        <v>48.203589999999998</v>
      </c>
      <c r="AH7" s="5">
        <v>48.07056</v>
      </c>
      <c r="AI7" s="3">
        <v>48.007959999999997</v>
      </c>
      <c r="AJ7" s="4">
        <v>48.140990000000002</v>
      </c>
      <c r="AK7" s="4">
        <v>47.937530000000002</v>
      </c>
      <c r="AL7" s="5">
        <v>47.992310000000003</v>
      </c>
      <c r="AM7" s="3">
        <v>47.921889999999998</v>
      </c>
      <c r="AN7" s="4">
        <v>47.945360000000001</v>
      </c>
      <c r="AO7" s="4">
        <v>48.007959999999997</v>
      </c>
      <c r="AP7" s="5">
        <v>48.09404</v>
      </c>
      <c r="AQ7" s="3">
        <v>48.180120000000002</v>
      </c>
      <c r="AR7" s="4">
        <v>47.945360000000001</v>
      </c>
      <c r="AS7" s="4">
        <v>47.976660000000003</v>
      </c>
      <c r="AT7" s="5">
        <v>48.054920000000003</v>
      </c>
      <c r="AU7" s="3">
        <v>48.101869999999998</v>
      </c>
      <c r="AV7" s="4">
        <v>48.000140000000002</v>
      </c>
      <c r="AW7" s="4">
        <v>48.031440000000003</v>
      </c>
      <c r="AX7" s="5">
        <v>48.117519999999999</v>
      </c>
    </row>
    <row r="8" spans="2:50" x14ac:dyDescent="0.6">
      <c r="B8" s="1">
        <v>64</v>
      </c>
      <c r="C8" s="3">
        <v>64.253200000000007</v>
      </c>
      <c r="D8" s="4">
        <v>64.644459999999995</v>
      </c>
      <c r="E8" s="4">
        <v>64.010620000000003</v>
      </c>
      <c r="F8" s="5">
        <v>64.018439999999998</v>
      </c>
      <c r="G8" s="3">
        <v>63.932369999999999</v>
      </c>
      <c r="H8" s="4">
        <v>64.096689999999995</v>
      </c>
      <c r="I8" s="4">
        <v>64.22972</v>
      </c>
      <c r="J8" s="5">
        <v>63.96367</v>
      </c>
      <c r="K8" s="3">
        <v>63.728909999999999</v>
      </c>
      <c r="L8" s="4">
        <v>63.932369999999999</v>
      </c>
      <c r="M8" s="4">
        <v>63.814990000000002</v>
      </c>
      <c r="N8" s="5">
        <v>63.807160000000003</v>
      </c>
      <c r="O8" s="3">
        <v>63.932369999999999</v>
      </c>
      <c r="P8" s="4">
        <v>63.846290000000003</v>
      </c>
      <c r="Q8" s="4">
        <v>64.120170000000002</v>
      </c>
      <c r="R8" s="5">
        <v>63.713259999999998</v>
      </c>
      <c r="S8" s="3">
        <v>63.775860000000002</v>
      </c>
      <c r="T8" s="4">
        <v>63.681959999999997</v>
      </c>
      <c r="U8" s="4">
        <v>63.814990000000002</v>
      </c>
      <c r="V8" s="5">
        <v>63.619349999999997</v>
      </c>
      <c r="W8" s="3">
        <v>63.588050000000003</v>
      </c>
      <c r="X8" s="4">
        <v>63.869759999999999</v>
      </c>
      <c r="Y8" s="4">
        <v>63.92454</v>
      </c>
      <c r="Z8" s="5">
        <v>63.838459999999998</v>
      </c>
      <c r="AA8" s="3">
        <v>64.034099999999995</v>
      </c>
      <c r="AB8" s="4">
        <v>63.90889</v>
      </c>
      <c r="AC8" s="4">
        <v>63.791510000000002</v>
      </c>
      <c r="AD8" s="5">
        <v>63.791510000000002</v>
      </c>
      <c r="AE8" s="3">
        <v>63.611530000000002</v>
      </c>
      <c r="AF8" s="4">
        <v>63.548929999999999</v>
      </c>
      <c r="AG8" s="4">
        <v>63.799340000000001</v>
      </c>
      <c r="AH8" s="5">
        <v>63.736730000000001</v>
      </c>
      <c r="AI8" s="3">
        <v>63.603700000000003</v>
      </c>
      <c r="AJ8" s="4">
        <v>63.830640000000002</v>
      </c>
      <c r="AK8" s="4">
        <v>63.768039999999999</v>
      </c>
      <c r="AL8" s="5">
        <v>63.689779999999999</v>
      </c>
      <c r="AM8" s="3">
        <v>63.846290000000003</v>
      </c>
      <c r="AN8" s="4">
        <v>64.307980000000001</v>
      </c>
      <c r="AO8" s="4">
        <v>64.182770000000005</v>
      </c>
      <c r="AP8" s="5">
        <v>64.104519999999994</v>
      </c>
      <c r="AQ8" s="3">
        <v>63.807160000000003</v>
      </c>
      <c r="AR8" s="4">
        <v>63.37677</v>
      </c>
      <c r="AS8" s="4">
        <v>63.721080000000001</v>
      </c>
      <c r="AT8" s="5">
        <v>63.431550000000001</v>
      </c>
      <c r="AU8" s="3">
        <v>63.90889</v>
      </c>
      <c r="AV8" s="4">
        <v>63.681959999999997</v>
      </c>
      <c r="AW8" s="4">
        <v>63.861939999999997</v>
      </c>
      <c r="AX8" s="5">
        <v>63.955840000000002</v>
      </c>
    </row>
    <row r="9" spans="2:50" x14ac:dyDescent="0.6">
      <c r="B9" s="1">
        <v>92</v>
      </c>
      <c r="C9" s="3">
        <v>92.979730000000004</v>
      </c>
      <c r="D9" s="4">
        <v>93.550970000000007</v>
      </c>
      <c r="E9" s="4">
        <v>92.251980000000003</v>
      </c>
      <c r="F9" s="5">
        <v>91.970269999999999</v>
      </c>
      <c r="G9" s="3">
        <v>92.048519999999996</v>
      </c>
      <c r="H9" s="4">
        <v>92.2911</v>
      </c>
      <c r="I9" s="4">
        <v>92.823220000000006</v>
      </c>
      <c r="J9" s="5">
        <v>92.025049999999993</v>
      </c>
      <c r="K9" s="3">
        <v>91.344250000000002</v>
      </c>
      <c r="L9" s="4">
        <v>91.923320000000004</v>
      </c>
      <c r="M9" s="4">
        <v>91.774640000000005</v>
      </c>
      <c r="N9" s="5">
        <v>91.610309999999998</v>
      </c>
      <c r="O9" s="3">
        <v>91.915490000000005</v>
      </c>
      <c r="P9" s="4">
        <v>91.532049999999998</v>
      </c>
      <c r="Q9" s="4">
        <v>92.502390000000005</v>
      </c>
      <c r="R9" s="5">
        <v>91.258170000000007</v>
      </c>
      <c r="S9" s="3">
        <v>92.087649999999996</v>
      </c>
      <c r="T9" s="4">
        <v>91.297290000000004</v>
      </c>
      <c r="U9" s="4">
        <v>91.64161</v>
      </c>
      <c r="V9" s="5">
        <v>91.265990000000002</v>
      </c>
      <c r="W9" s="3">
        <v>91.19556</v>
      </c>
      <c r="X9" s="4">
        <v>91.978099999999998</v>
      </c>
      <c r="Y9" s="4">
        <v>91.571179999999998</v>
      </c>
      <c r="Z9" s="5">
        <v>91.375550000000004</v>
      </c>
      <c r="AA9" s="3">
        <v>92.009389999999996</v>
      </c>
      <c r="AB9" s="4">
        <v>92.165899999999993</v>
      </c>
      <c r="AC9" s="4">
        <v>91.532049999999998</v>
      </c>
      <c r="AD9" s="5">
        <v>91.516400000000004</v>
      </c>
      <c r="AE9" s="3">
        <v>90.835599999999999</v>
      </c>
      <c r="AF9" s="4">
        <v>90.655619999999999</v>
      </c>
      <c r="AG9" s="4">
        <v>90.937330000000003</v>
      </c>
      <c r="AH9" s="5">
        <v>91.125140000000002</v>
      </c>
      <c r="AI9" s="3">
        <v>90.992109999999997</v>
      </c>
      <c r="AJ9" s="4">
        <v>91.391199999999998</v>
      </c>
      <c r="AK9" s="4">
        <v>91.633780000000002</v>
      </c>
      <c r="AL9" s="5">
        <v>91.336420000000004</v>
      </c>
      <c r="AM9" s="3">
        <v>92.064170000000004</v>
      </c>
      <c r="AN9" s="4">
        <v>93.449240000000003</v>
      </c>
      <c r="AO9" s="4">
        <v>92.940600000000003</v>
      </c>
      <c r="AP9" s="5">
        <v>92.447609999999997</v>
      </c>
      <c r="AQ9" s="3">
        <v>91.352069999999998</v>
      </c>
      <c r="AR9" s="4">
        <v>90.514769999999999</v>
      </c>
      <c r="AS9" s="4">
        <v>91.657259999999994</v>
      </c>
      <c r="AT9" s="5">
        <v>90.553889999999996</v>
      </c>
      <c r="AU9" s="3">
        <v>91.524230000000003</v>
      </c>
      <c r="AV9" s="4">
        <v>91.140789999999996</v>
      </c>
      <c r="AW9" s="4">
        <v>91.60248</v>
      </c>
      <c r="AX9" s="5">
        <v>91.798109999999994</v>
      </c>
    </row>
    <row r="10" spans="2:50" ht="17.25" thickBot="1" x14ac:dyDescent="0.65">
      <c r="B10" s="2">
        <v>128</v>
      </c>
      <c r="C10" s="6">
        <v>130.40794</v>
      </c>
      <c r="D10" s="7">
        <v>131.05743000000001</v>
      </c>
      <c r="E10" s="7">
        <v>128.91331</v>
      </c>
      <c r="F10" s="8">
        <v>128.13077999999999</v>
      </c>
      <c r="G10" s="6">
        <v>128.74897999999999</v>
      </c>
      <c r="H10" s="7">
        <v>128.85854</v>
      </c>
      <c r="I10" s="7">
        <v>130.07928000000001</v>
      </c>
      <c r="J10" s="8">
        <v>128.52205000000001</v>
      </c>
      <c r="K10" s="6">
        <v>127.44217</v>
      </c>
      <c r="L10" s="7">
        <v>128.45162999999999</v>
      </c>
      <c r="M10" s="7">
        <v>128.43597</v>
      </c>
      <c r="N10" s="8">
        <v>128.06036</v>
      </c>
      <c r="O10" s="6">
        <v>128.41248999999999</v>
      </c>
      <c r="P10" s="7">
        <v>127.41869</v>
      </c>
      <c r="Q10" s="7">
        <v>129.44542999999999</v>
      </c>
      <c r="R10" s="8">
        <v>126.9883</v>
      </c>
      <c r="S10" s="6">
        <v>129.21851000000001</v>
      </c>
      <c r="T10" s="7">
        <v>127.44999</v>
      </c>
      <c r="U10" s="7">
        <v>128.11514</v>
      </c>
      <c r="V10" s="8">
        <v>127.34826</v>
      </c>
      <c r="W10" s="6">
        <v>127.07438</v>
      </c>
      <c r="X10" s="7">
        <v>128.45944</v>
      </c>
      <c r="Y10" s="7">
        <v>127.47346</v>
      </c>
      <c r="Z10" s="8">
        <v>127.09003</v>
      </c>
      <c r="AA10" s="6">
        <v>128.59247999999999</v>
      </c>
      <c r="AB10" s="7">
        <v>129.13242</v>
      </c>
      <c r="AC10" s="7">
        <v>127.75517000000001</v>
      </c>
      <c r="AD10" s="8">
        <v>127.59867</v>
      </c>
      <c r="AE10" s="6">
        <v>126.37793000000001</v>
      </c>
      <c r="AF10" s="7">
        <v>125.91624</v>
      </c>
      <c r="AG10" s="7">
        <v>126.37009999999999</v>
      </c>
      <c r="AH10" s="8">
        <v>126.80831999999999</v>
      </c>
      <c r="AI10" s="6">
        <v>126.28403</v>
      </c>
      <c r="AJ10" s="7">
        <v>126.83179</v>
      </c>
      <c r="AK10" s="7">
        <v>127.56737</v>
      </c>
      <c r="AL10" s="8">
        <v>126.94135</v>
      </c>
      <c r="AM10" s="6">
        <v>128.76463000000001</v>
      </c>
      <c r="AN10" s="7">
        <v>131.47999999999999</v>
      </c>
      <c r="AO10" s="7">
        <v>130.43141</v>
      </c>
      <c r="AP10" s="8">
        <v>129.34370000000001</v>
      </c>
      <c r="AQ10" s="6">
        <v>127.36391</v>
      </c>
      <c r="AR10" s="7">
        <v>125.80669</v>
      </c>
      <c r="AS10" s="7">
        <v>128.09949</v>
      </c>
      <c r="AT10" s="8">
        <v>125.78321</v>
      </c>
      <c r="AU10" s="6">
        <v>127.67693</v>
      </c>
      <c r="AV10" s="7">
        <v>126.88657000000001</v>
      </c>
      <c r="AW10" s="7">
        <v>127.93516</v>
      </c>
      <c r="AX10" s="8">
        <v>128.10731999999999</v>
      </c>
    </row>
    <row r="12" spans="2:50" ht="17.25" thickBot="1" x14ac:dyDescent="0.65"/>
    <row r="13" spans="2:50" ht="17.25" thickBot="1" x14ac:dyDescent="0.65">
      <c r="B13" s="9" t="s">
        <v>4</v>
      </c>
      <c r="C13" s="10" t="s">
        <v>0</v>
      </c>
      <c r="D13" s="11" t="s">
        <v>1</v>
      </c>
      <c r="E13" s="11" t="s">
        <v>2</v>
      </c>
      <c r="F13" s="12" t="s">
        <v>3</v>
      </c>
      <c r="G13" s="10" t="s">
        <v>0</v>
      </c>
      <c r="H13" s="11" t="s">
        <v>1</v>
      </c>
      <c r="I13" s="11" t="s">
        <v>2</v>
      </c>
      <c r="J13" s="12" t="s">
        <v>3</v>
      </c>
      <c r="K13" s="10" t="s">
        <v>0</v>
      </c>
      <c r="L13" s="11" t="s">
        <v>1</v>
      </c>
      <c r="M13" s="11" t="s">
        <v>2</v>
      </c>
      <c r="N13" s="12" t="s">
        <v>3</v>
      </c>
      <c r="O13" s="10" t="s">
        <v>0</v>
      </c>
      <c r="P13" s="11" t="s">
        <v>1</v>
      </c>
      <c r="Q13" s="11" t="s">
        <v>2</v>
      </c>
      <c r="R13" s="12" t="s">
        <v>3</v>
      </c>
      <c r="S13" s="10" t="s">
        <v>0</v>
      </c>
      <c r="T13" s="11" t="s">
        <v>1</v>
      </c>
      <c r="U13" s="11" t="s">
        <v>2</v>
      </c>
      <c r="V13" s="12" t="s">
        <v>3</v>
      </c>
      <c r="W13" s="10" t="s">
        <v>0</v>
      </c>
      <c r="X13" s="11" t="s">
        <v>1</v>
      </c>
      <c r="Y13" s="11" t="s">
        <v>2</v>
      </c>
      <c r="Z13" s="12" t="s">
        <v>3</v>
      </c>
      <c r="AA13" s="10" t="s">
        <v>0</v>
      </c>
      <c r="AB13" s="11" t="s">
        <v>1</v>
      </c>
      <c r="AC13" s="11" t="s">
        <v>2</v>
      </c>
      <c r="AD13" s="12" t="s">
        <v>3</v>
      </c>
      <c r="AE13" s="10" t="s">
        <v>0</v>
      </c>
      <c r="AF13" s="11" t="s">
        <v>1</v>
      </c>
      <c r="AG13" s="11" t="s">
        <v>2</v>
      </c>
      <c r="AH13" s="12" t="s">
        <v>3</v>
      </c>
      <c r="AI13" s="10" t="s">
        <v>0</v>
      </c>
      <c r="AJ13" s="11" t="s">
        <v>1</v>
      </c>
      <c r="AK13" s="11" t="s">
        <v>2</v>
      </c>
      <c r="AL13" s="12" t="s">
        <v>3</v>
      </c>
      <c r="AM13" s="10" t="s">
        <v>0</v>
      </c>
      <c r="AN13" s="11" t="s">
        <v>1</v>
      </c>
      <c r="AO13" s="11" t="s">
        <v>2</v>
      </c>
      <c r="AP13" s="12" t="s">
        <v>3</v>
      </c>
      <c r="AQ13" s="10" t="s">
        <v>0</v>
      </c>
      <c r="AR13" s="11" t="s">
        <v>1</v>
      </c>
      <c r="AS13" s="11" t="s">
        <v>2</v>
      </c>
      <c r="AT13" s="12" t="s">
        <v>3</v>
      </c>
      <c r="AU13" s="10" t="s">
        <v>0</v>
      </c>
      <c r="AV13" s="11" t="s">
        <v>1</v>
      </c>
      <c r="AW13" s="11" t="s">
        <v>2</v>
      </c>
      <c r="AX13" s="12" t="s">
        <v>3</v>
      </c>
    </row>
    <row r="14" spans="2:50" x14ac:dyDescent="0.6">
      <c r="B14" s="1">
        <v>8</v>
      </c>
      <c r="C14" s="13">
        <f>(C3-$B14)/$B14</f>
        <v>-1.6951249999999973E-2</v>
      </c>
      <c r="D14" s="14">
        <f t="shared" ref="D14:AX19" si="0">(D3-$B14)/$B14</f>
        <v>-3.2374999999995602E-4</v>
      </c>
      <c r="E14" s="14">
        <f t="shared" si="0"/>
        <v>-6.1925000000000452E-3</v>
      </c>
      <c r="F14" s="15">
        <f t="shared" si="0"/>
        <v>-3.2374999999995602E-4</v>
      </c>
      <c r="G14" s="13">
        <f t="shared" si="0"/>
        <v>-1.1082499999999995E-2</v>
      </c>
      <c r="H14" s="14">
        <f t="shared" si="0"/>
        <v>-5.213750000000017E-3</v>
      </c>
      <c r="I14" s="14">
        <f t="shared" si="0"/>
        <v>-7.1700000000000097E-3</v>
      </c>
      <c r="J14" s="15">
        <f t="shared" si="0"/>
        <v>-6.1925000000000452E-3</v>
      </c>
      <c r="K14" s="13">
        <f t="shared" si="0"/>
        <v>4.5675000000000576E-3</v>
      </c>
      <c r="L14" s="14">
        <f t="shared" si="0"/>
        <v>-3.2575000000000243E-3</v>
      </c>
      <c r="M14" s="14">
        <f t="shared" si="0"/>
        <v>3.5899999999999821E-3</v>
      </c>
      <c r="N14" s="15">
        <f t="shared" si="0"/>
        <v>6.5237499999999393E-3</v>
      </c>
      <c r="O14" s="13">
        <f t="shared" si="0"/>
        <v>-1.0105000000000031E-2</v>
      </c>
      <c r="P14" s="14">
        <f t="shared" si="0"/>
        <v>1.6337500000001004E-3</v>
      </c>
      <c r="Q14" s="14">
        <f t="shared" si="0"/>
        <v>-8.1487500000000379E-3</v>
      </c>
      <c r="R14" s="15">
        <f t="shared" si="0"/>
        <v>3.5899999999999821E-3</v>
      </c>
      <c r="S14" s="13">
        <f t="shared" si="0"/>
        <v>-1.6951249999999973E-2</v>
      </c>
      <c r="T14" s="14">
        <f t="shared" si="0"/>
        <v>5.5462500000000858E-3</v>
      </c>
      <c r="U14" s="14">
        <f t="shared" si="0"/>
        <v>6.5500000000007219E-4</v>
      </c>
      <c r="V14" s="15">
        <f t="shared" si="0"/>
        <v>-3.2374999999995602E-4</v>
      </c>
      <c r="W14" s="13">
        <f t="shared" si="0"/>
        <v>6.5237499999999393E-3</v>
      </c>
      <c r="X14" s="14">
        <f t="shared" si="0"/>
        <v>1.6337500000001004E-3</v>
      </c>
      <c r="Y14" s="14">
        <f t="shared" si="0"/>
        <v>1.2392500000000028E-2</v>
      </c>
      <c r="Z14" s="15">
        <f t="shared" si="0"/>
        <v>1.1414999999999953E-2</v>
      </c>
      <c r="AA14" s="13">
        <f t="shared" si="0"/>
        <v>-8.1487500000000379E-3</v>
      </c>
      <c r="AB14" s="14">
        <f t="shared" si="0"/>
        <v>-5.213750000000017E-3</v>
      </c>
      <c r="AC14" s="14">
        <f t="shared" si="0"/>
        <v>4.5675000000000576E-3</v>
      </c>
      <c r="AD14" s="15">
        <f t="shared" si="0"/>
        <v>1.6337500000001004E-3</v>
      </c>
      <c r="AE14" s="13">
        <f t="shared" si="0"/>
        <v>6.5237499999999393E-3</v>
      </c>
      <c r="AF14" s="14">
        <f t="shared" si="0"/>
        <v>1.3371250000000057E-2</v>
      </c>
      <c r="AG14" s="14">
        <f t="shared" si="0"/>
        <v>2.0218749999999952E-2</v>
      </c>
      <c r="AH14" s="15">
        <f t="shared" si="0"/>
        <v>4.5675000000000576E-3</v>
      </c>
      <c r="AI14" s="13">
        <f t="shared" si="0"/>
        <v>3.5899999999999821E-3</v>
      </c>
      <c r="AJ14" s="14">
        <f t="shared" si="0"/>
        <v>-1.3012500000000315E-3</v>
      </c>
      <c r="AK14" s="14">
        <f t="shared" si="0"/>
        <v>-8.1487500000000379E-3</v>
      </c>
      <c r="AL14" s="15">
        <f t="shared" si="0"/>
        <v>-3.2575000000000243E-3</v>
      </c>
      <c r="AM14" s="13">
        <f t="shared" si="0"/>
        <v>-1.0105000000000031E-2</v>
      </c>
      <c r="AN14" s="14">
        <f t="shared" si="0"/>
        <v>-1.4994999999999981E-2</v>
      </c>
      <c r="AO14" s="14">
        <f t="shared" si="0"/>
        <v>-2.1842499999999987E-2</v>
      </c>
      <c r="AP14" s="15">
        <f t="shared" si="0"/>
        <v>-1.4017500000000016E-2</v>
      </c>
      <c r="AQ14" s="13">
        <f t="shared" si="0"/>
        <v>-1.3012500000000315E-3</v>
      </c>
      <c r="AR14" s="14">
        <f t="shared" si="0"/>
        <v>9.4587500000000713E-3</v>
      </c>
      <c r="AS14" s="14">
        <f t="shared" si="0"/>
        <v>6.5500000000007219E-4</v>
      </c>
      <c r="AT14" s="15">
        <f t="shared" si="0"/>
        <v>1.6305000000000014E-2</v>
      </c>
      <c r="AU14" s="13">
        <f t="shared" si="0"/>
        <v>2.6112499999999539E-3</v>
      </c>
      <c r="AV14" s="14">
        <f t="shared" si="0"/>
        <v>1.6337500000001004E-3</v>
      </c>
      <c r="AW14" s="14">
        <f t="shared" si="0"/>
        <v>-1.3012500000000315E-3</v>
      </c>
      <c r="AX14" s="15">
        <f t="shared" si="0"/>
        <v>2.6112499999999539E-3</v>
      </c>
    </row>
    <row r="15" spans="2:50" x14ac:dyDescent="0.6">
      <c r="B15" s="1">
        <v>16</v>
      </c>
      <c r="C15" s="13">
        <f t="shared" ref="C15:R21" si="1">(C4-$B15)/$B15</f>
        <v>8.4800000000000431E-3</v>
      </c>
      <c r="D15" s="14">
        <f t="shared" si="1"/>
        <v>1.2393125000000005E-2</v>
      </c>
      <c r="E15" s="14">
        <f t="shared" si="1"/>
        <v>6.0350000000000126E-3</v>
      </c>
      <c r="F15" s="15">
        <f t="shared" si="1"/>
        <v>-1.7906250000000457E-3</v>
      </c>
      <c r="G15" s="13">
        <f t="shared" si="1"/>
        <v>1.662499999999234E-4</v>
      </c>
      <c r="H15" s="14">
        <f t="shared" si="1"/>
        <v>-8.1249999999999378E-4</v>
      </c>
      <c r="I15" s="14">
        <f t="shared" si="1"/>
        <v>1.633124999999902E-3</v>
      </c>
      <c r="J15" s="15">
        <f t="shared" si="1"/>
        <v>2.1218750000000508E-3</v>
      </c>
      <c r="K15" s="13">
        <f t="shared" si="1"/>
        <v>-6.1918749999999578E-3</v>
      </c>
      <c r="L15" s="14">
        <f t="shared" si="1"/>
        <v>1.633124999999902E-3</v>
      </c>
      <c r="M15" s="14">
        <f t="shared" si="1"/>
        <v>-3.7468750000000384E-3</v>
      </c>
      <c r="N15" s="15">
        <f t="shared" si="1"/>
        <v>-2.2793749999999724E-3</v>
      </c>
      <c r="O15" s="13">
        <f t="shared" si="1"/>
        <v>-1.7906250000000457E-3</v>
      </c>
      <c r="P15" s="14">
        <f t="shared" si="1"/>
        <v>-1.7906250000000457E-3</v>
      </c>
      <c r="Q15" s="14">
        <f t="shared" si="1"/>
        <v>3.100625000000079E-3</v>
      </c>
      <c r="R15" s="15">
        <f t="shared" si="1"/>
        <v>-3.7468750000000384E-3</v>
      </c>
      <c r="S15" s="13">
        <f t="shared" si="0"/>
        <v>1.662499999999234E-4</v>
      </c>
      <c r="T15" s="14">
        <f t="shared" si="0"/>
        <v>-2.7687499999999865E-3</v>
      </c>
      <c r="U15" s="14">
        <f t="shared" si="0"/>
        <v>-3.2575000000000243E-3</v>
      </c>
      <c r="V15" s="15">
        <f t="shared" si="0"/>
        <v>-4.2356249999999651E-3</v>
      </c>
      <c r="W15" s="13">
        <f t="shared" si="0"/>
        <v>-4.7249999999999792E-3</v>
      </c>
      <c r="X15" s="14">
        <f t="shared" si="0"/>
        <v>1.633124999999902E-3</v>
      </c>
      <c r="Y15" s="14">
        <f t="shared" si="0"/>
        <v>-4.7249999999999792E-3</v>
      </c>
      <c r="Z15" s="15">
        <f t="shared" si="0"/>
        <v>-2.7687499999999865E-3</v>
      </c>
      <c r="AA15" s="13">
        <f t="shared" si="0"/>
        <v>3.5893750000000058E-3</v>
      </c>
      <c r="AB15" s="14">
        <f t="shared" si="0"/>
        <v>3.100625000000079E-3</v>
      </c>
      <c r="AC15" s="14">
        <f t="shared" si="0"/>
        <v>-1.7906250000000457E-3</v>
      </c>
      <c r="AD15" s="15">
        <f t="shared" si="0"/>
        <v>-3.2575000000000243E-3</v>
      </c>
      <c r="AE15" s="13">
        <f t="shared" si="0"/>
        <v>-8.6374999999999647E-3</v>
      </c>
      <c r="AF15" s="14">
        <f t="shared" si="0"/>
        <v>-2.2793749999999724E-3</v>
      </c>
      <c r="AG15" s="14">
        <f t="shared" si="0"/>
        <v>-4.2356249999999651E-3</v>
      </c>
      <c r="AH15" s="15">
        <f t="shared" si="0"/>
        <v>1.662499999999234E-4</v>
      </c>
      <c r="AI15" s="13">
        <f t="shared" si="0"/>
        <v>-9.1268749999999788E-3</v>
      </c>
      <c r="AJ15" s="14">
        <f t="shared" si="0"/>
        <v>-3.7468750000000384E-3</v>
      </c>
      <c r="AK15" s="14">
        <f t="shared" si="0"/>
        <v>3.5893750000000058E-3</v>
      </c>
      <c r="AL15" s="15">
        <f t="shared" si="0"/>
        <v>-3.7468750000000384E-3</v>
      </c>
      <c r="AM15" s="13">
        <f t="shared" si="0"/>
        <v>-3.2312499999997968E-4</v>
      </c>
      <c r="AN15" s="14">
        <f t="shared" si="0"/>
        <v>1.2393125000000005E-2</v>
      </c>
      <c r="AO15" s="14">
        <f t="shared" si="0"/>
        <v>3.100625000000079E-3</v>
      </c>
      <c r="AP15" s="15">
        <f t="shared" si="0"/>
        <v>3.100625000000079E-3</v>
      </c>
      <c r="AQ15" s="13">
        <f t="shared" si="0"/>
        <v>-5.213750000000017E-3</v>
      </c>
      <c r="AR15" s="14">
        <f t="shared" si="0"/>
        <v>-8.6374999999999647E-3</v>
      </c>
      <c r="AS15" s="14">
        <f t="shared" si="0"/>
        <v>6.5500000000007219E-4</v>
      </c>
      <c r="AT15" s="15">
        <f t="shared" si="0"/>
        <v>-6.6812499999999719E-3</v>
      </c>
      <c r="AU15" s="13">
        <f t="shared" si="0"/>
        <v>-5.213750000000017E-3</v>
      </c>
      <c r="AV15" s="14">
        <f t="shared" si="0"/>
        <v>-6.1918749999999578E-3</v>
      </c>
      <c r="AW15" s="14">
        <f t="shared" si="0"/>
        <v>-3.2575000000000243E-3</v>
      </c>
      <c r="AX15" s="15">
        <f t="shared" si="0"/>
        <v>-8.1249999999999378E-4</v>
      </c>
    </row>
    <row r="16" spans="2:50" x14ac:dyDescent="0.6">
      <c r="B16" s="1">
        <v>24</v>
      </c>
      <c r="C16" s="13">
        <f t="shared" si="1"/>
        <v>1.8587916666666704E-2</v>
      </c>
      <c r="D16" s="14">
        <f t="shared" si="0"/>
        <v>1.8587916666666704E-2</v>
      </c>
      <c r="E16" s="14">
        <f t="shared" si="0"/>
        <v>7.5020833333333909E-3</v>
      </c>
      <c r="F16" s="15">
        <f t="shared" si="0"/>
        <v>-7.1704166666666973E-3</v>
      </c>
      <c r="G16" s="13">
        <f t="shared" si="0"/>
        <v>-3.2333333333337916E-4</v>
      </c>
      <c r="H16" s="14">
        <f t="shared" si="0"/>
        <v>-2.6054166666666192E-3</v>
      </c>
      <c r="I16" s="14">
        <f t="shared" si="0"/>
        <v>2.2854166666665954E-3</v>
      </c>
      <c r="J16" s="15">
        <f t="shared" si="0"/>
        <v>1.3070833333332921E-3</v>
      </c>
      <c r="K16" s="13">
        <f t="shared" si="0"/>
        <v>-1.43433333333333E-2</v>
      </c>
      <c r="L16" s="14">
        <f t="shared" si="0"/>
        <v>3.2874999999998877E-4</v>
      </c>
      <c r="M16" s="14">
        <f t="shared" si="0"/>
        <v>-9.1266666666666527E-3</v>
      </c>
      <c r="N16" s="15">
        <f t="shared" si="0"/>
        <v>-9.7787500000000218E-3</v>
      </c>
      <c r="O16" s="13">
        <f t="shared" si="0"/>
        <v>-6.4916666666666367E-4</v>
      </c>
      <c r="P16" s="14">
        <f t="shared" si="0"/>
        <v>-7.4962499999999821E-3</v>
      </c>
      <c r="Q16" s="14">
        <f t="shared" si="0"/>
        <v>7.1758333333333075E-3</v>
      </c>
      <c r="R16" s="15">
        <f t="shared" si="0"/>
        <v>-1.0757083333333325E-2</v>
      </c>
      <c r="S16" s="13">
        <f t="shared" si="0"/>
        <v>5.5458333333332872E-3</v>
      </c>
      <c r="T16" s="14">
        <f t="shared" si="0"/>
        <v>-1.0104583333333306E-2</v>
      </c>
      <c r="U16" s="14">
        <f t="shared" si="0"/>
        <v>-7.8225000000000655E-3</v>
      </c>
      <c r="V16" s="15">
        <f t="shared" si="0"/>
        <v>-8.4745833333332854E-3</v>
      </c>
      <c r="W16" s="13">
        <f t="shared" si="0"/>
        <v>-1.4669583333333383E-2</v>
      </c>
      <c r="X16" s="14">
        <f t="shared" si="0"/>
        <v>-1.9533333333333993E-3</v>
      </c>
      <c r="Y16" s="14">
        <f t="shared" si="0"/>
        <v>-1.7603749999999991E-2</v>
      </c>
      <c r="Z16" s="15">
        <f t="shared" si="0"/>
        <v>-1.4669583333333383E-2</v>
      </c>
      <c r="AA16" s="13">
        <f t="shared" si="0"/>
        <v>3.5895833333333313E-3</v>
      </c>
      <c r="AB16" s="14">
        <f t="shared" si="0"/>
        <v>4.5674999999999839E-3</v>
      </c>
      <c r="AC16" s="14">
        <f t="shared" si="0"/>
        <v>-8.4745833333332854E-3</v>
      </c>
      <c r="AD16" s="15">
        <f t="shared" si="0"/>
        <v>-9.4524999999999384E-3</v>
      </c>
      <c r="AE16" s="13">
        <f t="shared" si="0"/>
        <v>-2.2494583333333356E-2</v>
      </c>
      <c r="AF16" s="14">
        <f t="shared" si="0"/>
        <v>-1.6952083333333274E-2</v>
      </c>
      <c r="AG16" s="14">
        <f t="shared" si="0"/>
        <v>-2.1516666666666701E-2</v>
      </c>
      <c r="AH16" s="15">
        <f t="shared" si="0"/>
        <v>-9.4524999999999384E-3</v>
      </c>
      <c r="AI16" s="13">
        <f t="shared" si="0"/>
        <v>-1.9886250000000032E-2</v>
      </c>
      <c r="AJ16" s="14">
        <f t="shared" si="0"/>
        <v>-1.0104583333333306E-2</v>
      </c>
      <c r="AK16" s="14">
        <f t="shared" si="0"/>
        <v>4.2416666666666991E-3</v>
      </c>
      <c r="AL16" s="15">
        <f t="shared" si="0"/>
        <v>-8.8004166666667185E-3</v>
      </c>
      <c r="AM16" s="13">
        <f t="shared" si="0"/>
        <v>2.2854166666665954E-3</v>
      </c>
      <c r="AN16" s="14">
        <f t="shared" si="0"/>
        <v>2.6087083333333389E-2</v>
      </c>
      <c r="AO16" s="14">
        <f t="shared" si="0"/>
        <v>1.3697083333333341E-2</v>
      </c>
      <c r="AP16" s="15">
        <f t="shared" si="0"/>
        <v>8.806249999999979E-3</v>
      </c>
      <c r="AQ16" s="13">
        <f t="shared" si="0"/>
        <v>-1.271333333333328E-2</v>
      </c>
      <c r="AR16" s="14">
        <f t="shared" si="0"/>
        <v>-2.282083333333329E-2</v>
      </c>
      <c r="AS16" s="14">
        <f t="shared" si="0"/>
        <v>-2.9316666666667026E-3</v>
      </c>
      <c r="AT16" s="15">
        <f t="shared" si="0"/>
        <v>-2.282083333333329E-2</v>
      </c>
      <c r="AU16" s="13">
        <f t="shared" si="0"/>
        <v>-1.2387083333333345E-2</v>
      </c>
      <c r="AV16" s="14">
        <f t="shared" si="0"/>
        <v>-1.4017500000000016E-2</v>
      </c>
      <c r="AW16" s="14">
        <f t="shared" si="0"/>
        <v>-7.8225000000000655E-3</v>
      </c>
      <c r="AX16" s="15">
        <f t="shared" si="0"/>
        <v>-5.8662499999999618E-3</v>
      </c>
    </row>
    <row r="17" spans="2:50" x14ac:dyDescent="0.6">
      <c r="B17" s="1">
        <v>32</v>
      </c>
      <c r="C17" s="13">
        <f t="shared" si="1"/>
        <v>2.1440937499999979E-2</v>
      </c>
      <c r="D17" s="14">
        <f t="shared" si="0"/>
        <v>1.8750937499999898E-2</v>
      </c>
      <c r="E17" s="14">
        <f t="shared" si="0"/>
        <v>5.3012500000000351E-3</v>
      </c>
      <c r="F17" s="15">
        <f t="shared" si="0"/>
        <v>-1.3039374999999964E-2</v>
      </c>
      <c r="G17" s="13">
        <f t="shared" si="0"/>
        <v>-3.7468750000000384E-3</v>
      </c>
      <c r="H17" s="14">
        <f t="shared" si="0"/>
        <v>-6.6812499999999719E-3</v>
      </c>
      <c r="I17" s="14">
        <f t="shared" si="0"/>
        <v>4.1031249999989861E-4</v>
      </c>
      <c r="J17" s="15">
        <f t="shared" si="0"/>
        <v>-2.524062500000035E-3</v>
      </c>
      <c r="K17" s="13">
        <f t="shared" si="0"/>
        <v>-2.3310000000000053E-2</v>
      </c>
      <c r="L17" s="14">
        <f t="shared" si="0"/>
        <v>-4.4803125000000277E-3</v>
      </c>
      <c r="M17" s="14">
        <f t="shared" si="0"/>
        <v>-1.5973750000000009E-2</v>
      </c>
      <c r="N17" s="15">
        <f t="shared" si="0"/>
        <v>-1.7930000000000001E-2</v>
      </c>
      <c r="O17" s="13">
        <f t="shared" si="0"/>
        <v>-4.4803125000000277E-3</v>
      </c>
      <c r="P17" s="14">
        <f t="shared" si="0"/>
        <v>-1.4506562500000042E-2</v>
      </c>
      <c r="Q17" s="14">
        <f t="shared" si="0"/>
        <v>6.7684374999998909E-3</v>
      </c>
      <c r="R17" s="15">
        <f t="shared" si="0"/>
        <v>-1.8663749999999979E-2</v>
      </c>
      <c r="S17" s="13">
        <f t="shared" si="0"/>
        <v>5.790312500000061E-3</v>
      </c>
      <c r="T17" s="14">
        <f t="shared" si="0"/>
        <v>-1.8419062500000027E-2</v>
      </c>
      <c r="U17" s="14">
        <f t="shared" si="0"/>
        <v>-1.3772812499999953E-2</v>
      </c>
      <c r="V17" s="15">
        <f t="shared" si="0"/>
        <v>-1.4750937500000005E-2</v>
      </c>
      <c r="W17" s="13">
        <f t="shared" si="0"/>
        <v>-2.477718750000002E-2</v>
      </c>
      <c r="X17" s="14">
        <f t="shared" si="0"/>
        <v>-7.4146874999999612E-3</v>
      </c>
      <c r="Y17" s="14">
        <f t="shared" si="0"/>
        <v>-2.9178750000000031E-2</v>
      </c>
      <c r="Z17" s="15">
        <f t="shared" si="0"/>
        <v>-2.5510625000000009E-2</v>
      </c>
      <c r="AA17" s="13">
        <f t="shared" si="0"/>
        <v>-5.6781250000004224E-4</v>
      </c>
      <c r="AB17" s="14">
        <f t="shared" si="0"/>
        <v>2.3668750000001015E-3</v>
      </c>
      <c r="AC17" s="14">
        <f t="shared" si="0"/>
        <v>-1.5729062499999946E-2</v>
      </c>
      <c r="AD17" s="15">
        <f t="shared" si="0"/>
        <v>-1.6462812500000035E-2</v>
      </c>
      <c r="AE17" s="13">
        <f t="shared" si="0"/>
        <v>-3.4558749999999971E-2</v>
      </c>
      <c r="AF17" s="14">
        <f t="shared" si="0"/>
        <v>-2.9178750000000031E-2</v>
      </c>
      <c r="AG17" s="14">
        <f t="shared" si="0"/>
        <v>-3.4803125000000046E-2</v>
      </c>
      <c r="AH17" s="15">
        <f t="shared" si="0"/>
        <v>-1.9641875000000031E-2</v>
      </c>
      <c r="AI17" s="13">
        <f t="shared" si="0"/>
        <v>-2.9912500000000009E-2</v>
      </c>
      <c r="AJ17" s="14">
        <f t="shared" si="0"/>
        <v>-1.8419062500000027E-2</v>
      </c>
      <c r="AK17" s="14">
        <f t="shared" si="0"/>
        <v>8.9968750000002373E-4</v>
      </c>
      <c r="AL17" s="15">
        <f t="shared" si="0"/>
        <v>-1.6218124999999972E-2</v>
      </c>
      <c r="AM17" s="13">
        <f t="shared" si="0"/>
        <v>2.122187499999928E-3</v>
      </c>
      <c r="AN17" s="14">
        <f t="shared" si="0"/>
        <v>3.2445000000000057E-2</v>
      </c>
      <c r="AO17" s="14">
        <f t="shared" si="0"/>
        <v>1.7283750000000042E-2</v>
      </c>
      <c r="AP17" s="15">
        <f t="shared" si="0"/>
        <v>9.2137500000000205E-3</v>
      </c>
      <c r="AQ17" s="13">
        <f t="shared" si="0"/>
        <v>-1.9886249999999994E-2</v>
      </c>
      <c r="AR17" s="14">
        <f t="shared" si="0"/>
        <v>-3.3335937499999968E-2</v>
      </c>
      <c r="AS17" s="14">
        <f t="shared" si="0"/>
        <v>-7.6593750000000238E-3</v>
      </c>
      <c r="AT17" s="15">
        <f t="shared" si="0"/>
        <v>-3.5536875000000023E-2</v>
      </c>
      <c r="AU17" s="13">
        <f t="shared" si="0"/>
        <v>-2.0130937499999946E-2</v>
      </c>
      <c r="AV17" s="14">
        <f t="shared" si="0"/>
        <v>-2.2087187500000049E-2</v>
      </c>
      <c r="AW17" s="14">
        <f t="shared" si="0"/>
        <v>-1.4017500000000016E-2</v>
      </c>
      <c r="AX17" s="15">
        <f t="shared" si="0"/>
        <v>-1.2305624999999987E-2</v>
      </c>
    </row>
    <row r="18" spans="2:50" x14ac:dyDescent="0.6">
      <c r="B18" s="1">
        <v>48</v>
      </c>
      <c r="C18" s="13">
        <f t="shared" si="1"/>
        <v>9.8104166666660819E-4</v>
      </c>
      <c r="D18" s="14">
        <f t="shared" si="0"/>
        <v>8.3172916666667263E-3</v>
      </c>
      <c r="E18" s="14">
        <f t="shared" si="0"/>
        <v>8.1791666666664042E-4</v>
      </c>
      <c r="F18" s="15">
        <f t="shared" si="0"/>
        <v>4.5677083333333828E-3</v>
      </c>
      <c r="G18" s="13">
        <f t="shared" si="0"/>
        <v>9.8104166666660819E-4</v>
      </c>
      <c r="H18" s="14">
        <f t="shared" si="0"/>
        <v>4.4045833333332673E-3</v>
      </c>
      <c r="I18" s="14">
        <f t="shared" si="0"/>
        <v>3.2633333333333958E-3</v>
      </c>
      <c r="J18" s="15">
        <f t="shared" si="0"/>
        <v>1.633124999999976E-3</v>
      </c>
      <c r="K18" s="13">
        <f t="shared" si="0"/>
        <v>9.8104166666660819E-4</v>
      </c>
      <c r="L18" s="14">
        <f t="shared" si="0"/>
        <v>1.633124999999976E-3</v>
      </c>
      <c r="M18" s="14">
        <f t="shared" si="0"/>
        <v>2.9166666667042782E-6</v>
      </c>
      <c r="N18" s="15">
        <f t="shared" si="0"/>
        <v>6.5500000000007219E-4</v>
      </c>
      <c r="O18" s="13">
        <f t="shared" si="0"/>
        <v>2.2852083333333439E-3</v>
      </c>
      <c r="P18" s="14">
        <f t="shared" si="0"/>
        <v>3.7525000000000475E-3</v>
      </c>
      <c r="Q18" s="14">
        <f t="shared" si="0"/>
        <v>2.4483333333333115E-3</v>
      </c>
      <c r="R18" s="15">
        <f t="shared" si="0"/>
        <v>2.4483333333333115E-3</v>
      </c>
      <c r="S18" s="13">
        <f t="shared" si="0"/>
        <v>-4.3987500000000068E-3</v>
      </c>
      <c r="T18" s="14">
        <f t="shared" si="0"/>
        <v>-6.4916666666666367E-4</v>
      </c>
      <c r="U18" s="14">
        <f t="shared" si="0"/>
        <v>3.2895833333338825E-4</v>
      </c>
      <c r="V18" s="15">
        <f t="shared" si="0"/>
        <v>-2.442500000000051E-3</v>
      </c>
      <c r="W18" s="13">
        <f t="shared" si="0"/>
        <v>1.6583333333327252E-4</v>
      </c>
      <c r="X18" s="14">
        <f t="shared" si="0"/>
        <v>8.1791666666664042E-4</v>
      </c>
      <c r="Y18" s="14">
        <f t="shared" si="0"/>
        <v>6.3608333333333711E-3</v>
      </c>
      <c r="Z18" s="15">
        <f t="shared" si="0"/>
        <v>5.0566666666666355E-3</v>
      </c>
      <c r="AA18" s="13">
        <f t="shared" si="0"/>
        <v>3.5893749999999316E-3</v>
      </c>
      <c r="AB18" s="14">
        <f t="shared" si="0"/>
        <v>-9.7520833333334756E-4</v>
      </c>
      <c r="AC18" s="14">
        <f t="shared" si="0"/>
        <v>1.7962499999999437E-3</v>
      </c>
      <c r="AD18" s="15">
        <f t="shared" si="0"/>
        <v>1.7962499999999437E-3</v>
      </c>
      <c r="AE18" s="13">
        <f t="shared" si="0"/>
        <v>9.8104166666660819E-4</v>
      </c>
      <c r="AF18" s="14">
        <f t="shared" si="0"/>
        <v>4.9187499999995643E-4</v>
      </c>
      <c r="AG18" s="14">
        <f t="shared" si="0"/>
        <v>4.2414583333332994E-3</v>
      </c>
      <c r="AH18" s="15">
        <f t="shared" si="0"/>
        <v>1.4700000000000084E-3</v>
      </c>
      <c r="AI18" s="13">
        <f t="shared" si="0"/>
        <v>1.6583333333327252E-4</v>
      </c>
      <c r="AJ18" s="14">
        <f t="shared" si="0"/>
        <v>2.9372916666667117E-3</v>
      </c>
      <c r="AK18" s="14">
        <f t="shared" si="0"/>
        <v>-1.301458333333283E-3</v>
      </c>
      <c r="AL18" s="15">
        <f t="shared" si="0"/>
        <v>-1.6020833333326342E-4</v>
      </c>
      <c r="AM18" s="13">
        <f t="shared" si="0"/>
        <v>-1.6272916666667154E-3</v>
      </c>
      <c r="AN18" s="14">
        <f t="shared" si="0"/>
        <v>-1.1383333333333152E-3</v>
      </c>
      <c r="AO18" s="14">
        <f t="shared" si="0"/>
        <v>1.6583333333327252E-4</v>
      </c>
      <c r="AP18" s="15">
        <f t="shared" si="0"/>
        <v>1.9591666666666598E-3</v>
      </c>
      <c r="AQ18" s="13">
        <f t="shared" si="0"/>
        <v>3.7525000000000475E-3</v>
      </c>
      <c r="AR18" s="14">
        <f t="shared" si="0"/>
        <v>-1.1383333333333152E-3</v>
      </c>
      <c r="AS18" s="14">
        <f t="shared" si="0"/>
        <v>-4.8624999999994739E-4</v>
      </c>
      <c r="AT18" s="15">
        <f t="shared" si="0"/>
        <v>1.1441666666667238E-3</v>
      </c>
      <c r="AU18" s="13">
        <f t="shared" si="0"/>
        <v>2.1222916666666278E-3</v>
      </c>
      <c r="AV18" s="14">
        <f t="shared" si="0"/>
        <v>2.9166666667042782E-6</v>
      </c>
      <c r="AW18" s="14">
        <f t="shared" si="0"/>
        <v>6.5500000000007219E-4</v>
      </c>
      <c r="AX18" s="15">
        <f t="shared" si="0"/>
        <v>2.4483333333333115E-3</v>
      </c>
    </row>
    <row r="19" spans="2:50" x14ac:dyDescent="0.6">
      <c r="B19" s="1">
        <v>64</v>
      </c>
      <c r="C19" s="13">
        <f t="shared" si="1"/>
        <v>3.9562500000001055E-3</v>
      </c>
      <c r="D19" s="14">
        <f t="shared" si="0"/>
        <v>1.0069687499999924E-2</v>
      </c>
      <c r="E19" s="14">
        <f t="shared" si="0"/>
        <v>1.6593750000004626E-4</v>
      </c>
      <c r="F19" s="15">
        <f t="shared" si="0"/>
        <v>2.8812499999997243E-4</v>
      </c>
      <c r="G19" s="13">
        <f t="shared" si="0"/>
        <v>-1.0567187500000186E-3</v>
      </c>
      <c r="H19" s="14">
        <f t="shared" si="0"/>
        <v>1.5107812499999262E-3</v>
      </c>
      <c r="I19" s="14">
        <f t="shared" si="0"/>
        <v>3.5893750000000058E-3</v>
      </c>
      <c r="J19" s="15">
        <f t="shared" si="0"/>
        <v>-5.6765624999999265E-4</v>
      </c>
      <c r="K19" s="13">
        <f t="shared" si="0"/>
        <v>-4.2357812500000147E-3</v>
      </c>
      <c r="L19" s="14">
        <f t="shared" si="0"/>
        <v>-1.0567187500000186E-3</v>
      </c>
      <c r="M19" s="14">
        <f t="shared" si="0"/>
        <v>-2.8907812499999741E-3</v>
      </c>
      <c r="N19" s="15">
        <f t="shared" si="0"/>
        <v>-3.0131249999999499E-3</v>
      </c>
      <c r="O19" s="13">
        <f t="shared" si="0"/>
        <v>-1.0567187500000186E-3</v>
      </c>
      <c r="P19" s="14">
        <f t="shared" si="0"/>
        <v>-2.4017187499999482E-3</v>
      </c>
      <c r="Q19" s="14">
        <f t="shared" si="0"/>
        <v>1.877656250000026E-3</v>
      </c>
      <c r="R19" s="15">
        <f t="shared" si="0"/>
        <v>-4.4803125000000277E-3</v>
      </c>
      <c r="S19" s="13">
        <f t="shared" si="0"/>
        <v>-3.5021874999999758E-3</v>
      </c>
      <c r="T19" s="14">
        <f t="shared" si="0"/>
        <v>-4.9693750000000536E-3</v>
      </c>
      <c r="U19" s="14">
        <f t="shared" si="0"/>
        <v>-2.8907812499999741E-3</v>
      </c>
      <c r="V19" s="15">
        <f t="shared" si="0"/>
        <v>-5.9476562500000441E-3</v>
      </c>
      <c r="W19" s="13">
        <f t="shared" si="0"/>
        <v>-6.436718749999959E-3</v>
      </c>
      <c r="X19" s="14">
        <f t="shared" si="0"/>
        <v>-2.035000000000009E-3</v>
      </c>
      <c r="Y19" s="14">
        <f t="shared" si="0"/>
        <v>-1.1790624999999944E-3</v>
      </c>
      <c r="Z19" s="15">
        <f t="shared" si="0"/>
        <v>-2.524062500000035E-3</v>
      </c>
      <c r="AA19" s="13">
        <f t="shared" si="0"/>
        <v>5.3281249999992397E-4</v>
      </c>
      <c r="AB19" s="14">
        <f t="shared" si="0"/>
        <v>-1.4235937500000073E-3</v>
      </c>
      <c r="AC19" s="14">
        <f t="shared" si="0"/>
        <v>-3.2576562499999628E-3</v>
      </c>
      <c r="AD19" s="15">
        <f t="shared" si="0"/>
        <v>-3.2576562499999628E-3</v>
      </c>
      <c r="AE19" s="13">
        <f t="shared" si="0"/>
        <v>-6.0698437499999702E-3</v>
      </c>
      <c r="AF19" s="14">
        <f t="shared" si="0"/>
        <v>-7.0479687500000221E-3</v>
      </c>
      <c r="AG19" s="14">
        <f t="shared" si="0"/>
        <v>-3.1353124999999871E-3</v>
      </c>
      <c r="AH19" s="15">
        <f t="shared" si="0"/>
        <v>-4.1135937499999775E-3</v>
      </c>
      <c r="AI19" s="13">
        <f t="shared" si="0"/>
        <v>-6.192187499999946E-3</v>
      </c>
      <c r="AJ19" s="14">
        <f t="shared" si="0"/>
        <v>-2.6462499999999611E-3</v>
      </c>
      <c r="AK19" s="14">
        <f t="shared" si="0"/>
        <v>-3.624375000000013E-3</v>
      </c>
      <c r="AL19" s="15">
        <f t="shared" si="0"/>
        <v>-4.8471875000000164E-3</v>
      </c>
      <c r="AM19" s="13">
        <f t="shared" ref="D19:AX21" si="2">(AM8-$B19)/$B19</f>
        <v>-2.4017187499999482E-3</v>
      </c>
      <c r="AN19" s="14">
        <f t="shared" si="2"/>
        <v>4.8121875000000092E-3</v>
      </c>
      <c r="AO19" s="14">
        <f t="shared" si="2"/>
        <v>2.8557812500000779E-3</v>
      </c>
      <c r="AP19" s="15">
        <f t="shared" si="2"/>
        <v>1.633124999999902E-3</v>
      </c>
      <c r="AQ19" s="13">
        <f t="shared" si="2"/>
        <v>-3.0131249999999499E-3</v>
      </c>
      <c r="AR19" s="14">
        <f t="shared" si="2"/>
        <v>-9.7379687499999923E-3</v>
      </c>
      <c r="AS19" s="14">
        <f t="shared" si="2"/>
        <v>-4.3581249999999905E-3</v>
      </c>
      <c r="AT19" s="15">
        <f t="shared" si="2"/>
        <v>-8.8820312499999776E-3</v>
      </c>
      <c r="AU19" s="13">
        <f t="shared" si="2"/>
        <v>-1.4235937500000073E-3</v>
      </c>
      <c r="AV19" s="14">
        <f t="shared" si="2"/>
        <v>-4.9693750000000536E-3</v>
      </c>
      <c r="AW19" s="14">
        <f t="shared" si="2"/>
        <v>-2.1571875000000462E-3</v>
      </c>
      <c r="AX19" s="15">
        <f t="shared" si="2"/>
        <v>-6.8999999999996842E-4</v>
      </c>
    </row>
    <row r="20" spans="2:50" x14ac:dyDescent="0.6">
      <c r="B20" s="1">
        <v>92</v>
      </c>
      <c r="C20" s="13">
        <f t="shared" si="1"/>
        <v>1.0649239130434821E-2</v>
      </c>
      <c r="D20" s="14">
        <f t="shared" si="2"/>
        <v>1.6858369565217465E-2</v>
      </c>
      <c r="E20" s="14">
        <f t="shared" si="2"/>
        <v>2.7389130434782956E-3</v>
      </c>
      <c r="F20" s="15">
        <f t="shared" si="2"/>
        <v>-3.2315217391305111E-4</v>
      </c>
      <c r="G20" s="13">
        <f t="shared" si="2"/>
        <v>5.2739130434778633E-4</v>
      </c>
      <c r="H20" s="14">
        <f t="shared" si="2"/>
        <v>3.1641304347826103E-3</v>
      </c>
      <c r="I20" s="14">
        <f t="shared" si="2"/>
        <v>8.9480434782609371E-3</v>
      </c>
      <c r="J20" s="15">
        <f t="shared" si="2"/>
        <v>2.7228260869557755E-4</v>
      </c>
      <c r="K20" s="13">
        <f t="shared" si="2"/>
        <v>-7.1277173913043218E-3</v>
      </c>
      <c r="L20" s="14">
        <f t="shared" si="2"/>
        <v>-8.3347826086952262E-4</v>
      </c>
      <c r="M20" s="14">
        <f t="shared" si="2"/>
        <v>-2.449565217391249E-3</v>
      </c>
      <c r="N20" s="15">
        <f t="shared" si="2"/>
        <v>-4.2357608695652357E-3</v>
      </c>
      <c r="O20" s="13">
        <f t="shared" si="2"/>
        <v>-9.1858695652167967E-4</v>
      </c>
      <c r="P20" s="14">
        <f t="shared" si="2"/>
        <v>-5.0864130434782814E-3</v>
      </c>
      <c r="Q20" s="14">
        <f t="shared" si="2"/>
        <v>5.4607608695652768E-3</v>
      </c>
      <c r="R20" s="15">
        <f t="shared" si="2"/>
        <v>-8.0633695652173164E-3</v>
      </c>
      <c r="S20" s="13">
        <f t="shared" si="2"/>
        <v>9.5271739130430922E-4</v>
      </c>
      <c r="T20" s="14">
        <f t="shared" si="2"/>
        <v>-7.6381521739130017E-3</v>
      </c>
      <c r="U20" s="14">
        <f t="shared" si="2"/>
        <v>-3.8955434782608693E-3</v>
      </c>
      <c r="V20" s="15">
        <f t="shared" si="2"/>
        <v>-7.9783695652173685E-3</v>
      </c>
      <c r="W20" s="13">
        <f t="shared" si="2"/>
        <v>-8.7439130434782564E-3</v>
      </c>
      <c r="X20" s="14">
        <f t="shared" si="2"/>
        <v>-2.3804347826089403E-4</v>
      </c>
      <c r="Y20" s="14">
        <f t="shared" si="2"/>
        <v>-4.6610869565217585E-3</v>
      </c>
      <c r="Z20" s="15">
        <f t="shared" si="2"/>
        <v>-6.7874999999999559E-3</v>
      </c>
      <c r="AA20" s="13">
        <f t="shared" si="2"/>
        <v>1.0206521739126342E-4</v>
      </c>
      <c r="AB20" s="14">
        <f t="shared" si="2"/>
        <v>1.8032608695651468E-3</v>
      </c>
      <c r="AC20" s="14">
        <f t="shared" si="2"/>
        <v>-5.0864130434782814E-3</v>
      </c>
      <c r="AD20" s="15">
        <f t="shared" si="2"/>
        <v>-5.2565217391303872E-3</v>
      </c>
      <c r="AE20" s="13">
        <f t="shared" si="2"/>
        <v>-1.2656521739130441E-2</v>
      </c>
      <c r="AF20" s="14">
        <f t="shared" si="2"/>
        <v>-1.4612826086956533E-2</v>
      </c>
      <c r="AG20" s="14">
        <f t="shared" si="2"/>
        <v>-1.1550760869565186E-2</v>
      </c>
      <c r="AH20" s="15">
        <f t="shared" si="2"/>
        <v>-9.5093478260869363E-3</v>
      </c>
      <c r="AI20" s="13">
        <f t="shared" si="2"/>
        <v>-1.0955326086956558E-2</v>
      </c>
      <c r="AJ20" s="14">
        <f t="shared" si="2"/>
        <v>-6.6173913043478501E-3</v>
      </c>
      <c r="AK20" s="14">
        <f t="shared" si="2"/>
        <v>-3.9806521739130267E-3</v>
      </c>
      <c r="AL20" s="15">
        <f t="shared" si="2"/>
        <v>-7.2128260869564788E-3</v>
      </c>
      <c r="AM20" s="13">
        <f t="shared" si="2"/>
        <v>6.975000000000465E-4</v>
      </c>
      <c r="AN20" s="14">
        <f t="shared" si="2"/>
        <v>1.5752608695652207E-2</v>
      </c>
      <c r="AO20" s="14">
        <f t="shared" si="2"/>
        <v>1.0223913043478298E-2</v>
      </c>
      <c r="AP20" s="15">
        <f t="shared" si="2"/>
        <v>4.8653260869564938E-3</v>
      </c>
      <c r="AQ20" s="13">
        <f t="shared" si="2"/>
        <v>-7.042717391304373E-3</v>
      </c>
      <c r="AR20" s="14">
        <f t="shared" si="2"/>
        <v>-1.6143804347826102E-2</v>
      </c>
      <c r="AS20" s="14">
        <f t="shared" si="2"/>
        <v>-3.7254347826087635E-3</v>
      </c>
      <c r="AT20" s="15">
        <f t="shared" si="2"/>
        <v>-1.5718586956521789E-2</v>
      </c>
      <c r="AU20" s="13">
        <f t="shared" si="2"/>
        <v>-5.1714130434782294E-3</v>
      </c>
      <c r="AV20" s="14">
        <f t="shared" si="2"/>
        <v>-9.3392391304348305E-3</v>
      </c>
      <c r="AW20" s="14">
        <f t="shared" si="2"/>
        <v>-4.3208695652173926E-3</v>
      </c>
      <c r="AX20" s="15">
        <f t="shared" si="2"/>
        <v>-2.1944565217391944E-3</v>
      </c>
    </row>
    <row r="21" spans="2:50" ht="17.25" thickBot="1" x14ac:dyDescent="0.65">
      <c r="B21" s="2">
        <v>128</v>
      </c>
      <c r="C21" s="16">
        <f t="shared" si="1"/>
        <v>1.8812031249999972E-2</v>
      </c>
      <c r="D21" s="17">
        <f t="shared" si="2"/>
        <v>2.3886171875000084E-2</v>
      </c>
      <c r="E21" s="17">
        <f t="shared" si="2"/>
        <v>7.1352343749999658E-3</v>
      </c>
      <c r="F21" s="18">
        <f t="shared" si="2"/>
        <v>1.0217187499999003E-3</v>
      </c>
      <c r="G21" s="16">
        <f t="shared" si="2"/>
        <v>5.8514062499999131E-3</v>
      </c>
      <c r="H21" s="17">
        <f t="shared" si="2"/>
        <v>6.7073437500000388E-3</v>
      </c>
      <c r="I21" s="17">
        <f t="shared" si="2"/>
        <v>1.6244375000000089E-2</v>
      </c>
      <c r="J21" s="18">
        <f t="shared" si="2"/>
        <v>4.0785156250000565E-3</v>
      </c>
      <c r="K21" s="16">
        <f t="shared" si="2"/>
        <v>-4.3580468749999657E-3</v>
      </c>
      <c r="L21" s="17">
        <f t="shared" si="2"/>
        <v>3.5283593749999564E-3</v>
      </c>
      <c r="M21" s="17">
        <f t="shared" si="2"/>
        <v>3.4060156249999807E-3</v>
      </c>
      <c r="N21" s="18">
        <f t="shared" si="2"/>
        <v>4.7156250000002231E-4</v>
      </c>
      <c r="O21" s="16">
        <f t="shared" si="2"/>
        <v>3.2225781249999308E-3</v>
      </c>
      <c r="P21" s="17">
        <f t="shared" si="2"/>
        <v>-4.5414843750000156E-3</v>
      </c>
      <c r="Q21" s="17">
        <f t="shared" si="2"/>
        <v>1.1292421874999903E-2</v>
      </c>
      <c r="R21" s="18">
        <f t="shared" si="2"/>
        <v>-7.9039062500000368E-3</v>
      </c>
      <c r="S21" s="16">
        <f t="shared" si="2"/>
        <v>9.519609375000071E-3</v>
      </c>
      <c r="T21" s="17">
        <f t="shared" si="2"/>
        <v>-4.2969531250000026E-3</v>
      </c>
      <c r="U21" s="17">
        <f t="shared" si="2"/>
        <v>8.9953124999997414E-4</v>
      </c>
      <c r="V21" s="18">
        <f t="shared" si="2"/>
        <v>-5.0917187500000294E-3</v>
      </c>
      <c r="W21" s="16">
        <f t="shared" si="2"/>
        <v>-7.231406249999961E-3</v>
      </c>
      <c r="X21" s="17">
        <f t="shared" si="2"/>
        <v>3.5893750000000058E-3</v>
      </c>
      <c r="Y21" s="17">
        <f t="shared" si="2"/>
        <v>-4.1135937499999775E-3</v>
      </c>
      <c r="Z21" s="18">
        <f t="shared" si="2"/>
        <v>-7.10914062500001E-3</v>
      </c>
      <c r="AA21" s="16">
        <f t="shared" si="2"/>
        <v>4.6287499999999593E-3</v>
      </c>
      <c r="AB21" s="17">
        <f t="shared" si="2"/>
        <v>8.8470312499999704E-3</v>
      </c>
      <c r="AC21" s="17">
        <f t="shared" si="2"/>
        <v>-1.912734374999947E-3</v>
      </c>
      <c r="AD21" s="18">
        <f t="shared" si="2"/>
        <v>-3.1353906250000119E-3</v>
      </c>
      <c r="AE21" s="16">
        <f t="shared" si="2"/>
        <v>-1.2672421874999951E-2</v>
      </c>
      <c r="AF21" s="17">
        <f t="shared" si="2"/>
        <v>-1.6279374999999985E-2</v>
      </c>
      <c r="AG21" s="17">
        <f t="shared" si="2"/>
        <v>-1.273359375000005E-2</v>
      </c>
      <c r="AH21" s="18">
        <f t="shared" si="2"/>
        <v>-9.3100000000000405E-3</v>
      </c>
      <c r="AI21" s="16">
        <f t="shared" si="2"/>
        <v>-1.340601562499999E-2</v>
      </c>
      <c r="AJ21" s="17">
        <f t="shared" si="2"/>
        <v>-9.1266406250000154E-3</v>
      </c>
      <c r="AK21" s="17">
        <f t="shared" si="2"/>
        <v>-3.3799218750000248E-3</v>
      </c>
      <c r="AL21" s="18">
        <f t="shared" si="2"/>
        <v>-8.2707031250000007E-3</v>
      </c>
      <c r="AM21" s="16">
        <f t="shared" si="2"/>
        <v>5.9736718750000861E-3</v>
      </c>
      <c r="AN21" s="17">
        <f t="shared" si="2"/>
        <v>2.718749999999992E-2</v>
      </c>
      <c r="AO21" s="17">
        <f t="shared" si="2"/>
        <v>1.8995390624999997E-2</v>
      </c>
      <c r="AP21" s="18">
        <f t="shared" si="2"/>
        <v>1.0497656250000098E-2</v>
      </c>
      <c r="AQ21" s="16">
        <f t="shared" si="2"/>
        <v>-4.9694531249999674E-3</v>
      </c>
      <c r="AR21" s="17">
        <f t="shared" si="2"/>
        <v>-1.7135234374999975E-2</v>
      </c>
      <c r="AS21" s="17">
        <f t="shared" si="2"/>
        <v>7.7726562500002316E-4</v>
      </c>
      <c r="AT21" s="18">
        <f t="shared" si="2"/>
        <v>-1.7318671875000025E-2</v>
      </c>
      <c r="AU21" s="16">
        <f t="shared" si="2"/>
        <v>-2.5239843750000102E-3</v>
      </c>
      <c r="AV21" s="17">
        <f t="shared" si="2"/>
        <v>-8.6986718749999525E-3</v>
      </c>
      <c r="AW21" s="17">
        <f t="shared" si="2"/>
        <v>-5.0656250000002956E-4</v>
      </c>
      <c r="AX21" s="18">
        <f t="shared" si="2"/>
        <v>8.3843749999990003E-4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jylee</dc:creator>
  <cp:lastModifiedBy>이 준영</cp:lastModifiedBy>
  <dcterms:created xsi:type="dcterms:W3CDTF">2015-06-05T18:19:34Z</dcterms:created>
  <dcterms:modified xsi:type="dcterms:W3CDTF">2025-04-02T05:29:56Z</dcterms:modified>
</cp:coreProperties>
</file>