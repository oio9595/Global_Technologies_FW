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측정자료\"/>
    </mc:Choice>
  </mc:AlternateContent>
  <xr:revisionPtr revIDLastSave="0" documentId="13_ncr:1_{E30DE8AA-7969-4096-915D-E7BE76592341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H27" i="1" s="1"/>
  <c r="G28" i="1"/>
  <c r="H28" i="1" s="1"/>
  <c r="G29" i="1"/>
  <c r="H29" i="1"/>
  <c r="I29" i="1"/>
  <c r="J29" i="1"/>
  <c r="K29" i="1"/>
  <c r="G30" i="1"/>
  <c r="I30" i="1" s="1"/>
  <c r="H30" i="1"/>
  <c r="G31" i="1"/>
  <c r="J31" i="1" s="1"/>
  <c r="H31" i="1"/>
  <c r="I31" i="1"/>
  <c r="G32" i="1"/>
  <c r="J32" i="1" s="1"/>
  <c r="H32" i="1"/>
  <c r="I32" i="1"/>
  <c r="G33" i="1"/>
  <c r="H33" i="1"/>
  <c r="I33" i="1"/>
  <c r="J33" i="1"/>
  <c r="K33" i="1"/>
  <c r="G26" i="1"/>
  <c r="J26" i="1" s="1"/>
  <c r="G16" i="1"/>
  <c r="I16" i="1" s="1"/>
  <c r="H16" i="1"/>
  <c r="G17" i="1"/>
  <c r="K17" i="1" s="1"/>
  <c r="H17" i="1"/>
  <c r="I17" i="1"/>
  <c r="J17" i="1"/>
  <c r="G18" i="1"/>
  <c r="H18" i="1"/>
  <c r="I18" i="1"/>
  <c r="J18" i="1"/>
  <c r="K18" i="1"/>
  <c r="G19" i="1"/>
  <c r="H19" i="1"/>
  <c r="I19" i="1"/>
  <c r="J19" i="1"/>
  <c r="K19" i="1"/>
  <c r="G20" i="1"/>
  <c r="K20" i="1" s="1"/>
  <c r="H20" i="1"/>
  <c r="I20" i="1"/>
  <c r="J20" i="1"/>
  <c r="G21" i="1"/>
  <c r="H21" i="1"/>
  <c r="I21" i="1"/>
  <c r="J21" i="1"/>
  <c r="K21" i="1"/>
  <c r="G22" i="1"/>
  <c r="H22" i="1" s="1"/>
  <c r="G15" i="1"/>
  <c r="K15" i="1" s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I4" i="1"/>
  <c r="J4" i="1"/>
  <c r="K4" i="1"/>
  <c r="H4" i="1"/>
  <c r="G5" i="1"/>
  <c r="G6" i="1"/>
  <c r="G7" i="1"/>
  <c r="G8" i="1"/>
  <c r="G9" i="1"/>
  <c r="G10" i="1"/>
  <c r="G11" i="1"/>
  <c r="G4" i="1"/>
  <c r="K26" i="1" l="1"/>
  <c r="K30" i="1"/>
  <c r="J30" i="1"/>
  <c r="K28" i="1"/>
  <c r="J28" i="1"/>
  <c r="K32" i="1"/>
  <c r="I28" i="1"/>
  <c r="K27" i="1"/>
  <c r="J27" i="1"/>
  <c r="K31" i="1"/>
  <c r="I27" i="1"/>
  <c r="H26" i="1"/>
  <c r="I26" i="1"/>
  <c r="K22" i="1"/>
  <c r="J22" i="1"/>
  <c r="I22" i="1"/>
  <c r="K16" i="1"/>
  <c r="J16" i="1"/>
  <c r="H15" i="1"/>
  <c r="I15" i="1"/>
  <c r="J15" i="1"/>
</calcChain>
</file>

<file path=xl/sharedStrings.xml><?xml version="1.0" encoding="utf-8"?>
<sst xmlns="http://schemas.openxmlformats.org/spreadsheetml/2006/main" count="30" uniqueCount="10">
  <si>
    <t>vref</t>
  </si>
  <si>
    <t>io_1</t>
    <phoneticPr fontId="1" type="noConversion"/>
  </si>
  <si>
    <t>io_2</t>
  </si>
  <si>
    <t>io_3</t>
  </si>
  <si>
    <t>io_4</t>
  </si>
  <si>
    <t>io_spec</t>
    <phoneticPr fontId="1" type="noConversion"/>
  </si>
  <si>
    <t>dev_1</t>
    <phoneticPr fontId="1" type="noConversion"/>
  </si>
  <si>
    <t>dev_2</t>
  </si>
  <si>
    <t>dev_3</t>
  </si>
  <si>
    <t>dev_4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</si>
</sst>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0" fontId="0" fillId="0" borderId="0" xfId="1" applyNumberFormat="1" applyFont="1" applyAlignment="1"/>
    <xf numFmtId="0" fontId="0" fillId="2" borderId="0" xfId="0" applyFill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3"/>
  <sheetViews>
    <sheetView tabSelected="1" zoomScale="85" zoomScaleNormal="85" workbookViewId="0"/>
  </sheetViews>
  <sheetFormatPr defaultRowHeight="16.899999999999999" x14ac:dyDescent="0.6"/>
  <sheetData>
    <row r="2" spans="2:11" x14ac:dyDescent="0.6">
      <c r="B2" s="2" t="s">
        <v>0</v>
      </c>
      <c r="C2" s="2">
        <v>3276</v>
      </c>
      <c r="D2" s="2"/>
      <c r="E2" s="2"/>
      <c r="F2" s="2"/>
      <c r="G2" s="2"/>
      <c r="H2" s="2"/>
      <c r="I2" s="2"/>
      <c r="J2" s="2"/>
      <c r="K2" s="2"/>
    </row>
    <row r="3" spans="2:11" x14ac:dyDescent="0.6">
      <c r="B3" s="2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2:11" x14ac:dyDescent="0.6">
      <c r="B4" s="2">
        <v>8</v>
      </c>
      <c r="C4">
        <v>6.4401900000000003</v>
      </c>
      <c r="D4">
        <v>6.4949599999999998</v>
      </c>
      <c r="E4">
        <v>6.4010600000000002</v>
      </c>
      <c r="F4">
        <v>6.4558400000000002</v>
      </c>
      <c r="G4" s="2">
        <f>B4*$C$2/4095</f>
        <v>6.4</v>
      </c>
      <c r="H4" s="1">
        <f>(C4-$G4)/$G4</f>
        <v>6.2796874999999919E-3</v>
      </c>
      <c r="I4" s="1">
        <f t="shared" ref="I4:K4" si="0">(D4-$G4)/$G4</f>
        <v>1.483749999999992E-2</v>
      </c>
      <c r="J4" s="1">
        <f t="shared" si="0"/>
        <v>1.6562499999997482E-4</v>
      </c>
      <c r="K4" s="1">
        <f t="shared" si="0"/>
        <v>8.7249999999999828E-3</v>
      </c>
    </row>
    <row r="5" spans="2:11" x14ac:dyDescent="0.6">
      <c r="B5" s="2">
        <v>16</v>
      </c>
      <c r="C5">
        <v>12.80212</v>
      </c>
      <c r="D5">
        <v>12.84125</v>
      </c>
      <c r="E5">
        <v>12.817769999999999</v>
      </c>
      <c r="F5">
        <v>12.817769999999999</v>
      </c>
      <c r="G5" s="2">
        <f t="shared" ref="G5:G11" si="1">B5*$C$2/4095</f>
        <v>12.8</v>
      </c>
      <c r="H5" s="1">
        <f t="shared" ref="H5:H11" si="2">(C5-$G5)/$G5</f>
        <v>1.6562499999997482E-4</v>
      </c>
      <c r="I5" s="1">
        <f t="shared" ref="I5:I11" si="3">(D5-$G5)/$G5</f>
        <v>3.2226562499999833E-3</v>
      </c>
      <c r="J5" s="1">
        <f t="shared" ref="J5:J11" si="4">(E5-$G5)/$G5</f>
        <v>1.3882812499999009E-3</v>
      </c>
      <c r="K5" s="1">
        <f t="shared" ref="K5:K11" si="5">(F5-$G5)/$G5</f>
        <v>1.3882812499999009E-3</v>
      </c>
    </row>
    <row r="6" spans="2:11" x14ac:dyDescent="0.6">
      <c r="B6" s="2">
        <v>24</v>
      </c>
      <c r="C6">
        <v>19.046679999999999</v>
      </c>
      <c r="D6">
        <v>19.054500000000001</v>
      </c>
      <c r="E6">
        <v>19.11711</v>
      </c>
      <c r="F6">
        <v>19.070160000000001</v>
      </c>
      <c r="G6" s="2">
        <f t="shared" si="1"/>
        <v>19.2</v>
      </c>
      <c r="H6" s="1">
        <f t="shared" si="2"/>
        <v>-7.9854166666667083E-3</v>
      </c>
      <c r="I6" s="1">
        <f t="shared" si="3"/>
        <v>-7.5781249999999174E-3</v>
      </c>
      <c r="J6" s="1">
        <f t="shared" si="4"/>
        <v>-4.3171874999999495E-3</v>
      </c>
      <c r="K6" s="1">
        <f t="shared" si="5"/>
        <v>-6.7624999999998936E-3</v>
      </c>
    </row>
    <row r="7" spans="2:11" x14ac:dyDescent="0.6">
      <c r="B7" s="2">
        <v>32</v>
      </c>
      <c r="C7">
        <v>25.197330000000001</v>
      </c>
      <c r="D7">
        <v>25.197330000000001</v>
      </c>
      <c r="E7">
        <v>25.330359999999999</v>
      </c>
      <c r="F7">
        <v>25.236460000000001</v>
      </c>
      <c r="G7" s="2">
        <f t="shared" si="1"/>
        <v>25.6</v>
      </c>
      <c r="H7" s="1">
        <f t="shared" si="2"/>
        <v>-1.5729296875000021E-2</v>
      </c>
      <c r="I7" s="1">
        <f t="shared" si="3"/>
        <v>-1.5729296875000021E-2</v>
      </c>
      <c r="J7" s="1">
        <f t="shared" si="4"/>
        <v>-1.0532812500000099E-2</v>
      </c>
      <c r="K7" s="1">
        <f t="shared" si="5"/>
        <v>-1.4200781250000016E-2</v>
      </c>
    </row>
    <row r="8" spans="2:11" x14ac:dyDescent="0.6">
      <c r="B8" s="2">
        <v>48</v>
      </c>
      <c r="C8">
        <v>38.6646</v>
      </c>
      <c r="D8">
        <v>38.586350000000003</v>
      </c>
      <c r="E8">
        <v>38.656779999999998</v>
      </c>
      <c r="F8">
        <v>38.711559999999999</v>
      </c>
      <c r="G8" s="2">
        <f t="shared" si="1"/>
        <v>38.4</v>
      </c>
      <c r="H8" s="1">
        <f t="shared" si="2"/>
        <v>6.8906250000000391E-3</v>
      </c>
      <c r="I8" s="1">
        <f t="shared" si="3"/>
        <v>4.8528645833334494E-3</v>
      </c>
      <c r="J8" s="1">
        <f t="shared" si="4"/>
        <v>6.686979166666644E-3</v>
      </c>
      <c r="K8" s="1">
        <f t="shared" si="5"/>
        <v>8.1135416666666682E-3</v>
      </c>
    </row>
    <row r="9" spans="2:11" x14ac:dyDescent="0.6">
      <c r="B9" s="2">
        <v>64</v>
      </c>
      <c r="C9">
        <v>51.278919999999999</v>
      </c>
      <c r="D9">
        <v>51.122419999999998</v>
      </c>
      <c r="E9">
        <v>51.271099999999997</v>
      </c>
      <c r="F9">
        <v>51.357170000000004</v>
      </c>
      <c r="G9" s="2">
        <f t="shared" si="1"/>
        <v>51.2</v>
      </c>
      <c r="H9" s="1">
        <f t="shared" si="2"/>
        <v>1.5414062499999326E-3</v>
      </c>
      <c r="I9" s="1">
        <f t="shared" si="3"/>
        <v>-1.5152343750000907E-3</v>
      </c>
      <c r="J9" s="1">
        <f t="shared" si="4"/>
        <v>1.3886718749998861E-3</v>
      </c>
      <c r="K9" s="1">
        <f t="shared" si="5"/>
        <v>3.0697265625000136E-3</v>
      </c>
    </row>
    <row r="10" spans="2:11" x14ac:dyDescent="0.6">
      <c r="B10" s="2">
        <v>92</v>
      </c>
      <c r="C10">
        <v>73.526129999999995</v>
      </c>
      <c r="D10">
        <v>73.236599999999996</v>
      </c>
      <c r="E10">
        <v>73.51831</v>
      </c>
      <c r="F10">
        <v>73.643510000000006</v>
      </c>
      <c r="G10" s="2">
        <f t="shared" si="1"/>
        <v>73.599999999999994</v>
      </c>
      <c r="H10" s="1">
        <f t="shared" si="2"/>
        <v>-1.003668478260862E-3</v>
      </c>
      <c r="I10" s="1">
        <f t="shared" si="3"/>
        <v>-4.9374999999999818E-3</v>
      </c>
      <c r="J10" s="1">
        <f t="shared" si="4"/>
        <v>-1.1099184782607978E-3</v>
      </c>
      <c r="K10" s="1">
        <f t="shared" si="5"/>
        <v>5.9116847826103168E-4</v>
      </c>
    </row>
    <row r="11" spans="2:11" x14ac:dyDescent="0.6">
      <c r="B11" s="2">
        <v>128</v>
      </c>
      <c r="C11">
        <v>102.58132000000001</v>
      </c>
      <c r="D11">
        <v>102.00225</v>
      </c>
      <c r="E11">
        <v>102.53436000000001</v>
      </c>
      <c r="F11">
        <v>102.75346999999999</v>
      </c>
      <c r="G11" s="2">
        <f t="shared" si="1"/>
        <v>102.4</v>
      </c>
      <c r="H11" s="1">
        <f t="shared" si="2"/>
        <v>1.7707031249999949E-3</v>
      </c>
      <c r="I11" s="1">
        <f t="shared" si="3"/>
        <v>-3.88427734375002E-3</v>
      </c>
      <c r="J11" s="1">
        <f t="shared" si="4"/>
        <v>1.312109375000009E-3</v>
      </c>
      <c r="K11" s="1">
        <f t="shared" si="5"/>
        <v>3.4518554687498759E-3</v>
      </c>
    </row>
    <row r="13" spans="2:11" x14ac:dyDescent="0.6">
      <c r="B13" s="2" t="s">
        <v>0</v>
      </c>
      <c r="C13" s="2">
        <v>3276</v>
      </c>
      <c r="D13" s="2"/>
      <c r="E13" s="2"/>
      <c r="F13" s="2"/>
      <c r="G13" s="2"/>
      <c r="H13" s="2"/>
      <c r="I13" s="2"/>
      <c r="J13" s="2"/>
      <c r="K13" s="2"/>
    </row>
    <row r="14" spans="2:11" x14ac:dyDescent="0.6">
      <c r="B14" s="2"/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8</v>
      </c>
      <c r="K14" s="2" t="s">
        <v>9</v>
      </c>
    </row>
    <row r="15" spans="2:11" x14ac:dyDescent="0.6">
      <c r="B15" s="2">
        <v>8</v>
      </c>
      <c r="C15">
        <v>6.46366</v>
      </c>
      <c r="D15">
        <v>6.4167100000000001</v>
      </c>
      <c r="E15">
        <v>6.4323600000000001</v>
      </c>
      <c r="F15">
        <v>6.3541100000000004</v>
      </c>
      <c r="G15" s="2">
        <f>B15*$C$2/4095</f>
        <v>6.4</v>
      </c>
      <c r="H15" s="1">
        <f>(C15-$G15)/$G15</f>
        <v>9.9468749999999384E-3</v>
      </c>
      <c r="I15" s="1">
        <f t="shared" ref="I15" si="6">(D15-$G15)/$G15</f>
        <v>2.6109374999999657E-3</v>
      </c>
      <c r="J15" s="1">
        <f t="shared" ref="J15" si="7">(E15-$G15)/$G15</f>
        <v>5.0562499999999566E-3</v>
      </c>
      <c r="K15" s="1">
        <f t="shared" ref="K15" si="8">(F15-$G15)/$G15</f>
        <v>-7.1703124999999979E-3</v>
      </c>
    </row>
    <row r="16" spans="2:11" x14ac:dyDescent="0.6">
      <c r="B16" s="2">
        <v>16</v>
      </c>
      <c r="C16">
        <v>12.84125</v>
      </c>
      <c r="D16">
        <v>12.8256</v>
      </c>
      <c r="E16">
        <v>12.770820000000001</v>
      </c>
      <c r="F16">
        <v>12.80212</v>
      </c>
      <c r="G16" s="2">
        <f t="shared" ref="G16:G22" si="9">B16*$C$2/4095</f>
        <v>12.8</v>
      </c>
      <c r="H16" s="1">
        <f t="shared" ref="H16:H22" si="10">(C16-$G16)/$G16</f>
        <v>3.2226562499999833E-3</v>
      </c>
      <c r="I16" s="1">
        <f t="shared" ref="I16:I22" si="11">(D16-$G16)/$G16</f>
        <v>1.9999999999999185E-3</v>
      </c>
      <c r="J16" s="1">
        <f t="shared" ref="J16:J22" si="12">(E16-$G16)/$G16</f>
        <v>-2.2796875000000161E-3</v>
      </c>
      <c r="K16" s="1">
        <f t="shared" ref="K16:K22" si="13">(F16-$G16)/$G16</f>
        <v>1.6562499999997482E-4</v>
      </c>
    </row>
    <row r="17" spans="2:11" x14ac:dyDescent="0.6">
      <c r="B17" s="2">
        <v>24</v>
      </c>
      <c r="C17">
        <v>19.132760000000001</v>
      </c>
      <c r="D17">
        <v>19.21884</v>
      </c>
      <c r="E17">
        <v>19.01538</v>
      </c>
      <c r="F17">
        <v>19.21884</v>
      </c>
      <c r="G17" s="2">
        <f t="shared" si="9"/>
        <v>19.2</v>
      </c>
      <c r="H17" s="1">
        <f t="shared" si="10"/>
        <v>-3.5020833333332391E-3</v>
      </c>
      <c r="I17" s="1">
        <f t="shared" si="11"/>
        <v>9.8125000000004459E-4</v>
      </c>
      <c r="J17" s="1">
        <f t="shared" si="12"/>
        <v>-9.6156249999999437E-3</v>
      </c>
      <c r="K17" s="1">
        <f t="shared" si="13"/>
        <v>9.8125000000004459E-4</v>
      </c>
    </row>
    <row r="18" spans="2:11" x14ac:dyDescent="0.6">
      <c r="B18" s="2">
        <v>32</v>
      </c>
      <c r="C18">
        <v>25.299060000000001</v>
      </c>
      <c r="D18">
        <v>25.510339999999999</v>
      </c>
      <c r="E18">
        <v>25.11908</v>
      </c>
      <c r="F18">
        <v>25.518170000000001</v>
      </c>
      <c r="G18" s="2">
        <f t="shared" si="9"/>
        <v>25.6</v>
      </c>
      <c r="H18" s="1">
        <f t="shared" si="10"/>
        <v>-1.1755468750000025E-2</v>
      </c>
      <c r="I18" s="1">
        <f t="shared" si="11"/>
        <v>-3.5023437500000809E-3</v>
      </c>
      <c r="J18" s="1">
        <f t="shared" si="12"/>
        <v>-1.8785937500000044E-2</v>
      </c>
      <c r="K18" s="1">
        <f t="shared" si="13"/>
        <v>-3.1964843750000027E-3</v>
      </c>
    </row>
    <row r="19" spans="2:11" x14ac:dyDescent="0.6">
      <c r="B19" s="2">
        <v>48</v>
      </c>
      <c r="C19">
        <v>38.633299999999998</v>
      </c>
      <c r="D19">
        <v>38.50027</v>
      </c>
      <c r="E19">
        <v>38.531570000000002</v>
      </c>
      <c r="F19">
        <v>38.382899999999999</v>
      </c>
      <c r="G19" s="2">
        <f t="shared" si="9"/>
        <v>38.4</v>
      </c>
      <c r="H19" s="1">
        <f t="shared" si="10"/>
        <v>6.0755208333333295E-3</v>
      </c>
      <c r="I19" s="1">
        <f t="shared" si="11"/>
        <v>2.6111979166667152E-3</v>
      </c>
      <c r="J19" s="1">
        <f t="shared" si="12"/>
        <v>3.4263020833334252E-3</v>
      </c>
      <c r="K19" s="1">
        <f t="shared" si="13"/>
        <v>-4.453124999999799E-4</v>
      </c>
    </row>
    <row r="20" spans="2:11" x14ac:dyDescent="0.6">
      <c r="B20" s="2">
        <v>64</v>
      </c>
      <c r="C20">
        <v>51.29457</v>
      </c>
      <c r="D20">
        <v>51.271099999999997</v>
      </c>
      <c r="E20">
        <v>51.083289999999998</v>
      </c>
      <c r="F20">
        <v>51.130240000000001</v>
      </c>
      <c r="G20" s="2">
        <f t="shared" si="9"/>
        <v>51.2</v>
      </c>
      <c r="H20" s="1">
        <f t="shared" si="10"/>
        <v>1.8470703124999488E-3</v>
      </c>
      <c r="I20" s="1">
        <f t="shared" si="11"/>
        <v>1.3886718749998861E-3</v>
      </c>
      <c r="J20" s="1">
        <f t="shared" si="12"/>
        <v>-2.2794921875000929E-3</v>
      </c>
      <c r="K20" s="1">
        <f t="shared" si="13"/>
        <v>-1.3625000000000442E-3</v>
      </c>
    </row>
    <row r="21" spans="2:11" x14ac:dyDescent="0.6">
      <c r="B21" s="2">
        <v>92</v>
      </c>
      <c r="C21">
        <v>73.549610000000001</v>
      </c>
      <c r="D21">
        <v>73.706119999999999</v>
      </c>
      <c r="E21">
        <v>73.087919999999997</v>
      </c>
      <c r="F21">
        <v>73.596559999999997</v>
      </c>
      <c r="G21" s="2">
        <f t="shared" si="9"/>
        <v>73.599999999999994</v>
      </c>
      <c r="H21" s="1">
        <f t="shared" si="10"/>
        <v>-6.8464673913034039E-4</v>
      </c>
      <c r="I21" s="1">
        <f t="shared" si="11"/>
        <v>1.4418478260870139E-3</v>
      </c>
      <c r="J21" s="1">
        <f t="shared" si="12"/>
        <v>-6.9576086956521397E-3</v>
      </c>
      <c r="K21" s="1">
        <f t="shared" si="13"/>
        <v>-4.6739130434750919E-5</v>
      </c>
    </row>
    <row r="22" spans="2:11" x14ac:dyDescent="0.6">
      <c r="B22" s="2">
        <v>128</v>
      </c>
      <c r="C22">
        <v>102.70652</v>
      </c>
      <c r="D22">
        <v>103.05866</v>
      </c>
      <c r="E22">
        <v>101.8614</v>
      </c>
      <c r="F22">
        <v>103.05083</v>
      </c>
      <c r="G22" s="2">
        <f t="shared" si="9"/>
        <v>102.4</v>
      </c>
      <c r="H22" s="1">
        <f t="shared" si="10"/>
        <v>2.993359374999921E-3</v>
      </c>
      <c r="I22" s="1">
        <f t="shared" si="11"/>
        <v>6.4322265624999764E-3</v>
      </c>
      <c r="J22" s="1">
        <f t="shared" si="12"/>
        <v>-5.2597656250000235E-3</v>
      </c>
      <c r="K22" s="1">
        <f t="shared" si="13"/>
        <v>6.3557617187499915E-3</v>
      </c>
    </row>
    <row r="24" spans="2:11" x14ac:dyDescent="0.6">
      <c r="B24" s="2" t="s">
        <v>0</v>
      </c>
      <c r="C24" s="2">
        <v>3276</v>
      </c>
      <c r="D24" s="2"/>
      <c r="E24" s="2"/>
      <c r="F24" s="2"/>
      <c r="G24" s="2"/>
      <c r="H24" s="2"/>
      <c r="I24" s="2"/>
      <c r="J24" s="2"/>
      <c r="K24" s="2"/>
    </row>
    <row r="25" spans="2:11" x14ac:dyDescent="0.6">
      <c r="B25" s="2"/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</row>
    <row r="26" spans="2:11" x14ac:dyDescent="0.6">
      <c r="B26" s="2">
        <v>8</v>
      </c>
      <c r="C26">
        <v>6.3462800000000001</v>
      </c>
      <c r="D26">
        <v>6.4167100000000001</v>
      </c>
      <c r="E26">
        <v>6.4323600000000001</v>
      </c>
      <c r="F26">
        <v>6.3462800000000001</v>
      </c>
      <c r="G26" s="2">
        <f>B26*$C$2/4095</f>
        <v>6.4</v>
      </c>
      <c r="H26" s="1">
        <f>(C26-$G26)/$G26</f>
        <v>-8.3937500000000331E-3</v>
      </c>
      <c r="I26" s="1">
        <f t="shared" ref="I26" si="14">(D26-$G26)/$G26</f>
        <v>2.6109374999999657E-3</v>
      </c>
      <c r="J26" s="1">
        <f t="shared" ref="J26" si="15">(E26-$G26)/$G26</f>
        <v>5.0562499999999566E-3</v>
      </c>
      <c r="K26" s="1">
        <f t="shared" ref="K26" si="16">(F26-$G26)/$G26</f>
        <v>-8.3937500000000331E-3</v>
      </c>
    </row>
    <row r="27" spans="2:11" x14ac:dyDescent="0.6">
      <c r="B27" s="2">
        <v>16</v>
      </c>
      <c r="C27">
        <v>12.7943</v>
      </c>
      <c r="D27">
        <v>12.809950000000001</v>
      </c>
      <c r="E27">
        <v>12.778650000000001</v>
      </c>
      <c r="F27">
        <v>12.809950000000001</v>
      </c>
      <c r="G27" s="2">
        <f t="shared" ref="G27:G33" si="17">B27*$C$2/4095</f>
        <v>12.8</v>
      </c>
      <c r="H27" s="1">
        <f t="shared" ref="H27:H33" si="18">(C27-$G27)/$G27</f>
        <v>-4.4531250000007239E-4</v>
      </c>
      <c r="I27" s="1">
        <f t="shared" ref="I27:I33" si="19">(D27-$G27)/$G27</f>
        <v>7.7734374999999245E-4</v>
      </c>
      <c r="J27" s="1">
        <f t="shared" ref="J27:J33" si="20">(E27-$G27)/$G27</f>
        <v>-1.6679687499999984E-3</v>
      </c>
      <c r="K27" s="1">
        <f t="shared" ref="K27:K33" si="21">(F27-$G27)/$G27</f>
        <v>7.7734374999999245E-4</v>
      </c>
    </row>
    <row r="28" spans="2:11" x14ac:dyDescent="0.6">
      <c r="B28" s="2">
        <v>24</v>
      </c>
      <c r="C28">
        <v>19.195360000000001</v>
      </c>
      <c r="D28">
        <v>19.093630000000001</v>
      </c>
      <c r="E28">
        <v>19.023199999999999</v>
      </c>
      <c r="F28">
        <v>19.211010000000002</v>
      </c>
      <c r="G28" s="2">
        <f t="shared" si="17"/>
        <v>19.2</v>
      </c>
      <c r="H28" s="1">
        <f t="shared" si="18"/>
        <v>-2.4166666666658454E-4</v>
      </c>
      <c r="I28" s="1">
        <f t="shared" si="19"/>
        <v>-5.5401041666665787E-3</v>
      </c>
      <c r="J28" s="1">
        <f t="shared" si="20"/>
        <v>-9.2083333333333375E-3</v>
      </c>
      <c r="K28" s="1">
        <f t="shared" si="21"/>
        <v>5.7343750000012539E-4</v>
      </c>
    </row>
    <row r="29" spans="2:11" x14ac:dyDescent="0.6">
      <c r="B29" s="2">
        <v>32</v>
      </c>
      <c r="C29">
        <v>25.533819999999999</v>
      </c>
      <c r="D29">
        <v>25.314710000000002</v>
      </c>
      <c r="E29">
        <v>25.18168</v>
      </c>
      <c r="F29">
        <v>25.580770000000001</v>
      </c>
      <c r="G29" s="2">
        <f t="shared" si="17"/>
        <v>25.6</v>
      </c>
      <c r="H29" s="1">
        <f t="shared" si="18"/>
        <v>-2.5851562500001091E-3</v>
      </c>
      <c r="I29" s="1">
        <f t="shared" si="19"/>
        <v>-1.1144140624999993E-2</v>
      </c>
      <c r="J29" s="1">
        <f t="shared" si="20"/>
        <v>-1.6340625000000053E-2</v>
      </c>
      <c r="K29" s="1">
        <f t="shared" si="21"/>
        <v>-7.5117187500001181E-4</v>
      </c>
    </row>
    <row r="30" spans="2:11" x14ac:dyDescent="0.6">
      <c r="B30" s="2">
        <v>48</v>
      </c>
      <c r="C30">
        <v>38.539400000000001</v>
      </c>
      <c r="D30">
        <v>38.625480000000003</v>
      </c>
      <c r="E30">
        <v>38.625480000000003</v>
      </c>
      <c r="F30">
        <v>38.539400000000001</v>
      </c>
      <c r="G30" s="2">
        <f t="shared" si="17"/>
        <v>38.4</v>
      </c>
      <c r="H30" s="1">
        <f t="shared" si="18"/>
        <v>3.6302083333333846E-3</v>
      </c>
      <c r="I30" s="1">
        <f t="shared" si="19"/>
        <v>5.8718750000001192E-3</v>
      </c>
      <c r="J30" s="1">
        <f t="shared" si="20"/>
        <v>5.8718750000001192E-3</v>
      </c>
      <c r="K30" s="1">
        <f t="shared" si="21"/>
        <v>3.6302083333333846E-3</v>
      </c>
    </row>
    <row r="31" spans="2:11" x14ac:dyDescent="0.6">
      <c r="B31" s="2">
        <v>64</v>
      </c>
      <c r="C31">
        <v>51.325870000000002</v>
      </c>
      <c r="D31">
        <v>51.239800000000002</v>
      </c>
      <c r="E31">
        <v>51.247619999999998</v>
      </c>
      <c r="F31">
        <v>51.29457</v>
      </c>
      <c r="G31" s="2">
        <f t="shared" si="17"/>
        <v>51.2</v>
      </c>
      <c r="H31" s="1">
        <f t="shared" si="18"/>
        <v>2.4583984374999812E-3</v>
      </c>
      <c r="I31" s="1">
        <f t="shared" si="19"/>
        <v>7.7734374999999245E-4</v>
      </c>
      <c r="J31" s="1">
        <f t="shared" si="20"/>
        <v>9.3007812499990017E-4</v>
      </c>
      <c r="K31" s="1">
        <f t="shared" si="21"/>
        <v>1.8470703124999488E-3</v>
      </c>
    </row>
    <row r="32" spans="2:11" x14ac:dyDescent="0.6">
      <c r="B32" s="2">
        <v>92</v>
      </c>
      <c r="C32">
        <v>74.003469999999993</v>
      </c>
      <c r="D32">
        <v>73.487009999999998</v>
      </c>
      <c r="E32">
        <v>73.51831</v>
      </c>
      <c r="F32">
        <v>73.792190000000005</v>
      </c>
      <c r="G32" s="2">
        <f t="shared" si="17"/>
        <v>73.599999999999994</v>
      </c>
      <c r="H32" s="1">
        <f t="shared" si="18"/>
        <v>5.4819293478260691E-3</v>
      </c>
      <c r="I32" s="1">
        <f t="shared" si="19"/>
        <v>-1.5351902173912552E-3</v>
      </c>
      <c r="J32" s="1">
        <f t="shared" si="20"/>
        <v>-1.1099184782607978E-3</v>
      </c>
      <c r="K32" s="1">
        <f t="shared" si="21"/>
        <v>2.6112771739131898E-3</v>
      </c>
    </row>
    <row r="33" spans="2:11" x14ac:dyDescent="0.6">
      <c r="B33" s="2">
        <v>128</v>
      </c>
      <c r="C33">
        <v>103.66903000000001</v>
      </c>
      <c r="D33">
        <v>102.47176</v>
      </c>
      <c r="E33">
        <v>102.55785</v>
      </c>
      <c r="F33">
        <v>103.07431</v>
      </c>
      <c r="G33" s="2">
        <f t="shared" si="17"/>
        <v>102.4</v>
      </c>
      <c r="H33" s="1">
        <f t="shared" si="18"/>
        <v>1.2392871093750008E-2</v>
      </c>
      <c r="I33" s="1">
        <f t="shared" si="19"/>
        <v>7.007812499999766E-4</v>
      </c>
      <c r="J33" s="1">
        <f t="shared" si="20"/>
        <v>1.5415039062499636E-3</v>
      </c>
      <c r="K33" s="1">
        <f t="shared" si="21"/>
        <v>6.5850585937499151E-3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2025-03-31T01:56:10Z</dcterms:modified>
</cp:coreProperties>
</file>