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04\XD04_PWM_Rev_0\Docs\GT\"/>
    </mc:Choice>
  </mc:AlternateContent>
  <xr:revisionPtr revIDLastSave="0" documentId="13_ncr:1_{49DBCD40-5D6A-41D7-8BC0-70116F186E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st_P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10" i="2"/>
  <c r="E36" i="2"/>
  <c r="E32" i="2"/>
</calcChain>
</file>

<file path=xl/sharedStrings.xml><?xml version="1.0" encoding="utf-8"?>
<sst xmlns="http://schemas.openxmlformats.org/spreadsheetml/2006/main" count="160" uniqueCount="52">
  <si>
    <t>12CH / 6CH / 1CH</t>
    <phoneticPr fontId="1" type="noConversion"/>
  </si>
  <si>
    <t>ICTL_L (4/8/12/16)mA</t>
    <phoneticPr fontId="1" type="noConversion"/>
  </si>
  <si>
    <r>
      <t>1. VREF(2.2V)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2.2V</t>
    </r>
    <r>
      <rPr>
        <b/>
        <sz val="9"/>
        <color rgb="FF000000"/>
        <rFont val="맑은 고딕"/>
        <family val="3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맑은 고딕"/>
        <family val="3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1" type="noConversion"/>
  </si>
  <si>
    <t>Max current</t>
    <phoneticPr fontId="1" type="noConversion"/>
  </si>
  <si>
    <t>Bit</t>
    <phoneticPr fontId="1" type="noConversion"/>
  </si>
  <si>
    <t>mA</t>
    <phoneticPr fontId="1" type="noConversion"/>
  </si>
  <si>
    <t>TEST PIN</t>
    <phoneticPr fontId="1" type="noConversion"/>
  </si>
  <si>
    <t>14 (VSYNCO / TEST)</t>
    <phoneticPr fontId="1" type="noConversion"/>
  </si>
  <si>
    <t>TARGET</t>
    <phoneticPr fontId="1" type="noConversion"/>
  </si>
  <si>
    <t>2.2V</t>
    <phoneticPr fontId="1" type="noConversion"/>
  </si>
  <si>
    <t>step = 25mV (simulation)</t>
    <phoneticPr fontId="1" type="noConversion"/>
  </si>
  <si>
    <t>SET REG</t>
    <phoneticPr fontId="1" type="noConversion"/>
  </si>
  <si>
    <t>TEST_EN = 1,  O_MAX_CURR_VREF[11:0] = 4095</t>
    <phoneticPr fontId="1" type="noConversion"/>
  </si>
  <si>
    <t>ICTL_H (24/32/46/64)mA</t>
    <phoneticPr fontId="1" type="noConversion"/>
  </si>
  <si>
    <t>TRIM REG</t>
    <phoneticPr fontId="1" type="noConversion"/>
  </si>
  <si>
    <t>VREF_CTL[5:0]</t>
    <phoneticPr fontId="1" type="noConversion"/>
  </si>
  <si>
    <t>(Unsigned), Default : 6'd 32</t>
    <phoneticPr fontId="1" type="noConversion"/>
  </si>
  <si>
    <r>
      <t>2. OSC Frequency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Target frequency</t>
    </r>
    <r>
      <rPr>
        <b/>
        <sz val="9"/>
        <color rgb="FF000000"/>
        <rFont val="Arial Unicode MS"/>
        <family val="2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한다</t>
    </r>
    <r>
      <rPr>
        <b/>
        <sz val="9"/>
        <color rgb="FF000000"/>
        <rFont val="Calibri"/>
        <family val="2"/>
      </rPr>
      <t>.</t>
    </r>
    <phoneticPr fontId="1" type="noConversion"/>
  </si>
  <si>
    <t>15 (DOUT)</t>
    <phoneticPr fontId="1" type="noConversion"/>
  </si>
  <si>
    <t>40MHz (1/32) = 1.25MHz</t>
    <phoneticPr fontId="1" type="noConversion"/>
  </si>
  <si>
    <r>
      <t>step = 625KHz (simulation) (</t>
    </r>
    <r>
      <rPr>
        <sz val="9"/>
        <color rgb="FF000000"/>
        <rFont val="Arial Unicode MS"/>
        <family val="2"/>
        <charset val="129"/>
      </rPr>
      <t>실제출력</t>
    </r>
    <r>
      <rPr>
        <sz val="9"/>
        <color rgb="FF000000"/>
        <rFont val="Calibri"/>
        <family val="2"/>
      </rPr>
      <t xml:space="preserve"> = </t>
    </r>
    <r>
      <rPr>
        <b/>
        <sz val="9"/>
        <color rgb="FFFF0000"/>
        <rFont val="Calibri"/>
        <family val="2"/>
      </rPr>
      <t>1/32</t>
    </r>
    <r>
      <rPr>
        <sz val="9"/>
        <color rgb="FF000000"/>
        <rFont val="Calibri"/>
        <family val="2"/>
      </rPr>
      <t>)</t>
    </r>
    <phoneticPr fontId="1" type="noConversion"/>
  </si>
  <si>
    <r>
      <rPr>
        <b/>
        <sz val="9"/>
        <color rgb="FFFF0000"/>
        <rFont val="Calibri"/>
        <family val="2"/>
      </rPr>
      <t>TEST_ANA_EN = 2</t>
    </r>
    <r>
      <rPr>
        <sz val="9"/>
        <color rgb="FF000000"/>
        <rFont val="Calibri"/>
        <family val="2"/>
      </rPr>
      <t xml:space="preserve"> ,</t>
    </r>
    <r>
      <rPr>
        <sz val="9"/>
        <rFont val="Calibri"/>
        <family val="2"/>
      </rPr>
      <t xml:space="preserve"> OSC_MAN_E = 1 , OSC_FLL_MAN[15:0] = 32768</t>
    </r>
    <phoneticPr fontId="1" type="noConversion"/>
  </si>
  <si>
    <t>OSC_CTL[5:0]</t>
    <phoneticPr fontId="1" type="noConversion"/>
  </si>
  <si>
    <t>MAX_CURR_LEVEL&lt;2:0&gt;</t>
    <phoneticPr fontId="1" type="noConversion"/>
  </si>
  <si>
    <t>000</t>
    <phoneticPr fontId="1" type="noConversion"/>
  </si>
  <si>
    <r>
      <t>ICTL_</t>
    </r>
    <r>
      <rPr>
        <b/>
        <sz val="11"/>
        <color rgb="FFFF0000"/>
        <rFont val="Calibri"/>
        <family val="2"/>
      </rPr>
      <t>L</t>
    </r>
    <r>
      <rPr>
        <sz val="11"/>
        <color theme="1"/>
        <rFont val="Calibri"/>
        <family val="2"/>
      </rPr>
      <t>_CH1~12[6:0]</t>
    </r>
    <phoneticPr fontId="1" type="noConversion"/>
  </si>
  <si>
    <r>
      <t xml:space="preserve">3.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C4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E4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1" type="noConversion"/>
  </si>
  <si>
    <t>001</t>
    <phoneticPr fontId="1" type="noConversion"/>
  </si>
  <si>
    <t>IOUT</t>
    <phoneticPr fontId="1" type="noConversion"/>
  </si>
  <si>
    <t>CH1 ~~~ CH12</t>
    <phoneticPr fontId="1" type="noConversion"/>
  </si>
  <si>
    <t>010</t>
    <phoneticPr fontId="1" type="noConversion"/>
  </si>
  <si>
    <t>E4</t>
    <phoneticPr fontId="1" type="noConversion"/>
  </si>
  <si>
    <t>step = 0.54% (Max current)</t>
    <phoneticPr fontId="1" type="noConversion"/>
  </si>
  <si>
    <t>011</t>
    <phoneticPr fontId="1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</si>
  <si>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C4, MAX_CURR_LEVEL[2:0] = 3'd 1,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</si>
  <si>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t>100</t>
    <phoneticPr fontId="1" type="noConversion"/>
  </si>
  <si>
    <r>
      <t>ICTL_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>_CH1~12[6:0]</t>
    </r>
    <phoneticPr fontId="1" type="noConversion"/>
  </si>
  <si>
    <t>ICTL_L_CH1[6:0] ~~~ ICTL_L_CH12[6:0]</t>
    <phoneticPr fontId="1" type="noConversion"/>
  </si>
  <si>
    <t>(Unsigned), Default : 7'd 64</t>
    <phoneticPr fontId="1" type="noConversion"/>
  </si>
  <si>
    <t>101</t>
    <phoneticPr fontId="1" type="noConversion"/>
  </si>
  <si>
    <t>110</t>
    <phoneticPr fontId="1" type="noConversion"/>
  </si>
  <si>
    <r>
      <t xml:space="preserve">4.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C8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E8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1" type="noConversion"/>
  </si>
  <si>
    <t>111</t>
    <phoneticPr fontId="1" type="noConversion"/>
  </si>
  <si>
    <t>E8</t>
    <phoneticPr fontId="1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</si>
  <si>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C8, MAX_CURR_LEVEL[2:0] = 3'd 5,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1" type="noConversion"/>
  </si>
  <si>
    <t>ICTL_H_CH1[6:0] ~~~ ICTL_H_CH12[6:0]</t>
    <phoneticPr fontId="1" type="noConversion"/>
  </si>
  <si>
    <t>4CH</t>
    <phoneticPr fontId="1" type="noConversion"/>
  </si>
  <si>
    <t>ICTL_L (8/16/24/32)mA</t>
    <phoneticPr fontId="1" type="noConversion"/>
  </si>
  <si>
    <t>ICTL_H (48/64/92/128)mA</t>
    <phoneticPr fontId="1" type="noConversion"/>
  </si>
  <si>
    <t>ICTL_L_CH1[6:0] ~~~ ICTL_L_CH4[6:0]</t>
    <phoneticPr fontId="1" type="noConversion"/>
  </si>
  <si>
    <t>ICTL_H_CH1[6:0] ~~~ ICTL_H_CH4[6:0]</t>
    <phoneticPr fontId="1" type="noConversion"/>
  </si>
  <si>
    <t>MAX_CURR_VREF&lt;11:0&gt;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</si>
</sst>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rgb="FF000000"/>
      <name val="맑은 고딕"/>
      <family val="3"/>
      <charset val="129"/>
    </font>
    <font>
      <sz val="9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Arial Unicode MS"/>
      <family val="2"/>
      <charset val="129"/>
    </font>
    <font>
      <sz val="9"/>
      <color rgb="FF000000"/>
      <name val="Arial Unicode MS"/>
      <family val="2"/>
      <charset val="129"/>
    </font>
    <font>
      <b/>
      <sz val="9"/>
      <color rgb="FFFF0000"/>
      <name val="Calibri"/>
      <family val="2"/>
    </font>
    <font>
      <b/>
      <sz val="11"/>
      <color rgb="FFFF0000"/>
      <name val="Calibri"/>
      <family val="2"/>
    </font>
    <font>
      <b/>
      <sz val="9"/>
      <name val="Calibri"/>
      <family val="2"/>
    </font>
    <font>
      <b/>
      <sz val="9"/>
      <name val="Arial Unicode MS"/>
      <family val="2"/>
      <charset val="129"/>
    </font>
    <font>
      <sz val="9"/>
      <color rgb="FF000000"/>
      <name val="돋움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E6F0F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4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176" fontId="4" fillId="5" borderId="8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17</xdr:row>
      <xdr:rowOff>63500</xdr:rowOff>
    </xdr:from>
    <xdr:to>
      <xdr:col>12</xdr:col>
      <xdr:colOff>1987550</xdr:colOff>
      <xdr:row>19</xdr:row>
      <xdr:rowOff>196850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527F16-AFDE-4901-97E8-9509E1E9DB27}"/>
            </a:ext>
          </a:extLst>
        </xdr:cNvPr>
        <xdr:cNvSpPr txBox="1"/>
      </xdr:nvSpPr>
      <xdr:spPr>
        <a:xfrm>
          <a:off x="13576300" y="3829050"/>
          <a:ext cx="33020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(4/8/12/16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mA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는 자동으로 해당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TRIM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값을 사용함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361950</xdr:colOff>
      <xdr:row>21</xdr:row>
      <xdr:rowOff>158750</xdr:rowOff>
    </xdr:from>
    <xdr:to>
      <xdr:col>12</xdr:col>
      <xdr:colOff>1987550</xdr:colOff>
      <xdr:row>24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F7959A-0440-418F-A04B-0CB1CDFC6D31}"/>
            </a:ext>
          </a:extLst>
        </xdr:cNvPr>
        <xdr:cNvSpPr txBox="1"/>
      </xdr:nvSpPr>
      <xdr:spPr>
        <a:xfrm>
          <a:off x="13576300" y="4806950"/>
          <a:ext cx="33020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(24/32/46/64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자동으로 해당 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TRIM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사용함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900">
            <a:effectLst/>
          </a:endParaRPr>
        </a:p>
        <a:p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0912-4EC1-45C7-A9CB-5551EBEC3F0A}">
  <dimension ref="B1:J52"/>
  <sheetViews>
    <sheetView tabSelected="1" zoomScale="85" zoomScaleNormal="85" workbookViewId="0"/>
  </sheetViews>
  <sheetFormatPr defaultRowHeight="16.899999999999999"/>
  <cols>
    <col min="1" max="1" width="5.8125" customWidth="1"/>
    <col min="2" max="2" width="18.5" bestFit="1" customWidth="1"/>
    <col min="3" max="3" width="11.8125" customWidth="1"/>
    <col min="4" max="4" width="12.9375" customWidth="1"/>
    <col min="5" max="5" width="16.75" customWidth="1"/>
    <col min="8" max="8" width="9.8125" customWidth="1"/>
    <col min="9" max="9" width="42.3125" customWidth="1"/>
    <col min="10" max="10" width="41.75" customWidth="1"/>
    <col min="12" max="12" width="13.3125" customWidth="1"/>
    <col min="13" max="13" width="37.25" customWidth="1"/>
  </cols>
  <sheetData>
    <row r="1" spans="2:10" ht="17.25" thickBot="1">
      <c r="I1" s="1"/>
    </row>
    <row r="2" spans="2:10" ht="17.25" thickBot="1">
      <c r="B2" s="40" t="s">
        <v>0</v>
      </c>
      <c r="C2" s="41"/>
      <c r="D2" s="41"/>
      <c r="E2" s="41"/>
      <c r="F2" s="41"/>
      <c r="G2" s="41"/>
      <c r="H2" s="41"/>
      <c r="I2" s="41"/>
      <c r="J2" s="42"/>
    </row>
    <row r="3" spans="2:10" ht="17.25" thickBot="1">
      <c r="I3" s="1"/>
    </row>
    <row r="4" spans="2:10" ht="19.05" customHeight="1" thickBot="1">
      <c r="B4" s="43" t="s">
        <v>1</v>
      </c>
      <c r="C4" s="44"/>
      <c r="D4" s="44"/>
      <c r="E4" s="44"/>
      <c r="F4" s="45"/>
      <c r="G4" s="2"/>
      <c r="H4" s="46" t="s">
        <v>2</v>
      </c>
      <c r="I4" s="47"/>
      <c r="J4" s="48"/>
    </row>
    <row r="5" spans="2:10">
      <c r="B5" s="3" t="s">
        <v>3</v>
      </c>
      <c r="C5" s="30">
        <v>16384</v>
      </c>
      <c r="D5" s="5" t="s">
        <v>4</v>
      </c>
      <c r="E5" s="4">
        <v>8</v>
      </c>
      <c r="F5" s="6" t="s">
        <v>5</v>
      </c>
      <c r="G5" s="2"/>
      <c r="H5" s="7" t="s">
        <v>6</v>
      </c>
      <c r="I5" s="8" t="s">
        <v>7</v>
      </c>
      <c r="J5" s="9"/>
    </row>
    <row r="6" spans="2:10" ht="17.25" thickBot="1">
      <c r="B6" s="10" t="s">
        <v>51</v>
      </c>
      <c r="C6" s="11">
        <v>3276</v>
      </c>
      <c r="D6" s="12" t="s">
        <v>4</v>
      </c>
      <c r="E6" s="29">
        <f>E5*(C6/4095)</f>
        <v>6.4</v>
      </c>
      <c r="F6" s="13" t="s">
        <v>5</v>
      </c>
      <c r="G6" s="2"/>
      <c r="H6" s="14" t="s">
        <v>8</v>
      </c>
      <c r="I6" s="15" t="s">
        <v>9</v>
      </c>
      <c r="J6" s="16" t="s">
        <v>10</v>
      </c>
    </row>
    <row r="7" spans="2:10" ht="17.25" thickBot="1">
      <c r="G7" s="2"/>
      <c r="H7" s="14" t="s">
        <v>11</v>
      </c>
      <c r="I7" s="15" t="s">
        <v>12</v>
      </c>
      <c r="J7" s="16"/>
    </row>
    <row r="8" spans="2:10" ht="17.25" thickBot="1">
      <c r="B8" s="43" t="s">
        <v>13</v>
      </c>
      <c r="C8" s="44"/>
      <c r="D8" s="44"/>
      <c r="E8" s="44"/>
      <c r="F8" s="45"/>
      <c r="G8" s="2"/>
      <c r="H8" s="17" t="s">
        <v>14</v>
      </c>
      <c r="I8" s="18" t="s">
        <v>15</v>
      </c>
      <c r="J8" s="19" t="s">
        <v>16</v>
      </c>
    </row>
    <row r="9" spans="2:10" ht="17.25" thickBot="1">
      <c r="B9" s="3" t="s">
        <v>3</v>
      </c>
      <c r="C9" s="30">
        <v>16384</v>
      </c>
      <c r="D9" s="5" t="s">
        <v>4</v>
      </c>
      <c r="E9" s="4">
        <v>32</v>
      </c>
      <c r="F9" s="6" t="s">
        <v>5</v>
      </c>
      <c r="G9" s="2"/>
      <c r="H9" s="2"/>
      <c r="I9" s="2"/>
      <c r="J9" s="2"/>
    </row>
    <row r="10" spans="2:10" ht="17.25" thickBot="1">
      <c r="B10" s="10" t="s">
        <v>51</v>
      </c>
      <c r="C10" s="11">
        <v>3276</v>
      </c>
      <c r="D10" s="12" t="s">
        <v>4</v>
      </c>
      <c r="E10" s="29">
        <f>E9*(C10/4095)</f>
        <v>25.6</v>
      </c>
      <c r="F10" s="13" t="s">
        <v>5</v>
      </c>
      <c r="G10" s="2"/>
      <c r="H10" s="46" t="s">
        <v>17</v>
      </c>
      <c r="I10" s="47"/>
      <c r="J10" s="48"/>
    </row>
    <row r="11" spans="2:10">
      <c r="B11" s="2"/>
      <c r="C11" s="2"/>
      <c r="D11" s="2"/>
      <c r="E11" s="2"/>
      <c r="F11" s="2"/>
      <c r="G11" s="2"/>
      <c r="H11" s="7" t="s">
        <v>6</v>
      </c>
      <c r="I11" s="8" t="s">
        <v>18</v>
      </c>
      <c r="J11" s="9"/>
    </row>
    <row r="12" spans="2:10">
      <c r="B12" s="2"/>
      <c r="C12" s="2"/>
      <c r="D12" s="2"/>
      <c r="E12" s="2"/>
      <c r="F12" s="2"/>
      <c r="G12" s="2"/>
      <c r="H12" s="14" t="s">
        <v>8</v>
      </c>
      <c r="I12" s="15" t="s">
        <v>19</v>
      </c>
      <c r="J12" s="16" t="s">
        <v>20</v>
      </c>
    </row>
    <row r="13" spans="2:10">
      <c r="B13" s="2"/>
      <c r="C13" s="2"/>
      <c r="D13" s="2"/>
      <c r="E13" s="2"/>
      <c r="F13" s="2"/>
      <c r="G13" s="2"/>
      <c r="H13" s="14" t="s">
        <v>11</v>
      </c>
      <c r="I13" s="15" t="s">
        <v>21</v>
      </c>
      <c r="J13" s="16"/>
    </row>
    <row r="14" spans="2:10" ht="17.25" thickBot="1">
      <c r="B14" s="2"/>
      <c r="C14" s="2"/>
      <c r="D14" s="2"/>
      <c r="E14" s="2"/>
      <c r="F14" s="2"/>
      <c r="G14" s="2"/>
      <c r="H14" s="17" t="s">
        <v>14</v>
      </c>
      <c r="I14" s="18" t="s">
        <v>22</v>
      </c>
      <c r="J14" s="19" t="s">
        <v>16</v>
      </c>
    </row>
    <row r="15" spans="2:10" ht="17.25" thickBot="1">
      <c r="B15" s="43" t="s">
        <v>23</v>
      </c>
      <c r="C15" s="44"/>
      <c r="D15" s="44"/>
      <c r="E15" s="45"/>
      <c r="F15" s="2"/>
      <c r="G15" s="2"/>
      <c r="H15" s="2"/>
      <c r="I15" s="2"/>
      <c r="J15" s="2"/>
    </row>
    <row r="16" spans="2:10" ht="17.55" customHeight="1" thickBot="1">
      <c r="B16" s="20" t="s">
        <v>24</v>
      </c>
      <c r="C16" s="21">
        <v>4</v>
      </c>
      <c r="D16" s="21" t="s">
        <v>5</v>
      </c>
      <c r="E16" s="37" t="s">
        <v>25</v>
      </c>
      <c r="F16" s="2"/>
      <c r="G16" s="2"/>
      <c r="H16" s="34" t="s">
        <v>26</v>
      </c>
      <c r="I16" s="35"/>
      <c r="J16" s="36"/>
    </row>
    <row r="17" spans="2:10">
      <c r="B17" s="22" t="s">
        <v>27</v>
      </c>
      <c r="C17" s="23">
        <v>8</v>
      </c>
      <c r="D17" s="23" t="s">
        <v>5</v>
      </c>
      <c r="E17" s="38"/>
      <c r="F17" s="2"/>
      <c r="G17" s="2"/>
      <c r="H17" s="7" t="s">
        <v>6</v>
      </c>
      <c r="I17" s="8" t="s">
        <v>28</v>
      </c>
      <c r="J17" s="9" t="s">
        <v>29</v>
      </c>
    </row>
    <row r="18" spans="2:10">
      <c r="B18" s="22" t="s">
        <v>30</v>
      </c>
      <c r="C18" s="23">
        <v>12</v>
      </c>
      <c r="D18" s="23" t="s">
        <v>5</v>
      </c>
      <c r="E18" s="38"/>
      <c r="F18" s="2"/>
      <c r="G18" s="2"/>
      <c r="H18" s="24" t="s">
        <v>8</v>
      </c>
      <c r="I18" s="25" t="s">
        <v>31</v>
      </c>
      <c r="J18" s="16" t="s">
        <v>32</v>
      </c>
    </row>
    <row r="19" spans="2:10" ht="17.25" thickBot="1">
      <c r="B19" s="26" t="s">
        <v>33</v>
      </c>
      <c r="C19" s="27">
        <v>16</v>
      </c>
      <c r="D19" s="27" t="s">
        <v>5</v>
      </c>
      <c r="E19" s="39"/>
      <c r="F19" s="2"/>
      <c r="G19" s="2"/>
      <c r="H19" s="14" t="s">
        <v>11</v>
      </c>
      <c r="I19" s="15" t="s">
        <v>34</v>
      </c>
      <c r="J19" s="16"/>
    </row>
    <row r="20" spans="2:10" ht="17.25" thickBot="1">
      <c r="B20" s="20" t="s">
        <v>35</v>
      </c>
      <c r="C20" s="21">
        <v>24</v>
      </c>
      <c r="D20" s="21" t="s">
        <v>5</v>
      </c>
      <c r="E20" s="31" t="s">
        <v>36</v>
      </c>
      <c r="F20" s="2"/>
      <c r="G20" s="2"/>
      <c r="H20" s="17" t="s">
        <v>14</v>
      </c>
      <c r="I20" s="28" t="s">
        <v>37</v>
      </c>
      <c r="J20" s="19" t="s">
        <v>38</v>
      </c>
    </row>
    <row r="21" spans="2:10" ht="17.25" thickBot="1">
      <c r="B21" s="22" t="s">
        <v>39</v>
      </c>
      <c r="C21" s="23">
        <v>32</v>
      </c>
      <c r="D21" s="23" t="s">
        <v>5</v>
      </c>
      <c r="E21" s="32"/>
      <c r="F21" s="2"/>
      <c r="G21" s="2"/>
      <c r="H21" s="2"/>
      <c r="I21" s="2"/>
      <c r="J21" s="2"/>
    </row>
    <row r="22" spans="2:10" ht="17.55" customHeight="1" thickBot="1">
      <c r="B22" s="22" t="s">
        <v>40</v>
      </c>
      <c r="C22" s="23">
        <v>46</v>
      </c>
      <c r="D22" s="23" t="s">
        <v>5</v>
      </c>
      <c r="E22" s="32"/>
      <c r="F22" s="2"/>
      <c r="G22" s="2"/>
      <c r="H22" s="34" t="s">
        <v>41</v>
      </c>
      <c r="I22" s="35"/>
      <c r="J22" s="36"/>
    </row>
    <row r="23" spans="2:10" ht="17.25" thickBot="1">
      <c r="B23" s="26" t="s">
        <v>42</v>
      </c>
      <c r="C23" s="27">
        <v>64</v>
      </c>
      <c r="D23" s="27" t="s">
        <v>5</v>
      </c>
      <c r="E23" s="33"/>
      <c r="F23" s="2"/>
      <c r="G23" s="2"/>
      <c r="H23" s="7" t="s">
        <v>6</v>
      </c>
      <c r="I23" s="8" t="s">
        <v>28</v>
      </c>
      <c r="J23" s="9" t="s">
        <v>29</v>
      </c>
    </row>
    <row r="24" spans="2:10">
      <c r="F24" s="2"/>
      <c r="G24" s="2"/>
      <c r="H24" s="24" t="s">
        <v>8</v>
      </c>
      <c r="I24" s="25" t="s">
        <v>43</v>
      </c>
      <c r="J24" s="16" t="s">
        <v>32</v>
      </c>
    </row>
    <row r="25" spans="2:10">
      <c r="F25" s="2"/>
      <c r="G25" s="2"/>
      <c r="H25" s="14" t="s">
        <v>11</v>
      </c>
      <c r="I25" s="15" t="s">
        <v>44</v>
      </c>
      <c r="J25" s="16"/>
    </row>
    <row r="26" spans="2:10" ht="17.25" thickBot="1">
      <c r="F26" s="2"/>
      <c r="G26" s="2"/>
      <c r="H26" s="17" t="s">
        <v>14</v>
      </c>
      <c r="I26" s="28" t="s">
        <v>45</v>
      </c>
      <c r="J26" s="19" t="s">
        <v>38</v>
      </c>
    </row>
    <row r="27" spans="2:10" ht="17.25" thickBot="1">
      <c r="F27" s="2"/>
      <c r="G27" s="2"/>
      <c r="H27" s="2"/>
      <c r="I27" s="2"/>
      <c r="J27" s="2"/>
    </row>
    <row r="28" spans="2:10" ht="17" customHeight="1" thickBot="1">
      <c r="B28" s="40" t="s">
        <v>46</v>
      </c>
      <c r="C28" s="41"/>
      <c r="D28" s="41"/>
      <c r="E28" s="41"/>
      <c r="F28" s="41"/>
      <c r="G28" s="41"/>
      <c r="H28" s="41"/>
      <c r="I28" s="41"/>
      <c r="J28" s="42"/>
    </row>
    <row r="29" spans="2:10" ht="17.25" thickBot="1">
      <c r="F29" s="2"/>
      <c r="G29" s="2"/>
    </row>
    <row r="30" spans="2:10" ht="17.25" thickBot="1">
      <c r="B30" s="43" t="s">
        <v>47</v>
      </c>
      <c r="C30" s="44"/>
      <c r="D30" s="44"/>
      <c r="E30" s="44"/>
      <c r="F30" s="45"/>
      <c r="G30" s="2"/>
      <c r="H30" s="46" t="s">
        <v>2</v>
      </c>
      <c r="I30" s="47"/>
      <c r="J30" s="48"/>
    </row>
    <row r="31" spans="2:10">
      <c r="B31" s="3" t="s">
        <v>3</v>
      </c>
      <c r="C31" s="30">
        <v>16384</v>
      </c>
      <c r="D31" s="5" t="s">
        <v>4</v>
      </c>
      <c r="E31" s="4">
        <v>16</v>
      </c>
      <c r="F31" s="6" t="s">
        <v>5</v>
      </c>
      <c r="G31" s="2"/>
      <c r="H31" s="7" t="s">
        <v>6</v>
      </c>
      <c r="I31" s="8" t="s">
        <v>7</v>
      </c>
      <c r="J31" s="9"/>
    </row>
    <row r="32" spans="2:10" ht="17" customHeight="1" thickBot="1">
      <c r="B32" s="10" t="s">
        <v>51</v>
      </c>
      <c r="C32" s="11">
        <v>3276</v>
      </c>
      <c r="D32" s="12" t="s">
        <v>4</v>
      </c>
      <c r="E32" s="29">
        <f>E31*(C32/4095)</f>
        <v>12.8</v>
      </c>
      <c r="F32" s="13" t="s">
        <v>5</v>
      </c>
      <c r="G32" s="2"/>
      <c r="H32" s="14" t="s">
        <v>8</v>
      </c>
      <c r="I32" s="15" t="s">
        <v>9</v>
      </c>
      <c r="J32" s="16" t="s">
        <v>10</v>
      </c>
    </row>
    <row r="33" spans="2:10" ht="17.25" thickBot="1">
      <c r="G33" s="2"/>
      <c r="H33" s="14" t="s">
        <v>11</v>
      </c>
      <c r="I33" s="15" t="s">
        <v>12</v>
      </c>
      <c r="J33" s="16"/>
    </row>
    <row r="34" spans="2:10" ht="17.25" thickBot="1">
      <c r="B34" s="43" t="s">
        <v>48</v>
      </c>
      <c r="C34" s="44"/>
      <c r="D34" s="44"/>
      <c r="E34" s="44"/>
      <c r="F34" s="45"/>
      <c r="G34" s="2"/>
      <c r="H34" s="17" t="s">
        <v>14</v>
      </c>
      <c r="I34" s="18" t="s">
        <v>15</v>
      </c>
      <c r="J34" s="19" t="s">
        <v>16</v>
      </c>
    </row>
    <row r="35" spans="2:10" ht="17.25" thickBot="1">
      <c r="B35" s="3" t="s">
        <v>3</v>
      </c>
      <c r="C35" s="30">
        <v>16384</v>
      </c>
      <c r="D35" s="5" t="s">
        <v>4</v>
      </c>
      <c r="E35" s="4">
        <v>64</v>
      </c>
      <c r="F35" s="6" t="s">
        <v>5</v>
      </c>
      <c r="G35" s="2"/>
      <c r="H35" s="2"/>
      <c r="I35" s="2"/>
      <c r="J35" s="2"/>
    </row>
    <row r="36" spans="2:10" ht="17.25" thickBot="1">
      <c r="B36" s="10" t="s">
        <v>51</v>
      </c>
      <c r="C36" s="11">
        <v>3276</v>
      </c>
      <c r="D36" s="12" t="s">
        <v>4</v>
      </c>
      <c r="E36" s="29">
        <f>E35*(C36/4095)</f>
        <v>51.2</v>
      </c>
      <c r="F36" s="13" t="s">
        <v>5</v>
      </c>
      <c r="G36" s="2"/>
      <c r="H36" s="46" t="s">
        <v>17</v>
      </c>
      <c r="I36" s="47"/>
      <c r="J36" s="48"/>
    </row>
    <row r="37" spans="2:10">
      <c r="B37" s="2"/>
      <c r="C37" s="2"/>
      <c r="D37" s="2"/>
      <c r="E37" s="2"/>
      <c r="F37" s="2"/>
      <c r="G37" s="2"/>
      <c r="H37" s="7" t="s">
        <v>6</v>
      </c>
      <c r="I37" s="8" t="s">
        <v>18</v>
      </c>
      <c r="J37" s="9"/>
    </row>
    <row r="38" spans="2:10">
      <c r="B38" s="2"/>
      <c r="C38" s="2"/>
      <c r="D38" s="2"/>
      <c r="E38" s="2"/>
      <c r="F38" s="2"/>
      <c r="G38" s="2"/>
      <c r="H38" s="14" t="s">
        <v>8</v>
      </c>
      <c r="I38" s="15" t="s">
        <v>19</v>
      </c>
      <c r="J38" s="16" t="s">
        <v>20</v>
      </c>
    </row>
    <row r="39" spans="2:10">
      <c r="B39" s="2"/>
      <c r="C39" s="2"/>
      <c r="D39" s="2"/>
      <c r="E39" s="2"/>
      <c r="F39" s="2"/>
      <c r="G39" s="2"/>
      <c r="H39" s="14" t="s">
        <v>11</v>
      </c>
      <c r="I39" s="15" t="s">
        <v>21</v>
      </c>
      <c r="J39" s="16"/>
    </row>
    <row r="40" spans="2:10" ht="17.25" thickBot="1">
      <c r="B40" s="2"/>
      <c r="C40" s="2"/>
      <c r="D40" s="2"/>
      <c r="E40" s="2"/>
      <c r="F40" s="2"/>
      <c r="G40" s="2"/>
      <c r="H40" s="17" t="s">
        <v>14</v>
      </c>
      <c r="I40" s="18" t="s">
        <v>22</v>
      </c>
      <c r="J40" s="19" t="s">
        <v>16</v>
      </c>
    </row>
    <row r="41" spans="2:10" ht="17.25" thickBot="1">
      <c r="B41" s="43" t="s">
        <v>23</v>
      </c>
      <c r="C41" s="44"/>
      <c r="D41" s="44"/>
      <c r="E41" s="45"/>
      <c r="F41" s="2"/>
      <c r="G41" s="2"/>
      <c r="H41" s="2"/>
      <c r="I41" s="2"/>
      <c r="J41" s="2"/>
    </row>
    <row r="42" spans="2:10" ht="17.25" thickBot="1">
      <c r="B42" s="20" t="s">
        <v>24</v>
      </c>
      <c r="C42" s="21">
        <v>8</v>
      </c>
      <c r="D42" s="21" t="s">
        <v>5</v>
      </c>
      <c r="E42" s="37" t="s">
        <v>25</v>
      </c>
      <c r="F42" s="2"/>
      <c r="G42" s="2"/>
      <c r="H42" s="34" t="s">
        <v>26</v>
      </c>
      <c r="I42" s="35"/>
      <c r="J42" s="36"/>
    </row>
    <row r="43" spans="2:10">
      <c r="B43" s="22" t="s">
        <v>27</v>
      </c>
      <c r="C43" s="23">
        <v>16</v>
      </c>
      <c r="D43" s="23" t="s">
        <v>5</v>
      </c>
      <c r="E43" s="38"/>
      <c r="F43" s="2"/>
      <c r="G43" s="2"/>
      <c r="H43" s="7" t="s">
        <v>6</v>
      </c>
      <c r="I43" s="8" t="s">
        <v>28</v>
      </c>
      <c r="J43" s="9" t="s">
        <v>29</v>
      </c>
    </row>
    <row r="44" spans="2:10">
      <c r="B44" s="22" t="s">
        <v>30</v>
      </c>
      <c r="C44" s="23">
        <v>24</v>
      </c>
      <c r="D44" s="23" t="s">
        <v>5</v>
      </c>
      <c r="E44" s="38"/>
      <c r="F44" s="2"/>
      <c r="G44" s="2"/>
      <c r="H44" s="24" t="s">
        <v>8</v>
      </c>
      <c r="I44" s="25" t="s">
        <v>31</v>
      </c>
      <c r="J44" s="16" t="s">
        <v>32</v>
      </c>
    </row>
    <row r="45" spans="2:10" ht="17.25" thickBot="1">
      <c r="B45" s="26" t="s">
        <v>33</v>
      </c>
      <c r="C45" s="27">
        <v>32</v>
      </c>
      <c r="D45" s="27" t="s">
        <v>5</v>
      </c>
      <c r="E45" s="39"/>
      <c r="F45" s="2"/>
      <c r="G45" s="2"/>
      <c r="H45" s="14" t="s">
        <v>11</v>
      </c>
      <c r="I45" s="15" t="s">
        <v>34</v>
      </c>
      <c r="J45" s="16"/>
    </row>
    <row r="46" spans="2:10" ht="17.25" thickBot="1">
      <c r="B46" s="20" t="s">
        <v>35</v>
      </c>
      <c r="C46" s="21">
        <v>48</v>
      </c>
      <c r="D46" s="21" t="s">
        <v>5</v>
      </c>
      <c r="E46" s="31" t="s">
        <v>36</v>
      </c>
      <c r="F46" s="2"/>
      <c r="G46" s="2"/>
      <c r="H46" s="17" t="s">
        <v>14</v>
      </c>
      <c r="I46" s="28" t="s">
        <v>49</v>
      </c>
      <c r="J46" s="19" t="s">
        <v>38</v>
      </c>
    </row>
    <row r="47" spans="2:10" ht="17.25" thickBot="1">
      <c r="B47" s="22" t="s">
        <v>39</v>
      </c>
      <c r="C47" s="23">
        <v>64</v>
      </c>
      <c r="D47" s="23" t="s">
        <v>5</v>
      </c>
      <c r="E47" s="32"/>
      <c r="F47" s="2"/>
      <c r="G47" s="2"/>
      <c r="H47" s="2"/>
      <c r="I47" s="2"/>
      <c r="J47" s="2"/>
    </row>
    <row r="48" spans="2:10" ht="17.25" thickBot="1">
      <c r="B48" s="22" t="s">
        <v>40</v>
      </c>
      <c r="C48" s="23">
        <v>92</v>
      </c>
      <c r="D48" s="23" t="s">
        <v>5</v>
      </c>
      <c r="E48" s="32"/>
      <c r="F48" s="2"/>
      <c r="G48" s="2"/>
      <c r="H48" s="34" t="s">
        <v>41</v>
      </c>
      <c r="I48" s="35"/>
      <c r="J48" s="36"/>
    </row>
    <row r="49" spans="2:10" ht="17.25" thickBot="1">
      <c r="B49" s="26" t="s">
        <v>42</v>
      </c>
      <c r="C49" s="27">
        <v>128</v>
      </c>
      <c r="D49" s="27" t="s">
        <v>5</v>
      </c>
      <c r="E49" s="33"/>
      <c r="F49" s="2"/>
      <c r="G49" s="2"/>
      <c r="H49" s="7" t="s">
        <v>6</v>
      </c>
      <c r="I49" s="8" t="s">
        <v>28</v>
      </c>
      <c r="J49" s="9" t="s">
        <v>29</v>
      </c>
    </row>
    <row r="50" spans="2:10">
      <c r="F50" s="2"/>
      <c r="G50" s="2"/>
      <c r="H50" s="24" t="s">
        <v>8</v>
      </c>
      <c r="I50" s="25" t="s">
        <v>43</v>
      </c>
      <c r="J50" s="16" t="s">
        <v>32</v>
      </c>
    </row>
    <row r="51" spans="2:10">
      <c r="F51" s="2"/>
      <c r="G51" s="2"/>
      <c r="H51" s="14" t="s">
        <v>11</v>
      </c>
      <c r="I51" s="15" t="s">
        <v>44</v>
      </c>
      <c r="J51" s="16"/>
    </row>
    <row r="52" spans="2:10" ht="17.25" thickBot="1">
      <c r="F52" s="2"/>
      <c r="G52" s="2"/>
      <c r="H52" s="17" t="s">
        <v>14</v>
      </c>
      <c r="I52" s="28" t="s">
        <v>50</v>
      </c>
      <c r="J52" s="19" t="s">
        <v>38</v>
      </c>
    </row>
  </sheetData>
  <mergeCells count="20">
    <mergeCell ref="B15:E15"/>
    <mergeCell ref="B2:J2"/>
    <mergeCell ref="B4:F4"/>
    <mergeCell ref="H4:J4"/>
    <mergeCell ref="B8:F8"/>
    <mergeCell ref="H10:J10"/>
    <mergeCell ref="E46:E49"/>
    <mergeCell ref="H48:J48"/>
    <mergeCell ref="E16:E19"/>
    <mergeCell ref="H16:J16"/>
    <mergeCell ref="E20:E23"/>
    <mergeCell ref="H22:J22"/>
    <mergeCell ref="B28:J28"/>
    <mergeCell ref="B30:F30"/>
    <mergeCell ref="H30:J30"/>
    <mergeCell ref="B34:F34"/>
    <mergeCell ref="H36:J36"/>
    <mergeCell ref="B41:E41"/>
    <mergeCell ref="E42:E45"/>
    <mergeCell ref="H42:J42"/>
  </mergeCells>
  <phoneticPr fontId="1" type="noConversion"/>
  <pageMargins left="0.7" right="0.7" top="0.75" bottom="0.75" header="0.3" footer="0.3"/>
  <pageSetup paperSize="9" orientation="portrait" r:id="rId1"/>
  <ignoredErrors>
    <ignoredError sqref="B16:B23 B42:B4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2025-03-26T06:33:34Z</dcterms:modified>
</cp:coreProperties>
</file>