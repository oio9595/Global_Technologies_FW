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XDIC_GT1005A4R0\"/>
    </mc:Choice>
  </mc:AlternateContent>
  <xr:revisionPtr revIDLastSave="0" documentId="13_ncr:1_{AB1C35FA-BE0C-4EDB-BB5C-A4F7C2149EF0}" xr6:coauthVersionLast="47" xr6:coauthVersionMax="47" xr10:uidLastSave="{00000000-0000-0000-0000-000000000000}"/>
  <bookViews>
    <workbookView xWindow="384" yWindow="384" windowWidth="29172" windowHeight="18588" activeTab="3" xr2:uid="{6E253F25-89D9-4CFB-91D3-179DBBF2E33D}"/>
  </bookViews>
  <sheets>
    <sheet name="spi_protocol" sheetId="18" r:id="rId1"/>
    <sheet name="serial_protocol" sheetId="17" r:id="rId2"/>
    <sheet name="es2_xc_reg" sheetId="20" r:id="rId3"/>
    <sheet name="xd_pwm_reg" sheetId="15" r:id="rId4"/>
    <sheet name="mclk" sheetId="14" r:id="rId5"/>
    <sheet name="ld_format" sheetId="23" r:id="rId6"/>
    <sheet name="vsync_fb" sheetId="9" r:id="rId7"/>
    <sheet name="xd12_pkg" sheetId="10" r:id="rId8"/>
    <sheet name="misc" sheetId="22" r:id="rId9"/>
    <sheet name="misc2" sheetId="2" r:id="rId10"/>
    <sheet name="misc3" sheetId="7" r:id="rId11"/>
    <sheet name="misc4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2" i="22" l="1"/>
  <c r="U62" i="22"/>
  <c r="Q6" i="14" l="1"/>
  <c r="D9" i="14"/>
  <c r="D8" i="14" s="1"/>
  <c r="D6" i="14"/>
  <c r="W20" i="9" l="1"/>
  <c r="Y20" i="9"/>
  <c r="Y13" i="9"/>
  <c r="W13" i="9"/>
  <c r="Y15" i="9"/>
  <c r="W15" i="9"/>
  <c r="W12" i="9"/>
  <c r="G21" i="14" l="1"/>
  <c r="G17" i="14"/>
  <c r="I19" i="14"/>
  <c r="G19" i="14"/>
  <c r="J19" i="14" s="1"/>
  <c r="G18" i="14"/>
  <c r="I18" i="14" s="1"/>
  <c r="F20" i="14"/>
  <c r="G20" i="14" s="1"/>
  <c r="K19" i="14" l="1"/>
  <c r="J20" i="14"/>
  <c r="K20" i="14"/>
  <c r="I20" i="14"/>
  <c r="K18" i="14"/>
  <c r="J18" i="14"/>
  <c r="F11" i="23"/>
  <c r="G11" i="23" s="1"/>
  <c r="H11" i="23" s="1"/>
  <c r="F12" i="23"/>
  <c r="G12" i="23" s="1"/>
  <c r="H12" i="23" s="1"/>
  <c r="F13" i="23"/>
  <c r="G13" i="23" s="1"/>
  <c r="H13" i="23" s="1"/>
  <c r="F14" i="23"/>
  <c r="G14" i="23" s="1"/>
  <c r="H14" i="23" s="1"/>
  <c r="F15" i="23"/>
  <c r="G15" i="23" s="1"/>
  <c r="H15" i="23" s="1"/>
  <c r="F10" i="23"/>
  <c r="G10" i="23" s="1"/>
  <c r="H10" i="23" s="1"/>
  <c r="F5" i="23"/>
  <c r="G5" i="23" s="1"/>
  <c r="H5" i="23" s="1"/>
  <c r="F6" i="23"/>
  <c r="G6" i="23" s="1"/>
  <c r="H6" i="23" s="1"/>
  <c r="F7" i="23"/>
  <c r="G7" i="23" s="1"/>
  <c r="H7" i="23" s="1"/>
  <c r="F8" i="23"/>
  <c r="G8" i="23" s="1"/>
  <c r="H8" i="23" s="1"/>
  <c r="F9" i="23"/>
  <c r="G9" i="23" s="1"/>
  <c r="H9" i="23" s="1"/>
  <c r="F4" i="23"/>
  <c r="G4" i="23" s="1"/>
  <c r="H4" i="23" s="1"/>
  <c r="AC22" i="22"/>
  <c r="U22" i="22"/>
  <c r="O22" i="22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4" i="20" s="1"/>
  <c r="B36" i="20" s="1"/>
  <c r="B37" i="20" s="1"/>
  <c r="B38" i="20" s="1"/>
  <c r="B39" i="20" s="1"/>
  <c r="B40" i="20" s="1"/>
  <c r="B41" i="20" s="1"/>
  <c r="B42" i="20" s="1"/>
  <c r="B43" i="20" s="1"/>
  <c r="B45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O22" i="19" l="1"/>
  <c r="U22" i="19"/>
  <c r="AC22" i="19"/>
  <c r="D17" i="14" l="1"/>
  <c r="D18" i="14" s="1"/>
  <c r="M8" i="14"/>
  <c r="N8" i="14"/>
  <c r="BA2" i="14"/>
  <c r="Y2" i="14"/>
  <c r="X2" i="14"/>
  <c r="L2" i="14"/>
  <c r="K2" i="14"/>
  <c r="L7" i="14"/>
  <c r="K7" i="14"/>
  <c r="D19" i="14" l="1"/>
  <c r="B3" i="15"/>
  <c r="B4" i="15" s="1"/>
  <c r="B5" i="15" s="1"/>
  <c r="B7" i="15" s="1"/>
  <c r="B8" i="15" l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6" i="15" s="1"/>
  <c r="B27" i="15" s="1"/>
  <c r="B28" i="15" s="1"/>
  <c r="B29" i="15" s="1"/>
  <c r="B31" i="15" l="1"/>
  <c r="B32" i="15" s="1"/>
  <c r="B33" i="15" s="1"/>
  <c r="B43" i="15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36" i="15"/>
  <c r="B37" i="15" s="1"/>
  <c r="B38" i="15" s="1"/>
  <c r="B39" i="15" s="1"/>
  <c r="B40" i="15" s="1"/>
  <c r="AF15" i="14" l="1"/>
  <c r="AI2" i="14"/>
  <c r="AH2" i="14"/>
  <c r="AH3" i="14" s="1"/>
  <c r="AF2" i="14"/>
  <c r="AF3" i="14"/>
  <c r="AG5" i="14"/>
  <c r="AH5" i="14"/>
  <c r="AI5" i="14"/>
  <c r="AJ5" i="14"/>
  <c r="AK5" i="14"/>
  <c r="AL5" i="14"/>
  <c r="AM5" i="14"/>
  <c r="AN5" i="14"/>
  <c r="AO5" i="14"/>
  <c r="AF5" i="14"/>
  <c r="AG2" i="14"/>
  <c r="AG3" i="14" s="1"/>
  <c r="AI15" i="14"/>
  <c r="AH15" i="14"/>
  <c r="AG15" i="14"/>
  <c r="AS18" i="14"/>
  <c r="AX18" i="14" s="1"/>
  <c r="AT18" i="14"/>
  <c r="AY18" i="14" s="1"/>
  <c r="AZ18" i="14"/>
  <c r="L15" i="14"/>
  <c r="K15" i="14"/>
  <c r="J15" i="14"/>
  <c r="I15" i="14"/>
  <c r="H15" i="14"/>
  <c r="G15" i="14"/>
  <c r="F15" i="14"/>
  <c r="E15" i="14"/>
  <c r="D15" i="14"/>
  <c r="I2" i="14"/>
  <c r="I3" i="14" s="1"/>
  <c r="L3" i="14"/>
  <c r="L9" i="14" s="1"/>
  <c r="L10" i="14" s="1"/>
  <c r="K3" i="14"/>
  <c r="K9" i="14" s="1"/>
  <c r="K8" i="14" s="1"/>
  <c r="J2" i="14"/>
  <c r="J3" i="14" s="1"/>
  <c r="AO15" i="14"/>
  <c r="AN15" i="14"/>
  <c r="AM15" i="14"/>
  <c r="AL15" i="14"/>
  <c r="AK15" i="14"/>
  <c r="AJ15" i="14"/>
  <c r="AE15" i="14"/>
  <c r="AD15" i="14"/>
  <c r="Y15" i="14"/>
  <c r="X15" i="14"/>
  <c r="W15" i="14"/>
  <c r="V2" i="14"/>
  <c r="V3" i="14" s="1"/>
  <c r="V15" i="14"/>
  <c r="R15" i="14"/>
  <c r="Q15" i="14"/>
  <c r="S15" i="14"/>
  <c r="AK2" i="14"/>
  <c r="AM2" i="14" s="1"/>
  <c r="AJ2" i="14"/>
  <c r="AL2" i="14" s="1"/>
  <c r="AN2" i="14" s="1"/>
  <c r="X3" i="14"/>
  <c r="Y3" i="14"/>
  <c r="W2" i="14"/>
  <c r="W3" i="14" s="1"/>
  <c r="T15" i="14"/>
  <c r="U15" i="14"/>
  <c r="I7" i="14"/>
  <c r="W5" i="14"/>
  <c r="X5" i="14"/>
  <c r="Y5" i="14"/>
  <c r="V5" i="14"/>
  <c r="Q5" i="14"/>
  <c r="J5" i="14"/>
  <c r="K5" i="14"/>
  <c r="L5" i="14"/>
  <c r="I5" i="14"/>
  <c r="AE5" i="14"/>
  <c r="AD5" i="14"/>
  <c r="AE3" i="14"/>
  <c r="AD3" i="14"/>
  <c r="AZ29" i="14"/>
  <c r="AT29" i="14"/>
  <c r="AY29" i="14" s="1"/>
  <c r="AS29" i="14"/>
  <c r="AX29" i="14" s="1"/>
  <c r="BA27" i="14"/>
  <c r="AZ27" i="14"/>
  <c r="AY27" i="14"/>
  <c r="AX27" i="14"/>
  <c r="AW27" i="14"/>
  <c r="AV27" i="14"/>
  <c r="AU27" i="14"/>
  <c r="AT27" i="14"/>
  <c r="AS27" i="14"/>
  <c r="AW25" i="14"/>
  <c r="AV25" i="14"/>
  <c r="AU25" i="14"/>
  <c r="AT25" i="14"/>
  <c r="AS25" i="14"/>
  <c r="BA24" i="14"/>
  <c r="BA25" i="14" s="1"/>
  <c r="AZ24" i="14"/>
  <c r="AZ25" i="14" s="1"/>
  <c r="AY24" i="14"/>
  <c r="AY25" i="14" s="1"/>
  <c r="AX24" i="14"/>
  <c r="AX25" i="14" s="1"/>
  <c r="BA16" i="14"/>
  <c r="AZ16" i="14"/>
  <c r="AY16" i="14"/>
  <c r="AX16" i="14"/>
  <c r="AW16" i="14"/>
  <c r="AV16" i="14"/>
  <c r="AU16" i="14"/>
  <c r="AT16" i="14"/>
  <c r="AS16" i="14"/>
  <c r="AW14" i="14"/>
  <c r="AV14" i="14"/>
  <c r="AU14" i="14"/>
  <c r="AT14" i="14"/>
  <c r="AS14" i="14"/>
  <c r="BA13" i="14"/>
  <c r="BA14" i="14" s="1"/>
  <c r="AZ13" i="14"/>
  <c r="AZ14" i="14" s="1"/>
  <c r="AZ17" i="14" s="1"/>
  <c r="AY13" i="14"/>
  <c r="AY14" i="14" s="1"/>
  <c r="AX13" i="14"/>
  <c r="AX14" i="14" s="1"/>
  <c r="AV7" i="14"/>
  <c r="AZ7" i="14" s="1"/>
  <c r="AU7" i="14"/>
  <c r="AT7" i="14"/>
  <c r="AY7" i="14" s="1"/>
  <c r="AS7" i="14"/>
  <c r="AX7" i="14" s="1"/>
  <c r="BA5" i="14"/>
  <c r="AZ5" i="14"/>
  <c r="AY5" i="14"/>
  <c r="AX5" i="14"/>
  <c r="AW5" i="14"/>
  <c r="AV5" i="14"/>
  <c r="AU5" i="14"/>
  <c r="AT5" i="14"/>
  <c r="AS5" i="14"/>
  <c r="AW3" i="14"/>
  <c r="AV3" i="14"/>
  <c r="AU3" i="14"/>
  <c r="AT3" i="14"/>
  <c r="AS3" i="14"/>
  <c r="BA3" i="14"/>
  <c r="AZ2" i="14"/>
  <c r="AZ3" i="14" s="1"/>
  <c r="AY2" i="14"/>
  <c r="AY3" i="14" s="1"/>
  <c r="AX2" i="14"/>
  <c r="AX3" i="14" s="1"/>
  <c r="D12" i="14"/>
  <c r="T7" i="14"/>
  <c r="X7" i="14" s="1"/>
  <c r="S7" i="14"/>
  <c r="W7" i="14"/>
  <c r="V7" i="14"/>
  <c r="J7" i="14"/>
  <c r="H7" i="14"/>
  <c r="U7" i="14" s="1"/>
  <c r="Y7" i="14" s="1"/>
  <c r="U5" i="14"/>
  <c r="T5" i="14"/>
  <c r="S5" i="14"/>
  <c r="R5" i="14"/>
  <c r="H5" i="14"/>
  <c r="G5" i="14"/>
  <c r="F5" i="14"/>
  <c r="E5" i="14"/>
  <c r="D5" i="14"/>
  <c r="U3" i="14"/>
  <c r="T3" i="14"/>
  <c r="S3" i="14"/>
  <c r="R3" i="14"/>
  <c r="Q3" i="14"/>
  <c r="H3" i="14"/>
  <c r="G3" i="14"/>
  <c r="F3" i="14"/>
  <c r="E3" i="14"/>
  <c r="D3" i="14"/>
  <c r="AV17" i="14" l="1"/>
  <c r="AK3" i="14"/>
  <c r="AK6" i="14" s="1"/>
  <c r="AT17" i="14"/>
  <c r="AU17" i="14"/>
  <c r="AX17" i="14"/>
  <c r="AF6" i="14"/>
  <c r="AD7" i="14"/>
  <c r="AF7" i="14" s="1"/>
  <c r="AH7" i="14" s="1"/>
  <c r="BA17" i="14"/>
  <c r="AE7" i="14"/>
  <c r="AS17" i="14"/>
  <c r="AI3" i="14"/>
  <c r="AH6" i="14"/>
  <c r="AG6" i="14"/>
  <c r="AW17" i="14"/>
  <c r="AY17" i="14"/>
  <c r="AD6" i="14"/>
  <c r="AW18" i="14"/>
  <c r="BA18" i="14" s="1"/>
  <c r="BA20" i="14" s="1"/>
  <c r="BA19" i="14" s="1"/>
  <c r="AO2" i="14"/>
  <c r="AO3" i="14" s="1"/>
  <c r="AM3" i="14"/>
  <c r="AJ3" i="14"/>
  <c r="AN3" i="14"/>
  <c r="AL3" i="14"/>
  <c r="AS6" i="14"/>
  <c r="AU6" i="14"/>
  <c r="E9" i="14"/>
  <c r="E8" i="14" s="1"/>
  <c r="BA6" i="14"/>
  <c r="AV6" i="14"/>
  <c r="AU31" i="14"/>
  <c r="AU30" i="14" s="1"/>
  <c r="AE6" i="14"/>
  <c r="F9" i="14"/>
  <c r="F13" i="14" s="1"/>
  <c r="K6" i="14"/>
  <c r="AW6" i="14"/>
  <c r="R9" i="14"/>
  <c r="R10" i="14" s="1"/>
  <c r="AT9" i="14"/>
  <c r="AT8" i="14" s="1"/>
  <c r="V6" i="14"/>
  <c r="I9" i="14"/>
  <c r="I8" i="14" s="1"/>
  <c r="T9" i="14"/>
  <c r="T10" i="14" s="1"/>
  <c r="T11" i="14" s="1"/>
  <c r="AV31" i="14"/>
  <c r="AV30" i="14" s="1"/>
  <c r="AW28" i="14"/>
  <c r="AT6" i="14"/>
  <c r="E6" i="14"/>
  <c r="Q9" i="14"/>
  <c r="Q10" i="14" s="1"/>
  <c r="G6" i="14"/>
  <c r="S6" i="14"/>
  <c r="AX20" i="14"/>
  <c r="AX19" i="14" s="1"/>
  <c r="J6" i="14"/>
  <c r="J9" i="14"/>
  <c r="J8" i="14" s="1"/>
  <c r="AY20" i="14"/>
  <c r="AY19" i="14" s="1"/>
  <c r="Y9" i="14"/>
  <c r="Y10" i="14" s="1"/>
  <c r="Y6" i="14"/>
  <c r="L6" i="14"/>
  <c r="AX28" i="14"/>
  <c r="AX31" i="14"/>
  <c r="AX30" i="14" s="1"/>
  <c r="AX9" i="14"/>
  <c r="AX8" i="14" s="1"/>
  <c r="AX6" i="14"/>
  <c r="AY28" i="14"/>
  <c r="AY31" i="14"/>
  <c r="AY30" i="14" s="1"/>
  <c r="W6" i="14"/>
  <c r="W9" i="14"/>
  <c r="W8" i="14" s="1"/>
  <c r="AY9" i="14"/>
  <c r="AY8" i="14" s="1"/>
  <c r="AY6" i="14"/>
  <c r="AZ31" i="14"/>
  <c r="AZ30" i="14" s="1"/>
  <c r="AZ28" i="14"/>
  <c r="X6" i="14"/>
  <c r="X9" i="14"/>
  <c r="X10" i="14" s="1"/>
  <c r="AZ6" i="14"/>
  <c r="AZ9" i="14"/>
  <c r="AZ8" i="14" s="1"/>
  <c r="BA28" i="14"/>
  <c r="G9" i="14"/>
  <c r="G10" i="14" s="1"/>
  <c r="G11" i="14" s="1"/>
  <c r="F6" i="14"/>
  <c r="R6" i="14"/>
  <c r="H9" i="14"/>
  <c r="S9" i="14"/>
  <c r="AW7" i="14"/>
  <c r="BA7" i="14" s="1"/>
  <c r="BA9" i="14" s="1"/>
  <c r="AS9" i="14"/>
  <c r="AS8" i="14" s="1"/>
  <c r="AS28" i="14"/>
  <c r="H6" i="14"/>
  <c r="T6" i="14"/>
  <c r="V9" i="14"/>
  <c r="V10" i="14" s="1"/>
  <c r="U9" i="14"/>
  <c r="U10" i="14" s="1"/>
  <c r="U11" i="14" s="1"/>
  <c r="AU9" i="14"/>
  <c r="AU8" i="14" s="1"/>
  <c r="AS20" i="14"/>
  <c r="AS19" i="14" s="1"/>
  <c r="AU28" i="14"/>
  <c r="AZ20" i="14"/>
  <c r="AZ19" i="14" s="1"/>
  <c r="AT28" i="14"/>
  <c r="I6" i="14"/>
  <c r="U6" i="14"/>
  <c r="AV9" i="14"/>
  <c r="AV8" i="14" s="1"/>
  <c r="AT20" i="14"/>
  <c r="AT19" i="14" s="1"/>
  <c r="AV28" i="14"/>
  <c r="AW29" i="14"/>
  <c r="AS31" i="14"/>
  <c r="AS30" i="14" s="1"/>
  <c r="L11" i="14"/>
  <c r="AU20" i="14"/>
  <c r="AU19" i="14" s="1"/>
  <c r="BC19" i="14" s="1"/>
  <c r="AT31" i="14"/>
  <c r="AT30" i="14" s="1"/>
  <c r="AV20" i="14"/>
  <c r="AV19" i="14" s="1"/>
  <c r="BB19" i="14" s="1"/>
  <c r="E13" i="14" l="1"/>
  <c r="AH9" i="14"/>
  <c r="AJ7" i="14"/>
  <c r="AL7" i="14" s="1"/>
  <c r="AN7" i="14" s="1"/>
  <c r="AN9" i="14" s="1"/>
  <c r="AN8" i="14" s="1"/>
  <c r="AJ6" i="14"/>
  <c r="AF9" i="14"/>
  <c r="F10" i="14"/>
  <c r="F11" i="14" s="1"/>
  <c r="AM6" i="14"/>
  <c r="AI6" i="14"/>
  <c r="AG7" i="14"/>
  <c r="AE9" i="14"/>
  <c r="W10" i="14"/>
  <c r="W11" i="14" s="1"/>
  <c r="AL6" i="14"/>
  <c r="AN6" i="14"/>
  <c r="E10" i="14"/>
  <c r="E11" i="14" s="1"/>
  <c r="F8" i="14"/>
  <c r="R8" i="14"/>
  <c r="AO6" i="14"/>
  <c r="AV32" i="14"/>
  <c r="AV33" i="14" s="1"/>
  <c r="AU32" i="14"/>
  <c r="AU33" i="14" s="1"/>
  <c r="AV10" i="14"/>
  <c r="AV11" i="14" s="1"/>
  <c r="T8" i="14"/>
  <c r="AD9" i="14"/>
  <c r="AW9" i="14"/>
  <c r="AW8" i="14" s="1"/>
  <c r="AU10" i="14"/>
  <c r="AU11" i="14" s="1"/>
  <c r="I13" i="14"/>
  <c r="I10" i="14"/>
  <c r="I11" i="14" s="1"/>
  <c r="R11" i="14"/>
  <c r="AT10" i="14"/>
  <c r="AT11" i="14" s="1"/>
  <c r="X8" i="14"/>
  <c r="X11" i="14"/>
  <c r="S10" i="14"/>
  <c r="S11" i="14" s="1"/>
  <c r="V11" i="14"/>
  <c r="Y8" i="14"/>
  <c r="Y11" i="14"/>
  <c r="BB20" i="14"/>
  <c r="BB9" i="14"/>
  <c r="AU21" i="14"/>
  <c r="AU22" i="14" s="1"/>
  <c r="Q8" i="14"/>
  <c r="BB31" i="14"/>
  <c r="AY21" i="14"/>
  <c r="AY22" i="14" s="1"/>
  <c r="AS10" i="14"/>
  <c r="AS11" i="14" s="1"/>
  <c r="BA8" i="14"/>
  <c r="BA10" i="14"/>
  <c r="BA11" i="14" s="1"/>
  <c r="AZ10" i="14"/>
  <c r="AZ11" i="14" s="1"/>
  <c r="AT32" i="14"/>
  <c r="AT33" i="14" s="1"/>
  <c r="AZ32" i="14"/>
  <c r="AZ33" i="14" s="1"/>
  <c r="BA21" i="14"/>
  <c r="BA22" i="14" s="1"/>
  <c r="V8" i="14"/>
  <c r="AV21" i="14"/>
  <c r="AV22" i="14" s="1"/>
  <c r="AW31" i="14"/>
  <c r="BA29" i="14"/>
  <c r="BA31" i="14" s="1"/>
  <c r="U8" i="14"/>
  <c r="H8" i="14"/>
  <c r="H13" i="14"/>
  <c r="AW20" i="14"/>
  <c r="AW19" i="14" s="1"/>
  <c r="AX10" i="14"/>
  <c r="AX11" i="14" s="1"/>
  <c r="AX32" i="14"/>
  <c r="AX33" i="14" s="1"/>
  <c r="J10" i="14"/>
  <c r="J11" i="14" s="1"/>
  <c r="L8" i="14"/>
  <c r="L13" i="14"/>
  <c r="M9" i="14"/>
  <c r="D13" i="14"/>
  <c r="G8" i="14"/>
  <c r="BB8" i="14"/>
  <c r="BC8" i="14"/>
  <c r="AT21" i="14"/>
  <c r="AT22" i="14" s="1"/>
  <c r="H10" i="14"/>
  <c r="H11" i="14" s="1"/>
  <c r="BB30" i="14"/>
  <c r="BC30" i="14"/>
  <c r="K10" i="14"/>
  <c r="K11" i="14" s="1"/>
  <c r="S8" i="14"/>
  <c r="AZ21" i="14"/>
  <c r="AZ22" i="14" s="1"/>
  <c r="G13" i="14"/>
  <c r="AX21" i="14"/>
  <c r="AX22" i="14" s="1"/>
  <c r="J13" i="14"/>
  <c r="AS21" i="14"/>
  <c r="AS22" i="14" s="1"/>
  <c r="D10" i="14"/>
  <c r="AY10" i="14"/>
  <c r="AY11" i="14" s="1"/>
  <c r="AY32" i="14"/>
  <c r="AY33" i="14" s="1"/>
  <c r="K13" i="14"/>
  <c r="AS32" i="14"/>
  <c r="AS33" i="14" s="1"/>
  <c r="AJ9" i="14" l="1"/>
  <c r="AL9" i="14"/>
  <c r="AL8" i="14" s="1"/>
  <c r="Z9" i="14"/>
  <c r="Z8" i="14"/>
  <c r="AL10" i="14"/>
  <c r="AL11" i="14" s="1"/>
  <c r="AD10" i="14"/>
  <c r="AD8" i="14"/>
  <c r="AE8" i="14"/>
  <c r="AE10" i="14"/>
  <c r="AE11" i="14" s="1"/>
  <c r="AF10" i="14"/>
  <c r="AF11" i="14" s="1"/>
  <c r="AF8" i="14"/>
  <c r="AG9" i="14"/>
  <c r="AI7" i="14"/>
  <c r="AN10" i="14"/>
  <c r="AN11" i="14" s="1"/>
  <c r="AH10" i="14"/>
  <c r="AH11" i="14" s="1"/>
  <c r="AH8" i="14"/>
  <c r="AW10" i="14"/>
  <c r="AW11" i="14" s="1"/>
  <c r="AA8" i="14"/>
  <c r="Q11" i="14"/>
  <c r="D14" i="14"/>
  <c r="D11" i="14"/>
  <c r="BA30" i="14"/>
  <c r="BA32" i="14"/>
  <c r="BA33" i="14" s="1"/>
  <c r="AW30" i="14"/>
  <c r="AW32" i="14"/>
  <c r="AW33" i="14" s="1"/>
  <c r="AW21" i="14"/>
  <c r="AW22" i="14" s="1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U8" i="2" s="1"/>
  <c r="T7" i="2"/>
  <c r="T6" i="2"/>
  <c r="T5" i="2"/>
  <c r="T4" i="2"/>
  <c r="T3" i="2"/>
  <c r="T2" i="2"/>
  <c r="P4" i="2"/>
  <c r="P5" i="2"/>
  <c r="P6" i="2"/>
  <c r="P7" i="2"/>
  <c r="P8" i="2"/>
  <c r="Q8" i="2" s="1"/>
  <c r="P9" i="2"/>
  <c r="Q9" i="2" s="1"/>
  <c r="P10" i="2"/>
  <c r="P11" i="2"/>
  <c r="P12" i="2"/>
  <c r="P13" i="2"/>
  <c r="P14" i="2"/>
  <c r="P15" i="2"/>
  <c r="P16" i="2"/>
  <c r="Q16" i="2" s="1"/>
  <c r="P17" i="2"/>
  <c r="Q17" i="2" s="1"/>
  <c r="P18" i="2"/>
  <c r="P19" i="2"/>
  <c r="P20" i="2"/>
  <c r="P21" i="2"/>
  <c r="P22" i="2"/>
  <c r="Q22" i="2" s="1"/>
  <c r="P23" i="2"/>
  <c r="P24" i="2"/>
  <c r="Q24" i="2" s="1"/>
  <c r="P25" i="2"/>
  <c r="Q25" i="2" s="1"/>
  <c r="P26" i="2"/>
  <c r="P27" i="2"/>
  <c r="P28" i="2"/>
  <c r="P29" i="2"/>
  <c r="Q29" i="2" s="1"/>
  <c r="P30" i="2"/>
  <c r="Q30" i="2" s="1"/>
  <c r="P31" i="2"/>
  <c r="Q31" i="2" s="1"/>
  <c r="P32" i="2"/>
  <c r="Q32" i="2" s="1"/>
  <c r="P33" i="2"/>
  <c r="Q33" i="2" s="1"/>
  <c r="P34" i="2"/>
  <c r="P2" i="2"/>
  <c r="P3" i="2"/>
  <c r="AJ8" i="14" l="1"/>
  <c r="AJ10" i="14"/>
  <c r="AJ11" i="14" s="1"/>
  <c r="AI9" i="14"/>
  <c r="AK7" i="14"/>
  <c r="AG10" i="14"/>
  <c r="AG11" i="14" s="1"/>
  <c r="AG8" i="14"/>
  <c r="AD11" i="14"/>
  <c r="Q23" i="2"/>
  <c r="Q15" i="2"/>
  <c r="Q7" i="2"/>
  <c r="Q14" i="2"/>
  <c r="Q6" i="2"/>
  <c r="U16" i="2"/>
  <c r="V16" i="2" s="1"/>
  <c r="Q28" i="2"/>
  <c r="Q34" i="2"/>
  <c r="Q21" i="2"/>
  <c r="Q13" i="2"/>
  <c r="Q5" i="2"/>
  <c r="U24" i="2"/>
  <c r="U32" i="2"/>
  <c r="V32" i="2" s="1"/>
  <c r="Q20" i="2"/>
  <c r="Q12" i="2"/>
  <c r="Q4" i="2"/>
  <c r="U33" i="2"/>
  <c r="Q3" i="2"/>
  <c r="Q27" i="2"/>
  <c r="Q19" i="2"/>
  <c r="Q11" i="2"/>
  <c r="U10" i="2"/>
  <c r="V10" i="2" s="1"/>
  <c r="Q26" i="2"/>
  <c r="Q18" i="2"/>
  <c r="Q10" i="2"/>
  <c r="V33" i="2"/>
  <c r="V24" i="2"/>
  <c r="U9" i="2"/>
  <c r="V9" i="2" s="1"/>
  <c r="U17" i="2"/>
  <c r="V17" i="2" s="1"/>
  <c r="U25" i="2"/>
  <c r="V25" i="2" s="1"/>
  <c r="U34" i="2"/>
  <c r="V34" i="2" s="1"/>
  <c r="U3" i="2"/>
  <c r="V3" i="2" s="1"/>
  <c r="U11" i="2"/>
  <c r="U19" i="2"/>
  <c r="U27" i="2"/>
  <c r="V27" i="2" s="1"/>
  <c r="U4" i="2"/>
  <c r="U12" i="2"/>
  <c r="V12" i="2" s="1"/>
  <c r="U20" i="2"/>
  <c r="U28" i="2"/>
  <c r="V28" i="2" s="1"/>
  <c r="U5" i="2"/>
  <c r="V5" i="2" s="1"/>
  <c r="U13" i="2"/>
  <c r="V13" i="2" s="1"/>
  <c r="U21" i="2"/>
  <c r="V21" i="2" s="1"/>
  <c r="U29" i="2"/>
  <c r="V29" i="2" s="1"/>
  <c r="V8" i="2"/>
  <c r="U18" i="2"/>
  <c r="U6" i="2"/>
  <c r="V6" i="2" s="1"/>
  <c r="U14" i="2"/>
  <c r="V14" i="2" s="1"/>
  <c r="U22" i="2"/>
  <c r="V22" i="2" s="1"/>
  <c r="U30" i="2"/>
  <c r="V30" i="2" s="1"/>
  <c r="U26" i="2"/>
  <c r="U7" i="2"/>
  <c r="V7" i="2" s="1"/>
  <c r="U15" i="2"/>
  <c r="V15" i="2" s="1"/>
  <c r="U23" i="2"/>
  <c r="V23" i="2" s="1"/>
  <c r="U31" i="2"/>
  <c r="V31" i="2" s="1"/>
  <c r="AM7" i="14" l="1"/>
  <c r="AK9" i="14"/>
  <c r="AI8" i="14"/>
  <c r="AI10" i="14"/>
  <c r="AI11" i="14" s="1"/>
  <c r="V19" i="2"/>
  <c r="V18" i="2"/>
  <c r="V11" i="2"/>
  <c r="V4" i="2"/>
  <c r="V26" i="2"/>
  <c r="V20" i="2"/>
  <c r="AK10" i="14" l="1"/>
  <c r="AK11" i="14" s="1"/>
  <c r="AK8" i="14"/>
  <c r="AO7" i="14"/>
  <c r="AO9" i="14" s="1"/>
  <c r="AM9" i="14"/>
  <c r="AM8" i="14" l="1"/>
  <c r="AM10" i="14"/>
  <c r="AM11" i="14" s="1"/>
  <c r="AO8" i="14"/>
  <c r="AO10" i="14"/>
  <c r="AO11" i="14" s="1"/>
  <c r="C20" i="14"/>
  <c r="D20" i="14" s="1"/>
  <c r="D2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13-bit, 8,191ea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J29" authorId="0" shapeId="0" xr:uid="{1576E113-1BB2-4224-A494-C1ED2F4295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 internal high active : open_drain output=low active ; npn gate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평할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정전압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)
'1'  internal low active : open_drain output=high active ; fet gate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(smps fb pwm direct control)</t>
        </r>
      </text>
    </comment>
    <comment ref="C36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7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5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9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8" authorId="0" shapeId="0" xr:uid="{15A3A059-EDEB-4C21-BCBD-9D25EAEB52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110(46mA), 111(64mA)
8.xx mA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8mA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>,
 ICTL_GLB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8.xx mA</t>
        </r>
        <r>
          <rPr>
            <sz val="9"/>
            <color indexed="81"/>
            <rFont val="돋움"/>
            <family val="3"/>
            <charset val="129"/>
          </rPr>
          <t>까지를</t>
        </r>
        <r>
          <rPr>
            <sz val="9"/>
            <color indexed="81"/>
            <rFont val="Tahoma"/>
            <family val="2"/>
          </rPr>
          <t xml:space="preserve"> max current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--&gt;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vref 12bit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ana 0~1023 </t>
        </r>
        <r>
          <rPr>
            <sz val="9"/>
            <color indexed="81"/>
            <rFont val="돋움"/>
            <family val="3"/>
            <charset val="129"/>
          </rPr>
          <t>표현력이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좋아짐</t>
        </r>
      </text>
    </comment>
    <comment ref="M8" authorId="0" shapeId="0" xr:uid="{EE172380-B8FC-4995-B2BB-4F644ABA2C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8" authorId="0" shapeId="0" xr:uid="{A7548FBD-1A10-4654-925F-B4ADF1A37A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(0.85V),
101 (1.0V),
110 (1.15V),
111 (1.3V)</t>
        </r>
      </text>
    </comment>
    <comment ref="H9" authorId="0" shapeId="0" xr:uid="{F2134AC5-9A46-4491-A316-EDBDD5E577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8-bit x 0.4mbps = 620us
620us/0.25=24,800ea
15-bit, default=0x7FFF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E2" authorId="0" shapeId="0" xr:uid="{2710ED36-7D97-43DB-9974-30F76F5932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G2" authorId="0" shapeId="0" xr:uid="{E8653D3C-2764-47BC-9E4F-A9BF09A8D0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[mclk slow to faster]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조금씩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증가시켜서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증가시켜나감
</t>
        </r>
        <r>
          <rPr>
            <sz val="9"/>
            <color indexed="81"/>
            <rFont val="Tahoma"/>
            <family val="2"/>
          </rPr>
          <t xml:space="preserve">[mclk fast to slower]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* [mclk slow to faster]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지양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[mclk fast to slower] </t>
        </r>
        <r>
          <rPr>
            <sz val="9"/>
            <color indexed="81"/>
            <rFont val="돋움"/>
            <family val="3"/>
            <charset val="129"/>
          </rPr>
          <t xml:space="preserve">경우에는
</t>
        </r>
        <r>
          <rPr>
            <sz val="9"/>
            <color indexed="81"/>
            <rFont val="Tahoma"/>
            <family val="2"/>
          </rPr>
          <t xml:space="preserve">  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2" authorId="0" shapeId="0" xr:uid="{E90E85CD-4B6F-43A8-826A-C66337FE968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writing
4. mclk_cnt unlocking</t>
        </r>
      </text>
    </comment>
    <comment ref="I2" authorId="0" shapeId="0" xr:uid="{83723F75-A353-4113-A4D1-96BA1B6C88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[x1 to x8]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줄여나감
</t>
        </r>
        <r>
          <rPr>
            <sz val="9"/>
            <color indexed="81"/>
            <rFont val="Tahoma"/>
            <family val="2"/>
          </rPr>
          <t xml:space="preserve">[x8 to x1]
1. mclk_cnt locking
2. fpwm_div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3. mclk_cnt target</t>
        </r>
        <r>
          <rPr>
            <sz val="9"/>
            <color indexed="81"/>
            <rFont val="돋움"/>
            <family val="3"/>
            <charset val="129"/>
          </rPr>
          <t>값보다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줄여서</t>
        </r>
        <r>
          <rPr>
            <sz val="9"/>
            <color indexed="81"/>
            <rFont val="Tahoma"/>
            <family val="2"/>
          </rPr>
          <t xml:space="preserve"> writing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unlocking
4. mclk_cnt target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줄여나감</t>
        </r>
      </text>
    </comment>
  </commentList>
</comments>
</file>

<file path=xl/sharedStrings.xml><?xml version="1.0" encoding="utf-8"?>
<sst xmlns="http://schemas.openxmlformats.org/spreadsheetml/2006/main" count="2411" uniqueCount="1166">
  <si>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</si>
  <si>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</si>
  <si>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</si>
  <si>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</si>
  <si>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</si>
  <si>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</si>
  <si>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pwm clk</t>
    <phoneticPr fontId="2" type="noConversion"/>
  </si>
  <si>
    <t>FFF</t>
    <phoneticPr fontId="2" type="noConversion"/>
  </si>
  <si>
    <t>FF0</t>
    <phoneticPr fontId="2" type="noConversion"/>
  </si>
  <si>
    <t>FE8</t>
  </si>
  <si>
    <t>FF8</t>
  </si>
  <si>
    <t>FE0</t>
    <phoneticPr fontId="2" type="noConversion"/>
  </si>
  <si>
    <t>FE1</t>
  </si>
  <si>
    <t>FE2</t>
  </si>
  <si>
    <t>FE3</t>
  </si>
  <si>
    <t>FE4</t>
  </si>
  <si>
    <t>FE5</t>
  </si>
  <si>
    <t>FE6</t>
  </si>
  <si>
    <t>FE7</t>
  </si>
  <si>
    <t>FE9</t>
  </si>
  <si>
    <t>FF1</t>
  </si>
  <si>
    <t>FF2</t>
  </si>
  <si>
    <t>FF3</t>
  </si>
  <si>
    <t>FF4</t>
  </si>
  <si>
    <t>FF5</t>
  </si>
  <si>
    <t>FF6</t>
  </si>
  <si>
    <t>FF7</t>
  </si>
  <si>
    <t>FF9</t>
  </si>
  <si>
    <t>FEA</t>
    <phoneticPr fontId="2" type="noConversion"/>
  </si>
  <si>
    <t>FEB</t>
    <phoneticPr fontId="2" type="noConversion"/>
  </si>
  <si>
    <t>FEC</t>
    <phoneticPr fontId="2" type="noConversion"/>
  </si>
  <si>
    <t>FED</t>
    <phoneticPr fontId="2" type="noConversion"/>
  </si>
  <si>
    <t>FEE</t>
    <phoneticPr fontId="2" type="noConversion"/>
  </si>
  <si>
    <t>FEF</t>
    <phoneticPr fontId="2" type="noConversion"/>
  </si>
  <si>
    <t>FFA</t>
    <phoneticPr fontId="2" type="noConversion"/>
  </si>
  <si>
    <t>FFB</t>
    <phoneticPr fontId="2" type="noConversion"/>
  </si>
  <si>
    <t>FFC</t>
    <phoneticPr fontId="2" type="noConversion"/>
  </si>
  <si>
    <t>FFD</t>
    <phoneticPr fontId="2" type="noConversion"/>
  </si>
  <si>
    <t>FFE</t>
    <phoneticPr fontId="2" type="noConversion"/>
  </si>
  <si>
    <t>1FF</t>
  </si>
  <si>
    <t>1FF</t>
    <phoneticPr fontId="2" type="noConversion"/>
  </si>
  <si>
    <t>1FC</t>
    <phoneticPr fontId="2" type="noConversion"/>
  </si>
  <si>
    <t>1FD</t>
    <phoneticPr fontId="2" type="noConversion"/>
  </si>
  <si>
    <t>1FE</t>
    <phoneticPr fontId="2" type="noConversion"/>
  </si>
  <si>
    <t>serial high</t>
    <phoneticPr fontId="2" type="noConversion"/>
  </si>
  <si>
    <t>serial low</t>
    <phoneticPr fontId="2" type="noConversion"/>
  </si>
  <si>
    <t>serial 1bit</t>
    <phoneticPr fontId="2" type="noConversion"/>
  </si>
  <si>
    <t>baudrate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</si>
  <si>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</si>
  <si>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</si>
  <si>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</si>
  <si>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</si>
  <si>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pwm out chx</t>
    <phoneticPr fontId="2" type="noConversion"/>
  </si>
  <si>
    <t>ch1</t>
    <phoneticPr fontId="2" type="noConversion"/>
  </si>
  <si>
    <t>ch2</t>
    <phoneticPr fontId="2" type="noConversion"/>
  </si>
  <si>
    <t>ch3</t>
  </si>
  <si>
    <t>ch4</t>
  </si>
  <si>
    <t>ch5</t>
  </si>
  <si>
    <t>4 (cnt=2)</t>
    <phoneticPr fontId="2" type="noConversion"/>
  </si>
  <si>
    <r>
      <t>2 (cnt=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</si>
  <si>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4095 (cnt=4095)</t>
    <phoneticPr fontId="2" type="noConversion"/>
  </si>
  <si>
    <t>2 (cnt=2)</t>
    <phoneticPr fontId="2" type="noConversion"/>
  </si>
  <si>
    <r>
      <t>4 (cnt=</t>
    </r>
    <r>
      <rPr>
        <sz val="11"/>
        <color rgb="FFFF0000"/>
        <rFont val="Aptos Narrow"/>
        <family val="2"/>
      </rPr>
      <t>4</t>
    </r>
    <r>
      <rPr>
        <sz val="11"/>
        <color rgb="FF000000"/>
        <rFont val="Aptos Narrow"/>
        <family val="2"/>
      </rPr>
      <t>)</t>
    </r>
    <phoneticPr fontId="2" type="noConversion"/>
  </si>
  <si>
    <t>4091 (cnt=4091)</t>
    <phoneticPr fontId="2" type="noConversion"/>
  </si>
  <si>
    <t>4093 (cnt=4093)</t>
    <phoneticPr fontId="2" type="noConversion"/>
  </si>
  <si>
    <r>
      <t>4091 (cnt=</t>
    </r>
    <r>
      <rPr>
        <sz val="11"/>
        <color rgb="FFFF0000"/>
        <rFont val="Aptos Narrow"/>
        <family val="2"/>
      </rPr>
      <t>4091</t>
    </r>
    <r>
      <rPr>
        <sz val="11"/>
        <color rgb="FF000000"/>
        <rFont val="Aptos Narrow"/>
        <family val="2"/>
      </rPr>
      <t>)</t>
    </r>
    <phoneticPr fontId="2" type="noConversion"/>
  </si>
  <si>
    <r>
      <t xml:space="preserve">4092 (cnt=4092) </t>
    </r>
    <r>
      <rPr>
        <sz val="11"/>
        <color rgb="FFFF0000"/>
        <rFont val="맑은 고딕"/>
        <family val="3"/>
        <charset val="129"/>
        <scheme val="minor"/>
      </rPr>
      <t>@ ld=4092</t>
    </r>
    <phoneticPr fontId="2" type="noConversion"/>
  </si>
  <si>
    <t>1 (cnt=1)</t>
  </si>
  <si>
    <r>
      <t xml:space="preserve">4094 (cnt=4094) </t>
    </r>
    <r>
      <rPr>
        <sz val="11"/>
        <color rgb="FFFF0000"/>
        <rFont val="맑은 고딕"/>
        <family val="3"/>
        <charset val="129"/>
        <scheme val="minor"/>
      </rPr>
      <t>@ ld=4095</t>
    </r>
    <phoneticPr fontId="2" type="noConversion"/>
  </si>
  <si>
    <t>delay=4093</t>
    <phoneticPr fontId="2" type="noConversion"/>
  </si>
  <si>
    <t>2 (on=1)</t>
    <phoneticPr fontId="2" type="noConversion"/>
  </si>
  <si>
    <t>4094 (on=4093)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</si>
  <si>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</si>
  <si>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</si>
  <si>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</si>
  <si>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</si>
  <si>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</si>
  <si>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</si>
  <si>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scan#</t>
    <phoneticPr fontId="2" type="noConversion"/>
  </si>
  <si>
    <t>14-bit</t>
    <phoneticPr fontId="2" type="noConversion"/>
  </si>
  <si>
    <t>12-bit</t>
    <phoneticPr fontId="2" type="noConversion"/>
  </si>
  <si>
    <t>000A</t>
    <phoneticPr fontId="2" type="noConversion"/>
  </si>
  <si>
    <t>000B</t>
    <phoneticPr fontId="2" type="noConversion"/>
  </si>
  <si>
    <t>000C</t>
    <phoneticPr fontId="2" type="noConversion"/>
  </si>
  <si>
    <t>000D</t>
    <phoneticPr fontId="2" type="noConversion"/>
  </si>
  <si>
    <t>000E</t>
    <phoneticPr fontId="2" type="noConversion"/>
  </si>
  <si>
    <t>000F</t>
    <phoneticPr fontId="2" type="noConversion"/>
  </si>
  <si>
    <t>00A</t>
    <phoneticPr fontId="2" type="noConversion"/>
  </si>
  <si>
    <t>00B</t>
    <phoneticPr fontId="2" type="noConversion"/>
  </si>
  <si>
    <t>00C</t>
    <phoneticPr fontId="2" type="noConversion"/>
  </si>
  <si>
    <t>00D</t>
    <phoneticPr fontId="2" type="noConversion"/>
  </si>
  <si>
    <t>00E</t>
    <phoneticPr fontId="2" type="noConversion"/>
  </si>
  <si>
    <t>00F</t>
    <phoneticPr fontId="2" type="noConversion"/>
  </si>
  <si>
    <t>3FFF</t>
    <phoneticPr fontId="2" type="noConversion"/>
  </si>
  <si>
    <t>0FFF</t>
    <phoneticPr fontId="2" type="noConversion"/>
  </si>
  <si>
    <t>fpwm_div</t>
    <phoneticPr fontId="2" type="noConversion"/>
  </si>
  <si>
    <t>50hz</t>
    <phoneticPr fontId="2" type="noConversion"/>
  </si>
  <si>
    <t>[ms]</t>
    <phoneticPr fontId="2" type="noConversion"/>
  </si>
  <si>
    <t>xd mclk</t>
    <phoneticPr fontId="2" type="noConversion"/>
  </si>
  <si>
    <t>pwm_res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</si>
  <si>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</si>
  <si>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</si>
  <si>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</si>
  <si>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</si>
  <si>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</si>
  <si>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</si>
  <si>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</si>
  <si>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</si>
  <si>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</si>
  <si>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</si>
  <si>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</si>
  <si>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</si>
  <si>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</si>
  <si>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</si>
  <si>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</si>
  <si>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</si>
  <si>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</si>
  <si>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</si>
  <si>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</si>
  <si>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ID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</si>
  <si>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</si>
  <si>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</si>
  <si>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</si>
  <si>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</si>
  <si>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</si>
  <si>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</si>
  <si>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</si>
  <si>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</si>
  <si>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</si>
  <si>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</si>
  <si>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</si>
  <si>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</si>
  <si>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</si>
  <si>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</si>
  <si>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</si>
  <si>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</si>
  <si>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</si>
  <si>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</si>
  <si>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</si>
  <si>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</si>
  <si>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</si>
  <si>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</si>
  <si>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</si>
  <si>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</si>
  <si>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</si>
  <si>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</si>
  <si>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</si>
  <si>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</si>
  <si>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</si>
  <si>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</si>
  <si>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</si>
  <si>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</si>
  <si>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</si>
  <si>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</si>
  <si>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</si>
  <si>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</si>
  <si>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</si>
  <si>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</si>
  <si>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</si>
  <si>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</si>
  <si>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</si>
  <si>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</si>
  <si>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</si>
  <si>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</si>
  <si>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</si>
  <si>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</si>
  <si>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</si>
  <si>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</si>
  <si>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</si>
  <si>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</si>
  <si>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</si>
  <si>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</si>
  <si>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</si>
  <si>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</si>
  <si>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</si>
  <si>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</si>
  <si>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</si>
  <si>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</si>
  <si>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</si>
  <si>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</si>
  <si>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</si>
  <si>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</si>
  <si>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</si>
  <si>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</si>
  <si>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</si>
  <si>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</si>
  <si>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</si>
  <si>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</si>
  <si>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</si>
  <si>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</si>
  <si>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</si>
  <si>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</si>
  <si>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</si>
  <si>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</si>
  <si>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</si>
  <si>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</si>
  <si>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</si>
  <si>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</si>
  <si>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</si>
  <si>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</si>
  <si>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</si>
  <si>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</si>
  <si>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</si>
  <si>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</si>
  <si>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</si>
  <si>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</si>
  <si>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</si>
  <si>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</si>
  <si>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</si>
  <si>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</si>
  <si>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</si>
  <si>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</si>
  <si>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</si>
  <si>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</si>
  <si>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</si>
  <si>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</si>
  <si>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</si>
  <si>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</si>
  <si>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</si>
  <si>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</si>
  <si>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</si>
  <si>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</si>
  <si>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</si>
  <si>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</si>
  <si>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</si>
  <si>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</si>
  <si>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</si>
  <si>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</si>
  <si>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</si>
  <si>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</si>
  <si>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</si>
  <si>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</si>
  <si>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</si>
  <si>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</si>
  <si>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</si>
  <si>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</si>
  <si>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</si>
  <si>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</si>
  <si>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</si>
  <si>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</si>
  <si>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</si>
  <si>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</si>
  <si>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</si>
  <si>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</si>
  <si>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</si>
  <si>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</si>
  <si>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</si>
  <si>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</si>
  <si>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</si>
  <si>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</si>
  <si>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</si>
  <si>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</si>
  <si>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</si>
  <si>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</si>
  <si>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</si>
  <si>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</si>
  <si>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</si>
  <si>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</si>
  <si>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CONTROL</t>
    <phoneticPr fontId="2" type="noConversion"/>
  </si>
  <si>
    <t>OVER_TO_E</t>
    <phoneticPr fontId="2" type="noConversion"/>
  </si>
  <si>
    <t>RST : all logics reset, auto-cleared
ID #1~#31 ('0' invalid) : not writable</t>
    <phoneticPr fontId="2" type="noConversion"/>
  </si>
  <si>
    <t>EXT_VS_E</t>
    <phoneticPr fontId="2" type="noConversion"/>
  </si>
  <si>
    <t>PWM_FULL_O</t>
    <phoneticPr fontId="2" type="noConversion"/>
  </si>
  <si>
    <t>MCLK_O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</si>
  <si>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</si>
  <si>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</si>
  <si>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</si>
  <si>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FPWM_DIV [6:0]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</si>
  <si>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</si>
  <si>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</si>
  <si>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</si>
  <si>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</si>
  <si>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</si>
  <si>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</si>
  <si>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</si>
  <si>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</si>
  <si>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</si>
  <si>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</si>
  <si>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</si>
  <si>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</si>
  <si>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</si>
  <si>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</si>
  <si>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</si>
  <si>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</si>
  <si>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</si>
  <si>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</si>
  <si>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</si>
  <si>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</si>
  <si>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</si>
  <si>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</si>
  <si>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</si>
  <si>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</si>
  <si>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</si>
  <si>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</si>
  <si>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</si>
  <si>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</si>
  <si>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</si>
  <si>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</si>
  <si>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</si>
  <si>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</si>
  <si>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</si>
  <si>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</si>
  <si>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</si>
  <si>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</si>
  <si>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</si>
  <si>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</si>
  <si>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VSYNCI</t>
    <phoneticPr fontId="2" type="noConversion"/>
  </si>
  <si>
    <t>VSYNCO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</si>
  <si>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</si>
  <si>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</si>
  <si>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</si>
  <si>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</si>
  <si>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</si>
  <si>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</si>
  <si>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</si>
  <si>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</si>
  <si>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max current 24/ 32/ 46/ 64mA 설정 시 작동</t>
    <phoneticPr fontId="2" type="noConversion"/>
  </si>
  <si>
    <t>0x008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</si>
  <si>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</si>
  <si>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</si>
  <si>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</si>
  <si>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</si>
  <si>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</si>
  <si>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</si>
  <si>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</si>
  <si>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</si>
  <si>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FBO_E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</si>
  <si>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</si>
  <si>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</si>
  <si>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</si>
  <si>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</si>
  <si>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</si>
  <si>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</si>
  <si>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</si>
  <si>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</si>
  <si>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</si>
  <si>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ICTL_L_CH1[6:0]</t>
    <phoneticPr fontId="2" type="noConversion"/>
  </si>
  <si>
    <t>ICTL_L_CH2[6:0]</t>
    <phoneticPr fontId="2" type="noConversion"/>
  </si>
  <si>
    <t>ICTL_L_CH3[6:0]</t>
    <phoneticPr fontId="2" type="noConversion"/>
  </si>
  <si>
    <t>ICTL_L_CH4[6:0]</t>
    <phoneticPr fontId="2" type="noConversion"/>
  </si>
  <si>
    <t>ICTL_L_CH5[6:0]</t>
    <phoneticPr fontId="2" type="noConversion"/>
  </si>
  <si>
    <t>ICTL_L_CH6[6:0]</t>
    <phoneticPr fontId="2" type="noConversion"/>
  </si>
  <si>
    <t>ICTL_L_CH7[6:0]</t>
    <phoneticPr fontId="2" type="noConversion"/>
  </si>
  <si>
    <t>ICTL_L_CH8[6:0]</t>
    <phoneticPr fontId="2" type="noConversion"/>
  </si>
  <si>
    <t>ICTL_L_CH9[6:0]</t>
    <phoneticPr fontId="2" type="noConversion"/>
  </si>
  <si>
    <t>ICTL_L_CH10[6:0]</t>
    <phoneticPr fontId="2" type="noConversion"/>
  </si>
  <si>
    <t>ICTL_L_CH11[6:0]</t>
    <phoneticPr fontId="2" type="noConversion"/>
  </si>
  <si>
    <t>ICTL_L_CH12[6:0]</t>
    <phoneticPr fontId="2" type="noConversion"/>
  </si>
  <si>
    <t>ICTL_H_CH1[6:0]</t>
    <phoneticPr fontId="2" type="noConversion"/>
  </si>
  <si>
    <t>ICTL_H_CH2[6:0]</t>
    <phoneticPr fontId="2" type="noConversion"/>
  </si>
  <si>
    <t>ICTL_H_CH3[6:0]</t>
    <phoneticPr fontId="2" type="noConversion"/>
  </si>
  <si>
    <t>ICTL_H_CH4[6:0]</t>
    <phoneticPr fontId="2" type="noConversion"/>
  </si>
  <si>
    <t>ICTL_H_CH5[6:0]</t>
    <phoneticPr fontId="2" type="noConversion"/>
  </si>
  <si>
    <t>ICTL_H_CH6[6:0]</t>
    <phoneticPr fontId="2" type="noConversion"/>
  </si>
  <si>
    <t>ICTL_H_CH7[6:0]</t>
    <phoneticPr fontId="2" type="noConversion"/>
  </si>
  <si>
    <t>ICTL_H_CH8[6:0]</t>
    <phoneticPr fontId="2" type="noConversion"/>
  </si>
  <si>
    <t>ICTL_H_CH9[6:0]</t>
    <phoneticPr fontId="2" type="noConversion"/>
  </si>
  <si>
    <t>ICTL_H_CH10[6:0]</t>
    <phoneticPr fontId="2" type="noConversion"/>
  </si>
  <si>
    <t>ICTL_H_CH11[6:0]</t>
    <phoneticPr fontId="2" type="noConversion"/>
  </si>
  <si>
    <t>ICTL_H_CH12[6:0]</t>
    <phoneticPr fontId="2" type="noConversion"/>
  </si>
  <si>
    <t>T/S/O/FB storage required
(fault read time, 1block FB)</t>
    <phoneticPr fontId="2" type="noConversion"/>
  </si>
  <si>
    <t>serializer/de-serializer</t>
    <phoneticPr fontId="2" type="noConversion"/>
  </si>
  <si>
    <t>data format</t>
    <phoneticPr fontId="2" type="noConversion"/>
  </si>
  <si>
    <t>protocol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</si>
  <si>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</si>
  <si>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</si>
  <si>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</si>
  <si>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</si>
  <si>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</si>
  <si>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</si>
  <si>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</si>
  <si>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</si>
  <si>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</si>
  <si>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</si>
  <si>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</si>
  <si>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</si>
  <si>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</si>
  <si>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</si>
  <si>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</si>
  <si>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</si>
  <si>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</si>
  <si>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</si>
  <si>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</si>
  <si>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</si>
  <si>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</si>
  <si>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</si>
  <si>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</si>
  <si>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</si>
  <si>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(ld_width=00,01,10)</t>
    <phoneticPr fontId="2" type="noConversion"/>
  </si>
  <si>
    <t>bit16</t>
  </si>
  <si>
    <t>bit15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</si>
  <si>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#1</t>
    </r>
    <phoneticPr fontId="2" type="noConversion"/>
  </si>
  <si>
    <t>write cmd #1</t>
    <phoneticPr fontId="2" type="noConversion"/>
  </si>
  <si>
    <t>addr #1</t>
    <phoneticPr fontId="2" type="noConversion"/>
  </si>
  <si>
    <t>data #1</t>
    <phoneticPr fontId="2" type="noConversion"/>
  </si>
  <si>
    <t>write cmd #2</t>
    <phoneticPr fontId="2" type="noConversion"/>
  </si>
  <si>
    <t>addr #2</t>
    <phoneticPr fontId="2" type="noConversion"/>
  </si>
  <si>
    <t>data #2</t>
    <phoneticPr fontId="2" type="noConversion"/>
  </si>
  <si>
    <t>write cmd #n</t>
    <phoneticPr fontId="2" type="noConversion"/>
  </si>
  <si>
    <t>addr #n</t>
    <phoneticPr fontId="2" type="noConversion"/>
  </si>
  <si>
    <t>data #n</t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</si>
  <si>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#1</t>
    </r>
    <phoneticPr fontId="2" type="noConversion"/>
  </si>
  <si>
    <t>ld cmd #1</t>
    <phoneticPr fontId="2" type="noConversion"/>
  </si>
  <si>
    <t>pam1 #1</t>
    <phoneticPr fontId="2" type="noConversion"/>
  </si>
  <si>
    <t>pwm1 #1</t>
    <phoneticPr fontId="2" type="noConversion"/>
  </si>
  <si>
    <t>pam2 #1</t>
    <phoneticPr fontId="2" type="noConversion"/>
  </si>
  <si>
    <t>pwm8 #1</t>
    <phoneticPr fontId="2" type="noConversion"/>
  </si>
  <si>
    <t>ld cmd #2</t>
    <phoneticPr fontId="2" type="noConversion"/>
  </si>
  <si>
    <t>pam1 #2</t>
    <phoneticPr fontId="2" type="noConversion"/>
  </si>
  <si>
    <t>pwm1 #2</t>
    <phoneticPr fontId="2" type="noConversion"/>
  </si>
  <si>
    <t>pam2 #2</t>
    <phoneticPr fontId="2" type="noConversion"/>
  </si>
  <si>
    <t>pwm8 #n</t>
    <phoneticPr fontId="2" type="noConversion"/>
  </si>
  <si>
    <t>sync gen cmd #1</t>
    <phoneticPr fontId="2" type="noConversion"/>
  </si>
  <si>
    <t>sync gen cmd #2</t>
    <phoneticPr fontId="2" type="noConversion"/>
  </si>
  <si>
    <t>sync gen cmd #n</t>
    <phoneticPr fontId="2" type="noConversion"/>
  </si>
  <si>
    <t>fault read cmd #1</t>
    <phoneticPr fontId="2" type="noConversion"/>
  </si>
  <si>
    <t>fault read cmd #2</t>
    <phoneticPr fontId="2" type="noConversion"/>
  </si>
  <si>
    <t>fault read cmd #n</t>
    <phoneticPr fontId="2" type="noConversion"/>
  </si>
  <si>
    <t>fault read cmd</t>
    <phoneticPr fontId="2" type="noConversion"/>
  </si>
  <si>
    <t>d2 | d1</t>
    <phoneticPr fontId="2" type="noConversion"/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</si>
  <si>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</si>
  <si>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</si>
  <si>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</si>
  <si>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</si>
  <si>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</si>
  <si>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t>fault read cmd#2</t>
    <phoneticPr fontId="2" type="noConversion"/>
  </si>
  <si>
    <t>d3 | d2</t>
    <phoneticPr fontId="2" type="noConversion"/>
  </si>
  <si>
    <t>bit19</t>
  </si>
  <si>
    <t>bit18</t>
  </si>
  <si>
    <t>bit17</t>
  </si>
  <si>
    <t>bit14</t>
  </si>
  <si>
    <t>bit13</t>
  </si>
  <si>
    <t>bit12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</si>
  <si>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</si>
  <si>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#2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</si>
  <si>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</si>
  <si>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</si>
  <si>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#n</t>
    </r>
    <phoneticPr fontId="2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</si>
  <si>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#n</t>
    </r>
    <phoneticPr fontId="2" type="noConversion"/>
  </si>
  <si>
    <t>ld [15:0]</t>
    <phoneticPr fontId="2" type="noConversion"/>
  </si>
  <si>
    <t>(ld_width=11)</t>
    <phoneticPr fontId="2" type="noConversion"/>
  </si>
  <si>
    <t>ld transfer @ld_width='11'</t>
    <phoneticPr fontId="2" type="noConversion"/>
  </si>
  <si>
    <t>read_in cmd #1</t>
    <phoneticPr fontId="2" type="noConversion"/>
  </si>
  <si>
    <t>read_in cmd #2</t>
    <phoneticPr fontId="2" type="noConversion"/>
  </si>
  <si>
    <t>read_in cmd #n</t>
    <phoneticPr fontId="2" type="noConversion"/>
  </si>
  <si>
    <r>
      <t>ld1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</si>
  <si>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ld2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</si>
  <si>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ld3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</si>
  <si>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r>
      <t>ld8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</si>
  <si>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</si>
  <si>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</si>
  <si>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</si>
  <si>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</si>
  <si>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</si>
  <si>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</si>
  <si>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</si>
  <si>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</si>
  <si>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</si>
  <si>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</si>
  <si>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</si>
  <si>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</si>
  <si>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</si>
  <si>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read_out cmd #n</t>
    <phoneticPr fontId="2" type="noConversion"/>
  </si>
  <si>
    <t>id #n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</si>
  <si>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#n-1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</si>
  <si>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phoneticPr fontId="2" type="noConversion"/>
  </si>
  <si>
    <t>read_out cmd #2</t>
    <phoneticPr fontId="2" type="noConversion"/>
  </si>
  <si>
    <t>id #2</t>
    <phoneticPr fontId="2" type="noConversion"/>
  </si>
  <si>
    <t>read_out cmd #1</t>
    <phoneticPr fontId="2" type="noConversion"/>
  </si>
  <si>
    <t>id #1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</si>
  <si>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</si>
  <si>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</si>
  <si>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single write : size = 1</t>
    <phoneticPr fontId="2" type="noConversion"/>
  </si>
  <si>
    <t>reset</t>
    <phoneticPr fontId="2" type="noConversion"/>
  </si>
  <si>
    <t>nSCS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</si>
  <si>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</si>
  <si>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</si>
  <si>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</si>
  <si>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</si>
  <si>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SCLK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</si>
  <si>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</si>
  <si>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</si>
  <si>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</si>
  <si>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</si>
  <si>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MOSI</t>
    <phoneticPr fontId="2" type="noConversion"/>
  </si>
  <si>
    <t>dev#1 command</t>
    <phoneticPr fontId="2" type="noConversion"/>
  </si>
  <si>
    <t>dev#1 data</t>
    <phoneticPr fontId="2" type="noConversion"/>
  </si>
  <si>
    <t>dev#2 command</t>
  </si>
  <si>
    <t>dev#2 data</t>
  </si>
  <si>
    <t>dev#3 command</t>
  </si>
  <si>
    <t>dev#3 data</t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</si>
  <si>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</si>
  <si>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</si>
  <si>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</si>
  <si>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SCLKO1</t>
    <phoneticPr fontId="2" type="noConversion"/>
  </si>
  <si>
    <t>register data</t>
    <phoneticPr fontId="2" type="noConversion"/>
  </si>
  <si>
    <t>SDO1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</si>
  <si>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</si>
  <si>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</si>
  <si>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</si>
  <si>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SCLKO2</t>
    <phoneticPr fontId="2" type="noConversion"/>
  </si>
  <si>
    <t>ld_width = '01' 24-bit (pam 12-bit + pwm 12-bit)</t>
    <phoneticPr fontId="2" type="noConversion"/>
  </si>
  <si>
    <t>SDO2</t>
    <phoneticPr fontId="2" type="noConversion"/>
  </si>
  <si>
    <t>ld_width = '00' 16-bit</t>
    <phoneticPr fontId="2" type="noConversion"/>
  </si>
  <si>
    <t>burst write : size dev#1/2/3 = 1/4/2</t>
    <phoneticPr fontId="2" type="noConversion"/>
  </si>
  <si>
    <t>addr=0x2</t>
    <phoneticPr fontId="2" type="noConversion"/>
  </si>
  <si>
    <t>dev#1 cmd</t>
    <phoneticPr fontId="2" type="noConversion"/>
  </si>
  <si>
    <t>dev#1 data1</t>
    <phoneticPr fontId="2" type="noConversion"/>
  </si>
  <si>
    <t>dev#2 cmd</t>
    <phoneticPr fontId="2" type="noConversion"/>
  </si>
  <si>
    <t>dev#2 data1</t>
    <phoneticPr fontId="2" type="noConversion"/>
  </si>
  <si>
    <t>dev#2 data2</t>
    <phoneticPr fontId="2" type="noConversion"/>
  </si>
  <si>
    <t>dev#2 data3</t>
    <phoneticPr fontId="2" type="noConversion"/>
  </si>
  <si>
    <t>dev#2 data4</t>
    <phoneticPr fontId="2" type="noConversion"/>
  </si>
  <si>
    <t>dev#3 cmd</t>
    <phoneticPr fontId="2" type="noConversion"/>
  </si>
  <si>
    <t>dev#3 data1</t>
    <phoneticPr fontId="2" type="noConversion"/>
  </si>
  <si>
    <t>dev#3 data2</t>
    <phoneticPr fontId="2" type="noConversion"/>
  </si>
  <si>
    <t>addr=0x7</t>
    <phoneticPr fontId="2" type="noConversion"/>
  </si>
  <si>
    <t>addr=0x8</t>
  </si>
  <si>
    <t>addr=0x9</t>
  </si>
  <si>
    <t>addr=0x0A</t>
    <phoneticPr fontId="2" type="noConversion"/>
  </si>
  <si>
    <t>addr=0x05</t>
    <phoneticPr fontId="2" type="noConversion"/>
  </si>
  <si>
    <t>addr=0x06</t>
  </si>
  <si>
    <t>single read : size = 1</t>
    <phoneticPr fontId="2" type="noConversion"/>
  </si>
  <si>
    <t>don’t care</t>
    <phoneticPr fontId="2" type="noConversion"/>
  </si>
  <si>
    <t>MISO1</t>
    <phoneticPr fontId="2" type="noConversion"/>
  </si>
  <si>
    <t>MISO2</t>
    <phoneticPr fontId="2" type="noConversion"/>
  </si>
  <si>
    <t>dev#2 data</t>
    <phoneticPr fontId="2" type="noConversion"/>
  </si>
  <si>
    <t>MISO3</t>
    <phoneticPr fontId="2" type="noConversion"/>
  </si>
  <si>
    <t>burst read : size dev#1/2/3 = 1/4/2</t>
    <phoneticPr fontId="2" type="noConversion"/>
  </si>
  <si>
    <t>special write</t>
    <phoneticPr fontId="2" type="noConversion"/>
  </si>
  <si>
    <t>dev#1 special command</t>
    <phoneticPr fontId="2" type="noConversion"/>
  </si>
  <si>
    <t>dev#3 command</t>
    <phoneticPr fontId="2" type="noConversion"/>
  </si>
  <si>
    <t>ld burst size : n (where, n means the number of line to be transferred, n=1, 2, … , 63)</t>
    <phoneticPr fontId="2" type="noConversion"/>
  </si>
  <si>
    <t>ld transfer size : ch_size * (pam 12-bit + pwm 12-bit) * burst size n  @ld_width=00, 01, 10</t>
    <phoneticPr fontId="2" type="noConversion"/>
  </si>
  <si>
    <t>ch_size * (ld 16-bit) * burst size n  @ld_width=11</t>
    <phoneticPr fontId="2" type="noConversion"/>
  </si>
  <si>
    <t>ld1_ch1</t>
    <phoneticPr fontId="2" type="noConversion"/>
  </si>
  <si>
    <t>ld1_chx</t>
    <phoneticPr fontId="2" type="noConversion"/>
  </si>
  <si>
    <t>(x=1,2,…,24)</t>
    <phoneticPr fontId="2" type="noConversion"/>
  </si>
  <si>
    <t>FBI_PS = FBO_E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</si>
  <si>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</si>
  <si>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0x3FF</t>
    <phoneticPr fontId="2" type="noConversion"/>
  </si>
  <si>
    <t>SERIAL_LATENCY</t>
    <phoneticPr fontId="2" type="noConversion"/>
  </si>
  <si>
    <t>pwmclk</t>
    <phoneticPr fontId="2" type="noConversion"/>
  </si>
  <si>
    <t>pwm_out1</t>
    <phoneticPr fontId="2" type="noConversion"/>
  </si>
  <si>
    <t>pwm_out2</t>
    <phoneticPr fontId="2" type="noConversion"/>
  </si>
  <si>
    <t>FLL cnt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</si>
  <si>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</si>
  <si>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</si>
  <si>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</si>
  <si>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</si>
  <si>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EXT_VS_POL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</si>
  <si>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</si>
  <si>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</si>
  <si>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</si>
  <si>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</si>
  <si>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</si>
  <si>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</si>
  <si>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</si>
  <si>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</si>
  <si>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</si>
  <si>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</si>
  <si>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</si>
  <si>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</si>
  <si>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</si>
  <si>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</si>
  <si>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</si>
  <si>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</si>
  <si>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</si>
  <si>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</si>
  <si>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</si>
  <si>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</si>
  <si>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</si>
  <si>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</si>
  <si>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</si>
  <si>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</si>
  <si>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</si>
  <si>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</si>
  <si>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</si>
  <si>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</si>
  <si>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</si>
  <si>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</si>
  <si>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</si>
  <si>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</si>
  <si>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</si>
  <si>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</si>
  <si>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</si>
  <si>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</si>
  <si>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</si>
  <si>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</si>
  <si>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</si>
  <si>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</si>
  <si>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</si>
  <si>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</si>
  <si>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</si>
  <si>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</si>
  <si>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</si>
  <si>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</si>
  <si>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</si>
  <si>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</si>
  <si>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</si>
  <si>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</si>
  <si>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</si>
  <si>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</si>
  <si>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</si>
  <si>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</si>
  <si>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0x0408</t>
    <phoneticPr fontId="2" type="noConversion"/>
  </si>
  <si>
    <t>serial_clk_low [3:0]</t>
    <phoneticPr fontId="2" type="noConversion"/>
  </si>
  <si>
    <t>serial_clk_high [4:0]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</si>
  <si>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</si>
  <si>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</si>
  <si>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</si>
  <si>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</si>
  <si>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</si>
  <si>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</si>
  <si>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</si>
  <si>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</si>
  <si>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</si>
  <si>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</si>
  <si>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</si>
  <si>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</si>
  <si>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</si>
  <si>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</si>
  <si>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</si>
  <si>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</si>
  <si>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</si>
  <si>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</si>
  <si>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</si>
  <si>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</si>
  <si>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</si>
  <si>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</si>
  <si>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</si>
  <si>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</si>
  <si>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</si>
  <si>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</si>
  <si>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</si>
  <si>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</si>
  <si>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</si>
  <si>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</si>
  <si>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</si>
  <si>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</si>
  <si>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</si>
  <si>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</si>
  <si>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</si>
  <si>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</si>
  <si>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</si>
  <si>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</si>
  <si>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</si>
  <si>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</si>
  <si>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</si>
  <si>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</si>
  <si>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</si>
  <si>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</si>
  <si>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</si>
  <si>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</si>
  <si>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</si>
  <si>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</si>
  <si>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</si>
  <si>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</si>
  <si>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</si>
  <si>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</si>
  <si>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</si>
  <si>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</si>
  <si>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int_ld
(= nINT_LD
open-drain out)</t>
    <phoneticPr fontId="2" type="noConversion"/>
  </si>
  <si>
    <t>int_fault
(= nINT_FAULT
open-drain out)</t>
    <phoneticPr fontId="2" type="noConversion"/>
  </si>
  <si>
    <t>FB PWM PERIOD</t>
    <phoneticPr fontId="2" type="noConversion"/>
  </si>
  <si>
    <t>0x1A</t>
    <phoneticPr fontId="2" type="noConversion"/>
  </si>
  <si>
    <t>fb_pwm_en</t>
    <phoneticPr fontId="2" type="noConversion"/>
  </si>
  <si>
    <t>fb_pwm_polarity</t>
    <phoneticPr fontId="2" type="noConversion"/>
  </si>
  <si>
    <t>t_fb_en</t>
    <phoneticPr fontId="2" type="noConversion"/>
  </si>
  <si>
    <t>fb_pwm_period [10:0]</t>
    <phoneticPr fontId="2" type="noConversion"/>
  </si>
  <si>
    <t>FB PWM DUTY 1</t>
    <phoneticPr fontId="2" type="noConversion"/>
  </si>
  <si>
    <t>fb_pwm_duty_inc [8:0]</t>
    <phoneticPr fontId="2" type="noConversion"/>
  </si>
  <si>
    <t>FB PWM DUTY 2</t>
    <phoneticPr fontId="2" type="noConversion"/>
  </si>
  <si>
    <t>fb_pwm_duty_wait [3:0]</t>
    <phoneticPr fontId="2" type="noConversion"/>
  </si>
  <si>
    <t>fb_pwm_duty_dec [7:0]</t>
    <phoneticPr fontId="2" type="noConversion"/>
  </si>
  <si>
    <t>FB PWM DUTY 3</t>
  </si>
  <si>
    <t>fb_pwm_duty [10:0]</t>
    <phoneticPr fontId="2" type="noConversion"/>
  </si>
  <si>
    <t>COMMAND LATENCY</t>
    <phoneticPr fontId="2" type="noConversion"/>
  </si>
  <si>
    <t>0x001F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</si>
  <si>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</si>
  <si>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</si>
  <si>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</si>
  <si>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</si>
  <si>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</si>
  <si>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</si>
  <si>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</si>
  <si>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</si>
  <si>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</si>
  <si>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</si>
  <si>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</si>
  <si>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</si>
  <si>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</si>
  <si>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</si>
  <si>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</si>
  <si>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</si>
  <si>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</si>
  <si>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</si>
  <si>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</si>
  <si>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</si>
  <si>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</si>
  <si>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</si>
  <si>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</si>
  <si>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</si>
  <si>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</si>
  <si>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</si>
  <si>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</si>
  <si>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</si>
  <si>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</si>
  <si>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</si>
  <si>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</si>
  <si>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</si>
  <si>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</si>
  <si>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</si>
  <si>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LDO</t>
    <phoneticPr fontId="2" type="noConversion"/>
  </si>
  <si>
    <t>0x0008</t>
    <phoneticPr fontId="2" type="noConversion"/>
  </si>
  <si>
    <t>ldo [3:0]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</si>
  <si>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</si>
  <si>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</si>
  <si>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</si>
  <si>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</si>
  <si>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</si>
  <si>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</si>
  <si>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</si>
  <si>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</si>
  <si>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</si>
  <si>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</si>
  <si>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</si>
  <si>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</si>
  <si>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</si>
  <si>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</si>
  <si>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</si>
  <si>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</si>
  <si>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</si>
  <si>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</si>
  <si>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</si>
  <si>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</si>
  <si>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</si>
  <si>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</si>
  <si>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</si>
  <si>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</si>
  <si>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</si>
  <si>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</si>
  <si>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</si>
  <si>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</si>
  <si>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</si>
  <si>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</si>
  <si>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</si>
  <si>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</si>
  <si>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</si>
  <si>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</si>
  <si>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</si>
  <si>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</si>
  <si>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</si>
  <si>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</si>
  <si>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</si>
  <si>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</si>
  <si>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</si>
  <si>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</si>
  <si>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</si>
  <si>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</si>
  <si>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</si>
  <si>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</si>
  <si>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</si>
  <si>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</si>
  <si>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</si>
  <si>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</si>
  <si>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</si>
  <si>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</si>
  <si>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</si>
  <si>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</si>
  <si>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</si>
  <si>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</si>
  <si>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</si>
  <si>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</si>
  <si>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</si>
  <si>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</si>
  <si>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</si>
  <si>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</si>
  <si>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</si>
  <si>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</si>
  <si>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</si>
  <si>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</si>
  <si>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</si>
  <si>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</si>
  <si>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</si>
  <si>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</si>
  <si>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</si>
  <si>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</si>
  <si>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</si>
  <si>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</si>
  <si>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</si>
  <si>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</si>
  <si>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</si>
  <si>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</si>
  <si>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</si>
  <si>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</si>
  <si>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</si>
  <si>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</si>
  <si>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</si>
  <si>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</si>
  <si>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</si>
  <si>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</si>
  <si>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</si>
  <si>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</si>
  <si>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</si>
  <si>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</si>
  <si>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</si>
  <si>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</si>
  <si>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</si>
  <si>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</si>
  <si>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</si>
  <si>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</si>
  <si>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</si>
  <si>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</si>
  <si>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</si>
  <si>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</si>
  <si>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</si>
  <si>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</si>
  <si>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</si>
  <si>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</si>
  <si>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</si>
  <si>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</si>
  <si>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</si>
  <si>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</si>
  <si>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</si>
  <si>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</si>
  <si>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</si>
  <si>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</si>
  <si>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</si>
  <si>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</si>
  <si>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</si>
  <si>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</si>
  <si>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</si>
  <si>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</si>
  <si>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</si>
  <si>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</si>
  <si>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</si>
  <si>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</si>
  <si>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</si>
  <si>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</si>
  <si>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</si>
  <si>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</si>
  <si>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</si>
  <si>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</si>
  <si>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</si>
  <si>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</si>
  <si>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</si>
  <si>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</si>
  <si>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</si>
  <si>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</si>
  <si>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</si>
  <si>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</si>
  <si>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</si>
  <si>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</si>
  <si>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</si>
  <si>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</si>
  <si>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</si>
  <si>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</si>
  <si>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</si>
  <si>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</si>
  <si>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</si>
  <si>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</si>
  <si>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</si>
  <si>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</si>
  <si>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</si>
  <si>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</si>
  <si>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</si>
  <si>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</si>
  <si>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</si>
  <si>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</si>
  <si>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</si>
  <si>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</si>
  <si>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</si>
  <si>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</si>
  <si>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</si>
  <si>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</si>
  <si>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</si>
  <si>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</si>
  <si>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</si>
  <si>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</si>
  <si>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</si>
  <si>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</si>
  <si>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</si>
  <si>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</si>
  <si>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</si>
  <si>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</si>
  <si>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</si>
  <si>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</si>
  <si>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</si>
  <si>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</si>
  <si>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</si>
  <si>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</si>
  <si>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</si>
  <si>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</si>
  <si>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</si>
  <si>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</si>
  <si>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</si>
  <si>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</si>
  <si>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</si>
  <si>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</si>
  <si>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</si>
  <si>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</si>
  <si>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</si>
  <si>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</si>
  <si>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</si>
  <si>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</si>
  <si>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</si>
  <si>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</si>
  <si>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</si>
  <si>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</si>
  <si>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</si>
  <si>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</si>
  <si>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</si>
  <si>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</si>
  <si>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</si>
  <si>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</si>
  <si>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</si>
  <si>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</si>
  <si>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</si>
  <si>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</si>
  <si>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</si>
  <si>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</si>
  <si>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</si>
  <si>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</si>
  <si>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</si>
  <si>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</si>
  <si>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</si>
  <si>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</si>
  <si>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</si>
  <si>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</si>
  <si>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</si>
  <si>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</si>
  <si>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</si>
  <si>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</si>
  <si>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</si>
  <si>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</si>
  <si>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</si>
  <si>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</si>
  <si>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</si>
  <si>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</si>
  <si>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</si>
  <si>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</si>
  <si>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</si>
  <si>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</si>
  <si>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</si>
  <si>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</si>
  <si>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</si>
  <si>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</si>
  <si>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</si>
  <si>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</si>
  <si>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</si>
  <si>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</si>
  <si>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</si>
  <si>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</si>
  <si>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</si>
  <si>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</si>
  <si>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</si>
  <si>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</si>
  <si>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</si>
  <si>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</si>
  <si>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</si>
  <si>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</si>
  <si>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</si>
  <si>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</si>
  <si>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</si>
  <si>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</si>
  <si>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</si>
  <si>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</si>
  <si>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</si>
  <si>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</si>
  <si>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</si>
  <si>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</si>
  <si>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</si>
  <si>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</si>
  <si>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</si>
  <si>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</si>
  <si>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</si>
  <si>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</si>
  <si>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</si>
  <si>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</si>
  <si>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</si>
  <si>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</si>
  <si>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</si>
  <si>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</si>
  <si>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</si>
  <si>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</si>
  <si>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</si>
  <si>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</si>
  <si>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</si>
  <si>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</si>
  <si>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</si>
  <si>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</si>
  <si>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</si>
  <si>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</si>
  <si>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</si>
  <si>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</si>
  <si>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</si>
  <si>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</si>
  <si>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</si>
  <si>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</si>
  <si>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</si>
  <si>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</si>
  <si>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</si>
  <si>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</si>
  <si>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</si>
  <si>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</si>
  <si>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</si>
  <si>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</si>
  <si>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</si>
  <si>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</si>
  <si>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</si>
  <si>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</si>
  <si>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</si>
  <si>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</si>
  <si>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</si>
  <si>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</si>
  <si>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</si>
  <si>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</si>
  <si>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</si>
  <si>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</si>
  <si>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</si>
  <si>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</si>
  <si>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</si>
  <si>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</si>
  <si>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</si>
  <si>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</si>
  <si>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</si>
  <si>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</si>
  <si>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</si>
  <si>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</si>
  <si>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</si>
  <si>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</si>
  <si>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</si>
  <si>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</si>
  <si>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</si>
  <si>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</si>
  <si>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</si>
  <si>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</si>
  <si>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</si>
  <si>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</si>
  <si>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</si>
  <si>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</si>
  <si>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</si>
  <si>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</si>
  <si>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</si>
  <si>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</si>
  <si>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</si>
  <si>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</si>
  <si>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</si>
  <si>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</si>
  <si>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</si>
  <si>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</si>
  <si>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</si>
  <si>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</si>
  <si>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</si>
  <si>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</si>
  <si>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</si>
  <si>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</si>
  <si>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</si>
  <si>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</si>
  <si>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</si>
  <si>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</si>
  <si>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</si>
  <si>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</si>
  <si>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</si>
  <si>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</si>
  <si>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</si>
  <si>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</si>
  <si>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</si>
  <si>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</si>
  <si>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</si>
  <si>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</si>
  <si>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</si>
  <si>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</si>
  <si>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</si>
  <si>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</si>
  <si>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</si>
  <si>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</si>
  <si>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</si>
  <si>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</si>
  <si>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</si>
  <si>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</si>
  <si>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</si>
  <si>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</si>
  <si>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</si>
  <si>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</si>
  <si>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</si>
  <si>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</si>
  <si>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</si>
  <si>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</si>
  <si>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</si>
  <si>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</si>
  <si>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</si>
  <si>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</si>
  <si>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</si>
  <si>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</si>
  <si>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</si>
  <si>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</si>
  <si>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</si>
  <si>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</si>
  <si>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</si>
  <si>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</si>
  <si>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</si>
  <si>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</si>
  <si>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</si>
  <si>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</si>
  <si>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</si>
  <si>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</si>
  <si>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</si>
  <si>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</si>
  <si>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</si>
  <si>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</si>
  <si>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</si>
  <si>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</si>
  <si>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</si>
  <si>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</si>
  <si>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</si>
  <si>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</si>
  <si>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</si>
  <si>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</si>
  <si>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</si>
  <si>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</si>
  <si>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</si>
  <si>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</si>
  <si>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</si>
  <si>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</si>
  <si>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</si>
  <si>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</si>
  <si>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</si>
  <si>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</si>
  <si>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</si>
  <si>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Sub frame #</t>
    <phoneticPr fontId="2" type="noConversion"/>
  </si>
  <si>
    <t>STEP #</t>
    <phoneticPr fontId="2" type="noConversion"/>
  </si>
  <si>
    <t>[bit]</t>
    <phoneticPr fontId="2" type="noConversion"/>
  </si>
  <si>
    <t>value</t>
    <phoneticPr fontId="2" type="noConversion"/>
  </si>
  <si>
    <t>[ea]</t>
    <phoneticPr fontId="2" type="noConversion"/>
  </si>
  <si>
    <t>LD width[15:0]</t>
    <phoneticPr fontId="2" type="noConversion"/>
  </si>
  <si>
    <t>xc mhz</t>
    <phoneticPr fontId="2" type="noConversion"/>
  </si>
  <si>
    <t>xd mhz</t>
    <phoneticPr fontId="2" type="noConversion"/>
  </si>
  <si>
    <t>Max 1-bit length=(SCLK_HIGH+SCLK_LOW)=127</t>
    <phoneticPr fontId="2" type="noConversion"/>
  </si>
  <si>
    <t>SCAN_NO[2:0]</t>
    <phoneticPr fontId="2" type="noConversion"/>
  </si>
  <si>
    <t>0x318</t>
    <phoneticPr fontId="2" type="noConversion"/>
  </si>
  <si>
    <t>LD_DIR : '0' Head Lighting, '1' Tail Lighting
PWM_RES : '0' 12-bit, '1' 14-bit
SCAN_NO : '0'=1, '1'=2, '2'=4, '3'=8, '4'=16, '5'=32
EXT_VS_E : '0' sync command, '1' external vsync
EXT_VS_POL : '0' rising edge,  '1' falling edge
OVER_TO_E : pwmclk free-running, '0' not over, '1' over turn-on
CH_SIZE : the number of LD DATA to be received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</si>
  <si>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</si>
  <si>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</si>
  <si>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</si>
  <si>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</si>
  <si>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</si>
  <si>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0x050</t>
    <phoneticPr fontId="2" type="noConversion"/>
  </si>
  <si>
    <t>if the bit high or low length goes over this value,
then the decoder state goes to the idle (for noise pulse or cycle end)</t>
    <phoneticPr fontId="2" type="noConversion"/>
  </si>
  <si>
    <t>0x84F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</si>
  <si>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</si>
  <si>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</si>
  <si>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CHIP_ID1</t>
    <phoneticPr fontId="2" type="noConversion"/>
  </si>
  <si>
    <t>CHIP_ID2</t>
    <phoneticPr fontId="2" type="noConversion"/>
  </si>
  <si>
    <t>RUN_NO]11:0]</t>
    <phoneticPr fontId="2" type="noConversion"/>
  </si>
  <si>
    <t>WAFER_NO[1:0]</t>
    <phoneticPr fontId="2" type="noConversion"/>
  </si>
  <si>
    <t>DIE_COORDINATION[5:0]</t>
    <phoneticPr fontId="2" type="noConversion"/>
  </si>
  <si>
    <r>
      <t xml:space="preserve">SERIAL_LATENCY [6:0] </t>
    </r>
    <r>
      <rPr>
        <sz val="10"/>
        <color rgb="FFFF00FF"/>
        <rFont val="맑은 고딕"/>
        <family val="3"/>
        <charset val="129"/>
        <scheme val="minor"/>
      </rPr>
      <t>default= 80ea mclk &gt; sclk_high</t>
    </r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</si>
  <si>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0"/>
        <rFont val="맑은 고딕"/>
        <family val="3"/>
        <charset val="129"/>
        <scheme val="minor"/>
      </rPr>
      <t>(</t>
    </r>
    <r>
      <rPr>
        <sz val="10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0"/>
        <rFont val="맑은 고딕"/>
        <family val="3"/>
        <charset val="129"/>
        <scheme val="minor"/>
      </rPr>
      <t>)</t>
    </r>
    <r>
      <rPr>
        <sz val="10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0"/>
        <rFont val="맑은 고딕"/>
        <family val="3"/>
        <charset val="129"/>
        <scheme val="minor"/>
      </rPr>
      <t>(</t>
    </r>
    <r>
      <rPr>
        <sz val="10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0"/>
        <rFont val="맑은 고딕"/>
        <family val="3"/>
        <charset val="129"/>
        <scheme val="minor"/>
      </rPr>
      <t xml:space="preserve"> )
</t>
    </r>
    <r>
      <rPr>
        <sz val="10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</si>
  <si>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0"/>
        <rFont val="맑은 고딕"/>
        <family val="3"/>
        <charset val="129"/>
        <scheme val="minor"/>
      </rPr>
      <t>FB_ALL</t>
    </r>
    <r>
      <rPr>
        <sz val="10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0"/>
        <rFont val="맑은 고딕"/>
        <family val="3"/>
        <charset val="129"/>
        <scheme val="minor"/>
      </rPr>
      <t>OPEN_AL</t>
    </r>
    <r>
      <rPr>
        <sz val="10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0"/>
        <rFont val="맑은 고딕"/>
        <family val="3"/>
        <charset val="129"/>
        <scheme val="minor"/>
      </rPr>
      <t>SHORT_ALL</t>
    </r>
    <r>
      <rPr>
        <sz val="10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0"/>
        <rFont val="맑은 고딕"/>
        <family val="3"/>
        <charset val="129"/>
        <scheme val="minor"/>
      </rPr>
      <t>THERMAL</t>
    </r>
    <r>
      <rPr>
        <sz val="10"/>
        <rFont val="맑은 고딕"/>
        <family val="3"/>
        <charset val="129"/>
        <scheme val="minor"/>
      </rPr>
      <t xml:space="preserve"> = THERMAL_IN</t>
    </r>
    <phoneticPr fontId="2" type="noConversion"/>
  </si>
  <si>
    <t>OTP_PG_ACC_CYCLE [11:0] (default : decimal 1023)</t>
    <phoneticPr fontId="2" type="noConversion"/>
  </si>
  <si>
    <t>ooo</t>
    <phoneticPr fontId="2" type="noConversion"/>
  </si>
  <si>
    <t>0x27</t>
    <phoneticPr fontId="2" type="noConversion"/>
  </si>
  <si>
    <t>0x28</t>
    <phoneticPr fontId="2" type="noConversion"/>
  </si>
  <si>
    <r>
      <t xml:space="preserve">TEST_EN=1 &amp;&amp;
① MCLK_O=1 : mclk/32 clk out to DDIO pin#15
② PWM_FULL_O=1 : </t>
    </r>
    <r>
      <rPr>
        <sz val="10"/>
        <rFont val="맑은 고딕"/>
        <family val="3"/>
        <charset val="129"/>
      </rPr>
      <t>PWM_OUT_CHx=1 (@CHx_EN=1)
        driving a high-active level to a analog part</t>
    </r>
    <r>
      <rPr>
        <sz val="10"/>
        <rFont val="맑은 고딕"/>
        <family val="3"/>
        <charset val="129"/>
        <scheme val="minor"/>
      </rPr>
      <t xml:space="preserve">
③ VREF_O=1 : MAX_CURR_VREF [11:0] reg
        always out regardless of a vsync
TEST_EN=1, </t>
    </r>
    <r>
      <rPr>
        <sz val="10"/>
        <color rgb="FFFF00FF"/>
        <rFont val="맑은 고딕"/>
        <family val="3"/>
        <charset val="129"/>
        <scheme val="minor"/>
      </rPr>
      <t>then stop OTP downloaing</t>
    </r>
    <r>
      <rPr>
        <sz val="10"/>
        <rFont val="맑은 고딕"/>
        <family val="3"/>
        <charset val="129"/>
        <scheme val="minor"/>
      </rPr>
      <t xml:space="preserve">
ADDR_EXT : 0x3F~0x3E (</t>
    </r>
    <r>
      <rPr>
        <u/>
        <sz val="10"/>
        <rFont val="맑은 고딕"/>
        <family val="3"/>
        <charset val="129"/>
        <scheme val="minor"/>
      </rPr>
      <t>common accessible</t>
    </r>
    <r>
      <rPr>
        <sz val="10"/>
        <rFont val="맑은 고딕"/>
        <family val="3"/>
        <charset val="129"/>
        <scheme val="minor"/>
      </rPr>
      <t xml:space="preserve">)
'0' general reg addr accessible
'1' otp address accesible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</si>
</sst>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000"/>
    <numFmt numFmtId="184" formatCode="0_);[Red]\(0\)"/>
    <numFmt numFmtId="185" formatCode="0.00_);[Red]\(0.00\)"/>
  </numFmts>
  <fonts count="4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rial"/>
      <family val="2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8" tint="0.59999389629810485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u/>
      <sz val="1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8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11" fontId="0" fillId="0" borderId="0" xfId="0" quotePrefix="1" applyNumberFormat="1" applyAlignment="1">
      <alignment horizontal="right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1" fontId="0" fillId="5" borderId="0" xfId="0" quotePrefix="1" applyNumberFormat="1" applyFill="1" applyAlignment="1">
      <alignment horizontal="right"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11" fontId="0" fillId="6" borderId="0" xfId="0" quotePrefix="1" applyNumberFormat="1" applyFill="1" applyAlignment="1">
      <alignment horizontal="right" vertical="center"/>
    </xf>
    <xf numFmtId="0" fontId="0" fillId="6" borderId="0" xfId="0" applyFill="1">
      <alignment vertical="center"/>
    </xf>
    <xf numFmtId="178" fontId="0" fillId="6" borderId="0" xfId="0" applyNumberFormat="1" applyFill="1">
      <alignment vertical="center"/>
    </xf>
    <xf numFmtId="11" fontId="0" fillId="7" borderId="0" xfId="0" quotePrefix="1" applyNumberFormat="1" applyFill="1" applyAlignment="1">
      <alignment horizontal="right" vertical="center"/>
    </xf>
    <xf numFmtId="0" fontId="0" fillId="7" borderId="0" xfId="0" applyFill="1">
      <alignment vertical="center"/>
    </xf>
    <xf numFmtId="178" fontId="0" fillId="7" borderId="0" xfId="0" applyNumberFormat="1" applyFill="1">
      <alignment vertical="center"/>
    </xf>
    <xf numFmtId="11" fontId="0" fillId="8" borderId="0" xfId="0" quotePrefix="1" applyNumberFormat="1" applyFill="1" applyAlignment="1">
      <alignment horizontal="right" vertical="center"/>
    </xf>
    <xf numFmtId="0" fontId="0" fillId="8" borderId="0" xfId="0" applyFill="1">
      <alignment vertical="center"/>
    </xf>
    <xf numFmtId="178" fontId="0" fillId="8" borderId="0" xfId="0" applyNumberForma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9" borderId="16" xfId="0" applyFill="1" applyBorder="1">
      <alignment vertical="center"/>
    </xf>
    <xf numFmtId="0" fontId="0" fillId="9" borderId="17" xfId="0" applyFill="1" applyBorder="1">
      <alignment vertical="center"/>
    </xf>
    <xf numFmtId="0" fontId="0" fillId="0" borderId="18" xfId="0" applyBorder="1">
      <alignment vertical="center"/>
    </xf>
    <xf numFmtId="0" fontId="0" fillId="10" borderId="16" xfId="0" applyFill="1" applyBorder="1">
      <alignment vertical="center"/>
    </xf>
    <xf numFmtId="0" fontId="0" fillId="10" borderId="17" xfId="0" applyFill="1" applyBorder="1">
      <alignment vertical="center"/>
    </xf>
    <xf numFmtId="0" fontId="0" fillId="11" borderId="16" xfId="0" applyFill="1" applyBorder="1">
      <alignment vertical="center"/>
    </xf>
    <xf numFmtId="0" fontId="0" fillId="11" borderId="17" xfId="0" applyFill="1" applyBorder="1">
      <alignment vertical="center"/>
    </xf>
    <xf numFmtId="0" fontId="0" fillId="0" borderId="19" xfId="0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12" borderId="15" xfId="0" applyFill="1" applyBorder="1" applyAlignment="1">
      <alignment horizontal="right" vertical="center"/>
    </xf>
    <xf numFmtId="0" fontId="0" fillId="12" borderId="16" xfId="0" applyFill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12" borderId="17" xfId="0" applyFill="1" applyBorder="1" applyAlignment="1">
      <alignment horizontal="right" vertical="center"/>
    </xf>
    <xf numFmtId="0" fontId="0" fillId="11" borderId="15" xfId="0" applyFill="1" applyBorder="1" applyAlignment="1">
      <alignment horizontal="right" vertical="center"/>
    </xf>
    <xf numFmtId="0" fontId="0" fillId="11" borderId="16" xfId="0" applyFill="1" applyBorder="1" applyAlignment="1">
      <alignment horizontal="right" vertical="center"/>
    </xf>
    <xf numFmtId="0" fontId="0" fillId="12" borderId="16" xfId="0" applyFill="1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4" fillId="12" borderId="16" xfId="0" applyFont="1" applyFill="1" applyBorder="1" applyAlignment="1">
      <alignment horizontal="left" vertical="center"/>
    </xf>
    <xf numFmtId="0" fontId="0" fillId="11" borderId="16" xfId="0" applyFill="1" applyBorder="1" applyAlignment="1">
      <alignment horizontal="left" vertical="center"/>
    </xf>
    <xf numFmtId="0" fontId="4" fillId="11" borderId="16" xfId="0" applyFont="1" applyFill="1" applyBorder="1" applyAlignment="1">
      <alignment horizontal="left" vertical="center"/>
    </xf>
    <xf numFmtId="0" fontId="0" fillId="0" borderId="27" xfId="0" applyBorder="1" applyAlignment="1">
      <alignment horizontal="right" vertical="center"/>
    </xf>
    <xf numFmtId="0" fontId="0" fillId="12" borderId="27" xfId="0" applyFill="1" applyBorder="1" applyAlignment="1">
      <alignment horizontal="right" vertical="center"/>
    </xf>
    <xf numFmtId="0" fontId="0" fillId="11" borderId="27" xfId="0" applyFill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12" borderId="15" xfId="0" applyFill="1" applyBorder="1" applyAlignment="1">
      <alignment horizontal="left" vertical="center"/>
    </xf>
    <xf numFmtId="0" fontId="0" fillId="12" borderId="30" xfId="0" applyFill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0" borderId="35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36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2" borderId="43" xfId="0" applyFill="1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8" fillId="2" borderId="0" xfId="0" applyFont="1" applyFill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3" fontId="0" fillId="0" borderId="0" xfId="0" applyNumberFormat="1" applyAlignment="1">
      <alignment horizontal="right" vertical="center"/>
    </xf>
    <xf numFmtId="0" fontId="0" fillId="13" borderId="0" xfId="0" applyFill="1">
      <alignment vertical="center"/>
    </xf>
    <xf numFmtId="180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79" fontId="8" fillId="0" borderId="0" xfId="0" applyNumberFormat="1" applyFont="1">
      <alignment vertical="center"/>
    </xf>
    <xf numFmtId="0" fontId="8" fillId="0" borderId="0" xfId="0" applyFont="1">
      <alignment vertical="center"/>
    </xf>
    <xf numFmtId="181" fontId="8" fillId="0" borderId="0" xfId="0" applyNumberFormat="1" applyFont="1">
      <alignment vertical="center"/>
    </xf>
    <xf numFmtId="0" fontId="8" fillId="6" borderId="0" xfId="0" applyFont="1" applyFill="1">
      <alignment vertical="center"/>
    </xf>
    <xf numFmtId="0" fontId="8" fillId="3" borderId="0" xfId="0" applyFont="1" applyFill="1">
      <alignment vertical="center"/>
    </xf>
    <xf numFmtId="180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182" fontId="8" fillId="0" borderId="0" xfId="0" applyNumberFormat="1" applyFont="1">
      <alignment vertical="center"/>
    </xf>
    <xf numFmtId="0" fontId="13" fillId="0" borderId="0" xfId="0" applyFont="1">
      <alignment vertical="center"/>
    </xf>
    <xf numFmtId="0" fontId="13" fillId="2" borderId="0" xfId="0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179" fontId="12" fillId="0" borderId="0" xfId="0" applyNumberFormat="1" applyFont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6" borderId="0" xfId="0" applyFont="1" applyFill="1">
      <alignment vertical="center"/>
    </xf>
    <xf numFmtId="10" fontId="12" fillId="0" borderId="0" xfId="0" applyNumberFormat="1" applyFont="1" applyAlignment="1">
      <alignment horizontal="left" vertical="center"/>
    </xf>
    <xf numFmtId="0" fontId="12" fillId="3" borderId="0" xfId="0" applyFont="1" applyFill="1">
      <alignment vertical="center"/>
    </xf>
    <xf numFmtId="180" fontId="12" fillId="2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179" fontId="14" fillId="0" borderId="0" xfId="0" applyNumberFormat="1" applyFont="1">
      <alignment vertical="center"/>
    </xf>
    <xf numFmtId="0" fontId="14" fillId="0" borderId="0" xfId="0" applyFont="1">
      <alignment vertical="center"/>
    </xf>
    <xf numFmtId="181" fontId="14" fillId="0" borderId="0" xfId="0" applyNumberFormat="1" applyFont="1">
      <alignment vertical="center"/>
    </xf>
    <xf numFmtId="0" fontId="14" fillId="6" borderId="0" xfId="0" applyFont="1" applyFill="1">
      <alignment vertical="center"/>
    </xf>
    <xf numFmtId="0" fontId="14" fillId="3" borderId="0" xfId="0" applyFont="1" applyFill="1">
      <alignment vertical="center"/>
    </xf>
    <xf numFmtId="180" fontId="14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182" fontId="14" fillId="0" borderId="0" xfId="0" applyNumberFormat="1" applyFont="1">
      <alignment vertical="center"/>
    </xf>
    <xf numFmtId="0" fontId="0" fillId="6" borderId="0" xfId="0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80" fontId="12" fillId="0" borderId="0" xfId="0" applyNumberFormat="1" applyFont="1" applyAlignment="1">
      <alignment horizontal="right" vertical="center"/>
    </xf>
    <xf numFmtId="179" fontId="12" fillId="0" borderId="0" xfId="0" applyNumberFormat="1" applyFont="1" applyAlignment="1">
      <alignment horizontal="right" vertical="center"/>
    </xf>
    <xf numFmtId="176" fontId="12" fillId="2" borderId="0" xfId="0" applyNumberFormat="1" applyFont="1" applyFill="1" applyAlignment="1">
      <alignment horizontal="right" vertical="center"/>
    </xf>
    <xf numFmtId="177" fontId="12" fillId="2" borderId="0" xfId="0" applyNumberFormat="1" applyFont="1" applyFill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13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right" vertical="center"/>
    </xf>
    <xf numFmtId="182" fontId="12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179" fontId="14" fillId="0" borderId="0" xfId="0" applyNumberFormat="1" applyFont="1" applyAlignment="1">
      <alignment horizontal="right" vertical="center"/>
    </xf>
    <xf numFmtId="179" fontId="12" fillId="3" borderId="0" xfId="0" applyNumberFormat="1" applyFont="1" applyFill="1" applyAlignment="1">
      <alignment horizontal="right" vertical="center"/>
    </xf>
    <xf numFmtId="179" fontId="14" fillId="3" borderId="0" xfId="0" applyNumberFormat="1" applyFont="1" applyFill="1" applyAlignment="1">
      <alignment horizontal="right" vertical="center"/>
    </xf>
    <xf numFmtId="180" fontId="14" fillId="0" borderId="0" xfId="0" applyNumberFormat="1" applyFont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180" fontId="12" fillId="0" borderId="0" xfId="0" applyNumberFormat="1" applyFont="1">
      <alignment vertical="center"/>
    </xf>
    <xf numFmtId="182" fontId="12" fillId="0" borderId="0" xfId="0" applyNumberFormat="1" applyFont="1">
      <alignment vertical="center"/>
    </xf>
    <xf numFmtId="0" fontId="12" fillId="2" borderId="45" xfId="0" applyFont="1" applyFill="1" applyBorder="1">
      <alignment vertical="center"/>
    </xf>
    <xf numFmtId="0" fontId="12" fillId="2" borderId="25" xfId="0" applyFont="1" applyFill="1" applyBorder="1">
      <alignment vertical="center"/>
    </xf>
    <xf numFmtId="0" fontId="12" fillId="2" borderId="47" xfId="0" applyFont="1" applyFill="1" applyBorder="1">
      <alignment vertical="center"/>
    </xf>
    <xf numFmtId="179" fontId="12" fillId="0" borderId="48" xfId="0" applyNumberFormat="1" applyFont="1" applyBorder="1">
      <alignment vertical="center"/>
    </xf>
    <xf numFmtId="179" fontId="12" fillId="0" borderId="29" xfId="0" applyNumberFormat="1" applyFont="1" applyBorder="1">
      <alignment vertical="center"/>
    </xf>
    <xf numFmtId="0" fontId="12" fillId="6" borderId="48" xfId="0" applyFont="1" applyFill="1" applyBorder="1" applyAlignment="1">
      <alignment horizontal="right" vertical="center"/>
    </xf>
    <xf numFmtId="0" fontId="12" fillId="6" borderId="29" xfId="0" applyFont="1" applyFill="1" applyBorder="1">
      <alignment vertical="center"/>
    </xf>
    <xf numFmtId="0" fontId="12" fillId="0" borderId="48" xfId="0" applyFont="1" applyBorder="1">
      <alignment vertical="center"/>
    </xf>
    <xf numFmtId="0" fontId="12" fillId="0" borderId="29" xfId="0" applyFont="1" applyBorder="1">
      <alignment vertical="center"/>
    </xf>
    <xf numFmtId="181" fontId="12" fillId="0" borderId="48" xfId="0" applyNumberFormat="1" applyFont="1" applyBorder="1">
      <alignment vertical="center"/>
    </xf>
    <xf numFmtId="181" fontId="12" fillId="0" borderId="29" xfId="0" applyNumberFormat="1" applyFont="1" applyBorder="1">
      <alignment vertical="center"/>
    </xf>
    <xf numFmtId="0" fontId="12" fillId="6" borderId="48" xfId="0" applyFont="1" applyFill="1" applyBorder="1">
      <alignment vertical="center"/>
    </xf>
    <xf numFmtId="0" fontId="12" fillId="3" borderId="48" xfId="0" applyFont="1" applyFill="1" applyBorder="1">
      <alignment vertical="center"/>
    </xf>
    <xf numFmtId="0" fontId="12" fillId="3" borderId="29" xfId="0" applyFont="1" applyFill="1" applyBorder="1">
      <alignment vertical="center"/>
    </xf>
    <xf numFmtId="180" fontId="12" fillId="0" borderId="48" xfId="0" applyNumberFormat="1" applyFont="1" applyBorder="1">
      <alignment vertical="center"/>
    </xf>
    <xf numFmtId="180" fontId="0" fillId="0" borderId="29" xfId="0" applyNumberFormat="1" applyBorder="1">
      <alignment vertical="center"/>
    </xf>
    <xf numFmtId="0" fontId="12" fillId="0" borderId="48" xfId="0" applyFont="1" applyBorder="1" applyAlignment="1">
      <alignment horizontal="right" vertical="center"/>
    </xf>
    <xf numFmtId="0" fontId="12" fillId="0" borderId="29" xfId="0" applyFont="1" applyBorder="1" applyAlignment="1">
      <alignment horizontal="right" vertical="center"/>
    </xf>
    <xf numFmtId="182" fontId="12" fillId="0" borderId="48" xfId="0" applyNumberFormat="1" applyFont="1" applyBorder="1">
      <alignment vertical="center"/>
    </xf>
    <xf numFmtId="182" fontId="12" fillId="0" borderId="29" xfId="0" applyNumberFormat="1" applyFont="1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24" xfId="0" applyBorder="1">
      <alignment vertical="center"/>
    </xf>
    <xf numFmtId="180" fontId="0" fillId="0" borderId="48" xfId="0" applyNumberFormat="1" applyBorder="1">
      <alignment vertical="center"/>
    </xf>
    <xf numFmtId="0" fontId="12" fillId="0" borderId="0" xfId="0" applyFont="1" applyAlignment="1">
      <alignment horizontal="center" vertical="center"/>
    </xf>
    <xf numFmtId="0" fontId="12" fillId="14" borderId="0" xfId="0" applyFont="1" applyFill="1">
      <alignment vertical="center"/>
    </xf>
    <xf numFmtId="0" fontId="12" fillId="14" borderId="0" xfId="0" applyFont="1" applyFill="1" applyAlignment="1">
      <alignment horizontal="center" vertical="center"/>
    </xf>
    <xf numFmtId="0" fontId="12" fillId="4" borderId="50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50" xfId="0" applyBorder="1">
      <alignment vertical="center"/>
    </xf>
    <xf numFmtId="0" fontId="0" fillId="2" borderId="50" xfId="0" applyFill="1" applyBorder="1" applyAlignment="1">
      <alignment horizontal="left" vertical="center"/>
    </xf>
    <xf numFmtId="0" fontId="18" fillId="0" borderId="0" xfId="0" applyFont="1">
      <alignment vertical="center"/>
    </xf>
    <xf numFmtId="0" fontId="0" fillId="2" borderId="2" xfId="0" applyFill="1" applyBorder="1" applyAlignment="1">
      <alignment vertical="center" wrapText="1"/>
    </xf>
    <xf numFmtId="0" fontId="25" fillId="0" borderId="0" xfId="0" applyFo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26" fillId="2" borderId="0" xfId="0" applyFont="1" applyFill="1" applyAlignment="1">
      <alignment horizontal="right" vertical="center"/>
    </xf>
    <xf numFmtId="0" fontId="0" fillId="2" borderId="62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2" borderId="51" xfId="0" applyFill="1" applyBorder="1">
      <alignment vertical="center"/>
    </xf>
    <xf numFmtId="0" fontId="0" fillId="2" borderId="52" xfId="0" applyFill="1" applyBorder="1">
      <alignment vertical="center"/>
    </xf>
    <xf numFmtId="0" fontId="0" fillId="7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/>
    </xf>
    <xf numFmtId="0" fontId="18" fillId="6" borderId="50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5" fillId="2" borderId="52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25" fillId="0" borderId="4" xfId="0" applyFont="1" applyBorder="1">
      <alignment vertical="center"/>
    </xf>
    <xf numFmtId="0" fontId="25" fillId="5" borderId="50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9" fillId="7" borderId="50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32" fillId="0" borderId="5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0" fillId="0" borderId="0" xfId="0" applyAlignment="1"/>
    <xf numFmtId="0" fontId="32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/>
    <xf numFmtId="0" fontId="32" fillId="0" borderId="0" xfId="0" applyFont="1" applyAlignment="1"/>
    <xf numFmtId="0" fontId="32" fillId="0" borderId="0" xfId="0" applyFont="1">
      <alignment vertical="center"/>
    </xf>
    <xf numFmtId="0" fontId="28" fillId="0" borderId="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28" fillId="0" borderId="4" xfId="0" applyFont="1" applyBorder="1" applyAlignment="1"/>
    <xf numFmtId="0" fontId="28" fillId="0" borderId="0" xfId="0" applyFont="1" applyAlignment="1">
      <alignment horizontal="center"/>
    </xf>
    <xf numFmtId="0" fontId="33" fillId="5" borderId="51" xfId="0" applyFont="1" applyFill="1" applyBorder="1">
      <alignment vertical="center"/>
    </xf>
    <xf numFmtId="0" fontId="34" fillId="5" borderId="52" xfId="0" applyFont="1" applyFill="1" applyBorder="1">
      <alignment vertical="center"/>
    </xf>
    <xf numFmtId="0" fontId="33" fillId="6" borderId="51" xfId="0" applyFont="1" applyFill="1" applyBorder="1">
      <alignment vertical="center"/>
    </xf>
    <xf numFmtId="0" fontId="34" fillId="6" borderId="52" xfId="0" applyFont="1" applyFill="1" applyBorder="1">
      <alignment vertical="center"/>
    </xf>
    <xf numFmtId="0" fontId="33" fillId="8" borderId="51" xfId="0" applyFont="1" applyFill="1" applyBorder="1">
      <alignment vertical="center"/>
    </xf>
    <xf numFmtId="0" fontId="34" fillId="8" borderId="52" xfId="0" applyFont="1" applyFill="1" applyBorder="1">
      <alignment vertical="center"/>
    </xf>
    <xf numFmtId="0" fontId="33" fillId="0" borderId="0" xfId="0" applyFont="1" applyAlignment="1">
      <alignment horizontal="right"/>
    </xf>
    <xf numFmtId="0" fontId="33" fillId="0" borderId="0" xfId="0" applyFont="1" applyAlignment="1"/>
    <xf numFmtId="0" fontId="33" fillId="0" borderId="0" xfId="0" applyFont="1" applyAlignment="1">
      <alignment horizontal="right" vertical="top"/>
    </xf>
    <xf numFmtId="0" fontId="33" fillId="0" borderId="0" xfId="0" applyFont="1" applyAlignment="1">
      <alignment horizontal="left" vertical="top"/>
    </xf>
    <xf numFmtId="0" fontId="0" fillId="0" borderId="51" xfId="0" applyBorder="1">
      <alignment vertical="center"/>
    </xf>
    <xf numFmtId="0" fontId="0" fillId="0" borderId="73" xfId="0" applyBorder="1">
      <alignment vertical="center"/>
    </xf>
    <xf numFmtId="0" fontId="0" fillId="0" borderId="74" xfId="0" applyBorder="1">
      <alignment vertical="center"/>
    </xf>
    <xf numFmtId="0" fontId="0" fillId="0" borderId="75" xfId="0" applyBorder="1">
      <alignment vertical="center"/>
    </xf>
    <xf numFmtId="0" fontId="35" fillId="6" borderId="9" xfId="0" applyFont="1" applyFill="1" applyBorder="1">
      <alignment vertical="center"/>
    </xf>
    <xf numFmtId="0" fontId="35" fillId="6" borderId="52" xfId="0" applyFont="1" applyFill="1" applyBorder="1">
      <alignment vertical="center"/>
    </xf>
    <xf numFmtId="0" fontId="0" fillId="5" borderId="51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52" xfId="0" applyFill="1" applyBorder="1">
      <alignment vertical="center"/>
    </xf>
    <xf numFmtId="0" fontId="35" fillId="6" borderId="51" xfId="0" applyFont="1" applyFill="1" applyBorder="1">
      <alignment vertical="center"/>
    </xf>
    <xf numFmtId="0" fontId="0" fillId="0" borderId="76" xfId="0" applyBorder="1">
      <alignment vertical="center"/>
    </xf>
    <xf numFmtId="0" fontId="33" fillId="0" borderId="0" xfId="0" applyFont="1" applyAlignment="1">
      <alignment vertical="top"/>
    </xf>
    <xf numFmtId="0" fontId="0" fillId="6" borderId="9" xfId="0" applyFill="1" applyBorder="1">
      <alignment vertical="center"/>
    </xf>
    <xf numFmtId="0" fontId="0" fillId="6" borderId="52" xfId="0" applyFill="1" applyBorder="1">
      <alignment vertical="center"/>
    </xf>
    <xf numFmtId="0" fontId="0" fillId="6" borderId="51" xfId="0" applyFill="1" applyBorder="1">
      <alignment vertical="center"/>
    </xf>
    <xf numFmtId="0" fontId="12" fillId="0" borderId="50" xfId="0" applyFont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2" borderId="77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80" fontId="0" fillId="0" borderId="7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79" fontId="0" fillId="0" borderId="18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9" fontId="0" fillId="0" borderId="77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4" borderId="8" xfId="0" applyFill="1" applyBorder="1" applyAlignment="1">
      <alignment horizontal="right" vertical="center"/>
    </xf>
    <xf numFmtId="184" fontId="0" fillId="4" borderId="2" xfId="0" applyNumberFormat="1" applyFill="1" applyBorder="1" applyAlignment="1">
      <alignment horizontal="right" vertical="center"/>
    </xf>
    <xf numFmtId="0" fontId="0" fillId="4" borderId="0" xfId="0" applyFill="1">
      <alignment vertical="center"/>
    </xf>
    <xf numFmtId="179" fontId="0" fillId="4" borderId="0" xfId="0" applyNumberFormat="1" applyFill="1">
      <alignment vertical="center"/>
    </xf>
    <xf numFmtId="185" fontId="0" fillId="4" borderId="2" xfId="0" applyNumberFormat="1" applyFill="1" applyBorder="1" applyAlignment="1">
      <alignment horizontal="right" vertical="center"/>
    </xf>
    <xf numFmtId="0" fontId="24" fillId="3" borderId="0" xfId="0" applyFont="1" applyFill="1">
      <alignment vertical="center"/>
    </xf>
    <xf numFmtId="0" fontId="34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34" fillId="0" borderId="0" xfId="0" quotePrefix="1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180" fontId="37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0" fontId="37" fillId="2" borderId="54" xfId="0" applyFont="1" applyFill="1" applyBorder="1" applyAlignment="1">
      <alignment horizontal="center" vertical="center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8" fillId="15" borderId="5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2" borderId="54" xfId="0" applyFont="1" applyFill="1" applyBorder="1" applyAlignment="1">
      <alignment horizontal="center" vertical="center"/>
    </xf>
    <xf numFmtId="0" fontId="38" fillId="2" borderId="55" xfId="0" applyFont="1" applyFill="1" applyBorder="1" applyAlignment="1">
      <alignment horizontal="center" vertical="center"/>
    </xf>
    <xf numFmtId="0" fontId="38" fillId="2" borderId="56" xfId="0" applyFont="1" applyFill="1" applyBorder="1" applyAlignment="1">
      <alignment horizontal="center" vertical="center"/>
    </xf>
    <xf numFmtId="0" fontId="37" fillId="2" borderId="62" xfId="0" applyFont="1" applyFill="1" applyBorder="1" applyAlignment="1">
      <alignment horizontal="center" vertical="center"/>
    </xf>
    <xf numFmtId="0" fontId="37" fillId="15" borderId="63" xfId="0" applyFont="1" applyFill="1" applyBorder="1" applyAlignment="1">
      <alignment horizontal="center" vertical="center"/>
    </xf>
    <xf numFmtId="0" fontId="37" fillId="15" borderId="64" xfId="0" applyFont="1" applyFill="1" applyBorder="1" applyAlignment="1">
      <alignment horizontal="center" vertical="center"/>
    </xf>
    <xf numFmtId="0" fontId="37" fillId="2" borderId="66" xfId="0" applyFont="1" applyFill="1" applyBorder="1" applyAlignment="1">
      <alignment horizontal="center" vertical="center"/>
    </xf>
    <xf numFmtId="0" fontId="37" fillId="2" borderId="67" xfId="0" applyFont="1" applyFill="1" applyBorder="1" applyAlignment="1">
      <alignment horizontal="center" vertical="center"/>
    </xf>
    <xf numFmtId="0" fontId="37" fillId="2" borderId="68" xfId="0" applyFont="1" applyFill="1" applyBorder="1" applyAlignment="1">
      <alignment horizontal="center" vertical="center"/>
    </xf>
    <xf numFmtId="0" fontId="37" fillId="2" borderId="69" xfId="0" applyFont="1" applyFill="1" applyBorder="1" applyAlignment="1">
      <alignment horizontal="center" vertical="center"/>
    </xf>
    <xf numFmtId="0" fontId="38" fillId="15" borderId="70" xfId="0" applyFont="1" applyFill="1" applyBorder="1" applyAlignment="1">
      <alignment horizontal="center" vertical="center"/>
    </xf>
    <xf numFmtId="0" fontId="38" fillId="15" borderId="71" xfId="0" applyFont="1" applyFill="1" applyBorder="1">
      <alignment vertical="center"/>
    </xf>
    <xf numFmtId="0" fontId="38" fillId="15" borderId="72" xfId="0" applyFont="1" applyFill="1" applyBorder="1">
      <alignment vertical="center"/>
    </xf>
    <xf numFmtId="0" fontId="26" fillId="14" borderId="0" xfId="0" applyFont="1" applyFill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26" fillId="14" borderId="0" xfId="0" applyFont="1" applyFill="1" applyAlignment="1">
      <alignment horizontal="center" vertical="center" shrinkToFit="1"/>
    </xf>
    <xf numFmtId="0" fontId="26" fillId="4" borderId="50" xfId="0" applyFont="1" applyFill="1" applyBorder="1" applyAlignment="1">
      <alignment horizontal="center" vertical="center" shrinkToFit="1"/>
    </xf>
    <xf numFmtId="0" fontId="26" fillId="0" borderId="50" xfId="0" applyFont="1" applyBorder="1" applyAlignment="1">
      <alignment horizontal="center" vertical="center" shrinkToFit="1"/>
    </xf>
    <xf numFmtId="0" fontId="26" fillId="15" borderId="5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50" xfId="0" applyFont="1" applyBorder="1" applyAlignment="1">
      <alignment horizontal="center" vertical="top" shrinkToFit="1"/>
    </xf>
    <xf numFmtId="0" fontId="26" fillId="0" borderId="0" xfId="0" applyFont="1" applyAlignment="1">
      <alignment horizontal="right" vertical="center" shrinkToFit="1"/>
    </xf>
    <xf numFmtId="0" fontId="26" fillId="0" borderId="0" xfId="0" applyFont="1" applyAlignment="1">
      <alignment vertical="center" shrinkToFit="1"/>
    </xf>
    <xf numFmtId="0" fontId="26" fillId="16" borderId="51" xfId="0" applyFont="1" applyFill="1" applyBorder="1" applyAlignment="1">
      <alignment horizontal="center" vertical="center" shrinkToFit="1"/>
    </xf>
    <xf numFmtId="0" fontId="34" fillId="0" borderId="50" xfId="0" applyFont="1" applyBorder="1" applyAlignment="1">
      <alignment horizontal="center" vertical="center" shrinkToFit="1"/>
    </xf>
    <xf numFmtId="0" fontId="34" fillId="16" borderId="50" xfId="0" applyFont="1" applyFill="1" applyBorder="1" applyAlignment="1">
      <alignment horizontal="center" vertical="center" shrinkToFit="1"/>
    </xf>
    <xf numFmtId="176" fontId="26" fillId="0" borderId="0" xfId="0" applyNumberFormat="1" applyFont="1" applyAlignment="1">
      <alignment horizontal="center" vertical="center" shrinkToFit="1"/>
    </xf>
    <xf numFmtId="0" fontId="26" fillId="14" borderId="0" xfId="0" applyFont="1" applyFill="1">
      <alignment vertical="center"/>
    </xf>
    <xf numFmtId="0" fontId="26" fillId="14" borderId="0" xfId="0" applyFont="1" applyFill="1" applyAlignment="1">
      <alignment horizontal="right" vertical="center"/>
    </xf>
    <xf numFmtId="0" fontId="26" fillId="14" borderId="0" xfId="0" applyFont="1" applyFill="1" applyAlignment="1">
      <alignment horizontal="center" vertical="top"/>
    </xf>
    <xf numFmtId="0" fontId="26" fillId="0" borderId="53" xfId="0" applyFont="1" applyBorder="1" applyAlignment="1">
      <alignment horizontal="left" vertical="top" wrapText="1"/>
    </xf>
    <xf numFmtId="0" fontId="26" fillId="0" borderId="53" xfId="0" applyFont="1" applyBorder="1" applyAlignment="1">
      <alignment vertical="top"/>
    </xf>
    <xf numFmtId="0" fontId="26" fillId="0" borderId="53" xfId="0" quotePrefix="1" applyFont="1" applyBorder="1" applyAlignment="1">
      <alignment horizontal="left" vertical="top"/>
    </xf>
    <xf numFmtId="0" fontId="26" fillId="0" borderId="53" xfId="0" quotePrefix="1" applyFont="1" applyBorder="1" applyAlignment="1">
      <alignment horizontal="left" vertical="top" wrapText="1"/>
    </xf>
    <xf numFmtId="0" fontId="26" fillId="0" borderId="53" xfId="0" applyFont="1" applyBorder="1" applyAlignment="1">
      <alignment vertical="top" wrapText="1"/>
    </xf>
    <xf numFmtId="0" fontId="26" fillId="0" borderId="0" xfId="0" applyFont="1" applyAlignment="1">
      <alignment horizontal="left" vertical="top" wrapText="1"/>
    </xf>
    <xf numFmtId="0" fontId="26" fillId="0" borderId="53" xfId="0" applyFont="1" applyBorder="1" applyAlignment="1">
      <alignment horizontal="left" vertical="top"/>
    </xf>
    <xf numFmtId="0" fontId="26" fillId="0" borderId="0" xfId="0" applyFont="1" applyAlignment="1">
      <alignment horizontal="left" vertical="center"/>
    </xf>
    <xf numFmtId="0" fontId="26" fillId="5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top"/>
    </xf>
    <xf numFmtId="180" fontId="26" fillId="0" borderId="53" xfId="0" applyNumberFormat="1" applyFont="1" applyBorder="1" applyAlignment="1">
      <alignment horizontal="left" vertical="top"/>
    </xf>
    <xf numFmtId="0" fontId="26" fillId="0" borderId="0" xfId="0" applyFont="1" applyAlignment="1">
      <alignment vertical="top"/>
    </xf>
    <xf numFmtId="0" fontId="35" fillId="0" borderId="74" xfId="0" applyFont="1" applyBorder="1">
      <alignment vertical="center"/>
    </xf>
    <xf numFmtId="0" fontId="33" fillId="0" borderId="2" xfId="0" applyFont="1" applyBorder="1" applyAlignment="1">
      <alignment vertical="top"/>
    </xf>
    <xf numFmtId="0" fontId="31" fillId="0" borderId="50" xfId="0" applyFont="1" applyBorder="1" applyAlignment="1">
      <alignment horizontal="center" vertical="center" wrapText="1" shrinkToFit="1"/>
    </xf>
    <xf numFmtId="0" fontId="32" fillId="0" borderId="5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33" fillId="8" borderId="51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52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/>
    </xf>
    <xf numFmtId="0" fontId="34" fillId="6" borderId="9" xfId="0" applyFont="1" applyFill="1" applyBorder="1" applyAlignment="1">
      <alignment horizontal="center" vertical="center"/>
    </xf>
    <xf numFmtId="0" fontId="34" fillId="6" borderId="52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33" fillId="5" borderId="51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4" fillId="5" borderId="52" xfId="0" applyFont="1" applyFill="1" applyBorder="1" applyAlignment="1">
      <alignment horizontal="center" vertical="center"/>
    </xf>
    <xf numFmtId="0" fontId="33" fillId="8" borderId="50" xfId="0" applyFont="1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33" fillId="8" borderId="9" xfId="0" applyFont="1" applyFill="1" applyBorder="1" applyAlignment="1">
      <alignment horizontal="center" vertical="center"/>
    </xf>
    <xf numFmtId="0" fontId="33" fillId="8" borderId="52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52" xfId="0" applyFont="1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0" fillId="5" borderId="5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0" fillId="15" borderId="61" xfId="0" applyFill="1" applyBorder="1" applyAlignment="1">
      <alignment horizontal="center" vertical="center"/>
    </xf>
    <xf numFmtId="0" fontId="0" fillId="15" borderId="59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/>
    </xf>
    <xf numFmtId="0" fontId="38" fillId="4" borderId="17" xfId="0" applyFont="1" applyFill="1" applyBorder="1" applyAlignment="1">
      <alignment horizontal="center" vertical="center"/>
    </xf>
    <xf numFmtId="0" fontId="38" fillId="1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38" fillId="15" borderId="60" xfId="0" applyFont="1" applyFill="1" applyBorder="1" applyAlignment="1">
      <alignment horizontal="center" vertical="center"/>
    </xf>
    <xf numFmtId="0" fontId="30" fillId="5" borderId="51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30" fillId="5" borderId="52" xfId="0" applyFont="1" applyFill="1" applyBorder="1" applyAlignment="1">
      <alignment horizontal="center" vertical="center"/>
    </xf>
    <xf numFmtId="0" fontId="38" fillId="15" borderId="63" xfId="0" applyFont="1" applyFill="1" applyBorder="1" applyAlignment="1">
      <alignment horizontal="center" vertical="center"/>
    </xf>
    <xf numFmtId="0" fontId="38" fillId="15" borderId="64" xfId="0" applyFont="1" applyFill="1" applyBorder="1" applyAlignment="1">
      <alignment horizontal="center" vertical="center"/>
    </xf>
    <xf numFmtId="0" fontId="38" fillId="4" borderId="57" xfId="0" applyFont="1" applyFill="1" applyBorder="1" applyAlignment="1">
      <alignment horizontal="center" vertical="center"/>
    </xf>
    <xf numFmtId="0" fontId="38" fillId="4" borderId="63" xfId="0" applyFont="1" applyFill="1" applyBorder="1" applyAlignment="1">
      <alignment horizontal="center" vertical="center"/>
    </xf>
    <xf numFmtId="0" fontId="38" fillId="4" borderId="64" xfId="0" applyFont="1" applyFill="1" applyBorder="1" applyAlignment="1">
      <alignment horizontal="center" vertical="center"/>
    </xf>
    <xf numFmtId="0" fontId="37" fillId="4" borderId="61" xfId="0" applyFont="1" applyFill="1" applyBorder="1" applyAlignment="1">
      <alignment horizontal="center" vertical="center"/>
    </xf>
    <xf numFmtId="0" fontId="37" fillId="4" borderId="59" xfId="0" applyFont="1" applyFill="1" applyBorder="1" applyAlignment="1">
      <alignment horizontal="center" vertical="center"/>
    </xf>
    <xf numFmtId="0" fontId="37" fillId="4" borderId="60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7" fillId="15" borderId="61" xfId="0" applyFont="1" applyFill="1" applyBorder="1" applyAlignment="1">
      <alignment horizontal="center" vertical="center"/>
    </xf>
    <xf numFmtId="0" fontId="37" fillId="15" borderId="59" xfId="0" applyFont="1" applyFill="1" applyBorder="1" applyAlignment="1">
      <alignment horizontal="center" vertical="center"/>
    </xf>
    <xf numFmtId="0" fontId="37" fillId="15" borderId="60" xfId="0" applyFont="1" applyFill="1" applyBorder="1" applyAlignment="1">
      <alignment horizontal="center" vertical="center"/>
    </xf>
    <xf numFmtId="0" fontId="37" fillId="15" borderId="65" xfId="0" applyFont="1" applyFill="1" applyBorder="1" applyAlignment="1">
      <alignment horizontal="center" vertical="center"/>
    </xf>
    <xf numFmtId="0" fontId="37" fillId="15" borderId="63" xfId="0" applyFont="1" applyFill="1" applyBorder="1" applyAlignment="1">
      <alignment horizontal="center" vertical="center"/>
    </xf>
    <xf numFmtId="0" fontId="37" fillId="15" borderId="64" xfId="0" applyFont="1" applyFill="1" applyBorder="1" applyAlignment="1">
      <alignment horizontal="center" vertical="center"/>
    </xf>
    <xf numFmtId="0" fontId="12" fillId="4" borderId="50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/>
    </xf>
    <xf numFmtId="0" fontId="12" fillId="4" borderId="52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36" fillId="4" borderId="51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center" vertical="center"/>
    </xf>
    <xf numFmtId="0" fontId="26" fillId="4" borderId="51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 shrinkToFit="1"/>
    </xf>
    <xf numFmtId="0" fontId="34" fillId="0" borderId="52" xfId="0" applyFont="1" applyBorder="1" applyAlignment="1">
      <alignment horizontal="center" vertical="center" shrinkToFit="1"/>
    </xf>
    <xf numFmtId="0" fontId="26" fillId="4" borderId="9" xfId="0" applyFont="1" applyFill="1" applyBorder="1" applyAlignment="1">
      <alignment horizontal="center" vertical="center" shrinkToFit="1"/>
    </xf>
    <xf numFmtId="0" fontId="26" fillId="4" borderId="52" xfId="0" applyFont="1" applyFill="1" applyBorder="1" applyAlignment="1">
      <alignment horizontal="center" vertical="center" shrinkToFit="1"/>
    </xf>
    <xf numFmtId="0" fontId="26" fillId="4" borderId="51" xfId="0" applyFont="1" applyFill="1" applyBorder="1" applyAlignment="1">
      <alignment horizontal="center" vertical="top" shrinkToFit="1"/>
    </xf>
    <xf numFmtId="0" fontId="26" fillId="4" borderId="9" xfId="0" applyFont="1" applyFill="1" applyBorder="1" applyAlignment="1">
      <alignment horizontal="center" vertical="top" shrinkToFit="1"/>
    </xf>
    <xf numFmtId="0" fontId="26" fillId="4" borderId="52" xfId="0" applyFont="1" applyFill="1" applyBorder="1" applyAlignment="1">
      <alignment horizontal="center" vertical="top" shrinkToFit="1"/>
    </xf>
    <xf numFmtId="0" fontId="26" fillId="15" borderId="51" xfId="0" applyFont="1" applyFill="1" applyBorder="1" applyAlignment="1">
      <alignment horizontal="center" vertical="center" shrinkToFit="1"/>
    </xf>
    <xf numFmtId="0" fontId="26" fillId="15" borderId="9" xfId="0" applyFont="1" applyFill="1" applyBorder="1" applyAlignment="1">
      <alignment horizontal="center" vertical="center" shrinkToFit="1"/>
    </xf>
    <xf numFmtId="0" fontId="26" fillId="15" borderId="52" xfId="0" applyFont="1" applyFill="1" applyBorder="1" applyAlignment="1">
      <alignment horizontal="center" vertical="center" shrinkToFit="1"/>
    </xf>
    <xf numFmtId="0" fontId="26" fillId="15" borderId="51" xfId="0" applyFont="1" applyFill="1" applyBorder="1" applyAlignment="1">
      <alignment horizontal="center" vertical="top" shrinkToFit="1"/>
    </xf>
    <xf numFmtId="0" fontId="26" fillId="15" borderId="9" xfId="0" applyFont="1" applyFill="1" applyBorder="1" applyAlignment="1">
      <alignment horizontal="center" vertical="top" shrinkToFit="1"/>
    </xf>
    <xf numFmtId="0" fontId="26" fillId="15" borderId="52" xfId="0" applyFont="1" applyFill="1" applyBorder="1" applyAlignment="1">
      <alignment horizontal="center" vertical="top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9" xfId="0" applyFont="1" applyFill="1" applyBorder="1" applyAlignment="1">
      <alignment horizontal="center" vertical="center" shrinkToFit="1"/>
    </xf>
    <xf numFmtId="0" fontId="26" fillId="8" borderId="52" xfId="0" applyFont="1" applyFill="1" applyBorder="1" applyAlignment="1">
      <alignment horizontal="center" vertical="center" shrinkToFit="1"/>
    </xf>
    <xf numFmtId="0" fontId="34" fillId="4" borderId="50" xfId="0" applyFont="1" applyFill="1" applyBorder="1" applyAlignment="1">
      <alignment horizontal="center" vertical="center" shrinkToFit="1"/>
    </xf>
    <xf numFmtId="0" fontId="34" fillId="0" borderId="50" xfId="0" applyFont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  <color rgb="FF00CC00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48</xdr:row>
      <xdr:rowOff>114300</xdr:rowOff>
    </xdr:from>
    <xdr:to>
      <xdr:col>39</xdr:col>
      <xdr:colOff>0</xdr:colOff>
      <xdr:row>48</xdr:row>
      <xdr:rowOff>114300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F2A4327-D69B-439D-8C55-F92C7B16FCF5}"/>
            </a:ext>
          </a:extLst>
        </xdr:cNvPr>
        <xdr:cNvCxnSpPr/>
      </xdr:nvCxnSpPr>
      <xdr:spPr>
        <a:xfrm>
          <a:off x="9417050" y="10502900"/>
          <a:ext cx="18034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6350</xdr:colOff>
      <xdr:row>48</xdr:row>
      <xdr:rowOff>95250</xdr:rowOff>
    </xdr:from>
    <xdr:to>
      <xdr:col>119</xdr:col>
      <xdr:colOff>97655</xdr:colOff>
      <xdr:row>48</xdr:row>
      <xdr:rowOff>95250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81D1910-2035-46D9-A3D5-818D064A5CFE}"/>
            </a:ext>
          </a:extLst>
        </xdr:cNvPr>
        <xdr:cNvCxnSpPr/>
      </xdr:nvCxnSpPr>
      <xdr:spPr>
        <a:xfrm>
          <a:off x="12649200" y="10483850"/>
          <a:ext cx="679690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50</xdr:row>
      <xdr:rowOff>88900</xdr:rowOff>
    </xdr:from>
    <xdr:to>
      <xdr:col>67</xdr:col>
      <xdr:colOff>12700</xdr:colOff>
      <xdr:row>50</xdr:row>
      <xdr:rowOff>88900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A460C92B-9C70-47EB-A1B5-62CCCE5B388C}"/>
            </a:ext>
          </a:extLst>
        </xdr:cNvPr>
        <xdr:cNvCxnSpPr/>
      </xdr:nvCxnSpPr>
      <xdr:spPr>
        <a:xfrm>
          <a:off x="9467850" y="10909300"/>
          <a:ext cx="46101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52</xdr:row>
      <xdr:rowOff>101600</xdr:rowOff>
    </xdr:from>
    <xdr:to>
      <xdr:col>94</xdr:col>
      <xdr:colOff>95250</xdr:colOff>
      <xdr:row>52</xdr:row>
      <xdr:rowOff>101600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6A26C862-7F8D-47D2-A65E-1D99B0447CA0}"/>
            </a:ext>
          </a:extLst>
        </xdr:cNvPr>
        <xdr:cNvCxnSpPr/>
      </xdr:nvCxnSpPr>
      <xdr:spPr>
        <a:xfrm flipV="1">
          <a:off x="9448800" y="11353800"/>
          <a:ext cx="74549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12700</xdr:colOff>
      <xdr:row>50</xdr:row>
      <xdr:rowOff>107950</xdr:rowOff>
    </xdr:from>
    <xdr:to>
      <xdr:col>119</xdr:col>
      <xdr:colOff>100178</xdr:colOff>
      <xdr:row>50</xdr:row>
      <xdr:rowOff>107950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11A61A50-9D74-4543-BEE2-B0A9125C3ED1}"/>
            </a:ext>
          </a:extLst>
        </xdr:cNvPr>
        <xdr:cNvCxnSpPr/>
      </xdr:nvCxnSpPr>
      <xdr:spPr>
        <a:xfrm>
          <a:off x="15500350" y="10928350"/>
          <a:ext cx="3948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0</xdr:colOff>
      <xdr:row>52</xdr:row>
      <xdr:rowOff>107950</xdr:rowOff>
    </xdr:from>
    <xdr:to>
      <xdr:col>119</xdr:col>
      <xdr:colOff>83652</xdr:colOff>
      <xdr:row>52</xdr:row>
      <xdr:rowOff>107950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5B202EBE-C309-422C-AE48-84CF96B5126D}"/>
            </a:ext>
          </a:extLst>
        </xdr:cNvPr>
        <xdr:cNvCxnSpPr/>
      </xdr:nvCxnSpPr>
      <xdr:spPr>
        <a:xfrm>
          <a:off x="18332450" y="11360150"/>
          <a:ext cx="109965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31750</xdr:colOff>
      <xdr:row>47</xdr:row>
      <xdr:rowOff>133350</xdr:rowOff>
    </xdr:from>
    <xdr:ext cx="371384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72BBAE-46F8-4560-8BB4-994444A797D8}"/>
            </a:ext>
          </a:extLst>
        </xdr:cNvPr>
        <xdr:cNvSpPr txBox="1"/>
      </xdr:nvSpPr>
      <xdr:spPr>
        <a:xfrm>
          <a:off x="12674600" y="103060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80</xdr:col>
      <xdr:colOff>95250</xdr:colOff>
      <xdr:row>49</xdr:row>
      <xdr:rowOff>133350</xdr:rowOff>
    </xdr:from>
    <xdr:ext cx="371384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1AA289-D5E5-4A2A-945F-2E2CDE1EE199}"/>
            </a:ext>
          </a:extLst>
        </xdr:cNvPr>
        <xdr:cNvSpPr txBox="1"/>
      </xdr:nvSpPr>
      <xdr:spPr>
        <a:xfrm>
          <a:off x="15481300" y="107378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109</xdr:col>
      <xdr:colOff>6350</xdr:colOff>
      <xdr:row>51</xdr:row>
      <xdr:rowOff>133350</xdr:rowOff>
    </xdr:from>
    <xdr:ext cx="371384" cy="248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6E5D01-F2EF-4181-85DC-8DC7FC817AAE}"/>
            </a:ext>
          </a:extLst>
        </xdr:cNvPr>
        <xdr:cNvSpPr txBox="1"/>
      </xdr:nvSpPr>
      <xdr:spPr>
        <a:xfrm>
          <a:off x="18338800" y="11169650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852686</xdr:colOff>
      <xdr:row>20</xdr:row>
      <xdr:rowOff>169839</xdr:rowOff>
    </xdr:from>
    <xdr:to>
      <xdr:col>16</xdr:col>
      <xdr:colOff>99943</xdr:colOff>
      <xdr:row>27</xdr:row>
      <xdr:rowOff>194966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494AD967-2F88-480D-998B-BD56F0F6DF64}"/>
            </a:ext>
          </a:extLst>
        </xdr:cNvPr>
        <xdr:cNvGrpSpPr/>
      </xdr:nvGrpSpPr>
      <xdr:grpSpPr>
        <a:xfrm>
          <a:off x="1521553" y="4606372"/>
          <a:ext cx="5698857" cy="1566061"/>
          <a:chOff x="22408176" y="528751"/>
          <a:chExt cx="5714593" cy="1522897"/>
        </a:xfrm>
      </xdr:grpSpPr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9A6647F-54DE-88B5-10AD-FCA9E9DE7B1E}"/>
              </a:ext>
            </a:extLst>
          </xdr:cNvPr>
          <xdr:cNvSpPr/>
        </xdr:nvSpPr>
        <xdr:spPr>
          <a:xfrm>
            <a:off x="23464834" y="802426"/>
            <a:ext cx="889452" cy="97008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95370938-7A95-523A-BC6A-96D9CFD3DEE8}"/>
              </a:ext>
            </a:extLst>
          </xdr:cNvPr>
          <xdr:cNvSpPr/>
        </xdr:nvSpPr>
        <xdr:spPr>
          <a:xfrm>
            <a:off x="25342056" y="808728"/>
            <a:ext cx="890113" cy="970081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B37923AF-3302-15B5-D6CC-43ABF238F3EC}"/>
              </a:ext>
            </a:extLst>
          </xdr:cNvPr>
          <xdr:cNvSpPr/>
        </xdr:nvSpPr>
        <xdr:spPr>
          <a:xfrm>
            <a:off x="27232656" y="802426"/>
            <a:ext cx="890113" cy="97008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dev#3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A01904E5-2BBE-060D-8ADF-100870A29049}"/>
              </a:ext>
            </a:extLst>
          </xdr:cNvPr>
          <xdr:cNvCxnSpPr/>
        </xdr:nvCxnSpPr>
        <xdr:spPr>
          <a:xfrm flipV="1">
            <a:off x="22800118" y="922178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099E1966-06D4-75AB-5C22-36B7DB556235}"/>
              </a:ext>
            </a:extLst>
          </xdr:cNvPr>
          <xdr:cNvCxnSpPr/>
        </xdr:nvCxnSpPr>
        <xdr:spPr>
          <a:xfrm flipV="1">
            <a:off x="23088630" y="549815"/>
            <a:ext cx="373569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7439878-6859-C6FD-B256-BD3A9C42B35E}"/>
              </a:ext>
            </a:extLst>
          </xdr:cNvPr>
          <xdr:cNvSpPr txBox="1"/>
        </xdr:nvSpPr>
        <xdr:spPr>
          <a:xfrm>
            <a:off x="22486834" y="827636"/>
            <a:ext cx="27522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nSCS</a:t>
            </a:r>
            <a:endParaRPr lang="ko-KR" alt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5D2A8A0-FBFA-90B0-E4C8-C3D8C9CA2502}"/>
              </a:ext>
            </a:extLst>
          </xdr:cNvPr>
          <xdr:cNvSpPr txBox="1"/>
        </xdr:nvSpPr>
        <xdr:spPr>
          <a:xfrm>
            <a:off x="22499550" y="1082901"/>
            <a:ext cx="268948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</a:t>
            </a:r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DF19B8BF-FF40-7370-7BAC-F5CBC2084615}"/>
              </a:ext>
            </a:extLst>
          </xdr:cNvPr>
          <xdr:cNvSpPr txBox="1"/>
        </xdr:nvSpPr>
        <xdr:spPr>
          <a:xfrm>
            <a:off x="22468171" y="1334514"/>
            <a:ext cx="310201" cy="1722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MOSI</a:t>
            </a:r>
            <a:endParaRPr lang="ko-KR" alt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2F4012D-B434-DD38-4E60-83BFC2C7CD29}"/>
              </a:ext>
            </a:extLst>
          </xdr:cNvPr>
          <xdr:cNvSpPr txBox="1"/>
        </xdr:nvSpPr>
        <xdr:spPr>
          <a:xfrm>
            <a:off x="23072115" y="1472676"/>
            <a:ext cx="380857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MISO1</a:t>
            </a:r>
            <a:endParaRPr lang="ko-KR" altLang="en-US" sz="1100"/>
          </a:p>
        </xdr:txBody>
      </xdr: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2A30E966-710C-8F09-FDB0-25194A373CA9}"/>
              </a:ext>
            </a:extLst>
          </xdr:cNvPr>
          <xdr:cNvCxnSpPr/>
        </xdr:nvCxnSpPr>
        <xdr:spPr>
          <a:xfrm flipV="1">
            <a:off x="22806393" y="1181920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50DA235B-E75C-D64B-2FBE-9E0D756F2A04}"/>
              </a:ext>
            </a:extLst>
          </xdr:cNvPr>
          <xdr:cNvCxnSpPr/>
        </xdr:nvCxnSpPr>
        <xdr:spPr>
          <a:xfrm flipV="1">
            <a:off x="22800118" y="1422753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37633D81-D3B1-24CC-1DF5-2557109CAC52}"/>
              </a:ext>
            </a:extLst>
          </xdr:cNvPr>
          <xdr:cNvCxnSpPr/>
        </xdr:nvCxnSpPr>
        <xdr:spPr>
          <a:xfrm flipV="1">
            <a:off x="24902436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96048C2-D123-1760-09B8-851BBC4A3BD1}"/>
              </a:ext>
            </a:extLst>
          </xdr:cNvPr>
          <xdr:cNvCxnSpPr/>
        </xdr:nvCxnSpPr>
        <xdr:spPr>
          <a:xfrm>
            <a:off x="24354286" y="1220220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62D845E8-05EB-B636-E387-356F4E749903}"/>
              </a:ext>
            </a:extLst>
          </xdr:cNvPr>
          <xdr:cNvCxnSpPr/>
        </xdr:nvCxnSpPr>
        <xdr:spPr>
          <a:xfrm>
            <a:off x="24360561" y="1421909"/>
            <a:ext cx="98777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9220DF92-E69C-1100-7599-85152BFE5323}"/>
              </a:ext>
            </a:extLst>
          </xdr:cNvPr>
          <xdr:cNvCxnSpPr/>
        </xdr:nvCxnSpPr>
        <xdr:spPr>
          <a:xfrm>
            <a:off x="26238445" y="1181076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2D620D9E-B075-CD2F-E649-33A71D182E65}"/>
              </a:ext>
            </a:extLst>
          </xdr:cNvPr>
          <xdr:cNvCxnSpPr/>
        </xdr:nvCxnSpPr>
        <xdr:spPr>
          <a:xfrm>
            <a:off x="26238445" y="1421909"/>
            <a:ext cx="9879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27D4FAF-5A95-E0C5-378C-A3B813AD088F}"/>
              </a:ext>
            </a:extLst>
          </xdr:cNvPr>
          <xdr:cNvSpPr txBox="1"/>
        </xdr:nvSpPr>
        <xdr:spPr>
          <a:xfrm>
            <a:off x="24418721" y="1036956"/>
            <a:ext cx="432923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SCLKO1</a:t>
            </a:r>
            <a:endParaRPr lang="ko-KR" alt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601D16B-4DEB-C510-B387-E921C6A4CA35}"/>
              </a:ext>
            </a:extLst>
          </xdr:cNvPr>
          <xdr:cNvSpPr txBox="1"/>
        </xdr:nvSpPr>
        <xdr:spPr>
          <a:xfrm>
            <a:off x="24424997" y="1252578"/>
            <a:ext cx="313347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SDO1</a:t>
            </a:r>
            <a:endParaRPr lang="ko-KR" alt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4BD75D5-D005-63C2-DFB6-080C2AA558F6}"/>
              </a:ext>
            </a:extLst>
          </xdr:cNvPr>
          <xdr:cNvSpPr txBox="1"/>
        </xdr:nvSpPr>
        <xdr:spPr>
          <a:xfrm>
            <a:off x="26334589" y="1011744"/>
            <a:ext cx="432428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SCLKO2</a:t>
            </a:r>
            <a:endParaRPr lang="ko-KR" alt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AE26C10-18EA-5CFA-8677-732B0334EE0D}"/>
              </a:ext>
            </a:extLst>
          </xdr:cNvPr>
          <xdr:cNvSpPr txBox="1"/>
        </xdr:nvSpPr>
        <xdr:spPr>
          <a:xfrm>
            <a:off x="26340864" y="1252578"/>
            <a:ext cx="312852" cy="1709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SDO2</a:t>
            </a:r>
            <a:endParaRPr lang="ko-KR" altLang="en-US" sz="1100"/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74A51628-ABAF-D715-5490-737E78931DB0}"/>
              </a:ext>
            </a:extLst>
          </xdr:cNvPr>
          <xdr:cNvCxnSpPr/>
        </xdr:nvCxnSpPr>
        <xdr:spPr>
          <a:xfrm flipV="1">
            <a:off x="26811862" y="922178"/>
            <a:ext cx="4272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96EF2B83-8C3B-FF69-A67A-7720E596682B}"/>
              </a:ext>
            </a:extLst>
          </xdr:cNvPr>
          <xdr:cNvCxnSpPr/>
        </xdr:nvCxnSpPr>
        <xdr:spPr>
          <a:xfrm flipV="1">
            <a:off x="24908711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7884A9CA-D07B-E456-EAD7-2A59E8F5AD3F}"/>
              </a:ext>
            </a:extLst>
          </xdr:cNvPr>
          <xdr:cNvCxnSpPr/>
        </xdr:nvCxnSpPr>
        <xdr:spPr>
          <a:xfrm flipV="1">
            <a:off x="26818138" y="553962"/>
            <a:ext cx="0" cy="35997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70947671-CE0F-7F65-9EC3-E3D1847A3757}"/>
              </a:ext>
            </a:extLst>
          </xdr:cNvPr>
          <xdr:cNvCxnSpPr/>
        </xdr:nvCxnSpPr>
        <xdr:spPr>
          <a:xfrm flipV="1">
            <a:off x="23095070" y="557610"/>
            <a:ext cx="0" cy="358651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타원 35">
            <a:extLst>
              <a:ext uri="{FF2B5EF4-FFF2-40B4-BE49-F238E27FC236}">
                <a16:creationId xmlns:a16="http://schemas.microsoft.com/office/drawing/2014/main" id="{ABB0BE8F-ECCE-324D-AAB0-B2D6A4C3FD52}"/>
              </a:ext>
            </a:extLst>
          </xdr:cNvPr>
          <xdr:cNvSpPr/>
        </xdr:nvSpPr>
        <xdr:spPr>
          <a:xfrm>
            <a:off x="23063692" y="890664"/>
            <a:ext cx="71156" cy="7146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타원 36">
            <a:extLst>
              <a:ext uri="{FF2B5EF4-FFF2-40B4-BE49-F238E27FC236}">
                <a16:creationId xmlns:a16="http://schemas.microsoft.com/office/drawing/2014/main" id="{23A1285A-3EA1-760D-706A-04FABDC9ED9C}"/>
              </a:ext>
            </a:extLst>
          </xdr:cNvPr>
          <xdr:cNvSpPr/>
        </xdr:nvSpPr>
        <xdr:spPr>
          <a:xfrm>
            <a:off x="24871058" y="528751"/>
            <a:ext cx="71156" cy="7279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5E0CADC9-19ED-CAF1-340E-A9569D094EB3}"/>
              </a:ext>
            </a:extLst>
          </xdr:cNvPr>
          <xdr:cNvCxnSpPr/>
        </xdr:nvCxnSpPr>
        <xdr:spPr>
          <a:xfrm flipV="1">
            <a:off x="22806393" y="1652306"/>
            <a:ext cx="658441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74B4DE59-5EFF-44A2-EB69-61CD237812C4}"/>
              </a:ext>
            </a:extLst>
          </xdr:cNvPr>
          <xdr:cNvCxnSpPr/>
        </xdr:nvCxnSpPr>
        <xdr:spPr>
          <a:xfrm flipV="1">
            <a:off x="24945738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B417239C-3FEA-114A-9A49-617AE5F7D1B6}"/>
              </a:ext>
            </a:extLst>
          </xdr:cNvPr>
          <xdr:cNvCxnSpPr/>
        </xdr:nvCxnSpPr>
        <xdr:spPr>
          <a:xfrm flipV="1">
            <a:off x="26836965" y="1652306"/>
            <a:ext cx="391688" cy="0"/>
          </a:xfrm>
          <a:prstGeom prst="straightConnector1">
            <a:avLst/>
          </a:prstGeom>
          <a:ln w="3175">
            <a:solidFill>
              <a:schemeClr val="tx1"/>
            </a:solidFill>
            <a:headEnd type="none"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51404060-E2FB-4816-91F1-FF7D7D35CE66}"/>
              </a:ext>
            </a:extLst>
          </xdr:cNvPr>
          <xdr:cNvSpPr txBox="1"/>
        </xdr:nvSpPr>
        <xdr:spPr>
          <a:xfrm>
            <a:off x="24927538" y="1474502"/>
            <a:ext cx="38168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MISO2</a:t>
            </a:r>
            <a:endParaRPr lang="ko-KR" alt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2D50FC6-8EE5-64A7-92D4-359448AE3B1E}"/>
              </a:ext>
            </a:extLst>
          </xdr:cNvPr>
          <xdr:cNvSpPr txBox="1"/>
        </xdr:nvSpPr>
        <xdr:spPr>
          <a:xfrm>
            <a:off x="26799311" y="1474502"/>
            <a:ext cx="381352" cy="17227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MISO3</a:t>
            </a:r>
            <a:endParaRPr lang="ko-KR" altLang="en-US" sz="1100"/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64589A3F-7878-ED6F-A2A0-60B213F22617}"/>
              </a:ext>
            </a:extLst>
          </xdr:cNvPr>
          <xdr:cNvCxnSpPr/>
        </xdr:nvCxnSpPr>
        <xdr:spPr>
          <a:xfrm flipV="1">
            <a:off x="24945904" y="1656231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화살표 연결선 43">
            <a:extLst>
              <a:ext uri="{FF2B5EF4-FFF2-40B4-BE49-F238E27FC236}">
                <a16:creationId xmlns:a16="http://schemas.microsoft.com/office/drawing/2014/main" id="{549E4AEF-9600-6A8D-CABD-560AAD94C9A0}"/>
              </a:ext>
            </a:extLst>
          </xdr:cNvPr>
          <xdr:cNvCxnSpPr/>
        </xdr:nvCxnSpPr>
        <xdr:spPr>
          <a:xfrm flipV="1">
            <a:off x="26826093" y="1649913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화살표 연결선 44">
            <a:extLst>
              <a:ext uri="{FF2B5EF4-FFF2-40B4-BE49-F238E27FC236}">
                <a16:creationId xmlns:a16="http://schemas.microsoft.com/office/drawing/2014/main" id="{58742D86-7003-5D67-CBCF-D1C15FDD6AC0}"/>
              </a:ext>
            </a:extLst>
          </xdr:cNvPr>
          <xdr:cNvCxnSpPr/>
        </xdr:nvCxnSpPr>
        <xdr:spPr>
          <a:xfrm flipV="1">
            <a:off x="23053781" y="2005286"/>
            <a:ext cx="377921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0C0D4B87-2691-6466-CA8B-32F8F5EFC7A5}"/>
              </a:ext>
            </a:extLst>
          </xdr:cNvPr>
          <xdr:cNvSpPr/>
        </xdr:nvSpPr>
        <xdr:spPr>
          <a:xfrm>
            <a:off x="24913532" y="1980015"/>
            <a:ext cx="70332" cy="7163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7" name="직선 화살표 연결선 46">
            <a:extLst>
              <a:ext uri="{FF2B5EF4-FFF2-40B4-BE49-F238E27FC236}">
                <a16:creationId xmlns:a16="http://schemas.microsoft.com/office/drawing/2014/main" id="{2EEF8418-CEF3-346C-959C-7CC8E264EBAD}"/>
              </a:ext>
            </a:extLst>
          </xdr:cNvPr>
          <xdr:cNvCxnSpPr/>
        </xdr:nvCxnSpPr>
        <xdr:spPr>
          <a:xfrm flipV="1">
            <a:off x="23053246" y="1651159"/>
            <a:ext cx="0" cy="36033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4FD2D030-9ECB-B52D-C223-66DA792F3162}"/>
              </a:ext>
            </a:extLst>
          </xdr:cNvPr>
          <xdr:cNvSpPr/>
        </xdr:nvSpPr>
        <xdr:spPr>
          <a:xfrm>
            <a:off x="23015042" y="1623641"/>
            <a:ext cx="72197" cy="7380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A14AA01A-96E9-0FDD-D069-6A44AA71A4E1}"/>
              </a:ext>
            </a:extLst>
          </xdr:cNvPr>
          <xdr:cNvSpPr txBox="1"/>
        </xdr:nvSpPr>
        <xdr:spPr>
          <a:xfrm>
            <a:off x="22408176" y="1601293"/>
            <a:ext cx="314020" cy="173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/>
              <a:t>MISO</a:t>
            </a:r>
            <a:endParaRPr lang="ko-KR" altLang="en-US" sz="1100"/>
          </a:p>
        </xdr:txBody>
      </xdr:sp>
    </xdr:grpSp>
    <xdr:clientData/>
  </xdr:twoCellAnchor>
  <xdr:twoCellAnchor>
    <xdr:from>
      <xdr:col>21</xdr:col>
      <xdr:colOff>25400</xdr:colOff>
      <xdr:row>70</xdr:row>
      <xdr:rowOff>114300</xdr:rowOff>
    </xdr:from>
    <xdr:to>
      <xdr:col>33</xdr:col>
      <xdr:colOff>6414</xdr:colOff>
      <xdr:row>70</xdr:row>
      <xdr:rowOff>115455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89C641CF-0683-46A3-92C0-D313933C39A0}"/>
            </a:ext>
          </a:extLst>
        </xdr:cNvPr>
        <xdr:cNvCxnSpPr/>
      </xdr:nvCxnSpPr>
      <xdr:spPr>
        <a:xfrm>
          <a:off x="9417050" y="15252700"/>
          <a:ext cx="1200214" cy="1155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12828</xdr:colOff>
      <xdr:row>70</xdr:row>
      <xdr:rowOff>95250</xdr:rowOff>
    </xdr:from>
    <xdr:to>
      <xdr:col>120</xdr:col>
      <xdr:colOff>480</xdr:colOff>
      <xdr:row>70</xdr:row>
      <xdr:rowOff>96212</xdr:rowOff>
    </xdr:to>
    <xdr:cxnSp macro="">
      <xdr:nvCxnSpPr>
        <xdr:cNvPr id="51" name="직선 연결선 50">
          <a:extLst>
            <a:ext uri="{FF2B5EF4-FFF2-40B4-BE49-F238E27FC236}">
              <a16:creationId xmlns:a16="http://schemas.microsoft.com/office/drawing/2014/main" id="{400A422C-11A1-42E8-8729-210507C68B0D}"/>
            </a:ext>
          </a:extLst>
        </xdr:cNvPr>
        <xdr:cNvCxnSpPr/>
      </xdr:nvCxnSpPr>
      <xdr:spPr>
        <a:xfrm flipV="1">
          <a:off x="11436478" y="15233650"/>
          <a:ext cx="8014052" cy="96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72</xdr:row>
      <xdr:rowOff>88900</xdr:rowOff>
    </xdr:from>
    <xdr:to>
      <xdr:col>49</xdr:col>
      <xdr:colOff>102626</xdr:colOff>
      <xdr:row>72</xdr:row>
      <xdr:rowOff>88900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EDFAA0B7-B651-4B2C-963E-77F00D06AF1D}"/>
            </a:ext>
          </a:extLst>
        </xdr:cNvPr>
        <xdr:cNvCxnSpPr/>
      </xdr:nvCxnSpPr>
      <xdr:spPr>
        <a:xfrm>
          <a:off x="9467850" y="15659100"/>
          <a:ext cx="2871226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74</xdr:row>
      <xdr:rowOff>101600</xdr:rowOff>
    </xdr:from>
    <xdr:to>
      <xdr:col>89</xdr:col>
      <xdr:colOff>94403</xdr:colOff>
      <xdr:row>74</xdr:row>
      <xdr:rowOff>101600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9E9C6DEC-77A4-47D3-9CFB-5037441DF809}"/>
            </a:ext>
          </a:extLst>
        </xdr:cNvPr>
        <xdr:cNvCxnSpPr/>
      </xdr:nvCxnSpPr>
      <xdr:spPr>
        <a:xfrm flipV="1">
          <a:off x="9448800" y="16103600"/>
          <a:ext cx="6946053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6415</xdr:colOff>
      <xdr:row>72</xdr:row>
      <xdr:rowOff>107950</xdr:rowOff>
    </xdr:from>
    <xdr:to>
      <xdr:col>120</xdr:col>
      <xdr:colOff>21893</xdr:colOff>
      <xdr:row>72</xdr:row>
      <xdr:rowOff>107950</xdr:rowOff>
    </xdr:to>
    <xdr:cxnSp macro="">
      <xdr:nvCxnSpPr>
        <xdr:cNvPr id="54" name="직선 연결선 53">
          <a:extLst>
            <a:ext uri="{FF2B5EF4-FFF2-40B4-BE49-F238E27FC236}">
              <a16:creationId xmlns:a16="http://schemas.microsoft.com/office/drawing/2014/main" id="{A51FD9AA-B769-44A3-9124-7236B72C330E}"/>
            </a:ext>
          </a:extLst>
        </xdr:cNvPr>
        <xdr:cNvCxnSpPr/>
      </xdr:nvCxnSpPr>
      <xdr:spPr>
        <a:xfrm flipV="1">
          <a:off x="15595665" y="15678150"/>
          <a:ext cx="3876278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6414</xdr:colOff>
      <xdr:row>74</xdr:row>
      <xdr:rowOff>107950</xdr:rowOff>
    </xdr:from>
    <xdr:to>
      <xdr:col>120</xdr:col>
      <xdr:colOff>8327</xdr:colOff>
      <xdr:row>74</xdr:row>
      <xdr:rowOff>109041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F89FB99-6313-41F6-B36A-9EBF1D4C9C97}"/>
            </a:ext>
          </a:extLst>
        </xdr:cNvPr>
        <xdr:cNvCxnSpPr/>
      </xdr:nvCxnSpPr>
      <xdr:spPr>
        <a:xfrm flipV="1">
          <a:off x="18034064" y="16109950"/>
          <a:ext cx="1424313" cy="1091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18921</xdr:colOff>
      <xdr:row>69</xdr:row>
      <xdr:rowOff>101279</xdr:rowOff>
    </xdr:from>
    <xdr:ext cx="371384" cy="24885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ECAF7C-CCE7-4340-A323-6AEE10563C89}"/>
            </a:ext>
          </a:extLst>
        </xdr:cNvPr>
        <xdr:cNvSpPr txBox="1"/>
      </xdr:nvSpPr>
      <xdr:spPr>
        <a:xfrm>
          <a:off x="11442571" y="15023779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82</xdr:col>
      <xdr:colOff>24696</xdr:colOff>
      <xdr:row>71</xdr:row>
      <xdr:rowOff>120522</xdr:rowOff>
    </xdr:from>
    <xdr:ext cx="371384" cy="24885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65EAF91-58C5-4EAF-BC2B-A83C83DE7646}"/>
            </a:ext>
          </a:extLst>
        </xdr:cNvPr>
        <xdr:cNvSpPr txBox="1"/>
      </xdr:nvSpPr>
      <xdr:spPr>
        <a:xfrm>
          <a:off x="15613946" y="154748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oneCellAnchor>
    <xdr:from>
      <xdr:col>106</xdr:col>
      <xdr:colOff>32007</xdr:colOff>
      <xdr:row>73</xdr:row>
      <xdr:rowOff>120522</xdr:rowOff>
    </xdr:from>
    <xdr:ext cx="371384" cy="24885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167F09D-87F5-4B6B-8C69-DF9C2459B2D4}"/>
            </a:ext>
          </a:extLst>
        </xdr:cNvPr>
        <xdr:cNvSpPr txBox="1"/>
      </xdr:nvSpPr>
      <xdr:spPr>
        <a:xfrm>
          <a:off x="18059657" y="15906622"/>
          <a:ext cx="37138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solidFill>
                <a:srgbClr val="FF0000"/>
              </a:solidFill>
            </a:rPr>
            <a:t>hi-z</a:t>
          </a:r>
          <a:endParaRPr lang="ko-KR" altLang="en-US" sz="1000">
            <a:solidFill>
              <a:srgbClr val="FF0000"/>
            </a:solidFill>
          </a:endParaRPr>
        </a:p>
      </xdr:txBody>
    </xdr:sp>
    <xdr:clientData/>
  </xdr:oneCellAnchor>
  <xdr:twoCellAnchor>
    <xdr:from>
      <xdr:col>31</xdr:col>
      <xdr:colOff>12829</xdr:colOff>
      <xdr:row>4</xdr:row>
      <xdr:rowOff>51313</xdr:rowOff>
    </xdr:from>
    <xdr:to>
      <xdr:col>31</xdr:col>
      <xdr:colOff>84829</xdr:colOff>
      <xdr:row>5</xdr:row>
      <xdr:rowOff>13232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BD6B21B2-DF82-42DF-93DE-CED714600210}"/>
            </a:ext>
          </a:extLst>
        </xdr:cNvPr>
        <xdr:cNvGrpSpPr/>
      </xdr:nvGrpSpPr>
      <xdr:grpSpPr>
        <a:xfrm>
          <a:off x="10418362" y="940313"/>
          <a:ext cx="72000" cy="190519"/>
          <a:chOff x="8889969" y="717550"/>
          <a:chExt cx="95415" cy="260350"/>
        </a:xfrm>
      </xdr:grpSpPr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B5917A47-9FE5-FC45-9609-F897E516B0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D451AF92-658E-734D-86FF-B5D658CBEF7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24119</xdr:colOff>
      <xdr:row>4</xdr:row>
      <xdr:rowOff>49774</xdr:rowOff>
    </xdr:from>
    <xdr:to>
      <xdr:col>45</xdr:col>
      <xdr:colOff>96119</xdr:colOff>
      <xdr:row>5</xdr:row>
      <xdr:rowOff>11693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3A16BB9D-B478-4412-A0B8-20B002EEA27C}"/>
            </a:ext>
          </a:extLst>
        </xdr:cNvPr>
        <xdr:cNvGrpSpPr/>
      </xdr:nvGrpSpPr>
      <xdr:grpSpPr>
        <a:xfrm>
          <a:off x="11852052" y="938774"/>
          <a:ext cx="72000" cy="190519"/>
          <a:chOff x="8889969" y="717550"/>
          <a:chExt cx="95415" cy="260350"/>
        </a:xfrm>
      </xdr:grpSpPr>
      <xdr:sp macro="" textlink="">
        <xdr:nvSpPr>
          <xdr:cNvPr id="63" name="자유형: 도형 62">
            <a:extLst>
              <a:ext uri="{FF2B5EF4-FFF2-40B4-BE49-F238E27FC236}">
                <a16:creationId xmlns:a16="http://schemas.microsoft.com/office/drawing/2014/main" id="{911F2EEC-310C-950F-FDC9-17CD61DE3A9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BB5E917B-5E6E-649C-E1AE-746F5458760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22580</xdr:colOff>
      <xdr:row>4</xdr:row>
      <xdr:rowOff>41820</xdr:rowOff>
    </xdr:from>
    <xdr:to>
      <xdr:col>59</xdr:col>
      <xdr:colOff>94580</xdr:colOff>
      <xdr:row>5</xdr:row>
      <xdr:rowOff>3739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63105A1-686F-417A-B104-D123E330941F}"/>
            </a:ext>
          </a:extLst>
        </xdr:cNvPr>
        <xdr:cNvGrpSpPr/>
      </xdr:nvGrpSpPr>
      <xdr:grpSpPr>
        <a:xfrm>
          <a:off x="13272913" y="930820"/>
          <a:ext cx="72000" cy="190519"/>
          <a:chOff x="8889969" y="717550"/>
          <a:chExt cx="95415" cy="260350"/>
        </a:xfrm>
      </xdr:grpSpPr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B16C475B-0083-079E-FF6E-C76D9604A4D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64800E45-F5BA-DE5D-1176-71E9E4C3190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27455</xdr:colOff>
      <xdr:row>4</xdr:row>
      <xdr:rowOff>40281</xdr:rowOff>
    </xdr:from>
    <xdr:to>
      <xdr:col>73</xdr:col>
      <xdr:colOff>99455</xdr:colOff>
      <xdr:row>5</xdr:row>
      <xdr:rowOff>2200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CF935F4-562B-4D6A-A9E7-98173C8BB612}"/>
            </a:ext>
          </a:extLst>
        </xdr:cNvPr>
        <xdr:cNvGrpSpPr/>
      </xdr:nvGrpSpPr>
      <xdr:grpSpPr>
        <a:xfrm>
          <a:off x="14700188" y="929281"/>
          <a:ext cx="72000" cy="190519"/>
          <a:chOff x="8889969" y="717550"/>
          <a:chExt cx="95415" cy="260350"/>
        </a:xfrm>
      </xdr:grpSpPr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B2F2AE2A-5EE9-3E66-2BEB-A31734C8AC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9FF3DF25-169A-FBEC-9CAF-3D7C7597173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13088</xdr:colOff>
      <xdr:row>4</xdr:row>
      <xdr:rowOff>45156</xdr:rowOff>
    </xdr:from>
    <xdr:to>
      <xdr:col>87</xdr:col>
      <xdr:colOff>85088</xdr:colOff>
      <xdr:row>5</xdr:row>
      <xdr:rowOff>7075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358F748D-F3DF-4B47-821D-AC808EB95CB5}"/>
            </a:ext>
          </a:extLst>
        </xdr:cNvPr>
        <xdr:cNvGrpSpPr/>
      </xdr:nvGrpSpPr>
      <xdr:grpSpPr>
        <a:xfrm>
          <a:off x="16108221" y="934156"/>
          <a:ext cx="72000" cy="190519"/>
          <a:chOff x="8889969" y="717550"/>
          <a:chExt cx="95415" cy="260350"/>
        </a:xfrm>
      </xdr:grpSpPr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3BB82946-F99F-246D-AD89-BE36A0D5091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0D6C966A-01DF-86E2-035B-6FC9F17F80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17962</xdr:colOff>
      <xdr:row>4</xdr:row>
      <xdr:rowOff>43617</xdr:rowOff>
    </xdr:from>
    <xdr:to>
      <xdr:col>101</xdr:col>
      <xdr:colOff>89962</xdr:colOff>
      <xdr:row>5</xdr:row>
      <xdr:rowOff>5536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876EC2E0-419D-4042-A9C9-CF2426B385C2}"/>
            </a:ext>
          </a:extLst>
        </xdr:cNvPr>
        <xdr:cNvGrpSpPr/>
      </xdr:nvGrpSpPr>
      <xdr:grpSpPr>
        <a:xfrm>
          <a:off x="17535495" y="932617"/>
          <a:ext cx="72000" cy="190519"/>
          <a:chOff x="8889969" y="717550"/>
          <a:chExt cx="95415" cy="260350"/>
        </a:xfrm>
      </xdr:grpSpPr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0B7C5B6F-5B67-BAF4-2082-83C46E19C80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242227F0-0F8E-4EAD-DFDC-5952446C649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20</xdr:row>
      <xdr:rowOff>43359</xdr:rowOff>
    </xdr:from>
    <xdr:to>
      <xdr:col>29</xdr:col>
      <xdr:colOff>96119</xdr:colOff>
      <xdr:row>21</xdr:row>
      <xdr:rowOff>5278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772C2F8F-F997-4A62-AF0E-6E862A60A3EE}"/>
            </a:ext>
          </a:extLst>
        </xdr:cNvPr>
        <xdr:cNvGrpSpPr/>
      </xdr:nvGrpSpPr>
      <xdr:grpSpPr>
        <a:xfrm>
          <a:off x="10226452" y="4479892"/>
          <a:ext cx="72000" cy="182053"/>
          <a:chOff x="8889969" y="717550"/>
          <a:chExt cx="95415" cy="260350"/>
        </a:xfrm>
      </xdr:grpSpPr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E83FE0C3-5094-69B5-8C7F-7C006DFB040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73E746EF-7837-4522-FCDF-A5CD59E52E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20</xdr:row>
      <xdr:rowOff>41820</xdr:rowOff>
    </xdr:from>
    <xdr:to>
      <xdr:col>37</xdr:col>
      <xdr:colOff>88166</xdr:colOff>
      <xdr:row>21</xdr:row>
      <xdr:rowOff>3739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E523D1C8-9C1D-4DF3-B119-741BB5C80CFC}"/>
            </a:ext>
          </a:extLst>
        </xdr:cNvPr>
        <xdr:cNvGrpSpPr/>
      </xdr:nvGrpSpPr>
      <xdr:grpSpPr>
        <a:xfrm>
          <a:off x="11031299" y="4478353"/>
          <a:ext cx="72000" cy="182053"/>
          <a:chOff x="8889969" y="717550"/>
          <a:chExt cx="95415" cy="260350"/>
        </a:xfrm>
      </xdr:grpSpPr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FE19A33B-13A3-C4B6-958C-6ECA40AEE9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D13097BD-7CE4-09D5-1A51-286C665DA02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27456</xdr:colOff>
      <xdr:row>20</xdr:row>
      <xdr:rowOff>53108</xdr:rowOff>
    </xdr:from>
    <xdr:to>
      <xdr:col>45</xdr:col>
      <xdr:colOff>99456</xdr:colOff>
      <xdr:row>21</xdr:row>
      <xdr:rowOff>15027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7AEF47A0-DD9D-4CEB-916A-F8BC780D54FE}"/>
            </a:ext>
          </a:extLst>
        </xdr:cNvPr>
        <xdr:cNvGrpSpPr/>
      </xdr:nvGrpSpPr>
      <xdr:grpSpPr>
        <a:xfrm>
          <a:off x="11855389" y="4489641"/>
          <a:ext cx="72000" cy="182053"/>
          <a:chOff x="8889969" y="717550"/>
          <a:chExt cx="95415" cy="260350"/>
        </a:xfrm>
      </xdr:grpSpPr>
      <xdr:sp macro="" textlink="">
        <xdr:nvSpPr>
          <xdr:cNvPr id="84" name="자유형: 도형 83">
            <a:extLst>
              <a:ext uri="{FF2B5EF4-FFF2-40B4-BE49-F238E27FC236}">
                <a16:creationId xmlns:a16="http://schemas.microsoft.com/office/drawing/2014/main" id="{83106673-98BB-F44C-EDBF-E79FE56A04B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31629956-F146-062B-AF46-9EA838E7B6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32331</xdr:colOff>
      <xdr:row>20</xdr:row>
      <xdr:rowOff>45155</xdr:rowOff>
    </xdr:from>
    <xdr:to>
      <xdr:col>54</xdr:col>
      <xdr:colOff>2731</xdr:colOff>
      <xdr:row>21</xdr:row>
      <xdr:rowOff>7074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ECAEAD06-1862-41DF-A138-2E4784AA56C0}"/>
            </a:ext>
          </a:extLst>
        </xdr:cNvPr>
        <xdr:cNvGrpSpPr/>
      </xdr:nvGrpSpPr>
      <xdr:grpSpPr>
        <a:xfrm>
          <a:off x="12673064" y="4481688"/>
          <a:ext cx="72000" cy="182053"/>
          <a:chOff x="8889969" y="717550"/>
          <a:chExt cx="95415" cy="260350"/>
        </a:xfrm>
      </xdr:grpSpPr>
      <xdr:sp macro="" textlink="">
        <xdr:nvSpPr>
          <xdr:cNvPr id="87" name="자유형: 도형 86">
            <a:extLst>
              <a:ext uri="{FF2B5EF4-FFF2-40B4-BE49-F238E27FC236}">
                <a16:creationId xmlns:a16="http://schemas.microsoft.com/office/drawing/2014/main" id="{DD8D5ED5-B4D1-8CF2-8BA0-C64C0700BBE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8F82A17A-68BF-BE54-1962-EACF1996F1A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24378</xdr:colOff>
      <xdr:row>20</xdr:row>
      <xdr:rowOff>37202</xdr:rowOff>
    </xdr:from>
    <xdr:to>
      <xdr:col>85</xdr:col>
      <xdr:colOff>96378</xdr:colOff>
      <xdr:row>21</xdr:row>
      <xdr:rowOff>1302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EB64B675-C9BE-421D-9F71-96743DA10527}"/>
            </a:ext>
          </a:extLst>
        </xdr:cNvPr>
        <xdr:cNvGrpSpPr/>
      </xdr:nvGrpSpPr>
      <xdr:grpSpPr>
        <a:xfrm>
          <a:off x="15916311" y="4473735"/>
          <a:ext cx="72000" cy="184234"/>
          <a:chOff x="8889969" y="717550"/>
          <a:chExt cx="95415" cy="260350"/>
        </a:xfrm>
      </xdr:grpSpPr>
      <xdr:sp macro="" textlink="">
        <xdr:nvSpPr>
          <xdr:cNvPr id="90" name="자유형: 도형 89">
            <a:extLst>
              <a:ext uri="{FF2B5EF4-FFF2-40B4-BE49-F238E27FC236}">
                <a16:creationId xmlns:a16="http://schemas.microsoft.com/office/drawing/2014/main" id="{54C12426-FAEB-1C77-E021-E872A98131B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4035BF90-5F5A-F1DC-EEDC-09E8461E60F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16424</xdr:colOff>
      <xdr:row>20</xdr:row>
      <xdr:rowOff>42078</xdr:rowOff>
    </xdr:from>
    <xdr:to>
      <xdr:col>101</xdr:col>
      <xdr:colOff>88424</xdr:colOff>
      <xdr:row>21</xdr:row>
      <xdr:rowOff>3997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1453246E-C76E-4E5F-A1C0-B797681FBEFF}"/>
            </a:ext>
          </a:extLst>
        </xdr:cNvPr>
        <xdr:cNvGrpSpPr/>
      </xdr:nvGrpSpPr>
      <xdr:grpSpPr>
        <a:xfrm>
          <a:off x="17533957" y="4478611"/>
          <a:ext cx="72000" cy="182053"/>
          <a:chOff x="8889969" y="717550"/>
          <a:chExt cx="95415" cy="260350"/>
        </a:xfrm>
      </xdr:grpSpPr>
      <xdr:sp macro="" textlink="">
        <xdr:nvSpPr>
          <xdr:cNvPr id="93" name="자유형: 도형 92">
            <a:extLst>
              <a:ext uri="{FF2B5EF4-FFF2-40B4-BE49-F238E27FC236}">
                <a16:creationId xmlns:a16="http://schemas.microsoft.com/office/drawing/2014/main" id="{C3F3148F-E03E-AAE9-4793-CB57773039C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9A83D79D-17FA-9CF0-9BD7-EADC1EE49BB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9751</xdr:colOff>
      <xdr:row>36</xdr:row>
      <xdr:rowOff>41820</xdr:rowOff>
    </xdr:from>
    <xdr:to>
      <xdr:col>31</xdr:col>
      <xdr:colOff>81751</xdr:colOff>
      <xdr:row>37</xdr:row>
      <xdr:rowOff>3739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626547F1-7A34-4689-A42F-A5E865E8D667}"/>
            </a:ext>
          </a:extLst>
        </xdr:cNvPr>
        <xdr:cNvGrpSpPr/>
      </xdr:nvGrpSpPr>
      <xdr:grpSpPr>
        <a:xfrm>
          <a:off x="10415284" y="8000487"/>
          <a:ext cx="72000" cy="182052"/>
          <a:chOff x="8889969" y="717550"/>
          <a:chExt cx="95415" cy="260350"/>
        </a:xfrm>
      </xdr:grpSpPr>
      <xdr:sp macro="" textlink="">
        <xdr:nvSpPr>
          <xdr:cNvPr id="96" name="자유형: 도형 95">
            <a:extLst>
              <a:ext uri="{FF2B5EF4-FFF2-40B4-BE49-F238E27FC236}">
                <a16:creationId xmlns:a16="http://schemas.microsoft.com/office/drawing/2014/main" id="{7E90460B-6B60-B247-9BD0-62C8AD8E21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9830ECA7-262B-5439-F658-3AC02DAE204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21041</xdr:colOff>
      <xdr:row>36</xdr:row>
      <xdr:rowOff>40281</xdr:rowOff>
    </xdr:from>
    <xdr:to>
      <xdr:col>45</xdr:col>
      <xdr:colOff>93041</xdr:colOff>
      <xdr:row>37</xdr:row>
      <xdr:rowOff>2200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65533E5E-D695-4470-BF8D-40D1457AE5A4}"/>
            </a:ext>
          </a:extLst>
        </xdr:cNvPr>
        <xdr:cNvGrpSpPr/>
      </xdr:nvGrpSpPr>
      <xdr:grpSpPr>
        <a:xfrm>
          <a:off x="11848974" y="7998948"/>
          <a:ext cx="72000" cy="182052"/>
          <a:chOff x="8889969" y="717550"/>
          <a:chExt cx="95415" cy="260350"/>
        </a:xfrm>
      </xdr:grpSpPr>
      <xdr:sp macro="" textlink="">
        <xdr:nvSpPr>
          <xdr:cNvPr id="99" name="자유형: 도형 98">
            <a:extLst>
              <a:ext uri="{FF2B5EF4-FFF2-40B4-BE49-F238E27FC236}">
                <a16:creationId xmlns:a16="http://schemas.microsoft.com/office/drawing/2014/main" id="{1B142180-5CF9-8A91-AAC0-1D0A027CD7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49AE63C9-BD94-E70C-FC1D-0C46C46D350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19502</xdr:colOff>
      <xdr:row>36</xdr:row>
      <xdr:rowOff>32327</xdr:rowOff>
    </xdr:from>
    <xdr:to>
      <xdr:col>59</xdr:col>
      <xdr:colOff>91502</xdr:colOff>
      <xdr:row>36</xdr:row>
      <xdr:rowOff>212327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DCA012B8-BB02-444D-95B5-E97343DF68D1}"/>
            </a:ext>
          </a:extLst>
        </xdr:cNvPr>
        <xdr:cNvGrpSpPr/>
      </xdr:nvGrpSpPr>
      <xdr:grpSpPr>
        <a:xfrm>
          <a:off x="13269835" y="7990994"/>
          <a:ext cx="72000" cy="180000"/>
          <a:chOff x="8889969" y="717550"/>
          <a:chExt cx="95415" cy="260350"/>
        </a:xfrm>
      </xdr:grpSpPr>
      <xdr:sp macro="" textlink="">
        <xdr:nvSpPr>
          <xdr:cNvPr id="102" name="자유형: 도형 101">
            <a:extLst>
              <a:ext uri="{FF2B5EF4-FFF2-40B4-BE49-F238E27FC236}">
                <a16:creationId xmlns:a16="http://schemas.microsoft.com/office/drawing/2014/main" id="{D9AD2A17-DA80-44DA-4043-E91B1C87759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BDB75272-587A-A116-00AB-8728BD2EF4E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24377</xdr:colOff>
      <xdr:row>36</xdr:row>
      <xdr:rowOff>30788</xdr:rowOff>
    </xdr:from>
    <xdr:to>
      <xdr:col>73</xdr:col>
      <xdr:colOff>96377</xdr:colOff>
      <xdr:row>36</xdr:row>
      <xdr:rowOff>210788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E191D645-32A0-4F12-8FC6-54070D90C312}"/>
            </a:ext>
          </a:extLst>
        </xdr:cNvPr>
        <xdr:cNvGrpSpPr/>
      </xdr:nvGrpSpPr>
      <xdr:grpSpPr>
        <a:xfrm>
          <a:off x="14697110" y="7989455"/>
          <a:ext cx="72000" cy="180000"/>
          <a:chOff x="8889969" y="717550"/>
          <a:chExt cx="95415" cy="260350"/>
        </a:xfrm>
      </xdr:grpSpPr>
      <xdr:sp macro="" textlink="">
        <xdr:nvSpPr>
          <xdr:cNvPr id="105" name="자유형: 도형 104">
            <a:extLst>
              <a:ext uri="{FF2B5EF4-FFF2-40B4-BE49-F238E27FC236}">
                <a16:creationId xmlns:a16="http://schemas.microsoft.com/office/drawing/2014/main" id="{84097E04-880C-FACF-238D-DE63B42124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3EE996DE-A369-C638-7965-AF804B95B16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10010</xdr:colOff>
      <xdr:row>36</xdr:row>
      <xdr:rowOff>35663</xdr:rowOff>
    </xdr:from>
    <xdr:to>
      <xdr:col>87</xdr:col>
      <xdr:colOff>82010</xdr:colOff>
      <xdr:row>36</xdr:row>
      <xdr:rowOff>215663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42B12BAB-F5BF-428D-B5E6-49EF09C2C92C}"/>
            </a:ext>
          </a:extLst>
        </xdr:cNvPr>
        <xdr:cNvGrpSpPr/>
      </xdr:nvGrpSpPr>
      <xdr:grpSpPr>
        <a:xfrm>
          <a:off x="16105143" y="7994330"/>
          <a:ext cx="72000" cy="180000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FFF30D81-E3AB-C335-E46E-D123ABEED1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EF195AFA-6F7D-970C-8478-289D1C8F1D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36</xdr:row>
      <xdr:rowOff>34124</xdr:rowOff>
    </xdr:from>
    <xdr:to>
      <xdr:col>101</xdr:col>
      <xdr:colOff>86884</xdr:colOff>
      <xdr:row>36</xdr:row>
      <xdr:rowOff>214124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9A02756-7DD5-4C6A-A102-383494E0574C}"/>
            </a:ext>
          </a:extLst>
        </xdr:cNvPr>
        <xdr:cNvGrpSpPr/>
      </xdr:nvGrpSpPr>
      <xdr:grpSpPr>
        <a:xfrm>
          <a:off x="17532417" y="7992791"/>
          <a:ext cx="72000" cy="180000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2725A458-FFDB-EA55-EE1E-9C7B509B79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85A6D4BE-DAAF-03CF-5836-409FB0C45F6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21299</xdr:colOff>
      <xdr:row>20</xdr:row>
      <xdr:rowOff>53367</xdr:rowOff>
    </xdr:from>
    <xdr:to>
      <xdr:col>93</xdr:col>
      <xdr:colOff>93299</xdr:colOff>
      <xdr:row>21</xdr:row>
      <xdr:rowOff>15286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86181A78-4907-4DF9-811B-CB9E7609BE7E}"/>
            </a:ext>
          </a:extLst>
        </xdr:cNvPr>
        <xdr:cNvGrpSpPr/>
      </xdr:nvGrpSpPr>
      <xdr:grpSpPr>
        <a:xfrm>
          <a:off x="16726032" y="4489900"/>
          <a:ext cx="72000" cy="182053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CC8EFD77-5A6C-0BC2-E057-87726ED12AE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B6CFC83E-3F53-75E0-A457-78F099743C7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26175</xdr:colOff>
      <xdr:row>20</xdr:row>
      <xdr:rowOff>45413</xdr:rowOff>
    </xdr:from>
    <xdr:to>
      <xdr:col>77</xdr:col>
      <xdr:colOff>98175</xdr:colOff>
      <xdr:row>21</xdr:row>
      <xdr:rowOff>7332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435BC014-D3AF-46B0-B79E-F3242F642118}"/>
            </a:ext>
          </a:extLst>
        </xdr:cNvPr>
        <xdr:cNvGrpSpPr/>
      </xdr:nvGrpSpPr>
      <xdr:grpSpPr>
        <a:xfrm>
          <a:off x="15105308" y="4481946"/>
          <a:ext cx="72000" cy="182053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1FD754F3-CBDE-D2E0-98A9-0F088578BA1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691FF948-8E15-815F-D694-AC7A442AEA2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31049</xdr:colOff>
      <xdr:row>20</xdr:row>
      <xdr:rowOff>43874</xdr:rowOff>
    </xdr:from>
    <xdr:to>
      <xdr:col>62</xdr:col>
      <xdr:colOff>1449</xdr:colOff>
      <xdr:row>21</xdr:row>
      <xdr:rowOff>5793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1CF888E6-27D6-45FC-9CA3-4537077A04CA}"/>
            </a:ext>
          </a:extLst>
        </xdr:cNvPr>
        <xdr:cNvGrpSpPr/>
      </xdr:nvGrpSpPr>
      <xdr:grpSpPr>
        <a:xfrm>
          <a:off x="13484582" y="4480407"/>
          <a:ext cx="72000" cy="182053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1D04230B-60BB-569F-7139-2E7F19DA404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7882EB25-1F03-A60F-93F1-2D4AFA82B2E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23096</xdr:colOff>
      <xdr:row>20</xdr:row>
      <xdr:rowOff>42335</xdr:rowOff>
    </xdr:from>
    <xdr:to>
      <xdr:col>69</xdr:col>
      <xdr:colOff>95096</xdr:colOff>
      <xdr:row>21</xdr:row>
      <xdr:rowOff>4254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D48B961D-9F0A-4EF0-A56F-041FC17713F1}"/>
            </a:ext>
          </a:extLst>
        </xdr:cNvPr>
        <xdr:cNvGrpSpPr/>
      </xdr:nvGrpSpPr>
      <xdr:grpSpPr>
        <a:xfrm>
          <a:off x="14289429" y="4478868"/>
          <a:ext cx="72000" cy="182053"/>
          <a:chOff x="8889969" y="717550"/>
          <a:chExt cx="95415" cy="260350"/>
        </a:xfrm>
      </xdr:grpSpPr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BFE56ED5-0559-96E2-3FF3-461D6176C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E4F17997-E2F5-62AE-B223-34873BE50BA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22579</xdr:colOff>
      <xdr:row>58</xdr:row>
      <xdr:rowOff>41820</xdr:rowOff>
    </xdr:from>
    <xdr:to>
      <xdr:col>29</xdr:col>
      <xdr:colOff>94579</xdr:colOff>
      <xdr:row>59</xdr:row>
      <xdr:rowOff>3739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EF15E402-CA00-4E23-892B-D8E91D170799}"/>
            </a:ext>
          </a:extLst>
        </xdr:cNvPr>
        <xdr:cNvGrpSpPr/>
      </xdr:nvGrpSpPr>
      <xdr:grpSpPr>
        <a:xfrm>
          <a:off x="10224912" y="12843420"/>
          <a:ext cx="72000" cy="182052"/>
          <a:chOff x="8889969" y="717550"/>
          <a:chExt cx="95415" cy="260350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0FD81B1F-5FC5-3A41-CF31-A171ADE5F84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7AE43A00-E34C-F544-F7DE-D6CCBB35658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14626</xdr:colOff>
      <xdr:row>58</xdr:row>
      <xdr:rowOff>40281</xdr:rowOff>
    </xdr:from>
    <xdr:to>
      <xdr:col>37</xdr:col>
      <xdr:colOff>86626</xdr:colOff>
      <xdr:row>59</xdr:row>
      <xdr:rowOff>2200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CC3FC4B0-0471-4B38-8634-F7DB8732AAFE}"/>
            </a:ext>
          </a:extLst>
        </xdr:cNvPr>
        <xdr:cNvGrpSpPr/>
      </xdr:nvGrpSpPr>
      <xdr:grpSpPr>
        <a:xfrm>
          <a:off x="11029759" y="12841881"/>
          <a:ext cx="72000" cy="182052"/>
          <a:chOff x="8889969" y="717550"/>
          <a:chExt cx="95415" cy="260350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7BDE9370-4E5D-76BC-7986-80B08C3361D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4FE0E1AE-9FCE-31D3-0DED-0604250B5CF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25916</xdr:colOff>
      <xdr:row>58</xdr:row>
      <xdr:rowOff>51569</xdr:rowOff>
    </xdr:from>
    <xdr:to>
      <xdr:col>45</xdr:col>
      <xdr:colOff>97916</xdr:colOff>
      <xdr:row>59</xdr:row>
      <xdr:rowOff>13488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2D3F5065-49C1-40AF-9924-E98B106D5CA9}"/>
            </a:ext>
          </a:extLst>
        </xdr:cNvPr>
        <xdr:cNvGrpSpPr/>
      </xdr:nvGrpSpPr>
      <xdr:grpSpPr>
        <a:xfrm>
          <a:off x="11853849" y="12853169"/>
          <a:ext cx="72000" cy="182052"/>
          <a:chOff x="8889969" y="717550"/>
          <a:chExt cx="95415" cy="260350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173BAA84-F8AA-C979-8ACF-09C298DA68C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A2CA997C-ADAA-FC1C-29B7-A88DC0882DD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30791</xdr:colOff>
      <xdr:row>58</xdr:row>
      <xdr:rowOff>43616</xdr:rowOff>
    </xdr:from>
    <xdr:to>
      <xdr:col>54</xdr:col>
      <xdr:colOff>1191</xdr:colOff>
      <xdr:row>59</xdr:row>
      <xdr:rowOff>5535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78F4E62A-FE8D-49CC-B383-5B8C1B5D3B30}"/>
            </a:ext>
          </a:extLst>
        </xdr:cNvPr>
        <xdr:cNvGrpSpPr/>
      </xdr:nvGrpSpPr>
      <xdr:grpSpPr>
        <a:xfrm>
          <a:off x="12671524" y="12845216"/>
          <a:ext cx="72000" cy="182052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05D37281-1643-F2BE-C8B5-E74BBBE326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F200278E-C0E6-156C-BF8F-D8364BD8D9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22838</xdr:colOff>
      <xdr:row>58</xdr:row>
      <xdr:rowOff>35663</xdr:rowOff>
    </xdr:from>
    <xdr:to>
      <xdr:col>85</xdr:col>
      <xdr:colOff>94838</xdr:colOff>
      <xdr:row>58</xdr:row>
      <xdr:rowOff>215663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C24B7421-96CD-4200-A41F-14E9026ABA3E}"/>
            </a:ext>
          </a:extLst>
        </xdr:cNvPr>
        <xdr:cNvGrpSpPr/>
      </xdr:nvGrpSpPr>
      <xdr:grpSpPr>
        <a:xfrm>
          <a:off x="15914771" y="12837263"/>
          <a:ext cx="72000" cy="180000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0415649E-EDB7-867C-4E79-D9BBDFD1F20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91E9E556-23AA-A138-BE2C-3C5FCDCE35D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14884</xdr:colOff>
      <xdr:row>58</xdr:row>
      <xdr:rowOff>40539</xdr:rowOff>
    </xdr:from>
    <xdr:to>
      <xdr:col>101</xdr:col>
      <xdr:colOff>86884</xdr:colOff>
      <xdr:row>59</xdr:row>
      <xdr:rowOff>2458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9BD2BF90-7663-474D-AE82-FE66D42200FF}"/>
            </a:ext>
          </a:extLst>
        </xdr:cNvPr>
        <xdr:cNvGrpSpPr/>
      </xdr:nvGrpSpPr>
      <xdr:grpSpPr>
        <a:xfrm>
          <a:off x="17532417" y="12842139"/>
          <a:ext cx="72000" cy="182052"/>
          <a:chOff x="8889969" y="717550"/>
          <a:chExt cx="95415" cy="260350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43E2A3EC-A1B0-C236-6CE4-57D3789AE72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73135809-0EF8-225A-85E6-C7B48AFD37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19759</xdr:colOff>
      <xdr:row>58</xdr:row>
      <xdr:rowOff>51828</xdr:rowOff>
    </xdr:from>
    <xdr:to>
      <xdr:col>93</xdr:col>
      <xdr:colOff>91759</xdr:colOff>
      <xdr:row>59</xdr:row>
      <xdr:rowOff>13747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CAE6B747-0184-48DF-B55C-9A4A3BA08494}"/>
            </a:ext>
          </a:extLst>
        </xdr:cNvPr>
        <xdr:cNvGrpSpPr/>
      </xdr:nvGrpSpPr>
      <xdr:grpSpPr>
        <a:xfrm>
          <a:off x="16724492" y="12853428"/>
          <a:ext cx="72000" cy="182052"/>
          <a:chOff x="8889969" y="717550"/>
          <a:chExt cx="95415" cy="260350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268072D2-B127-B90B-3EB0-9E0FA17C0DF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A2292364-6AAB-5CF0-3357-071A92A0D8C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24635</xdr:colOff>
      <xdr:row>58</xdr:row>
      <xdr:rowOff>43874</xdr:rowOff>
    </xdr:from>
    <xdr:to>
      <xdr:col>77</xdr:col>
      <xdr:colOff>96635</xdr:colOff>
      <xdr:row>59</xdr:row>
      <xdr:rowOff>5793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724602C1-3FCF-4751-944D-82140B35E461}"/>
            </a:ext>
          </a:extLst>
        </xdr:cNvPr>
        <xdr:cNvGrpSpPr/>
      </xdr:nvGrpSpPr>
      <xdr:grpSpPr>
        <a:xfrm>
          <a:off x="15103768" y="12845474"/>
          <a:ext cx="72000" cy="182052"/>
          <a:chOff x="8889969" y="717550"/>
          <a:chExt cx="95415" cy="260350"/>
        </a:xfrm>
      </xdr:grpSpPr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B188CF6A-B338-56F5-709C-5CFDA06D013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자유형: 도형 147">
            <a:extLst>
              <a:ext uri="{FF2B5EF4-FFF2-40B4-BE49-F238E27FC236}">
                <a16:creationId xmlns:a16="http://schemas.microsoft.com/office/drawing/2014/main" id="{DE9AF9CA-8232-8AD9-3693-CA4E184B5B2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29509</xdr:colOff>
      <xdr:row>58</xdr:row>
      <xdr:rowOff>42335</xdr:rowOff>
    </xdr:from>
    <xdr:to>
      <xdr:col>61</xdr:col>
      <xdr:colOff>101509</xdr:colOff>
      <xdr:row>59</xdr:row>
      <xdr:rowOff>4254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F8963233-A55A-403A-B6DD-BC41FDDD7F01}"/>
            </a:ext>
          </a:extLst>
        </xdr:cNvPr>
        <xdr:cNvGrpSpPr/>
      </xdr:nvGrpSpPr>
      <xdr:grpSpPr>
        <a:xfrm>
          <a:off x="13483042" y="12843935"/>
          <a:ext cx="72000" cy="182052"/>
          <a:chOff x="8889969" y="717550"/>
          <a:chExt cx="95415" cy="260350"/>
        </a:xfrm>
      </xdr:grpSpPr>
      <xdr:sp macro="" textlink="">
        <xdr:nvSpPr>
          <xdr:cNvPr id="150" name="자유형: 도형 149">
            <a:extLst>
              <a:ext uri="{FF2B5EF4-FFF2-40B4-BE49-F238E27FC236}">
                <a16:creationId xmlns:a16="http://schemas.microsoft.com/office/drawing/2014/main" id="{64212A47-DC89-049A-9DC9-DF3E6A2E97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자유형: 도형 150">
            <a:extLst>
              <a:ext uri="{FF2B5EF4-FFF2-40B4-BE49-F238E27FC236}">
                <a16:creationId xmlns:a16="http://schemas.microsoft.com/office/drawing/2014/main" id="{1C93A496-1F7A-644C-7BD1-37CBDE48D44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21556</xdr:colOff>
      <xdr:row>58</xdr:row>
      <xdr:rowOff>40796</xdr:rowOff>
    </xdr:from>
    <xdr:to>
      <xdr:col>69</xdr:col>
      <xdr:colOff>93556</xdr:colOff>
      <xdr:row>59</xdr:row>
      <xdr:rowOff>2715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8E23590C-B2BB-44F9-8B91-C3BD18FD8D4F}"/>
            </a:ext>
          </a:extLst>
        </xdr:cNvPr>
        <xdr:cNvGrpSpPr/>
      </xdr:nvGrpSpPr>
      <xdr:grpSpPr>
        <a:xfrm>
          <a:off x="14287889" y="12842396"/>
          <a:ext cx="72000" cy="182052"/>
          <a:chOff x="8889969" y="717550"/>
          <a:chExt cx="95415" cy="260350"/>
        </a:xfrm>
      </xdr:grpSpPr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7FE39665-E6CF-4F12-3ACE-E1E1E48C168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10FB06D0-FE8E-C2AB-0610-C13880C6D63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41</xdr:col>
      <xdr:colOff>7553</xdr:colOff>
      <xdr:row>80</xdr:row>
      <xdr:rowOff>33209</xdr:rowOff>
    </xdr:from>
    <xdr:to>
      <xdr:col>41</xdr:col>
      <xdr:colOff>79553</xdr:colOff>
      <xdr:row>81</xdr:row>
      <xdr:rowOff>2858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FB629CB2-A8D3-49B3-B5E7-355A09F3E259}"/>
            </a:ext>
          </a:extLst>
        </xdr:cNvPr>
        <xdr:cNvGrpSpPr/>
      </xdr:nvGrpSpPr>
      <xdr:grpSpPr>
        <a:xfrm>
          <a:off x="11429086" y="17677742"/>
          <a:ext cx="72000" cy="189783"/>
          <a:chOff x="8889969" y="717550"/>
          <a:chExt cx="95415" cy="260350"/>
        </a:xfrm>
      </xdr:grpSpPr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02F85A68-2917-921E-E56A-72CA4410F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3021478B-4FD0-63B8-83DF-7416226300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80</xdr:row>
      <xdr:rowOff>33209</xdr:rowOff>
    </xdr:from>
    <xdr:to>
      <xdr:col>67</xdr:col>
      <xdr:colOff>79553</xdr:colOff>
      <xdr:row>81</xdr:row>
      <xdr:rowOff>2858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6F491910-780E-465E-84E9-EB3D1DFA2BE7}"/>
            </a:ext>
          </a:extLst>
        </xdr:cNvPr>
        <xdr:cNvGrpSpPr/>
      </xdr:nvGrpSpPr>
      <xdr:grpSpPr>
        <a:xfrm>
          <a:off x="14070686" y="17677742"/>
          <a:ext cx="72000" cy="189783"/>
          <a:chOff x="8889969" y="717550"/>
          <a:chExt cx="95415" cy="260350"/>
        </a:xfrm>
      </xdr:grpSpPr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4EB7B7C3-9254-9052-B32B-6F4769FA183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49E44696-E6F6-7A3B-58F5-AD3CBAEC2D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80</xdr:row>
      <xdr:rowOff>33209</xdr:rowOff>
    </xdr:from>
    <xdr:to>
      <xdr:col>93</xdr:col>
      <xdr:colOff>79553</xdr:colOff>
      <xdr:row>81</xdr:row>
      <xdr:rowOff>2858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A306E711-1949-4FDB-876D-083959B231A6}"/>
            </a:ext>
          </a:extLst>
        </xdr:cNvPr>
        <xdr:cNvGrpSpPr/>
      </xdr:nvGrpSpPr>
      <xdr:grpSpPr>
        <a:xfrm>
          <a:off x="16712286" y="17677742"/>
          <a:ext cx="72000" cy="189783"/>
          <a:chOff x="8889969" y="717550"/>
          <a:chExt cx="95415" cy="260350"/>
        </a:xfrm>
      </xdr:grpSpPr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CB15D8AD-90CB-2BEF-FD31-D59DD272410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113A1001-CA61-9611-DB68-88D8E1F27D9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67</xdr:col>
      <xdr:colOff>7553</xdr:colOff>
      <xdr:row>84</xdr:row>
      <xdr:rowOff>33209</xdr:rowOff>
    </xdr:from>
    <xdr:to>
      <xdr:col>67</xdr:col>
      <xdr:colOff>79553</xdr:colOff>
      <xdr:row>85</xdr:row>
      <xdr:rowOff>2858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5204EF8-DE26-42D2-9553-B5317CA01906}"/>
            </a:ext>
          </a:extLst>
        </xdr:cNvPr>
        <xdr:cNvGrpSpPr/>
      </xdr:nvGrpSpPr>
      <xdr:grpSpPr>
        <a:xfrm>
          <a:off x="14070686" y="18558276"/>
          <a:ext cx="72000" cy="189782"/>
          <a:chOff x="8889969" y="717550"/>
          <a:chExt cx="95415" cy="260350"/>
        </a:xfrm>
      </xdr:grpSpPr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730F73EC-A017-4EDB-7350-E45AF43AA19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4BF2D62D-409A-DB40-851C-ACC40B2C8C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84</xdr:row>
      <xdr:rowOff>33209</xdr:rowOff>
    </xdr:from>
    <xdr:to>
      <xdr:col>93</xdr:col>
      <xdr:colOff>79553</xdr:colOff>
      <xdr:row>85</xdr:row>
      <xdr:rowOff>2858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BEC8EE2E-BAE3-4456-8B14-117E142B9F81}"/>
            </a:ext>
          </a:extLst>
        </xdr:cNvPr>
        <xdr:cNvGrpSpPr/>
      </xdr:nvGrpSpPr>
      <xdr:grpSpPr>
        <a:xfrm>
          <a:off x="16712286" y="18558276"/>
          <a:ext cx="72000" cy="189782"/>
          <a:chOff x="8889969" y="717550"/>
          <a:chExt cx="95415" cy="260350"/>
        </a:xfrm>
      </xdr:grpSpPr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5820F7E-00D5-7425-B288-D1CD7D2CD34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96A04992-789D-D29E-70FB-5044C1991F8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7553</xdr:colOff>
      <xdr:row>88</xdr:row>
      <xdr:rowOff>33209</xdr:rowOff>
    </xdr:from>
    <xdr:to>
      <xdr:col>93</xdr:col>
      <xdr:colOff>79553</xdr:colOff>
      <xdr:row>89</xdr:row>
      <xdr:rowOff>2858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7E4BC3F-2C00-4732-8D35-44C52B0EF18A}"/>
            </a:ext>
          </a:extLst>
        </xdr:cNvPr>
        <xdr:cNvGrpSpPr/>
      </xdr:nvGrpSpPr>
      <xdr:grpSpPr>
        <a:xfrm>
          <a:off x="16712286" y="19438809"/>
          <a:ext cx="72000" cy="189782"/>
          <a:chOff x="8889969" y="717550"/>
          <a:chExt cx="95415" cy="260350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3B5242E9-2B3F-A430-FDDA-70770F04709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66F19546-7CDA-F4D6-23D1-E2D3135ADEF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24119</xdr:colOff>
      <xdr:row>101</xdr:row>
      <xdr:rowOff>43359</xdr:rowOff>
    </xdr:from>
    <xdr:to>
      <xdr:col>29</xdr:col>
      <xdr:colOff>96119</xdr:colOff>
      <xdr:row>102</xdr:row>
      <xdr:rowOff>5278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2EC81040-56C6-4710-ADB7-7D3098756FE1}"/>
            </a:ext>
          </a:extLst>
        </xdr:cNvPr>
        <xdr:cNvGrpSpPr/>
      </xdr:nvGrpSpPr>
      <xdr:grpSpPr>
        <a:xfrm>
          <a:off x="10226452" y="22310692"/>
          <a:ext cx="72000" cy="182053"/>
          <a:chOff x="8889969" y="717550"/>
          <a:chExt cx="95415" cy="260350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1B6D360-7A2E-2155-A1F1-F53B06E28F9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7FD0FFAE-80E5-67AC-D8E4-1C1383B3C2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16166</xdr:colOff>
      <xdr:row>101</xdr:row>
      <xdr:rowOff>41820</xdr:rowOff>
    </xdr:from>
    <xdr:to>
      <xdr:col>37</xdr:col>
      <xdr:colOff>88166</xdr:colOff>
      <xdr:row>102</xdr:row>
      <xdr:rowOff>3739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A6EB39C7-EB38-4143-A033-450D8581DB26}"/>
            </a:ext>
          </a:extLst>
        </xdr:cNvPr>
        <xdr:cNvGrpSpPr/>
      </xdr:nvGrpSpPr>
      <xdr:grpSpPr>
        <a:xfrm>
          <a:off x="11031299" y="22309153"/>
          <a:ext cx="72000" cy="182053"/>
          <a:chOff x="8889969" y="717550"/>
          <a:chExt cx="95415" cy="260350"/>
        </a:xfrm>
      </xdr:grpSpPr>
      <xdr:sp macro="" textlink="">
        <xdr:nvSpPr>
          <xdr:cNvPr id="177" name="자유형: 도형 176">
            <a:extLst>
              <a:ext uri="{FF2B5EF4-FFF2-40B4-BE49-F238E27FC236}">
                <a16:creationId xmlns:a16="http://schemas.microsoft.com/office/drawing/2014/main" id="{972DBBA8-1688-2051-072F-E285E6B135C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B3AD20E4-BF9B-CD00-86B9-9CD8D6EC4FA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48714</xdr:colOff>
      <xdr:row>101</xdr:row>
      <xdr:rowOff>46758</xdr:rowOff>
    </xdr:from>
    <xdr:to>
      <xdr:col>43</xdr:col>
      <xdr:colOff>10279</xdr:colOff>
      <xdr:row>102</xdr:row>
      <xdr:rowOff>8677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76BC6CEE-F94B-49EB-B0D6-7B41F727CB53}"/>
            </a:ext>
          </a:extLst>
        </xdr:cNvPr>
        <xdr:cNvGrpSpPr/>
      </xdr:nvGrpSpPr>
      <xdr:grpSpPr>
        <a:xfrm>
          <a:off x="11571847" y="22314091"/>
          <a:ext cx="63165" cy="182053"/>
          <a:chOff x="8889969" y="717550"/>
          <a:chExt cx="95415" cy="260350"/>
        </a:xfrm>
      </xdr:grpSpPr>
      <xdr:sp macro="" textlink="">
        <xdr:nvSpPr>
          <xdr:cNvPr id="180" name="자유형: 도형 179">
            <a:extLst>
              <a:ext uri="{FF2B5EF4-FFF2-40B4-BE49-F238E27FC236}">
                <a16:creationId xmlns:a16="http://schemas.microsoft.com/office/drawing/2014/main" id="{C1A7E826-E982-9278-F711-A43B14CA0A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F90D84AC-5378-B4BC-18DA-3DC5BFDC8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42</xdr:col>
      <xdr:colOff>14756</xdr:colOff>
      <xdr:row>107</xdr:row>
      <xdr:rowOff>26603</xdr:rowOff>
    </xdr:from>
    <xdr:to>
      <xdr:col>42</xdr:col>
      <xdr:colOff>86756</xdr:colOff>
      <xdr:row>107</xdr:row>
      <xdr:rowOff>202489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9D86974E-910D-42C5-84A2-80499B52DD10}"/>
            </a:ext>
          </a:extLst>
        </xdr:cNvPr>
        <xdr:cNvGrpSpPr/>
      </xdr:nvGrpSpPr>
      <xdr:grpSpPr>
        <a:xfrm>
          <a:off x="11537889" y="23614736"/>
          <a:ext cx="72000" cy="175886"/>
          <a:chOff x="8889969" y="717550"/>
          <a:chExt cx="95415" cy="260350"/>
        </a:xfrm>
      </xdr:grpSpPr>
      <xdr:sp macro="" textlink="">
        <xdr:nvSpPr>
          <xdr:cNvPr id="183" name="자유형: 도형 182">
            <a:extLst>
              <a:ext uri="{FF2B5EF4-FFF2-40B4-BE49-F238E27FC236}">
                <a16:creationId xmlns:a16="http://schemas.microsoft.com/office/drawing/2014/main" id="{1161E851-0081-14C6-2243-74A75E796E7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386654F5-33FB-32C5-C169-F739F612AAC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15308</xdr:colOff>
      <xdr:row>107</xdr:row>
      <xdr:rowOff>20253</xdr:rowOff>
    </xdr:from>
    <xdr:to>
      <xdr:col>69</xdr:col>
      <xdr:colOff>87308</xdr:colOff>
      <xdr:row>107</xdr:row>
      <xdr:rowOff>196139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33FDC398-34BB-44C8-A2D9-B0F36289E83D}"/>
            </a:ext>
          </a:extLst>
        </xdr:cNvPr>
        <xdr:cNvGrpSpPr/>
      </xdr:nvGrpSpPr>
      <xdr:grpSpPr>
        <a:xfrm>
          <a:off x="14281641" y="23608386"/>
          <a:ext cx="72000" cy="175886"/>
          <a:chOff x="8889969" y="717550"/>
          <a:chExt cx="95415" cy="260350"/>
        </a:xfrm>
      </xdr:grpSpPr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3E2DA3D6-FF21-F2FE-00B2-8C252CE9123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584491AD-19AC-5273-EB3E-121AC29D631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15860</xdr:colOff>
      <xdr:row>107</xdr:row>
      <xdr:rowOff>7001</xdr:rowOff>
    </xdr:from>
    <xdr:to>
      <xdr:col>96</xdr:col>
      <xdr:colOff>87860</xdr:colOff>
      <xdr:row>107</xdr:row>
      <xdr:rowOff>182887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D1C256B5-9880-44D6-900F-2604AA356D5D}"/>
            </a:ext>
          </a:extLst>
        </xdr:cNvPr>
        <xdr:cNvGrpSpPr/>
      </xdr:nvGrpSpPr>
      <xdr:grpSpPr>
        <a:xfrm>
          <a:off x="17025393" y="23595134"/>
          <a:ext cx="72000" cy="175886"/>
          <a:chOff x="8889969" y="717550"/>
          <a:chExt cx="95415" cy="260350"/>
        </a:xfrm>
      </xdr:grpSpPr>
      <xdr:sp macro="" textlink="">
        <xdr:nvSpPr>
          <xdr:cNvPr id="189" name="자유형: 도형 188">
            <a:extLst>
              <a:ext uri="{FF2B5EF4-FFF2-40B4-BE49-F238E27FC236}">
                <a16:creationId xmlns:a16="http://schemas.microsoft.com/office/drawing/2014/main" id="{E055CDB8-AED6-FE30-8580-15DA0B5715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5261A3D4-534C-A403-381E-E4A2313CCCE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48</xdr:col>
      <xdr:colOff>7853</xdr:colOff>
      <xdr:row>101</xdr:row>
      <xdr:rowOff>26604</xdr:rowOff>
    </xdr:from>
    <xdr:to>
      <xdr:col>48</xdr:col>
      <xdr:colOff>79853</xdr:colOff>
      <xdr:row>101</xdr:row>
      <xdr:rowOff>202490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330EB19E-B5CF-4339-B72B-AE5D899586D5}"/>
            </a:ext>
          </a:extLst>
        </xdr:cNvPr>
        <xdr:cNvGrpSpPr/>
      </xdr:nvGrpSpPr>
      <xdr:grpSpPr>
        <a:xfrm>
          <a:off x="12140586" y="22293937"/>
          <a:ext cx="72000" cy="175886"/>
          <a:chOff x="8889969" y="717550"/>
          <a:chExt cx="95415" cy="260350"/>
        </a:xfrm>
      </xdr:grpSpPr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6AD25A02-B5A4-9C1E-37D5-6FAC1763CA3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9323DD92-B08B-EB30-CFEF-462796F6334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101</xdr:row>
      <xdr:rowOff>27156</xdr:rowOff>
    </xdr:from>
    <xdr:to>
      <xdr:col>56</xdr:col>
      <xdr:colOff>94210</xdr:colOff>
      <xdr:row>101</xdr:row>
      <xdr:rowOff>203042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30212E1A-8F8A-4036-9251-56A0A309F55F}"/>
            </a:ext>
          </a:extLst>
        </xdr:cNvPr>
        <xdr:cNvGrpSpPr/>
      </xdr:nvGrpSpPr>
      <xdr:grpSpPr>
        <a:xfrm>
          <a:off x="12967743" y="22294489"/>
          <a:ext cx="72000" cy="175886"/>
          <a:chOff x="8889969" y="717550"/>
          <a:chExt cx="95415" cy="260350"/>
        </a:xfrm>
      </xdr:grpSpPr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03CE66CC-5BDC-D690-CDAD-04E1DA4B2D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21E5407A-915F-4C3E-B4FE-8528BB99F2D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101</xdr:row>
      <xdr:rowOff>20806</xdr:rowOff>
    </xdr:from>
    <xdr:to>
      <xdr:col>64</xdr:col>
      <xdr:colOff>94762</xdr:colOff>
      <xdr:row>101</xdr:row>
      <xdr:rowOff>196692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161002FC-EED1-4709-9730-4B5343147695}"/>
            </a:ext>
          </a:extLst>
        </xdr:cNvPr>
        <xdr:cNvGrpSpPr/>
      </xdr:nvGrpSpPr>
      <xdr:grpSpPr>
        <a:xfrm>
          <a:off x="13781095" y="22288139"/>
          <a:ext cx="72000" cy="175886"/>
          <a:chOff x="8889969" y="717550"/>
          <a:chExt cx="95415" cy="260350"/>
        </a:xfrm>
      </xdr:grpSpPr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87C7D47B-D701-B777-6DB8-44C86B3C54A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2A37FAB2-A890-4F56-A00D-47E227BDBE3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101</xdr:row>
      <xdr:rowOff>35162</xdr:rowOff>
    </xdr:from>
    <xdr:to>
      <xdr:col>70</xdr:col>
      <xdr:colOff>19390</xdr:colOff>
      <xdr:row>101</xdr:row>
      <xdr:rowOff>211048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FDD512EE-ABB0-4F13-8FE8-8CBFD7DFB46C}"/>
            </a:ext>
          </a:extLst>
        </xdr:cNvPr>
        <xdr:cNvGrpSpPr/>
      </xdr:nvGrpSpPr>
      <xdr:grpSpPr>
        <a:xfrm>
          <a:off x="14324158" y="22302495"/>
          <a:ext cx="63165" cy="175886"/>
          <a:chOff x="8889969" y="717550"/>
          <a:chExt cx="95415" cy="260350"/>
        </a:xfrm>
      </xdr:grpSpPr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FAA2B68F-96C3-AC0B-F2E8-C8D03710F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F6D8AC8C-11F0-936E-A983-7B0DF54A2FE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101</xdr:row>
      <xdr:rowOff>28812</xdr:rowOff>
    </xdr:from>
    <xdr:to>
      <xdr:col>75</xdr:col>
      <xdr:colOff>88964</xdr:colOff>
      <xdr:row>101</xdr:row>
      <xdr:rowOff>204698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4E25E657-5B9C-4044-99CF-08CD3CEF5F6B}"/>
            </a:ext>
          </a:extLst>
        </xdr:cNvPr>
        <xdr:cNvGrpSpPr/>
      </xdr:nvGrpSpPr>
      <xdr:grpSpPr>
        <a:xfrm>
          <a:off x="14892897" y="22296145"/>
          <a:ext cx="72000" cy="175886"/>
          <a:chOff x="8889969" y="717550"/>
          <a:chExt cx="95415" cy="260350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C7A72D02-E063-830F-C4EF-A1BE74F6CFA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F78E876A-FC56-963B-B61F-31203905CF6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101</xdr:row>
      <xdr:rowOff>29363</xdr:rowOff>
    </xdr:from>
    <xdr:to>
      <xdr:col>83</xdr:col>
      <xdr:colOff>89517</xdr:colOff>
      <xdr:row>101</xdr:row>
      <xdr:rowOff>205249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B3CBCC2-8968-43C7-AFDF-854550D60175}"/>
            </a:ext>
          </a:extLst>
        </xdr:cNvPr>
        <xdr:cNvGrpSpPr/>
      </xdr:nvGrpSpPr>
      <xdr:grpSpPr>
        <a:xfrm>
          <a:off x="15706250" y="22296696"/>
          <a:ext cx="72000" cy="175886"/>
          <a:chOff x="8889969" y="717550"/>
          <a:chExt cx="95415" cy="260350"/>
        </a:xfrm>
      </xdr:grpSpPr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58354027-EBCD-E401-7B81-30489E5BE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8" name="자유형: 도형 207">
            <a:extLst>
              <a:ext uri="{FF2B5EF4-FFF2-40B4-BE49-F238E27FC236}">
                <a16:creationId xmlns:a16="http://schemas.microsoft.com/office/drawing/2014/main" id="{BA308068-382A-3DC3-487C-3E3174018A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101</xdr:row>
      <xdr:rowOff>23013</xdr:rowOff>
    </xdr:from>
    <xdr:to>
      <xdr:col>92</xdr:col>
      <xdr:colOff>2274</xdr:colOff>
      <xdr:row>101</xdr:row>
      <xdr:rowOff>198899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20558869-8A17-459E-98E0-A15368955B03}"/>
            </a:ext>
          </a:extLst>
        </xdr:cNvPr>
        <xdr:cNvGrpSpPr/>
      </xdr:nvGrpSpPr>
      <xdr:grpSpPr>
        <a:xfrm>
          <a:off x="16533407" y="22290346"/>
          <a:ext cx="72000" cy="175886"/>
          <a:chOff x="8889969" y="717550"/>
          <a:chExt cx="95415" cy="260350"/>
        </a:xfrm>
      </xdr:grpSpPr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FCB881AD-AC2C-B83C-F669-16D430453F3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1" name="자유형: 도형 210">
            <a:extLst>
              <a:ext uri="{FF2B5EF4-FFF2-40B4-BE49-F238E27FC236}">
                <a16:creationId xmlns:a16="http://schemas.microsoft.com/office/drawing/2014/main" id="{42F031F4-5134-BD26-640C-8751D8827CD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101</xdr:row>
      <xdr:rowOff>23565</xdr:rowOff>
    </xdr:from>
    <xdr:to>
      <xdr:col>97</xdr:col>
      <xdr:colOff>63012</xdr:colOff>
      <xdr:row>101</xdr:row>
      <xdr:rowOff>199451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8006B8F5-68D5-40C1-B7B6-DF580FAF6A27}"/>
            </a:ext>
          </a:extLst>
        </xdr:cNvPr>
        <xdr:cNvGrpSpPr/>
      </xdr:nvGrpSpPr>
      <xdr:grpSpPr>
        <a:xfrm>
          <a:off x="17110980" y="22290898"/>
          <a:ext cx="63165" cy="175886"/>
          <a:chOff x="8889969" y="717550"/>
          <a:chExt cx="95415" cy="260350"/>
        </a:xfrm>
      </xdr:grpSpPr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CBC77850-8957-A320-6FE6-FD5607E6BB4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자유형: 도형 213">
            <a:extLst>
              <a:ext uri="{FF2B5EF4-FFF2-40B4-BE49-F238E27FC236}">
                <a16:creationId xmlns:a16="http://schemas.microsoft.com/office/drawing/2014/main" id="{45318CB2-E4F3-DFA8-E0DA-B376E42821D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101</xdr:row>
      <xdr:rowOff>31020</xdr:rowOff>
    </xdr:from>
    <xdr:to>
      <xdr:col>102</xdr:col>
      <xdr:colOff>77368</xdr:colOff>
      <xdr:row>101</xdr:row>
      <xdr:rowOff>206906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E54CC40-DE98-411C-ACDE-9C2CE65679B6}"/>
            </a:ext>
          </a:extLst>
        </xdr:cNvPr>
        <xdr:cNvGrpSpPr/>
      </xdr:nvGrpSpPr>
      <xdr:grpSpPr>
        <a:xfrm>
          <a:off x="17624501" y="22298353"/>
          <a:ext cx="72000" cy="175886"/>
          <a:chOff x="8889969" y="717550"/>
          <a:chExt cx="95415" cy="260350"/>
        </a:xfrm>
      </xdr:grpSpPr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B206FE4E-13AE-402A-8FD3-7DF8729A75F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7" name="자유형: 도형 216">
            <a:extLst>
              <a:ext uri="{FF2B5EF4-FFF2-40B4-BE49-F238E27FC236}">
                <a16:creationId xmlns:a16="http://schemas.microsoft.com/office/drawing/2014/main" id="{82889A7A-D2AC-DE13-67BB-6AAE4291B9D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22210</xdr:colOff>
      <xdr:row>111</xdr:row>
      <xdr:rowOff>6449</xdr:rowOff>
    </xdr:from>
    <xdr:to>
      <xdr:col>69</xdr:col>
      <xdr:colOff>94210</xdr:colOff>
      <xdr:row>111</xdr:row>
      <xdr:rowOff>182335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20CB6545-A1D8-4BCF-9C06-60F070D5D0A1}"/>
            </a:ext>
          </a:extLst>
        </xdr:cNvPr>
        <xdr:cNvGrpSpPr/>
      </xdr:nvGrpSpPr>
      <xdr:grpSpPr>
        <a:xfrm>
          <a:off x="14288543" y="24475116"/>
          <a:ext cx="72000" cy="175886"/>
          <a:chOff x="8889969" y="717550"/>
          <a:chExt cx="95415" cy="260350"/>
        </a:xfrm>
      </xdr:grpSpPr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C515170F-A07C-51CA-2F4E-C4222FBA1EC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자유형: 도형 219">
            <a:extLst>
              <a:ext uri="{FF2B5EF4-FFF2-40B4-BE49-F238E27FC236}">
                <a16:creationId xmlns:a16="http://schemas.microsoft.com/office/drawing/2014/main" id="{D5146DB9-86E9-0E82-A3D8-034CFA41D3C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29664</xdr:colOff>
      <xdr:row>111</xdr:row>
      <xdr:rowOff>7002</xdr:rowOff>
    </xdr:from>
    <xdr:to>
      <xdr:col>97</xdr:col>
      <xdr:colOff>64</xdr:colOff>
      <xdr:row>111</xdr:row>
      <xdr:rowOff>182888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4D391435-B988-46B0-A420-106FA4741D64}"/>
            </a:ext>
          </a:extLst>
        </xdr:cNvPr>
        <xdr:cNvGrpSpPr/>
      </xdr:nvGrpSpPr>
      <xdr:grpSpPr>
        <a:xfrm>
          <a:off x="17039197" y="24475669"/>
          <a:ext cx="72000" cy="175886"/>
          <a:chOff x="8889969" y="717550"/>
          <a:chExt cx="95415" cy="260350"/>
        </a:xfrm>
      </xdr:grpSpPr>
      <xdr:sp macro="" textlink="">
        <xdr:nvSpPr>
          <xdr:cNvPr id="222" name="자유형: 도형 221">
            <a:extLst>
              <a:ext uri="{FF2B5EF4-FFF2-40B4-BE49-F238E27FC236}">
                <a16:creationId xmlns:a16="http://schemas.microsoft.com/office/drawing/2014/main" id="{11738553-0D57-2794-45DC-F6176267F4E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3" name="자유형: 도형 222">
            <a:extLst>
              <a:ext uri="{FF2B5EF4-FFF2-40B4-BE49-F238E27FC236}">
                <a16:creationId xmlns:a16="http://schemas.microsoft.com/office/drawing/2014/main" id="{FA525ED2-6AE3-98A1-4676-8F3C66CAE3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56</xdr:col>
      <xdr:colOff>22210</xdr:colOff>
      <xdr:row>109</xdr:row>
      <xdr:rowOff>27156</xdr:rowOff>
    </xdr:from>
    <xdr:to>
      <xdr:col>56</xdr:col>
      <xdr:colOff>94210</xdr:colOff>
      <xdr:row>109</xdr:row>
      <xdr:rowOff>203042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D16D3441-C71B-4997-BBF5-72DD565C94B6}"/>
            </a:ext>
          </a:extLst>
        </xdr:cNvPr>
        <xdr:cNvGrpSpPr/>
      </xdr:nvGrpSpPr>
      <xdr:grpSpPr>
        <a:xfrm>
          <a:off x="12967743" y="24055556"/>
          <a:ext cx="72000" cy="175886"/>
          <a:chOff x="8889969" y="717550"/>
          <a:chExt cx="95415" cy="260350"/>
        </a:xfrm>
      </xdr:grpSpPr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57BB7A2E-E016-D1CB-C304-5275456C19A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6" name="자유형: 도형 225">
            <a:extLst>
              <a:ext uri="{FF2B5EF4-FFF2-40B4-BE49-F238E27FC236}">
                <a16:creationId xmlns:a16="http://schemas.microsoft.com/office/drawing/2014/main" id="{186DE749-004F-6108-5413-12723B33C0B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64</xdr:col>
      <xdr:colOff>22762</xdr:colOff>
      <xdr:row>109</xdr:row>
      <xdr:rowOff>20806</xdr:rowOff>
    </xdr:from>
    <xdr:to>
      <xdr:col>64</xdr:col>
      <xdr:colOff>94762</xdr:colOff>
      <xdr:row>109</xdr:row>
      <xdr:rowOff>196692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4C33A2F1-DC20-4AA1-95FB-175BEDE22D0D}"/>
            </a:ext>
          </a:extLst>
        </xdr:cNvPr>
        <xdr:cNvGrpSpPr/>
      </xdr:nvGrpSpPr>
      <xdr:grpSpPr>
        <a:xfrm>
          <a:off x="13781095" y="24049206"/>
          <a:ext cx="72000" cy="175886"/>
          <a:chOff x="8889969" y="717550"/>
          <a:chExt cx="95415" cy="260350"/>
        </a:xfrm>
      </xdr:grpSpPr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EDB0F308-EAFD-9126-EA29-82E857DBC76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자유형: 도형 228">
            <a:extLst>
              <a:ext uri="{FF2B5EF4-FFF2-40B4-BE49-F238E27FC236}">
                <a16:creationId xmlns:a16="http://schemas.microsoft.com/office/drawing/2014/main" id="{5251B8DF-A80F-132E-CB30-1AEA9ED920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57825</xdr:colOff>
      <xdr:row>109</xdr:row>
      <xdr:rowOff>35162</xdr:rowOff>
    </xdr:from>
    <xdr:to>
      <xdr:col>70</xdr:col>
      <xdr:colOff>19390</xdr:colOff>
      <xdr:row>109</xdr:row>
      <xdr:rowOff>211048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919D3EEA-7DDD-4412-AE8B-FC0D9979B3A8}"/>
            </a:ext>
          </a:extLst>
        </xdr:cNvPr>
        <xdr:cNvGrpSpPr/>
      </xdr:nvGrpSpPr>
      <xdr:grpSpPr>
        <a:xfrm>
          <a:off x="14324158" y="24063562"/>
          <a:ext cx="63165" cy="175886"/>
          <a:chOff x="8889969" y="717550"/>
          <a:chExt cx="95415" cy="260350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2E9AC2F1-EA7E-7C59-F7C6-C08A34078C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0CAC5507-EA00-0E0C-5DC1-C0C44573787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75</xdr:col>
      <xdr:colOff>16964</xdr:colOff>
      <xdr:row>109</xdr:row>
      <xdr:rowOff>28812</xdr:rowOff>
    </xdr:from>
    <xdr:to>
      <xdr:col>75</xdr:col>
      <xdr:colOff>88964</xdr:colOff>
      <xdr:row>109</xdr:row>
      <xdr:rowOff>204698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9DB1179-10AC-4F29-868A-47CEC7F6D48E}"/>
            </a:ext>
          </a:extLst>
        </xdr:cNvPr>
        <xdr:cNvGrpSpPr/>
      </xdr:nvGrpSpPr>
      <xdr:grpSpPr>
        <a:xfrm>
          <a:off x="14892897" y="24057212"/>
          <a:ext cx="72000" cy="175886"/>
          <a:chOff x="8889969" y="717550"/>
          <a:chExt cx="95415" cy="260350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C735E3BA-93AD-E261-D541-6774BD38A1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9B4934CB-13B3-1806-BEC8-FED5B4AE1B1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109</xdr:row>
      <xdr:rowOff>29363</xdr:rowOff>
    </xdr:from>
    <xdr:to>
      <xdr:col>83</xdr:col>
      <xdr:colOff>89517</xdr:colOff>
      <xdr:row>109</xdr:row>
      <xdr:rowOff>205249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615F9664-BAA1-49F5-84F1-C76EFE995365}"/>
            </a:ext>
          </a:extLst>
        </xdr:cNvPr>
        <xdr:cNvGrpSpPr/>
      </xdr:nvGrpSpPr>
      <xdr:grpSpPr>
        <a:xfrm>
          <a:off x="15706250" y="24057763"/>
          <a:ext cx="72000" cy="175886"/>
          <a:chOff x="8889969" y="717550"/>
          <a:chExt cx="95415" cy="260350"/>
        </a:xfrm>
      </xdr:grpSpPr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3490DBC0-C6D8-9351-53E9-381A5F603FE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8" name="자유형: 도형 237">
            <a:extLst>
              <a:ext uri="{FF2B5EF4-FFF2-40B4-BE49-F238E27FC236}">
                <a16:creationId xmlns:a16="http://schemas.microsoft.com/office/drawing/2014/main" id="{5DE40B8C-93D7-E727-AE45-627D882A09A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109</xdr:row>
      <xdr:rowOff>23013</xdr:rowOff>
    </xdr:from>
    <xdr:to>
      <xdr:col>92</xdr:col>
      <xdr:colOff>2274</xdr:colOff>
      <xdr:row>109</xdr:row>
      <xdr:rowOff>198899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C2D3ECD1-FE38-4F2B-9517-E1C1C0CF9AB8}"/>
            </a:ext>
          </a:extLst>
        </xdr:cNvPr>
        <xdr:cNvGrpSpPr/>
      </xdr:nvGrpSpPr>
      <xdr:grpSpPr>
        <a:xfrm>
          <a:off x="16533407" y="24051413"/>
          <a:ext cx="72000" cy="175886"/>
          <a:chOff x="8889969" y="717550"/>
          <a:chExt cx="95415" cy="260350"/>
        </a:xfrm>
      </xdr:grpSpPr>
      <xdr:sp macro="" textlink="">
        <xdr:nvSpPr>
          <xdr:cNvPr id="240" name="자유형: 도형 239">
            <a:extLst>
              <a:ext uri="{FF2B5EF4-FFF2-40B4-BE49-F238E27FC236}">
                <a16:creationId xmlns:a16="http://schemas.microsoft.com/office/drawing/2014/main" id="{B96DC2C2-08EC-62E7-AEA3-EAE1B75A0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1" name="자유형: 도형 240">
            <a:extLst>
              <a:ext uri="{FF2B5EF4-FFF2-40B4-BE49-F238E27FC236}">
                <a16:creationId xmlns:a16="http://schemas.microsoft.com/office/drawing/2014/main" id="{B5D486C4-9DD0-F3A2-CFDB-BA2E101FDE8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109</xdr:row>
      <xdr:rowOff>23565</xdr:rowOff>
    </xdr:from>
    <xdr:to>
      <xdr:col>97</xdr:col>
      <xdr:colOff>63012</xdr:colOff>
      <xdr:row>109</xdr:row>
      <xdr:rowOff>199451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9D38AB77-DF99-427C-A8A2-6A7BAD14BD3F}"/>
            </a:ext>
          </a:extLst>
        </xdr:cNvPr>
        <xdr:cNvGrpSpPr/>
      </xdr:nvGrpSpPr>
      <xdr:grpSpPr>
        <a:xfrm>
          <a:off x="17110980" y="24051965"/>
          <a:ext cx="63165" cy="175886"/>
          <a:chOff x="8889969" y="717550"/>
          <a:chExt cx="95415" cy="260350"/>
        </a:xfrm>
      </xdr:grpSpPr>
      <xdr:sp macro="" textlink="">
        <xdr:nvSpPr>
          <xdr:cNvPr id="243" name="자유형: 도형 242">
            <a:extLst>
              <a:ext uri="{FF2B5EF4-FFF2-40B4-BE49-F238E27FC236}">
                <a16:creationId xmlns:a16="http://schemas.microsoft.com/office/drawing/2014/main" id="{2B4D767C-6023-1CF6-BC57-C8CF6BA7827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4" name="자유형: 도형 243">
            <a:extLst>
              <a:ext uri="{FF2B5EF4-FFF2-40B4-BE49-F238E27FC236}">
                <a16:creationId xmlns:a16="http://schemas.microsoft.com/office/drawing/2014/main" id="{C3DDABBE-F972-F66C-CFB7-BF540488478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109</xdr:row>
      <xdr:rowOff>31020</xdr:rowOff>
    </xdr:from>
    <xdr:to>
      <xdr:col>102</xdr:col>
      <xdr:colOff>77368</xdr:colOff>
      <xdr:row>109</xdr:row>
      <xdr:rowOff>206906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6E3E2EE2-313E-4A21-B92D-A21B32A93974}"/>
            </a:ext>
          </a:extLst>
        </xdr:cNvPr>
        <xdr:cNvGrpSpPr/>
      </xdr:nvGrpSpPr>
      <xdr:grpSpPr>
        <a:xfrm>
          <a:off x="17624501" y="24059420"/>
          <a:ext cx="72000" cy="175886"/>
          <a:chOff x="8889969" y="717550"/>
          <a:chExt cx="95415" cy="260350"/>
        </a:xfrm>
      </xdr:grpSpPr>
      <xdr:sp macro="" textlink="">
        <xdr:nvSpPr>
          <xdr:cNvPr id="246" name="자유형: 도형 245">
            <a:extLst>
              <a:ext uri="{FF2B5EF4-FFF2-40B4-BE49-F238E27FC236}">
                <a16:creationId xmlns:a16="http://schemas.microsoft.com/office/drawing/2014/main" id="{9C3136EB-428D-1279-9046-7F0DE1E091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7" name="자유형: 도형 246">
            <a:extLst>
              <a:ext uri="{FF2B5EF4-FFF2-40B4-BE49-F238E27FC236}">
                <a16:creationId xmlns:a16="http://schemas.microsoft.com/office/drawing/2014/main" id="{9493E003-F2EB-14C9-AB95-EBCF1008F1C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22762</xdr:colOff>
      <xdr:row>115</xdr:row>
      <xdr:rowOff>99</xdr:rowOff>
    </xdr:from>
    <xdr:to>
      <xdr:col>96</xdr:col>
      <xdr:colOff>94762</xdr:colOff>
      <xdr:row>115</xdr:row>
      <xdr:rowOff>175985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83BA1456-2F9C-4EB2-8A57-332FE0BDEC22}"/>
            </a:ext>
          </a:extLst>
        </xdr:cNvPr>
        <xdr:cNvGrpSpPr/>
      </xdr:nvGrpSpPr>
      <xdr:grpSpPr>
        <a:xfrm>
          <a:off x="17032295" y="25349299"/>
          <a:ext cx="72000" cy="175886"/>
          <a:chOff x="8889969" y="717550"/>
          <a:chExt cx="95415" cy="260350"/>
        </a:xfrm>
      </xdr:grpSpPr>
      <xdr:sp macro="" textlink="">
        <xdr:nvSpPr>
          <xdr:cNvPr id="249" name="자유형: 도형 248">
            <a:extLst>
              <a:ext uri="{FF2B5EF4-FFF2-40B4-BE49-F238E27FC236}">
                <a16:creationId xmlns:a16="http://schemas.microsoft.com/office/drawing/2014/main" id="{C1BBCA7A-EA5D-F567-9B62-374CD17143B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0" name="자유형: 도형 249">
            <a:extLst>
              <a:ext uri="{FF2B5EF4-FFF2-40B4-BE49-F238E27FC236}">
                <a16:creationId xmlns:a16="http://schemas.microsoft.com/office/drawing/2014/main" id="{A01BA076-F8E9-5A21-BD8D-3C48D8C0A03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83</xdr:col>
      <xdr:colOff>17517</xdr:colOff>
      <xdr:row>113</xdr:row>
      <xdr:rowOff>29363</xdr:rowOff>
    </xdr:from>
    <xdr:to>
      <xdr:col>83</xdr:col>
      <xdr:colOff>89517</xdr:colOff>
      <xdr:row>113</xdr:row>
      <xdr:rowOff>205249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F0731B29-9B77-4363-A232-3AC0B51D853E}"/>
            </a:ext>
          </a:extLst>
        </xdr:cNvPr>
        <xdr:cNvGrpSpPr/>
      </xdr:nvGrpSpPr>
      <xdr:grpSpPr>
        <a:xfrm>
          <a:off x="15706250" y="24938296"/>
          <a:ext cx="72000" cy="175886"/>
          <a:chOff x="8889969" y="717550"/>
          <a:chExt cx="95415" cy="260350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2DCC2CD1-BFF8-55B9-8D61-6BC3966AABB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5E845BE3-140E-8EB5-0298-7C7A2A14A54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91</xdr:col>
      <xdr:colOff>31874</xdr:colOff>
      <xdr:row>113</xdr:row>
      <xdr:rowOff>23013</xdr:rowOff>
    </xdr:from>
    <xdr:to>
      <xdr:col>92</xdr:col>
      <xdr:colOff>2274</xdr:colOff>
      <xdr:row>113</xdr:row>
      <xdr:rowOff>198899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7853A252-16F3-4E7A-B1F6-F4652337F17C}"/>
            </a:ext>
          </a:extLst>
        </xdr:cNvPr>
        <xdr:cNvGrpSpPr/>
      </xdr:nvGrpSpPr>
      <xdr:grpSpPr>
        <a:xfrm>
          <a:off x="16533407" y="24931946"/>
          <a:ext cx="72000" cy="175886"/>
          <a:chOff x="8889969" y="717550"/>
          <a:chExt cx="95415" cy="260350"/>
        </a:xfrm>
      </xdr:grpSpPr>
      <xdr:sp macro="" textlink="">
        <xdr:nvSpPr>
          <xdr:cNvPr id="255" name="자유형: 도형 254">
            <a:extLst>
              <a:ext uri="{FF2B5EF4-FFF2-40B4-BE49-F238E27FC236}">
                <a16:creationId xmlns:a16="http://schemas.microsoft.com/office/drawing/2014/main" id="{6476E9A7-7483-BCCC-6CCA-9F2E7CFB356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80D809AC-3081-7374-24BC-0AE88F7780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96</xdr:col>
      <xdr:colOff>101447</xdr:colOff>
      <xdr:row>113</xdr:row>
      <xdr:rowOff>23565</xdr:rowOff>
    </xdr:from>
    <xdr:to>
      <xdr:col>97</xdr:col>
      <xdr:colOff>63012</xdr:colOff>
      <xdr:row>113</xdr:row>
      <xdr:rowOff>199451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2BAAA082-EFE3-4ED5-B925-C270DA8951C9}"/>
            </a:ext>
          </a:extLst>
        </xdr:cNvPr>
        <xdr:cNvGrpSpPr/>
      </xdr:nvGrpSpPr>
      <xdr:grpSpPr>
        <a:xfrm>
          <a:off x="17110980" y="24932498"/>
          <a:ext cx="63165" cy="175886"/>
          <a:chOff x="8889969" y="717550"/>
          <a:chExt cx="95415" cy="260350"/>
        </a:xfrm>
      </xdr:grpSpPr>
      <xdr:sp macro="" textlink="">
        <xdr:nvSpPr>
          <xdr:cNvPr id="258" name="자유형: 도형 257">
            <a:extLst>
              <a:ext uri="{FF2B5EF4-FFF2-40B4-BE49-F238E27FC236}">
                <a16:creationId xmlns:a16="http://schemas.microsoft.com/office/drawing/2014/main" id="{19B25302-8F81-B44A-4E75-ACDA41E2748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9" name="자유형: 도형 258">
            <a:extLst>
              <a:ext uri="{FF2B5EF4-FFF2-40B4-BE49-F238E27FC236}">
                <a16:creationId xmlns:a16="http://schemas.microsoft.com/office/drawing/2014/main" id="{9045675B-86B1-6EA8-4541-9040DFD85E1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102</xdr:col>
      <xdr:colOff>5368</xdr:colOff>
      <xdr:row>113</xdr:row>
      <xdr:rowOff>31020</xdr:rowOff>
    </xdr:from>
    <xdr:to>
      <xdr:col>102</xdr:col>
      <xdr:colOff>77368</xdr:colOff>
      <xdr:row>113</xdr:row>
      <xdr:rowOff>206906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E51A0618-1D36-4F79-ABBB-0BB4749F337A}"/>
            </a:ext>
          </a:extLst>
        </xdr:cNvPr>
        <xdr:cNvGrpSpPr/>
      </xdr:nvGrpSpPr>
      <xdr:grpSpPr>
        <a:xfrm>
          <a:off x="17624501" y="24939953"/>
          <a:ext cx="72000" cy="175886"/>
          <a:chOff x="8889969" y="717550"/>
          <a:chExt cx="95415" cy="260350"/>
        </a:xfrm>
      </xdr:grpSpPr>
      <xdr:sp macro="" textlink="">
        <xdr:nvSpPr>
          <xdr:cNvPr id="261" name="자유형: 도형 260">
            <a:extLst>
              <a:ext uri="{FF2B5EF4-FFF2-40B4-BE49-F238E27FC236}">
                <a16:creationId xmlns:a16="http://schemas.microsoft.com/office/drawing/2014/main" id="{1CB69FD1-B8DC-2354-1E89-956AD382A12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2" name="자유형: 도형 261">
            <a:extLst>
              <a:ext uri="{FF2B5EF4-FFF2-40B4-BE49-F238E27FC236}">
                <a16:creationId xmlns:a16="http://schemas.microsoft.com/office/drawing/2014/main" id="{D33F21F1-73C7-B9AC-C0D5-BF540DBD62B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45</xdr:col>
      <xdr:colOff>23131</xdr:colOff>
      <xdr:row>62</xdr:row>
      <xdr:rowOff>21666</xdr:rowOff>
    </xdr:from>
    <xdr:to>
      <xdr:col>45</xdr:col>
      <xdr:colOff>95131</xdr:colOff>
      <xdr:row>62</xdr:row>
      <xdr:rowOff>197552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852A57EC-D8E2-4119-BD87-24D96788DA8C}"/>
            </a:ext>
          </a:extLst>
        </xdr:cNvPr>
        <xdr:cNvGrpSpPr/>
      </xdr:nvGrpSpPr>
      <xdr:grpSpPr>
        <a:xfrm>
          <a:off x="11851064" y="13703799"/>
          <a:ext cx="72000" cy="175886"/>
          <a:chOff x="8889969" y="717550"/>
          <a:chExt cx="95415" cy="260350"/>
        </a:xfrm>
      </xdr:grpSpPr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426BD796-6C77-DFAC-3444-21E819A4CE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C59C5CBD-2DBC-507D-C868-CF283D8EF65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23682</xdr:colOff>
      <xdr:row>62</xdr:row>
      <xdr:rowOff>42924</xdr:rowOff>
    </xdr:from>
    <xdr:to>
      <xdr:col>53</xdr:col>
      <xdr:colOff>95682</xdr:colOff>
      <xdr:row>63</xdr:row>
      <xdr:rowOff>4842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73C7FC54-358A-46E1-9A82-8627DB721014}"/>
            </a:ext>
          </a:extLst>
        </xdr:cNvPr>
        <xdr:cNvGrpSpPr/>
      </xdr:nvGrpSpPr>
      <xdr:grpSpPr>
        <a:xfrm>
          <a:off x="12664415" y="13725057"/>
          <a:ext cx="72000" cy="182052"/>
          <a:chOff x="8889969" y="717550"/>
          <a:chExt cx="95415" cy="260350"/>
        </a:xfrm>
      </xdr:grpSpPr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B895A870-98D3-FDAD-31D8-D595EE3AE27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8" name="자유형: 도형 267">
            <a:extLst>
              <a:ext uri="{FF2B5EF4-FFF2-40B4-BE49-F238E27FC236}">
                <a16:creationId xmlns:a16="http://schemas.microsoft.com/office/drawing/2014/main" id="{DFEA38A2-9299-AA85-554B-20509EC5AE3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61</xdr:col>
      <xdr:colOff>24235</xdr:colOff>
      <xdr:row>62</xdr:row>
      <xdr:rowOff>43476</xdr:rowOff>
    </xdr:from>
    <xdr:to>
      <xdr:col>61</xdr:col>
      <xdr:colOff>96235</xdr:colOff>
      <xdr:row>63</xdr:row>
      <xdr:rowOff>5394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22A01B3D-C2FB-4AE0-8BCB-34099BD7E7F3}"/>
            </a:ext>
          </a:extLst>
        </xdr:cNvPr>
        <xdr:cNvGrpSpPr/>
      </xdr:nvGrpSpPr>
      <xdr:grpSpPr>
        <a:xfrm>
          <a:off x="13477768" y="13725609"/>
          <a:ext cx="72000" cy="182052"/>
          <a:chOff x="8889969" y="717550"/>
          <a:chExt cx="95415" cy="260350"/>
        </a:xfrm>
      </xdr:grpSpPr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0F2CC7C3-7392-9F11-CB1B-FEBA586FB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1" name="자유형: 도형 270">
            <a:extLst>
              <a:ext uri="{FF2B5EF4-FFF2-40B4-BE49-F238E27FC236}">
                <a16:creationId xmlns:a16="http://schemas.microsoft.com/office/drawing/2014/main" id="{1486195D-3ECA-1D22-59C6-BB3D92CB037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69</xdr:col>
      <xdr:colOff>10983</xdr:colOff>
      <xdr:row>62</xdr:row>
      <xdr:rowOff>37126</xdr:rowOff>
    </xdr:from>
    <xdr:to>
      <xdr:col>69</xdr:col>
      <xdr:colOff>82983</xdr:colOff>
      <xdr:row>62</xdr:row>
      <xdr:rowOff>213012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27F95F2B-3944-4ADB-94D3-B6403AE95DE6}"/>
            </a:ext>
          </a:extLst>
        </xdr:cNvPr>
        <xdr:cNvGrpSpPr/>
      </xdr:nvGrpSpPr>
      <xdr:grpSpPr>
        <a:xfrm>
          <a:off x="14277316" y="13719259"/>
          <a:ext cx="72000" cy="175886"/>
          <a:chOff x="8889969" y="717550"/>
          <a:chExt cx="95415" cy="260350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54588C8B-E0FC-2CBB-9F4B-D22ECDF20E5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79242567-F52D-59DC-C454-1CD80D435D8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77</xdr:col>
      <xdr:colOff>11535</xdr:colOff>
      <xdr:row>62</xdr:row>
      <xdr:rowOff>37679</xdr:rowOff>
    </xdr:from>
    <xdr:to>
      <xdr:col>77</xdr:col>
      <xdr:colOff>83535</xdr:colOff>
      <xdr:row>62</xdr:row>
      <xdr:rowOff>213565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1F169DA1-C098-4142-92F5-901DADCF3D8A}"/>
            </a:ext>
          </a:extLst>
        </xdr:cNvPr>
        <xdr:cNvGrpSpPr/>
      </xdr:nvGrpSpPr>
      <xdr:grpSpPr>
        <a:xfrm>
          <a:off x="15090668" y="13719812"/>
          <a:ext cx="72000" cy="175886"/>
          <a:chOff x="8889969" y="717550"/>
          <a:chExt cx="95415" cy="260350"/>
        </a:xfrm>
      </xdr:grpSpPr>
      <xdr:sp macro="" textlink="">
        <xdr:nvSpPr>
          <xdr:cNvPr id="276" name="자유형: 도형 275">
            <a:extLst>
              <a:ext uri="{FF2B5EF4-FFF2-40B4-BE49-F238E27FC236}">
                <a16:creationId xmlns:a16="http://schemas.microsoft.com/office/drawing/2014/main" id="{E8737D0B-9795-9E2F-AD48-730E3C7AFB9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7" name="자유형: 도형 276">
            <a:extLst>
              <a:ext uri="{FF2B5EF4-FFF2-40B4-BE49-F238E27FC236}">
                <a16:creationId xmlns:a16="http://schemas.microsoft.com/office/drawing/2014/main" id="{74878E13-1648-B70B-F88D-894402CAF2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84</xdr:col>
      <xdr:colOff>94912</xdr:colOff>
      <xdr:row>62</xdr:row>
      <xdr:rowOff>31329</xdr:rowOff>
    </xdr:from>
    <xdr:to>
      <xdr:col>85</xdr:col>
      <xdr:colOff>56477</xdr:colOff>
      <xdr:row>62</xdr:row>
      <xdr:rowOff>207215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B35053D3-3B1B-4591-9064-E7CA9EE9DD31}"/>
            </a:ext>
          </a:extLst>
        </xdr:cNvPr>
        <xdr:cNvGrpSpPr/>
      </xdr:nvGrpSpPr>
      <xdr:grpSpPr>
        <a:xfrm>
          <a:off x="15885245" y="13713462"/>
          <a:ext cx="63165" cy="175886"/>
          <a:chOff x="8889969" y="717550"/>
          <a:chExt cx="95415" cy="260350"/>
        </a:xfrm>
      </xdr:grpSpPr>
      <xdr:sp macro="" textlink="">
        <xdr:nvSpPr>
          <xdr:cNvPr id="279" name="자유형: 도형 278">
            <a:extLst>
              <a:ext uri="{FF2B5EF4-FFF2-40B4-BE49-F238E27FC236}">
                <a16:creationId xmlns:a16="http://schemas.microsoft.com/office/drawing/2014/main" id="{DAABECB3-9203-7CAE-37CD-B23EFB8089E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0" name="자유형: 도형 279">
            <a:extLst>
              <a:ext uri="{FF2B5EF4-FFF2-40B4-BE49-F238E27FC236}">
                <a16:creationId xmlns:a16="http://schemas.microsoft.com/office/drawing/2014/main" id="{A3DAE299-4C29-0301-F664-BF3D26A9305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12638</xdr:colOff>
      <xdr:row>62</xdr:row>
      <xdr:rowOff>45686</xdr:rowOff>
    </xdr:from>
    <xdr:to>
      <xdr:col>93</xdr:col>
      <xdr:colOff>84638</xdr:colOff>
      <xdr:row>63</xdr:row>
      <xdr:rowOff>7604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988DC3AE-C8CE-456C-9694-5113956D2D4D}"/>
            </a:ext>
          </a:extLst>
        </xdr:cNvPr>
        <xdr:cNvGrpSpPr/>
      </xdr:nvGrpSpPr>
      <xdr:grpSpPr>
        <a:xfrm>
          <a:off x="16717371" y="13727819"/>
          <a:ext cx="72000" cy="182052"/>
          <a:chOff x="8889969" y="717550"/>
          <a:chExt cx="95415" cy="260350"/>
        </a:xfrm>
      </xdr:grpSpPr>
      <xdr:sp macro="" textlink="">
        <xdr:nvSpPr>
          <xdr:cNvPr id="282" name="자유형: 도형 281">
            <a:extLst>
              <a:ext uri="{FF2B5EF4-FFF2-40B4-BE49-F238E27FC236}">
                <a16:creationId xmlns:a16="http://schemas.microsoft.com/office/drawing/2014/main" id="{87F413B1-EF68-3C5C-5157-F5B0E6F3606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3" name="자유형: 도형 282">
            <a:extLst>
              <a:ext uri="{FF2B5EF4-FFF2-40B4-BE49-F238E27FC236}">
                <a16:creationId xmlns:a16="http://schemas.microsoft.com/office/drawing/2014/main" id="{8B1846D1-1931-9F2B-5527-36AE78521B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1871</xdr:colOff>
      <xdr:row>62</xdr:row>
      <xdr:rowOff>39335</xdr:rowOff>
    </xdr:from>
    <xdr:to>
      <xdr:col>101</xdr:col>
      <xdr:colOff>71386</xdr:colOff>
      <xdr:row>63</xdr:row>
      <xdr:rowOff>1253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320DF0FD-5C1F-4716-A6AE-593185882329}"/>
            </a:ext>
          </a:extLst>
        </xdr:cNvPr>
        <xdr:cNvGrpSpPr/>
      </xdr:nvGrpSpPr>
      <xdr:grpSpPr>
        <a:xfrm>
          <a:off x="17519404" y="13721468"/>
          <a:ext cx="69515" cy="182052"/>
          <a:chOff x="8889969" y="717550"/>
          <a:chExt cx="95415" cy="260350"/>
        </a:xfrm>
      </xdr:grpSpPr>
      <xdr:sp macro="" textlink="">
        <xdr:nvSpPr>
          <xdr:cNvPr id="285" name="자유형: 도형 284">
            <a:extLst>
              <a:ext uri="{FF2B5EF4-FFF2-40B4-BE49-F238E27FC236}">
                <a16:creationId xmlns:a16="http://schemas.microsoft.com/office/drawing/2014/main" id="{0EBB9EB3-F06A-F5DC-7BD7-49F180373BB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6" name="자유형: 도형 285">
            <a:extLst>
              <a:ext uri="{FF2B5EF4-FFF2-40B4-BE49-F238E27FC236}">
                <a16:creationId xmlns:a16="http://schemas.microsoft.com/office/drawing/2014/main" id="{788A358C-32BE-1EEB-AF3E-0248BF77AD0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85</xdr:col>
      <xdr:colOff>24787</xdr:colOff>
      <xdr:row>66</xdr:row>
      <xdr:rowOff>23321</xdr:rowOff>
    </xdr:from>
    <xdr:to>
      <xdr:col>85</xdr:col>
      <xdr:colOff>96787</xdr:colOff>
      <xdr:row>66</xdr:row>
      <xdr:rowOff>199207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B373B98D-9393-4506-B677-DA45DC25AA7E}"/>
            </a:ext>
          </a:extLst>
        </xdr:cNvPr>
        <xdr:cNvGrpSpPr/>
      </xdr:nvGrpSpPr>
      <xdr:grpSpPr>
        <a:xfrm>
          <a:off x="15916720" y="14585988"/>
          <a:ext cx="72000" cy="175886"/>
          <a:chOff x="8889969" y="717550"/>
          <a:chExt cx="95415" cy="260350"/>
        </a:xfrm>
      </xdr:grpSpPr>
      <xdr:sp macro="" textlink="">
        <xdr:nvSpPr>
          <xdr:cNvPr id="288" name="자유형: 도형 287">
            <a:extLst>
              <a:ext uri="{FF2B5EF4-FFF2-40B4-BE49-F238E27FC236}">
                <a16:creationId xmlns:a16="http://schemas.microsoft.com/office/drawing/2014/main" id="{5811A785-730B-15FE-A001-663EE99B6D8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9" name="자유형: 도형 288">
            <a:extLst>
              <a:ext uri="{FF2B5EF4-FFF2-40B4-BE49-F238E27FC236}">
                <a16:creationId xmlns:a16="http://schemas.microsoft.com/office/drawing/2014/main" id="{E3738752-7310-DAB4-C824-9756AA4DF9E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18437</xdr:colOff>
      <xdr:row>66</xdr:row>
      <xdr:rowOff>30775</xdr:rowOff>
    </xdr:from>
    <xdr:to>
      <xdr:col>93</xdr:col>
      <xdr:colOff>90437</xdr:colOff>
      <xdr:row>66</xdr:row>
      <xdr:rowOff>206661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5E1D1CBE-BBEC-4D5B-A0F9-5E066683D6E1}"/>
            </a:ext>
          </a:extLst>
        </xdr:cNvPr>
        <xdr:cNvGrpSpPr/>
      </xdr:nvGrpSpPr>
      <xdr:grpSpPr>
        <a:xfrm>
          <a:off x="16723170" y="14593442"/>
          <a:ext cx="72000" cy="175886"/>
          <a:chOff x="8889969" y="717550"/>
          <a:chExt cx="95415" cy="260350"/>
        </a:xfrm>
      </xdr:grpSpPr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DE0F337F-2F79-F46E-0E6F-E8ABF9FD72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2" name="자유형: 도형 291">
            <a:extLst>
              <a:ext uri="{FF2B5EF4-FFF2-40B4-BE49-F238E27FC236}">
                <a16:creationId xmlns:a16="http://schemas.microsoft.com/office/drawing/2014/main" id="{A656B8A4-2BFD-12FB-947F-9BD43314792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101</xdr:col>
      <xdr:colOff>5185</xdr:colOff>
      <xdr:row>66</xdr:row>
      <xdr:rowOff>10621</xdr:rowOff>
    </xdr:from>
    <xdr:to>
      <xdr:col>101</xdr:col>
      <xdr:colOff>77185</xdr:colOff>
      <xdr:row>66</xdr:row>
      <xdr:rowOff>186507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FEC1C45A-A43C-485F-B72D-7B83FEB5294B}"/>
            </a:ext>
          </a:extLst>
        </xdr:cNvPr>
        <xdr:cNvGrpSpPr/>
      </xdr:nvGrpSpPr>
      <xdr:grpSpPr>
        <a:xfrm>
          <a:off x="17522718" y="14573288"/>
          <a:ext cx="72000" cy="175886"/>
          <a:chOff x="8889969" y="717550"/>
          <a:chExt cx="95415" cy="260350"/>
        </a:xfrm>
      </xdr:grpSpPr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DFB7FCD3-1788-BFDA-9221-C8F64005677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5" name="자유형: 도형 294">
            <a:extLst>
              <a:ext uri="{FF2B5EF4-FFF2-40B4-BE49-F238E27FC236}">
                <a16:creationId xmlns:a16="http://schemas.microsoft.com/office/drawing/2014/main" id="{55B37372-3606-4777-4058-F3D41103BC5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32</xdr:col>
      <xdr:colOff>10076</xdr:colOff>
      <xdr:row>103</xdr:row>
      <xdr:rowOff>196991</xdr:rowOff>
    </xdr:from>
    <xdr:ext cx="364042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BAA6752-8E3A-42C5-81A4-749FD21AFBFD}"/>
            </a:ext>
          </a:extLst>
        </xdr:cNvPr>
        <xdr:cNvSpPr txBox="1"/>
      </xdr:nvSpPr>
      <xdr:spPr>
        <a:xfrm>
          <a:off x="10519326" y="22460091"/>
          <a:ext cx="3640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(pam 12-bit + pwm 12-bit) @ld_width=00, 01, 10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33</xdr:col>
      <xdr:colOff>1</xdr:colOff>
      <xdr:row>103</xdr:row>
      <xdr:rowOff>165654</xdr:rowOff>
    </xdr:from>
    <xdr:to>
      <xdr:col>51</xdr:col>
      <xdr:colOff>100175</xdr:colOff>
      <xdr:row>103</xdr:row>
      <xdr:rowOff>165654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778EE0B6-4BE5-4753-92D0-C87806431D78}"/>
            </a:ext>
          </a:extLst>
        </xdr:cNvPr>
        <xdr:cNvCxnSpPr/>
      </xdr:nvCxnSpPr>
      <xdr:spPr>
        <a:xfrm flipV="1">
          <a:off x="10610851" y="22428754"/>
          <a:ext cx="19289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89727</xdr:colOff>
      <xdr:row>102</xdr:row>
      <xdr:rowOff>165651</xdr:rowOff>
    </xdr:from>
    <xdr:ext cx="93532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660085BC-2036-4A16-BF13-9288E6ADBD82}"/>
            </a:ext>
          </a:extLst>
        </xdr:cNvPr>
        <xdr:cNvSpPr txBox="1"/>
      </xdr:nvSpPr>
      <xdr:spPr>
        <a:xfrm>
          <a:off x="11106977" y="22212851"/>
          <a:ext cx="9353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burst size = 1</a:t>
          </a:r>
          <a:endParaRPr lang="ko-KR" altLang="en-US" sz="1100"/>
        </a:p>
      </xdr:txBody>
    </xdr:sp>
    <xdr:clientData/>
  </xdr:oneCellAnchor>
  <xdr:oneCellAnchor>
    <xdr:from>
      <xdr:col>32</xdr:col>
      <xdr:colOff>11181</xdr:colOff>
      <xdr:row>104</xdr:row>
      <xdr:rowOff>162480</xdr:rowOff>
    </xdr:from>
    <xdr:ext cx="3234988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434D81A-4004-46B5-A853-DE23844119E4}"/>
            </a:ext>
          </a:extLst>
        </xdr:cNvPr>
        <xdr:cNvSpPr txBox="1"/>
      </xdr:nvSpPr>
      <xdr:spPr>
        <a:xfrm>
          <a:off x="10520431" y="22641480"/>
          <a:ext cx="32349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= ch_size </a:t>
          </a:r>
          <a:r>
            <a:rPr lang="en-US" altLang="ko-KR" sz="1100" baseline="0">
              <a:solidFill>
                <a:sysClr val="windowText" lastClr="000000"/>
              </a:solidFill>
            </a:rPr>
            <a:t>* (ld 16-bit)                               @ld_width=11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32084</xdr:colOff>
      <xdr:row>9</xdr:row>
      <xdr:rowOff>16043</xdr:rowOff>
    </xdr:from>
    <xdr:to>
      <xdr:col>55</xdr:col>
      <xdr:colOff>104084</xdr:colOff>
      <xdr:row>9</xdr:row>
      <xdr:rowOff>209875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B2C1C7A-294E-4B08-A481-E5C1E6734CEB}"/>
            </a:ext>
          </a:extLst>
        </xdr:cNvPr>
        <xdr:cNvGrpSpPr/>
      </xdr:nvGrpSpPr>
      <xdr:grpSpPr>
        <a:xfrm>
          <a:off x="27861297" y="2026426"/>
          <a:ext cx="72000" cy="193832"/>
          <a:chOff x="8889969" y="717550"/>
          <a:chExt cx="95415" cy="26035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460C60FE-F14F-CBF7-DA48-60AA7826C1A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811BA92D-DBCC-29C1-934F-E78BC6142C9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11</xdr:row>
      <xdr:rowOff>40107</xdr:rowOff>
    </xdr:from>
    <xdr:to>
      <xdr:col>55</xdr:col>
      <xdr:colOff>104084</xdr:colOff>
      <xdr:row>12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F6C085B-52C0-47D0-9240-AFE7C2420DE3}"/>
            </a:ext>
          </a:extLst>
        </xdr:cNvPr>
        <xdr:cNvGrpSpPr/>
      </xdr:nvGrpSpPr>
      <xdr:grpSpPr>
        <a:xfrm>
          <a:off x="27861297" y="2496341"/>
          <a:ext cx="72000" cy="186872"/>
          <a:chOff x="8889969" y="717550"/>
          <a:chExt cx="95415" cy="26035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7D64C764-1F56-5C6E-DCF8-D025EC8716C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FC5FDFE7-96CC-F235-D1B7-475DCEAE696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9</xdr:row>
      <xdr:rowOff>25400</xdr:rowOff>
    </xdr:from>
    <xdr:to>
      <xdr:col>63</xdr:col>
      <xdr:colOff>102748</xdr:colOff>
      <xdr:row>9</xdr:row>
      <xdr:rowOff>208538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927F5E9C-B2D4-46E7-A250-66D57590DA06}"/>
            </a:ext>
          </a:extLst>
        </xdr:cNvPr>
        <xdr:cNvGrpSpPr/>
      </xdr:nvGrpSpPr>
      <xdr:grpSpPr>
        <a:xfrm>
          <a:off x="31694280" y="2035783"/>
          <a:ext cx="72000" cy="183138"/>
          <a:chOff x="8889969" y="717550"/>
          <a:chExt cx="95415" cy="260350"/>
        </a:xfrm>
      </xdr:grpSpPr>
      <xdr:sp macro="" textlink="">
        <xdr:nvSpPr>
          <xdr:cNvPr id="18" name="자유형: 도형 17">
            <a:extLst>
              <a:ext uri="{FF2B5EF4-FFF2-40B4-BE49-F238E27FC236}">
                <a16:creationId xmlns:a16="http://schemas.microsoft.com/office/drawing/2014/main" id="{CB89D8F7-2313-1555-6F22-B3D97661E98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279C5DD8-DDB4-757E-7287-9BB0EA5AA8F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11</xdr:row>
      <xdr:rowOff>49464</xdr:rowOff>
    </xdr:from>
    <xdr:to>
      <xdr:col>63</xdr:col>
      <xdr:colOff>102748</xdr:colOff>
      <xdr:row>12</xdr:row>
      <xdr:rowOff>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868906C9-5CA0-4864-A9B0-F4437F272E73}"/>
            </a:ext>
          </a:extLst>
        </xdr:cNvPr>
        <xdr:cNvGrpSpPr/>
      </xdr:nvGrpSpPr>
      <xdr:grpSpPr>
        <a:xfrm>
          <a:off x="31694280" y="2505698"/>
          <a:ext cx="72000" cy="177515"/>
          <a:chOff x="8889969" y="717550"/>
          <a:chExt cx="95415" cy="260350"/>
        </a:xfrm>
      </xdr:grpSpPr>
      <xdr:sp macro="" textlink="">
        <xdr:nvSpPr>
          <xdr:cNvPr id="21" name="자유형: 도형 20">
            <a:extLst>
              <a:ext uri="{FF2B5EF4-FFF2-40B4-BE49-F238E27FC236}">
                <a16:creationId xmlns:a16="http://schemas.microsoft.com/office/drawing/2014/main" id="{B9C06512-1806-425B-F833-52234DA179D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DD79D3E-D8F8-9A2A-8D04-B3F84892743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9</xdr:row>
      <xdr:rowOff>40106</xdr:rowOff>
    </xdr:from>
    <xdr:to>
      <xdr:col>41</xdr:col>
      <xdr:colOff>112106</xdr:colOff>
      <xdr:row>10</xdr:row>
      <xdr:rowOff>9349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D5A924E-2FEE-4ED4-AF6A-69AF14463E61}"/>
            </a:ext>
          </a:extLst>
        </xdr:cNvPr>
        <xdr:cNvGrpSpPr/>
      </xdr:nvGrpSpPr>
      <xdr:grpSpPr>
        <a:xfrm>
          <a:off x="20468191" y="2050489"/>
          <a:ext cx="72000" cy="188115"/>
          <a:chOff x="8889969" y="717550"/>
          <a:chExt cx="95415" cy="260350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8E1D8B49-B804-EBD5-0C27-715C04489D0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D8A4E201-9FF5-53AE-4538-FBA46F9D3A9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11</xdr:row>
      <xdr:rowOff>64170</xdr:rowOff>
    </xdr:from>
    <xdr:to>
      <xdr:col>41</xdr:col>
      <xdr:colOff>112106</xdr:colOff>
      <xdr:row>12</xdr:row>
      <xdr:rowOff>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A2E8AEB1-1A81-4929-8742-C7C9CBA1BA6A}"/>
            </a:ext>
          </a:extLst>
        </xdr:cNvPr>
        <xdr:cNvGrpSpPr/>
      </xdr:nvGrpSpPr>
      <xdr:grpSpPr>
        <a:xfrm>
          <a:off x="20468191" y="2520404"/>
          <a:ext cx="72000" cy="162809"/>
          <a:chOff x="8889969" y="717550"/>
          <a:chExt cx="95415" cy="260350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B6CB6F7F-CDF3-900E-9B16-9EB1C56250E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A5AAC7C7-E856-5787-DEFB-0ED993C226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49</xdr:col>
      <xdr:colOff>647033</xdr:colOff>
      <xdr:row>6</xdr:row>
      <xdr:rowOff>204536</xdr:rowOff>
    </xdr:from>
    <xdr:to>
      <xdr:col>66</xdr:col>
      <xdr:colOff>20053</xdr:colOff>
      <xdr:row>6</xdr:row>
      <xdr:rowOff>204536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B234E8E-10E4-4712-AD8F-4278E277E15B}"/>
            </a:ext>
          </a:extLst>
        </xdr:cNvPr>
        <xdr:cNvCxnSpPr/>
      </xdr:nvCxnSpPr>
      <xdr:spPr>
        <a:xfrm>
          <a:off x="24440483" y="1734886"/>
          <a:ext cx="767882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40106</xdr:colOff>
      <xdr:row>14</xdr:row>
      <xdr:rowOff>40106</xdr:rowOff>
    </xdr:from>
    <xdr:to>
      <xdr:col>41</xdr:col>
      <xdr:colOff>112106</xdr:colOff>
      <xdr:row>15</xdr:row>
      <xdr:rowOff>9349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8C87C7AF-C7ED-4DEB-87CB-758BD90DB6AD}"/>
            </a:ext>
          </a:extLst>
        </xdr:cNvPr>
        <xdr:cNvGrpSpPr/>
      </xdr:nvGrpSpPr>
      <xdr:grpSpPr>
        <a:xfrm>
          <a:off x="20468191" y="3177276"/>
          <a:ext cx="72000" cy="196222"/>
          <a:chOff x="8889969" y="717550"/>
          <a:chExt cx="95415" cy="260350"/>
        </a:xfrm>
      </xdr:grpSpPr>
      <xdr:sp macro="" textlink="">
        <xdr:nvSpPr>
          <xdr:cNvPr id="49" name="자유형: 도형 48">
            <a:extLst>
              <a:ext uri="{FF2B5EF4-FFF2-40B4-BE49-F238E27FC236}">
                <a16:creationId xmlns:a16="http://schemas.microsoft.com/office/drawing/2014/main" id="{A0220ED0-B832-DA3C-E860-8FE73767215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29DBFF03-0BF5-6D81-D55E-DACD53E8A21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16</xdr:row>
      <xdr:rowOff>64170</xdr:rowOff>
    </xdr:from>
    <xdr:to>
      <xdr:col>41</xdr:col>
      <xdr:colOff>112106</xdr:colOff>
      <xdr:row>17</xdr:row>
      <xdr:rowOff>25391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7D4973DB-CB75-40FB-BAD8-DB7D5338C202}"/>
            </a:ext>
          </a:extLst>
        </xdr:cNvPr>
        <xdr:cNvGrpSpPr/>
      </xdr:nvGrpSpPr>
      <xdr:grpSpPr>
        <a:xfrm>
          <a:off x="20468191" y="3647191"/>
          <a:ext cx="72000" cy="188200"/>
          <a:chOff x="8889969" y="717550"/>
          <a:chExt cx="95415" cy="260350"/>
        </a:xfrm>
      </xdr:grpSpPr>
      <xdr:sp macro="" textlink="">
        <xdr:nvSpPr>
          <xdr:cNvPr id="52" name="자유형: 도형 51">
            <a:extLst>
              <a:ext uri="{FF2B5EF4-FFF2-40B4-BE49-F238E27FC236}">
                <a16:creationId xmlns:a16="http://schemas.microsoft.com/office/drawing/2014/main" id="{C39C8473-8B9E-AD66-1922-DE156A490B0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5451B022-4BFF-723F-5AFC-6B51F803C3D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18</xdr:row>
      <xdr:rowOff>72191</xdr:rowOff>
    </xdr:from>
    <xdr:to>
      <xdr:col>41</xdr:col>
      <xdr:colOff>104085</xdr:colOff>
      <xdr:row>19</xdr:row>
      <xdr:rowOff>33412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44F61FD6-73E5-4849-AFE0-F9A9B587148F}"/>
            </a:ext>
          </a:extLst>
        </xdr:cNvPr>
        <xdr:cNvGrpSpPr/>
      </xdr:nvGrpSpPr>
      <xdr:grpSpPr>
        <a:xfrm>
          <a:off x="20460170" y="4109170"/>
          <a:ext cx="72000" cy="180093"/>
          <a:chOff x="8889969" y="717550"/>
          <a:chExt cx="95415" cy="260350"/>
        </a:xfrm>
      </xdr:grpSpPr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E00A8A0F-454E-9CDE-0470-E8951D337E8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자유형: 도형 55">
            <a:extLst>
              <a:ext uri="{FF2B5EF4-FFF2-40B4-BE49-F238E27FC236}">
                <a16:creationId xmlns:a16="http://schemas.microsoft.com/office/drawing/2014/main" id="{53D43751-D3CE-0EAF-55AD-31C802CF125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20</xdr:row>
      <xdr:rowOff>56149</xdr:rowOff>
    </xdr:from>
    <xdr:to>
      <xdr:col>41</xdr:col>
      <xdr:colOff>112106</xdr:colOff>
      <xdr:row>21</xdr:row>
      <xdr:rowOff>25391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9C129B7D-3214-4C79-8D6B-3FC5323DC7D7}"/>
            </a:ext>
          </a:extLst>
        </xdr:cNvPr>
        <xdr:cNvGrpSpPr/>
      </xdr:nvGrpSpPr>
      <xdr:grpSpPr>
        <a:xfrm>
          <a:off x="20468191" y="4538979"/>
          <a:ext cx="72000" cy="196221"/>
          <a:chOff x="8889969" y="717550"/>
          <a:chExt cx="95415" cy="260350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11D0D887-B4FB-5BFA-8266-9E9A759CC21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FE3FFE4B-D833-FF77-82CC-9305959B7B9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22</xdr:row>
      <xdr:rowOff>48128</xdr:rowOff>
    </xdr:from>
    <xdr:to>
      <xdr:col>41</xdr:col>
      <xdr:colOff>104085</xdr:colOff>
      <xdr:row>23</xdr:row>
      <xdr:rowOff>9349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23036E8-AF2D-4F86-91DB-B026F8354636}"/>
            </a:ext>
          </a:extLst>
        </xdr:cNvPr>
        <xdr:cNvGrpSpPr/>
      </xdr:nvGrpSpPr>
      <xdr:grpSpPr>
        <a:xfrm>
          <a:off x="20460170" y="4976809"/>
          <a:ext cx="72000" cy="188200"/>
          <a:chOff x="8889969" y="717550"/>
          <a:chExt cx="95415" cy="260350"/>
        </a:xfrm>
      </xdr:grpSpPr>
      <xdr:sp macro="" textlink="">
        <xdr:nvSpPr>
          <xdr:cNvPr id="61" name="자유형: 도형 60">
            <a:extLst>
              <a:ext uri="{FF2B5EF4-FFF2-40B4-BE49-F238E27FC236}">
                <a16:creationId xmlns:a16="http://schemas.microsoft.com/office/drawing/2014/main" id="{BBB61C18-DFE3-0233-CE0C-02E071B5CD6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자유형: 도형 61">
            <a:extLst>
              <a:ext uri="{FF2B5EF4-FFF2-40B4-BE49-F238E27FC236}">
                <a16:creationId xmlns:a16="http://schemas.microsoft.com/office/drawing/2014/main" id="{AE5DF865-4786-FB28-A235-825B74404A6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30</xdr:row>
      <xdr:rowOff>28892</xdr:rowOff>
    </xdr:from>
    <xdr:to>
      <xdr:col>35</xdr:col>
      <xdr:colOff>140329</xdr:colOff>
      <xdr:row>30</xdr:row>
      <xdr:rowOff>208835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559B6552-9733-4404-B55D-AED8BAB34CBC}"/>
            </a:ext>
          </a:extLst>
        </xdr:cNvPr>
        <xdr:cNvGrpSpPr/>
      </xdr:nvGrpSpPr>
      <xdr:grpSpPr>
        <a:xfrm>
          <a:off x="17732138" y="6732871"/>
          <a:ext cx="72000" cy="179943"/>
          <a:chOff x="8889969" y="717550"/>
          <a:chExt cx="95415" cy="260350"/>
        </a:xfrm>
      </xdr:grpSpPr>
      <xdr:sp macro="" textlink="">
        <xdr:nvSpPr>
          <xdr:cNvPr id="64" name="자유형: 도형 63">
            <a:extLst>
              <a:ext uri="{FF2B5EF4-FFF2-40B4-BE49-F238E27FC236}">
                <a16:creationId xmlns:a16="http://schemas.microsoft.com/office/drawing/2014/main" id="{1BB356F2-2C11-4FE1-EE7B-6B8092E23E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A1D1E118-FF4D-493D-6C76-5F4E9DA2EAC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32</xdr:row>
      <xdr:rowOff>36913</xdr:rowOff>
    </xdr:from>
    <xdr:to>
      <xdr:col>35</xdr:col>
      <xdr:colOff>132308</xdr:colOff>
      <xdr:row>33</xdr:row>
      <xdr:rowOff>956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FA0D671-2DCF-40A9-87C8-774AD217D719}"/>
            </a:ext>
          </a:extLst>
        </xdr:cNvPr>
        <xdr:cNvGrpSpPr/>
      </xdr:nvGrpSpPr>
      <xdr:grpSpPr>
        <a:xfrm>
          <a:off x="17724117" y="7178636"/>
          <a:ext cx="72000" cy="182916"/>
          <a:chOff x="8889969" y="717550"/>
          <a:chExt cx="95415" cy="260350"/>
        </a:xfrm>
      </xdr:grpSpPr>
      <xdr:sp macro="" textlink="">
        <xdr:nvSpPr>
          <xdr:cNvPr id="67" name="자유형: 도형 66">
            <a:extLst>
              <a:ext uri="{FF2B5EF4-FFF2-40B4-BE49-F238E27FC236}">
                <a16:creationId xmlns:a16="http://schemas.microsoft.com/office/drawing/2014/main" id="{EF49496C-6C29-5368-4378-853E4D3C4B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자유형: 도형 67">
            <a:extLst>
              <a:ext uri="{FF2B5EF4-FFF2-40B4-BE49-F238E27FC236}">
                <a16:creationId xmlns:a16="http://schemas.microsoft.com/office/drawing/2014/main" id="{13C5872C-D6B8-782A-4EC4-510B7BAD549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34</xdr:row>
      <xdr:rowOff>20871</xdr:rowOff>
    </xdr:from>
    <xdr:to>
      <xdr:col>35</xdr:col>
      <xdr:colOff>140329</xdr:colOff>
      <xdr:row>34</xdr:row>
      <xdr:rowOff>208835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89834FE9-FCB9-4DD3-B012-D2F3455282F6}"/>
            </a:ext>
          </a:extLst>
        </xdr:cNvPr>
        <xdr:cNvGrpSpPr/>
      </xdr:nvGrpSpPr>
      <xdr:grpSpPr>
        <a:xfrm>
          <a:off x="17732138" y="7600339"/>
          <a:ext cx="72000" cy="187964"/>
          <a:chOff x="8889969" y="717550"/>
          <a:chExt cx="95415" cy="260350"/>
        </a:xfrm>
      </xdr:grpSpPr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4ED68E7D-BED6-D8C1-A103-C512A7CC7CA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D9F9FCAF-4F03-5D55-75F7-DB351498C58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36</xdr:row>
      <xdr:rowOff>12850</xdr:rowOff>
    </xdr:from>
    <xdr:to>
      <xdr:col>35</xdr:col>
      <xdr:colOff>132308</xdr:colOff>
      <xdr:row>36</xdr:row>
      <xdr:rowOff>192793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B4523201-B924-4C93-A5D4-579F06CD51B3}"/>
            </a:ext>
          </a:extLst>
        </xdr:cNvPr>
        <xdr:cNvGrpSpPr/>
      </xdr:nvGrpSpPr>
      <xdr:grpSpPr>
        <a:xfrm>
          <a:off x="17724117" y="8030063"/>
          <a:ext cx="72000" cy="179943"/>
          <a:chOff x="8889969" y="717550"/>
          <a:chExt cx="95415" cy="260350"/>
        </a:xfrm>
      </xdr:grpSpPr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C98AA9F4-0C74-58FB-D912-B986D2F1A3D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FB2AC7CA-766A-DD02-C0D9-533F36D68D0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9</xdr:row>
      <xdr:rowOff>24064</xdr:rowOff>
    </xdr:from>
    <xdr:to>
      <xdr:col>73</xdr:col>
      <xdr:colOff>96064</xdr:colOff>
      <xdr:row>10</xdr:row>
      <xdr:rowOff>1996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322DA05D-B566-403F-BAE7-E685E6915178}"/>
            </a:ext>
          </a:extLst>
        </xdr:cNvPr>
        <xdr:cNvGrpSpPr/>
      </xdr:nvGrpSpPr>
      <xdr:grpSpPr>
        <a:xfrm>
          <a:off x="36875681" y="2034447"/>
          <a:ext cx="72000" cy="196804"/>
          <a:chOff x="8889969" y="717550"/>
          <a:chExt cx="95415" cy="260350"/>
        </a:xfrm>
      </xdr:grpSpPr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9CB90BB3-8C79-DF83-EFBA-AD1A16AAA4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4D2EEFCC-44FE-8BB6-47BB-7C578379E8A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11</xdr:row>
      <xdr:rowOff>48128</xdr:rowOff>
    </xdr:from>
    <xdr:to>
      <xdr:col>73</xdr:col>
      <xdr:colOff>96064</xdr:colOff>
      <xdr:row>12</xdr:row>
      <xdr:rowOff>0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1275675E-F630-4FCF-9C3F-9F6380E929FA}"/>
            </a:ext>
          </a:extLst>
        </xdr:cNvPr>
        <xdr:cNvGrpSpPr/>
      </xdr:nvGrpSpPr>
      <xdr:grpSpPr>
        <a:xfrm>
          <a:off x="36875681" y="2504362"/>
          <a:ext cx="72000" cy="178851"/>
          <a:chOff x="8889969" y="717550"/>
          <a:chExt cx="95415" cy="260350"/>
        </a:xfrm>
      </xdr:grpSpPr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C012655F-3E36-AB3F-A103-3B69F4F83D5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9F849381-2D25-3AC5-D889-C8604D16AF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14</xdr:row>
      <xdr:rowOff>25400</xdr:rowOff>
    </xdr:from>
    <xdr:to>
      <xdr:col>63</xdr:col>
      <xdr:colOff>102748</xdr:colOff>
      <xdr:row>15</xdr:row>
      <xdr:rowOff>909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C8BADC99-0048-418C-979C-245B66681272}"/>
            </a:ext>
          </a:extLst>
        </xdr:cNvPr>
        <xdr:cNvGrpSpPr/>
      </xdr:nvGrpSpPr>
      <xdr:grpSpPr>
        <a:xfrm>
          <a:off x="31694280" y="3162570"/>
          <a:ext cx="72000" cy="202488"/>
          <a:chOff x="8889969" y="717550"/>
          <a:chExt cx="95415" cy="260350"/>
        </a:xfrm>
      </xdr:grpSpPr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E2F77A1C-0081-1333-C612-F892B81D4EF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B98E2911-1EA2-9060-5A46-EB606693347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16</xdr:row>
      <xdr:rowOff>49464</xdr:rowOff>
    </xdr:from>
    <xdr:to>
      <xdr:col>63</xdr:col>
      <xdr:colOff>102748</xdr:colOff>
      <xdr:row>17</xdr:row>
      <xdr:rowOff>10685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1FDBD4B4-2314-4DC7-8288-09F3EACDDAA9}"/>
            </a:ext>
          </a:extLst>
        </xdr:cNvPr>
        <xdr:cNvGrpSpPr/>
      </xdr:nvGrpSpPr>
      <xdr:grpSpPr>
        <a:xfrm>
          <a:off x="31694280" y="3632485"/>
          <a:ext cx="72000" cy="188200"/>
          <a:chOff x="8889969" y="717550"/>
          <a:chExt cx="95415" cy="260350"/>
        </a:xfrm>
      </xdr:grpSpPr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89C0E36A-E165-F78E-BC23-9ABFE9C753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C472A1C3-4A05-3CCA-5FEF-BB3306654F4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18</xdr:row>
      <xdr:rowOff>57485</xdr:rowOff>
    </xdr:from>
    <xdr:to>
      <xdr:col>63</xdr:col>
      <xdr:colOff>94727</xdr:colOff>
      <xdr:row>19</xdr:row>
      <xdr:rowOff>18706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A1DA411E-D765-4C72-8CDE-23A71EC0D671}"/>
            </a:ext>
          </a:extLst>
        </xdr:cNvPr>
        <xdr:cNvGrpSpPr/>
      </xdr:nvGrpSpPr>
      <xdr:grpSpPr>
        <a:xfrm>
          <a:off x="31686259" y="4094464"/>
          <a:ext cx="72000" cy="180093"/>
          <a:chOff x="8889969" y="717550"/>
          <a:chExt cx="95415" cy="260350"/>
        </a:xfrm>
      </xdr:grpSpPr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B50F40E7-BCA5-714A-4E46-9E8761DA49D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9F72A3BD-C093-9E43-351D-2EB9E625E87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20</xdr:row>
      <xdr:rowOff>41443</xdr:rowOff>
    </xdr:from>
    <xdr:to>
      <xdr:col>63</xdr:col>
      <xdr:colOff>102748</xdr:colOff>
      <xdr:row>21</xdr:row>
      <xdr:rowOff>10685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D6C1CA89-3F8F-44AF-AC47-3DD2AFB96393}"/>
            </a:ext>
          </a:extLst>
        </xdr:cNvPr>
        <xdr:cNvGrpSpPr/>
      </xdr:nvGrpSpPr>
      <xdr:grpSpPr>
        <a:xfrm>
          <a:off x="31694280" y="4524273"/>
          <a:ext cx="72000" cy="196221"/>
          <a:chOff x="8889969" y="717550"/>
          <a:chExt cx="95415" cy="260350"/>
        </a:xfrm>
      </xdr:grpSpPr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C68C0279-2F8F-6017-0BBF-7A78C8989AF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98EBC794-A28E-B21E-251C-7D2474332B0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22</xdr:row>
      <xdr:rowOff>33422</xdr:rowOff>
    </xdr:from>
    <xdr:to>
      <xdr:col>63</xdr:col>
      <xdr:colOff>94727</xdr:colOff>
      <xdr:row>22</xdr:row>
      <xdr:rowOff>208538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C9152DFE-B3BE-4628-8859-97B76FDE4586}"/>
            </a:ext>
          </a:extLst>
        </xdr:cNvPr>
        <xdr:cNvGrpSpPr/>
      </xdr:nvGrpSpPr>
      <xdr:grpSpPr>
        <a:xfrm>
          <a:off x="31686259" y="4962103"/>
          <a:ext cx="72000" cy="175116"/>
          <a:chOff x="8889969" y="717550"/>
          <a:chExt cx="95415" cy="260350"/>
        </a:xfrm>
      </xdr:grpSpPr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C13E5B6B-9DA7-FD27-8CC8-3F638C4E8E4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52E08966-718D-D1EB-7B28-C25E9107634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51</xdr:col>
      <xdr:colOff>630434</xdr:colOff>
      <xdr:row>7</xdr:row>
      <xdr:rowOff>76736</xdr:rowOff>
    </xdr:from>
    <xdr:ext cx="162352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01A4009-C962-496E-90BA-6C2CDFCCA570}"/>
            </a:ext>
          </a:extLst>
        </xdr:cNvPr>
        <xdr:cNvSpPr txBox="1"/>
      </xdr:nvSpPr>
      <xdr:spPr>
        <a:xfrm>
          <a:off x="25820884" y="182298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747290</xdr:colOff>
      <xdr:row>8</xdr:row>
      <xdr:rowOff>62832</xdr:rowOff>
    </xdr:from>
    <xdr:to>
      <xdr:col>57</xdr:col>
      <xdr:colOff>688133</xdr:colOff>
      <xdr:row>8</xdr:row>
      <xdr:rowOff>62832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9AB51C3F-8D05-4613-9B4F-BDB9C1E872C0}"/>
            </a:ext>
          </a:extLst>
        </xdr:cNvPr>
        <xdr:cNvCxnSpPr/>
      </xdr:nvCxnSpPr>
      <xdr:spPr>
        <a:xfrm>
          <a:off x="25188440" y="2031332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32084</xdr:colOff>
      <xdr:row>14</xdr:row>
      <xdr:rowOff>16043</xdr:rowOff>
    </xdr:from>
    <xdr:to>
      <xdr:col>55</xdr:col>
      <xdr:colOff>104084</xdr:colOff>
      <xdr:row>14</xdr:row>
      <xdr:rowOff>209875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1C4655EE-1F33-4F8D-807A-93C7C54A21E5}"/>
            </a:ext>
          </a:extLst>
        </xdr:cNvPr>
        <xdr:cNvGrpSpPr/>
      </xdr:nvGrpSpPr>
      <xdr:grpSpPr>
        <a:xfrm>
          <a:off x="27861297" y="3153213"/>
          <a:ext cx="72000" cy="193832"/>
          <a:chOff x="8889969" y="717550"/>
          <a:chExt cx="95415" cy="260350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BD6E78EA-785C-0B63-301D-725B9029527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62EB53B4-AC72-2514-3A31-598087DBE34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16</xdr:row>
      <xdr:rowOff>40107</xdr:rowOff>
    </xdr:from>
    <xdr:to>
      <xdr:col>55</xdr:col>
      <xdr:colOff>104084</xdr:colOff>
      <xdr:row>17</xdr:row>
      <xdr:rowOff>1328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1F0D31F-C6CF-4933-8F56-B68B275D8D48}"/>
            </a:ext>
          </a:extLst>
        </xdr:cNvPr>
        <xdr:cNvGrpSpPr/>
      </xdr:nvGrpSpPr>
      <xdr:grpSpPr>
        <a:xfrm>
          <a:off x="27861297" y="3623128"/>
          <a:ext cx="72000" cy="188200"/>
          <a:chOff x="8889969" y="717550"/>
          <a:chExt cx="95415" cy="260350"/>
        </a:xfrm>
      </xdr:grpSpPr>
      <xdr:sp macro="" textlink="">
        <xdr:nvSpPr>
          <xdr:cNvPr id="111" name="자유형: 도형 110">
            <a:extLst>
              <a:ext uri="{FF2B5EF4-FFF2-40B4-BE49-F238E27FC236}">
                <a16:creationId xmlns:a16="http://schemas.microsoft.com/office/drawing/2014/main" id="{609F17C9-BF58-EE67-19B2-54E0DD9A06F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226395E0-5C4D-EA08-3A87-F5430FA7C0B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18</xdr:row>
      <xdr:rowOff>48128</xdr:rowOff>
    </xdr:from>
    <xdr:to>
      <xdr:col>55</xdr:col>
      <xdr:colOff>96063</xdr:colOff>
      <xdr:row>19</xdr:row>
      <xdr:rowOff>9349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B0056B81-0A97-40E5-9ACF-60A46D985EE5}"/>
            </a:ext>
          </a:extLst>
        </xdr:cNvPr>
        <xdr:cNvGrpSpPr/>
      </xdr:nvGrpSpPr>
      <xdr:grpSpPr>
        <a:xfrm>
          <a:off x="27853276" y="4085107"/>
          <a:ext cx="72000" cy="180093"/>
          <a:chOff x="8889969" y="717550"/>
          <a:chExt cx="95415" cy="260350"/>
        </a:xfrm>
      </xdr:grpSpPr>
      <xdr:sp macro="" textlink="">
        <xdr:nvSpPr>
          <xdr:cNvPr id="114" name="자유형: 도형 113">
            <a:extLst>
              <a:ext uri="{FF2B5EF4-FFF2-40B4-BE49-F238E27FC236}">
                <a16:creationId xmlns:a16="http://schemas.microsoft.com/office/drawing/2014/main" id="{28EF6213-341B-BE85-0BC1-39B932BB640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5B0F18FF-EB6A-A3F3-D898-9727041D686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20</xdr:row>
      <xdr:rowOff>32086</xdr:rowOff>
    </xdr:from>
    <xdr:to>
      <xdr:col>55</xdr:col>
      <xdr:colOff>104084</xdr:colOff>
      <xdr:row>21</xdr:row>
      <xdr:rowOff>1328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9DB21213-3C7F-48E9-8D56-BA453AA9C536}"/>
            </a:ext>
          </a:extLst>
        </xdr:cNvPr>
        <xdr:cNvGrpSpPr/>
      </xdr:nvGrpSpPr>
      <xdr:grpSpPr>
        <a:xfrm>
          <a:off x="27861297" y="4514916"/>
          <a:ext cx="72000" cy="196221"/>
          <a:chOff x="8889969" y="717550"/>
          <a:chExt cx="95415" cy="260350"/>
        </a:xfrm>
      </xdr:grpSpPr>
      <xdr:sp macro="" textlink="">
        <xdr:nvSpPr>
          <xdr:cNvPr id="117" name="자유형: 도형 116">
            <a:extLst>
              <a:ext uri="{FF2B5EF4-FFF2-40B4-BE49-F238E27FC236}">
                <a16:creationId xmlns:a16="http://schemas.microsoft.com/office/drawing/2014/main" id="{233B7E60-0B0B-96FD-C795-DDFFEC8B874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D9E59BFD-C714-67FB-5C88-B3D0D442C7F9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22</xdr:row>
      <xdr:rowOff>24065</xdr:rowOff>
    </xdr:from>
    <xdr:to>
      <xdr:col>55</xdr:col>
      <xdr:colOff>96063</xdr:colOff>
      <xdr:row>23</xdr:row>
      <xdr:rowOff>4002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B8940BA9-5831-4C28-9812-D8806D1671FE}"/>
            </a:ext>
          </a:extLst>
        </xdr:cNvPr>
        <xdr:cNvGrpSpPr/>
      </xdr:nvGrpSpPr>
      <xdr:grpSpPr>
        <a:xfrm>
          <a:off x="27853276" y="4952746"/>
          <a:ext cx="72000" cy="206916"/>
          <a:chOff x="8889969" y="717550"/>
          <a:chExt cx="95415" cy="260350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A05E0295-BAD5-D8F3-30FD-B7B9434521C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B368FF70-9046-6C2F-0079-4D30A3A18A5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55</xdr:col>
      <xdr:colOff>96031</xdr:colOff>
      <xdr:row>5</xdr:row>
      <xdr:rowOff>215628</xdr:rowOff>
    </xdr:from>
    <xdr:ext cx="103816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D24AC04-107B-477E-8392-85F2EAADAE7A}"/>
            </a:ext>
          </a:extLst>
        </xdr:cNvPr>
        <xdr:cNvSpPr txBox="1"/>
      </xdr:nvSpPr>
      <xdr:spPr>
        <a:xfrm>
          <a:off x="27432781" y="1523728"/>
          <a:ext cx="1038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block_size_chx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76</xdr:col>
      <xdr:colOff>0</xdr:colOff>
      <xdr:row>8</xdr:row>
      <xdr:rowOff>125413</xdr:rowOff>
    </xdr:from>
    <xdr:to>
      <xdr:col>76</xdr:col>
      <xdr:colOff>0</xdr:colOff>
      <xdr:row>12</xdr:row>
      <xdr:rowOff>0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21EDC2D5-46A9-4F09-9BFB-477DF8434F98}"/>
            </a:ext>
          </a:extLst>
        </xdr:cNvPr>
        <xdr:cNvCxnSpPr/>
      </xdr:nvCxnSpPr>
      <xdr:spPr>
        <a:xfrm flipH="1">
          <a:off x="37801550" y="2093913"/>
          <a:ext cx="0" cy="225263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1091406</xdr:colOff>
      <xdr:row>12</xdr:row>
      <xdr:rowOff>0</xdr:rowOff>
    </xdr:from>
    <xdr:ext cx="2992009" cy="508473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3709256-140C-4B7B-AFF7-A68B60FEFA0D}"/>
            </a:ext>
          </a:extLst>
        </xdr:cNvPr>
        <xdr:cNvSpPr txBox="1"/>
      </xdr:nvSpPr>
      <xdr:spPr>
        <a:xfrm>
          <a:off x="34854356" y="4214945"/>
          <a:ext cx="2992009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sync time @ driver-side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(internally gen. a</a:t>
          </a:r>
          <a:r>
            <a:rPr lang="en-US" altLang="ko-KR" sz="1100" baseline="0">
              <a:solidFill>
                <a:sysClr val="windowText" lastClr="000000"/>
              </a:solidFill>
            </a:rPr>
            <a:t> vsync)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44</xdr:col>
      <xdr:colOff>606331</xdr:colOff>
      <xdr:row>13</xdr:row>
      <xdr:rowOff>112450</xdr:rowOff>
    </xdr:from>
    <xdr:to>
      <xdr:col>44</xdr:col>
      <xdr:colOff>606331</xdr:colOff>
      <xdr:row>23</xdr:row>
      <xdr:rowOff>105793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495FDC87-A3C6-47BC-80D0-A0C463C6D65C}"/>
            </a:ext>
          </a:extLst>
        </xdr:cNvPr>
        <xdr:cNvCxnSpPr/>
      </xdr:nvCxnSpPr>
      <xdr:spPr>
        <a:xfrm flipH="1">
          <a:off x="21993131" y="5167050"/>
          <a:ext cx="0" cy="2196793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592324</xdr:colOff>
      <xdr:row>22</xdr:row>
      <xdr:rowOff>215239</xdr:rowOff>
    </xdr:from>
    <xdr:ext cx="1976695" cy="508473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F433076-11FC-405D-90A5-75FB30098C25}"/>
            </a:ext>
          </a:extLst>
        </xdr:cNvPr>
        <xdr:cNvSpPr txBox="1"/>
      </xdr:nvSpPr>
      <xdr:spPr>
        <a:xfrm>
          <a:off x="20855174" y="7251039"/>
          <a:ext cx="197669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receive</a:t>
          </a:r>
          <a:r>
            <a:rPr lang="en-US" altLang="ko-KR" sz="1100" baseline="0">
              <a:solidFill>
                <a:sysClr val="windowText" lastClr="000000"/>
              </a:solidFill>
            </a:rPr>
            <a:t> complete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31</xdr:col>
      <xdr:colOff>259</xdr:colOff>
      <xdr:row>29</xdr:row>
      <xdr:rowOff>112722</xdr:rowOff>
    </xdr:from>
    <xdr:to>
      <xdr:col>31</xdr:col>
      <xdr:colOff>259</xdr:colOff>
      <xdr:row>39</xdr:row>
      <xdr:rowOff>17910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1D17DE0C-DF3E-4E0B-87A1-EB5E8DEB2C81}"/>
            </a:ext>
          </a:extLst>
        </xdr:cNvPr>
        <xdr:cNvCxnSpPr/>
      </xdr:nvCxnSpPr>
      <xdr:spPr>
        <a:xfrm flipH="1">
          <a:off x="14757659" y="8678872"/>
          <a:ext cx="0" cy="2064188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258200</xdr:colOff>
      <xdr:row>37</xdr:row>
      <xdr:rowOff>56753</xdr:rowOff>
    </xdr:from>
    <xdr:ext cx="2936445" cy="508473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B0F91A2-53D0-4113-BE77-075C582FCDA4}"/>
            </a:ext>
          </a:extLst>
        </xdr:cNvPr>
        <xdr:cNvSpPr txBox="1"/>
      </xdr:nvSpPr>
      <xdr:spPr>
        <a:xfrm>
          <a:off x="14742550" y="10350103"/>
          <a:ext cx="293644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driving read data out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id=1 </a:t>
          </a:r>
          <a:r>
            <a:rPr lang="ko-KR" altLang="en-US" sz="1100" baseline="0">
              <a:solidFill>
                <a:sysClr val="windowText" lastClr="000000"/>
              </a:solidFill>
            </a:rPr>
            <a:t>부터 </a:t>
          </a:r>
          <a:r>
            <a:rPr lang="en-US" altLang="ko-KR" sz="1100" baseline="0">
              <a:solidFill>
                <a:sysClr val="windowText" lastClr="000000"/>
              </a:solidFill>
            </a:rPr>
            <a:t>start (dev #n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id = 0) and self driving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34</xdr:col>
      <xdr:colOff>2199</xdr:colOff>
      <xdr:row>10</xdr:row>
      <xdr:rowOff>19845</xdr:rowOff>
    </xdr:from>
    <xdr:to>
      <xdr:col>34</xdr:col>
      <xdr:colOff>2199</xdr:colOff>
      <xdr:row>12</xdr:row>
      <xdr:rowOff>0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D5462BC8-1C58-4FD1-9FF2-ED321CF6FAC8}"/>
            </a:ext>
          </a:extLst>
        </xdr:cNvPr>
        <xdr:cNvCxnSpPr/>
      </xdr:nvCxnSpPr>
      <xdr:spPr>
        <a:xfrm>
          <a:off x="16969399" y="2426495"/>
          <a:ext cx="0" cy="67632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337341</xdr:colOff>
      <xdr:row>12</xdr:row>
      <xdr:rowOff>0</xdr:rowOff>
    </xdr:from>
    <xdr:ext cx="1488283" cy="344453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7B2912C-B371-4B93-B0B4-A4465DC04CF3}"/>
            </a:ext>
          </a:extLst>
        </xdr:cNvPr>
        <xdr:cNvSpPr txBox="1"/>
      </xdr:nvSpPr>
      <xdr:spPr>
        <a:xfrm>
          <a:off x="17895091" y="2887550"/>
          <a:ext cx="1488283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dev#1 bypass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dev#2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driving output low</a:t>
          </a:r>
          <a:endParaRPr lang="ko-KR" altLang="ko-KR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28</xdr:col>
      <xdr:colOff>30909</xdr:colOff>
      <xdr:row>37</xdr:row>
      <xdr:rowOff>63633</xdr:rowOff>
    </xdr:from>
    <xdr:ext cx="1489126" cy="43678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D6C64ED-BFE2-4E12-86E2-2C8290EC6438}"/>
            </a:ext>
          </a:extLst>
        </xdr:cNvPr>
        <xdr:cNvSpPr txBox="1"/>
      </xdr:nvSpPr>
      <xdr:spPr>
        <a:xfrm>
          <a:off x="13327809" y="10356983"/>
          <a:ext cx="14891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all dev</a:t>
          </a:r>
          <a:r>
            <a:rPr lang="en-US" altLang="ko-KR" sz="1100" baseline="0">
              <a:solidFill>
                <a:sysClr val="windowText" lastClr="000000"/>
              </a:solidFill>
            </a:rPr>
            <a:t> ready to bypass</a:t>
          </a:r>
        </a:p>
        <a:p>
          <a:pPr algn="r"/>
          <a:r>
            <a:rPr lang="en-US" altLang="ko-KR" sz="1100" baseline="0">
              <a:solidFill>
                <a:sysClr val="windowText" lastClr="000000"/>
              </a:solidFill>
            </a:rPr>
            <a:t>&amp; driving output low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88</xdr:col>
      <xdr:colOff>63058</xdr:colOff>
      <xdr:row>12</xdr:row>
      <xdr:rowOff>0</xdr:rowOff>
    </xdr:from>
    <xdr:ext cx="4173803" cy="304272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E372817-C492-413E-A837-574D438DF401}"/>
            </a:ext>
          </a:extLst>
        </xdr:cNvPr>
        <xdr:cNvSpPr txBox="1"/>
      </xdr:nvSpPr>
      <xdr:spPr>
        <a:xfrm>
          <a:off x="43554208" y="4193997"/>
          <a:ext cx="4173803" cy="304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re-driving command 4-bit + result 4-bit (</a:t>
          </a:r>
          <a:r>
            <a:rPr lang="ko-KR" altLang="en-US" sz="1100">
              <a:solidFill>
                <a:sysClr val="windowText" lastClr="000000"/>
              </a:solidFill>
            </a:rPr>
            <a:t>수신 </a:t>
          </a:r>
          <a:r>
            <a:rPr lang="en-US" altLang="ko-KR" sz="1100">
              <a:solidFill>
                <a:sysClr val="windowText" lastClr="000000"/>
              </a:solidFill>
            </a:rPr>
            <a:t>4-bit | </a:t>
          </a:r>
          <a:r>
            <a:rPr lang="ko-KR" altLang="en-US" sz="1100">
              <a:solidFill>
                <a:sysClr val="windowText" lastClr="000000"/>
              </a:solidFill>
            </a:rPr>
            <a:t>자신 </a:t>
          </a:r>
          <a:r>
            <a:rPr lang="en-US" altLang="ko-KR" sz="1100">
              <a:solidFill>
                <a:sysClr val="windowText" lastClr="000000"/>
              </a:solidFill>
            </a:rPr>
            <a:t>status 4-bit)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83</xdr:col>
      <xdr:colOff>22922</xdr:colOff>
      <xdr:row>9</xdr:row>
      <xdr:rowOff>25736</xdr:rowOff>
    </xdr:from>
    <xdr:to>
      <xdr:col>83</xdr:col>
      <xdr:colOff>94922</xdr:colOff>
      <xdr:row>9</xdr:row>
      <xdr:rowOff>213218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49158685-DA6F-469B-BA1C-05D1864A6C52}"/>
            </a:ext>
          </a:extLst>
        </xdr:cNvPr>
        <xdr:cNvGrpSpPr/>
      </xdr:nvGrpSpPr>
      <xdr:grpSpPr>
        <a:xfrm>
          <a:off x="42500369" y="2036119"/>
          <a:ext cx="72000" cy="187482"/>
          <a:chOff x="8889969" y="717550"/>
          <a:chExt cx="95415" cy="260350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616B7B71-A1E0-8E38-4320-6022D327A4A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1D49D5FB-6971-19D4-6BF4-0ECF92D70F8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29802</xdr:colOff>
      <xdr:row>11</xdr:row>
      <xdr:rowOff>52458</xdr:rowOff>
    </xdr:from>
    <xdr:to>
      <xdr:col>83</xdr:col>
      <xdr:colOff>101802</xdr:colOff>
      <xdr:row>12</xdr:row>
      <xdr:rowOff>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D1FE439D-375D-474B-B5E2-E91029B30ACC}"/>
            </a:ext>
          </a:extLst>
        </xdr:cNvPr>
        <xdr:cNvGrpSpPr/>
      </xdr:nvGrpSpPr>
      <xdr:grpSpPr>
        <a:xfrm>
          <a:off x="42507249" y="2508692"/>
          <a:ext cx="72000" cy="174521"/>
          <a:chOff x="8889969" y="717550"/>
          <a:chExt cx="95415" cy="260350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491F67C-2572-56FE-F47E-6E9E47FB32C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B284BAAD-9365-AF26-BE66-4C580C31D3A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220495</xdr:colOff>
      <xdr:row>3</xdr:row>
      <xdr:rowOff>182824</xdr:rowOff>
    </xdr:from>
    <xdr:to>
      <xdr:col>43</xdr:col>
      <xdr:colOff>1046152</xdr:colOff>
      <xdr:row>6</xdr:row>
      <xdr:rowOff>199082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98FB47DF-E92B-4C3A-B7A8-6C2BB5CD003E}"/>
            </a:ext>
          </a:extLst>
        </xdr:cNvPr>
        <xdr:cNvGrpSpPr/>
      </xdr:nvGrpSpPr>
      <xdr:grpSpPr>
        <a:xfrm>
          <a:off x="15492921" y="847547"/>
          <a:ext cx="6297465" cy="689088"/>
          <a:chOff x="14395105" y="606156"/>
          <a:chExt cx="5846574" cy="686536"/>
        </a:xfrm>
      </xdr:grpSpPr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3AF6C6A9-A42A-5AB3-6D4B-386B575E15D0}"/>
              </a:ext>
            </a:extLst>
          </xdr:cNvPr>
          <xdr:cNvSpPr/>
        </xdr:nvSpPr>
        <xdr:spPr>
          <a:xfrm>
            <a:off x="15473510" y="608692"/>
            <a:ext cx="684000" cy="6840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A683B5A2-7C2C-A1B6-4E4D-762956FB62A9}"/>
              </a:ext>
            </a:extLst>
          </xdr:cNvPr>
          <xdr:cNvSpPr/>
        </xdr:nvSpPr>
        <xdr:spPr>
          <a:xfrm>
            <a:off x="17189072" y="606156"/>
            <a:ext cx="684000" cy="6840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F59B3141-4581-9110-7B69-8E1243365C8B}"/>
              </a:ext>
            </a:extLst>
          </xdr:cNvPr>
          <xdr:cNvSpPr/>
        </xdr:nvSpPr>
        <xdr:spPr>
          <a:xfrm>
            <a:off x="19100543" y="608692"/>
            <a:ext cx="684000" cy="684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3" name="직선 화살표 연결선 152">
            <a:extLst>
              <a:ext uri="{FF2B5EF4-FFF2-40B4-BE49-F238E27FC236}">
                <a16:creationId xmlns:a16="http://schemas.microsoft.com/office/drawing/2014/main" id="{7C486B6E-3DC0-8BD8-4B35-2F0BB7A4BF6C}"/>
              </a:ext>
            </a:extLst>
          </xdr:cNvPr>
          <xdr:cNvCxnSpPr>
            <a:stCxn id="158" idx="3"/>
            <a:endCxn id="150" idx="1"/>
          </xdr:cNvCxnSpPr>
        </xdr:nvCxnSpPr>
        <xdr:spPr>
          <a:xfrm>
            <a:off x="14835884" y="950575"/>
            <a:ext cx="637626" cy="117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직선 화살표 연결선 153">
            <a:extLst>
              <a:ext uri="{FF2B5EF4-FFF2-40B4-BE49-F238E27FC236}">
                <a16:creationId xmlns:a16="http://schemas.microsoft.com/office/drawing/2014/main" id="{3E6E9FA2-94F0-1AD2-1144-CC70A14C96E0}"/>
              </a:ext>
            </a:extLst>
          </xdr:cNvPr>
          <xdr:cNvCxnSpPr>
            <a:cxnSpLocks/>
            <a:stCxn id="152" idx="3"/>
          </xdr:cNvCxnSpPr>
        </xdr:nvCxnSpPr>
        <xdr:spPr>
          <a:xfrm>
            <a:off x="19784543" y="950692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직선 화살표 연결선 154">
            <a:extLst>
              <a:ext uri="{FF2B5EF4-FFF2-40B4-BE49-F238E27FC236}">
                <a16:creationId xmlns:a16="http://schemas.microsoft.com/office/drawing/2014/main" id="{7F51B034-99F2-6412-7374-DBFFE3D88698}"/>
              </a:ext>
            </a:extLst>
          </xdr:cNvPr>
          <xdr:cNvCxnSpPr>
            <a:stCxn id="150" idx="3"/>
            <a:endCxn id="151" idx="1"/>
          </xdr:cNvCxnSpPr>
        </xdr:nvCxnSpPr>
        <xdr:spPr>
          <a:xfrm flipV="1">
            <a:off x="16157510" y="948156"/>
            <a:ext cx="1031562" cy="253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직선 화살표 연결선 155">
            <a:extLst>
              <a:ext uri="{FF2B5EF4-FFF2-40B4-BE49-F238E27FC236}">
                <a16:creationId xmlns:a16="http://schemas.microsoft.com/office/drawing/2014/main" id="{135196CA-6C30-12B2-1589-7A6B5E4EC288}"/>
              </a:ext>
            </a:extLst>
          </xdr:cNvPr>
          <xdr:cNvCxnSpPr>
            <a:stCxn id="151" idx="3"/>
          </xdr:cNvCxnSpPr>
        </xdr:nvCxnSpPr>
        <xdr:spPr>
          <a:xfrm flipV="1">
            <a:off x="17873071" y="945444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화살표 연결선 156">
            <a:extLst>
              <a:ext uri="{FF2B5EF4-FFF2-40B4-BE49-F238E27FC236}">
                <a16:creationId xmlns:a16="http://schemas.microsoft.com/office/drawing/2014/main" id="{5EA9AFE7-C13F-13DD-2CFA-792DB28E7D28}"/>
              </a:ext>
            </a:extLst>
          </xdr:cNvPr>
          <xdr:cNvCxnSpPr/>
        </xdr:nvCxnSpPr>
        <xdr:spPr>
          <a:xfrm>
            <a:off x="18704285" y="945445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C05A774-88C4-931B-8D76-B01D3774C2B7}"/>
              </a:ext>
            </a:extLst>
          </xdr:cNvPr>
          <xdr:cNvSpPr txBox="1"/>
        </xdr:nvSpPr>
        <xdr:spPr>
          <a:xfrm>
            <a:off x="14395105" y="859672"/>
            <a:ext cx="440779" cy="18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  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chx</a:t>
            </a:r>
            <a:endParaRPr lang="ko-KR" altLang="en-US" sz="1100" baseline="-25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F698E255-7B1F-1260-BFDC-1A250A203905}"/>
              </a:ext>
            </a:extLst>
          </xdr:cNvPr>
          <xdr:cNvSpPr txBox="1"/>
        </xdr:nvSpPr>
        <xdr:spPr>
          <a:xfrm>
            <a:off x="15021278" y="719666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7AFD2C06-167D-BC5E-A544-58C5A5ACE681}"/>
              </a:ext>
            </a:extLst>
          </xdr:cNvPr>
          <xdr:cNvSpPr txBox="1"/>
        </xdr:nvSpPr>
        <xdr:spPr>
          <a:xfrm>
            <a:off x="18637961" y="716842"/>
            <a:ext cx="533736" cy="2779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F1D29E26-9C23-A07E-A728-4E4B1298B963}"/>
              </a:ext>
            </a:extLst>
          </xdr:cNvPr>
          <xdr:cNvSpPr txBox="1"/>
        </xdr:nvSpPr>
        <xdr:spPr>
          <a:xfrm>
            <a:off x="16730139" y="721075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EB33F7A6-0A70-59AC-00ED-298958E1176B}"/>
              </a:ext>
            </a:extLst>
          </xdr:cNvPr>
          <xdr:cNvSpPr txBox="1"/>
        </xdr:nvSpPr>
        <xdr:spPr>
          <a:xfrm>
            <a:off x="19721693" y="721077"/>
            <a:ext cx="5199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E58E4C85-6A96-40B9-E771-7046F10E3938}"/>
              </a:ext>
            </a:extLst>
          </xdr:cNvPr>
          <xdr:cNvSpPr txBox="1"/>
        </xdr:nvSpPr>
        <xdr:spPr>
          <a:xfrm>
            <a:off x="17806814" y="718254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32A5879D-B8BC-ACA6-90C1-865745E3BB9D}"/>
              </a:ext>
            </a:extLst>
          </xdr:cNvPr>
          <xdr:cNvSpPr txBox="1"/>
        </xdr:nvSpPr>
        <xdr:spPr>
          <a:xfrm>
            <a:off x="16089488" y="722488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9</xdr:row>
      <xdr:rowOff>63575</xdr:rowOff>
    </xdr:from>
    <xdr:to>
      <xdr:col>91</xdr:col>
      <xdr:colOff>87596</xdr:colOff>
      <xdr:row>10</xdr:row>
      <xdr:rowOff>38685</xdr:rowOff>
    </xdr:to>
    <xdr:grpSp>
      <xdr:nvGrpSpPr>
        <xdr:cNvPr id="165" name="그룹 164">
          <a:extLst>
            <a:ext uri="{FF2B5EF4-FFF2-40B4-BE49-F238E27FC236}">
              <a16:creationId xmlns:a16="http://schemas.microsoft.com/office/drawing/2014/main" id="{CC5FBA15-071F-4D0B-AFEC-9CEB3845111D}"/>
            </a:ext>
          </a:extLst>
        </xdr:cNvPr>
        <xdr:cNvGrpSpPr/>
      </xdr:nvGrpSpPr>
      <xdr:grpSpPr>
        <a:xfrm>
          <a:off x="45529424" y="2073958"/>
          <a:ext cx="59300" cy="193982"/>
          <a:chOff x="8889969" y="717550"/>
          <a:chExt cx="95415" cy="260350"/>
        </a:xfrm>
      </xdr:grpSpPr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E570AE6D-5B4D-AA48-BF24-F633F69C71A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D3147B69-A3FF-B427-0918-AEA1254D15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11</xdr:row>
      <xdr:rowOff>87639</xdr:rowOff>
    </xdr:from>
    <xdr:to>
      <xdr:col>91</xdr:col>
      <xdr:colOff>87596</xdr:colOff>
      <xdr:row>12</xdr:row>
      <xdr:rowOff>0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A6CE6AD4-5C59-4A83-A8A6-7B4A3AA62600}"/>
            </a:ext>
          </a:extLst>
        </xdr:cNvPr>
        <xdr:cNvGrpSpPr/>
      </xdr:nvGrpSpPr>
      <xdr:grpSpPr>
        <a:xfrm>
          <a:off x="45529424" y="2543873"/>
          <a:ext cx="59300" cy="139340"/>
          <a:chOff x="8889969" y="717550"/>
          <a:chExt cx="95415" cy="260350"/>
        </a:xfrm>
      </xdr:grpSpPr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E96B6E84-614A-DBAA-9792-ED7FF025153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자유형: 도형 169">
            <a:extLst>
              <a:ext uri="{FF2B5EF4-FFF2-40B4-BE49-F238E27FC236}">
                <a16:creationId xmlns:a16="http://schemas.microsoft.com/office/drawing/2014/main" id="{972ED602-C534-93D2-357A-D58C6BB4977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9</xdr:row>
      <xdr:rowOff>39586</xdr:rowOff>
    </xdr:from>
    <xdr:to>
      <xdr:col>87</xdr:col>
      <xdr:colOff>111588</xdr:colOff>
      <xdr:row>10</xdr:row>
      <xdr:rowOff>14696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5D043357-F1A4-43D8-89BF-A24752543F6F}"/>
            </a:ext>
          </a:extLst>
        </xdr:cNvPr>
        <xdr:cNvGrpSpPr/>
      </xdr:nvGrpSpPr>
      <xdr:grpSpPr>
        <a:xfrm>
          <a:off x="43968077" y="2049969"/>
          <a:ext cx="72000" cy="193982"/>
          <a:chOff x="8889969" y="717550"/>
          <a:chExt cx="95415" cy="260350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D80071D3-7074-FBD8-17D5-34C75D406C8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9FAA07F5-0333-AFA1-A96E-4D90343ECC6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11</xdr:row>
      <xdr:rowOff>63650</xdr:rowOff>
    </xdr:from>
    <xdr:to>
      <xdr:col>87</xdr:col>
      <xdr:colOff>111588</xdr:colOff>
      <xdr:row>12</xdr:row>
      <xdr:rowOff>0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0E38EDAF-B780-4D8B-90C4-4255FA81F0EE}"/>
            </a:ext>
          </a:extLst>
        </xdr:cNvPr>
        <xdr:cNvGrpSpPr/>
      </xdr:nvGrpSpPr>
      <xdr:grpSpPr>
        <a:xfrm>
          <a:off x="43968077" y="2519884"/>
          <a:ext cx="72000" cy="163329"/>
          <a:chOff x="8889969" y="717550"/>
          <a:chExt cx="95415" cy="260350"/>
        </a:xfrm>
      </xdr:grpSpPr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622D5421-7551-2728-6632-2558D9FEE85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9704EE0F-3787-5015-61F9-56E8D470767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89</xdr:col>
      <xdr:colOff>1763</xdr:colOff>
      <xdr:row>9</xdr:row>
      <xdr:rowOff>77345</xdr:rowOff>
    </xdr:from>
    <xdr:to>
      <xdr:col>89</xdr:col>
      <xdr:colOff>1763</xdr:colOff>
      <xdr:row>12</xdr:row>
      <xdr:rowOff>0</xdr:rowOff>
    </xdr:to>
    <xdr:cxnSp macro="">
      <xdr:nvCxnSpPr>
        <xdr:cNvPr id="195" name="직선 연결선 194">
          <a:extLst>
            <a:ext uri="{FF2B5EF4-FFF2-40B4-BE49-F238E27FC236}">
              <a16:creationId xmlns:a16="http://schemas.microsoft.com/office/drawing/2014/main" id="{A746BA22-D438-4BF2-8B57-2ED4B99DC871}"/>
            </a:ext>
          </a:extLst>
        </xdr:cNvPr>
        <xdr:cNvCxnSpPr/>
      </xdr:nvCxnSpPr>
      <xdr:spPr>
        <a:xfrm flipH="1">
          <a:off x="43613563" y="2268095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733179</xdr:colOff>
      <xdr:row>13</xdr:row>
      <xdr:rowOff>64155</xdr:rowOff>
    </xdr:from>
    <xdr:to>
      <xdr:col>57</xdr:col>
      <xdr:colOff>674022</xdr:colOff>
      <xdr:row>13</xdr:row>
      <xdr:rowOff>64155</xdr:rowOff>
    </xdr:to>
    <xdr:cxnSp macro="">
      <xdr:nvCxnSpPr>
        <xdr:cNvPr id="196" name="직선 화살표 연결선 195">
          <a:extLst>
            <a:ext uri="{FF2B5EF4-FFF2-40B4-BE49-F238E27FC236}">
              <a16:creationId xmlns:a16="http://schemas.microsoft.com/office/drawing/2014/main" id="{8F340AEC-F029-4669-AF4B-2AB5105F7E34}"/>
            </a:ext>
          </a:extLst>
        </xdr:cNvPr>
        <xdr:cNvCxnSpPr/>
      </xdr:nvCxnSpPr>
      <xdr:spPr>
        <a:xfrm>
          <a:off x="25174329" y="5118755"/>
          <a:ext cx="307774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641723</xdr:colOff>
      <xdr:row>12</xdr:row>
      <xdr:rowOff>52746</xdr:rowOff>
    </xdr:from>
    <xdr:ext cx="162352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7CDD41C-EE76-466A-8958-6E13E2A52EB7}"/>
            </a:ext>
          </a:extLst>
        </xdr:cNvPr>
        <xdr:cNvSpPr txBox="1"/>
      </xdr:nvSpPr>
      <xdr:spPr>
        <a:xfrm>
          <a:off x="25832173" y="4885096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85</xdr:col>
      <xdr:colOff>1068915</xdr:colOff>
      <xdr:row>9</xdr:row>
      <xdr:rowOff>88457</xdr:rowOff>
    </xdr:from>
    <xdr:to>
      <xdr:col>85</xdr:col>
      <xdr:colOff>1068915</xdr:colOff>
      <xdr:row>12</xdr:row>
      <xdr:rowOff>0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91ECF522-E774-4FE7-A8E1-BD7658E1A196}"/>
            </a:ext>
          </a:extLst>
        </xdr:cNvPr>
        <xdr:cNvCxnSpPr/>
      </xdr:nvCxnSpPr>
      <xdr:spPr>
        <a:xfrm flipH="1">
          <a:off x="43251965" y="2279207"/>
          <a:ext cx="0" cy="225334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1000482" y="467179"/>
          <a:ext cx="7365672" cy="4117521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956453" y="470548"/>
          <a:ext cx="7365671" cy="4117521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105834</xdr:colOff>
      <xdr:row>9</xdr:row>
      <xdr:rowOff>52917</xdr:rowOff>
    </xdr:from>
    <xdr:to>
      <xdr:col>11</xdr:col>
      <xdr:colOff>197547</xdr:colOff>
      <xdr:row>21</xdr:row>
      <xdr:rowOff>103472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718F9D6-0BAF-4416-B377-D944F89C7923}"/>
            </a:ext>
          </a:extLst>
        </xdr:cNvPr>
        <xdr:cNvSpPr/>
      </xdr:nvSpPr>
      <xdr:spPr>
        <a:xfrm>
          <a:off x="1807634" y="1881717"/>
          <a:ext cx="2536463" cy="248895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587962</xdr:colOff>
      <xdr:row>1</xdr:row>
      <xdr:rowOff>17639</xdr:rowOff>
    </xdr:from>
    <xdr:ext cx="1149995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A9CEC1-6A61-457E-93FF-BA7101C8B8DF}"/>
            </a:ext>
          </a:extLst>
        </xdr:cNvPr>
        <xdr:cNvSpPr txBox="1"/>
      </xdr:nvSpPr>
      <xdr:spPr>
        <a:xfrm>
          <a:off x="587962" y="220839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</xdr:col>
      <xdr:colOff>158752</xdr:colOff>
      <xdr:row>4</xdr:row>
      <xdr:rowOff>141112</xdr:rowOff>
    </xdr:from>
    <xdr:to>
      <xdr:col>1</xdr:col>
      <xdr:colOff>338752</xdr:colOff>
      <xdr:row>5</xdr:row>
      <xdr:rowOff>115325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A9F9FC28-B709-417A-AFB9-B45BA407A178}"/>
            </a:ext>
          </a:extLst>
        </xdr:cNvPr>
        <xdr:cNvSpPr/>
      </xdr:nvSpPr>
      <xdr:spPr>
        <a:xfrm>
          <a:off x="812802" y="953912"/>
          <a:ext cx="180000" cy="177413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88196</xdr:colOff>
      <xdr:row>9</xdr:row>
      <xdr:rowOff>54566</xdr:rowOff>
    </xdr:from>
    <xdr:to>
      <xdr:col>5</xdr:col>
      <xdr:colOff>245298</xdr:colOff>
      <xdr:row>11</xdr:row>
      <xdr:rowOff>146992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9240474E-1034-4B3B-8E43-D47FBEC43071}"/>
            </a:ext>
          </a:extLst>
        </xdr:cNvPr>
        <xdr:cNvSpPr/>
      </xdr:nvSpPr>
      <xdr:spPr>
        <a:xfrm rot="16200000" flipH="1" flipV="1">
          <a:off x="1793759" y="1879603"/>
          <a:ext cx="498826" cy="506352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</xdr:col>
      <xdr:colOff>223427</xdr:colOff>
      <xdr:row>10</xdr:row>
      <xdr:rowOff>194030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C24B76-B3A8-4E54-AACA-CE93B6C84B54}"/>
            </a:ext>
          </a:extLst>
        </xdr:cNvPr>
        <xdr:cNvSpPr txBox="1"/>
      </xdr:nvSpPr>
      <xdr:spPr>
        <a:xfrm>
          <a:off x="5044723" y="225190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634532</xdr:colOff>
      <xdr:row>10</xdr:row>
      <xdr:rowOff>187678</xdr:rowOff>
    </xdr:from>
    <xdr:ext cx="555408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B8A220-D620-41EA-BF75-8B31DB69C2D6}"/>
            </a:ext>
          </a:extLst>
        </xdr:cNvPr>
        <xdr:cNvSpPr txBox="1"/>
      </xdr:nvSpPr>
      <xdr:spPr>
        <a:xfrm>
          <a:off x="634532" y="221967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15</xdr:col>
      <xdr:colOff>11290</xdr:colOff>
      <xdr:row>16</xdr:row>
      <xdr:rowOff>164158</xdr:rowOff>
    </xdr:from>
    <xdr:ext cx="1627690" cy="47057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6D61D6-6CFE-4F61-8357-D7E36E758AAD}"/>
            </a:ext>
          </a:extLst>
        </xdr:cNvPr>
        <xdr:cNvSpPr txBox="1"/>
      </xdr:nvSpPr>
      <xdr:spPr>
        <a:xfrm>
          <a:off x="5554840" y="3415358"/>
          <a:ext cx="1627690" cy="4705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analog out @ test mode</a:t>
          </a:r>
        </a:p>
        <a:p>
          <a:r>
            <a:rPr lang="en-US" altLang="ko-KR" sz="1000" b="0" baseline="0">
              <a:solidFill>
                <a:srgbClr val="0000FF"/>
              </a:solidFill>
            </a:rPr>
            <a:t>normal</a:t>
          </a:r>
          <a:r>
            <a:rPr lang="ko-KR" altLang="en-US" sz="1000" b="0" baseline="0">
              <a:solidFill>
                <a:srgbClr val="0000FF"/>
              </a:solidFill>
            </a:rPr>
            <a:t>에서는 </a:t>
          </a:r>
          <a:r>
            <a:rPr lang="en-US" altLang="ko-KR" sz="1000" b="0" baseline="0">
              <a:solidFill>
                <a:srgbClr val="0000FF"/>
              </a:solidFill>
            </a:rPr>
            <a:t>GND</a:t>
          </a:r>
          <a:r>
            <a:rPr lang="ko-KR" altLang="en-US" sz="1000" b="0" baseline="0">
              <a:solidFill>
                <a:srgbClr val="0000FF"/>
              </a:solidFill>
            </a:rPr>
            <a:t>로 연결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14</xdr:col>
      <xdr:colOff>322440</xdr:colOff>
      <xdr:row>12</xdr:row>
      <xdr:rowOff>69616</xdr:rowOff>
    </xdr:from>
    <xdr:ext cx="1461554" cy="24885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A22DC2-5A5C-4DA9-B425-E9742FE47C92}"/>
            </a:ext>
          </a:extLst>
        </xdr:cNvPr>
        <xdr:cNvSpPr txBox="1"/>
      </xdr:nvSpPr>
      <xdr:spPr>
        <a:xfrm>
          <a:off x="5490634" y="2539060"/>
          <a:ext cx="14615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mclk/16 out @ test mode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0</xdr:col>
      <xdr:colOff>658048</xdr:colOff>
      <xdr:row>30</xdr:row>
      <xdr:rowOff>181797</xdr:rowOff>
    </xdr:from>
    <xdr:to>
      <xdr:col>16</xdr:col>
      <xdr:colOff>0</xdr:colOff>
      <xdr:row>61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5FAB1B9-E421-497D-AE73-B4E379B00F97}"/>
            </a:ext>
          </a:extLst>
        </xdr:cNvPr>
        <xdr:cNvSpPr/>
      </xdr:nvSpPr>
      <xdr:spPr>
        <a:xfrm>
          <a:off x="651698" y="6271447"/>
          <a:ext cx="5241102" cy="552685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341019</xdr:colOff>
      <xdr:row>37</xdr:row>
      <xdr:rowOff>17639</xdr:rowOff>
    </xdr:from>
    <xdr:to>
      <xdr:col>13</xdr:col>
      <xdr:colOff>1</xdr:colOff>
      <xdr:row>55</xdr:row>
      <xdr:rowOff>5880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DD4B696-80E0-40FC-82B4-2063635C1E5E}"/>
            </a:ext>
          </a:extLst>
        </xdr:cNvPr>
        <xdr:cNvSpPr/>
      </xdr:nvSpPr>
      <xdr:spPr>
        <a:xfrm>
          <a:off x="1775649" y="7455370"/>
          <a:ext cx="3127963" cy="326907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587962</xdr:colOff>
      <xdr:row>28</xdr:row>
      <xdr:rowOff>17639</xdr:rowOff>
    </xdr:from>
    <xdr:ext cx="1149995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60310A-453F-46B6-BF5F-B8FC0324842F}"/>
            </a:ext>
          </a:extLst>
        </xdr:cNvPr>
        <xdr:cNvSpPr txBox="1"/>
      </xdr:nvSpPr>
      <xdr:spPr>
        <a:xfrm>
          <a:off x="587962" y="5707239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</xdr:col>
      <xdr:colOff>182269</xdr:colOff>
      <xdr:row>32</xdr:row>
      <xdr:rowOff>5880</xdr:rowOff>
    </xdr:from>
    <xdr:to>
      <xdr:col>2</xdr:col>
      <xdr:colOff>15371</xdr:colOff>
      <xdr:row>33</xdr:row>
      <xdr:rowOff>3611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B003406-404A-4CF8-B5E6-2D0346A39CF6}"/>
            </a:ext>
          </a:extLst>
        </xdr:cNvPr>
        <xdr:cNvSpPr/>
      </xdr:nvSpPr>
      <xdr:spPr>
        <a:xfrm>
          <a:off x="836319" y="6463830"/>
          <a:ext cx="182352" cy="181881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193560</xdr:colOff>
      <xdr:row>40</xdr:row>
      <xdr:rowOff>123003</xdr:rowOff>
    </xdr:from>
    <xdr:ext cx="706732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F61853D-12FB-480F-8D1E-27225DCB5721}"/>
            </a:ext>
          </a:extLst>
        </xdr:cNvPr>
        <xdr:cNvSpPr txBox="1"/>
      </xdr:nvSpPr>
      <xdr:spPr>
        <a:xfrm>
          <a:off x="2943110" y="8054153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1.8mm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oneCellAnchor>
    <xdr:from>
      <xdr:col>12</xdr:col>
      <xdr:colOff>61447</xdr:colOff>
      <xdr:row>45</xdr:row>
      <xdr:rowOff>101309</xdr:rowOff>
    </xdr:from>
    <xdr:ext cx="311496" cy="7067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E252FFF-298A-4EB2-815A-8825C9C03CB8}"/>
            </a:ext>
          </a:extLst>
        </xdr:cNvPr>
        <xdr:cNvSpPr txBox="1"/>
      </xdr:nvSpPr>
      <xdr:spPr>
        <a:xfrm rot="16200000">
          <a:off x="4359629" y="9150827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FFFF"/>
              </a:solidFill>
            </a:rPr>
            <a:t>1.3mm</a:t>
          </a:r>
          <a:endParaRPr lang="ko-KR" altLang="en-US" sz="1400" b="1">
            <a:solidFill>
              <a:srgbClr val="00FFFF"/>
            </a:solidFill>
          </a:endParaRPr>
        </a:p>
      </xdr:txBody>
    </xdr:sp>
    <xdr:clientData/>
  </xdr:oneCellAnchor>
  <xdr:twoCellAnchor>
    <xdr:from>
      <xdr:col>3</xdr:col>
      <xdr:colOff>311619</xdr:colOff>
      <xdr:row>35</xdr:row>
      <xdr:rowOff>47038</xdr:rowOff>
    </xdr:from>
    <xdr:to>
      <xdr:col>13</xdr:col>
      <xdr:colOff>194027</xdr:colOff>
      <xdr:row>40</xdr:row>
      <xdr:rowOff>170509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9C30A58-1D67-4027-B69A-679FD655BC44}"/>
            </a:ext>
          </a:extLst>
        </xdr:cNvPr>
        <xdr:cNvSpPr/>
      </xdr:nvSpPr>
      <xdr:spPr>
        <a:xfrm>
          <a:off x="1664169" y="7057438"/>
          <a:ext cx="3374908" cy="10442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16</xdr:col>
      <xdr:colOff>2821</xdr:colOff>
      <xdr:row>47</xdr:row>
      <xdr:rowOff>29398</xdr:rowOff>
    </xdr:from>
    <xdr:ext cx="1461554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5688423" y="9289815"/>
          <a:ext cx="14615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mclk/32 out @ test mode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3</xdr:col>
      <xdr:colOff>323379</xdr:colOff>
      <xdr:row>40</xdr:row>
      <xdr:rowOff>146991</xdr:rowOff>
    </xdr:from>
    <xdr:to>
      <xdr:col>4</xdr:col>
      <xdr:colOff>257063</xdr:colOff>
      <xdr:row>42</xdr:row>
      <xdr:rowOff>67246</xdr:rowOff>
    </xdr:to>
    <xdr:sp macro="" textlink="">
      <xdr:nvSpPr>
        <xdr:cNvPr id="18" name="직각 삼각형 17">
          <a:extLst>
            <a:ext uri="{FF2B5EF4-FFF2-40B4-BE49-F238E27FC236}">
              <a16:creationId xmlns:a16="http://schemas.microsoft.com/office/drawing/2014/main" id="{CFF9CC40-9125-4D4C-90C3-C3725A037B0B}"/>
            </a:ext>
          </a:extLst>
        </xdr:cNvPr>
        <xdr:cNvSpPr/>
      </xdr:nvSpPr>
      <xdr:spPr>
        <a:xfrm rot="5400000">
          <a:off x="1673118" y="8080952"/>
          <a:ext cx="288555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211667</xdr:colOff>
      <xdr:row>45</xdr:row>
      <xdr:rowOff>129351</xdr:rowOff>
    </xdr:from>
    <xdr:ext cx="555408" cy="24885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5DD52F7-2258-4486-8D2C-F25B1497C413}"/>
            </a:ext>
          </a:extLst>
        </xdr:cNvPr>
        <xdr:cNvSpPr txBox="1"/>
      </xdr:nvSpPr>
      <xdr:spPr>
        <a:xfrm>
          <a:off x="5405967" y="8981251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599251</xdr:colOff>
      <xdr:row>45</xdr:row>
      <xdr:rowOff>134760</xdr:rowOff>
    </xdr:from>
    <xdr:ext cx="555408" cy="24885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979FB4-2189-43C8-8168-5114D5BC0683}"/>
            </a:ext>
          </a:extLst>
        </xdr:cNvPr>
        <xdr:cNvSpPr txBox="1"/>
      </xdr:nvSpPr>
      <xdr:spPr>
        <a:xfrm>
          <a:off x="599251" y="898666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16</xdr:col>
      <xdr:colOff>11760</xdr:colOff>
      <xdr:row>50</xdr:row>
      <xdr:rowOff>99955</xdr:rowOff>
    </xdr:from>
    <xdr:ext cx="4456759" cy="40536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D40224-5F98-44D2-A499-8918EC2673DE}"/>
            </a:ext>
          </a:extLst>
        </xdr:cNvPr>
        <xdr:cNvSpPr txBox="1"/>
      </xdr:nvSpPr>
      <xdr:spPr>
        <a:xfrm>
          <a:off x="6091297" y="9907177"/>
          <a:ext cx="4456759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1. VSYNCO bypassing VSYNCI @EXT_VS_E=1 &amp;&amp; TEST_E=0</a:t>
          </a:r>
        </a:p>
        <a:p>
          <a:r>
            <a:rPr lang="en-US" altLang="ko-KR" sz="1000" b="0" baseline="0">
              <a:solidFill>
                <a:srgbClr val="0000FF"/>
              </a:solidFill>
            </a:rPr>
            <a:t>     if not using VSYNCO pin, then must leave the pin open or pullup, not connect GND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  <xdr:twoCellAnchor editAs="oneCell">
    <xdr:from>
      <xdr:col>24</xdr:col>
      <xdr:colOff>637686</xdr:colOff>
      <xdr:row>4</xdr:row>
      <xdr:rowOff>103146</xdr:rowOff>
    </xdr:from>
    <xdr:to>
      <xdr:col>32</xdr:col>
      <xdr:colOff>429212</xdr:colOff>
      <xdr:row>29</xdr:row>
      <xdr:rowOff>158940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8FCB99E0-4EF7-4FC3-B3FF-A609505E3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8890727" y="962355"/>
          <a:ext cx="5148494" cy="5055676"/>
        </a:xfrm>
        <a:prstGeom prst="rect">
          <a:avLst/>
        </a:prstGeom>
      </xdr:spPr>
    </xdr:pic>
    <xdr:clientData/>
  </xdr:twoCellAnchor>
  <xdr:oneCellAnchor>
    <xdr:from>
      <xdr:col>27</xdr:col>
      <xdr:colOff>223426</xdr:colOff>
      <xdr:row>5</xdr:row>
      <xdr:rowOff>99954</xdr:rowOff>
    </xdr:from>
    <xdr:ext cx="414808" cy="85842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7B30820-46F2-4323-BF5A-59EC3FCD1E6F}"/>
            </a:ext>
          </a:extLst>
        </xdr:cNvPr>
        <xdr:cNvSpPr txBox="1"/>
      </xdr:nvSpPr>
      <xdr:spPr>
        <a:xfrm>
          <a:off x="10485026" y="1115954"/>
          <a:ext cx="414808" cy="85842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29</xdr:col>
      <xdr:colOff>175918</xdr:colOff>
      <xdr:row>5</xdr:row>
      <xdr:rowOff>88196</xdr:rowOff>
    </xdr:from>
    <xdr:ext cx="271485" cy="141111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874C5AE-81CA-42E2-940D-C8F1CFB70B0A}"/>
            </a:ext>
          </a:extLst>
        </xdr:cNvPr>
        <xdr:cNvSpPr txBox="1"/>
      </xdr:nvSpPr>
      <xdr:spPr>
        <a:xfrm>
          <a:off x="11758318" y="1104196"/>
          <a:ext cx="271485" cy="141111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28</xdr:col>
      <xdr:colOff>252824</xdr:colOff>
      <xdr:row>5</xdr:row>
      <xdr:rowOff>129352</xdr:rowOff>
    </xdr:from>
    <xdr:ext cx="317500" cy="136407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69B9B8F-9BE1-4EB8-98CD-3FD54A67908F}"/>
            </a:ext>
          </a:extLst>
        </xdr:cNvPr>
        <xdr:cNvSpPr txBox="1"/>
      </xdr:nvSpPr>
      <xdr:spPr>
        <a:xfrm>
          <a:off x="11174824" y="1145352"/>
          <a:ext cx="317500" cy="136407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29</xdr:col>
      <xdr:colOff>176390</xdr:colOff>
      <xdr:row>22</xdr:row>
      <xdr:rowOff>64675</xdr:rowOff>
    </xdr:from>
    <xdr:ext cx="223507" cy="91722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4BFE94-FB37-4E82-BA49-7009AE6CFB51}"/>
            </a:ext>
          </a:extLst>
        </xdr:cNvPr>
        <xdr:cNvSpPr txBox="1"/>
      </xdr:nvSpPr>
      <xdr:spPr>
        <a:xfrm>
          <a:off x="11758790" y="4535075"/>
          <a:ext cx="223507" cy="91722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twoCellAnchor editAs="oneCell">
    <xdr:from>
      <xdr:col>25</xdr:col>
      <xdr:colOff>543142</xdr:colOff>
      <xdr:row>34</xdr:row>
      <xdr:rowOff>26241</xdr:rowOff>
    </xdr:from>
    <xdr:to>
      <xdr:col>33</xdr:col>
      <xdr:colOff>328788</xdr:colOff>
      <xdr:row>62</xdr:row>
      <xdr:rowOff>134952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144209C-6132-4436-BF67-1DFAE5B86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9392259" y="6956874"/>
          <a:ext cx="5264911" cy="5056146"/>
        </a:xfrm>
        <a:prstGeom prst="rect">
          <a:avLst/>
        </a:prstGeom>
      </xdr:spPr>
    </xdr:pic>
    <xdr:clientData/>
  </xdr:twoCellAnchor>
  <xdr:oneCellAnchor>
    <xdr:from>
      <xdr:col>27</xdr:col>
      <xdr:colOff>229305</xdr:colOff>
      <xdr:row>22</xdr:row>
      <xdr:rowOff>5879</xdr:rowOff>
    </xdr:from>
    <xdr:ext cx="361422" cy="922608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321F6E-83B9-4822-BFA6-0F3F6A4E4C70}"/>
            </a:ext>
          </a:extLst>
        </xdr:cNvPr>
        <xdr:cNvSpPr txBox="1"/>
      </xdr:nvSpPr>
      <xdr:spPr>
        <a:xfrm>
          <a:off x="10490905" y="4476279"/>
          <a:ext cx="361422" cy="922608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28</xdr:col>
      <xdr:colOff>258704</xdr:colOff>
      <xdr:row>22</xdr:row>
      <xdr:rowOff>33869</xdr:rowOff>
    </xdr:from>
    <xdr:ext cx="252824" cy="609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EABF370-052E-4D0C-8FC4-4550733D3A30}"/>
            </a:ext>
          </a:extLst>
        </xdr:cNvPr>
        <xdr:cNvSpPr txBox="1"/>
      </xdr:nvSpPr>
      <xdr:spPr>
        <a:xfrm>
          <a:off x="11180704" y="4504269"/>
          <a:ext cx="252824" cy="60901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31</xdr:col>
      <xdr:colOff>427801</xdr:colOff>
      <xdr:row>54</xdr:row>
      <xdr:rowOff>163221</xdr:rowOff>
    </xdr:from>
    <xdr:ext cx="148307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3A1F98B-6EEB-4946-8A81-217A5CF52859}"/>
            </a:ext>
          </a:extLst>
        </xdr:cNvPr>
        <xdr:cNvSpPr txBox="1"/>
      </xdr:nvSpPr>
      <xdr:spPr>
        <a:xfrm>
          <a:off x="15932384" y="10699517"/>
          <a:ext cx="1483079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30</xdr:col>
      <xdr:colOff>52448</xdr:colOff>
      <xdr:row>16</xdr:row>
      <xdr:rowOff>110304</xdr:rowOff>
    </xdr:from>
    <xdr:ext cx="47625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DC34BAF-9496-4251-B9E2-7568D8AC1246}"/>
            </a:ext>
          </a:extLst>
        </xdr:cNvPr>
        <xdr:cNvSpPr txBox="1"/>
      </xdr:nvSpPr>
      <xdr:spPr>
        <a:xfrm>
          <a:off x="12295248" y="3361504"/>
          <a:ext cx="476250" cy="26456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234244</xdr:colOff>
      <xdr:row>16</xdr:row>
      <xdr:rowOff>98074</xdr:rowOff>
    </xdr:from>
    <xdr:ext cx="47625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8A11434-3C98-47DC-ABDC-806721998E78}"/>
            </a:ext>
          </a:extLst>
        </xdr:cNvPr>
        <xdr:cNvSpPr txBox="1"/>
      </xdr:nvSpPr>
      <xdr:spPr>
        <a:xfrm>
          <a:off x="9841794" y="3349274"/>
          <a:ext cx="476250" cy="26456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263172</xdr:colOff>
      <xdr:row>10</xdr:row>
      <xdr:rowOff>79964</xdr:rowOff>
    </xdr:from>
    <xdr:ext cx="476250" cy="972489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B070DC3-28F9-479B-BF7E-A890CE545E03}"/>
            </a:ext>
          </a:extLst>
        </xdr:cNvPr>
        <xdr:cNvSpPr txBox="1"/>
      </xdr:nvSpPr>
      <xdr:spPr>
        <a:xfrm>
          <a:off x="9870722" y="2111964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30</xdr:col>
      <xdr:colOff>27517</xdr:colOff>
      <xdr:row>10</xdr:row>
      <xdr:rowOff>73614</xdr:rowOff>
    </xdr:from>
    <xdr:ext cx="476250" cy="97248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BB24EF0-019F-46D1-A322-826FE11646BF}"/>
            </a:ext>
          </a:extLst>
        </xdr:cNvPr>
        <xdr:cNvSpPr txBox="1"/>
      </xdr:nvSpPr>
      <xdr:spPr>
        <a:xfrm>
          <a:off x="12270317" y="2105614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29</xdr:col>
      <xdr:colOff>170040</xdr:colOff>
      <xdr:row>53</xdr:row>
      <xdr:rowOff>176389</xdr:rowOff>
    </xdr:from>
    <xdr:ext cx="253294" cy="1511064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2E52965-950A-43F9-AF56-9A5057369D0A}"/>
            </a:ext>
          </a:extLst>
        </xdr:cNvPr>
        <xdr:cNvSpPr txBox="1"/>
      </xdr:nvSpPr>
      <xdr:spPr>
        <a:xfrm>
          <a:off x="11752440" y="10501489"/>
          <a:ext cx="253294" cy="151106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23</xdr:col>
      <xdr:colOff>105834</xdr:colOff>
      <xdr:row>47</xdr:row>
      <xdr:rowOff>129351</xdr:rowOff>
    </xdr:from>
    <xdr:ext cx="2621845" cy="108185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D4D5B56-7C81-4EB1-AC92-298FCA9341EA}"/>
            </a:ext>
          </a:extLst>
        </xdr:cNvPr>
        <xdr:cNvSpPr txBox="1"/>
      </xdr:nvSpPr>
      <xdr:spPr>
        <a:xfrm>
          <a:off x="7744884" y="9349551"/>
          <a:ext cx="2621845" cy="108185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27</xdr:col>
      <xdr:colOff>158750</xdr:colOff>
      <xdr:row>37</xdr:row>
      <xdr:rowOff>120654</xdr:rowOff>
    </xdr:from>
    <xdr:ext cx="2863380" cy="41439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8209195-D2DF-42EF-B005-62CAA13650A7}"/>
            </a:ext>
          </a:extLst>
        </xdr:cNvPr>
        <xdr:cNvSpPr txBox="1"/>
      </xdr:nvSpPr>
      <xdr:spPr>
        <a:xfrm>
          <a:off x="10420350" y="7499354"/>
          <a:ext cx="2863380" cy="414393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94075</xdr:colOff>
      <xdr:row>54</xdr:row>
      <xdr:rowOff>180388</xdr:rowOff>
    </xdr:from>
    <xdr:ext cx="2656735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FC6FD5-5537-4E80-A543-288BDF9879F4}"/>
            </a:ext>
          </a:extLst>
        </xdr:cNvPr>
        <xdr:cNvSpPr txBox="1"/>
      </xdr:nvSpPr>
      <xdr:spPr>
        <a:xfrm>
          <a:off x="7733125" y="10689638"/>
          <a:ext cx="2656735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315147</xdr:colOff>
      <xdr:row>40</xdr:row>
      <xdr:rowOff>99954</xdr:rowOff>
    </xdr:from>
    <xdr:ext cx="449204" cy="108773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8C24BB4-58AA-4EA7-A200-D403F8A634CB}"/>
            </a:ext>
          </a:extLst>
        </xdr:cNvPr>
        <xdr:cNvSpPr txBox="1"/>
      </xdr:nvSpPr>
      <xdr:spPr>
        <a:xfrm>
          <a:off x="9922697" y="8031104"/>
          <a:ext cx="449204" cy="1087731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94075</xdr:colOff>
      <xdr:row>61</xdr:row>
      <xdr:rowOff>11759</xdr:rowOff>
    </xdr:from>
    <xdr:ext cx="7108472" cy="41745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EE1FD60-09BF-4E9F-AA84-DD6DEB4F7DA4}"/>
            </a:ext>
          </a:extLst>
        </xdr:cNvPr>
        <xdr:cNvSpPr txBox="1"/>
      </xdr:nvSpPr>
      <xdr:spPr>
        <a:xfrm>
          <a:off x="10330510" y="11823935"/>
          <a:ext cx="7108472" cy="41745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27</xdr:col>
      <xdr:colOff>258703</xdr:colOff>
      <xdr:row>9</xdr:row>
      <xdr:rowOff>111242</xdr:rowOff>
    </xdr:from>
    <xdr:ext cx="164631" cy="312843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F64ABD5-7E90-4EE4-B87C-0DF559F8B386}"/>
            </a:ext>
          </a:extLst>
        </xdr:cNvPr>
        <xdr:cNvSpPr txBox="1"/>
      </xdr:nvSpPr>
      <xdr:spPr>
        <a:xfrm>
          <a:off x="10520303" y="1940042"/>
          <a:ext cx="164631" cy="312843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31</xdr:col>
      <xdr:colOff>485186</xdr:colOff>
      <xdr:row>40</xdr:row>
      <xdr:rowOff>76435</xdr:rowOff>
    </xdr:from>
    <xdr:ext cx="449204" cy="159925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C2E8D8A-64DD-4F27-BB01-1F01508195FC}"/>
            </a:ext>
          </a:extLst>
        </xdr:cNvPr>
        <xdr:cNvSpPr txBox="1"/>
      </xdr:nvSpPr>
      <xdr:spPr>
        <a:xfrm>
          <a:off x="13388386" y="8007585"/>
          <a:ext cx="449204" cy="159925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31</xdr:col>
      <xdr:colOff>481189</xdr:colOff>
      <xdr:row>50</xdr:row>
      <xdr:rowOff>86314</xdr:rowOff>
    </xdr:from>
    <xdr:ext cx="1429691" cy="583963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AED117B-EAFA-4480-B6BF-939E83630E83}"/>
            </a:ext>
          </a:extLst>
        </xdr:cNvPr>
        <xdr:cNvSpPr txBox="1"/>
      </xdr:nvSpPr>
      <xdr:spPr>
        <a:xfrm>
          <a:off x="15985772" y="9893536"/>
          <a:ext cx="1429691" cy="58396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51506</xdr:colOff>
      <xdr:row>53</xdr:row>
      <xdr:rowOff>170509</xdr:rowOff>
    </xdr:from>
    <xdr:ext cx="254236" cy="187560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C411A67-C917-488F-9A93-254CEA14C64C}"/>
            </a:ext>
          </a:extLst>
        </xdr:cNvPr>
        <xdr:cNvSpPr txBox="1"/>
      </xdr:nvSpPr>
      <xdr:spPr>
        <a:xfrm>
          <a:off x="12294306" y="10495609"/>
          <a:ext cx="254236" cy="187560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oneCellAnchor>
    <xdr:from>
      <xdr:col>23</xdr:col>
      <xdr:colOff>105834</xdr:colOff>
      <xdr:row>57</xdr:row>
      <xdr:rowOff>117592</xdr:rowOff>
    </xdr:from>
    <xdr:ext cx="5556250" cy="46449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C7A83C5-4690-440A-A273-5F59056C9492}"/>
            </a:ext>
          </a:extLst>
        </xdr:cNvPr>
        <xdr:cNvSpPr txBox="1"/>
      </xdr:nvSpPr>
      <xdr:spPr>
        <a:xfrm>
          <a:off x="10342269" y="11200694"/>
          <a:ext cx="5556250" cy="46449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23</xdr:col>
      <xdr:colOff>99954</xdr:colOff>
      <xdr:row>63</xdr:row>
      <xdr:rowOff>161811</xdr:rowOff>
    </xdr:from>
    <xdr:ext cx="7090833" cy="238004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254F2C-C0BF-4BBF-A710-FD655D5D1A1E}"/>
            </a:ext>
          </a:extLst>
        </xdr:cNvPr>
        <xdr:cNvSpPr txBox="1"/>
      </xdr:nvSpPr>
      <xdr:spPr>
        <a:xfrm>
          <a:off x="10336389" y="12373802"/>
          <a:ext cx="7090833" cy="23800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twoCellAnchor editAs="oneCell">
    <xdr:from>
      <xdr:col>25</xdr:col>
      <xdr:colOff>266800</xdr:colOff>
      <xdr:row>67</xdr:row>
      <xdr:rowOff>164629</xdr:rowOff>
    </xdr:from>
    <xdr:to>
      <xdr:col>33</xdr:col>
      <xdr:colOff>52446</xdr:colOff>
      <xdr:row>93</xdr:row>
      <xdr:rowOff>26395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57C7473-7FE5-4316-A333-C2DC07CC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9175890" y="13258289"/>
          <a:ext cx="5144966" cy="5056146"/>
        </a:xfrm>
        <a:prstGeom prst="rect">
          <a:avLst/>
        </a:prstGeom>
      </xdr:spPr>
    </xdr:pic>
    <xdr:clientData/>
  </xdr:twoCellAnchor>
  <xdr:oneCellAnchor>
    <xdr:from>
      <xdr:col>29</xdr:col>
      <xdr:colOff>457199</xdr:colOff>
      <xdr:row>87</xdr:row>
      <xdr:rowOff>182269</xdr:rowOff>
    </xdr:from>
    <xdr:ext cx="2800116" cy="24694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D0DDF1B-9E28-4E82-96E4-7BBF11197FB9}"/>
            </a:ext>
          </a:extLst>
        </xdr:cNvPr>
        <xdr:cNvSpPr txBox="1"/>
      </xdr:nvSpPr>
      <xdr:spPr>
        <a:xfrm>
          <a:off x="14644745" y="17368426"/>
          <a:ext cx="2800116" cy="2469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23</xdr:col>
      <xdr:colOff>146991</xdr:colOff>
      <xdr:row>79</xdr:row>
      <xdr:rowOff>144267</xdr:rowOff>
    </xdr:from>
    <xdr:ext cx="2333744" cy="1590223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70C73F1-12B9-4F11-8442-2EBE7CFA48E8}"/>
            </a:ext>
          </a:extLst>
        </xdr:cNvPr>
        <xdr:cNvSpPr txBox="1"/>
      </xdr:nvSpPr>
      <xdr:spPr>
        <a:xfrm>
          <a:off x="10383426" y="15684128"/>
          <a:ext cx="2333744" cy="159022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535047</xdr:colOff>
      <xdr:row>70</xdr:row>
      <xdr:rowOff>188486</xdr:rowOff>
    </xdr:from>
    <xdr:ext cx="2863380" cy="41439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63AB0B6-4335-472B-B7AF-7D2298F46995}"/>
            </a:ext>
          </a:extLst>
        </xdr:cNvPr>
        <xdr:cNvSpPr txBox="1"/>
      </xdr:nvSpPr>
      <xdr:spPr>
        <a:xfrm>
          <a:off x="10142597" y="13847336"/>
          <a:ext cx="2863380" cy="414393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146991</xdr:colOff>
      <xdr:row>87</xdr:row>
      <xdr:rowOff>148266</xdr:rowOff>
    </xdr:from>
    <xdr:ext cx="2804583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5CD5894-9257-4421-8008-5858843F47D2}"/>
            </a:ext>
          </a:extLst>
        </xdr:cNvPr>
        <xdr:cNvSpPr txBox="1"/>
      </xdr:nvSpPr>
      <xdr:spPr>
        <a:xfrm>
          <a:off x="10383426" y="17334423"/>
          <a:ext cx="2804583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38805</xdr:colOff>
      <xdr:row>73</xdr:row>
      <xdr:rowOff>97231</xdr:rowOff>
    </xdr:from>
    <xdr:ext cx="449204" cy="108773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41DF4A9-F03D-4977-857A-CC3E6108E3DD}"/>
            </a:ext>
          </a:extLst>
        </xdr:cNvPr>
        <xdr:cNvSpPr txBox="1"/>
      </xdr:nvSpPr>
      <xdr:spPr>
        <a:xfrm>
          <a:off x="9646355" y="14365681"/>
          <a:ext cx="449204" cy="1087731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23</xdr:col>
      <xdr:colOff>158750</xdr:colOff>
      <xdr:row>91</xdr:row>
      <xdr:rowOff>72772</xdr:rowOff>
    </xdr:from>
    <xdr:ext cx="5303428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AC7769A-6737-40D2-9BFA-CDAB00227271}"/>
            </a:ext>
          </a:extLst>
        </xdr:cNvPr>
        <xdr:cNvSpPr txBox="1"/>
      </xdr:nvSpPr>
      <xdr:spPr>
        <a:xfrm>
          <a:off x="10395185" y="18082078"/>
          <a:ext cx="5303428" cy="264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31</xdr:col>
      <xdr:colOff>208844</xdr:colOff>
      <xdr:row>73</xdr:row>
      <xdr:rowOff>73712</xdr:rowOff>
    </xdr:from>
    <xdr:ext cx="449204" cy="1599259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BC5B1B-1F32-4FDA-994E-7E1C80D4577B}"/>
            </a:ext>
          </a:extLst>
        </xdr:cNvPr>
        <xdr:cNvSpPr txBox="1"/>
      </xdr:nvSpPr>
      <xdr:spPr>
        <a:xfrm>
          <a:off x="13112044" y="14342162"/>
          <a:ext cx="449204" cy="159925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31</xdr:col>
      <xdr:colOff>204847</xdr:colOff>
      <xdr:row>82</xdr:row>
      <xdr:rowOff>54193</xdr:rowOff>
    </xdr:from>
    <xdr:ext cx="1735431" cy="1027659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DD11181-9078-4593-A7B6-F23E59F5EF35}"/>
            </a:ext>
          </a:extLst>
        </xdr:cNvPr>
        <xdr:cNvSpPr txBox="1"/>
      </xdr:nvSpPr>
      <xdr:spPr>
        <a:xfrm>
          <a:off x="15709430" y="16211415"/>
          <a:ext cx="1735431" cy="1027659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28</xdr:col>
      <xdr:colOff>515996</xdr:colOff>
      <xdr:row>85</xdr:row>
      <xdr:rowOff>111714</xdr:rowOff>
    </xdr:from>
    <xdr:ext cx="260115" cy="90546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035DC81-AA6B-421D-A9D0-01B6639374CA}"/>
            </a:ext>
          </a:extLst>
        </xdr:cNvPr>
        <xdr:cNvSpPr txBox="1"/>
      </xdr:nvSpPr>
      <xdr:spPr>
        <a:xfrm>
          <a:off x="11437996" y="16818564"/>
          <a:ext cx="260115" cy="90546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oneCellAnchor>
    <xdr:from>
      <xdr:col>23</xdr:col>
      <xdr:colOff>164629</xdr:colOff>
      <xdr:row>93</xdr:row>
      <xdr:rowOff>20795</xdr:rowOff>
    </xdr:from>
    <xdr:ext cx="5244631" cy="42017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2A449A-C263-423B-87B4-D5ABE698152C}"/>
            </a:ext>
          </a:extLst>
        </xdr:cNvPr>
        <xdr:cNvSpPr txBox="1"/>
      </xdr:nvSpPr>
      <xdr:spPr>
        <a:xfrm>
          <a:off x="10401064" y="18441675"/>
          <a:ext cx="5244631" cy="42017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29</xdr:col>
      <xdr:colOff>456730</xdr:colOff>
      <xdr:row>85</xdr:row>
      <xdr:rowOff>117593</xdr:rowOff>
    </xdr:from>
    <xdr:ext cx="260586" cy="552685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B78EA34-8346-4505-84F1-F8086E3AFEBF}"/>
            </a:ext>
          </a:extLst>
        </xdr:cNvPr>
        <xdr:cNvSpPr txBox="1"/>
      </xdr:nvSpPr>
      <xdr:spPr>
        <a:xfrm>
          <a:off x="12039130" y="16824443"/>
          <a:ext cx="260586" cy="5526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27</xdr:col>
      <xdr:colOff>587964</xdr:colOff>
      <xdr:row>85</xdr:row>
      <xdr:rowOff>111713</xdr:rowOff>
    </xdr:from>
    <xdr:ext cx="323379" cy="1234723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A41EF86-E097-43C8-A066-08B3763BB199}"/>
            </a:ext>
          </a:extLst>
        </xdr:cNvPr>
        <xdr:cNvSpPr txBox="1"/>
      </xdr:nvSpPr>
      <xdr:spPr>
        <a:xfrm>
          <a:off x="10849564" y="16818563"/>
          <a:ext cx="323379" cy="123472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/>
            <a:t>VDD</a:t>
          </a:r>
          <a:endParaRPr lang="ko-KR" altLang="en-US" sz="1100"/>
        </a:p>
      </xdr:txBody>
    </xdr:sp>
    <xdr:clientData/>
  </xdr:oneCellAnchor>
  <xdr:oneCellAnchor>
    <xdr:from>
      <xdr:col>28</xdr:col>
      <xdr:colOff>217546</xdr:colOff>
      <xdr:row>54</xdr:row>
      <xdr:rowOff>11760</xdr:rowOff>
    </xdr:from>
    <xdr:ext cx="341018" cy="746714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520B9B3-1AE3-4D65-ADB9-3F9C45D2F728}"/>
            </a:ext>
          </a:extLst>
        </xdr:cNvPr>
        <xdr:cNvSpPr txBox="1"/>
      </xdr:nvSpPr>
      <xdr:spPr>
        <a:xfrm>
          <a:off x="11139546" y="10521010"/>
          <a:ext cx="341018" cy="74671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23</xdr:col>
      <xdr:colOff>152871</xdr:colOff>
      <xdr:row>89</xdr:row>
      <xdr:rowOff>100292</xdr:rowOff>
    </xdr:from>
    <xdr:ext cx="5238749" cy="228968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8E10EC8-97DC-4CDC-BFA3-78787D0261C3}"/>
            </a:ext>
          </a:extLst>
        </xdr:cNvPr>
        <xdr:cNvSpPr txBox="1"/>
      </xdr:nvSpPr>
      <xdr:spPr>
        <a:xfrm>
          <a:off x="10389306" y="17698023"/>
          <a:ext cx="5238749" cy="22896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FB</a:t>
          </a:r>
          <a:endParaRPr lang="ko-KR" altLang="en-US" sz="1100"/>
        </a:p>
      </xdr:txBody>
    </xdr:sp>
    <xdr:clientData/>
  </xdr:oneCellAnchor>
  <xdr:oneCellAnchor>
    <xdr:from>
      <xdr:col>26</xdr:col>
      <xdr:colOff>520936</xdr:colOff>
      <xdr:row>85</xdr:row>
      <xdr:rowOff>88195</xdr:rowOff>
    </xdr:from>
    <xdr:ext cx="431564" cy="558565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84ED30B-C5EB-4B09-8E29-DCE28D0550EB}"/>
            </a:ext>
          </a:extLst>
        </xdr:cNvPr>
        <xdr:cNvSpPr txBox="1"/>
      </xdr:nvSpPr>
      <xdr:spPr>
        <a:xfrm>
          <a:off x="10128486" y="16795045"/>
          <a:ext cx="431564" cy="5585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540457</xdr:colOff>
      <xdr:row>79</xdr:row>
      <xdr:rowOff>167316</xdr:rowOff>
    </xdr:from>
    <xdr:ext cx="429682" cy="320693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B10F819-D78C-4643-8B0B-FAA1DBC4E1DE}"/>
            </a:ext>
          </a:extLst>
        </xdr:cNvPr>
        <xdr:cNvSpPr txBox="1"/>
      </xdr:nvSpPr>
      <xdr:spPr>
        <a:xfrm>
          <a:off x="10148007" y="15654966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26</xdr:col>
      <xdr:colOff>534107</xdr:colOff>
      <xdr:row>82</xdr:row>
      <xdr:rowOff>102170</xdr:rowOff>
    </xdr:from>
    <xdr:ext cx="429682" cy="320693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A6FA95E-D663-4506-A96B-761F590B4B80}"/>
            </a:ext>
          </a:extLst>
        </xdr:cNvPr>
        <xdr:cNvSpPr txBox="1"/>
      </xdr:nvSpPr>
      <xdr:spPr>
        <a:xfrm>
          <a:off x="10141657" y="16199420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380766</xdr:colOff>
      <xdr:row>82</xdr:row>
      <xdr:rowOff>89940</xdr:rowOff>
    </xdr:from>
    <xdr:ext cx="429682" cy="320693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27F7BAD-C2E5-4418-A401-B7EFEA09500A}"/>
            </a:ext>
          </a:extLst>
        </xdr:cNvPr>
        <xdr:cNvSpPr txBox="1"/>
      </xdr:nvSpPr>
      <xdr:spPr>
        <a:xfrm>
          <a:off x="12623566" y="16187190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392055</xdr:colOff>
      <xdr:row>85</xdr:row>
      <xdr:rowOff>95350</xdr:rowOff>
    </xdr:from>
    <xdr:ext cx="429682" cy="320693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6B6CF72-C38A-4979-92F8-16ACBC514459}"/>
            </a:ext>
          </a:extLst>
        </xdr:cNvPr>
        <xdr:cNvSpPr txBox="1"/>
      </xdr:nvSpPr>
      <xdr:spPr>
        <a:xfrm>
          <a:off x="12634855" y="16802200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27</xdr:col>
      <xdr:colOff>163690</xdr:colOff>
      <xdr:row>47</xdr:row>
      <xdr:rowOff>125688</xdr:rowOff>
    </xdr:from>
    <xdr:ext cx="429682" cy="320693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488632C-25C5-4956-9F8F-B3FC559C0C46}"/>
            </a:ext>
          </a:extLst>
        </xdr:cNvPr>
        <xdr:cNvSpPr txBox="1"/>
      </xdr:nvSpPr>
      <xdr:spPr>
        <a:xfrm>
          <a:off x="10425290" y="9345888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27</xdr:col>
      <xdr:colOff>157340</xdr:colOff>
      <xdr:row>50</xdr:row>
      <xdr:rowOff>131098</xdr:rowOff>
    </xdr:from>
    <xdr:ext cx="429682" cy="320693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9D3B024-E287-4697-8946-B898B9FB4C08}"/>
            </a:ext>
          </a:extLst>
        </xdr:cNvPr>
        <xdr:cNvSpPr txBox="1"/>
      </xdr:nvSpPr>
      <xdr:spPr>
        <a:xfrm>
          <a:off x="10418940" y="9903748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30</xdr:col>
      <xdr:colOff>656638</xdr:colOff>
      <xdr:row>50</xdr:row>
      <xdr:rowOff>118868</xdr:rowOff>
    </xdr:from>
    <xdr:ext cx="429682" cy="32069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8F98684-8792-4CAC-AAEE-04E7418228CB}"/>
            </a:ext>
          </a:extLst>
        </xdr:cNvPr>
        <xdr:cNvSpPr txBox="1"/>
      </xdr:nvSpPr>
      <xdr:spPr>
        <a:xfrm>
          <a:off x="12899438" y="9891518"/>
          <a:ext cx="429682" cy="320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VSS</a:t>
          </a:r>
          <a:endParaRPr lang="ko-KR" altLang="en-US" sz="1100"/>
        </a:p>
      </xdr:txBody>
    </xdr:sp>
    <xdr:clientData/>
  </xdr:oneCellAnchor>
  <xdr:oneCellAnchor>
    <xdr:from>
      <xdr:col>31</xdr:col>
      <xdr:colOff>121120</xdr:colOff>
      <xdr:row>54</xdr:row>
      <xdr:rowOff>127677</xdr:rowOff>
    </xdr:from>
    <xdr:ext cx="260586" cy="31997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6046854-2736-47B4-81B1-0E9557C270E6}"/>
            </a:ext>
          </a:extLst>
        </xdr:cNvPr>
        <xdr:cNvSpPr txBox="1"/>
      </xdr:nvSpPr>
      <xdr:spPr>
        <a:xfrm>
          <a:off x="13024320" y="10636927"/>
          <a:ext cx="260586" cy="31997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27</xdr:col>
      <xdr:colOff>185326</xdr:colOff>
      <xdr:row>54</xdr:row>
      <xdr:rowOff>129353</xdr:rowOff>
    </xdr:from>
    <xdr:ext cx="431564" cy="32338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4A4FAE2-38B0-4977-8822-D78A5D36A15E}"/>
            </a:ext>
          </a:extLst>
        </xdr:cNvPr>
        <xdr:cNvSpPr txBox="1"/>
      </xdr:nvSpPr>
      <xdr:spPr>
        <a:xfrm>
          <a:off x="10446926" y="10638603"/>
          <a:ext cx="431564" cy="3233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D</a:t>
          </a:r>
          <a:endParaRPr lang="ko-KR" altLang="en-US" sz="1100"/>
        </a:p>
      </xdr:txBody>
    </xdr:sp>
    <xdr:clientData/>
  </xdr:oneCellAnchor>
  <xdr:oneCellAnchor>
    <xdr:from>
      <xdr:col>26</xdr:col>
      <xdr:colOff>274461</xdr:colOff>
      <xdr:row>19</xdr:row>
      <xdr:rowOff>67733</xdr:rowOff>
    </xdr:from>
    <xdr:ext cx="476250" cy="972489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E802582-5420-443C-8A0D-AD04420F8FDF}"/>
            </a:ext>
          </a:extLst>
        </xdr:cNvPr>
        <xdr:cNvSpPr txBox="1"/>
      </xdr:nvSpPr>
      <xdr:spPr>
        <a:xfrm>
          <a:off x="9882011" y="3928533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30</xdr:col>
      <xdr:colOff>21167</xdr:colOff>
      <xdr:row>19</xdr:row>
      <xdr:rowOff>84902</xdr:rowOff>
    </xdr:from>
    <xdr:ext cx="476250" cy="972489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1572476-BC3F-4C8C-B277-C3D523973A2D}"/>
            </a:ext>
          </a:extLst>
        </xdr:cNvPr>
        <xdr:cNvSpPr txBox="1"/>
      </xdr:nvSpPr>
      <xdr:spPr>
        <a:xfrm>
          <a:off x="12263967" y="3945702"/>
          <a:ext cx="476250" cy="972489"/>
        </a:xfrm>
        <a:prstGeom prst="rect">
          <a:avLst/>
        </a:prstGeom>
        <a:solidFill>
          <a:srgbClr val="FFD1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/>
            <a:t>O</a:t>
          </a:r>
          <a:endParaRPr lang="ko-KR" altLang="en-US" sz="1100"/>
        </a:p>
      </xdr:txBody>
    </xdr:sp>
    <xdr:clientData/>
  </xdr:oneCellAnchor>
  <xdr:oneCellAnchor>
    <xdr:from>
      <xdr:col>15</xdr:col>
      <xdr:colOff>464020</xdr:colOff>
      <xdr:row>54</xdr:row>
      <xdr:rowOff>175921</xdr:rowOff>
    </xdr:from>
    <xdr:ext cx="4181401" cy="40536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E6E8D1E-C4C3-4850-A1B9-01C75EE9FD96}"/>
            </a:ext>
          </a:extLst>
        </xdr:cNvPr>
        <xdr:cNvSpPr txBox="1"/>
      </xdr:nvSpPr>
      <xdr:spPr>
        <a:xfrm>
          <a:off x="6061427" y="10712217"/>
          <a:ext cx="4181401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1.FBO out and FIO input  @ FBO_E=1</a:t>
          </a:r>
        </a:p>
        <a:p>
          <a:r>
            <a:rPr lang="en-US" altLang="ko-KR" sz="10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    if not using FIO pin, then must leave the pin open or pullup, not connect GND</a:t>
          </a:r>
          <a:endParaRPr lang="ko-KR" altLang="ko-KR" sz="1000">
            <a:solidFill>
              <a:srgbClr val="0000FF"/>
            </a:solidFill>
            <a:effectLst/>
          </a:endParaRPr>
        </a:p>
      </xdr:txBody>
    </xdr:sp>
    <xdr:clientData/>
  </xdr:oneCellAnchor>
  <xdr:twoCellAnchor>
    <xdr:from>
      <xdr:col>4</xdr:col>
      <xdr:colOff>105834</xdr:colOff>
      <xdr:row>69</xdr:row>
      <xdr:rowOff>52917</xdr:rowOff>
    </xdr:from>
    <xdr:to>
      <xdr:col>11</xdr:col>
      <xdr:colOff>197547</xdr:colOff>
      <xdr:row>81</xdr:row>
      <xdr:rowOff>103472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9C1098FB-D04A-4D0F-BC55-ABD74AED0964}"/>
            </a:ext>
          </a:extLst>
        </xdr:cNvPr>
        <xdr:cNvSpPr/>
      </xdr:nvSpPr>
      <xdr:spPr>
        <a:xfrm>
          <a:off x="1805047" y="1905000"/>
          <a:ext cx="2520000" cy="2520000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158752</xdr:colOff>
      <xdr:row>64</xdr:row>
      <xdr:rowOff>141112</xdr:rowOff>
    </xdr:from>
    <xdr:to>
      <xdr:col>1</xdr:col>
      <xdr:colOff>338752</xdr:colOff>
      <xdr:row>65</xdr:row>
      <xdr:rowOff>115325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DCF50EA3-8387-453B-B178-80702D907EA7}"/>
            </a:ext>
          </a:extLst>
        </xdr:cNvPr>
        <xdr:cNvSpPr/>
      </xdr:nvSpPr>
      <xdr:spPr>
        <a:xfrm>
          <a:off x="817271" y="964260"/>
          <a:ext cx="180000" cy="180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88196</xdr:colOff>
      <xdr:row>69</xdr:row>
      <xdr:rowOff>54566</xdr:rowOff>
    </xdr:from>
    <xdr:to>
      <xdr:col>5</xdr:col>
      <xdr:colOff>245298</xdr:colOff>
      <xdr:row>71</xdr:row>
      <xdr:rowOff>146992</xdr:rowOff>
    </xdr:to>
    <xdr:sp macro="" textlink="">
      <xdr:nvSpPr>
        <xdr:cNvPr id="77" name="직각 삼각형 76">
          <a:extLst>
            <a:ext uri="{FF2B5EF4-FFF2-40B4-BE49-F238E27FC236}">
              <a16:creationId xmlns:a16="http://schemas.microsoft.com/office/drawing/2014/main" id="{681BB079-E265-41EE-871C-F7189ED67303}"/>
            </a:ext>
          </a:extLst>
        </xdr:cNvPr>
        <xdr:cNvSpPr/>
      </xdr:nvSpPr>
      <xdr:spPr>
        <a:xfrm rot="16200000" flipH="1" flipV="1">
          <a:off x="1787409" y="1906649"/>
          <a:ext cx="504000" cy="504000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</xdr:col>
      <xdr:colOff>223427</xdr:colOff>
      <xdr:row>70</xdr:row>
      <xdr:rowOff>194030</xdr:rowOff>
    </xdr:from>
    <xdr:ext cx="555408" cy="248851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4B6E33B-FD2C-4FE5-9884-33F3A86C583F}"/>
            </a:ext>
          </a:extLst>
        </xdr:cNvPr>
        <xdr:cNvSpPr txBox="1"/>
      </xdr:nvSpPr>
      <xdr:spPr>
        <a:xfrm>
          <a:off x="5044723" y="225190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0</xdr:col>
      <xdr:colOff>634532</xdr:colOff>
      <xdr:row>70</xdr:row>
      <xdr:rowOff>187678</xdr:rowOff>
    </xdr:from>
    <xdr:ext cx="555408" cy="248851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A81DDE9-0511-440A-800F-12D2E877031E}"/>
            </a:ext>
          </a:extLst>
        </xdr:cNvPr>
        <xdr:cNvSpPr txBox="1"/>
      </xdr:nvSpPr>
      <xdr:spPr>
        <a:xfrm>
          <a:off x="634532" y="224554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63449</xdr:colOff>
      <xdr:row>8</xdr:row>
      <xdr:rowOff>6391</xdr:rowOff>
    </xdr:from>
    <xdr:to>
      <xdr:col>16</xdr:col>
      <xdr:colOff>135449</xdr:colOff>
      <xdr:row>9</xdr:row>
      <xdr:rowOff>78491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7916AF-2A4A-4941-A5FA-C3FCF137903A}"/>
            </a:ext>
          </a:extLst>
        </xdr:cNvPr>
        <xdr:cNvGrpSpPr/>
      </xdr:nvGrpSpPr>
      <xdr:grpSpPr>
        <a:xfrm>
          <a:off x="4193489" y="1705651"/>
          <a:ext cx="72000" cy="293080"/>
          <a:chOff x="4965649" y="3003550"/>
          <a:chExt cx="113247" cy="298958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28C4B675-F168-5CD1-2B81-A7424C2FBC0F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C7F096B3-F790-6194-9A21-73271B48998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2</xdr:row>
      <xdr:rowOff>44450</xdr:rowOff>
    </xdr:from>
    <xdr:to>
      <xdr:col>29</xdr:col>
      <xdr:colOff>177800</xdr:colOff>
      <xdr:row>2</xdr:row>
      <xdr:rowOff>44450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1CB39245-912E-4C34-8E82-550ECB18279B}"/>
            </a:ext>
          </a:extLst>
        </xdr:cNvPr>
        <xdr:cNvCxnSpPr/>
      </xdr:nvCxnSpPr>
      <xdr:spPr>
        <a:xfrm>
          <a:off x="1758950" y="4762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12</xdr:row>
      <xdr:rowOff>102526</xdr:rowOff>
    </xdr:from>
    <xdr:to>
      <xdr:col>7</xdr:col>
      <xdr:colOff>190338</xdr:colOff>
      <xdr:row>12</xdr:row>
      <xdr:rowOff>102526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BC58F07D-75D5-43F1-99F9-D0F2C3E8AB66}"/>
            </a:ext>
          </a:extLst>
        </xdr:cNvPr>
        <xdr:cNvCxnSpPr/>
      </xdr:nvCxnSpPr>
      <xdr:spPr>
        <a:xfrm flipV="1">
          <a:off x="1735138" y="2655226"/>
          <a:ext cx="78565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</xdr:row>
      <xdr:rowOff>149225</xdr:rowOff>
    </xdr:from>
    <xdr:to>
      <xdr:col>3</xdr:col>
      <xdr:colOff>198173</xdr:colOff>
      <xdr:row>13</xdr:row>
      <xdr:rowOff>149944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E346EA1-2D5A-4D74-A486-D2B472586DD0}"/>
            </a:ext>
          </a:extLst>
        </xdr:cNvPr>
        <xdr:cNvCxnSpPr/>
      </xdr:nvCxnSpPr>
      <xdr:spPr>
        <a:xfrm flipH="1" flipV="1">
          <a:off x="1741223" y="365125"/>
          <a:ext cx="0" cy="255341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</xdr:row>
      <xdr:rowOff>169334</xdr:rowOff>
    </xdr:from>
    <xdr:to>
      <xdr:col>29</xdr:col>
      <xdr:colOff>198437</xdr:colOff>
      <xdr:row>13</xdr:row>
      <xdr:rowOff>170053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2854078A-6648-4E46-9B73-19E3A3B86A4A}"/>
            </a:ext>
          </a:extLst>
        </xdr:cNvPr>
        <xdr:cNvCxnSpPr/>
      </xdr:nvCxnSpPr>
      <xdr:spPr>
        <a:xfrm flipH="1" flipV="1">
          <a:off x="6859587" y="385234"/>
          <a:ext cx="0" cy="255341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10</xdr:row>
      <xdr:rowOff>122635</xdr:rowOff>
    </xdr:from>
    <xdr:to>
      <xdr:col>3</xdr:col>
      <xdr:colOff>194139</xdr:colOff>
      <xdr:row>10</xdr:row>
      <xdr:rowOff>122635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4007F3AD-C0AC-48C0-A0AD-988B08EF6FF3}"/>
            </a:ext>
          </a:extLst>
        </xdr:cNvPr>
        <xdr:cNvCxnSpPr/>
      </xdr:nvCxnSpPr>
      <xdr:spPr>
        <a:xfrm flipV="1">
          <a:off x="1593189" y="2243535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10</xdr:row>
      <xdr:rowOff>122370</xdr:rowOff>
    </xdr:from>
    <xdr:to>
      <xdr:col>4</xdr:col>
      <xdr:colOff>145440</xdr:colOff>
      <xdr:row>10</xdr:row>
      <xdr:rowOff>122899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BF637EE0-6B92-4CDD-99B6-72D9AE3A1AA1}"/>
            </a:ext>
          </a:extLst>
        </xdr:cNvPr>
        <xdr:cNvCxnSpPr/>
      </xdr:nvCxnSpPr>
      <xdr:spPr>
        <a:xfrm flipH="1">
          <a:off x="1741340" y="2243270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17</xdr:row>
      <xdr:rowOff>44450</xdr:rowOff>
    </xdr:from>
    <xdr:to>
      <xdr:col>29</xdr:col>
      <xdr:colOff>177800</xdr:colOff>
      <xdr:row>17</xdr:row>
      <xdr:rowOff>44450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F79D4802-C87C-401D-A566-57F91D87A520}"/>
            </a:ext>
          </a:extLst>
        </xdr:cNvPr>
        <xdr:cNvCxnSpPr/>
      </xdr:nvCxnSpPr>
      <xdr:spPr>
        <a:xfrm>
          <a:off x="1758950" y="36766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28</xdr:row>
      <xdr:rowOff>102526</xdr:rowOff>
    </xdr:from>
    <xdr:to>
      <xdr:col>7</xdr:col>
      <xdr:colOff>190338</xdr:colOff>
      <xdr:row>28</xdr:row>
      <xdr:rowOff>102526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A38189BB-618D-41F5-8F09-95FCE290D4B4}"/>
            </a:ext>
          </a:extLst>
        </xdr:cNvPr>
        <xdr:cNvCxnSpPr/>
      </xdr:nvCxnSpPr>
      <xdr:spPr>
        <a:xfrm flipV="1">
          <a:off x="1735138" y="6071526"/>
          <a:ext cx="78565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16</xdr:row>
      <xdr:rowOff>149224</xdr:rowOff>
    </xdr:from>
    <xdr:to>
      <xdr:col>3</xdr:col>
      <xdr:colOff>198173</xdr:colOff>
      <xdr:row>29</xdr:row>
      <xdr:rowOff>166250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E47447AE-3CCD-4BED-890C-CF5C71DC5381}"/>
            </a:ext>
          </a:extLst>
        </xdr:cNvPr>
        <xdr:cNvCxnSpPr/>
      </xdr:nvCxnSpPr>
      <xdr:spPr>
        <a:xfrm flipH="1" flipV="1">
          <a:off x="1741223" y="3565524"/>
          <a:ext cx="0" cy="2785626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16</xdr:row>
      <xdr:rowOff>169333</xdr:rowOff>
    </xdr:from>
    <xdr:to>
      <xdr:col>29</xdr:col>
      <xdr:colOff>198437</xdr:colOff>
      <xdr:row>29</xdr:row>
      <xdr:rowOff>186359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5B03CB01-413F-42BB-9E66-967CDEEE2985}"/>
            </a:ext>
          </a:extLst>
        </xdr:cNvPr>
        <xdr:cNvCxnSpPr/>
      </xdr:nvCxnSpPr>
      <xdr:spPr>
        <a:xfrm flipH="1" flipV="1">
          <a:off x="6859587" y="3585633"/>
          <a:ext cx="0" cy="2785626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26</xdr:row>
      <xdr:rowOff>122635</xdr:rowOff>
    </xdr:from>
    <xdr:to>
      <xdr:col>3</xdr:col>
      <xdr:colOff>194139</xdr:colOff>
      <xdr:row>26</xdr:row>
      <xdr:rowOff>122635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5B694B2C-FAF2-4EEA-B568-905962637970}"/>
            </a:ext>
          </a:extLst>
        </xdr:cNvPr>
        <xdr:cNvCxnSpPr/>
      </xdr:nvCxnSpPr>
      <xdr:spPr>
        <a:xfrm flipV="1">
          <a:off x="1593189" y="5659835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26</xdr:row>
      <xdr:rowOff>122370</xdr:rowOff>
    </xdr:from>
    <xdr:to>
      <xdr:col>4</xdr:col>
      <xdr:colOff>145440</xdr:colOff>
      <xdr:row>26</xdr:row>
      <xdr:rowOff>122899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A541002-7FA6-4FAB-988C-71065AA02168}"/>
            </a:ext>
          </a:extLst>
        </xdr:cNvPr>
        <xdr:cNvCxnSpPr/>
      </xdr:nvCxnSpPr>
      <xdr:spPr>
        <a:xfrm flipH="1">
          <a:off x="1741340" y="5659570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89966</xdr:rowOff>
    </xdr:from>
    <xdr:to>
      <xdr:col>16</xdr:col>
      <xdr:colOff>0</xdr:colOff>
      <xdr:row>29</xdr:row>
      <xdr:rowOff>175914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BE82C50D-EB2B-4AB3-A494-319E4C295A2D}"/>
            </a:ext>
          </a:extLst>
        </xdr:cNvPr>
        <xdr:cNvCxnSpPr/>
      </xdr:nvCxnSpPr>
      <xdr:spPr>
        <a:xfrm flipH="1" flipV="1">
          <a:off x="4102100" y="4153966"/>
          <a:ext cx="0" cy="2206848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19</xdr:row>
      <xdr:rowOff>90231</xdr:rowOff>
    </xdr:from>
    <xdr:to>
      <xdr:col>22</xdr:col>
      <xdr:colOff>265</xdr:colOff>
      <xdr:row>29</xdr:row>
      <xdr:rowOff>176179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BD5128B2-7CBA-470B-9061-AD039A31537A}"/>
            </a:ext>
          </a:extLst>
        </xdr:cNvPr>
        <xdr:cNvCxnSpPr/>
      </xdr:nvCxnSpPr>
      <xdr:spPr>
        <a:xfrm flipH="1" flipV="1">
          <a:off x="5283465" y="4154231"/>
          <a:ext cx="0" cy="2206848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20</xdr:row>
      <xdr:rowOff>16536</xdr:rowOff>
    </xdr:from>
    <xdr:to>
      <xdr:col>16</xdr:col>
      <xdr:colOff>0</xdr:colOff>
      <xdr:row>20</xdr:row>
      <xdr:rowOff>16536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6A5725F2-26E7-4020-862C-042845389783}"/>
            </a:ext>
          </a:extLst>
        </xdr:cNvPr>
        <xdr:cNvCxnSpPr/>
      </xdr:nvCxnSpPr>
      <xdr:spPr>
        <a:xfrm flipV="1">
          <a:off x="1738180" y="4296436"/>
          <a:ext cx="236392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20</xdr:row>
      <xdr:rowOff>16800</xdr:rowOff>
    </xdr:from>
    <xdr:to>
      <xdr:col>29</xdr:col>
      <xdr:colOff>195203</xdr:colOff>
      <xdr:row>20</xdr:row>
      <xdr:rowOff>16800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7BFAAB42-7F4A-4B8A-AE30-8DA5EB373035}"/>
            </a:ext>
          </a:extLst>
        </xdr:cNvPr>
        <xdr:cNvCxnSpPr/>
      </xdr:nvCxnSpPr>
      <xdr:spPr>
        <a:xfrm flipV="1">
          <a:off x="5283465" y="4296700"/>
          <a:ext cx="157288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63714</xdr:colOff>
      <xdr:row>25</xdr:row>
      <xdr:rowOff>191864</xdr:rowOff>
    </xdr:from>
    <xdr:to>
      <xdr:col>18</xdr:col>
      <xdr:colOff>135714</xdr:colOff>
      <xdr:row>27</xdr:row>
      <xdr:rowOff>48990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DE31E2A0-41C4-4561-BBA0-431D5BA16E60}"/>
            </a:ext>
          </a:extLst>
        </xdr:cNvPr>
        <xdr:cNvGrpSpPr/>
      </xdr:nvGrpSpPr>
      <xdr:grpSpPr>
        <a:xfrm>
          <a:off x="4589994" y="5579204"/>
          <a:ext cx="72000" cy="299086"/>
          <a:chOff x="4965649" y="3003550"/>
          <a:chExt cx="113247" cy="298958"/>
        </a:xfrm>
      </xdr:grpSpPr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721FBAF7-14E6-C508-254D-64D2FE418720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자유형: 도형 22">
            <a:extLst>
              <a:ext uri="{FF2B5EF4-FFF2-40B4-BE49-F238E27FC236}">
                <a16:creationId xmlns:a16="http://schemas.microsoft.com/office/drawing/2014/main" id="{DEBF3FB3-5FA3-C326-9AB6-8252CA5A4005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80515</xdr:colOff>
      <xdr:row>27</xdr:row>
      <xdr:rowOff>175592</xdr:rowOff>
    </xdr:from>
    <xdr:to>
      <xdr:col>18</xdr:col>
      <xdr:colOff>152515</xdr:colOff>
      <xdr:row>29</xdr:row>
      <xdr:rowOff>32718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3BD9AC0C-A44E-4C05-A5A2-4EFA2544416B}"/>
            </a:ext>
          </a:extLst>
        </xdr:cNvPr>
        <xdr:cNvGrpSpPr/>
      </xdr:nvGrpSpPr>
      <xdr:grpSpPr>
        <a:xfrm>
          <a:off x="4606795" y="6004892"/>
          <a:ext cx="72000" cy="299086"/>
          <a:chOff x="4965649" y="3003550"/>
          <a:chExt cx="113247" cy="298958"/>
        </a:xfrm>
      </xdr:grpSpPr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BC967C7E-DF82-718E-D4B5-E4CD6F962C59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자유형: 도형 25">
            <a:extLst>
              <a:ext uri="{FF2B5EF4-FFF2-40B4-BE49-F238E27FC236}">
                <a16:creationId xmlns:a16="http://schemas.microsoft.com/office/drawing/2014/main" id="{347DA410-98B7-4721-005A-97F261C3160E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152136</xdr:colOff>
      <xdr:row>11</xdr:row>
      <xdr:rowOff>72759</xdr:rowOff>
    </xdr:from>
    <xdr:ext cx="89934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4120EAE-6FCE-4EB5-B727-F7CA9CB5D028}"/>
            </a:ext>
          </a:extLst>
        </xdr:cNvPr>
        <xdr:cNvSpPr txBox="1"/>
      </xdr:nvSpPr>
      <xdr:spPr>
        <a:xfrm>
          <a:off x="1695186" y="2409559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9</xdr:row>
      <xdr:rowOff>192086</xdr:rowOff>
    </xdr:from>
    <xdr:ext cx="89934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B08E906-E74C-412A-9AC2-47F8B7D02E93}"/>
            </a:ext>
          </a:extLst>
        </xdr:cNvPr>
        <xdr:cNvSpPr txBox="1"/>
      </xdr:nvSpPr>
      <xdr:spPr>
        <a:xfrm>
          <a:off x="1826154" y="2097086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25</xdr:col>
      <xdr:colOff>126206</xdr:colOff>
      <xdr:row>9</xdr:row>
      <xdr:rowOff>189044</xdr:rowOff>
    </xdr:from>
    <xdr:ext cx="5794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097B24C-C390-48A6-A046-0720FC959190}"/>
            </a:ext>
          </a:extLst>
        </xdr:cNvPr>
        <xdr:cNvSpPr txBox="1"/>
      </xdr:nvSpPr>
      <xdr:spPr>
        <a:xfrm>
          <a:off x="5999956" y="2094044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28</xdr:col>
      <xdr:colOff>106627</xdr:colOff>
      <xdr:row>11</xdr:row>
      <xdr:rowOff>189308</xdr:rowOff>
    </xdr:from>
    <xdr:ext cx="57945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D4E4376-1CC4-4BBD-8B82-FD2181FBB056}"/>
            </a:ext>
          </a:extLst>
        </xdr:cNvPr>
        <xdr:cNvSpPr txBox="1"/>
      </xdr:nvSpPr>
      <xdr:spPr>
        <a:xfrm>
          <a:off x="6570927" y="2526108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126736</xdr:colOff>
      <xdr:row>25</xdr:row>
      <xdr:rowOff>189573</xdr:rowOff>
    </xdr:from>
    <xdr:ext cx="5794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B1955B0-BEF6-405A-ACB7-4F828824C37A}"/>
            </a:ext>
          </a:extLst>
        </xdr:cNvPr>
        <xdr:cNvSpPr txBox="1"/>
      </xdr:nvSpPr>
      <xdr:spPr>
        <a:xfrm>
          <a:off x="3441436" y="551087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26</xdr:col>
      <xdr:colOff>120386</xdr:colOff>
      <xdr:row>25</xdr:row>
      <xdr:rowOff>193145</xdr:rowOff>
    </xdr:from>
    <xdr:ext cx="579454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7FB6370-865D-4D2F-BE1B-DD7E258F252E}"/>
            </a:ext>
          </a:extLst>
        </xdr:cNvPr>
        <xdr:cNvSpPr txBox="1"/>
      </xdr:nvSpPr>
      <xdr:spPr>
        <a:xfrm>
          <a:off x="6190986" y="551444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16</xdr:row>
      <xdr:rowOff>163241</xdr:rowOff>
    </xdr:from>
    <xdr:ext cx="1796902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87B71E5-EBE4-4AD4-865F-D94EE0CDF3AC}"/>
            </a:ext>
          </a:extLst>
        </xdr:cNvPr>
        <xdr:cNvSpPr txBox="1"/>
      </xdr:nvSpPr>
      <xdr:spPr>
        <a:xfrm>
          <a:off x="3378864" y="3579541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19</xdr:row>
      <xdr:rowOff>137047</xdr:rowOff>
    </xdr:from>
    <xdr:ext cx="748988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4CF673-CF90-4101-9A10-23D1EF763B9A}"/>
            </a:ext>
          </a:extLst>
        </xdr:cNvPr>
        <xdr:cNvSpPr txBox="1"/>
      </xdr:nvSpPr>
      <xdr:spPr>
        <a:xfrm>
          <a:off x="2437873" y="4201047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19</xdr:row>
      <xdr:rowOff>140619</xdr:rowOff>
    </xdr:from>
    <xdr:ext cx="748988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7E4AB05-CE55-4443-96FF-685B7661D966}"/>
            </a:ext>
          </a:extLst>
        </xdr:cNvPr>
        <xdr:cNvSpPr txBox="1"/>
      </xdr:nvSpPr>
      <xdr:spPr>
        <a:xfrm>
          <a:off x="5698598" y="4204619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16</xdr:col>
      <xdr:colOff>530</xdr:colOff>
      <xdr:row>20</xdr:row>
      <xdr:rowOff>17065</xdr:rowOff>
    </xdr:from>
    <xdr:to>
      <xdr:col>21</xdr:col>
      <xdr:colOff>196343</xdr:colOff>
      <xdr:row>20</xdr:row>
      <xdr:rowOff>17065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657ABFAF-A705-40B5-9DA3-303488164191}"/>
            </a:ext>
          </a:extLst>
        </xdr:cNvPr>
        <xdr:cNvCxnSpPr/>
      </xdr:nvCxnSpPr>
      <xdr:spPr>
        <a:xfrm flipV="1">
          <a:off x="4102630" y="4296965"/>
          <a:ext cx="118006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19</xdr:row>
      <xdr:rowOff>111118</xdr:rowOff>
    </xdr:from>
    <xdr:ext cx="34182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3084750-8845-42F4-B1DE-E865DE0AB06C}"/>
            </a:ext>
          </a:extLst>
        </xdr:cNvPr>
        <xdr:cNvSpPr txBox="1"/>
      </xdr:nvSpPr>
      <xdr:spPr>
        <a:xfrm>
          <a:off x="4550835" y="4175118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1</xdr:row>
      <xdr:rowOff>160198</xdr:rowOff>
    </xdr:from>
    <xdr:ext cx="1796902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5B7B126-15D5-4519-954A-3BDF616DA693}"/>
            </a:ext>
          </a:extLst>
        </xdr:cNvPr>
        <xdr:cNvSpPr txBox="1"/>
      </xdr:nvSpPr>
      <xdr:spPr>
        <a:xfrm>
          <a:off x="3385742" y="376098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6</xdr:row>
      <xdr:rowOff>9565</xdr:rowOff>
    </xdr:from>
    <xdr:ext cx="841192" cy="15651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8833B10-ECCD-4712-85B5-B1532A9EE109}"/>
            </a:ext>
          </a:extLst>
        </xdr:cNvPr>
        <xdr:cNvSpPr txBox="1"/>
      </xdr:nvSpPr>
      <xdr:spPr>
        <a:xfrm>
          <a:off x="844156" y="1292265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5</xdr:row>
      <xdr:rowOff>35656</xdr:rowOff>
    </xdr:from>
    <xdr:ext cx="961417" cy="16440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BDFFEB-2DA4-47BD-BF66-897E0090CC43}"/>
            </a:ext>
          </a:extLst>
        </xdr:cNvPr>
        <xdr:cNvSpPr txBox="1"/>
      </xdr:nvSpPr>
      <xdr:spPr>
        <a:xfrm>
          <a:off x="728664" y="1115156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21</xdr:row>
      <xdr:rowOff>199046</xdr:rowOff>
    </xdr:from>
    <xdr:ext cx="900759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4F6D5FA-C5F7-488F-B4A2-1AF494916FD8}"/>
            </a:ext>
          </a:extLst>
        </xdr:cNvPr>
        <xdr:cNvSpPr txBox="1"/>
      </xdr:nvSpPr>
      <xdr:spPr>
        <a:xfrm>
          <a:off x="768351" y="4694846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21</xdr:row>
      <xdr:rowOff>18781</xdr:rowOff>
    </xdr:from>
    <xdr:ext cx="1023422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7C6221-5095-4FAD-9771-B2AEAB9F051D}"/>
            </a:ext>
          </a:extLst>
        </xdr:cNvPr>
        <xdr:cNvSpPr txBox="1"/>
      </xdr:nvSpPr>
      <xdr:spPr>
        <a:xfrm>
          <a:off x="657225" y="4514581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twoCellAnchor>
    <xdr:from>
      <xdr:col>18</xdr:col>
      <xdr:colOff>67286</xdr:colOff>
      <xdr:row>23</xdr:row>
      <xdr:rowOff>159056</xdr:rowOff>
    </xdr:from>
    <xdr:to>
      <xdr:col>18</xdr:col>
      <xdr:colOff>139286</xdr:colOff>
      <xdr:row>25</xdr:row>
      <xdr:rowOff>29411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CFB5C0BD-657E-4B9F-8EA7-D5D07B602011}"/>
            </a:ext>
          </a:extLst>
        </xdr:cNvPr>
        <xdr:cNvGrpSpPr/>
      </xdr:nvGrpSpPr>
      <xdr:grpSpPr>
        <a:xfrm>
          <a:off x="4593566" y="5127296"/>
          <a:ext cx="72000" cy="289455"/>
          <a:chOff x="4965649" y="3003550"/>
          <a:chExt cx="113247" cy="298958"/>
        </a:xfrm>
      </xdr:grpSpPr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B1A5753-B5CA-3B07-1F29-B4931E02CD10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자유형: 도형 44">
            <a:extLst>
              <a:ext uri="{FF2B5EF4-FFF2-40B4-BE49-F238E27FC236}">
                <a16:creationId xmlns:a16="http://schemas.microsoft.com/office/drawing/2014/main" id="{7941FCCD-E3E9-20A6-6E62-747D6750ADE0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142214</xdr:colOff>
      <xdr:row>27</xdr:row>
      <xdr:rowOff>82680</xdr:rowOff>
    </xdr:from>
    <xdr:ext cx="89934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DA6E336-1DCD-4D1F-9D12-B826AED76846}"/>
            </a:ext>
          </a:extLst>
        </xdr:cNvPr>
        <xdr:cNvSpPr txBox="1"/>
      </xdr:nvSpPr>
      <xdr:spPr>
        <a:xfrm>
          <a:off x="1685264" y="5835780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25</xdr:row>
      <xdr:rowOff>202007</xdr:rowOff>
    </xdr:from>
    <xdr:ext cx="89934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9338569-2255-4905-AAC1-28510C8DBC5B}"/>
            </a:ext>
          </a:extLst>
        </xdr:cNvPr>
        <xdr:cNvSpPr txBox="1"/>
      </xdr:nvSpPr>
      <xdr:spPr>
        <a:xfrm>
          <a:off x="1816232" y="5523307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twoCellAnchor>
    <xdr:from>
      <xdr:col>37</xdr:col>
      <xdr:colOff>1483</xdr:colOff>
      <xdr:row>31</xdr:row>
      <xdr:rowOff>93153</xdr:rowOff>
    </xdr:from>
    <xdr:to>
      <xdr:col>37</xdr:col>
      <xdr:colOff>1483</xdr:colOff>
      <xdr:row>37</xdr:row>
      <xdr:rowOff>144205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38695B00-55E1-468F-846A-8A111903E415}"/>
            </a:ext>
          </a:extLst>
        </xdr:cNvPr>
        <xdr:cNvCxnSpPr/>
      </xdr:nvCxnSpPr>
      <xdr:spPr>
        <a:xfrm flipH="1" flipV="1">
          <a:off x="8237433" y="6709853"/>
          <a:ext cx="0" cy="1346452"/>
        </a:xfrm>
        <a:prstGeom prst="straightConnector1">
          <a:avLst/>
        </a:prstGeom>
        <a:ln w="22225">
          <a:solidFill>
            <a:srgbClr val="FF00FF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182019</xdr:colOff>
      <xdr:row>36</xdr:row>
      <xdr:rowOff>7386</xdr:rowOff>
    </xdr:from>
    <xdr:to>
      <xdr:col>37</xdr:col>
      <xdr:colOff>9157</xdr:colOff>
      <xdr:row>36</xdr:row>
      <xdr:rowOff>7386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D24C96EE-485D-44EB-807D-1F5F5908E859}"/>
            </a:ext>
          </a:extLst>
        </xdr:cNvPr>
        <xdr:cNvCxnSpPr/>
      </xdr:nvCxnSpPr>
      <xdr:spPr>
        <a:xfrm>
          <a:off x="3103019" y="7703586"/>
          <a:ext cx="514208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96126</xdr:colOff>
      <xdr:row>35</xdr:row>
      <xdr:rowOff>143429</xdr:rowOff>
    </xdr:from>
    <xdr:ext cx="673133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C209ABB-5B1D-407C-B513-EB5328CF1369}"/>
            </a:ext>
          </a:extLst>
        </xdr:cNvPr>
        <xdr:cNvSpPr txBox="1"/>
      </xdr:nvSpPr>
      <xdr:spPr>
        <a:xfrm>
          <a:off x="5182476" y="7623729"/>
          <a:ext cx="67313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#)</a:t>
          </a:r>
          <a:endParaRPr lang="en-US" altLang="ko-KR" sz="1000" baseline="0"/>
        </a:p>
      </xdr:txBody>
    </xdr:sp>
    <xdr:clientData/>
  </xdr:oneCellAnchor>
  <xdr:oneCellAnchor>
    <xdr:from>
      <xdr:col>34</xdr:col>
      <xdr:colOff>2189</xdr:colOff>
      <xdr:row>36</xdr:row>
      <xdr:rowOff>202769</xdr:rowOff>
    </xdr:from>
    <xdr:ext cx="1167179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56849CD-54E4-4A4C-9CB2-90FC74D4C9C9}"/>
            </a:ext>
          </a:extLst>
        </xdr:cNvPr>
        <xdr:cNvSpPr txBox="1"/>
      </xdr:nvSpPr>
      <xdr:spPr>
        <a:xfrm>
          <a:off x="7647589" y="7898969"/>
          <a:ext cx="116717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 - target#)</a:t>
          </a:r>
          <a:endParaRPr lang="en-US" altLang="ko-KR" sz="1000" baseline="0"/>
        </a:p>
      </xdr:txBody>
    </xdr:sp>
    <xdr:clientData/>
  </xdr:oneCellAnchor>
  <xdr:twoCellAnchor>
    <xdr:from>
      <xdr:col>37</xdr:col>
      <xdr:colOff>6847</xdr:colOff>
      <xdr:row>36</xdr:row>
      <xdr:rowOff>7386</xdr:rowOff>
    </xdr:from>
    <xdr:to>
      <xdr:col>48</xdr:col>
      <xdr:colOff>179089</xdr:colOff>
      <xdr:row>36</xdr:row>
      <xdr:rowOff>7386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2C2806BA-BEDE-4446-8098-D9F2A73FE21B}"/>
            </a:ext>
          </a:extLst>
        </xdr:cNvPr>
        <xdr:cNvCxnSpPr/>
      </xdr:nvCxnSpPr>
      <xdr:spPr>
        <a:xfrm>
          <a:off x="8242797" y="7703586"/>
          <a:ext cx="2337592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63449</xdr:colOff>
      <xdr:row>48</xdr:row>
      <xdr:rowOff>6391</xdr:rowOff>
    </xdr:from>
    <xdr:to>
      <xdr:col>16</xdr:col>
      <xdr:colOff>135449</xdr:colOff>
      <xdr:row>49</xdr:row>
      <xdr:rowOff>78491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77160B1-1B56-48AE-9E3C-DC6B17179EF6}"/>
            </a:ext>
          </a:extLst>
        </xdr:cNvPr>
        <xdr:cNvGrpSpPr/>
      </xdr:nvGrpSpPr>
      <xdr:grpSpPr>
        <a:xfrm>
          <a:off x="4193489" y="10407691"/>
          <a:ext cx="72000" cy="293080"/>
          <a:chOff x="4965649" y="3003550"/>
          <a:chExt cx="113247" cy="298958"/>
        </a:xfrm>
      </xdr:grpSpPr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5FB2B22-E210-BE83-192A-A4C952CE19A0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자유형: 도형 54">
            <a:extLst>
              <a:ext uri="{FF2B5EF4-FFF2-40B4-BE49-F238E27FC236}">
                <a16:creationId xmlns:a16="http://schemas.microsoft.com/office/drawing/2014/main" id="{969B95FC-D316-90E2-EE23-421C2409C60F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42</xdr:row>
      <xdr:rowOff>44450</xdr:rowOff>
    </xdr:from>
    <xdr:to>
      <xdr:col>29</xdr:col>
      <xdr:colOff>177800</xdr:colOff>
      <xdr:row>42</xdr:row>
      <xdr:rowOff>44450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2A76DA7A-F430-4759-81D3-730AFAF7F357}"/>
            </a:ext>
          </a:extLst>
        </xdr:cNvPr>
        <xdr:cNvCxnSpPr/>
      </xdr:nvCxnSpPr>
      <xdr:spPr>
        <a:xfrm>
          <a:off x="1772964" y="491140"/>
          <a:ext cx="50854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53</xdr:row>
      <xdr:rowOff>56544</xdr:rowOff>
    </xdr:from>
    <xdr:to>
      <xdr:col>7</xdr:col>
      <xdr:colOff>190338</xdr:colOff>
      <xdr:row>53</xdr:row>
      <xdr:rowOff>56544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94E276FC-2D18-46D7-8A78-7FAE83F5DF82}"/>
            </a:ext>
          </a:extLst>
        </xdr:cNvPr>
        <xdr:cNvCxnSpPr/>
      </xdr:nvCxnSpPr>
      <xdr:spPr>
        <a:xfrm flipV="1">
          <a:off x="1748933" y="11657337"/>
          <a:ext cx="78652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41</xdr:row>
      <xdr:rowOff>149225</xdr:rowOff>
    </xdr:from>
    <xdr:to>
      <xdr:col>3</xdr:col>
      <xdr:colOff>198173</xdr:colOff>
      <xdr:row>53</xdr:row>
      <xdr:rowOff>149944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6F254620-C9B6-4B3A-8C1C-A20046672B8E}"/>
            </a:ext>
          </a:extLst>
        </xdr:cNvPr>
        <xdr:cNvCxnSpPr/>
      </xdr:nvCxnSpPr>
      <xdr:spPr>
        <a:xfrm flipH="1" flipV="1">
          <a:off x="1755018" y="372570"/>
          <a:ext cx="0" cy="260202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41</xdr:row>
      <xdr:rowOff>169334</xdr:rowOff>
    </xdr:from>
    <xdr:to>
      <xdr:col>29</xdr:col>
      <xdr:colOff>198437</xdr:colOff>
      <xdr:row>53</xdr:row>
      <xdr:rowOff>170053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C66100C7-16C8-4D4D-8A62-1291D7374420}"/>
            </a:ext>
          </a:extLst>
        </xdr:cNvPr>
        <xdr:cNvCxnSpPr/>
      </xdr:nvCxnSpPr>
      <xdr:spPr>
        <a:xfrm flipH="1" flipV="1">
          <a:off x="6879075" y="392679"/>
          <a:ext cx="0" cy="260202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51</xdr:row>
      <xdr:rowOff>116068</xdr:rowOff>
    </xdr:from>
    <xdr:to>
      <xdr:col>3</xdr:col>
      <xdr:colOff>194139</xdr:colOff>
      <xdr:row>51</xdr:row>
      <xdr:rowOff>116068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7EDC182B-176A-4BD0-BE11-0B6A06587C6B}"/>
            </a:ext>
          </a:extLst>
        </xdr:cNvPr>
        <xdr:cNvCxnSpPr/>
      </xdr:nvCxnSpPr>
      <xdr:spPr>
        <a:xfrm flipV="1">
          <a:off x="1606984" y="11270171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51</xdr:row>
      <xdr:rowOff>115803</xdr:rowOff>
    </xdr:from>
    <xdr:to>
      <xdr:col>4</xdr:col>
      <xdr:colOff>145440</xdr:colOff>
      <xdr:row>51</xdr:row>
      <xdr:rowOff>116332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24E226E2-F6E2-41CE-A8E7-C1BA1CDB1DFE}"/>
            </a:ext>
          </a:extLst>
        </xdr:cNvPr>
        <xdr:cNvCxnSpPr/>
      </xdr:nvCxnSpPr>
      <xdr:spPr>
        <a:xfrm flipH="1">
          <a:off x="1755354" y="11269906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57</xdr:row>
      <xdr:rowOff>44450</xdr:rowOff>
    </xdr:from>
    <xdr:to>
      <xdr:col>29</xdr:col>
      <xdr:colOff>177800</xdr:colOff>
      <xdr:row>57</xdr:row>
      <xdr:rowOff>44450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E69D41B6-42E5-48C9-B65B-DF07C07DF76E}"/>
            </a:ext>
          </a:extLst>
        </xdr:cNvPr>
        <xdr:cNvCxnSpPr/>
      </xdr:nvCxnSpPr>
      <xdr:spPr>
        <a:xfrm>
          <a:off x="1772964" y="3762484"/>
          <a:ext cx="5085474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69</xdr:row>
      <xdr:rowOff>56544</xdr:rowOff>
    </xdr:from>
    <xdr:to>
      <xdr:col>7</xdr:col>
      <xdr:colOff>190338</xdr:colOff>
      <xdr:row>69</xdr:row>
      <xdr:rowOff>56544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AB7D286C-85C0-46A0-AE24-B52CCAB23558}"/>
            </a:ext>
          </a:extLst>
        </xdr:cNvPr>
        <xdr:cNvCxnSpPr/>
      </xdr:nvCxnSpPr>
      <xdr:spPr>
        <a:xfrm flipV="1">
          <a:off x="1748933" y="15152027"/>
          <a:ext cx="78652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56</xdr:row>
      <xdr:rowOff>149224</xdr:rowOff>
    </xdr:from>
    <xdr:to>
      <xdr:col>3</xdr:col>
      <xdr:colOff>198173</xdr:colOff>
      <xdr:row>69</xdr:row>
      <xdr:rowOff>166250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149BA76-DF64-47DC-87A8-7817B03EEEA3}"/>
            </a:ext>
          </a:extLst>
        </xdr:cNvPr>
        <xdr:cNvCxnSpPr/>
      </xdr:nvCxnSpPr>
      <xdr:spPr>
        <a:xfrm flipH="1" flipV="1">
          <a:off x="1755018" y="3643914"/>
          <a:ext cx="0" cy="2841681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56</xdr:row>
      <xdr:rowOff>169333</xdr:rowOff>
    </xdr:from>
    <xdr:to>
      <xdr:col>29</xdr:col>
      <xdr:colOff>198437</xdr:colOff>
      <xdr:row>69</xdr:row>
      <xdr:rowOff>186359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8F1AA4DC-9975-4ABE-A899-409B17AC968E}"/>
            </a:ext>
          </a:extLst>
        </xdr:cNvPr>
        <xdr:cNvCxnSpPr/>
      </xdr:nvCxnSpPr>
      <xdr:spPr>
        <a:xfrm flipH="1" flipV="1">
          <a:off x="6956425" y="12266083"/>
          <a:ext cx="0" cy="2807851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67</xdr:row>
      <xdr:rowOff>109498</xdr:rowOff>
    </xdr:from>
    <xdr:to>
      <xdr:col>3</xdr:col>
      <xdr:colOff>194139</xdr:colOff>
      <xdr:row>67</xdr:row>
      <xdr:rowOff>109498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655EE42A-ABB2-4416-AE75-76E53F7C1B68}"/>
            </a:ext>
          </a:extLst>
        </xdr:cNvPr>
        <xdr:cNvCxnSpPr/>
      </xdr:nvCxnSpPr>
      <xdr:spPr>
        <a:xfrm flipV="1">
          <a:off x="1606984" y="14758291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67</xdr:row>
      <xdr:rowOff>109233</xdr:rowOff>
    </xdr:from>
    <xdr:to>
      <xdr:col>4</xdr:col>
      <xdr:colOff>145440</xdr:colOff>
      <xdr:row>67</xdr:row>
      <xdr:rowOff>109762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FF70D69-FB54-42CB-A909-44A654CE3855}"/>
            </a:ext>
          </a:extLst>
        </xdr:cNvPr>
        <xdr:cNvCxnSpPr/>
      </xdr:nvCxnSpPr>
      <xdr:spPr>
        <a:xfrm flipH="1">
          <a:off x="1755354" y="14758026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59</xdr:row>
      <xdr:rowOff>89966</xdr:rowOff>
    </xdr:from>
    <xdr:to>
      <xdr:col>14</xdr:col>
      <xdr:colOff>0</xdr:colOff>
      <xdr:row>69</xdr:row>
      <xdr:rowOff>175914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DBD1F507-1ED9-48B3-A5AC-14E839CFDA4C}"/>
            </a:ext>
          </a:extLst>
        </xdr:cNvPr>
        <xdr:cNvCxnSpPr/>
      </xdr:nvCxnSpPr>
      <xdr:spPr>
        <a:xfrm flipH="1" flipV="1">
          <a:off x="3757613" y="12843941"/>
          <a:ext cx="0" cy="2219548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59</xdr:row>
      <xdr:rowOff>90231</xdr:rowOff>
    </xdr:from>
    <xdr:to>
      <xdr:col>22</xdr:col>
      <xdr:colOff>265</xdr:colOff>
      <xdr:row>69</xdr:row>
      <xdr:rowOff>176179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56BCD8D-4823-4A67-B49C-61CF578F8171}"/>
            </a:ext>
          </a:extLst>
        </xdr:cNvPr>
        <xdr:cNvCxnSpPr/>
      </xdr:nvCxnSpPr>
      <xdr:spPr>
        <a:xfrm flipH="1" flipV="1">
          <a:off x="5301420" y="4254955"/>
          <a:ext cx="0" cy="2240569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60</xdr:row>
      <xdr:rowOff>16536</xdr:rowOff>
    </xdr:from>
    <xdr:to>
      <xdr:col>14</xdr:col>
      <xdr:colOff>0</xdr:colOff>
      <xdr:row>60</xdr:row>
      <xdr:rowOff>16536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86733604-ED55-447E-83EC-09F217A0BC89}"/>
            </a:ext>
          </a:extLst>
        </xdr:cNvPr>
        <xdr:cNvCxnSpPr/>
      </xdr:nvCxnSpPr>
      <xdr:spPr>
        <a:xfrm>
          <a:off x="1752468" y="12989586"/>
          <a:ext cx="2005145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60</xdr:row>
      <xdr:rowOff>16800</xdr:rowOff>
    </xdr:from>
    <xdr:to>
      <xdr:col>29</xdr:col>
      <xdr:colOff>195203</xdr:colOff>
      <xdr:row>60</xdr:row>
      <xdr:rowOff>16800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8C129979-34DB-4C0E-820B-5A33AFBD4E2D}"/>
            </a:ext>
          </a:extLst>
        </xdr:cNvPr>
        <xdr:cNvCxnSpPr/>
      </xdr:nvCxnSpPr>
      <xdr:spPr>
        <a:xfrm flipV="1">
          <a:off x="5301420" y="4404869"/>
          <a:ext cx="1574421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152136</xdr:colOff>
      <xdr:row>53</xdr:row>
      <xdr:rowOff>26778</xdr:rowOff>
    </xdr:from>
    <xdr:ext cx="89934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A8EA847-0808-4394-95DB-3B49BE845B3F}"/>
            </a:ext>
          </a:extLst>
        </xdr:cNvPr>
        <xdr:cNvSpPr txBox="1"/>
      </xdr:nvSpPr>
      <xdr:spPr>
        <a:xfrm>
          <a:off x="1708981" y="11627571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50</xdr:row>
      <xdr:rowOff>185518</xdr:rowOff>
    </xdr:from>
    <xdr:ext cx="899349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03AB223-2166-434E-929E-439FDDDFFDDE}"/>
            </a:ext>
          </a:extLst>
        </xdr:cNvPr>
        <xdr:cNvSpPr txBox="1"/>
      </xdr:nvSpPr>
      <xdr:spPr>
        <a:xfrm>
          <a:off x="1840168" y="11116277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5</xdr:col>
      <xdr:colOff>126206</xdr:colOff>
      <xdr:row>49</xdr:row>
      <xdr:rowOff>189044</xdr:rowOff>
    </xdr:from>
    <xdr:ext cx="579454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7240572-BDD8-49B8-98C6-DFAFFF2BE95F}"/>
            </a:ext>
          </a:extLst>
        </xdr:cNvPr>
        <xdr:cNvSpPr txBox="1"/>
      </xdr:nvSpPr>
      <xdr:spPr>
        <a:xfrm>
          <a:off x="6018568" y="2120320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10</xdr:col>
      <xdr:colOff>106627</xdr:colOff>
      <xdr:row>51</xdr:row>
      <xdr:rowOff>189308</xdr:rowOff>
    </xdr:from>
    <xdr:ext cx="579454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4B83DCB-46EB-49B4-8F85-36BB2AC97C45}"/>
            </a:ext>
          </a:extLst>
        </xdr:cNvPr>
        <xdr:cNvSpPr txBox="1"/>
      </xdr:nvSpPr>
      <xdr:spPr>
        <a:xfrm>
          <a:off x="6590196" y="2567274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56</xdr:row>
      <xdr:rowOff>163241</xdr:rowOff>
    </xdr:from>
    <xdr:ext cx="1796902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C0664EF-F8BF-4F4A-B95B-44702D31B87A}"/>
            </a:ext>
          </a:extLst>
        </xdr:cNvPr>
        <xdr:cNvSpPr txBox="1"/>
      </xdr:nvSpPr>
      <xdr:spPr>
        <a:xfrm>
          <a:off x="3394630" y="3657931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59</xdr:row>
      <xdr:rowOff>137047</xdr:rowOff>
    </xdr:from>
    <xdr:ext cx="748988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CFBEF35-1655-4DAA-8D6A-4EA1FDD85E67}"/>
            </a:ext>
          </a:extLst>
        </xdr:cNvPr>
        <xdr:cNvSpPr txBox="1"/>
      </xdr:nvSpPr>
      <xdr:spPr>
        <a:xfrm>
          <a:off x="2452544" y="4301771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59</xdr:row>
      <xdr:rowOff>140619</xdr:rowOff>
    </xdr:from>
    <xdr:ext cx="748988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799576E-77E3-4A27-840C-8D50E29C1F0D}"/>
            </a:ext>
          </a:extLst>
        </xdr:cNvPr>
        <xdr:cNvSpPr txBox="1"/>
      </xdr:nvSpPr>
      <xdr:spPr>
        <a:xfrm>
          <a:off x="5716991" y="4305343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14</xdr:col>
      <xdr:colOff>4762</xdr:colOff>
      <xdr:row>60</xdr:row>
      <xdr:rowOff>17065</xdr:rowOff>
    </xdr:from>
    <xdr:to>
      <xdr:col>21</xdr:col>
      <xdr:colOff>196343</xdr:colOff>
      <xdr:row>60</xdr:row>
      <xdr:rowOff>17065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502C3324-F81A-427B-AFA3-B2DB0785EBEA}"/>
            </a:ext>
          </a:extLst>
        </xdr:cNvPr>
        <xdr:cNvCxnSpPr/>
      </xdr:nvCxnSpPr>
      <xdr:spPr>
        <a:xfrm>
          <a:off x="3762375" y="12990115"/>
          <a:ext cx="1591756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59</xdr:row>
      <xdr:rowOff>111118</xdr:rowOff>
    </xdr:from>
    <xdr:ext cx="34182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6C96710-8A45-4AE0-A02E-7B01E4C11D94}"/>
            </a:ext>
          </a:extLst>
        </xdr:cNvPr>
        <xdr:cNvSpPr txBox="1"/>
      </xdr:nvSpPr>
      <xdr:spPr>
        <a:xfrm>
          <a:off x="4567914" y="4275842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41</xdr:row>
      <xdr:rowOff>160198</xdr:rowOff>
    </xdr:from>
    <xdr:ext cx="1796902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58D161B-F215-4479-B6C5-479AC675F677}"/>
            </a:ext>
          </a:extLst>
        </xdr:cNvPr>
        <xdr:cNvSpPr txBox="1"/>
      </xdr:nvSpPr>
      <xdr:spPr>
        <a:xfrm>
          <a:off x="3401508" y="383543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46</xdr:row>
      <xdr:rowOff>9565</xdr:rowOff>
    </xdr:from>
    <xdr:ext cx="841192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B2FECD3-27D7-44F7-BFC3-2E69012A6029}"/>
            </a:ext>
          </a:extLst>
        </xdr:cNvPr>
        <xdr:cNvSpPr txBox="1"/>
      </xdr:nvSpPr>
      <xdr:spPr>
        <a:xfrm>
          <a:off x="853790" y="1323358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45</xdr:row>
      <xdr:rowOff>35656</xdr:rowOff>
    </xdr:from>
    <xdr:ext cx="961417" cy="164404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58519DC-B647-4433-9CAA-73CA70314C32}"/>
            </a:ext>
          </a:extLst>
        </xdr:cNvPr>
        <xdr:cNvSpPr txBox="1"/>
      </xdr:nvSpPr>
      <xdr:spPr>
        <a:xfrm>
          <a:off x="738298" y="1152380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61</xdr:row>
      <xdr:rowOff>199046</xdr:rowOff>
    </xdr:from>
    <xdr:ext cx="900759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65F6446-2644-4E68-946A-D0730C24ACDE}"/>
            </a:ext>
          </a:extLst>
        </xdr:cNvPr>
        <xdr:cNvSpPr txBox="1"/>
      </xdr:nvSpPr>
      <xdr:spPr>
        <a:xfrm>
          <a:off x="777985" y="4810460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61</xdr:row>
      <xdr:rowOff>18781</xdr:rowOff>
    </xdr:from>
    <xdr:ext cx="1023422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0BF7ECE-6231-40DD-9988-E3EE6A673003}"/>
            </a:ext>
          </a:extLst>
        </xdr:cNvPr>
        <xdr:cNvSpPr txBox="1"/>
      </xdr:nvSpPr>
      <xdr:spPr>
        <a:xfrm>
          <a:off x="657225" y="4630195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3</xdr:col>
      <xdr:colOff>142214</xdr:colOff>
      <xdr:row>69</xdr:row>
      <xdr:rowOff>36699</xdr:rowOff>
    </xdr:from>
    <xdr:ext cx="89934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7283E67-3AC6-43DA-9002-A3020EC8415C}"/>
            </a:ext>
          </a:extLst>
        </xdr:cNvPr>
        <xdr:cNvSpPr txBox="1"/>
      </xdr:nvSpPr>
      <xdr:spPr>
        <a:xfrm>
          <a:off x="1699059" y="15132182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66</xdr:row>
      <xdr:rowOff>188870</xdr:rowOff>
    </xdr:from>
    <xdr:ext cx="89934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CA90BD4-C340-4916-BAFB-53B7E937578F}"/>
            </a:ext>
          </a:extLst>
        </xdr:cNvPr>
        <xdr:cNvSpPr txBox="1"/>
      </xdr:nvSpPr>
      <xdr:spPr>
        <a:xfrm>
          <a:off x="1830246" y="14614318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36</xdr:col>
      <xdr:colOff>106627</xdr:colOff>
      <xdr:row>51</xdr:row>
      <xdr:rowOff>189308</xdr:rowOff>
    </xdr:from>
    <xdr:ext cx="579454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157A37B-2662-4094-BF3B-47DBA74221A1}"/>
            </a:ext>
          </a:extLst>
        </xdr:cNvPr>
        <xdr:cNvSpPr txBox="1"/>
      </xdr:nvSpPr>
      <xdr:spPr>
        <a:xfrm>
          <a:off x="3042955" y="11343411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4</xdr:col>
      <xdr:colOff>126736</xdr:colOff>
      <xdr:row>65</xdr:row>
      <xdr:rowOff>189573</xdr:rowOff>
    </xdr:from>
    <xdr:ext cx="579454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9B42C56-FE0F-48D9-BF42-D8D9E1A8034D}"/>
            </a:ext>
          </a:extLst>
        </xdr:cNvPr>
        <xdr:cNvSpPr txBox="1"/>
      </xdr:nvSpPr>
      <xdr:spPr>
        <a:xfrm>
          <a:off x="3457202" y="14391676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twoCellAnchor>
    <xdr:from>
      <xdr:col>10</xdr:col>
      <xdr:colOff>3572</xdr:colOff>
      <xdr:row>64</xdr:row>
      <xdr:rowOff>0</xdr:rowOff>
    </xdr:from>
    <xdr:to>
      <xdr:col>10</xdr:col>
      <xdr:colOff>75572</xdr:colOff>
      <xdr:row>65</xdr:row>
      <xdr:rowOff>67424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A7215D-84DA-4364-A8C7-DB91A9E5BBB6}"/>
            </a:ext>
          </a:extLst>
        </xdr:cNvPr>
        <xdr:cNvGrpSpPr/>
      </xdr:nvGrpSpPr>
      <xdr:grpSpPr>
        <a:xfrm>
          <a:off x="2944892" y="13868400"/>
          <a:ext cx="72000" cy="288404"/>
          <a:chOff x="4965649" y="3003550"/>
          <a:chExt cx="113247" cy="298958"/>
        </a:xfrm>
      </xdr:grpSpPr>
      <xdr:sp macro="" textlink="">
        <xdr:nvSpPr>
          <xdr:cNvPr id="108" name="자유형: 도형 107">
            <a:extLst>
              <a:ext uri="{FF2B5EF4-FFF2-40B4-BE49-F238E27FC236}">
                <a16:creationId xmlns:a16="http://schemas.microsoft.com/office/drawing/2014/main" id="{D75A3F91-B96D-7C01-4023-062EB29D3E7C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7EBA6B03-78AA-1FBB-26DD-D7CDC9B7CA4D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66</xdr:row>
      <xdr:rowOff>0</xdr:rowOff>
    </xdr:from>
    <xdr:to>
      <xdr:col>10</xdr:col>
      <xdr:colOff>72000</xdr:colOff>
      <xdr:row>67</xdr:row>
      <xdr:rowOff>80471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1F8A6DC3-98B3-44C3-BE72-724ED46F900D}"/>
            </a:ext>
          </a:extLst>
        </xdr:cNvPr>
        <xdr:cNvGrpSpPr/>
      </xdr:nvGrpSpPr>
      <xdr:grpSpPr>
        <a:xfrm>
          <a:off x="2941320" y="14310360"/>
          <a:ext cx="72000" cy="301451"/>
          <a:chOff x="4965649" y="3003550"/>
          <a:chExt cx="113247" cy="298958"/>
        </a:xfrm>
      </xdr:grpSpPr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286EDAEE-C1F1-0519-8F6C-AD7B6AB7A7EA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D8DC5215-A124-C585-4CC3-3A8C830E30D3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16801</xdr:colOff>
      <xdr:row>67</xdr:row>
      <xdr:rowOff>207073</xdr:rowOff>
    </xdr:from>
    <xdr:to>
      <xdr:col>10</xdr:col>
      <xdr:colOff>88801</xdr:colOff>
      <xdr:row>69</xdr:row>
      <xdr:rowOff>64199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3E51F63-618C-4AC7-84B7-676511E5614E}"/>
            </a:ext>
          </a:extLst>
        </xdr:cNvPr>
        <xdr:cNvGrpSpPr/>
      </xdr:nvGrpSpPr>
      <xdr:grpSpPr>
        <a:xfrm>
          <a:off x="2958121" y="14738413"/>
          <a:ext cx="72000" cy="299086"/>
          <a:chOff x="4965649" y="3003550"/>
          <a:chExt cx="113247" cy="298958"/>
        </a:xfrm>
      </xdr:grpSpPr>
      <xdr:sp macro="" textlink="">
        <xdr:nvSpPr>
          <xdr:cNvPr id="123" name="자유형: 도형 122">
            <a:extLst>
              <a:ext uri="{FF2B5EF4-FFF2-40B4-BE49-F238E27FC236}">
                <a16:creationId xmlns:a16="http://schemas.microsoft.com/office/drawing/2014/main" id="{03F2BBEA-EB2F-CCB3-87D3-16D64A0FDDC9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D4148679-DF64-0310-7681-F44014F8989A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0</xdr:colOff>
      <xdr:row>66</xdr:row>
      <xdr:rowOff>13758</xdr:rowOff>
    </xdr:from>
    <xdr:to>
      <xdr:col>19</xdr:col>
      <xdr:colOff>72000</xdr:colOff>
      <xdr:row>67</xdr:row>
      <xdr:rowOff>89959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350066D6-7F4B-4F30-9C96-3D68AC6C9D07}"/>
            </a:ext>
          </a:extLst>
        </xdr:cNvPr>
        <xdr:cNvGrpSpPr/>
      </xdr:nvGrpSpPr>
      <xdr:grpSpPr>
        <a:xfrm>
          <a:off x="4724400" y="14324118"/>
          <a:ext cx="72000" cy="297181"/>
          <a:chOff x="4965649" y="3003550"/>
          <a:chExt cx="113247" cy="298958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0A573EF9-37D6-FA57-77B9-4848DFE3CE9A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자유형: 도형 129">
            <a:extLst>
              <a:ext uri="{FF2B5EF4-FFF2-40B4-BE49-F238E27FC236}">
                <a16:creationId xmlns:a16="http://schemas.microsoft.com/office/drawing/2014/main" id="{EB7BE879-0E07-0235-9060-A14E705985D8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16801</xdr:colOff>
      <xdr:row>67</xdr:row>
      <xdr:rowOff>216561</xdr:rowOff>
    </xdr:from>
    <xdr:to>
      <xdr:col>19</xdr:col>
      <xdr:colOff>88801</xdr:colOff>
      <xdr:row>69</xdr:row>
      <xdr:rowOff>73687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B49B4721-4FC3-4F7A-8098-7A7BCCDD9E3F}"/>
            </a:ext>
          </a:extLst>
        </xdr:cNvPr>
        <xdr:cNvGrpSpPr/>
      </xdr:nvGrpSpPr>
      <xdr:grpSpPr>
        <a:xfrm>
          <a:off x="4741201" y="14747901"/>
          <a:ext cx="72000" cy="299086"/>
          <a:chOff x="4965649" y="3003550"/>
          <a:chExt cx="113247" cy="298958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0CFF7909-6D6E-8F4D-8BAA-4FF312599BCC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자유형: 도형 132">
            <a:extLst>
              <a:ext uri="{FF2B5EF4-FFF2-40B4-BE49-F238E27FC236}">
                <a16:creationId xmlns:a16="http://schemas.microsoft.com/office/drawing/2014/main" id="{A6ADD2E7-D479-3DAC-CDDB-9E988E53070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3572</xdr:colOff>
      <xdr:row>64</xdr:row>
      <xdr:rowOff>0</xdr:rowOff>
    </xdr:from>
    <xdr:to>
      <xdr:col>19</xdr:col>
      <xdr:colOff>75572</xdr:colOff>
      <xdr:row>65</xdr:row>
      <xdr:rowOff>70380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62832081-05AA-4D4A-8693-2B0A1C46A5DF}"/>
            </a:ext>
          </a:extLst>
        </xdr:cNvPr>
        <xdr:cNvGrpSpPr/>
      </xdr:nvGrpSpPr>
      <xdr:grpSpPr>
        <a:xfrm>
          <a:off x="4727972" y="13868400"/>
          <a:ext cx="72000" cy="291360"/>
          <a:chOff x="4965649" y="3003550"/>
          <a:chExt cx="113247" cy="298958"/>
        </a:xfrm>
      </xdr:grpSpPr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B6F7B7D9-23BD-8A7A-1DAD-AFC69C80D2E3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자유형: 도형 135">
            <a:extLst>
              <a:ext uri="{FF2B5EF4-FFF2-40B4-BE49-F238E27FC236}">
                <a16:creationId xmlns:a16="http://schemas.microsoft.com/office/drawing/2014/main" id="{182049A0-965A-1549-B454-9EEE35F9D958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0</xdr:colOff>
      <xdr:row>64</xdr:row>
      <xdr:rowOff>0</xdr:rowOff>
    </xdr:from>
    <xdr:to>
      <xdr:col>27</xdr:col>
      <xdr:colOff>72000</xdr:colOff>
      <xdr:row>65</xdr:row>
      <xdr:rowOff>67424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938613B0-0CAD-4FD0-95F8-1F5E4207A545}"/>
            </a:ext>
          </a:extLst>
        </xdr:cNvPr>
        <xdr:cNvGrpSpPr/>
      </xdr:nvGrpSpPr>
      <xdr:grpSpPr>
        <a:xfrm>
          <a:off x="6309360" y="13868400"/>
          <a:ext cx="72000" cy="288404"/>
          <a:chOff x="4965649" y="3003550"/>
          <a:chExt cx="113247" cy="298958"/>
        </a:xfrm>
      </xdr:grpSpPr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CF4FE84F-1CF9-1382-6AE3-B98073C02CBE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자유형: 도형 138">
            <a:extLst>
              <a:ext uri="{FF2B5EF4-FFF2-40B4-BE49-F238E27FC236}">
                <a16:creationId xmlns:a16="http://schemas.microsoft.com/office/drawing/2014/main" id="{2B5F69CD-D923-C976-0736-21D245B74BCE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72000</xdr:colOff>
      <xdr:row>67</xdr:row>
      <xdr:rowOff>80471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EAFC526E-5AE2-472D-9B9B-0BC6C644233C}"/>
            </a:ext>
          </a:extLst>
        </xdr:cNvPr>
        <xdr:cNvGrpSpPr/>
      </xdr:nvGrpSpPr>
      <xdr:grpSpPr>
        <a:xfrm>
          <a:off x="6309360" y="14310360"/>
          <a:ext cx="72000" cy="301451"/>
          <a:chOff x="4965649" y="3003550"/>
          <a:chExt cx="113247" cy="298958"/>
        </a:xfrm>
      </xdr:grpSpPr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AA40B108-3FC2-42C1-9E21-234EA16F8086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3EEA2D5C-A7B2-6D96-A5B3-CB58CD92701C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16801</xdr:colOff>
      <xdr:row>67</xdr:row>
      <xdr:rowOff>207073</xdr:rowOff>
    </xdr:from>
    <xdr:to>
      <xdr:col>27</xdr:col>
      <xdr:colOff>88801</xdr:colOff>
      <xdr:row>69</xdr:row>
      <xdr:rowOff>64199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6E2DDA6F-5817-41B4-BCC7-2CBC4C4410E4}"/>
            </a:ext>
          </a:extLst>
        </xdr:cNvPr>
        <xdr:cNvGrpSpPr/>
      </xdr:nvGrpSpPr>
      <xdr:grpSpPr>
        <a:xfrm>
          <a:off x="6326161" y="14738413"/>
          <a:ext cx="72000" cy="299086"/>
          <a:chOff x="4965649" y="3003550"/>
          <a:chExt cx="113247" cy="298958"/>
        </a:xfrm>
      </xdr:grpSpPr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7F9B8E04-E60E-EBAE-D468-7B2EFAFF0124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자유형: 도형 144">
            <a:extLst>
              <a:ext uri="{FF2B5EF4-FFF2-40B4-BE49-F238E27FC236}">
                <a16:creationId xmlns:a16="http://schemas.microsoft.com/office/drawing/2014/main" id="{F558C011-7805-503F-6AB8-19AA03CA00B6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30</xdr:col>
      <xdr:colOff>126736</xdr:colOff>
      <xdr:row>65</xdr:row>
      <xdr:rowOff>189573</xdr:rowOff>
    </xdr:from>
    <xdr:ext cx="579454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7C76D64-E3B5-43BC-812F-2B83841BE6A5}"/>
            </a:ext>
          </a:extLst>
        </xdr:cNvPr>
        <xdr:cNvSpPr txBox="1"/>
      </xdr:nvSpPr>
      <xdr:spPr>
        <a:xfrm>
          <a:off x="1884099" y="14200848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36</xdr:col>
      <xdr:colOff>106627</xdr:colOff>
      <xdr:row>67</xdr:row>
      <xdr:rowOff>189308</xdr:rowOff>
    </xdr:from>
    <xdr:ext cx="579454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8750B5-E2CF-42A6-94AC-C9EA996158FD}"/>
            </a:ext>
          </a:extLst>
        </xdr:cNvPr>
        <xdr:cNvSpPr txBox="1"/>
      </xdr:nvSpPr>
      <xdr:spPr>
        <a:xfrm>
          <a:off x="3064140" y="1119068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31697</xdr:colOff>
      <xdr:row>11</xdr:row>
      <xdr:rowOff>12700</xdr:rowOff>
    </xdr:from>
    <xdr:to>
      <xdr:col>9</xdr:col>
      <xdr:colOff>93097</xdr:colOff>
      <xdr:row>12</xdr:row>
      <xdr:rowOff>12800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A7D51CE2-6DA2-ED66-6622-59AA2C7CA425}"/>
            </a:ext>
          </a:extLst>
        </xdr:cNvPr>
        <xdr:cNvGrpSpPr/>
      </xdr:nvGrpSpPr>
      <xdr:grpSpPr>
        <a:xfrm>
          <a:off x="2561537" y="2443480"/>
          <a:ext cx="61400" cy="221080"/>
          <a:chOff x="7105597" y="1460500"/>
          <a:chExt cx="61400" cy="2520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A5218244-48F4-9D24-1F92-07683BEB0F1A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1C0C2943-4743-4E53-83AD-88B2E8B8EADD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31697</xdr:colOff>
      <xdr:row>1</xdr:row>
      <xdr:rowOff>31750</xdr:rowOff>
    </xdr:from>
    <xdr:to>
      <xdr:col>31</xdr:col>
      <xdr:colOff>93097</xdr:colOff>
      <xdr:row>2</xdr:row>
      <xdr:rowOff>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0C302F9-0778-4330-95CB-1F604CE4C6B7}"/>
            </a:ext>
          </a:extLst>
        </xdr:cNvPr>
        <xdr:cNvGrpSpPr/>
      </xdr:nvGrpSpPr>
      <xdr:grpSpPr>
        <a:xfrm>
          <a:off x="5243777" y="252730"/>
          <a:ext cx="61400" cy="189230"/>
          <a:chOff x="7105597" y="1460500"/>
          <a:chExt cx="61400" cy="252000"/>
        </a:xfrm>
      </xdr:grpSpPr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91F06682-7650-F5D0-2C1E-8C13C10B413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자유형: 도형 7">
            <a:extLst>
              <a:ext uri="{FF2B5EF4-FFF2-40B4-BE49-F238E27FC236}">
                <a16:creationId xmlns:a16="http://schemas.microsoft.com/office/drawing/2014/main" id="{17B704C5-A98B-6CBC-C202-EBE8C41754DA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38047</xdr:colOff>
      <xdr:row>3</xdr:row>
      <xdr:rowOff>6350</xdr:rowOff>
    </xdr:from>
    <xdr:to>
      <xdr:col>31</xdr:col>
      <xdr:colOff>99447</xdr:colOff>
      <xdr:row>4</xdr:row>
      <xdr:rowOff>6450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ED105C54-6CF0-4B7D-B5A0-3562F7501EF5}"/>
            </a:ext>
          </a:extLst>
        </xdr:cNvPr>
        <xdr:cNvGrpSpPr/>
      </xdr:nvGrpSpPr>
      <xdr:grpSpPr>
        <a:xfrm>
          <a:off x="5250127" y="669290"/>
          <a:ext cx="61400" cy="221080"/>
          <a:chOff x="7105597" y="1460500"/>
          <a:chExt cx="61400" cy="252000"/>
        </a:xfrm>
      </xdr:grpSpPr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B02F5CB6-1D2A-3A91-9812-B3C28E958BE8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자유형: 도형 10">
            <a:extLst>
              <a:ext uri="{FF2B5EF4-FFF2-40B4-BE49-F238E27FC236}">
                <a16:creationId xmlns:a16="http://schemas.microsoft.com/office/drawing/2014/main" id="{B7766622-E53B-42AB-2305-78AE27496682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18997</xdr:colOff>
      <xdr:row>5</xdr:row>
      <xdr:rowOff>0</xdr:rowOff>
    </xdr:from>
    <xdr:to>
      <xdr:col>31</xdr:col>
      <xdr:colOff>80397</xdr:colOff>
      <xdr:row>5</xdr:row>
      <xdr:rowOff>209650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9EF16F9E-7573-466F-B0C8-A7DA8B6F63AD}"/>
            </a:ext>
          </a:extLst>
        </xdr:cNvPr>
        <xdr:cNvGrpSpPr/>
      </xdr:nvGrpSpPr>
      <xdr:grpSpPr>
        <a:xfrm>
          <a:off x="5231077" y="1104900"/>
          <a:ext cx="61400" cy="209650"/>
          <a:chOff x="7105597" y="1460500"/>
          <a:chExt cx="61400" cy="252000"/>
        </a:xfrm>
      </xdr:grpSpPr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480CF9B1-7AFA-9626-94C9-B2A3995A915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자유형: 도형 13">
            <a:extLst>
              <a:ext uri="{FF2B5EF4-FFF2-40B4-BE49-F238E27FC236}">
                <a16:creationId xmlns:a16="http://schemas.microsoft.com/office/drawing/2014/main" id="{D4023A54-B175-EAEE-AE98-4798D872595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38047</xdr:colOff>
      <xdr:row>10</xdr:row>
      <xdr:rowOff>209550</xdr:rowOff>
    </xdr:from>
    <xdr:to>
      <xdr:col>23</xdr:col>
      <xdr:colOff>99447</xdr:colOff>
      <xdr:row>11</xdr:row>
      <xdr:rowOff>209650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1B919FB-E3B2-458B-B554-4E01AFA1B64A}"/>
            </a:ext>
          </a:extLst>
        </xdr:cNvPr>
        <xdr:cNvGrpSpPr/>
      </xdr:nvGrpSpPr>
      <xdr:grpSpPr>
        <a:xfrm>
          <a:off x="4274767" y="2419350"/>
          <a:ext cx="61400" cy="221080"/>
          <a:chOff x="7105597" y="1460500"/>
          <a:chExt cx="61400" cy="252000"/>
        </a:xfrm>
      </xdr:grpSpPr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AD00A969-4392-124A-927A-7F14E75EACEE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자유형: 도형 16">
            <a:extLst>
              <a:ext uri="{FF2B5EF4-FFF2-40B4-BE49-F238E27FC236}">
                <a16:creationId xmlns:a16="http://schemas.microsoft.com/office/drawing/2014/main" id="{35D837CB-B744-427B-AE23-5AD086180956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38047</xdr:colOff>
      <xdr:row>10</xdr:row>
      <xdr:rowOff>203200</xdr:rowOff>
    </xdr:from>
    <xdr:to>
      <xdr:col>37</xdr:col>
      <xdr:colOff>99447</xdr:colOff>
      <xdr:row>11</xdr:row>
      <xdr:rowOff>203300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75C7030-250F-41D7-84B4-171759622A68}"/>
            </a:ext>
          </a:extLst>
        </xdr:cNvPr>
        <xdr:cNvGrpSpPr/>
      </xdr:nvGrpSpPr>
      <xdr:grpSpPr>
        <a:xfrm>
          <a:off x="5981647" y="2413000"/>
          <a:ext cx="61400" cy="221080"/>
          <a:chOff x="7105597" y="1460500"/>
          <a:chExt cx="61400" cy="252000"/>
        </a:xfrm>
      </xdr:grpSpPr>
      <xdr:sp macro="" textlink="">
        <xdr:nvSpPr>
          <xdr:cNvPr id="19" name="자유형: 도형 18">
            <a:extLst>
              <a:ext uri="{FF2B5EF4-FFF2-40B4-BE49-F238E27FC236}">
                <a16:creationId xmlns:a16="http://schemas.microsoft.com/office/drawing/2014/main" id="{084159EE-2B8F-A95C-55C0-E0296E637AB5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자유형: 도형 19">
            <a:extLst>
              <a:ext uri="{FF2B5EF4-FFF2-40B4-BE49-F238E27FC236}">
                <a16:creationId xmlns:a16="http://schemas.microsoft.com/office/drawing/2014/main" id="{17E63B37-A15A-CAFA-9410-3D015280E054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25347</xdr:colOff>
      <xdr:row>9</xdr:row>
      <xdr:rowOff>6350</xdr:rowOff>
    </xdr:from>
    <xdr:to>
      <xdr:col>47</xdr:col>
      <xdr:colOff>86747</xdr:colOff>
      <xdr:row>10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DC85580-D51B-42B9-9F3F-CF13A9F3BA62}"/>
            </a:ext>
          </a:extLst>
        </xdr:cNvPr>
        <xdr:cNvGrpSpPr/>
      </xdr:nvGrpSpPr>
      <xdr:grpSpPr>
        <a:xfrm>
          <a:off x="7188147" y="1995170"/>
          <a:ext cx="61400" cy="214630"/>
          <a:chOff x="7105597" y="1460500"/>
          <a:chExt cx="61400" cy="252000"/>
        </a:xfrm>
      </xdr:grpSpPr>
      <xdr:sp macro="" textlink="">
        <xdr:nvSpPr>
          <xdr:cNvPr id="22" name="자유형: 도형 21">
            <a:extLst>
              <a:ext uri="{FF2B5EF4-FFF2-40B4-BE49-F238E27FC236}">
                <a16:creationId xmlns:a16="http://schemas.microsoft.com/office/drawing/2014/main" id="{F7176C97-08FC-E779-9248-05ACD36B2BFB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자유형: 도형 22">
            <a:extLst>
              <a:ext uri="{FF2B5EF4-FFF2-40B4-BE49-F238E27FC236}">
                <a16:creationId xmlns:a16="http://schemas.microsoft.com/office/drawing/2014/main" id="{4D9863D3-8EFD-8219-5D55-EC1E2F3658DF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31697</xdr:colOff>
      <xdr:row>11</xdr:row>
      <xdr:rowOff>19050</xdr:rowOff>
    </xdr:from>
    <xdr:to>
      <xdr:col>47</xdr:col>
      <xdr:colOff>93097</xdr:colOff>
      <xdr:row>12</xdr:row>
      <xdr:rowOff>19150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6AD14BD1-1E0C-4DB3-AB5D-5C392190B872}"/>
            </a:ext>
          </a:extLst>
        </xdr:cNvPr>
        <xdr:cNvGrpSpPr/>
      </xdr:nvGrpSpPr>
      <xdr:grpSpPr>
        <a:xfrm>
          <a:off x="7194497" y="2449830"/>
          <a:ext cx="61400" cy="221080"/>
          <a:chOff x="7105597" y="1460500"/>
          <a:chExt cx="61400" cy="252000"/>
        </a:xfrm>
      </xdr:grpSpPr>
      <xdr:sp macro="" textlink="">
        <xdr:nvSpPr>
          <xdr:cNvPr id="25" name="자유형: 도형 24">
            <a:extLst>
              <a:ext uri="{FF2B5EF4-FFF2-40B4-BE49-F238E27FC236}">
                <a16:creationId xmlns:a16="http://schemas.microsoft.com/office/drawing/2014/main" id="{91DBF732-B3FE-46D1-C7B9-9D1FCE5B675E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자유형: 도형 25">
            <a:extLst>
              <a:ext uri="{FF2B5EF4-FFF2-40B4-BE49-F238E27FC236}">
                <a16:creationId xmlns:a16="http://schemas.microsoft.com/office/drawing/2014/main" id="{493E326A-EEA8-36C9-5A4E-2D0D17B05F3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47</xdr:col>
      <xdr:colOff>18997</xdr:colOff>
      <xdr:row>13</xdr:row>
      <xdr:rowOff>0</xdr:rowOff>
    </xdr:from>
    <xdr:to>
      <xdr:col>47</xdr:col>
      <xdr:colOff>80397</xdr:colOff>
      <xdr:row>13</xdr:row>
      <xdr:rowOff>209650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AEED1BF6-43B6-4F40-B9BD-AFBDA4C6C54B}"/>
            </a:ext>
          </a:extLst>
        </xdr:cNvPr>
        <xdr:cNvGrpSpPr/>
      </xdr:nvGrpSpPr>
      <xdr:grpSpPr>
        <a:xfrm>
          <a:off x="7181797" y="2872740"/>
          <a:ext cx="61400" cy="209650"/>
          <a:chOff x="7105597" y="1460500"/>
          <a:chExt cx="61400" cy="252000"/>
        </a:xfrm>
      </xdr:grpSpPr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270BB08F-A556-AA52-DA98-C36502A8B563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D9CC9A74-85F1-ACF5-20DD-0222518260D5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37</xdr:col>
      <xdr:colOff>31697</xdr:colOff>
      <xdr:row>13</xdr:row>
      <xdr:rowOff>0</xdr:rowOff>
    </xdr:from>
    <xdr:to>
      <xdr:col>37</xdr:col>
      <xdr:colOff>93097</xdr:colOff>
      <xdr:row>13</xdr:row>
      <xdr:rowOff>190600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92877DAE-73B0-4B37-AA35-8D3871743E43}"/>
            </a:ext>
          </a:extLst>
        </xdr:cNvPr>
        <xdr:cNvGrpSpPr/>
      </xdr:nvGrpSpPr>
      <xdr:grpSpPr>
        <a:xfrm>
          <a:off x="5975297" y="2872740"/>
          <a:ext cx="61400" cy="190600"/>
          <a:chOff x="7105597" y="1460500"/>
          <a:chExt cx="61400" cy="252000"/>
        </a:xfrm>
      </xdr:grpSpPr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27FFEEDE-720C-C789-4EB4-2B612520DC34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BA40D60F-04A4-B8AB-51A9-65D3972B0DAD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59</xdr:col>
      <xdr:colOff>31697</xdr:colOff>
      <xdr:row>11</xdr:row>
      <xdr:rowOff>12700</xdr:rowOff>
    </xdr:from>
    <xdr:to>
      <xdr:col>59</xdr:col>
      <xdr:colOff>93097</xdr:colOff>
      <xdr:row>12</xdr:row>
      <xdr:rowOff>12800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6445F07-2A98-4AF9-ACD4-2010583E6F2C}"/>
            </a:ext>
          </a:extLst>
        </xdr:cNvPr>
        <xdr:cNvGrpSpPr/>
      </xdr:nvGrpSpPr>
      <xdr:grpSpPr>
        <a:xfrm>
          <a:off x="8657537" y="2443480"/>
          <a:ext cx="61400" cy="221080"/>
          <a:chOff x="7105597" y="1460500"/>
          <a:chExt cx="61400" cy="252000"/>
        </a:xfrm>
      </xdr:grpSpPr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54F57DAD-D487-B750-526C-F453C7E05F9F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546F599A-646A-5C2B-8965-4794490A0EF9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73</xdr:col>
      <xdr:colOff>44397</xdr:colOff>
      <xdr:row>11</xdr:row>
      <xdr:rowOff>6350</xdr:rowOff>
    </xdr:from>
    <xdr:to>
      <xdr:col>73</xdr:col>
      <xdr:colOff>105797</xdr:colOff>
      <xdr:row>12</xdr:row>
      <xdr:rowOff>6450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D622092-6662-4CA3-BBFD-9E345FB93D32}"/>
            </a:ext>
          </a:extLst>
        </xdr:cNvPr>
        <xdr:cNvGrpSpPr/>
      </xdr:nvGrpSpPr>
      <xdr:grpSpPr>
        <a:xfrm>
          <a:off x="10377117" y="2437130"/>
          <a:ext cx="61400" cy="221080"/>
          <a:chOff x="7105597" y="1460500"/>
          <a:chExt cx="61400" cy="252000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86D81507-50AD-75F8-7A41-B18565179EFC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76F3092E-8A78-A038-274A-8EAFDD05599C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87</xdr:col>
      <xdr:colOff>25347</xdr:colOff>
      <xdr:row>11</xdr:row>
      <xdr:rowOff>0</xdr:rowOff>
    </xdr:from>
    <xdr:to>
      <xdr:col>87</xdr:col>
      <xdr:colOff>86747</xdr:colOff>
      <xdr:row>12</xdr:row>
      <xdr:rowOff>100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3581096C-ED18-424D-BBA5-FF6512DA515C}"/>
            </a:ext>
          </a:extLst>
        </xdr:cNvPr>
        <xdr:cNvGrpSpPr/>
      </xdr:nvGrpSpPr>
      <xdr:grpSpPr>
        <a:xfrm>
          <a:off x="12064947" y="2430780"/>
          <a:ext cx="61400" cy="221080"/>
          <a:chOff x="7105597" y="1460500"/>
          <a:chExt cx="61400" cy="252000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8CE582E0-A566-5064-2038-37A5DA45B2B4}"/>
              </a:ext>
            </a:extLst>
          </xdr:cNvPr>
          <xdr:cNvSpPr/>
        </xdr:nvSpPr>
        <xdr:spPr>
          <a:xfrm>
            <a:off x="71055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4F9BBD19-E3CC-477F-01B1-1CA89E3A96CE}"/>
              </a:ext>
            </a:extLst>
          </xdr:cNvPr>
          <xdr:cNvSpPr/>
        </xdr:nvSpPr>
        <xdr:spPr>
          <a:xfrm>
            <a:off x="7130997" y="1460500"/>
            <a:ext cx="36000" cy="252000"/>
          </a:xfrm>
          <a:custGeom>
            <a:avLst/>
            <a:gdLst>
              <a:gd name="connsiteX0" fmla="*/ 120703 w 133456"/>
              <a:gd name="connsiteY0" fmla="*/ 0 h 349250"/>
              <a:gd name="connsiteX1" fmla="*/ 53 w 133456"/>
              <a:gd name="connsiteY1" fmla="*/ 133350 h 349250"/>
              <a:gd name="connsiteX2" fmla="*/ 133403 w 133456"/>
              <a:gd name="connsiteY2" fmla="*/ 241300 h 349250"/>
              <a:gd name="connsiteX3" fmla="*/ 12753 w 133456"/>
              <a:gd name="connsiteY3" fmla="*/ 349250 h 349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3456" h="349250">
                <a:moveTo>
                  <a:pt x="120703" y="0"/>
                </a:moveTo>
                <a:cubicBezTo>
                  <a:pt x="59319" y="46566"/>
                  <a:pt x="-2064" y="93133"/>
                  <a:pt x="53" y="133350"/>
                </a:cubicBezTo>
                <a:cubicBezTo>
                  <a:pt x="2170" y="173567"/>
                  <a:pt x="131286" y="205317"/>
                  <a:pt x="133403" y="241300"/>
                </a:cubicBezTo>
                <a:cubicBezTo>
                  <a:pt x="135520" y="277283"/>
                  <a:pt x="74136" y="313266"/>
                  <a:pt x="12753" y="349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27</xdr:col>
      <xdr:colOff>50800</xdr:colOff>
      <xdr:row>36</xdr:row>
      <xdr:rowOff>19050</xdr:rowOff>
    </xdr:from>
    <xdr:ext cx="285976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1487B49-6B06-4E20-AD31-6FCF681FB85D}"/>
            </a:ext>
          </a:extLst>
        </xdr:cNvPr>
        <xdr:cNvSpPr txBox="1"/>
      </xdr:nvSpPr>
      <xdr:spPr>
        <a:xfrm>
          <a:off x="5397500" y="97980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46</xdr:col>
      <xdr:colOff>6350</xdr:colOff>
      <xdr:row>36</xdr:row>
      <xdr:rowOff>31750</xdr:rowOff>
    </xdr:from>
    <xdr:ext cx="71494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BA02C2F-8A3D-4403-AA25-BD2C22FD6AF8}"/>
            </a:ext>
          </a:extLst>
        </xdr:cNvPr>
        <xdr:cNvSpPr txBox="1"/>
      </xdr:nvSpPr>
      <xdr:spPr>
        <a:xfrm>
          <a:off x="7645400" y="98107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0</xdr:colOff>
      <xdr:row>36</xdr:row>
      <xdr:rowOff>31750</xdr:rowOff>
    </xdr:from>
    <xdr:ext cx="71494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DD9D3-6965-44EF-92E8-3EB8B889E890}"/>
            </a:ext>
          </a:extLst>
        </xdr:cNvPr>
        <xdr:cNvSpPr txBox="1"/>
      </xdr:nvSpPr>
      <xdr:spPr>
        <a:xfrm>
          <a:off x="8362950" y="98107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36</xdr:row>
      <xdr:rowOff>38100</xdr:rowOff>
    </xdr:from>
    <xdr:ext cx="71494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5272498-CD9D-444E-9E67-7FAC12ABE9E7}"/>
            </a:ext>
          </a:extLst>
        </xdr:cNvPr>
        <xdr:cNvSpPr txBox="1"/>
      </xdr:nvSpPr>
      <xdr:spPr>
        <a:xfrm>
          <a:off x="2565400" y="98171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36</xdr:row>
      <xdr:rowOff>38100</xdr:rowOff>
    </xdr:from>
    <xdr:ext cx="71494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E502419-0ABD-4F23-8AA3-F6CAE0FD5ED6}"/>
            </a:ext>
          </a:extLst>
        </xdr:cNvPr>
        <xdr:cNvSpPr txBox="1"/>
      </xdr:nvSpPr>
      <xdr:spPr>
        <a:xfrm>
          <a:off x="3282950" y="98171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36</xdr:row>
      <xdr:rowOff>12700</xdr:rowOff>
    </xdr:from>
    <xdr:ext cx="285976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8633C95-F18A-4E4D-826C-6F44B21FE595}"/>
            </a:ext>
          </a:extLst>
        </xdr:cNvPr>
        <xdr:cNvSpPr txBox="1"/>
      </xdr:nvSpPr>
      <xdr:spPr>
        <a:xfrm>
          <a:off x="6127750" y="9791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36</xdr:row>
      <xdr:rowOff>19050</xdr:rowOff>
    </xdr:from>
    <xdr:ext cx="285976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B3A412C-7888-466B-9CF5-EFC0D1696096}"/>
            </a:ext>
          </a:extLst>
        </xdr:cNvPr>
        <xdr:cNvSpPr txBox="1"/>
      </xdr:nvSpPr>
      <xdr:spPr>
        <a:xfrm>
          <a:off x="6838950" y="97980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36</xdr:row>
      <xdr:rowOff>19050</xdr:rowOff>
    </xdr:from>
    <xdr:ext cx="285976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9561F10-4188-4240-8157-64570F12ABDB}"/>
            </a:ext>
          </a:extLst>
        </xdr:cNvPr>
        <xdr:cNvSpPr txBox="1"/>
      </xdr:nvSpPr>
      <xdr:spPr>
        <a:xfrm>
          <a:off x="539750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36</xdr:row>
      <xdr:rowOff>12700</xdr:rowOff>
    </xdr:from>
    <xdr:ext cx="285976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29A5C41-4612-44CA-9F1A-A740713F973E}"/>
            </a:ext>
          </a:extLst>
        </xdr:cNvPr>
        <xdr:cNvSpPr txBox="1"/>
      </xdr:nvSpPr>
      <xdr:spPr>
        <a:xfrm>
          <a:off x="6127750" y="102235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36</xdr:row>
      <xdr:rowOff>19050</xdr:rowOff>
    </xdr:from>
    <xdr:ext cx="285976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E93F4A-FD51-46E5-8178-E63ED7426567}"/>
            </a:ext>
          </a:extLst>
        </xdr:cNvPr>
        <xdr:cNvSpPr txBox="1"/>
      </xdr:nvSpPr>
      <xdr:spPr>
        <a:xfrm>
          <a:off x="68389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36</xdr:row>
      <xdr:rowOff>25400</xdr:rowOff>
    </xdr:from>
    <xdr:ext cx="285976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C5B1AF5-35EF-428E-8149-9021C1E95362}"/>
            </a:ext>
          </a:extLst>
        </xdr:cNvPr>
        <xdr:cNvSpPr txBox="1"/>
      </xdr:nvSpPr>
      <xdr:spPr>
        <a:xfrm>
          <a:off x="4660900" y="102362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63</xdr:col>
      <xdr:colOff>57150</xdr:colOff>
      <xdr:row>36</xdr:row>
      <xdr:rowOff>19050</xdr:rowOff>
    </xdr:from>
    <xdr:ext cx="285976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BDA7AB5-4C7A-42D3-800B-9DE25CF1B299}"/>
            </a:ext>
          </a:extLst>
        </xdr:cNvPr>
        <xdr:cNvSpPr txBox="1"/>
      </xdr:nvSpPr>
      <xdr:spPr>
        <a:xfrm>
          <a:off x="97472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15</xdr:col>
      <xdr:colOff>50800</xdr:colOff>
      <xdr:row>53</xdr:row>
      <xdr:rowOff>19050</xdr:rowOff>
    </xdr:from>
    <xdr:ext cx="285976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B030F4A-482F-4B46-9882-849107306427}"/>
            </a:ext>
          </a:extLst>
        </xdr:cNvPr>
        <xdr:cNvSpPr txBox="1"/>
      </xdr:nvSpPr>
      <xdr:spPr>
        <a:xfrm>
          <a:off x="539750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34</xdr:col>
      <xdr:colOff>6350</xdr:colOff>
      <xdr:row>53</xdr:row>
      <xdr:rowOff>31750</xdr:rowOff>
    </xdr:from>
    <xdr:ext cx="71494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3898DE7-B8F3-4571-8FF1-E22B15196DF5}"/>
            </a:ext>
          </a:extLst>
        </xdr:cNvPr>
        <xdr:cNvSpPr txBox="1"/>
      </xdr:nvSpPr>
      <xdr:spPr>
        <a:xfrm>
          <a:off x="7645400" y="102425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53</xdr:row>
      <xdr:rowOff>38100</xdr:rowOff>
    </xdr:from>
    <xdr:ext cx="71494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0F979DB-AA48-4AD3-8422-DF563EB2EF21}"/>
            </a:ext>
          </a:extLst>
        </xdr:cNvPr>
        <xdr:cNvSpPr txBox="1"/>
      </xdr:nvSpPr>
      <xdr:spPr>
        <a:xfrm>
          <a:off x="256540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21</xdr:col>
      <xdr:colOff>57150</xdr:colOff>
      <xdr:row>53</xdr:row>
      <xdr:rowOff>12700</xdr:rowOff>
    </xdr:from>
    <xdr:ext cx="285976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83D5523-D1F7-41C0-808D-1C758884CF80}"/>
            </a:ext>
          </a:extLst>
        </xdr:cNvPr>
        <xdr:cNvSpPr txBox="1"/>
      </xdr:nvSpPr>
      <xdr:spPr>
        <a:xfrm>
          <a:off x="6127750" y="102235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27</xdr:col>
      <xdr:colOff>44450</xdr:colOff>
      <xdr:row>53</xdr:row>
      <xdr:rowOff>19050</xdr:rowOff>
    </xdr:from>
    <xdr:ext cx="285976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D1594AE-D3A2-4989-8613-39494F020791}"/>
            </a:ext>
          </a:extLst>
        </xdr:cNvPr>
        <xdr:cNvSpPr txBox="1"/>
      </xdr:nvSpPr>
      <xdr:spPr>
        <a:xfrm>
          <a:off x="6838950" y="102298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57</xdr:col>
      <xdr:colOff>38100</xdr:colOff>
      <xdr:row>53</xdr:row>
      <xdr:rowOff>19050</xdr:rowOff>
    </xdr:from>
    <xdr:ext cx="285976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9FFF10F-7E9C-423A-97C5-4711A0CDD29A}"/>
            </a:ext>
          </a:extLst>
        </xdr:cNvPr>
        <xdr:cNvSpPr txBox="1"/>
      </xdr:nvSpPr>
      <xdr:spPr>
        <a:xfrm>
          <a:off x="9004300" y="139636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57150</xdr:colOff>
      <xdr:row>53</xdr:row>
      <xdr:rowOff>31750</xdr:rowOff>
    </xdr:from>
    <xdr:ext cx="285976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8E7111F-320E-46D8-844C-8B2EA3DB49D4}"/>
            </a:ext>
          </a:extLst>
        </xdr:cNvPr>
        <xdr:cNvSpPr txBox="1"/>
      </xdr:nvSpPr>
      <xdr:spPr>
        <a:xfrm>
          <a:off x="974725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39</xdr:col>
      <xdr:colOff>25400</xdr:colOff>
      <xdr:row>53</xdr:row>
      <xdr:rowOff>31750</xdr:rowOff>
    </xdr:from>
    <xdr:ext cx="285976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8E22103-CF62-464D-8362-7683C9726666}"/>
            </a:ext>
          </a:extLst>
        </xdr:cNvPr>
        <xdr:cNvSpPr txBox="1"/>
      </xdr:nvSpPr>
      <xdr:spPr>
        <a:xfrm>
          <a:off x="68199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45</xdr:col>
      <xdr:colOff>31750</xdr:colOff>
      <xdr:row>53</xdr:row>
      <xdr:rowOff>38100</xdr:rowOff>
    </xdr:from>
    <xdr:ext cx="285976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FD3558A-785D-401F-8A8A-CDE17711B524}"/>
            </a:ext>
          </a:extLst>
        </xdr:cNvPr>
        <xdr:cNvSpPr txBox="1"/>
      </xdr:nvSpPr>
      <xdr:spPr>
        <a:xfrm>
          <a:off x="7550150" y="13982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51</xdr:col>
      <xdr:colOff>38100</xdr:colOff>
      <xdr:row>53</xdr:row>
      <xdr:rowOff>31750</xdr:rowOff>
    </xdr:from>
    <xdr:ext cx="285976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7EC5008-F29E-441D-A0E5-556EFA158EBA}"/>
            </a:ext>
          </a:extLst>
        </xdr:cNvPr>
        <xdr:cNvSpPr txBox="1"/>
      </xdr:nvSpPr>
      <xdr:spPr>
        <a:xfrm>
          <a:off x="82804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69</xdr:col>
      <xdr:colOff>44450</xdr:colOff>
      <xdr:row>53</xdr:row>
      <xdr:rowOff>38100</xdr:rowOff>
    </xdr:from>
    <xdr:ext cx="285976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2FD3EFD-14FB-4D69-A6F8-6697D93370DD}"/>
            </a:ext>
          </a:extLst>
        </xdr:cNvPr>
        <xdr:cNvSpPr txBox="1"/>
      </xdr:nvSpPr>
      <xdr:spPr>
        <a:xfrm>
          <a:off x="10458450" y="139827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4096</a:t>
          </a:r>
          <a:endParaRPr lang="ko-KR" altLang="en-US" sz="1100"/>
        </a:p>
      </xdr:txBody>
    </xdr:sp>
    <xdr:clientData/>
  </xdr:oneCellAnchor>
  <xdr:oneCellAnchor>
    <xdr:from>
      <xdr:col>75</xdr:col>
      <xdr:colOff>50800</xdr:colOff>
      <xdr:row>53</xdr:row>
      <xdr:rowOff>31750</xdr:rowOff>
    </xdr:from>
    <xdr:ext cx="285976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4C5B118-1472-46AF-8B15-8C5600BAD6B1}"/>
            </a:ext>
          </a:extLst>
        </xdr:cNvPr>
        <xdr:cNvSpPr txBox="1"/>
      </xdr:nvSpPr>
      <xdr:spPr>
        <a:xfrm>
          <a:off x="111887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4097</a:t>
          </a:r>
          <a:endParaRPr lang="ko-KR" altLang="en-US" sz="1100"/>
        </a:p>
      </xdr:txBody>
    </xdr:sp>
    <xdr:clientData/>
  </xdr:oneCellAnchor>
  <xdr:oneCellAnchor>
    <xdr:from>
      <xdr:col>81</xdr:col>
      <xdr:colOff>50800</xdr:colOff>
      <xdr:row>53</xdr:row>
      <xdr:rowOff>31750</xdr:rowOff>
    </xdr:from>
    <xdr:ext cx="285976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E571CB9-6102-4351-BCDC-9A6C3646724E}"/>
            </a:ext>
          </a:extLst>
        </xdr:cNvPr>
        <xdr:cNvSpPr txBox="1"/>
      </xdr:nvSpPr>
      <xdr:spPr>
        <a:xfrm>
          <a:off x="11912600" y="139763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4098</a:t>
          </a:r>
          <a:endParaRPr lang="ko-KR" altLang="en-US" sz="1100"/>
        </a:p>
      </xdr:txBody>
    </xdr:sp>
    <xdr:clientData/>
  </xdr:oneCellAnchor>
  <xdr:oneCellAnchor>
    <xdr:from>
      <xdr:col>88</xdr:col>
      <xdr:colOff>6350</xdr:colOff>
      <xdr:row>53</xdr:row>
      <xdr:rowOff>38100</xdr:rowOff>
    </xdr:from>
    <xdr:ext cx="71494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F6BAD88-CAE3-46EA-8DA5-2CC882442A3C}"/>
            </a:ext>
          </a:extLst>
        </xdr:cNvPr>
        <xdr:cNvSpPr txBox="1"/>
      </xdr:nvSpPr>
      <xdr:spPr>
        <a:xfrm>
          <a:off x="12712700" y="139827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31750</xdr:colOff>
      <xdr:row>53</xdr:row>
      <xdr:rowOff>25400</xdr:rowOff>
    </xdr:from>
    <xdr:ext cx="285976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6CF271-8D94-43A6-BBD6-385AE18B4DEE}"/>
            </a:ext>
          </a:extLst>
        </xdr:cNvPr>
        <xdr:cNvSpPr txBox="1"/>
      </xdr:nvSpPr>
      <xdr:spPr>
        <a:xfrm>
          <a:off x="3206750" y="139700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4095</a:t>
          </a:r>
          <a:endParaRPr lang="ko-KR" altLang="en-US" sz="1100"/>
        </a:p>
      </xdr:txBody>
    </xdr:sp>
    <xdr:clientData/>
  </xdr:oneCellAnchor>
  <xdr:oneCellAnchor>
    <xdr:from>
      <xdr:col>27</xdr:col>
      <xdr:colOff>50800</xdr:colOff>
      <xdr:row>65</xdr:row>
      <xdr:rowOff>25400</xdr:rowOff>
    </xdr:from>
    <xdr:ext cx="285976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D88CDA7-87B7-428B-90EB-F337EEF94CD8}"/>
            </a:ext>
          </a:extLst>
        </xdr:cNvPr>
        <xdr:cNvSpPr txBox="1"/>
      </xdr:nvSpPr>
      <xdr:spPr>
        <a:xfrm>
          <a:off x="539750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46</xdr:col>
      <xdr:colOff>12700</xdr:colOff>
      <xdr:row>65</xdr:row>
      <xdr:rowOff>25400</xdr:rowOff>
    </xdr:from>
    <xdr:ext cx="71494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25D7A3D-0252-4A56-8877-8B1904C8342D}"/>
            </a:ext>
          </a:extLst>
        </xdr:cNvPr>
        <xdr:cNvSpPr txBox="1"/>
      </xdr:nvSpPr>
      <xdr:spPr>
        <a:xfrm>
          <a:off x="7651750" y="1659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6350</xdr:colOff>
      <xdr:row>65</xdr:row>
      <xdr:rowOff>25400</xdr:rowOff>
    </xdr:from>
    <xdr:ext cx="71494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313182C-79F2-430F-8720-1C0DD117B3E7}"/>
            </a:ext>
          </a:extLst>
        </xdr:cNvPr>
        <xdr:cNvSpPr txBox="1"/>
      </xdr:nvSpPr>
      <xdr:spPr>
        <a:xfrm>
          <a:off x="8369300" y="1659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65</xdr:row>
      <xdr:rowOff>38100</xdr:rowOff>
    </xdr:from>
    <xdr:ext cx="71494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2421CC6-4D55-4E62-A4EB-FDD380E716F9}"/>
            </a:ext>
          </a:extLst>
        </xdr:cNvPr>
        <xdr:cNvSpPr txBox="1"/>
      </xdr:nvSpPr>
      <xdr:spPr>
        <a:xfrm>
          <a:off x="256540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65</xdr:row>
      <xdr:rowOff>38100</xdr:rowOff>
    </xdr:from>
    <xdr:ext cx="71494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AB24F02-B479-4C3C-A8DF-5D3A321475C9}"/>
            </a:ext>
          </a:extLst>
        </xdr:cNvPr>
        <xdr:cNvSpPr txBox="1"/>
      </xdr:nvSpPr>
      <xdr:spPr>
        <a:xfrm>
          <a:off x="3282950" y="102489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65</xdr:row>
      <xdr:rowOff>19050</xdr:rowOff>
    </xdr:from>
    <xdr:ext cx="285976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782C77D-2115-4BCE-986F-00079DF50E2A}"/>
            </a:ext>
          </a:extLst>
        </xdr:cNvPr>
        <xdr:cNvSpPr txBox="1"/>
      </xdr:nvSpPr>
      <xdr:spPr>
        <a:xfrm>
          <a:off x="6127750" y="165925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65</xdr:row>
      <xdr:rowOff>25400</xdr:rowOff>
    </xdr:from>
    <xdr:ext cx="285976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16BBD7A-6980-4850-A455-96139EAA693F}"/>
            </a:ext>
          </a:extLst>
        </xdr:cNvPr>
        <xdr:cNvSpPr txBox="1"/>
      </xdr:nvSpPr>
      <xdr:spPr>
        <a:xfrm>
          <a:off x="683895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65</xdr:row>
      <xdr:rowOff>31750</xdr:rowOff>
    </xdr:from>
    <xdr:ext cx="285976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9EB4309-6BD8-4396-9FE8-EC3AEBE7B48E}"/>
            </a:ext>
          </a:extLst>
        </xdr:cNvPr>
        <xdr:cNvSpPr txBox="1"/>
      </xdr:nvSpPr>
      <xdr:spPr>
        <a:xfrm>
          <a:off x="4660900" y="166052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65</xdr:row>
      <xdr:rowOff>25400</xdr:rowOff>
    </xdr:from>
    <xdr:ext cx="285976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E6F469F-8C7E-462C-AA82-083755DFED37}"/>
            </a:ext>
          </a:extLst>
        </xdr:cNvPr>
        <xdr:cNvSpPr txBox="1"/>
      </xdr:nvSpPr>
      <xdr:spPr>
        <a:xfrm>
          <a:off x="1046480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65</xdr:row>
      <xdr:rowOff>19050</xdr:rowOff>
    </xdr:from>
    <xdr:ext cx="285976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8792BC5-A76D-43A4-AE1C-7AA11884A8E6}"/>
            </a:ext>
          </a:extLst>
        </xdr:cNvPr>
        <xdr:cNvSpPr txBox="1"/>
      </xdr:nvSpPr>
      <xdr:spPr>
        <a:xfrm>
          <a:off x="11195050" y="165925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65</xdr:row>
      <xdr:rowOff>25400</xdr:rowOff>
    </xdr:from>
    <xdr:ext cx="285976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B3B2AFE-5F9A-4AF8-BF6C-1C3D223C3C6F}"/>
            </a:ext>
          </a:extLst>
        </xdr:cNvPr>
        <xdr:cNvSpPr txBox="1"/>
      </xdr:nvSpPr>
      <xdr:spPr>
        <a:xfrm>
          <a:off x="11906250" y="165989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38100</xdr:colOff>
      <xdr:row>65</xdr:row>
      <xdr:rowOff>31750</xdr:rowOff>
    </xdr:from>
    <xdr:ext cx="285976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3B8915B-7C79-4A82-A8C9-536CAA96E427}"/>
            </a:ext>
          </a:extLst>
        </xdr:cNvPr>
        <xdr:cNvSpPr txBox="1"/>
      </xdr:nvSpPr>
      <xdr:spPr>
        <a:xfrm>
          <a:off x="9728200" y="166052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87</xdr:col>
      <xdr:colOff>88900</xdr:colOff>
      <xdr:row>65</xdr:row>
      <xdr:rowOff>44450</xdr:rowOff>
    </xdr:from>
    <xdr:ext cx="71494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5726D70-35CF-4059-A1D5-7A864CBD1605}"/>
            </a:ext>
          </a:extLst>
        </xdr:cNvPr>
        <xdr:cNvSpPr txBox="1"/>
      </xdr:nvSpPr>
      <xdr:spPr>
        <a:xfrm>
          <a:off x="12674600" y="166179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81</xdr:col>
      <xdr:colOff>0</xdr:colOff>
      <xdr:row>75</xdr:row>
      <xdr:rowOff>40300</xdr:rowOff>
    </xdr:from>
    <xdr:to>
      <xdr:col>81</xdr:col>
      <xdr:colOff>0</xdr:colOff>
      <xdr:row>75</xdr:row>
      <xdr:rowOff>148300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6237E5AD-9441-9C75-C5FA-FD255C1DA010}"/>
            </a:ext>
          </a:extLst>
        </xdr:cNvPr>
        <xdr:cNvCxnSpPr/>
      </xdr:nvCxnSpPr>
      <xdr:spPr>
        <a:xfrm flipH="1">
          <a:off x="11861800" y="1903950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73</xdr:row>
      <xdr:rowOff>33950</xdr:rowOff>
    </xdr:from>
    <xdr:to>
      <xdr:col>45</xdr:col>
      <xdr:colOff>0</xdr:colOff>
      <xdr:row>73</xdr:row>
      <xdr:rowOff>141950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87B3313C-AFA9-46D9-8D1D-C5B099C6F72B}"/>
            </a:ext>
          </a:extLst>
        </xdr:cNvPr>
        <xdr:cNvCxnSpPr/>
      </xdr:nvCxnSpPr>
      <xdr:spPr>
        <a:xfrm flipH="1">
          <a:off x="7518400" y="1858865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114300</xdr:colOff>
      <xdr:row>75</xdr:row>
      <xdr:rowOff>95250</xdr:rowOff>
    </xdr:from>
    <xdr:ext cx="3437416" cy="26670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43B0C0E-CCA5-4559-9440-9D46D668EE30}"/>
            </a:ext>
          </a:extLst>
        </xdr:cNvPr>
        <xdr:cNvSpPr txBox="1"/>
      </xdr:nvSpPr>
      <xdr:spPr>
        <a:xfrm>
          <a:off x="10890250" y="19094450"/>
          <a:ext cx="3437416" cy="266700"/>
        </a:xfrm>
        <a:prstGeom prst="rect">
          <a:avLst/>
        </a:prstGeom>
        <a:noFill/>
        <a:ln w="666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cnt reset </a:t>
          </a:r>
          <a:r>
            <a:rPr lang="ko-KR" altLang="en-US" sz="1100">
              <a:solidFill>
                <a:srgbClr val="FF0000"/>
              </a:solidFill>
            </a:rPr>
            <a:t>및 </a:t>
          </a:r>
          <a:r>
            <a:rPr lang="en-US" altLang="ko-KR" sz="1100">
              <a:solidFill>
                <a:srgbClr val="FF0000"/>
              </a:solidFill>
            </a:rPr>
            <a:t>ch</a:t>
          </a:r>
          <a:r>
            <a:rPr lang="ko-KR" altLang="en-US" sz="1100">
              <a:solidFill>
                <a:srgbClr val="FF0000"/>
              </a:solidFill>
            </a:rPr>
            <a:t>별 </a:t>
          </a:r>
          <a:r>
            <a:rPr lang="en-US" altLang="ko-KR" sz="1100">
              <a:solidFill>
                <a:srgbClr val="FF0000"/>
              </a:solidFill>
            </a:rPr>
            <a:t>delay cnt </a:t>
          </a:r>
          <a:r>
            <a:rPr lang="ko-KR" altLang="en-US" sz="1100">
              <a:solidFill>
                <a:srgbClr val="FF0000"/>
              </a:solidFill>
            </a:rPr>
            <a:t>후</a:t>
          </a:r>
          <a:r>
            <a:rPr lang="en-US" altLang="ko-KR" sz="1100" baseline="0">
              <a:solidFill>
                <a:srgbClr val="FF0000"/>
              </a:solidFill>
            </a:rPr>
            <a:t> dimming start flag assertion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27</xdr:col>
      <xdr:colOff>50800</xdr:colOff>
      <xdr:row>89</xdr:row>
      <xdr:rowOff>25400</xdr:rowOff>
    </xdr:from>
    <xdr:ext cx="285976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A73A6B5-4E1D-4A18-9B88-61CC331D1068}"/>
            </a:ext>
          </a:extLst>
        </xdr:cNvPr>
        <xdr:cNvSpPr txBox="1"/>
      </xdr:nvSpPr>
      <xdr:spPr>
        <a:xfrm>
          <a:off x="539750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46</xdr:col>
      <xdr:colOff>12700</xdr:colOff>
      <xdr:row>89</xdr:row>
      <xdr:rowOff>25400</xdr:rowOff>
    </xdr:from>
    <xdr:ext cx="71494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B2A4BF0-5673-4D2A-A8A9-3B6260C21D68}"/>
            </a:ext>
          </a:extLst>
        </xdr:cNvPr>
        <xdr:cNvSpPr txBox="1"/>
      </xdr:nvSpPr>
      <xdr:spPr>
        <a:xfrm>
          <a:off x="7651750" y="168148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52</xdr:col>
      <xdr:colOff>6350</xdr:colOff>
      <xdr:row>89</xdr:row>
      <xdr:rowOff>25400</xdr:rowOff>
    </xdr:from>
    <xdr:ext cx="71494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934BF1B-FE3D-488E-B83C-B425964A79E3}"/>
            </a:ext>
          </a:extLst>
        </xdr:cNvPr>
        <xdr:cNvSpPr txBox="1"/>
      </xdr:nvSpPr>
      <xdr:spPr>
        <a:xfrm>
          <a:off x="8369300" y="168148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</xdr:col>
      <xdr:colOff>114300</xdr:colOff>
      <xdr:row>89</xdr:row>
      <xdr:rowOff>38100</xdr:rowOff>
    </xdr:from>
    <xdr:ext cx="71494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1E727D3-CF1A-4FB3-90B6-CDD3ACE7A1ED}"/>
            </a:ext>
          </a:extLst>
        </xdr:cNvPr>
        <xdr:cNvSpPr txBox="1"/>
      </xdr:nvSpPr>
      <xdr:spPr>
        <a:xfrm>
          <a:off x="2565400" y="168275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9</xdr:col>
      <xdr:colOff>107950</xdr:colOff>
      <xdr:row>89</xdr:row>
      <xdr:rowOff>38100</xdr:rowOff>
    </xdr:from>
    <xdr:ext cx="71494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4343A18D-481D-45FD-B323-E72225CAFD23}"/>
            </a:ext>
          </a:extLst>
        </xdr:cNvPr>
        <xdr:cNvSpPr txBox="1"/>
      </xdr:nvSpPr>
      <xdr:spPr>
        <a:xfrm>
          <a:off x="3282950" y="1682750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2</a:t>
          </a:r>
          <a:endParaRPr lang="ko-KR" altLang="en-US" sz="1100"/>
        </a:p>
      </xdr:txBody>
    </xdr:sp>
    <xdr:clientData/>
  </xdr:oneCellAnchor>
  <xdr:oneCellAnchor>
    <xdr:from>
      <xdr:col>33</xdr:col>
      <xdr:colOff>57150</xdr:colOff>
      <xdr:row>89</xdr:row>
      <xdr:rowOff>19050</xdr:rowOff>
    </xdr:from>
    <xdr:ext cx="285976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6826947-3D2E-45FB-B034-3A48C7922D94}"/>
            </a:ext>
          </a:extLst>
        </xdr:cNvPr>
        <xdr:cNvSpPr txBox="1"/>
      </xdr:nvSpPr>
      <xdr:spPr>
        <a:xfrm>
          <a:off x="6127750" y="168084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39</xdr:col>
      <xdr:colOff>44450</xdr:colOff>
      <xdr:row>89</xdr:row>
      <xdr:rowOff>25400</xdr:rowOff>
    </xdr:from>
    <xdr:ext cx="285976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920DCDF7-FE1E-44A6-9D46-FFA45AFC310B}"/>
            </a:ext>
          </a:extLst>
        </xdr:cNvPr>
        <xdr:cNvSpPr txBox="1"/>
      </xdr:nvSpPr>
      <xdr:spPr>
        <a:xfrm>
          <a:off x="683895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21</xdr:col>
      <xdr:colOff>38100</xdr:colOff>
      <xdr:row>89</xdr:row>
      <xdr:rowOff>31750</xdr:rowOff>
    </xdr:from>
    <xdr:ext cx="285976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3A7205C-AE5D-4914-9E29-5D692D94B11D}"/>
            </a:ext>
          </a:extLst>
        </xdr:cNvPr>
        <xdr:cNvSpPr txBox="1"/>
      </xdr:nvSpPr>
      <xdr:spPr>
        <a:xfrm>
          <a:off x="4660900" y="168211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69</xdr:col>
      <xdr:colOff>50800</xdr:colOff>
      <xdr:row>89</xdr:row>
      <xdr:rowOff>25400</xdr:rowOff>
    </xdr:from>
    <xdr:ext cx="285976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F71B15D-7271-49B5-9516-AE4CD7CE3352}"/>
            </a:ext>
          </a:extLst>
        </xdr:cNvPr>
        <xdr:cNvSpPr txBox="1"/>
      </xdr:nvSpPr>
      <xdr:spPr>
        <a:xfrm>
          <a:off x="1046480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4092</a:t>
          </a:r>
          <a:endParaRPr lang="ko-KR" altLang="en-US" sz="1100"/>
        </a:p>
      </xdr:txBody>
    </xdr:sp>
    <xdr:clientData/>
  </xdr:oneCellAnchor>
  <xdr:oneCellAnchor>
    <xdr:from>
      <xdr:col>75</xdr:col>
      <xdr:colOff>57150</xdr:colOff>
      <xdr:row>89</xdr:row>
      <xdr:rowOff>19050</xdr:rowOff>
    </xdr:from>
    <xdr:ext cx="285976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C2202E0-E918-4B68-9969-363A78D68C08}"/>
            </a:ext>
          </a:extLst>
        </xdr:cNvPr>
        <xdr:cNvSpPr txBox="1"/>
      </xdr:nvSpPr>
      <xdr:spPr>
        <a:xfrm>
          <a:off x="11195050" y="168084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4093</a:t>
          </a:r>
          <a:endParaRPr lang="ko-KR" altLang="en-US" sz="1100"/>
        </a:p>
      </xdr:txBody>
    </xdr:sp>
    <xdr:clientData/>
  </xdr:oneCellAnchor>
  <xdr:oneCellAnchor>
    <xdr:from>
      <xdr:col>81</xdr:col>
      <xdr:colOff>44450</xdr:colOff>
      <xdr:row>89</xdr:row>
      <xdr:rowOff>25400</xdr:rowOff>
    </xdr:from>
    <xdr:ext cx="285976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F224143-FFED-4142-8E6A-C39E7DEEB109}"/>
            </a:ext>
          </a:extLst>
        </xdr:cNvPr>
        <xdr:cNvSpPr txBox="1"/>
      </xdr:nvSpPr>
      <xdr:spPr>
        <a:xfrm>
          <a:off x="11906250" y="1681480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4094</a:t>
          </a:r>
          <a:endParaRPr lang="ko-KR" altLang="en-US" sz="1100"/>
        </a:p>
      </xdr:txBody>
    </xdr:sp>
    <xdr:clientData/>
  </xdr:oneCellAnchor>
  <xdr:oneCellAnchor>
    <xdr:from>
      <xdr:col>63</xdr:col>
      <xdr:colOff>38100</xdr:colOff>
      <xdr:row>89</xdr:row>
      <xdr:rowOff>31750</xdr:rowOff>
    </xdr:from>
    <xdr:ext cx="285976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9432F80-046E-4029-879F-79B63D25DBAC}"/>
            </a:ext>
          </a:extLst>
        </xdr:cNvPr>
        <xdr:cNvSpPr txBox="1"/>
      </xdr:nvSpPr>
      <xdr:spPr>
        <a:xfrm>
          <a:off x="9728200" y="16821150"/>
          <a:ext cx="2859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4091</a:t>
          </a:r>
          <a:endParaRPr lang="ko-KR" altLang="en-US" sz="1100"/>
        </a:p>
      </xdr:txBody>
    </xdr:sp>
    <xdr:clientData/>
  </xdr:oneCellAnchor>
  <xdr:oneCellAnchor>
    <xdr:from>
      <xdr:col>87</xdr:col>
      <xdr:colOff>88900</xdr:colOff>
      <xdr:row>89</xdr:row>
      <xdr:rowOff>44450</xdr:rowOff>
    </xdr:from>
    <xdr:ext cx="71494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D6AE452-38D5-4B94-B9C2-20F5B5193302}"/>
            </a:ext>
          </a:extLst>
        </xdr:cNvPr>
        <xdr:cNvSpPr txBox="1"/>
      </xdr:nvSpPr>
      <xdr:spPr>
        <a:xfrm>
          <a:off x="12674600" y="16833850"/>
          <a:ext cx="7149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twoCellAnchor>
    <xdr:from>
      <xdr:col>81</xdr:col>
      <xdr:colOff>0</xdr:colOff>
      <xdr:row>99</xdr:row>
      <xdr:rowOff>40300</xdr:rowOff>
    </xdr:from>
    <xdr:to>
      <xdr:col>81</xdr:col>
      <xdr:colOff>0</xdr:colOff>
      <xdr:row>99</xdr:row>
      <xdr:rowOff>148300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F214DAFC-7E80-4196-BDEA-C5ADC0461D79}"/>
            </a:ext>
          </a:extLst>
        </xdr:cNvPr>
        <xdr:cNvCxnSpPr/>
      </xdr:nvCxnSpPr>
      <xdr:spPr>
        <a:xfrm flipH="1">
          <a:off x="11861800" y="1903950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97</xdr:row>
      <xdr:rowOff>33950</xdr:rowOff>
    </xdr:from>
    <xdr:to>
      <xdr:col>45</xdr:col>
      <xdr:colOff>0</xdr:colOff>
      <xdr:row>97</xdr:row>
      <xdr:rowOff>141950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BF024640-F68F-4AC4-BD29-2888500607BA}"/>
            </a:ext>
          </a:extLst>
        </xdr:cNvPr>
        <xdr:cNvCxnSpPr/>
      </xdr:nvCxnSpPr>
      <xdr:spPr>
        <a:xfrm flipH="1">
          <a:off x="7518400" y="18588650"/>
          <a:ext cx="0" cy="108000"/>
        </a:xfrm>
        <a:prstGeom prst="straightConnector1">
          <a:avLst/>
        </a:prstGeom>
        <a:ln w="25400">
          <a:solidFill>
            <a:srgbClr val="FF0000"/>
          </a:solidFill>
          <a:headEnd type="triangle" w="lg" len="med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114300</xdr:colOff>
      <xdr:row>99</xdr:row>
      <xdr:rowOff>95250</xdr:rowOff>
    </xdr:from>
    <xdr:ext cx="3437416" cy="26670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61AAAACE-EDE8-4F64-898C-BC4EB96A6A00}"/>
            </a:ext>
          </a:extLst>
        </xdr:cNvPr>
        <xdr:cNvSpPr txBox="1"/>
      </xdr:nvSpPr>
      <xdr:spPr>
        <a:xfrm>
          <a:off x="10890250" y="19094450"/>
          <a:ext cx="3437416" cy="266700"/>
        </a:xfrm>
        <a:prstGeom prst="rect">
          <a:avLst/>
        </a:prstGeom>
        <a:noFill/>
        <a:ln w="666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cnt reset </a:t>
          </a:r>
          <a:r>
            <a:rPr lang="ko-KR" altLang="en-US" sz="1100">
              <a:solidFill>
                <a:srgbClr val="FF0000"/>
              </a:solidFill>
            </a:rPr>
            <a:t>및 </a:t>
          </a:r>
          <a:r>
            <a:rPr lang="en-US" altLang="ko-KR" sz="1100">
              <a:solidFill>
                <a:srgbClr val="FF0000"/>
              </a:solidFill>
            </a:rPr>
            <a:t>ch</a:t>
          </a:r>
          <a:r>
            <a:rPr lang="ko-KR" altLang="en-US" sz="1100">
              <a:solidFill>
                <a:srgbClr val="FF0000"/>
              </a:solidFill>
            </a:rPr>
            <a:t>별 </a:t>
          </a:r>
          <a:r>
            <a:rPr lang="en-US" altLang="ko-KR" sz="1100">
              <a:solidFill>
                <a:srgbClr val="FF0000"/>
              </a:solidFill>
            </a:rPr>
            <a:t>delay cnt </a:t>
          </a:r>
          <a:r>
            <a:rPr lang="ko-KR" altLang="en-US" sz="1100">
              <a:solidFill>
                <a:srgbClr val="FF0000"/>
              </a:solidFill>
            </a:rPr>
            <a:t>후</a:t>
          </a:r>
          <a:r>
            <a:rPr lang="en-US" altLang="ko-KR" sz="1100" baseline="0">
              <a:solidFill>
                <a:srgbClr val="FF0000"/>
              </a:solidFill>
            </a:rPr>
            <a:t> dimming start flag assertion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25400</xdr:colOff>
      <xdr:row>76</xdr:row>
      <xdr:rowOff>190500</xdr:rowOff>
    </xdr:from>
    <xdr:ext cx="6680200" cy="173355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3E4E3E2-2A46-4BDD-BDB0-FF661901F6B7}"/>
            </a:ext>
          </a:extLst>
        </xdr:cNvPr>
        <xdr:cNvSpPr txBox="1"/>
      </xdr:nvSpPr>
      <xdr:spPr>
        <a:xfrm>
          <a:off x="2476500" y="16814800"/>
          <a:ext cx="6680200" cy="1733550"/>
        </a:xfrm>
        <a:prstGeom prst="rect">
          <a:avLst/>
        </a:prstGeom>
        <a:solidFill>
          <a:srgbClr val="FFFF00"/>
        </a:solidFill>
        <a:ln w="666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[Tail Lighting] </a:t>
          </a:r>
          <a:r>
            <a:rPr lang="en-US" altLang="ko-KR" sz="1100" baseline="0">
              <a:solidFill>
                <a:srgbClr val="FF0000"/>
              </a:solidFill>
            </a:rPr>
            <a:t> [Head Lighting]</a:t>
          </a:r>
        </a:p>
        <a:p>
          <a:r>
            <a:rPr lang="en-US" altLang="ko-KR" sz="1100" baseline="0">
              <a:solidFill>
                <a:srgbClr val="FF0000"/>
              </a:solidFill>
            </a:rPr>
            <a:t>1</a:t>
          </a:r>
          <a:r>
            <a:rPr lang="en-US" altLang="ko-KR" sz="1100">
              <a:solidFill>
                <a:srgbClr val="FF0000"/>
              </a:solidFill>
            </a:rPr>
            <a:t>.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큰 경우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OK (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많은 개수 만큼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duty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가 줄어드는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결과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max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작은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경우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2.1. </a:t>
          </a:r>
          <a:r>
            <a:rPr lang="en-US" altLang="ko-KR" sz="1100">
              <a:solidFill>
                <a:srgbClr val="FF0000"/>
              </a:solidFill>
            </a:rPr>
            <a:t>DELAY </a:t>
          </a:r>
          <a:r>
            <a:rPr lang="ko-KR" altLang="en-US" sz="1100">
              <a:solidFill>
                <a:srgbClr val="FF0000"/>
              </a:solidFill>
            </a:rPr>
            <a:t>설정값보다 한 프레임내 </a:t>
          </a:r>
          <a:r>
            <a:rPr lang="en-US" altLang="ko-KR" sz="1100">
              <a:solidFill>
                <a:srgbClr val="FF0000"/>
              </a:solidFill>
            </a:rPr>
            <a:t>PWMCLK</a:t>
          </a:r>
          <a:r>
            <a:rPr lang="ko-KR" altLang="en-US" sz="1100">
              <a:solidFill>
                <a:srgbClr val="FF0000"/>
              </a:solidFill>
            </a:rPr>
            <a:t>개수가 작게 생성되면</a:t>
          </a:r>
          <a:r>
            <a:rPr lang="en-US" altLang="ko-KR" sz="1100">
              <a:solidFill>
                <a:srgbClr val="FF0000"/>
              </a:solidFill>
            </a:rPr>
            <a:t>, </a:t>
          </a:r>
          <a:r>
            <a:rPr lang="ko-KR" altLang="en-US" sz="1100">
              <a:solidFill>
                <a:srgbClr val="FF0000"/>
              </a:solidFill>
            </a:rPr>
            <a:t>해당 </a:t>
          </a:r>
          <a:r>
            <a:rPr lang="en-US" altLang="ko-KR" sz="1100">
              <a:solidFill>
                <a:srgbClr val="FF0000"/>
              </a:solidFill>
            </a:rPr>
            <a:t>LINE</a:t>
          </a:r>
          <a:r>
            <a:rPr lang="ko-KR" altLang="en-US" sz="1100">
              <a:solidFill>
                <a:srgbClr val="FF0000"/>
              </a:solidFill>
            </a:rPr>
            <a:t>은 </a:t>
          </a:r>
          <a:r>
            <a:rPr lang="en-US" altLang="ko-KR" sz="1100">
              <a:solidFill>
                <a:srgbClr val="FF0000"/>
              </a:solidFill>
            </a:rPr>
            <a:t>dimming start </a:t>
          </a:r>
          <a:r>
            <a:rPr lang="ko-KR" altLang="en-US" sz="1100">
              <a:solidFill>
                <a:srgbClr val="FF0000"/>
              </a:solidFill>
            </a:rPr>
            <a:t>못하게 됨</a:t>
          </a:r>
          <a:endParaRPr lang="en-US" altLang="ko-KR" sz="11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2.2. 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한 프레임내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PWMCLK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LD DATA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값보다 작으면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FLICKER</a:t>
          </a:r>
          <a:r>
            <a:rPr lang="ko-KR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없을 듯하지만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- full step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때는 부족한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 CLK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개수만큼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유실</a:t>
          </a:r>
          <a:endParaRPr lang="en-US" altLang="ko-KR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- low step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 때는 부족한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PWM CLK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개수만큼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step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유실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63449</xdr:colOff>
      <xdr:row>8</xdr:row>
      <xdr:rowOff>6391</xdr:rowOff>
    </xdr:from>
    <xdr:to>
      <xdr:col>16</xdr:col>
      <xdr:colOff>135449</xdr:colOff>
      <xdr:row>9</xdr:row>
      <xdr:rowOff>78491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9F4A8521-2291-B9D3-A37F-95B61C5AD23C}"/>
            </a:ext>
          </a:extLst>
        </xdr:cNvPr>
        <xdr:cNvGrpSpPr/>
      </xdr:nvGrpSpPr>
      <xdr:grpSpPr>
        <a:xfrm>
          <a:off x="4182190" y="1714322"/>
          <a:ext cx="72000" cy="295445"/>
          <a:chOff x="4965649" y="3003550"/>
          <a:chExt cx="113247" cy="298958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71CBA938-667E-72BA-92DB-EA8B80751266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721942D4-7487-4884-8695-84C21FAFEF5F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19050</xdr:colOff>
      <xdr:row>2</xdr:row>
      <xdr:rowOff>44450</xdr:rowOff>
    </xdr:from>
    <xdr:to>
      <xdr:col>29</xdr:col>
      <xdr:colOff>177800</xdr:colOff>
      <xdr:row>2</xdr:row>
      <xdr:rowOff>44450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3F6AA51-E058-8A24-B3BD-2192F2E486E8}"/>
            </a:ext>
          </a:extLst>
        </xdr:cNvPr>
        <xdr:cNvCxnSpPr/>
      </xdr:nvCxnSpPr>
      <xdr:spPr>
        <a:xfrm>
          <a:off x="1657350" y="1555750"/>
          <a:ext cx="5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12</xdr:row>
      <xdr:rowOff>102526</xdr:rowOff>
    </xdr:from>
    <xdr:to>
      <xdr:col>7</xdr:col>
      <xdr:colOff>190338</xdr:colOff>
      <xdr:row>12</xdr:row>
      <xdr:rowOff>102526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C79ED68-81CB-4049-8902-DF724B018D41}"/>
            </a:ext>
          </a:extLst>
        </xdr:cNvPr>
        <xdr:cNvCxnSpPr/>
      </xdr:nvCxnSpPr>
      <xdr:spPr>
        <a:xfrm flipV="1">
          <a:off x="1716749" y="3300677"/>
          <a:ext cx="792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</xdr:row>
      <xdr:rowOff>149225</xdr:rowOff>
    </xdr:from>
    <xdr:to>
      <xdr:col>3</xdr:col>
      <xdr:colOff>198173</xdr:colOff>
      <xdr:row>13</xdr:row>
      <xdr:rowOff>149944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2CC3E657-445E-4205-BC7C-90102D37D334}"/>
            </a:ext>
          </a:extLst>
        </xdr:cNvPr>
        <xdr:cNvCxnSpPr/>
      </xdr:nvCxnSpPr>
      <xdr:spPr>
        <a:xfrm flipH="1" flipV="1">
          <a:off x="1722834" y="1439069"/>
          <a:ext cx="0" cy="2124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</xdr:row>
      <xdr:rowOff>169334</xdr:rowOff>
    </xdr:from>
    <xdr:to>
      <xdr:col>29</xdr:col>
      <xdr:colOff>198437</xdr:colOff>
      <xdr:row>13</xdr:row>
      <xdr:rowOff>170053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9C09574-A772-4BC1-A046-BB822BEAD766}"/>
            </a:ext>
          </a:extLst>
        </xdr:cNvPr>
        <xdr:cNvCxnSpPr/>
      </xdr:nvCxnSpPr>
      <xdr:spPr>
        <a:xfrm flipH="1" flipV="1">
          <a:off x="6882473" y="1459178"/>
          <a:ext cx="0" cy="2124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10</xdr:row>
      <xdr:rowOff>122635</xdr:rowOff>
    </xdr:from>
    <xdr:to>
      <xdr:col>3</xdr:col>
      <xdr:colOff>194139</xdr:colOff>
      <xdr:row>10</xdr:row>
      <xdr:rowOff>122635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7142DFAD-C1F3-4D39-A05A-738F580C1561}"/>
            </a:ext>
          </a:extLst>
        </xdr:cNvPr>
        <xdr:cNvCxnSpPr/>
      </xdr:nvCxnSpPr>
      <xdr:spPr>
        <a:xfrm flipV="1">
          <a:off x="1574800" y="289083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10</xdr:row>
      <xdr:rowOff>122370</xdr:rowOff>
    </xdr:from>
    <xdr:to>
      <xdr:col>4</xdr:col>
      <xdr:colOff>145440</xdr:colOff>
      <xdr:row>10</xdr:row>
      <xdr:rowOff>122899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1E1A8CD2-96E7-4836-82F8-44C7CE422391}"/>
            </a:ext>
          </a:extLst>
        </xdr:cNvPr>
        <xdr:cNvCxnSpPr/>
      </xdr:nvCxnSpPr>
      <xdr:spPr>
        <a:xfrm flipH="1">
          <a:off x="1724539" y="289057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17</xdr:row>
      <xdr:rowOff>44450</xdr:rowOff>
    </xdr:from>
    <xdr:to>
      <xdr:col>29</xdr:col>
      <xdr:colOff>177800</xdr:colOff>
      <xdr:row>17</xdr:row>
      <xdr:rowOff>44450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87216BBE-2751-44CD-A79E-945B4F7D1A88}"/>
            </a:ext>
          </a:extLst>
        </xdr:cNvPr>
        <xdr:cNvCxnSpPr/>
      </xdr:nvCxnSpPr>
      <xdr:spPr>
        <a:xfrm>
          <a:off x="1742149" y="3242601"/>
          <a:ext cx="5119687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192088</xdr:colOff>
      <xdr:row>28</xdr:row>
      <xdr:rowOff>102526</xdr:rowOff>
    </xdr:from>
    <xdr:to>
      <xdr:col>7</xdr:col>
      <xdr:colOff>190338</xdr:colOff>
      <xdr:row>28</xdr:row>
      <xdr:rowOff>102526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8DA1735F-C502-46C3-9A94-71BE246FD734}"/>
            </a:ext>
          </a:extLst>
        </xdr:cNvPr>
        <xdr:cNvCxnSpPr/>
      </xdr:nvCxnSpPr>
      <xdr:spPr>
        <a:xfrm flipV="1">
          <a:off x="1716749" y="2225807"/>
          <a:ext cx="792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198173</xdr:colOff>
      <xdr:row>16</xdr:row>
      <xdr:rowOff>149224</xdr:rowOff>
    </xdr:from>
    <xdr:to>
      <xdr:col>3</xdr:col>
      <xdr:colOff>198173</xdr:colOff>
      <xdr:row>29</xdr:row>
      <xdr:rowOff>166250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CB0869C0-B8F7-42C6-9FCA-6D925632C0D7}"/>
            </a:ext>
          </a:extLst>
        </xdr:cNvPr>
        <xdr:cNvCxnSpPr/>
      </xdr:nvCxnSpPr>
      <xdr:spPr>
        <a:xfrm flipH="1" flipV="1">
          <a:off x="1722834" y="3549120"/>
          <a:ext cx="0" cy="2772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198437</xdr:colOff>
      <xdr:row>16</xdr:row>
      <xdr:rowOff>169333</xdr:rowOff>
    </xdr:from>
    <xdr:to>
      <xdr:col>29</xdr:col>
      <xdr:colOff>198437</xdr:colOff>
      <xdr:row>29</xdr:row>
      <xdr:rowOff>186359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E6B40872-1AA1-40FA-8AE7-D67F806CA680}"/>
            </a:ext>
          </a:extLst>
        </xdr:cNvPr>
        <xdr:cNvCxnSpPr/>
      </xdr:nvCxnSpPr>
      <xdr:spPr>
        <a:xfrm flipH="1" flipV="1">
          <a:off x="6882473" y="3569229"/>
          <a:ext cx="0" cy="2772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50139</xdr:colOff>
      <xdr:row>26</xdr:row>
      <xdr:rowOff>122635</xdr:rowOff>
    </xdr:from>
    <xdr:to>
      <xdr:col>3</xdr:col>
      <xdr:colOff>194139</xdr:colOff>
      <xdr:row>26</xdr:row>
      <xdr:rowOff>122635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686C4B6-E252-4DE2-BF98-0CBA4F66FD91}"/>
            </a:ext>
          </a:extLst>
        </xdr:cNvPr>
        <xdr:cNvCxnSpPr/>
      </xdr:nvCxnSpPr>
      <xdr:spPr>
        <a:xfrm flipV="1">
          <a:off x="1574800" y="1815968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1440</xdr:colOff>
      <xdr:row>26</xdr:row>
      <xdr:rowOff>122370</xdr:rowOff>
    </xdr:from>
    <xdr:to>
      <xdr:col>4</xdr:col>
      <xdr:colOff>145440</xdr:colOff>
      <xdr:row>26</xdr:row>
      <xdr:rowOff>122899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541F0DA-C7F3-48D7-9E4E-F27125EA60FB}"/>
            </a:ext>
          </a:extLst>
        </xdr:cNvPr>
        <xdr:cNvCxnSpPr/>
      </xdr:nvCxnSpPr>
      <xdr:spPr>
        <a:xfrm flipH="1">
          <a:off x="1724539" y="1815703"/>
          <a:ext cx="144000" cy="529"/>
        </a:xfrm>
        <a:prstGeom prst="straightConnector1">
          <a:avLst/>
        </a:prstGeom>
        <a:ln w="3175">
          <a:solidFill>
            <a:schemeClr val="tx1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89966</xdr:rowOff>
    </xdr:from>
    <xdr:to>
      <xdr:col>16</xdr:col>
      <xdr:colOff>0</xdr:colOff>
      <xdr:row>29</xdr:row>
      <xdr:rowOff>175914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32B4909E-4C16-4496-9DFC-F07D173BF42E}"/>
            </a:ext>
          </a:extLst>
        </xdr:cNvPr>
        <xdr:cNvCxnSpPr/>
      </xdr:nvCxnSpPr>
      <xdr:spPr>
        <a:xfrm flipH="1" flipV="1">
          <a:off x="4104349" y="4134784"/>
          <a:ext cx="0" cy="2196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19</xdr:row>
      <xdr:rowOff>90231</xdr:rowOff>
    </xdr:from>
    <xdr:to>
      <xdr:col>22</xdr:col>
      <xdr:colOff>265</xdr:colOff>
      <xdr:row>29</xdr:row>
      <xdr:rowOff>176179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F534704E-CDCA-4C99-92C5-93F28588A901}"/>
            </a:ext>
          </a:extLst>
        </xdr:cNvPr>
        <xdr:cNvCxnSpPr/>
      </xdr:nvCxnSpPr>
      <xdr:spPr>
        <a:xfrm flipH="1" flipV="1">
          <a:off x="5295239" y="4135049"/>
          <a:ext cx="0" cy="2196000"/>
        </a:xfrm>
        <a:prstGeom prst="straightConnector1">
          <a:avLst/>
        </a:prstGeom>
        <a:ln w="3175">
          <a:solidFill>
            <a:schemeClr val="tx1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195130</xdr:colOff>
      <xdr:row>20</xdr:row>
      <xdr:rowOff>16536</xdr:rowOff>
    </xdr:from>
    <xdr:to>
      <xdr:col>16</xdr:col>
      <xdr:colOff>0</xdr:colOff>
      <xdr:row>20</xdr:row>
      <xdr:rowOff>16536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35D59445-A148-485E-A350-44FBE6206FA2}"/>
            </a:ext>
          </a:extLst>
        </xdr:cNvPr>
        <xdr:cNvCxnSpPr/>
      </xdr:nvCxnSpPr>
      <xdr:spPr>
        <a:xfrm flipV="1">
          <a:off x="1719791" y="3859609"/>
          <a:ext cx="2384558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</xdr:colOff>
      <xdr:row>20</xdr:row>
      <xdr:rowOff>16800</xdr:rowOff>
    </xdr:from>
    <xdr:to>
      <xdr:col>29</xdr:col>
      <xdr:colOff>195203</xdr:colOff>
      <xdr:row>20</xdr:row>
      <xdr:rowOff>16800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673E1478-1152-49F5-856F-F0CF736325BB}"/>
            </a:ext>
          </a:extLst>
        </xdr:cNvPr>
        <xdr:cNvCxnSpPr/>
      </xdr:nvCxnSpPr>
      <xdr:spPr>
        <a:xfrm flipV="1">
          <a:off x="5295239" y="3859873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63714</xdr:colOff>
      <xdr:row>25</xdr:row>
      <xdr:rowOff>191864</xdr:rowOff>
    </xdr:from>
    <xdr:to>
      <xdr:col>18</xdr:col>
      <xdr:colOff>135714</xdr:colOff>
      <xdr:row>27</xdr:row>
      <xdr:rowOff>48990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5DF4621-FA0D-4F32-97B1-3666EE440151}"/>
            </a:ext>
          </a:extLst>
        </xdr:cNvPr>
        <xdr:cNvGrpSpPr/>
      </xdr:nvGrpSpPr>
      <xdr:grpSpPr>
        <a:xfrm>
          <a:off x="4576593" y="5617830"/>
          <a:ext cx="72000" cy="303815"/>
          <a:chOff x="4965649" y="3003550"/>
          <a:chExt cx="113247" cy="298958"/>
        </a:xfrm>
      </xdr:grpSpPr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60273F87-65DE-9B44-7903-D0D10483E26E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0284E715-AACF-2A8B-77CD-16DB3C1DB5C2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80515</xdr:colOff>
      <xdr:row>27</xdr:row>
      <xdr:rowOff>175592</xdr:rowOff>
    </xdr:from>
    <xdr:to>
      <xdr:col>18</xdr:col>
      <xdr:colOff>152515</xdr:colOff>
      <xdr:row>29</xdr:row>
      <xdr:rowOff>32718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051A4AE3-83F7-4F6F-BD52-EE233FA490FF}"/>
            </a:ext>
          </a:extLst>
        </xdr:cNvPr>
        <xdr:cNvGrpSpPr/>
      </xdr:nvGrpSpPr>
      <xdr:grpSpPr>
        <a:xfrm>
          <a:off x="4593394" y="6048247"/>
          <a:ext cx="72000" cy="303816"/>
          <a:chOff x="4965649" y="3003550"/>
          <a:chExt cx="113247" cy="298958"/>
        </a:xfrm>
      </xdr:grpSpPr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DF4CD3A9-E109-8605-A09E-0C3A5592DEDD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자유형: 도형 38">
            <a:extLst>
              <a:ext uri="{FF2B5EF4-FFF2-40B4-BE49-F238E27FC236}">
                <a16:creationId xmlns:a16="http://schemas.microsoft.com/office/drawing/2014/main" id="{D2E72AB9-6B48-CA19-F60F-44F152B8BBAC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152136</xdr:colOff>
      <xdr:row>11</xdr:row>
      <xdr:rowOff>72759</xdr:rowOff>
    </xdr:from>
    <xdr:ext cx="89934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26CA2C3-A113-AE0C-ADF3-668678BED525}"/>
            </a:ext>
          </a:extLst>
        </xdr:cNvPr>
        <xdr:cNvSpPr txBox="1"/>
      </xdr:nvSpPr>
      <xdr:spPr>
        <a:xfrm>
          <a:off x="1676797" y="1981066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86254</xdr:colOff>
      <xdr:row>9</xdr:row>
      <xdr:rowOff>192086</xdr:rowOff>
    </xdr:from>
    <xdr:ext cx="89934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DF0B09F-71DD-44B5-B838-C3FA07F8DD9A}"/>
            </a:ext>
          </a:extLst>
        </xdr:cNvPr>
        <xdr:cNvSpPr txBox="1"/>
      </xdr:nvSpPr>
      <xdr:spPr>
        <a:xfrm>
          <a:off x="1809353" y="1670445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oneCellAnchor>
    <xdr:from>
      <xdr:col>25</xdr:col>
      <xdr:colOff>126206</xdr:colOff>
      <xdr:row>9</xdr:row>
      <xdr:rowOff>189044</xdr:rowOff>
    </xdr:from>
    <xdr:ext cx="579454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AA61D28-CA57-47ED-A819-C46CB333D05F}"/>
            </a:ext>
          </a:extLst>
        </xdr:cNvPr>
        <xdr:cNvSpPr txBox="1"/>
      </xdr:nvSpPr>
      <xdr:spPr>
        <a:xfrm>
          <a:off x="6016492" y="166740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data=3</a:t>
          </a:r>
          <a:endParaRPr lang="ko-KR" altLang="en-US" sz="1100"/>
        </a:p>
      </xdr:txBody>
    </xdr:sp>
    <xdr:clientData/>
  </xdr:oneCellAnchor>
  <xdr:oneCellAnchor>
    <xdr:from>
      <xdr:col>28</xdr:col>
      <xdr:colOff>106627</xdr:colOff>
      <xdr:row>11</xdr:row>
      <xdr:rowOff>189308</xdr:rowOff>
    </xdr:from>
    <xdr:ext cx="5794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9E4DAD6-8443-4AEB-83EA-D26495A3E47A}"/>
            </a:ext>
          </a:extLst>
        </xdr:cNvPr>
        <xdr:cNvSpPr txBox="1"/>
      </xdr:nvSpPr>
      <xdr:spPr>
        <a:xfrm>
          <a:off x="6592226" y="209761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data=4</a:t>
          </a:r>
          <a:endParaRPr lang="ko-KR" altLang="en-US" sz="1100"/>
        </a:p>
      </xdr:txBody>
    </xdr:sp>
    <xdr:clientData/>
  </xdr:oneCellAnchor>
  <xdr:oneCellAnchor>
    <xdr:from>
      <xdr:col>12</xdr:col>
      <xdr:colOff>126736</xdr:colOff>
      <xdr:row>25</xdr:row>
      <xdr:rowOff>189573</xdr:rowOff>
    </xdr:from>
    <xdr:ext cx="579454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8C3DF7C-6B05-444D-8186-E80945EA4032}"/>
            </a:ext>
          </a:extLst>
        </xdr:cNvPr>
        <xdr:cNvSpPr txBox="1"/>
      </xdr:nvSpPr>
      <xdr:spPr>
        <a:xfrm>
          <a:off x="3437335" y="4866083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26</xdr:col>
      <xdr:colOff>120386</xdr:colOff>
      <xdr:row>25</xdr:row>
      <xdr:rowOff>193145</xdr:rowOff>
    </xdr:from>
    <xdr:ext cx="5794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A0679AB-A681-46B9-9633-BBA0C74412EA}"/>
            </a:ext>
          </a:extLst>
        </xdr:cNvPr>
        <xdr:cNvSpPr txBox="1"/>
      </xdr:nvSpPr>
      <xdr:spPr>
        <a:xfrm>
          <a:off x="6209110" y="4869655"/>
          <a:ext cx="579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data=2</a:t>
          </a:r>
          <a:endParaRPr lang="ko-KR" altLang="en-US" sz="1100"/>
        </a:p>
      </xdr:txBody>
    </xdr:sp>
    <xdr:clientData/>
  </xdr:oneCellAnchor>
  <xdr:oneCellAnchor>
    <xdr:from>
      <xdr:col>12</xdr:col>
      <xdr:colOff>64164</xdr:colOff>
      <xdr:row>16</xdr:row>
      <xdr:rowOff>163241</xdr:rowOff>
    </xdr:from>
    <xdr:ext cx="1796902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80C0D04-4DB7-4BD0-910B-E0088EBF5EF3}"/>
            </a:ext>
          </a:extLst>
        </xdr:cNvPr>
        <xdr:cNvSpPr txBox="1"/>
      </xdr:nvSpPr>
      <xdr:spPr>
        <a:xfrm>
          <a:off x="3374763" y="3146418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7</xdr:col>
      <xdr:colOff>107423</xdr:colOff>
      <xdr:row>19</xdr:row>
      <xdr:rowOff>137047</xdr:rowOff>
    </xdr:from>
    <xdr:ext cx="748988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8E27D35-48E1-469B-8CD9-14F7BD870A64}"/>
            </a:ext>
          </a:extLst>
        </xdr:cNvPr>
        <xdr:cNvSpPr txBox="1"/>
      </xdr:nvSpPr>
      <xdr:spPr>
        <a:xfrm>
          <a:off x="2425834" y="3765146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#1</a:t>
          </a:r>
          <a:endParaRPr lang="ko-KR" altLang="en-US" sz="1100"/>
        </a:p>
      </xdr:txBody>
    </xdr:sp>
    <xdr:clientData/>
  </xdr:oneCellAnchor>
  <xdr:oneCellAnchor>
    <xdr:from>
      <xdr:col>24</xdr:col>
      <xdr:colOff>21698</xdr:colOff>
      <xdr:row>19</xdr:row>
      <xdr:rowOff>140619</xdr:rowOff>
    </xdr:from>
    <xdr:ext cx="748988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7B13435-3C19-4B63-B487-80C5768FDCBE}"/>
            </a:ext>
          </a:extLst>
        </xdr:cNvPr>
        <xdr:cNvSpPr txBox="1"/>
      </xdr:nvSpPr>
      <xdr:spPr>
        <a:xfrm>
          <a:off x="5713547" y="3768718"/>
          <a:ext cx="748988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sub-frame #8</a:t>
          </a:r>
          <a:endParaRPr lang="ko-KR" altLang="en-US" sz="1100"/>
        </a:p>
      </xdr:txBody>
    </xdr:sp>
    <xdr:clientData/>
  </xdr:oneCellAnchor>
  <xdr:twoCellAnchor>
    <xdr:from>
      <xdr:col>16</xdr:col>
      <xdr:colOff>530</xdr:colOff>
      <xdr:row>20</xdr:row>
      <xdr:rowOff>17065</xdr:rowOff>
    </xdr:from>
    <xdr:to>
      <xdr:col>21</xdr:col>
      <xdr:colOff>196343</xdr:colOff>
      <xdr:row>20</xdr:row>
      <xdr:rowOff>17065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237FB981-9516-43B5-8BE6-0F2F006FCDB2}"/>
            </a:ext>
          </a:extLst>
        </xdr:cNvPr>
        <xdr:cNvCxnSpPr/>
      </xdr:nvCxnSpPr>
      <xdr:spPr>
        <a:xfrm flipV="1">
          <a:off x="4104879" y="3860138"/>
          <a:ext cx="118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55035</xdr:colOff>
      <xdr:row>19</xdr:row>
      <xdr:rowOff>111118</xdr:rowOff>
    </xdr:from>
    <xdr:ext cx="34182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49472DF-A6E9-4FF1-AADC-EF79A17C6294}"/>
            </a:ext>
          </a:extLst>
        </xdr:cNvPr>
        <xdr:cNvSpPr txBox="1"/>
      </xdr:nvSpPr>
      <xdr:spPr>
        <a:xfrm>
          <a:off x="4556259" y="3739217"/>
          <a:ext cx="3418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 . . . . . </a:t>
          </a:r>
          <a:endParaRPr lang="ko-KR" altLang="en-US" sz="1100"/>
        </a:p>
      </xdr:txBody>
    </xdr:sp>
    <xdr:clientData/>
  </xdr:oneCellAnchor>
  <xdr:oneCellAnchor>
    <xdr:from>
      <xdr:col>12</xdr:col>
      <xdr:colOff>71042</xdr:colOff>
      <xdr:row>1</xdr:row>
      <xdr:rowOff>160198</xdr:rowOff>
    </xdr:from>
    <xdr:ext cx="1796902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A7681D5-0489-407B-A6C6-B6DEC173B638}"/>
            </a:ext>
          </a:extLst>
        </xdr:cNvPr>
        <xdr:cNvSpPr txBox="1"/>
      </xdr:nvSpPr>
      <xdr:spPr>
        <a:xfrm>
          <a:off x="3381641" y="375172"/>
          <a:ext cx="179690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frame period : 100/120/165/240</a:t>
          </a:r>
          <a:endParaRPr lang="ko-KR" altLang="en-US" sz="1100"/>
        </a:p>
      </xdr:txBody>
    </xdr:sp>
    <xdr:clientData/>
  </xdr:oneCellAnchor>
  <xdr:oneCellAnchor>
    <xdr:from>
      <xdr:col>1</xdr:col>
      <xdr:colOff>183756</xdr:colOff>
      <xdr:row>6</xdr:row>
      <xdr:rowOff>9565</xdr:rowOff>
    </xdr:from>
    <xdr:ext cx="841192" cy="156518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17B2C53-F930-49CD-8418-0257378F0377}"/>
            </a:ext>
          </a:extLst>
        </xdr:cNvPr>
        <xdr:cNvSpPr txBox="1"/>
      </xdr:nvSpPr>
      <xdr:spPr>
        <a:xfrm>
          <a:off x="845214" y="1286180"/>
          <a:ext cx="84119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(2</a:t>
          </a:r>
          <a:r>
            <a:rPr lang="en-US" altLang="ko-KR" sz="1000" baseline="30000"/>
            <a:t>12</a:t>
          </a:r>
          <a:r>
            <a:rPr lang="en-US" altLang="ko-KR" sz="1000"/>
            <a:t>-1)= </a:t>
          </a:r>
          <a:r>
            <a:rPr lang="en-US" altLang="ko-KR" sz="1000" baseline="0"/>
            <a:t>4,095ea</a:t>
          </a:r>
        </a:p>
      </xdr:txBody>
    </xdr:sp>
    <xdr:clientData/>
  </xdr:oneCellAnchor>
  <xdr:oneCellAnchor>
    <xdr:from>
      <xdr:col>1</xdr:col>
      <xdr:colOff>68264</xdr:colOff>
      <xdr:row>5</xdr:row>
      <xdr:rowOff>35656</xdr:rowOff>
    </xdr:from>
    <xdr:ext cx="961417" cy="16440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AF3ED0-ACCE-4981-A6F9-0CE4092CDA7A}"/>
            </a:ext>
          </a:extLst>
        </xdr:cNvPr>
        <xdr:cNvSpPr txBox="1"/>
      </xdr:nvSpPr>
      <xdr:spPr>
        <a:xfrm>
          <a:off x="729722" y="1110526"/>
          <a:ext cx="961417" cy="16440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05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-1)=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16,383ea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oneCellAnchor>
    <xdr:from>
      <xdr:col>1</xdr:col>
      <xdr:colOff>107951</xdr:colOff>
      <xdr:row>21</xdr:row>
      <xdr:rowOff>199046</xdr:rowOff>
    </xdr:from>
    <xdr:ext cx="900759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309AAE1-E5D7-43F8-9416-3A67641DAE18}"/>
            </a:ext>
          </a:extLst>
        </xdr:cNvPr>
        <xdr:cNvSpPr txBox="1"/>
      </xdr:nvSpPr>
      <xdr:spPr>
        <a:xfrm>
          <a:off x="770322" y="4649520"/>
          <a:ext cx="90075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/8-1)= </a:t>
          </a:r>
          <a:r>
            <a:rPr lang="en-US" altLang="ko-KR" sz="1000"/>
            <a:t>511</a:t>
          </a:r>
          <a:r>
            <a:rPr lang="en-US" altLang="ko-KR" sz="1000" baseline="0"/>
            <a:t>ea</a:t>
          </a:r>
        </a:p>
      </xdr:txBody>
    </xdr:sp>
    <xdr:clientData/>
  </xdr:oneCellAnchor>
  <xdr:oneCellAnchor>
    <xdr:from>
      <xdr:col>0</xdr:col>
      <xdr:colOff>657225</xdr:colOff>
      <xdr:row>21</xdr:row>
      <xdr:rowOff>18781</xdr:rowOff>
    </xdr:from>
    <xdr:ext cx="1023422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107C92E-38C4-4C3C-ACD2-6C1A6BAB7A98}"/>
            </a:ext>
          </a:extLst>
        </xdr:cNvPr>
        <xdr:cNvSpPr txBox="1"/>
      </xdr:nvSpPr>
      <xdr:spPr>
        <a:xfrm>
          <a:off x="657225" y="4469255"/>
          <a:ext cx="1023422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lang="en-US" altLang="ko-KR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8-1)</a:t>
          </a:r>
          <a:r>
            <a:rPr lang="en-US" altLang="ko-KR" sz="105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 altLang="ko-KR" sz="1050" i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2,047ea</a:t>
          </a:r>
          <a:endParaRPr lang="en-US" altLang="ko-KR" sz="1050" i="1" baseline="0">
            <a:latin typeface="+mj-lt"/>
            <a:ea typeface="+mn-ea"/>
          </a:endParaRPr>
        </a:p>
      </xdr:txBody>
    </xdr:sp>
    <xdr:clientData/>
  </xdr:oneCellAnchor>
  <xdr:twoCellAnchor>
    <xdr:from>
      <xdr:col>18</xdr:col>
      <xdr:colOff>67286</xdr:colOff>
      <xdr:row>23</xdr:row>
      <xdr:rowOff>159056</xdr:rowOff>
    </xdr:from>
    <xdr:to>
      <xdr:col>18</xdr:col>
      <xdr:colOff>139286</xdr:colOff>
      <xdr:row>25</xdr:row>
      <xdr:rowOff>29411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1952327-6B3A-4432-943C-6C6C3C187B7F}"/>
            </a:ext>
          </a:extLst>
        </xdr:cNvPr>
        <xdr:cNvGrpSpPr/>
      </xdr:nvGrpSpPr>
      <xdr:grpSpPr>
        <a:xfrm>
          <a:off x="4580165" y="5164608"/>
          <a:ext cx="72000" cy="290769"/>
          <a:chOff x="4965649" y="3003550"/>
          <a:chExt cx="113247" cy="298958"/>
        </a:xfrm>
      </xdr:grpSpPr>
      <xdr:sp macro="" textlink="">
        <xdr:nvSpPr>
          <xdr:cNvPr id="57" name="자유형: 도형 56">
            <a:extLst>
              <a:ext uri="{FF2B5EF4-FFF2-40B4-BE49-F238E27FC236}">
                <a16:creationId xmlns:a16="http://schemas.microsoft.com/office/drawing/2014/main" id="{E4B76E1D-6D40-21F1-343B-6554ED18F25D}"/>
              </a:ext>
            </a:extLst>
          </xdr:cNvPr>
          <xdr:cNvSpPr/>
        </xdr:nvSpPr>
        <xdr:spPr>
          <a:xfrm>
            <a:off x="4965649" y="3003550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817BE53A-A7BD-3E5D-79A6-328822328E4A}"/>
              </a:ext>
            </a:extLst>
          </xdr:cNvPr>
          <xdr:cNvSpPr/>
        </xdr:nvSpPr>
        <xdr:spPr>
          <a:xfrm>
            <a:off x="5002645" y="3004058"/>
            <a:ext cx="76251" cy="298450"/>
          </a:xfrm>
          <a:custGeom>
            <a:avLst/>
            <a:gdLst>
              <a:gd name="connsiteX0" fmla="*/ 76251 w 76251"/>
              <a:gd name="connsiteY0" fmla="*/ 0 h 298450"/>
              <a:gd name="connsiteX1" fmla="*/ 51 w 76251"/>
              <a:gd name="connsiteY1" fmla="*/ 107950 h 298450"/>
              <a:gd name="connsiteX2" fmla="*/ 63551 w 76251"/>
              <a:gd name="connsiteY2" fmla="*/ 203200 h 298450"/>
              <a:gd name="connsiteX3" fmla="*/ 12751 w 76251"/>
              <a:gd name="connsiteY3" fmla="*/ 298450 h 2984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6251" h="298450">
                <a:moveTo>
                  <a:pt x="76251" y="0"/>
                </a:moveTo>
                <a:cubicBezTo>
                  <a:pt x="39209" y="37041"/>
                  <a:pt x="2168" y="74083"/>
                  <a:pt x="51" y="107950"/>
                </a:cubicBezTo>
                <a:cubicBezTo>
                  <a:pt x="-2066" y="141817"/>
                  <a:pt x="61434" y="171450"/>
                  <a:pt x="63551" y="203200"/>
                </a:cubicBezTo>
                <a:cubicBezTo>
                  <a:pt x="65668" y="234950"/>
                  <a:pt x="39209" y="266700"/>
                  <a:pt x="12751" y="2984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3</xdr:col>
      <xdr:colOff>142214</xdr:colOff>
      <xdr:row>27</xdr:row>
      <xdr:rowOff>82680</xdr:rowOff>
    </xdr:from>
    <xdr:ext cx="89934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5411A5A-2FD3-4057-B6E9-749209EFC09E}"/>
            </a:ext>
          </a:extLst>
        </xdr:cNvPr>
        <xdr:cNvSpPr txBox="1"/>
      </xdr:nvSpPr>
      <xdr:spPr>
        <a:xfrm>
          <a:off x="1666875" y="5807602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ch2_delay=2</a:t>
          </a:r>
          <a:endParaRPr lang="ko-KR" altLang="en-US" sz="1100"/>
        </a:p>
      </xdr:txBody>
    </xdr:sp>
    <xdr:clientData/>
  </xdr:oneCellAnchor>
  <xdr:oneCellAnchor>
    <xdr:from>
      <xdr:col>4</xdr:col>
      <xdr:colOff>76332</xdr:colOff>
      <xdr:row>25</xdr:row>
      <xdr:rowOff>202007</xdr:rowOff>
    </xdr:from>
    <xdr:ext cx="89934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CCF2D4-2627-43F4-B2A2-1D2A0831619A}"/>
            </a:ext>
          </a:extLst>
        </xdr:cNvPr>
        <xdr:cNvSpPr txBox="1"/>
      </xdr:nvSpPr>
      <xdr:spPr>
        <a:xfrm>
          <a:off x="1799431" y="5496981"/>
          <a:ext cx="899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ch1_delay=0</a:t>
          </a:r>
          <a:endParaRPr lang="ko-KR" altLang="en-US" sz="1100"/>
        </a:p>
      </xdr:txBody>
    </xdr:sp>
    <xdr:clientData/>
  </xdr:oneCellAnchor>
  <xdr:twoCellAnchor>
    <xdr:from>
      <xdr:col>37</xdr:col>
      <xdr:colOff>1483</xdr:colOff>
      <xdr:row>31</xdr:row>
      <xdr:rowOff>93153</xdr:rowOff>
    </xdr:from>
    <xdr:to>
      <xdr:col>37</xdr:col>
      <xdr:colOff>1483</xdr:colOff>
      <xdr:row>37</xdr:row>
      <xdr:rowOff>144205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9A0492D9-90B0-4503-BD96-9E8625FDE542}"/>
            </a:ext>
          </a:extLst>
        </xdr:cNvPr>
        <xdr:cNvCxnSpPr/>
      </xdr:nvCxnSpPr>
      <xdr:spPr>
        <a:xfrm flipH="1" flipV="1">
          <a:off x="9044759" y="6645696"/>
          <a:ext cx="0" cy="1332000"/>
        </a:xfrm>
        <a:prstGeom prst="straightConnector1">
          <a:avLst/>
        </a:prstGeom>
        <a:ln w="22225">
          <a:solidFill>
            <a:srgbClr val="FF00FF"/>
          </a:solidFill>
          <a:prstDash val="dash"/>
          <a:headEnd type="non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182019</xdr:colOff>
      <xdr:row>36</xdr:row>
      <xdr:rowOff>7386</xdr:rowOff>
    </xdr:from>
    <xdr:to>
      <xdr:col>37</xdr:col>
      <xdr:colOff>9157</xdr:colOff>
      <xdr:row>36</xdr:row>
      <xdr:rowOff>7386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2CC8943E-FDA6-4DA5-A01D-329634EE19E8}"/>
            </a:ext>
          </a:extLst>
        </xdr:cNvPr>
        <xdr:cNvCxnSpPr/>
      </xdr:nvCxnSpPr>
      <xdr:spPr>
        <a:xfrm>
          <a:off x="3904433" y="7627386"/>
          <a:ext cx="51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96126</xdr:colOff>
      <xdr:row>35</xdr:row>
      <xdr:rowOff>143429</xdr:rowOff>
    </xdr:from>
    <xdr:ext cx="673133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0E4AD91-2751-4735-BDDC-9CDD54913205}"/>
            </a:ext>
          </a:extLst>
        </xdr:cNvPr>
        <xdr:cNvSpPr txBox="1"/>
      </xdr:nvSpPr>
      <xdr:spPr>
        <a:xfrm>
          <a:off x="5187074" y="7549938"/>
          <a:ext cx="673133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#)</a:t>
          </a:r>
          <a:endParaRPr lang="en-US" altLang="ko-KR" sz="1000" baseline="0"/>
        </a:p>
      </xdr:txBody>
    </xdr:sp>
    <xdr:clientData/>
  </xdr:oneCellAnchor>
  <xdr:oneCellAnchor>
    <xdr:from>
      <xdr:col>34</xdr:col>
      <xdr:colOff>2189</xdr:colOff>
      <xdr:row>36</xdr:row>
      <xdr:rowOff>202769</xdr:rowOff>
    </xdr:from>
    <xdr:ext cx="1167179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68BD219-E59F-4C62-8097-E295B4E505A7}"/>
            </a:ext>
          </a:extLst>
        </xdr:cNvPr>
        <xdr:cNvSpPr txBox="1"/>
      </xdr:nvSpPr>
      <xdr:spPr>
        <a:xfrm>
          <a:off x="7655034" y="7822769"/>
          <a:ext cx="1167179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(counting # - target#)</a:t>
          </a:r>
          <a:endParaRPr lang="en-US" altLang="ko-KR" sz="1000" baseline="0"/>
        </a:p>
      </xdr:txBody>
    </xdr:sp>
    <xdr:clientData/>
  </xdr:oneCellAnchor>
  <xdr:twoCellAnchor>
    <xdr:from>
      <xdr:col>37</xdr:col>
      <xdr:colOff>6847</xdr:colOff>
      <xdr:row>36</xdr:row>
      <xdr:rowOff>7386</xdr:rowOff>
    </xdr:from>
    <xdr:to>
      <xdr:col>48</xdr:col>
      <xdr:colOff>179089</xdr:colOff>
      <xdr:row>36</xdr:row>
      <xdr:rowOff>7386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E3FA1291-2C74-4B7E-BABE-8C73AD2BBCE5}"/>
            </a:ext>
          </a:extLst>
        </xdr:cNvPr>
        <xdr:cNvCxnSpPr/>
      </xdr:nvCxnSpPr>
      <xdr:spPr>
        <a:xfrm>
          <a:off x="8250899" y="7627386"/>
          <a:ext cx="2340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DFCB-2E47-4C45-9A83-841175C25589}">
  <dimension ref="A2:FP128"/>
  <sheetViews>
    <sheetView showGridLines="0" zoomScale="90" zoomScaleNormal="90" workbookViewId="0"/>
  </sheetViews>
  <sheetFormatPr defaultRowHeight="17.399999999999999" x14ac:dyDescent="0.4"/>
  <cols>
    <col min="2" max="2" width="12.296875" style="1" bestFit="1" customWidth="1"/>
    <col min="3" max="3" width="1.59765625" style="1" customWidth="1"/>
    <col min="4" max="5" width="9.59765625" customWidth="1"/>
    <col min="6" max="9" width="5.296875" bestFit="1" customWidth="1"/>
    <col min="10" max="19" width="4.296875" bestFit="1" customWidth="1"/>
    <col min="20" max="20" width="5.796875" bestFit="1" customWidth="1"/>
    <col min="21" max="21" width="11" style="1" customWidth="1"/>
    <col min="22" max="172" width="1.296875" customWidth="1"/>
  </cols>
  <sheetData>
    <row r="2" spans="2:159" x14ac:dyDescent="0.4">
      <c r="B2" s="203" t="s">
        <v>470</v>
      </c>
      <c r="C2" s="415" t="s">
        <v>471</v>
      </c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7"/>
      <c r="U2" s="6" t="s">
        <v>472</v>
      </c>
      <c r="DH2" t="s">
        <v>473</v>
      </c>
    </row>
    <row r="3" spans="2:159" ht="18" thickBot="1" x14ac:dyDescent="0.45">
      <c r="B3" s="2"/>
      <c r="U3" s="248" t="s">
        <v>474</v>
      </c>
      <c r="V3" s="28"/>
      <c r="W3" s="29"/>
      <c r="X3" s="26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DB3" s="25"/>
      <c r="DC3" s="25"/>
      <c r="DD3" s="25"/>
      <c r="DE3" s="25"/>
      <c r="DF3" s="25"/>
      <c r="DG3" s="21"/>
      <c r="DH3" s="27"/>
      <c r="DI3" s="28"/>
      <c r="DJ3" s="28"/>
      <c r="DK3" s="28"/>
      <c r="DL3" s="28"/>
      <c r="DM3" s="28"/>
      <c r="DN3" s="29"/>
      <c r="DO3" s="26"/>
      <c r="DP3" s="25"/>
    </row>
    <row r="4" spans="2:159" x14ac:dyDescent="0.4">
      <c r="B4" s="2" t="s">
        <v>475</v>
      </c>
      <c r="D4" s="208" t="s">
        <v>390</v>
      </c>
      <c r="E4" s="210" t="s">
        <v>430</v>
      </c>
      <c r="F4" s="208" t="s">
        <v>431</v>
      </c>
      <c r="G4" s="209" t="s">
        <v>432</v>
      </c>
      <c r="H4" s="209" t="s">
        <v>374</v>
      </c>
      <c r="I4" s="209" t="s">
        <v>375</v>
      </c>
      <c r="J4" s="209" t="s">
        <v>107</v>
      </c>
      <c r="K4" s="209" t="s">
        <v>108</v>
      </c>
      <c r="L4" s="209" t="s">
        <v>109</v>
      </c>
      <c r="M4" s="210" t="s">
        <v>110</v>
      </c>
      <c r="N4" s="212" t="s">
        <v>111</v>
      </c>
      <c r="O4" s="209" t="s">
        <v>112</v>
      </c>
      <c r="P4" s="209" t="s">
        <v>113</v>
      </c>
      <c r="Q4" s="209" t="s">
        <v>114</v>
      </c>
      <c r="R4" s="209" t="s">
        <v>115</v>
      </c>
      <c r="S4" s="210" t="s">
        <v>116</v>
      </c>
      <c r="X4" s="249"/>
      <c r="Y4" s="249"/>
      <c r="Z4" s="377">
        <v>16</v>
      </c>
      <c r="AA4" s="377"/>
      <c r="AB4" s="377">
        <v>15</v>
      </c>
      <c r="AC4" s="377"/>
      <c r="AD4" s="377">
        <v>14</v>
      </c>
      <c r="AE4" s="377"/>
      <c r="AF4" s="377"/>
      <c r="AG4" s="377"/>
      <c r="AH4" s="377">
        <v>3</v>
      </c>
      <c r="AI4" s="377"/>
      <c r="AJ4" s="377">
        <v>2</v>
      </c>
      <c r="AK4" s="377"/>
      <c r="AL4" s="377">
        <v>1</v>
      </c>
      <c r="AM4" s="377"/>
      <c r="AN4" s="377">
        <v>16</v>
      </c>
      <c r="AO4" s="377"/>
      <c r="AP4" s="377">
        <v>15</v>
      </c>
      <c r="AQ4" s="377"/>
      <c r="AR4" s="377">
        <v>14</v>
      </c>
      <c r="AS4" s="377"/>
      <c r="AT4" s="377"/>
      <c r="AU4" s="377"/>
      <c r="AV4" s="377">
        <v>3</v>
      </c>
      <c r="AW4" s="377"/>
      <c r="AX4" s="377">
        <v>2</v>
      </c>
      <c r="AY4" s="377"/>
      <c r="AZ4" s="377">
        <v>1</v>
      </c>
      <c r="BA4" s="377"/>
      <c r="BB4" s="377">
        <v>16</v>
      </c>
      <c r="BC4" s="377"/>
      <c r="BD4" s="377">
        <v>15</v>
      </c>
      <c r="BE4" s="377"/>
      <c r="BF4" s="377">
        <v>14</v>
      </c>
      <c r="BG4" s="377"/>
      <c r="BH4" s="377"/>
      <c r="BI4" s="377"/>
      <c r="BJ4" s="377">
        <v>3</v>
      </c>
      <c r="BK4" s="377"/>
      <c r="BL4" s="377">
        <v>2</v>
      </c>
      <c r="BM4" s="377"/>
      <c r="BN4" s="377">
        <v>1</v>
      </c>
      <c r="BO4" s="377"/>
      <c r="BP4" s="377">
        <v>16</v>
      </c>
      <c r="BQ4" s="377"/>
      <c r="BR4" s="377">
        <v>15</v>
      </c>
      <c r="BS4" s="377"/>
      <c r="BT4" s="377">
        <v>14</v>
      </c>
      <c r="BU4" s="377"/>
      <c r="BV4" s="377"/>
      <c r="BW4" s="377"/>
      <c r="BX4" s="377">
        <v>3</v>
      </c>
      <c r="BY4" s="377"/>
      <c r="BZ4" s="377">
        <v>2</v>
      </c>
      <c r="CA4" s="377"/>
      <c r="CB4" s="377">
        <v>1</v>
      </c>
      <c r="CC4" s="377"/>
      <c r="CD4" s="377">
        <v>16</v>
      </c>
      <c r="CE4" s="377"/>
      <c r="CF4" s="377">
        <v>15</v>
      </c>
      <c r="CG4" s="377"/>
      <c r="CH4" s="377">
        <v>14</v>
      </c>
      <c r="CI4" s="377"/>
      <c r="CJ4" s="377"/>
      <c r="CK4" s="377"/>
      <c r="CL4" s="377">
        <v>3</v>
      </c>
      <c r="CM4" s="377"/>
      <c r="CN4" s="377">
        <v>2</v>
      </c>
      <c r="CO4" s="377"/>
      <c r="CP4" s="377">
        <v>1</v>
      </c>
      <c r="CQ4" s="377"/>
      <c r="CR4" s="377">
        <v>16</v>
      </c>
      <c r="CS4" s="377"/>
      <c r="CT4" s="377">
        <v>15</v>
      </c>
      <c r="CU4" s="377"/>
      <c r="CV4" s="377">
        <v>14</v>
      </c>
      <c r="CW4" s="377"/>
      <c r="CX4" s="377"/>
      <c r="CY4" s="377"/>
      <c r="CZ4" s="377">
        <v>3</v>
      </c>
      <c r="DA4" s="377"/>
      <c r="DB4" s="378">
        <v>2</v>
      </c>
      <c r="DC4" s="378"/>
      <c r="DD4" s="378">
        <v>1</v>
      </c>
      <c r="DE4" s="378"/>
      <c r="DF4" s="251"/>
      <c r="DG4" s="251"/>
      <c r="DH4" s="249"/>
      <c r="DI4" s="249"/>
      <c r="DJ4" s="249"/>
      <c r="DK4" s="249"/>
      <c r="DL4" s="249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252"/>
      <c r="EQ4" s="252"/>
      <c r="ER4" s="252"/>
      <c r="ES4" s="252"/>
      <c r="ET4" s="252"/>
      <c r="EU4" s="252"/>
      <c r="EV4" s="252"/>
      <c r="EW4" s="252"/>
      <c r="EX4" s="252"/>
      <c r="EY4" s="252"/>
      <c r="EZ4" s="252"/>
      <c r="FA4" s="252"/>
      <c r="FB4" s="252"/>
      <c r="FC4" s="252"/>
    </row>
    <row r="5" spans="2:159" ht="18" thickBot="1" x14ac:dyDescent="0.45">
      <c r="B5" s="2"/>
      <c r="D5" s="410" t="s">
        <v>476</v>
      </c>
      <c r="E5" s="412"/>
      <c r="F5" s="410" t="s">
        <v>477</v>
      </c>
      <c r="G5" s="411"/>
      <c r="H5" s="411"/>
      <c r="I5" s="411"/>
      <c r="J5" s="411"/>
      <c r="K5" s="411"/>
      <c r="L5" s="411"/>
      <c r="M5" s="412"/>
      <c r="N5" s="411" t="s">
        <v>478</v>
      </c>
      <c r="O5" s="411"/>
      <c r="P5" s="411"/>
      <c r="Q5" s="411"/>
      <c r="R5" s="411"/>
      <c r="S5" s="412"/>
      <c r="U5" s="1" t="s">
        <v>479</v>
      </c>
      <c r="V5" s="253"/>
      <c r="W5" s="253"/>
      <c r="X5" s="253"/>
      <c r="Y5" s="254"/>
      <c r="Z5" s="255"/>
      <c r="AA5" s="256"/>
      <c r="AB5" s="255"/>
      <c r="AC5" s="256"/>
      <c r="AD5" s="255"/>
      <c r="AE5" s="256"/>
      <c r="AF5" s="257"/>
      <c r="AG5" s="253"/>
      <c r="AH5" s="255"/>
      <c r="AI5" s="256"/>
      <c r="AJ5" s="255"/>
      <c r="AK5" s="256"/>
      <c r="AL5" s="255"/>
      <c r="AM5" s="256"/>
      <c r="AN5" s="255"/>
      <c r="AO5" s="256"/>
      <c r="AP5" s="255"/>
      <c r="AQ5" s="256"/>
      <c r="AR5" s="255"/>
      <c r="AS5" s="256"/>
      <c r="AT5" s="257"/>
      <c r="AU5" s="253"/>
      <c r="AV5" s="255"/>
      <c r="AW5" s="256"/>
      <c r="AX5" s="255"/>
      <c r="AY5" s="256"/>
      <c r="AZ5" s="255"/>
      <c r="BA5" s="256"/>
      <c r="BB5" s="255"/>
      <c r="BC5" s="256"/>
      <c r="BD5" s="255"/>
      <c r="BE5" s="256"/>
      <c r="BF5" s="255"/>
      <c r="BG5" s="256"/>
      <c r="BH5" s="257"/>
      <c r="BI5" s="253"/>
      <c r="BJ5" s="255"/>
      <c r="BK5" s="256"/>
      <c r="BL5" s="255"/>
      <c r="BM5" s="256"/>
      <c r="BN5" s="255"/>
      <c r="BO5" s="256"/>
      <c r="BP5" s="255"/>
      <c r="BQ5" s="256"/>
      <c r="BR5" s="255"/>
      <c r="BS5" s="256"/>
      <c r="BT5" s="255"/>
      <c r="BU5" s="256"/>
      <c r="BV5" s="257"/>
      <c r="BW5" s="253"/>
      <c r="BX5" s="255"/>
      <c r="BY5" s="256"/>
      <c r="BZ5" s="255"/>
      <c r="CA5" s="256"/>
      <c r="CB5" s="255"/>
      <c r="CC5" s="256"/>
      <c r="CD5" s="255"/>
      <c r="CE5" s="256"/>
      <c r="CF5" s="255"/>
      <c r="CG5" s="256"/>
      <c r="CH5" s="255"/>
      <c r="CI5" s="256"/>
      <c r="CJ5" s="257"/>
      <c r="CK5" s="253"/>
      <c r="CL5" s="255"/>
      <c r="CM5" s="256"/>
      <c r="CN5" s="255"/>
      <c r="CO5" s="256"/>
      <c r="CP5" s="255"/>
      <c r="CQ5" s="256"/>
      <c r="CR5" s="255"/>
      <c r="CS5" s="256"/>
      <c r="CT5" s="255"/>
      <c r="CU5" s="256"/>
      <c r="CV5" s="255"/>
      <c r="CW5" s="256"/>
      <c r="CX5" s="257"/>
      <c r="CY5" s="253"/>
      <c r="CZ5" s="255"/>
      <c r="DA5" s="256"/>
      <c r="DB5" s="255"/>
      <c r="DC5" s="256"/>
      <c r="DD5" s="255"/>
      <c r="DE5" s="256"/>
      <c r="DF5" s="253"/>
      <c r="DG5" s="253"/>
      <c r="DH5" s="253"/>
      <c r="DI5" s="253"/>
      <c r="DJ5" s="253"/>
      <c r="DK5" s="253"/>
      <c r="DL5" s="253"/>
      <c r="DM5" s="253"/>
      <c r="DN5" s="253"/>
      <c r="DO5" s="253"/>
      <c r="DP5" s="253"/>
      <c r="DQ5" s="257"/>
      <c r="DR5" s="257"/>
      <c r="DS5" s="257"/>
      <c r="DT5" s="257"/>
      <c r="DU5" s="257"/>
      <c r="DV5" s="257"/>
      <c r="DW5" s="257"/>
      <c r="DX5" s="257"/>
      <c r="DY5" s="257"/>
      <c r="DZ5" s="257"/>
      <c r="EA5" s="257"/>
      <c r="EB5" s="257"/>
      <c r="EC5" s="257"/>
      <c r="ED5" s="257"/>
      <c r="EE5" s="257"/>
      <c r="EF5" s="257"/>
      <c r="EG5" s="257"/>
      <c r="EH5" s="257"/>
      <c r="EI5" s="257"/>
      <c r="EJ5" s="257"/>
      <c r="EK5" s="257"/>
      <c r="EL5" s="257"/>
      <c r="EM5" s="257"/>
      <c r="EN5" s="257"/>
      <c r="EO5" s="257"/>
      <c r="EP5" s="257"/>
      <c r="EQ5" s="257"/>
      <c r="ER5" s="257"/>
      <c r="ES5" s="257"/>
      <c r="ET5" s="257"/>
      <c r="EU5" s="257"/>
      <c r="EV5" s="257"/>
      <c r="EW5" s="257"/>
      <c r="EX5" s="257"/>
      <c r="EY5" s="257"/>
      <c r="EZ5" s="257"/>
      <c r="FA5" s="257"/>
      <c r="FB5" s="257"/>
      <c r="FC5" s="257"/>
    </row>
    <row r="6" spans="2:159" x14ac:dyDescent="0.4">
      <c r="B6" s="2" t="s">
        <v>480</v>
      </c>
      <c r="D6" s="24">
        <v>0</v>
      </c>
      <c r="E6" s="24">
        <v>1</v>
      </c>
      <c r="F6" s="413" t="s">
        <v>481</v>
      </c>
      <c r="G6" s="413"/>
      <c r="H6" s="413"/>
      <c r="I6" s="413"/>
      <c r="J6" s="413"/>
      <c r="K6" s="413"/>
      <c r="L6" s="413"/>
      <c r="M6" s="413"/>
      <c r="N6" s="414" t="s">
        <v>482</v>
      </c>
      <c r="O6" s="414"/>
      <c r="P6" s="414"/>
      <c r="Q6" s="414"/>
      <c r="R6" s="414"/>
      <c r="S6" s="414"/>
    </row>
    <row r="7" spans="2:159" x14ac:dyDescent="0.4">
      <c r="B7" s="2" t="s">
        <v>483</v>
      </c>
      <c r="D7" s="24">
        <v>1</v>
      </c>
      <c r="E7" s="24">
        <v>0</v>
      </c>
      <c r="F7" s="413" t="s">
        <v>481</v>
      </c>
      <c r="G7" s="413"/>
      <c r="H7" s="413"/>
      <c r="I7" s="413"/>
      <c r="J7" s="413"/>
      <c r="K7" s="413"/>
      <c r="L7" s="413"/>
      <c r="M7" s="413"/>
      <c r="N7" s="413" t="s">
        <v>482</v>
      </c>
      <c r="O7" s="413"/>
      <c r="P7" s="413"/>
      <c r="Q7" s="413"/>
      <c r="R7" s="413"/>
      <c r="S7" s="413"/>
      <c r="U7" s="1" t="s">
        <v>484</v>
      </c>
      <c r="V7" s="25"/>
      <c r="W7" s="25"/>
      <c r="X7" s="25"/>
      <c r="Y7" s="25"/>
      <c r="Z7" s="403" t="s">
        <v>485</v>
      </c>
      <c r="AA7" s="404"/>
      <c r="AB7" s="404"/>
      <c r="AC7" s="404"/>
      <c r="AD7" s="404"/>
      <c r="AE7" s="404"/>
      <c r="AF7" s="404"/>
      <c r="AG7" s="404"/>
      <c r="AH7" s="404"/>
      <c r="AI7" s="404"/>
      <c r="AJ7" s="404"/>
      <c r="AK7" s="404"/>
      <c r="AL7" s="404"/>
      <c r="AM7" s="405"/>
      <c r="AN7" s="403" t="s">
        <v>486</v>
      </c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  <c r="AZ7" s="404"/>
      <c r="BA7" s="405"/>
      <c r="BB7" s="406" t="s">
        <v>487</v>
      </c>
      <c r="BC7" s="407"/>
      <c r="BD7" s="407"/>
      <c r="BE7" s="407"/>
      <c r="BF7" s="407"/>
      <c r="BG7" s="407"/>
      <c r="BH7" s="407"/>
      <c r="BI7" s="407"/>
      <c r="BJ7" s="407"/>
      <c r="BK7" s="407"/>
      <c r="BL7" s="407"/>
      <c r="BM7" s="407"/>
      <c r="BN7" s="407"/>
      <c r="BO7" s="408"/>
      <c r="BP7" s="406" t="s">
        <v>488</v>
      </c>
      <c r="BQ7" s="407"/>
      <c r="BR7" s="407"/>
      <c r="BS7" s="407"/>
      <c r="BT7" s="407"/>
      <c r="BU7" s="407"/>
      <c r="BV7" s="407"/>
      <c r="BW7" s="407"/>
      <c r="BX7" s="407"/>
      <c r="BY7" s="407"/>
      <c r="BZ7" s="407"/>
      <c r="CA7" s="407"/>
      <c r="CB7" s="407"/>
      <c r="CC7" s="408"/>
      <c r="CD7" s="399" t="s">
        <v>489</v>
      </c>
      <c r="CE7" s="400"/>
      <c r="CF7" s="400"/>
      <c r="CG7" s="400"/>
      <c r="CH7" s="400"/>
      <c r="CI7" s="400"/>
      <c r="CJ7" s="400"/>
      <c r="CK7" s="400"/>
      <c r="CL7" s="400"/>
      <c r="CM7" s="400"/>
      <c r="CN7" s="400"/>
      <c r="CO7" s="400"/>
      <c r="CP7" s="400"/>
      <c r="CQ7" s="401"/>
      <c r="CR7" s="399" t="s">
        <v>490</v>
      </c>
      <c r="CS7" s="400"/>
      <c r="CT7" s="400"/>
      <c r="CU7" s="400"/>
      <c r="CV7" s="400"/>
      <c r="CW7" s="400"/>
      <c r="CX7" s="400"/>
      <c r="CY7" s="400"/>
      <c r="CZ7" s="400"/>
      <c r="DA7" s="400"/>
      <c r="DB7" s="400"/>
      <c r="DC7" s="400"/>
      <c r="DD7" s="400"/>
      <c r="DE7" s="401"/>
      <c r="DF7" s="26"/>
      <c r="DG7" s="25"/>
      <c r="DH7" s="25"/>
      <c r="DI7" s="25"/>
      <c r="DJ7" s="25"/>
      <c r="DK7" s="25"/>
      <c r="DL7" s="25"/>
      <c r="DM7" s="25"/>
      <c r="DN7" s="25"/>
      <c r="DO7" s="25"/>
      <c r="DP7" s="25"/>
    </row>
    <row r="8" spans="2:159" x14ac:dyDescent="0.4">
      <c r="B8" s="2" t="s">
        <v>491</v>
      </c>
      <c r="D8" s="24">
        <v>1</v>
      </c>
      <c r="E8" s="24">
        <v>1</v>
      </c>
      <c r="F8" s="413" t="s">
        <v>492</v>
      </c>
      <c r="G8" s="413"/>
      <c r="H8" s="413"/>
      <c r="I8" s="413"/>
      <c r="J8" s="413"/>
      <c r="K8" s="413"/>
      <c r="L8" s="413"/>
      <c r="M8" s="413"/>
      <c r="N8" s="413" t="s">
        <v>493</v>
      </c>
      <c r="O8" s="413"/>
      <c r="P8" s="413"/>
      <c r="Q8" s="413"/>
      <c r="R8" s="413"/>
      <c r="S8" s="413"/>
      <c r="BB8" s="402">
        <v>16</v>
      </c>
      <c r="BC8" s="402"/>
      <c r="BD8" s="402">
        <v>15</v>
      </c>
      <c r="BE8" s="402"/>
      <c r="BF8" s="402">
        <v>14</v>
      </c>
      <c r="BG8" s="402"/>
      <c r="BH8" s="402"/>
      <c r="BI8" s="402"/>
      <c r="BJ8" s="402">
        <v>3</v>
      </c>
      <c r="BK8" s="402"/>
      <c r="BL8" s="402">
        <v>2</v>
      </c>
      <c r="BM8" s="402"/>
      <c r="BN8" s="402">
        <v>1</v>
      </c>
      <c r="BO8" s="402"/>
      <c r="BP8" s="402">
        <v>16</v>
      </c>
      <c r="BQ8" s="402"/>
      <c r="BR8" s="402">
        <v>15</v>
      </c>
      <c r="BS8" s="402"/>
      <c r="BT8" s="402">
        <v>14</v>
      </c>
      <c r="BU8" s="402"/>
      <c r="BV8" s="402"/>
      <c r="BW8" s="402"/>
      <c r="BX8" s="402">
        <v>3</v>
      </c>
      <c r="BY8" s="402"/>
      <c r="BZ8" s="402">
        <v>2</v>
      </c>
      <c r="CA8" s="402"/>
      <c r="CB8" s="402">
        <v>1</v>
      </c>
      <c r="CC8" s="402"/>
      <c r="CD8" s="402">
        <v>16</v>
      </c>
      <c r="CE8" s="402"/>
      <c r="CF8" s="402">
        <v>15</v>
      </c>
      <c r="CG8" s="402"/>
      <c r="CH8" s="402">
        <v>14</v>
      </c>
      <c r="CI8" s="402"/>
      <c r="CJ8" s="402"/>
      <c r="CK8" s="402"/>
      <c r="CL8" s="402">
        <v>3</v>
      </c>
      <c r="CM8" s="402"/>
      <c r="CN8" s="402">
        <v>2</v>
      </c>
      <c r="CO8" s="402"/>
      <c r="CP8" s="402">
        <v>1</v>
      </c>
      <c r="CQ8" s="402"/>
      <c r="CR8" s="402">
        <v>16</v>
      </c>
      <c r="CS8" s="402"/>
      <c r="CT8" s="402">
        <v>15</v>
      </c>
      <c r="CU8" s="402"/>
      <c r="CV8" s="402">
        <v>14</v>
      </c>
      <c r="CW8" s="402"/>
      <c r="CX8" s="402"/>
      <c r="CY8" s="402"/>
      <c r="CZ8" s="402">
        <v>3</v>
      </c>
      <c r="DA8" s="402"/>
      <c r="DB8" s="402">
        <v>2</v>
      </c>
      <c r="DC8" s="402"/>
      <c r="DD8" s="402">
        <v>1</v>
      </c>
      <c r="DE8" s="402"/>
    </row>
    <row r="9" spans="2:159" x14ac:dyDescent="0.4">
      <c r="B9" s="2"/>
      <c r="U9" s="1" t="s">
        <v>494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5"/>
      <c r="BC9" s="256"/>
      <c r="BD9" s="255"/>
      <c r="BE9" s="256"/>
      <c r="BF9" s="255"/>
      <c r="BG9" s="256"/>
      <c r="BH9" s="24"/>
      <c r="BI9" s="253"/>
      <c r="BJ9" s="255"/>
      <c r="BK9" s="256"/>
      <c r="BL9" s="255"/>
      <c r="BM9" s="256"/>
      <c r="BN9" s="255"/>
      <c r="BO9" s="256"/>
      <c r="BP9" s="255"/>
      <c r="BQ9" s="256"/>
      <c r="BR9" s="255"/>
      <c r="BS9" s="256"/>
      <c r="BT9" s="255"/>
      <c r="BU9" s="256"/>
      <c r="BV9" s="24"/>
      <c r="BW9" s="253"/>
      <c r="BX9" s="255"/>
      <c r="BY9" s="256"/>
      <c r="BZ9" s="255"/>
      <c r="CA9" s="256"/>
      <c r="CB9" s="255"/>
      <c r="CC9" s="256"/>
      <c r="CD9" s="255"/>
      <c r="CE9" s="256"/>
      <c r="CF9" s="255"/>
      <c r="CG9" s="256"/>
      <c r="CH9" s="255"/>
      <c r="CI9" s="256"/>
      <c r="CJ9" s="24"/>
      <c r="CK9" s="253"/>
      <c r="CL9" s="255"/>
      <c r="CM9" s="256"/>
      <c r="CN9" s="255"/>
      <c r="CO9" s="256"/>
      <c r="CP9" s="255"/>
      <c r="CQ9" s="256"/>
      <c r="CR9" s="255"/>
      <c r="CS9" s="256"/>
      <c r="CT9" s="255"/>
      <c r="CU9" s="256"/>
      <c r="CV9" s="255"/>
      <c r="CW9" s="256"/>
      <c r="CX9" s="24"/>
      <c r="CY9" s="253"/>
      <c r="CZ9" s="255"/>
      <c r="DA9" s="256"/>
      <c r="DB9" s="255"/>
      <c r="DC9" s="256"/>
      <c r="DD9" s="255"/>
      <c r="DE9" s="256"/>
      <c r="DF9" s="253"/>
      <c r="DG9" s="253"/>
      <c r="DH9" s="253"/>
      <c r="DI9" s="253"/>
      <c r="DJ9" s="253"/>
      <c r="DK9" s="253"/>
      <c r="DL9" s="253"/>
      <c r="DM9" s="253"/>
      <c r="DN9" s="253"/>
      <c r="DO9" s="253"/>
      <c r="DP9" s="253"/>
      <c r="DQ9" s="257"/>
      <c r="DR9" s="257"/>
      <c r="DS9" s="257"/>
      <c r="DT9" s="257"/>
      <c r="DU9" s="257"/>
      <c r="DV9" s="257"/>
      <c r="DW9" s="257"/>
      <c r="DX9" s="257"/>
      <c r="DY9" s="257"/>
      <c r="DZ9" s="257"/>
      <c r="EA9" s="257"/>
      <c r="EB9" s="257"/>
      <c r="EC9" s="257"/>
      <c r="ED9" s="257"/>
      <c r="EE9" s="257"/>
      <c r="EF9" s="257"/>
      <c r="EG9" s="257"/>
      <c r="EH9" s="257"/>
      <c r="EI9" s="257"/>
      <c r="EJ9" s="257"/>
      <c r="EK9" s="257"/>
      <c r="EL9" s="257"/>
      <c r="EM9" s="257"/>
      <c r="EN9" s="257"/>
      <c r="EO9" s="257"/>
      <c r="EP9" s="257"/>
      <c r="EQ9" s="257"/>
      <c r="ER9" s="257"/>
      <c r="ES9" s="257"/>
      <c r="ET9" s="257"/>
      <c r="EU9" s="257"/>
      <c r="EV9" s="257"/>
      <c r="EW9" s="257"/>
      <c r="EX9" s="257"/>
      <c r="EY9" s="257"/>
      <c r="EZ9" s="257"/>
      <c r="FA9" s="257"/>
      <c r="FB9" s="257"/>
      <c r="FC9" s="257"/>
    </row>
    <row r="10" spans="2:159" ht="18" thickBot="1" x14ac:dyDescent="0.45">
      <c r="B10" s="2"/>
    </row>
    <row r="11" spans="2:159" x14ac:dyDescent="0.4">
      <c r="B11" s="2" t="s">
        <v>495</v>
      </c>
      <c r="D11" s="208" t="s">
        <v>390</v>
      </c>
      <c r="E11" s="209" t="s">
        <v>430</v>
      </c>
      <c r="F11" s="209" t="s">
        <v>431</v>
      </c>
      <c r="G11" s="209" t="s">
        <v>432</v>
      </c>
      <c r="H11" s="209" t="s">
        <v>374</v>
      </c>
      <c r="I11" s="209" t="s">
        <v>375</v>
      </c>
      <c r="J11" s="209" t="s">
        <v>107</v>
      </c>
      <c r="K11" s="209" t="s">
        <v>108</v>
      </c>
      <c r="L11" s="209" t="s">
        <v>109</v>
      </c>
      <c r="M11" s="209" t="s">
        <v>110</v>
      </c>
      <c r="N11" s="209" t="s">
        <v>111</v>
      </c>
      <c r="O11" s="209" t="s">
        <v>112</v>
      </c>
      <c r="P11" s="209" t="s">
        <v>113</v>
      </c>
      <c r="Q11" s="209" t="s">
        <v>114</v>
      </c>
      <c r="R11" s="209" t="s">
        <v>115</v>
      </c>
      <c r="S11" s="210" t="s">
        <v>116</v>
      </c>
      <c r="U11" s="1" t="s">
        <v>496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406" t="s">
        <v>487</v>
      </c>
      <c r="BC11" s="407"/>
      <c r="BD11" s="407"/>
      <c r="BE11" s="407"/>
      <c r="BF11" s="407"/>
      <c r="BG11" s="407"/>
      <c r="BH11" s="407"/>
      <c r="BI11" s="407"/>
      <c r="BJ11" s="407"/>
      <c r="BK11" s="407"/>
      <c r="BL11" s="407"/>
      <c r="BM11" s="407"/>
      <c r="BN11" s="407"/>
      <c r="BO11" s="408"/>
      <c r="BP11" s="406" t="s">
        <v>488</v>
      </c>
      <c r="BQ11" s="407"/>
      <c r="BR11" s="407"/>
      <c r="BS11" s="407"/>
      <c r="BT11" s="407"/>
      <c r="BU11" s="407"/>
      <c r="BV11" s="407"/>
      <c r="BW11" s="407"/>
      <c r="BX11" s="407"/>
      <c r="BY11" s="407"/>
      <c r="BZ11" s="407"/>
      <c r="CA11" s="407"/>
      <c r="CB11" s="407"/>
      <c r="CC11" s="408"/>
      <c r="CD11" s="399" t="s">
        <v>489</v>
      </c>
      <c r="CE11" s="400"/>
      <c r="CF11" s="400"/>
      <c r="CG11" s="400"/>
      <c r="CH11" s="400"/>
      <c r="CI11" s="400"/>
      <c r="CJ11" s="400"/>
      <c r="CK11" s="400"/>
      <c r="CL11" s="400"/>
      <c r="CM11" s="400"/>
      <c r="CN11" s="400"/>
      <c r="CO11" s="400"/>
      <c r="CP11" s="400"/>
      <c r="CQ11" s="401"/>
      <c r="CR11" s="399" t="s">
        <v>490</v>
      </c>
      <c r="CS11" s="400"/>
      <c r="CT11" s="400"/>
      <c r="CU11" s="400"/>
      <c r="CV11" s="400"/>
      <c r="CW11" s="400"/>
      <c r="CX11" s="400"/>
      <c r="CY11" s="400"/>
      <c r="CZ11" s="400"/>
      <c r="DA11" s="400"/>
      <c r="DB11" s="400"/>
      <c r="DC11" s="400"/>
      <c r="DD11" s="400"/>
      <c r="DE11" s="401"/>
      <c r="DF11" s="26"/>
      <c r="DG11" s="25"/>
      <c r="DH11" s="25"/>
      <c r="DI11" s="25"/>
      <c r="DJ11" s="25"/>
      <c r="DK11" s="25"/>
      <c r="DL11" s="25"/>
      <c r="DM11" s="25"/>
      <c r="DN11" s="25"/>
      <c r="DO11" s="25"/>
      <c r="DP11" s="25"/>
    </row>
    <row r="12" spans="2:159" ht="18" thickBot="1" x14ac:dyDescent="0.45">
      <c r="B12" s="2"/>
      <c r="D12" s="410" t="s">
        <v>497</v>
      </c>
      <c r="E12" s="411"/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2"/>
      <c r="CD12" s="402">
        <v>16</v>
      </c>
      <c r="CE12" s="402"/>
      <c r="CF12" s="402">
        <v>15</v>
      </c>
      <c r="CG12" s="402"/>
      <c r="CH12" s="402">
        <v>14</v>
      </c>
      <c r="CI12" s="402"/>
      <c r="CJ12" s="402"/>
      <c r="CK12" s="402"/>
      <c r="CL12" s="402">
        <v>3</v>
      </c>
      <c r="CM12" s="402"/>
      <c r="CN12" s="402">
        <v>2</v>
      </c>
      <c r="CO12" s="402"/>
      <c r="CP12" s="402">
        <v>1</v>
      </c>
      <c r="CQ12" s="402"/>
      <c r="CR12" s="402">
        <v>16</v>
      </c>
      <c r="CS12" s="402"/>
      <c r="CT12" s="402">
        <v>15</v>
      </c>
      <c r="CU12" s="402"/>
      <c r="CV12" s="402">
        <v>14</v>
      </c>
      <c r="CW12" s="402"/>
      <c r="CX12" s="402"/>
      <c r="CY12" s="402"/>
      <c r="CZ12" s="402">
        <v>3</v>
      </c>
      <c r="DA12" s="402"/>
      <c r="DB12" s="402">
        <v>2</v>
      </c>
      <c r="DC12" s="402"/>
      <c r="DD12" s="402">
        <v>1</v>
      </c>
      <c r="DE12" s="402"/>
    </row>
    <row r="13" spans="2:159" x14ac:dyDescent="0.4">
      <c r="B13" s="2" t="s">
        <v>498</v>
      </c>
      <c r="D13" t="s">
        <v>499</v>
      </c>
      <c r="U13" s="1" t="s">
        <v>500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5"/>
      <c r="CE13" s="256"/>
      <c r="CF13" s="255"/>
      <c r="CG13" s="256"/>
      <c r="CH13" s="255"/>
      <c r="CI13" s="256"/>
      <c r="CJ13" s="24"/>
      <c r="CK13" s="253"/>
      <c r="CL13" s="255"/>
      <c r="CM13" s="256"/>
      <c r="CN13" s="255"/>
      <c r="CO13" s="256"/>
      <c r="CP13" s="255"/>
      <c r="CQ13" s="256"/>
      <c r="CR13" s="255"/>
      <c r="CS13" s="256"/>
      <c r="CT13" s="255"/>
      <c r="CU13" s="256"/>
      <c r="CV13" s="255"/>
      <c r="CW13" s="256"/>
      <c r="CX13" s="24"/>
      <c r="CY13" s="253"/>
      <c r="CZ13" s="255"/>
      <c r="DA13" s="256"/>
      <c r="DB13" s="255"/>
      <c r="DC13" s="256"/>
      <c r="DD13" s="255"/>
      <c r="DE13" s="256"/>
      <c r="DF13" s="253"/>
      <c r="DG13" s="253"/>
      <c r="DH13" s="253"/>
      <c r="DI13" s="253"/>
      <c r="DJ13" s="253"/>
      <c r="DK13" s="253"/>
      <c r="DL13" s="253"/>
      <c r="DM13" s="253"/>
      <c r="DN13" s="253"/>
      <c r="DO13" s="253"/>
      <c r="DP13" s="253"/>
      <c r="DQ13" s="257"/>
      <c r="DR13" s="257"/>
      <c r="DS13" s="257"/>
      <c r="DT13" s="257"/>
      <c r="DU13" s="257"/>
      <c r="DV13" s="257"/>
      <c r="DW13" s="257"/>
      <c r="DX13" s="257"/>
      <c r="DY13" s="257"/>
      <c r="DZ13" s="257"/>
      <c r="EA13" s="257"/>
      <c r="EB13" s="257"/>
      <c r="EC13" s="257"/>
      <c r="ED13" s="257"/>
      <c r="EE13" s="257"/>
      <c r="EF13" s="257"/>
      <c r="EG13" s="257"/>
      <c r="EH13" s="257"/>
      <c r="EI13" s="257"/>
      <c r="EJ13" s="257"/>
      <c r="EK13" s="257"/>
      <c r="EL13" s="257"/>
      <c r="EM13" s="257"/>
      <c r="EN13" s="257"/>
      <c r="EO13" s="257"/>
      <c r="EP13" s="257"/>
      <c r="EQ13" s="257"/>
      <c r="ER13" s="257"/>
      <c r="ES13" s="257"/>
      <c r="ET13" s="257"/>
      <c r="EU13" s="257"/>
      <c r="EV13" s="257"/>
      <c r="EW13" s="257"/>
      <c r="EX13" s="257"/>
      <c r="EY13" s="257"/>
      <c r="EZ13" s="257"/>
      <c r="FA13" s="257"/>
      <c r="FB13" s="257"/>
      <c r="FC13" s="257"/>
    </row>
    <row r="14" spans="2:159" x14ac:dyDescent="0.4">
      <c r="B14" s="2"/>
      <c r="D14" t="s">
        <v>501</v>
      </c>
    </row>
    <row r="15" spans="2:159" x14ac:dyDescent="0.4">
      <c r="B15" s="2"/>
      <c r="D15" t="s">
        <v>499</v>
      </c>
      <c r="U15" s="1" t="s">
        <v>502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399" t="s">
        <v>489</v>
      </c>
      <c r="CE15" s="400"/>
      <c r="CF15" s="400"/>
      <c r="CG15" s="400"/>
      <c r="CH15" s="400"/>
      <c r="CI15" s="400"/>
      <c r="CJ15" s="400"/>
      <c r="CK15" s="400"/>
      <c r="CL15" s="400"/>
      <c r="CM15" s="400"/>
      <c r="CN15" s="400"/>
      <c r="CO15" s="400"/>
      <c r="CP15" s="400"/>
      <c r="CQ15" s="401"/>
      <c r="CR15" s="399" t="s">
        <v>490</v>
      </c>
      <c r="CS15" s="400"/>
      <c r="CT15" s="400"/>
      <c r="CU15" s="400"/>
      <c r="CV15" s="400"/>
      <c r="CW15" s="400"/>
      <c r="CX15" s="400"/>
      <c r="CY15" s="400"/>
      <c r="CZ15" s="400"/>
      <c r="DA15" s="400"/>
      <c r="DB15" s="400"/>
      <c r="DC15" s="400"/>
      <c r="DD15" s="400"/>
      <c r="DE15" s="401"/>
      <c r="DF15" s="26"/>
      <c r="DG15" s="25"/>
      <c r="DH15" s="25"/>
      <c r="DI15" s="25"/>
      <c r="DJ15" s="25"/>
      <c r="DK15" s="25"/>
      <c r="DL15" s="25"/>
      <c r="DM15" s="25"/>
      <c r="DN15" s="25"/>
      <c r="DO15" s="25"/>
      <c r="DP15" s="25"/>
    </row>
    <row r="16" spans="2:159" x14ac:dyDescent="0.4">
      <c r="B16" s="2"/>
      <c r="D16" t="s">
        <v>503</v>
      </c>
    </row>
    <row r="18" spans="1:159" x14ac:dyDescent="0.4">
      <c r="U18" s="6" t="s">
        <v>504</v>
      </c>
    </row>
    <row r="19" spans="1:159" x14ac:dyDescent="0.4">
      <c r="U19" s="248" t="s">
        <v>474</v>
      </c>
      <c r="V19" s="28"/>
      <c r="W19" s="29"/>
      <c r="X19" s="26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DB19" s="25"/>
      <c r="DC19" s="25"/>
      <c r="DD19" s="25"/>
      <c r="DE19" s="25"/>
      <c r="DF19" s="25"/>
      <c r="DG19" s="21"/>
      <c r="DH19" s="27"/>
      <c r="DI19" s="28"/>
      <c r="DJ19" s="28"/>
      <c r="DK19" s="28"/>
      <c r="DL19" s="28"/>
      <c r="DM19" s="28"/>
      <c r="DN19" s="29"/>
      <c r="DO19" s="26"/>
      <c r="DP19" s="25"/>
    </row>
    <row r="20" spans="1:159" s="252" customFormat="1" x14ac:dyDescent="0.4">
      <c r="A20"/>
      <c r="C20" s="1"/>
      <c r="D20"/>
      <c r="G20"/>
      <c r="H20"/>
      <c r="I20"/>
      <c r="J20"/>
      <c r="K20"/>
      <c r="U20" s="1"/>
      <c r="V20"/>
      <c r="W20"/>
      <c r="X20" s="6"/>
      <c r="Y20" s="6"/>
      <c r="Z20" s="377">
        <v>16</v>
      </c>
      <c r="AA20" s="377"/>
      <c r="AB20" s="377">
        <v>15</v>
      </c>
      <c r="AC20" s="377"/>
      <c r="AD20" s="258"/>
      <c r="AE20" s="258"/>
      <c r="AF20" s="377">
        <v>1</v>
      </c>
      <c r="AG20" s="377"/>
      <c r="AH20" s="377">
        <v>16</v>
      </c>
      <c r="AI20" s="377"/>
      <c r="AJ20" s="377">
        <v>15</v>
      </c>
      <c r="AK20" s="377"/>
      <c r="AL20" s="258"/>
      <c r="AM20" s="258"/>
      <c r="AN20" s="377">
        <v>1</v>
      </c>
      <c r="AO20" s="377"/>
      <c r="AP20" s="377">
        <v>16</v>
      </c>
      <c r="AQ20" s="377"/>
      <c r="AR20" s="377">
        <v>15</v>
      </c>
      <c r="AS20" s="377"/>
      <c r="AT20" s="258"/>
      <c r="AU20" s="258"/>
      <c r="AV20" s="377">
        <v>1</v>
      </c>
      <c r="AW20" s="377"/>
      <c r="AX20" s="377">
        <v>16</v>
      </c>
      <c r="AY20" s="377"/>
      <c r="AZ20" s="377">
        <v>15</v>
      </c>
      <c r="BA20" s="377"/>
      <c r="BB20" s="258"/>
      <c r="BC20" s="258"/>
      <c r="BD20" s="377">
        <v>1</v>
      </c>
      <c r="BE20" s="377"/>
      <c r="BF20" s="377">
        <v>16</v>
      </c>
      <c r="BG20" s="377"/>
      <c r="BH20" s="377">
        <v>15</v>
      </c>
      <c r="BI20" s="377"/>
      <c r="BJ20" s="258"/>
      <c r="BK20" s="258"/>
      <c r="BL20" s="377">
        <v>1</v>
      </c>
      <c r="BM20" s="377"/>
      <c r="BN20" s="377">
        <v>16</v>
      </c>
      <c r="BO20" s="377"/>
      <c r="BP20" s="377">
        <v>15</v>
      </c>
      <c r="BQ20" s="377"/>
      <c r="BR20" s="258"/>
      <c r="BS20" s="258"/>
      <c r="BT20" s="377">
        <v>1</v>
      </c>
      <c r="BU20" s="377"/>
      <c r="BV20" s="377">
        <v>16</v>
      </c>
      <c r="BW20" s="377"/>
      <c r="BX20" s="377">
        <v>15</v>
      </c>
      <c r="BY20" s="377"/>
      <c r="BZ20" s="258"/>
      <c r="CA20" s="258"/>
      <c r="CB20" s="377">
        <v>1</v>
      </c>
      <c r="CC20" s="377"/>
      <c r="CD20" s="377">
        <v>16</v>
      </c>
      <c r="CE20" s="377"/>
      <c r="CF20" s="377">
        <v>15</v>
      </c>
      <c r="CG20" s="377"/>
      <c r="CH20" s="258"/>
      <c r="CI20" s="258"/>
      <c r="CJ20" s="377">
        <v>1</v>
      </c>
      <c r="CK20" s="377"/>
      <c r="CL20" s="377">
        <v>16</v>
      </c>
      <c r="CM20" s="377"/>
      <c r="CN20" s="377">
        <v>15</v>
      </c>
      <c r="CO20" s="377"/>
      <c r="CP20" s="258"/>
      <c r="CQ20" s="258"/>
      <c r="CR20" s="377">
        <v>1</v>
      </c>
      <c r="CS20" s="377"/>
      <c r="CT20" s="377">
        <v>16</v>
      </c>
      <c r="CU20" s="377"/>
      <c r="CV20" s="377">
        <v>15</v>
      </c>
      <c r="CW20" s="377"/>
      <c r="CX20" s="258"/>
      <c r="CY20" s="258"/>
      <c r="CZ20" s="377">
        <v>1</v>
      </c>
      <c r="DA20" s="377"/>
      <c r="DB20" s="258"/>
      <c r="DC20" s="258"/>
      <c r="DD20" s="258"/>
      <c r="DE20" s="258"/>
      <c r="DF20" s="258"/>
      <c r="DG20" s="258"/>
      <c r="DH20" s="249"/>
      <c r="DI20" s="249"/>
      <c r="DJ20" s="249"/>
      <c r="DK20" s="249"/>
      <c r="DL20" s="249"/>
      <c r="DO20" s="258"/>
      <c r="DP20" s="258"/>
      <c r="DQ20" s="259"/>
      <c r="DR20" s="259"/>
      <c r="DS20" s="259"/>
      <c r="DT20" s="259"/>
      <c r="DU20" s="259"/>
      <c r="DV20" s="259"/>
      <c r="DW20" s="259"/>
      <c r="DX20" s="259"/>
      <c r="DY20" s="259"/>
      <c r="DZ20" s="259"/>
      <c r="EA20" s="259"/>
      <c r="EB20" s="259"/>
      <c r="EC20" s="259"/>
      <c r="ED20" s="259"/>
      <c r="EE20" s="259"/>
      <c r="EF20" s="259"/>
      <c r="EG20" s="259"/>
      <c r="EH20" s="259"/>
      <c r="EI20" s="259"/>
      <c r="EJ20" s="259"/>
      <c r="EK20" s="259"/>
      <c r="EL20" s="259"/>
      <c r="EM20" s="259"/>
      <c r="EN20" s="259"/>
      <c r="EO20" s="259"/>
      <c r="EP20" s="259"/>
      <c r="EQ20" s="259"/>
      <c r="ER20" s="259"/>
      <c r="ES20" s="259"/>
      <c r="ET20" s="259"/>
      <c r="EU20" s="259"/>
      <c r="EV20" s="259"/>
      <c r="EW20" s="259"/>
      <c r="EX20" s="259"/>
      <c r="EY20" s="259"/>
      <c r="EZ20" s="259"/>
      <c r="FA20" s="259"/>
      <c r="FB20" s="259"/>
      <c r="FC20" s="259"/>
    </row>
    <row r="21" spans="1:159" x14ac:dyDescent="0.4">
      <c r="U21" s="1" t="s">
        <v>479</v>
      </c>
      <c r="V21" s="253"/>
      <c r="W21" s="253"/>
      <c r="X21" s="253"/>
      <c r="Y21" s="254"/>
      <c r="Z21" s="255"/>
      <c r="AA21" s="256"/>
      <c r="AB21" s="255"/>
      <c r="AC21" s="256"/>
      <c r="AD21" s="260"/>
      <c r="AE21" s="253"/>
      <c r="AF21" s="255"/>
      <c r="AG21" s="256"/>
      <c r="AH21" s="255"/>
      <c r="AI21" s="256"/>
      <c r="AJ21" s="255"/>
      <c r="AK21" s="256"/>
      <c r="AL21" s="260"/>
      <c r="AM21" s="253"/>
      <c r="AN21" s="255"/>
      <c r="AO21" s="256"/>
      <c r="AP21" s="255"/>
      <c r="AQ21" s="256"/>
      <c r="AR21" s="255"/>
      <c r="AS21" s="256"/>
      <c r="AT21" s="260"/>
      <c r="AU21" s="253"/>
      <c r="AV21" s="255"/>
      <c r="AW21" s="256"/>
      <c r="AX21" s="255"/>
      <c r="AY21" s="256"/>
      <c r="AZ21" s="255"/>
      <c r="BA21" s="256"/>
      <c r="BB21" s="260"/>
      <c r="BC21" s="253"/>
      <c r="BD21" s="255"/>
      <c r="BE21" s="256"/>
      <c r="BF21" s="255"/>
      <c r="BG21" s="256"/>
      <c r="BH21" s="255"/>
      <c r="BI21" s="256"/>
      <c r="BJ21" s="260"/>
      <c r="BK21" s="253"/>
      <c r="BL21" s="255"/>
      <c r="BM21" s="256"/>
      <c r="BN21" s="255"/>
      <c r="BO21" s="256"/>
      <c r="BP21" s="255"/>
      <c r="BQ21" s="256"/>
      <c r="BR21" s="260"/>
      <c r="BS21" s="253"/>
      <c r="BT21" s="255"/>
      <c r="BU21" s="256"/>
      <c r="BV21" s="255"/>
      <c r="BW21" s="256"/>
      <c r="BX21" s="255"/>
      <c r="BY21" s="256"/>
      <c r="BZ21" s="260"/>
      <c r="CA21" s="253"/>
      <c r="CB21" s="255"/>
      <c r="CC21" s="256"/>
      <c r="CD21" s="255"/>
      <c r="CE21" s="256"/>
      <c r="CF21" s="255"/>
      <c r="CG21" s="256"/>
      <c r="CH21" s="260"/>
      <c r="CI21" s="253"/>
      <c r="CJ21" s="255"/>
      <c r="CK21" s="256"/>
      <c r="CL21" s="255"/>
      <c r="CM21" s="256"/>
      <c r="CN21" s="255"/>
      <c r="CO21" s="256"/>
      <c r="CP21" s="260"/>
      <c r="CQ21" s="253"/>
      <c r="CR21" s="255"/>
      <c r="CS21" s="256"/>
      <c r="CT21" s="255"/>
      <c r="CU21" s="256"/>
      <c r="CV21" s="255"/>
      <c r="CW21" s="256"/>
      <c r="CX21" s="260"/>
      <c r="CY21" s="253"/>
      <c r="CZ21" s="255"/>
      <c r="DA21" s="256"/>
      <c r="DB21" s="253"/>
      <c r="DC21" s="253"/>
      <c r="DD21" s="253"/>
      <c r="DE21" s="253"/>
      <c r="DF21" s="253"/>
      <c r="DG21" s="253"/>
      <c r="DH21" s="253"/>
      <c r="DI21" s="253"/>
      <c r="DJ21" s="253"/>
      <c r="DK21" s="253"/>
      <c r="DL21" s="253"/>
      <c r="DM21" s="253"/>
      <c r="DN21" s="253"/>
      <c r="DO21" s="253"/>
      <c r="DP21" s="253"/>
      <c r="DQ21" s="257"/>
      <c r="DR21" s="257"/>
      <c r="DS21" s="257"/>
      <c r="DT21" s="257"/>
      <c r="DU21" s="257"/>
      <c r="DV21" s="257"/>
      <c r="DW21" s="257"/>
      <c r="DX21" s="257"/>
      <c r="DY21" s="257"/>
      <c r="DZ21" s="257"/>
      <c r="EA21" s="257"/>
      <c r="EB21" s="257"/>
      <c r="EC21" s="257"/>
      <c r="ED21" s="257"/>
      <c r="EE21" s="257"/>
      <c r="EF21" s="257"/>
      <c r="EG21" s="257"/>
      <c r="EH21" s="257"/>
      <c r="EI21" s="257"/>
      <c r="EJ21" s="257"/>
      <c r="EK21" s="257"/>
      <c r="EL21" s="257"/>
      <c r="EM21" s="257"/>
      <c r="EN21" s="257"/>
      <c r="EO21" s="257"/>
      <c r="EP21" s="257"/>
      <c r="EQ21" s="257"/>
      <c r="ER21" s="257"/>
      <c r="ES21" s="257"/>
      <c r="ET21" s="257"/>
      <c r="EU21" s="257"/>
      <c r="EV21" s="257"/>
      <c r="EW21" s="257"/>
      <c r="EX21" s="257"/>
      <c r="EY21" s="257"/>
      <c r="EZ21" s="257"/>
      <c r="FA21" s="257"/>
      <c r="FB21" s="257"/>
      <c r="FC21" s="257"/>
    </row>
    <row r="22" spans="1:159" x14ac:dyDescent="0.25">
      <c r="AD22" s="260"/>
      <c r="AH22" s="392" t="s">
        <v>505</v>
      </c>
      <c r="AI22" s="392"/>
      <c r="AJ22" s="392"/>
      <c r="AK22" s="392"/>
      <c r="AL22" s="392"/>
      <c r="AM22" s="392"/>
      <c r="AN22" s="392"/>
      <c r="AO22" s="392"/>
    </row>
    <row r="23" spans="1:159" x14ac:dyDescent="0.4">
      <c r="U23" s="1" t="s">
        <v>484</v>
      </c>
      <c r="V23" s="25"/>
      <c r="W23" s="25"/>
      <c r="X23" s="25"/>
      <c r="Y23" s="25"/>
      <c r="Z23" s="386" t="s">
        <v>506</v>
      </c>
      <c r="AA23" s="387"/>
      <c r="AB23" s="387"/>
      <c r="AC23" s="387"/>
      <c r="AD23" s="387"/>
      <c r="AE23" s="387"/>
      <c r="AF23" s="387"/>
      <c r="AG23" s="388"/>
      <c r="AH23" s="386" t="s">
        <v>507</v>
      </c>
      <c r="AI23" s="387"/>
      <c r="AJ23" s="387"/>
      <c r="AK23" s="387"/>
      <c r="AL23" s="387"/>
      <c r="AM23" s="387"/>
      <c r="AN23" s="387"/>
      <c r="AO23" s="388"/>
      <c r="AP23" s="382" t="s">
        <v>508</v>
      </c>
      <c r="AQ23" s="383"/>
      <c r="AR23" s="383"/>
      <c r="AS23" s="383"/>
      <c r="AT23" s="383"/>
      <c r="AU23" s="383"/>
      <c r="AV23" s="383"/>
      <c r="AW23" s="384"/>
      <c r="AX23" s="382" t="s">
        <v>509</v>
      </c>
      <c r="AY23" s="383"/>
      <c r="AZ23" s="383"/>
      <c r="BA23" s="383"/>
      <c r="BB23" s="383"/>
      <c r="BC23" s="383"/>
      <c r="BD23" s="383"/>
      <c r="BE23" s="384"/>
      <c r="BF23" s="382" t="s">
        <v>510</v>
      </c>
      <c r="BG23" s="383"/>
      <c r="BH23" s="383"/>
      <c r="BI23" s="383"/>
      <c r="BJ23" s="383"/>
      <c r="BK23" s="383"/>
      <c r="BL23" s="383"/>
      <c r="BM23" s="384"/>
      <c r="BN23" s="382" t="s">
        <v>511</v>
      </c>
      <c r="BO23" s="383"/>
      <c r="BP23" s="383"/>
      <c r="BQ23" s="383"/>
      <c r="BR23" s="383"/>
      <c r="BS23" s="383"/>
      <c r="BT23" s="383"/>
      <c r="BU23" s="384"/>
      <c r="BV23" s="382" t="s">
        <v>512</v>
      </c>
      <c r="BW23" s="383"/>
      <c r="BX23" s="383"/>
      <c r="BY23" s="383"/>
      <c r="BZ23" s="383"/>
      <c r="CA23" s="383"/>
      <c r="CB23" s="383"/>
      <c r="CC23" s="384"/>
      <c r="CD23" s="379" t="s">
        <v>513</v>
      </c>
      <c r="CE23" s="380"/>
      <c r="CF23" s="380"/>
      <c r="CG23" s="380"/>
      <c r="CH23" s="380"/>
      <c r="CI23" s="380"/>
      <c r="CJ23" s="380"/>
      <c r="CK23" s="381"/>
      <c r="CL23" s="379" t="s">
        <v>514</v>
      </c>
      <c r="CM23" s="380"/>
      <c r="CN23" s="380"/>
      <c r="CO23" s="380"/>
      <c r="CP23" s="380"/>
      <c r="CQ23" s="380"/>
      <c r="CR23" s="380"/>
      <c r="CS23" s="381"/>
      <c r="CT23" s="379" t="s">
        <v>515</v>
      </c>
      <c r="CU23" s="380"/>
      <c r="CV23" s="380"/>
      <c r="CW23" s="380"/>
      <c r="CX23" s="380"/>
      <c r="CY23" s="380"/>
      <c r="CZ23" s="380"/>
      <c r="DA23" s="381"/>
      <c r="DB23" s="253"/>
      <c r="DC23" s="253"/>
      <c r="DD23" s="253"/>
      <c r="DE23" s="253"/>
      <c r="DF23" s="253"/>
      <c r="DG23" s="253"/>
      <c r="DH23" s="253"/>
      <c r="DI23" s="253"/>
      <c r="DJ23" s="253"/>
      <c r="DK23" s="253"/>
      <c r="DL23" s="253"/>
      <c r="DM23" s="253"/>
      <c r="DN23" s="253"/>
      <c r="DO23" s="253"/>
      <c r="DP23" s="253"/>
      <c r="DQ23" s="257"/>
      <c r="DR23" s="257"/>
      <c r="DS23" s="257"/>
      <c r="DT23" s="257"/>
      <c r="DU23" s="257"/>
      <c r="DV23" s="257"/>
      <c r="DW23" s="257"/>
      <c r="DX23" s="257"/>
      <c r="DY23" s="257"/>
      <c r="DZ23" s="257"/>
      <c r="EA23" s="257"/>
      <c r="EB23" s="257"/>
      <c r="EC23" s="257"/>
      <c r="ED23" s="257"/>
      <c r="EE23" s="257"/>
      <c r="EF23" s="257"/>
      <c r="EG23" s="257"/>
      <c r="EH23" s="257"/>
      <c r="EI23" s="257"/>
      <c r="EJ23" s="257"/>
      <c r="EK23" s="257"/>
      <c r="EL23" s="257"/>
      <c r="EM23" s="257"/>
      <c r="EN23" s="257"/>
      <c r="EO23" s="257"/>
      <c r="EP23" s="257"/>
      <c r="EQ23" s="257"/>
      <c r="ER23" s="257"/>
      <c r="ES23" s="257"/>
      <c r="ET23" s="257"/>
      <c r="EU23" s="257"/>
      <c r="EV23" s="257"/>
      <c r="EW23" s="257"/>
      <c r="EX23" s="257"/>
      <c r="EY23" s="257"/>
      <c r="EZ23" s="257"/>
      <c r="FA23" s="257"/>
      <c r="FB23" s="257"/>
      <c r="FC23" s="257"/>
    </row>
    <row r="24" spans="1:159" x14ac:dyDescent="0.2">
      <c r="AP24" s="377">
        <v>16</v>
      </c>
      <c r="AQ24" s="377"/>
      <c r="AR24" s="377">
        <v>15</v>
      </c>
      <c r="AS24" s="377"/>
      <c r="AT24" s="258"/>
      <c r="AU24" s="258"/>
      <c r="AV24" s="377">
        <v>1</v>
      </c>
      <c r="AW24" s="377"/>
      <c r="AX24" s="377">
        <v>16</v>
      </c>
      <c r="AY24" s="377"/>
      <c r="AZ24" s="377">
        <v>15</v>
      </c>
      <c r="BA24" s="377"/>
      <c r="BB24" s="258"/>
      <c r="BC24" s="258"/>
      <c r="BD24" s="377">
        <v>1</v>
      </c>
      <c r="BE24" s="377"/>
      <c r="BF24" s="377">
        <v>16</v>
      </c>
      <c r="BG24" s="377"/>
      <c r="BH24" s="377">
        <v>15</v>
      </c>
      <c r="BI24" s="377"/>
      <c r="BJ24" s="258"/>
      <c r="BK24" s="258"/>
      <c r="BL24" s="377">
        <v>1</v>
      </c>
      <c r="BM24" s="377"/>
      <c r="BN24" s="377">
        <v>16</v>
      </c>
      <c r="BO24" s="377"/>
      <c r="BP24" s="377">
        <v>15</v>
      </c>
      <c r="BQ24" s="377"/>
      <c r="BR24" s="258"/>
      <c r="BS24" s="258"/>
      <c r="BT24" s="377">
        <v>1</v>
      </c>
      <c r="BU24" s="377"/>
      <c r="BV24" s="377">
        <v>16</v>
      </c>
      <c r="BW24" s="377"/>
      <c r="BX24" s="377">
        <v>15</v>
      </c>
      <c r="BY24" s="377"/>
      <c r="BZ24" s="258"/>
      <c r="CA24" s="258"/>
      <c r="CB24" s="377">
        <v>1</v>
      </c>
      <c r="CC24" s="377"/>
      <c r="CD24" s="377">
        <v>16</v>
      </c>
      <c r="CE24" s="377"/>
      <c r="CF24" s="377">
        <v>15</v>
      </c>
      <c r="CG24" s="377"/>
      <c r="CH24" s="258"/>
      <c r="CI24" s="258"/>
      <c r="CJ24" s="377">
        <v>1</v>
      </c>
      <c r="CK24" s="377"/>
      <c r="CL24" s="377">
        <v>16</v>
      </c>
      <c r="CM24" s="377"/>
      <c r="CN24" s="377">
        <v>15</v>
      </c>
      <c r="CO24" s="377"/>
      <c r="CP24" s="258"/>
      <c r="CQ24" s="258"/>
      <c r="CR24" s="377">
        <v>1</v>
      </c>
      <c r="CS24" s="377"/>
      <c r="CT24" s="377">
        <v>16</v>
      </c>
      <c r="CU24" s="377"/>
      <c r="CV24" s="377">
        <v>15</v>
      </c>
      <c r="CW24" s="377"/>
      <c r="CX24" s="258"/>
      <c r="CY24" s="258"/>
      <c r="CZ24" s="377">
        <v>1</v>
      </c>
      <c r="DA24" s="377"/>
    </row>
    <row r="25" spans="1:159" x14ac:dyDescent="0.4">
      <c r="U25" s="1" t="s">
        <v>494</v>
      </c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5"/>
      <c r="AQ25" s="256"/>
      <c r="AR25" s="255"/>
      <c r="AS25" s="256"/>
      <c r="AT25" s="260"/>
      <c r="AU25" s="253"/>
      <c r="AV25" s="255"/>
      <c r="AW25" s="256"/>
      <c r="AX25" s="255"/>
      <c r="AY25" s="256"/>
      <c r="AZ25" s="255"/>
      <c r="BA25" s="256"/>
      <c r="BB25" s="260"/>
      <c r="BC25" s="253"/>
      <c r="BD25" s="255"/>
      <c r="BE25" s="256"/>
      <c r="BF25" s="255"/>
      <c r="BG25" s="256"/>
      <c r="BH25" s="255"/>
      <c r="BI25" s="256"/>
      <c r="BJ25" s="260"/>
      <c r="BK25" s="253"/>
      <c r="BL25" s="255"/>
      <c r="BM25" s="256"/>
      <c r="BN25" s="255"/>
      <c r="BO25" s="256"/>
      <c r="BP25" s="255"/>
      <c r="BQ25" s="256"/>
      <c r="BR25" s="260"/>
      <c r="BS25" s="253"/>
      <c r="BT25" s="255"/>
      <c r="BU25" s="256"/>
      <c r="BV25" s="255"/>
      <c r="BW25" s="256"/>
      <c r="BX25" s="255"/>
      <c r="BY25" s="256"/>
      <c r="BZ25" s="260"/>
      <c r="CA25" s="253"/>
      <c r="CB25" s="255"/>
      <c r="CC25" s="256"/>
      <c r="CD25" s="255"/>
      <c r="CE25" s="256"/>
      <c r="CF25" s="255"/>
      <c r="CG25" s="256"/>
      <c r="CH25" s="260"/>
      <c r="CI25" s="253"/>
      <c r="CJ25" s="255"/>
      <c r="CK25" s="256"/>
      <c r="CL25" s="255"/>
      <c r="CM25" s="256"/>
      <c r="CN25" s="255"/>
      <c r="CO25" s="256"/>
      <c r="CP25" s="260"/>
      <c r="CQ25" s="253"/>
      <c r="CR25" s="255"/>
      <c r="CS25" s="256"/>
      <c r="CT25" s="255"/>
      <c r="CU25" s="256"/>
      <c r="CV25" s="255"/>
      <c r="CW25" s="256"/>
      <c r="CX25" s="260"/>
      <c r="CY25" s="253"/>
      <c r="CZ25" s="255"/>
      <c r="DA25" s="256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</row>
    <row r="26" spans="1:159" x14ac:dyDescent="0.25">
      <c r="AX26" s="392" t="s">
        <v>516</v>
      </c>
      <c r="AY26" s="392"/>
      <c r="AZ26" s="392"/>
      <c r="BA26" s="392"/>
      <c r="BB26" s="392"/>
      <c r="BC26" s="392"/>
      <c r="BD26" s="392"/>
      <c r="BE26" s="392"/>
      <c r="BF26" s="392" t="s">
        <v>517</v>
      </c>
      <c r="BG26" s="392"/>
      <c r="BH26" s="392"/>
      <c r="BI26" s="392"/>
      <c r="BJ26" s="392"/>
      <c r="BK26" s="392"/>
      <c r="BL26" s="392"/>
      <c r="BM26" s="392"/>
      <c r="BN26" s="392" t="s">
        <v>518</v>
      </c>
      <c r="BO26" s="392"/>
      <c r="BP26" s="392"/>
      <c r="BQ26" s="392"/>
      <c r="BR26" s="392"/>
      <c r="BS26" s="392"/>
      <c r="BT26" s="392"/>
      <c r="BU26" s="392"/>
      <c r="BV26" s="392" t="s">
        <v>519</v>
      </c>
      <c r="BW26" s="392"/>
      <c r="BX26" s="392"/>
      <c r="BY26" s="392"/>
      <c r="BZ26" s="392"/>
      <c r="CA26" s="392"/>
      <c r="CB26" s="392"/>
      <c r="CC26" s="392"/>
    </row>
    <row r="27" spans="1:159" x14ac:dyDescent="0.4">
      <c r="U27" s="1" t="s">
        <v>496</v>
      </c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382" t="s">
        <v>508</v>
      </c>
      <c r="AQ27" s="383"/>
      <c r="AR27" s="383"/>
      <c r="AS27" s="383"/>
      <c r="AT27" s="383"/>
      <c r="AU27" s="383"/>
      <c r="AV27" s="383"/>
      <c r="AW27" s="384"/>
      <c r="AX27" s="382" t="s">
        <v>509</v>
      </c>
      <c r="AY27" s="383"/>
      <c r="AZ27" s="383"/>
      <c r="BA27" s="383"/>
      <c r="BB27" s="383"/>
      <c r="BC27" s="383"/>
      <c r="BD27" s="383"/>
      <c r="BE27" s="384"/>
      <c r="BF27" s="382" t="s">
        <v>510</v>
      </c>
      <c r="BG27" s="383"/>
      <c r="BH27" s="383"/>
      <c r="BI27" s="383"/>
      <c r="BJ27" s="383"/>
      <c r="BK27" s="383"/>
      <c r="BL27" s="383"/>
      <c r="BM27" s="384"/>
      <c r="BN27" s="382" t="s">
        <v>511</v>
      </c>
      <c r="BO27" s="383"/>
      <c r="BP27" s="383"/>
      <c r="BQ27" s="383"/>
      <c r="BR27" s="383"/>
      <c r="BS27" s="383"/>
      <c r="BT27" s="383"/>
      <c r="BU27" s="384"/>
      <c r="BV27" s="382" t="s">
        <v>512</v>
      </c>
      <c r="BW27" s="383"/>
      <c r="BX27" s="383"/>
      <c r="BY27" s="383"/>
      <c r="BZ27" s="383"/>
      <c r="CA27" s="383"/>
      <c r="CB27" s="383"/>
      <c r="CC27" s="384"/>
      <c r="CD27" s="379" t="s">
        <v>513</v>
      </c>
      <c r="CE27" s="380"/>
      <c r="CF27" s="380"/>
      <c r="CG27" s="380"/>
      <c r="CH27" s="380"/>
      <c r="CI27" s="380"/>
      <c r="CJ27" s="380"/>
      <c r="CK27" s="381"/>
      <c r="CL27" s="379" t="s">
        <v>514</v>
      </c>
      <c r="CM27" s="380"/>
      <c r="CN27" s="380"/>
      <c r="CO27" s="380"/>
      <c r="CP27" s="380"/>
      <c r="CQ27" s="380"/>
      <c r="CR27" s="380"/>
      <c r="CS27" s="381"/>
      <c r="CT27" s="379" t="s">
        <v>515</v>
      </c>
      <c r="CU27" s="380"/>
      <c r="CV27" s="380"/>
      <c r="CW27" s="380"/>
      <c r="CX27" s="380"/>
      <c r="CY27" s="380"/>
      <c r="CZ27" s="380"/>
      <c r="DA27" s="381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</row>
    <row r="28" spans="1:159" x14ac:dyDescent="0.2">
      <c r="CD28" s="377">
        <v>16</v>
      </c>
      <c r="CE28" s="377"/>
      <c r="CF28" s="377">
        <v>15</v>
      </c>
      <c r="CG28" s="377"/>
      <c r="CH28" s="258"/>
      <c r="CI28" s="258"/>
      <c r="CJ28" s="377">
        <v>1</v>
      </c>
      <c r="CK28" s="377"/>
      <c r="CL28" s="377">
        <v>16</v>
      </c>
      <c r="CM28" s="377"/>
      <c r="CN28" s="377">
        <v>15</v>
      </c>
      <c r="CO28" s="377"/>
      <c r="CP28" s="258"/>
      <c r="CQ28" s="258"/>
      <c r="CR28" s="377">
        <v>1</v>
      </c>
      <c r="CS28" s="377"/>
      <c r="CT28" s="377">
        <v>16</v>
      </c>
      <c r="CU28" s="377"/>
      <c r="CV28" s="377">
        <v>15</v>
      </c>
      <c r="CW28" s="377"/>
      <c r="CX28" s="258"/>
      <c r="CY28" s="258"/>
      <c r="CZ28" s="377">
        <v>1</v>
      </c>
      <c r="DA28" s="377"/>
    </row>
    <row r="29" spans="1:159" x14ac:dyDescent="0.4">
      <c r="U29" s="1" t="s">
        <v>500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5"/>
      <c r="CE29" s="256"/>
      <c r="CF29" s="255"/>
      <c r="CG29" s="256"/>
      <c r="CH29" s="260"/>
      <c r="CI29" s="253"/>
      <c r="CJ29" s="255"/>
      <c r="CK29" s="256"/>
      <c r="CL29" s="255"/>
      <c r="CM29" s="256"/>
      <c r="CN29" s="255"/>
      <c r="CO29" s="256"/>
      <c r="CP29" s="260"/>
      <c r="CQ29" s="253"/>
      <c r="CR29" s="255"/>
      <c r="CS29" s="256"/>
      <c r="CT29" s="255"/>
      <c r="CU29" s="256"/>
      <c r="CV29" s="255"/>
      <c r="CW29" s="256"/>
      <c r="CX29" s="260"/>
      <c r="CY29" s="253"/>
      <c r="CZ29" s="255"/>
      <c r="DA29" s="256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</row>
    <row r="30" spans="1:159" x14ac:dyDescent="0.25">
      <c r="CL30" s="392" t="s">
        <v>520</v>
      </c>
      <c r="CM30" s="392"/>
      <c r="CN30" s="392"/>
      <c r="CO30" s="392"/>
      <c r="CP30" s="392"/>
      <c r="CQ30" s="392"/>
      <c r="CR30" s="392"/>
      <c r="CS30" s="392"/>
      <c r="CT30" s="392" t="s">
        <v>521</v>
      </c>
      <c r="CU30" s="392"/>
      <c r="CV30" s="392"/>
      <c r="CW30" s="392"/>
      <c r="CX30" s="392"/>
      <c r="CY30" s="392"/>
      <c r="CZ30" s="392"/>
      <c r="DA30" s="392"/>
    </row>
    <row r="31" spans="1:159" x14ac:dyDescent="0.4">
      <c r="U31" s="1" t="s">
        <v>502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379" t="s">
        <v>513</v>
      </c>
      <c r="CE31" s="380"/>
      <c r="CF31" s="380"/>
      <c r="CG31" s="380"/>
      <c r="CH31" s="380"/>
      <c r="CI31" s="380"/>
      <c r="CJ31" s="380"/>
      <c r="CK31" s="381"/>
      <c r="CL31" s="379" t="s">
        <v>514</v>
      </c>
      <c r="CM31" s="380"/>
      <c r="CN31" s="380"/>
      <c r="CO31" s="380"/>
      <c r="CP31" s="380"/>
      <c r="CQ31" s="380"/>
      <c r="CR31" s="380"/>
      <c r="CS31" s="381"/>
      <c r="CT31" s="379" t="s">
        <v>515</v>
      </c>
      <c r="CU31" s="380"/>
      <c r="CV31" s="380"/>
      <c r="CW31" s="380"/>
      <c r="CX31" s="380"/>
      <c r="CY31" s="380"/>
      <c r="CZ31" s="380"/>
      <c r="DA31" s="381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</row>
    <row r="34" spans="21:159" x14ac:dyDescent="0.4">
      <c r="U34" s="6" t="s">
        <v>522</v>
      </c>
    </row>
    <row r="35" spans="21:159" x14ac:dyDescent="0.4">
      <c r="U35" s="248" t="s">
        <v>474</v>
      </c>
      <c r="V35" s="28"/>
      <c r="W35" s="29"/>
      <c r="X35" s="26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DB35" s="25"/>
      <c r="DC35" s="25"/>
      <c r="DD35" s="25"/>
      <c r="DE35" s="25"/>
      <c r="DF35" s="25"/>
      <c r="DG35" s="21"/>
      <c r="DH35" s="27"/>
      <c r="DI35" s="28"/>
      <c r="DJ35" s="28"/>
      <c r="DK35" s="28"/>
      <c r="DL35" s="28"/>
      <c r="DM35" s="28"/>
      <c r="DN35" s="29"/>
      <c r="DO35" s="26"/>
      <c r="DP35" s="25"/>
    </row>
    <row r="36" spans="21:159" x14ac:dyDescent="0.4">
      <c r="X36" s="249"/>
      <c r="Y36" s="249"/>
      <c r="Z36" s="377">
        <v>16</v>
      </c>
      <c r="AA36" s="377"/>
      <c r="AB36" s="377">
        <v>15</v>
      </c>
      <c r="AC36" s="377"/>
      <c r="AD36" s="377">
        <v>14</v>
      </c>
      <c r="AE36" s="377"/>
      <c r="AF36" s="377"/>
      <c r="AG36" s="377"/>
      <c r="AH36" s="377">
        <v>3</v>
      </c>
      <c r="AI36" s="377"/>
      <c r="AJ36" s="377">
        <v>2</v>
      </c>
      <c r="AK36" s="377"/>
      <c r="AL36" s="377">
        <v>1</v>
      </c>
      <c r="AM36" s="377"/>
      <c r="AN36" s="377">
        <v>16</v>
      </c>
      <c r="AO36" s="377"/>
      <c r="AP36" s="377">
        <v>15</v>
      </c>
      <c r="AQ36" s="377"/>
      <c r="AR36" s="377">
        <v>14</v>
      </c>
      <c r="AS36" s="377"/>
      <c r="AT36" s="377"/>
      <c r="AU36" s="377"/>
      <c r="AV36" s="377">
        <v>3</v>
      </c>
      <c r="AW36" s="377"/>
      <c r="AX36" s="377">
        <v>2</v>
      </c>
      <c r="AY36" s="377"/>
      <c r="AZ36" s="377">
        <v>1</v>
      </c>
      <c r="BA36" s="377"/>
      <c r="BB36" s="377">
        <v>16</v>
      </c>
      <c r="BC36" s="377"/>
      <c r="BD36" s="377">
        <v>15</v>
      </c>
      <c r="BE36" s="377"/>
      <c r="BF36" s="377">
        <v>14</v>
      </c>
      <c r="BG36" s="377"/>
      <c r="BH36" s="377"/>
      <c r="BI36" s="377"/>
      <c r="BJ36" s="377">
        <v>3</v>
      </c>
      <c r="BK36" s="377"/>
      <c r="BL36" s="377">
        <v>2</v>
      </c>
      <c r="BM36" s="377"/>
      <c r="BN36" s="377">
        <v>1</v>
      </c>
      <c r="BO36" s="377"/>
      <c r="BP36" s="377">
        <v>16</v>
      </c>
      <c r="BQ36" s="377"/>
      <c r="BR36" s="377">
        <v>15</v>
      </c>
      <c r="BS36" s="377"/>
      <c r="BT36" s="377">
        <v>14</v>
      </c>
      <c r="BU36" s="377"/>
      <c r="BV36" s="377"/>
      <c r="BW36" s="377"/>
      <c r="BX36" s="377">
        <v>3</v>
      </c>
      <c r="BY36" s="377"/>
      <c r="BZ36" s="377">
        <v>2</v>
      </c>
      <c r="CA36" s="377"/>
      <c r="CB36" s="377">
        <v>1</v>
      </c>
      <c r="CC36" s="377"/>
      <c r="CD36" s="377">
        <v>16</v>
      </c>
      <c r="CE36" s="377"/>
      <c r="CF36" s="377">
        <v>15</v>
      </c>
      <c r="CG36" s="377"/>
      <c r="CH36" s="377">
        <v>14</v>
      </c>
      <c r="CI36" s="377"/>
      <c r="CJ36" s="377"/>
      <c r="CK36" s="377"/>
      <c r="CL36" s="377">
        <v>3</v>
      </c>
      <c r="CM36" s="377"/>
      <c r="CN36" s="377">
        <v>2</v>
      </c>
      <c r="CO36" s="377"/>
      <c r="CP36" s="377">
        <v>1</v>
      </c>
      <c r="CQ36" s="377"/>
      <c r="CR36" s="377">
        <v>16</v>
      </c>
      <c r="CS36" s="377"/>
      <c r="CT36" s="377">
        <v>15</v>
      </c>
      <c r="CU36" s="377"/>
      <c r="CV36" s="377">
        <v>14</v>
      </c>
      <c r="CW36" s="377"/>
      <c r="CX36" s="377"/>
      <c r="CY36" s="377"/>
      <c r="CZ36" s="377">
        <v>3</v>
      </c>
      <c r="DA36" s="377"/>
      <c r="DB36" s="378">
        <v>2</v>
      </c>
      <c r="DC36" s="378"/>
      <c r="DD36" s="378">
        <v>1</v>
      </c>
      <c r="DE36" s="378"/>
      <c r="DF36" s="251"/>
      <c r="DG36" s="251"/>
      <c r="DH36" s="249"/>
      <c r="DI36" s="249"/>
      <c r="DJ36" s="249"/>
      <c r="DK36" s="249"/>
      <c r="DL36" s="249"/>
      <c r="DM36" s="252"/>
      <c r="DN36" s="252"/>
      <c r="DO36" s="252"/>
      <c r="DP36" s="252"/>
      <c r="DQ36" s="252"/>
      <c r="DR36" s="252"/>
      <c r="DS36" s="252"/>
      <c r="DT36" s="252"/>
      <c r="DU36" s="252"/>
      <c r="DV36" s="252"/>
      <c r="DW36" s="252"/>
      <c r="DX36" s="252"/>
      <c r="DY36" s="252"/>
      <c r="DZ36" s="252"/>
      <c r="EA36" s="252"/>
      <c r="EB36" s="252"/>
      <c r="EC36" s="252"/>
      <c r="ED36" s="252"/>
      <c r="EE36" s="252"/>
      <c r="EF36" s="252"/>
      <c r="EG36" s="252"/>
      <c r="EH36" s="252"/>
      <c r="EI36" s="252"/>
      <c r="EJ36" s="252"/>
      <c r="EK36" s="252"/>
      <c r="EL36" s="252"/>
      <c r="EM36" s="252"/>
      <c r="EN36" s="252"/>
      <c r="EO36" s="252"/>
      <c r="EP36" s="252"/>
      <c r="EQ36" s="252"/>
      <c r="ER36" s="252"/>
      <c r="ES36" s="252"/>
      <c r="ET36" s="252"/>
      <c r="EU36" s="252"/>
      <c r="EV36" s="252"/>
      <c r="EW36" s="252"/>
      <c r="EX36" s="252"/>
      <c r="EY36" s="252"/>
      <c r="EZ36" s="252"/>
      <c r="FA36" s="252"/>
      <c r="FB36" s="252"/>
      <c r="FC36" s="252"/>
    </row>
    <row r="37" spans="21:159" x14ac:dyDescent="0.4">
      <c r="U37" s="1" t="s">
        <v>479</v>
      </c>
      <c r="V37" s="253"/>
      <c r="W37" s="253"/>
      <c r="X37" s="253"/>
      <c r="Y37" s="254"/>
      <c r="Z37" s="255"/>
      <c r="AA37" s="256"/>
      <c r="AB37" s="255"/>
      <c r="AC37" s="256"/>
      <c r="AD37" s="255"/>
      <c r="AE37" s="256"/>
      <c r="AF37" s="257"/>
      <c r="AG37" s="253"/>
      <c r="AH37" s="255"/>
      <c r="AI37" s="256"/>
      <c r="AJ37" s="255"/>
      <c r="AK37" s="256"/>
      <c r="AL37" s="255"/>
      <c r="AM37" s="256"/>
      <c r="AN37" s="255"/>
      <c r="AO37" s="256"/>
      <c r="AP37" s="255"/>
      <c r="AQ37" s="256"/>
      <c r="AR37" s="255"/>
      <c r="AS37" s="256"/>
      <c r="AT37" s="257"/>
      <c r="AU37" s="253"/>
      <c r="AV37" s="255"/>
      <c r="AW37" s="256"/>
      <c r="AX37" s="255"/>
      <c r="AY37" s="256"/>
      <c r="AZ37" s="255"/>
      <c r="BA37" s="256"/>
      <c r="BB37" s="255"/>
      <c r="BC37" s="256"/>
      <c r="BD37" s="255"/>
      <c r="BE37" s="256"/>
      <c r="BF37" s="255"/>
      <c r="BG37" s="256"/>
      <c r="BH37" s="257"/>
      <c r="BI37" s="253"/>
      <c r="BJ37" s="255"/>
      <c r="BK37" s="256"/>
      <c r="BL37" s="255"/>
      <c r="BM37" s="256"/>
      <c r="BN37" s="255"/>
      <c r="BO37" s="256"/>
      <c r="BP37" s="255"/>
      <c r="BQ37" s="256"/>
      <c r="BR37" s="255"/>
      <c r="BS37" s="256"/>
      <c r="BT37" s="255"/>
      <c r="BU37" s="256"/>
      <c r="BV37" s="257"/>
      <c r="BW37" s="253"/>
      <c r="BX37" s="255"/>
      <c r="BY37" s="256"/>
      <c r="BZ37" s="255"/>
      <c r="CA37" s="256"/>
      <c r="CB37" s="255"/>
      <c r="CC37" s="256"/>
      <c r="CD37" s="255"/>
      <c r="CE37" s="256"/>
      <c r="CF37" s="255"/>
      <c r="CG37" s="256"/>
      <c r="CH37" s="255"/>
      <c r="CI37" s="256"/>
      <c r="CJ37" s="257"/>
      <c r="CK37" s="253"/>
      <c r="CL37" s="255"/>
      <c r="CM37" s="256"/>
      <c r="CN37" s="255"/>
      <c r="CO37" s="256"/>
      <c r="CP37" s="255"/>
      <c r="CQ37" s="256"/>
      <c r="CR37" s="255"/>
      <c r="CS37" s="256"/>
      <c r="CT37" s="255"/>
      <c r="CU37" s="256"/>
      <c r="CV37" s="255"/>
      <c r="CW37" s="256"/>
      <c r="CX37" s="257"/>
      <c r="CY37" s="253"/>
      <c r="CZ37" s="255"/>
      <c r="DA37" s="256"/>
      <c r="DB37" s="255"/>
      <c r="DC37" s="256"/>
      <c r="DD37" s="255"/>
      <c r="DE37" s="256"/>
      <c r="DF37" s="253"/>
      <c r="DG37" s="253"/>
      <c r="DH37" s="253"/>
      <c r="DI37" s="253"/>
      <c r="DJ37" s="253"/>
      <c r="DK37" s="253"/>
      <c r="DL37" s="253"/>
      <c r="DM37" s="253"/>
      <c r="DN37" s="253"/>
      <c r="DO37" s="253"/>
      <c r="DP37" s="253"/>
      <c r="DQ37" s="257"/>
      <c r="DR37" s="257"/>
      <c r="DS37" s="257"/>
      <c r="DT37" s="257"/>
      <c r="DU37" s="257"/>
      <c r="DV37" s="257"/>
      <c r="DW37" s="257"/>
      <c r="DX37" s="257"/>
      <c r="DY37" s="257"/>
      <c r="DZ37" s="257"/>
      <c r="EA37" s="257"/>
      <c r="EB37" s="257"/>
      <c r="EC37" s="257"/>
      <c r="ED37" s="257"/>
      <c r="EE37" s="257"/>
      <c r="EF37" s="257"/>
      <c r="EG37" s="257"/>
      <c r="EH37" s="257"/>
      <c r="EI37" s="257"/>
      <c r="EJ37" s="257"/>
      <c r="EK37" s="257"/>
      <c r="EL37" s="257"/>
      <c r="EM37" s="257"/>
      <c r="EN37" s="257"/>
      <c r="EO37" s="257"/>
      <c r="EP37" s="257"/>
      <c r="EQ37" s="257"/>
      <c r="ER37" s="257"/>
      <c r="ES37" s="257"/>
      <c r="ET37" s="257"/>
      <c r="EU37" s="257"/>
      <c r="EV37" s="257"/>
      <c r="EW37" s="257"/>
      <c r="EX37" s="257"/>
      <c r="EY37" s="257"/>
      <c r="EZ37" s="257"/>
      <c r="FA37" s="257"/>
      <c r="FB37" s="257"/>
      <c r="FC37" s="257"/>
    </row>
    <row r="39" spans="21:159" x14ac:dyDescent="0.4">
      <c r="U39" s="1" t="s">
        <v>484</v>
      </c>
      <c r="V39" s="25"/>
      <c r="W39" s="25"/>
      <c r="X39" s="25"/>
      <c r="Y39" s="25"/>
      <c r="Z39" s="403" t="s">
        <v>485</v>
      </c>
      <c r="AA39" s="404"/>
      <c r="AB39" s="404"/>
      <c r="AC39" s="404"/>
      <c r="AD39" s="404"/>
      <c r="AE39" s="404"/>
      <c r="AF39" s="404"/>
      <c r="AG39" s="404"/>
      <c r="AH39" s="404"/>
      <c r="AI39" s="404"/>
      <c r="AJ39" s="404"/>
      <c r="AK39" s="404"/>
      <c r="AL39" s="404"/>
      <c r="AM39" s="405"/>
      <c r="AN39" s="403" t="s">
        <v>523</v>
      </c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5"/>
      <c r="BB39" s="406" t="s">
        <v>487</v>
      </c>
      <c r="BC39" s="407"/>
      <c r="BD39" s="407"/>
      <c r="BE39" s="407"/>
      <c r="BF39" s="407"/>
      <c r="BG39" s="407"/>
      <c r="BH39" s="407"/>
      <c r="BI39" s="407"/>
      <c r="BJ39" s="407"/>
      <c r="BK39" s="407"/>
      <c r="BL39" s="407"/>
      <c r="BM39" s="407"/>
      <c r="BN39" s="407"/>
      <c r="BO39" s="408"/>
      <c r="BP39" s="406" t="s">
        <v>523</v>
      </c>
      <c r="BQ39" s="407"/>
      <c r="BR39" s="407"/>
      <c r="BS39" s="407"/>
      <c r="BT39" s="407"/>
      <c r="BU39" s="407"/>
      <c r="BV39" s="407"/>
      <c r="BW39" s="407"/>
      <c r="BX39" s="407"/>
      <c r="BY39" s="407"/>
      <c r="BZ39" s="407"/>
      <c r="CA39" s="407"/>
      <c r="CB39" s="407"/>
      <c r="CC39" s="408"/>
      <c r="CD39" s="399" t="s">
        <v>489</v>
      </c>
      <c r="CE39" s="400"/>
      <c r="CF39" s="400"/>
      <c r="CG39" s="400"/>
      <c r="CH39" s="400"/>
      <c r="CI39" s="400"/>
      <c r="CJ39" s="400"/>
      <c r="CK39" s="400"/>
      <c r="CL39" s="400"/>
      <c r="CM39" s="400"/>
      <c r="CN39" s="400"/>
      <c r="CO39" s="400"/>
      <c r="CP39" s="400"/>
      <c r="CQ39" s="401"/>
      <c r="CR39" s="399" t="s">
        <v>523</v>
      </c>
      <c r="CS39" s="400"/>
      <c r="CT39" s="400"/>
      <c r="CU39" s="400"/>
      <c r="CV39" s="400"/>
      <c r="CW39" s="400"/>
      <c r="CX39" s="400"/>
      <c r="CY39" s="400"/>
      <c r="CZ39" s="400"/>
      <c r="DA39" s="400"/>
      <c r="DB39" s="400"/>
      <c r="DC39" s="400"/>
      <c r="DD39" s="400"/>
      <c r="DE39" s="401"/>
      <c r="DF39" s="26"/>
      <c r="DG39" s="25"/>
      <c r="DH39" s="25"/>
      <c r="DI39" s="25"/>
      <c r="DJ39" s="25"/>
      <c r="DK39" s="25"/>
      <c r="DL39" s="25"/>
      <c r="DM39" s="25"/>
      <c r="DN39" s="25"/>
      <c r="DO39" s="25"/>
      <c r="DP39" s="25"/>
    </row>
    <row r="40" spans="21:159" x14ac:dyDescent="0.4">
      <c r="BB40" s="409">
        <v>16</v>
      </c>
      <c r="BC40" s="409"/>
      <c r="BD40" s="409">
        <v>15</v>
      </c>
      <c r="BE40" s="409"/>
      <c r="BF40" s="409">
        <v>14</v>
      </c>
      <c r="BG40" s="409"/>
      <c r="BH40" s="409"/>
      <c r="BI40" s="409"/>
      <c r="BJ40" s="409">
        <v>3</v>
      </c>
      <c r="BK40" s="409"/>
      <c r="BL40" s="409">
        <v>2</v>
      </c>
      <c r="BM40" s="409"/>
      <c r="BN40" s="409">
        <v>1</v>
      </c>
      <c r="BO40" s="409"/>
      <c r="BP40" s="409">
        <v>16</v>
      </c>
      <c r="BQ40" s="409"/>
      <c r="BR40" s="409">
        <v>15</v>
      </c>
      <c r="BS40" s="409"/>
      <c r="BT40" s="409">
        <v>14</v>
      </c>
      <c r="BU40" s="409"/>
      <c r="BV40" s="409"/>
      <c r="BW40" s="409"/>
      <c r="BX40" s="409">
        <v>3</v>
      </c>
      <c r="BY40" s="409"/>
      <c r="BZ40" s="409">
        <v>2</v>
      </c>
      <c r="CA40" s="409"/>
      <c r="CB40" s="409">
        <v>1</v>
      </c>
      <c r="CC40" s="409"/>
      <c r="CD40" s="409">
        <v>16</v>
      </c>
      <c r="CE40" s="409"/>
      <c r="CF40" s="409">
        <v>15</v>
      </c>
      <c r="CG40" s="409"/>
      <c r="CH40" s="409">
        <v>14</v>
      </c>
      <c r="CI40" s="409"/>
      <c r="CJ40" s="409"/>
      <c r="CK40" s="409"/>
      <c r="CL40" s="409">
        <v>3</v>
      </c>
      <c r="CM40" s="409"/>
      <c r="CN40" s="409">
        <v>2</v>
      </c>
      <c r="CO40" s="409"/>
      <c r="CP40" s="409">
        <v>1</v>
      </c>
      <c r="CQ40" s="409"/>
      <c r="CR40" s="409">
        <v>16</v>
      </c>
      <c r="CS40" s="409"/>
      <c r="CT40" s="409">
        <v>15</v>
      </c>
      <c r="CU40" s="409"/>
      <c r="CV40" s="409">
        <v>14</v>
      </c>
      <c r="CW40" s="409"/>
      <c r="CX40" s="409"/>
      <c r="CY40" s="409"/>
      <c r="CZ40" s="409">
        <v>3</v>
      </c>
      <c r="DA40" s="409"/>
      <c r="DB40" s="409">
        <v>2</v>
      </c>
      <c r="DC40" s="409"/>
      <c r="DD40" s="409">
        <v>1</v>
      </c>
      <c r="DE40" s="409"/>
    </row>
    <row r="41" spans="21:159" x14ac:dyDescent="0.4">
      <c r="U41" s="1" t="s">
        <v>494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5"/>
      <c r="BC41" s="256"/>
      <c r="BD41" s="255"/>
      <c r="BE41" s="256"/>
      <c r="BF41" s="255"/>
      <c r="BG41" s="256"/>
      <c r="BH41" s="24"/>
      <c r="BI41" s="253"/>
      <c r="BJ41" s="255"/>
      <c r="BK41" s="256"/>
      <c r="BL41" s="255"/>
      <c r="BM41" s="256"/>
      <c r="BN41" s="255"/>
      <c r="BO41" s="256"/>
      <c r="BP41" s="255"/>
      <c r="BQ41" s="256"/>
      <c r="BR41" s="255"/>
      <c r="BS41" s="256"/>
      <c r="BT41" s="255"/>
      <c r="BU41" s="256"/>
      <c r="BV41" s="24"/>
      <c r="BW41" s="253"/>
      <c r="BX41" s="255"/>
      <c r="BY41" s="256"/>
      <c r="BZ41" s="255"/>
      <c r="CA41" s="256"/>
      <c r="CB41" s="255"/>
      <c r="CC41" s="256"/>
      <c r="CD41" s="255"/>
      <c r="CE41" s="256"/>
      <c r="CF41" s="255"/>
      <c r="CG41" s="256"/>
      <c r="CH41" s="255"/>
      <c r="CI41" s="256"/>
      <c r="CJ41" s="24"/>
      <c r="CK41" s="253"/>
      <c r="CL41" s="255"/>
      <c r="CM41" s="256"/>
      <c r="CN41" s="255"/>
      <c r="CO41" s="256"/>
      <c r="CP41" s="255"/>
      <c r="CQ41" s="256"/>
      <c r="CR41" s="255"/>
      <c r="CS41" s="256"/>
      <c r="CT41" s="255"/>
      <c r="CU41" s="256"/>
      <c r="CV41" s="255"/>
      <c r="CW41" s="256"/>
      <c r="CX41" s="24"/>
      <c r="CY41" s="253"/>
      <c r="CZ41" s="255"/>
      <c r="DA41" s="256"/>
      <c r="DB41" s="255"/>
      <c r="DC41" s="256"/>
      <c r="DD41" s="255"/>
      <c r="DE41" s="256"/>
      <c r="DF41" s="253"/>
      <c r="DG41" s="253"/>
      <c r="DH41" s="253"/>
      <c r="DI41" s="253"/>
      <c r="DJ41" s="253"/>
      <c r="DK41" s="253"/>
      <c r="DL41" s="253"/>
      <c r="DM41" s="253"/>
      <c r="DN41" s="253"/>
      <c r="DO41" s="253"/>
      <c r="DP41" s="253"/>
      <c r="DQ41" s="257"/>
      <c r="DR41" s="257"/>
      <c r="DS41" s="257"/>
      <c r="DT41" s="257"/>
      <c r="DU41" s="257"/>
      <c r="DV41" s="257"/>
      <c r="DW41" s="257"/>
      <c r="DX41" s="257"/>
      <c r="DY41" s="257"/>
      <c r="DZ41" s="257"/>
      <c r="EA41" s="257"/>
      <c r="EB41" s="257"/>
      <c r="EC41" s="257"/>
      <c r="ED41" s="257"/>
      <c r="EE41" s="257"/>
      <c r="EF41" s="257"/>
      <c r="EG41" s="257"/>
      <c r="EH41" s="257"/>
      <c r="EI41" s="257"/>
      <c r="EJ41" s="257"/>
      <c r="EK41" s="257"/>
      <c r="EL41" s="257"/>
      <c r="EM41" s="257"/>
      <c r="EN41" s="257"/>
      <c r="EO41" s="257"/>
      <c r="EP41" s="257"/>
      <c r="EQ41" s="257"/>
      <c r="ER41" s="257"/>
      <c r="ES41" s="257"/>
      <c r="ET41" s="257"/>
      <c r="EU41" s="257"/>
      <c r="EV41" s="257"/>
      <c r="EW41" s="257"/>
      <c r="EX41" s="257"/>
      <c r="EY41" s="257"/>
      <c r="EZ41" s="257"/>
      <c r="FA41" s="257"/>
      <c r="FB41" s="257"/>
      <c r="FC41" s="257"/>
    </row>
    <row r="43" spans="21:159" x14ac:dyDescent="0.4">
      <c r="U43" s="1" t="s">
        <v>496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406" t="s">
        <v>487</v>
      </c>
      <c r="BC43" s="407"/>
      <c r="BD43" s="407"/>
      <c r="BE43" s="407"/>
      <c r="BF43" s="407"/>
      <c r="BG43" s="407"/>
      <c r="BH43" s="407"/>
      <c r="BI43" s="407"/>
      <c r="BJ43" s="407"/>
      <c r="BK43" s="407"/>
      <c r="BL43" s="407"/>
      <c r="BM43" s="407"/>
      <c r="BN43" s="407"/>
      <c r="BO43" s="408"/>
      <c r="BP43" s="406" t="s">
        <v>523</v>
      </c>
      <c r="BQ43" s="407"/>
      <c r="BR43" s="407"/>
      <c r="BS43" s="407"/>
      <c r="BT43" s="407"/>
      <c r="BU43" s="407"/>
      <c r="BV43" s="407"/>
      <c r="BW43" s="407"/>
      <c r="BX43" s="407"/>
      <c r="BY43" s="407"/>
      <c r="BZ43" s="407"/>
      <c r="CA43" s="407"/>
      <c r="CB43" s="407"/>
      <c r="CC43" s="408"/>
      <c r="CD43" s="399" t="s">
        <v>489</v>
      </c>
      <c r="CE43" s="400"/>
      <c r="CF43" s="400"/>
      <c r="CG43" s="400"/>
      <c r="CH43" s="400"/>
      <c r="CI43" s="400"/>
      <c r="CJ43" s="400"/>
      <c r="CK43" s="400"/>
      <c r="CL43" s="400"/>
      <c r="CM43" s="400"/>
      <c r="CN43" s="400"/>
      <c r="CO43" s="400"/>
      <c r="CP43" s="400"/>
      <c r="CQ43" s="401"/>
      <c r="CR43" s="399" t="s">
        <v>523</v>
      </c>
      <c r="CS43" s="400"/>
      <c r="CT43" s="400"/>
      <c r="CU43" s="400"/>
      <c r="CV43" s="400"/>
      <c r="CW43" s="400"/>
      <c r="CX43" s="400"/>
      <c r="CY43" s="400"/>
      <c r="CZ43" s="400"/>
      <c r="DA43" s="400"/>
      <c r="DB43" s="400"/>
      <c r="DC43" s="400"/>
      <c r="DD43" s="400"/>
      <c r="DE43" s="401"/>
      <c r="DF43" s="26"/>
      <c r="DG43" s="25"/>
      <c r="DH43" s="25"/>
      <c r="DI43" s="25"/>
      <c r="DJ43" s="25"/>
      <c r="DK43" s="25"/>
      <c r="DL43" s="25"/>
      <c r="DM43" s="25"/>
      <c r="DN43" s="25"/>
      <c r="DO43" s="25"/>
      <c r="DP43" s="25"/>
    </row>
    <row r="44" spans="21:159" x14ac:dyDescent="0.4">
      <c r="CD44" s="402">
        <v>16</v>
      </c>
      <c r="CE44" s="402"/>
      <c r="CF44" s="402">
        <v>15</v>
      </c>
      <c r="CG44" s="402"/>
      <c r="CH44" s="402">
        <v>14</v>
      </c>
      <c r="CI44" s="402"/>
      <c r="CJ44" s="402"/>
      <c r="CK44" s="402"/>
      <c r="CL44" s="402">
        <v>3</v>
      </c>
      <c r="CM44" s="402"/>
      <c r="CN44" s="402">
        <v>2</v>
      </c>
      <c r="CO44" s="402"/>
      <c r="CP44" s="402">
        <v>1</v>
      </c>
      <c r="CQ44" s="402"/>
      <c r="CR44" s="402">
        <v>16</v>
      </c>
      <c r="CS44" s="402"/>
      <c r="CT44" s="402">
        <v>15</v>
      </c>
      <c r="CU44" s="402"/>
      <c r="CV44" s="402">
        <v>14</v>
      </c>
      <c r="CW44" s="402"/>
      <c r="CX44" s="402"/>
      <c r="CY44" s="402"/>
      <c r="CZ44" s="402">
        <v>3</v>
      </c>
      <c r="DA44" s="402"/>
      <c r="DB44" s="402">
        <v>2</v>
      </c>
      <c r="DC44" s="402"/>
      <c r="DD44" s="402">
        <v>1</v>
      </c>
      <c r="DE44" s="402"/>
    </row>
    <row r="45" spans="21:159" x14ac:dyDescent="0.4">
      <c r="U45" s="1" t="s">
        <v>500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5"/>
      <c r="CE45" s="256"/>
      <c r="CF45" s="255"/>
      <c r="CG45" s="256"/>
      <c r="CH45" s="255"/>
      <c r="CI45" s="256"/>
      <c r="CJ45" s="24"/>
      <c r="CK45" s="253"/>
      <c r="CL45" s="255"/>
      <c r="CM45" s="256"/>
      <c r="CN45" s="255"/>
      <c r="CO45" s="256"/>
      <c r="CP45" s="255"/>
      <c r="CQ45" s="256"/>
      <c r="CR45" s="255"/>
      <c r="CS45" s="256"/>
      <c r="CT45" s="255"/>
      <c r="CU45" s="256"/>
      <c r="CV45" s="255"/>
      <c r="CW45" s="256"/>
      <c r="CX45" s="24"/>
      <c r="CY45" s="253"/>
      <c r="CZ45" s="255"/>
      <c r="DA45" s="256"/>
      <c r="DB45" s="255"/>
      <c r="DC45" s="256"/>
      <c r="DD45" s="255"/>
      <c r="DE45" s="256"/>
      <c r="DF45" s="253"/>
      <c r="DG45" s="253"/>
      <c r="DH45" s="253"/>
      <c r="DI45" s="253"/>
      <c r="DJ45" s="253"/>
      <c r="DK45" s="253"/>
      <c r="DL45" s="253"/>
      <c r="DM45" s="253"/>
      <c r="DN45" s="253"/>
      <c r="DO45" s="253"/>
      <c r="DP45" s="253"/>
      <c r="DQ45" s="257"/>
      <c r="DR45" s="257"/>
      <c r="DS45" s="257"/>
      <c r="DT45" s="257"/>
      <c r="DU45" s="257"/>
      <c r="DV45" s="257"/>
      <c r="DW45" s="257"/>
      <c r="DX45" s="257"/>
      <c r="DY45" s="257"/>
      <c r="DZ45" s="257"/>
      <c r="EA45" s="257"/>
      <c r="EB45" s="257"/>
      <c r="EC45" s="257"/>
      <c r="ED45" s="257"/>
      <c r="EE45" s="257"/>
      <c r="EF45" s="257"/>
      <c r="EG45" s="257"/>
      <c r="EH45" s="257"/>
      <c r="EI45" s="257"/>
      <c r="EJ45" s="257"/>
      <c r="EK45" s="257"/>
      <c r="EL45" s="257"/>
      <c r="EM45" s="257"/>
      <c r="EN45" s="257"/>
      <c r="EO45" s="257"/>
      <c r="EP45" s="257"/>
      <c r="EQ45" s="257"/>
      <c r="ER45" s="257"/>
      <c r="ES45" s="257"/>
      <c r="ET45" s="257"/>
      <c r="EU45" s="257"/>
      <c r="EV45" s="257"/>
      <c r="EW45" s="257"/>
      <c r="EX45" s="257"/>
      <c r="EY45" s="257"/>
      <c r="EZ45" s="257"/>
      <c r="FA45" s="257"/>
      <c r="FB45" s="257"/>
      <c r="FC45" s="257"/>
    </row>
    <row r="47" spans="21:159" x14ac:dyDescent="0.4">
      <c r="U47" s="1" t="s">
        <v>502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399" t="s">
        <v>489</v>
      </c>
      <c r="CE47" s="400"/>
      <c r="CF47" s="400"/>
      <c r="CG47" s="400"/>
      <c r="CH47" s="400"/>
      <c r="CI47" s="400"/>
      <c r="CJ47" s="400"/>
      <c r="CK47" s="400"/>
      <c r="CL47" s="400"/>
      <c r="CM47" s="400"/>
      <c r="CN47" s="400"/>
      <c r="CO47" s="400"/>
      <c r="CP47" s="400"/>
      <c r="CQ47" s="401"/>
      <c r="CR47" s="399" t="s">
        <v>523</v>
      </c>
      <c r="CS47" s="400"/>
      <c r="CT47" s="400"/>
      <c r="CU47" s="400"/>
      <c r="CV47" s="400"/>
      <c r="CW47" s="400"/>
      <c r="CX47" s="400"/>
      <c r="CY47" s="400"/>
      <c r="CZ47" s="400"/>
      <c r="DA47" s="400"/>
      <c r="DB47" s="400"/>
      <c r="DC47" s="400"/>
      <c r="DD47" s="400"/>
      <c r="DE47" s="401"/>
      <c r="DF47" s="26"/>
      <c r="DG47" s="25"/>
      <c r="DH47" s="25"/>
      <c r="DI47" s="25"/>
      <c r="DJ47" s="25"/>
      <c r="DK47" s="25"/>
      <c r="DL47" s="25"/>
      <c r="DM47" s="25"/>
      <c r="DN47" s="25"/>
      <c r="DO47" s="25"/>
      <c r="DP47" s="25"/>
    </row>
    <row r="49" spans="21:120" x14ac:dyDescent="0.4">
      <c r="U49" s="1" t="s">
        <v>524</v>
      </c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62"/>
      <c r="AN49" s="403" t="s">
        <v>486</v>
      </c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5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</row>
    <row r="50" spans="21:120" x14ac:dyDescent="0.4"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</row>
    <row r="51" spans="21:120" x14ac:dyDescent="0.4">
      <c r="U51" s="1" t="s">
        <v>525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406" t="s">
        <v>526</v>
      </c>
      <c r="BQ51" s="407"/>
      <c r="BR51" s="407"/>
      <c r="BS51" s="407"/>
      <c r="BT51" s="407"/>
      <c r="BU51" s="407"/>
      <c r="BV51" s="407"/>
      <c r="BW51" s="407"/>
      <c r="BX51" s="407"/>
      <c r="BY51" s="407"/>
      <c r="BZ51" s="407"/>
      <c r="CA51" s="407"/>
      <c r="CB51" s="407"/>
      <c r="CC51" s="408"/>
    </row>
    <row r="52" spans="21:120" x14ac:dyDescent="0.4"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</row>
    <row r="53" spans="21:120" x14ac:dyDescent="0.4">
      <c r="U53" s="1" t="s">
        <v>527</v>
      </c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R53" s="399" t="s">
        <v>490</v>
      </c>
      <c r="CS53" s="400"/>
      <c r="CT53" s="400"/>
      <c r="CU53" s="400"/>
      <c r="CV53" s="400"/>
      <c r="CW53" s="400"/>
      <c r="CX53" s="400"/>
      <c r="CY53" s="400"/>
      <c r="CZ53" s="400"/>
      <c r="DA53" s="400"/>
      <c r="DB53" s="400"/>
      <c r="DC53" s="400"/>
      <c r="DD53" s="400"/>
      <c r="DE53" s="401"/>
    </row>
    <row r="54" spans="21:120" x14ac:dyDescent="0.4"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</row>
    <row r="56" spans="21:120" x14ac:dyDescent="0.4">
      <c r="U56" s="6" t="s">
        <v>528</v>
      </c>
    </row>
    <row r="57" spans="21:120" x14ac:dyDescent="0.4">
      <c r="U57" s="248" t="s">
        <v>474</v>
      </c>
      <c r="V57" s="28"/>
      <c r="W57" s="29"/>
      <c r="X57" s="26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DB57" s="25"/>
      <c r="DC57" s="25"/>
      <c r="DD57" s="25"/>
      <c r="DE57" s="25"/>
      <c r="DF57" s="25"/>
      <c r="DG57" s="21"/>
      <c r="DH57" s="27"/>
      <c r="DI57" s="28"/>
      <c r="DJ57" s="28"/>
      <c r="DK57" s="28"/>
      <c r="DL57" s="28"/>
      <c r="DM57" s="28"/>
      <c r="DN57" s="29"/>
      <c r="DO57" s="26"/>
      <c r="DP57" s="25"/>
    </row>
    <row r="58" spans="21:120" x14ac:dyDescent="0.4">
      <c r="X58" s="6"/>
      <c r="Y58" s="6"/>
      <c r="Z58" s="377">
        <v>16</v>
      </c>
      <c r="AA58" s="377"/>
      <c r="AB58" s="377">
        <v>15</v>
      </c>
      <c r="AC58" s="377"/>
      <c r="AD58" s="258"/>
      <c r="AE58" s="258"/>
      <c r="AF58" s="377">
        <v>1</v>
      </c>
      <c r="AG58" s="377"/>
      <c r="AH58" s="377">
        <v>16</v>
      </c>
      <c r="AI58" s="377"/>
      <c r="AJ58" s="377">
        <v>15</v>
      </c>
      <c r="AK58" s="377"/>
      <c r="AL58" s="258"/>
      <c r="AM58" s="258"/>
      <c r="AN58" s="377">
        <v>1</v>
      </c>
      <c r="AO58" s="377"/>
      <c r="AP58" s="377">
        <v>16</v>
      </c>
      <c r="AQ58" s="377"/>
      <c r="AR58" s="377">
        <v>15</v>
      </c>
      <c r="AS58" s="377"/>
      <c r="AT58" s="258"/>
      <c r="AU58" s="258"/>
      <c r="AV58" s="377">
        <v>1</v>
      </c>
      <c r="AW58" s="377"/>
      <c r="AX58" s="377">
        <v>16</v>
      </c>
      <c r="AY58" s="377"/>
      <c r="AZ58" s="377">
        <v>15</v>
      </c>
      <c r="BA58" s="377"/>
      <c r="BB58" s="258"/>
      <c r="BC58" s="258"/>
      <c r="BD58" s="377">
        <v>1</v>
      </c>
      <c r="BE58" s="377"/>
      <c r="BF58" s="377">
        <v>16</v>
      </c>
      <c r="BG58" s="377"/>
      <c r="BH58" s="377">
        <v>15</v>
      </c>
      <c r="BI58" s="377"/>
      <c r="BJ58" s="258"/>
      <c r="BK58" s="258"/>
      <c r="BL58" s="377">
        <v>1</v>
      </c>
      <c r="BM58" s="377"/>
      <c r="BN58" s="377">
        <v>16</v>
      </c>
      <c r="BO58" s="377"/>
      <c r="BP58" s="377">
        <v>15</v>
      </c>
      <c r="BQ58" s="377"/>
      <c r="BR58" s="258"/>
      <c r="BS58" s="258"/>
      <c r="BT58" s="377">
        <v>1</v>
      </c>
      <c r="BU58" s="377"/>
      <c r="BV58" s="377">
        <v>16</v>
      </c>
      <c r="BW58" s="377"/>
      <c r="BX58" s="377">
        <v>15</v>
      </c>
      <c r="BY58" s="377"/>
      <c r="BZ58" s="258"/>
      <c r="CA58" s="258"/>
      <c r="CB58" s="377">
        <v>1</v>
      </c>
      <c r="CC58" s="377"/>
      <c r="CD58" s="377">
        <v>16</v>
      </c>
      <c r="CE58" s="377"/>
      <c r="CF58" s="377">
        <v>15</v>
      </c>
      <c r="CG58" s="377"/>
      <c r="CH58" s="258"/>
      <c r="CI58" s="258"/>
      <c r="CJ58" s="377">
        <v>1</v>
      </c>
      <c r="CK58" s="377"/>
      <c r="CL58" s="377">
        <v>16</v>
      </c>
      <c r="CM58" s="377"/>
      <c r="CN58" s="377">
        <v>15</v>
      </c>
      <c r="CO58" s="377"/>
      <c r="CP58" s="258"/>
      <c r="CQ58" s="258"/>
      <c r="CR58" s="377">
        <v>1</v>
      </c>
      <c r="CS58" s="377"/>
      <c r="CT58" s="377">
        <v>16</v>
      </c>
      <c r="CU58" s="377"/>
      <c r="CV58" s="377">
        <v>15</v>
      </c>
      <c r="CW58" s="377"/>
      <c r="CX58" s="258"/>
      <c r="CY58" s="258"/>
      <c r="CZ58" s="377">
        <v>1</v>
      </c>
      <c r="DA58" s="377"/>
      <c r="DB58" s="258"/>
      <c r="DC58" s="258"/>
      <c r="DD58" s="258"/>
      <c r="DE58" s="258"/>
      <c r="DF58" s="258"/>
      <c r="DG58" s="258"/>
      <c r="DH58" s="249"/>
      <c r="DI58" s="249"/>
      <c r="DJ58" s="249"/>
      <c r="DK58" s="249"/>
      <c r="DL58" s="249"/>
      <c r="DM58" s="252"/>
      <c r="DN58" s="252"/>
      <c r="DO58" s="258"/>
      <c r="DP58" s="258"/>
    </row>
    <row r="59" spans="21:120" x14ac:dyDescent="0.4">
      <c r="U59" s="1" t="s">
        <v>479</v>
      </c>
      <c r="V59" s="253"/>
      <c r="W59" s="253"/>
      <c r="X59" s="253"/>
      <c r="Y59" s="254"/>
      <c r="Z59" s="255"/>
      <c r="AA59" s="256"/>
      <c r="AB59" s="255"/>
      <c r="AC59" s="256"/>
      <c r="AD59" s="260"/>
      <c r="AE59" s="253"/>
      <c r="AF59" s="255"/>
      <c r="AG59" s="256"/>
      <c r="AH59" s="255"/>
      <c r="AI59" s="256"/>
      <c r="AJ59" s="255"/>
      <c r="AK59" s="256"/>
      <c r="AL59" s="260"/>
      <c r="AM59" s="253"/>
      <c r="AN59" s="255"/>
      <c r="AO59" s="256"/>
      <c r="AP59" s="255"/>
      <c r="AQ59" s="256"/>
      <c r="AR59" s="255"/>
      <c r="AS59" s="256"/>
      <c r="AT59" s="260"/>
      <c r="AU59" s="253"/>
      <c r="AV59" s="255"/>
      <c r="AW59" s="256"/>
      <c r="AX59" s="255"/>
      <c r="AY59" s="256"/>
      <c r="AZ59" s="255"/>
      <c r="BA59" s="256"/>
      <c r="BB59" s="260"/>
      <c r="BC59" s="253"/>
      <c r="BD59" s="255"/>
      <c r="BE59" s="256"/>
      <c r="BF59" s="255"/>
      <c r="BG59" s="256"/>
      <c r="BH59" s="255"/>
      <c r="BI59" s="256"/>
      <c r="BJ59" s="260"/>
      <c r="BK59" s="253"/>
      <c r="BL59" s="255"/>
      <c r="BM59" s="256"/>
      <c r="BN59" s="255"/>
      <c r="BO59" s="256"/>
      <c r="BP59" s="255"/>
      <c r="BQ59" s="256"/>
      <c r="BR59" s="260"/>
      <c r="BS59" s="253"/>
      <c r="BT59" s="255"/>
      <c r="BU59" s="256"/>
      <c r="BV59" s="255"/>
      <c r="BW59" s="256"/>
      <c r="BX59" s="255"/>
      <c r="BY59" s="256"/>
      <c r="BZ59" s="260"/>
      <c r="CA59" s="253"/>
      <c r="CB59" s="255"/>
      <c r="CC59" s="256"/>
      <c r="CD59" s="255"/>
      <c r="CE59" s="256"/>
      <c r="CF59" s="255"/>
      <c r="CG59" s="256"/>
      <c r="CH59" s="260"/>
      <c r="CI59" s="253"/>
      <c r="CJ59" s="255"/>
      <c r="CK59" s="256"/>
      <c r="CL59" s="255"/>
      <c r="CM59" s="256"/>
      <c r="CN59" s="255"/>
      <c r="CO59" s="256"/>
      <c r="CP59" s="260"/>
      <c r="CQ59" s="253"/>
      <c r="CR59" s="255"/>
      <c r="CS59" s="256"/>
      <c r="CT59" s="255"/>
      <c r="CU59" s="256"/>
      <c r="CV59" s="255"/>
      <c r="CW59" s="256"/>
      <c r="CX59" s="260"/>
      <c r="CY59" s="253"/>
      <c r="CZ59" s="255"/>
      <c r="DA59" s="256"/>
      <c r="DB59" s="253"/>
      <c r="DC59" s="253"/>
      <c r="DD59" s="253"/>
      <c r="DE59" s="253"/>
      <c r="DF59" s="253"/>
      <c r="DG59" s="253"/>
      <c r="DH59" s="253"/>
      <c r="DI59" s="253"/>
      <c r="DJ59" s="253"/>
      <c r="DK59" s="253"/>
      <c r="DL59" s="253"/>
      <c r="DM59" s="253"/>
      <c r="DN59" s="253"/>
      <c r="DO59" s="253"/>
      <c r="DP59" s="253"/>
    </row>
    <row r="60" spans="21:120" x14ac:dyDescent="0.25">
      <c r="AD60" s="260"/>
      <c r="AH60" s="263"/>
      <c r="AI60" s="263"/>
      <c r="AJ60" s="263"/>
      <c r="AK60" s="263"/>
      <c r="AL60" s="263"/>
      <c r="AM60" s="263"/>
      <c r="AN60" s="263"/>
      <c r="AO60" s="263"/>
    </row>
    <row r="61" spans="21:120" x14ac:dyDescent="0.4">
      <c r="U61" s="1" t="s">
        <v>484</v>
      </c>
      <c r="V61" s="25"/>
      <c r="W61" s="25"/>
      <c r="X61" s="25"/>
      <c r="Y61" s="25"/>
      <c r="Z61" s="386" t="s">
        <v>513</v>
      </c>
      <c r="AA61" s="397"/>
      <c r="AB61" s="397"/>
      <c r="AC61" s="397"/>
      <c r="AD61" s="397"/>
      <c r="AE61" s="397"/>
      <c r="AF61" s="397"/>
      <c r="AG61" s="398"/>
      <c r="AH61" s="386" t="s">
        <v>523</v>
      </c>
      <c r="AI61" s="387"/>
      <c r="AJ61" s="387"/>
      <c r="AK61" s="387"/>
      <c r="AL61" s="387"/>
      <c r="AM61" s="387"/>
      <c r="AN61" s="387"/>
      <c r="AO61" s="388"/>
      <c r="AP61" s="382" t="s">
        <v>513</v>
      </c>
      <c r="AQ61" s="395"/>
      <c r="AR61" s="395"/>
      <c r="AS61" s="395"/>
      <c r="AT61" s="395"/>
      <c r="AU61" s="395"/>
      <c r="AV61" s="395"/>
      <c r="AW61" s="396"/>
      <c r="AX61" s="382" t="s">
        <v>523</v>
      </c>
      <c r="AY61" s="383"/>
      <c r="AZ61" s="383"/>
      <c r="BA61" s="383"/>
      <c r="BB61" s="383"/>
      <c r="BC61" s="383"/>
      <c r="BD61" s="383"/>
      <c r="BE61" s="384"/>
      <c r="BF61" s="382" t="s">
        <v>523</v>
      </c>
      <c r="BG61" s="383"/>
      <c r="BH61" s="383"/>
      <c r="BI61" s="383"/>
      <c r="BJ61" s="383"/>
      <c r="BK61" s="383"/>
      <c r="BL61" s="383"/>
      <c r="BM61" s="384"/>
      <c r="BN61" s="382" t="s">
        <v>523</v>
      </c>
      <c r="BO61" s="383"/>
      <c r="BP61" s="383"/>
      <c r="BQ61" s="383"/>
      <c r="BR61" s="383"/>
      <c r="BS61" s="383"/>
      <c r="BT61" s="383"/>
      <c r="BU61" s="384"/>
      <c r="BV61" s="382" t="s">
        <v>523</v>
      </c>
      <c r="BW61" s="383"/>
      <c r="BX61" s="383"/>
      <c r="BY61" s="383"/>
      <c r="BZ61" s="383"/>
      <c r="CA61" s="383"/>
      <c r="CB61" s="383"/>
      <c r="CC61" s="384"/>
      <c r="CD61" s="379" t="s">
        <v>513</v>
      </c>
      <c r="CE61" s="393"/>
      <c r="CF61" s="393"/>
      <c r="CG61" s="393"/>
      <c r="CH61" s="393"/>
      <c r="CI61" s="393"/>
      <c r="CJ61" s="393"/>
      <c r="CK61" s="394"/>
      <c r="CL61" s="379" t="s">
        <v>523</v>
      </c>
      <c r="CM61" s="380"/>
      <c r="CN61" s="380"/>
      <c r="CO61" s="380"/>
      <c r="CP61" s="380"/>
      <c r="CQ61" s="380"/>
      <c r="CR61" s="380"/>
      <c r="CS61" s="381"/>
      <c r="CT61" s="379" t="s">
        <v>523</v>
      </c>
      <c r="CU61" s="380"/>
      <c r="CV61" s="380"/>
      <c r="CW61" s="380"/>
      <c r="CX61" s="380"/>
      <c r="CY61" s="380"/>
      <c r="CZ61" s="380"/>
      <c r="DA61" s="381"/>
      <c r="DB61" s="253"/>
      <c r="DC61" s="253"/>
      <c r="DD61" s="253"/>
      <c r="DE61" s="253"/>
      <c r="DF61" s="253"/>
      <c r="DG61" s="253"/>
      <c r="DH61" s="253"/>
      <c r="DI61" s="253"/>
      <c r="DJ61" s="253"/>
      <c r="DK61" s="253"/>
      <c r="DL61" s="253"/>
      <c r="DM61" s="253"/>
      <c r="DN61" s="253"/>
      <c r="DO61" s="253"/>
      <c r="DP61" s="253"/>
    </row>
    <row r="62" spans="21:120" x14ac:dyDescent="0.2">
      <c r="AP62" s="377">
        <v>16</v>
      </c>
      <c r="AQ62" s="377"/>
      <c r="AR62" s="377">
        <v>15</v>
      </c>
      <c r="AS62" s="377"/>
      <c r="AT62" s="258"/>
      <c r="AU62" s="258"/>
      <c r="AV62" s="377">
        <v>1</v>
      </c>
      <c r="AW62" s="377"/>
      <c r="AX62" s="377">
        <v>16</v>
      </c>
      <c r="AY62" s="377"/>
      <c r="AZ62" s="377">
        <v>15</v>
      </c>
      <c r="BA62" s="377"/>
      <c r="BB62" s="258"/>
      <c r="BC62" s="258"/>
      <c r="BD62" s="377">
        <v>1</v>
      </c>
      <c r="BE62" s="377"/>
      <c r="BF62" s="377">
        <v>16</v>
      </c>
      <c r="BG62" s="377"/>
      <c r="BH62" s="377">
        <v>15</v>
      </c>
      <c r="BI62" s="377"/>
      <c r="BJ62" s="258"/>
      <c r="BK62" s="258"/>
      <c r="BL62" s="377">
        <v>1</v>
      </c>
      <c r="BM62" s="377"/>
      <c r="BN62" s="377">
        <v>16</v>
      </c>
      <c r="BO62" s="377"/>
      <c r="BP62" s="377">
        <v>15</v>
      </c>
      <c r="BQ62" s="377"/>
      <c r="BR62" s="258"/>
      <c r="BS62" s="258"/>
      <c r="BT62" s="377">
        <v>1</v>
      </c>
      <c r="BU62" s="377"/>
      <c r="BV62" s="377">
        <v>16</v>
      </c>
      <c r="BW62" s="377"/>
      <c r="BX62" s="377">
        <v>15</v>
      </c>
      <c r="BY62" s="377"/>
      <c r="BZ62" s="258"/>
      <c r="CA62" s="258"/>
      <c r="CB62" s="377">
        <v>1</v>
      </c>
      <c r="CC62" s="377"/>
      <c r="CD62" s="377">
        <v>16</v>
      </c>
      <c r="CE62" s="377"/>
      <c r="CF62" s="377">
        <v>15</v>
      </c>
      <c r="CG62" s="377"/>
      <c r="CH62" s="258"/>
      <c r="CI62" s="258"/>
      <c r="CJ62" s="377">
        <v>1</v>
      </c>
      <c r="CK62" s="377"/>
      <c r="CL62" s="377">
        <v>16</v>
      </c>
      <c r="CM62" s="377"/>
      <c r="CN62" s="377">
        <v>15</v>
      </c>
      <c r="CO62" s="377"/>
      <c r="CP62" s="258"/>
      <c r="CQ62" s="258"/>
      <c r="CR62" s="377">
        <v>1</v>
      </c>
      <c r="CS62" s="377"/>
      <c r="CT62" s="377">
        <v>16</v>
      </c>
      <c r="CU62" s="377"/>
      <c r="CV62" s="377">
        <v>15</v>
      </c>
      <c r="CW62" s="377"/>
      <c r="CX62" s="258"/>
      <c r="CY62" s="258"/>
      <c r="CZ62" s="377">
        <v>1</v>
      </c>
      <c r="DA62" s="377"/>
      <c r="DB62" s="258"/>
      <c r="DC62" s="258"/>
      <c r="DD62" s="258"/>
      <c r="DE62" s="258"/>
      <c r="DF62" s="258"/>
    </row>
    <row r="63" spans="21:120" x14ac:dyDescent="0.4">
      <c r="U63" s="1" t="s">
        <v>494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5"/>
      <c r="AQ63" s="256"/>
      <c r="AR63" s="255"/>
      <c r="AS63" s="256"/>
      <c r="AT63" s="260"/>
      <c r="AU63" s="253"/>
      <c r="AV63" s="255"/>
      <c r="AW63" s="256"/>
      <c r="AX63" s="255"/>
      <c r="AY63" s="256"/>
      <c r="AZ63" s="255"/>
      <c r="BA63" s="256"/>
      <c r="BB63" s="260"/>
      <c r="BC63" s="253"/>
      <c r="BD63" s="255"/>
      <c r="BE63" s="256"/>
      <c r="BF63" s="255"/>
      <c r="BG63" s="256"/>
      <c r="BH63" s="255"/>
      <c r="BI63" s="256"/>
      <c r="BJ63" s="260"/>
      <c r="BK63" s="253"/>
      <c r="BL63" s="255"/>
      <c r="BM63" s="256"/>
      <c r="BN63" s="255"/>
      <c r="BO63" s="256"/>
      <c r="BP63" s="255"/>
      <c r="BQ63" s="256"/>
      <c r="BR63" s="260"/>
      <c r="BS63" s="253"/>
      <c r="BT63" s="255"/>
      <c r="BU63" s="256"/>
      <c r="BV63" s="255"/>
      <c r="BW63" s="256"/>
      <c r="BX63" s="255"/>
      <c r="BY63" s="256"/>
      <c r="BZ63" s="260"/>
      <c r="CA63" s="253"/>
      <c r="CB63" s="255"/>
      <c r="CC63" s="256"/>
      <c r="CD63" s="255"/>
      <c r="CE63" s="256"/>
      <c r="CF63" s="255"/>
      <c r="CG63" s="256"/>
      <c r="CH63" s="260"/>
      <c r="CI63" s="253"/>
      <c r="CJ63" s="255"/>
      <c r="CK63" s="256"/>
      <c r="CL63" s="255"/>
      <c r="CM63" s="256"/>
      <c r="CN63" s="255"/>
      <c r="CO63" s="256"/>
      <c r="CP63" s="260"/>
      <c r="CQ63" s="253"/>
      <c r="CR63" s="255"/>
      <c r="CS63" s="256"/>
      <c r="CT63" s="255"/>
      <c r="CU63" s="256"/>
      <c r="CV63" s="255"/>
      <c r="CW63" s="256"/>
      <c r="CX63" s="260"/>
      <c r="CY63" s="253"/>
      <c r="CZ63" s="255"/>
      <c r="DA63" s="256"/>
      <c r="DB63" s="253"/>
      <c r="DC63" s="253"/>
      <c r="DD63" s="253"/>
      <c r="DE63" s="253"/>
      <c r="DF63" s="253"/>
      <c r="DG63" s="25"/>
      <c r="DH63" s="25"/>
      <c r="DI63" s="25"/>
      <c r="DJ63" s="25"/>
      <c r="DK63" s="25"/>
      <c r="DL63" s="25"/>
      <c r="DM63" s="25"/>
      <c r="DN63" s="25"/>
      <c r="DO63" s="25"/>
      <c r="DP63" s="25"/>
    </row>
    <row r="65" spans="21:159" x14ac:dyDescent="0.4">
      <c r="U65" s="1" t="s">
        <v>496</v>
      </c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382" t="s">
        <v>513</v>
      </c>
      <c r="AQ65" s="395"/>
      <c r="AR65" s="395"/>
      <c r="AS65" s="395"/>
      <c r="AT65" s="395"/>
      <c r="AU65" s="395"/>
      <c r="AV65" s="395"/>
      <c r="AW65" s="396"/>
      <c r="AX65" s="382" t="s">
        <v>523</v>
      </c>
      <c r="AY65" s="383"/>
      <c r="AZ65" s="383"/>
      <c r="BA65" s="383"/>
      <c r="BB65" s="383"/>
      <c r="BC65" s="383"/>
      <c r="BD65" s="383"/>
      <c r="BE65" s="384"/>
      <c r="BF65" s="382" t="s">
        <v>523</v>
      </c>
      <c r="BG65" s="383"/>
      <c r="BH65" s="383"/>
      <c r="BI65" s="383"/>
      <c r="BJ65" s="383"/>
      <c r="BK65" s="383"/>
      <c r="BL65" s="383"/>
      <c r="BM65" s="384"/>
      <c r="BN65" s="382" t="s">
        <v>523</v>
      </c>
      <c r="BO65" s="383"/>
      <c r="BP65" s="383"/>
      <c r="BQ65" s="383"/>
      <c r="BR65" s="383"/>
      <c r="BS65" s="383"/>
      <c r="BT65" s="383"/>
      <c r="BU65" s="384"/>
      <c r="BV65" s="382" t="s">
        <v>523</v>
      </c>
      <c r="BW65" s="383"/>
      <c r="BX65" s="383"/>
      <c r="BY65" s="383"/>
      <c r="BZ65" s="383"/>
      <c r="CA65" s="383"/>
      <c r="CB65" s="383"/>
      <c r="CC65" s="384"/>
      <c r="CD65" s="379" t="s">
        <v>513</v>
      </c>
      <c r="CE65" s="393"/>
      <c r="CF65" s="393"/>
      <c r="CG65" s="393"/>
      <c r="CH65" s="393"/>
      <c r="CI65" s="393"/>
      <c r="CJ65" s="393"/>
      <c r="CK65" s="394"/>
      <c r="CL65" s="379" t="s">
        <v>523</v>
      </c>
      <c r="CM65" s="380"/>
      <c r="CN65" s="380"/>
      <c r="CO65" s="380"/>
      <c r="CP65" s="380"/>
      <c r="CQ65" s="380"/>
      <c r="CR65" s="380"/>
      <c r="CS65" s="381"/>
      <c r="CT65" s="379" t="s">
        <v>523</v>
      </c>
      <c r="CU65" s="380"/>
      <c r="CV65" s="380"/>
      <c r="CW65" s="380"/>
      <c r="CX65" s="380"/>
      <c r="CY65" s="380"/>
      <c r="CZ65" s="380"/>
      <c r="DA65" s="381"/>
      <c r="DB65" s="253"/>
      <c r="DC65" s="253"/>
      <c r="DD65" s="253"/>
      <c r="DE65" s="253"/>
      <c r="DF65" s="253"/>
      <c r="DG65" s="25"/>
      <c r="DH65" s="25"/>
      <c r="DI65" s="25"/>
      <c r="DJ65" s="25"/>
      <c r="DK65" s="25"/>
      <c r="DL65" s="25"/>
      <c r="DM65" s="25"/>
      <c r="DN65" s="25"/>
      <c r="DO65" s="25"/>
      <c r="DP65" s="25"/>
    </row>
    <row r="66" spans="21:159" x14ac:dyDescent="0.2">
      <c r="CD66" s="377">
        <v>16</v>
      </c>
      <c r="CE66" s="377"/>
      <c r="CF66" s="377">
        <v>15</v>
      </c>
      <c r="CG66" s="377"/>
      <c r="CH66" s="258"/>
      <c r="CI66" s="258"/>
      <c r="CJ66" s="377">
        <v>1</v>
      </c>
      <c r="CK66" s="377"/>
      <c r="CL66" s="377">
        <v>16</v>
      </c>
      <c r="CM66" s="377"/>
      <c r="CN66" s="377">
        <v>15</v>
      </c>
      <c r="CO66" s="377"/>
      <c r="CP66" s="258"/>
      <c r="CQ66" s="258"/>
      <c r="CR66" s="377">
        <v>1</v>
      </c>
      <c r="CS66" s="377"/>
      <c r="CT66" s="377">
        <v>16</v>
      </c>
      <c r="CU66" s="377"/>
      <c r="CV66" s="377">
        <v>15</v>
      </c>
      <c r="CW66" s="377"/>
      <c r="CX66" s="258"/>
      <c r="CY66" s="258"/>
      <c r="CZ66" s="377">
        <v>1</v>
      </c>
      <c r="DA66" s="377"/>
    </row>
    <row r="67" spans="21:159" x14ac:dyDescent="0.4">
      <c r="U67" s="1" t="s">
        <v>500</v>
      </c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5"/>
      <c r="CE67" s="256"/>
      <c r="CF67" s="255"/>
      <c r="CG67" s="256"/>
      <c r="CH67" s="260"/>
      <c r="CI67" s="253"/>
      <c r="CJ67" s="255"/>
      <c r="CK67" s="256"/>
      <c r="CL67" s="255"/>
      <c r="CM67" s="256"/>
      <c r="CN67" s="255"/>
      <c r="CO67" s="256"/>
      <c r="CP67" s="260"/>
      <c r="CQ67" s="253"/>
      <c r="CR67" s="255"/>
      <c r="CS67" s="256"/>
      <c r="CT67" s="255"/>
      <c r="CU67" s="256"/>
      <c r="CV67" s="255"/>
      <c r="CW67" s="256"/>
      <c r="CX67" s="260"/>
      <c r="CY67" s="253"/>
      <c r="CZ67" s="255"/>
      <c r="DA67" s="256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</row>
    <row r="69" spans="21:159" x14ac:dyDescent="0.4">
      <c r="U69" s="1" t="s">
        <v>502</v>
      </c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379" t="s">
        <v>513</v>
      </c>
      <c r="CE69" s="393"/>
      <c r="CF69" s="393"/>
      <c r="CG69" s="393"/>
      <c r="CH69" s="393"/>
      <c r="CI69" s="393"/>
      <c r="CJ69" s="393"/>
      <c r="CK69" s="394"/>
      <c r="CL69" s="379" t="s">
        <v>523</v>
      </c>
      <c r="CM69" s="380"/>
      <c r="CN69" s="380"/>
      <c r="CO69" s="380"/>
      <c r="CP69" s="380"/>
      <c r="CQ69" s="380"/>
      <c r="CR69" s="380"/>
      <c r="CS69" s="381"/>
      <c r="CT69" s="379" t="s">
        <v>523</v>
      </c>
      <c r="CU69" s="380"/>
      <c r="CV69" s="380"/>
      <c r="CW69" s="380"/>
      <c r="CX69" s="380"/>
      <c r="CY69" s="380"/>
      <c r="CZ69" s="380"/>
      <c r="DA69" s="381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</row>
    <row r="70" spans="21:159" x14ac:dyDescent="0.25">
      <c r="AH70" s="392" t="s">
        <v>505</v>
      </c>
      <c r="AI70" s="392"/>
      <c r="AJ70" s="392"/>
      <c r="AK70" s="392"/>
      <c r="AL70" s="392"/>
      <c r="AM70" s="392"/>
      <c r="AN70" s="392"/>
      <c r="AO70" s="392"/>
    </row>
    <row r="71" spans="21:159" x14ac:dyDescent="0.4">
      <c r="U71" s="1" t="s">
        <v>524</v>
      </c>
      <c r="Z71" s="24"/>
      <c r="AA71" s="24"/>
      <c r="AB71" s="24"/>
      <c r="AC71" s="24"/>
      <c r="AD71" s="24"/>
      <c r="AE71" s="24"/>
      <c r="AF71" s="24"/>
      <c r="AG71" s="24"/>
      <c r="AH71" s="386" t="s">
        <v>507</v>
      </c>
      <c r="AI71" s="387"/>
      <c r="AJ71" s="387"/>
      <c r="AK71" s="387"/>
      <c r="AL71" s="387"/>
      <c r="AM71" s="387"/>
      <c r="AN71" s="387"/>
      <c r="AO71" s="388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</row>
    <row r="72" spans="21:159" x14ac:dyDescent="0.25">
      <c r="AY72" s="392" t="s">
        <v>516</v>
      </c>
      <c r="AZ72" s="392"/>
      <c r="BA72" s="392"/>
      <c r="BB72" s="392"/>
      <c r="BC72" s="392"/>
      <c r="BD72" s="392"/>
      <c r="BE72" s="392"/>
      <c r="BF72" s="392"/>
      <c r="BG72" s="392" t="s">
        <v>517</v>
      </c>
      <c r="BH72" s="392"/>
      <c r="BI72" s="392"/>
      <c r="BJ72" s="392"/>
      <c r="BK72" s="392"/>
      <c r="BL72" s="392"/>
      <c r="BM72" s="392"/>
      <c r="BN72" s="392"/>
      <c r="BO72" s="392" t="s">
        <v>518</v>
      </c>
      <c r="BP72" s="392"/>
      <c r="BQ72" s="392"/>
      <c r="BR72" s="392"/>
      <c r="BS72" s="392"/>
      <c r="BT72" s="392"/>
      <c r="BU72" s="392"/>
      <c r="BV72" s="392"/>
      <c r="BW72" s="392" t="s">
        <v>519</v>
      </c>
      <c r="BX72" s="392"/>
      <c r="BY72" s="392"/>
      <c r="BZ72" s="392"/>
      <c r="CA72" s="392"/>
      <c r="CB72" s="392"/>
      <c r="CC72" s="392"/>
      <c r="CD72" s="392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</row>
    <row r="73" spans="21:159" x14ac:dyDescent="0.4">
      <c r="U73" s="1" t="s">
        <v>525</v>
      </c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382" t="s">
        <v>509</v>
      </c>
      <c r="AZ73" s="383"/>
      <c r="BA73" s="383"/>
      <c r="BB73" s="383"/>
      <c r="BC73" s="383"/>
      <c r="BD73" s="383"/>
      <c r="BE73" s="383"/>
      <c r="BF73" s="384"/>
      <c r="BG73" s="382" t="s">
        <v>510</v>
      </c>
      <c r="BH73" s="383"/>
      <c r="BI73" s="383"/>
      <c r="BJ73" s="383"/>
      <c r="BK73" s="383"/>
      <c r="BL73" s="383"/>
      <c r="BM73" s="383"/>
      <c r="BN73" s="384"/>
      <c r="BO73" s="382" t="s">
        <v>511</v>
      </c>
      <c r="BP73" s="383"/>
      <c r="BQ73" s="383"/>
      <c r="BR73" s="383"/>
      <c r="BS73" s="383"/>
      <c r="BT73" s="383"/>
      <c r="BU73" s="383"/>
      <c r="BV73" s="384"/>
      <c r="BW73" s="382" t="s">
        <v>512</v>
      </c>
      <c r="BX73" s="383"/>
      <c r="BY73" s="383"/>
      <c r="BZ73" s="383"/>
      <c r="CA73" s="383"/>
      <c r="CB73" s="383"/>
      <c r="CC73" s="383"/>
      <c r="CD73" s="384"/>
    </row>
    <row r="74" spans="21:159" x14ac:dyDescent="0.25">
      <c r="CM74" s="392" t="s">
        <v>520</v>
      </c>
      <c r="CN74" s="392"/>
      <c r="CO74" s="392"/>
      <c r="CP74" s="392"/>
      <c r="CQ74" s="392"/>
      <c r="CR74" s="392"/>
      <c r="CS74" s="392"/>
      <c r="CT74" s="392"/>
      <c r="CU74" s="392" t="s">
        <v>521</v>
      </c>
      <c r="CV74" s="392"/>
      <c r="CW74" s="392"/>
      <c r="CX74" s="392"/>
      <c r="CY74" s="392"/>
      <c r="CZ74" s="392"/>
      <c r="DA74" s="392"/>
      <c r="DB74" s="392"/>
    </row>
    <row r="75" spans="21:159" x14ac:dyDescent="0.4">
      <c r="U75" s="1" t="s">
        <v>527</v>
      </c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CM75" s="379" t="s">
        <v>514</v>
      </c>
      <c r="CN75" s="380"/>
      <c r="CO75" s="380"/>
      <c r="CP75" s="380"/>
      <c r="CQ75" s="380"/>
      <c r="CR75" s="380"/>
      <c r="CS75" s="380"/>
      <c r="CT75" s="381"/>
      <c r="CU75" s="379" t="s">
        <v>515</v>
      </c>
      <c r="CV75" s="380"/>
      <c r="CW75" s="380"/>
      <c r="CX75" s="380"/>
      <c r="CY75" s="380"/>
      <c r="CZ75" s="380"/>
      <c r="DA75" s="380"/>
      <c r="DB75" s="381"/>
    </row>
    <row r="78" spans="21:159" x14ac:dyDescent="0.4">
      <c r="U78" s="6" t="s">
        <v>529</v>
      </c>
      <c r="DH78" t="s">
        <v>473</v>
      </c>
    </row>
    <row r="79" spans="21:159" x14ac:dyDescent="0.4">
      <c r="U79" s="248" t="s">
        <v>474</v>
      </c>
      <c r="V79" s="28"/>
      <c r="W79" s="29"/>
      <c r="X79" s="26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DB79" s="25"/>
      <c r="DC79" s="25"/>
      <c r="DD79" s="25"/>
      <c r="DE79" s="25"/>
      <c r="DF79" s="25"/>
      <c r="DG79" s="21"/>
      <c r="DH79" s="27"/>
      <c r="DI79" s="28"/>
      <c r="DJ79" s="28"/>
      <c r="DK79" s="28"/>
      <c r="DL79" s="28"/>
      <c r="DM79" s="28"/>
      <c r="DN79" s="29"/>
      <c r="DO79" s="26"/>
      <c r="DP79" s="25"/>
    </row>
    <row r="80" spans="21:159" x14ac:dyDescent="0.4">
      <c r="X80" s="249"/>
      <c r="Y80" s="249"/>
      <c r="Z80" s="377">
        <v>16</v>
      </c>
      <c r="AA80" s="377"/>
      <c r="AB80" s="377">
        <v>15</v>
      </c>
      <c r="AC80" s="377"/>
      <c r="AD80" s="377">
        <v>14</v>
      </c>
      <c r="AE80" s="377"/>
      <c r="AF80" s="377">
        <v>13</v>
      </c>
      <c r="AG80" s="377"/>
      <c r="AH80" s="377">
        <v>12</v>
      </c>
      <c r="AI80" s="377"/>
      <c r="AJ80" s="377">
        <v>11</v>
      </c>
      <c r="AK80" s="377"/>
      <c r="AL80" s="377">
        <v>10</v>
      </c>
      <c r="AM80" s="377"/>
      <c r="AN80" s="377">
        <v>9</v>
      </c>
      <c r="AO80" s="377"/>
      <c r="AP80" s="258"/>
      <c r="AQ80" s="258"/>
      <c r="AR80" s="377">
        <v>4</v>
      </c>
      <c r="AS80" s="377"/>
      <c r="AT80" s="250">
        <v>3</v>
      </c>
      <c r="AU80" s="250"/>
      <c r="AV80" s="250">
        <v>2</v>
      </c>
      <c r="AW80" s="250"/>
      <c r="AX80" s="377">
        <v>1</v>
      </c>
      <c r="AY80" s="377"/>
      <c r="AZ80" s="377">
        <v>16</v>
      </c>
      <c r="BA80" s="377"/>
      <c r="BB80" s="377">
        <v>15</v>
      </c>
      <c r="BC80" s="377"/>
      <c r="BD80" s="377">
        <v>14</v>
      </c>
      <c r="BE80" s="377"/>
      <c r="BF80" s="377">
        <v>13</v>
      </c>
      <c r="BG80" s="377"/>
      <c r="BH80" s="377">
        <v>12</v>
      </c>
      <c r="BI80" s="377"/>
      <c r="BJ80" s="377">
        <v>11</v>
      </c>
      <c r="BK80" s="377"/>
      <c r="BL80" s="377">
        <v>10</v>
      </c>
      <c r="BM80" s="377"/>
      <c r="BN80" s="377">
        <v>9</v>
      </c>
      <c r="BO80" s="377"/>
      <c r="BP80" s="258"/>
      <c r="BQ80" s="258"/>
      <c r="BR80" s="377">
        <v>4</v>
      </c>
      <c r="BS80" s="377"/>
      <c r="BT80" s="250">
        <v>3</v>
      </c>
      <c r="BU80" s="250"/>
      <c r="BV80" s="250">
        <v>2</v>
      </c>
      <c r="BW80" s="250"/>
      <c r="BX80" s="377">
        <v>1</v>
      </c>
      <c r="BY80" s="377"/>
      <c r="BZ80" s="377">
        <v>16</v>
      </c>
      <c r="CA80" s="377"/>
      <c r="CB80" s="377">
        <v>15</v>
      </c>
      <c r="CC80" s="377"/>
      <c r="CD80" s="377">
        <v>14</v>
      </c>
      <c r="CE80" s="377"/>
      <c r="CF80" s="377">
        <v>13</v>
      </c>
      <c r="CG80" s="377"/>
      <c r="CH80" s="377">
        <v>12</v>
      </c>
      <c r="CI80" s="377"/>
      <c r="CJ80" s="377">
        <v>11</v>
      </c>
      <c r="CK80" s="377"/>
      <c r="CL80" s="377">
        <v>10</v>
      </c>
      <c r="CM80" s="377"/>
      <c r="CN80" s="377">
        <v>9</v>
      </c>
      <c r="CO80" s="377"/>
      <c r="CP80" s="258"/>
      <c r="CQ80" s="258"/>
      <c r="CR80" s="377">
        <v>4</v>
      </c>
      <c r="CS80" s="377"/>
      <c r="CT80" s="250">
        <v>3</v>
      </c>
      <c r="CU80" s="250"/>
      <c r="CV80" s="250">
        <v>2</v>
      </c>
      <c r="CW80" s="250"/>
      <c r="CX80" s="377">
        <v>1</v>
      </c>
      <c r="CY80" s="377"/>
      <c r="CZ80" s="258"/>
      <c r="DA80" s="258"/>
      <c r="DB80" s="259"/>
      <c r="DC80" s="259"/>
      <c r="DD80" s="259"/>
      <c r="DE80" s="259"/>
      <c r="DF80" s="251"/>
      <c r="DG80" s="251"/>
      <c r="DH80" s="249"/>
      <c r="DI80" s="249"/>
      <c r="DJ80" s="249"/>
      <c r="DK80" s="249"/>
      <c r="DL80" s="249"/>
      <c r="DM80" s="252"/>
      <c r="DN80" s="252"/>
      <c r="DO80" s="252"/>
      <c r="DP80" s="252"/>
      <c r="DQ80" s="252"/>
      <c r="DR80" s="252"/>
      <c r="DS80" s="252"/>
      <c r="DT80" s="252"/>
      <c r="DU80" s="252"/>
      <c r="DV80" s="252"/>
      <c r="DW80" s="252"/>
      <c r="DX80" s="252"/>
      <c r="DY80" s="252"/>
      <c r="DZ80" s="252"/>
      <c r="EA80" s="252"/>
      <c r="EB80" s="252"/>
      <c r="EC80" s="252"/>
      <c r="ED80" s="252"/>
      <c r="EE80" s="252"/>
      <c r="EF80" s="252"/>
      <c r="EG80" s="252"/>
      <c r="EH80" s="252"/>
      <c r="EI80" s="252"/>
      <c r="EJ80" s="252"/>
      <c r="EK80" s="252"/>
      <c r="EL80" s="252"/>
      <c r="EM80" s="252"/>
      <c r="EN80" s="252"/>
      <c r="EO80" s="252"/>
      <c r="EP80" s="252"/>
      <c r="EQ80" s="252"/>
      <c r="ER80" s="252"/>
      <c r="ES80" s="252"/>
      <c r="ET80" s="252"/>
      <c r="EU80" s="252"/>
      <c r="EV80" s="252"/>
      <c r="EW80" s="252"/>
      <c r="EX80" s="252"/>
      <c r="EY80" s="252"/>
      <c r="EZ80" s="252"/>
      <c r="FA80" s="252"/>
      <c r="FB80" s="252"/>
      <c r="FC80" s="252"/>
    </row>
    <row r="81" spans="21:159" x14ac:dyDescent="0.4">
      <c r="U81" s="1" t="s">
        <v>479</v>
      </c>
      <c r="V81" s="253"/>
      <c r="W81" s="253"/>
      <c r="X81" s="253"/>
      <c r="Y81" s="254"/>
      <c r="Z81" s="255"/>
      <c r="AA81" s="256"/>
      <c r="AB81" s="255"/>
      <c r="AC81" s="256"/>
      <c r="AD81" s="255"/>
      <c r="AE81" s="256"/>
      <c r="AF81" s="255"/>
      <c r="AG81" s="256"/>
      <c r="AH81" s="255"/>
      <c r="AI81" s="256"/>
      <c r="AJ81" s="255"/>
      <c r="AK81" s="256"/>
      <c r="AL81" s="255"/>
      <c r="AM81" s="256"/>
      <c r="AN81" s="255"/>
      <c r="AO81" s="256"/>
      <c r="AQ81" s="253"/>
      <c r="AR81" s="255"/>
      <c r="AS81" s="256"/>
      <c r="AT81" s="255"/>
      <c r="AU81" s="256"/>
      <c r="AV81" s="255"/>
      <c r="AW81" s="256"/>
      <c r="AX81" s="255"/>
      <c r="AY81" s="256"/>
      <c r="AZ81" s="255"/>
      <c r="BA81" s="256"/>
      <c r="BB81" s="255"/>
      <c r="BC81" s="256"/>
      <c r="BD81" s="255"/>
      <c r="BE81" s="256"/>
      <c r="BF81" s="255"/>
      <c r="BG81" s="256"/>
      <c r="BH81" s="255"/>
      <c r="BI81" s="256"/>
      <c r="BJ81" s="255"/>
      <c r="BK81" s="256"/>
      <c r="BL81" s="255"/>
      <c r="BM81" s="256"/>
      <c r="BN81" s="255"/>
      <c r="BO81" s="256"/>
      <c r="BQ81" s="253"/>
      <c r="BR81" s="255"/>
      <c r="BS81" s="256"/>
      <c r="BT81" s="255"/>
      <c r="BU81" s="256"/>
      <c r="BV81" s="255"/>
      <c r="BW81" s="256"/>
      <c r="BX81" s="255"/>
      <c r="BY81" s="256"/>
      <c r="BZ81" s="255"/>
      <c r="CA81" s="256"/>
      <c r="CB81" s="255"/>
      <c r="CC81" s="256"/>
      <c r="CD81" s="255"/>
      <c r="CE81" s="256"/>
      <c r="CF81" s="255"/>
      <c r="CG81" s="256"/>
      <c r="CH81" s="255"/>
      <c r="CI81" s="256"/>
      <c r="CJ81" s="255"/>
      <c r="CK81" s="256"/>
      <c r="CL81" s="255"/>
      <c r="CM81" s="256"/>
      <c r="CN81" s="255"/>
      <c r="CO81" s="256"/>
      <c r="CQ81" s="253"/>
      <c r="CR81" s="255"/>
      <c r="CS81" s="256"/>
      <c r="CT81" s="255"/>
      <c r="CU81" s="256"/>
      <c r="CV81" s="255"/>
      <c r="CW81" s="256"/>
      <c r="CX81" s="255"/>
      <c r="CY81" s="256"/>
      <c r="CZ81" s="253"/>
      <c r="DA81" s="253"/>
      <c r="DB81" s="253"/>
      <c r="DC81" s="253"/>
      <c r="DD81" s="253"/>
      <c r="DE81" s="253"/>
      <c r="DF81" s="253"/>
      <c r="DG81" s="253"/>
      <c r="DH81" s="253"/>
      <c r="DI81" s="253"/>
      <c r="DJ81" s="253"/>
      <c r="DK81" s="253"/>
      <c r="DL81" s="253"/>
      <c r="DM81" s="253"/>
      <c r="DN81" s="253"/>
      <c r="DO81" s="253"/>
      <c r="DP81" s="253"/>
      <c r="DQ81" s="257"/>
      <c r="DR81" s="257"/>
      <c r="DS81" s="257"/>
      <c r="DT81" s="257"/>
      <c r="DU81" s="257"/>
      <c r="DV81" s="257"/>
      <c r="DW81" s="257"/>
      <c r="DX81" s="257"/>
      <c r="DY81" s="257"/>
      <c r="DZ81" s="257"/>
      <c r="EA81" s="257"/>
      <c r="EB81" s="257"/>
      <c r="EC81" s="257"/>
      <c r="ED81" s="257"/>
      <c r="EE81" s="257"/>
      <c r="EF81" s="257"/>
      <c r="EG81" s="257"/>
      <c r="EH81" s="257"/>
      <c r="EI81" s="257"/>
      <c r="EJ81" s="257"/>
      <c r="EK81" s="257"/>
      <c r="EL81" s="257"/>
      <c r="EM81" s="257"/>
      <c r="EN81" s="257"/>
      <c r="EO81" s="257"/>
      <c r="EP81" s="257"/>
      <c r="EQ81" s="257"/>
      <c r="ER81" s="257"/>
      <c r="ES81" s="257"/>
      <c r="ET81" s="257"/>
      <c r="EU81" s="257"/>
      <c r="EV81" s="257"/>
      <c r="EW81" s="257"/>
      <c r="EX81" s="257"/>
      <c r="EY81" s="257"/>
      <c r="EZ81" s="257"/>
      <c r="FA81" s="257"/>
      <c r="FB81" s="257"/>
      <c r="FC81" s="257"/>
    </row>
    <row r="83" spans="21:159" x14ac:dyDescent="0.4">
      <c r="U83" s="1" t="s">
        <v>484</v>
      </c>
      <c r="V83" s="25"/>
      <c r="W83" s="25"/>
      <c r="X83" s="25"/>
      <c r="Y83" s="25"/>
      <c r="Z83" s="391" t="s">
        <v>530</v>
      </c>
      <c r="AA83" s="391"/>
      <c r="AB83" s="391"/>
      <c r="AC83" s="391"/>
      <c r="AD83" s="391"/>
      <c r="AE83" s="391"/>
      <c r="AF83" s="391"/>
      <c r="AG83" s="391"/>
      <c r="AH83" s="391"/>
      <c r="AI83" s="391"/>
      <c r="AJ83" s="391"/>
      <c r="AK83" s="391"/>
      <c r="AL83" s="391"/>
      <c r="AM83" s="391"/>
      <c r="AN83" s="391"/>
      <c r="AO83" s="391"/>
      <c r="AP83" s="391"/>
      <c r="AQ83" s="391"/>
      <c r="AR83" s="391"/>
      <c r="AS83" s="391"/>
      <c r="AT83" s="391"/>
      <c r="AU83" s="391"/>
      <c r="AV83" s="391"/>
      <c r="AW83" s="391"/>
      <c r="AX83" s="391"/>
      <c r="AY83" s="391"/>
      <c r="AZ83" s="390" t="s">
        <v>487</v>
      </c>
      <c r="BA83" s="390"/>
      <c r="BB83" s="390"/>
      <c r="BC83" s="390"/>
      <c r="BD83" s="390"/>
      <c r="BE83" s="390"/>
      <c r="BF83" s="390"/>
      <c r="BG83" s="390"/>
      <c r="BH83" s="390"/>
      <c r="BI83" s="390"/>
      <c r="BJ83" s="390"/>
      <c r="BK83" s="390"/>
      <c r="BL83" s="390"/>
      <c r="BM83" s="390"/>
      <c r="BN83" s="390"/>
      <c r="BO83" s="390"/>
      <c r="BP83" s="390"/>
      <c r="BQ83" s="390"/>
      <c r="BR83" s="390"/>
      <c r="BS83" s="390"/>
      <c r="BT83" s="390"/>
      <c r="BU83" s="390"/>
      <c r="BV83" s="390"/>
      <c r="BW83" s="390"/>
      <c r="BX83" s="390"/>
      <c r="BY83" s="390"/>
      <c r="BZ83" s="389" t="s">
        <v>531</v>
      </c>
      <c r="CA83" s="389"/>
      <c r="CB83" s="389"/>
      <c r="CC83" s="389"/>
      <c r="CD83" s="389"/>
      <c r="CE83" s="389"/>
      <c r="CF83" s="389"/>
      <c r="CG83" s="389"/>
      <c r="CH83" s="389"/>
      <c r="CI83" s="389"/>
      <c r="CJ83" s="389"/>
      <c r="CK83" s="389"/>
      <c r="CL83" s="389"/>
      <c r="CM83" s="389"/>
      <c r="CN83" s="389"/>
      <c r="CO83" s="389"/>
      <c r="CP83" s="389"/>
      <c r="CQ83" s="389"/>
      <c r="CR83" s="389"/>
      <c r="CS83" s="389"/>
      <c r="CT83" s="389"/>
      <c r="CU83" s="389"/>
      <c r="CV83" s="389"/>
      <c r="CW83" s="389"/>
      <c r="CX83" s="389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</row>
    <row r="84" spans="21:159" x14ac:dyDescent="0.2">
      <c r="AZ84" s="377">
        <v>16</v>
      </c>
      <c r="BA84" s="377"/>
      <c r="BB84" s="377">
        <v>15</v>
      </c>
      <c r="BC84" s="377"/>
      <c r="BD84" s="377">
        <v>14</v>
      </c>
      <c r="BE84" s="377"/>
      <c r="BF84" s="377">
        <v>13</v>
      </c>
      <c r="BG84" s="377"/>
      <c r="BH84" s="377">
        <v>12</v>
      </c>
      <c r="BI84" s="377"/>
      <c r="BJ84" s="377">
        <v>11</v>
      </c>
      <c r="BK84" s="377"/>
      <c r="BL84" s="377">
        <v>10</v>
      </c>
      <c r="BM84" s="377"/>
      <c r="BN84" s="377">
        <v>9</v>
      </c>
      <c r="BO84" s="377"/>
      <c r="BP84" s="258"/>
      <c r="BQ84" s="258"/>
      <c r="BR84" s="377">
        <v>4</v>
      </c>
      <c r="BS84" s="377"/>
      <c r="BT84" s="250">
        <v>3</v>
      </c>
      <c r="BU84" s="250"/>
      <c r="BV84" s="250">
        <v>2</v>
      </c>
      <c r="BW84" s="250"/>
      <c r="BX84" s="377">
        <v>1</v>
      </c>
      <c r="BY84" s="377"/>
      <c r="BZ84" s="377">
        <v>16</v>
      </c>
      <c r="CA84" s="377"/>
      <c r="CB84" s="377">
        <v>15</v>
      </c>
      <c r="CC84" s="377"/>
      <c r="CD84" s="377">
        <v>14</v>
      </c>
      <c r="CE84" s="377"/>
      <c r="CF84" s="377">
        <v>13</v>
      </c>
      <c r="CG84" s="377"/>
      <c r="CH84" s="377">
        <v>12</v>
      </c>
      <c r="CI84" s="377"/>
      <c r="CJ84" s="377">
        <v>11</v>
      </c>
      <c r="CK84" s="377"/>
      <c r="CL84" s="377">
        <v>10</v>
      </c>
      <c r="CM84" s="377"/>
      <c r="CN84" s="377">
        <v>9</v>
      </c>
      <c r="CO84" s="377"/>
      <c r="CP84" s="258"/>
      <c r="CQ84" s="258"/>
      <c r="CR84" s="377">
        <v>4</v>
      </c>
      <c r="CS84" s="377"/>
      <c r="CT84" s="250">
        <v>3</v>
      </c>
      <c r="CU84" s="250"/>
      <c r="CV84" s="250">
        <v>2</v>
      </c>
      <c r="CW84" s="250"/>
      <c r="CX84" s="377">
        <v>1</v>
      </c>
      <c r="CY84" s="377"/>
      <c r="CZ84" s="258"/>
    </row>
    <row r="85" spans="21:159" x14ac:dyDescent="0.4">
      <c r="U85" s="1" t="s">
        <v>494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5"/>
      <c r="BA85" s="256"/>
      <c r="BB85" s="255"/>
      <c r="BC85" s="256"/>
      <c r="BD85" s="255"/>
      <c r="BE85" s="256"/>
      <c r="BF85" s="255"/>
      <c r="BG85" s="256"/>
      <c r="BH85" s="255"/>
      <c r="BI85" s="256"/>
      <c r="BJ85" s="255"/>
      <c r="BK85" s="256"/>
      <c r="BL85" s="255"/>
      <c r="BM85" s="256"/>
      <c r="BN85" s="255"/>
      <c r="BO85" s="256"/>
      <c r="BQ85" s="253"/>
      <c r="BR85" s="255"/>
      <c r="BS85" s="256"/>
      <c r="BT85" s="255"/>
      <c r="BU85" s="256"/>
      <c r="BV85" s="255"/>
      <c r="BW85" s="256"/>
      <c r="BX85" s="255"/>
      <c r="BY85" s="256"/>
      <c r="BZ85" s="255"/>
      <c r="CA85" s="256"/>
      <c r="CB85" s="255"/>
      <c r="CC85" s="256"/>
      <c r="CD85" s="255"/>
      <c r="CE85" s="256"/>
      <c r="CF85" s="255"/>
      <c r="CG85" s="256"/>
      <c r="CH85" s="255"/>
      <c r="CI85" s="256"/>
      <c r="CJ85" s="255"/>
      <c r="CK85" s="256"/>
      <c r="CL85" s="255"/>
      <c r="CM85" s="256"/>
      <c r="CN85" s="255"/>
      <c r="CO85" s="256"/>
      <c r="CQ85" s="253"/>
      <c r="CR85" s="255"/>
      <c r="CS85" s="256"/>
      <c r="CT85" s="255"/>
      <c r="CU85" s="256"/>
      <c r="CV85" s="255"/>
      <c r="CW85" s="256"/>
      <c r="CX85" s="255"/>
      <c r="CY85" s="256"/>
      <c r="CZ85" s="253"/>
      <c r="DA85" s="253"/>
      <c r="DB85" s="253"/>
      <c r="DC85" s="253"/>
      <c r="DD85" s="253"/>
      <c r="DE85" s="253"/>
      <c r="DF85" s="253"/>
      <c r="DG85" s="253"/>
      <c r="DH85" s="253"/>
      <c r="DI85" s="253"/>
      <c r="DJ85" s="253"/>
      <c r="DK85" s="253"/>
      <c r="DL85" s="253"/>
      <c r="DM85" s="253"/>
      <c r="DN85" s="253"/>
      <c r="DO85" s="253"/>
      <c r="DP85" s="253"/>
      <c r="DQ85" s="257"/>
      <c r="DR85" s="257"/>
      <c r="DS85" s="257"/>
      <c r="DT85" s="257"/>
      <c r="DU85" s="257"/>
      <c r="DV85" s="257"/>
      <c r="DW85" s="257"/>
      <c r="DX85" s="257"/>
      <c r="DY85" s="257"/>
      <c r="DZ85" s="257"/>
      <c r="EA85" s="257"/>
      <c r="EB85" s="257"/>
      <c r="EC85" s="257"/>
      <c r="ED85" s="257"/>
      <c r="EE85" s="257"/>
      <c r="EF85" s="257"/>
      <c r="EG85" s="257"/>
      <c r="EH85" s="257"/>
      <c r="EI85" s="257"/>
      <c r="EJ85" s="257"/>
      <c r="EK85" s="257"/>
      <c r="EL85" s="257"/>
      <c r="EM85" s="257"/>
      <c r="EN85" s="257"/>
      <c r="EO85" s="257"/>
      <c r="EP85" s="257"/>
      <c r="EQ85" s="257"/>
      <c r="ER85" s="257"/>
      <c r="ES85" s="257"/>
      <c r="ET85" s="257"/>
      <c r="EU85" s="257"/>
      <c r="EV85" s="257"/>
      <c r="EW85" s="257"/>
      <c r="EX85" s="257"/>
      <c r="EY85" s="257"/>
      <c r="EZ85" s="257"/>
      <c r="FA85" s="257"/>
      <c r="FB85" s="257"/>
      <c r="FC85" s="257"/>
    </row>
    <row r="87" spans="21:159" x14ac:dyDescent="0.4">
      <c r="U87" s="1" t="s">
        <v>496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390" t="s">
        <v>487</v>
      </c>
      <c r="BA87" s="390"/>
      <c r="BB87" s="390"/>
      <c r="BC87" s="390"/>
      <c r="BD87" s="390"/>
      <c r="BE87" s="390"/>
      <c r="BF87" s="390"/>
      <c r="BG87" s="390"/>
      <c r="BH87" s="390"/>
      <c r="BI87" s="390"/>
      <c r="BJ87" s="390"/>
      <c r="BK87" s="390"/>
      <c r="BL87" s="390"/>
      <c r="BM87" s="390"/>
      <c r="BN87" s="390"/>
      <c r="BO87" s="390"/>
      <c r="BP87" s="390"/>
      <c r="BQ87" s="390"/>
      <c r="BR87" s="390"/>
      <c r="BS87" s="390"/>
      <c r="BT87" s="390"/>
      <c r="BU87" s="390"/>
      <c r="BV87" s="390"/>
      <c r="BW87" s="390"/>
      <c r="BX87" s="390"/>
      <c r="BY87" s="390"/>
      <c r="BZ87" s="389" t="s">
        <v>531</v>
      </c>
      <c r="CA87" s="389"/>
      <c r="CB87" s="389"/>
      <c r="CC87" s="389"/>
      <c r="CD87" s="389"/>
      <c r="CE87" s="389"/>
      <c r="CF87" s="389"/>
      <c r="CG87" s="389"/>
      <c r="CH87" s="389"/>
      <c r="CI87" s="389"/>
      <c r="CJ87" s="389"/>
      <c r="CK87" s="389"/>
      <c r="CL87" s="389"/>
      <c r="CM87" s="389"/>
      <c r="CN87" s="389"/>
      <c r="CO87" s="389"/>
      <c r="CP87" s="389"/>
      <c r="CQ87" s="389"/>
      <c r="CR87" s="389"/>
      <c r="CS87" s="389"/>
      <c r="CT87" s="389"/>
      <c r="CU87" s="389"/>
      <c r="CV87" s="389"/>
      <c r="CW87" s="389"/>
      <c r="CX87" s="389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</row>
    <row r="88" spans="21:159" x14ac:dyDescent="0.2">
      <c r="BZ88" s="377">
        <v>16</v>
      </c>
      <c r="CA88" s="377"/>
      <c r="CB88" s="377">
        <v>15</v>
      </c>
      <c r="CC88" s="377"/>
      <c r="CD88" s="377">
        <v>14</v>
      </c>
      <c r="CE88" s="377"/>
      <c r="CF88" s="377">
        <v>13</v>
      </c>
      <c r="CG88" s="377"/>
      <c r="CH88" s="377">
        <v>12</v>
      </c>
      <c r="CI88" s="377"/>
      <c r="CJ88" s="377">
        <v>11</v>
      </c>
      <c r="CK88" s="377"/>
      <c r="CL88" s="377">
        <v>10</v>
      </c>
      <c r="CM88" s="377"/>
      <c r="CN88" s="377">
        <v>9</v>
      </c>
      <c r="CO88" s="377"/>
      <c r="CP88" s="258"/>
      <c r="CQ88" s="258"/>
      <c r="CR88" s="377">
        <v>4</v>
      </c>
      <c r="CS88" s="377"/>
      <c r="CT88" s="250">
        <v>3</v>
      </c>
      <c r="CU88" s="250"/>
      <c r="CV88" s="250">
        <v>2</v>
      </c>
      <c r="CW88" s="250"/>
      <c r="CX88" s="377">
        <v>1</v>
      </c>
      <c r="CY88" s="377"/>
      <c r="CZ88" s="258"/>
    </row>
    <row r="89" spans="21:159" x14ac:dyDescent="0.4">
      <c r="U89" s="1" t="s">
        <v>500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3"/>
      <c r="BC89" s="253"/>
      <c r="BD89" s="253"/>
      <c r="BE89" s="253"/>
      <c r="BF89" s="253"/>
      <c r="BG89" s="253"/>
      <c r="BH89" s="253"/>
      <c r="BI89" s="253"/>
      <c r="BJ89" s="253"/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5"/>
      <c r="CA89" s="256"/>
      <c r="CB89" s="255"/>
      <c r="CC89" s="256"/>
      <c r="CD89" s="255"/>
      <c r="CE89" s="256"/>
      <c r="CF89" s="255"/>
      <c r="CG89" s="256"/>
      <c r="CH89" s="255"/>
      <c r="CI89" s="256"/>
      <c r="CJ89" s="255"/>
      <c r="CK89" s="256"/>
      <c r="CL89" s="255"/>
      <c r="CM89" s="256"/>
      <c r="CN89" s="255"/>
      <c r="CO89" s="256"/>
      <c r="CQ89" s="253"/>
      <c r="CR89" s="255"/>
      <c r="CS89" s="256"/>
      <c r="CT89" s="255"/>
      <c r="CU89" s="256"/>
      <c r="CV89" s="255"/>
      <c r="CW89" s="256"/>
      <c r="CX89" s="255"/>
      <c r="CY89" s="256"/>
      <c r="CZ89" s="253"/>
      <c r="DA89" s="253"/>
      <c r="DB89" s="253"/>
      <c r="DC89" s="253"/>
      <c r="DD89" s="253"/>
      <c r="DE89" s="253"/>
      <c r="DF89" s="253"/>
      <c r="DG89" s="253"/>
      <c r="DH89" s="253"/>
      <c r="DI89" s="253"/>
      <c r="DJ89" s="253"/>
      <c r="DK89" s="253"/>
      <c r="DL89" s="253"/>
      <c r="DM89" s="253"/>
      <c r="DN89" s="253"/>
      <c r="DO89" s="253"/>
      <c r="DP89" s="253"/>
      <c r="DQ89" s="257"/>
      <c r="DR89" s="257"/>
      <c r="DS89" s="257"/>
      <c r="DT89" s="257"/>
      <c r="DU89" s="257"/>
      <c r="DV89" s="257"/>
      <c r="DW89" s="257"/>
      <c r="DX89" s="257"/>
      <c r="DY89" s="257"/>
      <c r="DZ89" s="257"/>
      <c r="EA89" s="257"/>
      <c r="EB89" s="257"/>
      <c r="EC89" s="257"/>
      <c r="ED89" s="257"/>
      <c r="EE89" s="257"/>
      <c r="EF89" s="257"/>
      <c r="EG89" s="257"/>
      <c r="EH89" s="257"/>
      <c r="EI89" s="257"/>
      <c r="EJ89" s="257"/>
      <c r="EK89" s="257"/>
      <c r="EL89" s="257"/>
      <c r="EM89" s="257"/>
      <c r="EN89" s="257"/>
      <c r="EO89" s="257"/>
      <c r="EP89" s="257"/>
      <c r="EQ89" s="257"/>
      <c r="ER89" s="257"/>
      <c r="ES89" s="257"/>
      <c r="ET89" s="257"/>
      <c r="EU89" s="257"/>
      <c r="EV89" s="257"/>
      <c r="EW89" s="257"/>
      <c r="EX89" s="257"/>
      <c r="EY89" s="257"/>
      <c r="EZ89" s="257"/>
      <c r="FA89" s="257"/>
      <c r="FB89" s="257"/>
      <c r="FC89" s="257"/>
    </row>
    <row r="91" spans="21:159" x14ac:dyDescent="0.4">
      <c r="U91" s="1" t="s">
        <v>502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389" t="s">
        <v>531</v>
      </c>
      <c r="CA91" s="389"/>
      <c r="CB91" s="389"/>
      <c r="CC91" s="389"/>
      <c r="CD91" s="389"/>
      <c r="CE91" s="389"/>
      <c r="CF91" s="389"/>
      <c r="CG91" s="389"/>
      <c r="CH91" s="389"/>
      <c r="CI91" s="389"/>
      <c r="CJ91" s="389"/>
      <c r="CK91" s="389"/>
      <c r="CL91" s="389"/>
      <c r="CM91" s="389"/>
      <c r="CN91" s="389"/>
      <c r="CO91" s="389"/>
      <c r="CP91" s="389"/>
      <c r="CQ91" s="389"/>
      <c r="CR91" s="389"/>
      <c r="CS91" s="389"/>
      <c r="CT91" s="389"/>
      <c r="CU91" s="389"/>
      <c r="CV91" s="389"/>
      <c r="CW91" s="389"/>
      <c r="CX91" s="389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</row>
    <row r="96" spans="21:159" x14ac:dyDescent="0.4">
      <c r="U96" s="129" t="s">
        <v>532</v>
      </c>
    </row>
    <row r="97" spans="21:172" x14ac:dyDescent="0.4">
      <c r="U97" s="129" t="s">
        <v>533</v>
      </c>
    </row>
    <row r="98" spans="21:172" x14ac:dyDescent="0.4">
      <c r="X98" s="129" t="s">
        <v>534</v>
      </c>
    </row>
    <row r="99" spans="21:172" x14ac:dyDescent="0.4">
      <c r="U99" s="129"/>
      <c r="V99" s="129"/>
      <c r="W99" s="131"/>
      <c r="X99" s="131"/>
      <c r="Y99" s="131"/>
      <c r="Z99" s="131"/>
      <c r="AA99" s="131"/>
      <c r="AB99" s="131"/>
      <c r="DH99" t="s">
        <v>473</v>
      </c>
    </row>
    <row r="100" spans="21:172" x14ac:dyDescent="0.4">
      <c r="U100" s="248" t="s">
        <v>474</v>
      </c>
      <c r="V100" s="28"/>
      <c r="W100" s="29"/>
      <c r="X100" s="26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1"/>
      <c r="DH100" s="27"/>
      <c r="DI100" s="28"/>
      <c r="DJ100" s="28"/>
      <c r="DK100" s="28"/>
      <c r="DL100" s="28"/>
      <c r="DM100" s="28"/>
      <c r="DN100" s="29"/>
      <c r="DO100" s="26"/>
      <c r="DP100" s="25"/>
    </row>
    <row r="101" spans="21:172" x14ac:dyDescent="0.4">
      <c r="X101" s="6"/>
      <c r="Y101" s="6"/>
      <c r="Z101" s="377">
        <v>16</v>
      </c>
      <c r="AA101" s="377"/>
      <c r="AB101" s="377">
        <v>15</v>
      </c>
      <c r="AC101" s="377"/>
      <c r="AD101" s="258"/>
      <c r="AE101" s="258"/>
      <c r="AF101" s="377">
        <v>1</v>
      </c>
      <c r="AG101" s="377"/>
      <c r="AH101" s="377">
        <v>16</v>
      </c>
      <c r="AI101" s="377"/>
      <c r="AJ101" s="377">
        <v>15</v>
      </c>
      <c r="AK101" s="377"/>
      <c r="AL101" s="258"/>
      <c r="AM101" s="258"/>
      <c r="AN101" s="377">
        <v>1</v>
      </c>
      <c r="AO101" s="377"/>
      <c r="AP101" s="377">
        <v>16</v>
      </c>
      <c r="AQ101" s="377"/>
      <c r="AR101" s="259"/>
      <c r="AS101" s="377">
        <v>16</v>
      </c>
      <c r="AT101" s="377"/>
      <c r="AU101" s="377">
        <v>15</v>
      </c>
      <c r="AV101" s="377"/>
      <c r="AY101" s="377">
        <v>1</v>
      </c>
      <c r="AZ101" s="377"/>
      <c r="BA101" s="377">
        <v>16</v>
      </c>
      <c r="BB101" s="377"/>
      <c r="BC101" s="377">
        <v>15</v>
      </c>
      <c r="BD101" s="377"/>
      <c r="BG101" s="377">
        <v>1</v>
      </c>
      <c r="BH101" s="377"/>
      <c r="BI101" s="377">
        <v>16</v>
      </c>
      <c r="BJ101" s="377"/>
      <c r="BK101" s="377">
        <v>15</v>
      </c>
      <c r="BL101" s="377"/>
      <c r="BO101" s="377">
        <v>1</v>
      </c>
      <c r="BP101" s="377"/>
      <c r="BQ101" s="377">
        <v>16</v>
      </c>
      <c r="BR101" s="377"/>
      <c r="BT101" s="377">
        <v>16</v>
      </c>
      <c r="BU101" s="377"/>
      <c r="BV101" s="377">
        <v>15</v>
      </c>
      <c r="BW101" s="377"/>
      <c r="BZ101" s="377">
        <v>1</v>
      </c>
      <c r="CA101" s="377"/>
      <c r="CB101" s="377">
        <v>16</v>
      </c>
      <c r="CC101" s="377"/>
      <c r="CD101" s="377">
        <v>15</v>
      </c>
      <c r="CE101" s="377"/>
      <c r="CH101" s="377">
        <v>1</v>
      </c>
      <c r="CI101" s="377"/>
      <c r="CJ101" s="377">
        <v>16</v>
      </c>
      <c r="CK101" s="377"/>
      <c r="CL101" s="377">
        <v>15</v>
      </c>
      <c r="CM101" s="377"/>
      <c r="CP101" s="377">
        <v>1</v>
      </c>
      <c r="CQ101" s="377"/>
      <c r="CR101" s="377">
        <v>16</v>
      </c>
      <c r="CS101" s="377"/>
      <c r="CU101" s="377">
        <v>16</v>
      </c>
      <c r="CV101" s="377"/>
      <c r="CW101" s="377">
        <v>15</v>
      </c>
      <c r="CX101" s="377"/>
      <c r="DA101" s="377">
        <v>1</v>
      </c>
      <c r="DB101" s="377"/>
      <c r="DE101" s="258"/>
      <c r="DF101" s="258"/>
      <c r="DG101" s="258"/>
      <c r="DH101" s="249"/>
      <c r="DI101" s="249"/>
      <c r="DJ101" s="249"/>
      <c r="DK101" s="249"/>
      <c r="DL101" s="249"/>
      <c r="DM101" s="252"/>
      <c r="DN101" s="252"/>
      <c r="DO101" s="258"/>
      <c r="DP101" s="258"/>
      <c r="DQ101" s="259"/>
      <c r="DR101" s="259"/>
      <c r="DS101" s="259"/>
      <c r="DT101" s="259"/>
      <c r="DU101" s="259"/>
      <c r="DV101" s="259"/>
      <c r="DW101" s="259"/>
      <c r="DX101" s="259"/>
      <c r="DY101" s="259"/>
      <c r="DZ101" s="259"/>
      <c r="EA101" s="259"/>
      <c r="EB101" s="259"/>
      <c r="EC101" s="259"/>
      <c r="ED101" s="259"/>
      <c r="EE101" s="259"/>
      <c r="EF101" s="259"/>
      <c r="EG101" s="259"/>
      <c r="EH101" s="259"/>
      <c r="EI101" s="259"/>
      <c r="EJ101" s="259"/>
      <c r="EK101" s="259"/>
      <c r="EL101" s="259"/>
      <c r="EM101" s="259"/>
      <c r="EN101" s="259"/>
      <c r="EO101" s="259"/>
      <c r="EP101" s="259"/>
      <c r="EQ101" s="259"/>
      <c r="ER101" s="259"/>
      <c r="ES101" s="259"/>
      <c r="ET101" s="259"/>
      <c r="EU101" s="259"/>
      <c r="EV101" s="259"/>
      <c r="EW101" s="259"/>
      <c r="EX101" s="259"/>
      <c r="EY101" s="259"/>
      <c r="EZ101" s="259"/>
      <c r="FA101" s="259"/>
      <c r="FB101" s="259"/>
      <c r="FC101" s="259"/>
    </row>
    <row r="102" spans="21:172" x14ac:dyDescent="0.2">
      <c r="U102" s="1" t="s">
        <v>479</v>
      </c>
      <c r="V102" s="253"/>
      <c r="W102" s="253"/>
      <c r="X102" s="253"/>
      <c r="Y102" s="254"/>
      <c r="Z102" s="255"/>
      <c r="AA102" s="256"/>
      <c r="AB102" s="255"/>
      <c r="AC102" s="256"/>
      <c r="AD102" s="260"/>
      <c r="AE102" s="253"/>
      <c r="AF102" s="255"/>
      <c r="AG102" s="256"/>
      <c r="AH102" s="255"/>
      <c r="AI102" s="256"/>
      <c r="AJ102" s="255"/>
      <c r="AK102" s="256"/>
      <c r="AL102" s="260"/>
      <c r="AM102" s="253"/>
      <c r="AN102" s="255"/>
      <c r="AO102" s="256"/>
      <c r="AP102" s="255"/>
      <c r="AQ102" s="259"/>
      <c r="AR102" s="254"/>
      <c r="AS102" s="255"/>
      <c r="AT102" s="256"/>
      <c r="AU102" s="255"/>
      <c r="AV102" s="256"/>
      <c r="AW102" s="257"/>
      <c r="AX102" s="253"/>
      <c r="AY102" s="255"/>
      <c r="AZ102" s="256"/>
      <c r="BA102" s="255"/>
      <c r="BB102" s="256"/>
      <c r="BC102" s="255"/>
      <c r="BD102" s="256"/>
      <c r="BE102" s="257"/>
      <c r="BF102" s="253"/>
      <c r="BG102" s="255"/>
      <c r="BH102" s="256"/>
      <c r="BI102" s="255"/>
      <c r="BJ102" s="256"/>
      <c r="BK102" s="255"/>
      <c r="BL102" s="256"/>
      <c r="BM102" s="257"/>
      <c r="BN102" s="253"/>
      <c r="BO102" s="255"/>
      <c r="BP102" s="256"/>
      <c r="BQ102" s="255"/>
      <c r="BS102" s="21"/>
      <c r="BT102" s="255"/>
      <c r="BU102" s="256"/>
      <c r="BV102" s="255"/>
      <c r="BW102" s="256"/>
      <c r="BX102" s="257"/>
      <c r="BY102" s="253"/>
      <c r="BZ102" s="255"/>
      <c r="CA102" s="256"/>
      <c r="CB102" s="255"/>
      <c r="CC102" s="256"/>
      <c r="CD102" s="255"/>
      <c r="CE102" s="256"/>
      <c r="CF102" s="257"/>
      <c r="CG102" s="253"/>
      <c r="CH102" s="255"/>
      <c r="CI102" s="256"/>
      <c r="CJ102" s="255"/>
      <c r="CK102" s="256"/>
      <c r="CL102" s="255"/>
      <c r="CM102" s="256"/>
      <c r="CN102" s="257"/>
      <c r="CO102" s="253"/>
      <c r="CP102" s="255"/>
      <c r="CQ102" s="256"/>
      <c r="CR102" s="255"/>
      <c r="CS102" s="256"/>
      <c r="CU102" s="255"/>
      <c r="CV102" s="256"/>
      <c r="CW102" s="255"/>
      <c r="CX102" s="256"/>
      <c r="CY102" s="257"/>
      <c r="CZ102" s="253"/>
      <c r="DA102" s="255"/>
      <c r="DB102" s="256"/>
      <c r="DC102" s="253"/>
      <c r="DD102" s="253"/>
      <c r="DE102" s="253"/>
      <c r="DF102" s="253"/>
      <c r="DG102" s="253"/>
      <c r="DH102" s="253"/>
      <c r="DI102" s="253"/>
      <c r="DJ102" s="253"/>
      <c r="DK102" s="253"/>
      <c r="DL102" s="253"/>
      <c r="DM102" s="253"/>
      <c r="DN102" s="253"/>
      <c r="DO102" s="253"/>
      <c r="DP102" s="253"/>
      <c r="DQ102" s="257"/>
      <c r="DR102" s="257"/>
      <c r="DS102" s="257"/>
      <c r="DT102" s="257"/>
      <c r="DU102" s="257"/>
      <c r="DV102" s="257"/>
      <c r="DW102" s="257"/>
      <c r="DX102" s="257"/>
      <c r="DY102" s="257"/>
      <c r="DZ102" s="257"/>
      <c r="EA102" s="257"/>
      <c r="EB102" s="257"/>
      <c r="EC102" s="257"/>
      <c r="ED102" s="257"/>
      <c r="EE102" s="257"/>
      <c r="EF102" s="257"/>
      <c r="EG102" s="257"/>
      <c r="EH102" s="257"/>
      <c r="EI102" s="257"/>
      <c r="EJ102" s="257"/>
      <c r="EK102" s="257"/>
      <c r="EL102" s="257"/>
      <c r="EM102" s="257"/>
      <c r="EN102" s="257"/>
      <c r="EO102" s="257"/>
      <c r="EP102" s="257"/>
      <c r="EQ102" s="257"/>
      <c r="ER102" s="257"/>
      <c r="ES102" s="257"/>
      <c r="ET102" s="257"/>
      <c r="EU102" s="257"/>
      <c r="EV102" s="257"/>
      <c r="EW102" s="257"/>
      <c r="EX102" s="257"/>
      <c r="EY102" s="257"/>
      <c r="EZ102" s="257"/>
      <c r="FA102" s="257"/>
      <c r="FB102" s="257"/>
      <c r="FC102" s="257"/>
      <c r="FD102" s="257"/>
      <c r="FE102" s="257"/>
      <c r="FF102" s="257"/>
      <c r="FG102" s="257"/>
      <c r="FH102" s="257"/>
      <c r="FI102" s="257"/>
      <c r="FJ102" s="257"/>
      <c r="FK102" s="257"/>
      <c r="FL102" s="257"/>
      <c r="FM102" s="257"/>
      <c r="FN102" s="257"/>
      <c r="FO102" s="257"/>
      <c r="FP102" s="257"/>
    </row>
    <row r="103" spans="21:172" x14ac:dyDescent="0.25">
      <c r="AD103" s="260"/>
      <c r="AH103" s="385"/>
      <c r="AI103" s="385"/>
      <c r="AJ103" s="385"/>
      <c r="AK103" s="385"/>
      <c r="AL103" s="385"/>
      <c r="AM103" s="385"/>
      <c r="AN103" s="385"/>
      <c r="AO103" s="385"/>
      <c r="AQ103" s="259"/>
      <c r="AR103" s="259"/>
      <c r="AS103" s="257"/>
      <c r="AT103" s="260"/>
      <c r="AU103" s="257"/>
      <c r="DR103" s="257"/>
      <c r="DS103" s="257"/>
      <c r="DT103" s="257"/>
      <c r="DU103" s="257"/>
      <c r="DV103" s="257"/>
      <c r="DW103" s="257"/>
      <c r="DX103" s="257"/>
      <c r="DY103" s="257"/>
      <c r="DZ103" s="257"/>
      <c r="EA103" s="257"/>
      <c r="EB103" s="257"/>
      <c r="EC103" s="257"/>
      <c r="ED103" s="257"/>
      <c r="EE103" s="257"/>
      <c r="EF103" s="257"/>
      <c r="EG103" s="257"/>
      <c r="EH103" s="257"/>
      <c r="EI103" s="257"/>
      <c r="EJ103" s="257"/>
      <c r="EK103" s="257"/>
      <c r="EL103" s="257"/>
      <c r="EM103" s="257"/>
      <c r="EN103" s="257"/>
      <c r="EO103" s="257"/>
      <c r="EP103" s="257"/>
      <c r="EQ103" s="257"/>
      <c r="ER103" s="257"/>
      <c r="ES103" s="257"/>
      <c r="ET103" s="257"/>
      <c r="EU103" s="257"/>
      <c r="EV103" s="257"/>
      <c r="EW103" s="257"/>
      <c r="EX103" s="257"/>
      <c r="EY103" s="257"/>
      <c r="EZ103" s="257"/>
      <c r="FA103" s="257"/>
      <c r="FB103" s="257"/>
      <c r="FC103" s="257"/>
      <c r="FD103" s="257"/>
      <c r="FE103" s="257"/>
      <c r="FF103" s="257"/>
      <c r="FG103" s="257"/>
      <c r="FH103" s="257"/>
      <c r="FI103" s="257"/>
      <c r="FJ103" s="257"/>
      <c r="FK103" s="257"/>
      <c r="FL103" s="257"/>
      <c r="FM103" s="257"/>
      <c r="FN103" s="257"/>
      <c r="FO103" s="257"/>
      <c r="FP103" s="257"/>
    </row>
    <row r="104" spans="21:172" x14ac:dyDescent="0.25">
      <c r="AD104" s="260"/>
      <c r="AH104" s="264"/>
      <c r="AI104" s="264"/>
      <c r="AJ104" s="264"/>
      <c r="AK104" s="264"/>
      <c r="AL104" s="264"/>
      <c r="AM104" s="264"/>
      <c r="AN104" s="264"/>
      <c r="AO104" s="264"/>
      <c r="AQ104" s="259"/>
      <c r="AR104" s="259"/>
      <c r="AS104" s="257"/>
      <c r="AT104" s="260"/>
      <c r="AU104" s="257"/>
      <c r="DR104" s="257"/>
      <c r="DS104" s="257"/>
      <c r="DT104" s="257"/>
      <c r="DU104" s="257"/>
      <c r="DV104" s="257"/>
      <c r="DW104" s="257"/>
      <c r="DX104" s="257"/>
      <c r="DY104" s="257"/>
      <c r="DZ104" s="257"/>
      <c r="EA104" s="257"/>
      <c r="EB104" s="257"/>
      <c r="EC104" s="257"/>
      <c r="ED104" s="257"/>
      <c r="EE104" s="257"/>
      <c r="EF104" s="257"/>
      <c r="EG104" s="257"/>
      <c r="EH104" s="257"/>
      <c r="EI104" s="257"/>
      <c r="EJ104" s="257"/>
      <c r="EK104" s="257"/>
      <c r="EL104" s="257"/>
      <c r="EM104" s="257"/>
      <c r="EN104" s="257"/>
      <c r="EO104" s="257"/>
      <c r="EP104" s="257"/>
      <c r="EQ104" s="257"/>
      <c r="ER104" s="257"/>
      <c r="ES104" s="257"/>
      <c r="ET104" s="257"/>
      <c r="EU104" s="257"/>
      <c r="EV104" s="257"/>
      <c r="EW104" s="257"/>
      <c r="EX104" s="257"/>
      <c r="EY104" s="257"/>
      <c r="EZ104" s="257"/>
      <c r="FA104" s="257"/>
      <c r="FB104" s="257"/>
      <c r="FC104" s="257"/>
      <c r="FD104" s="257"/>
      <c r="FE104" s="257"/>
      <c r="FF104" s="257"/>
      <c r="FG104" s="257"/>
      <c r="FH104" s="257"/>
      <c r="FI104" s="257"/>
      <c r="FJ104" s="257"/>
      <c r="FK104" s="257"/>
      <c r="FL104" s="257"/>
      <c r="FM104" s="257"/>
      <c r="FN104" s="257"/>
      <c r="FO104" s="257"/>
      <c r="FP104" s="257"/>
    </row>
    <row r="105" spans="21:172" x14ac:dyDescent="0.25">
      <c r="AD105" s="260"/>
      <c r="AH105" s="264"/>
      <c r="AI105" s="264"/>
      <c r="AJ105" s="264"/>
      <c r="AK105" s="264"/>
      <c r="AL105" s="264"/>
      <c r="AM105" s="264"/>
      <c r="AN105" s="264"/>
      <c r="AO105" s="264"/>
      <c r="AQ105" s="259"/>
      <c r="AR105" s="259"/>
      <c r="AS105" s="257"/>
      <c r="AT105" s="260"/>
      <c r="AU105" s="257"/>
      <c r="DR105" s="257"/>
      <c r="DS105" s="257"/>
      <c r="DT105" s="257"/>
      <c r="DU105" s="257"/>
      <c r="DV105" s="257"/>
      <c r="DW105" s="257"/>
      <c r="DX105" s="257"/>
      <c r="DY105" s="257"/>
      <c r="DZ105" s="257"/>
      <c r="EA105" s="257"/>
      <c r="EB105" s="257"/>
      <c r="EC105" s="257"/>
      <c r="ED105" s="257"/>
      <c r="EE105" s="257"/>
      <c r="EF105" s="257"/>
      <c r="EG105" s="257"/>
      <c r="EH105" s="257"/>
      <c r="EI105" s="257"/>
      <c r="EJ105" s="257"/>
      <c r="EK105" s="257"/>
      <c r="EL105" s="257"/>
      <c r="EM105" s="257"/>
      <c r="EN105" s="257"/>
      <c r="EO105" s="257"/>
      <c r="EP105" s="257"/>
      <c r="EQ105" s="257"/>
      <c r="ER105" s="257"/>
      <c r="ES105" s="257"/>
      <c r="ET105" s="257"/>
      <c r="EU105" s="257"/>
      <c r="EV105" s="257"/>
      <c r="EW105" s="257"/>
      <c r="EX105" s="257"/>
      <c r="EY105" s="257"/>
      <c r="EZ105" s="257"/>
      <c r="FA105" s="257"/>
      <c r="FB105" s="257"/>
      <c r="FC105" s="257"/>
      <c r="FD105" s="257"/>
      <c r="FE105" s="257"/>
      <c r="FF105" s="257"/>
      <c r="FG105" s="257"/>
      <c r="FH105" s="257"/>
      <c r="FI105" s="257"/>
      <c r="FJ105" s="257"/>
      <c r="FK105" s="257"/>
      <c r="FL105" s="257"/>
      <c r="FM105" s="257"/>
      <c r="FN105" s="257"/>
      <c r="FO105" s="257"/>
      <c r="FP105" s="257"/>
    </row>
    <row r="106" spans="21:172" x14ac:dyDescent="0.25">
      <c r="AD106" s="260"/>
      <c r="AH106" s="264"/>
      <c r="AI106" s="264"/>
      <c r="AJ106" s="264"/>
      <c r="AK106" s="264"/>
      <c r="AL106" s="264"/>
      <c r="AM106" s="264"/>
      <c r="AN106" s="264"/>
      <c r="AO106" s="264"/>
      <c r="AQ106" s="259"/>
      <c r="AR106" s="259"/>
      <c r="AS106" s="257"/>
      <c r="AT106" s="260"/>
      <c r="AU106" s="257"/>
      <c r="DR106" s="257"/>
      <c r="DS106" s="257"/>
      <c r="DT106" s="257"/>
      <c r="DU106" s="257"/>
      <c r="DV106" s="257"/>
      <c r="DW106" s="257"/>
      <c r="DX106" s="257"/>
      <c r="DY106" s="257"/>
      <c r="DZ106" s="257"/>
      <c r="EA106" s="257"/>
      <c r="EB106" s="257"/>
      <c r="EC106" s="257"/>
      <c r="ED106" s="257"/>
      <c r="EE106" s="257"/>
      <c r="EF106" s="257"/>
      <c r="EG106" s="257"/>
      <c r="EH106" s="257"/>
      <c r="EI106" s="257"/>
      <c r="EJ106" s="257"/>
      <c r="EK106" s="257"/>
      <c r="EL106" s="257"/>
      <c r="EM106" s="257"/>
      <c r="EN106" s="257"/>
      <c r="EO106" s="257"/>
      <c r="EP106" s="257"/>
      <c r="EQ106" s="257"/>
      <c r="ER106" s="257"/>
      <c r="ES106" s="257"/>
      <c r="ET106" s="257"/>
      <c r="EU106" s="257"/>
      <c r="EV106" s="257"/>
      <c r="EW106" s="257"/>
      <c r="EX106" s="257"/>
      <c r="EY106" s="257"/>
      <c r="EZ106" s="257"/>
      <c r="FA106" s="257"/>
      <c r="FB106" s="257"/>
      <c r="FC106" s="257"/>
      <c r="FD106" s="257"/>
      <c r="FE106" s="257"/>
      <c r="FF106" s="257"/>
      <c r="FG106" s="257"/>
      <c r="FH106" s="257"/>
      <c r="FI106" s="257"/>
      <c r="FJ106" s="257"/>
      <c r="FK106" s="257"/>
      <c r="FL106" s="257"/>
      <c r="FM106" s="257"/>
      <c r="FN106" s="257"/>
      <c r="FO106" s="257"/>
      <c r="FP106" s="257"/>
    </row>
    <row r="107" spans="21:172" x14ac:dyDescent="0.25">
      <c r="AD107" s="260"/>
      <c r="AG107" s="25"/>
      <c r="AH107" s="261"/>
      <c r="AI107" s="261"/>
      <c r="AJ107" s="261"/>
      <c r="AK107" s="261"/>
      <c r="AL107" s="261"/>
      <c r="AM107" s="261"/>
      <c r="AN107" s="261"/>
      <c r="AO107" s="261"/>
      <c r="AP107" s="25"/>
      <c r="AQ107" s="259"/>
      <c r="AR107" s="259"/>
      <c r="AS107" s="257"/>
      <c r="AT107" s="260"/>
      <c r="AU107" s="257"/>
      <c r="DR107" s="257"/>
      <c r="DS107" s="257"/>
      <c r="DT107" s="257"/>
      <c r="DU107" s="257"/>
      <c r="DV107" s="257"/>
      <c r="DW107" s="257"/>
      <c r="DX107" s="257"/>
      <c r="DY107" s="257"/>
      <c r="DZ107" s="257"/>
      <c r="EA107" s="257"/>
      <c r="EB107" s="257"/>
      <c r="EC107" s="257"/>
      <c r="ED107" s="257"/>
      <c r="EE107" s="257"/>
      <c r="EF107" s="257"/>
      <c r="EG107" s="257"/>
      <c r="EH107" s="257"/>
      <c r="EI107" s="257"/>
      <c r="EJ107" s="257"/>
      <c r="EK107" s="257"/>
      <c r="EL107" s="257"/>
      <c r="EM107" s="257"/>
      <c r="EN107" s="257"/>
      <c r="EO107" s="257"/>
      <c r="EP107" s="257"/>
      <c r="EQ107" s="257"/>
      <c r="ER107" s="257"/>
      <c r="ES107" s="257"/>
      <c r="ET107" s="257"/>
      <c r="EU107" s="257"/>
      <c r="EV107" s="257"/>
      <c r="EW107" s="257"/>
      <c r="EX107" s="257"/>
      <c r="EY107" s="257"/>
      <c r="EZ107" s="257"/>
      <c r="FA107" s="257"/>
      <c r="FB107" s="257"/>
      <c r="FC107" s="257"/>
      <c r="FD107" s="257"/>
      <c r="FE107" s="257"/>
      <c r="FF107" s="257"/>
      <c r="FG107" s="257"/>
      <c r="FH107" s="257"/>
      <c r="FI107" s="257"/>
      <c r="FJ107" s="257"/>
      <c r="FK107" s="257"/>
      <c r="FL107" s="257"/>
      <c r="FM107" s="257"/>
      <c r="FN107" s="257"/>
      <c r="FO107" s="257"/>
      <c r="FP107" s="257"/>
    </row>
    <row r="108" spans="21:172" x14ac:dyDescent="0.2">
      <c r="U108" s="1" t="s">
        <v>484</v>
      </c>
      <c r="V108" s="25"/>
      <c r="W108" s="25"/>
      <c r="X108" s="25"/>
      <c r="Y108" s="25"/>
      <c r="Z108" s="386" t="s">
        <v>506</v>
      </c>
      <c r="AA108" s="387"/>
      <c r="AB108" s="387"/>
      <c r="AC108" s="387"/>
      <c r="AD108" s="387"/>
      <c r="AE108" s="387"/>
      <c r="AF108" s="387"/>
      <c r="AG108" s="388"/>
      <c r="AH108" s="386" t="s">
        <v>535</v>
      </c>
      <c r="AI108" s="387"/>
      <c r="AJ108" s="387"/>
      <c r="AK108" s="387"/>
      <c r="AL108" s="387"/>
      <c r="AM108" s="387"/>
      <c r="AN108" s="387"/>
      <c r="AO108" s="388"/>
      <c r="AP108" s="265"/>
      <c r="AQ108" s="259"/>
      <c r="AR108" s="266"/>
      <c r="AS108" s="386" t="s">
        <v>536</v>
      </c>
      <c r="AT108" s="387"/>
      <c r="AU108" s="387"/>
      <c r="AV108" s="387"/>
      <c r="AW108" s="387"/>
      <c r="AX108" s="387"/>
      <c r="AY108" s="387"/>
      <c r="AZ108" s="388"/>
      <c r="BA108" s="382" t="s">
        <v>508</v>
      </c>
      <c r="BB108" s="383"/>
      <c r="BC108" s="383"/>
      <c r="BD108" s="383"/>
      <c r="BE108" s="383"/>
      <c r="BF108" s="383"/>
      <c r="BG108" s="383"/>
      <c r="BH108" s="384"/>
      <c r="BI108" s="382" t="s">
        <v>535</v>
      </c>
      <c r="BJ108" s="383"/>
      <c r="BK108" s="383"/>
      <c r="BL108" s="383"/>
      <c r="BM108" s="383"/>
      <c r="BN108" s="383"/>
      <c r="BO108" s="383"/>
      <c r="BP108" s="384"/>
      <c r="BQ108" s="267"/>
      <c r="BS108" s="268"/>
      <c r="BT108" s="382" t="s">
        <v>536</v>
      </c>
      <c r="BU108" s="383"/>
      <c r="BV108" s="383"/>
      <c r="BW108" s="383"/>
      <c r="BX108" s="383"/>
      <c r="BY108" s="383"/>
      <c r="BZ108" s="383"/>
      <c r="CA108" s="384"/>
      <c r="CB108" s="379" t="s">
        <v>513</v>
      </c>
      <c r="CC108" s="380"/>
      <c r="CD108" s="380"/>
      <c r="CE108" s="380"/>
      <c r="CF108" s="380"/>
      <c r="CG108" s="380"/>
      <c r="CH108" s="380"/>
      <c r="CI108" s="381"/>
      <c r="CJ108" s="379" t="s">
        <v>535</v>
      </c>
      <c r="CK108" s="380"/>
      <c r="CL108" s="380"/>
      <c r="CM108" s="380"/>
      <c r="CN108" s="380"/>
      <c r="CO108" s="380"/>
      <c r="CP108" s="380"/>
      <c r="CQ108" s="381"/>
      <c r="CR108" s="269"/>
      <c r="CT108" s="270"/>
      <c r="CU108" s="379" t="s">
        <v>536</v>
      </c>
      <c r="CV108" s="380"/>
      <c r="CW108" s="380"/>
      <c r="CX108" s="380"/>
      <c r="CY108" s="380"/>
      <c r="CZ108" s="380"/>
      <c r="DA108" s="380"/>
      <c r="DB108" s="381"/>
      <c r="DC108" s="26"/>
      <c r="DD108" s="25"/>
      <c r="DE108" s="25"/>
      <c r="DF108" s="25"/>
      <c r="DG108" s="25"/>
      <c r="DH108" s="25" t="s">
        <v>537</v>
      </c>
      <c r="DI108" s="25"/>
      <c r="DJ108" s="25"/>
      <c r="DK108" s="25"/>
      <c r="DL108" s="25"/>
      <c r="DM108" s="25"/>
      <c r="DN108" s="25"/>
      <c r="DO108" s="25"/>
      <c r="DP108" s="25"/>
      <c r="DR108" s="257"/>
      <c r="DS108" s="257"/>
      <c r="DT108" s="257"/>
      <c r="DU108" s="257"/>
      <c r="DV108" s="257"/>
      <c r="DW108" s="257"/>
      <c r="DX108" s="257"/>
      <c r="DY108" s="257"/>
      <c r="DZ108" s="257"/>
      <c r="EA108" s="257"/>
      <c r="EB108" s="257"/>
      <c r="EC108" s="257"/>
      <c r="ED108" s="257"/>
      <c r="EE108" s="257"/>
      <c r="EF108" s="257"/>
      <c r="EG108" s="257"/>
      <c r="EH108" s="257"/>
      <c r="EI108" s="257"/>
      <c r="EJ108" s="257"/>
      <c r="EK108" s="257"/>
      <c r="EL108" s="257"/>
      <c r="EM108" s="257"/>
      <c r="EN108" s="257"/>
      <c r="EO108" s="257"/>
      <c r="EP108" s="257"/>
      <c r="EQ108" s="257"/>
      <c r="ER108" s="257"/>
      <c r="ES108" s="257"/>
      <c r="ET108" s="257"/>
      <c r="EU108" s="257"/>
      <c r="EV108" s="257"/>
      <c r="EW108" s="257"/>
      <c r="EX108" s="257"/>
      <c r="EY108" s="257"/>
      <c r="EZ108" s="257"/>
      <c r="FA108" s="257"/>
      <c r="FB108" s="257"/>
      <c r="FC108" s="257"/>
      <c r="FD108" s="257"/>
      <c r="FE108" s="257"/>
      <c r="FF108" s="257"/>
      <c r="FG108" s="257"/>
      <c r="FH108" s="257"/>
      <c r="FI108" s="257"/>
      <c r="FJ108" s="257"/>
      <c r="FK108" s="257"/>
      <c r="FL108" s="257"/>
      <c r="FM108" s="257"/>
      <c r="FN108" s="257"/>
      <c r="FO108" s="257"/>
      <c r="FP108" s="257"/>
    </row>
    <row r="109" spans="21:172" x14ac:dyDescent="0.2">
      <c r="AQ109" s="259"/>
      <c r="AR109" s="259"/>
      <c r="AS109" s="257"/>
      <c r="AT109" s="260"/>
      <c r="AU109" s="257"/>
      <c r="BA109" s="377">
        <v>16</v>
      </c>
      <c r="BB109" s="377"/>
      <c r="BC109" s="377">
        <v>15</v>
      </c>
      <c r="BD109" s="377"/>
      <c r="BG109" s="377">
        <v>1</v>
      </c>
      <c r="BH109" s="377"/>
      <c r="BI109" s="377">
        <v>16</v>
      </c>
      <c r="BJ109" s="377"/>
      <c r="BK109" s="377">
        <v>15</v>
      </c>
      <c r="BL109" s="377"/>
      <c r="BO109" s="377">
        <v>1</v>
      </c>
      <c r="BP109" s="377"/>
      <c r="BQ109" s="377">
        <v>16</v>
      </c>
      <c r="BR109" s="378"/>
      <c r="BT109" s="377">
        <v>16</v>
      </c>
      <c r="BU109" s="377"/>
      <c r="BV109" s="377">
        <v>15</v>
      </c>
      <c r="BW109" s="377"/>
      <c r="BZ109" s="377">
        <v>1</v>
      </c>
      <c r="CA109" s="377"/>
      <c r="CB109" s="377">
        <v>16</v>
      </c>
      <c r="CC109" s="377"/>
      <c r="CD109" s="377">
        <v>15</v>
      </c>
      <c r="CE109" s="377"/>
      <c r="CH109" s="377">
        <v>1</v>
      </c>
      <c r="CI109" s="377"/>
      <c r="CJ109" s="377">
        <v>16</v>
      </c>
      <c r="CK109" s="377"/>
      <c r="CL109" s="377">
        <v>15</v>
      </c>
      <c r="CM109" s="377"/>
      <c r="CP109" s="377">
        <v>1</v>
      </c>
      <c r="CQ109" s="377"/>
      <c r="CR109" s="377">
        <v>16</v>
      </c>
      <c r="CS109" s="378"/>
      <c r="CU109" s="377">
        <v>16</v>
      </c>
      <c r="CV109" s="377"/>
      <c r="CW109" s="377">
        <v>15</v>
      </c>
      <c r="CX109" s="377"/>
      <c r="DA109" s="377">
        <v>1</v>
      </c>
      <c r="DB109" s="377"/>
      <c r="DR109" s="257"/>
      <c r="DS109" s="257"/>
      <c r="DT109" s="257"/>
      <c r="DU109" s="257"/>
      <c r="DV109" s="257"/>
      <c r="DW109" s="257"/>
      <c r="DX109" s="257"/>
      <c r="DY109" s="257"/>
      <c r="DZ109" s="257"/>
      <c r="EA109" s="257"/>
      <c r="EB109" s="257"/>
      <c r="EC109" s="257"/>
      <c r="ED109" s="257"/>
      <c r="EE109" s="257"/>
      <c r="EF109" s="257"/>
      <c r="EG109" s="257"/>
      <c r="EH109" s="257"/>
      <c r="EI109" s="257"/>
      <c r="EJ109" s="257"/>
      <c r="EK109" s="257"/>
      <c r="EL109" s="257"/>
      <c r="EM109" s="257"/>
      <c r="EN109" s="257"/>
      <c r="EO109" s="257"/>
      <c r="EP109" s="257"/>
      <c r="EQ109" s="257"/>
      <c r="ER109" s="257"/>
      <c r="ES109" s="257"/>
      <c r="ET109" s="257"/>
      <c r="EU109" s="257"/>
      <c r="EV109" s="257"/>
      <c r="EW109" s="257"/>
      <c r="EX109" s="257"/>
      <c r="EY109" s="257"/>
      <c r="EZ109" s="257"/>
      <c r="FA109" s="257"/>
      <c r="FB109" s="257"/>
      <c r="FC109" s="257"/>
      <c r="FD109" s="257"/>
      <c r="FE109" s="257"/>
      <c r="FF109" s="257"/>
      <c r="FG109" s="257"/>
      <c r="FH109" s="257"/>
      <c r="FI109" s="257"/>
      <c r="FJ109" s="257"/>
      <c r="FK109" s="257"/>
      <c r="FL109" s="257"/>
      <c r="FM109" s="257"/>
      <c r="FN109" s="257"/>
      <c r="FO109" s="257"/>
      <c r="FP109" s="257"/>
    </row>
    <row r="110" spans="21:172" x14ac:dyDescent="0.4">
      <c r="U110" s="1" t="s">
        <v>494</v>
      </c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5"/>
      <c r="BB110" s="256"/>
      <c r="BC110" s="255"/>
      <c r="BD110" s="256"/>
      <c r="BE110" s="257"/>
      <c r="BF110" s="253"/>
      <c r="BG110" s="255"/>
      <c r="BH110" s="256"/>
      <c r="BI110" s="255"/>
      <c r="BJ110" s="256"/>
      <c r="BK110" s="255"/>
      <c r="BL110" s="256"/>
      <c r="BM110" s="257"/>
      <c r="BN110" s="253"/>
      <c r="BO110" s="255"/>
      <c r="BP110" s="256"/>
      <c r="BQ110" s="255"/>
      <c r="BS110" s="21"/>
      <c r="BT110" s="255"/>
      <c r="BU110" s="256"/>
      <c r="BV110" s="255"/>
      <c r="BW110" s="256"/>
      <c r="BX110" s="257"/>
      <c r="BY110" s="253"/>
      <c r="BZ110" s="255"/>
      <c r="CA110" s="256"/>
      <c r="CB110" s="255"/>
      <c r="CC110" s="256"/>
      <c r="CD110" s="255"/>
      <c r="CE110" s="256"/>
      <c r="CF110" s="257"/>
      <c r="CG110" s="253"/>
      <c r="CH110" s="255"/>
      <c r="CI110" s="256"/>
      <c r="CJ110" s="255"/>
      <c r="CK110" s="256"/>
      <c r="CL110" s="255"/>
      <c r="CM110" s="256"/>
      <c r="CN110" s="257"/>
      <c r="CO110" s="253"/>
      <c r="CP110" s="255"/>
      <c r="CQ110" s="256"/>
      <c r="CR110" s="255"/>
      <c r="CS110" s="256"/>
      <c r="CU110" s="255"/>
      <c r="CV110" s="256"/>
      <c r="CW110" s="255"/>
      <c r="CX110" s="256"/>
      <c r="CY110" s="257"/>
      <c r="CZ110" s="253"/>
      <c r="DA110" s="255"/>
      <c r="DB110" s="256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R110" s="257"/>
      <c r="DS110" s="257"/>
      <c r="DT110" s="257"/>
      <c r="DU110" s="257"/>
      <c r="DV110" s="257"/>
      <c r="DW110" s="257"/>
      <c r="DX110" s="257"/>
      <c r="DY110" s="257"/>
      <c r="DZ110" s="257"/>
      <c r="EA110" s="257"/>
      <c r="EB110" s="257"/>
      <c r="EC110" s="257"/>
      <c r="ED110" s="257"/>
      <c r="EE110" s="257"/>
      <c r="EF110" s="257"/>
      <c r="EG110" s="257"/>
      <c r="EH110" s="257"/>
      <c r="EI110" s="257"/>
      <c r="EJ110" s="257"/>
      <c r="EK110" s="257"/>
      <c r="EL110" s="257"/>
      <c r="EM110" s="257"/>
      <c r="EN110" s="257"/>
      <c r="EO110" s="257"/>
      <c r="EP110" s="257"/>
      <c r="EQ110" s="257"/>
      <c r="ER110" s="257"/>
      <c r="ES110" s="257"/>
      <c r="ET110" s="257"/>
      <c r="EU110" s="257"/>
      <c r="EV110" s="257"/>
      <c r="EW110" s="257"/>
      <c r="EX110" s="257"/>
      <c r="EY110" s="257"/>
      <c r="EZ110" s="257"/>
      <c r="FA110" s="257"/>
      <c r="FB110" s="257"/>
      <c r="FC110" s="257"/>
      <c r="FD110" s="257"/>
      <c r="FE110" s="257"/>
      <c r="FF110" s="257"/>
      <c r="FG110" s="257"/>
      <c r="FH110" s="257"/>
      <c r="FI110" s="257"/>
      <c r="FJ110" s="257"/>
      <c r="FK110" s="257"/>
      <c r="FL110" s="257"/>
      <c r="FM110" s="257"/>
      <c r="FN110" s="257"/>
      <c r="FO110" s="257"/>
      <c r="FP110" s="257"/>
    </row>
    <row r="112" spans="21:172" x14ac:dyDescent="0.4">
      <c r="U112" s="1" t="s">
        <v>496</v>
      </c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382" t="s">
        <v>508</v>
      </c>
      <c r="BB112" s="383"/>
      <c r="BC112" s="383"/>
      <c r="BD112" s="383"/>
      <c r="BE112" s="383"/>
      <c r="BF112" s="383"/>
      <c r="BG112" s="383"/>
      <c r="BH112" s="384"/>
      <c r="BI112" s="382" t="s">
        <v>535</v>
      </c>
      <c r="BJ112" s="383"/>
      <c r="BK112" s="383"/>
      <c r="BL112" s="383"/>
      <c r="BM112" s="383"/>
      <c r="BN112" s="383"/>
      <c r="BO112" s="383"/>
      <c r="BP112" s="384"/>
      <c r="BQ112" s="267"/>
      <c r="BS112" s="268"/>
      <c r="BT112" s="382" t="s">
        <v>536</v>
      </c>
      <c r="BU112" s="383"/>
      <c r="BV112" s="383"/>
      <c r="BW112" s="383"/>
      <c r="BX112" s="383"/>
      <c r="BY112" s="383"/>
      <c r="BZ112" s="383"/>
      <c r="CA112" s="384"/>
      <c r="CB112" s="379" t="s">
        <v>513</v>
      </c>
      <c r="CC112" s="380"/>
      <c r="CD112" s="380"/>
      <c r="CE112" s="380"/>
      <c r="CF112" s="380"/>
      <c r="CG112" s="380"/>
      <c r="CH112" s="380"/>
      <c r="CI112" s="381"/>
      <c r="CJ112" s="379" t="s">
        <v>535</v>
      </c>
      <c r="CK112" s="380"/>
      <c r="CL112" s="380"/>
      <c r="CM112" s="380"/>
      <c r="CN112" s="380"/>
      <c r="CO112" s="380"/>
      <c r="CP112" s="380"/>
      <c r="CQ112" s="381"/>
      <c r="CR112" s="269"/>
      <c r="CT112" s="270"/>
      <c r="CU112" s="379" t="s">
        <v>536</v>
      </c>
      <c r="CV112" s="380"/>
      <c r="CW112" s="380"/>
      <c r="CX112" s="380"/>
      <c r="CY112" s="380"/>
      <c r="CZ112" s="380"/>
      <c r="DA112" s="380"/>
      <c r="DB112" s="381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</row>
    <row r="113" spans="21:120" x14ac:dyDescent="0.2">
      <c r="CB113" s="377">
        <v>16</v>
      </c>
      <c r="CC113" s="377"/>
      <c r="CD113" s="377">
        <v>15</v>
      </c>
      <c r="CE113" s="377"/>
      <c r="CH113" s="377">
        <v>1</v>
      </c>
      <c r="CI113" s="377"/>
      <c r="CJ113" s="377">
        <v>16</v>
      </c>
      <c r="CK113" s="377"/>
      <c r="CL113" s="377">
        <v>15</v>
      </c>
      <c r="CM113" s="377"/>
      <c r="CP113" s="377">
        <v>1</v>
      </c>
      <c r="CQ113" s="377"/>
      <c r="CR113" s="377">
        <v>16</v>
      </c>
      <c r="CS113" s="378"/>
      <c r="CU113" s="377">
        <v>16</v>
      </c>
      <c r="CV113" s="377"/>
      <c r="CW113" s="377">
        <v>15</v>
      </c>
      <c r="CX113" s="377"/>
      <c r="DA113" s="377">
        <v>1</v>
      </c>
      <c r="DB113" s="377"/>
    </row>
    <row r="114" spans="21:120" x14ac:dyDescent="0.4">
      <c r="U114" s="1" t="s">
        <v>500</v>
      </c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5"/>
      <c r="CC114" s="256"/>
      <c r="CD114" s="255"/>
      <c r="CE114" s="256"/>
      <c r="CF114" s="257"/>
      <c r="CG114" s="253"/>
      <c r="CH114" s="255"/>
      <c r="CI114" s="256"/>
      <c r="CJ114" s="255"/>
      <c r="CK114" s="256"/>
      <c r="CL114" s="255"/>
      <c r="CM114" s="256"/>
      <c r="CN114" s="257"/>
      <c r="CO114" s="253"/>
      <c r="CP114" s="255"/>
      <c r="CQ114" s="256"/>
      <c r="CR114" s="255"/>
      <c r="CS114" s="256"/>
      <c r="CU114" s="255"/>
      <c r="CV114" s="256"/>
      <c r="CW114" s="255"/>
      <c r="CX114" s="256"/>
      <c r="CY114" s="257"/>
      <c r="CZ114" s="253"/>
      <c r="DA114" s="255"/>
      <c r="DB114" s="256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</row>
    <row r="116" spans="21:120" x14ac:dyDescent="0.4">
      <c r="U116" s="1" t="s">
        <v>502</v>
      </c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379" t="s">
        <v>513</v>
      </c>
      <c r="CC116" s="380"/>
      <c r="CD116" s="380"/>
      <c r="CE116" s="380"/>
      <c r="CF116" s="380"/>
      <c r="CG116" s="380"/>
      <c r="CH116" s="380"/>
      <c r="CI116" s="381"/>
      <c r="CJ116" s="379" t="s">
        <v>535</v>
      </c>
      <c r="CK116" s="380"/>
      <c r="CL116" s="380"/>
      <c r="CM116" s="380"/>
      <c r="CN116" s="380"/>
      <c r="CO116" s="380"/>
      <c r="CP116" s="380"/>
      <c r="CQ116" s="381"/>
      <c r="CR116" s="269"/>
      <c r="CT116" s="270"/>
      <c r="CU116" s="379" t="s">
        <v>536</v>
      </c>
      <c r="CV116" s="380"/>
      <c r="CW116" s="380"/>
      <c r="CX116" s="380"/>
      <c r="CY116" s="380"/>
      <c r="CZ116" s="380"/>
      <c r="DA116" s="380"/>
      <c r="DB116" s="381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</row>
    <row r="117" spans="21:120" x14ac:dyDescent="0.4"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</row>
    <row r="118" spans="21:120" x14ac:dyDescent="0.4"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</row>
    <row r="119" spans="21:120" x14ac:dyDescent="0.4"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</row>
    <row r="120" spans="21:120" x14ac:dyDescent="0.4"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</row>
    <row r="122" spans="21:120" x14ac:dyDescent="0.4"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</row>
    <row r="124" spans="21:120" x14ac:dyDescent="0.4"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</row>
    <row r="126" spans="21:120" x14ac:dyDescent="0.4"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</row>
    <row r="128" spans="21:120" x14ac:dyDescent="0.4"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</row>
  </sheetData>
  <mergeCells count="540">
    <mergeCell ref="C2:S2"/>
    <mergeCell ref="Z4:AA4"/>
    <mergeCell ref="AB4:AC4"/>
    <mergeCell ref="AD4:AE4"/>
    <mergeCell ref="AF4:AG4"/>
    <mergeCell ref="AH4:AI4"/>
    <mergeCell ref="AV4:AW4"/>
    <mergeCell ref="AX4:AY4"/>
    <mergeCell ref="AZ4:BA4"/>
    <mergeCell ref="BB4:BC4"/>
    <mergeCell ref="BD4:BE4"/>
    <mergeCell ref="BF4:BG4"/>
    <mergeCell ref="AJ4:AK4"/>
    <mergeCell ref="AL4:AM4"/>
    <mergeCell ref="AN4:AO4"/>
    <mergeCell ref="AP4:AQ4"/>
    <mergeCell ref="AR4:AS4"/>
    <mergeCell ref="AT4:AU4"/>
    <mergeCell ref="BZ4:CA4"/>
    <mergeCell ref="CB4:CC4"/>
    <mergeCell ref="CD4:CE4"/>
    <mergeCell ref="BH4:BI4"/>
    <mergeCell ref="BJ4:BK4"/>
    <mergeCell ref="BL4:BM4"/>
    <mergeCell ref="BN4:BO4"/>
    <mergeCell ref="BP4:BQ4"/>
    <mergeCell ref="BR4:BS4"/>
    <mergeCell ref="BP8:BQ8"/>
    <mergeCell ref="BR8:BS8"/>
    <mergeCell ref="BT8:BU8"/>
    <mergeCell ref="DD4:DE4"/>
    <mergeCell ref="D5:E5"/>
    <mergeCell ref="F5:M5"/>
    <mergeCell ref="N5:S5"/>
    <mergeCell ref="F6:M6"/>
    <mergeCell ref="N6:S6"/>
    <mergeCell ref="CR4:CS4"/>
    <mergeCell ref="CT4:CU4"/>
    <mergeCell ref="CV4:CW4"/>
    <mergeCell ref="CX4:CY4"/>
    <mergeCell ref="CZ4:DA4"/>
    <mergeCell ref="DB4:DC4"/>
    <mergeCell ref="CF4:CG4"/>
    <mergeCell ref="CH4:CI4"/>
    <mergeCell ref="CJ4:CK4"/>
    <mergeCell ref="CL4:CM4"/>
    <mergeCell ref="CN4:CO4"/>
    <mergeCell ref="CP4:CQ4"/>
    <mergeCell ref="BT4:BU4"/>
    <mergeCell ref="BV4:BW4"/>
    <mergeCell ref="BX4:BY4"/>
    <mergeCell ref="D12:S12"/>
    <mergeCell ref="CD12:CE12"/>
    <mergeCell ref="CF12:CG12"/>
    <mergeCell ref="CH12:CI12"/>
    <mergeCell ref="CJ12:CK12"/>
    <mergeCell ref="CL12:CM12"/>
    <mergeCell ref="CX8:CY8"/>
    <mergeCell ref="CD7:CQ7"/>
    <mergeCell ref="CR7:DE7"/>
    <mergeCell ref="F8:M8"/>
    <mergeCell ref="N8:S8"/>
    <mergeCell ref="BB8:BC8"/>
    <mergeCell ref="BD8:BE8"/>
    <mergeCell ref="BF8:BG8"/>
    <mergeCell ref="BH8:BI8"/>
    <mergeCell ref="BJ8:BK8"/>
    <mergeCell ref="BL8:BM8"/>
    <mergeCell ref="F7:M7"/>
    <mergeCell ref="N7:S7"/>
    <mergeCell ref="Z7:AM7"/>
    <mergeCell ref="AN7:BA7"/>
    <mergeCell ref="BB7:BO7"/>
    <mergeCell ref="BP7:CC7"/>
    <mergeCell ref="DD8:DE8"/>
    <mergeCell ref="CZ8:DA8"/>
    <mergeCell ref="DB8:DC8"/>
    <mergeCell ref="CZ12:DA12"/>
    <mergeCell ref="DB12:DC12"/>
    <mergeCell ref="BB11:BO11"/>
    <mergeCell ref="BP11:CC11"/>
    <mergeCell ref="CD11:CQ11"/>
    <mergeCell ref="CR11:DE11"/>
    <mergeCell ref="CL8:CM8"/>
    <mergeCell ref="CN8:CO8"/>
    <mergeCell ref="CP8:CQ8"/>
    <mergeCell ref="CR8:CS8"/>
    <mergeCell ref="CT8:CU8"/>
    <mergeCell ref="CV8:CW8"/>
    <mergeCell ref="BZ8:CA8"/>
    <mergeCell ref="CB8:CC8"/>
    <mergeCell ref="CD8:CE8"/>
    <mergeCell ref="DD12:DE12"/>
    <mergeCell ref="BV8:BW8"/>
    <mergeCell ref="BX8:BY8"/>
    <mergeCell ref="CF8:CG8"/>
    <mergeCell ref="CH8:CI8"/>
    <mergeCell ref="CJ8:CK8"/>
    <mergeCell ref="BN8:BO8"/>
    <mergeCell ref="CD15:CQ15"/>
    <mergeCell ref="CR15:DE15"/>
    <mergeCell ref="Z20:AA20"/>
    <mergeCell ref="AB20:AC20"/>
    <mergeCell ref="AF20:AG20"/>
    <mergeCell ref="AH20:AI20"/>
    <mergeCell ref="AJ20:AK20"/>
    <mergeCell ref="CN12:CO12"/>
    <mergeCell ref="CP12:CQ12"/>
    <mergeCell ref="CR12:CS12"/>
    <mergeCell ref="CT12:CU12"/>
    <mergeCell ref="CV12:CW12"/>
    <mergeCell ref="CX12:CY12"/>
    <mergeCell ref="BH20:BI20"/>
    <mergeCell ref="BL20:BM20"/>
    <mergeCell ref="BN20:BO20"/>
    <mergeCell ref="BP20:BQ20"/>
    <mergeCell ref="AN20:AO20"/>
    <mergeCell ref="AP20:AQ20"/>
    <mergeCell ref="AR20:AS20"/>
    <mergeCell ref="AV20:AW20"/>
    <mergeCell ref="AX20:AY20"/>
    <mergeCell ref="AZ20:BA20"/>
    <mergeCell ref="CZ20:DA20"/>
    <mergeCell ref="BX20:BY20"/>
    <mergeCell ref="CB20:CC20"/>
    <mergeCell ref="CD20:CE20"/>
    <mergeCell ref="CF20:CG20"/>
    <mergeCell ref="AH22:AO22"/>
    <mergeCell ref="Z23:AG23"/>
    <mergeCell ref="AH23:AO23"/>
    <mergeCell ref="AP23:AW23"/>
    <mergeCell ref="AX23:BE23"/>
    <mergeCell ref="BF23:BM23"/>
    <mergeCell ref="BN23:BU23"/>
    <mergeCell ref="BV23:CC23"/>
    <mergeCell ref="CD23:CK23"/>
    <mergeCell ref="BD20:BE20"/>
    <mergeCell ref="BF20:BG20"/>
    <mergeCell ref="CJ20:CK20"/>
    <mergeCell ref="BV24:BW24"/>
    <mergeCell ref="BX24:BY24"/>
    <mergeCell ref="CL23:CS23"/>
    <mergeCell ref="CT23:DA23"/>
    <mergeCell ref="AP24:AQ24"/>
    <mergeCell ref="AR24:AS24"/>
    <mergeCell ref="AV24:AW24"/>
    <mergeCell ref="AX24:AY24"/>
    <mergeCell ref="AZ24:BA24"/>
    <mergeCell ref="BD24:BE24"/>
    <mergeCell ref="BF24:BG24"/>
    <mergeCell ref="BH24:BI24"/>
    <mergeCell ref="CZ24:DA24"/>
    <mergeCell ref="CN24:CO24"/>
    <mergeCell ref="CF24:CG24"/>
    <mergeCell ref="CJ24:CK24"/>
    <mergeCell ref="CL24:CM24"/>
    <mergeCell ref="BL24:BM24"/>
    <mergeCell ref="BN24:BO24"/>
    <mergeCell ref="BP24:BQ24"/>
    <mergeCell ref="BT24:BU24"/>
    <mergeCell ref="CL20:CM20"/>
    <mergeCell ref="CN20:CO20"/>
    <mergeCell ref="CR20:CS20"/>
    <mergeCell ref="CT20:CU20"/>
    <mergeCell ref="CV20:CW20"/>
    <mergeCell ref="BT20:BU20"/>
    <mergeCell ref="BV20:BW20"/>
    <mergeCell ref="AP27:AW27"/>
    <mergeCell ref="AX27:BE27"/>
    <mergeCell ref="BF27:BM27"/>
    <mergeCell ref="BN27:BU27"/>
    <mergeCell ref="BV27:CC27"/>
    <mergeCell ref="CD27:CK27"/>
    <mergeCell ref="CR24:CS24"/>
    <mergeCell ref="CT24:CU24"/>
    <mergeCell ref="CV24:CW24"/>
    <mergeCell ref="CL27:CS27"/>
    <mergeCell ref="CT27:DA27"/>
    <mergeCell ref="AX26:BE26"/>
    <mergeCell ref="BF26:BM26"/>
    <mergeCell ref="BN26:BU26"/>
    <mergeCell ref="BV26:CC26"/>
    <mergeCell ref="CB24:CC24"/>
    <mergeCell ref="CD24:CE24"/>
    <mergeCell ref="CD28:CE28"/>
    <mergeCell ref="CF28:CG28"/>
    <mergeCell ref="CJ28:CK28"/>
    <mergeCell ref="CL28:CM28"/>
    <mergeCell ref="CN28:CO28"/>
    <mergeCell ref="CR28:CS28"/>
    <mergeCell ref="CT28:CU28"/>
    <mergeCell ref="CV28:CW28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CZ28:DA28"/>
    <mergeCell ref="CL30:CS30"/>
    <mergeCell ref="CT30:DA30"/>
    <mergeCell ref="CD31:CK31"/>
    <mergeCell ref="CL31:CS31"/>
    <mergeCell ref="CT31:DA31"/>
    <mergeCell ref="AX36:AY36"/>
    <mergeCell ref="AZ36:BA36"/>
    <mergeCell ref="BB36:BC36"/>
    <mergeCell ref="BD36:BE36"/>
    <mergeCell ref="BF36:BG36"/>
    <mergeCell ref="BH36:BI36"/>
    <mergeCell ref="BV36:BW36"/>
    <mergeCell ref="BX36:BY36"/>
    <mergeCell ref="BZ36:CA36"/>
    <mergeCell ref="CB36:CC36"/>
    <mergeCell ref="CD36:CE36"/>
    <mergeCell ref="CF36:CG36"/>
    <mergeCell ref="BJ36:BK36"/>
    <mergeCell ref="BL36:BM36"/>
    <mergeCell ref="BN36:BO36"/>
    <mergeCell ref="BP36:BQ36"/>
    <mergeCell ref="BR36:BS36"/>
    <mergeCell ref="BT36:BU36"/>
    <mergeCell ref="CD39:CQ39"/>
    <mergeCell ref="CR39:DE39"/>
    <mergeCell ref="CT36:CU36"/>
    <mergeCell ref="CV36:CW36"/>
    <mergeCell ref="CX36:CY36"/>
    <mergeCell ref="CZ36:DA36"/>
    <mergeCell ref="DB36:DC36"/>
    <mergeCell ref="DD36:DE36"/>
    <mergeCell ref="CH36:CI36"/>
    <mergeCell ref="CJ36:CK36"/>
    <mergeCell ref="CL36:CM36"/>
    <mergeCell ref="CN36:CO36"/>
    <mergeCell ref="CP36:CQ36"/>
    <mergeCell ref="CR36:CS36"/>
    <mergeCell ref="BV40:BW40"/>
    <mergeCell ref="BX40:BY40"/>
    <mergeCell ref="BB40:BC40"/>
    <mergeCell ref="BD40:BE40"/>
    <mergeCell ref="BF40:BG40"/>
    <mergeCell ref="BH40:BI40"/>
    <mergeCell ref="BJ40:BK40"/>
    <mergeCell ref="BL40:BM40"/>
    <mergeCell ref="Z39:AM39"/>
    <mergeCell ref="AN39:BA39"/>
    <mergeCell ref="BB39:BO39"/>
    <mergeCell ref="BP39:CC39"/>
    <mergeCell ref="CX40:CY40"/>
    <mergeCell ref="CZ40:DA40"/>
    <mergeCell ref="DB40:DC40"/>
    <mergeCell ref="DD40:DE40"/>
    <mergeCell ref="BB43:BO43"/>
    <mergeCell ref="BP43:CC43"/>
    <mergeCell ref="CD43:CQ43"/>
    <mergeCell ref="CR43:DE43"/>
    <mergeCell ref="CL40:CM40"/>
    <mergeCell ref="CN40:CO40"/>
    <mergeCell ref="CP40:CQ40"/>
    <mergeCell ref="CR40:CS40"/>
    <mergeCell ref="CT40:CU40"/>
    <mergeCell ref="CV40:CW40"/>
    <mergeCell ref="BZ40:CA40"/>
    <mergeCell ref="CB40:CC40"/>
    <mergeCell ref="CD40:CE40"/>
    <mergeCell ref="CF40:CG40"/>
    <mergeCell ref="CH40:CI40"/>
    <mergeCell ref="CJ40:CK40"/>
    <mergeCell ref="BN40:BO40"/>
    <mergeCell ref="BP40:BQ40"/>
    <mergeCell ref="BR40:BS40"/>
    <mergeCell ref="BT40:BU40"/>
    <mergeCell ref="DB44:DC44"/>
    <mergeCell ref="DD44:DE44"/>
    <mergeCell ref="CD47:CQ47"/>
    <mergeCell ref="CR47:DE47"/>
    <mergeCell ref="AN49:BA49"/>
    <mergeCell ref="BP51:CC51"/>
    <mergeCell ref="CP44:CQ44"/>
    <mergeCell ref="CR44:CS44"/>
    <mergeCell ref="CT44:CU44"/>
    <mergeCell ref="CV44:CW44"/>
    <mergeCell ref="CX44:CY44"/>
    <mergeCell ref="CZ44:DA44"/>
    <mergeCell ref="CD44:CE44"/>
    <mergeCell ref="CF44:CG44"/>
    <mergeCell ref="CH44:CI44"/>
    <mergeCell ref="CJ44:CK44"/>
    <mergeCell ref="CL44:CM44"/>
    <mergeCell ref="CN44:CO44"/>
    <mergeCell ref="CR53:DE53"/>
    <mergeCell ref="Z58:AA58"/>
    <mergeCell ref="AB58:AC58"/>
    <mergeCell ref="AF58:AG58"/>
    <mergeCell ref="AH58:AI58"/>
    <mergeCell ref="AJ58:AK58"/>
    <mergeCell ref="AN58:AO58"/>
    <mergeCell ref="AP58:AQ58"/>
    <mergeCell ref="AR58:AS58"/>
    <mergeCell ref="AV58:AW58"/>
    <mergeCell ref="CT58:CU58"/>
    <mergeCell ref="CV58:CW58"/>
    <mergeCell ref="CZ58:DA58"/>
    <mergeCell ref="CJ58:CK58"/>
    <mergeCell ref="CL58:CM58"/>
    <mergeCell ref="CN58:CO58"/>
    <mergeCell ref="CR58:CS58"/>
    <mergeCell ref="Z61:AG61"/>
    <mergeCell ref="AH61:AO61"/>
    <mergeCell ref="AP61:AW61"/>
    <mergeCell ref="AX61:BE61"/>
    <mergeCell ref="BF61:BM61"/>
    <mergeCell ref="BN61:BU61"/>
    <mergeCell ref="BV61:CC61"/>
    <mergeCell ref="CD58:CE58"/>
    <mergeCell ref="CF58:CG58"/>
    <mergeCell ref="BN58:BO58"/>
    <mergeCell ref="BP58:BQ58"/>
    <mergeCell ref="BT58:BU58"/>
    <mergeCell ref="BV58:BW58"/>
    <mergeCell ref="BX58:BY58"/>
    <mergeCell ref="CB58:CC58"/>
    <mergeCell ref="AX58:AY58"/>
    <mergeCell ref="AZ58:BA58"/>
    <mergeCell ref="CD61:CK61"/>
    <mergeCell ref="BD58:BE58"/>
    <mergeCell ref="BF58:BG58"/>
    <mergeCell ref="BH58:BI58"/>
    <mergeCell ref="BL58:BM58"/>
    <mergeCell ref="CL61:CS61"/>
    <mergeCell ref="CT61:DA61"/>
    <mergeCell ref="AP62:AQ62"/>
    <mergeCell ref="AR62:AS62"/>
    <mergeCell ref="AV62:AW62"/>
    <mergeCell ref="AX62:AY62"/>
    <mergeCell ref="AZ62:BA62"/>
    <mergeCell ref="BD62:BE62"/>
    <mergeCell ref="BF62:BG62"/>
    <mergeCell ref="CN62:CO62"/>
    <mergeCell ref="CR62:CS62"/>
    <mergeCell ref="CT62:CU62"/>
    <mergeCell ref="CV62:CW62"/>
    <mergeCell ref="CZ62:DA62"/>
    <mergeCell ref="CJ62:CK62"/>
    <mergeCell ref="CL62:CM62"/>
    <mergeCell ref="BX62:BY62"/>
    <mergeCell ref="CB62:CC62"/>
    <mergeCell ref="CD62:CE62"/>
    <mergeCell ref="CF62:CG62"/>
    <mergeCell ref="BH62:BI62"/>
    <mergeCell ref="BL62:BM62"/>
    <mergeCell ref="BN62:BO62"/>
    <mergeCell ref="BP62:BQ62"/>
    <mergeCell ref="BT62:BU62"/>
    <mergeCell ref="BV62:BW62"/>
    <mergeCell ref="CV66:CW66"/>
    <mergeCell ref="CZ66:DA66"/>
    <mergeCell ref="CD69:CK69"/>
    <mergeCell ref="CL69:CS69"/>
    <mergeCell ref="CT69:DA69"/>
    <mergeCell ref="AH70:AO70"/>
    <mergeCell ref="CD65:CK65"/>
    <mergeCell ref="CL65:CS65"/>
    <mergeCell ref="CT65:DA65"/>
    <mergeCell ref="CD66:CE66"/>
    <mergeCell ref="CF66:CG66"/>
    <mergeCell ref="CJ66:CK66"/>
    <mergeCell ref="CL66:CM66"/>
    <mergeCell ref="CN66:CO66"/>
    <mergeCell ref="CR66:CS66"/>
    <mergeCell ref="CT66:CU66"/>
    <mergeCell ref="AP65:AW65"/>
    <mergeCell ref="AX65:BE65"/>
    <mergeCell ref="BF65:BM65"/>
    <mergeCell ref="BN65:BU65"/>
    <mergeCell ref="BV65:CC65"/>
    <mergeCell ref="AH71:AO71"/>
    <mergeCell ref="AY72:BF72"/>
    <mergeCell ref="BG72:BN72"/>
    <mergeCell ref="BO72:BV72"/>
    <mergeCell ref="BW72:CD72"/>
    <mergeCell ref="AY73:BF73"/>
    <mergeCell ref="BG73:BN73"/>
    <mergeCell ref="BO73:BV73"/>
    <mergeCell ref="BW73:CD73"/>
    <mergeCell ref="CM74:CT74"/>
    <mergeCell ref="CU74:DB74"/>
    <mergeCell ref="CM75:CT75"/>
    <mergeCell ref="CU75:DB75"/>
    <mergeCell ref="Z80:AA80"/>
    <mergeCell ref="AB80:AC80"/>
    <mergeCell ref="AD80:AE80"/>
    <mergeCell ref="AF80:AG80"/>
    <mergeCell ref="AH80:AI80"/>
    <mergeCell ref="AJ80:AK80"/>
    <mergeCell ref="BD80:BE80"/>
    <mergeCell ref="BF80:BG80"/>
    <mergeCell ref="BH80:BI80"/>
    <mergeCell ref="BJ80:BK80"/>
    <mergeCell ref="BL80:BM80"/>
    <mergeCell ref="BN80:BO80"/>
    <mergeCell ref="AL80:AM80"/>
    <mergeCell ref="AN80:AO80"/>
    <mergeCell ref="AR80:AS80"/>
    <mergeCell ref="AX80:AY80"/>
    <mergeCell ref="AZ80:BA80"/>
    <mergeCell ref="BB80:BC80"/>
    <mergeCell ref="CH80:CI80"/>
    <mergeCell ref="CJ80:CK80"/>
    <mergeCell ref="CL80:CM80"/>
    <mergeCell ref="CN80:CO80"/>
    <mergeCell ref="CR80:CS80"/>
    <mergeCell ref="CX80:CY80"/>
    <mergeCell ref="BR80:BS80"/>
    <mergeCell ref="BX80:BY80"/>
    <mergeCell ref="BZ80:CA80"/>
    <mergeCell ref="CB80:CC80"/>
    <mergeCell ref="CD80:CE80"/>
    <mergeCell ref="CF80:CG80"/>
    <mergeCell ref="Z83:AY83"/>
    <mergeCell ref="AZ83:BY83"/>
    <mergeCell ref="BZ83:CX83"/>
    <mergeCell ref="AZ84:BA84"/>
    <mergeCell ref="BB84:BC84"/>
    <mergeCell ref="BD84:BE84"/>
    <mergeCell ref="BF84:BG84"/>
    <mergeCell ref="BH84:BI84"/>
    <mergeCell ref="BJ84:BK84"/>
    <mergeCell ref="BL84:BM84"/>
    <mergeCell ref="CX84:CY84"/>
    <mergeCell ref="CF84:CG84"/>
    <mergeCell ref="CH84:CI84"/>
    <mergeCell ref="CJ84:CK84"/>
    <mergeCell ref="CL84:CM84"/>
    <mergeCell ref="CN84:CO84"/>
    <mergeCell ref="CR84:CS84"/>
    <mergeCell ref="BN84:BO84"/>
    <mergeCell ref="BR84:BS84"/>
    <mergeCell ref="BX84:BY84"/>
    <mergeCell ref="BZ84:CA84"/>
    <mergeCell ref="CB84:CC84"/>
    <mergeCell ref="CD84:CE84"/>
    <mergeCell ref="AZ87:BY87"/>
    <mergeCell ref="BZ87:CX87"/>
    <mergeCell ref="BZ88:CA88"/>
    <mergeCell ref="CB88:CC88"/>
    <mergeCell ref="CD88:CE88"/>
    <mergeCell ref="CF88:CG88"/>
    <mergeCell ref="CH88:CI88"/>
    <mergeCell ref="CJ88:CK88"/>
    <mergeCell ref="CL88:CM88"/>
    <mergeCell ref="CN88:CO88"/>
    <mergeCell ref="CR88:CS88"/>
    <mergeCell ref="CX88:CY88"/>
    <mergeCell ref="BZ91:CX91"/>
    <mergeCell ref="Z101:AA101"/>
    <mergeCell ref="AB101:AC101"/>
    <mergeCell ref="AF101:AG101"/>
    <mergeCell ref="AH101:AI101"/>
    <mergeCell ref="AJ101:AK101"/>
    <mergeCell ref="AN101:AO101"/>
    <mergeCell ref="CU101:CV101"/>
    <mergeCell ref="CW101:CX101"/>
    <mergeCell ref="AU101:AV101"/>
    <mergeCell ref="AY101:AZ101"/>
    <mergeCell ref="BA101:BB101"/>
    <mergeCell ref="BC101:BD101"/>
    <mergeCell ref="DA101:DB101"/>
    <mergeCell ref="BV101:BW101"/>
    <mergeCell ref="BZ101:CA101"/>
    <mergeCell ref="CB101:CC101"/>
    <mergeCell ref="CD101:CE101"/>
    <mergeCell ref="CH101:CI101"/>
    <mergeCell ref="CJ101:CK101"/>
    <mergeCell ref="AH103:AO103"/>
    <mergeCell ref="Z108:AG108"/>
    <mergeCell ref="AH108:AO108"/>
    <mergeCell ref="AS108:AZ108"/>
    <mergeCell ref="BA108:BH108"/>
    <mergeCell ref="BI108:BP108"/>
    <mergeCell ref="CL101:CM101"/>
    <mergeCell ref="CP101:CQ101"/>
    <mergeCell ref="CR101:CS101"/>
    <mergeCell ref="BG101:BH101"/>
    <mergeCell ref="BI101:BJ101"/>
    <mergeCell ref="BK101:BL101"/>
    <mergeCell ref="BO101:BP101"/>
    <mergeCell ref="BQ101:BR101"/>
    <mergeCell ref="BT101:BU101"/>
    <mergeCell ref="AP101:AQ101"/>
    <mergeCell ref="AS101:AT101"/>
    <mergeCell ref="BT108:CA108"/>
    <mergeCell ref="CB108:CI108"/>
    <mergeCell ref="CJ108:CQ108"/>
    <mergeCell ref="CU108:DB108"/>
    <mergeCell ref="BA109:BB109"/>
    <mergeCell ref="BC109:BD109"/>
    <mergeCell ref="BG109:BH109"/>
    <mergeCell ref="BI109:BJ109"/>
    <mergeCell ref="BK109:BL109"/>
    <mergeCell ref="BO109:BP109"/>
    <mergeCell ref="CW109:CX109"/>
    <mergeCell ref="DA109:DB109"/>
    <mergeCell ref="BA112:BH112"/>
    <mergeCell ref="BI112:BP112"/>
    <mergeCell ref="BT112:CA112"/>
    <mergeCell ref="CB112:CI112"/>
    <mergeCell ref="CJ112:CQ112"/>
    <mergeCell ref="CU112:DB112"/>
    <mergeCell ref="CH109:CI109"/>
    <mergeCell ref="CJ109:CK109"/>
    <mergeCell ref="CL109:CM109"/>
    <mergeCell ref="CP109:CQ109"/>
    <mergeCell ref="CR109:CS109"/>
    <mergeCell ref="CU109:CV109"/>
    <mergeCell ref="BQ109:BR109"/>
    <mergeCell ref="BT109:BU109"/>
    <mergeCell ref="BV109:BW109"/>
    <mergeCell ref="BZ109:CA109"/>
    <mergeCell ref="CB109:CC109"/>
    <mergeCell ref="CD109:CE109"/>
    <mergeCell ref="CR113:CS113"/>
    <mergeCell ref="CU113:CV113"/>
    <mergeCell ref="CW113:CX113"/>
    <mergeCell ref="DA113:DB113"/>
    <mergeCell ref="CB116:CI116"/>
    <mergeCell ref="CJ116:CQ116"/>
    <mergeCell ref="CU116:DB116"/>
    <mergeCell ref="CB113:CC113"/>
    <mergeCell ref="CD113:CE113"/>
    <mergeCell ref="CH113:CI113"/>
    <mergeCell ref="CJ113:CK113"/>
    <mergeCell ref="CL113:CM113"/>
    <mergeCell ref="CP113:CQ11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113C-6FCF-4BC6-AA8F-3F35266912EB}">
  <dimension ref="B2:CS37"/>
  <sheetViews>
    <sheetView showGridLines="0" topLeftCell="A3" zoomScale="94" zoomScaleNormal="94" workbookViewId="0">
      <selection activeCell="AB34" sqref="AB34"/>
    </sheetView>
  </sheetViews>
  <sheetFormatPr defaultRowHeight="17.399999999999999" x14ac:dyDescent="0.4"/>
  <cols>
    <col min="2" max="2" width="26" style="1" bestFit="1" customWidth="1"/>
    <col min="3" max="3" width="1.59765625" style="24" customWidth="1"/>
    <col min="4" max="27" width="5.69921875" style="322" customWidth="1"/>
    <col min="28" max="28" width="5.69921875" style="324" customWidth="1"/>
    <col min="29" max="29" width="5.69921875" style="319" customWidth="1"/>
    <col min="30" max="30" width="11.09765625" bestFit="1" customWidth="1"/>
    <col min="31" max="31" width="3.59765625" customWidth="1"/>
    <col min="32" max="32" width="13.296875" bestFit="1" customWidth="1"/>
    <col min="33" max="34" width="7.796875" bestFit="1" customWidth="1"/>
    <col min="35" max="37" width="2.59765625" customWidth="1"/>
    <col min="38" max="38" width="13.296875" bestFit="1" customWidth="1"/>
    <col min="39" max="39" width="7.796875" bestFit="1" customWidth="1"/>
    <col min="40" max="40" width="7.59765625" bestFit="1" customWidth="1"/>
    <col min="41" max="41" width="2.59765625" customWidth="1"/>
    <col min="42" max="42" width="1.59765625" customWidth="1"/>
    <col min="43" max="43" width="2.59765625" customWidth="1"/>
    <col min="44" max="44" width="14.796875" bestFit="1" customWidth="1"/>
    <col min="45" max="45" width="7.796875" customWidth="1"/>
    <col min="46" max="46" width="7.69921875" bestFit="1" customWidth="1"/>
    <col min="47" max="47" width="3.59765625" customWidth="1"/>
    <col min="49" max="49" width="8.69921875" style="131"/>
    <col min="50" max="50" width="3.59765625" customWidth="1"/>
    <col min="51" max="51" width="9.796875" bestFit="1" customWidth="1"/>
    <col min="52" max="52" width="8.69921875" bestFit="1" customWidth="1"/>
    <col min="53" max="53" width="9.09765625" bestFit="1" customWidth="1"/>
    <col min="54" max="54" width="8.69921875" bestFit="1" customWidth="1"/>
    <col min="55" max="57" width="1.59765625" customWidth="1"/>
    <col min="58" max="58" width="9.09765625" bestFit="1" customWidth="1"/>
    <col min="59" max="59" width="9.796875" bestFit="1" customWidth="1"/>
    <col min="60" max="60" width="8.69921875" bestFit="1" customWidth="1"/>
    <col min="61" max="61" width="9.09765625" bestFit="1" customWidth="1"/>
    <col min="62" max="62" width="8.69921875" bestFit="1" customWidth="1"/>
    <col min="63" max="65" width="1.59765625" customWidth="1"/>
    <col min="66" max="66" width="9.09765625" bestFit="1" customWidth="1"/>
    <col min="67" max="67" width="3.59765625" customWidth="1"/>
    <col min="68" max="68" width="6" bestFit="1" customWidth="1"/>
    <col min="70" max="70" width="3.59765625" customWidth="1"/>
    <col min="71" max="72" width="16.09765625" bestFit="1" customWidth="1"/>
    <col min="73" max="75" width="1.59765625" customWidth="1"/>
    <col min="76" max="76" width="16.09765625" bestFit="1" customWidth="1"/>
    <col min="77" max="77" width="3.59765625" customWidth="1"/>
    <col min="80" max="80" width="3.59765625" customWidth="1"/>
    <col min="81" max="82" width="14" style="206" bestFit="1" customWidth="1"/>
    <col min="83" max="84" width="1.59765625" style="206" customWidth="1"/>
    <col min="85" max="85" width="1.796875" style="206" customWidth="1"/>
    <col min="86" max="86" width="14" style="206" bestFit="1" customWidth="1"/>
    <col min="87" max="89" width="1.59765625" style="206" customWidth="1"/>
    <col min="90" max="90" width="11.5" style="206" bestFit="1" customWidth="1"/>
    <col min="91" max="91" width="6" style="206" bestFit="1" customWidth="1"/>
    <col min="92" max="92" width="1.59765625" style="206" customWidth="1"/>
    <col min="93" max="95" width="11.5" style="206" bestFit="1" customWidth="1"/>
    <col min="96" max="96" width="6.19921875" style="206" bestFit="1" customWidth="1"/>
    <col min="97" max="97" width="1.59765625" customWidth="1"/>
  </cols>
  <sheetData>
    <row r="2" spans="2:97" x14ac:dyDescent="0.4">
      <c r="B2" s="205" t="s">
        <v>361</v>
      </c>
      <c r="C2" s="434" t="s">
        <v>362</v>
      </c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</row>
    <row r="3" spans="2:97" ht="18" thickBot="1" x14ac:dyDescent="0.45">
      <c r="B3" s="207" t="s">
        <v>363</v>
      </c>
      <c r="F3" s="323"/>
      <c r="I3" s="323"/>
    </row>
    <row r="4" spans="2:97" x14ac:dyDescent="0.4">
      <c r="B4" s="2"/>
      <c r="D4" s="325" t="s">
        <v>364</v>
      </c>
      <c r="E4" s="326" t="s">
        <v>365</v>
      </c>
      <c r="F4" s="326" t="s">
        <v>366</v>
      </c>
      <c r="G4" s="327" t="s">
        <v>367</v>
      </c>
      <c r="H4" s="325" t="s">
        <v>368</v>
      </c>
      <c r="I4" s="326" t="s">
        <v>369</v>
      </c>
      <c r="J4" s="326" t="s">
        <v>370</v>
      </c>
      <c r="K4" s="326" t="s">
        <v>371</v>
      </c>
      <c r="L4" s="326" t="s">
        <v>372</v>
      </c>
      <c r="M4" s="327" t="s">
        <v>373</v>
      </c>
      <c r="N4" s="325" t="s">
        <v>374</v>
      </c>
      <c r="O4" s="326" t="s">
        <v>375</v>
      </c>
      <c r="P4" s="326" t="s">
        <v>107</v>
      </c>
      <c r="Q4" s="326" t="s">
        <v>108</v>
      </c>
      <c r="R4" s="326" t="s">
        <v>109</v>
      </c>
      <c r="S4" s="326" t="s">
        <v>110</v>
      </c>
      <c r="T4" s="326" t="s">
        <v>111</v>
      </c>
      <c r="U4" s="326" t="s">
        <v>112</v>
      </c>
      <c r="V4" s="326" t="s">
        <v>113</v>
      </c>
      <c r="W4" s="326" t="s">
        <v>114</v>
      </c>
      <c r="X4" s="326" t="s">
        <v>115</v>
      </c>
      <c r="Y4" s="327" t="s">
        <v>116</v>
      </c>
      <c r="Z4" s="328"/>
      <c r="AA4" s="328"/>
      <c r="AB4" s="328"/>
    </row>
    <row r="5" spans="2:97" ht="18" thickBot="1" x14ac:dyDescent="0.45">
      <c r="B5" s="211" t="s">
        <v>376</v>
      </c>
      <c r="D5" s="329" t="s">
        <v>377</v>
      </c>
      <c r="E5" s="420" t="s">
        <v>378</v>
      </c>
      <c r="F5" s="421"/>
      <c r="G5" s="422"/>
      <c r="H5" s="436" t="s">
        <v>379</v>
      </c>
      <c r="I5" s="437"/>
      <c r="J5" s="437"/>
      <c r="K5" s="437"/>
      <c r="L5" s="437"/>
      <c r="M5" s="438"/>
      <c r="N5" s="436" t="s">
        <v>380</v>
      </c>
      <c r="O5" s="437"/>
      <c r="P5" s="437"/>
      <c r="Q5" s="437"/>
      <c r="R5" s="437"/>
      <c r="S5" s="437"/>
      <c r="T5" s="437"/>
      <c r="U5" s="437"/>
      <c r="V5" s="437"/>
      <c r="W5" s="437"/>
      <c r="X5" s="437"/>
      <c r="Y5" s="438"/>
      <c r="Z5" s="328"/>
      <c r="AA5" s="328"/>
      <c r="AB5" s="328"/>
    </row>
    <row r="6" spans="2:97" ht="18" thickBot="1" x14ac:dyDescent="0.45">
      <c r="B6" s="147" t="s">
        <v>381</v>
      </c>
      <c r="D6" s="330">
        <v>1</v>
      </c>
      <c r="E6" s="330">
        <v>1</v>
      </c>
      <c r="F6" s="330">
        <v>0</v>
      </c>
      <c r="G6" s="330">
        <v>1</v>
      </c>
    </row>
    <row r="7" spans="2:97" x14ac:dyDescent="0.4">
      <c r="B7" s="147"/>
      <c r="D7" s="331" t="s">
        <v>382</v>
      </c>
      <c r="E7" s="332" t="s">
        <v>383</v>
      </c>
      <c r="F7" s="332" t="s">
        <v>384</v>
      </c>
      <c r="G7" s="333" t="s">
        <v>385</v>
      </c>
      <c r="H7" s="334" t="s">
        <v>386</v>
      </c>
      <c r="I7" s="326" t="s">
        <v>112</v>
      </c>
      <c r="J7" s="326" t="s">
        <v>113</v>
      </c>
      <c r="K7" s="326" t="s">
        <v>114</v>
      </c>
      <c r="L7" s="326" t="s">
        <v>115</v>
      </c>
      <c r="M7" s="327" t="s">
        <v>116</v>
      </c>
      <c r="AC7" s="321"/>
    </row>
    <row r="8" spans="2:97" ht="18" thickBot="1" x14ac:dyDescent="0.45">
      <c r="B8" s="211" t="s">
        <v>376</v>
      </c>
      <c r="D8" s="329" t="s">
        <v>377</v>
      </c>
      <c r="E8" s="426" t="s">
        <v>378</v>
      </c>
      <c r="F8" s="426"/>
      <c r="G8" s="427"/>
      <c r="H8" s="439" t="s">
        <v>379</v>
      </c>
      <c r="I8" s="440"/>
      <c r="J8" s="440"/>
      <c r="K8" s="440"/>
      <c r="L8" s="440"/>
      <c r="M8" s="441"/>
      <c r="AC8" s="321"/>
    </row>
    <row r="9" spans="2:97" ht="18" thickBot="1" x14ac:dyDescent="0.45">
      <c r="B9" s="147" t="s">
        <v>387</v>
      </c>
      <c r="C9" s="213"/>
      <c r="D9" s="330">
        <v>1</v>
      </c>
      <c r="E9" s="330">
        <v>1</v>
      </c>
      <c r="F9" s="330">
        <v>1</v>
      </c>
      <c r="G9" s="330">
        <v>0</v>
      </c>
      <c r="AC9" s="321"/>
      <c r="AW9" s="131" t="s">
        <v>388</v>
      </c>
    </row>
    <row r="10" spans="2:97" x14ac:dyDescent="0.4">
      <c r="B10" s="147"/>
      <c r="D10" s="331" t="s">
        <v>365</v>
      </c>
      <c r="E10" s="332" t="s">
        <v>366</v>
      </c>
      <c r="F10" s="332" t="s">
        <v>367</v>
      </c>
      <c r="G10" s="333" t="s">
        <v>368</v>
      </c>
      <c r="H10" s="325" t="s">
        <v>389</v>
      </c>
      <c r="I10" s="326" t="s">
        <v>390</v>
      </c>
      <c r="J10" s="326" t="s">
        <v>371</v>
      </c>
      <c r="K10" s="326" t="s">
        <v>372</v>
      </c>
      <c r="L10" s="327" t="s">
        <v>373</v>
      </c>
      <c r="M10" s="334" t="s">
        <v>374</v>
      </c>
      <c r="N10" s="326" t="s">
        <v>375</v>
      </c>
      <c r="O10" s="326" t="s">
        <v>107</v>
      </c>
      <c r="P10" s="326" t="s">
        <v>108</v>
      </c>
      <c r="Q10" s="326" t="s">
        <v>109</v>
      </c>
      <c r="R10" s="326" t="s">
        <v>110</v>
      </c>
      <c r="S10" s="326" t="s">
        <v>111</v>
      </c>
      <c r="T10" s="326" t="s">
        <v>112</v>
      </c>
      <c r="U10" s="326" t="s">
        <v>113</v>
      </c>
      <c r="V10" s="326" t="s">
        <v>114</v>
      </c>
      <c r="W10" s="326" t="s">
        <v>115</v>
      </c>
      <c r="X10" s="327" t="s">
        <v>116</v>
      </c>
      <c r="AC10" s="321"/>
      <c r="AD10" s="1" t="s">
        <v>391</v>
      </c>
      <c r="AE10" s="25"/>
      <c r="AF10" s="214" t="s">
        <v>392</v>
      </c>
      <c r="AG10" s="214" t="s">
        <v>393</v>
      </c>
      <c r="AH10" s="214" t="s">
        <v>394</v>
      </c>
      <c r="AI10" s="406" t="s">
        <v>395</v>
      </c>
      <c r="AJ10" s="407"/>
      <c r="AK10" s="407"/>
      <c r="AL10" s="408"/>
      <c r="AM10" s="216" t="s">
        <v>396</v>
      </c>
      <c r="AN10" s="216" t="s">
        <v>397</v>
      </c>
      <c r="AO10" s="217"/>
      <c r="AQ10" s="218"/>
      <c r="AR10" s="219" t="s">
        <v>398</v>
      </c>
      <c r="AS10" s="219" t="s">
        <v>399</v>
      </c>
      <c r="AT10" s="219" t="s">
        <v>400</v>
      </c>
      <c r="AU10" s="25"/>
      <c r="AW10" s="137" t="s">
        <v>401</v>
      </c>
      <c r="AX10" s="25"/>
      <c r="AY10" s="214" t="s">
        <v>402</v>
      </c>
      <c r="AZ10" s="214" t="s">
        <v>403</v>
      </c>
      <c r="BA10" s="214" t="s">
        <v>404</v>
      </c>
      <c r="BB10" s="214" t="s">
        <v>405</v>
      </c>
      <c r="BC10" s="220"/>
      <c r="BE10" s="221"/>
      <c r="BF10" s="214" t="s">
        <v>406</v>
      </c>
      <c r="BG10" s="216" t="s">
        <v>407</v>
      </c>
      <c r="BH10" s="216" t="s">
        <v>408</v>
      </c>
      <c r="BI10" s="216" t="s">
        <v>409</v>
      </c>
      <c r="BJ10" s="216" t="s">
        <v>410</v>
      </c>
      <c r="BK10" s="215"/>
      <c r="BM10" s="222"/>
      <c r="BN10" s="219" t="s">
        <v>411</v>
      </c>
      <c r="BO10" s="26"/>
      <c r="BQ10" s="1" t="s">
        <v>391</v>
      </c>
      <c r="BR10" s="25"/>
      <c r="BS10" s="223" t="s">
        <v>412</v>
      </c>
      <c r="BT10" s="224" t="s">
        <v>413</v>
      </c>
      <c r="BU10" s="225"/>
      <c r="BV10" s="204"/>
      <c r="BW10" s="226"/>
      <c r="BX10" s="227" t="s">
        <v>414</v>
      </c>
      <c r="BY10" s="26"/>
      <c r="CA10" s="1" t="s">
        <v>391</v>
      </c>
      <c r="CB10" s="25"/>
      <c r="CC10" s="228" t="s">
        <v>415</v>
      </c>
      <c r="CD10" s="229" t="s">
        <v>416</v>
      </c>
      <c r="CE10" s="230"/>
      <c r="CF10" s="231"/>
      <c r="CG10" s="232"/>
      <c r="CH10" s="233" t="s">
        <v>417</v>
      </c>
      <c r="CI10" s="234"/>
      <c r="CK10" s="234"/>
      <c r="CL10" s="234"/>
      <c r="CM10" s="234"/>
      <c r="CO10" s="234"/>
      <c r="CP10" s="234"/>
      <c r="CQ10" s="235" t="s">
        <v>418</v>
      </c>
      <c r="CR10" s="235" t="s">
        <v>419</v>
      </c>
      <c r="CS10" s="25"/>
    </row>
    <row r="11" spans="2:97" ht="18" thickBot="1" x14ac:dyDescent="0.45">
      <c r="B11" s="211" t="s">
        <v>420</v>
      </c>
      <c r="D11" s="329" t="s">
        <v>377</v>
      </c>
      <c r="E11" s="426" t="s">
        <v>378</v>
      </c>
      <c r="F11" s="426"/>
      <c r="G11" s="427"/>
      <c r="H11" s="428" t="s">
        <v>421</v>
      </c>
      <c r="I11" s="429"/>
      <c r="J11" s="429"/>
      <c r="K11" s="429"/>
      <c r="L11" s="430"/>
      <c r="M11" s="431" t="s">
        <v>380</v>
      </c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3"/>
      <c r="AC11" s="321"/>
      <c r="BS11" s="204"/>
      <c r="CF11" s="231"/>
    </row>
    <row r="12" spans="2:97" ht="18" thickBot="1" x14ac:dyDescent="0.45">
      <c r="B12" s="147" t="s">
        <v>422</v>
      </c>
      <c r="D12" s="330">
        <v>1</v>
      </c>
      <c r="E12" s="330">
        <v>1</v>
      </c>
      <c r="F12" s="330">
        <v>1</v>
      </c>
      <c r="G12" s="330">
        <v>0</v>
      </c>
      <c r="AC12" s="321"/>
      <c r="AD12" s="1" t="s">
        <v>423</v>
      </c>
      <c r="AE12" s="25"/>
      <c r="AF12" s="25"/>
      <c r="AG12" s="25"/>
      <c r="AH12" s="25"/>
      <c r="AI12" s="406" t="s">
        <v>395</v>
      </c>
      <c r="AJ12" s="407"/>
      <c r="AK12" s="407"/>
      <c r="AL12" s="408"/>
      <c r="AM12" s="216" t="s">
        <v>396</v>
      </c>
      <c r="AN12" s="216" t="s">
        <v>397</v>
      </c>
      <c r="AO12" s="217"/>
      <c r="AQ12" s="218"/>
      <c r="AR12" s="219" t="s">
        <v>398</v>
      </c>
      <c r="AS12" s="219" t="s">
        <v>399</v>
      </c>
      <c r="AT12" s="219" t="s">
        <v>400</v>
      </c>
      <c r="AU12" s="25"/>
      <c r="AW12" s="137" t="s">
        <v>424</v>
      </c>
      <c r="AX12" s="25"/>
      <c r="AY12" s="25"/>
      <c r="AZ12" s="25"/>
      <c r="BA12" s="25"/>
      <c r="BB12" s="25"/>
      <c r="BC12" s="25"/>
      <c r="BE12" s="25"/>
      <c r="BF12" s="25"/>
      <c r="BG12" s="216" t="s">
        <v>407</v>
      </c>
      <c r="BH12" s="216" t="s">
        <v>408</v>
      </c>
      <c r="BI12" s="216" t="s">
        <v>409</v>
      </c>
      <c r="BJ12" s="216" t="s">
        <v>410</v>
      </c>
      <c r="BK12" s="215"/>
      <c r="BM12" s="222"/>
      <c r="BN12" s="219" t="s">
        <v>411</v>
      </c>
      <c r="BO12" s="26"/>
      <c r="BQ12" s="1" t="s">
        <v>423</v>
      </c>
      <c r="BR12" s="25"/>
      <c r="BS12" s="25"/>
      <c r="BT12" s="224" t="s">
        <v>413</v>
      </c>
      <c r="BU12" s="225"/>
      <c r="BV12" s="204"/>
      <c r="BW12" s="226"/>
      <c r="BX12" s="227" t="s">
        <v>414</v>
      </c>
      <c r="BY12" s="26"/>
      <c r="CA12" s="1" t="s">
        <v>423</v>
      </c>
      <c r="CB12" s="25"/>
      <c r="CC12" s="236"/>
      <c r="CD12" s="229" t="s">
        <v>425</v>
      </c>
      <c r="CE12" s="230"/>
      <c r="CF12" s="231"/>
      <c r="CG12" s="232"/>
      <c r="CH12" s="233" t="s">
        <v>417</v>
      </c>
      <c r="CI12" s="236"/>
      <c r="CK12" s="236"/>
      <c r="CL12" s="236"/>
      <c r="CM12" s="236"/>
      <c r="CO12" s="236"/>
      <c r="CP12" s="229" t="s">
        <v>418</v>
      </c>
      <c r="CQ12" s="229" t="s">
        <v>426</v>
      </c>
      <c r="CR12" s="236"/>
      <c r="CS12" s="237"/>
    </row>
    <row r="13" spans="2:97" ht="18" thickBot="1" x14ac:dyDescent="0.45">
      <c r="B13" s="147"/>
      <c r="D13" s="337" t="s">
        <v>427</v>
      </c>
      <c r="E13" s="338" t="s">
        <v>428</v>
      </c>
      <c r="F13" s="338" t="s">
        <v>429</v>
      </c>
      <c r="G13" s="339" t="s">
        <v>389</v>
      </c>
      <c r="H13" s="340" t="s">
        <v>390</v>
      </c>
      <c r="I13" s="338" t="s">
        <v>430</v>
      </c>
      <c r="J13" s="338" t="s">
        <v>431</v>
      </c>
      <c r="K13" s="338" t="s">
        <v>432</v>
      </c>
      <c r="L13" s="338" t="s">
        <v>374</v>
      </c>
      <c r="M13" s="338" t="s">
        <v>375</v>
      </c>
      <c r="N13" s="338" t="s">
        <v>107</v>
      </c>
      <c r="O13" s="338" t="s">
        <v>108</v>
      </c>
      <c r="P13" s="338" t="s">
        <v>109</v>
      </c>
      <c r="Q13" s="338" t="s">
        <v>110</v>
      </c>
      <c r="R13" s="338" t="s">
        <v>111</v>
      </c>
      <c r="S13" s="338" t="s">
        <v>112</v>
      </c>
      <c r="T13" s="338" t="s">
        <v>113</v>
      </c>
      <c r="U13" s="338" t="s">
        <v>114</v>
      </c>
      <c r="V13" s="338" t="s">
        <v>115</v>
      </c>
      <c r="W13" s="339" t="s">
        <v>116</v>
      </c>
    </row>
    <row r="14" spans="2:97" ht="18" thickBot="1" x14ac:dyDescent="0.45">
      <c r="B14" s="211" t="s">
        <v>376</v>
      </c>
      <c r="D14" s="341" t="s">
        <v>377</v>
      </c>
      <c r="E14" s="342" t="s">
        <v>378</v>
      </c>
      <c r="F14" s="342"/>
      <c r="G14" s="343"/>
      <c r="H14" s="418" t="s">
        <v>439</v>
      </c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9"/>
      <c r="AW14" s="131" t="s">
        <v>440</v>
      </c>
    </row>
    <row r="15" spans="2:97" ht="18" thickBot="1" x14ac:dyDescent="0.45">
      <c r="B15" s="147" t="s">
        <v>441</v>
      </c>
      <c r="D15" s="330">
        <v>1</v>
      </c>
      <c r="E15" s="330">
        <v>1</v>
      </c>
      <c r="F15" s="330">
        <v>1</v>
      </c>
      <c r="G15" s="330">
        <v>1</v>
      </c>
      <c r="AD15" s="1" t="s">
        <v>391</v>
      </c>
      <c r="AE15" s="25"/>
      <c r="AF15" s="403" t="s">
        <v>442</v>
      </c>
      <c r="AG15" s="405"/>
      <c r="AH15" s="214" t="s">
        <v>393</v>
      </c>
      <c r="AI15" s="406" t="s">
        <v>443</v>
      </c>
      <c r="AJ15" s="407"/>
      <c r="AK15" s="407"/>
      <c r="AL15" s="408"/>
      <c r="AM15" s="216" t="s">
        <v>396</v>
      </c>
      <c r="AN15" s="415"/>
      <c r="AO15" s="416"/>
      <c r="AQ15" s="218"/>
      <c r="AR15" s="219" t="s">
        <v>444</v>
      </c>
      <c r="AS15" s="219" t="s">
        <v>399</v>
      </c>
      <c r="AT15" s="25"/>
      <c r="AU15" s="25"/>
      <c r="AW15" s="137" t="s">
        <v>401</v>
      </c>
      <c r="AX15" s="25"/>
      <c r="AY15" s="214" t="s">
        <v>402</v>
      </c>
      <c r="AZ15" s="214" t="s">
        <v>445</v>
      </c>
      <c r="BA15" s="214" t="s">
        <v>446</v>
      </c>
      <c r="BB15" s="214" t="s">
        <v>447</v>
      </c>
      <c r="BC15" s="220"/>
      <c r="BE15" s="221"/>
      <c r="BF15" s="214" t="s">
        <v>447</v>
      </c>
      <c r="BG15" s="216" t="s">
        <v>407</v>
      </c>
      <c r="BH15" s="216" t="s">
        <v>445</v>
      </c>
      <c r="BI15" s="216" t="s">
        <v>446</v>
      </c>
      <c r="BJ15" s="216" t="s">
        <v>447</v>
      </c>
      <c r="BK15" s="215"/>
      <c r="BM15" s="222"/>
      <c r="BN15" s="219" t="s">
        <v>448</v>
      </c>
      <c r="BO15" s="26"/>
    </row>
    <row r="16" spans="2:97" x14ac:dyDescent="0.4">
      <c r="B16" s="147"/>
      <c r="D16" s="331" t="s">
        <v>383</v>
      </c>
      <c r="E16" s="332" t="s">
        <v>384</v>
      </c>
      <c r="F16" s="332" t="s">
        <v>385</v>
      </c>
      <c r="G16" s="333" t="s">
        <v>386</v>
      </c>
    </row>
    <row r="17" spans="2:67" ht="18" thickBot="1" x14ac:dyDescent="0.45">
      <c r="B17" s="211" t="s">
        <v>376</v>
      </c>
      <c r="D17" s="329" t="s">
        <v>377</v>
      </c>
      <c r="E17" s="426" t="s">
        <v>378</v>
      </c>
      <c r="F17" s="426"/>
      <c r="G17" s="427"/>
      <c r="AD17" s="1" t="s">
        <v>423</v>
      </c>
      <c r="AE17" s="25"/>
      <c r="AF17" s="25"/>
      <c r="AG17" s="25"/>
      <c r="AH17" s="25"/>
      <c r="AI17" s="406" t="s">
        <v>443</v>
      </c>
      <c r="AJ17" s="407"/>
      <c r="AK17" s="407"/>
      <c r="AL17" s="408"/>
      <c r="AM17" s="216" t="s">
        <v>396</v>
      </c>
      <c r="AN17" s="415"/>
      <c r="AO17" s="416"/>
      <c r="AQ17" s="218"/>
      <c r="AR17" s="219" t="s">
        <v>444</v>
      </c>
      <c r="AS17" s="219" t="s">
        <v>399</v>
      </c>
      <c r="AT17" s="25"/>
      <c r="AU17" s="25"/>
      <c r="AW17" s="137" t="s">
        <v>424</v>
      </c>
      <c r="AX17" s="25"/>
      <c r="AY17" s="25"/>
      <c r="AZ17" s="25"/>
      <c r="BA17" s="25"/>
      <c r="BB17" s="25"/>
      <c r="BC17" s="25"/>
      <c r="BE17" s="25"/>
      <c r="BF17" s="25"/>
      <c r="BG17" s="216" t="s">
        <v>407</v>
      </c>
      <c r="BH17" s="216" t="s">
        <v>445</v>
      </c>
      <c r="BI17" s="216" t="s">
        <v>446</v>
      </c>
      <c r="BJ17" s="216" t="s">
        <v>447</v>
      </c>
      <c r="BK17" s="215"/>
      <c r="BM17" s="222"/>
      <c r="BN17" s="219" t="s">
        <v>448</v>
      </c>
      <c r="BO17" s="26"/>
    </row>
    <row r="18" spans="2:67" ht="18" thickBot="1" x14ac:dyDescent="0.45">
      <c r="B18" s="147" t="s">
        <v>449</v>
      </c>
      <c r="D18" s="330">
        <v>1</v>
      </c>
      <c r="E18" s="330">
        <v>0</v>
      </c>
      <c r="F18" s="330">
        <v>1</v>
      </c>
      <c r="G18" s="330">
        <v>0</v>
      </c>
    </row>
    <row r="19" spans="2:67" x14ac:dyDescent="0.4">
      <c r="B19" s="147"/>
      <c r="D19" s="331" t="s">
        <v>384</v>
      </c>
      <c r="E19" s="332" t="s">
        <v>385</v>
      </c>
      <c r="F19" s="332" t="s">
        <v>386</v>
      </c>
      <c r="G19" s="333" t="s">
        <v>450</v>
      </c>
      <c r="H19" s="326" t="s">
        <v>113</v>
      </c>
      <c r="I19" s="326" t="s">
        <v>114</v>
      </c>
      <c r="J19" s="326" t="s">
        <v>451</v>
      </c>
      <c r="K19" s="327" t="s">
        <v>452</v>
      </c>
      <c r="AD19" s="1" t="s">
        <v>433</v>
      </c>
      <c r="AE19" s="25"/>
      <c r="AF19" s="25"/>
      <c r="AG19" s="25"/>
      <c r="AH19" s="25"/>
      <c r="AI19" s="25"/>
      <c r="AJ19" s="25"/>
      <c r="AK19" s="25"/>
      <c r="AL19" s="25"/>
      <c r="AM19" s="25"/>
      <c r="AN19" s="415"/>
      <c r="AO19" s="416"/>
      <c r="AQ19" s="218"/>
      <c r="AR19" s="219" t="s">
        <v>444</v>
      </c>
      <c r="AS19" s="219" t="s">
        <v>399</v>
      </c>
      <c r="AT19" s="25"/>
      <c r="AU19" s="25"/>
      <c r="AW19" s="137" t="s">
        <v>434</v>
      </c>
      <c r="AX19" s="25"/>
      <c r="AY19" s="25"/>
      <c r="AZ19" s="25"/>
      <c r="BA19" s="25"/>
      <c r="BB19" s="25"/>
      <c r="BC19" s="25"/>
      <c r="BE19" s="25"/>
      <c r="BF19" s="25"/>
      <c r="BG19" s="25"/>
      <c r="BH19" s="25"/>
      <c r="BI19" s="25"/>
      <c r="BJ19" s="25"/>
      <c r="BK19" s="25"/>
      <c r="BM19" s="222"/>
      <c r="BN19" s="219" t="s">
        <v>448</v>
      </c>
      <c r="BO19" s="25"/>
    </row>
    <row r="20" spans="2:67" ht="18" thickBot="1" x14ac:dyDescent="0.45">
      <c r="B20" s="211" t="s">
        <v>420</v>
      </c>
      <c r="D20" s="329" t="s">
        <v>377</v>
      </c>
      <c r="E20" s="420" t="s">
        <v>378</v>
      </c>
      <c r="F20" s="421"/>
      <c r="G20" s="422"/>
      <c r="H20" s="335" t="s">
        <v>453</v>
      </c>
      <c r="I20" s="335" t="s">
        <v>454</v>
      </c>
      <c r="J20" s="335" t="s">
        <v>455</v>
      </c>
      <c r="K20" s="336" t="s">
        <v>456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Q20" s="1"/>
      <c r="AR20" s="1"/>
      <c r="AS20" s="1"/>
      <c r="AT20" s="1"/>
      <c r="AU20" s="1"/>
      <c r="AX20" s="1"/>
      <c r="AY20" s="1"/>
      <c r="AZ20" s="1"/>
      <c r="BA20" s="1"/>
      <c r="BB20" s="1"/>
      <c r="BC20" s="1"/>
      <c r="BE20" s="1"/>
      <c r="BF20" s="1"/>
      <c r="BG20" s="1"/>
      <c r="BH20" s="1"/>
      <c r="BI20" s="1"/>
      <c r="BJ20" s="1"/>
      <c r="BK20" s="1"/>
      <c r="BM20" s="1"/>
      <c r="BN20" s="1"/>
      <c r="BO20" s="1"/>
    </row>
    <row r="21" spans="2:67" ht="18" thickBot="1" x14ac:dyDescent="0.45">
      <c r="B21" s="147" t="s">
        <v>457</v>
      </c>
      <c r="D21" s="330">
        <v>1</v>
      </c>
      <c r="E21" s="330">
        <v>0</v>
      </c>
      <c r="F21" s="330">
        <v>1</v>
      </c>
      <c r="G21" s="330">
        <v>0</v>
      </c>
      <c r="AD21" s="1" t="s">
        <v>435</v>
      </c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Q21" s="218"/>
      <c r="AR21" s="219" t="s">
        <v>444</v>
      </c>
      <c r="AS21" s="219" t="s">
        <v>399</v>
      </c>
      <c r="AT21" s="25"/>
      <c r="AU21" s="25"/>
      <c r="AW21" s="137" t="s">
        <v>436</v>
      </c>
      <c r="AX21" s="25"/>
      <c r="AY21" s="25"/>
      <c r="AZ21" s="25"/>
      <c r="BA21" s="25"/>
      <c r="BB21" s="25"/>
      <c r="BC21" s="25"/>
      <c r="BE21" s="25"/>
      <c r="BF21" s="25"/>
      <c r="BG21" s="25"/>
      <c r="BH21" s="25"/>
      <c r="BI21" s="25"/>
      <c r="BJ21" s="25"/>
      <c r="BK21" s="25"/>
      <c r="BM21" s="222"/>
      <c r="BN21" s="219" t="s">
        <v>448</v>
      </c>
      <c r="BO21" s="25"/>
    </row>
    <row r="22" spans="2:67" x14ac:dyDescent="0.4">
      <c r="B22" s="147"/>
      <c r="D22" s="331" t="s">
        <v>450</v>
      </c>
      <c r="E22" s="332" t="s">
        <v>458</v>
      </c>
      <c r="F22" s="332" t="s">
        <v>459</v>
      </c>
      <c r="G22" s="333" t="s">
        <v>451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Q22" s="1"/>
      <c r="AR22" s="1"/>
      <c r="AS22" s="1"/>
      <c r="AT22" s="1"/>
      <c r="AU22" s="1"/>
      <c r="AX22" s="1"/>
      <c r="AY22" s="1"/>
      <c r="AZ22" s="1"/>
      <c r="BA22" s="1"/>
      <c r="BB22" s="1"/>
      <c r="BC22" s="1"/>
      <c r="BE22" s="1"/>
      <c r="BF22" s="1"/>
      <c r="BG22" s="1"/>
      <c r="BH22" s="1"/>
      <c r="BI22" s="1"/>
      <c r="BJ22" s="1"/>
      <c r="BK22" s="1"/>
      <c r="BM22" s="1"/>
      <c r="BN22" s="1"/>
      <c r="BO22" s="1"/>
    </row>
    <row r="23" spans="2:67" ht="18" thickBot="1" x14ac:dyDescent="0.45">
      <c r="B23" s="211" t="s">
        <v>376</v>
      </c>
      <c r="D23" s="329" t="s">
        <v>377</v>
      </c>
      <c r="E23" s="420" t="s">
        <v>378</v>
      </c>
      <c r="F23" s="421"/>
      <c r="G23" s="422"/>
      <c r="AD23" s="1" t="s">
        <v>437</v>
      </c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Q23" s="238"/>
      <c r="AR23" s="238"/>
      <c r="AS23" s="238"/>
      <c r="AT23" s="238"/>
      <c r="AU23" s="238"/>
      <c r="AW23" s="137" t="s">
        <v>438</v>
      </c>
      <c r="AX23" s="238"/>
      <c r="AY23" s="238"/>
      <c r="AZ23" s="238"/>
      <c r="BA23" s="238"/>
      <c r="BB23" s="238"/>
      <c r="BC23" s="238"/>
      <c r="BE23" s="238"/>
      <c r="BF23" s="238"/>
      <c r="BG23" s="238"/>
      <c r="BH23" s="238"/>
      <c r="BI23" s="238"/>
      <c r="BJ23" s="238"/>
      <c r="BK23" s="238"/>
      <c r="BM23" s="238"/>
      <c r="BN23" s="238"/>
      <c r="BO23" s="238"/>
    </row>
    <row r="24" spans="2:67" ht="18" thickBot="1" x14ac:dyDescent="0.45">
      <c r="B24" s="147" t="s">
        <v>460</v>
      </c>
      <c r="D24" s="330">
        <v>1</v>
      </c>
      <c r="E24" s="330">
        <v>0</v>
      </c>
      <c r="F24" s="330">
        <v>0</v>
      </c>
      <c r="G24" s="330">
        <v>1</v>
      </c>
    </row>
    <row r="25" spans="2:67" x14ac:dyDescent="0.4">
      <c r="B25" s="147"/>
      <c r="D25" s="331" t="s">
        <v>450</v>
      </c>
      <c r="E25" s="332" t="s">
        <v>458</v>
      </c>
      <c r="F25" s="332" t="s">
        <v>459</v>
      </c>
      <c r="G25" s="333" t="s">
        <v>451</v>
      </c>
    </row>
    <row r="26" spans="2:67" ht="18" thickBot="1" x14ac:dyDescent="0.45">
      <c r="B26" s="211" t="s">
        <v>376</v>
      </c>
      <c r="D26" s="329" t="s">
        <v>377</v>
      </c>
      <c r="E26" s="420" t="s">
        <v>378</v>
      </c>
      <c r="F26" s="421"/>
      <c r="G26" s="422"/>
    </row>
    <row r="27" spans="2:67" x14ac:dyDescent="0.4">
      <c r="B27" s="147" t="s">
        <v>461</v>
      </c>
      <c r="D27" s="330">
        <v>1</v>
      </c>
      <c r="E27" s="330">
        <v>0</v>
      </c>
      <c r="F27" s="330">
        <v>0</v>
      </c>
      <c r="G27" s="330">
        <v>0</v>
      </c>
    </row>
    <row r="29" spans="2:67" x14ac:dyDescent="0.4">
      <c r="AD29" s="1" t="s">
        <v>437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</row>
    <row r="31" spans="2:67" x14ac:dyDescent="0.4">
      <c r="AD31" s="1" t="s">
        <v>435</v>
      </c>
      <c r="AE31" s="25"/>
      <c r="AF31" s="239" t="s">
        <v>462</v>
      </c>
      <c r="AG31" s="240" t="s">
        <v>463</v>
      </c>
      <c r="AH31" s="240" t="s">
        <v>400</v>
      </c>
      <c r="AI31" s="241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</row>
    <row r="33" spans="28:47" x14ac:dyDescent="0.4">
      <c r="AD33" s="1" t="s">
        <v>464</v>
      </c>
      <c r="AE33" s="25"/>
      <c r="AF33" s="239" t="s">
        <v>462</v>
      </c>
      <c r="AG33" s="240" t="s">
        <v>463</v>
      </c>
      <c r="AH33" s="240" t="s">
        <v>400</v>
      </c>
      <c r="AI33" s="242"/>
      <c r="AK33" s="243"/>
      <c r="AL33" s="25"/>
      <c r="AM33" s="25"/>
      <c r="AN33" s="25"/>
      <c r="AO33" s="25"/>
      <c r="AP33" s="25"/>
      <c r="AQ33" s="25"/>
      <c r="AR33" s="25"/>
      <c r="AS33" s="25"/>
      <c r="AT33" s="25"/>
      <c r="AU33" s="25"/>
    </row>
    <row r="34" spans="28:47" x14ac:dyDescent="0.4">
      <c r="AB34" s="324" t="s">
        <v>1162</v>
      </c>
      <c r="AE34" s="1"/>
      <c r="AF34" s="1"/>
      <c r="AG34" s="1"/>
      <c r="AH34" s="1"/>
      <c r="AI34" s="1"/>
      <c r="AK34" s="1"/>
      <c r="AL34" s="201"/>
      <c r="AM34" s="201"/>
      <c r="AN34" s="201"/>
      <c r="AO34" s="1"/>
      <c r="AP34" s="1"/>
      <c r="AQ34" s="1"/>
      <c r="AR34" s="1"/>
      <c r="AS34" s="1"/>
      <c r="AT34" s="1"/>
      <c r="AU34" s="1"/>
    </row>
    <row r="35" spans="28:47" x14ac:dyDescent="0.4">
      <c r="AD35" s="1" t="s">
        <v>465</v>
      </c>
      <c r="AE35" s="25"/>
      <c r="AF35" s="239" t="s">
        <v>462</v>
      </c>
      <c r="AG35" s="240" t="s">
        <v>463</v>
      </c>
      <c r="AH35" s="240" t="s">
        <v>400</v>
      </c>
      <c r="AI35" s="242"/>
      <c r="AK35" s="243"/>
      <c r="AL35" s="244" t="s">
        <v>466</v>
      </c>
      <c r="AM35" s="245" t="s">
        <v>467</v>
      </c>
      <c r="AN35" s="246" t="s">
        <v>397</v>
      </c>
      <c r="AO35" s="25"/>
      <c r="AP35" s="25"/>
      <c r="AQ35" s="25"/>
      <c r="AR35" s="25"/>
      <c r="AS35" s="25"/>
      <c r="AT35" s="25"/>
      <c r="AU35" s="25"/>
    </row>
    <row r="36" spans="28:47" x14ac:dyDescent="0.4">
      <c r="AE36" s="1"/>
      <c r="AF36" s="1"/>
      <c r="AG36" s="1"/>
      <c r="AH36" s="1"/>
      <c r="AI36" s="1"/>
      <c r="AK36" s="1"/>
      <c r="AL36" s="201"/>
      <c r="AM36" s="201"/>
      <c r="AN36" s="201"/>
      <c r="AO36" s="1"/>
      <c r="AP36" s="1"/>
      <c r="AQ36" s="1"/>
      <c r="AR36" s="1"/>
      <c r="AS36" s="1"/>
      <c r="AT36" s="1"/>
      <c r="AU36" s="1"/>
    </row>
    <row r="37" spans="28:47" x14ac:dyDescent="0.4">
      <c r="AD37" s="1" t="s">
        <v>391</v>
      </c>
      <c r="AE37" s="238"/>
      <c r="AF37" s="239" t="s">
        <v>462</v>
      </c>
      <c r="AG37" s="240" t="s">
        <v>463</v>
      </c>
      <c r="AH37" s="240" t="s">
        <v>400</v>
      </c>
      <c r="AI37" s="242"/>
      <c r="AK37" s="243"/>
      <c r="AL37" s="244" t="s">
        <v>466</v>
      </c>
      <c r="AM37" s="245" t="s">
        <v>467</v>
      </c>
      <c r="AN37" s="246" t="s">
        <v>397</v>
      </c>
      <c r="AO37" s="423" t="s">
        <v>468</v>
      </c>
      <c r="AP37" s="424"/>
      <c r="AQ37" s="424"/>
      <c r="AR37" s="425"/>
      <c r="AS37" s="247" t="s">
        <v>469</v>
      </c>
      <c r="AT37" s="247" t="s">
        <v>394</v>
      </c>
      <c r="AU37" s="238"/>
    </row>
  </sheetData>
  <mergeCells count="23">
    <mergeCell ref="C2:AC2"/>
    <mergeCell ref="E5:G5"/>
    <mergeCell ref="H5:M5"/>
    <mergeCell ref="N5:Y5"/>
    <mergeCell ref="E8:G8"/>
    <mergeCell ref="H8:M8"/>
    <mergeCell ref="AI10:AL10"/>
    <mergeCell ref="E11:G11"/>
    <mergeCell ref="H11:L11"/>
    <mergeCell ref="M11:X11"/>
    <mergeCell ref="AI12:AL12"/>
    <mergeCell ref="H14:W14"/>
    <mergeCell ref="E20:G20"/>
    <mergeCell ref="E23:G23"/>
    <mergeCell ref="E26:G26"/>
    <mergeCell ref="AO37:AR37"/>
    <mergeCell ref="AI15:AL15"/>
    <mergeCell ref="AN15:AO15"/>
    <mergeCell ref="E17:G17"/>
    <mergeCell ref="AI17:AL17"/>
    <mergeCell ref="AN17:AO17"/>
    <mergeCell ref="AN19:AO19"/>
    <mergeCell ref="AF15:AG1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  <pageSetUpPr fitToPage="1"/>
  </sheetPr>
  <dimension ref="A2:W217"/>
  <sheetViews>
    <sheetView showGridLines="0" topLeftCell="C1" zoomScale="90" zoomScaleNormal="90" workbookViewId="0">
      <pane ySplit="2" topLeftCell="A12" activePane="bottomLeft" state="frozen"/>
      <selection pane="bottomLeft" activeCell="C6" sqref="C6"/>
    </sheetView>
  </sheetViews>
  <sheetFormatPr defaultColWidth="8.59765625" defaultRowHeight="17.399999999999999" x14ac:dyDescent="0.4"/>
  <cols>
    <col min="1" max="1" width="8.59765625" style="131"/>
    <col min="2" max="2" width="4.59765625" style="131" bestFit="1" customWidth="1"/>
    <col min="3" max="3" width="32.796875" style="193" bestFit="1" customWidth="1"/>
    <col min="4" max="4" width="4.19921875" style="193" bestFit="1" customWidth="1"/>
    <col min="5" max="5" width="8" style="193" bestFit="1" customWidth="1"/>
    <col min="6" max="6" width="7.5" style="193" bestFit="1" customWidth="1"/>
    <col min="7" max="7" width="1.59765625" style="193" customWidth="1"/>
    <col min="8" max="8" width="12.09765625" style="193" bestFit="1" customWidth="1"/>
    <col min="9" max="9" width="15.69921875" style="193" bestFit="1" customWidth="1"/>
    <col min="10" max="10" width="16.796875" style="193" customWidth="1"/>
    <col min="11" max="11" width="14.296875" style="193" bestFit="1" customWidth="1"/>
    <col min="12" max="12" width="14.59765625" style="193" bestFit="1" customWidth="1"/>
    <col min="13" max="13" width="19.59765625" style="193" bestFit="1" customWidth="1"/>
    <col min="14" max="14" width="12.296875" style="193" bestFit="1" customWidth="1"/>
    <col min="15" max="15" width="23" style="193" bestFit="1" customWidth="1"/>
    <col min="16" max="16" width="18.19921875" style="193" bestFit="1" customWidth="1"/>
    <col min="17" max="17" width="23.19921875" style="193" bestFit="1" customWidth="1"/>
    <col min="18" max="18" width="17.796875" style="193" bestFit="1" customWidth="1"/>
    <col min="19" max="19" width="18.296875" style="193" bestFit="1" customWidth="1"/>
    <col min="20" max="20" width="19.09765625" style="193" bestFit="1" customWidth="1"/>
    <col min="21" max="21" width="19.59765625" style="193" bestFit="1" customWidth="1"/>
    <col min="22" max="22" width="15.69921875" style="193" bestFit="1" customWidth="1"/>
    <col min="23" max="23" width="24.09765625" style="193" bestFit="1" customWidth="1"/>
    <col min="24" max="16384" width="8.59765625" style="131"/>
  </cols>
  <sheetData>
    <row r="2" spans="2:23" x14ac:dyDescent="0.4">
      <c r="B2" s="194"/>
      <c r="C2" s="195"/>
      <c r="D2" s="195" t="s">
        <v>551</v>
      </c>
      <c r="E2" s="195" t="s">
        <v>103</v>
      </c>
      <c r="F2" s="195" t="s">
        <v>104</v>
      </c>
      <c r="G2" s="195"/>
      <c r="H2" s="195" t="s">
        <v>370</v>
      </c>
      <c r="I2" s="195" t="s">
        <v>371</v>
      </c>
      <c r="J2" s="195" t="s">
        <v>431</v>
      </c>
      <c r="K2" s="195" t="s">
        <v>432</v>
      </c>
      <c r="L2" s="195" t="s">
        <v>374</v>
      </c>
      <c r="M2" s="195" t="s">
        <v>375</v>
      </c>
      <c r="N2" s="195" t="s">
        <v>107</v>
      </c>
      <c r="O2" s="195" t="s">
        <v>108</v>
      </c>
      <c r="P2" s="195" t="s">
        <v>109</v>
      </c>
      <c r="Q2" s="195" t="s">
        <v>110</v>
      </c>
      <c r="R2" s="195" t="s">
        <v>111</v>
      </c>
      <c r="S2" s="195" t="s">
        <v>112</v>
      </c>
      <c r="T2" s="195" t="s">
        <v>113</v>
      </c>
      <c r="U2" s="195" t="s">
        <v>114</v>
      </c>
      <c r="V2" s="195" t="s">
        <v>115</v>
      </c>
      <c r="W2" s="195" t="s">
        <v>116</v>
      </c>
    </row>
    <row r="3" spans="2:23" x14ac:dyDescent="0.4">
      <c r="B3" s="194">
        <v>1</v>
      </c>
      <c r="C3" s="193" t="s">
        <v>552</v>
      </c>
      <c r="D3" s="193" t="s">
        <v>120</v>
      </c>
      <c r="E3" s="193" t="s">
        <v>121</v>
      </c>
      <c r="F3" s="193" t="s">
        <v>553</v>
      </c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6" t="s">
        <v>554</v>
      </c>
      <c r="S3" s="196" t="s">
        <v>555</v>
      </c>
      <c r="T3" s="197"/>
      <c r="U3" s="196" t="s">
        <v>556</v>
      </c>
      <c r="V3" s="196" t="s">
        <v>557</v>
      </c>
      <c r="W3" s="196" t="s">
        <v>558</v>
      </c>
    </row>
    <row r="4" spans="2:23" x14ac:dyDescent="0.4">
      <c r="B4" s="194">
        <f>B3+1</f>
        <v>2</v>
      </c>
      <c r="C4" s="193" t="s">
        <v>559</v>
      </c>
      <c r="D4" s="193" t="s">
        <v>120</v>
      </c>
      <c r="E4" s="193" t="s">
        <v>212</v>
      </c>
      <c r="F4" s="193" t="s">
        <v>553</v>
      </c>
      <c r="H4" s="196" t="s">
        <v>560</v>
      </c>
      <c r="I4" s="197"/>
      <c r="J4" s="197"/>
      <c r="K4" s="197"/>
      <c r="L4" s="197"/>
      <c r="M4" s="197"/>
      <c r="N4" s="290"/>
      <c r="O4" s="197"/>
      <c r="P4" s="197"/>
      <c r="Q4" s="197"/>
      <c r="R4" s="442" t="s">
        <v>379</v>
      </c>
      <c r="S4" s="442"/>
      <c r="T4" s="442"/>
      <c r="U4" s="442"/>
      <c r="V4" s="442"/>
      <c r="W4" s="442"/>
    </row>
    <row r="5" spans="2:23" x14ac:dyDescent="0.4">
      <c r="B5" s="194">
        <f t="shared" ref="B5:B66" si="0">B4+1</f>
        <v>3</v>
      </c>
      <c r="C5" s="193" t="s">
        <v>561</v>
      </c>
      <c r="D5" s="193" t="s">
        <v>120</v>
      </c>
      <c r="E5" s="193" t="s">
        <v>215</v>
      </c>
      <c r="F5" s="193" t="s">
        <v>553</v>
      </c>
      <c r="H5" s="196" t="s">
        <v>560</v>
      </c>
      <c r="I5" s="197"/>
      <c r="J5" s="197"/>
      <c r="K5" s="197"/>
      <c r="L5" s="197"/>
      <c r="M5" s="197"/>
      <c r="N5" s="443" t="s">
        <v>562</v>
      </c>
      <c r="O5" s="444"/>
      <c r="P5" s="197"/>
      <c r="Q5" s="197"/>
      <c r="R5" s="442" t="s">
        <v>379</v>
      </c>
      <c r="S5" s="442"/>
      <c r="T5" s="442"/>
      <c r="U5" s="442"/>
      <c r="V5" s="442"/>
      <c r="W5" s="442"/>
    </row>
    <row r="6" spans="2:23" x14ac:dyDescent="0.4">
      <c r="B6" s="194">
        <f t="shared" si="0"/>
        <v>4</v>
      </c>
      <c r="C6" s="193" t="s">
        <v>563</v>
      </c>
      <c r="D6" s="193" t="s">
        <v>120</v>
      </c>
      <c r="E6" s="193" t="s">
        <v>126</v>
      </c>
      <c r="F6" s="193" t="s">
        <v>553</v>
      </c>
      <c r="H6" s="196" t="s">
        <v>560</v>
      </c>
      <c r="I6" s="197"/>
      <c r="J6" s="197"/>
      <c r="K6" s="197"/>
      <c r="L6" s="197"/>
      <c r="M6" s="197"/>
      <c r="N6" s="443" t="s">
        <v>562</v>
      </c>
      <c r="O6" s="444"/>
      <c r="P6" s="197"/>
      <c r="Q6" s="197"/>
      <c r="R6" s="442" t="s">
        <v>379</v>
      </c>
      <c r="S6" s="442"/>
      <c r="T6" s="442"/>
      <c r="U6" s="442"/>
      <c r="V6" s="442"/>
      <c r="W6" s="442"/>
    </row>
    <row r="7" spans="2:23" x14ac:dyDescent="0.4">
      <c r="B7" s="194">
        <f t="shared" si="0"/>
        <v>5</v>
      </c>
      <c r="C7" s="193" t="s">
        <v>564</v>
      </c>
      <c r="D7" s="193" t="s">
        <v>120</v>
      </c>
      <c r="E7" s="193" t="s">
        <v>565</v>
      </c>
      <c r="F7" s="193" t="s">
        <v>566</v>
      </c>
      <c r="H7" s="196" t="s">
        <v>560</v>
      </c>
      <c r="I7" s="197"/>
      <c r="J7" s="197"/>
      <c r="K7" s="197"/>
      <c r="L7" s="197"/>
      <c r="M7" s="197"/>
      <c r="N7" s="290"/>
      <c r="O7" s="197"/>
      <c r="P7" s="197"/>
      <c r="Q7" s="197"/>
      <c r="R7" s="197"/>
      <c r="S7" s="197"/>
      <c r="T7" s="197"/>
      <c r="U7" s="197"/>
      <c r="V7" s="197"/>
      <c r="W7" s="197"/>
    </row>
    <row r="8" spans="2:23" x14ac:dyDescent="0.4">
      <c r="B8" s="194">
        <f t="shared" si="0"/>
        <v>6</v>
      </c>
      <c r="C8" s="193" t="s">
        <v>567</v>
      </c>
      <c r="D8" s="193" t="s">
        <v>120</v>
      </c>
      <c r="E8" s="193" t="s">
        <v>219</v>
      </c>
      <c r="F8" s="193" t="s">
        <v>553</v>
      </c>
      <c r="H8" s="196" t="s">
        <v>560</v>
      </c>
      <c r="I8" s="197"/>
      <c r="J8" s="197"/>
      <c r="K8" s="197"/>
      <c r="L8" s="197"/>
      <c r="M8" s="197"/>
      <c r="N8" s="290"/>
      <c r="O8" s="197"/>
      <c r="P8" s="197"/>
      <c r="Q8" s="197"/>
      <c r="R8" s="197"/>
      <c r="S8" s="197"/>
      <c r="T8" s="197"/>
      <c r="U8" s="197"/>
      <c r="V8" s="197"/>
      <c r="W8" s="197"/>
    </row>
    <row r="9" spans="2:23" x14ac:dyDescent="0.4">
      <c r="B9" s="194">
        <f t="shared" si="0"/>
        <v>7</v>
      </c>
      <c r="C9" s="193" t="s">
        <v>568</v>
      </c>
      <c r="D9" s="193" t="s">
        <v>120</v>
      </c>
      <c r="E9" s="193" t="s">
        <v>129</v>
      </c>
      <c r="F9" s="193" t="s">
        <v>566</v>
      </c>
      <c r="H9" s="196" t="s">
        <v>560</v>
      </c>
      <c r="I9" s="197"/>
      <c r="J9" s="197"/>
      <c r="K9" s="197"/>
      <c r="L9" s="197"/>
      <c r="M9" s="197"/>
      <c r="N9" s="290"/>
      <c r="O9" s="197"/>
      <c r="P9" s="197"/>
      <c r="Q9" s="197"/>
      <c r="R9" s="197"/>
      <c r="S9" s="197"/>
      <c r="T9" s="197"/>
      <c r="U9" s="197"/>
      <c r="V9" s="197"/>
      <c r="W9" s="197"/>
    </row>
    <row r="10" spans="2:23" x14ac:dyDescent="0.4">
      <c r="B10" s="194">
        <f t="shared" si="0"/>
        <v>8</v>
      </c>
      <c r="C10" s="193" t="s">
        <v>569</v>
      </c>
      <c r="D10" s="193" t="s">
        <v>120</v>
      </c>
      <c r="E10" s="193" t="s">
        <v>222</v>
      </c>
      <c r="F10" s="193" t="s">
        <v>553</v>
      </c>
      <c r="H10" s="196" t="s">
        <v>560</v>
      </c>
      <c r="I10" s="197"/>
      <c r="J10" s="197"/>
      <c r="K10" s="197"/>
      <c r="L10" s="197"/>
      <c r="M10" s="197"/>
      <c r="N10" s="290"/>
      <c r="O10" s="197"/>
      <c r="P10" s="197"/>
      <c r="Q10" s="197"/>
      <c r="R10" s="197"/>
      <c r="S10" s="197"/>
      <c r="T10" s="197"/>
      <c r="U10" s="197"/>
      <c r="V10" s="197"/>
      <c r="W10" s="197"/>
    </row>
    <row r="11" spans="2:23" x14ac:dyDescent="0.4">
      <c r="B11" s="194">
        <f t="shared" si="0"/>
        <v>9</v>
      </c>
      <c r="C11" s="193" t="s">
        <v>570</v>
      </c>
      <c r="D11" s="193" t="s">
        <v>120</v>
      </c>
      <c r="E11" s="193" t="s">
        <v>132</v>
      </c>
      <c r="F11" s="193" t="s">
        <v>571</v>
      </c>
      <c r="H11" s="197"/>
      <c r="I11" s="197"/>
      <c r="J11" s="197"/>
      <c r="K11" s="197"/>
      <c r="L11" s="197"/>
      <c r="M11" s="197"/>
      <c r="N11" s="290"/>
      <c r="O11" s="196" t="s">
        <v>572</v>
      </c>
      <c r="P11" s="197"/>
      <c r="Q11" s="197"/>
      <c r="R11" s="197"/>
      <c r="S11" s="196" t="s">
        <v>573</v>
      </c>
      <c r="T11" s="197"/>
      <c r="U11" s="197"/>
      <c r="V11" s="197"/>
      <c r="W11" s="196" t="s">
        <v>574</v>
      </c>
    </row>
    <row r="12" spans="2:23" x14ac:dyDescent="0.4">
      <c r="B12" s="194">
        <f t="shared" si="0"/>
        <v>10</v>
      </c>
      <c r="C12" s="193" t="s">
        <v>575</v>
      </c>
      <c r="D12" s="193" t="s">
        <v>149</v>
      </c>
      <c r="E12" s="193" t="s">
        <v>226</v>
      </c>
      <c r="F12" s="193" t="s">
        <v>566</v>
      </c>
      <c r="H12" s="197"/>
      <c r="I12" s="197"/>
      <c r="J12" s="197"/>
      <c r="K12" s="197"/>
      <c r="L12" s="197"/>
      <c r="M12" s="197"/>
      <c r="N12" s="197"/>
      <c r="O12" s="443" t="s">
        <v>576</v>
      </c>
      <c r="P12" s="445"/>
      <c r="Q12" s="445"/>
      <c r="R12" s="445"/>
      <c r="S12" s="445"/>
      <c r="T12" s="445"/>
      <c r="U12" s="445"/>
      <c r="V12" s="445"/>
      <c r="W12" s="444"/>
    </row>
    <row r="13" spans="2:23" x14ac:dyDescent="0.4">
      <c r="B13" s="194">
        <f t="shared" si="0"/>
        <v>11</v>
      </c>
      <c r="C13" s="193" t="s">
        <v>577</v>
      </c>
      <c r="D13" s="193" t="s">
        <v>149</v>
      </c>
      <c r="E13" s="193" t="s">
        <v>150</v>
      </c>
      <c r="F13" s="193" t="s">
        <v>566</v>
      </c>
      <c r="I13" s="197"/>
      <c r="J13" s="197"/>
      <c r="K13" s="197"/>
      <c r="L13" s="197"/>
      <c r="M13" s="197"/>
      <c r="N13" s="197"/>
      <c r="O13" s="443" t="s">
        <v>578</v>
      </c>
      <c r="P13" s="445"/>
      <c r="Q13" s="445"/>
      <c r="R13" s="445"/>
      <c r="S13" s="445"/>
      <c r="T13" s="445"/>
      <c r="U13" s="445"/>
      <c r="V13" s="445"/>
      <c r="W13" s="444"/>
    </row>
    <row r="14" spans="2:23" x14ac:dyDescent="0.4">
      <c r="B14" s="194">
        <f t="shared" si="0"/>
        <v>12</v>
      </c>
      <c r="C14" s="193" t="s">
        <v>579</v>
      </c>
      <c r="D14" s="193" t="s">
        <v>149</v>
      </c>
      <c r="E14" s="193" t="s">
        <v>155</v>
      </c>
      <c r="F14" s="193" t="s">
        <v>566</v>
      </c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443" t="s">
        <v>580</v>
      </c>
      <c r="S14" s="445"/>
      <c r="T14" s="445"/>
      <c r="U14" s="445"/>
      <c r="V14" s="445"/>
      <c r="W14" s="444"/>
    </row>
    <row r="15" spans="2:23" x14ac:dyDescent="0.4">
      <c r="B15" s="194">
        <f t="shared" si="0"/>
        <v>13</v>
      </c>
      <c r="C15" s="193" t="s">
        <v>581</v>
      </c>
      <c r="D15" s="193" t="s">
        <v>120</v>
      </c>
      <c r="E15" s="193" t="s">
        <v>159</v>
      </c>
      <c r="F15" s="193" t="s">
        <v>566</v>
      </c>
      <c r="H15" s="197"/>
      <c r="I15" s="197"/>
      <c r="J15" s="443" t="s">
        <v>582</v>
      </c>
      <c r="K15" s="445"/>
      <c r="L15" s="445"/>
      <c r="M15" s="445"/>
      <c r="N15" s="445"/>
      <c r="O15" s="444"/>
      <c r="P15" s="196" t="s">
        <v>583</v>
      </c>
      <c r="Q15" s="197"/>
      <c r="R15" s="445" t="s">
        <v>584</v>
      </c>
      <c r="S15" s="445"/>
      <c r="T15" s="445"/>
      <c r="U15" s="445"/>
      <c r="V15" s="445"/>
      <c r="W15" s="444"/>
    </row>
    <row r="16" spans="2:23" x14ac:dyDescent="0.4">
      <c r="B16" s="194">
        <f t="shared" si="0"/>
        <v>14</v>
      </c>
      <c r="C16" s="193" t="s">
        <v>585</v>
      </c>
      <c r="D16" s="193" t="s">
        <v>149</v>
      </c>
      <c r="E16" s="193" t="s">
        <v>162</v>
      </c>
      <c r="F16" s="193" t="s">
        <v>566</v>
      </c>
      <c r="H16" s="197"/>
      <c r="I16" s="197"/>
      <c r="J16" s="443" t="s">
        <v>586</v>
      </c>
      <c r="K16" s="445"/>
      <c r="L16" s="445"/>
      <c r="M16" s="445"/>
      <c r="N16" s="445"/>
      <c r="O16" s="444"/>
      <c r="P16" s="197"/>
      <c r="Q16" s="197"/>
      <c r="R16" s="443" t="s">
        <v>587</v>
      </c>
      <c r="S16" s="445"/>
      <c r="T16" s="445"/>
      <c r="U16" s="445"/>
      <c r="V16" s="445"/>
      <c r="W16" s="444"/>
    </row>
    <row r="17" spans="1:23" x14ac:dyDescent="0.4">
      <c r="B17" s="194">
        <f t="shared" si="0"/>
        <v>15</v>
      </c>
      <c r="C17" s="193" t="s">
        <v>588</v>
      </c>
      <c r="D17" s="193" t="s">
        <v>149</v>
      </c>
      <c r="E17" s="193" t="s">
        <v>164</v>
      </c>
      <c r="F17" s="193" t="s">
        <v>566</v>
      </c>
      <c r="H17" s="197"/>
      <c r="I17" s="197"/>
      <c r="J17" s="443" t="s">
        <v>589</v>
      </c>
      <c r="K17" s="445"/>
      <c r="L17" s="445"/>
      <c r="M17" s="445"/>
      <c r="N17" s="445"/>
      <c r="O17" s="444"/>
      <c r="P17" s="197"/>
      <c r="Q17" s="197"/>
      <c r="R17" s="443" t="s">
        <v>590</v>
      </c>
      <c r="S17" s="445"/>
      <c r="T17" s="445"/>
      <c r="U17" s="445"/>
      <c r="V17" s="445"/>
      <c r="W17" s="444"/>
    </row>
    <row r="18" spans="1:23" x14ac:dyDescent="0.4">
      <c r="B18" s="194">
        <f t="shared" si="0"/>
        <v>16</v>
      </c>
      <c r="C18" s="193" t="s">
        <v>591</v>
      </c>
      <c r="D18" s="193" t="s">
        <v>149</v>
      </c>
      <c r="E18" s="193" t="s">
        <v>166</v>
      </c>
      <c r="F18" s="193" t="s">
        <v>566</v>
      </c>
      <c r="H18" s="197"/>
      <c r="I18" s="197"/>
      <c r="J18" s="443" t="s">
        <v>592</v>
      </c>
      <c r="K18" s="445"/>
      <c r="L18" s="445"/>
      <c r="M18" s="445"/>
      <c r="N18" s="445"/>
      <c r="O18" s="444"/>
      <c r="P18" s="197"/>
      <c r="Q18" s="197"/>
      <c r="R18" s="443" t="s">
        <v>593</v>
      </c>
      <c r="S18" s="445"/>
      <c r="T18" s="445"/>
      <c r="U18" s="445"/>
      <c r="V18" s="445"/>
      <c r="W18" s="444"/>
    </row>
    <row r="19" spans="1:23" x14ac:dyDescent="0.4">
      <c r="B19" s="194">
        <f t="shared" si="0"/>
        <v>17</v>
      </c>
      <c r="C19" s="193" t="s">
        <v>594</v>
      </c>
      <c r="D19" s="193" t="s">
        <v>595</v>
      </c>
      <c r="E19" s="193" t="s">
        <v>596</v>
      </c>
      <c r="F19" s="193" t="s">
        <v>566</v>
      </c>
      <c r="H19" s="197"/>
      <c r="I19" s="197"/>
      <c r="J19" s="197"/>
      <c r="K19" s="197"/>
      <c r="L19" s="197"/>
      <c r="M19" s="197"/>
      <c r="N19" s="197"/>
      <c r="O19" s="196" t="s">
        <v>597</v>
      </c>
      <c r="P19" s="197"/>
      <c r="Q19" s="197"/>
      <c r="R19" s="197"/>
      <c r="S19" s="197"/>
      <c r="T19" s="197"/>
      <c r="U19" s="197"/>
      <c r="V19" s="197"/>
      <c r="W19" s="196" t="s">
        <v>598</v>
      </c>
    </row>
    <row r="20" spans="1:23" x14ac:dyDescent="0.4">
      <c r="A20" s="193"/>
      <c r="B20" s="194">
        <f t="shared" si="0"/>
        <v>18</v>
      </c>
      <c r="C20" s="193" t="s">
        <v>599</v>
      </c>
      <c r="D20" s="193" t="s">
        <v>120</v>
      </c>
      <c r="E20" s="193" t="s">
        <v>169</v>
      </c>
      <c r="F20" s="193" t="s">
        <v>566</v>
      </c>
      <c r="H20" s="443" t="s">
        <v>600</v>
      </c>
      <c r="I20" s="445"/>
      <c r="J20" s="44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4"/>
    </row>
    <row r="21" spans="1:23" x14ac:dyDescent="0.4">
      <c r="A21" s="193"/>
      <c r="B21" s="194">
        <f t="shared" si="0"/>
        <v>19</v>
      </c>
      <c r="C21" s="193" t="s">
        <v>601</v>
      </c>
      <c r="D21" s="193" t="s">
        <v>120</v>
      </c>
      <c r="E21" s="193" t="s">
        <v>171</v>
      </c>
      <c r="F21" s="193" t="s">
        <v>566</v>
      </c>
      <c r="H21" s="443" t="s">
        <v>602</v>
      </c>
      <c r="I21" s="445"/>
      <c r="J21" s="445"/>
      <c r="K21" s="445"/>
      <c r="L21" s="445"/>
      <c r="M21" s="445"/>
      <c r="N21" s="445"/>
      <c r="O21" s="444"/>
      <c r="P21" s="197"/>
      <c r="Q21" s="197"/>
      <c r="R21" s="197"/>
      <c r="S21" s="197"/>
      <c r="T21" s="197"/>
      <c r="U21" s="197"/>
      <c r="V21" s="197"/>
      <c r="W21" s="196" t="s">
        <v>603</v>
      </c>
    </row>
    <row r="22" spans="1:23" x14ac:dyDescent="0.4">
      <c r="A22" s="193"/>
      <c r="B22" s="194">
        <f t="shared" si="0"/>
        <v>20</v>
      </c>
      <c r="C22" s="193" t="s">
        <v>604</v>
      </c>
      <c r="D22" s="193" t="s">
        <v>120</v>
      </c>
      <c r="E22" s="193" t="s">
        <v>173</v>
      </c>
      <c r="F22" s="193" t="s">
        <v>605</v>
      </c>
      <c r="H22" s="197"/>
      <c r="I22" s="197"/>
      <c r="J22" s="197"/>
      <c r="K22" s="197"/>
      <c r="L22" s="443" t="s">
        <v>606</v>
      </c>
      <c r="M22" s="445"/>
      <c r="N22" s="445"/>
      <c r="O22" s="444"/>
      <c r="P22" s="197"/>
      <c r="Q22" s="197"/>
      <c r="R22" s="197"/>
      <c r="S22" s="443" t="s">
        <v>607</v>
      </c>
      <c r="T22" s="445"/>
      <c r="U22" s="445"/>
      <c r="V22" s="445"/>
      <c r="W22" s="444"/>
    </row>
    <row r="23" spans="1:23" x14ac:dyDescent="0.4">
      <c r="A23" s="193"/>
      <c r="B23" s="194">
        <f t="shared" si="0"/>
        <v>21</v>
      </c>
      <c r="C23" s="193" t="s">
        <v>608</v>
      </c>
      <c r="D23" s="193" t="s">
        <v>120</v>
      </c>
      <c r="E23" s="193" t="s">
        <v>175</v>
      </c>
      <c r="F23" s="193" t="s">
        <v>566</v>
      </c>
      <c r="H23" s="197"/>
      <c r="I23" s="197"/>
      <c r="J23" s="197"/>
      <c r="K23" s="197"/>
      <c r="L23" s="197"/>
      <c r="M23" s="197"/>
      <c r="N23" s="197"/>
      <c r="O23" s="196" t="s">
        <v>609</v>
      </c>
      <c r="P23" s="196" t="s">
        <v>610</v>
      </c>
      <c r="Q23" s="196" t="s">
        <v>611</v>
      </c>
      <c r="R23" s="196" t="s">
        <v>612</v>
      </c>
      <c r="S23" s="196" t="s">
        <v>613</v>
      </c>
      <c r="T23" s="291" t="s">
        <v>614</v>
      </c>
      <c r="U23" s="291" t="s">
        <v>615</v>
      </c>
      <c r="V23" s="291" t="s">
        <v>616</v>
      </c>
      <c r="W23" s="291" t="s">
        <v>617</v>
      </c>
    </row>
    <row r="24" spans="1:23" x14ac:dyDescent="0.4">
      <c r="A24" s="193"/>
      <c r="B24" s="194">
        <f t="shared" si="0"/>
        <v>22</v>
      </c>
      <c r="C24" s="292" t="s">
        <v>618</v>
      </c>
      <c r="D24" s="193" t="s">
        <v>149</v>
      </c>
      <c r="E24" s="193" t="s">
        <v>177</v>
      </c>
      <c r="F24" s="193" t="s">
        <v>553</v>
      </c>
      <c r="G24" s="292"/>
      <c r="H24" s="196" t="s">
        <v>619</v>
      </c>
      <c r="I24" s="196" t="s">
        <v>620</v>
      </c>
      <c r="J24" s="196" t="s">
        <v>621</v>
      </c>
      <c r="K24" s="196" t="s">
        <v>622</v>
      </c>
      <c r="L24" s="196" t="s">
        <v>623</v>
      </c>
      <c r="M24" s="196" t="s">
        <v>624</v>
      </c>
      <c r="N24" s="196" t="s">
        <v>625</v>
      </c>
      <c r="O24" s="196" t="s">
        <v>626</v>
      </c>
      <c r="P24" s="196" t="s">
        <v>627</v>
      </c>
      <c r="Q24" s="196" t="s">
        <v>628</v>
      </c>
      <c r="R24" s="196" t="s">
        <v>629</v>
      </c>
      <c r="S24" s="196" t="s">
        <v>630</v>
      </c>
      <c r="T24" s="196" t="s">
        <v>631</v>
      </c>
      <c r="U24" s="196" t="s">
        <v>632</v>
      </c>
      <c r="V24" s="196" t="s">
        <v>633</v>
      </c>
      <c r="W24" s="196" t="s">
        <v>634</v>
      </c>
    </row>
    <row r="25" spans="1:23" x14ac:dyDescent="0.4">
      <c r="A25" s="193"/>
      <c r="B25" s="194">
        <f t="shared" si="0"/>
        <v>23</v>
      </c>
      <c r="C25" s="292" t="s">
        <v>635</v>
      </c>
      <c r="D25" s="193" t="s">
        <v>149</v>
      </c>
      <c r="E25" s="193" t="s">
        <v>636</v>
      </c>
      <c r="F25" s="193" t="s">
        <v>553</v>
      </c>
      <c r="G25" s="292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6" t="s">
        <v>637</v>
      </c>
      <c r="W25" s="196" t="s">
        <v>638</v>
      </c>
    </row>
    <row r="26" spans="1:23" x14ac:dyDescent="0.4">
      <c r="A26" s="193"/>
      <c r="B26" s="194">
        <f t="shared" si="0"/>
        <v>24</v>
      </c>
      <c r="C26" s="292" t="s">
        <v>639</v>
      </c>
      <c r="D26" s="193" t="s">
        <v>149</v>
      </c>
      <c r="E26" s="193" t="s">
        <v>640</v>
      </c>
      <c r="F26" s="193" t="s">
        <v>553</v>
      </c>
      <c r="G26" s="292"/>
      <c r="H26" s="197"/>
      <c r="I26" s="196" t="s">
        <v>641</v>
      </c>
      <c r="J26" s="196" t="s">
        <v>642</v>
      </c>
      <c r="K26" s="196" t="s">
        <v>643</v>
      </c>
      <c r="L26" s="197"/>
      <c r="M26" s="197"/>
      <c r="N26" s="197"/>
      <c r="O26" s="196" t="s">
        <v>644</v>
      </c>
      <c r="P26" s="197"/>
      <c r="Q26" s="197"/>
      <c r="R26" s="196" t="s">
        <v>645</v>
      </c>
      <c r="S26" s="196" t="s">
        <v>646</v>
      </c>
      <c r="T26" s="196" t="s">
        <v>647</v>
      </c>
      <c r="U26" s="196" t="s">
        <v>648</v>
      </c>
      <c r="V26" s="196" t="s">
        <v>649</v>
      </c>
      <c r="W26" s="196" t="s">
        <v>650</v>
      </c>
    </row>
    <row r="27" spans="1:23" ht="52.2" x14ac:dyDescent="0.4">
      <c r="B27" s="194">
        <f t="shared" si="0"/>
        <v>25</v>
      </c>
      <c r="C27" s="193" t="s">
        <v>651</v>
      </c>
      <c r="D27" s="193" t="s">
        <v>149</v>
      </c>
      <c r="E27" s="193" t="s">
        <v>652</v>
      </c>
      <c r="F27" s="193" t="s">
        <v>566</v>
      </c>
      <c r="H27" s="197"/>
      <c r="I27" s="197"/>
      <c r="J27" s="197"/>
      <c r="K27" s="291" t="s">
        <v>653</v>
      </c>
      <c r="L27" s="291" t="s">
        <v>654</v>
      </c>
      <c r="M27" s="291" t="s">
        <v>655</v>
      </c>
      <c r="N27" s="291" t="s">
        <v>656</v>
      </c>
      <c r="O27" s="291" t="s">
        <v>657</v>
      </c>
      <c r="P27" s="291" t="s">
        <v>658</v>
      </c>
      <c r="Q27" s="291" t="s">
        <v>659</v>
      </c>
      <c r="R27" s="291" t="s">
        <v>660</v>
      </c>
      <c r="S27" s="291" t="s">
        <v>661</v>
      </c>
      <c r="T27" s="197"/>
      <c r="U27" s="197"/>
      <c r="V27" s="291" t="s">
        <v>662</v>
      </c>
      <c r="W27" s="291" t="s">
        <v>663</v>
      </c>
    </row>
    <row r="28" spans="1:23" x14ac:dyDescent="0.4">
      <c r="B28" s="194"/>
    </row>
    <row r="29" spans="1:23" x14ac:dyDescent="0.4">
      <c r="B29" s="194">
        <f>B27+1</f>
        <v>26</v>
      </c>
      <c r="C29" s="193" t="s">
        <v>664</v>
      </c>
      <c r="D29" s="193" t="s">
        <v>120</v>
      </c>
      <c r="E29" s="193" t="s">
        <v>665</v>
      </c>
      <c r="F29" s="193" t="s">
        <v>566</v>
      </c>
      <c r="H29" s="196" t="s">
        <v>666</v>
      </c>
      <c r="I29" s="196" t="s">
        <v>667</v>
      </c>
      <c r="J29" s="196" t="s">
        <v>668</v>
      </c>
      <c r="K29" s="197"/>
      <c r="L29" s="197"/>
      <c r="M29" s="443" t="s">
        <v>669</v>
      </c>
      <c r="N29" s="445"/>
      <c r="O29" s="445"/>
      <c r="P29" s="445"/>
      <c r="Q29" s="445"/>
      <c r="R29" s="445"/>
      <c r="S29" s="445"/>
      <c r="T29" s="445"/>
      <c r="U29" s="445"/>
      <c r="V29" s="445"/>
      <c r="W29" s="444"/>
    </row>
    <row r="30" spans="1:23" x14ac:dyDescent="0.4">
      <c r="B30" s="194">
        <f t="shared" si="0"/>
        <v>27</v>
      </c>
      <c r="C30" s="193" t="s">
        <v>670</v>
      </c>
      <c r="D30" s="193" t="s">
        <v>120</v>
      </c>
      <c r="E30" s="193" t="s">
        <v>232</v>
      </c>
      <c r="F30" s="193" t="s">
        <v>566</v>
      </c>
      <c r="H30" s="197"/>
      <c r="I30" s="197"/>
      <c r="J30" s="197"/>
      <c r="K30" s="197"/>
      <c r="L30" s="197"/>
      <c r="M30" s="197"/>
      <c r="N30" s="197"/>
      <c r="O30" s="443" t="s">
        <v>671</v>
      </c>
      <c r="P30" s="445"/>
      <c r="Q30" s="445"/>
      <c r="R30" s="445"/>
      <c r="S30" s="445"/>
      <c r="T30" s="445"/>
      <c r="U30" s="445"/>
      <c r="V30" s="445"/>
      <c r="W30" s="444"/>
    </row>
    <row r="31" spans="1:23" x14ac:dyDescent="0.4">
      <c r="B31" s="194">
        <f t="shared" si="0"/>
        <v>28</v>
      </c>
      <c r="C31" s="193" t="s">
        <v>672</v>
      </c>
      <c r="D31" s="193" t="s">
        <v>120</v>
      </c>
      <c r="E31" s="193" t="s">
        <v>235</v>
      </c>
      <c r="F31" s="193" t="s">
        <v>566</v>
      </c>
      <c r="H31" s="443" t="s">
        <v>673</v>
      </c>
      <c r="I31" s="445"/>
      <c r="J31" s="445"/>
      <c r="K31" s="445"/>
      <c r="L31" s="197"/>
      <c r="M31" s="197"/>
      <c r="N31" s="197"/>
      <c r="O31" s="197"/>
      <c r="P31" s="443" t="s">
        <v>674</v>
      </c>
      <c r="Q31" s="445"/>
      <c r="R31" s="445"/>
      <c r="S31" s="445"/>
      <c r="T31" s="445"/>
      <c r="U31" s="445"/>
      <c r="V31" s="445"/>
      <c r="W31" s="444"/>
    </row>
    <row r="32" spans="1:23" x14ac:dyDescent="0.4">
      <c r="B32" s="194">
        <f t="shared" si="0"/>
        <v>29</v>
      </c>
      <c r="C32" s="193" t="s">
        <v>675</v>
      </c>
      <c r="D32" s="193" t="s">
        <v>149</v>
      </c>
      <c r="E32" s="193" t="s">
        <v>237</v>
      </c>
      <c r="F32" s="193" t="s">
        <v>566</v>
      </c>
      <c r="H32" s="197"/>
      <c r="I32" s="197"/>
      <c r="J32" s="197"/>
      <c r="K32" s="197"/>
      <c r="L32" s="197"/>
      <c r="M32" s="443" t="s">
        <v>676</v>
      </c>
      <c r="N32" s="445"/>
      <c r="O32" s="445"/>
      <c r="P32" s="445"/>
      <c r="Q32" s="445"/>
      <c r="R32" s="445"/>
      <c r="S32" s="445"/>
      <c r="T32" s="445"/>
      <c r="U32" s="445"/>
      <c r="V32" s="445"/>
      <c r="W32" s="444"/>
    </row>
    <row r="33" spans="2:23" x14ac:dyDescent="0.4">
      <c r="B33" s="194"/>
    </row>
    <row r="34" spans="2:23" x14ac:dyDescent="0.4">
      <c r="B34" s="194">
        <f>B32+1</f>
        <v>30</v>
      </c>
      <c r="C34" s="193" t="s">
        <v>677</v>
      </c>
      <c r="D34" s="193" t="s">
        <v>120</v>
      </c>
      <c r="E34" s="193" t="s">
        <v>241</v>
      </c>
      <c r="F34" s="193" t="s">
        <v>678</v>
      </c>
      <c r="H34" s="197"/>
      <c r="I34" s="197"/>
      <c r="J34" s="197"/>
      <c r="K34" s="197"/>
      <c r="L34" s="197"/>
      <c r="M34" s="197"/>
      <c r="N34" s="197"/>
      <c r="O34" s="197"/>
      <c r="P34" s="443" t="s">
        <v>679</v>
      </c>
      <c r="Q34" s="445"/>
      <c r="R34" s="445"/>
      <c r="S34" s="445"/>
      <c r="T34" s="445"/>
      <c r="U34" s="445"/>
      <c r="V34" s="445"/>
      <c r="W34" s="444"/>
    </row>
    <row r="35" spans="2:23" x14ac:dyDescent="0.4">
      <c r="B35" s="194"/>
    </row>
    <row r="36" spans="2:23" ht="17.100000000000001" customHeight="1" x14ac:dyDescent="0.4">
      <c r="B36" s="194">
        <f>B34+1</f>
        <v>31</v>
      </c>
      <c r="C36" s="193" t="s">
        <v>680</v>
      </c>
      <c r="D36" s="193" t="s">
        <v>120</v>
      </c>
      <c r="E36" s="193" t="s">
        <v>681</v>
      </c>
      <c r="F36" s="193" t="s">
        <v>566</v>
      </c>
      <c r="H36" s="197"/>
      <c r="I36" s="449" t="s">
        <v>682</v>
      </c>
      <c r="J36" s="450"/>
      <c r="K36" s="450"/>
      <c r="L36" s="450"/>
      <c r="M36" s="451"/>
      <c r="N36" s="449" t="s">
        <v>683</v>
      </c>
      <c r="O36" s="450"/>
      <c r="P36" s="450"/>
      <c r="Q36" s="450"/>
      <c r="R36" s="451"/>
      <c r="S36" s="446" t="s">
        <v>684</v>
      </c>
      <c r="T36" s="447"/>
      <c r="U36" s="447"/>
      <c r="V36" s="447"/>
      <c r="W36" s="448"/>
    </row>
    <row r="37" spans="2:23" x14ac:dyDescent="0.4">
      <c r="B37" s="194">
        <f t="shared" si="0"/>
        <v>32</v>
      </c>
      <c r="C37" s="293" t="s">
        <v>685</v>
      </c>
      <c r="D37" s="293" t="s">
        <v>120</v>
      </c>
      <c r="E37" s="293" t="s">
        <v>246</v>
      </c>
      <c r="F37" s="293" t="s">
        <v>566</v>
      </c>
      <c r="G37" s="293"/>
      <c r="H37" s="294"/>
      <c r="I37" s="449" t="s">
        <v>686</v>
      </c>
      <c r="J37" s="450"/>
      <c r="K37" s="450"/>
      <c r="L37" s="450"/>
      <c r="M37" s="451"/>
      <c r="N37" s="449" t="s">
        <v>687</v>
      </c>
      <c r="O37" s="450"/>
      <c r="P37" s="450"/>
      <c r="Q37" s="450"/>
      <c r="R37" s="451"/>
      <c r="S37" s="449" t="s">
        <v>688</v>
      </c>
      <c r="T37" s="450"/>
      <c r="U37" s="450"/>
      <c r="V37" s="450"/>
      <c r="W37" s="451"/>
    </row>
    <row r="38" spans="2:23" x14ac:dyDescent="0.4">
      <c r="B38" s="194">
        <f t="shared" si="0"/>
        <v>33</v>
      </c>
      <c r="C38" s="293" t="s">
        <v>689</v>
      </c>
      <c r="D38" s="293" t="s">
        <v>120</v>
      </c>
      <c r="E38" s="293" t="s">
        <v>248</v>
      </c>
      <c r="F38" s="293" t="s">
        <v>566</v>
      </c>
      <c r="G38" s="293"/>
      <c r="H38" s="294"/>
      <c r="I38" s="449" t="s">
        <v>690</v>
      </c>
      <c r="J38" s="450"/>
      <c r="K38" s="450"/>
      <c r="L38" s="450"/>
      <c r="M38" s="451"/>
      <c r="N38" s="449" t="s">
        <v>691</v>
      </c>
      <c r="O38" s="450"/>
      <c r="P38" s="450"/>
      <c r="Q38" s="450"/>
      <c r="R38" s="451"/>
      <c r="S38" s="449" t="s">
        <v>692</v>
      </c>
      <c r="T38" s="450"/>
      <c r="U38" s="450"/>
      <c r="V38" s="450"/>
      <c r="W38" s="451"/>
    </row>
    <row r="39" spans="2:23" x14ac:dyDescent="0.4">
      <c r="B39" s="194">
        <f t="shared" si="0"/>
        <v>34</v>
      </c>
      <c r="C39" s="293" t="s">
        <v>693</v>
      </c>
      <c r="D39" s="293" t="s">
        <v>120</v>
      </c>
      <c r="E39" s="293" t="s">
        <v>250</v>
      </c>
      <c r="F39" s="293" t="s">
        <v>566</v>
      </c>
      <c r="G39" s="293"/>
      <c r="H39" s="294"/>
      <c r="I39" s="449" t="s">
        <v>694</v>
      </c>
      <c r="J39" s="450"/>
      <c r="K39" s="450"/>
      <c r="L39" s="450"/>
      <c r="M39" s="451"/>
      <c r="N39" s="449" t="s">
        <v>695</v>
      </c>
      <c r="O39" s="450"/>
      <c r="P39" s="450"/>
      <c r="Q39" s="450"/>
      <c r="R39" s="451"/>
      <c r="S39" s="449" t="s">
        <v>696</v>
      </c>
      <c r="T39" s="450"/>
      <c r="U39" s="450"/>
      <c r="V39" s="450"/>
      <c r="W39" s="451"/>
    </row>
    <row r="40" spans="2:23" x14ac:dyDescent="0.4">
      <c r="B40" s="194">
        <f t="shared" si="0"/>
        <v>35</v>
      </c>
      <c r="C40" s="293" t="s">
        <v>697</v>
      </c>
      <c r="D40" s="293" t="s">
        <v>120</v>
      </c>
      <c r="E40" s="293" t="s">
        <v>252</v>
      </c>
      <c r="F40" s="293" t="s">
        <v>566</v>
      </c>
      <c r="G40" s="293"/>
      <c r="H40" s="294"/>
      <c r="I40" s="449" t="s">
        <v>698</v>
      </c>
      <c r="J40" s="450"/>
      <c r="K40" s="450"/>
      <c r="L40" s="450"/>
      <c r="M40" s="451"/>
      <c r="N40" s="449" t="s">
        <v>699</v>
      </c>
      <c r="O40" s="450"/>
      <c r="P40" s="450"/>
      <c r="Q40" s="450"/>
      <c r="R40" s="451"/>
      <c r="S40" s="449" t="s">
        <v>700</v>
      </c>
      <c r="T40" s="450"/>
      <c r="U40" s="450"/>
      <c r="V40" s="450"/>
      <c r="W40" s="451"/>
    </row>
    <row r="41" spans="2:23" x14ac:dyDescent="0.4">
      <c r="B41" s="194">
        <f t="shared" si="0"/>
        <v>36</v>
      </c>
      <c r="C41" s="293" t="s">
        <v>701</v>
      </c>
      <c r="D41" s="293" t="s">
        <v>120</v>
      </c>
      <c r="E41" s="293" t="s">
        <v>254</v>
      </c>
      <c r="F41" s="293" t="s">
        <v>566</v>
      </c>
      <c r="G41" s="293"/>
      <c r="H41" s="294"/>
      <c r="I41" s="449" t="s">
        <v>702</v>
      </c>
      <c r="J41" s="450"/>
      <c r="K41" s="450"/>
      <c r="L41" s="450"/>
      <c r="M41" s="451"/>
      <c r="N41" s="449" t="s">
        <v>703</v>
      </c>
      <c r="O41" s="450"/>
      <c r="P41" s="450"/>
      <c r="Q41" s="450"/>
      <c r="R41" s="451"/>
      <c r="S41" s="449" t="s">
        <v>704</v>
      </c>
      <c r="T41" s="450"/>
      <c r="U41" s="450"/>
      <c r="V41" s="450"/>
      <c r="W41" s="451"/>
    </row>
    <row r="42" spans="2:23" x14ac:dyDescent="0.4">
      <c r="B42" s="194">
        <f t="shared" si="0"/>
        <v>37</v>
      </c>
      <c r="C42" s="293" t="s">
        <v>705</v>
      </c>
      <c r="D42" s="293" t="s">
        <v>120</v>
      </c>
      <c r="E42" s="293" t="s">
        <v>181</v>
      </c>
      <c r="F42" s="293" t="s">
        <v>566</v>
      </c>
      <c r="G42" s="293"/>
      <c r="H42" s="294"/>
      <c r="I42" s="449" t="s">
        <v>706</v>
      </c>
      <c r="J42" s="450"/>
      <c r="K42" s="450"/>
      <c r="L42" s="450"/>
      <c r="M42" s="451"/>
      <c r="N42" s="449" t="s">
        <v>707</v>
      </c>
      <c r="O42" s="450"/>
      <c r="P42" s="450"/>
      <c r="Q42" s="450"/>
      <c r="R42" s="451"/>
      <c r="S42" s="449" t="s">
        <v>708</v>
      </c>
      <c r="T42" s="450"/>
      <c r="U42" s="450"/>
      <c r="V42" s="450"/>
      <c r="W42" s="451"/>
    </row>
    <row r="43" spans="2:23" x14ac:dyDescent="0.4">
      <c r="B43" s="194">
        <f t="shared" si="0"/>
        <v>38</v>
      </c>
      <c r="C43" s="293" t="s">
        <v>709</v>
      </c>
      <c r="D43" s="293" t="s">
        <v>120</v>
      </c>
      <c r="E43" s="293" t="s">
        <v>182</v>
      </c>
      <c r="F43" s="293" t="s">
        <v>566</v>
      </c>
      <c r="G43" s="293"/>
      <c r="H43" s="294"/>
      <c r="I43" s="449" t="s">
        <v>710</v>
      </c>
      <c r="J43" s="450"/>
      <c r="K43" s="450"/>
      <c r="L43" s="450"/>
      <c r="M43" s="451"/>
      <c r="N43" s="449" t="s">
        <v>711</v>
      </c>
      <c r="O43" s="450"/>
      <c r="P43" s="450"/>
      <c r="Q43" s="450"/>
      <c r="R43" s="451"/>
      <c r="S43" s="449" t="s">
        <v>712</v>
      </c>
      <c r="T43" s="450"/>
      <c r="U43" s="450"/>
      <c r="V43" s="450"/>
      <c r="W43" s="451"/>
    </row>
    <row r="44" spans="2:23" x14ac:dyDescent="0.4">
      <c r="B44" s="194"/>
      <c r="C44" s="293"/>
      <c r="D44" s="293"/>
      <c r="E44" s="293"/>
      <c r="F44" s="293"/>
      <c r="G44" s="293"/>
      <c r="H44" s="293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</row>
    <row r="45" spans="2:23" x14ac:dyDescent="0.4">
      <c r="B45" s="194">
        <f>B43+1</f>
        <v>39</v>
      </c>
      <c r="C45" s="193" t="s">
        <v>713</v>
      </c>
      <c r="D45" s="193" t="s">
        <v>120</v>
      </c>
      <c r="E45" s="193" t="s">
        <v>186</v>
      </c>
      <c r="F45" s="193" t="s">
        <v>714</v>
      </c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443" t="s">
        <v>715</v>
      </c>
      <c r="U45" s="445"/>
      <c r="V45" s="445"/>
      <c r="W45" s="444"/>
    </row>
    <row r="46" spans="2:23" x14ac:dyDescent="0.4">
      <c r="B46" s="194"/>
    </row>
    <row r="47" spans="2:23" ht="17.100000000000001" customHeight="1" x14ac:dyDescent="0.4">
      <c r="B47" s="194">
        <f>B45+1</f>
        <v>40</v>
      </c>
      <c r="C47" s="193" t="s">
        <v>716</v>
      </c>
      <c r="D47" s="193" t="s">
        <v>120</v>
      </c>
      <c r="E47" s="193" t="s">
        <v>717</v>
      </c>
      <c r="F47" s="193" t="s">
        <v>566</v>
      </c>
      <c r="H47" s="197"/>
      <c r="I47" s="443" t="s">
        <v>718</v>
      </c>
      <c r="J47" s="445"/>
      <c r="K47" s="445"/>
      <c r="L47" s="445"/>
      <c r="M47" s="444"/>
      <c r="N47" s="443" t="s">
        <v>719</v>
      </c>
      <c r="O47" s="445"/>
      <c r="P47" s="445"/>
      <c r="Q47" s="445"/>
      <c r="R47" s="444"/>
      <c r="S47" s="446" t="s">
        <v>720</v>
      </c>
      <c r="T47" s="447"/>
      <c r="U47" s="447"/>
      <c r="V47" s="447"/>
      <c r="W47" s="448"/>
    </row>
    <row r="48" spans="2:23" x14ac:dyDescent="0.4">
      <c r="B48" s="194">
        <f t="shared" si="0"/>
        <v>41</v>
      </c>
      <c r="C48" s="193" t="s">
        <v>721</v>
      </c>
      <c r="D48" s="193" t="s">
        <v>120</v>
      </c>
      <c r="E48" s="193" t="s">
        <v>722</v>
      </c>
      <c r="F48" s="193" t="s">
        <v>566</v>
      </c>
      <c r="H48" s="197"/>
      <c r="I48" s="443" t="s">
        <v>723</v>
      </c>
      <c r="J48" s="445"/>
      <c r="K48" s="445"/>
      <c r="L48" s="445"/>
      <c r="M48" s="444"/>
      <c r="N48" s="443" t="s">
        <v>724</v>
      </c>
      <c r="O48" s="445"/>
      <c r="P48" s="445"/>
      <c r="Q48" s="445"/>
      <c r="R48" s="444"/>
      <c r="S48" s="443" t="s">
        <v>725</v>
      </c>
      <c r="T48" s="445"/>
      <c r="U48" s="445"/>
      <c r="V48" s="445"/>
      <c r="W48" s="444"/>
    </row>
    <row r="49" spans="2:23" x14ac:dyDescent="0.4">
      <c r="B49" s="194">
        <f t="shared" si="0"/>
        <v>42</v>
      </c>
      <c r="C49" s="193" t="s">
        <v>726</v>
      </c>
      <c r="D49" s="193" t="s">
        <v>120</v>
      </c>
      <c r="E49" s="193" t="s">
        <v>727</v>
      </c>
      <c r="F49" s="193" t="s">
        <v>566</v>
      </c>
      <c r="H49" s="197"/>
      <c r="I49" s="443" t="s">
        <v>728</v>
      </c>
      <c r="J49" s="445"/>
      <c r="K49" s="445"/>
      <c r="L49" s="445"/>
      <c r="M49" s="444"/>
      <c r="N49" s="443" t="s">
        <v>729</v>
      </c>
      <c r="O49" s="445"/>
      <c r="P49" s="445"/>
      <c r="Q49" s="445"/>
      <c r="R49" s="444"/>
      <c r="S49" s="443" t="s">
        <v>730</v>
      </c>
      <c r="T49" s="445"/>
      <c r="U49" s="445"/>
      <c r="V49" s="445"/>
      <c r="W49" s="444"/>
    </row>
    <row r="50" spans="2:23" x14ac:dyDescent="0.4">
      <c r="B50" s="194">
        <f t="shared" si="0"/>
        <v>43</v>
      </c>
      <c r="C50" s="193" t="s">
        <v>731</v>
      </c>
      <c r="D50" s="193" t="s">
        <v>120</v>
      </c>
      <c r="E50" s="193" t="s">
        <v>732</v>
      </c>
      <c r="F50" s="193" t="s">
        <v>566</v>
      </c>
      <c r="H50" s="197"/>
      <c r="I50" s="443" t="s">
        <v>733</v>
      </c>
      <c r="J50" s="445"/>
      <c r="K50" s="445"/>
      <c r="L50" s="445"/>
      <c r="M50" s="444"/>
      <c r="N50" s="443" t="s">
        <v>734</v>
      </c>
      <c r="O50" s="445"/>
      <c r="P50" s="445"/>
      <c r="Q50" s="445"/>
      <c r="R50" s="444"/>
      <c r="S50" s="443" t="s">
        <v>735</v>
      </c>
      <c r="T50" s="445"/>
      <c r="U50" s="445"/>
      <c r="V50" s="445"/>
      <c r="W50" s="444"/>
    </row>
    <row r="51" spans="2:23" x14ac:dyDescent="0.4">
      <c r="B51" s="194">
        <f t="shared" si="0"/>
        <v>44</v>
      </c>
      <c r="C51" s="193" t="s">
        <v>736</v>
      </c>
      <c r="D51" s="193" t="s">
        <v>120</v>
      </c>
      <c r="E51" s="193" t="s">
        <v>737</v>
      </c>
      <c r="F51" s="193" t="s">
        <v>566</v>
      </c>
      <c r="H51" s="197"/>
      <c r="I51" s="443" t="s">
        <v>738</v>
      </c>
      <c r="J51" s="445"/>
      <c r="K51" s="445"/>
      <c r="L51" s="445"/>
      <c r="M51" s="444"/>
      <c r="N51" s="443" t="s">
        <v>739</v>
      </c>
      <c r="O51" s="445"/>
      <c r="P51" s="445"/>
      <c r="Q51" s="445"/>
      <c r="R51" s="444"/>
      <c r="S51" s="443" t="s">
        <v>740</v>
      </c>
      <c r="T51" s="445"/>
      <c r="U51" s="445"/>
      <c r="V51" s="445"/>
      <c r="W51" s="444"/>
    </row>
    <row r="52" spans="2:23" x14ac:dyDescent="0.4">
      <c r="B52" s="194">
        <f t="shared" si="0"/>
        <v>45</v>
      </c>
      <c r="C52" s="193" t="s">
        <v>741</v>
      </c>
      <c r="D52" s="193" t="s">
        <v>120</v>
      </c>
      <c r="E52" s="193" t="s">
        <v>742</v>
      </c>
      <c r="F52" s="193" t="s">
        <v>566</v>
      </c>
      <c r="H52" s="197"/>
      <c r="I52" s="443" t="s">
        <v>743</v>
      </c>
      <c r="J52" s="445"/>
      <c r="K52" s="445"/>
      <c r="L52" s="445"/>
      <c r="M52" s="444"/>
      <c r="N52" s="443" t="s">
        <v>744</v>
      </c>
      <c r="O52" s="445"/>
      <c r="P52" s="445"/>
      <c r="Q52" s="445"/>
      <c r="R52" s="444"/>
      <c r="S52" s="443" t="s">
        <v>745</v>
      </c>
      <c r="T52" s="445"/>
      <c r="U52" s="445"/>
      <c r="V52" s="445"/>
      <c r="W52" s="444"/>
    </row>
    <row r="53" spans="2:23" x14ac:dyDescent="0.4">
      <c r="B53" s="194">
        <f t="shared" si="0"/>
        <v>46</v>
      </c>
      <c r="C53" s="193" t="s">
        <v>746</v>
      </c>
      <c r="D53" s="193" t="s">
        <v>120</v>
      </c>
      <c r="E53" s="193" t="s">
        <v>747</v>
      </c>
      <c r="F53" s="193" t="s">
        <v>566</v>
      </c>
      <c r="H53" s="197"/>
      <c r="I53" s="443" t="s">
        <v>748</v>
      </c>
      <c r="J53" s="445"/>
      <c r="K53" s="445"/>
      <c r="L53" s="445"/>
      <c r="M53" s="444"/>
      <c r="N53" s="443" t="s">
        <v>749</v>
      </c>
      <c r="O53" s="445"/>
      <c r="P53" s="445"/>
      <c r="Q53" s="445"/>
      <c r="R53" s="444"/>
      <c r="S53" s="443" t="s">
        <v>750</v>
      </c>
      <c r="T53" s="445"/>
      <c r="U53" s="445"/>
      <c r="V53" s="445"/>
      <c r="W53" s="444"/>
    </row>
    <row r="54" spans="2:23" x14ac:dyDescent="0.4">
      <c r="B54" s="194">
        <f t="shared" si="0"/>
        <v>47</v>
      </c>
      <c r="C54" s="193" t="s">
        <v>751</v>
      </c>
      <c r="D54" s="193" t="s">
        <v>120</v>
      </c>
      <c r="E54" s="193" t="s">
        <v>752</v>
      </c>
      <c r="F54" s="193" t="s">
        <v>566</v>
      </c>
      <c r="H54" s="197"/>
      <c r="I54" s="443" t="s">
        <v>753</v>
      </c>
      <c r="J54" s="445"/>
      <c r="K54" s="445"/>
      <c r="L54" s="445"/>
      <c r="M54" s="444"/>
      <c r="N54" s="443" t="s">
        <v>754</v>
      </c>
      <c r="O54" s="445"/>
      <c r="P54" s="445"/>
      <c r="Q54" s="445"/>
      <c r="R54" s="444"/>
      <c r="S54" s="443" t="s">
        <v>755</v>
      </c>
      <c r="T54" s="445"/>
      <c r="U54" s="445"/>
      <c r="V54" s="445"/>
      <c r="W54" s="444"/>
    </row>
    <row r="55" spans="2:23" x14ac:dyDescent="0.4">
      <c r="B55" s="194">
        <f t="shared" si="0"/>
        <v>48</v>
      </c>
      <c r="C55" s="193" t="s">
        <v>756</v>
      </c>
      <c r="D55" s="193" t="s">
        <v>120</v>
      </c>
      <c r="E55" s="193" t="s">
        <v>757</v>
      </c>
      <c r="F55" s="193" t="s">
        <v>566</v>
      </c>
      <c r="H55" s="443" t="s">
        <v>758</v>
      </c>
      <c r="I55" s="445"/>
      <c r="J55" s="445"/>
      <c r="K55" s="445"/>
      <c r="L55" s="445"/>
      <c r="M55" s="445"/>
      <c r="N55" s="445"/>
      <c r="O55" s="444"/>
      <c r="P55" s="443" t="s">
        <v>759</v>
      </c>
      <c r="Q55" s="445"/>
      <c r="R55" s="445"/>
      <c r="S55" s="445"/>
      <c r="T55" s="445"/>
      <c r="U55" s="445"/>
      <c r="V55" s="445"/>
      <c r="W55" s="444"/>
    </row>
    <row r="56" spans="2:23" x14ac:dyDescent="0.4">
      <c r="B56" s="194">
        <f t="shared" si="0"/>
        <v>49</v>
      </c>
      <c r="C56" s="193" t="s">
        <v>760</v>
      </c>
      <c r="D56" s="193" t="s">
        <v>120</v>
      </c>
      <c r="E56" s="193" t="s">
        <v>761</v>
      </c>
      <c r="F56" s="193" t="s">
        <v>566</v>
      </c>
      <c r="H56" s="443" t="s">
        <v>762</v>
      </c>
      <c r="I56" s="445"/>
      <c r="J56" s="445"/>
      <c r="K56" s="445"/>
      <c r="L56" s="445"/>
      <c r="M56" s="445"/>
      <c r="N56" s="445"/>
      <c r="O56" s="444"/>
      <c r="P56" s="443" t="s">
        <v>763</v>
      </c>
      <c r="Q56" s="445"/>
      <c r="R56" s="445"/>
      <c r="S56" s="445"/>
      <c r="T56" s="445"/>
      <c r="U56" s="445"/>
      <c r="V56" s="445"/>
      <c r="W56" s="444"/>
    </row>
    <row r="57" spans="2:23" x14ac:dyDescent="0.4">
      <c r="B57" s="194">
        <f t="shared" si="0"/>
        <v>50</v>
      </c>
      <c r="C57" s="193" t="s">
        <v>764</v>
      </c>
      <c r="D57" s="193" t="s">
        <v>120</v>
      </c>
      <c r="E57" s="193" t="s">
        <v>194</v>
      </c>
      <c r="F57" s="193" t="s">
        <v>566</v>
      </c>
      <c r="H57" s="443" t="s">
        <v>765</v>
      </c>
      <c r="I57" s="445"/>
      <c r="J57" s="445"/>
      <c r="K57" s="445"/>
      <c r="L57" s="445"/>
      <c r="M57" s="445"/>
      <c r="N57" s="445"/>
      <c r="O57" s="444"/>
      <c r="P57" s="443" t="s">
        <v>766</v>
      </c>
      <c r="Q57" s="445"/>
      <c r="R57" s="445"/>
      <c r="S57" s="445"/>
      <c r="T57" s="445"/>
      <c r="U57" s="445"/>
      <c r="V57" s="445"/>
      <c r="W57" s="444"/>
    </row>
    <row r="58" spans="2:23" x14ac:dyDescent="0.4">
      <c r="B58" s="194">
        <f t="shared" si="0"/>
        <v>51</v>
      </c>
      <c r="C58" s="193" t="s">
        <v>767</v>
      </c>
      <c r="D58" s="193" t="s">
        <v>120</v>
      </c>
      <c r="E58" s="193" t="s">
        <v>197</v>
      </c>
      <c r="F58" s="193" t="s">
        <v>566</v>
      </c>
      <c r="H58" s="443" t="s">
        <v>768</v>
      </c>
      <c r="I58" s="445"/>
      <c r="J58" s="445"/>
      <c r="K58" s="445"/>
      <c r="L58" s="445"/>
      <c r="M58" s="445"/>
      <c r="N58" s="445"/>
      <c r="O58" s="444"/>
      <c r="P58" s="443" t="s">
        <v>769</v>
      </c>
      <c r="Q58" s="445"/>
      <c r="R58" s="445"/>
      <c r="S58" s="445"/>
      <c r="T58" s="445"/>
      <c r="U58" s="445"/>
      <c r="V58" s="445"/>
      <c r="W58" s="444"/>
    </row>
    <row r="59" spans="2:23" x14ac:dyDescent="0.4">
      <c r="B59" s="194">
        <f t="shared" si="0"/>
        <v>52</v>
      </c>
      <c r="C59" s="193" t="s">
        <v>770</v>
      </c>
      <c r="D59" s="193" t="s">
        <v>120</v>
      </c>
      <c r="E59" s="193" t="s">
        <v>199</v>
      </c>
      <c r="F59" s="193" t="s">
        <v>566</v>
      </c>
      <c r="H59" s="443" t="s">
        <v>771</v>
      </c>
      <c r="I59" s="445"/>
      <c r="J59" s="445"/>
      <c r="K59" s="445"/>
      <c r="L59" s="445"/>
      <c r="M59" s="445"/>
      <c r="N59" s="445"/>
      <c r="O59" s="444"/>
      <c r="P59" s="443" t="s">
        <v>772</v>
      </c>
      <c r="Q59" s="445"/>
      <c r="R59" s="445"/>
      <c r="S59" s="445"/>
      <c r="T59" s="445"/>
      <c r="U59" s="445"/>
      <c r="V59" s="445"/>
      <c r="W59" s="444"/>
    </row>
    <row r="60" spans="2:23" x14ac:dyDescent="0.4">
      <c r="B60" s="194">
        <f t="shared" si="0"/>
        <v>53</v>
      </c>
      <c r="C60" s="193" t="s">
        <v>773</v>
      </c>
      <c r="D60" s="193" t="s">
        <v>120</v>
      </c>
      <c r="E60" s="193" t="s">
        <v>203</v>
      </c>
      <c r="F60" s="193" t="s">
        <v>566</v>
      </c>
      <c r="H60" s="443" t="s">
        <v>774</v>
      </c>
      <c r="I60" s="445"/>
      <c r="J60" s="445"/>
      <c r="K60" s="445"/>
      <c r="L60" s="445"/>
      <c r="M60" s="445"/>
      <c r="N60" s="445"/>
      <c r="O60" s="444"/>
      <c r="P60" s="443" t="s">
        <v>775</v>
      </c>
      <c r="Q60" s="445"/>
      <c r="R60" s="445"/>
      <c r="S60" s="445"/>
      <c r="T60" s="445"/>
      <c r="U60" s="445"/>
      <c r="V60" s="445"/>
      <c r="W60" s="444"/>
    </row>
    <row r="61" spans="2:23" x14ac:dyDescent="0.4">
      <c r="B61" s="194">
        <f t="shared" si="0"/>
        <v>54</v>
      </c>
      <c r="C61" s="193" t="s">
        <v>776</v>
      </c>
      <c r="D61" s="193" t="s">
        <v>120</v>
      </c>
      <c r="E61" s="193" t="s">
        <v>207</v>
      </c>
      <c r="F61" s="193" t="s">
        <v>566</v>
      </c>
      <c r="H61" s="443" t="s">
        <v>777</v>
      </c>
      <c r="I61" s="445"/>
      <c r="J61" s="445"/>
      <c r="K61" s="445"/>
      <c r="L61" s="445"/>
      <c r="M61" s="445"/>
      <c r="N61" s="445"/>
      <c r="O61" s="444"/>
      <c r="P61" s="443" t="s">
        <v>778</v>
      </c>
      <c r="Q61" s="445"/>
      <c r="R61" s="445"/>
      <c r="S61" s="445"/>
      <c r="T61" s="445"/>
      <c r="U61" s="445"/>
      <c r="V61" s="445"/>
      <c r="W61" s="444"/>
    </row>
    <row r="62" spans="2:23" x14ac:dyDescent="0.4">
      <c r="B62" s="194">
        <f t="shared" si="0"/>
        <v>55</v>
      </c>
      <c r="C62" s="193" t="s">
        <v>779</v>
      </c>
      <c r="D62" s="193" t="s">
        <v>120</v>
      </c>
      <c r="E62" s="193" t="s">
        <v>190</v>
      </c>
      <c r="F62" s="193" t="s">
        <v>566</v>
      </c>
      <c r="H62" s="443" t="s">
        <v>780</v>
      </c>
      <c r="I62" s="445"/>
      <c r="J62" s="445"/>
      <c r="K62" s="445"/>
      <c r="L62" s="445"/>
      <c r="M62" s="445"/>
      <c r="N62" s="445"/>
      <c r="O62" s="444"/>
      <c r="P62" s="443" t="s">
        <v>781</v>
      </c>
      <c r="Q62" s="445"/>
      <c r="R62" s="445"/>
      <c r="S62" s="445"/>
      <c r="T62" s="445"/>
      <c r="U62" s="445"/>
      <c r="V62" s="445"/>
      <c r="W62" s="444"/>
    </row>
    <row r="63" spans="2:23" x14ac:dyDescent="0.4">
      <c r="B63" s="194">
        <f t="shared" si="0"/>
        <v>56</v>
      </c>
      <c r="C63" s="193" t="s">
        <v>782</v>
      </c>
      <c r="D63" s="193" t="s">
        <v>120</v>
      </c>
      <c r="E63" s="193" t="s">
        <v>783</v>
      </c>
      <c r="F63" s="193" t="s">
        <v>566</v>
      </c>
      <c r="H63" s="443" t="s">
        <v>784</v>
      </c>
      <c r="I63" s="445"/>
      <c r="J63" s="445"/>
      <c r="K63" s="445"/>
      <c r="L63" s="445"/>
      <c r="M63" s="445"/>
      <c r="N63" s="445"/>
      <c r="O63" s="444"/>
      <c r="P63" s="443" t="s">
        <v>785</v>
      </c>
      <c r="Q63" s="445"/>
      <c r="R63" s="445"/>
      <c r="S63" s="445"/>
      <c r="T63" s="445"/>
      <c r="U63" s="445"/>
      <c r="V63" s="445"/>
      <c r="W63" s="444"/>
    </row>
    <row r="64" spans="2:23" x14ac:dyDescent="0.4">
      <c r="B64" s="194">
        <f t="shared" si="0"/>
        <v>57</v>
      </c>
      <c r="C64" s="193" t="s">
        <v>786</v>
      </c>
      <c r="D64" s="193" t="s">
        <v>120</v>
      </c>
      <c r="E64" s="193" t="s">
        <v>787</v>
      </c>
      <c r="F64" s="193" t="s">
        <v>566</v>
      </c>
      <c r="H64" s="443" t="s">
        <v>788</v>
      </c>
      <c r="I64" s="445"/>
      <c r="J64" s="445"/>
      <c r="K64" s="445"/>
      <c r="L64" s="445"/>
      <c r="M64" s="445"/>
      <c r="N64" s="445"/>
      <c r="O64" s="444"/>
      <c r="P64" s="443" t="s">
        <v>789</v>
      </c>
      <c r="Q64" s="445"/>
      <c r="R64" s="445"/>
      <c r="S64" s="445"/>
      <c r="T64" s="445"/>
      <c r="U64" s="445"/>
      <c r="V64" s="445"/>
      <c r="W64" s="444"/>
    </row>
    <row r="65" spans="2:23" x14ac:dyDescent="0.4">
      <c r="B65" s="194">
        <f t="shared" si="0"/>
        <v>58</v>
      </c>
      <c r="C65" s="193" t="s">
        <v>790</v>
      </c>
      <c r="D65" s="193" t="s">
        <v>120</v>
      </c>
      <c r="E65" s="193" t="s">
        <v>791</v>
      </c>
      <c r="F65" s="193" t="s">
        <v>566</v>
      </c>
      <c r="H65" s="443" t="s">
        <v>792</v>
      </c>
      <c r="I65" s="445"/>
      <c r="J65" s="445"/>
      <c r="K65" s="445"/>
      <c r="L65" s="445"/>
      <c r="M65" s="445"/>
      <c r="N65" s="445"/>
      <c r="O65" s="444"/>
      <c r="P65" s="443" t="s">
        <v>793</v>
      </c>
      <c r="Q65" s="445"/>
      <c r="R65" s="445"/>
      <c r="S65" s="445"/>
      <c r="T65" s="445"/>
      <c r="U65" s="445"/>
      <c r="V65" s="445"/>
      <c r="W65" s="444"/>
    </row>
    <row r="66" spans="2:23" x14ac:dyDescent="0.4">
      <c r="B66" s="194">
        <f t="shared" si="0"/>
        <v>59</v>
      </c>
      <c r="C66" s="193" t="s">
        <v>794</v>
      </c>
      <c r="D66" s="193" t="s">
        <v>120</v>
      </c>
      <c r="E66" s="193" t="s">
        <v>795</v>
      </c>
      <c r="F66" s="193" t="s">
        <v>566</v>
      </c>
      <c r="H66" s="443" t="s">
        <v>796</v>
      </c>
      <c r="I66" s="445"/>
      <c r="J66" s="445"/>
      <c r="K66" s="445"/>
      <c r="L66" s="445"/>
      <c r="M66" s="445"/>
      <c r="N66" s="445"/>
      <c r="O66" s="444"/>
      <c r="P66" s="443" t="s">
        <v>797</v>
      </c>
      <c r="Q66" s="445"/>
      <c r="R66" s="445"/>
      <c r="S66" s="445"/>
      <c r="T66" s="445"/>
      <c r="U66" s="445"/>
      <c r="V66" s="445"/>
      <c r="W66" s="444"/>
    </row>
    <row r="67" spans="2:23" x14ac:dyDescent="0.4">
      <c r="B67" s="194"/>
    </row>
    <row r="68" spans="2:23" x14ac:dyDescent="0.4">
      <c r="B68" s="194">
        <f>B66+1</f>
        <v>60</v>
      </c>
      <c r="C68" s="193" t="s">
        <v>798</v>
      </c>
      <c r="D68" s="193" t="s">
        <v>120</v>
      </c>
      <c r="E68" s="193" t="s">
        <v>799</v>
      </c>
      <c r="F68" s="193" t="s">
        <v>566</v>
      </c>
      <c r="H68" s="196" t="s">
        <v>800</v>
      </c>
      <c r="I68" s="196" t="s">
        <v>801</v>
      </c>
      <c r="J68" s="196" t="s">
        <v>802</v>
      </c>
      <c r="K68" s="196" t="s">
        <v>803</v>
      </c>
      <c r="L68" s="196" t="s">
        <v>804</v>
      </c>
      <c r="M68" s="196" t="s">
        <v>805</v>
      </c>
      <c r="N68" s="196" t="s">
        <v>806</v>
      </c>
      <c r="O68" s="196" t="s">
        <v>807</v>
      </c>
      <c r="P68" s="196" t="s">
        <v>808</v>
      </c>
      <c r="Q68" s="196" t="s">
        <v>809</v>
      </c>
      <c r="R68" s="196" t="s">
        <v>810</v>
      </c>
      <c r="S68" s="196" t="s">
        <v>811</v>
      </c>
      <c r="T68" s="196" t="s">
        <v>812</v>
      </c>
      <c r="U68" s="196" t="s">
        <v>813</v>
      </c>
      <c r="V68" s="196" t="s">
        <v>814</v>
      </c>
      <c r="W68" s="196" t="s">
        <v>815</v>
      </c>
    </row>
    <row r="69" spans="2:23" x14ac:dyDescent="0.4">
      <c r="B69" s="194">
        <f t="shared" ref="B69:B132" si="1">B68+1</f>
        <v>61</v>
      </c>
      <c r="C69" s="193" t="s">
        <v>816</v>
      </c>
      <c r="D69" s="193" t="s">
        <v>120</v>
      </c>
      <c r="E69" s="193" t="s">
        <v>817</v>
      </c>
      <c r="F69" s="193" t="s">
        <v>566</v>
      </c>
      <c r="H69" s="443" t="s">
        <v>818</v>
      </c>
      <c r="I69" s="444"/>
      <c r="J69" s="197"/>
      <c r="K69" s="443" t="s">
        <v>819</v>
      </c>
      <c r="L69" s="445"/>
      <c r="M69" s="445"/>
      <c r="N69" s="445"/>
      <c r="O69" s="444"/>
      <c r="P69" s="196" t="s">
        <v>820</v>
      </c>
      <c r="Q69" s="196" t="s">
        <v>821</v>
      </c>
      <c r="R69" s="196" t="s">
        <v>822</v>
      </c>
      <c r="S69" s="196" t="s">
        <v>823</v>
      </c>
      <c r="T69" s="196" t="s">
        <v>824</v>
      </c>
      <c r="U69" s="196" t="s">
        <v>825</v>
      </c>
      <c r="V69" s="196" t="s">
        <v>826</v>
      </c>
      <c r="W69" s="196" t="s">
        <v>827</v>
      </c>
    </row>
    <row r="70" spans="2:23" x14ac:dyDescent="0.4">
      <c r="B70" s="194">
        <f t="shared" si="1"/>
        <v>62</v>
      </c>
      <c r="C70" s="193" t="s">
        <v>828</v>
      </c>
    </row>
    <row r="71" spans="2:23" x14ac:dyDescent="0.4">
      <c r="B71" s="194">
        <f t="shared" si="1"/>
        <v>63</v>
      </c>
      <c r="C71" s="193" t="s">
        <v>829</v>
      </c>
      <c r="D71" s="193" t="s">
        <v>120</v>
      </c>
      <c r="E71" s="193" t="s">
        <v>830</v>
      </c>
      <c r="F71" s="193" t="s">
        <v>553</v>
      </c>
      <c r="H71" s="197"/>
      <c r="I71" s="197"/>
      <c r="J71" s="197"/>
      <c r="K71" s="197"/>
      <c r="L71" s="442" t="s">
        <v>831</v>
      </c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</row>
    <row r="72" spans="2:23" x14ac:dyDescent="0.4">
      <c r="B72" s="194">
        <f t="shared" si="1"/>
        <v>64</v>
      </c>
      <c r="C72" s="193" t="s">
        <v>832</v>
      </c>
      <c r="D72" s="193" t="s">
        <v>149</v>
      </c>
      <c r="E72" s="193" t="s">
        <v>833</v>
      </c>
      <c r="F72" s="193" t="s">
        <v>553</v>
      </c>
      <c r="H72" s="442" t="s">
        <v>834</v>
      </c>
      <c r="I72" s="442"/>
      <c r="J72" s="442"/>
      <c r="K72" s="442"/>
      <c r="L72" s="442" t="s">
        <v>835</v>
      </c>
      <c r="M72" s="442"/>
      <c r="N72" s="442"/>
      <c r="O72" s="442"/>
      <c r="P72" s="442" t="s">
        <v>836</v>
      </c>
      <c r="Q72" s="442"/>
      <c r="R72" s="442"/>
      <c r="S72" s="442"/>
      <c r="T72" s="442" t="s">
        <v>837</v>
      </c>
      <c r="U72" s="442"/>
      <c r="V72" s="442"/>
      <c r="W72" s="442"/>
    </row>
    <row r="73" spans="2:23" x14ac:dyDescent="0.4">
      <c r="B73" s="194">
        <f t="shared" si="1"/>
        <v>65</v>
      </c>
      <c r="C73" s="193" t="s">
        <v>838</v>
      </c>
      <c r="D73" s="193" t="s">
        <v>149</v>
      </c>
      <c r="E73" s="193" t="s">
        <v>839</v>
      </c>
      <c r="F73" s="193" t="s">
        <v>553</v>
      </c>
      <c r="H73" s="442" t="s">
        <v>840</v>
      </c>
      <c r="I73" s="442"/>
      <c r="J73" s="442"/>
      <c r="K73" s="442"/>
      <c r="L73" s="442" t="s">
        <v>841</v>
      </c>
      <c r="M73" s="442"/>
      <c r="N73" s="442"/>
      <c r="O73" s="442"/>
      <c r="P73" s="442" t="s">
        <v>842</v>
      </c>
      <c r="Q73" s="442"/>
      <c r="R73" s="442"/>
      <c r="S73" s="442"/>
      <c r="T73" s="442" t="s">
        <v>843</v>
      </c>
      <c r="U73" s="442"/>
      <c r="V73" s="442"/>
      <c r="W73" s="442"/>
    </row>
    <row r="74" spans="2:23" x14ac:dyDescent="0.4">
      <c r="B74" s="194">
        <f t="shared" si="1"/>
        <v>66</v>
      </c>
      <c r="C74" s="193" t="s">
        <v>844</v>
      </c>
      <c r="D74" s="193" t="s">
        <v>149</v>
      </c>
      <c r="E74" s="193" t="s">
        <v>845</v>
      </c>
      <c r="F74" s="193" t="s">
        <v>553</v>
      </c>
      <c r="H74" s="442" t="s">
        <v>846</v>
      </c>
      <c r="I74" s="442"/>
      <c r="J74" s="442"/>
      <c r="K74" s="442"/>
      <c r="L74" s="442" t="s">
        <v>847</v>
      </c>
      <c r="M74" s="442"/>
      <c r="N74" s="442"/>
      <c r="O74" s="442"/>
      <c r="P74" s="442" t="s">
        <v>848</v>
      </c>
      <c r="Q74" s="442"/>
      <c r="R74" s="442"/>
      <c r="S74" s="442"/>
      <c r="T74" s="442" t="s">
        <v>849</v>
      </c>
      <c r="U74" s="442"/>
      <c r="V74" s="442"/>
      <c r="W74" s="442"/>
    </row>
    <row r="75" spans="2:23" x14ac:dyDescent="0.4">
      <c r="B75" s="194">
        <f t="shared" si="1"/>
        <v>67</v>
      </c>
      <c r="C75" s="193" t="s">
        <v>850</v>
      </c>
      <c r="D75" s="193" t="s">
        <v>149</v>
      </c>
      <c r="E75" s="193" t="s">
        <v>851</v>
      </c>
      <c r="F75" s="193" t="s">
        <v>553</v>
      </c>
      <c r="H75" s="442" t="s">
        <v>852</v>
      </c>
      <c r="I75" s="442"/>
      <c r="J75" s="442"/>
      <c r="K75" s="442"/>
      <c r="L75" s="442" t="s">
        <v>853</v>
      </c>
      <c r="M75" s="442"/>
      <c r="N75" s="442"/>
      <c r="O75" s="442"/>
      <c r="P75" s="442" t="s">
        <v>854</v>
      </c>
      <c r="Q75" s="442"/>
      <c r="R75" s="442"/>
      <c r="S75" s="442"/>
      <c r="T75" s="442" t="s">
        <v>855</v>
      </c>
      <c r="U75" s="442"/>
      <c r="V75" s="442"/>
      <c r="W75" s="442"/>
    </row>
    <row r="76" spans="2:23" x14ac:dyDescent="0.4">
      <c r="B76" s="194">
        <f t="shared" si="1"/>
        <v>68</v>
      </c>
      <c r="C76" s="193" t="s">
        <v>856</v>
      </c>
      <c r="D76" s="193" t="s">
        <v>149</v>
      </c>
      <c r="E76" s="193" t="s">
        <v>857</v>
      </c>
      <c r="F76" s="193" t="s">
        <v>553</v>
      </c>
      <c r="H76" s="442" t="s">
        <v>858</v>
      </c>
      <c r="I76" s="442"/>
      <c r="J76" s="442"/>
      <c r="K76" s="442"/>
      <c r="L76" s="442" t="s">
        <v>859</v>
      </c>
      <c r="M76" s="442"/>
      <c r="N76" s="442"/>
      <c r="O76" s="442"/>
      <c r="P76" s="442" t="s">
        <v>860</v>
      </c>
      <c r="Q76" s="442"/>
      <c r="R76" s="442"/>
      <c r="S76" s="442"/>
      <c r="T76" s="442" t="s">
        <v>861</v>
      </c>
      <c r="U76" s="442"/>
      <c r="V76" s="442"/>
      <c r="W76" s="442"/>
    </row>
    <row r="77" spans="2:23" x14ac:dyDescent="0.4">
      <c r="B77" s="194">
        <f t="shared" si="1"/>
        <v>69</v>
      </c>
      <c r="C77" s="193" t="s">
        <v>862</v>
      </c>
      <c r="D77" s="193" t="s">
        <v>149</v>
      </c>
      <c r="E77" s="193" t="s">
        <v>863</v>
      </c>
      <c r="F77" s="193" t="s">
        <v>553</v>
      </c>
      <c r="H77" s="442" t="s">
        <v>864</v>
      </c>
      <c r="I77" s="442"/>
      <c r="J77" s="442"/>
      <c r="K77" s="442"/>
      <c r="L77" s="442" t="s">
        <v>865</v>
      </c>
      <c r="M77" s="442"/>
      <c r="N77" s="442"/>
      <c r="O77" s="442"/>
      <c r="P77" s="442" t="s">
        <v>866</v>
      </c>
      <c r="Q77" s="442"/>
      <c r="R77" s="442"/>
      <c r="S77" s="442"/>
      <c r="T77" s="442" t="s">
        <v>867</v>
      </c>
      <c r="U77" s="442"/>
      <c r="V77" s="442"/>
      <c r="W77" s="442"/>
    </row>
    <row r="78" spans="2:23" x14ac:dyDescent="0.4">
      <c r="B78" s="194"/>
    </row>
    <row r="79" spans="2:23" x14ac:dyDescent="0.4">
      <c r="B79" s="194"/>
      <c r="C79" s="193" t="s">
        <v>868</v>
      </c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</row>
    <row r="80" spans="2:23" x14ac:dyDescent="0.4">
      <c r="B80" s="194">
        <f>B77+1</f>
        <v>70</v>
      </c>
      <c r="C80" s="296" t="s">
        <v>869</v>
      </c>
      <c r="D80" s="296" t="s">
        <v>120</v>
      </c>
      <c r="E80" s="296" t="s">
        <v>870</v>
      </c>
      <c r="F80" s="296" t="s">
        <v>553</v>
      </c>
      <c r="H80" s="197"/>
      <c r="I80" s="197"/>
      <c r="J80" s="197"/>
      <c r="K80" s="197"/>
      <c r="L80" s="442" t="s">
        <v>831</v>
      </c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</row>
    <row r="81" spans="2:23" x14ac:dyDescent="0.4">
      <c r="B81" s="194">
        <f t="shared" si="1"/>
        <v>71</v>
      </c>
      <c r="C81" s="296" t="s">
        <v>871</v>
      </c>
      <c r="D81" s="296" t="s">
        <v>120</v>
      </c>
      <c r="E81" s="296" t="s">
        <v>872</v>
      </c>
      <c r="F81" s="296" t="s">
        <v>553</v>
      </c>
      <c r="H81" s="197"/>
      <c r="I81" s="197"/>
      <c r="J81" s="197"/>
      <c r="K81" s="197"/>
      <c r="L81" s="442" t="s">
        <v>831</v>
      </c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</row>
    <row r="82" spans="2:23" x14ac:dyDescent="0.4">
      <c r="B82" s="194">
        <f t="shared" si="1"/>
        <v>72</v>
      </c>
      <c r="C82" s="296" t="s">
        <v>873</v>
      </c>
      <c r="D82" s="296" t="s">
        <v>120</v>
      </c>
      <c r="E82" s="296" t="s">
        <v>874</v>
      </c>
      <c r="F82" s="296" t="s">
        <v>566</v>
      </c>
      <c r="H82" s="197"/>
      <c r="I82" s="197"/>
      <c r="J82" s="197"/>
      <c r="K82" s="197"/>
      <c r="L82" s="442" t="s">
        <v>875</v>
      </c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</row>
    <row r="83" spans="2:23" x14ac:dyDescent="0.4">
      <c r="B83" s="194">
        <f t="shared" si="1"/>
        <v>73</v>
      </c>
      <c r="C83" s="296" t="s">
        <v>876</v>
      </c>
      <c r="D83" s="296" t="s">
        <v>120</v>
      </c>
      <c r="E83" s="296" t="s">
        <v>877</v>
      </c>
      <c r="F83" s="296" t="s">
        <v>566</v>
      </c>
      <c r="H83" s="197"/>
      <c r="I83" s="197"/>
      <c r="J83" s="197"/>
      <c r="K83" s="197"/>
      <c r="L83" s="442" t="s">
        <v>875</v>
      </c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</row>
    <row r="84" spans="2:23" x14ac:dyDescent="0.4">
      <c r="B84" s="194">
        <f t="shared" si="1"/>
        <v>74</v>
      </c>
      <c r="C84" s="296" t="s">
        <v>878</v>
      </c>
      <c r="D84" s="296" t="s">
        <v>120</v>
      </c>
      <c r="E84" s="296" t="s">
        <v>879</v>
      </c>
      <c r="F84" s="296" t="s">
        <v>566</v>
      </c>
      <c r="H84" s="197"/>
      <c r="I84" s="197"/>
      <c r="J84" s="197"/>
      <c r="K84" s="197"/>
      <c r="L84" s="442" t="s">
        <v>875</v>
      </c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</row>
    <row r="85" spans="2:23" x14ac:dyDescent="0.4">
      <c r="B85" s="194">
        <f t="shared" si="1"/>
        <v>75</v>
      </c>
      <c r="C85" s="296" t="s">
        <v>880</v>
      </c>
      <c r="D85" s="296" t="s">
        <v>120</v>
      </c>
      <c r="E85" s="296" t="s">
        <v>881</v>
      </c>
      <c r="F85" s="296" t="s">
        <v>566</v>
      </c>
      <c r="H85" s="197"/>
      <c r="I85" s="197"/>
      <c r="J85" s="197"/>
      <c r="K85" s="197"/>
      <c r="L85" s="442" t="s">
        <v>875</v>
      </c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</row>
    <row r="86" spans="2:23" x14ac:dyDescent="0.4">
      <c r="B86" s="194">
        <f t="shared" si="1"/>
        <v>76</v>
      </c>
      <c r="C86" s="296" t="s">
        <v>882</v>
      </c>
      <c r="D86" s="296" t="s">
        <v>120</v>
      </c>
      <c r="E86" s="296" t="s">
        <v>883</v>
      </c>
      <c r="F86" s="296" t="s">
        <v>566</v>
      </c>
      <c r="H86" s="197"/>
      <c r="I86" s="197"/>
      <c r="J86" s="197"/>
      <c r="K86" s="197"/>
      <c r="L86" s="442" t="s">
        <v>875</v>
      </c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</row>
    <row r="87" spans="2:23" x14ac:dyDescent="0.4">
      <c r="B87" s="194">
        <f t="shared" si="1"/>
        <v>77</v>
      </c>
      <c r="C87" s="296" t="s">
        <v>884</v>
      </c>
      <c r="D87" s="296" t="s">
        <v>120</v>
      </c>
      <c r="E87" s="296" t="s">
        <v>885</v>
      </c>
      <c r="F87" s="296" t="s">
        <v>566</v>
      </c>
      <c r="H87" s="197"/>
      <c r="I87" s="197"/>
      <c r="J87" s="197"/>
      <c r="K87" s="197"/>
      <c r="L87" s="442" t="s">
        <v>875</v>
      </c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</row>
    <row r="88" spans="2:23" x14ac:dyDescent="0.4">
      <c r="B88" s="194">
        <f t="shared" si="1"/>
        <v>78</v>
      </c>
      <c r="C88" s="193" t="s">
        <v>886</v>
      </c>
      <c r="D88" s="193" t="s">
        <v>120</v>
      </c>
      <c r="E88" s="193" t="s">
        <v>887</v>
      </c>
      <c r="F88" s="193" t="s">
        <v>553</v>
      </c>
      <c r="H88" s="197"/>
      <c r="I88" s="197"/>
      <c r="J88" s="197"/>
      <c r="K88" s="197"/>
      <c r="L88" s="442" t="s">
        <v>831</v>
      </c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</row>
    <row r="89" spans="2:23" x14ac:dyDescent="0.4">
      <c r="B89" s="194">
        <f t="shared" si="1"/>
        <v>79</v>
      </c>
      <c r="C89" s="193" t="s">
        <v>888</v>
      </c>
      <c r="D89" s="193" t="s">
        <v>120</v>
      </c>
      <c r="E89" s="193" t="s">
        <v>889</v>
      </c>
      <c r="F89" s="193" t="s">
        <v>553</v>
      </c>
      <c r="H89" s="197"/>
      <c r="I89" s="197"/>
      <c r="J89" s="197"/>
      <c r="K89" s="197"/>
      <c r="L89" s="442" t="s">
        <v>831</v>
      </c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</row>
    <row r="90" spans="2:23" x14ac:dyDescent="0.4">
      <c r="B90" s="194">
        <f t="shared" si="1"/>
        <v>80</v>
      </c>
      <c r="C90" s="193" t="s">
        <v>890</v>
      </c>
      <c r="D90" s="193" t="s">
        <v>120</v>
      </c>
      <c r="E90" s="193" t="s">
        <v>891</v>
      </c>
      <c r="F90" s="193" t="s">
        <v>566</v>
      </c>
      <c r="H90" s="197"/>
      <c r="I90" s="197"/>
      <c r="J90" s="197"/>
      <c r="K90" s="197"/>
      <c r="L90" s="442" t="s">
        <v>875</v>
      </c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</row>
    <row r="91" spans="2:23" x14ac:dyDescent="0.4">
      <c r="B91" s="194">
        <f t="shared" si="1"/>
        <v>81</v>
      </c>
      <c r="C91" s="193" t="s">
        <v>892</v>
      </c>
      <c r="D91" s="193" t="s">
        <v>120</v>
      </c>
      <c r="E91" s="193" t="s">
        <v>893</v>
      </c>
      <c r="F91" s="193" t="s">
        <v>566</v>
      </c>
      <c r="H91" s="197"/>
      <c r="I91" s="197"/>
      <c r="J91" s="197"/>
      <c r="K91" s="197"/>
      <c r="L91" s="442" t="s">
        <v>875</v>
      </c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</row>
    <row r="92" spans="2:23" x14ac:dyDescent="0.4">
      <c r="B92" s="194">
        <f t="shared" si="1"/>
        <v>82</v>
      </c>
      <c r="C92" s="193" t="s">
        <v>894</v>
      </c>
      <c r="D92" s="193" t="s">
        <v>120</v>
      </c>
      <c r="E92" s="193" t="s">
        <v>895</v>
      </c>
      <c r="F92" s="193" t="s">
        <v>566</v>
      </c>
      <c r="H92" s="197"/>
      <c r="I92" s="197"/>
      <c r="J92" s="197"/>
      <c r="K92" s="197"/>
      <c r="L92" s="442" t="s">
        <v>875</v>
      </c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</row>
    <row r="93" spans="2:23" x14ac:dyDescent="0.4">
      <c r="B93" s="194">
        <f t="shared" si="1"/>
        <v>83</v>
      </c>
      <c r="C93" s="193" t="s">
        <v>896</v>
      </c>
      <c r="D93" s="193" t="s">
        <v>120</v>
      </c>
      <c r="E93" s="193" t="s">
        <v>897</v>
      </c>
      <c r="F93" s="193" t="s">
        <v>566</v>
      </c>
      <c r="H93" s="197"/>
      <c r="I93" s="197"/>
      <c r="J93" s="197"/>
      <c r="K93" s="197"/>
      <c r="L93" s="442" t="s">
        <v>875</v>
      </c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</row>
    <row r="94" spans="2:23" x14ac:dyDescent="0.4">
      <c r="B94" s="194">
        <f t="shared" si="1"/>
        <v>84</v>
      </c>
      <c r="C94" s="193" t="s">
        <v>898</v>
      </c>
      <c r="D94" s="193" t="s">
        <v>120</v>
      </c>
      <c r="E94" s="193" t="s">
        <v>899</v>
      </c>
      <c r="F94" s="193" t="s">
        <v>566</v>
      </c>
      <c r="H94" s="197"/>
      <c r="I94" s="197"/>
      <c r="J94" s="197"/>
      <c r="K94" s="197"/>
      <c r="L94" s="442" t="s">
        <v>875</v>
      </c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</row>
    <row r="95" spans="2:23" x14ac:dyDescent="0.4">
      <c r="B95" s="194">
        <f t="shared" si="1"/>
        <v>85</v>
      </c>
      <c r="C95" s="193" t="s">
        <v>900</v>
      </c>
      <c r="D95" s="193" t="s">
        <v>120</v>
      </c>
      <c r="E95" s="193" t="s">
        <v>901</v>
      </c>
      <c r="F95" s="193" t="s">
        <v>566</v>
      </c>
      <c r="H95" s="197"/>
      <c r="I95" s="197"/>
      <c r="J95" s="197"/>
      <c r="K95" s="197"/>
      <c r="L95" s="442" t="s">
        <v>875</v>
      </c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</row>
    <row r="96" spans="2:23" x14ac:dyDescent="0.4">
      <c r="B96" s="194">
        <f t="shared" si="1"/>
        <v>86</v>
      </c>
      <c r="C96" s="296" t="s">
        <v>902</v>
      </c>
      <c r="D96" s="296" t="s">
        <v>120</v>
      </c>
      <c r="E96" s="296" t="s">
        <v>903</v>
      </c>
      <c r="F96" s="296" t="s">
        <v>553</v>
      </c>
      <c r="H96" s="197"/>
      <c r="I96" s="197"/>
      <c r="J96" s="197"/>
      <c r="K96" s="197"/>
      <c r="L96" s="442" t="s">
        <v>831</v>
      </c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</row>
    <row r="97" spans="2:23" x14ac:dyDescent="0.4">
      <c r="B97" s="194">
        <f t="shared" si="1"/>
        <v>87</v>
      </c>
      <c r="C97" s="296" t="s">
        <v>904</v>
      </c>
      <c r="D97" s="296" t="s">
        <v>120</v>
      </c>
      <c r="E97" s="296" t="s">
        <v>905</v>
      </c>
      <c r="F97" s="296" t="s">
        <v>553</v>
      </c>
      <c r="H97" s="197"/>
      <c r="I97" s="197"/>
      <c r="J97" s="197"/>
      <c r="K97" s="197"/>
      <c r="L97" s="442" t="s">
        <v>831</v>
      </c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</row>
    <row r="98" spans="2:23" x14ac:dyDescent="0.4">
      <c r="B98" s="194">
        <f t="shared" si="1"/>
        <v>88</v>
      </c>
      <c r="C98" s="296" t="s">
        <v>906</v>
      </c>
      <c r="D98" s="296" t="s">
        <v>120</v>
      </c>
      <c r="E98" s="296" t="s">
        <v>907</v>
      </c>
      <c r="F98" s="296" t="s">
        <v>566</v>
      </c>
      <c r="H98" s="197"/>
      <c r="I98" s="197"/>
      <c r="J98" s="197"/>
      <c r="K98" s="197"/>
      <c r="L98" s="442" t="s">
        <v>875</v>
      </c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</row>
    <row r="99" spans="2:23" x14ac:dyDescent="0.4">
      <c r="B99" s="194">
        <f t="shared" si="1"/>
        <v>89</v>
      </c>
      <c r="C99" s="296" t="s">
        <v>908</v>
      </c>
      <c r="D99" s="296" t="s">
        <v>120</v>
      </c>
      <c r="E99" s="296" t="s">
        <v>909</v>
      </c>
      <c r="F99" s="296" t="s">
        <v>566</v>
      </c>
      <c r="H99" s="197"/>
      <c r="I99" s="197"/>
      <c r="J99" s="197"/>
      <c r="K99" s="197"/>
      <c r="L99" s="442" t="s">
        <v>875</v>
      </c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</row>
    <row r="100" spans="2:23" x14ac:dyDescent="0.4">
      <c r="B100" s="194">
        <f t="shared" si="1"/>
        <v>90</v>
      </c>
      <c r="C100" s="296" t="s">
        <v>910</v>
      </c>
      <c r="D100" s="296" t="s">
        <v>120</v>
      </c>
      <c r="E100" s="296" t="s">
        <v>911</v>
      </c>
      <c r="F100" s="296" t="s">
        <v>566</v>
      </c>
      <c r="H100" s="197"/>
      <c r="I100" s="197"/>
      <c r="J100" s="197"/>
      <c r="K100" s="197"/>
      <c r="L100" s="442" t="s">
        <v>875</v>
      </c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</row>
    <row r="101" spans="2:23" x14ac:dyDescent="0.4">
      <c r="B101" s="194">
        <f t="shared" si="1"/>
        <v>91</v>
      </c>
      <c r="C101" s="296" t="s">
        <v>912</v>
      </c>
      <c r="D101" s="296" t="s">
        <v>120</v>
      </c>
      <c r="E101" s="296" t="s">
        <v>913</v>
      </c>
      <c r="F101" s="296" t="s">
        <v>566</v>
      </c>
      <c r="H101" s="197"/>
      <c r="I101" s="197"/>
      <c r="J101" s="197"/>
      <c r="K101" s="197"/>
      <c r="L101" s="442" t="s">
        <v>875</v>
      </c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</row>
    <row r="102" spans="2:23" x14ac:dyDescent="0.4">
      <c r="B102" s="194">
        <f t="shared" si="1"/>
        <v>92</v>
      </c>
      <c r="C102" s="296" t="s">
        <v>914</v>
      </c>
      <c r="D102" s="296" t="s">
        <v>120</v>
      </c>
      <c r="E102" s="296" t="s">
        <v>915</v>
      </c>
      <c r="F102" s="296" t="s">
        <v>566</v>
      </c>
      <c r="H102" s="197"/>
      <c r="I102" s="197"/>
      <c r="J102" s="197"/>
      <c r="K102" s="197"/>
      <c r="L102" s="442" t="s">
        <v>875</v>
      </c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</row>
    <row r="103" spans="2:23" x14ac:dyDescent="0.4">
      <c r="B103" s="194">
        <f t="shared" si="1"/>
        <v>93</v>
      </c>
      <c r="C103" s="296" t="s">
        <v>916</v>
      </c>
      <c r="D103" s="296" t="s">
        <v>120</v>
      </c>
      <c r="E103" s="296" t="s">
        <v>917</v>
      </c>
      <c r="F103" s="296" t="s">
        <v>566</v>
      </c>
      <c r="H103" s="197"/>
      <c r="I103" s="197"/>
      <c r="J103" s="197"/>
      <c r="K103" s="197"/>
      <c r="L103" s="442" t="s">
        <v>875</v>
      </c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</row>
    <row r="104" spans="2:23" x14ac:dyDescent="0.4">
      <c r="B104" s="194">
        <f t="shared" si="1"/>
        <v>94</v>
      </c>
      <c r="C104" s="193" t="s">
        <v>918</v>
      </c>
      <c r="D104" s="193" t="s">
        <v>120</v>
      </c>
      <c r="E104" s="193" t="s">
        <v>919</v>
      </c>
      <c r="F104" s="193" t="s">
        <v>553</v>
      </c>
      <c r="H104" s="197"/>
      <c r="I104" s="197"/>
      <c r="J104" s="197"/>
      <c r="K104" s="197"/>
      <c r="L104" s="442" t="s">
        <v>831</v>
      </c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</row>
    <row r="105" spans="2:23" x14ac:dyDescent="0.4">
      <c r="B105" s="194">
        <f t="shared" si="1"/>
        <v>95</v>
      </c>
      <c r="C105" s="193" t="s">
        <v>920</v>
      </c>
      <c r="D105" s="193" t="s">
        <v>120</v>
      </c>
      <c r="E105" s="193" t="s">
        <v>921</v>
      </c>
      <c r="F105" s="193" t="s">
        <v>553</v>
      </c>
      <c r="H105" s="197"/>
      <c r="I105" s="197"/>
      <c r="J105" s="197"/>
      <c r="K105" s="197"/>
      <c r="L105" s="442" t="s">
        <v>831</v>
      </c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</row>
    <row r="106" spans="2:23" x14ac:dyDescent="0.4">
      <c r="B106" s="194">
        <f t="shared" si="1"/>
        <v>96</v>
      </c>
      <c r="C106" s="193" t="s">
        <v>922</v>
      </c>
      <c r="D106" s="193" t="s">
        <v>120</v>
      </c>
      <c r="E106" s="193" t="s">
        <v>923</v>
      </c>
      <c r="F106" s="193" t="s">
        <v>566</v>
      </c>
      <c r="H106" s="197"/>
      <c r="I106" s="197"/>
      <c r="J106" s="197"/>
      <c r="K106" s="197"/>
      <c r="L106" s="442" t="s">
        <v>875</v>
      </c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</row>
    <row r="107" spans="2:23" x14ac:dyDescent="0.4">
      <c r="B107" s="194">
        <f t="shared" si="1"/>
        <v>97</v>
      </c>
      <c r="C107" s="193" t="s">
        <v>924</v>
      </c>
      <c r="D107" s="193" t="s">
        <v>120</v>
      </c>
      <c r="E107" s="193" t="s">
        <v>925</v>
      </c>
      <c r="F107" s="193" t="s">
        <v>566</v>
      </c>
      <c r="H107" s="197"/>
      <c r="I107" s="197"/>
      <c r="J107" s="197"/>
      <c r="K107" s="197"/>
      <c r="L107" s="442" t="s">
        <v>875</v>
      </c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</row>
    <row r="108" spans="2:23" x14ac:dyDescent="0.4">
      <c r="B108" s="194">
        <f t="shared" si="1"/>
        <v>98</v>
      </c>
      <c r="C108" s="193" t="s">
        <v>926</v>
      </c>
      <c r="D108" s="193" t="s">
        <v>120</v>
      </c>
      <c r="E108" s="193" t="s">
        <v>927</v>
      </c>
      <c r="F108" s="193" t="s">
        <v>566</v>
      </c>
      <c r="H108" s="197"/>
      <c r="I108" s="197"/>
      <c r="J108" s="197"/>
      <c r="K108" s="197"/>
      <c r="L108" s="442" t="s">
        <v>875</v>
      </c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</row>
    <row r="109" spans="2:23" x14ac:dyDescent="0.4">
      <c r="B109" s="194">
        <f t="shared" si="1"/>
        <v>99</v>
      </c>
      <c r="C109" s="193" t="s">
        <v>928</v>
      </c>
      <c r="D109" s="193" t="s">
        <v>120</v>
      </c>
      <c r="E109" s="193" t="s">
        <v>929</v>
      </c>
      <c r="F109" s="193" t="s">
        <v>566</v>
      </c>
      <c r="H109" s="197"/>
      <c r="I109" s="197"/>
      <c r="J109" s="197"/>
      <c r="K109" s="197"/>
      <c r="L109" s="442" t="s">
        <v>875</v>
      </c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</row>
    <row r="110" spans="2:23" x14ac:dyDescent="0.4">
      <c r="B110" s="194">
        <f t="shared" si="1"/>
        <v>100</v>
      </c>
      <c r="C110" s="193" t="s">
        <v>930</v>
      </c>
      <c r="D110" s="193" t="s">
        <v>120</v>
      </c>
      <c r="E110" s="193" t="s">
        <v>931</v>
      </c>
      <c r="F110" s="193" t="s">
        <v>566</v>
      </c>
      <c r="H110" s="197"/>
      <c r="I110" s="197"/>
      <c r="J110" s="197"/>
      <c r="K110" s="197"/>
      <c r="L110" s="442" t="s">
        <v>875</v>
      </c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</row>
    <row r="111" spans="2:23" x14ac:dyDescent="0.4">
      <c r="B111" s="194">
        <f t="shared" si="1"/>
        <v>101</v>
      </c>
      <c r="C111" s="193" t="s">
        <v>932</v>
      </c>
      <c r="D111" s="193" t="s">
        <v>120</v>
      </c>
      <c r="E111" s="193" t="s">
        <v>933</v>
      </c>
      <c r="F111" s="193" t="s">
        <v>566</v>
      </c>
      <c r="H111" s="197"/>
      <c r="I111" s="197"/>
      <c r="J111" s="197"/>
      <c r="K111" s="197"/>
      <c r="L111" s="442" t="s">
        <v>875</v>
      </c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</row>
    <row r="112" spans="2:23" x14ac:dyDescent="0.4">
      <c r="B112" s="194">
        <f t="shared" si="1"/>
        <v>102</v>
      </c>
      <c r="C112" s="296" t="s">
        <v>934</v>
      </c>
      <c r="D112" s="296" t="s">
        <v>120</v>
      </c>
      <c r="E112" s="296" t="s">
        <v>935</v>
      </c>
      <c r="F112" s="296" t="s">
        <v>553</v>
      </c>
      <c r="H112" s="197"/>
      <c r="I112" s="197"/>
      <c r="J112" s="197"/>
      <c r="K112" s="197"/>
      <c r="L112" s="442" t="s">
        <v>831</v>
      </c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</row>
    <row r="113" spans="2:23" x14ac:dyDescent="0.4">
      <c r="B113" s="194">
        <f t="shared" si="1"/>
        <v>103</v>
      </c>
      <c r="C113" s="296" t="s">
        <v>936</v>
      </c>
      <c r="D113" s="296" t="s">
        <v>120</v>
      </c>
      <c r="E113" s="296" t="s">
        <v>937</v>
      </c>
      <c r="F113" s="296" t="s">
        <v>553</v>
      </c>
      <c r="H113" s="197"/>
      <c r="I113" s="197"/>
      <c r="J113" s="197"/>
      <c r="K113" s="197"/>
      <c r="L113" s="442" t="s">
        <v>831</v>
      </c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</row>
    <row r="114" spans="2:23" x14ac:dyDescent="0.4">
      <c r="B114" s="194">
        <f t="shared" si="1"/>
        <v>104</v>
      </c>
      <c r="C114" s="296" t="s">
        <v>938</v>
      </c>
      <c r="D114" s="296" t="s">
        <v>120</v>
      </c>
      <c r="E114" s="296" t="s">
        <v>939</v>
      </c>
      <c r="F114" s="296" t="s">
        <v>566</v>
      </c>
      <c r="H114" s="197"/>
      <c r="I114" s="197"/>
      <c r="J114" s="197"/>
      <c r="K114" s="197"/>
      <c r="L114" s="442" t="s">
        <v>875</v>
      </c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</row>
    <row r="115" spans="2:23" x14ac:dyDescent="0.4">
      <c r="B115" s="194">
        <f t="shared" si="1"/>
        <v>105</v>
      </c>
      <c r="C115" s="296" t="s">
        <v>940</v>
      </c>
      <c r="D115" s="296" t="s">
        <v>120</v>
      </c>
      <c r="E115" s="296" t="s">
        <v>941</v>
      </c>
      <c r="F115" s="296" t="s">
        <v>566</v>
      </c>
      <c r="H115" s="197"/>
      <c r="I115" s="197"/>
      <c r="J115" s="197"/>
      <c r="K115" s="197"/>
      <c r="L115" s="442" t="s">
        <v>875</v>
      </c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</row>
    <row r="116" spans="2:23" x14ac:dyDescent="0.4">
      <c r="B116" s="194">
        <f t="shared" si="1"/>
        <v>106</v>
      </c>
      <c r="C116" s="296" t="s">
        <v>942</v>
      </c>
      <c r="D116" s="296" t="s">
        <v>120</v>
      </c>
      <c r="E116" s="296" t="s">
        <v>943</v>
      </c>
      <c r="F116" s="296" t="s">
        <v>566</v>
      </c>
      <c r="H116" s="197"/>
      <c r="I116" s="197"/>
      <c r="J116" s="197"/>
      <c r="K116" s="197"/>
      <c r="L116" s="442" t="s">
        <v>875</v>
      </c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</row>
    <row r="117" spans="2:23" x14ac:dyDescent="0.4">
      <c r="B117" s="194">
        <f t="shared" si="1"/>
        <v>107</v>
      </c>
      <c r="C117" s="296" t="s">
        <v>944</v>
      </c>
      <c r="D117" s="296" t="s">
        <v>120</v>
      </c>
      <c r="E117" s="296" t="s">
        <v>945</v>
      </c>
      <c r="F117" s="296" t="s">
        <v>566</v>
      </c>
      <c r="H117" s="197"/>
      <c r="I117" s="197"/>
      <c r="J117" s="197"/>
      <c r="K117" s="197"/>
      <c r="L117" s="442" t="s">
        <v>875</v>
      </c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</row>
    <row r="118" spans="2:23" x14ac:dyDescent="0.4">
      <c r="B118" s="194">
        <f t="shared" si="1"/>
        <v>108</v>
      </c>
      <c r="C118" s="296" t="s">
        <v>946</v>
      </c>
      <c r="D118" s="296" t="s">
        <v>120</v>
      </c>
      <c r="E118" s="296" t="s">
        <v>947</v>
      </c>
      <c r="F118" s="296" t="s">
        <v>566</v>
      </c>
      <c r="H118" s="197"/>
      <c r="I118" s="197"/>
      <c r="J118" s="197"/>
      <c r="K118" s="197"/>
      <c r="L118" s="442" t="s">
        <v>875</v>
      </c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</row>
    <row r="119" spans="2:23" x14ac:dyDescent="0.4">
      <c r="B119" s="194">
        <f t="shared" si="1"/>
        <v>109</v>
      </c>
      <c r="C119" s="296" t="s">
        <v>948</v>
      </c>
      <c r="D119" s="296" t="s">
        <v>120</v>
      </c>
      <c r="E119" s="296" t="s">
        <v>949</v>
      </c>
      <c r="F119" s="296" t="s">
        <v>566</v>
      </c>
      <c r="H119" s="197"/>
      <c r="I119" s="197"/>
      <c r="J119" s="197"/>
      <c r="K119" s="197"/>
      <c r="L119" s="442" t="s">
        <v>875</v>
      </c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</row>
    <row r="120" spans="2:23" x14ac:dyDescent="0.4">
      <c r="B120" s="194">
        <f t="shared" si="1"/>
        <v>110</v>
      </c>
      <c r="C120" s="193" t="s">
        <v>950</v>
      </c>
      <c r="D120" s="193" t="s">
        <v>120</v>
      </c>
      <c r="E120" s="193" t="s">
        <v>951</v>
      </c>
      <c r="F120" s="193" t="s">
        <v>553</v>
      </c>
      <c r="H120" s="197"/>
      <c r="I120" s="197"/>
      <c r="J120" s="197"/>
      <c r="K120" s="197"/>
      <c r="L120" s="442" t="s">
        <v>831</v>
      </c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</row>
    <row r="121" spans="2:23" x14ac:dyDescent="0.4">
      <c r="B121" s="194">
        <f t="shared" si="1"/>
        <v>111</v>
      </c>
      <c r="C121" s="193" t="s">
        <v>952</v>
      </c>
      <c r="D121" s="193" t="s">
        <v>120</v>
      </c>
      <c r="E121" s="193" t="s">
        <v>953</v>
      </c>
      <c r="F121" s="193" t="s">
        <v>553</v>
      </c>
      <c r="H121" s="197"/>
      <c r="I121" s="197"/>
      <c r="J121" s="197"/>
      <c r="K121" s="197"/>
      <c r="L121" s="442" t="s">
        <v>831</v>
      </c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</row>
    <row r="122" spans="2:23" x14ac:dyDescent="0.4">
      <c r="B122" s="194">
        <f t="shared" si="1"/>
        <v>112</v>
      </c>
      <c r="C122" s="193" t="s">
        <v>954</v>
      </c>
      <c r="D122" s="193" t="s">
        <v>120</v>
      </c>
      <c r="E122" s="193" t="s">
        <v>955</v>
      </c>
      <c r="F122" s="193" t="s">
        <v>566</v>
      </c>
      <c r="H122" s="197"/>
      <c r="I122" s="197"/>
      <c r="J122" s="197"/>
      <c r="K122" s="197"/>
      <c r="L122" s="442" t="s">
        <v>875</v>
      </c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</row>
    <row r="123" spans="2:23" x14ac:dyDescent="0.4">
      <c r="B123" s="194">
        <f t="shared" si="1"/>
        <v>113</v>
      </c>
      <c r="C123" s="193" t="s">
        <v>956</v>
      </c>
      <c r="D123" s="193" t="s">
        <v>120</v>
      </c>
      <c r="E123" s="193" t="s">
        <v>957</v>
      </c>
      <c r="F123" s="193" t="s">
        <v>566</v>
      </c>
      <c r="H123" s="197"/>
      <c r="I123" s="197"/>
      <c r="J123" s="197"/>
      <c r="K123" s="197"/>
      <c r="L123" s="442" t="s">
        <v>875</v>
      </c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</row>
    <row r="124" spans="2:23" x14ac:dyDescent="0.4">
      <c r="B124" s="194">
        <f t="shared" si="1"/>
        <v>114</v>
      </c>
      <c r="C124" s="193" t="s">
        <v>958</v>
      </c>
      <c r="D124" s="193" t="s">
        <v>120</v>
      </c>
      <c r="E124" s="193" t="s">
        <v>959</v>
      </c>
      <c r="F124" s="193" t="s">
        <v>566</v>
      </c>
      <c r="H124" s="197"/>
      <c r="I124" s="197"/>
      <c r="J124" s="197"/>
      <c r="K124" s="197"/>
      <c r="L124" s="442" t="s">
        <v>875</v>
      </c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</row>
    <row r="125" spans="2:23" x14ac:dyDescent="0.4">
      <c r="B125" s="194">
        <f t="shared" si="1"/>
        <v>115</v>
      </c>
      <c r="C125" s="193" t="s">
        <v>960</v>
      </c>
      <c r="D125" s="193" t="s">
        <v>120</v>
      </c>
      <c r="E125" s="193" t="s">
        <v>961</v>
      </c>
      <c r="F125" s="193" t="s">
        <v>566</v>
      </c>
      <c r="H125" s="197"/>
      <c r="I125" s="197"/>
      <c r="J125" s="197"/>
      <c r="K125" s="197"/>
      <c r="L125" s="442" t="s">
        <v>875</v>
      </c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</row>
    <row r="126" spans="2:23" x14ac:dyDescent="0.4">
      <c r="B126" s="194">
        <f t="shared" si="1"/>
        <v>116</v>
      </c>
      <c r="C126" s="193" t="s">
        <v>962</v>
      </c>
      <c r="D126" s="193" t="s">
        <v>120</v>
      </c>
      <c r="E126" s="193" t="s">
        <v>963</v>
      </c>
      <c r="F126" s="193" t="s">
        <v>566</v>
      </c>
      <c r="H126" s="197"/>
      <c r="I126" s="197"/>
      <c r="J126" s="197"/>
      <c r="K126" s="197"/>
      <c r="L126" s="442" t="s">
        <v>875</v>
      </c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</row>
    <row r="127" spans="2:23" x14ac:dyDescent="0.4">
      <c r="B127" s="194">
        <f t="shared" si="1"/>
        <v>117</v>
      </c>
      <c r="C127" s="193" t="s">
        <v>964</v>
      </c>
      <c r="D127" s="193" t="s">
        <v>120</v>
      </c>
      <c r="E127" s="193" t="s">
        <v>965</v>
      </c>
      <c r="F127" s="193" t="s">
        <v>566</v>
      </c>
      <c r="H127" s="197"/>
      <c r="I127" s="197"/>
      <c r="J127" s="197"/>
      <c r="K127" s="197"/>
      <c r="L127" s="442" t="s">
        <v>875</v>
      </c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</row>
    <row r="128" spans="2:23" x14ac:dyDescent="0.4">
      <c r="B128" s="194">
        <f t="shared" si="1"/>
        <v>118</v>
      </c>
      <c r="C128" s="296" t="s">
        <v>966</v>
      </c>
      <c r="D128" s="296" t="s">
        <v>120</v>
      </c>
      <c r="E128" s="296" t="s">
        <v>967</v>
      </c>
      <c r="F128" s="296" t="s">
        <v>553</v>
      </c>
      <c r="H128" s="197"/>
      <c r="I128" s="197"/>
      <c r="J128" s="197"/>
      <c r="K128" s="197"/>
      <c r="L128" s="442" t="s">
        <v>831</v>
      </c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</row>
    <row r="129" spans="2:23" x14ac:dyDescent="0.4">
      <c r="B129" s="194">
        <f t="shared" si="1"/>
        <v>119</v>
      </c>
      <c r="C129" s="296" t="s">
        <v>968</v>
      </c>
      <c r="D129" s="296" t="s">
        <v>120</v>
      </c>
      <c r="E129" s="296" t="s">
        <v>969</v>
      </c>
      <c r="F129" s="296" t="s">
        <v>553</v>
      </c>
      <c r="H129" s="197"/>
      <c r="I129" s="197"/>
      <c r="J129" s="197"/>
      <c r="K129" s="197"/>
      <c r="L129" s="442" t="s">
        <v>831</v>
      </c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</row>
    <row r="130" spans="2:23" x14ac:dyDescent="0.4">
      <c r="B130" s="194">
        <f t="shared" si="1"/>
        <v>120</v>
      </c>
      <c r="C130" s="296" t="s">
        <v>970</v>
      </c>
      <c r="D130" s="296" t="s">
        <v>120</v>
      </c>
      <c r="E130" s="296" t="s">
        <v>971</v>
      </c>
      <c r="F130" s="296" t="s">
        <v>566</v>
      </c>
      <c r="H130" s="197"/>
      <c r="I130" s="197"/>
      <c r="J130" s="197"/>
      <c r="K130" s="197"/>
      <c r="L130" s="442" t="s">
        <v>875</v>
      </c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</row>
    <row r="131" spans="2:23" x14ac:dyDescent="0.4">
      <c r="B131" s="194">
        <f t="shared" si="1"/>
        <v>121</v>
      </c>
      <c r="C131" s="296" t="s">
        <v>972</v>
      </c>
      <c r="D131" s="296" t="s">
        <v>120</v>
      </c>
      <c r="E131" s="296" t="s">
        <v>973</v>
      </c>
      <c r="F131" s="296" t="s">
        <v>566</v>
      </c>
      <c r="H131" s="197"/>
      <c r="I131" s="197"/>
      <c r="J131" s="197"/>
      <c r="K131" s="197"/>
      <c r="L131" s="442" t="s">
        <v>875</v>
      </c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</row>
    <row r="132" spans="2:23" x14ac:dyDescent="0.4">
      <c r="B132" s="194">
        <f t="shared" si="1"/>
        <v>122</v>
      </c>
      <c r="C132" s="296" t="s">
        <v>974</v>
      </c>
      <c r="D132" s="296" t="s">
        <v>120</v>
      </c>
      <c r="E132" s="296" t="s">
        <v>975</v>
      </c>
      <c r="F132" s="296" t="s">
        <v>566</v>
      </c>
      <c r="H132" s="197"/>
      <c r="I132" s="197"/>
      <c r="J132" s="197"/>
      <c r="K132" s="197"/>
      <c r="L132" s="442" t="s">
        <v>875</v>
      </c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</row>
    <row r="133" spans="2:23" x14ac:dyDescent="0.4">
      <c r="B133" s="194">
        <f t="shared" ref="B133:B196" si="2">B132+1</f>
        <v>123</v>
      </c>
      <c r="C133" s="296" t="s">
        <v>976</v>
      </c>
      <c r="D133" s="296" t="s">
        <v>120</v>
      </c>
      <c r="E133" s="296" t="s">
        <v>977</v>
      </c>
      <c r="F133" s="296" t="s">
        <v>566</v>
      </c>
      <c r="H133" s="197"/>
      <c r="I133" s="197"/>
      <c r="J133" s="197"/>
      <c r="K133" s="197"/>
      <c r="L133" s="442" t="s">
        <v>875</v>
      </c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</row>
    <row r="134" spans="2:23" x14ac:dyDescent="0.4">
      <c r="B134" s="194">
        <f t="shared" si="2"/>
        <v>124</v>
      </c>
      <c r="C134" s="296" t="s">
        <v>978</v>
      </c>
      <c r="D134" s="296" t="s">
        <v>120</v>
      </c>
      <c r="E134" s="296" t="s">
        <v>979</v>
      </c>
      <c r="F134" s="296" t="s">
        <v>566</v>
      </c>
      <c r="H134" s="197"/>
      <c r="I134" s="197"/>
      <c r="J134" s="197"/>
      <c r="K134" s="197"/>
      <c r="L134" s="442" t="s">
        <v>875</v>
      </c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</row>
    <row r="135" spans="2:23" x14ac:dyDescent="0.4">
      <c r="B135" s="194">
        <f t="shared" si="2"/>
        <v>125</v>
      </c>
      <c r="C135" s="296" t="s">
        <v>980</v>
      </c>
      <c r="D135" s="296" t="s">
        <v>120</v>
      </c>
      <c r="E135" s="296" t="s">
        <v>981</v>
      </c>
      <c r="F135" s="296" t="s">
        <v>566</v>
      </c>
      <c r="H135" s="197"/>
      <c r="I135" s="197"/>
      <c r="J135" s="197"/>
      <c r="K135" s="197"/>
      <c r="L135" s="442" t="s">
        <v>875</v>
      </c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</row>
    <row r="136" spans="2:23" x14ac:dyDescent="0.4">
      <c r="B136" s="194">
        <f t="shared" si="2"/>
        <v>126</v>
      </c>
      <c r="C136" s="193" t="s">
        <v>982</v>
      </c>
      <c r="D136" s="193" t="s">
        <v>120</v>
      </c>
      <c r="E136" s="193" t="s">
        <v>983</v>
      </c>
      <c r="F136" s="193" t="s">
        <v>553</v>
      </c>
      <c r="H136" s="197"/>
      <c r="I136" s="197"/>
      <c r="J136" s="197"/>
      <c r="K136" s="197"/>
      <c r="L136" s="442" t="s">
        <v>831</v>
      </c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</row>
    <row r="137" spans="2:23" x14ac:dyDescent="0.4">
      <c r="B137" s="194">
        <f t="shared" si="2"/>
        <v>127</v>
      </c>
      <c r="C137" s="193" t="s">
        <v>984</v>
      </c>
      <c r="D137" s="193" t="s">
        <v>120</v>
      </c>
      <c r="E137" s="193" t="s">
        <v>985</v>
      </c>
      <c r="F137" s="193" t="s">
        <v>553</v>
      </c>
      <c r="H137" s="197"/>
      <c r="I137" s="197"/>
      <c r="J137" s="197"/>
      <c r="K137" s="197"/>
      <c r="L137" s="442" t="s">
        <v>831</v>
      </c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</row>
    <row r="138" spans="2:23" x14ac:dyDescent="0.4">
      <c r="B138" s="194">
        <f t="shared" si="2"/>
        <v>128</v>
      </c>
      <c r="C138" s="193" t="s">
        <v>986</v>
      </c>
      <c r="D138" s="193" t="s">
        <v>120</v>
      </c>
      <c r="E138" s="193" t="s">
        <v>987</v>
      </c>
      <c r="F138" s="193" t="s">
        <v>566</v>
      </c>
      <c r="H138" s="197"/>
      <c r="I138" s="197"/>
      <c r="J138" s="197"/>
      <c r="K138" s="197"/>
      <c r="L138" s="442" t="s">
        <v>875</v>
      </c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</row>
    <row r="139" spans="2:23" x14ac:dyDescent="0.4">
      <c r="B139" s="194">
        <f t="shared" si="2"/>
        <v>129</v>
      </c>
      <c r="C139" s="193" t="s">
        <v>988</v>
      </c>
      <c r="D139" s="193" t="s">
        <v>120</v>
      </c>
      <c r="E139" s="193" t="s">
        <v>989</v>
      </c>
      <c r="F139" s="193" t="s">
        <v>566</v>
      </c>
      <c r="H139" s="197"/>
      <c r="I139" s="197"/>
      <c r="J139" s="197"/>
      <c r="K139" s="197"/>
      <c r="L139" s="442" t="s">
        <v>875</v>
      </c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</row>
    <row r="140" spans="2:23" x14ac:dyDescent="0.4">
      <c r="B140" s="194">
        <f t="shared" si="2"/>
        <v>130</v>
      </c>
      <c r="C140" s="193" t="s">
        <v>990</v>
      </c>
      <c r="D140" s="193" t="s">
        <v>120</v>
      </c>
      <c r="E140" s="193" t="s">
        <v>991</v>
      </c>
      <c r="F140" s="193" t="s">
        <v>566</v>
      </c>
      <c r="H140" s="197"/>
      <c r="I140" s="197"/>
      <c r="J140" s="197"/>
      <c r="K140" s="197"/>
      <c r="L140" s="442" t="s">
        <v>875</v>
      </c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</row>
    <row r="141" spans="2:23" x14ac:dyDescent="0.4">
      <c r="B141" s="194">
        <f t="shared" si="2"/>
        <v>131</v>
      </c>
      <c r="C141" s="193" t="s">
        <v>992</v>
      </c>
      <c r="D141" s="193" t="s">
        <v>120</v>
      </c>
      <c r="E141" s="193" t="s">
        <v>993</v>
      </c>
      <c r="F141" s="193" t="s">
        <v>566</v>
      </c>
      <c r="H141" s="197"/>
      <c r="I141" s="197"/>
      <c r="J141" s="197"/>
      <c r="K141" s="197"/>
      <c r="L141" s="442" t="s">
        <v>875</v>
      </c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</row>
    <row r="142" spans="2:23" x14ac:dyDescent="0.4">
      <c r="B142" s="194">
        <f t="shared" si="2"/>
        <v>132</v>
      </c>
      <c r="C142" s="193" t="s">
        <v>994</v>
      </c>
      <c r="D142" s="193" t="s">
        <v>120</v>
      </c>
      <c r="E142" s="193" t="s">
        <v>995</v>
      </c>
      <c r="F142" s="193" t="s">
        <v>566</v>
      </c>
      <c r="H142" s="197"/>
      <c r="I142" s="197"/>
      <c r="J142" s="197"/>
      <c r="K142" s="197"/>
      <c r="L142" s="442" t="s">
        <v>875</v>
      </c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</row>
    <row r="143" spans="2:23" x14ac:dyDescent="0.4">
      <c r="B143" s="194">
        <f t="shared" si="2"/>
        <v>133</v>
      </c>
      <c r="C143" s="193" t="s">
        <v>996</v>
      </c>
      <c r="D143" s="193" t="s">
        <v>120</v>
      </c>
      <c r="E143" s="193" t="s">
        <v>997</v>
      </c>
      <c r="F143" s="193" t="s">
        <v>566</v>
      </c>
      <c r="H143" s="197"/>
      <c r="I143" s="197"/>
      <c r="J143" s="197"/>
      <c r="K143" s="197"/>
      <c r="L143" s="442" t="s">
        <v>875</v>
      </c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</row>
    <row r="144" spans="2:23" x14ac:dyDescent="0.4">
      <c r="B144" s="194">
        <f t="shared" si="2"/>
        <v>134</v>
      </c>
      <c r="C144" s="296" t="s">
        <v>998</v>
      </c>
      <c r="D144" s="296" t="s">
        <v>120</v>
      </c>
      <c r="E144" s="296" t="s">
        <v>999</v>
      </c>
      <c r="F144" s="296" t="s">
        <v>553</v>
      </c>
      <c r="H144" s="197"/>
      <c r="I144" s="197"/>
      <c r="J144" s="197"/>
      <c r="K144" s="197"/>
      <c r="L144" s="442" t="s">
        <v>831</v>
      </c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</row>
    <row r="145" spans="2:23" x14ac:dyDescent="0.4">
      <c r="B145" s="194">
        <f t="shared" si="2"/>
        <v>135</v>
      </c>
      <c r="C145" s="296" t="s">
        <v>1000</v>
      </c>
      <c r="D145" s="296" t="s">
        <v>120</v>
      </c>
      <c r="E145" s="296" t="s">
        <v>1001</v>
      </c>
      <c r="F145" s="296" t="s">
        <v>553</v>
      </c>
      <c r="H145" s="197"/>
      <c r="I145" s="197"/>
      <c r="J145" s="197"/>
      <c r="K145" s="197"/>
      <c r="L145" s="442" t="s">
        <v>831</v>
      </c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</row>
    <row r="146" spans="2:23" x14ac:dyDescent="0.4">
      <c r="B146" s="194">
        <f t="shared" si="2"/>
        <v>136</v>
      </c>
      <c r="C146" s="296" t="s">
        <v>1002</v>
      </c>
      <c r="D146" s="296" t="s">
        <v>120</v>
      </c>
      <c r="E146" s="296" t="s">
        <v>1003</v>
      </c>
      <c r="F146" s="296" t="s">
        <v>566</v>
      </c>
      <c r="H146" s="197"/>
      <c r="I146" s="197"/>
      <c r="J146" s="197"/>
      <c r="K146" s="197"/>
      <c r="L146" s="442" t="s">
        <v>875</v>
      </c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</row>
    <row r="147" spans="2:23" x14ac:dyDescent="0.4">
      <c r="B147" s="194">
        <f t="shared" si="2"/>
        <v>137</v>
      </c>
      <c r="C147" s="296" t="s">
        <v>1004</v>
      </c>
      <c r="D147" s="296" t="s">
        <v>120</v>
      </c>
      <c r="E147" s="296" t="s">
        <v>1005</v>
      </c>
      <c r="F147" s="296" t="s">
        <v>566</v>
      </c>
      <c r="H147" s="197"/>
      <c r="I147" s="197"/>
      <c r="J147" s="197"/>
      <c r="K147" s="197"/>
      <c r="L147" s="442" t="s">
        <v>875</v>
      </c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</row>
    <row r="148" spans="2:23" x14ac:dyDescent="0.4">
      <c r="B148" s="194">
        <f t="shared" si="2"/>
        <v>138</v>
      </c>
      <c r="C148" s="296" t="s">
        <v>1006</v>
      </c>
      <c r="D148" s="296" t="s">
        <v>120</v>
      </c>
      <c r="E148" s="296" t="s">
        <v>1007</v>
      </c>
      <c r="F148" s="296" t="s">
        <v>566</v>
      </c>
      <c r="H148" s="197"/>
      <c r="I148" s="197"/>
      <c r="J148" s="197"/>
      <c r="K148" s="197"/>
      <c r="L148" s="442" t="s">
        <v>875</v>
      </c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</row>
    <row r="149" spans="2:23" x14ac:dyDescent="0.4">
      <c r="B149" s="194">
        <f t="shared" si="2"/>
        <v>139</v>
      </c>
      <c r="C149" s="296" t="s">
        <v>1008</v>
      </c>
      <c r="D149" s="296" t="s">
        <v>120</v>
      </c>
      <c r="E149" s="296" t="s">
        <v>1009</v>
      </c>
      <c r="F149" s="296" t="s">
        <v>566</v>
      </c>
      <c r="H149" s="197"/>
      <c r="I149" s="197"/>
      <c r="J149" s="197"/>
      <c r="K149" s="197"/>
      <c r="L149" s="442" t="s">
        <v>875</v>
      </c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</row>
    <row r="150" spans="2:23" x14ac:dyDescent="0.4">
      <c r="B150" s="194">
        <f t="shared" si="2"/>
        <v>140</v>
      </c>
      <c r="C150" s="296" t="s">
        <v>1010</v>
      </c>
      <c r="D150" s="296" t="s">
        <v>120</v>
      </c>
      <c r="E150" s="296" t="s">
        <v>1011</v>
      </c>
      <c r="F150" s="296" t="s">
        <v>566</v>
      </c>
      <c r="H150" s="197"/>
      <c r="I150" s="197"/>
      <c r="J150" s="197"/>
      <c r="K150" s="197"/>
      <c r="L150" s="442" t="s">
        <v>875</v>
      </c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</row>
    <row r="151" spans="2:23" x14ac:dyDescent="0.4">
      <c r="B151" s="194">
        <f t="shared" si="2"/>
        <v>141</v>
      </c>
      <c r="C151" s="296" t="s">
        <v>1012</v>
      </c>
      <c r="D151" s="296" t="s">
        <v>120</v>
      </c>
      <c r="E151" s="296" t="s">
        <v>1013</v>
      </c>
      <c r="F151" s="296" t="s">
        <v>566</v>
      </c>
      <c r="H151" s="197"/>
      <c r="I151" s="197"/>
      <c r="J151" s="197"/>
      <c r="K151" s="197"/>
      <c r="L151" s="442" t="s">
        <v>875</v>
      </c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</row>
    <row r="152" spans="2:23" x14ac:dyDescent="0.4">
      <c r="B152" s="194">
        <f t="shared" si="2"/>
        <v>142</v>
      </c>
      <c r="C152" s="193" t="s">
        <v>1014</v>
      </c>
      <c r="D152" s="193" t="s">
        <v>120</v>
      </c>
      <c r="E152" s="193" t="s">
        <v>1015</v>
      </c>
      <c r="F152" s="193" t="s">
        <v>553</v>
      </c>
      <c r="H152" s="197"/>
      <c r="I152" s="197"/>
      <c r="J152" s="197"/>
      <c r="K152" s="197"/>
      <c r="L152" s="442" t="s">
        <v>831</v>
      </c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</row>
    <row r="153" spans="2:23" x14ac:dyDescent="0.4">
      <c r="B153" s="194">
        <f t="shared" si="2"/>
        <v>143</v>
      </c>
      <c r="C153" s="193" t="s">
        <v>1016</v>
      </c>
      <c r="D153" s="193" t="s">
        <v>120</v>
      </c>
      <c r="E153" s="193" t="s">
        <v>1017</v>
      </c>
      <c r="F153" s="193" t="s">
        <v>553</v>
      </c>
      <c r="H153" s="197"/>
      <c r="I153" s="197"/>
      <c r="J153" s="197"/>
      <c r="K153" s="197"/>
      <c r="L153" s="442" t="s">
        <v>831</v>
      </c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</row>
    <row r="154" spans="2:23" x14ac:dyDescent="0.4">
      <c r="B154" s="194">
        <f t="shared" si="2"/>
        <v>144</v>
      </c>
      <c r="C154" s="193" t="s">
        <v>1018</v>
      </c>
      <c r="D154" s="193" t="s">
        <v>120</v>
      </c>
      <c r="E154" s="193" t="s">
        <v>1019</v>
      </c>
      <c r="F154" s="193" t="s">
        <v>566</v>
      </c>
      <c r="H154" s="197"/>
      <c r="I154" s="197"/>
      <c r="J154" s="197"/>
      <c r="K154" s="197"/>
      <c r="L154" s="442" t="s">
        <v>875</v>
      </c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</row>
    <row r="155" spans="2:23" x14ac:dyDescent="0.4">
      <c r="B155" s="194">
        <f t="shared" si="2"/>
        <v>145</v>
      </c>
      <c r="C155" s="193" t="s">
        <v>1020</v>
      </c>
      <c r="D155" s="193" t="s">
        <v>120</v>
      </c>
      <c r="E155" s="193" t="s">
        <v>1021</v>
      </c>
      <c r="F155" s="193" t="s">
        <v>566</v>
      </c>
      <c r="H155" s="197"/>
      <c r="I155" s="197"/>
      <c r="J155" s="197"/>
      <c r="K155" s="197"/>
      <c r="L155" s="442" t="s">
        <v>875</v>
      </c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</row>
    <row r="156" spans="2:23" x14ac:dyDescent="0.4">
      <c r="B156" s="194">
        <f t="shared" si="2"/>
        <v>146</v>
      </c>
      <c r="C156" s="193" t="s">
        <v>1022</v>
      </c>
      <c r="D156" s="193" t="s">
        <v>120</v>
      </c>
      <c r="E156" s="193" t="s">
        <v>1023</v>
      </c>
      <c r="F156" s="193" t="s">
        <v>566</v>
      </c>
      <c r="H156" s="197"/>
      <c r="I156" s="197"/>
      <c r="J156" s="197"/>
      <c r="K156" s="197"/>
      <c r="L156" s="442" t="s">
        <v>875</v>
      </c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</row>
    <row r="157" spans="2:23" x14ac:dyDescent="0.4">
      <c r="B157" s="194">
        <f t="shared" si="2"/>
        <v>147</v>
      </c>
      <c r="C157" s="193" t="s">
        <v>1024</v>
      </c>
      <c r="D157" s="193" t="s">
        <v>120</v>
      </c>
      <c r="E157" s="193" t="s">
        <v>1025</v>
      </c>
      <c r="F157" s="193" t="s">
        <v>566</v>
      </c>
      <c r="H157" s="197"/>
      <c r="I157" s="197"/>
      <c r="J157" s="197"/>
      <c r="K157" s="197"/>
      <c r="L157" s="442" t="s">
        <v>875</v>
      </c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</row>
    <row r="158" spans="2:23" x14ac:dyDescent="0.4">
      <c r="B158" s="194">
        <f t="shared" si="2"/>
        <v>148</v>
      </c>
      <c r="C158" s="193" t="s">
        <v>1026</v>
      </c>
      <c r="D158" s="193" t="s">
        <v>120</v>
      </c>
      <c r="E158" s="193" t="s">
        <v>1027</v>
      </c>
      <c r="F158" s="193" t="s">
        <v>566</v>
      </c>
      <c r="H158" s="197"/>
      <c r="I158" s="197"/>
      <c r="J158" s="197"/>
      <c r="K158" s="197"/>
      <c r="L158" s="442" t="s">
        <v>875</v>
      </c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</row>
    <row r="159" spans="2:23" x14ac:dyDescent="0.4">
      <c r="B159" s="194">
        <f t="shared" si="2"/>
        <v>149</v>
      </c>
      <c r="C159" s="193" t="s">
        <v>1028</v>
      </c>
      <c r="D159" s="193" t="s">
        <v>120</v>
      </c>
      <c r="E159" s="193" t="s">
        <v>1029</v>
      </c>
      <c r="F159" s="193" t="s">
        <v>566</v>
      </c>
      <c r="H159" s="197"/>
      <c r="I159" s="197"/>
      <c r="J159" s="197"/>
      <c r="K159" s="197"/>
      <c r="L159" s="442" t="s">
        <v>875</v>
      </c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</row>
    <row r="160" spans="2:23" x14ac:dyDescent="0.4">
      <c r="B160" s="194">
        <f t="shared" si="2"/>
        <v>150</v>
      </c>
      <c r="C160" s="296" t="s">
        <v>1030</v>
      </c>
      <c r="D160" s="296" t="s">
        <v>120</v>
      </c>
      <c r="E160" s="296" t="s">
        <v>1031</v>
      </c>
      <c r="F160" s="296" t="s">
        <v>553</v>
      </c>
      <c r="H160" s="197"/>
      <c r="I160" s="197"/>
      <c r="J160" s="197"/>
      <c r="K160" s="197"/>
      <c r="L160" s="442" t="s">
        <v>831</v>
      </c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</row>
    <row r="161" spans="2:23" x14ac:dyDescent="0.4">
      <c r="B161" s="194">
        <f t="shared" si="2"/>
        <v>151</v>
      </c>
      <c r="C161" s="296" t="s">
        <v>1032</v>
      </c>
      <c r="D161" s="296" t="s">
        <v>120</v>
      </c>
      <c r="E161" s="296" t="s">
        <v>1033</v>
      </c>
      <c r="F161" s="296" t="s">
        <v>553</v>
      </c>
      <c r="H161" s="197"/>
      <c r="I161" s="197"/>
      <c r="J161" s="197"/>
      <c r="K161" s="197"/>
      <c r="L161" s="442" t="s">
        <v>831</v>
      </c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</row>
    <row r="162" spans="2:23" x14ac:dyDescent="0.4">
      <c r="B162" s="194">
        <f t="shared" si="2"/>
        <v>152</v>
      </c>
      <c r="C162" s="296" t="s">
        <v>1034</v>
      </c>
      <c r="D162" s="296" t="s">
        <v>120</v>
      </c>
      <c r="E162" s="296" t="s">
        <v>1035</v>
      </c>
      <c r="F162" s="296" t="s">
        <v>566</v>
      </c>
      <c r="H162" s="197"/>
      <c r="I162" s="197"/>
      <c r="J162" s="197"/>
      <c r="K162" s="197"/>
      <c r="L162" s="442" t="s">
        <v>875</v>
      </c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</row>
    <row r="163" spans="2:23" x14ac:dyDescent="0.4">
      <c r="B163" s="194">
        <f t="shared" si="2"/>
        <v>153</v>
      </c>
      <c r="C163" s="296" t="s">
        <v>1036</v>
      </c>
      <c r="D163" s="296" t="s">
        <v>120</v>
      </c>
      <c r="E163" s="296" t="s">
        <v>1037</v>
      </c>
      <c r="F163" s="296" t="s">
        <v>566</v>
      </c>
      <c r="H163" s="197"/>
      <c r="I163" s="197"/>
      <c r="J163" s="197"/>
      <c r="K163" s="197"/>
      <c r="L163" s="442" t="s">
        <v>875</v>
      </c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</row>
    <row r="164" spans="2:23" x14ac:dyDescent="0.4">
      <c r="B164" s="194">
        <f t="shared" si="2"/>
        <v>154</v>
      </c>
      <c r="C164" s="296" t="s">
        <v>1038</v>
      </c>
      <c r="D164" s="296" t="s">
        <v>120</v>
      </c>
      <c r="E164" s="296" t="s">
        <v>1039</v>
      </c>
      <c r="F164" s="296" t="s">
        <v>566</v>
      </c>
      <c r="H164" s="197"/>
      <c r="I164" s="197"/>
      <c r="J164" s="197"/>
      <c r="K164" s="197"/>
      <c r="L164" s="442" t="s">
        <v>875</v>
      </c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</row>
    <row r="165" spans="2:23" x14ac:dyDescent="0.4">
      <c r="B165" s="194">
        <f t="shared" si="2"/>
        <v>155</v>
      </c>
      <c r="C165" s="296" t="s">
        <v>1040</v>
      </c>
      <c r="D165" s="296" t="s">
        <v>120</v>
      </c>
      <c r="E165" s="296" t="s">
        <v>1041</v>
      </c>
      <c r="F165" s="296" t="s">
        <v>566</v>
      </c>
      <c r="H165" s="197"/>
      <c r="I165" s="197"/>
      <c r="J165" s="197"/>
      <c r="K165" s="197"/>
      <c r="L165" s="442" t="s">
        <v>875</v>
      </c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</row>
    <row r="166" spans="2:23" x14ac:dyDescent="0.4">
      <c r="B166" s="194">
        <f t="shared" si="2"/>
        <v>156</v>
      </c>
      <c r="C166" s="296" t="s">
        <v>1042</v>
      </c>
      <c r="D166" s="296" t="s">
        <v>120</v>
      </c>
      <c r="E166" s="296" t="s">
        <v>1043</v>
      </c>
      <c r="F166" s="296" t="s">
        <v>566</v>
      </c>
      <c r="H166" s="197"/>
      <c r="I166" s="197"/>
      <c r="J166" s="197"/>
      <c r="K166" s="197"/>
      <c r="L166" s="442" t="s">
        <v>875</v>
      </c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</row>
    <row r="167" spans="2:23" x14ac:dyDescent="0.4">
      <c r="B167" s="194">
        <f t="shared" si="2"/>
        <v>157</v>
      </c>
      <c r="C167" s="296" t="s">
        <v>1044</v>
      </c>
      <c r="D167" s="296" t="s">
        <v>120</v>
      </c>
      <c r="E167" s="296" t="s">
        <v>1045</v>
      </c>
      <c r="F167" s="296" t="s">
        <v>566</v>
      </c>
      <c r="H167" s="197"/>
      <c r="I167" s="197"/>
      <c r="J167" s="197"/>
      <c r="K167" s="197"/>
      <c r="L167" s="442" t="s">
        <v>875</v>
      </c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</row>
    <row r="168" spans="2:23" x14ac:dyDescent="0.4">
      <c r="B168" s="194">
        <f t="shared" si="2"/>
        <v>158</v>
      </c>
      <c r="C168" s="193" t="s">
        <v>1046</v>
      </c>
      <c r="D168" s="193" t="s">
        <v>120</v>
      </c>
      <c r="E168" s="193" t="s">
        <v>1047</v>
      </c>
      <c r="F168" s="193" t="s">
        <v>553</v>
      </c>
      <c r="H168" s="197"/>
      <c r="I168" s="197"/>
      <c r="J168" s="197"/>
      <c r="K168" s="197"/>
      <c r="L168" s="442" t="s">
        <v>831</v>
      </c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</row>
    <row r="169" spans="2:23" x14ac:dyDescent="0.4">
      <c r="B169" s="194">
        <f t="shared" si="2"/>
        <v>159</v>
      </c>
      <c r="C169" s="193" t="s">
        <v>1048</v>
      </c>
      <c r="D169" s="193" t="s">
        <v>120</v>
      </c>
      <c r="E169" s="193" t="s">
        <v>1049</v>
      </c>
      <c r="F169" s="193" t="s">
        <v>553</v>
      </c>
      <c r="H169" s="197"/>
      <c r="I169" s="197"/>
      <c r="J169" s="197"/>
      <c r="K169" s="197"/>
      <c r="L169" s="442" t="s">
        <v>831</v>
      </c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</row>
    <row r="170" spans="2:23" x14ac:dyDescent="0.4">
      <c r="B170" s="194">
        <f t="shared" si="2"/>
        <v>160</v>
      </c>
      <c r="C170" s="193" t="s">
        <v>1050</v>
      </c>
      <c r="D170" s="193" t="s">
        <v>120</v>
      </c>
      <c r="E170" s="193" t="s">
        <v>1051</v>
      </c>
      <c r="F170" s="193" t="s">
        <v>566</v>
      </c>
      <c r="H170" s="197"/>
      <c r="I170" s="197"/>
      <c r="J170" s="197"/>
      <c r="K170" s="197"/>
      <c r="L170" s="442" t="s">
        <v>875</v>
      </c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</row>
    <row r="171" spans="2:23" x14ac:dyDescent="0.4">
      <c r="B171" s="194">
        <f t="shared" si="2"/>
        <v>161</v>
      </c>
      <c r="C171" s="193" t="s">
        <v>1052</v>
      </c>
      <c r="D171" s="193" t="s">
        <v>120</v>
      </c>
      <c r="E171" s="193" t="s">
        <v>1053</v>
      </c>
      <c r="F171" s="193" t="s">
        <v>566</v>
      </c>
      <c r="H171" s="197"/>
      <c r="I171" s="197"/>
      <c r="J171" s="197"/>
      <c r="K171" s="197"/>
      <c r="L171" s="442" t="s">
        <v>875</v>
      </c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</row>
    <row r="172" spans="2:23" x14ac:dyDescent="0.4">
      <c r="B172" s="194">
        <f t="shared" si="2"/>
        <v>162</v>
      </c>
      <c r="C172" s="193" t="s">
        <v>1054</v>
      </c>
      <c r="D172" s="193" t="s">
        <v>120</v>
      </c>
      <c r="E172" s="193" t="s">
        <v>1055</v>
      </c>
      <c r="F172" s="193" t="s">
        <v>566</v>
      </c>
      <c r="H172" s="197"/>
      <c r="I172" s="197"/>
      <c r="J172" s="197"/>
      <c r="K172" s="197"/>
      <c r="L172" s="442" t="s">
        <v>875</v>
      </c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</row>
    <row r="173" spans="2:23" x14ac:dyDescent="0.4">
      <c r="B173" s="194">
        <f t="shared" si="2"/>
        <v>163</v>
      </c>
      <c r="C173" s="193" t="s">
        <v>1056</v>
      </c>
      <c r="D173" s="193" t="s">
        <v>120</v>
      </c>
      <c r="E173" s="193" t="s">
        <v>1057</v>
      </c>
      <c r="F173" s="193" t="s">
        <v>566</v>
      </c>
      <c r="H173" s="197"/>
      <c r="I173" s="197"/>
      <c r="J173" s="197"/>
      <c r="K173" s="197"/>
      <c r="L173" s="442" t="s">
        <v>875</v>
      </c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</row>
    <row r="174" spans="2:23" x14ac:dyDescent="0.4">
      <c r="B174" s="194">
        <f t="shared" si="2"/>
        <v>164</v>
      </c>
      <c r="C174" s="193" t="s">
        <v>1058</v>
      </c>
      <c r="D174" s="193" t="s">
        <v>120</v>
      </c>
      <c r="E174" s="193" t="s">
        <v>1059</v>
      </c>
      <c r="F174" s="193" t="s">
        <v>566</v>
      </c>
      <c r="H174" s="197"/>
      <c r="I174" s="197"/>
      <c r="J174" s="197"/>
      <c r="K174" s="197"/>
      <c r="L174" s="442" t="s">
        <v>875</v>
      </c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</row>
    <row r="175" spans="2:23" x14ac:dyDescent="0.4">
      <c r="B175" s="194">
        <f t="shared" si="2"/>
        <v>165</v>
      </c>
      <c r="C175" s="193" t="s">
        <v>1060</v>
      </c>
      <c r="D175" s="193" t="s">
        <v>120</v>
      </c>
      <c r="E175" s="193" t="s">
        <v>1061</v>
      </c>
      <c r="F175" s="193" t="s">
        <v>566</v>
      </c>
      <c r="H175" s="197"/>
      <c r="I175" s="197"/>
      <c r="J175" s="197"/>
      <c r="K175" s="197"/>
      <c r="L175" s="442" t="s">
        <v>875</v>
      </c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</row>
    <row r="176" spans="2:23" x14ac:dyDescent="0.4">
      <c r="B176" s="194">
        <f t="shared" si="2"/>
        <v>166</v>
      </c>
      <c r="C176" s="296" t="s">
        <v>1062</v>
      </c>
      <c r="D176" s="296" t="s">
        <v>120</v>
      </c>
      <c r="E176" s="296" t="s">
        <v>1063</v>
      </c>
      <c r="F176" s="296" t="s">
        <v>553</v>
      </c>
      <c r="H176" s="197"/>
      <c r="I176" s="197"/>
      <c r="J176" s="197"/>
      <c r="K176" s="197"/>
      <c r="L176" s="442" t="s">
        <v>831</v>
      </c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</row>
    <row r="177" spans="2:23" x14ac:dyDescent="0.4">
      <c r="B177" s="194">
        <f t="shared" si="2"/>
        <v>167</v>
      </c>
      <c r="C177" s="296" t="s">
        <v>1064</v>
      </c>
      <c r="D177" s="296" t="s">
        <v>120</v>
      </c>
      <c r="E177" s="296" t="s">
        <v>1065</v>
      </c>
      <c r="F177" s="296" t="s">
        <v>553</v>
      </c>
      <c r="H177" s="197"/>
      <c r="I177" s="197"/>
      <c r="J177" s="197"/>
      <c r="K177" s="197"/>
      <c r="L177" s="442" t="s">
        <v>831</v>
      </c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</row>
    <row r="178" spans="2:23" x14ac:dyDescent="0.4">
      <c r="B178" s="194">
        <f t="shared" si="2"/>
        <v>168</v>
      </c>
      <c r="C178" s="296" t="s">
        <v>1066</v>
      </c>
      <c r="D178" s="296" t="s">
        <v>120</v>
      </c>
      <c r="E178" s="296" t="s">
        <v>1067</v>
      </c>
      <c r="F178" s="296" t="s">
        <v>566</v>
      </c>
      <c r="H178" s="197"/>
      <c r="I178" s="197"/>
      <c r="J178" s="197"/>
      <c r="K178" s="197"/>
      <c r="L178" s="442" t="s">
        <v>875</v>
      </c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</row>
    <row r="179" spans="2:23" x14ac:dyDescent="0.4">
      <c r="B179" s="194">
        <f t="shared" si="2"/>
        <v>169</v>
      </c>
      <c r="C179" s="296" t="s">
        <v>1068</v>
      </c>
      <c r="D179" s="296" t="s">
        <v>120</v>
      </c>
      <c r="E179" s="296" t="s">
        <v>1069</v>
      </c>
      <c r="F179" s="296" t="s">
        <v>566</v>
      </c>
      <c r="H179" s="197"/>
      <c r="I179" s="197"/>
      <c r="J179" s="197"/>
      <c r="K179" s="197"/>
      <c r="L179" s="442" t="s">
        <v>875</v>
      </c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</row>
    <row r="180" spans="2:23" x14ac:dyDescent="0.4">
      <c r="B180" s="194">
        <f t="shared" si="2"/>
        <v>170</v>
      </c>
      <c r="C180" s="296" t="s">
        <v>1070</v>
      </c>
      <c r="D180" s="296" t="s">
        <v>120</v>
      </c>
      <c r="E180" s="296" t="s">
        <v>1071</v>
      </c>
      <c r="F180" s="296" t="s">
        <v>566</v>
      </c>
      <c r="H180" s="197"/>
      <c r="I180" s="197"/>
      <c r="J180" s="197"/>
      <c r="K180" s="197"/>
      <c r="L180" s="442" t="s">
        <v>875</v>
      </c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</row>
    <row r="181" spans="2:23" x14ac:dyDescent="0.4">
      <c r="B181" s="194">
        <f t="shared" si="2"/>
        <v>171</v>
      </c>
      <c r="C181" s="296" t="s">
        <v>1072</v>
      </c>
      <c r="D181" s="296" t="s">
        <v>120</v>
      </c>
      <c r="E181" s="296" t="s">
        <v>1073</v>
      </c>
      <c r="F181" s="296" t="s">
        <v>566</v>
      </c>
      <c r="H181" s="197"/>
      <c r="I181" s="197"/>
      <c r="J181" s="197"/>
      <c r="K181" s="197"/>
      <c r="L181" s="442" t="s">
        <v>875</v>
      </c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</row>
    <row r="182" spans="2:23" x14ac:dyDescent="0.4">
      <c r="B182" s="194">
        <f t="shared" si="2"/>
        <v>172</v>
      </c>
      <c r="C182" s="296" t="s">
        <v>1074</v>
      </c>
      <c r="D182" s="296" t="s">
        <v>120</v>
      </c>
      <c r="E182" s="296" t="s">
        <v>1075</v>
      </c>
      <c r="F182" s="296" t="s">
        <v>566</v>
      </c>
      <c r="H182" s="197"/>
      <c r="I182" s="197"/>
      <c r="J182" s="197"/>
      <c r="K182" s="197"/>
      <c r="L182" s="442" t="s">
        <v>875</v>
      </c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</row>
    <row r="183" spans="2:23" x14ac:dyDescent="0.4">
      <c r="B183" s="194">
        <f t="shared" si="2"/>
        <v>173</v>
      </c>
      <c r="C183" s="296" t="s">
        <v>1076</v>
      </c>
      <c r="D183" s="296" t="s">
        <v>120</v>
      </c>
      <c r="E183" s="296" t="s">
        <v>1077</v>
      </c>
      <c r="F183" s="296" t="s">
        <v>566</v>
      </c>
      <c r="H183" s="197"/>
      <c r="I183" s="197"/>
      <c r="J183" s="197"/>
      <c r="K183" s="197"/>
      <c r="L183" s="442" t="s">
        <v>875</v>
      </c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</row>
    <row r="184" spans="2:23" x14ac:dyDescent="0.4">
      <c r="B184" s="194">
        <f t="shared" si="2"/>
        <v>174</v>
      </c>
      <c r="C184" s="193" t="s">
        <v>1078</v>
      </c>
      <c r="D184" s="193" t="s">
        <v>120</v>
      </c>
      <c r="E184" s="193" t="s">
        <v>1079</v>
      </c>
      <c r="F184" s="193" t="s">
        <v>553</v>
      </c>
      <c r="H184" s="197"/>
      <c r="I184" s="197"/>
      <c r="J184" s="197"/>
      <c r="K184" s="197"/>
      <c r="L184" s="442" t="s">
        <v>831</v>
      </c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</row>
    <row r="185" spans="2:23" x14ac:dyDescent="0.4">
      <c r="B185" s="194">
        <f t="shared" si="2"/>
        <v>175</v>
      </c>
      <c r="C185" s="193" t="s">
        <v>1080</v>
      </c>
      <c r="D185" s="193" t="s">
        <v>120</v>
      </c>
      <c r="E185" s="193" t="s">
        <v>1081</v>
      </c>
      <c r="F185" s="193" t="s">
        <v>553</v>
      </c>
      <c r="H185" s="197"/>
      <c r="I185" s="197"/>
      <c r="J185" s="197"/>
      <c r="K185" s="197"/>
      <c r="L185" s="442" t="s">
        <v>831</v>
      </c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</row>
    <row r="186" spans="2:23" x14ac:dyDescent="0.4">
      <c r="B186" s="194">
        <f t="shared" si="2"/>
        <v>176</v>
      </c>
      <c r="C186" s="193" t="s">
        <v>1082</v>
      </c>
      <c r="D186" s="193" t="s">
        <v>120</v>
      </c>
      <c r="E186" s="193" t="s">
        <v>1083</v>
      </c>
      <c r="F186" s="193" t="s">
        <v>566</v>
      </c>
      <c r="H186" s="197"/>
      <c r="I186" s="197"/>
      <c r="J186" s="197"/>
      <c r="K186" s="197"/>
      <c r="L186" s="442" t="s">
        <v>875</v>
      </c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</row>
    <row r="187" spans="2:23" x14ac:dyDescent="0.4">
      <c r="B187" s="194">
        <f t="shared" si="2"/>
        <v>177</v>
      </c>
      <c r="C187" s="193" t="s">
        <v>1084</v>
      </c>
      <c r="D187" s="193" t="s">
        <v>120</v>
      </c>
      <c r="E187" s="193" t="s">
        <v>1085</v>
      </c>
      <c r="F187" s="193" t="s">
        <v>566</v>
      </c>
      <c r="H187" s="197"/>
      <c r="I187" s="197"/>
      <c r="J187" s="197"/>
      <c r="K187" s="197"/>
      <c r="L187" s="442" t="s">
        <v>875</v>
      </c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</row>
    <row r="188" spans="2:23" x14ac:dyDescent="0.4">
      <c r="B188" s="194">
        <f t="shared" si="2"/>
        <v>178</v>
      </c>
      <c r="C188" s="193" t="s">
        <v>1086</v>
      </c>
      <c r="D188" s="193" t="s">
        <v>120</v>
      </c>
      <c r="E188" s="193" t="s">
        <v>1087</v>
      </c>
      <c r="F188" s="193" t="s">
        <v>566</v>
      </c>
      <c r="H188" s="197"/>
      <c r="I188" s="197"/>
      <c r="J188" s="197"/>
      <c r="K188" s="197"/>
      <c r="L188" s="442" t="s">
        <v>875</v>
      </c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</row>
    <row r="189" spans="2:23" x14ac:dyDescent="0.4">
      <c r="B189" s="194">
        <f t="shared" si="2"/>
        <v>179</v>
      </c>
      <c r="C189" s="193" t="s">
        <v>1088</v>
      </c>
      <c r="D189" s="193" t="s">
        <v>120</v>
      </c>
      <c r="E189" s="193" t="s">
        <v>1089</v>
      </c>
      <c r="F189" s="193" t="s">
        <v>566</v>
      </c>
      <c r="H189" s="197"/>
      <c r="I189" s="197"/>
      <c r="J189" s="197"/>
      <c r="K189" s="197"/>
      <c r="L189" s="442" t="s">
        <v>875</v>
      </c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</row>
    <row r="190" spans="2:23" x14ac:dyDescent="0.4">
      <c r="B190" s="194">
        <f t="shared" si="2"/>
        <v>180</v>
      </c>
      <c r="C190" s="193" t="s">
        <v>1090</v>
      </c>
      <c r="D190" s="193" t="s">
        <v>120</v>
      </c>
      <c r="E190" s="193" t="s">
        <v>1091</v>
      </c>
      <c r="F190" s="193" t="s">
        <v>566</v>
      </c>
      <c r="H190" s="197"/>
      <c r="I190" s="197"/>
      <c r="J190" s="197"/>
      <c r="K190" s="197"/>
      <c r="L190" s="442" t="s">
        <v>875</v>
      </c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</row>
    <row r="191" spans="2:23" x14ac:dyDescent="0.4">
      <c r="B191" s="194">
        <f t="shared" si="2"/>
        <v>181</v>
      </c>
      <c r="C191" s="193" t="s">
        <v>1092</v>
      </c>
      <c r="D191" s="193" t="s">
        <v>120</v>
      </c>
      <c r="E191" s="193" t="s">
        <v>1093</v>
      </c>
      <c r="F191" s="193" t="s">
        <v>566</v>
      </c>
      <c r="H191" s="197"/>
      <c r="I191" s="197"/>
      <c r="J191" s="197"/>
      <c r="K191" s="197"/>
      <c r="L191" s="442" t="s">
        <v>875</v>
      </c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</row>
    <row r="192" spans="2:23" x14ac:dyDescent="0.4">
      <c r="B192" s="194">
        <f t="shared" si="2"/>
        <v>182</v>
      </c>
      <c r="C192" s="296" t="s">
        <v>1094</v>
      </c>
      <c r="D192" s="296" t="s">
        <v>120</v>
      </c>
      <c r="E192" s="296" t="s">
        <v>1095</v>
      </c>
      <c r="F192" s="296" t="s">
        <v>553</v>
      </c>
      <c r="H192" s="197"/>
      <c r="I192" s="197"/>
      <c r="J192" s="197"/>
      <c r="K192" s="197"/>
      <c r="L192" s="442" t="s">
        <v>831</v>
      </c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</row>
    <row r="193" spans="1:23" x14ac:dyDescent="0.4">
      <c r="B193" s="194">
        <f t="shared" si="2"/>
        <v>183</v>
      </c>
      <c r="C193" s="296" t="s">
        <v>1096</v>
      </c>
      <c r="D193" s="296" t="s">
        <v>120</v>
      </c>
      <c r="E193" s="296" t="s">
        <v>1097</v>
      </c>
      <c r="F193" s="296" t="s">
        <v>553</v>
      </c>
      <c r="H193" s="197"/>
      <c r="I193" s="197"/>
      <c r="J193" s="197"/>
      <c r="K193" s="197"/>
      <c r="L193" s="442" t="s">
        <v>831</v>
      </c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</row>
    <row r="194" spans="1:23" x14ac:dyDescent="0.4">
      <c r="B194" s="194">
        <f t="shared" si="2"/>
        <v>184</v>
      </c>
      <c r="C194" s="296" t="s">
        <v>1098</v>
      </c>
      <c r="D194" s="296" t="s">
        <v>120</v>
      </c>
      <c r="E194" s="296" t="s">
        <v>1099</v>
      </c>
      <c r="F194" s="296" t="s">
        <v>566</v>
      </c>
      <c r="H194" s="197"/>
      <c r="I194" s="197"/>
      <c r="J194" s="197"/>
      <c r="K194" s="197"/>
      <c r="L194" s="442" t="s">
        <v>875</v>
      </c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</row>
    <row r="195" spans="1:23" x14ac:dyDescent="0.4">
      <c r="B195" s="194">
        <f t="shared" si="2"/>
        <v>185</v>
      </c>
      <c r="C195" s="296" t="s">
        <v>1100</v>
      </c>
      <c r="D195" s="296" t="s">
        <v>120</v>
      </c>
      <c r="E195" s="296" t="s">
        <v>1101</v>
      </c>
      <c r="F195" s="296" t="s">
        <v>566</v>
      </c>
      <c r="H195" s="197"/>
      <c r="I195" s="197"/>
      <c r="J195" s="197"/>
      <c r="K195" s="197"/>
      <c r="L195" s="442" t="s">
        <v>875</v>
      </c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</row>
    <row r="196" spans="1:23" x14ac:dyDescent="0.4">
      <c r="B196" s="194">
        <f t="shared" si="2"/>
        <v>186</v>
      </c>
      <c r="C196" s="296" t="s">
        <v>1102</v>
      </c>
      <c r="D196" s="296" t="s">
        <v>120</v>
      </c>
      <c r="E196" s="296" t="s">
        <v>1103</v>
      </c>
      <c r="F196" s="296" t="s">
        <v>566</v>
      </c>
      <c r="H196" s="197"/>
      <c r="I196" s="197"/>
      <c r="J196" s="197"/>
      <c r="K196" s="197"/>
      <c r="L196" s="442" t="s">
        <v>875</v>
      </c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</row>
    <row r="197" spans="1:23" x14ac:dyDescent="0.4">
      <c r="B197" s="194">
        <f t="shared" ref="B197:B207" si="3">B196+1</f>
        <v>187</v>
      </c>
      <c r="C197" s="296" t="s">
        <v>1104</v>
      </c>
      <c r="D197" s="296" t="s">
        <v>120</v>
      </c>
      <c r="E197" s="296" t="s">
        <v>1105</v>
      </c>
      <c r="F197" s="296" t="s">
        <v>566</v>
      </c>
      <c r="H197" s="197"/>
      <c r="I197" s="197"/>
      <c r="J197" s="197"/>
      <c r="K197" s="197"/>
      <c r="L197" s="442" t="s">
        <v>875</v>
      </c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</row>
    <row r="198" spans="1:23" x14ac:dyDescent="0.4">
      <c r="B198" s="194">
        <f t="shared" si="3"/>
        <v>188</v>
      </c>
      <c r="C198" s="296" t="s">
        <v>1106</v>
      </c>
      <c r="D198" s="296" t="s">
        <v>120</v>
      </c>
      <c r="E198" s="296" t="s">
        <v>1107</v>
      </c>
      <c r="F198" s="296" t="s">
        <v>566</v>
      </c>
      <c r="H198" s="197"/>
      <c r="I198" s="197"/>
      <c r="J198" s="197"/>
      <c r="K198" s="197"/>
      <c r="L198" s="442" t="s">
        <v>875</v>
      </c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</row>
    <row r="199" spans="1:23" x14ac:dyDescent="0.4">
      <c r="B199" s="194">
        <f t="shared" si="3"/>
        <v>189</v>
      </c>
      <c r="C199" s="296" t="s">
        <v>1108</v>
      </c>
      <c r="D199" s="296" t="s">
        <v>120</v>
      </c>
      <c r="E199" s="296" t="s">
        <v>1109</v>
      </c>
      <c r="F199" s="296" t="s">
        <v>566</v>
      </c>
      <c r="H199" s="197"/>
      <c r="I199" s="197"/>
      <c r="J199" s="197"/>
      <c r="K199" s="197"/>
      <c r="L199" s="442" t="s">
        <v>875</v>
      </c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</row>
    <row r="200" spans="1:23" x14ac:dyDescent="0.4">
      <c r="B200" s="194">
        <f t="shared" si="3"/>
        <v>190</v>
      </c>
      <c r="C200" s="193" t="s">
        <v>1110</v>
      </c>
      <c r="D200" s="193" t="s">
        <v>120</v>
      </c>
      <c r="E200" s="193" t="s">
        <v>1111</v>
      </c>
      <c r="F200" s="193" t="s">
        <v>553</v>
      </c>
      <c r="H200" s="197"/>
      <c r="I200" s="197"/>
      <c r="J200" s="197"/>
      <c r="K200" s="197"/>
      <c r="L200" s="442" t="s">
        <v>831</v>
      </c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</row>
    <row r="201" spans="1:23" x14ac:dyDescent="0.4">
      <c r="B201" s="194">
        <f t="shared" si="3"/>
        <v>191</v>
      </c>
      <c r="C201" s="193" t="s">
        <v>1112</v>
      </c>
      <c r="D201" s="193" t="s">
        <v>120</v>
      </c>
      <c r="E201" s="193" t="s">
        <v>1113</v>
      </c>
      <c r="F201" s="193" t="s">
        <v>553</v>
      </c>
      <c r="H201" s="197"/>
      <c r="I201" s="197"/>
      <c r="J201" s="197"/>
      <c r="K201" s="197"/>
      <c r="L201" s="442" t="s">
        <v>831</v>
      </c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</row>
    <row r="202" spans="1:23" x14ac:dyDescent="0.4">
      <c r="B202" s="194">
        <f t="shared" si="3"/>
        <v>192</v>
      </c>
      <c r="C202" s="193" t="s">
        <v>1114</v>
      </c>
      <c r="D202" s="193" t="s">
        <v>120</v>
      </c>
      <c r="E202" s="193" t="s">
        <v>1115</v>
      </c>
      <c r="F202" s="193" t="s">
        <v>566</v>
      </c>
      <c r="H202" s="197"/>
      <c r="I202" s="197"/>
      <c r="J202" s="197"/>
      <c r="K202" s="197"/>
      <c r="L202" s="442" t="s">
        <v>875</v>
      </c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</row>
    <row r="203" spans="1:23" x14ac:dyDescent="0.4">
      <c r="B203" s="194">
        <f t="shared" si="3"/>
        <v>193</v>
      </c>
      <c r="C203" s="193" t="s">
        <v>1116</v>
      </c>
      <c r="D203" s="193" t="s">
        <v>120</v>
      </c>
      <c r="E203" s="193" t="s">
        <v>1117</v>
      </c>
      <c r="F203" s="193" t="s">
        <v>566</v>
      </c>
      <c r="H203" s="197"/>
      <c r="I203" s="197"/>
      <c r="J203" s="197"/>
      <c r="K203" s="197"/>
      <c r="L203" s="442" t="s">
        <v>875</v>
      </c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</row>
    <row r="204" spans="1:23" x14ac:dyDescent="0.4">
      <c r="B204" s="194">
        <f t="shared" si="3"/>
        <v>194</v>
      </c>
      <c r="C204" s="193" t="s">
        <v>1118</v>
      </c>
      <c r="D204" s="193" t="s">
        <v>120</v>
      </c>
      <c r="E204" s="193" t="s">
        <v>1119</v>
      </c>
      <c r="F204" s="193" t="s">
        <v>566</v>
      </c>
      <c r="H204" s="197"/>
      <c r="I204" s="197"/>
      <c r="J204" s="197"/>
      <c r="K204" s="197"/>
      <c r="L204" s="442" t="s">
        <v>875</v>
      </c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</row>
    <row r="205" spans="1:23" x14ac:dyDescent="0.4">
      <c r="B205" s="194">
        <f t="shared" si="3"/>
        <v>195</v>
      </c>
      <c r="C205" s="193" t="s">
        <v>1120</v>
      </c>
      <c r="D205" s="193" t="s">
        <v>120</v>
      </c>
      <c r="E205" s="193" t="s">
        <v>1121</v>
      </c>
      <c r="F205" s="193" t="s">
        <v>566</v>
      </c>
      <c r="H205" s="197"/>
      <c r="I205" s="197"/>
      <c r="J205" s="197"/>
      <c r="K205" s="197"/>
      <c r="L205" s="442" t="s">
        <v>875</v>
      </c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</row>
    <row r="206" spans="1:23" x14ac:dyDescent="0.4">
      <c r="B206" s="194">
        <f t="shared" si="3"/>
        <v>196</v>
      </c>
      <c r="C206" s="193" t="s">
        <v>1122</v>
      </c>
      <c r="D206" s="193" t="s">
        <v>120</v>
      </c>
      <c r="E206" s="193" t="s">
        <v>1123</v>
      </c>
      <c r="F206" s="193" t="s">
        <v>566</v>
      </c>
      <c r="H206" s="197"/>
      <c r="I206" s="197"/>
      <c r="J206" s="197"/>
      <c r="K206" s="197"/>
      <c r="L206" s="442" t="s">
        <v>875</v>
      </c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</row>
    <row r="207" spans="1:23" x14ac:dyDescent="0.4">
      <c r="B207" s="194">
        <f t="shared" si="3"/>
        <v>197</v>
      </c>
      <c r="C207" s="193" t="s">
        <v>1124</v>
      </c>
      <c r="D207" s="193" t="s">
        <v>120</v>
      </c>
      <c r="E207" s="193" t="s">
        <v>1125</v>
      </c>
      <c r="F207" s="193" t="s">
        <v>566</v>
      </c>
      <c r="H207" s="197"/>
      <c r="I207" s="197"/>
      <c r="J207" s="197"/>
      <c r="K207" s="197"/>
      <c r="L207" s="442" t="s">
        <v>875</v>
      </c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</row>
    <row r="208" spans="1:23" x14ac:dyDescent="0.4">
      <c r="A208" s="137"/>
      <c r="B208" s="137"/>
    </row>
    <row r="212" spans="1:2" s="193" customFormat="1" x14ac:dyDescent="0.4">
      <c r="A212" s="131"/>
      <c r="B212" s="131"/>
    </row>
    <row r="214" spans="1:2" s="193" customFormat="1" x14ac:dyDescent="0.4">
      <c r="A214" s="131"/>
      <c r="B214" s="131"/>
    </row>
    <row r="215" spans="1:2" s="193" customFormat="1" x14ac:dyDescent="0.4">
      <c r="A215" s="131"/>
      <c r="B215" s="131"/>
    </row>
    <row r="216" spans="1:2" s="193" customFormat="1" x14ac:dyDescent="0.4">
      <c r="A216" s="131"/>
      <c r="B216" s="131"/>
    </row>
    <row r="217" spans="1:2" s="193" customFormat="1" x14ac:dyDescent="0.4">
      <c r="A217" s="131"/>
      <c r="B217" s="131"/>
    </row>
  </sheetData>
  <mergeCells count="254"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M32:W32"/>
    <mergeCell ref="P34:W34"/>
    <mergeCell ref="I36:M36"/>
    <mergeCell ref="N36:R36"/>
    <mergeCell ref="S36:W36"/>
    <mergeCell ref="I37:M37"/>
    <mergeCell ref="N37:R37"/>
    <mergeCell ref="S37:W37"/>
    <mergeCell ref="L22:O22"/>
    <mergeCell ref="S22:W22"/>
    <mergeCell ref="M29:W29"/>
    <mergeCell ref="O30:W30"/>
    <mergeCell ref="H31:K31"/>
    <mergeCell ref="P31:W31"/>
    <mergeCell ref="I40:M40"/>
    <mergeCell ref="N40:R40"/>
    <mergeCell ref="S40:W40"/>
    <mergeCell ref="I41:M41"/>
    <mergeCell ref="N41:R41"/>
    <mergeCell ref="S41:W41"/>
    <mergeCell ref="I38:M38"/>
    <mergeCell ref="N38:R38"/>
    <mergeCell ref="S38:W38"/>
    <mergeCell ref="I39:M39"/>
    <mergeCell ref="N39:R39"/>
    <mergeCell ref="S39:W39"/>
    <mergeCell ref="T45:W45"/>
    <mergeCell ref="I47:M47"/>
    <mergeCell ref="N47:R47"/>
    <mergeCell ref="S47:W47"/>
    <mergeCell ref="I48:M48"/>
    <mergeCell ref="N48:R48"/>
    <mergeCell ref="S48:W48"/>
    <mergeCell ref="I42:M42"/>
    <mergeCell ref="N42:R42"/>
    <mergeCell ref="S42:W42"/>
    <mergeCell ref="I43:M43"/>
    <mergeCell ref="N43:R43"/>
    <mergeCell ref="S43:W43"/>
    <mergeCell ref="I51:M51"/>
    <mergeCell ref="N51:R51"/>
    <mergeCell ref="S51:W51"/>
    <mergeCell ref="I52:M52"/>
    <mergeCell ref="N52:R52"/>
    <mergeCell ref="S52:W52"/>
    <mergeCell ref="I49:M49"/>
    <mergeCell ref="N49:R49"/>
    <mergeCell ref="S49:W49"/>
    <mergeCell ref="I50:M50"/>
    <mergeCell ref="N50:R50"/>
    <mergeCell ref="S50:W50"/>
    <mergeCell ref="H55:O55"/>
    <mergeCell ref="P55:W55"/>
    <mergeCell ref="H56:O56"/>
    <mergeCell ref="P56:W56"/>
    <mergeCell ref="H57:O57"/>
    <mergeCell ref="P57:W57"/>
    <mergeCell ref="I53:M53"/>
    <mergeCell ref="N53:R53"/>
    <mergeCell ref="S53:W53"/>
    <mergeCell ref="I54:M54"/>
    <mergeCell ref="N54:R54"/>
    <mergeCell ref="S54:W54"/>
    <mergeCell ref="H61:O61"/>
    <mergeCell ref="P61:W61"/>
    <mergeCell ref="H62:O62"/>
    <mergeCell ref="P62:W62"/>
    <mergeCell ref="H63:O63"/>
    <mergeCell ref="P63:W63"/>
    <mergeCell ref="H58:O58"/>
    <mergeCell ref="P58:W58"/>
    <mergeCell ref="H59:O59"/>
    <mergeCell ref="P59:W59"/>
    <mergeCell ref="H60:O60"/>
    <mergeCell ref="P60:W60"/>
    <mergeCell ref="H69:I69"/>
    <mergeCell ref="K69:O69"/>
    <mergeCell ref="L71:W71"/>
    <mergeCell ref="H72:K72"/>
    <mergeCell ref="L72:O72"/>
    <mergeCell ref="P72:S72"/>
    <mergeCell ref="T72:W72"/>
    <mergeCell ref="H64:O64"/>
    <mergeCell ref="P64:W64"/>
    <mergeCell ref="H65:O65"/>
    <mergeCell ref="P65:W65"/>
    <mergeCell ref="H66:O66"/>
    <mergeCell ref="P66:W66"/>
    <mergeCell ref="H75:K75"/>
    <mergeCell ref="L75:O75"/>
    <mergeCell ref="P75:S75"/>
    <mergeCell ref="T75:W75"/>
    <mergeCell ref="H76:K76"/>
    <mergeCell ref="L76:O76"/>
    <mergeCell ref="P76:S76"/>
    <mergeCell ref="T76:W76"/>
    <mergeCell ref="H73:K73"/>
    <mergeCell ref="L73:O73"/>
    <mergeCell ref="P73:S73"/>
    <mergeCell ref="T73:W73"/>
    <mergeCell ref="H74:K74"/>
    <mergeCell ref="L74:O74"/>
    <mergeCell ref="P74:S74"/>
    <mergeCell ref="T74:W74"/>
    <mergeCell ref="L82:W82"/>
    <mergeCell ref="L83:W83"/>
    <mergeCell ref="L84:W84"/>
    <mergeCell ref="L85:W85"/>
    <mergeCell ref="L86:W86"/>
    <mergeCell ref="L87:W87"/>
    <mergeCell ref="H77:K77"/>
    <mergeCell ref="L77:O77"/>
    <mergeCell ref="P77:S77"/>
    <mergeCell ref="T77:W77"/>
    <mergeCell ref="L80:W80"/>
    <mergeCell ref="L81:W81"/>
    <mergeCell ref="L94:W94"/>
    <mergeCell ref="L95:W95"/>
    <mergeCell ref="L96:W96"/>
    <mergeCell ref="L97:W97"/>
    <mergeCell ref="L98:W98"/>
    <mergeCell ref="L99:W99"/>
    <mergeCell ref="L88:W88"/>
    <mergeCell ref="L89:W89"/>
    <mergeCell ref="L90:W90"/>
    <mergeCell ref="L91:W91"/>
    <mergeCell ref="L92:W92"/>
    <mergeCell ref="L93:W93"/>
    <mergeCell ref="L106:W106"/>
    <mergeCell ref="L107:W107"/>
    <mergeCell ref="L108:W108"/>
    <mergeCell ref="L109:W109"/>
    <mergeCell ref="L110:W110"/>
    <mergeCell ref="L111:W111"/>
    <mergeCell ref="L100:W100"/>
    <mergeCell ref="L101:W101"/>
    <mergeCell ref="L102:W102"/>
    <mergeCell ref="L103:W103"/>
    <mergeCell ref="L104:W104"/>
    <mergeCell ref="L105:W105"/>
    <mergeCell ref="L118:W118"/>
    <mergeCell ref="L119:W119"/>
    <mergeCell ref="L120:W120"/>
    <mergeCell ref="L121:W121"/>
    <mergeCell ref="L122:W122"/>
    <mergeCell ref="L123:W123"/>
    <mergeCell ref="L112:W112"/>
    <mergeCell ref="L113:W113"/>
    <mergeCell ref="L114:W114"/>
    <mergeCell ref="L115:W115"/>
    <mergeCell ref="L116:W116"/>
    <mergeCell ref="L117:W117"/>
    <mergeCell ref="L130:W130"/>
    <mergeCell ref="L131:W131"/>
    <mergeCell ref="L132:W132"/>
    <mergeCell ref="L133:W133"/>
    <mergeCell ref="L134:W134"/>
    <mergeCell ref="L135:W135"/>
    <mergeCell ref="L124:W124"/>
    <mergeCell ref="L125:W125"/>
    <mergeCell ref="L126:W126"/>
    <mergeCell ref="L127:W127"/>
    <mergeCell ref="L128:W128"/>
    <mergeCell ref="L129:W129"/>
    <mergeCell ref="L142:W142"/>
    <mergeCell ref="L143:W143"/>
    <mergeCell ref="L144:W144"/>
    <mergeCell ref="L145:W145"/>
    <mergeCell ref="L146:W146"/>
    <mergeCell ref="L147:W147"/>
    <mergeCell ref="L136:W136"/>
    <mergeCell ref="L137:W137"/>
    <mergeCell ref="L138:W138"/>
    <mergeCell ref="L139:W139"/>
    <mergeCell ref="L140:W140"/>
    <mergeCell ref="L141:W141"/>
    <mergeCell ref="L154:W154"/>
    <mergeCell ref="L155:W155"/>
    <mergeCell ref="L156:W156"/>
    <mergeCell ref="L157:W157"/>
    <mergeCell ref="L158:W158"/>
    <mergeCell ref="L159:W159"/>
    <mergeCell ref="L148:W148"/>
    <mergeCell ref="L149:W149"/>
    <mergeCell ref="L150:W150"/>
    <mergeCell ref="L151:W151"/>
    <mergeCell ref="L152:W152"/>
    <mergeCell ref="L153:W153"/>
    <mergeCell ref="L166:W166"/>
    <mergeCell ref="L167:W167"/>
    <mergeCell ref="L168:W168"/>
    <mergeCell ref="L169:W169"/>
    <mergeCell ref="L170:W170"/>
    <mergeCell ref="L171:W171"/>
    <mergeCell ref="L160:W160"/>
    <mergeCell ref="L161:W161"/>
    <mergeCell ref="L162:W162"/>
    <mergeCell ref="L163:W163"/>
    <mergeCell ref="L164:W164"/>
    <mergeCell ref="L165:W165"/>
    <mergeCell ref="L178:W178"/>
    <mergeCell ref="L179:W179"/>
    <mergeCell ref="L180:W180"/>
    <mergeCell ref="L181:W181"/>
    <mergeCell ref="L182:W182"/>
    <mergeCell ref="L183:W183"/>
    <mergeCell ref="L172:W172"/>
    <mergeCell ref="L173:W173"/>
    <mergeCell ref="L174:W174"/>
    <mergeCell ref="L175:W175"/>
    <mergeCell ref="L176:W176"/>
    <mergeCell ref="L177:W177"/>
    <mergeCell ref="L190:W190"/>
    <mergeCell ref="L191:W191"/>
    <mergeCell ref="L192:W192"/>
    <mergeCell ref="L193:W193"/>
    <mergeCell ref="L194:W194"/>
    <mergeCell ref="L195:W195"/>
    <mergeCell ref="L184:W184"/>
    <mergeCell ref="L185:W185"/>
    <mergeCell ref="L186:W186"/>
    <mergeCell ref="L187:W187"/>
    <mergeCell ref="L188:W188"/>
    <mergeCell ref="L189:W189"/>
    <mergeCell ref="L202:W202"/>
    <mergeCell ref="L203:W203"/>
    <mergeCell ref="L204:W204"/>
    <mergeCell ref="L205:W205"/>
    <mergeCell ref="L206:W206"/>
    <mergeCell ref="L207:W207"/>
    <mergeCell ref="L196:W196"/>
    <mergeCell ref="L197:W197"/>
    <mergeCell ref="L198:W198"/>
    <mergeCell ref="L199:W199"/>
    <mergeCell ref="L200:W200"/>
    <mergeCell ref="L201:W201"/>
  </mergeCells>
  <phoneticPr fontId="2" type="noConversion"/>
  <pageMargins left="0.7" right="0.7" top="0.75" bottom="0.75" header="0.3" footer="0.3"/>
  <pageSetup paperSize="9" scale="2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8D47-617B-48AC-8B65-BFFACEB01CD6}">
  <sheetPr>
    <tabColor theme="1"/>
  </sheetPr>
  <dimension ref="A1:U80"/>
  <sheetViews>
    <sheetView tabSelected="1" zoomScaleNormal="100" workbookViewId="0">
      <pane ySplit="1" topLeftCell="A14" activePane="bottomLeft" state="frozen"/>
      <selection pane="bottomLeft" activeCell="Q35" sqref="Q35"/>
    </sheetView>
  </sheetViews>
  <sheetFormatPr defaultColWidth="8.59765625" defaultRowHeight="15.6" x14ac:dyDescent="0.4"/>
  <cols>
    <col min="1" max="1" width="1.69921875" style="346" bestFit="1" customWidth="1"/>
    <col min="2" max="2" width="3.19921875" style="346" bestFit="1" customWidth="1"/>
    <col min="3" max="3" width="17.19921875" style="345" bestFit="1" customWidth="1"/>
    <col min="4" max="4" width="6.19921875" style="320" bestFit="1" customWidth="1"/>
    <col min="5" max="5" width="7.19921875" style="320" bestFit="1" customWidth="1"/>
    <col min="6" max="6" width="6.69921875" style="320" bestFit="1" customWidth="1"/>
    <col min="7" max="7" width="0.59765625" style="320" customWidth="1"/>
    <col min="8" max="19" width="9.69921875" style="351" customWidth="1"/>
    <col min="20" max="20" width="88.69921875" style="371" bestFit="1" customWidth="1"/>
    <col min="21" max="21" width="66.8984375" style="373" bestFit="1" customWidth="1"/>
    <col min="22" max="16384" width="8.59765625" style="346"/>
  </cols>
  <sheetData>
    <row r="1" spans="2:21" x14ac:dyDescent="0.4">
      <c r="B1" s="359"/>
      <c r="C1" s="360" t="s">
        <v>101</v>
      </c>
      <c r="D1" s="344" t="s">
        <v>102</v>
      </c>
      <c r="E1" s="344" t="s">
        <v>103</v>
      </c>
      <c r="F1" s="344" t="s">
        <v>104</v>
      </c>
      <c r="G1" s="344"/>
      <c r="H1" s="347" t="s">
        <v>105</v>
      </c>
      <c r="I1" s="347" t="s">
        <v>106</v>
      </c>
      <c r="J1" s="347" t="s">
        <v>107</v>
      </c>
      <c r="K1" s="347" t="s">
        <v>108</v>
      </c>
      <c r="L1" s="347" t="s">
        <v>109</v>
      </c>
      <c r="M1" s="347" t="s">
        <v>110</v>
      </c>
      <c r="N1" s="347" t="s">
        <v>111</v>
      </c>
      <c r="O1" s="347" t="s">
        <v>112</v>
      </c>
      <c r="P1" s="347" t="s">
        <v>113</v>
      </c>
      <c r="Q1" s="347" t="s">
        <v>114</v>
      </c>
      <c r="R1" s="347" t="s">
        <v>115</v>
      </c>
      <c r="S1" s="347" t="s">
        <v>116</v>
      </c>
      <c r="T1" s="361" t="s">
        <v>117</v>
      </c>
      <c r="U1" s="361" t="s">
        <v>118</v>
      </c>
    </row>
    <row r="2" spans="2:21" ht="31.2" x14ac:dyDescent="0.4">
      <c r="B2" s="359">
        <v>1</v>
      </c>
      <c r="C2" s="345" t="s">
        <v>119</v>
      </c>
      <c r="D2" s="320" t="s">
        <v>120</v>
      </c>
      <c r="E2" s="320" t="s">
        <v>121</v>
      </c>
      <c r="F2" s="320" t="s">
        <v>122</v>
      </c>
      <c r="H2" s="348" t="s">
        <v>256</v>
      </c>
      <c r="I2" s="349"/>
      <c r="J2" s="349"/>
      <c r="K2" s="349"/>
      <c r="L2" s="349"/>
      <c r="M2" s="349"/>
      <c r="N2" s="349"/>
      <c r="O2" s="460" t="s">
        <v>123</v>
      </c>
      <c r="P2" s="461"/>
      <c r="Q2" s="461"/>
      <c r="R2" s="461"/>
      <c r="S2" s="462"/>
      <c r="T2" s="362" t="s">
        <v>260</v>
      </c>
      <c r="U2" s="363"/>
    </row>
    <row r="3" spans="2:21" ht="109.2" x14ac:dyDescent="0.4">
      <c r="B3" s="359">
        <f>B2+1</f>
        <v>2</v>
      </c>
      <c r="C3" s="345" t="s">
        <v>258</v>
      </c>
      <c r="D3" s="320" t="s">
        <v>120</v>
      </c>
      <c r="E3" s="320" t="s">
        <v>124</v>
      </c>
      <c r="F3" s="320" t="s">
        <v>122</v>
      </c>
      <c r="H3" s="452" t="s">
        <v>128</v>
      </c>
      <c r="I3" s="455"/>
      <c r="J3" s="455"/>
      <c r="K3" s="456"/>
      <c r="L3" s="348" t="s">
        <v>261</v>
      </c>
      <c r="M3" s="348" t="s">
        <v>550</v>
      </c>
      <c r="N3" s="452" t="s">
        <v>305</v>
      </c>
      <c r="O3" s="455"/>
      <c r="P3" s="456"/>
      <c r="Q3" s="348" t="s">
        <v>259</v>
      </c>
      <c r="R3" s="348" t="s">
        <v>257</v>
      </c>
      <c r="S3" s="348" t="s">
        <v>125</v>
      </c>
      <c r="T3" s="362" t="s">
        <v>1142</v>
      </c>
      <c r="U3" s="362" t="s">
        <v>333</v>
      </c>
    </row>
    <row r="4" spans="2:21" x14ac:dyDescent="0.4">
      <c r="B4" s="359">
        <f t="shared" ref="B4:B24" si="0">B3+1</f>
        <v>3</v>
      </c>
      <c r="C4" s="345" t="s">
        <v>266</v>
      </c>
      <c r="D4" s="320" t="s">
        <v>120</v>
      </c>
      <c r="E4" s="320" t="s">
        <v>215</v>
      </c>
      <c r="F4" s="320" t="s">
        <v>122</v>
      </c>
      <c r="H4" s="349"/>
      <c r="I4" s="349"/>
      <c r="J4" s="349"/>
      <c r="K4" s="349"/>
      <c r="L4" s="349"/>
      <c r="M4" s="452" t="s">
        <v>267</v>
      </c>
      <c r="N4" s="455"/>
      <c r="O4" s="455"/>
      <c r="P4" s="455"/>
      <c r="Q4" s="455"/>
      <c r="R4" s="455"/>
      <c r="S4" s="456"/>
      <c r="T4" s="364" t="s">
        <v>1128</v>
      </c>
      <c r="U4" s="362" t="s">
        <v>265</v>
      </c>
    </row>
    <row r="5" spans="2:21" x14ac:dyDescent="0.4">
      <c r="B5" s="359">
        <f t="shared" si="0"/>
        <v>4</v>
      </c>
      <c r="C5" s="345" t="s">
        <v>134</v>
      </c>
      <c r="D5" s="320" t="s">
        <v>120</v>
      </c>
      <c r="E5" s="320" t="s">
        <v>126</v>
      </c>
      <c r="F5" s="320" t="s">
        <v>122</v>
      </c>
      <c r="H5" s="350" t="s">
        <v>136</v>
      </c>
      <c r="I5" s="350" t="s">
        <v>137</v>
      </c>
      <c r="J5" s="350" t="s">
        <v>138</v>
      </c>
      <c r="K5" s="350" t="s">
        <v>139</v>
      </c>
      <c r="L5" s="350" t="s">
        <v>140</v>
      </c>
      <c r="M5" s="350" t="s">
        <v>141</v>
      </c>
      <c r="N5" s="350" t="s">
        <v>142</v>
      </c>
      <c r="O5" s="350" t="s">
        <v>143</v>
      </c>
      <c r="P5" s="350" t="s">
        <v>144</v>
      </c>
      <c r="Q5" s="350" t="s">
        <v>145</v>
      </c>
      <c r="R5" s="350" t="s">
        <v>146</v>
      </c>
      <c r="S5" s="350" t="s">
        <v>147</v>
      </c>
      <c r="T5" s="365"/>
      <c r="U5" s="363"/>
    </row>
    <row r="6" spans="2:21" x14ac:dyDescent="0.4">
      <c r="B6" s="359"/>
      <c r="C6" s="345" t="s">
        <v>294</v>
      </c>
      <c r="E6" s="320" t="s">
        <v>127</v>
      </c>
      <c r="T6" s="320"/>
      <c r="U6" s="320"/>
    </row>
    <row r="7" spans="2:21" ht="93.6" x14ac:dyDescent="0.4">
      <c r="B7" s="359">
        <f>B5+1</f>
        <v>5</v>
      </c>
      <c r="C7" s="345" t="s">
        <v>148</v>
      </c>
      <c r="D7" s="320" t="s">
        <v>149</v>
      </c>
      <c r="E7" s="320" t="s">
        <v>219</v>
      </c>
      <c r="F7" s="320" t="s">
        <v>130</v>
      </c>
      <c r="H7" s="348" t="s">
        <v>303</v>
      </c>
      <c r="I7" s="349"/>
      <c r="J7" s="349"/>
      <c r="K7" s="349"/>
      <c r="L7" s="349"/>
      <c r="M7" s="349"/>
      <c r="N7" s="349"/>
      <c r="O7" s="349"/>
      <c r="P7" s="350" t="s">
        <v>151</v>
      </c>
      <c r="Q7" s="348" t="s">
        <v>152</v>
      </c>
      <c r="R7" s="348" t="s">
        <v>153</v>
      </c>
      <c r="S7" s="350" t="s">
        <v>77</v>
      </c>
      <c r="T7" s="365" t="s">
        <v>1146</v>
      </c>
      <c r="U7" s="366" t="s">
        <v>360</v>
      </c>
    </row>
    <row r="8" spans="2:21" x14ac:dyDescent="0.4">
      <c r="B8" s="359">
        <f t="shared" si="0"/>
        <v>6</v>
      </c>
      <c r="C8" s="345" t="s">
        <v>154</v>
      </c>
      <c r="D8" s="320" t="s">
        <v>120</v>
      </c>
      <c r="E8" s="320" t="s">
        <v>129</v>
      </c>
      <c r="F8" s="320" t="s">
        <v>130</v>
      </c>
      <c r="H8" s="349"/>
      <c r="I8" s="463" t="s">
        <v>156</v>
      </c>
      <c r="J8" s="464"/>
      <c r="K8" s="465"/>
      <c r="L8" s="349"/>
      <c r="M8" s="463" t="s">
        <v>157</v>
      </c>
      <c r="N8" s="464"/>
      <c r="O8" s="465"/>
      <c r="P8" s="352"/>
      <c r="Q8" s="457" t="s">
        <v>158</v>
      </c>
      <c r="R8" s="458"/>
      <c r="S8" s="459"/>
      <c r="T8" s="362"/>
      <c r="U8" s="363"/>
    </row>
    <row r="9" spans="2:21" ht="156" x14ac:dyDescent="0.4">
      <c r="B9" s="359">
        <f t="shared" si="0"/>
        <v>7</v>
      </c>
      <c r="C9" s="345" t="s">
        <v>308</v>
      </c>
      <c r="D9" s="320" t="s">
        <v>120</v>
      </c>
      <c r="E9" s="320" t="s">
        <v>222</v>
      </c>
      <c r="F9" s="320" t="s">
        <v>160</v>
      </c>
      <c r="H9" s="348" t="s">
        <v>314</v>
      </c>
      <c r="I9" s="348" t="s">
        <v>326</v>
      </c>
      <c r="J9" s="349"/>
      <c r="K9" s="348" t="s">
        <v>302</v>
      </c>
      <c r="L9" s="348" t="s">
        <v>304</v>
      </c>
      <c r="M9" s="348" t="s">
        <v>309</v>
      </c>
      <c r="N9" s="348" t="s">
        <v>313</v>
      </c>
      <c r="O9" s="348" t="s">
        <v>1147</v>
      </c>
      <c r="P9" s="348" t="s">
        <v>546</v>
      </c>
      <c r="Q9" s="350" t="s">
        <v>312</v>
      </c>
      <c r="R9" s="350" t="s">
        <v>311</v>
      </c>
      <c r="S9" s="348" t="s">
        <v>310</v>
      </c>
      <c r="T9" s="362" t="s">
        <v>1159</v>
      </c>
      <c r="U9" s="367" t="s">
        <v>1160</v>
      </c>
    </row>
    <row r="10" spans="2:21" x14ac:dyDescent="0.4">
      <c r="B10" s="359">
        <f t="shared" si="0"/>
        <v>8</v>
      </c>
      <c r="C10" s="345" t="s">
        <v>131</v>
      </c>
      <c r="D10" s="320" t="s">
        <v>120</v>
      </c>
      <c r="E10" s="320" t="s">
        <v>132</v>
      </c>
      <c r="F10" s="320" t="s">
        <v>130</v>
      </c>
      <c r="H10" s="460" t="s">
        <v>133</v>
      </c>
      <c r="I10" s="461"/>
      <c r="J10" s="461"/>
      <c r="K10" s="461"/>
      <c r="L10" s="461"/>
      <c r="M10" s="461"/>
      <c r="N10" s="461"/>
      <c r="O10" s="461"/>
      <c r="P10" s="461"/>
      <c r="Q10" s="461"/>
      <c r="R10" s="461"/>
      <c r="S10" s="462"/>
      <c r="T10" s="362"/>
      <c r="U10" s="362" t="s">
        <v>265</v>
      </c>
    </row>
    <row r="11" spans="2:21" x14ac:dyDescent="0.4">
      <c r="B11" s="359">
        <f t="shared" si="0"/>
        <v>9</v>
      </c>
      <c r="C11" s="345" t="s">
        <v>295</v>
      </c>
      <c r="D11" s="320" t="s">
        <v>120</v>
      </c>
      <c r="E11" s="320" t="s">
        <v>135</v>
      </c>
      <c r="F11" s="320" t="s">
        <v>130</v>
      </c>
      <c r="H11" s="452" t="s">
        <v>287</v>
      </c>
      <c r="I11" s="456"/>
      <c r="J11" s="452" t="s">
        <v>286</v>
      </c>
      <c r="K11" s="456"/>
      <c r="L11" s="452" t="s">
        <v>285</v>
      </c>
      <c r="M11" s="456"/>
      <c r="N11" s="452" t="s">
        <v>284</v>
      </c>
      <c r="O11" s="456"/>
      <c r="P11" s="452" t="s">
        <v>283</v>
      </c>
      <c r="Q11" s="456"/>
      <c r="R11" s="452" t="s">
        <v>282</v>
      </c>
      <c r="S11" s="456"/>
      <c r="T11" s="368" t="s">
        <v>269</v>
      </c>
      <c r="U11" s="363"/>
    </row>
    <row r="12" spans="2:21" x14ac:dyDescent="0.4">
      <c r="B12" s="359">
        <f t="shared" si="0"/>
        <v>10</v>
      </c>
      <c r="C12" s="345" t="s">
        <v>296</v>
      </c>
      <c r="D12" s="320" t="s">
        <v>120</v>
      </c>
      <c r="E12" s="320" t="s">
        <v>226</v>
      </c>
      <c r="F12" s="320" t="s">
        <v>130</v>
      </c>
      <c r="H12" s="452" t="s">
        <v>293</v>
      </c>
      <c r="I12" s="456"/>
      <c r="J12" s="452" t="s">
        <v>292</v>
      </c>
      <c r="K12" s="456"/>
      <c r="L12" s="452" t="s">
        <v>291</v>
      </c>
      <c r="M12" s="456"/>
      <c r="N12" s="452" t="s">
        <v>290</v>
      </c>
      <c r="O12" s="456"/>
      <c r="P12" s="452" t="s">
        <v>289</v>
      </c>
      <c r="Q12" s="456"/>
      <c r="R12" s="452" t="s">
        <v>288</v>
      </c>
      <c r="S12" s="456"/>
      <c r="T12" s="362"/>
      <c r="U12" s="363"/>
    </row>
    <row r="13" spans="2:21" x14ac:dyDescent="0.4">
      <c r="B13" s="359">
        <f t="shared" si="0"/>
        <v>11</v>
      </c>
      <c r="C13" s="345" t="s">
        <v>161</v>
      </c>
      <c r="D13" s="320" t="s">
        <v>120</v>
      </c>
      <c r="E13" s="320" t="s">
        <v>150</v>
      </c>
      <c r="F13" s="320" t="s">
        <v>130</v>
      </c>
      <c r="H13" s="452" t="s">
        <v>270</v>
      </c>
      <c r="I13" s="455"/>
      <c r="J13" s="455"/>
      <c r="K13" s="455"/>
      <c r="L13" s="455"/>
      <c r="M13" s="455"/>
      <c r="N13" s="455"/>
      <c r="O13" s="455"/>
      <c r="P13" s="455"/>
      <c r="Q13" s="455"/>
      <c r="R13" s="455"/>
      <c r="S13" s="456"/>
      <c r="T13" s="368"/>
      <c r="U13" s="363"/>
    </row>
    <row r="14" spans="2:21" x14ac:dyDescent="0.4">
      <c r="B14" s="359">
        <f t="shared" si="0"/>
        <v>12</v>
      </c>
      <c r="C14" s="345" t="s">
        <v>163</v>
      </c>
      <c r="D14" s="320" t="s">
        <v>120</v>
      </c>
      <c r="E14" s="320" t="s">
        <v>155</v>
      </c>
      <c r="F14" s="320" t="s">
        <v>130</v>
      </c>
      <c r="H14" s="452" t="s">
        <v>271</v>
      </c>
      <c r="I14" s="455"/>
      <c r="J14" s="455"/>
      <c r="K14" s="455"/>
      <c r="L14" s="455"/>
      <c r="M14" s="455"/>
      <c r="N14" s="455"/>
      <c r="O14" s="455"/>
      <c r="P14" s="455"/>
      <c r="Q14" s="455"/>
      <c r="R14" s="455"/>
      <c r="S14" s="456"/>
      <c r="T14" s="368"/>
      <c r="U14" s="363"/>
    </row>
    <row r="15" spans="2:21" x14ac:dyDescent="0.4">
      <c r="B15" s="359">
        <f t="shared" si="0"/>
        <v>13</v>
      </c>
      <c r="C15" s="345" t="s">
        <v>165</v>
      </c>
      <c r="D15" s="320" t="s">
        <v>120</v>
      </c>
      <c r="E15" s="320" t="s">
        <v>159</v>
      </c>
      <c r="F15" s="320" t="s">
        <v>130</v>
      </c>
      <c r="H15" s="452" t="s">
        <v>272</v>
      </c>
      <c r="I15" s="455"/>
      <c r="J15" s="455"/>
      <c r="K15" s="455"/>
      <c r="L15" s="455"/>
      <c r="M15" s="455"/>
      <c r="N15" s="455"/>
      <c r="O15" s="455"/>
      <c r="P15" s="455"/>
      <c r="Q15" s="455"/>
      <c r="R15" s="455"/>
      <c r="S15" s="456"/>
      <c r="T15" s="368"/>
      <c r="U15" s="363"/>
    </row>
    <row r="16" spans="2:21" x14ac:dyDescent="0.4">
      <c r="B16" s="359">
        <f t="shared" si="0"/>
        <v>14</v>
      </c>
      <c r="C16" s="345" t="s">
        <v>167</v>
      </c>
      <c r="D16" s="320" t="s">
        <v>120</v>
      </c>
      <c r="E16" s="320" t="s">
        <v>162</v>
      </c>
      <c r="F16" s="320" t="s">
        <v>130</v>
      </c>
      <c r="H16" s="452" t="s">
        <v>273</v>
      </c>
      <c r="I16" s="455"/>
      <c r="J16" s="455"/>
      <c r="K16" s="455"/>
      <c r="L16" s="455"/>
      <c r="M16" s="455"/>
      <c r="N16" s="455"/>
      <c r="O16" s="455"/>
      <c r="P16" s="455"/>
      <c r="Q16" s="455"/>
      <c r="R16" s="455"/>
      <c r="S16" s="456"/>
      <c r="T16" s="368"/>
      <c r="U16" s="363"/>
    </row>
    <row r="17" spans="2:21" x14ac:dyDescent="0.4">
      <c r="B17" s="359">
        <f t="shared" si="0"/>
        <v>15</v>
      </c>
      <c r="C17" s="345" t="s">
        <v>168</v>
      </c>
      <c r="D17" s="320" t="s">
        <v>120</v>
      </c>
      <c r="E17" s="320" t="s">
        <v>164</v>
      </c>
      <c r="F17" s="320" t="s">
        <v>130</v>
      </c>
      <c r="H17" s="452" t="s">
        <v>274</v>
      </c>
      <c r="I17" s="455"/>
      <c r="J17" s="455"/>
      <c r="K17" s="455"/>
      <c r="L17" s="455"/>
      <c r="M17" s="455"/>
      <c r="N17" s="455"/>
      <c r="O17" s="455"/>
      <c r="P17" s="455"/>
      <c r="Q17" s="455"/>
      <c r="R17" s="455"/>
      <c r="S17" s="456"/>
      <c r="T17" s="368"/>
      <c r="U17" s="363"/>
    </row>
    <row r="18" spans="2:21" x14ac:dyDescent="0.4">
      <c r="B18" s="359">
        <f t="shared" si="0"/>
        <v>16</v>
      </c>
      <c r="C18" s="345" t="s">
        <v>170</v>
      </c>
      <c r="D18" s="320" t="s">
        <v>120</v>
      </c>
      <c r="E18" s="320" t="s">
        <v>166</v>
      </c>
      <c r="F18" s="320" t="s">
        <v>130</v>
      </c>
      <c r="H18" s="452" t="s">
        <v>275</v>
      </c>
      <c r="I18" s="455"/>
      <c r="J18" s="455"/>
      <c r="K18" s="455"/>
      <c r="L18" s="455"/>
      <c r="M18" s="455"/>
      <c r="N18" s="455"/>
      <c r="O18" s="455"/>
      <c r="P18" s="455"/>
      <c r="Q18" s="455"/>
      <c r="R18" s="455"/>
      <c r="S18" s="456"/>
      <c r="T18" s="368"/>
      <c r="U18" s="363"/>
    </row>
    <row r="19" spans="2:21" x14ac:dyDescent="0.4">
      <c r="B19" s="359">
        <f t="shared" si="0"/>
        <v>17</v>
      </c>
      <c r="C19" s="345" t="s">
        <v>172</v>
      </c>
      <c r="D19" s="320" t="s">
        <v>120</v>
      </c>
      <c r="E19" s="320" t="s">
        <v>297</v>
      </c>
      <c r="F19" s="320" t="s">
        <v>130</v>
      </c>
      <c r="H19" s="452" t="s">
        <v>276</v>
      </c>
      <c r="I19" s="455"/>
      <c r="J19" s="455"/>
      <c r="K19" s="455"/>
      <c r="L19" s="455"/>
      <c r="M19" s="455"/>
      <c r="N19" s="455"/>
      <c r="O19" s="455"/>
      <c r="P19" s="455"/>
      <c r="Q19" s="455"/>
      <c r="R19" s="455"/>
      <c r="S19" s="456"/>
      <c r="T19" s="368"/>
      <c r="U19" s="363"/>
    </row>
    <row r="20" spans="2:21" x14ac:dyDescent="0.4">
      <c r="B20" s="359">
        <f t="shared" si="0"/>
        <v>18</v>
      </c>
      <c r="C20" s="345" t="s">
        <v>174</v>
      </c>
      <c r="D20" s="320" t="s">
        <v>120</v>
      </c>
      <c r="E20" s="320" t="s">
        <v>169</v>
      </c>
      <c r="F20" s="320" t="s">
        <v>130</v>
      </c>
      <c r="H20" s="452" t="s">
        <v>277</v>
      </c>
      <c r="I20" s="455"/>
      <c r="J20" s="455"/>
      <c r="K20" s="455"/>
      <c r="L20" s="455"/>
      <c r="M20" s="455"/>
      <c r="N20" s="455"/>
      <c r="O20" s="455"/>
      <c r="P20" s="455"/>
      <c r="Q20" s="455"/>
      <c r="R20" s="455"/>
      <c r="S20" s="456"/>
      <c r="T20" s="368"/>
      <c r="U20" s="363"/>
    </row>
    <row r="21" spans="2:21" x14ac:dyDescent="0.4">
      <c r="B21" s="359">
        <f t="shared" si="0"/>
        <v>19</v>
      </c>
      <c r="C21" s="345" t="s">
        <v>176</v>
      </c>
      <c r="D21" s="320" t="s">
        <v>120</v>
      </c>
      <c r="E21" s="320" t="s">
        <v>171</v>
      </c>
      <c r="F21" s="320" t="s">
        <v>130</v>
      </c>
      <c r="H21" s="452" t="s">
        <v>278</v>
      </c>
      <c r="I21" s="455"/>
      <c r="J21" s="455"/>
      <c r="K21" s="455"/>
      <c r="L21" s="455"/>
      <c r="M21" s="455"/>
      <c r="N21" s="455"/>
      <c r="O21" s="455"/>
      <c r="P21" s="455"/>
      <c r="Q21" s="455"/>
      <c r="R21" s="455"/>
      <c r="S21" s="456"/>
      <c r="T21" s="368"/>
      <c r="U21" s="363"/>
    </row>
    <row r="22" spans="2:21" x14ac:dyDescent="0.4">
      <c r="B22" s="359">
        <f t="shared" si="0"/>
        <v>20</v>
      </c>
      <c r="C22" s="345" t="s">
        <v>178</v>
      </c>
      <c r="D22" s="320" t="s">
        <v>120</v>
      </c>
      <c r="E22" s="320" t="s">
        <v>173</v>
      </c>
      <c r="F22" s="320" t="s">
        <v>130</v>
      </c>
      <c r="H22" s="452" t="s">
        <v>279</v>
      </c>
      <c r="I22" s="455"/>
      <c r="J22" s="455"/>
      <c r="K22" s="455"/>
      <c r="L22" s="455"/>
      <c r="M22" s="455"/>
      <c r="N22" s="455"/>
      <c r="O22" s="455"/>
      <c r="P22" s="455"/>
      <c r="Q22" s="455"/>
      <c r="R22" s="455"/>
      <c r="S22" s="456"/>
      <c r="T22" s="368"/>
      <c r="U22" s="363"/>
    </row>
    <row r="23" spans="2:21" x14ac:dyDescent="0.4">
      <c r="B23" s="359">
        <f t="shared" si="0"/>
        <v>21</v>
      </c>
      <c r="C23" s="345" t="s">
        <v>179</v>
      </c>
      <c r="D23" s="320" t="s">
        <v>120</v>
      </c>
      <c r="E23" s="320" t="s">
        <v>175</v>
      </c>
      <c r="F23" s="320" t="s">
        <v>130</v>
      </c>
      <c r="H23" s="452" t="s">
        <v>280</v>
      </c>
      <c r="I23" s="455"/>
      <c r="J23" s="455"/>
      <c r="K23" s="455"/>
      <c r="L23" s="455"/>
      <c r="M23" s="455"/>
      <c r="N23" s="455"/>
      <c r="O23" s="455"/>
      <c r="P23" s="455"/>
      <c r="Q23" s="455"/>
      <c r="R23" s="455"/>
      <c r="S23" s="456"/>
      <c r="T23" s="368"/>
      <c r="U23" s="363"/>
    </row>
    <row r="24" spans="2:21" x14ac:dyDescent="0.4">
      <c r="B24" s="359">
        <f t="shared" si="0"/>
        <v>22</v>
      </c>
      <c r="C24" s="345" t="s">
        <v>180</v>
      </c>
      <c r="D24" s="320" t="s">
        <v>120</v>
      </c>
      <c r="E24" s="320" t="s">
        <v>177</v>
      </c>
      <c r="F24" s="320" t="s">
        <v>130</v>
      </c>
      <c r="H24" s="452" t="s">
        <v>281</v>
      </c>
      <c r="I24" s="455"/>
      <c r="J24" s="455"/>
      <c r="K24" s="455"/>
      <c r="L24" s="455"/>
      <c r="M24" s="455"/>
      <c r="N24" s="455"/>
      <c r="O24" s="455"/>
      <c r="P24" s="455"/>
      <c r="Q24" s="455"/>
      <c r="R24" s="455"/>
      <c r="S24" s="456"/>
      <c r="T24" s="368"/>
      <c r="U24" s="363"/>
    </row>
    <row r="25" spans="2:21" x14ac:dyDescent="0.4">
      <c r="B25" s="359"/>
      <c r="C25" s="345" t="s">
        <v>294</v>
      </c>
      <c r="E25" s="320" t="s">
        <v>298</v>
      </c>
      <c r="H25" s="351">
        <v>0</v>
      </c>
      <c r="I25" s="351">
        <v>0</v>
      </c>
      <c r="J25" s="351">
        <v>1</v>
      </c>
      <c r="K25" s="351">
        <v>1</v>
      </c>
      <c r="L25" s="351">
        <v>0</v>
      </c>
      <c r="M25" s="351">
        <v>0</v>
      </c>
      <c r="N25" s="351">
        <v>0</v>
      </c>
      <c r="O25" s="351">
        <v>1</v>
      </c>
      <c r="P25" s="351">
        <v>1</v>
      </c>
      <c r="T25" s="369"/>
      <c r="U25" s="320"/>
    </row>
    <row r="26" spans="2:21" x14ac:dyDescent="0.4">
      <c r="B26" s="359">
        <f>B24+1</f>
        <v>23</v>
      </c>
      <c r="C26" s="345" t="s">
        <v>301</v>
      </c>
      <c r="D26" s="320" t="s">
        <v>120</v>
      </c>
      <c r="E26" s="320" t="s">
        <v>254</v>
      </c>
      <c r="F26" s="320" t="s">
        <v>1141</v>
      </c>
      <c r="H26" s="452" t="s">
        <v>1144</v>
      </c>
      <c r="I26" s="455"/>
      <c r="J26" s="455"/>
      <c r="K26" s="455"/>
      <c r="L26" s="455"/>
      <c r="M26" s="456"/>
      <c r="N26" s="452" t="s">
        <v>1145</v>
      </c>
      <c r="O26" s="455"/>
      <c r="P26" s="455"/>
      <c r="Q26" s="455"/>
      <c r="R26" s="455"/>
      <c r="S26" s="456"/>
      <c r="T26" s="362" t="s">
        <v>1139</v>
      </c>
      <c r="U26" s="363"/>
    </row>
    <row r="27" spans="2:21" ht="31.2" x14ac:dyDescent="0.4">
      <c r="B27" s="359">
        <f>B26+1</f>
        <v>24</v>
      </c>
      <c r="C27" s="345" t="s">
        <v>541</v>
      </c>
      <c r="D27" s="320" t="s">
        <v>120</v>
      </c>
      <c r="E27" s="320" t="s">
        <v>549</v>
      </c>
      <c r="F27" s="320" t="s">
        <v>1148</v>
      </c>
      <c r="H27" s="349"/>
      <c r="I27" s="349"/>
      <c r="J27" s="349"/>
      <c r="K27" s="349"/>
      <c r="L27" s="349"/>
      <c r="M27" s="452" t="s">
        <v>1158</v>
      </c>
      <c r="N27" s="455"/>
      <c r="O27" s="455"/>
      <c r="P27" s="455"/>
      <c r="Q27" s="455"/>
      <c r="R27" s="455"/>
      <c r="S27" s="456"/>
      <c r="T27" s="367" t="s">
        <v>1149</v>
      </c>
      <c r="U27" s="367"/>
    </row>
    <row r="28" spans="2:21" x14ac:dyDescent="0.4">
      <c r="B28" s="359">
        <f t="shared" ref="B28:B29" si="1">B27+1</f>
        <v>25</v>
      </c>
      <c r="C28" s="345" t="s">
        <v>299</v>
      </c>
      <c r="D28" s="320" t="s">
        <v>120</v>
      </c>
      <c r="E28" s="320" t="s">
        <v>182</v>
      </c>
      <c r="F28" s="320" t="s">
        <v>1127</v>
      </c>
      <c r="H28" s="452" t="s">
        <v>185</v>
      </c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6"/>
      <c r="T28" s="362" t="s">
        <v>1126</v>
      </c>
      <c r="U28" s="362"/>
    </row>
    <row r="29" spans="2:21" ht="31.2" x14ac:dyDescent="0.4">
      <c r="B29" s="359">
        <f t="shared" si="1"/>
        <v>26</v>
      </c>
      <c r="C29" s="345" t="s">
        <v>300</v>
      </c>
      <c r="D29" s="320" t="s">
        <v>120</v>
      </c>
      <c r="E29" s="320" t="s">
        <v>184</v>
      </c>
      <c r="F29" s="320" t="s">
        <v>1150</v>
      </c>
      <c r="H29" s="348" t="s">
        <v>187</v>
      </c>
      <c r="I29" s="349"/>
      <c r="J29" s="349"/>
      <c r="K29" s="349"/>
      <c r="L29" s="452" t="s">
        <v>268</v>
      </c>
      <c r="M29" s="455"/>
      <c r="N29" s="455"/>
      <c r="O29" s="455"/>
      <c r="P29" s="455"/>
      <c r="Q29" s="455"/>
      <c r="R29" s="455"/>
      <c r="S29" s="456"/>
      <c r="T29" s="362" t="s">
        <v>1151</v>
      </c>
      <c r="U29" s="362"/>
    </row>
    <row r="30" spans="2:21" x14ac:dyDescent="0.4">
      <c r="B30" s="359"/>
      <c r="D30" s="345"/>
      <c r="E30" s="345"/>
      <c r="F30" s="345"/>
      <c r="G30" s="345"/>
      <c r="H30" s="353"/>
      <c r="I30" s="353"/>
      <c r="J30" s="353"/>
      <c r="K30" s="353"/>
      <c r="L30" s="353"/>
      <c r="M30" s="353"/>
      <c r="N30" s="353"/>
      <c r="O30" s="353"/>
      <c r="P30" s="353"/>
      <c r="Q30" s="353"/>
      <c r="R30" s="353"/>
      <c r="S30" s="353"/>
      <c r="T30" s="362"/>
      <c r="U30" s="362"/>
    </row>
    <row r="31" spans="2:21" x14ac:dyDescent="0.4">
      <c r="B31" s="359">
        <f>B29+1</f>
        <v>27</v>
      </c>
      <c r="C31" s="345" t="s">
        <v>548</v>
      </c>
      <c r="D31" s="320" t="s">
        <v>120</v>
      </c>
      <c r="E31" s="320" t="s">
        <v>547</v>
      </c>
      <c r="F31" s="320" t="s">
        <v>160</v>
      </c>
      <c r="H31" s="452" t="s">
        <v>183</v>
      </c>
      <c r="I31" s="455"/>
      <c r="J31" s="455"/>
      <c r="K31" s="456"/>
      <c r="L31" s="349"/>
      <c r="M31" s="349"/>
      <c r="N31" s="349"/>
      <c r="O31" s="349"/>
      <c r="P31" s="349"/>
      <c r="Q31" s="349"/>
      <c r="R31" s="452" t="s">
        <v>320</v>
      </c>
      <c r="S31" s="456"/>
      <c r="T31" s="362"/>
      <c r="U31" s="362"/>
    </row>
    <row r="32" spans="2:21" x14ac:dyDescent="0.4">
      <c r="B32" s="359">
        <f t="shared" ref="B32:B33" si="2">B31+1</f>
        <v>28</v>
      </c>
      <c r="C32" s="345" t="s">
        <v>321</v>
      </c>
      <c r="D32" s="320" t="s">
        <v>120</v>
      </c>
      <c r="E32" s="320" t="s">
        <v>186</v>
      </c>
      <c r="F32" s="320" t="s">
        <v>122</v>
      </c>
      <c r="H32" s="452" t="s">
        <v>318</v>
      </c>
      <c r="I32" s="455"/>
      <c r="J32" s="455"/>
      <c r="K32" s="455"/>
      <c r="L32" s="455"/>
      <c r="M32" s="455"/>
      <c r="N32" s="455"/>
      <c r="O32" s="455"/>
      <c r="P32" s="455"/>
      <c r="Q32" s="455"/>
      <c r="R32" s="455"/>
      <c r="S32" s="456"/>
      <c r="T32" s="367"/>
      <c r="U32" s="367"/>
    </row>
    <row r="33" spans="2:21" x14ac:dyDescent="0.4">
      <c r="B33" s="359">
        <f t="shared" si="2"/>
        <v>29</v>
      </c>
      <c r="C33" s="345" t="s">
        <v>322</v>
      </c>
      <c r="D33" s="320" t="s">
        <v>120</v>
      </c>
      <c r="E33" s="320" t="s">
        <v>188</v>
      </c>
      <c r="F33" s="320" t="s">
        <v>317</v>
      </c>
      <c r="H33" s="348" t="s">
        <v>319</v>
      </c>
      <c r="I33" s="349"/>
      <c r="J33" s="349"/>
      <c r="K33" s="349"/>
      <c r="L33" s="349"/>
      <c r="M33" s="349"/>
      <c r="N33" s="349"/>
      <c r="O33" s="349"/>
      <c r="P33" s="452" t="s">
        <v>1143</v>
      </c>
      <c r="Q33" s="455"/>
      <c r="R33" s="455"/>
      <c r="S33" s="456"/>
      <c r="T33" s="367"/>
      <c r="U33" s="367"/>
    </row>
    <row r="35" spans="2:21" ht="171.6" x14ac:dyDescent="0.4">
      <c r="B35" s="359">
        <v>1</v>
      </c>
      <c r="C35" s="345" t="s">
        <v>189</v>
      </c>
      <c r="D35" s="320" t="s">
        <v>120</v>
      </c>
      <c r="E35" s="370" t="s">
        <v>190</v>
      </c>
      <c r="F35" s="320" t="s">
        <v>122</v>
      </c>
      <c r="H35" s="348" t="s">
        <v>191</v>
      </c>
      <c r="I35" s="376"/>
      <c r="J35" s="349"/>
      <c r="K35" s="349"/>
      <c r="L35" s="349"/>
      <c r="M35" s="348" t="s">
        <v>262</v>
      </c>
      <c r="N35" s="348" t="s">
        <v>263</v>
      </c>
      <c r="O35" s="348" t="s">
        <v>264</v>
      </c>
      <c r="P35" s="349"/>
      <c r="Q35" s="349"/>
      <c r="R35" s="349"/>
      <c r="S35" s="348" t="s">
        <v>192</v>
      </c>
      <c r="T35" s="362" t="s">
        <v>1165</v>
      </c>
      <c r="U35" s="362"/>
    </row>
    <row r="36" spans="2:21" x14ac:dyDescent="0.4">
      <c r="B36" s="359">
        <f>B35+1</f>
        <v>2</v>
      </c>
      <c r="C36" s="345" t="s">
        <v>193</v>
      </c>
      <c r="D36" s="320" t="s">
        <v>120</v>
      </c>
      <c r="E36" s="370" t="s">
        <v>194</v>
      </c>
      <c r="F36" s="320" t="s">
        <v>122</v>
      </c>
      <c r="H36" s="349"/>
      <c r="I36" s="349"/>
      <c r="J36" s="349"/>
      <c r="K36" s="349"/>
      <c r="L36" s="349"/>
      <c r="M36" s="349"/>
      <c r="N36" s="349"/>
      <c r="O36" s="349"/>
      <c r="P36" s="452" t="s">
        <v>195</v>
      </c>
      <c r="Q36" s="455"/>
      <c r="R36" s="455"/>
      <c r="S36" s="456"/>
      <c r="U36" s="363"/>
    </row>
    <row r="37" spans="2:21" x14ac:dyDescent="0.4">
      <c r="B37" s="359">
        <f t="shared" ref="B37:B40" si="3">B36+1</f>
        <v>3</v>
      </c>
      <c r="C37" s="345" t="s">
        <v>196</v>
      </c>
      <c r="D37" s="320" t="s">
        <v>120</v>
      </c>
      <c r="E37" s="370" t="s">
        <v>197</v>
      </c>
      <c r="F37" s="320" t="s">
        <v>540</v>
      </c>
      <c r="H37" s="452" t="s">
        <v>1161</v>
      </c>
      <c r="I37" s="455"/>
      <c r="J37" s="455"/>
      <c r="K37" s="455"/>
      <c r="L37" s="455"/>
      <c r="M37" s="455"/>
      <c r="N37" s="455"/>
      <c r="O37" s="455"/>
      <c r="P37" s="455"/>
      <c r="Q37" s="455"/>
      <c r="R37" s="455"/>
      <c r="S37" s="456"/>
      <c r="T37" s="372"/>
      <c r="U37" s="363"/>
    </row>
    <row r="38" spans="2:21" x14ac:dyDescent="0.4">
      <c r="B38" s="359">
        <f t="shared" si="3"/>
        <v>4</v>
      </c>
      <c r="C38" s="345" t="s">
        <v>198</v>
      </c>
      <c r="D38" s="320" t="s">
        <v>120</v>
      </c>
      <c r="E38" s="370" t="s">
        <v>199</v>
      </c>
      <c r="F38" s="320" t="s">
        <v>200</v>
      </c>
      <c r="H38" s="349"/>
      <c r="I38" s="349"/>
      <c r="J38" s="349"/>
      <c r="K38" s="349"/>
      <c r="L38" s="349"/>
      <c r="M38" s="349"/>
      <c r="N38" s="349"/>
      <c r="O38" s="349"/>
      <c r="P38" s="452" t="s">
        <v>201</v>
      </c>
      <c r="Q38" s="455"/>
      <c r="R38" s="455"/>
      <c r="S38" s="456"/>
      <c r="T38" s="368"/>
      <c r="U38" s="363"/>
    </row>
    <row r="39" spans="2:21" x14ac:dyDescent="0.4">
      <c r="B39" s="359">
        <f t="shared" si="3"/>
        <v>5</v>
      </c>
      <c r="C39" s="345" t="s">
        <v>202</v>
      </c>
      <c r="D39" s="320" t="s">
        <v>120</v>
      </c>
      <c r="E39" s="370" t="s">
        <v>203</v>
      </c>
      <c r="F39" s="320" t="s">
        <v>122</v>
      </c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8" t="s">
        <v>204</v>
      </c>
      <c r="S39" s="348" t="s">
        <v>205</v>
      </c>
      <c r="T39" s="372" t="s">
        <v>1152</v>
      </c>
      <c r="U39" s="363"/>
    </row>
    <row r="40" spans="2:21" x14ac:dyDescent="0.4">
      <c r="B40" s="359">
        <f t="shared" si="3"/>
        <v>6</v>
      </c>
      <c r="C40" s="345" t="s">
        <v>206</v>
      </c>
      <c r="D40" s="320" t="s">
        <v>120</v>
      </c>
      <c r="E40" s="370" t="s">
        <v>207</v>
      </c>
      <c r="F40" s="320" t="s">
        <v>122</v>
      </c>
      <c r="H40" s="452" t="s">
        <v>208</v>
      </c>
      <c r="I40" s="455"/>
      <c r="J40" s="455"/>
      <c r="K40" s="455"/>
      <c r="L40" s="455"/>
      <c r="M40" s="455"/>
      <c r="N40" s="455"/>
      <c r="O40" s="455"/>
      <c r="P40" s="455"/>
      <c r="Q40" s="455"/>
      <c r="R40" s="455"/>
      <c r="S40" s="456"/>
      <c r="T40" s="372"/>
      <c r="U40" s="363"/>
    </row>
    <row r="41" spans="2:21" x14ac:dyDescent="0.4">
      <c r="B41" s="359"/>
      <c r="C41" s="346"/>
      <c r="E41" s="346"/>
      <c r="F41" s="346"/>
      <c r="G41" s="346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68"/>
      <c r="U41" s="363"/>
    </row>
    <row r="42" spans="2:21" x14ac:dyDescent="0.4">
      <c r="B42" s="359">
        <v>1</v>
      </c>
      <c r="C42" s="345" t="s">
        <v>209</v>
      </c>
      <c r="D42" s="320" t="s">
        <v>120</v>
      </c>
      <c r="E42" s="320" t="s">
        <v>121</v>
      </c>
      <c r="F42" s="320" t="s">
        <v>122</v>
      </c>
      <c r="H42" s="349"/>
      <c r="I42" s="349"/>
      <c r="J42" s="349"/>
      <c r="K42" s="349"/>
      <c r="L42" s="466" t="s">
        <v>210</v>
      </c>
      <c r="M42" s="467"/>
      <c r="N42" s="467"/>
      <c r="O42" s="467"/>
      <c r="P42" s="467"/>
      <c r="Q42" s="467"/>
      <c r="R42" s="467"/>
      <c r="S42" s="468"/>
      <c r="T42" s="368"/>
      <c r="U42" s="363"/>
    </row>
    <row r="43" spans="2:21" x14ac:dyDescent="0.4">
      <c r="B43" s="359">
        <f>B42+1</f>
        <v>2</v>
      </c>
      <c r="C43" s="345" t="s">
        <v>211</v>
      </c>
      <c r="D43" s="320" t="s">
        <v>120</v>
      </c>
      <c r="E43" s="320" t="s">
        <v>212</v>
      </c>
      <c r="F43" s="320" t="s">
        <v>315</v>
      </c>
      <c r="H43" s="349"/>
      <c r="I43" s="349"/>
      <c r="J43" s="349"/>
      <c r="K43" s="349"/>
      <c r="L43" s="349"/>
      <c r="M43" s="349"/>
      <c r="N43" s="466" t="s">
        <v>334</v>
      </c>
      <c r="O43" s="467"/>
      <c r="P43" s="467"/>
      <c r="Q43" s="467"/>
      <c r="R43" s="467"/>
      <c r="S43" s="468"/>
      <c r="T43" s="368"/>
      <c r="U43" s="363"/>
    </row>
    <row r="44" spans="2:21" x14ac:dyDescent="0.4">
      <c r="B44" s="359">
        <f t="shared" ref="B44:B69" si="4">B43+1</f>
        <v>3</v>
      </c>
      <c r="C44" s="345" t="s">
        <v>214</v>
      </c>
      <c r="D44" s="320" t="s">
        <v>120</v>
      </c>
      <c r="E44" s="320" t="s">
        <v>215</v>
      </c>
      <c r="F44" s="320" t="s">
        <v>315</v>
      </c>
      <c r="H44" s="349"/>
      <c r="I44" s="349"/>
      <c r="J44" s="349"/>
      <c r="K44" s="349"/>
      <c r="L44" s="349"/>
      <c r="M44" s="349"/>
      <c r="N44" s="466" t="s">
        <v>335</v>
      </c>
      <c r="O44" s="467"/>
      <c r="P44" s="467"/>
      <c r="Q44" s="467"/>
      <c r="R44" s="467"/>
      <c r="S44" s="468"/>
      <c r="T44" s="368"/>
      <c r="U44" s="363"/>
    </row>
    <row r="45" spans="2:21" s="369" customFormat="1" x14ac:dyDescent="0.4">
      <c r="B45" s="359">
        <f t="shared" si="4"/>
        <v>4</v>
      </c>
      <c r="C45" s="345" t="s">
        <v>216</v>
      </c>
      <c r="D45" s="320" t="s">
        <v>120</v>
      </c>
      <c r="E45" s="320" t="s">
        <v>126</v>
      </c>
      <c r="F45" s="320" t="s">
        <v>213</v>
      </c>
      <c r="G45" s="320"/>
      <c r="H45" s="349"/>
      <c r="I45" s="349"/>
      <c r="J45" s="349"/>
      <c r="K45" s="349"/>
      <c r="L45" s="349"/>
      <c r="M45" s="466" t="s">
        <v>336</v>
      </c>
      <c r="N45" s="467"/>
      <c r="O45" s="467"/>
      <c r="P45" s="467"/>
      <c r="Q45" s="467"/>
      <c r="R45" s="467"/>
      <c r="S45" s="468"/>
      <c r="T45" s="368"/>
      <c r="U45" s="363"/>
    </row>
    <row r="46" spans="2:21" s="369" customFormat="1" x14ac:dyDescent="0.4">
      <c r="B46" s="359">
        <f t="shared" si="4"/>
        <v>5</v>
      </c>
      <c r="C46" s="345" t="s">
        <v>217</v>
      </c>
      <c r="D46" s="320" t="s">
        <v>120</v>
      </c>
      <c r="E46" s="320" t="s">
        <v>127</v>
      </c>
      <c r="F46" s="320" t="s">
        <v>213</v>
      </c>
      <c r="G46" s="320"/>
      <c r="H46" s="349"/>
      <c r="I46" s="349"/>
      <c r="J46" s="349"/>
      <c r="K46" s="349"/>
      <c r="L46" s="349"/>
      <c r="M46" s="466" t="s">
        <v>337</v>
      </c>
      <c r="N46" s="467"/>
      <c r="O46" s="467"/>
      <c r="P46" s="467"/>
      <c r="Q46" s="467"/>
      <c r="R46" s="467"/>
      <c r="S46" s="468"/>
      <c r="T46" s="368"/>
      <c r="U46" s="363"/>
    </row>
    <row r="47" spans="2:21" s="369" customFormat="1" x14ac:dyDescent="0.4">
      <c r="B47" s="359">
        <f t="shared" si="4"/>
        <v>6</v>
      </c>
      <c r="C47" s="345" t="s">
        <v>218</v>
      </c>
      <c r="D47" s="320" t="s">
        <v>120</v>
      </c>
      <c r="E47" s="320" t="s">
        <v>219</v>
      </c>
      <c r="F47" s="320" t="s">
        <v>213</v>
      </c>
      <c r="G47" s="320"/>
      <c r="H47" s="349"/>
      <c r="I47" s="349"/>
      <c r="J47" s="349"/>
      <c r="K47" s="349"/>
      <c r="L47" s="349"/>
      <c r="M47" s="466" t="s">
        <v>338</v>
      </c>
      <c r="N47" s="467"/>
      <c r="O47" s="467"/>
      <c r="P47" s="467"/>
      <c r="Q47" s="467"/>
      <c r="R47" s="467"/>
      <c r="S47" s="468"/>
      <c r="T47" s="368"/>
      <c r="U47" s="363"/>
    </row>
    <row r="48" spans="2:21" s="369" customFormat="1" x14ac:dyDescent="0.4">
      <c r="B48" s="359">
        <f t="shared" si="4"/>
        <v>7</v>
      </c>
      <c r="C48" s="345" t="s">
        <v>220</v>
      </c>
      <c r="D48" s="320" t="s">
        <v>120</v>
      </c>
      <c r="E48" s="320" t="s">
        <v>129</v>
      </c>
      <c r="F48" s="320" t="s">
        <v>213</v>
      </c>
      <c r="G48" s="320"/>
      <c r="H48" s="349"/>
      <c r="I48" s="349"/>
      <c r="J48" s="349"/>
      <c r="K48" s="349"/>
      <c r="L48" s="349"/>
      <c r="M48" s="466" t="s">
        <v>339</v>
      </c>
      <c r="N48" s="467"/>
      <c r="O48" s="467"/>
      <c r="P48" s="467"/>
      <c r="Q48" s="467"/>
      <c r="R48" s="467"/>
      <c r="S48" s="468"/>
      <c r="T48" s="368"/>
      <c r="U48" s="363"/>
    </row>
    <row r="49" spans="1:21" s="369" customFormat="1" x14ac:dyDescent="0.4">
      <c r="B49" s="359">
        <f t="shared" si="4"/>
        <v>8</v>
      </c>
      <c r="C49" s="345" t="s">
        <v>221</v>
      </c>
      <c r="D49" s="320" t="s">
        <v>120</v>
      </c>
      <c r="E49" s="320" t="s">
        <v>222</v>
      </c>
      <c r="F49" s="320" t="s">
        <v>213</v>
      </c>
      <c r="G49" s="320"/>
      <c r="H49" s="349"/>
      <c r="I49" s="349"/>
      <c r="J49" s="349"/>
      <c r="K49" s="349"/>
      <c r="L49" s="349"/>
      <c r="M49" s="466" t="s">
        <v>340</v>
      </c>
      <c r="N49" s="467"/>
      <c r="O49" s="467"/>
      <c r="P49" s="467"/>
      <c r="Q49" s="467"/>
      <c r="R49" s="467"/>
      <c r="S49" s="468"/>
      <c r="T49" s="368"/>
      <c r="U49" s="363"/>
    </row>
    <row r="50" spans="1:21" s="369" customFormat="1" x14ac:dyDescent="0.4">
      <c r="B50" s="359">
        <f t="shared" si="4"/>
        <v>9</v>
      </c>
      <c r="C50" s="345" t="s">
        <v>223</v>
      </c>
      <c r="D50" s="320" t="s">
        <v>120</v>
      </c>
      <c r="E50" s="320" t="s">
        <v>132</v>
      </c>
      <c r="F50" s="320" t="s">
        <v>213</v>
      </c>
      <c r="G50" s="320"/>
      <c r="H50" s="349"/>
      <c r="I50" s="349"/>
      <c r="J50" s="349"/>
      <c r="K50" s="349"/>
      <c r="L50" s="349"/>
      <c r="M50" s="466" t="s">
        <v>341</v>
      </c>
      <c r="N50" s="467"/>
      <c r="O50" s="467"/>
      <c r="P50" s="467"/>
      <c r="Q50" s="467"/>
      <c r="R50" s="467"/>
      <c r="S50" s="468"/>
      <c r="T50" s="368"/>
      <c r="U50" s="363"/>
    </row>
    <row r="51" spans="1:21" s="369" customFormat="1" x14ac:dyDescent="0.4">
      <c r="B51" s="359">
        <f t="shared" si="4"/>
        <v>10</v>
      </c>
      <c r="C51" s="345" t="s">
        <v>224</v>
      </c>
      <c r="D51" s="320" t="s">
        <v>120</v>
      </c>
      <c r="E51" s="320" t="s">
        <v>135</v>
      </c>
      <c r="F51" s="320" t="s">
        <v>213</v>
      </c>
      <c r="G51" s="320"/>
      <c r="H51" s="349"/>
      <c r="I51" s="349"/>
      <c r="J51" s="349"/>
      <c r="K51" s="349"/>
      <c r="L51" s="349"/>
      <c r="M51" s="466" t="s">
        <v>342</v>
      </c>
      <c r="N51" s="467"/>
      <c r="O51" s="467"/>
      <c r="P51" s="467"/>
      <c r="Q51" s="467"/>
      <c r="R51" s="467"/>
      <c r="S51" s="468"/>
      <c r="T51" s="368"/>
      <c r="U51" s="363"/>
    </row>
    <row r="52" spans="1:21" s="369" customFormat="1" x14ac:dyDescent="0.4">
      <c r="B52" s="359">
        <f t="shared" si="4"/>
        <v>11</v>
      </c>
      <c r="C52" s="345" t="s">
        <v>225</v>
      </c>
      <c r="D52" s="320" t="s">
        <v>120</v>
      </c>
      <c r="E52" s="320" t="s">
        <v>226</v>
      </c>
      <c r="F52" s="320" t="s">
        <v>213</v>
      </c>
      <c r="G52" s="320"/>
      <c r="H52" s="349"/>
      <c r="I52" s="349"/>
      <c r="J52" s="349"/>
      <c r="K52" s="349"/>
      <c r="L52" s="349"/>
      <c r="M52" s="466" t="s">
        <v>343</v>
      </c>
      <c r="N52" s="467"/>
      <c r="O52" s="467"/>
      <c r="P52" s="467"/>
      <c r="Q52" s="467"/>
      <c r="R52" s="467"/>
      <c r="S52" s="468"/>
      <c r="T52" s="368"/>
      <c r="U52" s="363"/>
    </row>
    <row r="53" spans="1:21" s="369" customFormat="1" x14ac:dyDescent="0.4">
      <c r="B53" s="359">
        <f t="shared" si="4"/>
        <v>12</v>
      </c>
      <c r="C53" s="345" t="s">
        <v>227</v>
      </c>
      <c r="D53" s="320" t="s">
        <v>120</v>
      </c>
      <c r="E53" s="320" t="s">
        <v>150</v>
      </c>
      <c r="F53" s="320" t="s">
        <v>213</v>
      </c>
      <c r="G53" s="320"/>
      <c r="H53" s="349"/>
      <c r="I53" s="349"/>
      <c r="J53" s="349"/>
      <c r="K53" s="349"/>
      <c r="L53" s="349"/>
      <c r="M53" s="466" t="s">
        <v>344</v>
      </c>
      <c r="N53" s="467"/>
      <c r="O53" s="467"/>
      <c r="P53" s="467"/>
      <c r="Q53" s="467"/>
      <c r="R53" s="467"/>
      <c r="S53" s="468"/>
      <c r="T53" s="368"/>
      <c r="U53" s="363"/>
    </row>
    <row r="54" spans="1:21" s="369" customFormat="1" x14ac:dyDescent="0.4">
      <c r="B54" s="359">
        <f t="shared" si="4"/>
        <v>13</v>
      </c>
      <c r="C54" s="345" t="s">
        <v>228</v>
      </c>
      <c r="D54" s="320" t="s">
        <v>120</v>
      </c>
      <c r="E54" s="320" t="s">
        <v>155</v>
      </c>
      <c r="F54" s="320" t="s">
        <v>213</v>
      </c>
      <c r="G54" s="320"/>
      <c r="H54" s="349"/>
      <c r="I54" s="349"/>
      <c r="J54" s="349"/>
      <c r="K54" s="349"/>
      <c r="L54" s="349"/>
      <c r="M54" s="466" t="s">
        <v>345</v>
      </c>
      <c r="N54" s="467"/>
      <c r="O54" s="467"/>
      <c r="P54" s="467"/>
      <c r="Q54" s="467"/>
      <c r="R54" s="467"/>
      <c r="S54" s="468"/>
      <c r="T54" s="368"/>
      <c r="U54" s="363"/>
    </row>
    <row r="55" spans="1:21" s="369" customFormat="1" x14ac:dyDescent="0.4">
      <c r="B55" s="359">
        <f t="shared" si="4"/>
        <v>14</v>
      </c>
      <c r="C55" s="345" t="s">
        <v>229</v>
      </c>
      <c r="D55" s="320" t="s">
        <v>120</v>
      </c>
      <c r="E55" s="320" t="s">
        <v>159</v>
      </c>
      <c r="F55" s="320" t="s">
        <v>213</v>
      </c>
      <c r="G55" s="320"/>
      <c r="H55" s="349"/>
      <c r="I55" s="349"/>
      <c r="J55" s="349"/>
      <c r="K55" s="349"/>
      <c r="L55" s="349"/>
      <c r="M55" s="466" t="s">
        <v>346</v>
      </c>
      <c r="N55" s="467"/>
      <c r="O55" s="467"/>
      <c r="P55" s="467"/>
      <c r="Q55" s="467"/>
      <c r="R55" s="467"/>
      <c r="S55" s="468"/>
      <c r="T55" s="368"/>
      <c r="U55" s="363"/>
    </row>
    <row r="56" spans="1:21" s="369" customFormat="1" x14ac:dyDescent="0.4">
      <c r="B56" s="359">
        <f t="shared" si="4"/>
        <v>15</v>
      </c>
      <c r="C56" s="345" t="s">
        <v>230</v>
      </c>
      <c r="D56" s="320" t="s">
        <v>120</v>
      </c>
      <c r="E56" s="320" t="s">
        <v>162</v>
      </c>
      <c r="F56" s="320" t="s">
        <v>213</v>
      </c>
      <c r="G56" s="320"/>
      <c r="H56" s="349"/>
      <c r="I56" s="349"/>
      <c r="J56" s="349"/>
      <c r="K56" s="349"/>
      <c r="L56" s="349"/>
      <c r="M56" s="466" t="s">
        <v>347</v>
      </c>
      <c r="N56" s="467"/>
      <c r="O56" s="467"/>
      <c r="P56" s="467"/>
      <c r="Q56" s="467"/>
      <c r="R56" s="467"/>
      <c r="S56" s="468"/>
      <c r="T56" s="368"/>
      <c r="U56" s="363"/>
    </row>
    <row r="57" spans="1:21" s="369" customFormat="1" x14ac:dyDescent="0.4">
      <c r="B57" s="359"/>
      <c r="C57" s="345"/>
      <c r="D57" s="345"/>
      <c r="E57" s="345"/>
      <c r="F57" s="345"/>
      <c r="G57" s="345"/>
      <c r="H57" s="353"/>
      <c r="I57" s="353"/>
      <c r="J57" s="353"/>
      <c r="K57" s="353"/>
      <c r="L57" s="353"/>
      <c r="M57" s="353"/>
      <c r="N57" s="353"/>
      <c r="O57" s="353"/>
      <c r="P57" s="353"/>
      <c r="Q57" s="353"/>
      <c r="R57" s="353"/>
      <c r="S57" s="353"/>
      <c r="T57" s="368"/>
      <c r="U57" s="363"/>
    </row>
    <row r="58" spans="1:21" s="369" customFormat="1" x14ac:dyDescent="0.4">
      <c r="B58" s="359">
        <f>B56+1</f>
        <v>16</v>
      </c>
      <c r="C58" s="345" t="s">
        <v>231</v>
      </c>
      <c r="D58" s="320" t="s">
        <v>120</v>
      </c>
      <c r="E58" s="320" t="s">
        <v>232</v>
      </c>
      <c r="F58" s="320" t="s">
        <v>233</v>
      </c>
      <c r="G58" s="320"/>
      <c r="H58" s="349"/>
      <c r="I58" s="349"/>
      <c r="J58" s="349"/>
      <c r="K58" s="349"/>
      <c r="L58" s="349"/>
      <c r="M58" s="466" t="s">
        <v>348</v>
      </c>
      <c r="N58" s="467"/>
      <c r="O58" s="467"/>
      <c r="P58" s="467"/>
      <c r="Q58" s="467"/>
      <c r="R58" s="467"/>
      <c r="S58" s="468"/>
      <c r="T58" s="368" t="s">
        <v>316</v>
      </c>
      <c r="U58" s="363"/>
    </row>
    <row r="59" spans="1:21" s="369" customFormat="1" x14ac:dyDescent="0.4">
      <c r="B59" s="359">
        <f t="shared" si="4"/>
        <v>17</v>
      </c>
      <c r="C59" s="345" t="s">
        <v>234</v>
      </c>
      <c r="D59" s="320" t="s">
        <v>120</v>
      </c>
      <c r="E59" s="320" t="s">
        <v>235</v>
      </c>
      <c r="F59" s="320" t="s">
        <v>233</v>
      </c>
      <c r="G59" s="320"/>
      <c r="H59" s="349"/>
      <c r="I59" s="349"/>
      <c r="J59" s="349"/>
      <c r="K59" s="349"/>
      <c r="L59" s="349"/>
      <c r="M59" s="466" t="s">
        <v>349</v>
      </c>
      <c r="N59" s="467"/>
      <c r="O59" s="467"/>
      <c r="P59" s="467"/>
      <c r="Q59" s="467"/>
      <c r="R59" s="467"/>
      <c r="S59" s="468"/>
      <c r="T59" s="368"/>
      <c r="U59" s="363"/>
    </row>
    <row r="60" spans="1:21" s="369" customFormat="1" x14ac:dyDescent="0.4">
      <c r="B60" s="359">
        <f t="shared" si="4"/>
        <v>18</v>
      </c>
      <c r="C60" s="345" t="s">
        <v>236</v>
      </c>
      <c r="D60" s="320" t="s">
        <v>120</v>
      </c>
      <c r="E60" s="320" t="s">
        <v>237</v>
      </c>
      <c r="F60" s="320" t="s">
        <v>233</v>
      </c>
      <c r="G60" s="320"/>
      <c r="H60" s="349"/>
      <c r="I60" s="349"/>
      <c r="J60" s="349"/>
      <c r="K60" s="349"/>
      <c r="L60" s="349"/>
      <c r="M60" s="466" t="s">
        <v>350</v>
      </c>
      <c r="N60" s="467"/>
      <c r="O60" s="467"/>
      <c r="P60" s="467"/>
      <c r="Q60" s="467"/>
      <c r="R60" s="467"/>
      <c r="S60" s="468"/>
      <c r="T60" s="368"/>
      <c r="U60" s="363"/>
    </row>
    <row r="61" spans="1:21" s="369" customFormat="1" x14ac:dyDescent="0.4">
      <c r="B61" s="359">
        <f t="shared" si="4"/>
        <v>19</v>
      </c>
      <c r="C61" s="345" t="s">
        <v>238</v>
      </c>
      <c r="D61" s="320" t="s">
        <v>120</v>
      </c>
      <c r="E61" s="320" t="s">
        <v>239</v>
      </c>
      <c r="F61" s="320" t="s">
        <v>233</v>
      </c>
      <c r="G61" s="320"/>
      <c r="H61" s="349"/>
      <c r="I61" s="349"/>
      <c r="J61" s="349"/>
      <c r="K61" s="349"/>
      <c r="L61" s="349"/>
      <c r="M61" s="466" t="s">
        <v>351</v>
      </c>
      <c r="N61" s="467"/>
      <c r="O61" s="467"/>
      <c r="P61" s="467"/>
      <c r="Q61" s="467"/>
      <c r="R61" s="467"/>
      <c r="S61" s="468"/>
      <c r="T61" s="368"/>
      <c r="U61" s="363"/>
    </row>
    <row r="62" spans="1:21" s="369" customFormat="1" x14ac:dyDescent="0.4">
      <c r="B62" s="359">
        <f t="shared" si="4"/>
        <v>20</v>
      </c>
      <c r="C62" s="345" t="s">
        <v>240</v>
      </c>
      <c r="D62" s="320" t="s">
        <v>120</v>
      </c>
      <c r="E62" s="320" t="s">
        <v>241</v>
      </c>
      <c r="F62" s="320" t="s">
        <v>233</v>
      </c>
      <c r="G62" s="320"/>
      <c r="H62" s="349"/>
      <c r="I62" s="349"/>
      <c r="J62" s="349"/>
      <c r="K62" s="349"/>
      <c r="L62" s="349"/>
      <c r="M62" s="466" t="s">
        <v>352</v>
      </c>
      <c r="N62" s="467"/>
      <c r="O62" s="467"/>
      <c r="P62" s="467"/>
      <c r="Q62" s="467"/>
      <c r="R62" s="467"/>
      <c r="S62" s="468"/>
      <c r="T62" s="368"/>
      <c r="U62" s="363"/>
    </row>
    <row r="63" spans="1:21" s="369" customFormat="1" x14ac:dyDescent="0.4">
      <c r="B63" s="359">
        <f t="shared" si="4"/>
        <v>21</v>
      </c>
      <c r="C63" s="345" t="s">
        <v>242</v>
      </c>
      <c r="D63" s="320" t="s">
        <v>120</v>
      </c>
      <c r="E63" s="320" t="s">
        <v>243</v>
      </c>
      <c r="F63" s="320" t="s">
        <v>233</v>
      </c>
      <c r="G63" s="320"/>
      <c r="H63" s="349"/>
      <c r="I63" s="349"/>
      <c r="J63" s="349"/>
      <c r="K63" s="349"/>
      <c r="L63" s="349"/>
      <c r="M63" s="466" t="s">
        <v>353</v>
      </c>
      <c r="N63" s="467"/>
      <c r="O63" s="467"/>
      <c r="P63" s="467"/>
      <c r="Q63" s="467"/>
      <c r="R63" s="467"/>
      <c r="S63" s="468"/>
      <c r="T63" s="368"/>
      <c r="U63" s="363"/>
    </row>
    <row r="64" spans="1:21" s="369" customFormat="1" x14ac:dyDescent="0.4">
      <c r="A64" s="369" t="s">
        <v>244</v>
      </c>
      <c r="B64" s="359">
        <f t="shared" si="4"/>
        <v>22</v>
      </c>
      <c r="C64" s="345" t="s">
        <v>245</v>
      </c>
      <c r="D64" s="320" t="s">
        <v>120</v>
      </c>
      <c r="E64" s="320" t="s">
        <v>246</v>
      </c>
      <c r="F64" s="320" t="s">
        <v>233</v>
      </c>
      <c r="G64" s="320"/>
      <c r="H64" s="349"/>
      <c r="I64" s="349"/>
      <c r="J64" s="349"/>
      <c r="K64" s="349"/>
      <c r="L64" s="349"/>
      <c r="M64" s="466" t="s">
        <v>354</v>
      </c>
      <c r="N64" s="467"/>
      <c r="O64" s="467"/>
      <c r="P64" s="467"/>
      <c r="Q64" s="467"/>
      <c r="R64" s="467"/>
      <c r="S64" s="468"/>
      <c r="T64" s="368"/>
      <c r="U64" s="363"/>
    </row>
    <row r="65" spans="1:21" s="369" customFormat="1" x14ac:dyDescent="0.4">
      <c r="B65" s="359">
        <f t="shared" si="4"/>
        <v>23</v>
      </c>
      <c r="C65" s="345" t="s">
        <v>247</v>
      </c>
      <c r="D65" s="320" t="s">
        <v>120</v>
      </c>
      <c r="E65" s="320" t="s">
        <v>248</v>
      </c>
      <c r="F65" s="320" t="s">
        <v>233</v>
      </c>
      <c r="G65" s="320"/>
      <c r="H65" s="349"/>
      <c r="I65" s="349"/>
      <c r="J65" s="349"/>
      <c r="K65" s="349"/>
      <c r="L65" s="349"/>
      <c r="M65" s="466" t="s">
        <v>355</v>
      </c>
      <c r="N65" s="467"/>
      <c r="O65" s="467"/>
      <c r="P65" s="467"/>
      <c r="Q65" s="467"/>
      <c r="R65" s="467"/>
      <c r="S65" s="468"/>
      <c r="T65" s="368"/>
      <c r="U65" s="363"/>
    </row>
    <row r="66" spans="1:21" s="369" customFormat="1" x14ac:dyDescent="0.4">
      <c r="B66" s="359">
        <f t="shared" si="4"/>
        <v>24</v>
      </c>
      <c r="C66" s="345" t="s">
        <v>249</v>
      </c>
      <c r="D66" s="320" t="s">
        <v>120</v>
      </c>
      <c r="E66" s="320" t="s">
        <v>250</v>
      </c>
      <c r="F66" s="320" t="s">
        <v>233</v>
      </c>
      <c r="G66" s="320"/>
      <c r="H66" s="349"/>
      <c r="I66" s="349"/>
      <c r="J66" s="349"/>
      <c r="K66" s="349"/>
      <c r="L66" s="349"/>
      <c r="M66" s="466" t="s">
        <v>356</v>
      </c>
      <c r="N66" s="467"/>
      <c r="O66" s="467"/>
      <c r="P66" s="467"/>
      <c r="Q66" s="467"/>
      <c r="R66" s="467"/>
      <c r="S66" s="468"/>
      <c r="T66" s="368"/>
      <c r="U66" s="363"/>
    </row>
    <row r="67" spans="1:21" s="369" customFormat="1" x14ac:dyDescent="0.4">
      <c r="B67" s="359">
        <f t="shared" si="4"/>
        <v>25</v>
      </c>
      <c r="C67" s="345" t="s">
        <v>251</v>
      </c>
      <c r="D67" s="320" t="s">
        <v>120</v>
      </c>
      <c r="E67" s="320" t="s">
        <v>252</v>
      </c>
      <c r="F67" s="320" t="s">
        <v>233</v>
      </c>
      <c r="G67" s="320"/>
      <c r="H67" s="349"/>
      <c r="I67" s="349"/>
      <c r="J67" s="349"/>
      <c r="K67" s="349"/>
      <c r="L67" s="349"/>
      <c r="M67" s="466" t="s">
        <v>357</v>
      </c>
      <c r="N67" s="467"/>
      <c r="O67" s="467"/>
      <c r="P67" s="467"/>
      <c r="Q67" s="467"/>
      <c r="R67" s="467"/>
      <c r="S67" s="468"/>
      <c r="T67" s="368"/>
      <c r="U67" s="363"/>
    </row>
    <row r="68" spans="1:21" x14ac:dyDescent="0.4">
      <c r="B68" s="359">
        <f t="shared" si="4"/>
        <v>26</v>
      </c>
      <c r="C68" s="345" t="s">
        <v>253</v>
      </c>
      <c r="D68" s="320" t="s">
        <v>120</v>
      </c>
      <c r="E68" s="320" t="s">
        <v>254</v>
      </c>
      <c r="F68" s="320" t="s">
        <v>213</v>
      </c>
      <c r="H68" s="349"/>
      <c r="I68" s="349"/>
      <c r="J68" s="349"/>
      <c r="K68" s="349"/>
      <c r="L68" s="349"/>
      <c r="M68" s="466" t="s">
        <v>358</v>
      </c>
      <c r="N68" s="467"/>
      <c r="O68" s="467"/>
      <c r="P68" s="467"/>
      <c r="Q68" s="467"/>
      <c r="R68" s="467"/>
      <c r="S68" s="468"/>
      <c r="T68" s="368"/>
      <c r="U68" s="363"/>
    </row>
    <row r="69" spans="1:21" x14ac:dyDescent="0.4">
      <c r="B69" s="359">
        <f t="shared" si="4"/>
        <v>27</v>
      </c>
      <c r="C69" s="345" t="s">
        <v>255</v>
      </c>
      <c r="D69" s="320" t="s">
        <v>120</v>
      </c>
      <c r="E69" s="320" t="s">
        <v>181</v>
      </c>
      <c r="F69" s="320" t="s">
        <v>213</v>
      </c>
      <c r="H69" s="349"/>
      <c r="I69" s="349"/>
      <c r="J69" s="349"/>
      <c r="K69" s="349"/>
      <c r="L69" s="349"/>
      <c r="M69" s="466" t="s">
        <v>359</v>
      </c>
      <c r="N69" s="467"/>
      <c r="O69" s="467"/>
      <c r="P69" s="467"/>
      <c r="Q69" s="467"/>
      <c r="R69" s="467"/>
      <c r="S69" s="468"/>
      <c r="T69" s="368"/>
      <c r="U69" s="363"/>
    </row>
    <row r="70" spans="1:21" x14ac:dyDescent="0.4">
      <c r="U70" s="363"/>
    </row>
    <row r="71" spans="1:21" x14ac:dyDescent="0.4">
      <c r="C71" s="345" t="s">
        <v>1153</v>
      </c>
      <c r="D71" s="320" t="s">
        <v>120</v>
      </c>
      <c r="E71" s="320" t="s">
        <v>1163</v>
      </c>
      <c r="F71" s="320" t="s">
        <v>122</v>
      </c>
      <c r="H71" s="452" t="s">
        <v>1155</v>
      </c>
      <c r="I71" s="453"/>
      <c r="J71" s="453"/>
      <c r="K71" s="453"/>
      <c r="L71" s="453"/>
      <c r="M71" s="453"/>
      <c r="N71" s="453"/>
      <c r="O71" s="453"/>
      <c r="P71" s="453"/>
      <c r="Q71" s="453"/>
      <c r="R71" s="453"/>
      <c r="S71" s="454"/>
      <c r="T71" s="368"/>
      <c r="U71" s="363"/>
    </row>
    <row r="72" spans="1:21" x14ac:dyDescent="0.4">
      <c r="C72" s="345" t="s">
        <v>1154</v>
      </c>
      <c r="D72" s="320" t="s">
        <v>120</v>
      </c>
      <c r="E72" s="320" t="s">
        <v>1164</v>
      </c>
      <c r="F72" s="320" t="s">
        <v>122</v>
      </c>
      <c r="H72" s="355"/>
      <c r="I72" s="356"/>
      <c r="J72" s="469" t="s">
        <v>1156</v>
      </c>
      <c r="K72" s="470"/>
      <c r="L72" s="357"/>
      <c r="M72" s="357"/>
      <c r="N72" s="469" t="s">
        <v>1157</v>
      </c>
      <c r="O72" s="470"/>
      <c r="P72" s="470"/>
      <c r="Q72" s="470"/>
      <c r="R72" s="470"/>
      <c r="S72" s="470"/>
      <c r="T72" s="368"/>
      <c r="U72" s="363"/>
    </row>
    <row r="78" spans="1:21" s="320" customFormat="1" x14ac:dyDescent="0.4">
      <c r="A78" s="346"/>
      <c r="B78" s="346"/>
      <c r="C78" s="345"/>
      <c r="H78" s="358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71"/>
      <c r="U78" s="373"/>
    </row>
    <row r="80" spans="1:21" s="320" customFormat="1" x14ac:dyDescent="0.4">
      <c r="A80" s="346"/>
      <c r="B80" s="346"/>
      <c r="C80" s="345"/>
      <c r="H80" s="358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71"/>
      <c r="U80" s="373"/>
    </row>
  </sheetData>
  <mergeCells count="75">
    <mergeCell ref="N72:S72"/>
    <mergeCell ref="J72:K72"/>
    <mergeCell ref="M59:S59"/>
    <mergeCell ref="M47:S47"/>
    <mergeCell ref="M48:S48"/>
    <mergeCell ref="M49:S49"/>
    <mergeCell ref="M50:S50"/>
    <mergeCell ref="M51:S51"/>
    <mergeCell ref="M52:S52"/>
    <mergeCell ref="M53:S53"/>
    <mergeCell ref="M54:S54"/>
    <mergeCell ref="M55:S55"/>
    <mergeCell ref="M56:S56"/>
    <mergeCell ref="M67:S67"/>
    <mergeCell ref="M68:S68"/>
    <mergeCell ref="M69:S69"/>
    <mergeCell ref="M60:S60"/>
    <mergeCell ref="M61:S61"/>
    <mergeCell ref="M62:S62"/>
    <mergeCell ref="M63:S63"/>
    <mergeCell ref="M64:S64"/>
    <mergeCell ref="M65:S65"/>
    <mergeCell ref="M66:S66"/>
    <mergeCell ref="H31:K31"/>
    <mergeCell ref="H28:S28"/>
    <mergeCell ref="M58:S58"/>
    <mergeCell ref="M46:S46"/>
    <mergeCell ref="P36:S36"/>
    <mergeCell ref="H37:S37"/>
    <mergeCell ref="P38:S38"/>
    <mergeCell ref="H40:S40"/>
    <mergeCell ref="L42:S42"/>
    <mergeCell ref="M45:S45"/>
    <mergeCell ref="N44:S44"/>
    <mergeCell ref="N43:S43"/>
    <mergeCell ref="H32:S32"/>
    <mergeCell ref="P33:S33"/>
    <mergeCell ref="H24:S24"/>
    <mergeCell ref="H17:S17"/>
    <mergeCell ref="H18:S18"/>
    <mergeCell ref="H19:S19"/>
    <mergeCell ref="H20:S20"/>
    <mergeCell ref="H21:S21"/>
    <mergeCell ref="O2:S2"/>
    <mergeCell ref="H3:K3"/>
    <mergeCell ref="M4:S4"/>
    <mergeCell ref="H13:S13"/>
    <mergeCell ref="H11:I11"/>
    <mergeCell ref="J11:K11"/>
    <mergeCell ref="L11:M11"/>
    <mergeCell ref="N11:O11"/>
    <mergeCell ref="P11:Q11"/>
    <mergeCell ref="H10:S10"/>
    <mergeCell ref="I8:K8"/>
    <mergeCell ref="R11:S11"/>
    <mergeCell ref="H12:I12"/>
    <mergeCell ref="J12:K12"/>
    <mergeCell ref="L12:M12"/>
    <mergeCell ref="M8:O8"/>
    <mergeCell ref="H71:S71"/>
    <mergeCell ref="M27:S27"/>
    <mergeCell ref="R31:S31"/>
    <mergeCell ref="N3:P3"/>
    <mergeCell ref="Q8:S8"/>
    <mergeCell ref="L29:S29"/>
    <mergeCell ref="H14:S14"/>
    <mergeCell ref="N12:O12"/>
    <mergeCell ref="P12:Q12"/>
    <mergeCell ref="R12:S12"/>
    <mergeCell ref="H15:S15"/>
    <mergeCell ref="H16:S16"/>
    <mergeCell ref="H26:M26"/>
    <mergeCell ref="N26:S26"/>
    <mergeCell ref="H22:S22"/>
    <mergeCell ref="H23:S2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F4BB-9071-4373-93A0-1DEB0B610E10}">
  <dimension ref="B1:BC50"/>
  <sheetViews>
    <sheetView showGridLines="0" zoomScaleNormal="100" workbookViewId="0"/>
  </sheetViews>
  <sheetFormatPr defaultRowHeight="17.399999999999999" x14ac:dyDescent="0.4"/>
  <cols>
    <col min="2" max="2" width="10.19921875" style="1" bestFit="1" customWidth="1"/>
    <col min="3" max="3" width="5.69921875" style="6" bestFit="1" customWidth="1"/>
    <col min="4" max="4" width="10.69921875" bestFit="1" customWidth="1"/>
    <col min="5" max="10" width="9.69921875" bestFit="1" customWidth="1"/>
    <col min="11" max="12" width="9.19921875" bestFit="1" customWidth="1"/>
    <col min="13" max="13" width="6.09765625" style="6" bestFit="1" customWidth="1"/>
    <col min="14" max="14" width="6.09765625" style="6" customWidth="1"/>
    <col min="15" max="15" width="9.69921875" style="131" bestFit="1" customWidth="1"/>
    <col min="16" max="16" width="5.69921875" style="131" bestFit="1" customWidth="1"/>
    <col min="17" max="17" width="10.69921875" style="131" bestFit="1" customWidth="1"/>
    <col min="18" max="18" width="9.69921875" style="131" bestFit="1" customWidth="1"/>
    <col min="19" max="20" width="10.19921875" style="131" bestFit="1" customWidth="1"/>
    <col min="21" max="23" width="9.69921875" style="131" bestFit="1" customWidth="1"/>
    <col min="24" max="25" width="9.19921875" style="139" bestFit="1" customWidth="1"/>
    <col min="26" max="26" width="6.09765625" style="129" bestFit="1" customWidth="1"/>
    <col min="27" max="27" width="6.09765625" bestFit="1" customWidth="1"/>
    <col min="28" max="28" width="9.69921875" style="131" bestFit="1" customWidth="1"/>
    <col min="29" max="29" width="5.69921875" style="137" bestFit="1" customWidth="1"/>
    <col min="30" max="30" width="10.69921875" style="131" bestFit="1" customWidth="1"/>
    <col min="31" max="37" width="9.69921875" style="131" bestFit="1" customWidth="1"/>
    <col min="38" max="41" width="9.19921875" style="131" bestFit="1" customWidth="1"/>
    <col min="42" max="42" width="9.69921875" bestFit="1" customWidth="1"/>
    <col min="43" max="43" width="8.8984375" bestFit="1" customWidth="1"/>
    <col min="44" max="44" width="4.69921875" style="1" bestFit="1" customWidth="1"/>
    <col min="45" max="45" width="8.69921875" style="1" bestFit="1" customWidth="1"/>
    <col min="46" max="53" width="8.19921875" style="1" bestFit="1" customWidth="1"/>
    <col min="54" max="54" width="7.09765625" bestFit="1" customWidth="1"/>
    <col min="55" max="55" width="6.796875" bestFit="1" customWidth="1"/>
  </cols>
  <sheetData>
    <row r="1" spans="2:55" ht="18" thickBot="1" x14ac:dyDescent="0.45"/>
    <row r="2" spans="2:55" x14ac:dyDescent="0.4">
      <c r="B2" s="2" t="s">
        <v>3</v>
      </c>
      <c r="C2" s="2" t="s">
        <v>4</v>
      </c>
      <c r="D2" s="3">
        <v>100</v>
      </c>
      <c r="E2" s="3">
        <v>120</v>
      </c>
      <c r="F2" s="3">
        <v>144</v>
      </c>
      <c r="G2" s="3">
        <v>165</v>
      </c>
      <c r="H2" s="3">
        <v>240</v>
      </c>
      <c r="I2" s="3">
        <f>D2*2^(D4-I4)</f>
        <v>800</v>
      </c>
      <c r="J2" s="3">
        <f>E2*2^(E4-J4)</f>
        <v>960</v>
      </c>
      <c r="K2" s="110">
        <f>G2*2^(F4-K4)</f>
        <v>1320</v>
      </c>
      <c r="L2" s="110">
        <f>H2*2^(G4-L4)</f>
        <v>1920</v>
      </c>
      <c r="O2" s="127" t="s">
        <v>3</v>
      </c>
      <c r="P2" s="147" t="s">
        <v>4</v>
      </c>
      <c r="Q2" s="128">
        <v>100</v>
      </c>
      <c r="R2" s="128">
        <v>120</v>
      </c>
      <c r="S2" s="128">
        <v>144</v>
      </c>
      <c r="T2" s="128">
        <v>165</v>
      </c>
      <c r="U2" s="128">
        <v>240</v>
      </c>
      <c r="V2" s="128">
        <f>Q2*2^(Q4-V4)</f>
        <v>800</v>
      </c>
      <c r="W2" s="128">
        <f>R2*2^(R4-W4)</f>
        <v>960</v>
      </c>
      <c r="X2" s="157">
        <f>T2*2^(S4-X4)</f>
        <v>1320</v>
      </c>
      <c r="Y2" s="157">
        <f>U2*2^(T4-Y4)</f>
        <v>1920</v>
      </c>
      <c r="AB2" s="147" t="s">
        <v>3</v>
      </c>
      <c r="AC2" s="147" t="s">
        <v>4</v>
      </c>
      <c r="AD2" s="169">
        <v>100</v>
      </c>
      <c r="AE2" s="170">
        <v>120</v>
      </c>
      <c r="AF2" s="169">
        <f>AD2*2^(AD4-AF4)</f>
        <v>200</v>
      </c>
      <c r="AG2" s="170">
        <f>AE2*2^(AE4-AG4)</f>
        <v>240</v>
      </c>
      <c r="AH2" s="169">
        <f>AD2*2^(AD4-AH4)</f>
        <v>400</v>
      </c>
      <c r="AI2" s="170">
        <f>AE2*2^(AE4-AI4)</f>
        <v>480</v>
      </c>
      <c r="AJ2" s="169">
        <f>AD2*2^(AD4-AJ4)</f>
        <v>800</v>
      </c>
      <c r="AK2" s="171">
        <f>AE2*2^(AE4-AK4)</f>
        <v>960</v>
      </c>
      <c r="AL2" s="170">
        <f>AJ2*2^(AJ4-AL4)</f>
        <v>1600</v>
      </c>
      <c r="AM2" s="171">
        <f>AK2*2^(AK4-AM4)</f>
        <v>1920</v>
      </c>
      <c r="AN2" s="170">
        <f>AL2*2^(AL4-AN4)</f>
        <v>3200</v>
      </c>
      <c r="AO2" s="171">
        <f>AM2*2^(AM4-AO4)</f>
        <v>3840</v>
      </c>
      <c r="AP2" s="139"/>
      <c r="AQ2" s="127" t="s">
        <v>3</v>
      </c>
      <c r="AR2" s="147" t="s">
        <v>4</v>
      </c>
      <c r="AS2" s="147">
        <v>100</v>
      </c>
      <c r="AT2" s="147">
        <v>120</v>
      </c>
      <c r="AU2" s="147">
        <v>144</v>
      </c>
      <c r="AV2" s="147">
        <v>165</v>
      </c>
      <c r="AW2" s="147">
        <v>240</v>
      </c>
      <c r="AX2" s="147">
        <f>AS2*8</f>
        <v>800</v>
      </c>
      <c r="AY2" s="147">
        <f t="shared" ref="AY2" si="0">AT2*8</f>
        <v>960</v>
      </c>
      <c r="AZ2" s="158">
        <f>AV2*8</f>
        <v>1320</v>
      </c>
      <c r="BA2" s="158">
        <f>AW2*8</f>
        <v>1920</v>
      </c>
      <c r="BB2" s="129"/>
    </row>
    <row r="3" spans="2:55" x14ac:dyDescent="0.4">
      <c r="B3" s="2"/>
      <c r="C3" s="2" t="s">
        <v>1</v>
      </c>
      <c r="D3" s="7">
        <f>1/D2*1000000</f>
        <v>10000</v>
      </c>
      <c r="E3" s="7">
        <f t="shared" ref="E3:L3" si="1">1/E2*1000000</f>
        <v>8333.3333333333339</v>
      </c>
      <c r="F3" s="7">
        <f>1/F2*1000000</f>
        <v>6944.4444444444443</v>
      </c>
      <c r="G3" s="7">
        <f t="shared" si="1"/>
        <v>6060.606060606061</v>
      </c>
      <c r="H3" s="7">
        <f t="shared" si="1"/>
        <v>4166.666666666667</v>
      </c>
      <c r="I3" s="7">
        <f t="shared" si="1"/>
        <v>1250</v>
      </c>
      <c r="J3" s="7">
        <f t="shared" si="1"/>
        <v>1041.6666666666667</v>
      </c>
      <c r="K3" s="118">
        <f t="shared" si="1"/>
        <v>757.57575757575762</v>
      </c>
      <c r="L3" s="118">
        <f t="shared" si="1"/>
        <v>520.83333333333337</v>
      </c>
      <c r="O3" s="127"/>
      <c r="P3" s="147" t="s">
        <v>1</v>
      </c>
      <c r="Q3" s="130">
        <f>1/Q2*1000000</f>
        <v>10000</v>
      </c>
      <c r="R3" s="130">
        <f t="shared" ref="R3" si="2">1/R2*1000000</f>
        <v>8333.3333333333339</v>
      </c>
      <c r="S3" s="130">
        <f>1/S2*1000000</f>
        <v>6944.4444444444443</v>
      </c>
      <c r="T3" s="130">
        <f t="shared" ref="T3:Y3" si="3">1/T2*1000000</f>
        <v>6060.606060606061</v>
      </c>
      <c r="U3" s="130">
        <f t="shared" si="3"/>
        <v>4166.666666666667</v>
      </c>
      <c r="V3" s="130">
        <f t="shared" si="3"/>
        <v>1250</v>
      </c>
      <c r="W3" s="130">
        <f t="shared" si="3"/>
        <v>1041.6666666666667</v>
      </c>
      <c r="X3" s="138">
        <f t="shared" si="3"/>
        <v>757.57575757575762</v>
      </c>
      <c r="Y3" s="138">
        <f t="shared" si="3"/>
        <v>520.83333333333337</v>
      </c>
      <c r="AB3" s="147"/>
      <c r="AC3" s="147" t="s">
        <v>1</v>
      </c>
      <c r="AD3" s="172">
        <f>1/AD2*1000000</f>
        <v>10000</v>
      </c>
      <c r="AE3" s="130">
        <f t="shared" ref="AE3" si="4">1/AE2*1000000</f>
        <v>8333.3333333333339</v>
      </c>
      <c r="AF3" s="172">
        <f>1/AF2*1000000</f>
        <v>5000</v>
      </c>
      <c r="AG3" s="130">
        <f t="shared" ref="AG3" si="5">1/AG2*1000000</f>
        <v>4166.666666666667</v>
      </c>
      <c r="AH3" s="172">
        <f>1/AH2*1000000</f>
        <v>2500</v>
      </c>
      <c r="AI3" s="130">
        <f t="shared" ref="AI3" si="6">1/AI2*1000000</f>
        <v>2083.3333333333335</v>
      </c>
      <c r="AJ3" s="172">
        <f>1/AJ2*1000000</f>
        <v>1250</v>
      </c>
      <c r="AK3" s="173">
        <f t="shared" ref="AK3:AO3" si="7">1/AK2*1000000</f>
        <v>1041.6666666666667</v>
      </c>
      <c r="AL3" s="130">
        <f t="shared" si="7"/>
        <v>625</v>
      </c>
      <c r="AM3" s="173">
        <f t="shared" si="7"/>
        <v>520.83333333333337</v>
      </c>
      <c r="AN3" s="130">
        <f t="shared" si="7"/>
        <v>312.5</v>
      </c>
      <c r="AO3" s="173">
        <f t="shared" si="7"/>
        <v>260.41666666666669</v>
      </c>
      <c r="AP3" s="138"/>
      <c r="AQ3" s="127"/>
      <c r="AR3" s="147" t="s">
        <v>1</v>
      </c>
      <c r="AS3" s="159">
        <f>1/AS2*1000000</f>
        <v>10000</v>
      </c>
      <c r="AT3" s="159">
        <f t="shared" ref="AT3" si="8">1/AT2*1000000</f>
        <v>8333.3333333333339</v>
      </c>
      <c r="AU3" s="159">
        <f>1/AU2*1000000</f>
        <v>6944.4444444444443</v>
      </c>
      <c r="AV3" s="159">
        <f t="shared" ref="AV3:BA3" si="9">1/AV2*1000000</f>
        <v>6060.606060606061</v>
      </c>
      <c r="AW3" s="159">
        <f t="shared" si="9"/>
        <v>4166.666666666667</v>
      </c>
      <c r="AX3" s="159">
        <f t="shared" si="9"/>
        <v>1250</v>
      </c>
      <c r="AY3" s="159">
        <f t="shared" si="9"/>
        <v>1041.6666666666667</v>
      </c>
      <c r="AZ3" s="160">
        <f t="shared" si="9"/>
        <v>757.57575757575762</v>
      </c>
      <c r="BA3" s="160">
        <f t="shared" si="9"/>
        <v>520.83333333333337</v>
      </c>
      <c r="BB3" s="129"/>
    </row>
    <row r="4" spans="2:55" x14ac:dyDescent="0.4">
      <c r="B4" s="2" t="s">
        <v>99</v>
      </c>
      <c r="C4" s="2" t="s">
        <v>100</v>
      </c>
      <c r="D4" s="146">
        <v>12</v>
      </c>
      <c r="E4" s="155">
        <v>12</v>
      </c>
      <c r="F4" s="155">
        <v>12</v>
      </c>
      <c r="G4" s="155">
        <v>12</v>
      </c>
      <c r="H4" s="155">
        <v>12</v>
      </c>
      <c r="I4" s="146">
        <v>9</v>
      </c>
      <c r="J4" s="146">
        <v>9</v>
      </c>
      <c r="K4" s="156">
        <v>9</v>
      </c>
      <c r="L4" s="156">
        <v>9</v>
      </c>
      <c r="O4" s="2" t="s">
        <v>99</v>
      </c>
      <c r="P4" s="147" t="s">
        <v>100</v>
      </c>
      <c r="Q4" s="154">
        <v>14</v>
      </c>
      <c r="R4" s="133">
        <v>14</v>
      </c>
      <c r="S4" s="133">
        <v>14</v>
      </c>
      <c r="T4" s="133">
        <v>14</v>
      </c>
      <c r="U4" s="133">
        <v>14</v>
      </c>
      <c r="V4" s="146">
        <v>11</v>
      </c>
      <c r="W4" s="133">
        <v>11</v>
      </c>
      <c r="X4" s="141">
        <v>11</v>
      </c>
      <c r="Y4" s="141">
        <v>11</v>
      </c>
      <c r="AB4" s="147" t="s">
        <v>99</v>
      </c>
      <c r="AC4" s="147" t="s">
        <v>100</v>
      </c>
      <c r="AD4" s="174">
        <v>14</v>
      </c>
      <c r="AE4" s="133">
        <v>14</v>
      </c>
      <c r="AF4" s="180">
        <v>13</v>
      </c>
      <c r="AG4" s="133">
        <v>13</v>
      </c>
      <c r="AH4" s="180">
        <v>12</v>
      </c>
      <c r="AI4" s="133">
        <v>12</v>
      </c>
      <c r="AJ4" s="180">
        <v>11</v>
      </c>
      <c r="AK4" s="175">
        <v>11</v>
      </c>
      <c r="AL4" s="133">
        <v>10</v>
      </c>
      <c r="AM4" s="175">
        <v>10</v>
      </c>
      <c r="AN4" s="133">
        <v>9</v>
      </c>
      <c r="AO4" s="175">
        <v>9</v>
      </c>
      <c r="AP4" s="139"/>
      <c r="AQ4" s="2" t="s">
        <v>99</v>
      </c>
      <c r="AR4" s="2" t="s">
        <v>100</v>
      </c>
      <c r="AS4" s="154">
        <v>13</v>
      </c>
      <c r="AT4" s="154"/>
      <c r="AU4" s="154"/>
      <c r="AV4" s="154"/>
      <c r="AW4" s="154"/>
      <c r="AX4" s="154"/>
      <c r="AY4" s="154"/>
      <c r="AZ4" s="161"/>
      <c r="BA4" s="161"/>
      <c r="BB4" s="129"/>
    </row>
    <row r="5" spans="2:55" x14ac:dyDescent="0.4">
      <c r="B5" s="2"/>
      <c r="C5" s="152" t="s">
        <v>5</v>
      </c>
      <c r="D5">
        <f>2^$D$4-1</f>
        <v>4095</v>
      </c>
      <c r="E5">
        <f>2^$D$4-1</f>
        <v>4095</v>
      </c>
      <c r="F5">
        <f>2^$D$4-1</f>
        <v>4095</v>
      </c>
      <c r="G5">
        <f>2^$D$4-1</f>
        <v>4095</v>
      </c>
      <c r="H5">
        <f>2^$D$4-1</f>
        <v>4095</v>
      </c>
      <c r="I5">
        <f>2^$I$4-1</f>
        <v>511</v>
      </c>
      <c r="J5">
        <f t="shared" ref="J5:L5" si="10">2^$I$4-1</f>
        <v>511</v>
      </c>
      <c r="K5" s="119">
        <f t="shared" si="10"/>
        <v>511</v>
      </c>
      <c r="L5" s="119">
        <f t="shared" si="10"/>
        <v>511</v>
      </c>
      <c r="O5" s="127"/>
      <c r="P5" s="150" t="s">
        <v>5</v>
      </c>
      <c r="Q5" s="131">
        <f>2^$Q$4-1</f>
        <v>16383</v>
      </c>
      <c r="R5" s="131">
        <f>2^$Q$4-1</f>
        <v>16383</v>
      </c>
      <c r="S5" s="131">
        <f>2^$Q$4-1</f>
        <v>16383</v>
      </c>
      <c r="T5" s="131">
        <f>2^$Q$4-1</f>
        <v>16383</v>
      </c>
      <c r="U5" s="131">
        <f>2^$Q$4-1</f>
        <v>16383</v>
      </c>
      <c r="V5" s="131">
        <f>2^$V$4-1</f>
        <v>2047</v>
      </c>
      <c r="W5" s="131">
        <f t="shared" ref="W5:Y5" si="11">2^$V$4-1</f>
        <v>2047</v>
      </c>
      <c r="X5" s="139">
        <f t="shared" si="11"/>
        <v>2047</v>
      </c>
      <c r="Y5" s="139">
        <f t="shared" si="11"/>
        <v>2047</v>
      </c>
      <c r="AB5" s="147"/>
      <c r="AC5" s="150" t="s">
        <v>5</v>
      </c>
      <c r="AD5" s="176">
        <f>2^$Q$4-1</f>
        <v>16383</v>
      </c>
      <c r="AE5" s="131">
        <f>2^$Q$4-1</f>
        <v>16383</v>
      </c>
      <c r="AF5" s="176">
        <f>2^AF4-1</f>
        <v>8191</v>
      </c>
      <c r="AG5" s="131">
        <f t="shared" ref="AG5:AO5" si="12">2^AG4-1</f>
        <v>8191</v>
      </c>
      <c r="AH5" s="176">
        <f t="shared" si="12"/>
        <v>4095</v>
      </c>
      <c r="AI5" s="131">
        <f t="shared" si="12"/>
        <v>4095</v>
      </c>
      <c r="AJ5" s="176">
        <f t="shared" si="12"/>
        <v>2047</v>
      </c>
      <c r="AK5" s="177">
        <f t="shared" si="12"/>
        <v>2047</v>
      </c>
      <c r="AL5" s="131">
        <f t="shared" si="12"/>
        <v>1023</v>
      </c>
      <c r="AM5" s="177">
        <f t="shared" si="12"/>
        <v>1023</v>
      </c>
      <c r="AN5" s="131">
        <f t="shared" si="12"/>
        <v>511</v>
      </c>
      <c r="AO5" s="177">
        <f t="shared" si="12"/>
        <v>511</v>
      </c>
      <c r="AP5" s="139"/>
      <c r="AQ5" s="127"/>
      <c r="AR5" s="150" t="s">
        <v>5</v>
      </c>
      <c r="AS5" s="137">
        <f>2^$AS$4-1</f>
        <v>8191</v>
      </c>
      <c r="AT5" s="137">
        <f>2^$AS$4-1</f>
        <v>8191</v>
      </c>
      <c r="AU5" s="137">
        <f>2^$AS$4-1</f>
        <v>8191</v>
      </c>
      <c r="AV5" s="137">
        <f>2^$AS$4-1</f>
        <v>8191</v>
      </c>
      <c r="AW5" s="137">
        <f>2^$AS$4-1</f>
        <v>8191</v>
      </c>
      <c r="AX5" s="137">
        <f>2^$AS$4/8-1</f>
        <v>1023</v>
      </c>
      <c r="AY5" s="137">
        <f>2^$AS$4/8-1</f>
        <v>1023</v>
      </c>
      <c r="AZ5" s="144">
        <f>2^$AS$4/8-1</f>
        <v>1023</v>
      </c>
      <c r="BA5" s="144">
        <f>2^$AS$4/8-1</f>
        <v>1023</v>
      </c>
      <c r="BB5" s="129"/>
    </row>
    <row r="6" spans="2:55" x14ac:dyDescent="0.4">
      <c r="B6" s="2"/>
      <c r="C6" s="153" t="s">
        <v>1</v>
      </c>
      <c r="D6" s="111">
        <f>D3/D5</f>
        <v>2.4420024420024422</v>
      </c>
      <c r="E6" s="111">
        <f t="shared" ref="E6:L6" si="13">E3/E5</f>
        <v>2.035002035002035</v>
      </c>
      <c r="F6" s="111">
        <f t="shared" si="13"/>
        <v>1.6958350291683624</v>
      </c>
      <c r="G6" s="111">
        <f t="shared" si="13"/>
        <v>1.48000148000148</v>
      </c>
      <c r="H6" s="111">
        <f t="shared" si="13"/>
        <v>1.0175010175010175</v>
      </c>
      <c r="I6" s="111">
        <f t="shared" si="13"/>
        <v>2.4461839530332683</v>
      </c>
      <c r="J6" s="111">
        <f t="shared" si="13"/>
        <v>2.0384866275277234</v>
      </c>
      <c r="K6" s="120">
        <f t="shared" si="13"/>
        <v>1.4825357291110717</v>
      </c>
      <c r="L6" s="120">
        <f t="shared" si="13"/>
        <v>1.0192433137638617</v>
      </c>
      <c r="O6" s="127"/>
      <c r="P6" s="151" t="s">
        <v>1</v>
      </c>
      <c r="Q6" s="132">
        <f>Q3/Q5</f>
        <v>0.61038881767686015</v>
      </c>
      <c r="R6" s="132">
        <f t="shared" ref="R6:Y6" si="14">R3/R5</f>
        <v>0.50865734806405016</v>
      </c>
      <c r="S6" s="132">
        <f t="shared" si="14"/>
        <v>0.42388112338670841</v>
      </c>
      <c r="T6" s="132">
        <f t="shared" si="14"/>
        <v>0.36993261677385464</v>
      </c>
      <c r="U6" s="132">
        <f t="shared" si="14"/>
        <v>0.25432867403202508</v>
      </c>
      <c r="V6" s="132">
        <f t="shared" si="14"/>
        <v>0.61064973131411826</v>
      </c>
      <c r="W6" s="132">
        <f t="shared" si="14"/>
        <v>0.50887477609509857</v>
      </c>
      <c r="X6" s="140">
        <f t="shared" si="14"/>
        <v>0.37009074625098076</v>
      </c>
      <c r="Y6" s="140">
        <f t="shared" si="14"/>
        <v>0.25443738804754928</v>
      </c>
      <c r="AB6" s="147"/>
      <c r="AC6" s="151" t="s">
        <v>1</v>
      </c>
      <c r="AD6" s="178">
        <f t="shared" ref="AD6:AO6" si="15">AD3/AD5</f>
        <v>0.61038881767686015</v>
      </c>
      <c r="AE6" s="132">
        <f t="shared" si="15"/>
        <v>0.50865734806405016</v>
      </c>
      <c r="AF6" s="178">
        <f t="shared" si="15"/>
        <v>0.61042607740202659</v>
      </c>
      <c r="AG6" s="132">
        <f t="shared" si="15"/>
        <v>0.50868839783502218</v>
      </c>
      <c r="AH6" s="178">
        <f t="shared" si="15"/>
        <v>0.61050061050061055</v>
      </c>
      <c r="AI6" s="132">
        <f t="shared" si="15"/>
        <v>0.50875050875050876</v>
      </c>
      <c r="AJ6" s="178">
        <f t="shared" si="15"/>
        <v>0.61064973131411826</v>
      </c>
      <c r="AK6" s="179">
        <f t="shared" si="15"/>
        <v>0.50887477609509857</v>
      </c>
      <c r="AL6" s="132">
        <f t="shared" si="15"/>
        <v>0.6109481915933529</v>
      </c>
      <c r="AM6" s="179">
        <f t="shared" si="15"/>
        <v>0.5091234929944608</v>
      </c>
      <c r="AN6" s="132">
        <f t="shared" si="15"/>
        <v>0.61154598825831707</v>
      </c>
      <c r="AO6" s="179">
        <f t="shared" si="15"/>
        <v>0.50962165688193084</v>
      </c>
      <c r="AP6" s="140"/>
      <c r="AQ6" s="127"/>
      <c r="AR6" s="151" t="s">
        <v>1</v>
      </c>
      <c r="AS6" s="149">
        <f t="shared" ref="AS6:BA6" si="16">AS3/AS5</f>
        <v>1.2208521548040532</v>
      </c>
      <c r="AT6" s="149">
        <f t="shared" si="16"/>
        <v>1.0173767956700444</v>
      </c>
      <c r="AU6" s="149">
        <f t="shared" si="16"/>
        <v>0.84781399639170363</v>
      </c>
      <c r="AV6" s="149">
        <f t="shared" si="16"/>
        <v>0.7399103968509414</v>
      </c>
      <c r="AW6" s="149">
        <f t="shared" si="16"/>
        <v>0.50868839783502218</v>
      </c>
      <c r="AX6" s="149">
        <f t="shared" si="16"/>
        <v>1.2218963831867058</v>
      </c>
      <c r="AY6" s="149">
        <f t="shared" si="16"/>
        <v>1.0182469859889216</v>
      </c>
      <c r="AZ6" s="162">
        <f t="shared" si="16"/>
        <v>0.74054326253739744</v>
      </c>
      <c r="BA6" s="162">
        <f t="shared" si="16"/>
        <v>0.5091234929944608</v>
      </c>
      <c r="BB6" s="129"/>
    </row>
    <row r="7" spans="2:55" x14ac:dyDescent="0.4">
      <c r="B7" s="2" t="s">
        <v>95</v>
      </c>
      <c r="C7" s="2" t="s">
        <v>5</v>
      </c>
      <c r="D7" s="13">
        <v>1</v>
      </c>
      <c r="E7" s="13">
        <v>80</v>
      </c>
      <c r="F7" s="13">
        <v>68</v>
      </c>
      <c r="G7" s="13">
        <v>60</v>
      </c>
      <c r="H7" s="13">
        <f>E7/2</f>
        <v>40</v>
      </c>
      <c r="I7" s="13">
        <f>D7</f>
        <v>1</v>
      </c>
      <c r="J7" s="13">
        <f t="shared" ref="J7" si="17">E7</f>
        <v>80</v>
      </c>
      <c r="K7" s="121">
        <f>G7</f>
        <v>60</v>
      </c>
      <c r="L7" s="121">
        <f>H7</f>
        <v>40</v>
      </c>
      <c r="O7" s="127" t="s">
        <v>95</v>
      </c>
      <c r="P7" s="147" t="s">
        <v>5</v>
      </c>
      <c r="Q7" s="133">
        <v>1</v>
      </c>
      <c r="R7" s="133">
        <v>20</v>
      </c>
      <c r="S7" s="133">
        <f>F7/4</f>
        <v>17</v>
      </c>
      <c r="T7" s="133">
        <f>G7/4</f>
        <v>15</v>
      </c>
      <c r="U7" s="133">
        <f>H7/4</f>
        <v>10</v>
      </c>
      <c r="V7" s="133">
        <f>Q7</f>
        <v>1</v>
      </c>
      <c r="W7" s="133">
        <f t="shared" ref="W7" si="18">R7</f>
        <v>20</v>
      </c>
      <c r="X7" s="141">
        <f>T7</f>
        <v>15</v>
      </c>
      <c r="Y7" s="141">
        <f>U7</f>
        <v>10</v>
      </c>
      <c r="Z7" s="134"/>
      <c r="AB7" s="147" t="s">
        <v>95</v>
      </c>
      <c r="AC7" s="147" t="s">
        <v>5</v>
      </c>
      <c r="AD7" s="180">
        <f>Q7</f>
        <v>1</v>
      </c>
      <c r="AE7" s="133">
        <f>R7</f>
        <v>20</v>
      </c>
      <c r="AF7" s="180">
        <f t="shared" ref="AF7:AO7" si="19">AD7</f>
        <v>1</v>
      </c>
      <c r="AG7" s="133">
        <f t="shared" si="19"/>
        <v>20</v>
      </c>
      <c r="AH7" s="180">
        <f t="shared" si="19"/>
        <v>1</v>
      </c>
      <c r="AI7" s="133">
        <f t="shared" si="19"/>
        <v>20</v>
      </c>
      <c r="AJ7" s="180">
        <f t="shared" si="19"/>
        <v>1</v>
      </c>
      <c r="AK7" s="175">
        <f t="shared" si="19"/>
        <v>20</v>
      </c>
      <c r="AL7" s="133">
        <f t="shared" si="19"/>
        <v>1</v>
      </c>
      <c r="AM7" s="175">
        <f t="shared" si="19"/>
        <v>20</v>
      </c>
      <c r="AN7" s="133">
        <f t="shared" si="19"/>
        <v>1</v>
      </c>
      <c r="AO7" s="175">
        <f t="shared" si="19"/>
        <v>20</v>
      </c>
      <c r="AP7" s="139"/>
      <c r="AQ7" s="127" t="s">
        <v>95</v>
      </c>
      <c r="AR7" s="147" t="s">
        <v>5</v>
      </c>
      <c r="AS7" s="154">
        <f>D7/2</f>
        <v>0.5</v>
      </c>
      <c r="AT7" s="154">
        <f>E7/2</f>
        <v>40</v>
      </c>
      <c r="AU7" s="154">
        <f>F7/2</f>
        <v>34</v>
      </c>
      <c r="AV7" s="154">
        <f>G7/2</f>
        <v>30</v>
      </c>
      <c r="AW7" s="154">
        <f>H7/2</f>
        <v>20</v>
      </c>
      <c r="AX7" s="154">
        <f>AS7</f>
        <v>0.5</v>
      </c>
      <c r="AY7" s="154">
        <f>AT7</f>
        <v>40</v>
      </c>
      <c r="AZ7" s="161">
        <f>AV7</f>
        <v>30</v>
      </c>
      <c r="BA7" s="161">
        <f>AW7</f>
        <v>20</v>
      </c>
      <c r="BB7" s="129"/>
    </row>
    <row r="8" spans="2:55" x14ac:dyDescent="0.4">
      <c r="B8" s="2" t="s">
        <v>2</v>
      </c>
      <c r="C8" s="2" t="s">
        <v>0</v>
      </c>
      <c r="D8" s="109">
        <f>1/D9</f>
        <v>0.40949999999999998</v>
      </c>
      <c r="E8" s="109">
        <f t="shared" ref="E8:J8" si="20">1/E9</f>
        <v>39.311999999999998</v>
      </c>
      <c r="F8" s="109">
        <f t="shared" si="20"/>
        <v>40.098240000000004</v>
      </c>
      <c r="G8" s="109">
        <f t="shared" si="20"/>
        <v>40.540499999999994</v>
      </c>
      <c r="H8" s="109">
        <f t="shared" si="20"/>
        <v>39.311999999999998</v>
      </c>
      <c r="I8" s="109">
        <f t="shared" si="20"/>
        <v>0.40879999999999994</v>
      </c>
      <c r="J8" s="109">
        <f t="shared" si="20"/>
        <v>39.244800000000005</v>
      </c>
      <c r="K8" s="122">
        <f>1/K9</f>
        <v>40.471199999999996</v>
      </c>
      <c r="L8" s="122">
        <f>1/L9</f>
        <v>39.244800000000005</v>
      </c>
      <c r="M8" s="117">
        <f>(G8-D8)/D8</f>
        <v>97.999999999999986</v>
      </c>
      <c r="N8" s="117">
        <f>(F8-D8)/D8</f>
        <v>96.920000000000016</v>
      </c>
      <c r="O8" s="127" t="s">
        <v>2</v>
      </c>
      <c r="P8" s="147" t="s">
        <v>0</v>
      </c>
      <c r="Q8" s="135">
        <f>1/Q9</f>
        <v>1.6383000000000001</v>
      </c>
      <c r="R8" s="135">
        <f t="shared" ref="R8:X8" si="21">1/R9</f>
        <v>39.319200000000002</v>
      </c>
      <c r="S8" s="135">
        <f t="shared" si="21"/>
        <v>40.105584000000007</v>
      </c>
      <c r="T8" s="135">
        <f t="shared" si="21"/>
        <v>40.547924999999999</v>
      </c>
      <c r="U8" s="135">
        <f t="shared" si="21"/>
        <v>39.319200000000002</v>
      </c>
      <c r="V8" s="135">
        <f t="shared" si="21"/>
        <v>1.6375999999999999</v>
      </c>
      <c r="W8" s="135">
        <f t="shared" si="21"/>
        <v>39.302399999999992</v>
      </c>
      <c r="X8" s="142">
        <f t="shared" si="21"/>
        <v>40.530599999999993</v>
      </c>
      <c r="Y8" s="142">
        <f>1/Y9</f>
        <v>39.302399999999992</v>
      </c>
      <c r="Z8" s="117">
        <f>(T8-Q8)/Q8</f>
        <v>23.749999999999996</v>
      </c>
      <c r="AA8" s="117">
        <f>(S8-Q8)/Q8</f>
        <v>23.480000000000004</v>
      </c>
      <c r="AB8" s="147" t="s">
        <v>2</v>
      </c>
      <c r="AC8" s="147" t="s">
        <v>0</v>
      </c>
      <c r="AD8" s="181">
        <f>1/AD9</f>
        <v>1.6383000000000001</v>
      </c>
      <c r="AE8" s="135">
        <f t="shared" ref="AE8:AO8" si="22">1/AE9</f>
        <v>39.319200000000002</v>
      </c>
      <c r="AF8" s="181">
        <f t="shared" si="22"/>
        <v>1.6382000000000001</v>
      </c>
      <c r="AG8" s="135">
        <f t="shared" si="22"/>
        <v>39.316800000000001</v>
      </c>
      <c r="AH8" s="181">
        <f t="shared" si="22"/>
        <v>1.6379999999999999</v>
      </c>
      <c r="AI8" s="135">
        <f t="shared" si="22"/>
        <v>39.311999999999998</v>
      </c>
      <c r="AJ8" s="181">
        <f t="shared" si="22"/>
        <v>1.6375999999999999</v>
      </c>
      <c r="AK8" s="182">
        <f t="shared" si="22"/>
        <v>39.302399999999992</v>
      </c>
      <c r="AL8" s="135">
        <f t="shared" si="22"/>
        <v>1.6368</v>
      </c>
      <c r="AM8" s="182">
        <f t="shared" si="22"/>
        <v>39.283199999999994</v>
      </c>
      <c r="AN8" s="135">
        <f t="shared" si="22"/>
        <v>1.6351999999999998</v>
      </c>
      <c r="AO8" s="182">
        <f t="shared" si="22"/>
        <v>39.244800000000005</v>
      </c>
      <c r="AP8" s="139"/>
      <c r="AQ8" s="127" t="s">
        <v>2</v>
      </c>
      <c r="AR8" s="147" t="s">
        <v>0</v>
      </c>
      <c r="AS8" s="163">
        <f>1/AS9</f>
        <v>0.40955000000000003</v>
      </c>
      <c r="AT8" s="163">
        <f t="shared" ref="AT8:BA8" si="23">1/AT9</f>
        <v>39.316800000000001</v>
      </c>
      <c r="AU8" s="163">
        <f t="shared" si="23"/>
        <v>40.103135999999999</v>
      </c>
      <c r="AV8" s="163">
        <f t="shared" si="23"/>
        <v>40.545449999999995</v>
      </c>
      <c r="AW8" s="163">
        <f t="shared" si="23"/>
        <v>39.316800000000001</v>
      </c>
      <c r="AX8" s="163">
        <f t="shared" si="23"/>
        <v>0.40920000000000001</v>
      </c>
      <c r="AY8" s="163">
        <f t="shared" si="23"/>
        <v>39.283199999999994</v>
      </c>
      <c r="AZ8" s="164">
        <f t="shared" si="23"/>
        <v>40.510799999999996</v>
      </c>
      <c r="BA8" s="164">
        <f t="shared" si="23"/>
        <v>39.283199999999994</v>
      </c>
      <c r="BB8" s="117">
        <f>(AV8-AS8)/AS8</f>
        <v>97.999999999999972</v>
      </c>
      <c r="BC8" s="117">
        <f>(AU8-AS8)/AS8</f>
        <v>96.919999999999987</v>
      </c>
    </row>
    <row r="9" spans="2:55" x14ac:dyDescent="0.4">
      <c r="B9" s="2"/>
      <c r="C9" s="2" t="s">
        <v>1</v>
      </c>
      <c r="D9" s="111">
        <f>D3/D5/D7</f>
        <v>2.4420024420024422</v>
      </c>
      <c r="E9" s="111">
        <f t="shared" ref="E9:J9" si="24">E3/E5/E7</f>
        <v>2.5437525437525439E-2</v>
      </c>
      <c r="F9" s="111">
        <f t="shared" si="24"/>
        <v>2.4938750428946506E-2</v>
      </c>
      <c r="G9" s="111">
        <f t="shared" si="24"/>
        <v>2.4666691333358002E-2</v>
      </c>
      <c r="H9" s="111">
        <f t="shared" si="24"/>
        <v>2.5437525437525439E-2</v>
      </c>
      <c r="I9" s="111">
        <f t="shared" si="24"/>
        <v>2.4461839530332683</v>
      </c>
      <c r="J9" s="111">
        <f t="shared" si="24"/>
        <v>2.5481082844096541E-2</v>
      </c>
      <c r="K9" s="120">
        <f>K3/K5/K7</f>
        <v>2.4708928818517863E-2</v>
      </c>
      <c r="L9" s="120">
        <f>L3/L5/L7</f>
        <v>2.5481082844096541E-2</v>
      </c>
      <c r="M9" s="117">
        <f>(D8-I8)/I8</f>
        <v>1.7123287671233708E-3</v>
      </c>
      <c r="N9" s="117"/>
      <c r="O9" s="127"/>
      <c r="P9" s="147" t="s">
        <v>1</v>
      </c>
      <c r="Q9" s="132">
        <f t="shared" ref="Q9:Y9" si="25">Q3/Q5/Q7</f>
        <v>0.61038881767686015</v>
      </c>
      <c r="R9" s="132">
        <f t="shared" si="25"/>
        <v>2.5432867403202507E-2</v>
      </c>
      <c r="S9" s="132">
        <f t="shared" si="25"/>
        <v>2.4934183728629905E-2</v>
      </c>
      <c r="T9" s="132">
        <f t="shared" si="25"/>
        <v>2.4662174451590309E-2</v>
      </c>
      <c r="U9" s="132">
        <f t="shared" si="25"/>
        <v>2.5432867403202507E-2</v>
      </c>
      <c r="V9" s="132">
        <f t="shared" si="25"/>
        <v>0.61064973131411826</v>
      </c>
      <c r="W9" s="132">
        <f t="shared" si="25"/>
        <v>2.544373880475493E-2</v>
      </c>
      <c r="X9" s="140">
        <f t="shared" si="25"/>
        <v>2.4672716416732052E-2</v>
      </c>
      <c r="Y9" s="140">
        <f t="shared" si="25"/>
        <v>2.544373880475493E-2</v>
      </c>
      <c r="Z9" s="117">
        <f>(Q8-V8)/V8</f>
        <v>4.2745481191997127E-4</v>
      </c>
      <c r="AB9" s="147"/>
      <c r="AC9" s="147" t="s">
        <v>1</v>
      </c>
      <c r="AD9" s="178">
        <f>AD3/AD5/AD7</f>
        <v>0.61038881767686015</v>
      </c>
      <c r="AE9" s="132">
        <f t="shared" ref="AE9:AO9" si="26">AE3/AE5/AE7</f>
        <v>2.5432867403202507E-2</v>
      </c>
      <c r="AF9" s="178">
        <f t="shared" si="26"/>
        <v>0.61042607740202659</v>
      </c>
      <c r="AG9" s="132">
        <f t="shared" si="26"/>
        <v>2.543441989175111E-2</v>
      </c>
      <c r="AH9" s="178">
        <f t="shared" si="26"/>
        <v>0.61050061050061055</v>
      </c>
      <c r="AI9" s="132">
        <f t="shared" si="26"/>
        <v>2.5437525437525439E-2</v>
      </c>
      <c r="AJ9" s="178">
        <f t="shared" si="26"/>
        <v>0.61064973131411826</v>
      </c>
      <c r="AK9" s="179">
        <f t="shared" si="26"/>
        <v>2.544373880475493E-2</v>
      </c>
      <c r="AL9" s="132">
        <f t="shared" si="26"/>
        <v>0.6109481915933529</v>
      </c>
      <c r="AM9" s="179">
        <f t="shared" si="26"/>
        <v>2.5456174649723041E-2</v>
      </c>
      <c r="AN9" s="132">
        <f t="shared" si="26"/>
        <v>0.61154598825831707</v>
      </c>
      <c r="AO9" s="179">
        <f t="shared" si="26"/>
        <v>2.5481082844096541E-2</v>
      </c>
      <c r="AP9" s="140"/>
      <c r="AQ9" s="127"/>
      <c r="AR9" s="147" t="s">
        <v>1</v>
      </c>
      <c r="AS9" s="149">
        <f>AS3/AS5/AS7</f>
        <v>2.4417043096081064</v>
      </c>
      <c r="AT9" s="149">
        <f t="shared" ref="AT9:BA9" si="27">AT3/AT5/AT7</f>
        <v>2.543441989175111E-2</v>
      </c>
      <c r="AU9" s="149">
        <f t="shared" si="27"/>
        <v>2.4935705776226579E-2</v>
      </c>
      <c r="AV9" s="149">
        <f t="shared" si="27"/>
        <v>2.466367989503138E-2</v>
      </c>
      <c r="AW9" s="149">
        <f t="shared" si="27"/>
        <v>2.543441989175111E-2</v>
      </c>
      <c r="AX9" s="149">
        <f t="shared" si="27"/>
        <v>2.4437927663734116</v>
      </c>
      <c r="AY9" s="149">
        <f t="shared" si="27"/>
        <v>2.5456174649723041E-2</v>
      </c>
      <c r="AZ9" s="162">
        <f t="shared" si="27"/>
        <v>2.4684775417913248E-2</v>
      </c>
      <c r="BA9" s="162">
        <f t="shared" si="27"/>
        <v>2.5456174649723041E-2</v>
      </c>
      <c r="BB9" s="117">
        <f>(AS8-AX8)/AX8</f>
        <v>8.5532746823073545E-4</v>
      </c>
    </row>
    <row r="10" spans="2:55" x14ac:dyDescent="0.4">
      <c r="B10" s="2" t="s">
        <v>49</v>
      </c>
      <c r="C10" s="2" t="s">
        <v>5</v>
      </c>
      <c r="D10" s="8">
        <f>D3/D9</f>
        <v>4094.9999999999995</v>
      </c>
      <c r="E10" s="8">
        <f>E3/E9</f>
        <v>327600</v>
      </c>
      <c r="F10" s="8">
        <f>F3/F9</f>
        <v>278460</v>
      </c>
      <c r="G10" s="8">
        <f>G3/G9</f>
        <v>245700</v>
      </c>
      <c r="H10" s="8">
        <f>H3/H9</f>
        <v>163800</v>
      </c>
      <c r="I10" s="8">
        <f>I3*8/I9</f>
        <v>4087.9999999999995</v>
      </c>
      <c r="J10" s="8">
        <f>J3*8/J9</f>
        <v>327040.00000000006</v>
      </c>
      <c r="K10" s="123">
        <f>K3*8/K9</f>
        <v>245279.99999999997</v>
      </c>
      <c r="L10" s="123">
        <f>L3*8/L9</f>
        <v>163520.00000000003</v>
      </c>
      <c r="M10" s="116"/>
      <c r="N10" s="116"/>
      <c r="O10" s="2" t="s">
        <v>49</v>
      </c>
      <c r="P10" s="2" t="s">
        <v>5</v>
      </c>
      <c r="Q10" s="8">
        <f>Q3/Q9</f>
        <v>16383</v>
      </c>
      <c r="R10" s="8">
        <f>R3/R9</f>
        <v>327660</v>
      </c>
      <c r="S10" s="8">
        <f>S3/S9</f>
        <v>278511.00000000006</v>
      </c>
      <c r="T10" s="8">
        <f>T3/T9</f>
        <v>245745.00000000003</v>
      </c>
      <c r="U10" s="8">
        <f>U3/U9</f>
        <v>163830</v>
      </c>
      <c r="V10" s="8">
        <f>V3*2^(Q4-V4)/V9</f>
        <v>16375.999999999998</v>
      </c>
      <c r="W10" s="8">
        <f>W3*2^(R4-W4)/W9</f>
        <v>327520</v>
      </c>
      <c r="X10" s="143">
        <f>X3*2^(T4-X4)/X9</f>
        <v>245639.99999999997</v>
      </c>
      <c r="Y10" s="143">
        <f>Y3*2^(U4-Y4)/Y9</f>
        <v>163760</v>
      </c>
      <c r="AB10" s="147" t="s">
        <v>49</v>
      </c>
      <c r="AC10" s="147" t="s">
        <v>5</v>
      </c>
      <c r="AD10" s="183">
        <f>AD3/AD9</f>
        <v>16383</v>
      </c>
      <c r="AE10" s="167">
        <f t="shared" ref="AE10" si="28">AE3/AE9</f>
        <v>327660</v>
      </c>
      <c r="AF10" s="192">
        <f>AF3*2^($AD$4-AF4)/AF9</f>
        <v>16382</v>
      </c>
      <c r="AG10" s="8">
        <f>AG3*2^($AE$4-AG4)/AG9</f>
        <v>327640</v>
      </c>
      <c r="AH10" s="192">
        <f>AH3*2^($AD$4-AH4)/AH9</f>
        <v>16379.999999999998</v>
      </c>
      <c r="AI10" s="8">
        <f>AI3*2^($AE$4-AI4)/AI9</f>
        <v>327600</v>
      </c>
      <c r="AJ10" s="192">
        <f>AJ3*2^($AD$4-AJ4)/AJ9</f>
        <v>16375.999999999998</v>
      </c>
      <c r="AK10" s="184">
        <f>AK3*2^($AE$4-AK4)/AK9</f>
        <v>327520</v>
      </c>
      <c r="AL10" s="8">
        <f>AL3*2^($AD$4-AL4)/AL9</f>
        <v>16368</v>
      </c>
      <c r="AM10" s="184">
        <f>AM3*2^($AE$4-AM4)/AM9</f>
        <v>327360</v>
      </c>
      <c r="AN10" s="8">
        <f>AN3*2^($AD$4-AN4)/AN9</f>
        <v>16351.999999999998</v>
      </c>
      <c r="AO10" s="184">
        <f>AO3*2^($AE$4-AO4)/AO9</f>
        <v>327040.00000000006</v>
      </c>
      <c r="AP10" s="123"/>
      <c r="AQ10" s="136" t="s">
        <v>49</v>
      </c>
      <c r="AR10" s="136" t="s">
        <v>5</v>
      </c>
      <c r="AS10" s="148">
        <f>AS3/AS9</f>
        <v>4095.5</v>
      </c>
      <c r="AT10" s="148">
        <f>AT3/AT9</f>
        <v>327640</v>
      </c>
      <c r="AU10" s="148">
        <f>AU3/AU9</f>
        <v>278494</v>
      </c>
      <c r="AV10" s="148">
        <f>AV3/AV9</f>
        <v>245730</v>
      </c>
      <c r="AW10" s="148">
        <f>AW3/AW9</f>
        <v>163820</v>
      </c>
      <c r="AX10" s="148">
        <f>AX3*8/AX9</f>
        <v>4092</v>
      </c>
      <c r="AY10" s="148">
        <f>AY3*8/AY9</f>
        <v>327360</v>
      </c>
      <c r="AZ10" s="165">
        <f>AZ3*8/AZ9</f>
        <v>245520</v>
      </c>
      <c r="BA10" s="165">
        <f>BA3*8/BA9</f>
        <v>163680</v>
      </c>
      <c r="BB10" s="129"/>
    </row>
    <row r="11" spans="2:55" x14ac:dyDescent="0.4">
      <c r="B11" s="2"/>
      <c r="C11" s="2" t="s">
        <v>50</v>
      </c>
      <c r="D11" s="1" t="str">
        <f>DEC2HEX(D10)</f>
        <v>FFE</v>
      </c>
      <c r="E11" s="1" t="str">
        <f t="shared" ref="E11:L11" si="29">DEC2HEX(E10)</f>
        <v>4FFB0</v>
      </c>
      <c r="F11" s="1" t="str">
        <f t="shared" si="29"/>
        <v>43FBC</v>
      </c>
      <c r="G11" s="1" t="str">
        <f t="shared" si="29"/>
        <v>3BFC4</v>
      </c>
      <c r="H11" s="1" t="str">
        <f t="shared" si="29"/>
        <v>27FD8</v>
      </c>
      <c r="I11" s="1" t="str">
        <f t="shared" si="29"/>
        <v>FF7</v>
      </c>
      <c r="J11" s="1" t="str">
        <f t="shared" si="29"/>
        <v>4FD80</v>
      </c>
      <c r="K11" s="124" t="str">
        <f t="shared" si="29"/>
        <v>3BE1F</v>
      </c>
      <c r="L11" s="124" t="str">
        <f t="shared" si="29"/>
        <v>27EC0</v>
      </c>
      <c r="O11" s="2"/>
      <c r="P11" s="2" t="s">
        <v>50</v>
      </c>
      <c r="Q11" s="1" t="str">
        <f>DEC2HEX(Q10)</f>
        <v>3FFF</v>
      </c>
      <c r="R11" s="1" t="str">
        <f t="shared" ref="R11" si="30">DEC2HEX(R10)</f>
        <v>4FFEC</v>
      </c>
      <c r="S11" s="1" t="str">
        <f t="shared" ref="S11" si="31">DEC2HEX(S10)</f>
        <v>43FEF</v>
      </c>
      <c r="T11" s="1" t="str">
        <f t="shared" ref="T11" si="32">DEC2HEX(T10)</f>
        <v>3BFF1</v>
      </c>
      <c r="U11" s="1" t="str">
        <f t="shared" ref="U11" si="33">DEC2HEX(U10)</f>
        <v>27FF6</v>
      </c>
      <c r="V11" s="1" t="str">
        <f t="shared" ref="V11" si="34">DEC2HEX(V10)</f>
        <v>3FF7</v>
      </c>
      <c r="W11" s="1" t="str">
        <f t="shared" ref="W11" si="35">DEC2HEX(W10)</f>
        <v>4FF60</v>
      </c>
      <c r="X11" s="144" t="str">
        <f t="shared" ref="X11" si="36">DEC2HEX(X10)</f>
        <v>3BF87</v>
      </c>
      <c r="Y11" s="144" t="str">
        <f t="shared" ref="Y11" si="37">DEC2HEX(Y10)</f>
        <v>27FB0</v>
      </c>
      <c r="AB11" s="147"/>
      <c r="AC11" s="147" t="s">
        <v>50</v>
      </c>
      <c r="AD11" s="185" t="str">
        <f>DEC2HEX(AD10)</f>
        <v>3FFF</v>
      </c>
      <c r="AE11" s="137" t="str">
        <f t="shared" ref="AE11:AO11" si="38">DEC2HEX(AE10)</f>
        <v>4FFEC</v>
      </c>
      <c r="AF11" s="185" t="str">
        <f t="shared" si="38"/>
        <v>3FFE</v>
      </c>
      <c r="AG11" s="137" t="str">
        <f t="shared" si="38"/>
        <v>4FFD8</v>
      </c>
      <c r="AH11" s="185" t="str">
        <f t="shared" si="38"/>
        <v>3FFB</v>
      </c>
      <c r="AI11" s="137" t="str">
        <f t="shared" si="38"/>
        <v>4FFB0</v>
      </c>
      <c r="AJ11" s="185" t="str">
        <f t="shared" si="38"/>
        <v>3FF7</v>
      </c>
      <c r="AK11" s="186" t="str">
        <f t="shared" si="38"/>
        <v>4FF60</v>
      </c>
      <c r="AL11" s="137" t="str">
        <f t="shared" si="38"/>
        <v>3FF0</v>
      </c>
      <c r="AM11" s="186" t="str">
        <f t="shared" si="38"/>
        <v>4FEC0</v>
      </c>
      <c r="AN11" s="137" t="str">
        <f t="shared" si="38"/>
        <v>3FDF</v>
      </c>
      <c r="AO11" s="186" t="str">
        <f t="shared" si="38"/>
        <v>4FD80</v>
      </c>
      <c r="AP11" s="124"/>
      <c r="AQ11" s="127"/>
      <c r="AR11" s="147" t="s">
        <v>50</v>
      </c>
      <c r="AS11" s="137" t="str">
        <f>DEC2HEX(AS10)</f>
        <v>FFF</v>
      </c>
      <c r="AT11" s="137" t="str">
        <f t="shared" ref="AT11:BA11" si="39">DEC2HEX(AT10)</f>
        <v>4FFD8</v>
      </c>
      <c r="AU11" s="137" t="str">
        <f t="shared" si="39"/>
        <v>43FDE</v>
      </c>
      <c r="AV11" s="137" t="str">
        <f t="shared" si="39"/>
        <v>3BFE2</v>
      </c>
      <c r="AW11" s="137" t="str">
        <f t="shared" si="39"/>
        <v>27FEC</v>
      </c>
      <c r="AX11" s="137" t="str">
        <f t="shared" si="39"/>
        <v>FFC</v>
      </c>
      <c r="AY11" s="137" t="str">
        <f t="shared" si="39"/>
        <v>4FEC0</v>
      </c>
      <c r="AZ11" s="144" t="str">
        <f t="shared" si="39"/>
        <v>3BF10</v>
      </c>
      <c r="BA11" s="144" t="str">
        <f t="shared" si="39"/>
        <v>27F60</v>
      </c>
      <c r="BB11" s="129"/>
    </row>
    <row r="12" spans="2:55" x14ac:dyDescent="0.4">
      <c r="B12" s="2"/>
      <c r="C12" s="2">
        <v>20</v>
      </c>
      <c r="D12" s="8">
        <f>2^C12-1</f>
        <v>1048575</v>
      </c>
      <c r="K12" s="119"/>
      <c r="L12" s="119"/>
      <c r="O12" s="2"/>
      <c r="P12" s="2"/>
      <c r="Q12" s="8"/>
      <c r="R12"/>
      <c r="S12"/>
      <c r="T12"/>
      <c r="U12"/>
      <c r="V12"/>
      <c r="W12"/>
      <c r="AB12" s="147"/>
      <c r="AC12" s="147"/>
      <c r="AD12" s="183"/>
      <c r="AF12" s="176"/>
      <c r="AH12" s="176"/>
      <c r="AJ12" s="176"/>
      <c r="AK12" s="177"/>
      <c r="AM12" s="177"/>
      <c r="AO12" s="177"/>
      <c r="AP12" s="119"/>
      <c r="AQ12" s="131"/>
      <c r="AR12" s="137"/>
      <c r="AS12" s="137"/>
      <c r="AT12" s="137"/>
      <c r="AU12" s="137"/>
      <c r="AV12" s="137"/>
      <c r="AW12" s="137"/>
      <c r="AX12" s="137"/>
      <c r="AY12" s="137"/>
      <c r="AZ12" s="144"/>
      <c r="BA12" s="144"/>
      <c r="BB12" s="129"/>
    </row>
    <row r="13" spans="2:55" x14ac:dyDescent="0.4">
      <c r="B13" s="2"/>
      <c r="C13" s="2" t="s">
        <v>97</v>
      </c>
      <c r="D13" s="112">
        <f t="shared" ref="D13:L13" si="40">$D$12*D9</f>
        <v>2560622.7106227106</v>
      </c>
      <c r="E13" s="112">
        <f t="shared" si="40"/>
        <v>26673.153235653237</v>
      </c>
      <c r="F13" s="112">
        <f t="shared" si="40"/>
        <v>26150.150231032581</v>
      </c>
      <c r="G13" s="112">
        <f t="shared" si="40"/>
        <v>25864.875864875867</v>
      </c>
      <c r="H13" s="112">
        <f t="shared" si="40"/>
        <v>26673.153235653237</v>
      </c>
      <c r="I13" s="112">
        <f t="shared" si="40"/>
        <v>2565007.3385518594</v>
      </c>
      <c r="J13" s="112">
        <f t="shared" si="40"/>
        <v>26718.82644324853</v>
      </c>
      <c r="K13" s="125">
        <f t="shared" si="40"/>
        <v>25909.16503587737</v>
      </c>
      <c r="L13" s="125">
        <f t="shared" si="40"/>
        <v>26718.82644324853</v>
      </c>
      <c r="O13" s="2"/>
      <c r="P13" s="2"/>
      <c r="Q13" s="112"/>
      <c r="R13" s="112"/>
      <c r="S13" s="112"/>
      <c r="T13" s="112"/>
      <c r="U13" s="112"/>
      <c r="V13" s="112"/>
      <c r="W13" s="112"/>
      <c r="X13" s="145"/>
      <c r="Y13" s="145"/>
      <c r="AB13" s="147"/>
      <c r="AC13" s="147"/>
      <c r="AD13" s="187"/>
      <c r="AE13" s="168"/>
      <c r="AF13" s="187"/>
      <c r="AG13" s="168"/>
      <c r="AH13" s="187"/>
      <c r="AI13" s="168"/>
      <c r="AJ13" s="187"/>
      <c r="AK13" s="188"/>
      <c r="AL13" s="168"/>
      <c r="AM13" s="188"/>
      <c r="AN13" s="168"/>
      <c r="AO13" s="188"/>
      <c r="AP13" s="125"/>
      <c r="AQ13" s="127" t="s">
        <v>3</v>
      </c>
      <c r="AR13" s="147" t="s">
        <v>4</v>
      </c>
      <c r="AS13" s="147">
        <v>100</v>
      </c>
      <c r="AT13" s="147">
        <v>120</v>
      </c>
      <c r="AU13" s="147">
        <v>144</v>
      </c>
      <c r="AV13" s="147">
        <v>165</v>
      </c>
      <c r="AW13" s="147">
        <v>240</v>
      </c>
      <c r="AX13" s="147">
        <f>AS13*8</f>
        <v>800</v>
      </c>
      <c r="AY13" s="147">
        <f t="shared" ref="AY13" si="41">AT13*8</f>
        <v>960</v>
      </c>
      <c r="AZ13" s="158">
        <f>AV13*8</f>
        <v>1320</v>
      </c>
      <c r="BA13" s="158">
        <f>AW13*8</f>
        <v>1920</v>
      </c>
      <c r="BB13" s="131"/>
    </row>
    <row r="14" spans="2:55" x14ac:dyDescent="0.4">
      <c r="B14" s="2"/>
      <c r="C14" s="2" t="s">
        <v>96</v>
      </c>
      <c r="D14" s="8">
        <f>D10*2</f>
        <v>8189.9999999999991</v>
      </c>
      <c r="K14" s="119"/>
      <c r="L14" s="119"/>
      <c r="O14" s="2"/>
      <c r="P14" s="2"/>
      <c r="Q14" s="8"/>
      <c r="R14"/>
      <c r="S14"/>
      <c r="T14"/>
      <c r="U14"/>
      <c r="V14"/>
      <c r="W14"/>
      <c r="AB14" s="147"/>
      <c r="AC14" s="147"/>
      <c r="AD14" s="183"/>
      <c r="AF14" s="176"/>
      <c r="AH14" s="176"/>
      <c r="AJ14" s="176"/>
      <c r="AK14" s="177"/>
      <c r="AM14" s="177"/>
      <c r="AO14" s="177"/>
      <c r="AP14" s="119"/>
      <c r="AQ14" s="127"/>
      <c r="AR14" s="147" t="s">
        <v>1</v>
      </c>
      <c r="AS14" s="159">
        <f>1/AS13*1000000</f>
        <v>10000</v>
      </c>
      <c r="AT14" s="159">
        <f t="shared" ref="AT14" si="42">1/AT13*1000000</f>
        <v>8333.3333333333339</v>
      </c>
      <c r="AU14" s="159">
        <f>1/AU13*1000000</f>
        <v>6944.4444444444443</v>
      </c>
      <c r="AV14" s="159">
        <f t="shared" ref="AV14:BA14" si="43">1/AV13*1000000</f>
        <v>6060.606060606061</v>
      </c>
      <c r="AW14" s="159">
        <f t="shared" si="43"/>
        <v>4166.666666666667</v>
      </c>
      <c r="AX14" s="159">
        <f t="shared" si="43"/>
        <v>1250</v>
      </c>
      <c r="AY14" s="159">
        <f t="shared" si="43"/>
        <v>1041.6666666666667</v>
      </c>
      <c r="AZ14" s="160">
        <f t="shared" si="43"/>
        <v>757.57575757575762</v>
      </c>
      <c r="BA14" s="160">
        <f t="shared" si="43"/>
        <v>520.83333333333337</v>
      </c>
      <c r="BB14" s="131"/>
    </row>
    <row r="15" spans="2:55" ht="18" thickBot="1" x14ac:dyDescent="0.45">
      <c r="B15" s="147" t="s">
        <v>78</v>
      </c>
      <c r="C15" s="147" t="s">
        <v>5</v>
      </c>
      <c r="D15">
        <f>2^($D$4-D4)</f>
        <v>1</v>
      </c>
      <c r="E15">
        <f>2^($E$4-E4)</f>
        <v>1</v>
      </c>
      <c r="F15">
        <f>2^($F$4-F4)</f>
        <v>1</v>
      </c>
      <c r="G15">
        <f>2^($G$4-G4)</f>
        <v>1</v>
      </c>
      <c r="H15">
        <f>2^($H$4-H4)</f>
        <v>1</v>
      </c>
      <c r="I15">
        <f>2^(D4-I4)</f>
        <v>8</v>
      </c>
      <c r="J15">
        <f>2^(E4-J4)</f>
        <v>8</v>
      </c>
      <c r="K15" s="139">
        <f>2^(G4-K4)</f>
        <v>8</v>
      </c>
      <c r="L15" s="139">
        <f>2^(H4-L4)</f>
        <v>8</v>
      </c>
      <c r="O15" s="147" t="s">
        <v>78</v>
      </c>
      <c r="P15" s="147" t="s">
        <v>5</v>
      </c>
      <c r="Q15">
        <f>2^($Q$4-Q4)</f>
        <v>1</v>
      </c>
      <c r="R15">
        <f>2^($Q$4-R4)</f>
        <v>1</v>
      </c>
      <c r="S15">
        <f>2^($Q$4-S4)</f>
        <v>1</v>
      </c>
      <c r="T15">
        <f t="shared" ref="T15:U15" si="44">2^($Q$4-T4)</f>
        <v>1</v>
      </c>
      <c r="U15">
        <f t="shared" si="44"/>
        <v>1</v>
      </c>
      <c r="V15">
        <f>2^(Q4-V4)</f>
        <v>8</v>
      </c>
      <c r="W15">
        <f>2^(R4-W4)</f>
        <v>8</v>
      </c>
      <c r="X15" s="139">
        <f>2^(T4-X4)</f>
        <v>8</v>
      </c>
      <c r="Y15" s="139">
        <f>2^(U4-Y4)</f>
        <v>8</v>
      </c>
      <c r="AB15" s="147" t="s">
        <v>78</v>
      </c>
      <c r="AC15" s="147" t="s">
        <v>5</v>
      </c>
      <c r="AD15" s="189">
        <f>2^($AD$4-AD4)</f>
        <v>1</v>
      </c>
      <c r="AE15" s="190">
        <f>2^($AD$4-AE4)</f>
        <v>1</v>
      </c>
      <c r="AF15" s="189">
        <f>2^($AD$4-AF4)</f>
        <v>2</v>
      </c>
      <c r="AG15" s="190">
        <f>2^($AE$4-AG4)</f>
        <v>2</v>
      </c>
      <c r="AH15" s="189">
        <f>2^($AD$4-AH4)</f>
        <v>4</v>
      </c>
      <c r="AI15" s="190">
        <f>2^($AE$4-AI4)</f>
        <v>4</v>
      </c>
      <c r="AJ15" s="189">
        <f>2^($AD$4-AJ4)</f>
        <v>8</v>
      </c>
      <c r="AK15" s="191">
        <f>2^($AE$4-AK4)</f>
        <v>8</v>
      </c>
      <c r="AL15" s="190">
        <f>2^($AD$4-AL4)</f>
        <v>16</v>
      </c>
      <c r="AM15" s="191">
        <f>2^($AE$4-AM4)</f>
        <v>16</v>
      </c>
      <c r="AN15" s="190">
        <f>2^($AD$4-AN4)</f>
        <v>32</v>
      </c>
      <c r="AO15" s="191">
        <f>2^($AE$4-AO4)</f>
        <v>32</v>
      </c>
      <c r="AP15" s="119"/>
      <c r="AQ15" s="2" t="s">
        <v>99</v>
      </c>
      <c r="AR15" s="2" t="s">
        <v>100</v>
      </c>
      <c r="AS15" s="154">
        <v>15</v>
      </c>
      <c r="AT15" s="154"/>
      <c r="AU15" s="154"/>
      <c r="AV15" s="154"/>
      <c r="AW15" s="154"/>
      <c r="AX15" s="154"/>
      <c r="AY15" s="154"/>
      <c r="AZ15" s="161"/>
      <c r="BA15" s="161"/>
      <c r="BB15" s="131"/>
    </row>
    <row r="16" spans="2:55" x14ac:dyDescent="0.4">
      <c r="B16" s="147"/>
      <c r="C16" s="2"/>
      <c r="F16" s="126"/>
      <c r="K16" s="119"/>
      <c r="U16" s="7"/>
      <c r="V16"/>
      <c r="W16"/>
      <c r="AP16" s="119"/>
      <c r="AQ16" s="127"/>
      <c r="AR16" s="150" t="s">
        <v>5</v>
      </c>
      <c r="AS16" s="137">
        <f>2^$AS$15-1</f>
        <v>32767</v>
      </c>
      <c r="AT16" s="137">
        <f>2^$AS$15-1</f>
        <v>32767</v>
      </c>
      <c r="AU16" s="137">
        <f>2^$AS$15-1</f>
        <v>32767</v>
      </c>
      <c r="AV16" s="137">
        <f>2^$AS$15-1</f>
        <v>32767</v>
      </c>
      <c r="AW16" s="137">
        <f>2^$AS$15-1</f>
        <v>32767</v>
      </c>
      <c r="AX16" s="137">
        <f>2^$AS$15/8-1</f>
        <v>4095</v>
      </c>
      <c r="AY16" s="137">
        <f>2^$AS$15/8-1</f>
        <v>4095</v>
      </c>
      <c r="AZ16" s="144">
        <f>2^$AS$15/8-1</f>
        <v>4095</v>
      </c>
      <c r="BA16" s="144">
        <f>2^$AS$15/8-1</f>
        <v>4095</v>
      </c>
      <c r="BB16" s="131"/>
    </row>
    <row r="17" spans="2:55" x14ac:dyDescent="0.4">
      <c r="B17" s="2" t="s">
        <v>98</v>
      </c>
      <c r="C17" s="2" t="s">
        <v>0</v>
      </c>
      <c r="D17" s="315">
        <f>G8</f>
        <v>40.540499999999994</v>
      </c>
      <c r="E17" s="316"/>
      <c r="F17" s="312" t="s">
        <v>1138</v>
      </c>
      <c r="G17" s="313">
        <f>D17</f>
        <v>40.540499999999994</v>
      </c>
      <c r="H17" s="312" t="s">
        <v>1137</v>
      </c>
      <c r="I17" s="313">
        <v>8</v>
      </c>
      <c r="J17" s="314">
        <v>12</v>
      </c>
      <c r="K17" s="317">
        <v>14.75</v>
      </c>
      <c r="U17" s="7"/>
      <c r="V17"/>
      <c r="W17"/>
      <c r="AP17" s="119"/>
      <c r="AQ17" s="127"/>
      <c r="AR17" s="151" t="s">
        <v>1</v>
      </c>
      <c r="AS17" s="149">
        <f t="shared" ref="AS17:BA17" si="45">AS14/AS16</f>
        <v>0.30518509475997191</v>
      </c>
      <c r="AT17" s="149">
        <f t="shared" si="45"/>
        <v>0.25432091229997661</v>
      </c>
      <c r="AU17" s="149">
        <f t="shared" si="45"/>
        <v>0.21193409358331383</v>
      </c>
      <c r="AV17" s="149">
        <f t="shared" si="45"/>
        <v>0.18496066349089207</v>
      </c>
      <c r="AW17" s="149">
        <f t="shared" si="45"/>
        <v>0.1271604561499883</v>
      </c>
      <c r="AX17" s="149">
        <f t="shared" si="45"/>
        <v>0.30525030525030528</v>
      </c>
      <c r="AY17" s="149">
        <f t="shared" si="45"/>
        <v>0.25437525437525438</v>
      </c>
      <c r="AZ17" s="162">
        <f t="shared" si="45"/>
        <v>0.185000185000185</v>
      </c>
      <c r="BA17" s="162">
        <f t="shared" si="45"/>
        <v>0.12718762718762719</v>
      </c>
      <c r="BB17" s="131"/>
    </row>
    <row r="18" spans="2:55" x14ac:dyDescent="0.4">
      <c r="B18" s="2" t="s">
        <v>44</v>
      </c>
      <c r="C18" s="2">
        <v>62</v>
      </c>
      <c r="D18" s="7">
        <f>(1/$D$17)*C18</f>
        <v>1.5293348626681962</v>
      </c>
      <c r="E18" s="7" t="s">
        <v>1</v>
      </c>
      <c r="F18" s="199">
        <v>20</v>
      </c>
      <c r="G18" s="307">
        <f>$G$9*F18</f>
        <v>0.49333382666716002</v>
      </c>
      <c r="H18" s="199"/>
      <c r="I18" s="307">
        <f>G18/(1/$I$17)</f>
        <v>3.9466706133372802</v>
      </c>
      <c r="J18" s="310">
        <f>G18/(1/$J$17)</f>
        <v>5.920005920005921</v>
      </c>
      <c r="K18" s="310">
        <f>G18/(1/$K$17)</f>
        <v>7.2766739433406107</v>
      </c>
      <c r="U18" s="7"/>
      <c r="V18"/>
      <c r="W18"/>
      <c r="AP18" s="119"/>
      <c r="AQ18" s="127" t="s">
        <v>95</v>
      </c>
      <c r="AR18" s="147" t="s">
        <v>5</v>
      </c>
      <c r="AS18" s="154">
        <f>D7/8</f>
        <v>0.125</v>
      </c>
      <c r="AT18" s="154">
        <f>E7/8</f>
        <v>10</v>
      </c>
      <c r="AU18" s="166">
        <v>8</v>
      </c>
      <c r="AV18" s="166">
        <v>7</v>
      </c>
      <c r="AW18" s="154">
        <f>H7/8</f>
        <v>5</v>
      </c>
      <c r="AX18" s="154">
        <f>AS18</f>
        <v>0.125</v>
      </c>
      <c r="AY18" s="154">
        <f t="shared" ref="AY18" si="46">AT18</f>
        <v>10</v>
      </c>
      <c r="AZ18" s="161">
        <f>AV18</f>
        <v>7</v>
      </c>
      <c r="BA18" s="161">
        <f>AW18</f>
        <v>5</v>
      </c>
      <c r="BB18" s="131"/>
    </row>
    <row r="19" spans="2:55" x14ac:dyDescent="0.4">
      <c r="B19" s="2" t="s">
        <v>45</v>
      </c>
      <c r="C19" s="2">
        <v>40</v>
      </c>
      <c r="D19" s="7">
        <f t="shared" ref="D19:D20" si="47">(1/$D$17)*C19</f>
        <v>0.98666765333432005</v>
      </c>
      <c r="E19" s="7" t="s">
        <v>1</v>
      </c>
      <c r="F19" s="199">
        <v>10</v>
      </c>
      <c r="G19" s="307">
        <f t="shared" ref="G19:G20" si="48">$G$9*F19</f>
        <v>0.24666691333358001</v>
      </c>
      <c r="H19" s="199"/>
      <c r="I19" s="307">
        <f>G19/(1/$I$17)</f>
        <v>1.9733353066686401</v>
      </c>
      <c r="J19" s="310">
        <f t="shared" ref="J19:J20" si="49">G19/(1/$J$17)</f>
        <v>2.9600029600029605</v>
      </c>
      <c r="K19" s="310">
        <f t="shared" ref="K19:K20" si="50">G19/(1/$K$17)</f>
        <v>3.6383369716703053</v>
      </c>
      <c r="U19" s="7"/>
      <c r="V19"/>
      <c r="W19"/>
      <c r="AP19" s="119"/>
      <c r="AQ19" s="127" t="s">
        <v>2</v>
      </c>
      <c r="AR19" s="147" t="s">
        <v>0</v>
      </c>
      <c r="AS19" s="163">
        <f>1/AS20</f>
        <v>0.40958749999999999</v>
      </c>
      <c r="AT19" s="163">
        <f t="shared" ref="AT19:AZ19" si="51">1/AT20</f>
        <v>39.320399999999999</v>
      </c>
      <c r="AU19" s="163">
        <f t="shared" si="51"/>
        <v>37.747584000000003</v>
      </c>
      <c r="AV19" s="163">
        <f t="shared" si="51"/>
        <v>37.845885000000003</v>
      </c>
      <c r="AW19" s="163">
        <f t="shared" si="51"/>
        <v>39.320399999999999</v>
      </c>
      <c r="AX19" s="163">
        <f t="shared" si="51"/>
        <v>0.40949999999999998</v>
      </c>
      <c r="AY19" s="163">
        <f t="shared" si="51"/>
        <v>39.311999999999998</v>
      </c>
      <c r="AZ19" s="164">
        <f t="shared" si="51"/>
        <v>37.837800000000001</v>
      </c>
      <c r="BA19" s="164">
        <f>1/BA20</f>
        <v>39.311999999999998</v>
      </c>
      <c r="BB19" s="117">
        <f>(AV19-AS19)/AS19</f>
        <v>91.4</v>
      </c>
      <c r="BC19" s="117">
        <f>(AU19-AS19)/AS19</f>
        <v>91.160000000000011</v>
      </c>
    </row>
    <row r="20" spans="2:55" x14ac:dyDescent="0.4">
      <c r="B20" s="2" t="s">
        <v>46</v>
      </c>
      <c r="C20" s="2">
        <f>C18+C19</f>
        <v>102</v>
      </c>
      <c r="D20" s="7">
        <f t="shared" si="47"/>
        <v>2.5160025160025161</v>
      </c>
      <c r="E20" s="7" t="s">
        <v>1</v>
      </c>
      <c r="F20" s="199">
        <f>F18+F19</f>
        <v>30</v>
      </c>
      <c r="G20" s="307">
        <f t="shared" si="48"/>
        <v>0.74000074000074001</v>
      </c>
      <c r="H20" s="199"/>
      <c r="I20" s="307">
        <f>G20/(1/$I$17)</f>
        <v>5.9200059200059201</v>
      </c>
      <c r="J20" s="310">
        <f t="shared" si="49"/>
        <v>8.8800088800088801</v>
      </c>
      <c r="K20" s="310">
        <f t="shared" si="50"/>
        <v>10.915010915010916</v>
      </c>
      <c r="U20" s="7"/>
      <c r="V20"/>
      <c r="W20"/>
      <c r="AP20" s="119"/>
      <c r="AQ20" s="127"/>
      <c r="AR20" s="147" t="s">
        <v>1</v>
      </c>
      <c r="AS20" s="149">
        <f t="shared" ref="AS20:BA20" si="52">AS14/AS16/AS18</f>
        <v>2.4414807580797753</v>
      </c>
      <c r="AT20" s="149">
        <f t="shared" si="52"/>
        <v>2.543209122999766E-2</v>
      </c>
      <c r="AU20" s="149">
        <f t="shared" si="52"/>
        <v>2.6491761697914229E-2</v>
      </c>
      <c r="AV20" s="149">
        <f t="shared" si="52"/>
        <v>2.6422951927270295E-2</v>
      </c>
      <c r="AW20" s="149">
        <f t="shared" si="52"/>
        <v>2.543209122999766E-2</v>
      </c>
      <c r="AX20" s="149">
        <f t="shared" si="52"/>
        <v>2.4420024420024422</v>
      </c>
      <c r="AY20" s="149">
        <f t="shared" si="52"/>
        <v>2.5437525437525439E-2</v>
      </c>
      <c r="AZ20" s="162">
        <f t="shared" si="52"/>
        <v>2.6428597857169285E-2</v>
      </c>
      <c r="BA20" s="162">
        <f t="shared" si="52"/>
        <v>2.5437525437525439E-2</v>
      </c>
      <c r="BB20" s="117">
        <f>(AS19-AX19)/AX19</f>
        <v>2.1367521367525794E-4</v>
      </c>
    </row>
    <row r="21" spans="2:55" x14ac:dyDescent="0.4">
      <c r="B21" s="2" t="s">
        <v>47</v>
      </c>
      <c r="C21" s="2" t="s">
        <v>48</v>
      </c>
      <c r="D21" s="7">
        <f>1/D20</f>
        <v>0.39745588235294116</v>
      </c>
      <c r="E21" s="7" t="s">
        <v>48</v>
      </c>
      <c r="F21" s="200"/>
      <c r="G21" s="311">
        <f>1/G20</f>
        <v>1.3513500000000001</v>
      </c>
      <c r="H21" s="200"/>
      <c r="I21" s="308"/>
      <c r="J21" s="309"/>
      <c r="K21" s="309"/>
      <c r="U21" s="7"/>
      <c r="V21"/>
      <c r="W21"/>
      <c r="AP21" s="119"/>
      <c r="AQ21" s="136" t="s">
        <v>49</v>
      </c>
      <c r="AR21" s="136" t="s">
        <v>5</v>
      </c>
      <c r="AS21" s="148">
        <f>AS14/AS20</f>
        <v>4095.875</v>
      </c>
      <c r="AT21" s="148">
        <f>AT14/AT20</f>
        <v>327670</v>
      </c>
      <c r="AU21" s="148">
        <f>AU14/AU20</f>
        <v>262136</v>
      </c>
      <c r="AV21" s="148">
        <f>AV14/AV20</f>
        <v>229369.00000000003</v>
      </c>
      <c r="AW21" s="148">
        <f>AW14/AW20</f>
        <v>163835</v>
      </c>
      <c r="AX21" s="148">
        <f>AX14*8/AX20</f>
        <v>4094.9999999999995</v>
      </c>
      <c r="AY21" s="148">
        <f>AY14*8/AY20</f>
        <v>327600</v>
      </c>
      <c r="AZ21" s="165">
        <f>AZ14*8/AZ20</f>
        <v>229320.00000000003</v>
      </c>
      <c r="BA21" s="165">
        <f>BA14*8/BA20</f>
        <v>163800</v>
      </c>
      <c r="BB21" s="131"/>
    </row>
    <row r="22" spans="2:55" x14ac:dyDescent="0.4">
      <c r="U22" s="7"/>
      <c r="V22"/>
      <c r="W22"/>
      <c r="AP22" s="119"/>
      <c r="AQ22" s="127"/>
      <c r="AR22" s="147" t="s">
        <v>50</v>
      </c>
      <c r="AS22" s="137" t="str">
        <f>DEC2HEX(AS21)</f>
        <v>FFF</v>
      </c>
      <c r="AT22" s="137" t="str">
        <f t="shared" ref="AT22:BA22" si="53">DEC2HEX(AT21)</f>
        <v>4FFF6</v>
      </c>
      <c r="AU22" s="137" t="str">
        <f t="shared" si="53"/>
        <v>3FFF8</v>
      </c>
      <c r="AV22" s="137" t="str">
        <f t="shared" si="53"/>
        <v>37FF9</v>
      </c>
      <c r="AW22" s="137" t="str">
        <f t="shared" si="53"/>
        <v>27FFB</v>
      </c>
      <c r="AX22" s="137" t="str">
        <f t="shared" si="53"/>
        <v>FFE</v>
      </c>
      <c r="AY22" s="137" t="str">
        <f t="shared" si="53"/>
        <v>4FFB0</v>
      </c>
      <c r="AZ22" s="144" t="str">
        <f t="shared" si="53"/>
        <v>37FC8</v>
      </c>
      <c r="BA22" s="144" t="str">
        <f t="shared" si="53"/>
        <v>27FD8</v>
      </c>
      <c r="BB22" s="131"/>
    </row>
    <row r="23" spans="2:55" x14ac:dyDescent="0.4">
      <c r="U23" s="7"/>
      <c r="V23"/>
      <c r="W23"/>
      <c r="AP23" s="119"/>
      <c r="AQ23" s="131"/>
      <c r="AR23" s="137"/>
      <c r="AS23" s="137"/>
      <c r="AT23" s="137"/>
      <c r="AU23" s="137"/>
      <c r="AV23" s="137"/>
      <c r="AW23" s="137"/>
      <c r="AX23" s="137"/>
      <c r="AY23" s="137"/>
      <c r="AZ23" s="144"/>
      <c r="BA23" s="144"/>
      <c r="BB23" s="129"/>
    </row>
    <row r="24" spans="2:55" x14ac:dyDescent="0.4">
      <c r="M24"/>
      <c r="N24"/>
      <c r="U24" s="7"/>
      <c r="V24"/>
      <c r="W24"/>
      <c r="AP24" s="119"/>
      <c r="AQ24" s="127" t="s">
        <v>3</v>
      </c>
      <c r="AR24" s="147" t="s">
        <v>4</v>
      </c>
      <c r="AS24" s="147">
        <v>100</v>
      </c>
      <c r="AT24" s="147">
        <v>120</v>
      </c>
      <c r="AU24" s="147">
        <v>144</v>
      </c>
      <c r="AV24" s="147">
        <v>165</v>
      </c>
      <c r="AW24" s="147">
        <v>240</v>
      </c>
      <c r="AX24" s="147">
        <f>AS24*8</f>
        <v>800</v>
      </c>
      <c r="AY24" s="147">
        <f t="shared" ref="AY24" si="54">AT24*8</f>
        <v>960</v>
      </c>
      <c r="AZ24" s="158">
        <f>AV24*8</f>
        <v>1320</v>
      </c>
      <c r="BA24" s="158">
        <f>AW24*8</f>
        <v>1920</v>
      </c>
      <c r="BB24" s="129"/>
    </row>
    <row r="25" spans="2:55" x14ac:dyDescent="0.4">
      <c r="M25"/>
      <c r="N25"/>
      <c r="U25"/>
      <c r="V25"/>
      <c r="W25"/>
      <c r="AQ25" s="127"/>
      <c r="AR25" s="147" t="s">
        <v>1</v>
      </c>
      <c r="AS25" s="159">
        <f>1/AS24*1000000</f>
        <v>10000</v>
      </c>
      <c r="AT25" s="159">
        <f t="shared" ref="AT25" si="55">1/AT24*1000000</f>
        <v>8333.3333333333339</v>
      </c>
      <c r="AU25" s="159">
        <f>1/AU24*1000000</f>
        <v>6944.4444444444443</v>
      </c>
      <c r="AV25" s="159">
        <f t="shared" ref="AV25:BA25" si="56">1/AV24*1000000</f>
        <v>6060.606060606061</v>
      </c>
      <c r="AW25" s="159">
        <f t="shared" si="56"/>
        <v>4166.666666666667</v>
      </c>
      <c r="AX25" s="159">
        <f t="shared" si="56"/>
        <v>1250</v>
      </c>
      <c r="AY25" s="159">
        <f t="shared" si="56"/>
        <v>1041.6666666666667</v>
      </c>
      <c r="AZ25" s="160">
        <f t="shared" si="56"/>
        <v>757.57575757575762</v>
      </c>
      <c r="BA25" s="160">
        <f t="shared" si="56"/>
        <v>520.83333333333337</v>
      </c>
      <c r="BB25" s="129"/>
    </row>
    <row r="26" spans="2:55" x14ac:dyDescent="0.4">
      <c r="M26"/>
      <c r="N26"/>
      <c r="AQ26" s="2" t="s">
        <v>99</v>
      </c>
      <c r="AR26" s="2" t="s">
        <v>100</v>
      </c>
      <c r="AS26" s="154">
        <v>16</v>
      </c>
      <c r="AT26" s="154"/>
      <c r="AU26" s="154"/>
      <c r="AV26" s="154"/>
      <c r="AW26" s="154"/>
      <c r="AX26" s="154"/>
      <c r="AY26" s="154"/>
      <c r="AZ26" s="161"/>
      <c r="BA26" s="161"/>
      <c r="BB26" s="129"/>
    </row>
    <row r="27" spans="2:55" x14ac:dyDescent="0.4">
      <c r="M27"/>
      <c r="N27"/>
      <c r="AQ27" s="127"/>
      <c r="AR27" s="150" t="s">
        <v>5</v>
      </c>
      <c r="AS27" s="137">
        <f>2^$AS$26-1</f>
        <v>65535</v>
      </c>
      <c r="AT27" s="137">
        <f>2^$AS$26-1</f>
        <v>65535</v>
      </c>
      <c r="AU27" s="137">
        <f>2^$AS$26-1</f>
        <v>65535</v>
      </c>
      <c r="AV27" s="137">
        <f>2^$AS$26-1</f>
        <v>65535</v>
      </c>
      <c r="AW27" s="137">
        <f>2^$AS$26-1</f>
        <v>65535</v>
      </c>
      <c r="AX27" s="137">
        <f>2^$AS$26/8-1</f>
        <v>8191</v>
      </c>
      <c r="AY27" s="137">
        <f>2^$AS$26/8-1</f>
        <v>8191</v>
      </c>
      <c r="AZ27" s="144">
        <f>2^$AS$26/8-1</f>
        <v>8191</v>
      </c>
      <c r="BA27" s="144">
        <f>2^$AS$26/8-1</f>
        <v>8191</v>
      </c>
      <c r="BB27" s="129"/>
    </row>
    <row r="28" spans="2:55" x14ac:dyDescent="0.4">
      <c r="M28"/>
      <c r="N28"/>
      <c r="AQ28" s="127"/>
      <c r="AR28" s="151" t="s">
        <v>1</v>
      </c>
      <c r="AS28" s="149">
        <f t="shared" ref="AS28:BA28" si="57">AS25/AS27</f>
        <v>0.15259021896696423</v>
      </c>
      <c r="AT28" s="149">
        <f t="shared" si="57"/>
        <v>0.12715851580580353</v>
      </c>
      <c r="AU28" s="149">
        <f t="shared" si="57"/>
        <v>0.10596542983816959</v>
      </c>
      <c r="AV28" s="149">
        <f t="shared" si="57"/>
        <v>9.2478920586038932E-2</v>
      </c>
      <c r="AW28" s="149">
        <f t="shared" si="57"/>
        <v>6.3579257902901767E-2</v>
      </c>
      <c r="AX28" s="149">
        <f t="shared" si="57"/>
        <v>0.15260651935050665</v>
      </c>
      <c r="AY28" s="149">
        <f t="shared" si="57"/>
        <v>0.12717209945875554</v>
      </c>
      <c r="AZ28" s="162">
        <f t="shared" si="57"/>
        <v>9.2488799606367675E-2</v>
      </c>
      <c r="BA28" s="162">
        <f t="shared" si="57"/>
        <v>6.3586049729377772E-2</v>
      </c>
      <c r="BB28" s="129"/>
    </row>
    <row r="29" spans="2:55" x14ac:dyDescent="0.4">
      <c r="M29"/>
      <c r="N29"/>
      <c r="AQ29" s="127" t="s">
        <v>95</v>
      </c>
      <c r="AR29" s="147" t="s">
        <v>5</v>
      </c>
      <c r="AS29" s="154">
        <f>D7/16</f>
        <v>6.25E-2</v>
      </c>
      <c r="AT29" s="154">
        <f>E7/16</f>
        <v>5</v>
      </c>
      <c r="AU29" s="166">
        <v>4</v>
      </c>
      <c r="AV29" s="166">
        <v>4</v>
      </c>
      <c r="AW29" s="154">
        <f>H7/16</f>
        <v>2.5</v>
      </c>
      <c r="AX29" s="154">
        <f>AS29</f>
        <v>6.25E-2</v>
      </c>
      <c r="AY29" s="154">
        <f>AT29</f>
        <v>5</v>
      </c>
      <c r="AZ29" s="161">
        <f>AV29</f>
        <v>4</v>
      </c>
      <c r="BA29" s="161">
        <f>AW29</f>
        <v>2.5</v>
      </c>
      <c r="BB29" s="129"/>
    </row>
    <row r="30" spans="2:55" x14ac:dyDescent="0.4">
      <c r="M30"/>
      <c r="N30"/>
      <c r="AQ30" s="127" t="s">
        <v>2</v>
      </c>
      <c r="AR30" s="147" t="s">
        <v>0</v>
      </c>
      <c r="AS30" s="163">
        <f>1/AS31</f>
        <v>0.40959374999999998</v>
      </c>
      <c r="AT30" s="163">
        <f>1/AT31</f>
        <v>39.320999999999998</v>
      </c>
      <c r="AU30" s="163">
        <f t="shared" ref="AU30" si="58">1/AU31</f>
        <v>37.748160000000006</v>
      </c>
      <c r="AV30" s="163">
        <f>1/AV31</f>
        <v>43.253099999999996</v>
      </c>
      <c r="AW30" s="163">
        <f t="shared" ref="AW30:BA30" si="59">1/AW31</f>
        <v>39.320999999999998</v>
      </c>
      <c r="AX30" s="163">
        <f t="shared" si="59"/>
        <v>0.40955000000000003</v>
      </c>
      <c r="AY30" s="163">
        <f t="shared" si="59"/>
        <v>39.316800000000001</v>
      </c>
      <c r="AZ30" s="164">
        <f t="shared" si="59"/>
        <v>43.248480000000001</v>
      </c>
      <c r="BA30" s="164">
        <f t="shared" si="59"/>
        <v>39.316800000000001</v>
      </c>
      <c r="BB30" s="117">
        <f>(AV30-AS30)/AS30</f>
        <v>104.6</v>
      </c>
      <c r="BC30" s="117">
        <f>(AU30-AS30)/AS30</f>
        <v>91.160000000000025</v>
      </c>
    </row>
    <row r="31" spans="2:55" x14ac:dyDescent="0.4">
      <c r="M31"/>
      <c r="N31"/>
      <c r="AQ31" s="127"/>
      <c r="AR31" s="147" t="s">
        <v>1</v>
      </c>
      <c r="AS31" s="149">
        <f t="shared" ref="AS31:BA31" si="60">AS25/AS27/AS29</f>
        <v>2.4414435034714277</v>
      </c>
      <c r="AT31" s="149">
        <f t="shared" si="60"/>
        <v>2.5431703161160706E-2</v>
      </c>
      <c r="AU31" s="149">
        <f t="shared" si="60"/>
        <v>2.6491357459542397E-2</v>
      </c>
      <c r="AV31" s="149">
        <f t="shared" si="60"/>
        <v>2.3119730146509733E-2</v>
      </c>
      <c r="AW31" s="149">
        <f t="shared" si="60"/>
        <v>2.5431703161160706E-2</v>
      </c>
      <c r="AX31" s="149">
        <f t="shared" si="60"/>
        <v>2.4417043096081064</v>
      </c>
      <c r="AY31" s="149">
        <f t="shared" si="60"/>
        <v>2.543441989175111E-2</v>
      </c>
      <c r="AZ31" s="162">
        <f t="shared" si="60"/>
        <v>2.3122199901591919E-2</v>
      </c>
      <c r="BA31" s="162">
        <f t="shared" si="60"/>
        <v>2.543441989175111E-2</v>
      </c>
      <c r="BB31" s="117">
        <f>(AS30-AX30)/AX30</f>
        <v>1.0682456354524123E-4</v>
      </c>
    </row>
    <row r="32" spans="2:55" x14ac:dyDescent="0.4">
      <c r="M32"/>
      <c r="N32"/>
      <c r="AQ32" s="136" t="s">
        <v>49</v>
      </c>
      <c r="AR32" s="136" t="s">
        <v>5</v>
      </c>
      <c r="AS32" s="148">
        <f>AS25/AS31</f>
        <v>4095.9374999999995</v>
      </c>
      <c r="AT32" s="148">
        <f>AT25/AT31</f>
        <v>327675</v>
      </c>
      <c r="AU32" s="148">
        <f>AU25/AU31</f>
        <v>262140</v>
      </c>
      <c r="AV32" s="148">
        <f>AV25/AV31</f>
        <v>262139.99999999997</v>
      </c>
      <c r="AW32" s="148">
        <f>AW25/AW31</f>
        <v>163837.5</v>
      </c>
      <c r="AX32" s="148">
        <f>AX25*8/AX31</f>
        <v>4095.5</v>
      </c>
      <c r="AY32" s="148">
        <f>AY25*8/AY31</f>
        <v>327640</v>
      </c>
      <c r="AZ32" s="165">
        <f>AZ25*8/AZ31</f>
        <v>262112</v>
      </c>
      <c r="BA32" s="165">
        <f>BA25*8/BA31</f>
        <v>163820</v>
      </c>
      <c r="BB32" s="129"/>
    </row>
    <row r="33" spans="13:54" x14ac:dyDescent="0.4">
      <c r="M33"/>
      <c r="N33"/>
      <c r="AQ33" s="127"/>
      <c r="AR33" s="147" t="s">
        <v>50</v>
      </c>
      <c r="AS33" s="137" t="str">
        <f>DEC2HEX(AS32)</f>
        <v>FFF</v>
      </c>
      <c r="AT33" s="137" t="str">
        <f t="shared" ref="AT33:BA33" si="61">DEC2HEX(AT32)</f>
        <v>4FFFB</v>
      </c>
      <c r="AU33" s="137" t="str">
        <f t="shared" si="61"/>
        <v>3FFFC</v>
      </c>
      <c r="AV33" s="137" t="str">
        <f t="shared" si="61"/>
        <v>3FFFB</v>
      </c>
      <c r="AW33" s="137" t="str">
        <f t="shared" si="61"/>
        <v>27FFD</v>
      </c>
      <c r="AX33" s="137" t="str">
        <f t="shared" si="61"/>
        <v>FFF</v>
      </c>
      <c r="AY33" s="137" t="str">
        <f t="shared" si="61"/>
        <v>4FFD8</v>
      </c>
      <c r="AZ33" s="144" t="str">
        <f t="shared" si="61"/>
        <v>3FFE0</v>
      </c>
      <c r="BA33" s="144" t="str">
        <f t="shared" si="61"/>
        <v>27FEC</v>
      </c>
      <c r="BB33" s="129"/>
    </row>
    <row r="34" spans="13:54" x14ac:dyDescent="0.4">
      <c r="M34"/>
      <c r="N34"/>
    </row>
    <row r="44" spans="13:54" x14ac:dyDescent="0.4">
      <c r="M44" s="117"/>
      <c r="N44" s="117"/>
    </row>
    <row r="47" spans="13:54" x14ac:dyDescent="0.4">
      <c r="M47"/>
      <c r="N47"/>
      <c r="O47"/>
      <c r="P47"/>
      <c r="Q47"/>
      <c r="R47"/>
      <c r="S47"/>
      <c r="T47"/>
    </row>
    <row r="48" spans="13:54" x14ac:dyDescent="0.4">
      <c r="M48"/>
      <c r="N48"/>
      <c r="O48"/>
      <c r="P48"/>
      <c r="Q48"/>
      <c r="R48"/>
      <c r="S48"/>
      <c r="T48"/>
    </row>
    <row r="49" spans="13:20" x14ac:dyDescent="0.4">
      <c r="M49"/>
      <c r="N49"/>
      <c r="O49"/>
      <c r="P49"/>
      <c r="Q49"/>
      <c r="R49"/>
      <c r="S49"/>
      <c r="T49"/>
    </row>
    <row r="50" spans="13:20" x14ac:dyDescent="0.4">
      <c r="M50"/>
      <c r="N50"/>
      <c r="O50"/>
      <c r="P50"/>
      <c r="Q50"/>
      <c r="R50"/>
      <c r="S50"/>
      <c r="T50"/>
    </row>
  </sheetData>
  <phoneticPr fontId="2" type="noConversion"/>
  <pageMargins left="0.7" right="0.7" top="0.75" bottom="0.75" header="0.3" footer="0.3"/>
  <pageSetup paperSize="9" orientation="portrait" r:id="rId1"/>
  <ignoredErrors>
    <ignoredError sqref="AJ15:AO15 AG6:AI15 AK10:AM10 AJ10 AN10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2092-B524-4427-8428-70B76669E59C}">
  <dimension ref="B2:H15"/>
  <sheetViews>
    <sheetView workbookViewId="0"/>
  </sheetViews>
  <sheetFormatPr defaultColWidth="8.69921875" defaultRowHeight="17.399999999999999" x14ac:dyDescent="0.4"/>
  <cols>
    <col min="1" max="1" width="8.69921875" style="24"/>
    <col min="2" max="2" width="5.5" style="24" bestFit="1" customWidth="1"/>
    <col min="3" max="3" width="4.5" style="24" bestFit="1" customWidth="1"/>
    <col min="4" max="4" width="14.19921875" style="24" bestFit="1" customWidth="1"/>
    <col min="5" max="5" width="11.69921875" style="24" bestFit="1" customWidth="1"/>
    <col min="6" max="6" width="13.5" style="24" bestFit="1" customWidth="1"/>
    <col min="7" max="7" width="7.19921875" style="24" bestFit="1" customWidth="1"/>
    <col min="8" max="16384" width="8.69921875" style="24"/>
  </cols>
  <sheetData>
    <row r="2" spans="2:8" x14ac:dyDescent="0.4">
      <c r="B2" s="471" t="s">
        <v>257</v>
      </c>
      <c r="C2" s="472"/>
      <c r="D2" s="306" t="s">
        <v>1140</v>
      </c>
      <c r="E2" s="92" t="s">
        <v>1131</v>
      </c>
      <c r="F2" s="92" t="s">
        <v>1136</v>
      </c>
      <c r="G2" s="92" t="s">
        <v>1132</v>
      </c>
    </row>
    <row r="3" spans="2:8" x14ac:dyDescent="0.4">
      <c r="B3" s="297" t="s">
        <v>1134</v>
      </c>
      <c r="C3" s="298" t="s">
        <v>1133</v>
      </c>
      <c r="D3" s="82" t="s">
        <v>1134</v>
      </c>
      <c r="E3" s="82" t="s">
        <v>1135</v>
      </c>
      <c r="F3" s="82" t="s">
        <v>1133</v>
      </c>
      <c r="G3" s="82" t="s">
        <v>1135</v>
      </c>
    </row>
    <row r="4" spans="2:8" x14ac:dyDescent="0.4">
      <c r="B4" s="473">
        <v>0</v>
      </c>
      <c r="C4" s="475">
        <v>12</v>
      </c>
      <c r="D4" s="92">
        <v>0</v>
      </c>
      <c r="E4" s="299">
        <v>1</v>
      </c>
      <c r="F4" s="299">
        <f>$C$4-D4</f>
        <v>12</v>
      </c>
      <c r="G4" s="300">
        <f>2^F4-1</f>
        <v>4095</v>
      </c>
      <c r="H4" s="24">
        <f>E4*G4</f>
        <v>4095</v>
      </c>
    </row>
    <row r="5" spans="2:8" x14ac:dyDescent="0.4">
      <c r="B5" s="434"/>
      <c r="C5" s="435"/>
      <c r="D5" s="301">
        <v>1</v>
      </c>
      <c r="E5" s="302">
        <v>2</v>
      </c>
      <c r="F5" s="302">
        <f t="shared" ref="F5:F9" si="0">$C$4-D5</f>
        <v>11</v>
      </c>
      <c r="G5" s="303">
        <f t="shared" ref="G5:G15" si="1">2^F5-1</f>
        <v>2047</v>
      </c>
      <c r="H5" s="24">
        <f t="shared" ref="H5:H15" si="2">E5*G5</f>
        <v>4094</v>
      </c>
    </row>
    <row r="6" spans="2:8" x14ac:dyDescent="0.4">
      <c r="B6" s="434"/>
      <c r="C6" s="435"/>
      <c r="D6" s="301">
        <v>2</v>
      </c>
      <c r="E6" s="302">
        <v>4</v>
      </c>
      <c r="F6" s="302">
        <f t="shared" si="0"/>
        <v>10</v>
      </c>
      <c r="G6" s="303">
        <f t="shared" si="1"/>
        <v>1023</v>
      </c>
      <c r="H6" s="24">
        <f t="shared" si="2"/>
        <v>4092</v>
      </c>
    </row>
    <row r="7" spans="2:8" x14ac:dyDescent="0.4">
      <c r="B7" s="434"/>
      <c r="C7" s="435"/>
      <c r="D7" s="301">
        <v>3</v>
      </c>
      <c r="E7" s="302">
        <v>8</v>
      </c>
      <c r="F7" s="302">
        <f t="shared" si="0"/>
        <v>9</v>
      </c>
      <c r="G7" s="303">
        <f t="shared" si="1"/>
        <v>511</v>
      </c>
      <c r="H7" s="24">
        <f t="shared" si="2"/>
        <v>4088</v>
      </c>
    </row>
    <row r="8" spans="2:8" x14ac:dyDescent="0.4">
      <c r="B8" s="434"/>
      <c r="C8" s="435"/>
      <c r="D8" s="301">
        <v>4</v>
      </c>
      <c r="E8" s="302">
        <v>16</v>
      </c>
      <c r="F8" s="302">
        <f t="shared" si="0"/>
        <v>8</v>
      </c>
      <c r="G8" s="303">
        <f t="shared" si="1"/>
        <v>255</v>
      </c>
      <c r="H8" s="24">
        <f t="shared" si="2"/>
        <v>4080</v>
      </c>
    </row>
    <row r="9" spans="2:8" x14ac:dyDescent="0.4">
      <c r="B9" s="474"/>
      <c r="C9" s="476"/>
      <c r="D9" s="82">
        <v>5</v>
      </c>
      <c r="E9" s="304">
        <v>32</v>
      </c>
      <c r="F9" s="304">
        <f t="shared" si="0"/>
        <v>7</v>
      </c>
      <c r="G9" s="305">
        <f t="shared" si="1"/>
        <v>127</v>
      </c>
      <c r="H9" s="24">
        <f t="shared" si="2"/>
        <v>4064</v>
      </c>
    </row>
    <row r="10" spans="2:8" x14ac:dyDescent="0.4">
      <c r="B10" s="473">
        <v>1</v>
      </c>
      <c r="C10" s="475">
        <v>14</v>
      </c>
      <c r="D10" s="92">
        <v>0</v>
      </c>
      <c r="E10" s="299">
        <v>1</v>
      </c>
      <c r="F10" s="299">
        <f>$C$10-D10</f>
        <v>14</v>
      </c>
      <c r="G10" s="300">
        <f t="shared" si="1"/>
        <v>16383</v>
      </c>
      <c r="H10" s="24">
        <f t="shared" si="2"/>
        <v>16383</v>
      </c>
    </row>
    <row r="11" spans="2:8" x14ac:dyDescent="0.4">
      <c r="B11" s="434"/>
      <c r="C11" s="435"/>
      <c r="D11" s="301">
        <v>1</v>
      </c>
      <c r="E11" s="302">
        <v>2</v>
      </c>
      <c r="F11" s="302">
        <f t="shared" ref="F11:F15" si="3">$C$10-D11</f>
        <v>13</v>
      </c>
      <c r="G11" s="303">
        <f t="shared" si="1"/>
        <v>8191</v>
      </c>
      <c r="H11" s="24">
        <f t="shared" si="2"/>
        <v>16382</v>
      </c>
    </row>
    <row r="12" spans="2:8" x14ac:dyDescent="0.4">
      <c r="B12" s="434"/>
      <c r="C12" s="435"/>
      <c r="D12" s="301">
        <v>2</v>
      </c>
      <c r="E12" s="302">
        <v>4</v>
      </c>
      <c r="F12" s="302">
        <f t="shared" si="3"/>
        <v>12</v>
      </c>
      <c r="G12" s="303">
        <f t="shared" si="1"/>
        <v>4095</v>
      </c>
      <c r="H12" s="24">
        <f t="shared" si="2"/>
        <v>16380</v>
      </c>
    </row>
    <row r="13" spans="2:8" x14ac:dyDescent="0.4">
      <c r="B13" s="434"/>
      <c r="C13" s="435"/>
      <c r="D13" s="301">
        <v>3</v>
      </c>
      <c r="E13" s="302">
        <v>8</v>
      </c>
      <c r="F13" s="302">
        <f t="shared" si="3"/>
        <v>11</v>
      </c>
      <c r="G13" s="303">
        <f t="shared" si="1"/>
        <v>2047</v>
      </c>
      <c r="H13" s="24">
        <f t="shared" si="2"/>
        <v>16376</v>
      </c>
    </row>
    <row r="14" spans="2:8" x14ac:dyDescent="0.4">
      <c r="B14" s="434"/>
      <c r="C14" s="435"/>
      <c r="D14" s="301">
        <v>4</v>
      </c>
      <c r="E14" s="302">
        <v>16</v>
      </c>
      <c r="F14" s="302">
        <f t="shared" si="3"/>
        <v>10</v>
      </c>
      <c r="G14" s="303">
        <f t="shared" si="1"/>
        <v>1023</v>
      </c>
      <c r="H14" s="24">
        <f t="shared" si="2"/>
        <v>16368</v>
      </c>
    </row>
    <row r="15" spans="2:8" x14ac:dyDescent="0.4">
      <c r="B15" s="474"/>
      <c r="C15" s="476"/>
      <c r="D15" s="82">
        <v>5</v>
      </c>
      <c r="E15" s="304">
        <v>32</v>
      </c>
      <c r="F15" s="304">
        <f t="shared" si="3"/>
        <v>9</v>
      </c>
      <c r="G15" s="305">
        <f t="shared" si="1"/>
        <v>511</v>
      </c>
      <c r="H15" s="24">
        <f t="shared" si="2"/>
        <v>16352</v>
      </c>
    </row>
  </sheetData>
  <mergeCells count="5">
    <mergeCell ref="B2:C2"/>
    <mergeCell ref="B4:B9"/>
    <mergeCell ref="C4:C9"/>
    <mergeCell ref="B10:B15"/>
    <mergeCell ref="C10:C1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D12:Y35"/>
  <sheetViews>
    <sheetView showGridLines="0" zoomScale="98" zoomScaleNormal="98" workbookViewId="0"/>
  </sheetViews>
  <sheetFormatPr defaultRowHeight="17.399999999999999" x14ac:dyDescent="0.4"/>
  <cols>
    <col min="25" max="25" width="9.296875" bestFit="1" customWidth="1"/>
  </cols>
  <sheetData>
    <row r="12" spans="23:25" x14ac:dyDescent="0.4">
      <c r="W12">
        <f>1/64.8*1000</f>
        <v>15.4320987654321</v>
      </c>
      <c r="Y12">
        <v>40</v>
      </c>
    </row>
    <row r="13" spans="23:25" x14ac:dyDescent="0.4">
      <c r="W13">
        <f>1/W12</f>
        <v>6.4799999999999996E-2</v>
      </c>
      <c r="Y13">
        <f>1/Y12</f>
        <v>2.5000000000000001E-2</v>
      </c>
    </row>
    <row r="15" spans="23:25" x14ac:dyDescent="0.4">
      <c r="W15">
        <f>104479/(64*3)</f>
        <v>544.16145833333337</v>
      </c>
      <c r="Y15">
        <f>64623/(64*3)</f>
        <v>336.578125</v>
      </c>
    </row>
    <row r="19" spans="4:25" x14ac:dyDescent="0.4">
      <c r="W19">
        <v>320</v>
      </c>
      <c r="Y19">
        <v>1023</v>
      </c>
    </row>
    <row r="20" spans="4:25" x14ac:dyDescent="0.4">
      <c r="W20">
        <f>W13*W19</f>
        <v>20.735999999999997</v>
      </c>
      <c r="Y20">
        <f>Y13*Y19</f>
        <v>25.575000000000003</v>
      </c>
    </row>
    <row r="24" spans="4:25" x14ac:dyDescent="0.4">
      <c r="D24" t="s">
        <v>327</v>
      </c>
    </row>
    <row r="25" spans="4:25" x14ac:dyDescent="0.4">
      <c r="D25">
        <v>1</v>
      </c>
      <c r="E25" s="131" t="s">
        <v>1129</v>
      </c>
    </row>
    <row r="26" spans="4:25" x14ac:dyDescent="0.4">
      <c r="D26">
        <v>2</v>
      </c>
      <c r="E26" t="s">
        <v>330</v>
      </c>
    </row>
    <row r="27" spans="4:25" x14ac:dyDescent="0.4">
      <c r="D27">
        <v>3</v>
      </c>
      <c r="E27" t="s">
        <v>331</v>
      </c>
    </row>
    <row r="28" spans="4:25" x14ac:dyDescent="0.4">
      <c r="E28" t="s">
        <v>332</v>
      </c>
    </row>
    <row r="30" spans="4:25" x14ac:dyDescent="0.4">
      <c r="D30" t="s">
        <v>323</v>
      </c>
    </row>
    <row r="31" spans="4:25" x14ac:dyDescent="0.4">
      <c r="D31">
        <v>1</v>
      </c>
      <c r="E31" t="s">
        <v>328</v>
      </c>
    </row>
    <row r="32" spans="4:25" x14ac:dyDescent="0.4">
      <c r="E32" s="204" t="s">
        <v>539</v>
      </c>
    </row>
    <row r="33" spans="4:14" x14ac:dyDescent="0.4">
      <c r="D33" s="1"/>
      <c r="E33" s="318" t="s">
        <v>1130</v>
      </c>
      <c r="F33" s="109"/>
      <c r="G33" s="109"/>
      <c r="H33" s="109"/>
      <c r="I33" s="109"/>
      <c r="J33" s="109"/>
      <c r="K33" s="109"/>
      <c r="L33" s="109"/>
      <c r="M33" s="109"/>
      <c r="N33" s="109"/>
    </row>
    <row r="34" spans="4:14" x14ac:dyDescent="0.4">
      <c r="D34">
        <v>2</v>
      </c>
      <c r="E34" t="s">
        <v>538</v>
      </c>
    </row>
    <row r="35" spans="4:14" x14ac:dyDescent="0.4">
      <c r="D35">
        <v>3</v>
      </c>
      <c r="E35" t="s">
        <v>329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theme="1"/>
  </sheetPr>
  <dimension ref="A4:AC88"/>
  <sheetViews>
    <sheetView showGridLines="0" zoomScale="108" zoomScaleNormal="108" workbookViewId="0"/>
  </sheetViews>
  <sheetFormatPr defaultRowHeight="16.05" customHeight="1" x14ac:dyDescent="0.4"/>
  <cols>
    <col min="1" max="1" width="8.69921875" style="24"/>
    <col min="2" max="16" width="4.3984375" style="24" customWidth="1"/>
    <col min="17" max="17" width="5.59765625" customWidth="1"/>
    <col min="25" max="27" width="8.69921875" style="1"/>
  </cols>
  <sheetData>
    <row r="4" spans="1:29" ht="16.05" customHeight="1" thickBot="1" x14ac:dyDescent="0.45"/>
    <row r="5" spans="1:29" ht="16.05" customHeight="1" thickTop="1" x14ac:dyDescent="0.4">
      <c r="B5" s="77"/>
      <c r="C5" s="78"/>
      <c r="D5" s="79" t="s">
        <v>72</v>
      </c>
      <c r="E5" s="78"/>
      <c r="F5" s="78"/>
      <c r="G5" s="79" t="s">
        <v>72</v>
      </c>
      <c r="H5" s="78"/>
      <c r="I5" s="78"/>
      <c r="J5" s="79" t="s">
        <v>72</v>
      </c>
      <c r="K5" s="78"/>
      <c r="L5" s="78"/>
      <c r="M5" s="79" t="s">
        <v>72</v>
      </c>
      <c r="N5" s="78"/>
      <c r="O5" s="80"/>
    </row>
    <row r="6" spans="1:29" ht="16.05" customHeight="1" x14ac:dyDescent="0.4">
      <c r="B6" s="81"/>
      <c r="D6" s="82">
        <v>1</v>
      </c>
      <c r="G6" s="82">
        <v>3</v>
      </c>
      <c r="J6" s="82">
        <v>5</v>
      </c>
      <c r="M6" s="82">
        <v>7</v>
      </c>
      <c r="O6" s="83"/>
    </row>
    <row r="7" spans="1:29" ht="16.05" customHeight="1" x14ac:dyDescent="0.4">
      <c r="B7" s="81"/>
      <c r="D7" s="24">
        <v>16</v>
      </c>
      <c r="G7" s="24">
        <v>15</v>
      </c>
      <c r="J7" s="24">
        <v>14</v>
      </c>
      <c r="M7" s="24">
        <v>13</v>
      </c>
      <c r="O7" s="83"/>
      <c r="S7" s="84"/>
      <c r="T7" s="84"/>
      <c r="U7" s="84"/>
      <c r="V7" s="84"/>
      <c r="W7" s="84"/>
    </row>
    <row r="8" spans="1:29" ht="16.05" customHeight="1" x14ac:dyDescent="0.4">
      <c r="B8" s="85" t="s">
        <v>73</v>
      </c>
      <c r="C8" s="24">
        <v>1</v>
      </c>
      <c r="N8" s="24">
        <v>12</v>
      </c>
      <c r="O8" s="86" t="s">
        <v>73</v>
      </c>
      <c r="S8" s="84"/>
      <c r="T8" s="84"/>
      <c r="U8" s="84"/>
      <c r="V8" s="84"/>
      <c r="W8" s="84"/>
    </row>
    <row r="9" spans="1:29" s="1" customFormat="1" ht="16.05" customHeight="1" x14ac:dyDescent="0.4">
      <c r="A9" s="24"/>
      <c r="B9" s="87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88"/>
      <c r="Q9"/>
      <c r="R9"/>
      <c r="S9" s="84"/>
      <c r="T9" s="84"/>
      <c r="U9" s="84"/>
      <c r="V9" s="84"/>
      <c r="W9" s="84"/>
      <c r="X9"/>
      <c r="Y9"/>
      <c r="AB9"/>
      <c r="AC9"/>
    </row>
    <row r="10" spans="1:29" s="1" customFormat="1" ht="16.05" customHeight="1" x14ac:dyDescent="0.4">
      <c r="A10" s="24"/>
      <c r="B10" s="8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83"/>
      <c r="Q10"/>
      <c r="R10"/>
      <c r="S10" s="84"/>
      <c r="T10" s="84"/>
      <c r="U10" s="84"/>
      <c r="V10" s="84"/>
      <c r="W10" s="84"/>
      <c r="X10"/>
      <c r="AB10"/>
      <c r="AC10"/>
    </row>
    <row r="11" spans="1:29" s="1" customFormat="1" ht="16.05" customHeight="1" x14ac:dyDescent="0.4">
      <c r="A11" s="24"/>
      <c r="B11" s="81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83"/>
      <c r="Q11"/>
      <c r="R11"/>
      <c r="S11" s="84"/>
      <c r="T11" s="84"/>
      <c r="U11" s="84"/>
      <c r="V11" s="84"/>
      <c r="W11" s="84"/>
      <c r="X11"/>
      <c r="AB11"/>
      <c r="AC11"/>
    </row>
    <row r="12" spans="1:29" s="1" customFormat="1" ht="16.05" customHeight="1" x14ac:dyDescent="0.4">
      <c r="A12" s="24"/>
      <c r="B12" s="89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90"/>
      <c r="Q12"/>
      <c r="R12"/>
      <c r="S12" s="84"/>
      <c r="T12" s="84"/>
      <c r="U12" s="84"/>
      <c r="V12" s="84"/>
      <c r="W12" s="84"/>
      <c r="X12"/>
      <c r="AB12"/>
      <c r="AC12"/>
    </row>
    <row r="13" spans="1:29" s="1" customFormat="1" ht="16.05" customHeight="1" x14ac:dyDescent="0.4">
      <c r="A13" s="24"/>
      <c r="B13" s="85" t="s">
        <v>74</v>
      </c>
      <c r="C13" s="24"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>
        <v>11</v>
      </c>
      <c r="O13" s="86" t="s">
        <v>75</v>
      </c>
      <c r="Q13"/>
      <c r="R13"/>
      <c r="S13" s="84"/>
      <c r="T13" s="84"/>
      <c r="U13" s="84"/>
      <c r="V13" s="84"/>
      <c r="W13" s="84"/>
      <c r="X13"/>
      <c r="AB13"/>
      <c r="AC13"/>
    </row>
    <row r="14" spans="1:29" s="1" customFormat="1" ht="16.05" customHeight="1" x14ac:dyDescent="0.4">
      <c r="A14" s="24"/>
      <c r="B14" s="87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88"/>
      <c r="Q14"/>
      <c r="R14"/>
      <c r="S14" s="84"/>
      <c r="T14" s="84"/>
      <c r="U14" s="84"/>
      <c r="V14" s="84"/>
      <c r="W14" s="84"/>
      <c r="X14"/>
      <c r="AB14"/>
      <c r="AC14"/>
    </row>
    <row r="15" spans="1:29" s="1" customFormat="1" ht="16.05" customHeight="1" x14ac:dyDescent="0.4">
      <c r="A15" s="24"/>
      <c r="B15" s="81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83"/>
      <c r="Q15"/>
      <c r="R15"/>
      <c r="S15" s="84"/>
      <c r="T15" s="84"/>
      <c r="U15" s="84"/>
      <c r="V15" s="84"/>
      <c r="W15" s="84"/>
      <c r="X15"/>
      <c r="AB15"/>
      <c r="AC15"/>
    </row>
    <row r="16" spans="1:29" s="1" customFormat="1" ht="16.05" customHeight="1" x14ac:dyDescent="0.4">
      <c r="A16" s="24"/>
      <c r="B16" s="89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83"/>
      <c r="Q16"/>
      <c r="R16"/>
      <c r="S16" s="84"/>
      <c r="T16" s="84"/>
      <c r="U16" s="84"/>
      <c r="V16" s="84"/>
      <c r="W16" s="84"/>
      <c r="X16"/>
      <c r="AB16"/>
      <c r="AC16"/>
    </row>
    <row r="17" spans="1:29" s="1" customFormat="1" ht="16.05" customHeight="1" x14ac:dyDescent="0.4">
      <c r="A17" s="24"/>
      <c r="B17" s="89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90"/>
      <c r="Q17"/>
      <c r="R17"/>
      <c r="S17" s="84"/>
      <c r="T17" s="84"/>
      <c r="U17" s="84"/>
      <c r="V17" s="84"/>
      <c r="W17" s="84"/>
      <c r="X17"/>
      <c r="AB17"/>
      <c r="AC17"/>
    </row>
    <row r="18" spans="1:29" s="1" customFormat="1" ht="16.05" customHeight="1" x14ac:dyDescent="0.4">
      <c r="A18" s="24"/>
      <c r="B18" s="85" t="s">
        <v>76</v>
      </c>
      <c r="C18" s="24">
        <v>3</v>
      </c>
      <c r="D18" s="24"/>
      <c r="E18" s="24"/>
      <c r="F18" s="24"/>
      <c r="G18" s="24"/>
      <c r="H18" s="24"/>
      <c r="I18" s="24"/>
      <c r="J18" s="24"/>
      <c r="K18" s="24"/>
      <c r="M18" s="24"/>
      <c r="N18" s="24">
        <v>10</v>
      </c>
      <c r="O18" s="86" t="s">
        <v>76</v>
      </c>
      <c r="Q18"/>
      <c r="R18"/>
      <c r="S18" s="84"/>
      <c r="T18" s="84"/>
      <c r="U18" s="84"/>
      <c r="V18" s="84"/>
      <c r="W18" s="84"/>
      <c r="X18"/>
      <c r="AB18"/>
      <c r="AC18"/>
    </row>
    <row r="19" spans="1:29" s="1" customFormat="1" ht="16.05" customHeight="1" x14ac:dyDescent="0.4">
      <c r="A19" s="24"/>
      <c r="B19" s="87"/>
      <c r="C19" s="24"/>
      <c r="D19" s="24"/>
      <c r="E19" s="24"/>
      <c r="F19" s="24"/>
      <c r="G19" s="24"/>
      <c r="H19" s="24"/>
      <c r="I19" s="24"/>
      <c r="J19" s="24"/>
      <c r="K19" s="24"/>
      <c r="M19" s="24"/>
      <c r="N19" s="24"/>
      <c r="O19" s="88"/>
      <c r="Q19"/>
      <c r="R19"/>
      <c r="S19" s="84"/>
      <c r="T19" s="84"/>
      <c r="U19" s="84"/>
      <c r="V19" s="84"/>
      <c r="W19" s="84"/>
      <c r="X19"/>
      <c r="AB19"/>
      <c r="AC19"/>
    </row>
    <row r="20" spans="1:29" s="1" customFormat="1" ht="16.05" customHeight="1" x14ac:dyDescent="0.4">
      <c r="A20" s="24"/>
      <c r="B20" s="89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83"/>
      <c r="Q20"/>
      <c r="R20"/>
      <c r="S20"/>
      <c r="T20"/>
      <c r="U20"/>
      <c r="V20"/>
      <c r="W20"/>
      <c r="X20"/>
      <c r="AB20"/>
      <c r="AC20"/>
    </row>
    <row r="21" spans="1:29" s="1" customFormat="1" ht="16.05" customHeight="1" x14ac:dyDescent="0.4">
      <c r="A21" s="24"/>
      <c r="B21" s="89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90"/>
      <c r="Q21"/>
      <c r="R21"/>
      <c r="S21"/>
      <c r="T21"/>
      <c r="U21"/>
      <c r="V21"/>
      <c r="W21"/>
      <c r="X21"/>
      <c r="AB21"/>
      <c r="AC21"/>
    </row>
    <row r="22" spans="1:29" s="1" customFormat="1" ht="16.05" customHeight="1" x14ac:dyDescent="0.4">
      <c r="A22" s="24"/>
      <c r="B22" s="81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90"/>
      <c r="Q22"/>
      <c r="R22"/>
      <c r="S22"/>
      <c r="T22"/>
      <c r="U22"/>
      <c r="V22"/>
      <c r="W22"/>
      <c r="X22"/>
      <c r="AB22"/>
      <c r="AC22"/>
    </row>
    <row r="23" spans="1:29" s="1" customFormat="1" ht="16.05" customHeight="1" x14ac:dyDescent="0.4">
      <c r="A23" s="24"/>
      <c r="B23" s="85" t="s">
        <v>76</v>
      </c>
      <c r="C23" s="24">
        <v>4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>
        <v>9</v>
      </c>
      <c r="O23" s="86" t="s">
        <v>76</v>
      </c>
      <c r="Q23"/>
      <c r="R23"/>
      <c r="S23"/>
      <c r="T23"/>
      <c r="U23"/>
      <c r="V23"/>
      <c r="W23"/>
      <c r="X23"/>
      <c r="AB23"/>
      <c r="AC23"/>
    </row>
    <row r="24" spans="1:29" s="1" customFormat="1" ht="16.05" customHeight="1" x14ac:dyDescent="0.4">
      <c r="A24" s="24"/>
      <c r="B24" s="87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88"/>
      <c r="Q24"/>
      <c r="R24"/>
      <c r="S24"/>
      <c r="T24"/>
      <c r="U24"/>
      <c r="V24"/>
      <c r="W24"/>
      <c r="X24"/>
      <c r="AB24"/>
      <c r="AC24"/>
    </row>
    <row r="25" spans="1:29" ht="16.05" customHeight="1" x14ac:dyDescent="0.4">
      <c r="B25" s="81"/>
      <c r="D25" s="24">
        <v>5</v>
      </c>
      <c r="G25" s="24">
        <v>6</v>
      </c>
      <c r="J25" s="24">
        <v>7</v>
      </c>
      <c r="M25" s="24">
        <v>8</v>
      </c>
      <c r="O25" s="91"/>
    </row>
    <row r="26" spans="1:29" ht="16.05" customHeight="1" x14ac:dyDescent="0.4">
      <c r="B26" s="81"/>
      <c r="D26" s="92" t="s">
        <v>72</v>
      </c>
      <c r="G26" s="92" t="s">
        <v>72</v>
      </c>
      <c r="J26" s="92" t="s">
        <v>72</v>
      </c>
      <c r="M26" s="92" t="s">
        <v>72</v>
      </c>
      <c r="O26" s="83"/>
    </row>
    <row r="27" spans="1:29" ht="16.05" customHeight="1" thickBot="1" x14ac:dyDescent="0.45">
      <c r="B27" s="93"/>
      <c r="C27" s="94"/>
      <c r="D27" s="95">
        <v>2</v>
      </c>
      <c r="E27" s="94"/>
      <c r="F27" s="94"/>
      <c r="G27" s="95">
        <v>4</v>
      </c>
      <c r="H27" s="94"/>
      <c r="I27" s="94"/>
      <c r="J27" s="95">
        <v>6</v>
      </c>
      <c r="K27" s="94"/>
      <c r="L27" s="94"/>
      <c r="M27" s="95">
        <v>8</v>
      </c>
      <c r="N27" s="94"/>
      <c r="O27" s="96"/>
    </row>
    <row r="28" spans="1:29" ht="16.05" customHeight="1" thickTop="1" x14ac:dyDescent="0.4"/>
    <row r="29" spans="1:29" ht="17.399999999999999" x14ac:dyDescent="0.4"/>
    <row r="30" spans="1:29" ht="14.55" customHeight="1" x14ac:dyDescent="0.4"/>
    <row r="31" spans="1:29" ht="14.55" customHeight="1" thickBot="1" x14ac:dyDescent="0.45"/>
    <row r="32" spans="1:29" ht="14.55" customHeight="1" x14ac:dyDescent="0.4">
      <c r="B32" s="97"/>
      <c r="C32" s="98"/>
      <c r="D32" s="99">
        <v>1</v>
      </c>
      <c r="E32" s="98"/>
      <c r="F32" s="99">
        <v>3</v>
      </c>
      <c r="G32" s="98"/>
      <c r="H32" s="99">
        <v>5</v>
      </c>
      <c r="I32" s="98"/>
      <c r="J32" s="99">
        <v>7</v>
      </c>
      <c r="K32" s="98"/>
      <c r="L32" s="99">
        <v>9</v>
      </c>
      <c r="M32" s="98"/>
      <c r="N32" s="99">
        <v>11</v>
      </c>
      <c r="O32" s="98"/>
      <c r="P32" s="100"/>
    </row>
    <row r="33" spans="1:29" ht="14.55" customHeight="1" thickBot="1" x14ac:dyDescent="0.45">
      <c r="B33" s="101"/>
      <c r="D33" s="102" t="s">
        <v>72</v>
      </c>
      <c r="F33" s="102" t="s">
        <v>72</v>
      </c>
      <c r="H33" s="102" t="s">
        <v>72</v>
      </c>
      <c r="J33" s="102" t="s">
        <v>72</v>
      </c>
      <c r="L33" s="102" t="s">
        <v>72</v>
      </c>
      <c r="N33" s="102" t="s">
        <v>72</v>
      </c>
      <c r="P33" s="103"/>
    </row>
    <row r="34" spans="1:29" ht="14.55" customHeight="1" x14ac:dyDescent="0.4">
      <c r="B34" s="101"/>
      <c r="D34" s="24">
        <v>24</v>
      </c>
      <c r="F34" s="24">
        <v>23</v>
      </c>
      <c r="H34" s="24">
        <v>22</v>
      </c>
      <c r="J34" s="24">
        <v>21</v>
      </c>
      <c r="L34" s="24">
        <v>20</v>
      </c>
      <c r="N34" s="24">
        <v>19</v>
      </c>
      <c r="P34" s="103"/>
      <c r="S34" s="84"/>
      <c r="T34" s="84"/>
      <c r="U34" s="84"/>
      <c r="V34" s="84"/>
      <c r="W34" s="84"/>
    </row>
    <row r="35" spans="1:29" ht="14.55" customHeight="1" thickBot="1" x14ac:dyDescent="0.45">
      <c r="B35" s="101"/>
      <c r="P35" s="103"/>
      <c r="S35" s="84"/>
      <c r="T35" s="84"/>
      <c r="U35" s="84"/>
      <c r="V35" s="84"/>
      <c r="W35" s="84"/>
    </row>
    <row r="36" spans="1:29" s="1" customFormat="1" ht="14.55" customHeight="1" x14ac:dyDescent="0.4">
      <c r="A36" s="24"/>
      <c r="B36" s="104" t="s">
        <v>73</v>
      </c>
      <c r="C36" s="24">
        <v>1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>
        <v>18</v>
      </c>
      <c r="P36" s="104" t="s">
        <v>73</v>
      </c>
      <c r="Q36"/>
      <c r="R36"/>
      <c r="S36" s="84"/>
      <c r="T36" s="84"/>
      <c r="U36" s="84"/>
      <c r="V36" s="84"/>
      <c r="W36" s="84"/>
      <c r="X36"/>
      <c r="Y36"/>
      <c r="AB36"/>
      <c r="AC36"/>
    </row>
    <row r="37" spans="1:29" s="1" customFormat="1" ht="14.55" customHeight="1" thickBot="1" x14ac:dyDescent="0.45">
      <c r="A37" s="24"/>
      <c r="B37" s="10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102"/>
      <c r="Q37"/>
      <c r="R37"/>
      <c r="S37" s="84"/>
      <c r="T37" s="84"/>
      <c r="U37" s="84"/>
      <c r="V37" s="84"/>
      <c r="W37" s="84"/>
      <c r="X37"/>
      <c r="AB37"/>
      <c r="AC37"/>
    </row>
    <row r="38" spans="1:29" s="1" customFormat="1" ht="14.55" customHeight="1" x14ac:dyDescent="0.4">
      <c r="A38" s="24"/>
      <c r="B38" s="101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103"/>
      <c r="Q38"/>
      <c r="R38"/>
      <c r="S38" s="84"/>
      <c r="T38" s="84"/>
      <c r="U38" s="84"/>
      <c r="V38" s="84"/>
      <c r="W38" s="84"/>
      <c r="X38"/>
      <c r="AB38"/>
      <c r="AC38"/>
    </row>
    <row r="39" spans="1:29" s="1" customFormat="1" ht="14.55" customHeight="1" thickBot="1" x14ac:dyDescent="0.45">
      <c r="A39" s="24"/>
      <c r="B39" s="101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103"/>
      <c r="Q39"/>
      <c r="R39"/>
      <c r="S39" s="84"/>
      <c r="T39" s="84"/>
      <c r="U39" s="84"/>
      <c r="V39" s="84"/>
      <c r="W39" s="84"/>
      <c r="X39"/>
      <c r="AB39"/>
      <c r="AC39"/>
    </row>
    <row r="40" spans="1:29" s="1" customFormat="1" ht="14.55" customHeight="1" x14ac:dyDescent="0.4">
      <c r="A40" s="24"/>
      <c r="B40" s="104" t="s">
        <v>76</v>
      </c>
      <c r="C40" s="24">
        <v>2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>
        <v>17</v>
      </c>
      <c r="P40" s="104" t="s">
        <v>76</v>
      </c>
      <c r="Q40"/>
      <c r="R40"/>
      <c r="S40" s="84"/>
      <c r="T40" s="84"/>
      <c r="U40" s="84"/>
      <c r="V40" s="84"/>
      <c r="W40" s="84"/>
      <c r="X40"/>
      <c r="AB40"/>
      <c r="AC40"/>
    </row>
    <row r="41" spans="1:29" s="1" customFormat="1" ht="14.55" customHeight="1" thickBot="1" x14ac:dyDescent="0.45">
      <c r="A41" s="24"/>
      <c r="B41" s="10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102"/>
      <c r="Q41"/>
      <c r="R41"/>
      <c r="S41" s="84"/>
      <c r="T41" s="84"/>
      <c r="U41" s="84"/>
      <c r="V41" s="84"/>
      <c r="W41" s="84"/>
      <c r="X41"/>
      <c r="AB41"/>
      <c r="AC41"/>
    </row>
    <row r="42" spans="1:29" s="1" customFormat="1" ht="14.55" customHeight="1" x14ac:dyDescent="0.4">
      <c r="A42" s="24"/>
      <c r="B42" s="101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03"/>
      <c r="Q42"/>
      <c r="R42"/>
      <c r="S42" s="84"/>
      <c r="T42" s="84"/>
      <c r="U42" s="84"/>
      <c r="V42" s="84"/>
      <c r="W42" s="84"/>
      <c r="X42"/>
      <c r="AB42"/>
      <c r="AC42"/>
    </row>
    <row r="43" spans="1:29" s="1" customFormat="1" ht="14.55" customHeight="1" thickBot="1" x14ac:dyDescent="0.45">
      <c r="A43" s="24"/>
      <c r="B43" s="101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103"/>
      <c r="Q43"/>
      <c r="R43"/>
      <c r="S43" s="84"/>
      <c r="T43" s="84"/>
      <c r="U43" s="84"/>
      <c r="V43" s="84"/>
      <c r="W43" s="84"/>
      <c r="X43"/>
      <c r="AB43"/>
      <c r="AC43"/>
    </row>
    <row r="44" spans="1:29" s="1" customFormat="1" ht="14.55" customHeight="1" x14ac:dyDescent="0.4">
      <c r="A44" s="24"/>
      <c r="B44" s="104" t="s">
        <v>76</v>
      </c>
      <c r="C44" s="24">
        <v>3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>
        <v>16</v>
      </c>
      <c r="P44" s="104" t="s">
        <v>76</v>
      </c>
      <c r="Q44"/>
      <c r="R44"/>
      <c r="S44" s="84"/>
      <c r="T44" s="84"/>
      <c r="U44" s="84"/>
      <c r="V44" s="84"/>
      <c r="W44" s="84"/>
      <c r="X44"/>
      <c r="AB44"/>
      <c r="AC44"/>
    </row>
    <row r="45" spans="1:29" s="1" customFormat="1" ht="14.55" customHeight="1" thickBot="1" x14ac:dyDescent="0.45">
      <c r="A45" s="24"/>
      <c r="B45" s="10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102"/>
      <c r="Q45"/>
      <c r="R45"/>
      <c r="S45" s="84"/>
      <c r="T45" s="84"/>
      <c r="U45" s="84"/>
      <c r="V45" s="84"/>
      <c r="W45" s="84"/>
      <c r="X45"/>
      <c r="AB45"/>
      <c r="AC45"/>
    </row>
    <row r="46" spans="1:29" s="1" customFormat="1" ht="14.55" customHeight="1" x14ac:dyDescent="0.4">
      <c r="A46" s="24"/>
      <c r="B46" s="101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103"/>
      <c r="Q46"/>
      <c r="R46"/>
      <c r="S46" s="84"/>
      <c r="T46" s="84"/>
      <c r="U46" s="84"/>
      <c r="V46" s="84"/>
      <c r="W46" s="84"/>
      <c r="X46"/>
      <c r="AB46"/>
      <c r="AC46"/>
    </row>
    <row r="47" spans="1:29" s="1" customFormat="1" ht="14.55" customHeight="1" thickBot="1" x14ac:dyDescent="0.45">
      <c r="A47" s="24"/>
      <c r="B47" s="101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103"/>
      <c r="Q47"/>
      <c r="R47"/>
      <c r="S47"/>
      <c r="T47"/>
      <c r="U47"/>
      <c r="V47"/>
      <c r="W47"/>
      <c r="X47"/>
      <c r="AB47"/>
      <c r="AC47"/>
    </row>
    <row r="48" spans="1:29" s="1" customFormat="1" ht="14.55" customHeight="1" x14ac:dyDescent="0.4">
      <c r="A48" s="24"/>
      <c r="B48" s="104" t="s">
        <v>74</v>
      </c>
      <c r="C48" s="24">
        <v>4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>
        <v>15</v>
      </c>
      <c r="P48" s="104" t="s">
        <v>75</v>
      </c>
      <c r="Q48"/>
      <c r="R48"/>
      <c r="S48"/>
      <c r="T48"/>
      <c r="U48"/>
      <c r="V48"/>
      <c r="W48"/>
      <c r="X48"/>
      <c r="AB48"/>
      <c r="AC48"/>
    </row>
    <row r="49" spans="1:29" s="1" customFormat="1" ht="14.55" customHeight="1" thickBot="1" x14ac:dyDescent="0.45">
      <c r="A49" s="24"/>
      <c r="B49" s="10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102"/>
      <c r="Q49"/>
      <c r="R49"/>
      <c r="S49"/>
      <c r="T49"/>
      <c r="U49"/>
      <c r="V49"/>
      <c r="W49"/>
      <c r="X49"/>
      <c r="AB49"/>
      <c r="AC49"/>
    </row>
    <row r="50" spans="1:29" s="1" customFormat="1" ht="14.55" customHeight="1" x14ac:dyDescent="0.4">
      <c r="A50" s="24"/>
      <c r="B50" s="10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103"/>
      <c r="Q50"/>
      <c r="R50"/>
      <c r="S50"/>
      <c r="T50"/>
      <c r="U50"/>
      <c r="V50"/>
      <c r="W50"/>
      <c r="X50"/>
      <c r="AB50"/>
      <c r="AC50"/>
    </row>
    <row r="51" spans="1:29" s="1" customFormat="1" ht="14.55" customHeight="1" thickBot="1" x14ac:dyDescent="0.45">
      <c r="A51" s="24"/>
      <c r="B51" s="10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103"/>
      <c r="Q51"/>
      <c r="R51"/>
      <c r="S51"/>
      <c r="T51"/>
      <c r="U51"/>
      <c r="V51"/>
      <c r="W51"/>
      <c r="X51"/>
      <c r="AB51"/>
      <c r="AC51"/>
    </row>
    <row r="52" spans="1:29" ht="14.55" customHeight="1" x14ac:dyDescent="0.4">
      <c r="B52" s="198" t="s">
        <v>306</v>
      </c>
      <c r="C52" s="24">
        <v>5</v>
      </c>
      <c r="O52" s="24">
        <v>14</v>
      </c>
      <c r="P52" s="198" t="s">
        <v>307</v>
      </c>
    </row>
    <row r="53" spans="1:29" ht="14.55" customHeight="1" thickBot="1" x14ac:dyDescent="0.45">
      <c r="B53" s="108" t="s">
        <v>76</v>
      </c>
      <c r="P53" s="108" t="s">
        <v>76</v>
      </c>
    </row>
    <row r="54" spans="1:29" ht="14.55" customHeight="1" x14ac:dyDescent="0.4">
      <c r="B54" s="101"/>
      <c r="P54" s="103"/>
    </row>
    <row r="55" spans="1:29" ht="14.55" customHeight="1" thickBot="1" x14ac:dyDescent="0.45">
      <c r="B55" s="101"/>
      <c r="P55" s="103"/>
    </row>
    <row r="56" spans="1:29" ht="14.55" customHeight="1" x14ac:dyDescent="0.4">
      <c r="B56" s="104" t="s">
        <v>324</v>
      </c>
      <c r="C56" s="24">
        <v>6</v>
      </c>
      <c r="O56" s="24">
        <v>13</v>
      </c>
      <c r="P56" s="104" t="s">
        <v>325</v>
      </c>
    </row>
    <row r="57" spans="1:29" ht="14.55" customHeight="1" thickBot="1" x14ac:dyDescent="0.45">
      <c r="B57" s="108" t="s">
        <v>76</v>
      </c>
      <c r="P57" s="108" t="s">
        <v>76</v>
      </c>
    </row>
    <row r="58" spans="1:29" ht="14.55" customHeight="1" x14ac:dyDescent="0.4">
      <c r="B58" s="101"/>
      <c r="P58" s="103"/>
    </row>
    <row r="59" spans="1:29" ht="14.55" customHeight="1" thickBot="1" x14ac:dyDescent="0.45">
      <c r="B59" s="101"/>
      <c r="D59" s="24">
        <v>7</v>
      </c>
      <c r="F59" s="24">
        <v>8</v>
      </c>
      <c r="H59" s="24">
        <v>9</v>
      </c>
      <c r="J59" s="24">
        <v>10</v>
      </c>
      <c r="L59" s="24">
        <v>11</v>
      </c>
      <c r="N59" s="24">
        <v>12</v>
      </c>
      <c r="P59" s="103"/>
    </row>
    <row r="60" spans="1:29" ht="14.55" customHeight="1" x14ac:dyDescent="0.4">
      <c r="B60" s="101"/>
      <c r="D60" s="104">
        <v>2</v>
      </c>
      <c r="F60" s="104">
        <v>4</v>
      </c>
      <c r="H60" s="104">
        <v>6</v>
      </c>
      <c r="J60" s="104">
        <v>8</v>
      </c>
      <c r="L60" s="104">
        <v>10</v>
      </c>
      <c r="N60" s="104">
        <v>12</v>
      </c>
      <c r="P60" s="103"/>
    </row>
    <row r="61" spans="1:29" ht="14.55" customHeight="1" thickBot="1" x14ac:dyDescent="0.45">
      <c r="B61" s="105"/>
      <c r="C61" s="106"/>
      <c r="D61" s="102" t="s">
        <v>72</v>
      </c>
      <c r="E61" s="106"/>
      <c r="F61" s="102" t="s">
        <v>72</v>
      </c>
      <c r="G61" s="106"/>
      <c r="H61" s="102" t="s">
        <v>72</v>
      </c>
      <c r="I61" s="106"/>
      <c r="J61" s="102" t="s">
        <v>72</v>
      </c>
      <c r="K61" s="106"/>
      <c r="L61" s="102" t="s">
        <v>72</v>
      </c>
      <c r="M61" s="106"/>
      <c r="N61" s="102" t="s">
        <v>72</v>
      </c>
      <c r="O61" s="106"/>
      <c r="P61" s="107"/>
    </row>
    <row r="62" spans="1:29" ht="14.55" customHeight="1" x14ac:dyDescent="0.4"/>
    <row r="63" spans="1:29" ht="17.399999999999999" x14ac:dyDescent="0.4"/>
    <row r="64" spans="1:29" ht="18" thickBot="1" x14ac:dyDescent="0.45"/>
    <row r="65" spans="2:16" ht="18" thickTop="1" x14ac:dyDescent="0.4">
      <c r="B65" s="77"/>
      <c r="C65" s="78"/>
      <c r="D65" s="79" t="s">
        <v>72</v>
      </c>
      <c r="E65" s="78"/>
      <c r="F65" s="78"/>
      <c r="G65" s="79" t="s">
        <v>72</v>
      </c>
      <c r="H65" s="78"/>
      <c r="I65" s="78"/>
      <c r="J65" s="79" t="s">
        <v>72</v>
      </c>
      <c r="K65" s="78"/>
      <c r="L65" s="78"/>
      <c r="M65" s="79" t="s">
        <v>72</v>
      </c>
      <c r="N65" s="78"/>
      <c r="O65" s="80"/>
    </row>
    <row r="66" spans="2:16" ht="17.399999999999999" x14ac:dyDescent="0.4">
      <c r="B66" s="81"/>
      <c r="D66" s="82">
        <v>1</v>
      </c>
      <c r="G66" s="82">
        <v>3</v>
      </c>
      <c r="J66" s="82">
        <v>5</v>
      </c>
      <c r="M66" s="82">
        <v>7</v>
      </c>
      <c r="O66" s="83"/>
    </row>
    <row r="67" spans="2:16" ht="16.05" customHeight="1" x14ac:dyDescent="0.4">
      <c r="B67" s="81"/>
      <c r="D67" s="24">
        <v>16</v>
      </c>
      <c r="G67" s="24">
        <v>15</v>
      </c>
      <c r="J67" s="24">
        <v>14</v>
      </c>
      <c r="M67" s="24">
        <v>13</v>
      </c>
      <c r="O67" s="83"/>
    </row>
    <row r="68" spans="2:16" ht="16.05" customHeight="1" x14ac:dyDescent="0.4">
      <c r="B68" s="85" t="s">
        <v>73</v>
      </c>
      <c r="C68" s="24">
        <v>1</v>
      </c>
      <c r="N68" s="24">
        <v>12</v>
      </c>
      <c r="O68" s="86" t="s">
        <v>73</v>
      </c>
    </row>
    <row r="69" spans="2:16" ht="16.05" customHeight="1" x14ac:dyDescent="0.4">
      <c r="B69" s="87"/>
      <c r="O69" s="88"/>
      <c r="P69" s="1"/>
    </row>
    <row r="70" spans="2:16" ht="16.05" customHeight="1" x14ac:dyDescent="0.4">
      <c r="B70" s="81"/>
      <c r="O70" s="83"/>
      <c r="P70" s="1"/>
    </row>
    <row r="71" spans="2:16" ht="16.05" customHeight="1" x14ac:dyDescent="0.4">
      <c r="B71" s="81"/>
      <c r="O71" s="83"/>
      <c r="P71" s="1"/>
    </row>
    <row r="72" spans="2:16" ht="16.05" customHeight="1" x14ac:dyDescent="0.4">
      <c r="B72" s="89"/>
      <c r="O72" s="90"/>
      <c r="P72" s="1"/>
    </row>
    <row r="73" spans="2:16" ht="16.05" customHeight="1" x14ac:dyDescent="0.4">
      <c r="B73" s="85" t="s">
        <v>74</v>
      </c>
      <c r="C73" s="24">
        <v>2</v>
      </c>
      <c r="N73" s="24">
        <v>11</v>
      </c>
      <c r="O73" s="86" t="s">
        <v>75</v>
      </c>
      <c r="P73" s="1"/>
    </row>
    <row r="74" spans="2:16" ht="16.05" customHeight="1" x14ac:dyDescent="0.4">
      <c r="B74" s="87"/>
      <c r="O74" s="88"/>
      <c r="P74" s="1"/>
    </row>
    <row r="75" spans="2:16" ht="16.05" customHeight="1" x14ac:dyDescent="0.4">
      <c r="B75" s="81"/>
      <c r="O75" s="83"/>
      <c r="P75" s="1"/>
    </row>
    <row r="76" spans="2:16" ht="16.05" customHeight="1" x14ac:dyDescent="0.4">
      <c r="B76" s="89"/>
      <c r="O76" s="83"/>
      <c r="P76" s="1"/>
    </row>
    <row r="77" spans="2:16" ht="16.05" customHeight="1" x14ac:dyDescent="0.4">
      <c r="B77" s="89"/>
      <c r="O77" s="90"/>
      <c r="P77" s="1"/>
    </row>
    <row r="78" spans="2:16" ht="16.05" customHeight="1" x14ac:dyDescent="0.4">
      <c r="B78" s="85" t="s">
        <v>76</v>
      </c>
      <c r="C78" s="24">
        <v>3</v>
      </c>
      <c r="L78" s="1"/>
      <c r="N78" s="24">
        <v>10</v>
      </c>
      <c r="O78" s="86" t="s">
        <v>76</v>
      </c>
      <c r="P78" s="1"/>
    </row>
    <row r="79" spans="2:16" ht="16.05" customHeight="1" x14ac:dyDescent="0.4">
      <c r="B79" s="87"/>
      <c r="L79" s="1"/>
      <c r="O79" s="88"/>
      <c r="P79" s="1"/>
    </row>
    <row r="80" spans="2:16" ht="16.05" customHeight="1" x14ac:dyDescent="0.4">
      <c r="B80" s="89"/>
      <c r="O80" s="83"/>
      <c r="P80" s="1"/>
    </row>
    <row r="81" spans="2:16" ht="16.05" customHeight="1" x14ac:dyDescent="0.4">
      <c r="B81" s="89"/>
      <c r="O81" s="90"/>
      <c r="P81" s="1"/>
    </row>
    <row r="82" spans="2:16" ht="16.05" customHeight="1" x14ac:dyDescent="0.4">
      <c r="B82" s="81"/>
      <c r="O82" s="90"/>
      <c r="P82" s="1"/>
    </row>
    <row r="83" spans="2:16" ht="16.05" customHeight="1" x14ac:dyDescent="0.4">
      <c r="B83" s="85" t="s">
        <v>76</v>
      </c>
      <c r="C83" s="24">
        <v>4</v>
      </c>
      <c r="N83" s="24">
        <v>9</v>
      </c>
      <c r="O83" s="86" t="s">
        <v>76</v>
      </c>
      <c r="P83" s="1"/>
    </row>
    <row r="84" spans="2:16" ht="16.05" customHeight="1" x14ac:dyDescent="0.4">
      <c r="B84" s="87"/>
      <c r="O84" s="88"/>
      <c r="P84" s="1"/>
    </row>
    <row r="85" spans="2:16" ht="16.05" customHeight="1" x14ac:dyDescent="0.4">
      <c r="B85" s="81"/>
      <c r="D85" s="24">
        <v>5</v>
      </c>
      <c r="G85" s="24">
        <v>6</v>
      </c>
      <c r="J85" s="24">
        <v>7</v>
      </c>
      <c r="M85" s="24">
        <v>8</v>
      </c>
      <c r="O85" s="91"/>
    </row>
    <row r="86" spans="2:16" ht="16.05" customHeight="1" x14ac:dyDescent="0.4">
      <c r="B86" s="81"/>
      <c r="D86" s="92" t="s">
        <v>72</v>
      </c>
      <c r="G86" s="92" t="s">
        <v>72</v>
      </c>
      <c r="J86" s="92" t="s">
        <v>72</v>
      </c>
      <c r="M86" s="92" t="s">
        <v>72</v>
      </c>
      <c r="O86" s="83"/>
    </row>
    <row r="87" spans="2:16" ht="16.05" customHeight="1" thickBot="1" x14ac:dyDescent="0.45">
      <c r="B87" s="93"/>
      <c r="C87" s="94"/>
      <c r="D87" s="95">
        <v>2</v>
      </c>
      <c r="E87" s="94"/>
      <c r="F87" s="94"/>
      <c r="G87" s="95">
        <v>4</v>
      </c>
      <c r="H87" s="94"/>
      <c r="I87" s="94"/>
      <c r="J87" s="95">
        <v>6</v>
      </c>
      <c r="K87" s="94"/>
      <c r="L87" s="94"/>
      <c r="M87" s="95">
        <v>8</v>
      </c>
      <c r="N87" s="94"/>
      <c r="O87" s="96"/>
    </row>
    <row r="88" spans="2:16" ht="16.05" customHeight="1" thickTop="1" x14ac:dyDescent="0.4"/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372A-D1F2-40AE-B389-28BD58651F29}">
  <sheetPr>
    <tabColor theme="0"/>
  </sheetPr>
  <dimension ref="B4:AW69"/>
  <sheetViews>
    <sheetView showGridLines="0" topLeftCell="A36" zoomScaleNormal="100" workbookViewId="0">
      <selection activeCell="BD71" sqref="BD71"/>
    </sheetView>
  </sheetViews>
  <sheetFormatPr defaultRowHeight="17.399999999999999" x14ac:dyDescent="0.4"/>
  <cols>
    <col min="2" max="2" width="10" style="1" bestFit="1" customWidth="1"/>
    <col min="3" max="3" width="1.59765625" customWidth="1"/>
    <col min="4" max="49" width="2.59765625" customWidth="1"/>
  </cols>
  <sheetData>
    <row r="4" spans="2:49" x14ac:dyDescent="0.4">
      <c r="B4" s="1" t="s">
        <v>51</v>
      </c>
      <c r="D4" s="21"/>
      <c r="E4" s="22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2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6" spans="2:49" s="272" customFormat="1" ht="15.6" x14ac:dyDescent="0.35">
      <c r="B6" s="271"/>
      <c r="S6" s="479">
        <v>16381</v>
      </c>
      <c r="T6" s="479"/>
      <c r="U6" s="479">
        <v>16381</v>
      </c>
      <c r="V6" s="479"/>
      <c r="W6" s="479">
        <v>16381</v>
      </c>
      <c r="X6" s="479"/>
      <c r="Y6" s="479">
        <v>16381</v>
      </c>
      <c r="Z6" s="479"/>
      <c r="AA6" s="479">
        <v>16382</v>
      </c>
      <c r="AB6" s="479"/>
      <c r="AC6" s="479">
        <v>16383</v>
      </c>
      <c r="AD6" s="479"/>
    </row>
    <row r="7" spans="2:49" s="274" customFormat="1" ht="15.6" x14ac:dyDescent="0.4">
      <c r="B7" s="273"/>
      <c r="E7" s="274">
        <v>1</v>
      </c>
      <c r="G7" s="274">
        <v>2</v>
      </c>
      <c r="I7" s="274">
        <v>3</v>
      </c>
      <c r="K7" s="274">
        <v>4</v>
      </c>
      <c r="M7" s="274">
        <v>5</v>
      </c>
      <c r="O7" s="274">
        <v>6</v>
      </c>
      <c r="S7" s="477">
        <v>4093</v>
      </c>
      <c r="T7" s="477"/>
      <c r="U7" s="477">
        <v>4093</v>
      </c>
      <c r="V7" s="477"/>
      <c r="W7" s="477">
        <v>4093</v>
      </c>
      <c r="X7" s="477"/>
      <c r="Y7" s="477">
        <v>4093</v>
      </c>
      <c r="Z7" s="477"/>
      <c r="AA7" s="477">
        <v>4094</v>
      </c>
      <c r="AB7" s="477"/>
      <c r="AC7" s="477">
        <v>4095</v>
      </c>
      <c r="AD7" s="477"/>
      <c r="AE7" s="274">
        <v>1</v>
      </c>
      <c r="AG7" s="274">
        <v>2</v>
      </c>
      <c r="AI7" s="274">
        <v>3</v>
      </c>
      <c r="AK7" s="274">
        <v>4</v>
      </c>
      <c r="AM7" s="274">
        <v>5</v>
      </c>
      <c r="AO7" s="274">
        <v>6</v>
      </c>
      <c r="AQ7" s="274">
        <v>7</v>
      </c>
      <c r="AS7" s="274">
        <v>8</v>
      </c>
      <c r="AU7" s="274">
        <v>9</v>
      </c>
    </row>
    <row r="8" spans="2:49" s="274" customFormat="1" ht="15.6" x14ac:dyDescent="0.4">
      <c r="B8" s="273"/>
    </row>
    <row r="9" spans="2:49" x14ac:dyDescent="0.4">
      <c r="B9" s="1" t="s">
        <v>542</v>
      </c>
      <c r="D9" s="21"/>
      <c r="E9" s="22"/>
      <c r="F9" s="23"/>
      <c r="G9" s="22"/>
      <c r="H9" s="23"/>
      <c r="I9" s="22"/>
      <c r="J9" s="23"/>
      <c r="K9" s="22"/>
      <c r="L9" s="23"/>
      <c r="M9" s="22"/>
      <c r="N9" s="23"/>
      <c r="O9" s="22"/>
      <c r="P9" s="26"/>
      <c r="R9" s="21"/>
      <c r="S9" s="22"/>
      <c r="T9" s="23"/>
      <c r="U9" s="22"/>
      <c r="V9" s="23"/>
      <c r="W9" s="22"/>
      <c r="X9" s="23"/>
      <c r="Y9" s="22"/>
      <c r="Z9" s="23"/>
      <c r="AA9" s="22"/>
      <c r="AB9" s="23"/>
      <c r="AC9" s="22"/>
      <c r="AD9" s="23"/>
      <c r="AE9" s="22"/>
      <c r="AF9" s="23"/>
      <c r="AG9" s="22"/>
      <c r="AH9" s="23"/>
      <c r="AI9" s="22"/>
      <c r="AJ9" s="23"/>
      <c r="AK9" s="22"/>
      <c r="AL9" s="23"/>
      <c r="AM9" s="22"/>
      <c r="AN9" s="23"/>
      <c r="AO9" s="22"/>
      <c r="AP9" s="23"/>
      <c r="AQ9" s="22"/>
      <c r="AR9" s="23"/>
      <c r="AS9" s="22"/>
      <c r="AT9" s="23"/>
      <c r="AU9" s="22"/>
      <c r="AV9" s="23"/>
      <c r="AW9" s="22"/>
    </row>
    <row r="11" spans="2:49" x14ac:dyDescent="0.4">
      <c r="B11" s="1" t="s">
        <v>543</v>
      </c>
      <c r="D11" s="25"/>
      <c r="E11" s="276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81"/>
      <c r="Z11" s="282"/>
      <c r="AA11" s="282"/>
      <c r="AB11" s="282"/>
      <c r="AC11" s="282"/>
      <c r="AD11" s="283"/>
      <c r="AE11" s="278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</row>
    <row r="13" spans="2:49" x14ac:dyDescent="0.4">
      <c r="B13" s="1" t="s">
        <v>544</v>
      </c>
      <c r="D13" s="25"/>
      <c r="E13" s="25"/>
      <c r="F13" s="25"/>
      <c r="G13" s="25"/>
      <c r="H13" s="25"/>
      <c r="I13" s="276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85"/>
      <c r="AA13" s="284"/>
      <c r="AB13" s="279"/>
      <c r="AC13" s="279"/>
      <c r="AD13" s="279"/>
      <c r="AE13" s="279"/>
      <c r="AF13" s="279"/>
      <c r="AG13" s="279"/>
      <c r="AH13" s="280"/>
      <c r="AI13" s="275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</row>
    <row r="19" spans="2:49" x14ac:dyDescent="0.4">
      <c r="B19" s="1" t="s">
        <v>51</v>
      </c>
      <c r="D19" s="21"/>
      <c r="E19" s="22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2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2" spans="2:49" s="272" customFormat="1" ht="15.6" x14ac:dyDescent="0.35">
      <c r="B22" s="271"/>
      <c r="M22" s="478">
        <v>2046</v>
      </c>
      <c r="N22" s="478"/>
      <c r="O22" s="478">
        <f>2^14/8-1</f>
        <v>2047</v>
      </c>
      <c r="P22" s="478"/>
      <c r="S22" s="479"/>
      <c r="T22" s="479"/>
      <c r="U22" s="478">
        <f>2^14/8-1</f>
        <v>2047</v>
      </c>
      <c r="V22" s="478"/>
      <c r="W22" s="478">
        <v>1</v>
      </c>
      <c r="X22" s="478"/>
      <c r="Y22" s="479"/>
      <c r="Z22" s="479"/>
      <c r="AA22" s="478">
        <v>2046</v>
      </c>
      <c r="AB22" s="478"/>
      <c r="AC22" s="478">
        <f>2^14/8-1</f>
        <v>2047</v>
      </c>
      <c r="AD22" s="478"/>
    </row>
    <row r="23" spans="2:49" s="274" customFormat="1" ht="15.6" x14ac:dyDescent="0.35">
      <c r="B23" s="273"/>
      <c r="E23" s="274">
        <v>1</v>
      </c>
      <c r="G23" s="274">
        <v>2</v>
      </c>
      <c r="I23" s="477">
        <v>3</v>
      </c>
      <c r="J23" s="477"/>
      <c r="K23" s="272"/>
      <c r="L23" s="286"/>
      <c r="M23" s="477">
        <v>510</v>
      </c>
      <c r="N23" s="477"/>
      <c r="O23" s="477">
        <v>511</v>
      </c>
      <c r="P23" s="477"/>
      <c r="Q23" s="477">
        <v>1</v>
      </c>
      <c r="R23" s="477"/>
      <c r="S23" s="477"/>
      <c r="T23" s="477"/>
      <c r="U23" s="477">
        <v>511</v>
      </c>
      <c r="V23" s="477"/>
      <c r="W23" s="477">
        <v>1</v>
      </c>
      <c r="X23" s="477"/>
      <c r="Y23" s="286"/>
      <c r="Z23" s="286"/>
      <c r="AA23" s="477">
        <v>510</v>
      </c>
      <c r="AB23" s="477"/>
      <c r="AC23" s="477">
        <v>511</v>
      </c>
      <c r="AD23" s="477"/>
      <c r="AE23" s="274">
        <v>1</v>
      </c>
      <c r="AG23" s="274">
        <v>2</v>
      </c>
      <c r="AI23" s="274">
        <v>3</v>
      </c>
      <c r="AK23" s="274">
        <v>4</v>
      </c>
      <c r="AM23" s="274">
        <v>5</v>
      </c>
      <c r="AO23" s="274">
        <v>6</v>
      </c>
      <c r="AQ23" s="274">
        <v>7</v>
      </c>
      <c r="AS23" s="274">
        <v>8</v>
      </c>
      <c r="AU23" s="274">
        <v>9</v>
      </c>
    </row>
    <row r="24" spans="2:49" s="274" customFormat="1" ht="15.6" x14ac:dyDescent="0.35">
      <c r="B24" s="273"/>
      <c r="K24" s="272"/>
      <c r="L24" s="286"/>
      <c r="Y24" s="286"/>
      <c r="Z24" s="286"/>
    </row>
    <row r="25" spans="2:49" x14ac:dyDescent="0.35">
      <c r="B25" s="1" t="s">
        <v>542</v>
      </c>
      <c r="D25" s="21"/>
      <c r="E25" s="22"/>
      <c r="F25" s="23"/>
      <c r="G25" s="22"/>
      <c r="H25" s="26"/>
      <c r="I25" s="22"/>
      <c r="J25" s="26"/>
      <c r="K25" s="272"/>
      <c r="L25" s="21"/>
      <c r="M25" s="22"/>
      <c r="N25" s="23"/>
      <c r="O25" s="22"/>
      <c r="P25" s="23"/>
      <c r="Q25" s="22"/>
      <c r="R25" s="26"/>
      <c r="T25" s="25"/>
      <c r="U25" s="22"/>
      <c r="V25" s="26"/>
      <c r="W25" s="22"/>
      <c r="X25" s="26"/>
      <c r="Y25" s="286"/>
      <c r="Z25" s="21"/>
      <c r="AA25" s="22"/>
      <c r="AB25" s="23"/>
      <c r="AC25" s="22"/>
      <c r="AD25" s="23"/>
      <c r="AE25" s="22"/>
      <c r="AF25" s="23"/>
      <c r="AG25" s="22"/>
      <c r="AH25" s="23"/>
      <c r="AI25" s="22"/>
      <c r="AJ25" s="23"/>
      <c r="AK25" s="22"/>
      <c r="AL25" s="23"/>
      <c r="AM25" s="22"/>
      <c r="AN25" s="23"/>
      <c r="AO25" s="22"/>
      <c r="AP25" s="23"/>
      <c r="AQ25" s="22"/>
      <c r="AR25" s="23"/>
      <c r="AS25" s="22"/>
      <c r="AT25" s="23"/>
      <c r="AU25" s="22"/>
      <c r="AV25" s="23"/>
      <c r="AW25" s="22"/>
    </row>
    <row r="27" spans="2:49" x14ac:dyDescent="0.4">
      <c r="B27" s="1" t="s">
        <v>543</v>
      </c>
      <c r="D27" s="25"/>
      <c r="E27" s="276"/>
      <c r="F27" s="277"/>
      <c r="G27" s="277"/>
      <c r="H27" s="277"/>
      <c r="I27" s="277"/>
      <c r="J27" s="277"/>
      <c r="K27" s="277"/>
      <c r="L27" s="277"/>
      <c r="M27" s="281"/>
      <c r="N27" s="282"/>
      <c r="O27" s="282"/>
      <c r="P27" s="283"/>
      <c r="Q27" s="277"/>
      <c r="R27" s="277"/>
      <c r="T27" s="282"/>
      <c r="U27" s="282"/>
      <c r="V27" s="283"/>
      <c r="W27" s="277"/>
      <c r="X27" s="277"/>
      <c r="Y27" s="277"/>
      <c r="Z27" s="277"/>
      <c r="AA27" s="281"/>
      <c r="AB27" s="282"/>
      <c r="AC27" s="282"/>
      <c r="AD27" s="283"/>
      <c r="AE27" s="278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</row>
    <row r="29" spans="2:49" x14ac:dyDescent="0.4">
      <c r="B29" s="1" t="s">
        <v>544</v>
      </c>
      <c r="D29" s="25"/>
      <c r="E29" s="25"/>
      <c r="F29" s="25"/>
      <c r="G29" s="25"/>
      <c r="H29" s="25"/>
      <c r="I29" s="276"/>
      <c r="J29" s="277"/>
      <c r="K29" s="277"/>
      <c r="L29" s="277"/>
      <c r="M29" s="277"/>
      <c r="N29" s="277"/>
      <c r="O29" s="289"/>
      <c r="P29" s="287"/>
      <c r="Q29" s="287"/>
      <c r="R29" s="287"/>
      <c r="T29" s="287"/>
      <c r="U29" s="287"/>
      <c r="V29" s="288"/>
      <c r="W29" s="277"/>
      <c r="X29" s="277"/>
      <c r="Y29" s="277"/>
      <c r="Z29" s="277"/>
      <c r="AA29" s="277"/>
      <c r="AB29" s="277"/>
      <c r="AC29" s="284"/>
      <c r="AD29" s="279"/>
      <c r="AE29" s="279"/>
      <c r="AF29" s="279"/>
      <c r="AG29" s="279"/>
      <c r="AH29" s="280"/>
      <c r="AI29" s="275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3" spans="2:49" x14ac:dyDescent="0.4">
      <c r="B33" s="1" t="s">
        <v>51</v>
      </c>
      <c r="D33" s="25"/>
      <c r="E33" s="25"/>
      <c r="F33" s="25"/>
      <c r="G33" s="25"/>
      <c r="H33" s="25"/>
      <c r="I33" s="25"/>
      <c r="J33" s="25"/>
      <c r="K33" s="21"/>
      <c r="L33" s="22"/>
      <c r="M33" s="2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2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5" spans="2:49" x14ac:dyDescent="0.4">
      <c r="B35" s="1" t="s">
        <v>545</v>
      </c>
      <c r="D35" s="25"/>
      <c r="E35" s="25"/>
      <c r="F35" s="25"/>
      <c r="G35" s="25"/>
      <c r="H35" s="25"/>
      <c r="I35" s="25"/>
      <c r="J35" s="25"/>
      <c r="K35" s="25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44" spans="2:49" x14ac:dyDescent="0.4">
      <c r="B44" s="1" t="s">
        <v>51</v>
      </c>
      <c r="D44" s="21"/>
      <c r="E44" s="22"/>
      <c r="F44" s="26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2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</row>
    <row r="46" spans="2:49" s="272" customFormat="1" ht="15.6" x14ac:dyDescent="0.35">
      <c r="B46" s="271"/>
      <c r="S46" s="479">
        <v>16381</v>
      </c>
      <c r="T46" s="479"/>
      <c r="U46" s="479">
        <v>16381</v>
      </c>
      <c r="V46" s="479"/>
      <c r="W46" s="479">
        <v>16381</v>
      </c>
      <c r="X46" s="479"/>
      <c r="Y46" s="479">
        <v>16381</v>
      </c>
      <c r="Z46" s="479"/>
      <c r="AA46" s="479">
        <v>16382</v>
      </c>
      <c r="AB46" s="479"/>
      <c r="AC46" s="479">
        <v>16383</v>
      </c>
      <c r="AD46" s="479"/>
    </row>
    <row r="47" spans="2:49" s="274" customFormat="1" ht="15.6" x14ac:dyDescent="0.4">
      <c r="B47" s="273"/>
      <c r="E47" s="274">
        <v>1</v>
      </c>
      <c r="G47" s="274">
        <v>2</v>
      </c>
      <c r="I47" s="274">
        <v>3</v>
      </c>
      <c r="K47" s="274">
        <v>4</v>
      </c>
      <c r="M47" s="274">
        <v>5</v>
      </c>
      <c r="O47" s="274">
        <v>6</v>
      </c>
      <c r="S47" s="477">
        <v>4093</v>
      </c>
      <c r="T47" s="477"/>
      <c r="U47" s="477">
        <v>4093</v>
      </c>
      <c r="V47" s="477"/>
      <c r="W47" s="477">
        <v>4093</v>
      </c>
      <c r="X47" s="477"/>
      <c r="Y47" s="477">
        <v>4093</v>
      </c>
      <c r="Z47" s="477"/>
      <c r="AA47" s="477">
        <v>4094</v>
      </c>
      <c r="AB47" s="477"/>
      <c r="AC47" s="477">
        <v>4095</v>
      </c>
      <c r="AD47" s="477"/>
      <c r="AE47" s="274">
        <v>1</v>
      </c>
      <c r="AG47" s="274">
        <v>2</v>
      </c>
      <c r="AI47" s="274">
        <v>3</v>
      </c>
      <c r="AK47" s="274">
        <v>4</v>
      </c>
      <c r="AM47" s="274">
        <v>5</v>
      </c>
      <c r="AO47" s="274">
        <v>6</v>
      </c>
      <c r="AQ47" s="274">
        <v>7</v>
      </c>
      <c r="AS47" s="274">
        <v>8</v>
      </c>
      <c r="AU47" s="274">
        <v>9</v>
      </c>
    </row>
    <row r="48" spans="2:49" s="274" customFormat="1" ht="15.6" x14ac:dyDescent="0.4">
      <c r="B48" s="273"/>
    </row>
    <row r="49" spans="2:49" x14ac:dyDescent="0.4">
      <c r="B49" s="1" t="s">
        <v>542</v>
      </c>
      <c r="D49" s="21"/>
      <c r="E49" s="22"/>
      <c r="F49" s="23"/>
      <c r="G49" s="22"/>
      <c r="H49" s="23"/>
      <c r="I49" s="22"/>
      <c r="J49" s="23"/>
      <c r="K49" s="22"/>
      <c r="L49" s="23"/>
      <c r="M49" s="22"/>
      <c r="N49" s="23"/>
      <c r="O49" s="22"/>
      <c r="P49" s="26"/>
      <c r="R49" s="21"/>
      <c r="S49" s="22"/>
      <c r="T49" s="23"/>
      <c r="U49" s="22"/>
      <c r="V49" s="23"/>
      <c r="W49" s="22"/>
      <c r="X49" s="23"/>
      <c r="Y49" s="22"/>
      <c r="Z49" s="23"/>
      <c r="AA49" s="22"/>
      <c r="AB49" s="23"/>
      <c r="AC49" s="22"/>
      <c r="AD49" s="23"/>
      <c r="AE49" s="22"/>
      <c r="AF49" s="23"/>
      <c r="AG49" s="22"/>
      <c r="AH49" s="23"/>
      <c r="AI49" s="22"/>
      <c r="AJ49" s="23"/>
      <c r="AK49" s="22"/>
      <c r="AL49" s="23"/>
      <c r="AM49" s="22"/>
      <c r="AN49" s="23"/>
      <c r="AO49" s="22"/>
      <c r="AP49" s="23"/>
      <c r="AQ49" s="22"/>
      <c r="AR49" s="23"/>
      <c r="AS49" s="22"/>
      <c r="AT49" s="23"/>
      <c r="AU49" s="22"/>
      <c r="AV49" s="23"/>
      <c r="AW49" s="22"/>
    </row>
    <row r="51" spans="2:49" x14ac:dyDescent="0.4">
      <c r="B51" s="1" t="s">
        <v>543</v>
      </c>
      <c r="D51" s="25"/>
      <c r="E51" s="281"/>
      <c r="F51" s="282"/>
      <c r="G51" s="282"/>
      <c r="H51" s="282"/>
      <c r="I51" s="282"/>
      <c r="J51" s="283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8"/>
      <c r="AF51" s="277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277"/>
      <c r="AR51" s="277"/>
      <c r="AS51" s="277"/>
      <c r="AT51" s="277"/>
      <c r="AU51" s="277"/>
      <c r="AV51" s="277"/>
      <c r="AW51" s="277"/>
    </row>
    <row r="53" spans="2:49" x14ac:dyDescent="0.4">
      <c r="B53" s="1" t="s">
        <v>544</v>
      </c>
      <c r="D53" s="25"/>
      <c r="E53" s="25"/>
      <c r="F53" s="25"/>
      <c r="G53" s="25"/>
      <c r="H53" s="25"/>
      <c r="I53" s="284"/>
      <c r="J53" s="279"/>
      <c r="K53" s="279"/>
      <c r="L53" s="279"/>
      <c r="M53" s="279"/>
      <c r="N53" s="279"/>
      <c r="O53" s="279"/>
      <c r="P53" s="280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84"/>
      <c r="AJ53" s="279"/>
      <c r="AK53" s="279"/>
      <c r="AL53" s="279"/>
      <c r="AM53" s="279"/>
      <c r="AN53" s="279"/>
      <c r="AO53" s="279"/>
      <c r="AP53" s="280"/>
      <c r="AQ53" s="30"/>
      <c r="AR53" s="30"/>
      <c r="AS53" s="30"/>
      <c r="AT53" s="30"/>
      <c r="AU53" s="30"/>
      <c r="AV53" s="30"/>
      <c r="AW53" s="30"/>
    </row>
    <row r="59" spans="2:49" x14ac:dyDescent="0.4">
      <c r="B59" s="1" t="s">
        <v>51</v>
      </c>
      <c r="D59" s="21"/>
      <c r="E59" s="22"/>
      <c r="F59" s="26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2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2" spans="2:49" s="272" customFormat="1" ht="15.6" x14ac:dyDescent="0.35">
      <c r="B62" s="271"/>
      <c r="M62" s="478">
        <v>2047</v>
      </c>
      <c r="N62" s="478"/>
      <c r="O62" s="478"/>
      <c r="P62" s="478"/>
      <c r="S62" s="479"/>
      <c r="T62" s="479"/>
      <c r="U62" s="478">
        <f>2^14/8-1</f>
        <v>2047</v>
      </c>
      <c r="V62" s="478"/>
      <c r="W62" s="478"/>
      <c r="X62" s="478"/>
      <c r="Y62" s="479"/>
      <c r="Z62" s="479"/>
      <c r="AA62" s="478"/>
      <c r="AB62" s="478"/>
      <c r="AC62" s="478">
        <f>2^14/8-1</f>
        <v>2047</v>
      </c>
      <c r="AD62" s="478"/>
    </row>
    <row r="63" spans="2:49" s="274" customFormat="1" ht="15.6" x14ac:dyDescent="0.35">
      <c r="B63" s="273"/>
      <c r="E63" s="274">
        <v>1</v>
      </c>
      <c r="G63" s="274">
        <v>2</v>
      </c>
      <c r="I63" s="477">
        <v>3</v>
      </c>
      <c r="J63" s="477"/>
      <c r="K63" s="272"/>
      <c r="L63" s="286"/>
      <c r="M63" s="477">
        <v>511</v>
      </c>
      <c r="N63" s="477"/>
      <c r="O63" s="477">
        <v>1</v>
      </c>
      <c r="P63" s="477"/>
      <c r="Q63" s="477">
        <v>2</v>
      </c>
      <c r="R63" s="477"/>
      <c r="S63" s="477"/>
      <c r="T63" s="477"/>
      <c r="U63" s="477">
        <v>511</v>
      </c>
      <c r="V63" s="477"/>
      <c r="W63" s="477">
        <v>1</v>
      </c>
      <c r="X63" s="477"/>
      <c r="Y63" s="286">
        <v>2</v>
      </c>
      <c r="Z63" s="286"/>
      <c r="AA63" s="477">
        <v>3</v>
      </c>
      <c r="AB63" s="477"/>
      <c r="AC63" s="477">
        <v>511</v>
      </c>
      <c r="AD63" s="477"/>
      <c r="AE63" s="274">
        <v>1</v>
      </c>
      <c r="AG63" s="274">
        <v>2</v>
      </c>
      <c r="AI63" s="274">
        <v>3</v>
      </c>
      <c r="AK63" s="274">
        <v>4</v>
      </c>
      <c r="AM63" s="274">
        <v>5</v>
      </c>
      <c r="AO63" s="274">
        <v>6</v>
      </c>
      <c r="AQ63" s="274">
        <v>7</v>
      </c>
      <c r="AS63" s="274">
        <v>8</v>
      </c>
      <c r="AU63" s="274">
        <v>9</v>
      </c>
    </row>
    <row r="64" spans="2:49" s="274" customFormat="1" ht="15.6" x14ac:dyDescent="0.35">
      <c r="B64" s="273"/>
      <c r="K64" s="272"/>
      <c r="L64" s="286"/>
      <c r="Y64" s="286"/>
      <c r="Z64" s="286"/>
    </row>
    <row r="65" spans="2:49" x14ac:dyDescent="0.35">
      <c r="B65" s="1" t="s">
        <v>542</v>
      </c>
      <c r="D65" s="21"/>
      <c r="E65" s="22"/>
      <c r="F65" s="23"/>
      <c r="G65" s="22"/>
      <c r="H65" s="26"/>
      <c r="I65" s="22"/>
      <c r="J65" s="26"/>
      <c r="K65" s="272"/>
      <c r="L65" s="21"/>
      <c r="M65" s="22"/>
      <c r="N65" s="23"/>
      <c r="O65" s="22"/>
      <c r="P65" s="23"/>
      <c r="Q65" s="22"/>
      <c r="R65" s="26"/>
      <c r="S65" s="27"/>
      <c r="U65" s="22"/>
      <c r="V65" s="26"/>
      <c r="W65" s="22"/>
      <c r="X65" s="26"/>
      <c r="Y65" s="375"/>
      <c r="Z65" s="23"/>
      <c r="AA65" s="27"/>
      <c r="AB65" s="40"/>
      <c r="AC65" s="22"/>
      <c r="AD65" s="23"/>
      <c r="AE65" s="22"/>
      <c r="AF65" s="23"/>
      <c r="AG65" s="22"/>
      <c r="AH65" s="23"/>
      <c r="AI65" s="22"/>
      <c r="AJ65" s="23"/>
      <c r="AK65" s="22"/>
      <c r="AL65" s="23"/>
      <c r="AM65" s="22"/>
      <c r="AN65" s="23"/>
      <c r="AO65" s="22"/>
      <c r="AP65" s="23"/>
      <c r="AQ65" s="22"/>
      <c r="AR65" s="23"/>
      <c r="AS65" s="22"/>
      <c r="AT65" s="23"/>
      <c r="AU65" s="22"/>
      <c r="AV65" s="23"/>
      <c r="AW65" s="22"/>
    </row>
    <row r="67" spans="2:49" x14ac:dyDescent="0.4">
      <c r="B67" s="1" t="s">
        <v>543</v>
      </c>
      <c r="D67" s="25"/>
      <c r="E67" s="281"/>
      <c r="F67" s="282"/>
      <c r="G67" s="282"/>
      <c r="H67" s="283"/>
      <c r="I67" s="277"/>
      <c r="J67" s="277"/>
      <c r="K67" s="277"/>
      <c r="L67" s="277"/>
      <c r="M67" s="277"/>
      <c r="N67" s="277"/>
      <c r="O67" s="281"/>
      <c r="P67" s="282"/>
      <c r="Q67" s="282"/>
      <c r="R67" s="283"/>
      <c r="S67" s="26"/>
      <c r="U67" s="277"/>
      <c r="V67" s="285"/>
      <c r="W67" s="281"/>
      <c r="X67" s="282"/>
      <c r="Y67" s="282"/>
      <c r="Z67" s="283"/>
      <c r="AA67" s="277"/>
      <c r="AB67" s="277"/>
      <c r="AC67" s="277"/>
      <c r="AD67" s="277"/>
      <c r="AE67" s="281"/>
      <c r="AF67" s="282"/>
      <c r="AG67" s="282"/>
      <c r="AH67" s="283"/>
      <c r="AI67" s="277"/>
      <c r="AJ67" s="277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</row>
    <row r="69" spans="2:49" x14ac:dyDescent="0.4">
      <c r="B69" s="1" t="s">
        <v>544</v>
      </c>
      <c r="D69" s="25"/>
      <c r="E69" s="25"/>
      <c r="F69" s="25"/>
      <c r="G69" s="25"/>
      <c r="H69" s="25"/>
      <c r="I69" s="289"/>
      <c r="J69" s="287"/>
      <c r="K69" s="277"/>
      <c r="L69" s="277"/>
      <c r="M69" s="277"/>
      <c r="N69" s="277"/>
      <c r="O69" s="277"/>
      <c r="P69" s="277"/>
      <c r="Q69" s="277"/>
      <c r="R69" s="277"/>
      <c r="S69" s="289"/>
      <c r="U69" s="277"/>
      <c r="V69" s="285"/>
      <c r="W69" s="277"/>
      <c r="X69" s="277"/>
      <c r="Y69" s="277"/>
      <c r="Z69" s="277"/>
      <c r="AA69" s="289"/>
      <c r="AB69" s="277"/>
      <c r="AC69" s="374"/>
      <c r="AD69" s="374"/>
      <c r="AE69" s="374"/>
      <c r="AF69" s="374"/>
      <c r="AG69" s="374"/>
      <c r="AH69" s="374"/>
      <c r="AI69" s="284"/>
      <c r="AJ69" s="279"/>
      <c r="AK69" s="279"/>
      <c r="AL69" s="279"/>
      <c r="AM69" s="279"/>
      <c r="AN69" s="279"/>
      <c r="AO69" s="279"/>
      <c r="AP69" s="280"/>
      <c r="AQ69" s="277"/>
      <c r="AR69" s="277"/>
      <c r="AS69" s="277"/>
      <c r="AT69" s="277"/>
      <c r="AU69" s="277"/>
      <c r="AV69" s="277"/>
      <c r="AW69" s="277"/>
    </row>
  </sheetData>
  <mergeCells count="58">
    <mergeCell ref="AA7:AB7"/>
    <mergeCell ref="AC7:AD7"/>
    <mergeCell ref="S6:T6"/>
    <mergeCell ref="U6:V6"/>
    <mergeCell ref="W6:X6"/>
    <mergeCell ref="Y6:Z6"/>
    <mergeCell ref="AA6:AB6"/>
    <mergeCell ref="AC6:AD6"/>
    <mergeCell ref="Y22:Z22"/>
    <mergeCell ref="S7:T7"/>
    <mergeCell ref="U7:V7"/>
    <mergeCell ref="W7:X7"/>
    <mergeCell ref="Y7:Z7"/>
    <mergeCell ref="AC23:AD23"/>
    <mergeCell ref="AA22:AB22"/>
    <mergeCell ref="AC22:AD22"/>
    <mergeCell ref="I23:J23"/>
    <mergeCell ref="M23:N23"/>
    <mergeCell ref="O23:P23"/>
    <mergeCell ref="Q23:R23"/>
    <mergeCell ref="S23:T23"/>
    <mergeCell ref="U23:V23"/>
    <mergeCell ref="W23:X23"/>
    <mergeCell ref="AA23:AB23"/>
    <mergeCell ref="M22:N22"/>
    <mergeCell ref="O22:P22"/>
    <mergeCell ref="S22:T22"/>
    <mergeCell ref="U22:V22"/>
    <mergeCell ref="W22:X22"/>
    <mergeCell ref="AC46:AD46"/>
    <mergeCell ref="S47:T47"/>
    <mergeCell ref="U47:V47"/>
    <mergeCell ref="W47:X47"/>
    <mergeCell ref="Y47:Z47"/>
    <mergeCell ref="AA47:AB47"/>
    <mergeCell ref="AC47:AD47"/>
    <mergeCell ref="S46:T46"/>
    <mergeCell ref="U46:V46"/>
    <mergeCell ref="W46:X46"/>
    <mergeCell ref="Y46:Z46"/>
    <mergeCell ref="AA46:AB46"/>
    <mergeCell ref="I63:J63"/>
    <mergeCell ref="M63:N63"/>
    <mergeCell ref="O63:P63"/>
    <mergeCell ref="Q63:R63"/>
    <mergeCell ref="S63:T63"/>
    <mergeCell ref="U63:V63"/>
    <mergeCell ref="W63:X63"/>
    <mergeCell ref="AA63:AB63"/>
    <mergeCell ref="AC63:AD63"/>
    <mergeCell ref="M62:N62"/>
    <mergeCell ref="O62:P62"/>
    <mergeCell ref="S62:T62"/>
    <mergeCell ref="U62:V62"/>
    <mergeCell ref="W62:X62"/>
    <mergeCell ref="Y62:Z62"/>
    <mergeCell ref="AA62:AB62"/>
    <mergeCell ref="AC62:AD62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50F1-DC45-46D9-9A98-F26BDA6C0311}">
  <sheetPr>
    <tabColor theme="0"/>
  </sheetPr>
  <dimension ref="B2:AO35"/>
  <sheetViews>
    <sheetView workbookViewId="0"/>
  </sheetViews>
  <sheetFormatPr defaultRowHeight="17.399999999999999" x14ac:dyDescent="0.4"/>
  <cols>
    <col min="2" max="3" width="3.19921875" bestFit="1" customWidth="1"/>
    <col min="4" max="13" width="2.19921875" bestFit="1" customWidth="1"/>
    <col min="14" max="14" width="2.19921875" customWidth="1"/>
    <col min="15" max="15" width="4.296875" style="1" bestFit="1" customWidth="1"/>
    <col min="16" max="16" width="5.19921875" bestFit="1" customWidth="1"/>
    <col min="17" max="17" width="9.09765625" bestFit="1" customWidth="1"/>
    <col min="19" max="19" width="4.3984375" style="1" bestFit="1" customWidth="1"/>
    <col min="20" max="20" width="4.19921875" bestFit="1" customWidth="1"/>
    <col min="21" max="21" width="9.09765625" bestFit="1" customWidth="1"/>
  </cols>
  <sheetData>
    <row r="2" spans="2:41" x14ac:dyDescent="0.4">
      <c r="B2" s="3">
        <v>11</v>
      </c>
      <c r="C2" s="3">
        <v>10</v>
      </c>
      <c r="D2" s="3">
        <v>9</v>
      </c>
      <c r="E2" s="3">
        <v>8</v>
      </c>
      <c r="F2" s="10">
        <v>7</v>
      </c>
      <c r="G2" s="10">
        <v>6</v>
      </c>
      <c r="H2" s="10">
        <v>5</v>
      </c>
      <c r="I2" s="10">
        <v>4</v>
      </c>
      <c r="J2" s="3">
        <v>3</v>
      </c>
      <c r="K2" s="3">
        <v>2</v>
      </c>
      <c r="L2" s="3">
        <v>1</v>
      </c>
      <c r="M2" s="3">
        <v>0</v>
      </c>
      <c r="O2" s="1" t="s">
        <v>7</v>
      </c>
      <c r="P2">
        <f>HEX2DEC(O2)</f>
        <v>4095</v>
      </c>
      <c r="S2" s="1" t="s">
        <v>40</v>
      </c>
      <c r="T2">
        <f>HEX2DEC(S2)</f>
        <v>511</v>
      </c>
      <c r="X2" t="s">
        <v>79</v>
      </c>
      <c r="Y2" t="s">
        <v>80</v>
      </c>
      <c r="Z2" s="3">
        <v>15</v>
      </c>
      <c r="AA2" s="3">
        <v>14</v>
      </c>
      <c r="AB2" s="3">
        <v>13</v>
      </c>
      <c r="AC2" s="3">
        <v>12</v>
      </c>
      <c r="AD2" s="3">
        <v>11</v>
      </c>
      <c r="AE2" s="3">
        <v>10</v>
      </c>
      <c r="AF2" s="3">
        <v>9</v>
      </c>
      <c r="AG2" s="3">
        <v>8</v>
      </c>
      <c r="AH2" s="3">
        <v>7</v>
      </c>
      <c r="AI2" s="3">
        <v>6</v>
      </c>
      <c r="AJ2" s="3">
        <v>5</v>
      </c>
      <c r="AK2" s="3">
        <v>4</v>
      </c>
      <c r="AL2" s="3">
        <v>3</v>
      </c>
      <c r="AM2" s="3">
        <v>2</v>
      </c>
      <c r="AN2" s="3">
        <v>1</v>
      </c>
      <c r="AO2" s="3">
        <v>0</v>
      </c>
    </row>
    <row r="3" spans="2:41" x14ac:dyDescent="0.4">
      <c r="B3">
        <v>1</v>
      </c>
      <c r="C3">
        <v>1</v>
      </c>
      <c r="D3">
        <v>1</v>
      </c>
      <c r="E3">
        <v>1</v>
      </c>
      <c r="F3" s="10">
        <v>1</v>
      </c>
      <c r="G3" s="10">
        <v>1</v>
      </c>
      <c r="H3" s="10">
        <v>1</v>
      </c>
      <c r="I3" s="10">
        <v>1</v>
      </c>
      <c r="J3">
        <v>0</v>
      </c>
      <c r="K3">
        <v>1</v>
      </c>
      <c r="L3">
        <v>1</v>
      </c>
      <c r="M3">
        <v>0</v>
      </c>
      <c r="O3" s="18" t="s">
        <v>11</v>
      </c>
      <c r="P3" s="19">
        <f>HEX2DEC(O3)</f>
        <v>4064</v>
      </c>
      <c r="Q3" s="20">
        <f>P3/$P$2</f>
        <v>0.99242979242979246</v>
      </c>
      <c r="R3" s="19"/>
      <c r="S3" s="18" t="s">
        <v>41</v>
      </c>
      <c r="T3" s="19">
        <f>HEX2DEC(S3)</f>
        <v>508</v>
      </c>
      <c r="U3" s="20">
        <f>T3/$T$2</f>
        <v>0.9941291585127201</v>
      </c>
      <c r="V3" s="5">
        <f>U3-Q3</f>
        <v>1.6993660829276447E-3</v>
      </c>
      <c r="X3" s="113">
        <v>1</v>
      </c>
      <c r="Y3" s="113">
        <v>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115">
        <v>0</v>
      </c>
      <c r="AM3" s="115">
        <v>1</v>
      </c>
      <c r="AN3" s="115"/>
      <c r="AO3" s="115"/>
    </row>
    <row r="4" spans="2:41" x14ac:dyDescent="0.4">
      <c r="B4">
        <v>1</v>
      </c>
      <c r="C4">
        <v>1</v>
      </c>
      <c r="D4">
        <v>1</v>
      </c>
      <c r="E4">
        <v>1</v>
      </c>
      <c r="F4" s="10">
        <v>1</v>
      </c>
      <c r="G4" s="10">
        <v>1</v>
      </c>
      <c r="H4" s="10">
        <v>1</v>
      </c>
      <c r="I4" s="10">
        <v>1</v>
      </c>
      <c r="J4">
        <v>0</v>
      </c>
      <c r="K4">
        <v>1</v>
      </c>
      <c r="L4">
        <v>1</v>
      </c>
      <c r="M4">
        <v>1</v>
      </c>
      <c r="O4" s="18" t="s">
        <v>12</v>
      </c>
      <c r="P4" s="19">
        <f t="shared" ref="P4:P34" si="0">HEX2DEC(O4)</f>
        <v>4065</v>
      </c>
      <c r="Q4" s="20">
        <f t="shared" ref="Q4:Q34" si="1">P4/$P$2</f>
        <v>0.9926739926739927</v>
      </c>
      <c r="R4" s="19"/>
      <c r="S4" s="18" t="s">
        <v>41</v>
      </c>
      <c r="T4" s="19">
        <f t="shared" ref="T4:T34" si="2">HEX2DEC(S4)</f>
        <v>508</v>
      </c>
      <c r="U4" s="20">
        <f t="shared" ref="U4:U34" si="3">T4/$T$2</f>
        <v>0.9941291585127201</v>
      </c>
      <c r="V4" s="5">
        <f t="shared" ref="V4:V34" si="4">U4-Q4</f>
        <v>1.4551658387274014E-3</v>
      </c>
      <c r="X4" s="113">
        <v>2</v>
      </c>
      <c r="Y4" s="113">
        <v>8</v>
      </c>
      <c r="AK4">
        <v>0</v>
      </c>
      <c r="AL4" s="115">
        <v>1</v>
      </c>
      <c r="AM4" s="115">
        <v>0</v>
      </c>
      <c r="AN4" s="115"/>
      <c r="AO4" s="115"/>
    </row>
    <row r="5" spans="2:41" x14ac:dyDescent="0.4">
      <c r="B5">
        <v>1</v>
      </c>
      <c r="C5">
        <v>1</v>
      </c>
      <c r="D5">
        <v>1</v>
      </c>
      <c r="E5">
        <v>1</v>
      </c>
      <c r="F5" s="10">
        <v>1</v>
      </c>
      <c r="G5" s="10">
        <v>1</v>
      </c>
      <c r="H5" s="10">
        <v>1</v>
      </c>
      <c r="I5" s="10">
        <v>1</v>
      </c>
      <c r="J5">
        <v>1</v>
      </c>
      <c r="K5">
        <v>0</v>
      </c>
      <c r="L5">
        <v>0</v>
      </c>
      <c r="M5">
        <v>0</v>
      </c>
      <c r="O5" s="18" t="s">
        <v>13</v>
      </c>
      <c r="P5" s="19">
        <f t="shared" si="0"/>
        <v>4066</v>
      </c>
      <c r="Q5" s="20">
        <f t="shared" si="1"/>
        <v>0.99291819291819294</v>
      </c>
      <c r="R5" s="19"/>
      <c r="S5" s="18" t="s">
        <v>41</v>
      </c>
      <c r="T5" s="19">
        <f t="shared" si="2"/>
        <v>508</v>
      </c>
      <c r="U5" s="20">
        <f t="shared" si="3"/>
        <v>0.9941291585127201</v>
      </c>
      <c r="V5" s="5">
        <f t="shared" si="4"/>
        <v>1.210965594527158E-3</v>
      </c>
      <c r="X5" s="113">
        <v>3</v>
      </c>
      <c r="Y5" s="114" t="s">
        <v>83</v>
      </c>
      <c r="AK5">
        <v>0</v>
      </c>
      <c r="AL5" s="115">
        <v>1</v>
      </c>
      <c r="AM5" s="115">
        <v>1</v>
      </c>
      <c r="AN5" s="115"/>
      <c r="AO5" s="115"/>
    </row>
    <row r="6" spans="2:41" x14ac:dyDescent="0.4">
      <c r="B6">
        <v>1</v>
      </c>
      <c r="C6">
        <v>1</v>
      </c>
      <c r="D6">
        <v>1</v>
      </c>
      <c r="E6">
        <v>1</v>
      </c>
      <c r="F6" s="10">
        <v>1</v>
      </c>
      <c r="G6" s="10">
        <v>1</v>
      </c>
      <c r="H6" s="10">
        <v>1</v>
      </c>
      <c r="I6" s="10">
        <v>1</v>
      </c>
      <c r="J6">
        <v>1</v>
      </c>
      <c r="K6">
        <v>0</v>
      </c>
      <c r="L6">
        <v>0</v>
      </c>
      <c r="M6">
        <v>0</v>
      </c>
      <c r="O6" s="18" t="s">
        <v>14</v>
      </c>
      <c r="P6" s="19">
        <f t="shared" si="0"/>
        <v>4067</v>
      </c>
      <c r="Q6" s="20">
        <f t="shared" si="1"/>
        <v>0.99316239316239319</v>
      </c>
      <c r="R6" s="19"/>
      <c r="S6" s="18" t="s">
        <v>41</v>
      </c>
      <c r="T6" s="19">
        <f t="shared" si="2"/>
        <v>508</v>
      </c>
      <c r="U6" s="20">
        <f t="shared" si="3"/>
        <v>0.9941291585127201</v>
      </c>
      <c r="V6" s="5">
        <f t="shared" si="4"/>
        <v>9.6676535032691469E-4</v>
      </c>
      <c r="X6" s="113">
        <v>4</v>
      </c>
      <c r="Y6" s="113">
        <v>10</v>
      </c>
      <c r="AK6">
        <v>1</v>
      </c>
      <c r="AL6" s="115">
        <v>0</v>
      </c>
      <c r="AM6" s="115">
        <v>0</v>
      </c>
      <c r="AN6" s="115"/>
      <c r="AO6" s="115"/>
    </row>
    <row r="7" spans="2:41" x14ac:dyDescent="0.4">
      <c r="B7">
        <v>1</v>
      </c>
      <c r="C7">
        <v>1</v>
      </c>
      <c r="D7">
        <v>1</v>
      </c>
      <c r="E7">
        <v>1</v>
      </c>
      <c r="F7" s="10">
        <v>1</v>
      </c>
      <c r="G7" s="10">
        <v>1</v>
      </c>
      <c r="H7" s="10">
        <v>1</v>
      </c>
      <c r="I7" s="10">
        <v>1</v>
      </c>
      <c r="J7">
        <v>1</v>
      </c>
      <c r="K7">
        <v>0</v>
      </c>
      <c r="L7">
        <v>0</v>
      </c>
      <c r="M7">
        <v>0</v>
      </c>
      <c r="O7" s="18" t="s">
        <v>15</v>
      </c>
      <c r="P7" s="19">
        <f t="shared" si="0"/>
        <v>4068</v>
      </c>
      <c r="Q7" s="20">
        <f t="shared" si="1"/>
        <v>0.99340659340659343</v>
      </c>
      <c r="R7" s="19"/>
      <c r="S7" s="18" t="s">
        <v>41</v>
      </c>
      <c r="T7" s="19">
        <f t="shared" si="2"/>
        <v>508</v>
      </c>
      <c r="U7" s="20">
        <f t="shared" si="3"/>
        <v>0.9941291585127201</v>
      </c>
      <c r="V7" s="5">
        <f t="shared" si="4"/>
        <v>7.2256510612667135E-4</v>
      </c>
      <c r="X7" s="113">
        <v>5</v>
      </c>
      <c r="Y7" s="113">
        <v>14</v>
      </c>
      <c r="AK7">
        <v>1</v>
      </c>
      <c r="AL7" s="115">
        <v>0</v>
      </c>
      <c r="AM7" s="115">
        <v>1</v>
      </c>
      <c r="AN7" s="115"/>
      <c r="AO7" s="115"/>
    </row>
    <row r="8" spans="2:41" x14ac:dyDescent="0.4">
      <c r="B8">
        <v>1</v>
      </c>
      <c r="C8">
        <v>1</v>
      </c>
      <c r="D8">
        <v>1</v>
      </c>
      <c r="E8">
        <v>1</v>
      </c>
      <c r="F8" s="10">
        <v>1</v>
      </c>
      <c r="G8" s="10">
        <v>1</v>
      </c>
      <c r="H8" s="10">
        <v>1</v>
      </c>
      <c r="I8" s="10">
        <v>1</v>
      </c>
      <c r="J8">
        <v>1</v>
      </c>
      <c r="K8">
        <v>0</v>
      </c>
      <c r="L8">
        <v>0</v>
      </c>
      <c r="M8">
        <v>0</v>
      </c>
      <c r="O8" s="18" t="s">
        <v>16</v>
      </c>
      <c r="P8" s="19">
        <f t="shared" si="0"/>
        <v>4069</v>
      </c>
      <c r="Q8" s="20">
        <f t="shared" si="1"/>
        <v>0.99365079365079367</v>
      </c>
      <c r="R8" s="19"/>
      <c r="S8" s="18" t="s">
        <v>41</v>
      </c>
      <c r="T8" s="19">
        <f t="shared" si="2"/>
        <v>508</v>
      </c>
      <c r="U8" s="20">
        <f t="shared" si="3"/>
        <v>0.9941291585127201</v>
      </c>
      <c r="V8" s="5">
        <f t="shared" si="4"/>
        <v>4.7836486192642802E-4</v>
      </c>
      <c r="X8" s="113">
        <v>6</v>
      </c>
      <c r="Y8" s="113">
        <v>6</v>
      </c>
    </row>
    <row r="9" spans="2:41" x14ac:dyDescent="0.4">
      <c r="B9">
        <v>1</v>
      </c>
      <c r="C9">
        <v>1</v>
      </c>
      <c r="D9">
        <v>1</v>
      </c>
      <c r="E9">
        <v>1</v>
      </c>
      <c r="F9" s="10">
        <v>1</v>
      </c>
      <c r="G9" s="10">
        <v>1</v>
      </c>
      <c r="H9" s="10">
        <v>1</v>
      </c>
      <c r="I9" s="10">
        <v>1</v>
      </c>
      <c r="J9">
        <v>1</v>
      </c>
      <c r="K9">
        <v>0</v>
      </c>
      <c r="L9">
        <v>0</v>
      </c>
      <c r="M9">
        <v>0</v>
      </c>
      <c r="O9" s="18" t="s">
        <v>17</v>
      </c>
      <c r="P9" s="19">
        <f t="shared" si="0"/>
        <v>4070</v>
      </c>
      <c r="Q9" s="20">
        <f t="shared" si="1"/>
        <v>0.99389499389499392</v>
      </c>
      <c r="R9" s="19"/>
      <c r="S9" s="18" t="s">
        <v>41</v>
      </c>
      <c r="T9" s="19">
        <f t="shared" si="2"/>
        <v>508</v>
      </c>
      <c r="U9" s="20">
        <f t="shared" si="3"/>
        <v>0.9941291585127201</v>
      </c>
      <c r="V9" s="5">
        <f t="shared" si="4"/>
        <v>2.3416461772618469E-4</v>
      </c>
      <c r="X9" s="113">
        <v>7</v>
      </c>
      <c r="Y9" s="113">
        <v>7</v>
      </c>
    </row>
    <row r="10" spans="2:41" x14ac:dyDescent="0.4">
      <c r="B10">
        <v>1</v>
      </c>
      <c r="C10">
        <v>1</v>
      </c>
      <c r="D10">
        <v>1</v>
      </c>
      <c r="E10">
        <v>1</v>
      </c>
      <c r="F10" s="10">
        <v>1</v>
      </c>
      <c r="G10" s="10">
        <v>1</v>
      </c>
      <c r="H10" s="10">
        <v>1</v>
      </c>
      <c r="I10" s="10">
        <v>0</v>
      </c>
      <c r="J10">
        <v>0</v>
      </c>
      <c r="K10">
        <v>0</v>
      </c>
      <c r="L10">
        <v>0</v>
      </c>
      <c r="M10">
        <v>0</v>
      </c>
      <c r="O10" s="18" t="s">
        <v>18</v>
      </c>
      <c r="P10" s="19">
        <f t="shared" si="0"/>
        <v>4071</v>
      </c>
      <c r="Q10" s="20">
        <f t="shared" si="1"/>
        <v>0.99413919413919416</v>
      </c>
      <c r="R10" s="19"/>
      <c r="S10" s="18" t="s">
        <v>41</v>
      </c>
      <c r="T10" s="19">
        <f t="shared" si="2"/>
        <v>508</v>
      </c>
      <c r="U10" s="20">
        <f t="shared" si="3"/>
        <v>0.9941291585127201</v>
      </c>
      <c r="V10" s="5">
        <f t="shared" si="4"/>
        <v>-1.0035626474058645E-5</v>
      </c>
      <c r="X10" s="113">
        <v>8</v>
      </c>
      <c r="Y10" s="113">
        <v>8</v>
      </c>
    </row>
    <row r="11" spans="2:41" x14ac:dyDescent="0.4">
      <c r="B11">
        <v>1</v>
      </c>
      <c r="C11">
        <v>1</v>
      </c>
      <c r="D11">
        <v>1</v>
      </c>
      <c r="E11">
        <v>1</v>
      </c>
      <c r="F11" s="10">
        <v>1</v>
      </c>
      <c r="G11" s="10">
        <v>1</v>
      </c>
      <c r="H11" s="10">
        <v>1</v>
      </c>
      <c r="I11" s="10">
        <v>0</v>
      </c>
      <c r="J11">
        <v>1</v>
      </c>
      <c r="K11">
        <v>0</v>
      </c>
      <c r="L11">
        <v>0</v>
      </c>
      <c r="M11">
        <v>0</v>
      </c>
      <c r="O11" s="15" t="s">
        <v>9</v>
      </c>
      <c r="P11" s="16">
        <f t="shared" si="0"/>
        <v>4072</v>
      </c>
      <c r="Q11" s="17">
        <f t="shared" si="1"/>
        <v>0.9943833943833944</v>
      </c>
      <c r="R11" s="16"/>
      <c r="S11" s="15" t="s">
        <v>42</v>
      </c>
      <c r="T11" s="16">
        <f t="shared" si="2"/>
        <v>509</v>
      </c>
      <c r="U11" s="17">
        <f t="shared" si="3"/>
        <v>0.99608610567514677</v>
      </c>
      <c r="V11" s="5">
        <f t="shared" si="4"/>
        <v>1.7027112917523679E-3</v>
      </c>
      <c r="X11" s="113">
        <v>9</v>
      </c>
      <c r="Y11" s="113">
        <v>9</v>
      </c>
    </row>
    <row r="12" spans="2:41" x14ac:dyDescent="0.4">
      <c r="O12" s="15" t="s">
        <v>19</v>
      </c>
      <c r="P12" s="16">
        <f t="shared" si="0"/>
        <v>4073</v>
      </c>
      <c r="Q12" s="17">
        <f t="shared" si="1"/>
        <v>0.99462759462759465</v>
      </c>
      <c r="R12" s="16"/>
      <c r="S12" s="15" t="s">
        <v>42</v>
      </c>
      <c r="T12" s="16">
        <f t="shared" si="2"/>
        <v>509</v>
      </c>
      <c r="U12" s="17">
        <f t="shared" si="3"/>
        <v>0.99608610567514677</v>
      </c>
      <c r="V12" s="5">
        <f t="shared" si="4"/>
        <v>1.4585110475521246E-3</v>
      </c>
      <c r="X12" s="114" t="s">
        <v>81</v>
      </c>
      <c r="Y12" s="114" t="s">
        <v>87</v>
      </c>
    </row>
    <row r="13" spans="2:41" x14ac:dyDescent="0.4">
      <c r="O13" s="15" t="s">
        <v>28</v>
      </c>
      <c r="P13" s="16">
        <f t="shared" si="0"/>
        <v>4074</v>
      </c>
      <c r="Q13" s="17">
        <f t="shared" si="1"/>
        <v>0.99487179487179489</v>
      </c>
      <c r="R13" s="16"/>
      <c r="S13" s="15" t="s">
        <v>42</v>
      </c>
      <c r="T13" s="16">
        <f t="shared" si="2"/>
        <v>509</v>
      </c>
      <c r="U13" s="17">
        <f t="shared" si="3"/>
        <v>0.99608610567514677</v>
      </c>
      <c r="V13" s="5">
        <f t="shared" si="4"/>
        <v>1.2143108033518812E-3</v>
      </c>
      <c r="X13" s="114" t="s">
        <v>82</v>
      </c>
      <c r="Y13" s="114" t="s">
        <v>88</v>
      </c>
    </row>
    <row r="14" spans="2:41" x14ac:dyDescent="0.4">
      <c r="O14" s="15" t="s">
        <v>29</v>
      </c>
      <c r="P14" s="16">
        <f t="shared" si="0"/>
        <v>4075</v>
      </c>
      <c r="Q14" s="17">
        <f t="shared" si="1"/>
        <v>0.99511599511599513</v>
      </c>
      <c r="R14" s="16"/>
      <c r="S14" s="15" t="s">
        <v>42</v>
      </c>
      <c r="T14" s="16">
        <f t="shared" si="2"/>
        <v>509</v>
      </c>
      <c r="U14" s="17">
        <f t="shared" si="3"/>
        <v>0.99608610567514677</v>
      </c>
      <c r="V14" s="5">
        <f t="shared" si="4"/>
        <v>9.7011055915163791E-4</v>
      </c>
      <c r="X14" s="114" t="s">
        <v>83</v>
      </c>
      <c r="Y14" s="114" t="s">
        <v>89</v>
      </c>
    </row>
    <row r="15" spans="2:41" x14ac:dyDescent="0.4">
      <c r="O15" s="15" t="s">
        <v>30</v>
      </c>
      <c r="P15" s="16">
        <f t="shared" si="0"/>
        <v>4076</v>
      </c>
      <c r="Q15" s="17">
        <f t="shared" si="1"/>
        <v>0.99536019536019538</v>
      </c>
      <c r="R15" s="16"/>
      <c r="S15" s="15" t="s">
        <v>42</v>
      </c>
      <c r="T15" s="16">
        <f t="shared" si="2"/>
        <v>509</v>
      </c>
      <c r="U15" s="17">
        <f t="shared" si="3"/>
        <v>0.99608610567514677</v>
      </c>
      <c r="V15" s="5">
        <f t="shared" si="4"/>
        <v>7.2591031495139458E-4</v>
      </c>
      <c r="X15" s="114" t="s">
        <v>84</v>
      </c>
      <c r="Y15" s="114" t="s">
        <v>90</v>
      </c>
    </row>
    <row r="16" spans="2:41" x14ac:dyDescent="0.4">
      <c r="O16" s="15" t="s">
        <v>31</v>
      </c>
      <c r="P16" s="16">
        <f t="shared" si="0"/>
        <v>4077</v>
      </c>
      <c r="Q16" s="17">
        <f t="shared" si="1"/>
        <v>0.99560439560439562</v>
      </c>
      <c r="R16" s="16"/>
      <c r="S16" s="15" t="s">
        <v>42</v>
      </c>
      <c r="T16" s="16">
        <f t="shared" si="2"/>
        <v>509</v>
      </c>
      <c r="U16" s="17">
        <f t="shared" si="3"/>
        <v>0.99608610567514677</v>
      </c>
      <c r="V16" s="5">
        <f t="shared" si="4"/>
        <v>4.8171007075115124E-4</v>
      </c>
      <c r="X16" s="114" t="s">
        <v>85</v>
      </c>
      <c r="Y16" s="114" t="s">
        <v>91</v>
      </c>
    </row>
    <row r="17" spans="15:25" x14ac:dyDescent="0.4">
      <c r="O17" s="15" t="s">
        <v>32</v>
      </c>
      <c r="P17" s="16">
        <f t="shared" si="0"/>
        <v>4078</v>
      </c>
      <c r="Q17" s="17">
        <f t="shared" si="1"/>
        <v>0.99584859584859586</v>
      </c>
      <c r="R17" s="16"/>
      <c r="S17" s="15" t="s">
        <v>42</v>
      </c>
      <c r="T17" s="16">
        <f t="shared" si="2"/>
        <v>509</v>
      </c>
      <c r="U17" s="17">
        <f t="shared" si="3"/>
        <v>0.99608610567514677</v>
      </c>
      <c r="V17" s="5">
        <f t="shared" si="4"/>
        <v>2.3750982655090791E-4</v>
      </c>
      <c r="X17" s="114" t="s">
        <v>86</v>
      </c>
      <c r="Y17" s="114" t="s">
        <v>92</v>
      </c>
    </row>
    <row r="18" spans="15:25" x14ac:dyDescent="0.4">
      <c r="O18" s="15" t="s">
        <v>33</v>
      </c>
      <c r="P18" s="16">
        <f t="shared" si="0"/>
        <v>4079</v>
      </c>
      <c r="Q18" s="17">
        <f t="shared" si="1"/>
        <v>0.99609279609279611</v>
      </c>
      <c r="R18" s="16"/>
      <c r="S18" s="15" t="s">
        <v>42</v>
      </c>
      <c r="T18" s="16">
        <f t="shared" si="2"/>
        <v>509</v>
      </c>
      <c r="U18" s="17">
        <f t="shared" si="3"/>
        <v>0.99608610567514677</v>
      </c>
      <c r="V18" s="5">
        <f t="shared" si="4"/>
        <v>-6.6904176493354228E-6</v>
      </c>
      <c r="X18" s="114" t="s">
        <v>93</v>
      </c>
      <c r="Y18" s="114" t="s">
        <v>94</v>
      </c>
    </row>
    <row r="19" spans="15:25" x14ac:dyDescent="0.4">
      <c r="O19" s="12" t="s">
        <v>8</v>
      </c>
      <c r="P19" s="13">
        <f t="shared" si="0"/>
        <v>4080</v>
      </c>
      <c r="Q19" s="14">
        <f t="shared" si="1"/>
        <v>0.99633699633699635</v>
      </c>
      <c r="R19" s="13"/>
      <c r="S19" s="12" t="s">
        <v>43</v>
      </c>
      <c r="T19" s="13">
        <f t="shared" si="2"/>
        <v>510</v>
      </c>
      <c r="U19" s="14">
        <f t="shared" si="3"/>
        <v>0.99804305283757333</v>
      </c>
      <c r="V19" s="5">
        <f t="shared" si="4"/>
        <v>1.7060565005769801E-3</v>
      </c>
    </row>
    <row r="20" spans="15:25" x14ac:dyDescent="0.4">
      <c r="O20" s="12" t="s">
        <v>20</v>
      </c>
      <c r="P20" s="13">
        <f t="shared" si="0"/>
        <v>4081</v>
      </c>
      <c r="Q20" s="14">
        <f t="shared" si="1"/>
        <v>0.99658119658119659</v>
      </c>
      <c r="R20" s="13"/>
      <c r="S20" s="12" t="s">
        <v>43</v>
      </c>
      <c r="T20" s="13">
        <f t="shared" si="2"/>
        <v>510</v>
      </c>
      <c r="U20" s="14">
        <f t="shared" si="3"/>
        <v>0.99804305283757333</v>
      </c>
      <c r="V20" s="5">
        <f t="shared" si="4"/>
        <v>1.4618562563767368E-3</v>
      </c>
    </row>
    <row r="21" spans="15:25" x14ac:dyDescent="0.4">
      <c r="O21" s="12" t="s">
        <v>21</v>
      </c>
      <c r="P21" s="13">
        <f t="shared" si="0"/>
        <v>4082</v>
      </c>
      <c r="Q21" s="14">
        <f t="shared" si="1"/>
        <v>0.99682539682539684</v>
      </c>
      <c r="R21" s="13"/>
      <c r="S21" s="12" t="s">
        <v>43</v>
      </c>
      <c r="T21" s="13">
        <f t="shared" si="2"/>
        <v>510</v>
      </c>
      <c r="U21" s="14">
        <f t="shared" si="3"/>
        <v>0.99804305283757333</v>
      </c>
      <c r="V21" s="5">
        <f t="shared" si="4"/>
        <v>1.2176560121764934E-3</v>
      </c>
    </row>
    <row r="22" spans="15:25" x14ac:dyDescent="0.4">
      <c r="O22" s="12" t="s">
        <v>22</v>
      </c>
      <c r="P22" s="13">
        <f t="shared" si="0"/>
        <v>4083</v>
      </c>
      <c r="Q22" s="14">
        <f t="shared" si="1"/>
        <v>0.99706959706959708</v>
      </c>
      <c r="R22" s="13"/>
      <c r="S22" s="12" t="s">
        <v>43</v>
      </c>
      <c r="T22" s="13">
        <f t="shared" si="2"/>
        <v>510</v>
      </c>
      <c r="U22" s="14">
        <f t="shared" si="3"/>
        <v>0.99804305283757333</v>
      </c>
      <c r="V22" s="5">
        <f t="shared" si="4"/>
        <v>9.7345576797625011E-4</v>
      </c>
    </row>
    <row r="23" spans="15:25" x14ac:dyDescent="0.4">
      <c r="O23" s="12" t="s">
        <v>23</v>
      </c>
      <c r="P23" s="13">
        <f t="shared" si="0"/>
        <v>4084</v>
      </c>
      <c r="Q23" s="14">
        <f t="shared" si="1"/>
        <v>0.99731379731379732</v>
      </c>
      <c r="R23" s="13"/>
      <c r="S23" s="12" t="s">
        <v>43</v>
      </c>
      <c r="T23" s="13">
        <f t="shared" si="2"/>
        <v>510</v>
      </c>
      <c r="U23" s="14">
        <f t="shared" si="3"/>
        <v>0.99804305283757333</v>
      </c>
      <c r="V23" s="5">
        <f t="shared" si="4"/>
        <v>7.2925552377600678E-4</v>
      </c>
    </row>
    <row r="24" spans="15:25" x14ac:dyDescent="0.4">
      <c r="O24" s="12" t="s">
        <v>24</v>
      </c>
      <c r="P24" s="13">
        <f t="shared" si="0"/>
        <v>4085</v>
      </c>
      <c r="Q24" s="14">
        <f t="shared" si="1"/>
        <v>0.99755799755799757</v>
      </c>
      <c r="R24" s="13"/>
      <c r="S24" s="12" t="s">
        <v>43</v>
      </c>
      <c r="T24" s="13">
        <f t="shared" si="2"/>
        <v>510</v>
      </c>
      <c r="U24" s="14">
        <f t="shared" si="3"/>
        <v>0.99804305283757333</v>
      </c>
      <c r="V24" s="5">
        <f t="shared" si="4"/>
        <v>4.8505527957576344E-4</v>
      </c>
    </row>
    <row r="25" spans="15:25" x14ac:dyDescent="0.4">
      <c r="O25" s="12" t="s">
        <v>25</v>
      </c>
      <c r="P25" s="13">
        <f t="shared" si="0"/>
        <v>4086</v>
      </c>
      <c r="Q25" s="14">
        <f t="shared" si="1"/>
        <v>0.99780219780219781</v>
      </c>
      <c r="R25" s="13"/>
      <c r="S25" s="12" t="s">
        <v>43</v>
      </c>
      <c r="T25" s="13">
        <f t="shared" si="2"/>
        <v>510</v>
      </c>
      <c r="U25" s="14">
        <f t="shared" si="3"/>
        <v>0.99804305283757333</v>
      </c>
      <c r="V25" s="5">
        <f t="shared" si="4"/>
        <v>2.4085503537552011E-4</v>
      </c>
    </row>
    <row r="26" spans="15:25" x14ac:dyDescent="0.4">
      <c r="O26" s="12" t="s">
        <v>26</v>
      </c>
      <c r="P26" s="13">
        <f t="shared" si="0"/>
        <v>4087</v>
      </c>
      <c r="Q26" s="14">
        <f t="shared" si="1"/>
        <v>0.99804639804639805</v>
      </c>
      <c r="R26" s="13"/>
      <c r="S26" s="12" t="s">
        <v>43</v>
      </c>
      <c r="T26" s="13">
        <f t="shared" si="2"/>
        <v>510</v>
      </c>
      <c r="U26" s="14">
        <f t="shared" si="3"/>
        <v>0.99804305283757333</v>
      </c>
      <c r="V26" s="5">
        <f t="shared" si="4"/>
        <v>-3.3452088247232226E-6</v>
      </c>
    </row>
    <row r="27" spans="15:25" x14ac:dyDescent="0.4">
      <c r="O27" s="9" t="s">
        <v>10</v>
      </c>
      <c r="P27" s="10">
        <f t="shared" si="0"/>
        <v>4088</v>
      </c>
      <c r="Q27" s="11">
        <f t="shared" si="1"/>
        <v>0.9982905982905983</v>
      </c>
      <c r="R27" s="10"/>
      <c r="S27" s="9" t="s">
        <v>40</v>
      </c>
      <c r="T27" s="10">
        <f t="shared" si="2"/>
        <v>511</v>
      </c>
      <c r="U27" s="11">
        <f t="shared" si="3"/>
        <v>1</v>
      </c>
      <c r="V27" s="5">
        <f t="shared" si="4"/>
        <v>1.7094017094017033E-3</v>
      </c>
    </row>
    <row r="28" spans="15:25" x14ac:dyDescent="0.4">
      <c r="O28" s="9" t="s">
        <v>27</v>
      </c>
      <c r="P28" s="10">
        <f t="shared" si="0"/>
        <v>4089</v>
      </c>
      <c r="Q28" s="11">
        <f t="shared" si="1"/>
        <v>0.99853479853479854</v>
      </c>
      <c r="R28" s="10"/>
      <c r="S28" s="9" t="s">
        <v>40</v>
      </c>
      <c r="T28" s="10">
        <f t="shared" si="2"/>
        <v>511</v>
      </c>
      <c r="U28" s="11">
        <f t="shared" si="3"/>
        <v>1</v>
      </c>
      <c r="V28" s="5">
        <f t="shared" si="4"/>
        <v>1.46520146520146E-3</v>
      </c>
    </row>
    <row r="29" spans="15:25" x14ac:dyDescent="0.4">
      <c r="O29" s="9" t="s">
        <v>34</v>
      </c>
      <c r="P29" s="10">
        <f t="shared" si="0"/>
        <v>4090</v>
      </c>
      <c r="Q29" s="11">
        <f t="shared" si="1"/>
        <v>0.99877899877899878</v>
      </c>
      <c r="R29" s="10"/>
      <c r="S29" s="9" t="s">
        <v>39</v>
      </c>
      <c r="T29" s="10">
        <f t="shared" si="2"/>
        <v>511</v>
      </c>
      <c r="U29" s="11">
        <f t="shared" si="3"/>
        <v>1</v>
      </c>
      <c r="V29" s="5">
        <f t="shared" si="4"/>
        <v>1.2210012210012167E-3</v>
      </c>
    </row>
    <row r="30" spans="15:25" x14ac:dyDescent="0.4">
      <c r="O30" s="9" t="s">
        <v>35</v>
      </c>
      <c r="P30" s="10">
        <f t="shared" si="0"/>
        <v>4091</v>
      </c>
      <c r="Q30" s="11">
        <f t="shared" si="1"/>
        <v>0.99902319902319903</v>
      </c>
      <c r="R30" s="10"/>
      <c r="S30" s="9" t="s">
        <v>39</v>
      </c>
      <c r="T30" s="10">
        <f t="shared" si="2"/>
        <v>511</v>
      </c>
      <c r="U30" s="11">
        <f t="shared" si="3"/>
        <v>1</v>
      </c>
      <c r="V30" s="5">
        <f t="shared" si="4"/>
        <v>9.7680097680097333E-4</v>
      </c>
    </row>
    <row r="31" spans="15:25" x14ac:dyDescent="0.4">
      <c r="O31" s="9" t="s">
        <v>36</v>
      </c>
      <c r="P31" s="10">
        <f t="shared" si="0"/>
        <v>4092</v>
      </c>
      <c r="Q31" s="11">
        <f t="shared" si="1"/>
        <v>0.99926739926739927</v>
      </c>
      <c r="R31" s="10"/>
      <c r="S31" s="9" t="s">
        <v>39</v>
      </c>
      <c r="T31" s="10">
        <f t="shared" si="2"/>
        <v>511</v>
      </c>
      <c r="U31" s="11">
        <f t="shared" si="3"/>
        <v>1</v>
      </c>
      <c r="V31" s="5">
        <f t="shared" si="4"/>
        <v>7.3260073260073E-4</v>
      </c>
    </row>
    <row r="32" spans="15:25" x14ac:dyDescent="0.4">
      <c r="O32" s="9" t="s">
        <v>37</v>
      </c>
      <c r="P32" s="10">
        <f t="shared" si="0"/>
        <v>4093</v>
      </c>
      <c r="Q32" s="11">
        <f t="shared" si="1"/>
        <v>0.99951159951159951</v>
      </c>
      <c r="R32" s="10"/>
      <c r="S32" s="9" t="s">
        <v>39</v>
      </c>
      <c r="T32" s="10">
        <f t="shared" si="2"/>
        <v>511</v>
      </c>
      <c r="U32" s="11">
        <f t="shared" si="3"/>
        <v>1</v>
      </c>
      <c r="V32" s="5">
        <f t="shared" si="4"/>
        <v>4.8840048840048667E-4</v>
      </c>
    </row>
    <row r="33" spans="15:22" x14ac:dyDescent="0.4">
      <c r="O33" s="9" t="s">
        <v>38</v>
      </c>
      <c r="P33" s="10">
        <f t="shared" si="0"/>
        <v>4094</v>
      </c>
      <c r="Q33" s="11">
        <f t="shared" si="1"/>
        <v>0.99975579975579976</v>
      </c>
      <c r="R33" s="10"/>
      <c r="S33" s="9" t="s">
        <v>39</v>
      </c>
      <c r="T33" s="10">
        <f t="shared" si="2"/>
        <v>511</v>
      </c>
      <c r="U33" s="11">
        <f t="shared" si="3"/>
        <v>1</v>
      </c>
      <c r="V33" s="5">
        <f t="shared" si="4"/>
        <v>2.4420024420024333E-4</v>
      </c>
    </row>
    <row r="34" spans="15:22" x14ac:dyDescent="0.4">
      <c r="O34" s="9" t="s">
        <v>7</v>
      </c>
      <c r="P34" s="10">
        <f t="shared" si="0"/>
        <v>4095</v>
      </c>
      <c r="Q34" s="11">
        <f t="shared" si="1"/>
        <v>1</v>
      </c>
      <c r="R34" s="10"/>
      <c r="S34" s="9" t="s">
        <v>39</v>
      </c>
      <c r="T34" s="10">
        <f t="shared" si="2"/>
        <v>511</v>
      </c>
      <c r="U34" s="11">
        <f t="shared" si="3"/>
        <v>1</v>
      </c>
      <c r="V34" s="5">
        <f t="shared" si="4"/>
        <v>0</v>
      </c>
    </row>
    <row r="35" spans="15:22" x14ac:dyDescent="0.4">
      <c r="O35" s="4"/>
      <c r="S35" s="4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E37C-E3C2-4D87-B5EB-001E5CB0AC55}">
  <sheetPr>
    <tabColor theme="0"/>
  </sheetPr>
  <dimension ref="B1:CK100"/>
  <sheetViews>
    <sheetView showGridLines="0" workbookViewId="0"/>
  </sheetViews>
  <sheetFormatPr defaultRowHeight="17.399999999999999" x14ac:dyDescent="0.4"/>
  <cols>
    <col min="2" max="2" width="12.19921875" style="1" bestFit="1" customWidth="1"/>
    <col min="3" max="3" width="2.59765625" customWidth="1"/>
    <col min="4" max="89" width="1.59765625" customWidth="1"/>
  </cols>
  <sheetData>
    <row r="1" spans="2:89" x14ac:dyDescent="0.4">
      <c r="D1" s="31"/>
      <c r="BP1" s="31"/>
    </row>
    <row r="2" spans="2:89" x14ac:dyDescent="0.4">
      <c r="B2" s="1" t="s">
        <v>51</v>
      </c>
      <c r="C2" s="25"/>
      <c r="D2" s="22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2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</row>
    <row r="3" spans="2:89" x14ac:dyDescent="0.4">
      <c r="D3" s="31"/>
      <c r="BP3" s="31"/>
    </row>
    <row r="4" spans="2:89" x14ac:dyDescent="0.4">
      <c r="B4" s="1" t="s">
        <v>6</v>
      </c>
      <c r="C4" s="25"/>
      <c r="D4" s="22"/>
      <c r="E4" s="23"/>
      <c r="F4" s="22"/>
      <c r="G4" s="23"/>
      <c r="H4" s="22"/>
      <c r="I4" s="23"/>
      <c r="J4" s="22"/>
      <c r="K4" s="23"/>
      <c r="L4" s="22"/>
      <c r="M4" s="23"/>
      <c r="N4" s="22"/>
      <c r="O4" s="23"/>
      <c r="P4" s="22"/>
      <c r="Q4" s="23"/>
      <c r="R4" s="22"/>
      <c r="S4" s="23"/>
      <c r="T4" s="22"/>
      <c r="U4" s="23"/>
      <c r="V4" s="22"/>
      <c r="W4" s="23"/>
      <c r="X4" s="22"/>
      <c r="Y4" s="23"/>
      <c r="Z4" s="22"/>
      <c r="AA4" s="23"/>
      <c r="AB4" s="22"/>
      <c r="AC4" s="23"/>
      <c r="AD4" s="22"/>
      <c r="AE4" s="26"/>
      <c r="AG4" s="21"/>
      <c r="AH4" s="22"/>
      <c r="AI4" s="23"/>
      <c r="AJ4" s="22"/>
      <c r="AK4" s="23"/>
      <c r="AL4" s="22"/>
      <c r="AM4" s="23"/>
      <c r="AN4" s="22"/>
      <c r="AO4" s="23"/>
      <c r="AP4" s="22"/>
      <c r="AQ4" s="23"/>
      <c r="AR4" s="22"/>
      <c r="AS4" s="23"/>
      <c r="AT4" s="22"/>
      <c r="AU4" s="23"/>
      <c r="AV4" s="22"/>
      <c r="AW4" s="23"/>
      <c r="AX4" s="22"/>
      <c r="AY4" s="23"/>
      <c r="AZ4" s="22"/>
      <c r="BA4" s="23"/>
      <c r="BB4" s="22"/>
      <c r="BC4" s="23"/>
      <c r="BD4" s="22"/>
      <c r="BE4" s="23"/>
      <c r="BF4" s="22"/>
      <c r="BG4" s="23"/>
      <c r="BH4" s="22"/>
      <c r="BI4" s="23"/>
      <c r="BJ4" s="22"/>
      <c r="BK4" s="23"/>
      <c r="BL4" s="22"/>
      <c r="BM4" s="23"/>
      <c r="BN4" s="22"/>
      <c r="BO4" s="26"/>
      <c r="BP4" s="22"/>
      <c r="BQ4" s="23"/>
      <c r="BR4" s="22"/>
      <c r="BS4" s="23"/>
      <c r="BT4" s="22"/>
      <c r="BU4" s="23"/>
      <c r="BV4" s="22"/>
      <c r="BW4" s="23"/>
      <c r="BX4" s="22"/>
      <c r="BY4" s="23"/>
      <c r="BZ4" s="22"/>
      <c r="CA4" s="23"/>
      <c r="CB4" s="22"/>
      <c r="CC4" s="23"/>
      <c r="CD4" s="22"/>
      <c r="CE4" s="23"/>
      <c r="CF4" s="22"/>
      <c r="CG4" s="23"/>
      <c r="CH4" s="22"/>
      <c r="CI4" s="23"/>
      <c r="CJ4" s="22"/>
      <c r="CK4" s="23"/>
    </row>
    <row r="5" spans="2:89" x14ac:dyDescent="0.4">
      <c r="D5" s="31"/>
      <c r="BP5" s="31"/>
    </row>
    <row r="6" spans="2:89" x14ac:dyDescent="0.4">
      <c r="B6" s="1" t="s">
        <v>52</v>
      </c>
      <c r="C6" s="25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9"/>
      <c r="BN6" s="25"/>
      <c r="BO6" s="25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6"/>
      <c r="CC6" s="25"/>
      <c r="CD6" s="25"/>
      <c r="CE6" s="25"/>
      <c r="CF6" s="25"/>
      <c r="CG6" s="25"/>
      <c r="CH6" s="25"/>
      <c r="CI6" s="25"/>
      <c r="CJ6" s="25"/>
      <c r="CK6" s="25"/>
    </row>
    <row r="7" spans="2:89" x14ac:dyDescent="0.4">
      <c r="D7" s="31"/>
      <c r="BP7" s="31"/>
    </row>
    <row r="9" spans="2:89" x14ac:dyDescent="0.4">
      <c r="D9" s="31"/>
      <c r="BP9" s="31"/>
    </row>
    <row r="10" spans="2:89" x14ac:dyDescent="0.4">
      <c r="B10" s="1" t="s">
        <v>51</v>
      </c>
      <c r="C10" s="25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33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33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33"/>
      <c r="AU10" s="25"/>
      <c r="AW10" s="25"/>
      <c r="AX10" s="25"/>
      <c r="AY10" s="25"/>
      <c r="AZ10" s="25"/>
      <c r="BA10" s="25"/>
      <c r="BB10" s="33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2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33"/>
      <c r="CE10" s="25"/>
      <c r="CF10" s="25"/>
      <c r="CG10" s="25"/>
      <c r="CH10" s="25"/>
      <c r="CI10" s="25"/>
      <c r="CJ10" s="25"/>
      <c r="CK10" s="25"/>
    </row>
    <row r="11" spans="2:89" x14ac:dyDescent="0.4">
      <c r="D11" s="31"/>
      <c r="R11" s="31"/>
      <c r="AF11" s="31"/>
      <c r="AT11" s="31"/>
      <c r="BB11" s="31"/>
      <c r="BP11" s="31"/>
      <c r="CD11" s="31"/>
    </row>
    <row r="12" spans="2:89" x14ac:dyDescent="0.4">
      <c r="B12" s="1" t="s">
        <v>6</v>
      </c>
      <c r="C12" s="25"/>
      <c r="D12" s="22"/>
      <c r="E12" s="23"/>
      <c r="F12" s="22"/>
      <c r="G12" s="23"/>
      <c r="H12" s="22"/>
      <c r="I12" s="26"/>
      <c r="K12" s="21"/>
      <c r="L12" s="22"/>
      <c r="M12" s="23"/>
      <c r="N12" s="22"/>
      <c r="O12" s="23"/>
      <c r="P12" s="22"/>
      <c r="Q12" s="26"/>
      <c r="R12" s="22"/>
      <c r="S12" s="23"/>
      <c r="T12" s="22"/>
      <c r="U12" s="23"/>
      <c r="V12" s="22"/>
      <c r="W12" s="26"/>
      <c r="Y12" s="21"/>
      <c r="Z12" s="22"/>
      <c r="AA12" s="23"/>
      <c r="AB12" s="22"/>
      <c r="AC12" s="23"/>
      <c r="AD12" s="22"/>
      <c r="AE12" s="26"/>
      <c r="AF12" s="22"/>
      <c r="AG12" s="23"/>
      <c r="AH12" s="22"/>
      <c r="AI12" s="23"/>
      <c r="AJ12" s="22"/>
      <c r="AK12" s="26"/>
      <c r="AM12" s="21"/>
      <c r="AN12" s="22"/>
      <c r="AO12" s="23"/>
      <c r="AP12" s="22"/>
      <c r="AQ12" s="23"/>
      <c r="AR12" s="22"/>
      <c r="AS12" s="26"/>
      <c r="AT12" s="22"/>
      <c r="AU12" s="26"/>
      <c r="AW12" s="21"/>
      <c r="AX12" s="22"/>
      <c r="AY12" s="26"/>
      <c r="AZ12" s="22"/>
      <c r="BA12" s="26"/>
      <c r="BB12" s="22"/>
      <c r="BC12" s="23"/>
      <c r="BD12" s="22"/>
      <c r="BE12" s="23"/>
      <c r="BF12" s="22"/>
      <c r="BG12" s="26"/>
      <c r="BI12" s="21"/>
      <c r="BJ12" s="22"/>
      <c r="BK12" s="23"/>
      <c r="BL12" s="22"/>
      <c r="BM12" s="23"/>
      <c r="BN12" s="22"/>
      <c r="BO12" s="26"/>
      <c r="BP12" s="22"/>
      <c r="BQ12" s="23"/>
      <c r="BR12" s="22"/>
      <c r="BS12" s="23"/>
      <c r="BT12" s="22"/>
      <c r="BU12" s="26"/>
      <c r="BW12" s="21"/>
      <c r="BX12" s="22"/>
      <c r="BY12" s="23"/>
      <c r="BZ12" s="22"/>
      <c r="CA12" s="23"/>
      <c r="CB12" s="22"/>
      <c r="CC12" s="26"/>
      <c r="CD12" s="22"/>
      <c r="CE12" s="23"/>
      <c r="CF12" s="22"/>
      <c r="CG12" s="23"/>
      <c r="CH12" s="22"/>
      <c r="CI12" s="26"/>
      <c r="CK12" s="21"/>
    </row>
    <row r="13" spans="2:89" x14ac:dyDescent="0.4">
      <c r="D13" s="31"/>
      <c r="R13" s="31"/>
      <c r="AF13" s="31"/>
      <c r="AT13" s="31"/>
      <c r="BB13" s="31"/>
      <c r="BP13" s="31"/>
      <c r="CD13" s="31"/>
    </row>
    <row r="14" spans="2:89" x14ac:dyDescent="0.4">
      <c r="B14" s="1" t="s">
        <v>52</v>
      </c>
      <c r="C14" s="25"/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6"/>
      <c r="Q14" s="21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6"/>
      <c r="AE14" s="21"/>
      <c r="AF14" s="32"/>
      <c r="AG14" s="28"/>
      <c r="AH14" s="28"/>
      <c r="AI14" s="28"/>
      <c r="AJ14" s="28"/>
      <c r="AK14" s="28"/>
      <c r="AM14" s="28"/>
      <c r="AN14" s="28"/>
      <c r="AO14" s="28"/>
      <c r="AP14" s="28"/>
      <c r="AQ14" s="28"/>
      <c r="AR14" s="26"/>
      <c r="AS14" s="21"/>
      <c r="AT14" s="32"/>
      <c r="AU14" s="28"/>
      <c r="AW14" s="28"/>
      <c r="AX14" s="28"/>
      <c r="AY14" s="28"/>
      <c r="AZ14" s="26"/>
      <c r="BA14" s="21"/>
      <c r="BB14" s="32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6"/>
      <c r="BO14" s="21"/>
      <c r="BP14" s="32"/>
      <c r="BQ14" s="28"/>
      <c r="BR14" s="28"/>
      <c r="BS14" s="28"/>
      <c r="BT14" s="26"/>
      <c r="BU14" s="25"/>
      <c r="BV14" s="25"/>
      <c r="BW14" s="25"/>
      <c r="BX14" s="25"/>
      <c r="BY14" s="25"/>
      <c r="BZ14" s="25"/>
      <c r="CA14" s="25"/>
      <c r="CB14" s="25"/>
      <c r="CC14" s="21"/>
      <c r="CD14" s="32"/>
      <c r="CE14" s="28"/>
      <c r="CF14" s="28"/>
      <c r="CG14" s="28"/>
      <c r="CH14" s="26"/>
      <c r="CI14" s="25"/>
      <c r="CJ14" s="25"/>
      <c r="CK14" s="25"/>
    </row>
    <row r="15" spans="2:89" x14ac:dyDescent="0.4">
      <c r="D15" s="31"/>
      <c r="R15" s="31"/>
      <c r="AF15" s="31"/>
      <c r="AT15" s="31"/>
      <c r="BB15" s="31"/>
      <c r="BP15" s="31"/>
      <c r="CD15" s="31"/>
    </row>
    <row r="17" spans="2:89" x14ac:dyDescent="0.4">
      <c r="D17" s="33"/>
      <c r="AD17" s="31"/>
      <c r="BC17" s="34"/>
      <c r="CD17" s="31"/>
    </row>
    <row r="18" spans="2:89" x14ac:dyDescent="0.4">
      <c r="B18" s="1" t="s">
        <v>51</v>
      </c>
      <c r="C18" s="25"/>
      <c r="D18" s="22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2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35"/>
      <c r="BD18" s="22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2"/>
      <c r="CE18" s="25"/>
      <c r="CF18" s="25"/>
      <c r="CG18" s="25"/>
      <c r="CH18" s="25"/>
      <c r="CI18" s="25"/>
      <c r="CJ18" s="25"/>
      <c r="CK18" s="25"/>
    </row>
    <row r="19" spans="2:89" x14ac:dyDescent="0.4">
      <c r="D19" s="31"/>
      <c r="AD19" s="31"/>
      <c r="BC19" s="34"/>
      <c r="CD19" s="31"/>
    </row>
    <row r="20" spans="2:89" x14ac:dyDescent="0.4">
      <c r="B20" s="1" t="s">
        <v>6</v>
      </c>
      <c r="C20" s="25"/>
      <c r="D20" s="22"/>
      <c r="E20" s="23"/>
      <c r="F20" s="22"/>
      <c r="G20" s="23"/>
      <c r="H20" s="22"/>
      <c r="I20" s="23"/>
      <c r="J20" s="22"/>
      <c r="K20" s="23"/>
      <c r="L20" s="22"/>
      <c r="M20" s="23"/>
      <c r="N20" s="22"/>
      <c r="O20" s="23"/>
      <c r="P20" s="22"/>
      <c r="Q20" s="23"/>
      <c r="R20" s="22"/>
      <c r="S20" s="23"/>
      <c r="T20" s="22"/>
      <c r="U20" s="23"/>
      <c r="V20" s="22"/>
      <c r="W20" s="23"/>
      <c r="X20" s="22"/>
      <c r="Y20" s="23"/>
      <c r="Z20" s="22"/>
      <c r="AA20" s="23"/>
      <c r="AB20" s="22"/>
      <c r="AC20" s="23"/>
      <c r="AD20" s="22"/>
      <c r="AE20" s="23"/>
      <c r="AF20" s="22"/>
      <c r="AG20" s="23"/>
      <c r="AH20" s="22"/>
      <c r="AI20" s="23"/>
      <c r="AJ20" s="22"/>
      <c r="AK20" s="23"/>
      <c r="AL20" s="22"/>
      <c r="AM20" s="23"/>
      <c r="AN20" s="22"/>
      <c r="AO20" s="23"/>
      <c r="AP20" s="22"/>
      <c r="AQ20" s="23"/>
      <c r="AR20" s="22"/>
      <c r="AS20" s="23"/>
      <c r="AT20" s="22"/>
      <c r="AU20" s="23"/>
      <c r="AV20" s="22"/>
      <c r="AW20" s="23"/>
      <c r="AX20" s="22"/>
      <c r="AY20" s="23"/>
      <c r="AZ20" s="22"/>
      <c r="BA20" s="23"/>
      <c r="BB20" s="22"/>
      <c r="BC20" s="23"/>
      <c r="BD20" s="22"/>
      <c r="BE20" s="23"/>
      <c r="BF20" s="22"/>
      <c r="BG20" s="23"/>
      <c r="BH20" s="22"/>
      <c r="BI20" s="23"/>
      <c r="BJ20" s="22"/>
      <c r="BK20" s="23"/>
      <c r="BL20" s="22"/>
      <c r="BM20" s="23"/>
      <c r="BN20" s="22"/>
      <c r="BO20" s="23"/>
      <c r="BP20" s="22"/>
      <c r="BQ20" s="23"/>
      <c r="BR20" s="22"/>
      <c r="BS20" s="23"/>
      <c r="BT20" s="22"/>
      <c r="BU20" s="23"/>
      <c r="BV20" s="22"/>
      <c r="BW20" s="23"/>
      <c r="BX20" s="22"/>
      <c r="BY20" s="23"/>
      <c r="BZ20" s="22"/>
      <c r="CA20" s="23"/>
      <c r="CB20" s="22"/>
      <c r="CC20" s="23"/>
      <c r="CD20" s="22"/>
      <c r="CE20" s="23"/>
      <c r="CF20" s="22"/>
      <c r="CG20" s="23"/>
      <c r="CH20" s="22"/>
      <c r="CI20" s="23"/>
      <c r="CJ20" s="22"/>
      <c r="CK20" s="23"/>
    </row>
    <row r="21" spans="2:89" ht="18" thickBot="1" x14ac:dyDescent="0.45">
      <c r="D21" s="31"/>
      <c r="AD21" s="31"/>
      <c r="BC21" s="34"/>
      <c r="CD21" s="31"/>
    </row>
    <row r="22" spans="2:89" ht="18" thickBot="1" x14ac:dyDescent="0.45">
      <c r="B22" s="1" t="s">
        <v>53</v>
      </c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8"/>
      <c r="AA22" s="38"/>
      <c r="AB22" s="38"/>
      <c r="AC22" s="39"/>
      <c r="AD22" s="36"/>
      <c r="AE22" s="37"/>
      <c r="AF22" s="37"/>
      <c r="AG22" s="37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2"/>
      <c r="BD22" s="36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43"/>
      <c r="BU22" s="43"/>
      <c r="BV22" s="43"/>
      <c r="BW22" s="43"/>
      <c r="BX22" s="43"/>
      <c r="BY22" s="43"/>
      <c r="BZ22" s="43"/>
      <c r="CA22" s="43"/>
      <c r="CB22" s="43"/>
      <c r="CC22" s="44"/>
    </row>
    <row r="23" spans="2:89" ht="18" thickBot="1" x14ac:dyDescent="0.45"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</row>
    <row r="24" spans="2:89" ht="18" thickBot="1" x14ac:dyDescent="0.45">
      <c r="B24" s="1" t="s">
        <v>54</v>
      </c>
      <c r="D24" s="31"/>
      <c r="J24" s="3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8"/>
      <c r="AG24" s="38"/>
      <c r="AH24" s="38"/>
      <c r="AI24" s="39"/>
      <c r="AJ24" s="36"/>
      <c r="AK24" s="37"/>
      <c r="AL24" s="37"/>
      <c r="AM24" s="37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2"/>
      <c r="BJ24" s="36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43"/>
      <c r="CA24" s="43"/>
      <c r="CB24" s="43"/>
      <c r="CC24" s="43"/>
      <c r="CD24" s="43"/>
      <c r="CE24" s="43"/>
      <c r="CF24" s="43"/>
      <c r="CG24" s="43"/>
      <c r="CH24" s="43"/>
      <c r="CI24" s="44"/>
    </row>
    <row r="25" spans="2:89" ht="18" thickBot="1" x14ac:dyDescent="0.45">
      <c r="D25" s="31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</row>
    <row r="26" spans="2:89" ht="18" thickBot="1" x14ac:dyDescent="0.45">
      <c r="B26" s="1" t="s">
        <v>55</v>
      </c>
      <c r="D26" s="31"/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8"/>
      <c r="AM26" s="38"/>
      <c r="AN26" s="38"/>
      <c r="AO26" s="39"/>
      <c r="AP26" s="36"/>
      <c r="AQ26" s="37"/>
      <c r="AR26" s="37"/>
      <c r="AS26" s="37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2"/>
      <c r="BP26" s="36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43"/>
      <c r="CG26" s="43"/>
      <c r="CH26" s="43"/>
      <c r="CI26" s="43"/>
      <c r="CJ26" s="43"/>
      <c r="CK26" s="43"/>
    </row>
    <row r="27" spans="2:89" ht="18" thickBot="1" x14ac:dyDescent="0.45">
      <c r="D27" s="31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</row>
    <row r="28" spans="2:89" ht="18" thickBot="1" x14ac:dyDescent="0.45">
      <c r="B28" s="1" t="s">
        <v>56</v>
      </c>
      <c r="D28" s="31"/>
      <c r="V28" s="36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8"/>
      <c r="AS28" s="38"/>
      <c r="AT28" s="38"/>
      <c r="AU28" s="39"/>
      <c r="AV28" s="36"/>
      <c r="AW28" s="37"/>
      <c r="AX28" s="37"/>
      <c r="AY28" s="37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2"/>
      <c r="BV28" s="36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</row>
    <row r="29" spans="2:89" ht="18" thickBot="1" x14ac:dyDescent="0.45">
      <c r="D29" s="31"/>
    </row>
    <row r="30" spans="2:89" ht="18" thickBot="1" x14ac:dyDescent="0.45">
      <c r="B30" s="1" t="s">
        <v>57</v>
      </c>
      <c r="D30" s="31"/>
      <c r="AB30" s="36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  <c r="AY30" s="38"/>
      <c r="AZ30" s="38"/>
      <c r="BA30" s="39"/>
      <c r="BB30" s="36"/>
      <c r="BC30" s="37"/>
      <c r="BD30" s="37"/>
      <c r="BE30" s="37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2"/>
      <c r="CB30" s="36"/>
      <c r="CC30" s="37"/>
      <c r="CD30" s="37"/>
      <c r="CE30" s="37"/>
      <c r="CF30" s="37"/>
      <c r="CG30" s="37"/>
      <c r="CH30" s="37"/>
      <c r="CI30" s="37"/>
      <c r="CJ30" s="37"/>
      <c r="CK30" s="37"/>
    </row>
    <row r="34" spans="2:89" x14ac:dyDescent="0.4">
      <c r="D34" s="31"/>
      <c r="AS34" s="34"/>
    </row>
    <row r="35" spans="2:89" x14ac:dyDescent="0.4">
      <c r="B35" s="1" t="s">
        <v>51</v>
      </c>
      <c r="C35" s="25"/>
      <c r="D35" s="32"/>
      <c r="E35" s="28"/>
      <c r="F35" s="2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35"/>
      <c r="AT35" s="32"/>
      <c r="AU35" s="28"/>
      <c r="AV35" s="29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35"/>
      <c r="CJ35" s="25"/>
      <c r="CK35" s="25"/>
    </row>
    <row r="36" spans="2:89" x14ac:dyDescent="0.4">
      <c r="D36" s="31"/>
      <c r="AN36" s="6"/>
      <c r="AO36" s="6"/>
      <c r="AP36" s="6"/>
      <c r="AQ36" s="6"/>
      <c r="AR36" s="6"/>
      <c r="AS36" s="46"/>
      <c r="AT36" s="31"/>
      <c r="CD36" s="6"/>
      <c r="CE36" s="6"/>
      <c r="CF36" s="6"/>
      <c r="CG36" s="6"/>
      <c r="CH36" s="6"/>
      <c r="CI36" s="46"/>
    </row>
    <row r="37" spans="2:89" x14ac:dyDescent="0.4">
      <c r="B37" s="1" t="s">
        <v>6</v>
      </c>
      <c r="C37" s="25"/>
      <c r="D37" s="32"/>
      <c r="E37" s="28"/>
      <c r="F37" s="29"/>
      <c r="G37" s="26"/>
      <c r="H37" s="25"/>
      <c r="I37" s="21"/>
      <c r="J37" s="27"/>
      <c r="K37" s="28"/>
      <c r="L37" s="29"/>
      <c r="M37" s="26"/>
      <c r="N37" s="25"/>
      <c r="O37" s="25"/>
      <c r="S37" s="25"/>
      <c r="T37" s="25"/>
      <c r="U37" s="21"/>
      <c r="V37" s="27"/>
      <c r="W37" s="28"/>
      <c r="X37" s="29"/>
      <c r="Y37" s="26"/>
      <c r="Z37" s="25"/>
      <c r="AA37" s="21"/>
      <c r="AB37" s="27"/>
      <c r="AC37" s="28"/>
      <c r="AD37" s="29"/>
      <c r="AE37" s="26"/>
      <c r="AF37" s="25"/>
      <c r="AG37" s="21"/>
      <c r="AH37" s="26"/>
      <c r="AI37" s="25"/>
      <c r="AJ37" s="25"/>
      <c r="AK37" s="25"/>
      <c r="AL37" s="25"/>
      <c r="AM37" s="21"/>
      <c r="AN37" s="26"/>
      <c r="AO37" s="25"/>
      <c r="AP37" s="25"/>
      <c r="AQ37" s="25"/>
      <c r="AR37" s="25"/>
      <c r="AS37" s="35"/>
      <c r="AT37" s="32"/>
      <c r="AU37" s="28"/>
      <c r="AV37" s="29"/>
      <c r="AW37" s="26"/>
      <c r="AX37" s="25"/>
      <c r="AY37" s="21"/>
      <c r="AZ37" s="27"/>
      <c r="BA37" s="28"/>
      <c r="BB37" s="29"/>
      <c r="BC37" s="26"/>
      <c r="BD37" s="25"/>
      <c r="BE37" s="25"/>
      <c r="BI37" s="25"/>
      <c r="BJ37" s="25"/>
      <c r="BK37" s="21"/>
      <c r="BL37" s="27"/>
      <c r="BM37" s="28"/>
      <c r="BN37" s="29"/>
      <c r="BO37" s="26"/>
      <c r="BP37" s="25"/>
      <c r="BQ37" s="21"/>
      <c r="BR37" s="27"/>
      <c r="BS37" s="28"/>
      <c r="BT37" s="29"/>
      <c r="BU37" s="26"/>
      <c r="BV37" s="25"/>
      <c r="BW37" s="21"/>
      <c r="BX37" s="26"/>
      <c r="BY37" s="25"/>
      <c r="BZ37" s="25"/>
      <c r="CA37" s="25"/>
      <c r="CB37" s="25"/>
      <c r="CC37" s="21"/>
      <c r="CD37" s="26"/>
      <c r="CE37" s="25"/>
      <c r="CF37" s="25"/>
      <c r="CG37" s="25"/>
      <c r="CH37" s="25"/>
      <c r="CI37" s="35"/>
      <c r="CJ37" s="27"/>
      <c r="CK37" s="28"/>
    </row>
    <row r="38" spans="2:89" ht="18" thickBot="1" x14ac:dyDescent="0.45">
      <c r="C38" s="1"/>
      <c r="D38" s="4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48"/>
      <c r="AT38" s="4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48"/>
      <c r="CJ38" s="1"/>
      <c r="CK38" s="1"/>
    </row>
    <row r="39" spans="2:89" ht="18" thickBot="1" x14ac:dyDescent="0.45">
      <c r="C39" s="1"/>
      <c r="D39" s="49"/>
      <c r="E39" s="50"/>
      <c r="F39" s="50"/>
      <c r="G39" s="50">
        <v>1</v>
      </c>
      <c r="H39" s="50"/>
      <c r="I39" s="50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2"/>
      <c r="AH39" s="54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5"/>
      <c r="AT39" s="49"/>
      <c r="AU39" s="50"/>
      <c r="AV39" s="50">
        <v>1</v>
      </c>
      <c r="AW39" s="50"/>
      <c r="AX39" s="50"/>
      <c r="AY39" s="50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2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5"/>
      <c r="CJ39" s="1"/>
      <c r="CK39" s="1"/>
    </row>
    <row r="40" spans="2:89" ht="18" thickBot="1" x14ac:dyDescent="0.45">
      <c r="C40" s="1"/>
      <c r="D40" s="4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65"/>
      <c r="AU40" s="53"/>
      <c r="AV40" s="53"/>
      <c r="AW40" s="53"/>
      <c r="AX40" s="53"/>
      <c r="AY40" s="5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55"/>
      <c r="CJ40" s="1"/>
      <c r="CK40" s="1"/>
    </row>
    <row r="41" spans="2:89" ht="18" thickBot="1" x14ac:dyDescent="0.45">
      <c r="C41" s="1"/>
      <c r="D41" s="4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9"/>
      <c r="W41" s="50"/>
      <c r="X41" s="50">
        <v>1</v>
      </c>
      <c r="Y41" s="50"/>
      <c r="Z41" s="50"/>
      <c r="AA41" s="50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65"/>
      <c r="AU41" s="51"/>
      <c r="AV41" s="51"/>
      <c r="AW41" s="51"/>
      <c r="AX41" s="51"/>
      <c r="AY41" s="52"/>
      <c r="AZ41" s="54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6"/>
      <c r="BL41" s="49"/>
      <c r="BM41" s="50"/>
      <c r="BN41" s="50">
        <v>1</v>
      </c>
      <c r="BO41" s="50"/>
      <c r="BP41" s="50"/>
      <c r="BQ41" s="50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</row>
    <row r="42" spans="2:89" x14ac:dyDescent="0.4">
      <c r="C42" s="1"/>
      <c r="D42" s="4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6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spans="2:89" ht="18" thickBot="1" x14ac:dyDescent="0.45">
      <c r="C43" s="1"/>
      <c r="D43" s="4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70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spans="2:89" ht="18" thickBot="1" x14ac:dyDescent="0.45">
      <c r="C44" s="1"/>
      <c r="D44" s="49"/>
      <c r="E44" s="50"/>
      <c r="F44" s="50"/>
      <c r="G44" s="50"/>
      <c r="H44" s="60" t="s">
        <v>61</v>
      </c>
      <c r="I44" s="50"/>
      <c r="J44" s="50"/>
      <c r="K44" s="50"/>
      <c r="L44" s="50"/>
      <c r="M44" s="50"/>
      <c r="N44" s="50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2"/>
      <c r="AH44" s="54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49"/>
      <c r="AU44" s="50"/>
      <c r="AV44" s="50"/>
      <c r="AW44" s="50"/>
      <c r="AX44" s="60" t="s">
        <v>61</v>
      </c>
      <c r="AY44" s="50"/>
      <c r="AZ44" s="50"/>
      <c r="BA44" s="50"/>
      <c r="BB44" s="50"/>
      <c r="BC44" s="50"/>
      <c r="BD44" s="50"/>
      <c r="BE44" s="50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2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5"/>
      <c r="CJ44" s="1"/>
      <c r="CK44" s="1"/>
    </row>
    <row r="45" spans="2:89" ht="18" thickBot="1" x14ac:dyDescent="0.45">
      <c r="C45" s="1"/>
      <c r="D45" s="4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47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</row>
    <row r="46" spans="2:89" ht="18" thickBot="1" x14ac:dyDescent="0.45">
      <c r="C46" s="1"/>
      <c r="D46" s="4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9"/>
      <c r="W46" s="50"/>
      <c r="X46" s="50"/>
      <c r="Y46" s="50"/>
      <c r="Z46" s="50"/>
      <c r="AA46" s="60" t="s">
        <v>58</v>
      </c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65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49"/>
      <c r="BM46" s="50"/>
      <c r="BN46" s="50"/>
      <c r="BO46" s="50"/>
      <c r="BP46" s="50"/>
      <c r="BQ46" s="60" t="s">
        <v>58</v>
      </c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1"/>
      <c r="CK46" s="51"/>
    </row>
    <row r="47" spans="2:89" ht="18" thickBot="1" x14ac:dyDescent="0.45">
      <c r="C47" s="1"/>
      <c r="D47" s="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47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2:89" ht="18" thickBot="1" x14ac:dyDescent="0.45">
      <c r="C48" s="1"/>
      <c r="D48" s="4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58"/>
      <c r="W48" s="59"/>
      <c r="X48" s="59"/>
      <c r="Y48" s="59"/>
      <c r="Z48" s="59"/>
      <c r="AA48" s="63" t="s">
        <v>59</v>
      </c>
      <c r="AB48" s="59"/>
      <c r="AC48" s="59"/>
      <c r="AD48" s="59"/>
      <c r="AE48" s="59"/>
      <c r="AF48" s="59"/>
      <c r="AG48" s="59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65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8"/>
      <c r="BM48" s="59"/>
      <c r="BN48" s="59"/>
      <c r="BO48" s="59"/>
      <c r="BP48" s="59"/>
      <c r="BQ48" s="63" t="s">
        <v>59</v>
      </c>
      <c r="BR48" s="59"/>
      <c r="BS48" s="59"/>
      <c r="BT48" s="59"/>
      <c r="BU48" s="59"/>
      <c r="BV48" s="59"/>
      <c r="BW48" s="59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</row>
    <row r="49" spans="2:89" x14ac:dyDescent="0.4">
      <c r="C49" s="1"/>
      <c r="D49" s="4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47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spans="2:89" x14ac:dyDescent="0.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spans="2:89" x14ac:dyDescent="0.4">
      <c r="C51" s="1"/>
      <c r="D51" s="4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8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spans="2:89" x14ac:dyDescent="0.4">
      <c r="B52" s="1" t="s">
        <v>51</v>
      </c>
      <c r="C52" s="25"/>
      <c r="D52" s="27"/>
      <c r="E52" s="28"/>
      <c r="F52" s="29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7"/>
      <c r="AI52" s="28"/>
      <c r="AJ52" s="29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7"/>
      <c r="CK52" s="28"/>
    </row>
    <row r="53" spans="2:89" x14ac:dyDescent="0.4">
      <c r="D53" s="31"/>
      <c r="AB53" s="6"/>
      <c r="AC53" s="6"/>
      <c r="AD53" s="6"/>
      <c r="AE53" s="6"/>
      <c r="AF53" s="6"/>
      <c r="AG53" s="46"/>
      <c r="AH53" s="31"/>
      <c r="BL53" s="6"/>
      <c r="BM53" s="6"/>
      <c r="BN53" s="6"/>
      <c r="BO53" s="6"/>
      <c r="BP53" s="6"/>
      <c r="BQ53" s="6"/>
      <c r="BR53" s="30"/>
      <c r="CJ53" s="31"/>
    </row>
    <row r="54" spans="2:89" x14ac:dyDescent="0.4">
      <c r="B54" s="1" t="s">
        <v>6</v>
      </c>
      <c r="C54" s="25"/>
      <c r="D54" s="32"/>
      <c r="E54" s="28"/>
      <c r="F54" s="29"/>
      <c r="G54" s="45"/>
      <c r="I54" s="40"/>
      <c r="J54" s="27"/>
      <c r="K54" s="28"/>
      <c r="L54" s="29"/>
      <c r="M54" s="26"/>
      <c r="N54" s="25"/>
      <c r="O54" s="21"/>
      <c r="P54" s="27"/>
      <c r="Q54" s="28"/>
      <c r="R54" s="29"/>
      <c r="S54" s="26"/>
      <c r="T54" s="25"/>
      <c r="U54" s="21"/>
      <c r="V54" s="26"/>
      <c r="W54" s="25"/>
      <c r="X54" s="25"/>
      <c r="Y54" s="25"/>
      <c r="Z54" s="25"/>
      <c r="AA54" s="21"/>
      <c r="AB54" s="26"/>
      <c r="AC54" s="25"/>
      <c r="AD54" s="25"/>
      <c r="AE54" s="25"/>
      <c r="AF54" s="25"/>
      <c r="AG54" s="35"/>
      <c r="AH54" s="32"/>
      <c r="AI54" s="28"/>
      <c r="AJ54" s="29"/>
      <c r="AK54" s="45"/>
      <c r="AM54" s="40"/>
      <c r="AN54" s="27"/>
      <c r="AO54" s="28"/>
      <c r="AP54" s="29"/>
      <c r="AQ54" s="26"/>
      <c r="AR54" s="25"/>
      <c r="AS54" s="21"/>
      <c r="AT54" s="27"/>
      <c r="AU54" s="28"/>
      <c r="AV54" s="29"/>
      <c r="AW54" s="26"/>
      <c r="AX54" s="25"/>
      <c r="AY54" s="21"/>
      <c r="AZ54" s="27"/>
      <c r="BA54" s="28"/>
      <c r="BB54" s="29"/>
      <c r="BC54" s="26"/>
      <c r="BD54" s="25"/>
      <c r="BE54" s="21"/>
      <c r="BF54" s="27"/>
      <c r="BG54" s="28"/>
      <c r="BH54" s="29"/>
      <c r="BI54" s="26"/>
      <c r="BJ54" s="25"/>
      <c r="BK54" s="21"/>
      <c r="BL54" s="27"/>
      <c r="BM54" s="28"/>
      <c r="BN54" s="29"/>
      <c r="BO54" s="26"/>
      <c r="BP54" s="25"/>
      <c r="BQ54" s="21"/>
      <c r="BR54" s="27"/>
      <c r="BS54" s="28"/>
      <c r="BT54" s="29"/>
      <c r="BU54" s="26"/>
      <c r="BV54" s="25"/>
      <c r="BW54" s="21"/>
      <c r="BX54" s="26"/>
      <c r="BY54" s="25"/>
      <c r="BZ54" s="25"/>
      <c r="CA54" s="25"/>
      <c r="CB54" s="25"/>
      <c r="CC54" s="21"/>
      <c r="CD54" s="26"/>
      <c r="CE54" s="25"/>
      <c r="CF54" s="25"/>
      <c r="CG54" s="25"/>
      <c r="CH54" s="25"/>
      <c r="CI54" s="25"/>
      <c r="CJ54" s="32"/>
      <c r="CK54" s="28"/>
    </row>
    <row r="55" spans="2:89" ht="18" thickBot="1" x14ac:dyDescent="0.45">
      <c r="C55" s="1"/>
      <c r="D55" s="4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8"/>
      <c r="AH55" s="47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CJ55" s="31"/>
    </row>
    <row r="56" spans="2:89" ht="18" thickBot="1" x14ac:dyDescent="0.45">
      <c r="C56" s="1"/>
      <c r="D56" s="49"/>
      <c r="E56" s="50"/>
      <c r="F56" s="50"/>
      <c r="G56" s="50"/>
      <c r="H56" s="62" t="s">
        <v>60</v>
      </c>
      <c r="I56" s="50"/>
      <c r="J56" s="50"/>
      <c r="K56" s="50"/>
      <c r="L56" s="50"/>
      <c r="M56" s="50"/>
      <c r="N56" s="50"/>
      <c r="O56" s="50"/>
      <c r="P56" s="51"/>
      <c r="Q56" s="51"/>
      <c r="R56" s="51"/>
      <c r="S56" s="51"/>
      <c r="T56" s="51"/>
      <c r="U56" s="52"/>
      <c r="V56" s="54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5"/>
      <c r="AH56" s="49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62" t="s">
        <v>60</v>
      </c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1"/>
      <c r="BS56" s="51"/>
      <c r="BT56" s="51"/>
      <c r="BU56" s="51"/>
      <c r="BV56" s="51"/>
      <c r="BW56" s="52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66"/>
      <c r="CK56" s="50"/>
    </row>
    <row r="57" spans="2:89" ht="18" thickBot="1" x14ac:dyDescent="0.45">
      <c r="C57" s="1"/>
      <c r="D57" s="47"/>
      <c r="E57" s="1"/>
      <c r="F57" s="1"/>
      <c r="G57" s="1"/>
      <c r="H57" s="1"/>
      <c r="I57" s="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6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65"/>
      <c r="AI57" s="53"/>
      <c r="AJ57" s="53"/>
      <c r="AK57" s="53"/>
      <c r="AL57" s="53"/>
      <c r="AM57" s="53"/>
      <c r="AN57" s="1"/>
      <c r="AO57" s="1"/>
      <c r="AP57" s="1"/>
      <c r="AQ57" s="1"/>
      <c r="AR57" s="1"/>
      <c r="AS57" s="1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53"/>
      <c r="BR57" s="1"/>
      <c r="BS57" s="1"/>
      <c r="BT57" s="1"/>
      <c r="BU57" s="1"/>
      <c r="BV57" s="1"/>
      <c r="BW57" s="1"/>
      <c r="CJ57" s="31"/>
    </row>
    <row r="58" spans="2:89" ht="18" thickBot="1" x14ac:dyDescent="0.45">
      <c r="C58" s="1"/>
      <c r="D58" s="47"/>
      <c r="E58" s="1"/>
      <c r="F58" s="1"/>
      <c r="G58" s="1"/>
      <c r="H58" s="1"/>
      <c r="I58" s="1"/>
      <c r="J58" s="49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62" t="s">
        <v>58</v>
      </c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66"/>
      <c r="AI58" s="50"/>
      <c r="AJ58" s="50"/>
      <c r="AK58" s="50"/>
      <c r="AL58" s="50"/>
      <c r="AM58" s="50"/>
      <c r="AN58" s="50"/>
      <c r="AO58" s="50"/>
      <c r="AP58" s="62" t="s">
        <v>64</v>
      </c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1"/>
      <c r="BG58" s="51"/>
      <c r="BH58" s="51"/>
      <c r="BI58" s="51"/>
      <c r="BJ58" s="51"/>
      <c r="BK58" s="51"/>
      <c r="BL58" s="49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62" t="s">
        <v>58</v>
      </c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66"/>
      <c r="CK58" s="50"/>
    </row>
    <row r="59" spans="2:89" ht="18" thickBot="1" x14ac:dyDescent="0.45">
      <c r="C59" s="1"/>
      <c r="D59" s="4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7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CJ59" s="31"/>
    </row>
    <row r="60" spans="2:89" ht="18" thickBot="1" x14ac:dyDescent="0.45">
      <c r="C60" s="1"/>
      <c r="D60" s="47"/>
      <c r="E60" s="1"/>
      <c r="F60" s="1"/>
      <c r="G60" s="1"/>
      <c r="H60" s="1"/>
      <c r="I60" s="1"/>
      <c r="J60" s="58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64" t="s">
        <v>62</v>
      </c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67"/>
      <c r="AI60" s="59"/>
      <c r="AJ60" s="59"/>
      <c r="AK60" s="64" t="s">
        <v>65</v>
      </c>
      <c r="AL60" s="59"/>
      <c r="AM60" s="59"/>
      <c r="AN60" s="59"/>
      <c r="AO60" s="59"/>
      <c r="AP60" s="59"/>
      <c r="AQ60" s="59"/>
      <c r="AR60" s="59"/>
      <c r="AS60" s="59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8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64" t="s">
        <v>62</v>
      </c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67"/>
      <c r="CK60" s="59"/>
    </row>
    <row r="61" spans="2:89" x14ac:dyDescent="0.4">
      <c r="C61" s="1"/>
      <c r="D61" s="4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7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J61" s="31"/>
    </row>
    <row r="62" spans="2:89" x14ac:dyDescent="0.4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2:89" x14ac:dyDescent="0.4">
      <c r="D63" s="31"/>
      <c r="AS63" s="34"/>
    </row>
    <row r="64" spans="2:89" x14ac:dyDescent="0.4">
      <c r="B64" s="1" t="s">
        <v>51</v>
      </c>
      <c r="C64" s="25"/>
      <c r="D64" s="32"/>
      <c r="E64" s="28"/>
      <c r="F64" s="29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35"/>
      <c r="AT64" s="32"/>
      <c r="AU64" s="28"/>
      <c r="AV64" s="29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35"/>
      <c r="CJ64" s="32"/>
      <c r="CK64" s="28"/>
    </row>
    <row r="65" spans="2:89" x14ac:dyDescent="0.4">
      <c r="D65" s="31"/>
      <c r="AN65" s="6"/>
      <c r="AO65" s="6"/>
      <c r="AP65" s="6"/>
      <c r="AQ65" s="6"/>
      <c r="AR65" s="6"/>
      <c r="AS65" s="46"/>
      <c r="AT65" s="31"/>
      <c r="CD65" s="6"/>
      <c r="CE65" s="6"/>
      <c r="CF65" s="6"/>
      <c r="CG65" s="6"/>
      <c r="CH65" s="6"/>
      <c r="CI65" s="46"/>
    </row>
    <row r="66" spans="2:89" x14ac:dyDescent="0.4">
      <c r="B66" s="1" t="s">
        <v>6</v>
      </c>
      <c r="C66" s="25"/>
      <c r="D66" s="32"/>
      <c r="E66" s="28"/>
      <c r="F66" s="29"/>
      <c r="G66" s="26"/>
      <c r="H66" s="25"/>
      <c r="I66" s="21"/>
      <c r="J66" s="27"/>
      <c r="K66" s="28"/>
      <c r="L66" s="29"/>
      <c r="M66" s="26"/>
      <c r="N66" s="25"/>
      <c r="O66" s="25"/>
      <c r="S66" s="25"/>
      <c r="T66" s="25"/>
      <c r="U66" s="21"/>
      <c r="V66" s="27"/>
      <c r="W66" s="28"/>
      <c r="X66" s="29"/>
      <c r="Y66" s="26"/>
      <c r="Z66" s="25"/>
      <c r="AA66" s="21"/>
      <c r="AB66" s="27"/>
      <c r="AC66" s="28"/>
      <c r="AD66" s="29"/>
      <c r="AE66" s="26"/>
      <c r="AF66" s="25"/>
      <c r="AG66" s="21"/>
      <c r="AH66" s="27"/>
      <c r="AI66" s="28"/>
      <c r="AJ66" s="29"/>
      <c r="AK66" s="26"/>
      <c r="AL66" s="25"/>
      <c r="AM66" s="21"/>
      <c r="AN66" s="27"/>
      <c r="AO66" s="28"/>
      <c r="AP66" s="29"/>
      <c r="AQ66" s="26"/>
      <c r="AR66" s="25"/>
      <c r="AS66" s="21"/>
      <c r="AT66" s="27"/>
      <c r="AU66" s="28"/>
      <c r="AV66" s="29"/>
      <c r="AW66" s="26"/>
      <c r="AX66" s="25"/>
      <c r="AY66" s="21"/>
      <c r="AZ66" s="27"/>
      <c r="BA66" s="28"/>
      <c r="BB66" s="29"/>
      <c r="BC66" s="26"/>
      <c r="BD66" s="25"/>
      <c r="BE66" s="25"/>
      <c r="BI66" s="25"/>
      <c r="BJ66" s="25"/>
      <c r="BK66" s="21"/>
      <c r="BL66" s="27"/>
      <c r="BM66" s="28"/>
      <c r="BN66" s="29"/>
      <c r="BO66" s="26"/>
      <c r="BP66" s="25"/>
      <c r="BQ66" s="21"/>
      <c r="BR66" s="27"/>
      <c r="BS66" s="28"/>
      <c r="BT66" s="29"/>
      <c r="BU66" s="26"/>
      <c r="BV66" s="25"/>
      <c r="BW66" s="21"/>
      <c r="BX66" s="27"/>
      <c r="BY66" s="28"/>
      <c r="BZ66" s="29"/>
      <c r="CA66" s="26"/>
      <c r="CB66" s="25"/>
      <c r="CC66" s="21"/>
      <c r="CD66" s="27"/>
      <c r="CE66" s="28"/>
      <c r="CF66" s="29"/>
      <c r="CG66" s="26"/>
      <c r="CH66" s="25"/>
      <c r="CI66" s="21"/>
      <c r="CJ66" s="27"/>
      <c r="CK66" s="28"/>
    </row>
    <row r="67" spans="2:89" ht="18" thickBot="1" x14ac:dyDescent="0.45">
      <c r="C67" s="1"/>
      <c r="D67" s="4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48"/>
      <c r="AT67" s="47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47"/>
      <c r="CK67" s="1"/>
    </row>
    <row r="68" spans="2:89" ht="18" thickBot="1" x14ac:dyDescent="0.45">
      <c r="C68" s="1"/>
      <c r="D68" s="49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60" t="s">
        <v>66</v>
      </c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49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60" t="s">
        <v>66</v>
      </c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2"/>
      <c r="CJ68" s="50"/>
      <c r="CK68" s="50"/>
    </row>
    <row r="69" spans="2:89" ht="18" thickBot="1" x14ac:dyDescent="0.45">
      <c r="C69" s="1"/>
      <c r="D69" s="4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65"/>
      <c r="AU69" s="53"/>
      <c r="AV69" s="53"/>
      <c r="AW69" s="53"/>
      <c r="AX69" s="53"/>
      <c r="AY69" s="53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53"/>
      <c r="CJ69" s="47"/>
      <c r="CK69" s="1"/>
    </row>
    <row r="70" spans="2:89" ht="18" thickBot="1" x14ac:dyDescent="0.45">
      <c r="C70" s="1"/>
      <c r="D70" s="4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N70" s="72" t="s">
        <v>67</v>
      </c>
      <c r="AO70" s="60"/>
      <c r="AP70" s="50"/>
      <c r="AQ70" s="50"/>
      <c r="AR70" s="50"/>
      <c r="AS70" s="50"/>
      <c r="AT70" s="66"/>
      <c r="AU70" s="50"/>
      <c r="AV70" s="50"/>
      <c r="AW70" s="50"/>
      <c r="AX70" s="60" t="s">
        <v>63</v>
      </c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49"/>
      <c r="CE70" s="50"/>
      <c r="CF70" s="50"/>
      <c r="CG70" s="50"/>
      <c r="CH70" s="50"/>
      <c r="CI70" s="50"/>
      <c r="CJ70" s="50"/>
      <c r="CK70" s="50"/>
    </row>
    <row r="71" spans="2:89" x14ac:dyDescent="0.4">
      <c r="C71" s="1"/>
      <c r="D71" s="4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69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47"/>
      <c r="CK71" s="1"/>
    </row>
    <row r="72" spans="2:89" ht="18" thickBot="1" x14ac:dyDescent="0.45">
      <c r="C72" s="1"/>
      <c r="D72" s="4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70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47"/>
      <c r="CK72" s="1"/>
    </row>
    <row r="73" spans="2:89" ht="18" thickBot="1" x14ac:dyDescent="0.45">
      <c r="C73" s="1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60" t="s">
        <v>68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73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60" t="s">
        <v>68</v>
      </c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66"/>
      <c r="CK73" s="50"/>
    </row>
    <row r="74" spans="2:89" ht="18" thickBot="1" x14ac:dyDescent="0.45">
      <c r="C74" s="1"/>
      <c r="D74" s="4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65"/>
      <c r="AU74" s="53"/>
      <c r="AV74" s="53"/>
      <c r="AW74" s="53"/>
      <c r="AX74" s="53"/>
      <c r="AY74" s="53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53"/>
      <c r="CJ74" s="47"/>
      <c r="CK74" s="1"/>
    </row>
    <row r="75" spans="2:89" ht="18" thickBot="1" x14ac:dyDescent="0.45">
      <c r="C75" s="1"/>
      <c r="D75" s="4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N75" s="72" t="s">
        <v>67</v>
      </c>
      <c r="AO75" s="60"/>
      <c r="AP75" s="50"/>
      <c r="AQ75" s="50"/>
      <c r="AR75" s="50"/>
      <c r="AS75" s="50"/>
      <c r="AT75" s="66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60" t="s">
        <v>64</v>
      </c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49"/>
      <c r="CE75" s="50"/>
      <c r="CF75" s="50"/>
      <c r="CG75" s="50"/>
      <c r="CH75" s="50"/>
      <c r="CI75" s="50"/>
      <c r="CJ75" s="66"/>
      <c r="CK75" s="50"/>
    </row>
    <row r="76" spans="2:89" x14ac:dyDescent="0.4">
      <c r="C76" s="1"/>
      <c r="D76" s="4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47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47"/>
      <c r="CK76" s="1"/>
    </row>
    <row r="88" spans="2:89" x14ac:dyDescent="0.4">
      <c r="B88" s="1" t="s">
        <v>51</v>
      </c>
      <c r="C88" s="25"/>
      <c r="D88" s="32"/>
      <c r="E88" s="28"/>
      <c r="F88" s="29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35"/>
      <c r="AT88" s="32"/>
      <c r="AU88" s="28"/>
      <c r="AV88" s="29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35"/>
      <c r="CJ88" s="32"/>
      <c r="CK88" s="28"/>
    </row>
    <row r="89" spans="2:89" x14ac:dyDescent="0.4">
      <c r="D89" s="31"/>
      <c r="AN89" s="6"/>
      <c r="AO89" s="6"/>
      <c r="AP89" s="6"/>
      <c r="AQ89" s="6"/>
      <c r="AR89" s="6"/>
      <c r="AS89" s="46"/>
      <c r="AT89" s="31"/>
      <c r="CD89" s="6"/>
      <c r="CE89" s="6"/>
      <c r="CF89" s="6"/>
      <c r="CG89" s="6"/>
      <c r="CH89" s="6"/>
      <c r="CI89" s="46"/>
    </row>
    <row r="90" spans="2:89" x14ac:dyDescent="0.4">
      <c r="B90" s="1" t="s">
        <v>6</v>
      </c>
      <c r="C90" s="25"/>
      <c r="D90" s="32"/>
      <c r="E90" s="28"/>
      <c r="F90" s="29"/>
      <c r="G90" s="26"/>
      <c r="H90" s="25"/>
      <c r="I90" s="21"/>
      <c r="J90" s="27"/>
      <c r="K90" s="28"/>
      <c r="L90" s="29"/>
      <c r="M90" s="26"/>
      <c r="N90" s="25"/>
      <c r="O90" s="25"/>
      <c r="S90" s="25"/>
      <c r="T90" s="25"/>
      <c r="U90" s="21"/>
      <c r="V90" s="27"/>
      <c r="W90" s="28"/>
      <c r="X90" s="29"/>
      <c r="Y90" s="26"/>
      <c r="Z90" s="25"/>
      <c r="AA90" s="21"/>
      <c r="AB90" s="27"/>
      <c r="AC90" s="28"/>
      <c r="AD90" s="29"/>
      <c r="AE90" s="26"/>
      <c r="AF90" s="25"/>
      <c r="AG90" s="21"/>
      <c r="AH90" s="27"/>
      <c r="AI90" s="28"/>
      <c r="AJ90" s="29"/>
      <c r="AK90" s="26"/>
      <c r="AL90" s="25"/>
      <c r="AM90" s="21"/>
      <c r="AN90" s="27"/>
      <c r="AO90" s="28"/>
      <c r="AP90" s="29"/>
      <c r="AQ90" s="26"/>
      <c r="AR90" s="25"/>
      <c r="AS90" s="21"/>
      <c r="AT90" s="27"/>
      <c r="AU90" s="28"/>
      <c r="AV90" s="29"/>
      <c r="AW90" s="26"/>
      <c r="AX90" s="25"/>
      <c r="AY90" s="21"/>
      <c r="AZ90" s="27"/>
      <c r="BA90" s="28"/>
      <c r="BB90" s="29"/>
      <c r="BC90" s="26"/>
      <c r="BD90" s="25"/>
      <c r="BE90" s="25"/>
      <c r="BI90" s="25"/>
      <c r="BJ90" s="25"/>
      <c r="BK90" s="21"/>
      <c r="BL90" s="27"/>
      <c r="BM90" s="28"/>
      <c r="BN90" s="29"/>
      <c r="BO90" s="26"/>
      <c r="BP90" s="25"/>
      <c r="BQ90" s="21"/>
      <c r="BR90" s="27"/>
      <c r="BS90" s="28"/>
      <c r="BT90" s="29"/>
      <c r="BU90" s="26"/>
      <c r="BV90" s="25"/>
      <c r="BW90" s="21"/>
      <c r="BX90" s="27"/>
      <c r="BY90" s="28"/>
      <c r="BZ90" s="29"/>
      <c r="CA90" s="26"/>
      <c r="CB90" s="25"/>
      <c r="CC90" s="21"/>
      <c r="CD90" s="27"/>
      <c r="CE90" s="28"/>
      <c r="CF90" s="29"/>
      <c r="CG90" s="26"/>
      <c r="CH90" s="25"/>
      <c r="CI90" s="21"/>
      <c r="CJ90" s="27"/>
      <c r="CK90" s="28"/>
    </row>
    <row r="91" spans="2:89" ht="18" thickBot="1" x14ac:dyDescent="0.45">
      <c r="C91" s="1"/>
      <c r="D91" s="4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48"/>
      <c r="AT91" s="47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47"/>
      <c r="CK91" s="1"/>
    </row>
    <row r="92" spans="2:89" ht="18" thickBot="1" x14ac:dyDescent="0.45">
      <c r="C92" s="1"/>
      <c r="D92" s="7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0"/>
      <c r="AO92" s="60" t="s">
        <v>70</v>
      </c>
      <c r="AP92" s="50"/>
      <c r="AQ92" s="50"/>
      <c r="AR92" s="50"/>
      <c r="AS92" s="50"/>
      <c r="AT92" s="7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>
        <v>2</v>
      </c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0"/>
      <c r="CE92" s="60" t="s">
        <v>70</v>
      </c>
      <c r="CF92" s="50"/>
      <c r="CG92" s="50"/>
      <c r="CH92" s="50"/>
      <c r="CI92" s="57"/>
      <c r="CJ92" s="51"/>
      <c r="CK92" s="51"/>
    </row>
    <row r="93" spans="2:89" ht="18" thickBot="1" x14ac:dyDescent="0.45">
      <c r="C93" s="1"/>
      <c r="D93" s="4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65"/>
      <c r="AU93" s="53"/>
      <c r="AV93" s="53"/>
      <c r="AW93" s="53"/>
      <c r="AX93" s="53"/>
      <c r="AY93" s="53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53"/>
      <c r="CJ93" s="47"/>
      <c r="CK93" s="1"/>
    </row>
    <row r="94" spans="2:89" ht="18" thickBot="1" x14ac:dyDescent="0.45">
      <c r="C94" s="1"/>
      <c r="D94" s="47"/>
      <c r="E94" s="1"/>
      <c r="F94" s="1"/>
      <c r="G94" s="1"/>
      <c r="H94" s="1"/>
      <c r="I94" s="1"/>
      <c r="J94" s="1"/>
      <c r="K94" s="1"/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6" t="s">
        <v>69</v>
      </c>
      <c r="AH94" s="1"/>
      <c r="AN94" s="74"/>
      <c r="AO94" s="75"/>
      <c r="AP94" s="51"/>
      <c r="AQ94" s="51"/>
      <c r="AR94" s="51"/>
      <c r="AS94" s="51"/>
      <c r="AT94" s="65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0"/>
      <c r="BY94" s="60" t="s">
        <v>70</v>
      </c>
      <c r="BZ94" s="50"/>
      <c r="CA94" s="50"/>
      <c r="CB94" s="50"/>
      <c r="CC94" s="50"/>
      <c r="CD94" s="71"/>
      <c r="CE94" s="51"/>
      <c r="CF94" s="51"/>
      <c r="CG94" s="51"/>
      <c r="CH94" s="51"/>
      <c r="CI94" s="51"/>
      <c r="CJ94" s="51"/>
      <c r="CK94" s="51"/>
    </row>
    <row r="95" spans="2:89" x14ac:dyDescent="0.4">
      <c r="C95" s="1"/>
      <c r="D95" s="4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69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47"/>
      <c r="CK95" s="1"/>
    </row>
    <row r="96" spans="2:89" ht="18" thickBot="1" x14ac:dyDescent="0.45">
      <c r="C96" s="1"/>
      <c r="D96" s="4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70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47"/>
      <c r="CK96" s="1"/>
    </row>
    <row r="97" spans="3:89" ht="18" thickBot="1" x14ac:dyDescent="0.45">
      <c r="C97" s="1"/>
      <c r="D97" s="71"/>
      <c r="E97" s="51"/>
      <c r="F97" s="51"/>
      <c r="G97" s="51"/>
      <c r="H97" s="51"/>
      <c r="I97" s="5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60" t="s">
        <v>71</v>
      </c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76"/>
      <c r="AU97" s="51"/>
      <c r="AV97" s="51"/>
      <c r="AW97" s="51"/>
      <c r="AX97" s="51"/>
      <c r="AY97" s="51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60" t="s">
        <v>71</v>
      </c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7"/>
      <c r="CJ97" s="50"/>
      <c r="CK97" s="50"/>
    </row>
    <row r="98" spans="3:89" ht="18" thickBot="1" x14ac:dyDescent="0.45">
      <c r="C98" s="1"/>
      <c r="D98" s="4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65"/>
      <c r="AU98" s="53"/>
      <c r="AV98" s="53"/>
      <c r="AW98" s="53"/>
      <c r="AX98" s="53"/>
      <c r="AY98" s="53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53"/>
      <c r="CJ98" s="47"/>
      <c r="CK98" s="1"/>
    </row>
    <row r="99" spans="3:89" ht="18" thickBot="1" x14ac:dyDescent="0.45">
      <c r="C99" s="1"/>
      <c r="D99" s="4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6" t="s">
        <v>69</v>
      </c>
      <c r="AH99" s="1"/>
      <c r="AN99" s="74"/>
      <c r="AO99" s="75"/>
      <c r="AP99" s="51"/>
      <c r="AQ99" s="51"/>
      <c r="AR99" s="51"/>
      <c r="AS99" s="51"/>
      <c r="AT99" s="66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60" t="s">
        <v>71</v>
      </c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71"/>
      <c r="CE99" s="51"/>
      <c r="CF99" s="51"/>
      <c r="CG99" s="51"/>
      <c r="CH99" s="51"/>
      <c r="CI99" s="51"/>
      <c r="CJ99" s="66"/>
      <c r="CK99" s="50"/>
    </row>
    <row r="100" spans="3:89" x14ac:dyDescent="0.4">
      <c r="C100" s="1"/>
      <c r="D100" s="4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47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47"/>
      <c r="CK100" s="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D817-9CA0-425C-B59F-A34BAE58E947}">
  <sheetPr>
    <tabColor theme="0"/>
  </sheetPr>
  <dimension ref="B4:AW35"/>
  <sheetViews>
    <sheetView showGridLines="0" zoomScale="116" zoomScaleNormal="116" workbookViewId="0"/>
  </sheetViews>
  <sheetFormatPr defaultRowHeight="17.399999999999999" x14ac:dyDescent="0.4"/>
  <cols>
    <col min="2" max="2" width="10" style="1" bestFit="1" customWidth="1"/>
    <col min="3" max="3" width="1.59765625" customWidth="1"/>
    <col min="4" max="49" width="2.59765625" customWidth="1"/>
  </cols>
  <sheetData>
    <row r="4" spans="2:49" x14ac:dyDescent="0.4">
      <c r="B4" s="1" t="s">
        <v>51</v>
      </c>
      <c r="D4" s="21"/>
      <c r="E4" s="22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2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6" spans="2:49" s="272" customFormat="1" ht="15.6" x14ac:dyDescent="0.35">
      <c r="B6" s="271"/>
      <c r="S6" s="479">
        <v>16381</v>
      </c>
      <c r="T6" s="479"/>
      <c r="U6" s="479">
        <v>16381</v>
      </c>
      <c r="V6" s="479"/>
      <c r="W6" s="479">
        <v>16381</v>
      </c>
      <c r="X6" s="479"/>
      <c r="Y6" s="479">
        <v>16381</v>
      </c>
      <c r="Z6" s="479"/>
      <c r="AA6" s="479">
        <v>16382</v>
      </c>
      <c r="AB6" s="479"/>
      <c r="AC6" s="479">
        <v>16383</v>
      </c>
      <c r="AD6" s="479"/>
    </row>
    <row r="7" spans="2:49" s="274" customFormat="1" ht="15.6" x14ac:dyDescent="0.4">
      <c r="B7" s="273"/>
      <c r="E7" s="274">
        <v>1</v>
      </c>
      <c r="G7" s="274">
        <v>2</v>
      </c>
      <c r="I7" s="274">
        <v>3</v>
      </c>
      <c r="K7" s="274">
        <v>4</v>
      </c>
      <c r="M7" s="274">
        <v>5</v>
      </c>
      <c r="O7" s="274">
        <v>6</v>
      </c>
      <c r="S7" s="477">
        <v>4093</v>
      </c>
      <c r="T7" s="477"/>
      <c r="U7" s="477">
        <v>4093</v>
      </c>
      <c r="V7" s="477"/>
      <c r="W7" s="477">
        <v>4093</v>
      </c>
      <c r="X7" s="477"/>
      <c r="Y7" s="477">
        <v>4093</v>
      </c>
      <c r="Z7" s="477"/>
      <c r="AA7" s="477">
        <v>4094</v>
      </c>
      <c r="AB7" s="477"/>
      <c r="AC7" s="477">
        <v>4095</v>
      </c>
      <c r="AD7" s="477"/>
      <c r="AE7" s="274">
        <v>1</v>
      </c>
      <c r="AG7" s="274">
        <v>2</v>
      </c>
      <c r="AI7" s="274">
        <v>3</v>
      </c>
      <c r="AK7" s="274">
        <v>4</v>
      </c>
      <c r="AM7" s="274">
        <v>5</v>
      </c>
      <c r="AO7" s="274">
        <v>6</v>
      </c>
      <c r="AQ7" s="274">
        <v>7</v>
      </c>
      <c r="AS7" s="274">
        <v>8</v>
      </c>
      <c r="AU7" s="274">
        <v>9</v>
      </c>
    </row>
    <row r="8" spans="2:49" s="274" customFormat="1" ht="15.6" x14ac:dyDescent="0.4">
      <c r="B8" s="273"/>
    </row>
    <row r="9" spans="2:49" x14ac:dyDescent="0.4">
      <c r="B9" s="1" t="s">
        <v>542</v>
      </c>
      <c r="D9" s="21"/>
      <c r="E9" s="22"/>
      <c r="F9" s="23"/>
      <c r="G9" s="22"/>
      <c r="H9" s="23"/>
      <c r="I9" s="22"/>
      <c r="J9" s="23"/>
      <c r="K9" s="22"/>
      <c r="L9" s="23"/>
      <c r="M9" s="22"/>
      <c r="N9" s="23"/>
      <c r="O9" s="22"/>
      <c r="P9" s="26"/>
      <c r="R9" s="21"/>
      <c r="S9" s="22"/>
      <c r="T9" s="23"/>
      <c r="U9" s="22"/>
      <c r="V9" s="23"/>
      <c r="W9" s="22"/>
      <c r="X9" s="23"/>
      <c r="Y9" s="22"/>
      <c r="Z9" s="23"/>
      <c r="AA9" s="22"/>
      <c r="AB9" s="23"/>
      <c r="AC9" s="22"/>
      <c r="AD9" s="23"/>
      <c r="AE9" s="22"/>
      <c r="AF9" s="23"/>
      <c r="AG9" s="22"/>
      <c r="AH9" s="23"/>
      <c r="AI9" s="22"/>
      <c r="AJ9" s="23"/>
      <c r="AK9" s="22"/>
      <c r="AL9" s="23"/>
      <c r="AM9" s="22"/>
      <c r="AN9" s="23"/>
      <c r="AO9" s="22"/>
      <c r="AP9" s="23"/>
      <c r="AQ9" s="22"/>
      <c r="AR9" s="23"/>
      <c r="AS9" s="22"/>
      <c r="AT9" s="23"/>
      <c r="AU9" s="22"/>
      <c r="AV9" s="23"/>
      <c r="AW9" s="22"/>
    </row>
    <row r="11" spans="2:49" x14ac:dyDescent="0.4">
      <c r="B11" s="1" t="s">
        <v>543</v>
      </c>
      <c r="D11" s="25"/>
      <c r="E11" s="276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81"/>
      <c r="Z11" s="282"/>
      <c r="AA11" s="282"/>
      <c r="AB11" s="282"/>
      <c r="AC11" s="282"/>
      <c r="AD11" s="283"/>
      <c r="AE11" s="278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</row>
    <row r="13" spans="2:49" x14ac:dyDescent="0.4">
      <c r="B13" s="1" t="s">
        <v>544</v>
      </c>
      <c r="D13" s="25"/>
      <c r="E13" s="25"/>
      <c r="F13" s="25"/>
      <c r="G13" s="25"/>
      <c r="H13" s="25"/>
      <c r="I13" s="276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85"/>
      <c r="AA13" s="284"/>
      <c r="AB13" s="279"/>
      <c r="AC13" s="279"/>
      <c r="AD13" s="279"/>
      <c r="AE13" s="279"/>
      <c r="AF13" s="279"/>
      <c r="AG13" s="279"/>
      <c r="AH13" s="280"/>
      <c r="AI13" s="275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</row>
    <row r="19" spans="2:49" x14ac:dyDescent="0.4">
      <c r="B19" s="1" t="s">
        <v>51</v>
      </c>
      <c r="D19" s="21"/>
      <c r="E19" s="22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2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2" spans="2:49" s="272" customFormat="1" ht="15.6" x14ac:dyDescent="0.35">
      <c r="B22" s="271"/>
      <c r="M22" s="478">
        <v>2046</v>
      </c>
      <c r="N22" s="478"/>
      <c r="O22" s="478">
        <f>2^14/8-1</f>
        <v>2047</v>
      </c>
      <c r="P22" s="478"/>
      <c r="S22" s="479"/>
      <c r="T22" s="479"/>
      <c r="U22" s="478">
        <f>2^14/8-1</f>
        <v>2047</v>
      </c>
      <c r="V22" s="478"/>
      <c r="W22" s="478">
        <v>1</v>
      </c>
      <c r="X22" s="478"/>
      <c r="Y22" s="479"/>
      <c r="Z22" s="479"/>
      <c r="AA22" s="478">
        <v>2046</v>
      </c>
      <c r="AB22" s="478"/>
      <c r="AC22" s="478">
        <f>2^14/8-1</f>
        <v>2047</v>
      </c>
      <c r="AD22" s="478"/>
    </row>
    <row r="23" spans="2:49" s="274" customFormat="1" ht="15.6" x14ac:dyDescent="0.35">
      <c r="B23" s="273"/>
      <c r="E23" s="274">
        <v>1</v>
      </c>
      <c r="G23" s="274">
        <v>2</v>
      </c>
      <c r="I23" s="477">
        <v>3</v>
      </c>
      <c r="J23" s="477"/>
      <c r="K23" s="272"/>
      <c r="L23" s="286"/>
      <c r="M23" s="477">
        <v>510</v>
      </c>
      <c r="N23" s="477"/>
      <c r="O23" s="477">
        <v>511</v>
      </c>
      <c r="P23" s="477"/>
      <c r="Q23" s="477">
        <v>1</v>
      </c>
      <c r="R23" s="477"/>
      <c r="S23" s="477"/>
      <c r="T23" s="477"/>
      <c r="U23" s="477">
        <v>511</v>
      </c>
      <c r="V23" s="477"/>
      <c r="W23" s="477">
        <v>1</v>
      </c>
      <c r="X23" s="477"/>
      <c r="Y23" s="286"/>
      <c r="Z23" s="286"/>
      <c r="AA23" s="477">
        <v>510</v>
      </c>
      <c r="AB23" s="477"/>
      <c r="AC23" s="477">
        <v>511</v>
      </c>
      <c r="AD23" s="477"/>
      <c r="AE23" s="274">
        <v>1</v>
      </c>
      <c r="AG23" s="274">
        <v>2</v>
      </c>
      <c r="AI23" s="274">
        <v>3</v>
      </c>
      <c r="AK23" s="274">
        <v>4</v>
      </c>
      <c r="AM23" s="274">
        <v>5</v>
      </c>
      <c r="AO23" s="274">
        <v>6</v>
      </c>
      <c r="AQ23" s="274">
        <v>7</v>
      </c>
      <c r="AS23" s="274">
        <v>8</v>
      </c>
      <c r="AU23" s="274">
        <v>9</v>
      </c>
    </row>
    <row r="24" spans="2:49" s="274" customFormat="1" ht="15.6" x14ac:dyDescent="0.35">
      <c r="B24" s="273"/>
      <c r="K24" s="272"/>
      <c r="L24" s="286"/>
      <c r="Y24" s="286"/>
      <c r="Z24" s="286"/>
    </row>
    <row r="25" spans="2:49" x14ac:dyDescent="0.35">
      <c r="B25" s="1" t="s">
        <v>542</v>
      </c>
      <c r="D25" s="21"/>
      <c r="E25" s="22"/>
      <c r="F25" s="23"/>
      <c r="G25" s="22"/>
      <c r="H25" s="26"/>
      <c r="I25" s="22"/>
      <c r="J25" s="26"/>
      <c r="K25" s="272"/>
      <c r="L25" s="21"/>
      <c r="M25" s="22"/>
      <c r="N25" s="23"/>
      <c r="O25" s="22"/>
      <c r="P25" s="23"/>
      <c r="Q25" s="22"/>
      <c r="R25" s="26"/>
      <c r="T25" s="25"/>
      <c r="U25" s="22"/>
      <c r="V25" s="26"/>
      <c r="W25" s="22"/>
      <c r="X25" s="26"/>
      <c r="Y25" s="286"/>
      <c r="Z25" s="21"/>
      <c r="AA25" s="22"/>
      <c r="AB25" s="23"/>
      <c r="AC25" s="22"/>
      <c r="AD25" s="23"/>
      <c r="AE25" s="22"/>
      <c r="AF25" s="23"/>
      <c r="AG25" s="22"/>
      <c r="AH25" s="23"/>
      <c r="AI25" s="22"/>
      <c r="AJ25" s="23"/>
      <c r="AK25" s="22"/>
      <c r="AL25" s="23"/>
      <c r="AM25" s="22"/>
      <c r="AN25" s="23"/>
      <c r="AO25" s="22"/>
      <c r="AP25" s="23"/>
      <c r="AQ25" s="22"/>
      <c r="AR25" s="23"/>
      <c r="AS25" s="22"/>
      <c r="AT25" s="23"/>
      <c r="AU25" s="22"/>
      <c r="AV25" s="23"/>
      <c r="AW25" s="22"/>
    </row>
    <row r="27" spans="2:49" x14ac:dyDescent="0.4">
      <c r="B27" s="1" t="s">
        <v>543</v>
      </c>
      <c r="D27" s="25"/>
      <c r="E27" s="276"/>
      <c r="F27" s="277"/>
      <c r="G27" s="277"/>
      <c r="H27" s="277"/>
      <c r="I27" s="277"/>
      <c r="J27" s="277"/>
      <c r="K27" s="277"/>
      <c r="L27" s="277"/>
      <c r="M27" s="281"/>
      <c r="N27" s="282"/>
      <c r="O27" s="282"/>
      <c r="P27" s="283"/>
      <c r="Q27" s="277"/>
      <c r="R27" s="277"/>
      <c r="T27" s="282"/>
      <c r="U27" s="282"/>
      <c r="V27" s="283"/>
      <c r="W27" s="277"/>
      <c r="X27" s="277"/>
      <c r="Y27" s="277"/>
      <c r="Z27" s="277"/>
      <c r="AA27" s="281"/>
      <c r="AB27" s="282"/>
      <c r="AC27" s="282"/>
      <c r="AD27" s="283"/>
      <c r="AE27" s="278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</row>
    <row r="29" spans="2:49" x14ac:dyDescent="0.4">
      <c r="B29" s="1" t="s">
        <v>544</v>
      </c>
      <c r="D29" s="25"/>
      <c r="E29" s="25"/>
      <c r="F29" s="25"/>
      <c r="G29" s="25"/>
      <c r="H29" s="25"/>
      <c r="I29" s="276"/>
      <c r="J29" s="277"/>
      <c r="K29" s="277"/>
      <c r="L29" s="277"/>
      <c r="M29" s="277"/>
      <c r="N29" s="277"/>
      <c r="O29" s="289"/>
      <c r="P29" s="287"/>
      <c r="Q29" s="287"/>
      <c r="R29" s="287"/>
      <c r="T29" s="287"/>
      <c r="U29" s="287"/>
      <c r="V29" s="288"/>
      <c r="W29" s="277"/>
      <c r="X29" s="277"/>
      <c r="Y29" s="277"/>
      <c r="Z29" s="277"/>
      <c r="AA29" s="277"/>
      <c r="AB29" s="277"/>
      <c r="AC29" s="284"/>
      <c r="AD29" s="279"/>
      <c r="AE29" s="279"/>
      <c r="AF29" s="279"/>
      <c r="AG29" s="279"/>
      <c r="AH29" s="280"/>
      <c r="AI29" s="275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3" spans="2:49" x14ac:dyDescent="0.4">
      <c r="B33" s="1" t="s">
        <v>51</v>
      </c>
      <c r="D33" s="25"/>
      <c r="E33" s="25"/>
      <c r="F33" s="25"/>
      <c r="G33" s="25"/>
      <c r="H33" s="25"/>
      <c r="I33" s="25"/>
      <c r="J33" s="25"/>
      <c r="K33" s="21"/>
      <c r="L33" s="22"/>
      <c r="M33" s="2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2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5" spans="2:49" x14ac:dyDescent="0.4">
      <c r="B35" s="1" t="s">
        <v>545</v>
      </c>
      <c r="D35" s="25"/>
      <c r="E35" s="25"/>
      <c r="F35" s="25"/>
      <c r="G35" s="25"/>
      <c r="H35" s="25"/>
      <c r="I35" s="25"/>
      <c r="J35" s="25"/>
      <c r="K35" s="25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</sheetData>
  <mergeCells count="29">
    <mergeCell ref="W22:X22"/>
    <mergeCell ref="AA7:AB7"/>
    <mergeCell ref="AC7:AD7"/>
    <mergeCell ref="Y7:Z7"/>
    <mergeCell ref="AC6:AD6"/>
    <mergeCell ref="Y6:Z6"/>
    <mergeCell ref="AA6:AB6"/>
    <mergeCell ref="S6:T6"/>
    <mergeCell ref="U6:V6"/>
    <mergeCell ref="W6:X6"/>
    <mergeCell ref="S7:T7"/>
    <mergeCell ref="U7:V7"/>
    <mergeCell ref="W7:X7"/>
    <mergeCell ref="O22:P22"/>
    <mergeCell ref="M22:N22"/>
    <mergeCell ref="AC23:AD23"/>
    <mergeCell ref="I23:J23"/>
    <mergeCell ref="M23:N23"/>
    <mergeCell ref="O23:P23"/>
    <mergeCell ref="Q23:R23"/>
    <mergeCell ref="Y22:Z22"/>
    <mergeCell ref="AA22:AB22"/>
    <mergeCell ref="S23:T23"/>
    <mergeCell ref="U23:V23"/>
    <mergeCell ref="W23:X23"/>
    <mergeCell ref="AA23:AB23"/>
    <mergeCell ref="AC22:AD22"/>
    <mergeCell ref="S22:T22"/>
    <mergeCell ref="U22:V2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spi_protocol</vt:lpstr>
      <vt:lpstr>serial_protocol</vt:lpstr>
      <vt:lpstr>es2_xc_reg</vt:lpstr>
      <vt:lpstr>xd_pwm_reg</vt:lpstr>
      <vt:lpstr>mclk</vt:lpstr>
      <vt:lpstr>ld_format</vt:lpstr>
      <vt:lpstr>vsync_fb</vt:lpstr>
      <vt:lpstr>xd12_pkg</vt:lpstr>
      <vt:lpstr>misc</vt:lpstr>
      <vt:lpstr>misc2</vt:lpstr>
      <vt:lpstr>misc3</vt:lpstr>
      <vt:lpstr>misc4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Tom Cho</cp:lastModifiedBy>
  <cp:lastPrinted>2024-10-15T07:30:48Z</cp:lastPrinted>
  <dcterms:created xsi:type="dcterms:W3CDTF">2024-08-08T02:03:23Z</dcterms:created>
  <dcterms:modified xsi:type="dcterms:W3CDTF">2024-12-19T00:20:08Z</dcterms:modified>
</cp:coreProperties>
</file>