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ing\01_Project\FW\ID804\ID804_TEST\Docs\"/>
    </mc:Choice>
  </mc:AlternateContent>
  <xr:revisionPtr revIDLastSave="0" documentId="13_ncr:1_{4864B63C-31BC-49DA-8AC4-6346DA338C2A}" xr6:coauthVersionLast="47" xr6:coauthVersionMax="47" xr10:uidLastSave="{00000000-0000-0000-0000-000000000000}"/>
  <bookViews>
    <workbookView xWindow="71880" yWindow="2160" windowWidth="29040" windowHeight="15720" tabRatio="875" activeTab="1" xr2:uid="{00000000-000D-0000-FFFF-FFFF00000000}"/>
  </bookViews>
  <sheets>
    <sheet name="Requirement" sheetId="1" r:id="rId1"/>
    <sheet name="Architecture" sheetId="2" r:id="rId2"/>
    <sheet name="MCU Setting" sheetId="11" r:id="rId3"/>
    <sheet name="Software Design" sheetId="3" r:id="rId4"/>
    <sheet name="Unit Test" sheetId="4" r:id="rId5"/>
    <sheet name="System Test" sheetId="5" r:id="rId6"/>
    <sheet name="Static Analysis" sheetId="6" r:id="rId7"/>
    <sheet name="Release Note" sheetId="7" r:id="rId8"/>
    <sheet name="Traceability" sheetId="8" r:id="rId9"/>
    <sheet name="Common" sheetId="9" r:id="rId10"/>
  </sheets>
  <definedNames>
    <definedName name="_xlnm._FilterDatabase" localSheetId="1" hidden="1">Architecture!$B$2:$I$13</definedName>
    <definedName name="_xlnm._FilterDatabase" localSheetId="7" hidden="1">'Release Note'!$B$2:$C$18</definedName>
    <definedName name="_xlnm._FilterDatabase" localSheetId="0" hidden="1">Requirement!$B$2:$I$14</definedName>
    <definedName name="_xlnm._FilterDatabase" localSheetId="3" hidden="1">'Software Design'!$B$2:$J$6</definedName>
    <definedName name="_xlnm._FilterDatabase" localSheetId="6" hidden="1">'Static Analysis'!$B$2:$M$4</definedName>
    <definedName name="_xlnm._FilterDatabase" localSheetId="5" hidden="1">'System Test'!$B$2:$L$7</definedName>
    <definedName name="_xlnm._FilterDatabase" localSheetId="8" hidden="1">Traceability!$B$2:$K$7</definedName>
    <definedName name="_xlnm._FilterDatabase" localSheetId="4" hidden="1">'Unit Test'!$B$2:$K$7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1" l="1"/>
  <c r="C14" i="11"/>
  <c r="C17" i="11" s="1"/>
  <c r="C18" i="11" s="1"/>
  <c r="C19" i="11" s="1"/>
  <c r="D4" i="11"/>
  <c r="K14" i="11" s="1"/>
  <c r="K17" i="11" s="1"/>
  <c r="K18" i="11" s="1"/>
  <c r="K19" i="11" s="1"/>
  <c r="D3" i="11"/>
  <c r="N14" i="11" s="1"/>
  <c r="N17" i="11" s="1"/>
  <c r="N18" i="11" s="1"/>
  <c r="N19" i="11" s="1"/>
  <c r="F14" i="11" l="1"/>
  <c r="F17" i="11" s="1"/>
  <c r="F18" i="11" s="1"/>
  <c r="F19" i="11" s="1"/>
  <c r="O14" i="11"/>
  <c r="O17" i="11" s="1"/>
  <c r="O18" i="11" s="1"/>
  <c r="O19" i="11" s="1"/>
  <c r="P14" i="11"/>
  <c r="P17" i="11" s="1"/>
  <c r="P18" i="11" s="1"/>
  <c r="P19" i="11" s="1"/>
  <c r="J14" i="11"/>
  <c r="J17" i="11" s="1"/>
  <c r="J18" i="11" s="1"/>
  <c r="J19" i="11" s="1"/>
  <c r="L14" i="11"/>
  <c r="L17" i="11" s="1"/>
  <c r="L18" i="11" s="1"/>
  <c r="L19" i="11" s="1"/>
  <c r="M14" i="11"/>
  <c r="M17" i="11" s="1"/>
  <c r="M18" i="11" s="1"/>
  <c r="M19" i="11" s="1"/>
  <c r="D14" i="11"/>
  <c r="D17" i="11" s="1"/>
  <c r="D18" i="11" s="1"/>
  <c r="D19" i="11" s="1"/>
  <c r="G14" i="11"/>
  <c r="G17" i="11" s="1"/>
  <c r="G18" i="11" s="1"/>
  <c r="G19" i="11" s="1"/>
  <c r="H14" i="11"/>
  <c r="H17" i="11" s="1"/>
  <c r="H18" i="11" s="1"/>
  <c r="H19" i="11" s="1"/>
  <c r="I14" i="11"/>
  <c r="I17" i="11" s="1"/>
  <c r="I18" i="11" s="1"/>
  <c r="I19" i="11" s="1"/>
  <c r="E14" i="11"/>
  <c r="E17" i="11" s="1"/>
  <c r="E18" i="11" s="1"/>
  <c r="E19" i="11" s="1"/>
</calcChain>
</file>

<file path=xl/sharedStrings.xml><?xml version="1.0" encoding="utf-8"?>
<sst xmlns="http://schemas.openxmlformats.org/spreadsheetml/2006/main" count="422" uniqueCount="270">
  <si>
    <t>Requirement ID</t>
  </si>
  <si>
    <t>Category</t>
  </si>
  <si>
    <t>Requirement</t>
  </si>
  <si>
    <t>Priority</t>
  </si>
  <si>
    <t>Verification Method</t>
  </si>
  <si>
    <t>Related Test ID</t>
  </si>
  <si>
    <t>Status</t>
  </si>
  <si>
    <t>Remarks</t>
  </si>
  <si>
    <t>FW-REQ-001</t>
  </si>
  <si>
    <t>High</t>
  </si>
  <si>
    <t>System Test</t>
  </si>
  <si>
    <t>ST-001</t>
  </si>
  <si>
    <t>Draft</t>
  </si>
  <si>
    <t>FW-REQ-002</t>
  </si>
  <si>
    <t>Integration Test</t>
  </si>
  <si>
    <t>IT-001</t>
  </si>
  <si>
    <t>FW-REQ-003</t>
  </si>
  <si>
    <t>ST-003</t>
  </si>
  <si>
    <t>FW-REQ-004</t>
  </si>
  <si>
    <t>ST-004</t>
  </si>
  <si>
    <t>FW-REQ-005</t>
  </si>
  <si>
    <t>ST-005</t>
  </si>
  <si>
    <t>Module ID</t>
  </si>
  <si>
    <t>Layer</t>
  </si>
  <si>
    <t>Module</t>
  </si>
  <si>
    <t>Responsibility</t>
  </si>
  <si>
    <t>Interface / Dependency</t>
  </si>
  <si>
    <t>Related Requirement</t>
  </si>
  <si>
    <t>Application</t>
  </si>
  <si>
    <t>ARC-002</t>
  </si>
  <si>
    <t>ARC-003</t>
  </si>
  <si>
    <t>Driver</t>
  </si>
  <si>
    <t>XCR24 Driver</t>
  </si>
  <si>
    <t>SPI Driver</t>
  </si>
  <si>
    <t>ARC-004</t>
  </si>
  <si>
    <t>Provide SPI communication.</t>
  </si>
  <si>
    <t>ARC-005</t>
  </si>
  <si>
    <t>Design ID</t>
  </si>
  <si>
    <t>Function / Item</t>
  </si>
  <si>
    <t>Input</t>
  </si>
  <si>
    <t>Output</t>
  </si>
  <si>
    <t>Description</t>
  </si>
  <si>
    <t>Error Handling</t>
  </si>
  <si>
    <t>DES-001</t>
  </si>
  <si>
    <t>xcr24_init()</t>
  </si>
  <si>
    <t>None</t>
  </si>
  <si>
    <t>status_t</t>
  </si>
  <si>
    <t>Initialize XCR24 registers and operating state.</t>
  </si>
  <si>
    <t>Initialization error</t>
  </si>
  <si>
    <t>DES-002</t>
  </si>
  <si>
    <t>xcr24_write_reg()</t>
  </si>
  <si>
    <t>Address, Data</t>
  </si>
  <si>
    <t>Write XCR24 register through SPI.</t>
  </si>
  <si>
    <t>SPI error/timeout</t>
  </si>
  <si>
    <t>DES-003</t>
  </si>
  <si>
    <t>xcr24_set_dac()</t>
  </si>
  <si>
    <t>uint16_t dac_value</t>
  </si>
  <si>
    <t>Set DAC value within 0~4095.</t>
  </si>
  <si>
    <t>Invalid parameter</t>
  </si>
  <si>
    <t>DES-004</t>
  </si>
  <si>
    <t>xcr24_trim()</t>
  </si>
  <si>
    <t>Trim parameter</t>
  </si>
  <si>
    <t>trim_result_t</t>
  </si>
  <si>
    <t>Perform DAC trim sequence.</t>
  </si>
  <si>
    <t>ADC/trim failure</t>
  </si>
  <si>
    <t>Test ID</t>
  </si>
  <si>
    <t>Type</t>
  </si>
  <si>
    <t>Module / Function</t>
  </si>
  <si>
    <t>Test Condition</t>
  </si>
  <si>
    <t>Expected Result</t>
  </si>
  <si>
    <t>Actual Result</t>
  </si>
  <si>
    <t>PASS/FAIL</t>
  </si>
  <si>
    <t>UT-001</t>
  </si>
  <si>
    <t>Unit</t>
  </si>
  <si>
    <t>Minimum value</t>
  </si>
  <si>
    <t>0</t>
  </si>
  <si>
    <t>STATUS_OK</t>
  </si>
  <si>
    <t>UT-002</t>
  </si>
  <si>
    <t>Nominal value</t>
  </si>
  <si>
    <t>2048</t>
  </si>
  <si>
    <t>UT-003</t>
  </si>
  <si>
    <t>Maximum value</t>
  </si>
  <si>
    <t>4095</t>
  </si>
  <si>
    <t>UT-004</t>
  </si>
  <si>
    <t>Out of range</t>
  </si>
  <si>
    <t>4096</t>
  </si>
  <si>
    <t>STATUS_INVALID_PARAM</t>
  </si>
  <si>
    <t>Integration</t>
  </si>
  <si>
    <t>UART→Command→XCR24</t>
  </si>
  <si>
    <t>Set DAC command</t>
  </si>
  <si>
    <t>DAC=2048</t>
  </si>
  <si>
    <t>XCR24 DAC register = 2048</t>
  </si>
  <si>
    <t>FW-REQ-002,003</t>
  </si>
  <si>
    <t>Test Item</t>
  </si>
  <si>
    <t>Test Procedure</t>
  </si>
  <si>
    <t>FW Version</t>
  </si>
  <si>
    <t>Tester</t>
  </si>
  <si>
    <t>Date</t>
  </si>
  <si>
    <t>Power-on initialization</t>
  </si>
  <si>
    <t>Power ON and monitor initialization sequence.</t>
  </si>
  <si>
    <t>XCR24 initialization completes normally.</t>
  </si>
  <si>
    <t>V1.0.0</t>
  </si>
  <si>
    <t>ST-002</t>
  </si>
  <si>
    <t>SPI register R/W</t>
  </si>
  <si>
    <t>Read/write selected XCR24 registers.</t>
  </si>
  <si>
    <t>Written data is read back correctly.</t>
  </si>
  <si>
    <t>DAC output</t>
  </si>
  <si>
    <t>Set DAC to 0/1024/2048/3072/4095 and measure output.</t>
  </si>
  <si>
    <t>Output follows expected DAC setting.</t>
  </si>
  <si>
    <t>ADC measurement</t>
  </si>
  <si>
    <t>Measure known analog input values.</t>
  </si>
  <si>
    <t>Measured values are within specification.</t>
  </si>
  <si>
    <t>DAC trim</t>
  </si>
  <si>
    <t>Run trim sequence and repeat measurement.</t>
  </si>
  <si>
    <t>Trim completes and result is PASS within limits.</t>
  </si>
  <si>
    <t>Finding ID</t>
  </si>
  <si>
    <t>Tool</t>
  </si>
  <si>
    <t>Rule</t>
  </si>
  <si>
    <t>File</t>
  </si>
  <si>
    <t>Line</t>
  </si>
  <si>
    <t>Severity</t>
  </si>
  <si>
    <t>Action</t>
  </si>
  <si>
    <t>Disposition</t>
  </si>
  <si>
    <t>Reviewer</t>
  </si>
  <si>
    <t>SA-001</t>
  </si>
  <si>
    <t>IAR Static Analysis</t>
  </si>
  <si>
    <t>MISRA-C:2012 Rule 14.4</t>
  </si>
  <si>
    <t>xcr24.c</t>
  </si>
  <si>
    <t>Controlling expression violation.</t>
  </si>
  <si>
    <t>Warning</t>
  </si>
  <si>
    <t>Modify condition</t>
  </si>
  <si>
    <t>Fixed</t>
  </si>
  <si>
    <t>Open</t>
  </si>
  <si>
    <t>SA-002</t>
  </si>
  <si>
    <t>cppcheck</t>
  </si>
  <si>
    <t>MISRA-C:2012 Rule 10.8</t>
  </si>
  <si>
    <t>trim.c</t>
  </si>
  <si>
    <t>Cast expression issue.</t>
  </si>
  <si>
    <t>Review cast</t>
  </si>
  <si>
    <t>Deviation</t>
  </si>
  <si>
    <t>Item</t>
  </si>
  <si>
    <t>Value</t>
  </si>
  <si>
    <t>Product</t>
  </si>
  <si>
    <t>XCR24</t>
  </si>
  <si>
    <t>MCU</t>
  </si>
  <si>
    <t>STM32F446RE</t>
  </si>
  <si>
    <t>Compiler</t>
  </si>
  <si>
    <t>IAR</t>
  </si>
  <si>
    <t>Git Commit</t>
  </si>
  <si>
    <t>Build Date</t>
  </si>
  <si>
    <t>Release Date</t>
  </si>
  <si>
    <t>Release Type</t>
  </si>
  <si>
    <t>Initial Release</t>
  </si>
  <si>
    <t>Added</t>
  </si>
  <si>
    <t>Changed</t>
  </si>
  <si>
    <t>Unit Test</t>
  </si>
  <si>
    <t>PASS</t>
  </si>
  <si>
    <t>Static Analysis / MISRA</t>
  </si>
  <si>
    <t>Binary</t>
  </si>
  <si>
    <t>XCR24_FW_V1.0.0.hex / .bin</t>
  </si>
  <si>
    <t>Architecture ID</t>
  </si>
  <si>
    <t>Source File / Function</t>
  </si>
  <si>
    <t>Unit/Integration Test ID</t>
  </si>
  <si>
    <t>System Test ID</t>
  </si>
  <si>
    <t>Static Analysis</t>
  </si>
  <si>
    <t>Release Version</t>
  </si>
  <si>
    <t>Overall Status</t>
  </si>
  <si>
    <t>XCR24 initialization</t>
  </si>
  <si>
    <t>ARC-001, ARC-003</t>
  </si>
  <si>
    <t>xcr24.c / xcr24_init()</t>
  </si>
  <si>
    <t>XCR24 SPI register R/W</t>
  </si>
  <si>
    <t>ARC-003, ARC-004</t>
  </si>
  <si>
    <t>drv_xcr24.c / xcr24_write_reg()</t>
  </si>
  <si>
    <t>12-bit DAC setting</t>
  </si>
  <si>
    <t>drv_xcr24.c / xcr24_set_dac()</t>
  </si>
  <si>
    <t>UT-001~004</t>
  </si>
  <si>
    <t>drv_adc.c / adc_measure()</t>
  </si>
  <si>
    <t>xcr24_trim.c / xcr24_trim()</t>
  </si>
  <si>
    <t>FW-REQ-001</t>
    <phoneticPr fontId="2" type="noConversion"/>
  </si>
  <si>
    <t>Measurement</t>
    <phoneticPr fontId="2" type="noConversion"/>
  </si>
  <si>
    <t>Interface</t>
    <phoneticPr fontId="2" type="noConversion"/>
  </si>
  <si>
    <t>Approved</t>
  </si>
  <si>
    <t>Implemented</t>
  </si>
  <si>
    <t>Verified</t>
  </si>
  <si>
    <t>Failed</t>
  </si>
  <si>
    <t>Integration Test</t>
    <phoneticPr fontId="2" type="noConversion"/>
  </si>
  <si>
    <t>System Test</t>
    <phoneticPr fontId="2" type="noConversion"/>
  </si>
  <si>
    <t>Priority</t>
    <phoneticPr fontId="2" type="noConversion"/>
  </si>
  <si>
    <t>High</t>
    <phoneticPr fontId="2" type="noConversion"/>
  </si>
  <si>
    <t>Mid</t>
    <phoneticPr fontId="2" type="noConversion"/>
  </si>
  <si>
    <t>Low</t>
    <phoneticPr fontId="2" type="noConversion"/>
  </si>
  <si>
    <t>Timer Driver</t>
    <phoneticPr fontId="2" type="noConversion"/>
  </si>
  <si>
    <t>STM32 LL / TIM / DMA</t>
    <phoneticPr fontId="2" type="noConversion"/>
  </si>
  <si>
    <t>UART Driver</t>
    <phoneticPr fontId="2" type="noConversion"/>
  </si>
  <si>
    <t>ARC-006</t>
  </si>
  <si>
    <t>ARC-007</t>
  </si>
  <si>
    <t>ARC-008</t>
  </si>
  <si>
    <t>Provide UART communication.</t>
    <phoneticPr fontId="2" type="noConversion"/>
  </si>
  <si>
    <t>I2C Driver</t>
    <phoneticPr fontId="2" type="noConversion"/>
  </si>
  <si>
    <t>Provide I2C communication.</t>
    <phoneticPr fontId="2" type="noConversion"/>
  </si>
  <si>
    <t>STM32 HAL / I2C</t>
    <phoneticPr fontId="2" type="noConversion"/>
  </si>
  <si>
    <t>STM32 LL / SPI</t>
    <phoneticPr fontId="2" type="noConversion"/>
  </si>
  <si>
    <t>Command Line Interface</t>
    <phoneticPr fontId="2" type="noConversion"/>
  </si>
  <si>
    <t>Parse received commands and dispatch corresponding application functions.</t>
    <phoneticPr fontId="2" type="noConversion"/>
  </si>
  <si>
    <t>GPIO Driver</t>
    <phoneticPr fontId="2" type="noConversion"/>
  </si>
  <si>
    <t>STM32 LL / GPIO</t>
    <phoneticPr fontId="2" type="noConversion"/>
  </si>
  <si>
    <t>Provide timer-based PWM, DMA, interrupt, and microsecond delay functions.
Convert timer count value to frequency.</t>
    <phoneticPr fontId="2" type="noConversion"/>
  </si>
  <si>
    <t>Peripheral</t>
    <phoneticPr fontId="4" type="noConversion"/>
  </si>
  <si>
    <t>timer</t>
    <phoneticPr fontId="4" type="noConversion"/>
  </si>
  <si>
    <t>APB1</t>
    <phoneticPr fontId="4" type="noConversion"/>
  </si>
  <si>
    <t>APB2</t>
    <phoneticPr fontId="4" type="noConversion"/>
  </si>
  <si>
    <t>TIM1</t>
    <phoneticPr fontId="4" type="noConversion"/>
  </si>
  <si>
    <t>TIM2</t>
    <phoneticPr fontId="4" type="noConversion"/>
  </si>
  <si>
    <t>TIM3</t>
    <phoneticPr fontId="4" type="noConversion"/>
  </si>
  <si>
    <t>TIM4</t>
    <phoneticPr fontId="4" type="noConversion"/>
  </si>
  <si>
    <t>APB</t>
    <phoneticPr fontId="4" type="noConversion"/>
  </si>
  <si>
    <t>BIT</t>
    <phoneticPr fontId="4" type="noConversion"/>
  </si>
  <si>
    <t>Purpose</t>
    <phoneticPr fontId="4" type="noConversion"/>
  </si>
  <si>
    <t>Base Freq</t>
    <phoneticPr fontId="4" type="noConversion"/>
  </si>
  <si>
    <t>Precaler</t>
    <phoneticPr fontId="4" type="noConversion"/>
  </si>
  <si>
    <t>Period</t>
    <phoneticPr fontId="4" type="noConversion"/>
  </si>
  <si>
    <t>MHz</t>
    <phoneticPr fontId="4" type="noConversion"/>
  </si>
  <si>
    <t>kHz</t>
    <phoneticPr fontId="4" type="noConversion"/>
  </si>
  <si>
    <t>Hz</t>
    <phoneticPr fontId="4" type="noConversion"/>
  </si>
  <si>
    <t>TIM5</t>
    <phoneticPr fontId="4" type="noConversion"/>
  </si>
  <si>
    <t>TIM6</t>
    <phoneticPr fontId="4" type="noConversion"/>
  </si>
  <si>
    <t>TIM7</t>
    <phoneticPr fontId="4" type="noConversion"/>
  </si>
  <si>
    <t>TIM8</t>
    <phoneticPr fontId="4" type="noConversion"/>
  </si>
  <si>
    <t>TIM9</t>
    <phoneticPr fontId="4" type="noConversion"/>
  </si>
  <si>
    <t>TIM10</t>
    <phoneticPr fontId="4" type="noConversion"/>
  </si>
  <si>
    <t>TIM11</t>
    <phoneticPr fontId="4" type="noConversion"/>
  </si>
  <si>
    <t>TIM12</t>
    <phoneticPr fontId="4" type="noConversion"/>
  </si>
  <si>
    <t>TIM13</t>
    <phoneticPr fontId="4" type="noConversion"/>
  </si>
  <si>
    <t>TIM14</t>
    <phoneticPr fontId="4" type="noConversion"/>
  </si>
  <si>
    <t>us delay</t>
    <phoneticPr fontId="4" type="noConversion"/>
  </si>
  <si>
    <t>DMA</t>
    <phoneticPr fontId="4" type="noConversion"/>
  </si>
  <si>
    <t>IRQ</t>
    <phoneticPr fontId="4" type="noConversion"/>
  </si>
  <si>
    <t>PWM Gen</t>
    <phoneticPr fontId="4" type="noConversion"/>
  </si>
  <si>
    <t>PWM Input</t>
    <phoneticPr fontId="4" type="noConversion"/>
  </si>
  <si>
    <t>Measure</t>
    <phoneticPr fontId="4" type="noConversion"/>
  </si>
  <si>
    <t>O</t>
    <phoneticPr fontId="4" type="noConversion"/>
  </si>
  <si>
    <t>HAL base</t>
    <phoneticPr fontId="4" type="noConversion"/>
  </si>
  <si>
    <t>ID804 Driver</t>
    <phoneticPr fontId="2" type="noConversion"/>
  </si>
  <si>
    <t>Framework</t>
    <phoneticPr fontId="2" type="noConversion"/>
  </si>
  <si>
    <t>RTOS</t>
    <phoneticPr fontId="2" type="noConversion"/>
  </si>
  <si>
    <t>ARC-001</t>
    <phoneticPr fontId="2" type="noConversion"/>
  </si>
  <si>
    <t>Driver</t>
    <phoneticPr fontId="2" type="noConversion"/>
  </si>
  <si>
    <t>UART Driver</t>
    <phoneticPr fontId="2" type="noConversion"/>
  </si>
  <si>
    <t>STM32 LL / UART</t>
    <phoneticPr fontId="2" type="noConversion"/>
  </si>
  <si>
    <t>Manage task scheduling and execution based on task priorities and timing requirements.</t>
    <phoneticPr fontId="2" type="noConversion"/>
  </si>
  <si>
    <t>FreeRTOS Kernel</t>
    <phoneticPr fontId="2" type="noConversion"/>
  </si>
  <si>
    <t>FW-REQ-006</t>
  </si>
  <si>
    <t>Provide GPIO control functions for firmware modules.</t>
    <phoneticPr fontId="2" type="noConversion"/>
  </si>
  <si>
    <t>SPI Driver, I2C Driver , GPIO Driver</t>
    <phoneticPr fontId="2" type="noConversion"/>
  </si>
  <si>
    <t>FW-REQ-003, 004, 005</t>
    <phoneticPr fontId="2" type="noConversion"/>
  </si>
  <si>
    <t>Provide ID804 registers and control functions.
Encode the data using Manchester encoding.</t>
    <phoneticPr fontId="2" type="noConversion"/>
  </si>
  <si>
    <t>Control</t>
    <phoneticPr fontId="2" type="noConversion"/>
  </si>
  <si>
    <t>Low</t>
  </si>
  <si>
    <t>The The firmware shall execute application tasks according to the scheduling mechanism provided by the RTOS.</t>
  </si>
  <si>
    <t>The The firmware shall provide a UART-based command interface for communication with PC.</t>
  </si>
  <si>
    <t>The firmware shall control ID804 through SPI and I2C.</t>
  </si>
  <si>
    <t>The firmware shall encode data transmitted through the ID804 SPI interface using Manchester encoding.</t>
  </si>
  <si>
    <t>The firmware shall control the communication direction of the ID804 interface.</t>
  </si>
  <si>
    <t>The firmware shall measure the frequency of ID804 output signal.</t>
  </si>
  <si>
    <t>The The firmware shall support a bootloader.</t>
    <phoneticPr fontId="2" type="noConversion"/>
  </si>
  <si>
    <t>ARC-009</t>
  </si>
  <si>
    <t>Bootloader</t>
    <phoneticPr fontId="2" type="noConversion"/>
  </si>
  <si>
    <t>FW-REQ-007</t>
  </si>
  <si>
    <t>Perform system initialization, firmware image verification, and application jump.
Support firmware update via UART communication.</t>
    <phoneticPr fontId="2" type="noConversion"/>
  </si>
  <si>
    <t>STM32 LL / UART / FLASH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</si>
</sst>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MHz&quot;"/>
    <numFmt numFmtId="177" formatCode="0&quot;MHz&quot;"/>
    <numFmt numFmtId="178" formatCode="0.00&quot;MHz&quot;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1">
      <alignment vertical="center"/>
    </xf>
    <xf numFmtId="177" fontId="3" fillId="0" borderId="0" xfId="1" applyNumberFormat="1">
      <alignment vertical="center"/>
    </xf>
    <xf numFmtId="0" fontId="3" fillId="0" borderId="2" xfId="1" applyBorder="1">
      <alignment vertical="center"/>
    </xf>
    <xf numFmtId="178" fontId="3" fillId="0" borderId="2" xfId="1" applyNumberFormat="1" applyBorder="1">
      <alignment vertical="center"/>
    </xf>
    <xf numFmtId="176" fontId="3" fillId="0" borderId="2" xfId="1" applyNumberFormat="1" applyBorder="1">
      <alignment vertical="center"/>
    </xf>
    <xf numFmtId="0" fontId="3" fillId="0" borderId="2" xfId="1" applyBorder="1" applyAlignment="1">
      <alignment horizontal="center" vertical="center"/>
    </xf>
    <xf numFmtId="0" fontId="0" fillId="0" borderId="2" xfId="0" applyBorder="1"/>
  </cellXfs>
  <cellStyles count="2">
    <cellStyle name="표준" xfId="0" builtinId="0"/>
    <cellStyle name="표준 2" xfId="1" xr:uid="{A1D0B2E5-89DF-445F-9A9A-659BBD7CBAD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231296</xdr:colOff>
      <xdr:row>31</xdr:row>
      <xdr:rowOff>190500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F6BBD1-2099-4F1D-86CE-1118C4F2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75821" y="217714"/>
          <a:ext cx="9375296" cy="67219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zoomScale="85" zoomScaleNormal="85" workbookViewId="0">
      <pane ySplit="2" topLeftCell="A3" activePane="bottomLeft" state="frozen"/>
      <selection pane="bottomLeft" activeCell="B9" sqref="B9"/>
    </sheetView>
  </sheetViews>
  <sheetFormatPr defaultRowHeight="17" x14ac:dyDescent="0.45"/>
  <cols>
    <col min="1" max="1" width="2.58203125" customWidth="1"/>
    <col min="2" max="3" width="16" customWidth="1"/>
    <col min="4" max="4" width="86.5" bestFit="1" customWidth="1"/>
    <col min="5" max="5" width="14" customWidth="1"/>
    <col min="6" max="6" width="21" customWidth="1"/>
    <col min="7" max="7" width="17" customWidth="1"/>
    <col min="8" max="9" width="14" customWidth="1"/>
    <col min="12" max="12" width="14.33203125" bestFit="1" customWidth="1"/>
    <col min="13" max="13" width="7.5" bestFit="1" customWidth="1"/>
    <col min="14" max="14" width="5.75" bestFit="1" customWidth="1"/>
  </cols>
  <sheetData>
    <row r="2" spans="2:9" ht="30" customHeight="1" x14ac:dyDescent="0.4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ht="17" customHeight="1" x14ac:dyDescent="0.45">
      <c r="B3" s="4" t="s">
        <v>178</v>
      </c>
      <c r="C3" s="5" t="s">
        <v>256</v>
      </c>
      <c r="D3" s="4" t="s">
        <v>258</v>
      </c>
      <c r="E3" s="4" t="s">
        <v>9</v>
      </c>
      <c r="F3" s="4" t="s">
        <v>14</v>
      </c>
      <c r="G3" s="4"/>
      <c r="H3" s="4" t="s">
        <v>12</v>
      </c>
      <c r="I3" s="4"/>
    </row>
    <row r="4" spans="2:9" ht="17" customHeight="1" x14ac:dyDescent="0.45">
      <c r="B4" s="4" t="s">
        <v>13</v>
      </c>
      <c r="C4" s="5" t="s">
        <v>180</v>
      </c>
      <c r="D4" s="4" t="s">
        <v>259</v>
      </c>
      <c r="E4" s="4" t="s">
        <v>9</v>
      </c>
      <c r="F4" s="4" t="s">
        <v>14</v>
      </c>
      <c r="G4" s="5"/>
      <c r="H4" s="5" t="s">
        <v>12</v>
      </c>
      <c r="I4" s="5"/>
    </row>
    <row r="5" spans="2:9" ht="17" customHeight="1" x14ac:dyDescent="0.45">
      <c r="B5" s="4" t="s">
        <v>16</v>
      </c>
      <c r="C5" s="5" t="s">
        <v>180</v>
      </c>
      <c r="D5" s="4" t="s">
        <v>260</v>
      </c>
      <c r="E5" s="4" t="s">
        <v>9</v>
      </c>
      <c r="F5" s="4" t="s">
        <v>14</v>
      </c>
      <c r="G5" s="5"/>
      <c r="H5" s="5" t="s">
        <v>12</v>
      </c>
      <c r="I5" s="5"/>
    </row>
    <row r="6" spans="2:9" ht="17" customHeight="1" x14ac:dyDescent="0.45">
      <c r="B6" s="4" t="s">
        <v>18</v>
      </c>
      <c r="C6" s="5" t="s">
        <v>180</v>
      </c>
      <c r="D6" s="13" t="s">
        <v>261</v>
      </c>
      <c r="E6" s="4" t="s">
        <v>9</v>
      </c>
      <c r="F6" s="4" t="s">
        <v>14</v>
      </c>
      <c r="H6" s="5" t="s">
        <v>12</v>
      </c>
      <c r="I6" s="5"/>
    </row>
    <row r="7" spans="2:9" ht="17" customHeight="1" x14ac:dyDescent="0.45">
      <c r="B7" s="4" t="s">
        <v>20</v>
      </c>
      <c r="C7" s="5" t="s">
        <v>180</v>
      </c>
      <c r="D7" s="4" t="s">
        <v>262</v>
      </c>
      <c r="E7" s="4" t="s">
        <v>9</v>
      </c>
      <c r="F7" s="4" t="s">
        <v>14</v>
      </c>
      <c r="G7" s="4"/>
      <c r="H7" s="4" t="s">
        <v>12</v>
      </c>
      <c r="I7" s="4"/>
    </row>
    <row r="8" spans="2:9" ht="17" customHeight="1" x14ac:dyDescent="0.45">
      <c r="B8" s="4" t="s">
        <v>251</v>
      </c>
      <c r="C8" s="5" t="s">
        <v>179</v>
      </c>
      <c r="D8" s="5" t="s">
        <v>263</v>
      </c>
      <c r="E8" s="4" t="s">
        <v>257</v>
      </c>
      <c r="F8" s="4" t="s">
        <v>10</v>
      </c>
      <c r="G8" s="4"/>
      <c r="H8" s="4" t="s">
        <v>12</v>
      </c>
      <c r="I8" s="4"/>
    </row>
    <row r="9" spans="2:9" ht="17" customHeight="1" x14ac:dyDescent="0.45">
      <c r="B9" s="4" t="s">
        <v>267</v>
      </c>
      <c r="C9" s="5" t="s">
        <v>256</v>
      </c>
      <c r="D9" s="4" t="s">
        <v>264</v>
      </c>
      <c r="E9" s="4" t="s">
        <v>9</v>
      </c>
      <c r="F9" s="4" t="s">
        <v>10</v>
      </c>
      <c r="G9" s="4"/>
      <c r="H9" s="4" t="s">
        <v>12</v>
      </c>
      <c r="I9" s="4"/>
    </row>
    <row r="10" spans="2:9" ht="17" customHeight="1" x14ac:dyDescent="0.45"/>
    <row r="11" spans="2:9" ht="17" customHeight="1" x14ac:dyDescent="0.45"/>
    <row r="12" spans="2:9" ht="17" customHeight="1" x14ac:dyDescent="0.45"/>
    <row r="13" spans="2:9" ht="17" customHeight="1" x14ac:dyDescent="0.45"/>
    <row r="14" spans="2:9" ht="17" customHeight="1" x14ac:dyDescent="0.45"/>
    <row r="15" spans="2:9" ht="17" customHeight="1" x14ac:dyDescent="0.45"/>
    <row r="16" spans="2:9" ht="17" customHeight="1" x14ac:dyDescent="0.45"/>
  </sheetData>
  <autoFilter ref="B2:I7" xr:uid="{00000000-0009-0000-0000-000000000000}"/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C8A9ECE-FE41-4C2F-832C-97EAE43D07AA}">
          <x14:formula1>
            <xm:f>Common!$D$3:$D$7</xm:f>
          </x14:formula1>
          <xm:sqref>H3:H9</xm:sqref>
        </x14:dataValidation>
        <x14:dataValidation type="list" allowBlank="1" showInputMessage="1" showErrorMessage="1" xr:uid="{5DF9B7D1-31DB-4402-87DE-866074A4475D}">
          <x14:formula1>
            <xm:f>Common!$B$3:$B$5</xm:f>
          </x14:formula1>
          <xm:sqref>E3:E9</xm:sqref>
        </x14:dataValidation>
        <x14:dataValidation type="list" allowBlank="1" showInputMessage="1" showErrorMessage="1" xr:uid="{A450BA07-13EB-4D36-880F-44F80B40A943}">
          <x14:formula1>
            <xm:f>Common!$C$3:$C$4</xm:f>
          </x14:formula1>
          <xm:sqref>F3:F9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3"/>
  <sheetViews>
    <sheetView tabSelected="1" zoomScale="85" zoomScaleNormal="85" workbookViewId="0">
      <pane ySplit="2" topLeftCell="A3" activePane="bottomLeft" state="frozen"/>
      <selection pane="bottomLeft"/>
    </sheetView>
  </sheetViews>
  <sheetFormatPr defaultRowHeight="17" x14ac:dyDescent="0.45"/>
  <cols>
    <col min="1" max="1" width="2.58203125" customWidth="1"/>
    <col min="2" max="3" width="14" customWidth="1"/>
    <col min="4" max="4" width="22.58203125" bestFit="1" customWidth="1"/>
    <col min="5" max="5" width="70.08203125" bestFit="1" customWidth="1"/>
    <col min="6" max="6" width="92.33203125" bestFit="1" customWidth="1"/>
    <col min="7" max="7" width="26.08203125" bestFit="1" customWidth="1"/>
    <col min="8" max="9" width="14" customWidth="1"/>
  </cols>
  <sheetData>
    <row r="2" spans="2:9" ht="30" customHeight="1" x14ac:dyDescent="0.45"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6</v>
      </c>
      <c r="I2" s="3" t="s">
        <v>7</v>
      </c>
    </row>
    <row r="3" spans="2:9" ht="17" customHeight="1" x14ac:dyDescent="0.45">
      <c r="B3" s="4" t="s">
        <v>245</v>
      </c>
      <c r="C3" s="4" t="s">
        <v>243</v>
      </c>
      <c r="D3" s="4" t="s">
        <v>244</v>
      </c>
      <c r="E3" s="4" t="s">
        <v>249</v>
      </c>
      <c r="F3" s="4" t="s">
        <v>250</v>
      </c>
      <c r="G3" s="4" t="s">
        <v>178</v>
      </c>
      <c r="H3" s="5" t="s">
        <v>12</v>
      </c>
      <c r="I3" s="5"/>
    </row>
    <row r="4" spans="2:9" ht="17" customHeight="1" x14ac:dyDescent="0.45">
      <c r="B4" s="4" t="s">
        <v>29</v>
      </c>
      <c r="C4" s="4" t="s">
        <v>28</v>
      </c>
      <c r="D4" s="4" t="s">
        <v>202</v>
      </c>
      <c r="E4" s="4" t="s">
        <v>203</v>
      </c>
      <c r="F4" s="4" t="s">
        <v>247</v>
      </c>
      <c r="G4" s="4" t="s">
        <v>13</v>
      </c>
      <c r="H4" s="5" t="s">
        <v>12</v>
      </c>
      <c r="I4" s="13"/>
    </row>
    <row r="5" spans="2:9" ht="17" customHeight="1" x14ac:dyDescent="0.45">
      <c r="B5" s="4" t="s">
        <v>30</v>
      </c>
      <c r="C5" s="13" t="s">
        <v>246</v>
      </c>
      <c r="D5" s="4" t="s">
        <v>193</v>
      </c>
      <c r="E5" s="4" t="s">
        <v>197</v>
      </c>
      <c r="F5" s="4" t="s">
        <v>248</v>
      </c>
      <c r="G5" s="4" t="s">
        <v>13</v>
      </c>
      <c r="H5" s="5" t="s">
        <v>12</v>
      </c>
      <c r="I5" s="13"/>
    </row>
    <row r="6" spans="2:9" ht="34" customHeight="1" x14ac:dyDescent="0.45">
      <c r="B6" s="4" t="s">
        <v>34</v>
      </c>
      <c r="C6" s="4" t="s">
        <v>31</v>
      </c>
      <c r="D6" s="4" t="s">
        <v>242</v>
      </c>
      <c r="E6" s="4" t="s">
        <v>255</v>
      </c>
      <c r="F6" s="4" t="s">
        <v>253</v>
      </c>
      <c r="G6" s="4" t="s">
        <v>254</v>
      </c>
      <c r="H6" s="5" t="s">
        <v>12</v>
      </c>
      <c r="I6" s="5"/>
    </row>
    <row r="7" spans="2:9" ht="17" customHeight="1" x14ac:dyDescent="0.45">
      <c r="B7" s="4" t="s">
        <v>36</v>
      </c>
      <c r="C7" s="4" t="s">
        <v>31</v>
      </c>
      <c r="D7" s="4" t="s">
        <v>198</v>
      </c>
      <c r="E7" s="4" t="s">
        <v>199</v>
      </c>
      <c r="F7" s="4" t="s">
        <v>200</v>
      </c>
      <c r="G7" s="4" t="s">
        <v>16</v>
      </c>
      <c r="H7" s="5" t="s">
        <v>12</v>
      </c>
      <c r="I7" s="5"/>
    </row>
    <row r="8" spans="2:9" ht="17" customHeight="1" x14ac:dyDescent="0.45">
      <c r="B8" s="4" t="s">
        <v>194</v>
      </c>
      <c r="C8" s="4" t="s">
        <v>31</v>
      </c>
      <c r="D8" s="4" t="s">
        <v>33</v>
      </c>
      <c r="E8" s="4" t="s">
        <v>35</v>
      </c>
      <c r="F8" s="4" t="s">
        <v>201</v>
      </c>
      <c r="G8" s="4" t="s">
        <v>16</v>
      </c>
      <c r="H8" s="5" t="s">
        <v>12</v>
      </c>
      <c r="I8" s="5"/>
    </row>
    <row r="9" spans="2:9" ht="17" customHeight="1" x14ac:dyDescent="0.45">
      <c r="B9" s="4" t="s">
        <v>195</v>
      </c>
      <c r="C9" s="4" t="s">
        <v>31</v>
      </c>
      <c r="D9" s="4" t="s">
        <v>204</v>
      </c>
      <c r="E9" s="4" t="s">
        <v>252</v>
      </c>
      <c r="F9" s="4" t="s">
        <v>205</v>
      </c>
      <c r="G9" s="4" t="s">
        <v>20</v>
      </c>
      <c r="H9" s="5" t="s">
        <v>12</v>
      </c>
      <c r="I9" s="5"/>
    </row>
    <row r="10" spans="2:9" ht="34" x14ac:dyDescent="0.45">
      <c r="B10" s="4" t="s">
        <v>196</v>
      </c>
      <c r="C10" s="4" t="s">
        <v>31</v>
      </c>
      <c r="D10" s="4" t="s">
        <v>191</v>
      </c>
      <c r="E10" s="4" t="s">
        <v>206</v>
      </c>
      <c r="F10" s="4" t="s">
        <v>192</v>
      </c>
      <c r="G10" s="4" t="s">
        <v>251</v>
      </c>
      <c r="H10" s="5" t="s">
        <v>12</v>
      </c>
      <c r="I10" s="5"/>
    </row>
    <row r="11" spans="2:9" ht="34" x14ac:dyDescent="0.45">
      <c r="B11" s="4" t="s">
        <v>265</v>
      </c>
      <c r="C11" s="4" t="s">
        <v>243</v>
      </c>
      <c r="D11" s="4" t="s">
        <v>266</v>
      </c>
      <c r="E11" s="4" t="s">
        <v>268</v>
      </c>
      <c r="F11" s="4" t="s">
        <v>269</v>
      </c>
      <c r="G11" s="4" t="s">
        <v>267</v>
      </c>
      <c r="H11" s="5" t="s">
        <v>12</v>
      </c>
      <c r="I11" s="13"/>
    </row>
    <row r="13" spans="2:9" ht="17" customHeight="1" x14ac:dyDescent="0.45"/>
  </sheetData>
  <autoFilter ref="B2:I13" xr:uid="{00000000-0009-0000-0000-000001000000}">
    <sortState xmlns:xlrd2="http://schemas.microsoft.com/office/spreadsheetml/2017/richdata2" ref="B3:I23">
      <sortCondition descending="1" ref="C2:C13"/>
    </sortState>
  </autoFilter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143727-0189-441B-AF85-05A98769C614}">
          <x14:formula1>
            <xm:f>Common!$D$3:$D$7</xm:f>
          </x14:formula1>
          <xm:sqref>H3:H11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E29F-E938-437A-A1E2-83FAA50DF5A9}">
  <dimension ref="B2:R19"/>
  <sheetViews>
    <sheetView zoomScale="70" zoomScaleNormal="70" workbookViewId="0"/>
  </sheetViews>
  <sheetFormatPr defaultRowHeight="17" x14ac:dyDescent="0.45"/>
  <cols>
    <col min="1" max="1" width="2.58203125" style="7" customWidth="1"/>
    <col min="2" max="2" width="11.5" style="7" bestFit="1" customWidth="1"/>
    <col min="3" max="3" width="11.6640625" style="7" bestFit="1" customWidth="1"/>
    <col min="4" max="9" width="10.58203125" style="7" bestFit="1" customWidth="1"/>
    <col min="10" max="13" width="11.6640625" style="7" bestFit="1" customWidth="1"/>
    <col min="14" max="16" width="10.58203125" style="7" bestFit="1" customWidth="1"/>
    <col min="17" max="16384" width="8.6640625" style="7"/>
  </cols>
  <sheetData>
    <row r="2" spans="2:18" x14ac:dyDescent="0.45">
      <c r="B2" s="3"/>
      <c r="C2" s="3" t="s">
        <v>207</v>
      </c>
      <c r="D2" s="3" t="s">
        <v>208</v>
      </c>
    </row>
    <row r="3" spans="2:18" x14ac:dyDescent="0.45">
      <c r="B3" s="3" t="s">
        <v>209</v>
      </c>
      <c r="C3" s="11">
        <v>32</v>
      </c>
      <c r="D3" s="11">
        <f>C3*2</f>
        <v>64</v>
      </c>
    </row>
    <row r="4" spans="2:18" x14ac:dyDescent="0.45">
      <c r="B4" s="3" t="s">
        <v>210</v>
      </c>
      <c r="C4" s="11">
        <f>C3*2</f>
        <v>64</v>
      </c>
      <c r="D4" s="11">
        <f>C4*2</f>
        <v>128</v>
      </c>
      <c r="Q4" s="8"/>
      <c r="R4" s="8"/>
    </row>
    <row r="6" spans="2:18" x14ac:dyDescent="0.45">
      <c r="B6" s="3"/>
      <c r="C6" s="3" t="s">
        <v>211</v>
      </c>
      <c r="D6" s="3" t="s">
        <v>212</v>
      </c>
      <c r="E6" s="3" t="s">
        <v>213</v>
      </c>
      <c r="F6" s="3" t="s">
        <v>214</v>
      </c>
      <c r="G6" s="3" t="s">
        <v>224</v>
      </c>
      <c r="H6" s="3" t="s">
        <v>225</v>
      </c>
      <c r="I6" s="3" t="s">
        <v>226</v>
      </c>
      <c r="J6" s="3" t="s">
        <v>227</v>
      </c>
      <c r="K6" s="3" t="s">
        <v>228</v>
      </c>
      <c r="L6" s="3" t="s">
        <v>229</v>
      </c>
      <c r="M6" s="3" t="s">
        <v>230</v>
      </c>
      <c r="N6" s="3" t="s">
        <v>231</v>
      </c>
      <c r="O6" s="3" t="s">
        <v>232</v>
      </c>
      <c r="P6" s="3" t="s">
        <v>233</v>
      </c>
    </row>
    <row r="7" spans="2:18" x14ac:dyDescent="0.45">
      <c r="B7" s="3" t="s">
        <v>215</v>
      </c>
      <c r="C7" s="3" t="s">
        <v>210</v>
      </c>
      <c r="D7" s="3" t="s">
        <v>209</v>
      </c>
      <c r="E7" s="3" t="s">
        <v>209</v>
      </c>
      <c r="F7" s="3" t="s">
        <v>209</v>
      </c>
      <c r="G7" s="3" t="s">
        <v>209</v>
      </c>
      <c r="H7" s="3" t="s">
        <v>209</v>
      </c>
      <c r="I7" s="3" t="s">
        <v>209</v>
      </c>
      <c r="J7" s="3" t="s">
        <v>210</v>
      </c>
      <c r="K7" s="3" t="s">
        <v>210</v>
      </c>
      <c r="L7" s="3" t="s">
        <v>210</v>
      </c>
      <c r="M7" s="3" t="s">
        <v>210</v>
      </c>
      <c r="N7" s="3" t="s">
        <v>209</v>
      </c>
      <c r="O7" s="3" t="s">
        <v>209</v>
      </c>
      <c r="P7" s="3" t="s">
        <v>209</v>
      </c>
    </row>
    <row r="8" spans="2:18" x14ac:dyDescent="0.45">
      <c r="B8" s="3" t="s">
        <v>216</v>
      </c>
      <c r="C8" s="3">
        <v>16</v>
      </c>
      <c r="D8" s="3">
        <v>32</v>
      </c>
      <c r="E8" s="3">
        <v>16</v>
      </c>
      <c r="F8" s="3">
        <v>16</v>
      </c>
      <c r="G8" s="3">
        <v>32</v>
      </c>
      <c r="H8" s="3">
        <v>16</v>
      </c>
      <c r="I8" s="3">
        <v>16</v>
      </c>
      <c r="J8" s="3">
        <v>16</v>
      </c>
      <c r="K8" s="3">
        <v>16</v>
      </c>
      <c r="L8" s="3">
        <v>16</v>
      </c>
      <c r="M8" s="3">
        <v>16</v>
      </c>
      <c r="N8" s="3">
        <v>16</v>
      </c>
      <c r="O8" s="3">
        <v>16</v>
      </c>
      <c r="P8" s="3">
        <v>16</v>
      </c>
    </row>
    <row r="9" spans="2:18" x14ac:dyDescent="0.45">
      <c r="B9" s="3" t="s">
        <v>217</v>
      </c>
      <c r="C9" s="12"/>
      <c r="D9" s="12" t="s">
        <v>239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 t="s">
        <v>234</v>
      </c>
      <c r="P9" s="12" t="s">
        <v>241</v>
      </c>
    </row>
    <row r="10" spans="2:18" x14ac:dyDescent="0.45">
      <c r="B10" s="3" t="s">
        <v>237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2:18" x14ac:dyDescent="0.45">
      <c r="B11" s="3" t="s">
        <v>238</v>
      </c>
      <c r="C11" s="12"/>
      <c r="D11" s="12" t="s">
        <v>240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18" x14ac:dyDescent="0.45">
      <c r="B12" s="3" t="s">
        <v>235</v>
      </c>
      <c r="C12" s="12"/>
      <c r="D12" s="12" t="s">
        <v>240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2:18" x14ac:dyDescent="0.45">
      <c r="B13" s="3" t="s">
        <v>236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 t="s">
        <v>240</v>
      </c>
      <c r="P13" s="12"/>
    </row>
    <row r="14" spans="2:18" x14ac:dyDescent="0.45">
      <c r="B14" s="3" t="s">
        <v>218</v>
      </c>
      <c r="C14" s="10">
        <f t="shared" ref="C14:P14" si="0">IF(C7="APB2",$D$4, $D$3)</f>
        <v>128</v>
      </c>
      <c r="D14" s="10">
        <f t="shared" si="0"/>
        <v>64</v>
      </c>
      <c r="E14" s="10">
        <f t="shared" si="0"/>
        <v>64</v>
      </c>
      <c r="F14" s="10">
        <f t="shared" si="0"/>
        <v>64</v>
      </c>
      <c r="G14" s="10">
        <f t="shared" si="0"/>
        <v>64</v>
      </c>
      <c r="H14" s="10">
        <f t="shared" si="0"/>
        <v>64</v>
      </c>
      <c r="I14" s="10">
        <f t="shared" si="0"/>
        <v>64</v>
      </c>
      <c r="J14" s="10">
        <f t="shared" si="0"/>
        <v>128</v>
      </c>
      <c r="K14" s="10">
        <f t="shared" si="0"/>
        <v>128</v>
      </c>
      <c r="L14" s="10">
        <f t="shared" si="0"/>
        <v>128</v>
      </c>
      <c r="M14" s="10">
        <f t="shared" si="0"/>
        <v>128</v>
      </c>
      <c r="N14" s="10">
        <f t="shared" si="0"/>
        <v>64</v>
      </c>
      <c r="O14" s="11">
        <f t="shared" si="0"/>
        <v>64</v>
      </c>
      <c r="P14" s="11">
        <f t="shared" si="0"/>
        <v>64</v>
      </c>
    </row>
    <row r="15" spans="2:18" x14ac:dyDescent="0.45">
      <c r="B15" s="3" t="s">
        <v>219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63</v>
      </c>
      <c r="P15" s="9">
        <v>0</v>
      </c>
    </row>
    <row r="16" spans="2:18" x14ac:dyDescent="0.45">
      <c r="B16" s="3" t="s">
        <v>220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</row>
    <row r="17" spans="2:16" x14ac:dyDescent="0.45">
      <c r="B17" s="3" t="s">
        <v>221</v>
      </c>
      <c r="C17" s="9">
        <f>C14/((C15+1)*(C16+1))</f>
        <v>128</v>
      </c>
      <c r="D17" s="9">
        <f t="shared" ref="D17:P17" si="1">D14/((D15+1)*(D16+1))</f>
        <v>64</v>
      </c>
      <c r="E17" s="9">
        <f t="shared" si="1"/>
        <v>64</v>
      </c>
      <c r="F17" s="9">
        <f t="shared" si="1"/>
        <v>64</v>
      </c>
      <c r="G17" s="9">
        <f t="shared" si="1"/>
        <v>64</v>
      </c>
      <c r="H17" s="9">
        <f t="shared" si="1"/>
        <v>64</v>
      </c>
      <c r="I17" s="9">
        <f t="shared" si="1"/>
        <v>64</v>
      </c>
      <c r="J17" s="9">
        <f t="shared" si="1"/>
        <v>128</v>
      </c>
      <c r="K17" s="9">
        <f t="shared" si="1"/>
        <v>128</v>
      </c>
      <c r="L17" s="9">
        <f t="shared" si="1"/>
        <v>128</v>
      </c>
      <c r="M17" s="9">
        <f t="shared" si="1"/>
        <v>128</v>
      </c>
      <c r="N17" s="9">
        <f t="shared" si="1"/>
        <v>64</v>
      </c>
      <c r="O17" s="9">
        <f t="shared" si="1"/>
        <v>1</v>
      </c>
      <c r="P17" s="9">
        <f t="shared" si="1"/>
        <v>64</v>
      </c>
    </row>
    <row r="18" spans="2:16" x14ac:dyDescent="0.45">
      <c r="B18" s="3" t="s">
        <v>222</v>
      </c>
      <c r="C18" s="9">
        <f>C17*1000</f>
        <v>128000</v>
      </c>
      <c r="D18" s="9">
        <f t="shared" ref="D18:P19" si="2">D17*1000</f>
        <v>64000</v>
      </c>
      <c r="E18" s="9">
        <f t="shared" si="2"/>
        <v>64000</v>
      </c>
      <c r="F18" s="9">
        <f t="shared" si="2"/>
        <v>64000</v>
      </c>
      <c r="G18" s="9">
        <f t="shared" si="2"/>
        <v>64000</v>
      </c>
      <c r="H18" s="9">
        <f t="shared" si="2"/>
        <v>64000</v>
      </c>
      <c r="I18" s="9">
        <f t="shared" si="2"/>
        <v>64000</v>
      </c>
      <c r="J18" s="9">
        <f t="shared" si="2"/>
        <v>128000</v>
      </c>
      <c r="K18" s="9">
        <f t="shared" si="2"/>
        <v>128000</v>
      </c>
      <c r="L18" s="9">
        <f t="shared" si="2"/>
        <v>128000</v>
      </c>
      <c r="M18" s="9">
        <f t="shared" si="2"/>
        <v>128000</v>
      </c>
      <c r="N18" s="9">
        <f t="shared" si="2"/>
        <v>64000</v>
      </c>
      <c r="O18" s="9">
        <f t="shared" si="2"/>
        <v>1000</v>
      </c>
      <c r="P18" s="9">
        <f t="shared" si="2"/>
        <v>64000</v>
      </c>
    </row>
    <row r="19" spans="2:16" x14ac:dyDescent="0.45">
      <c r="B19" s="3" t="s">
        <v>223</v>
      </c>
      <c r="C19" s="9">
        <f>C18*1000</f>
        <v>128000000</v>
      </c>
      <c r="D19" s="9">
        <f t="shared" si="2"/>
        <v>64000000</v>
      </c>
      <c r="E19" s="9">
        <f t="shared" si="2"/>
        <v>64000000</v>
      </c>
      <c r="F19" s="9">
        <f t="shared" si="2"/>
        <v>64000000</v>
      </c>
      <c r="G19" s="9">
        <f t="shared" si="2"/>
        <v>64000000</v>
      </c>
      <c r="H19" s="9">
        <f t="shared" si="2"/>
        <v>64000000</v>
      </c>
      <c r="I19" s="9">
        <f t="shared" si="2"/>
        <v>64000000</v>
      </c>
      <c r="J19" s="9">
        <f t="shared" si="2"/>
        <v>128000000</v>
      </c>
      <c r="K19" s="9">
        <f t="shared" si="2"/>
        <v>128000000</v>
      </c>
      <c r="L19" s="9">
        <f t="shared" si="2"/>
        <v>128000000</v>
      </c>
      <c r="M19" s="9">
        <f t="shared" si="2"/>
        <v>128000000</v>
      </c>
      <c r="N19" s="9">
        <f t="shared" si="2"/>
        <v>64000000</v>
      </c>
      <c r="O19" s="9">
        <f t="shared" si="2"/>
        <v>1000000</v>
      </c>
      <c r="P19" s="9">
        <f t="shared" si="2"/>
        <v>64000000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"/>
  <sheetViews>
    <sheetView zoomScale="85" zoomScaleNormal="85" workbookViewId="0">
      <pane ySplit="2" topLeftCell="A3" activePane="bottomLeft" state="frozen"/>
      <selection sqref="A1:A1048576"/>
      <selection pane="bottomLeft" activeCell="F27" sqref="F27"/>
    </sheetView>
  </sheetViews>
  <sheetFormatPr defaultRowHeight="17" x14ac:dyDescent="0.45"/>
  <cols>
    <col min="1" max="1" width="2.58203125" customWidth="1"/>
    <col min="2" max="3" width="14" customWidth="1"/>
    <col min="4" max="4" width="19" customWidth="1"/>
    <col min="5" max="5" width="20" customWidth="1"/>
    <col min="6" max="6" width="15" customWidth="1"/>
    <col min="7" max="7" width="32" customWidth="1"/>
    <col min="8" max="8" width="22" customWidth="1"/>
    <col min="9" max="9" width="21" customWidth="1"/>
    <col min="10" max="10" width="14" customWidth="1"/>
  </cols>
  <sheetData>
    <row r="2" spans="2:10" ht="30" customHeight="1" x14ac:dyDescent="0.45">
      <c r="B2" s="1" t="s">
        <v>37</v>
      </c>
      <c r="C2" s="1" t="s">
        <v>24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27</v>
      </c>
      <c r="J2" s="1" t="s">
        <v>6</v>
      </c>
    </row>
    <row r="3" spans="2:10" ht="34" x14ac:dyDescent="0.45">
      <c r="B3" s="6" t="s">
        <v>43</v>
      </c>
      <c r="C3" s="6" t="s">
        <v>32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  <c r="I3" s="6" t="s">
        <v>8</v>
      </c>
      <c r="J3" s="6" t="s">
        <v>12</v>
      </c>
    </row>
    <row r="4" spans="2:10" x14ac:dyDescent="0.45">
      <c r="B4" s="6" t="s">
        <v>49</v>
      </c>
      <c r="C4" s="6" t="s">
        <v>32</v>
      </c>
      <c r="D4" s="6" t="s">
        <v>50</v>
      </c>
      <c r="E4" s="6" t="s">
        <v>51</v>
      </c>
      <c r="F4" s="6" t="s">
        <v>46</v>
      </c>
      <c r="G4" s="6" t="s">
        <v>52</v>
      </c>
      <c r="H4" s="6" t="s">
        <v>53</v>
      </c>
      <c r="I4" s="6" t="s">
        <v>13</v>
      </c>
      <c r="J4" s="6" t="s">
        <v>12</v>
      </c>
    </row>
    <row r="5" spans="2:10" x14ac:dyDescent="0.45">
      <c r="B5" s="6" t="s">
        <v>54</v>
      </c>
      <c r="C5" s="6" t="s">
        <v>32</v>
      </c>
      <c r="D5" s="6" t="s">
        <v>55</v>
      </c>
      <c r="E5" s="6" t="s">
        <v>56</v>
      </c>
      <c r="F5" s="6" t="s">
        <v>46</v>
      </c>
      <c r="G5" s="6" t="s">
        <v>57</v>
      </c>
      <c r="H5" s="6" t="s">
        <v>58</v>
      </c>
      <c r="I5" s="6" t="s">
        <v>16</v>
      </c>
      <c r="J5" s="6" t="s">
        <v>12</v>
      </c>
    </row>
    <row r="6" spans="2:10" x14ac:dyDescent="0.45">
      <c r="B6" s="6" t="s">
        <v>59</v>
      </c>
      <c r="C6" s="6" t="s">
        <v>32</v>
      </c>
      <c r="D6" s="6" t="s">
        <v>60</v>
      </c>
      <c r="E6" s="6" t="s">
        <v>61</v>
      </c>
      <c r="F6" s="6" t="s">
        <v>62</v>
      </c>
      <c r="G6" s="6" t="s">
        <v>63</v>
      </c>
      <c r="H6" s="6" t="s">
        <v>64</v>
      </c>
      <c r="I6" s="6" t="s">
        <v>20</v>
      </c>
      <c r="J6" s="6" t="s">
        <v>12</v>
      </c>
    </row>
  </sheetData>
  <autoFilter ref="B2:J6" xr:uid="{00000000-0009-0000-0000-000002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7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3" width="14" customWidth="1"/>
    <col min="4" max="4" width="20" customWidth="1"/>
    <col min="5" max="5" width="17" customWidth="1"/>
    <col min="6" max="6" width="14" customWidth="1"/>
    <col min="7" max="7" width="27" customWidth="1"/>
    <col min="8" max="8" width="15" customWidth="1"/>
    <col min="9" max="9" width="14" customWidth="1"/>
    <col min="10" max="10" width="21" customWidth="1"/>
    <col min="11" max="11" width="14" customWidth="1"/>
  </cols>
  <sheetData>
    <row r="2" spans="2:11" ht="30" customHeight="1" x14ac:dyDescent="0.45">
      <c r="B2" s="1" t="s">
        <v>65</v>
      </c>
      <c r="C2" s="1" t="s">
        <v>66</v>
      </c>
      <c r="D2" s="1" t="s">
        <v>67</v>
      </c>
      <c r="E2" s="1" t="s">
        <v>68</v>
      </c>
      <c r="F2" s="1" t="s">
        <v>39</v>
      </c>
      <c r="G2" s="1" t="s">
        <v>69</v>
      </c>
      <c r="H2" s="1" t="s">
        <v>70</v>
      </c>
      <c r="I2" s="1" t="s">
        <v>71</v>
      </c>
      <c r="J2" s="1" t="s">
        <v>27</v>
      </c>
      <c r="K2" s="1" t="s">
        <v>7</v>
      </c>
    </row>
    <row r="3" spans="2:11" x14ac:dyDescent="0.45">
      <c r="B3" s="2" t="s">
        <v>72</v>
      </c>
      <c r="C3" s="2" t="s">
        <v>73</v>
      </c>
      <c r="D3" s="2" t="s">
        <v>55</v>
      </c>
      <c r="E3" s="2" t="s">
        <v>74</v>
      </c>
      <c r="F3" s="2" t="s">
        <v>75</v>
      </c>
      <c r="G3" s="2" t="s">
        <v>76</v>
      </c>
      <c r="H3" s="2"/>
      <c r="I3" s="2"/>
      <c r="J3" s="2" t="s">
        <v>16</v>
      </c>
      <c r="K3" s="2"/>
    </row>
    <row r="4" spans="2:11" x14ac:dyDescent="0.45">
      <c r="B4" s="2" t="s">
        <v>77</v>
      </c>
      <c r="C4" s="2" t="s">
        <v>73</v>
      </c>
      <c r="D4" s="2" t="s">
        <v>55</v>
      </c>
      <c r="E4" s="2" t="s">
        <v>78</v>
      </c>
      <c r="F4" s="2" t="s">
        <v>79</v>
      </c>
      <c r="G4" s="2" t="s">
        <v>76</v>
      </c>
      <c r="H4" s="2"/>
      <c r="I4" s="2"/>
      <c r="J4" s="2" t="s">
        <v>16</v>
      </c>
      <c r="K4" s="2"/>
    </row>
    <row r="5" spans="2:11" x14ac:dyDescent="0.45">
      <c r="B5" s="2" t="s">
        <v>80</v>
      </c>
      <c r="C5" s="2" t="s">
        <v>73</v>
      </c>
      <c r="D5" s="2" t="s">
        <v>55</v>
      </c>
      <c r="E5" s="2" t="s">
        <v>81</v>
      </c>
      <c r="F5" s="2" t="s">
        <v>82</v>
      </c>
      <c r="G5" s="2" t="s">
        <v>76</v>
      </c>
      <c r="H5" s="2"/>
      <c r="I5" s="2"/>
      <c r="J5" s="2" t="s">
        <v>16</v>
      </c>
      <c r="K5" s="2"/>
    </row>
    <row r="6" spans="2:11" x14ac:dyDescent="0.45">
      <c r="B6" s="2" t="s">
        <v>83</v>
      </c>
      <c r="C6" s="2" t="s">
        <v>73</v>
      </c>
      <c r="D6" s="2" t="s">
        <v>55</v>
      </c>
      <c r="E6" s="2" t="s">
        <v>84</v>
      </c>
      <c r="F6" s="2" t="s">
        <v>85</v>
      </c>
      <c r="G6" s="2" t="s">
        <v>86</v>
      </c>
      <c r="H6" s="2"/>
      <c r="I6" s="2"/>
      <c r="J6" s="2" t="s">
        <v>16</v>
      </c>
      <c r="K6" s="2"/>
    </row>
    <row r="7" spans="2:11" ht="34" x14ac:dyDescent="0.45">
      <c r="B7" s="2" t="s">
        <v>15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91</v>
      </c>
      <c r="H7" s="2"/>
      <c r="I7" s="2"/>
      <c r="J7" s="2" t="s">
        <v>92</v>
      </c>
      <c r="K7" s="2"/>
    </row>
  </sheetData>
  <autoFilter ref="B2:K7" xr:uid="{00000000-0009-0000-0000-000003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7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2" width="14" customWidth="1"/>
    <col min="3" max="3" width="16" customWidth="1"/>
    <col min="4" max="4" width="25" customWidth="1"/>
    <col min="5" max="6" width="32" customWidth="1"/>
    <col min="7" max="7" width="15" customWidth="1"/>
    <col min="8" max="12" width="14" customWidth="1"/>
  </cols>
  <sheetData>
    <row r="2" spans="2:12" ht="30" customHeight="1" x14ac:dyDescent="0.45">
      <c r="B2" s="1" t="s">
        <v>65</v>
      </c>
      <c r="C2" s="1" t="s">
        <v>0</v>
      </c>
      <c r="D2" s="1" t="s">
        <v>93</v>
      </c>
      <c r="E2" s="1" t="s">
        <v>94</v>
      </c>
      <c r="F2" s="1" t="s">
        <v>69</v>
      </c>
      <c r="G2" s="1" t="s">
        <v>70</v>
      </c>
      <c r="H2" s="1" t="s">
        <v>71</v>
      </c>
      <c r="I2" s="1" t="s">
        <v>95</v>
      </c>
      <c r="J2" s="1" t="s">
        <v>96</v>
      </c>
      <c r="K2" s="1" t="s">
        <v>97</v>
      </c>
      <c r="L2" s="1" t="s">
        <v>7</v>
      </c>
    </row>
    <row r="3" spans="2:12" ht="34" x14ac:dyDescent="0.45">
      <c r="B3" s="2" t="s">
        <v>11</v>
      </c>
      <c r="C3" s="2" t="s">
        <v>8</v>
      </c>
      <c r="D3" s="2" t="s">
        <v>98</v>
      </c>
      <c r="E3" s="2" t="s">
        <v>99</v>
      </c>
      <c r="F3" s="2" t="s">
        <v>100</v>
      </c>
      <c r="G3" s="2"/>
      <c r="H3" s="2"/>
      <c r="I3" s="2" t="s">
        <v>101</v>
      </c>
      <c r="J3" s="2"/>
      <c r="K3" s="2"/>
      <c r="L3" s="2"/>
    </row>
    <row r="4" spans="2:12" x14ac:dyDescent="0.45">
      <c r="B4" s="2" t="s">
        <v>102</v>
      </c>
      <c r="C4" s="2" t="s">
        <v>13</v>
      </c>
      <c r="D4" s="2" t="s">
        <v>103</v>
      </c>
      <c r="E4" s="2" t="s">
        <v>104</v>
      </c>
      <c r="F4" s="2" t="s">
        <v>105</v>
      </c>
      <c r="G4" s="2"/>
      <c r="H4" s="2"/>
      <c r="I4" s="2" t="s">
        <v>101</v>
      </c>
      <c r="J4" s="2"/>
      <c r="K4" s="2"/>
      <c r="L4" s="2"/>
    </row>
    <row r="5" spans="2:12" ht="34" x14ac:dyDescent="0.45">
      <c r="B5" s="2" t="s">
        <v>17</v>
      </c>
      <c r="C5" s="2" t="s">
        <v>16</v>
      </c>
      <c r="D5" s="2" t="s">
        <v>106</v>
      </c>
      <c r="E5" s="2" t="s">
        <v>107</v>
      </c>
      <c r="F5" s="2" t="s">
        <v>108</v>
      </c>
      <c r="G5" s="2"/>
      <c r="H5" s="2"/>
      <c r="I5" s="2" t="s">
        <v>101</v>
      </c>
      <c r="J5" s="2"/>
      <c r="K5" s="2"/>
      <c r="L5" s="2"/>
    </row>
    <row r="6" spans="2:12" ht="34" x14ac:dyDescent="0.45">
      <c r="B6" s="2" t="s">
        <v>19</v>
      </c>
      <c r="C6" s="2" t="s">
        <v>18</v>
      </c>
      <c r="D6" s="2" t="s">
        <v>109</v>
      </c>
      <c r="E6" s="2" t="s">
        <v>110</v>
      </c>
      <c r="F6" s="2" t="s">
        <v>111</v>
      </c>
      <c r="G6" s="2"/>
      <c r="H6" s="2"/>
      <c r="I6" s="2" t="s">
        <v>101</v>
      </c>
      <c r="J6" s="2"/>
      <c r="K6" s="2"/>
      <c r="L6" s="2"/>
    </row>
    <row r="7" spans="2:12" ht="34" x14ac:dyDescent="0.45">
      <c r="B7" s="2" t="s">
        <v>21</v>
      </c>
      <c r="C7" s="2" t="s">
        <v>20</v>
      </c>
      <c r="D7" s="2" t="s">
        <v>112</v>
      </c>
      <c r="E7" s="2" t="s">
        <v>113</v>
      </c>
      <c r="F7" s="2" t="s">
        <v>114</v>
      </c>
      <c r="G7" s="2"/>
      <c r="H7" s="2"/>
      <c r="I7" s="2" t="s">
        <v>101</v>
      </c>
      <c r="J7" s="2"/>
      <c r="K7" s="2"/>
      <c r="L7" s="2"/>
    </row>
  </sheetData>
  <autoFilter ref="B2:L7" xr:uid="{00000000-0009-0000-0000-000004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4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2" width="14" customWidth="1"/>
    <col min="3" max="3" width="21" customWidth="1"/>
    <col min="4" max="4" width="24" customWidth="1"/>
    <col min="5" max="6" width="14" customWidth="1"/>
    <col min="7" max="7" width="32" customWidth="1"/>
    <col min="8" max="8" width="14" customWidth="1"/>
    <col min="9" max="9" width="18" customWidth="1"/>
    <col min="10" max="13" width="14" customWidth="1"/>
  </cols>
  <sheetData>
    <row r="2" spans="2:13" ht="30" customHeight="1" x14ac:dyDescent="0.45">
      <c r="B2" s="1" t="s">
        <v>115</v>
      </c>
      <c r="C2" s="1" t="s">
        <v>116</v>
      </c>
      <c r="D2" s="1" t="s">
        <v>117</v>
      </c>
      <c r="E2" s="1" t="s">
        <v>118</v>
      </c>
      <c r="F2" s="1" t="s">
        <v>119</v>
      </c>
      <c r="G2" s="1" t="s">
        <v>41</v>
      </c>
      <c r="H2" s="1" t="s">
        <v>120</v>
      </c>
      <c r="I2" s="1" t="s">
        <v>121</v>
      </c>
      <c r="J2" s="1" t="s">
        <v>122</v>
      </c>
      <c r="K2" s="1" t="s">
        <v>123</v>
      </c>
      <c r="L2" s="1" t="s">
        <v>6</v>
      </c>
      <c r="M2" s="1" t="s">
        <v>7</v>
      </c>
    </row>
    <row r="3" spans="2:13" x14ac:dyDescent="0.45">
      <c r="B3" s="2" t="s">
        <v>124</v>
      </c>
      <c r="C3" s="2" t="s">
        <v>125</v>
      </c>
      <c r="D3" s="2" t="s">
        <v>126</v>
      </c>
      <c r="E3" s="2" t="s">
        <v>127</v>
      </c>
      <c r="F3" s="2">
        <v>123</v>
      </c>
      <c r="G3" s="2" t="s">
        <v>128</v>
      </c>
      <c r="H3" s="2" t="s">
        <v>129</v>
      </c>
      <c r="I3" s="2" t="s">
        <v>130</v>
      </c>
      <c r="J3" s="2" t="s">
        <v>131</v>
      </c>
      <c r="K3" s="2"/>
      <c r="L3" s="2" t="s">
        <v>132</v>
      </c>
      <c r="M3" s="2"/>
    </row>
    <row r="4" spans="2:13" x14ac:dyDescent="0.45">
      <c r="B4" s="2" t="s">
        <v>133</v>
      </c>
      <c r="C4" s="2" t="s">
        <v>134</v>
      </c>
      <c r="D4" s="2" t="s">
        <v>135</v>
      </c>
      <c r="E4" s="2" t="s">
        <v>136</v>
      </c>
      <c r="F4" s="2">
        <v>245</v>
      </c>
      <c r="G4" s="2" t="s">
        <v>137</v>
      </c>
      <c r="H4" s="2" t="s">
        <v>129</v>
      </c>
      <c r="I4" s="2" t="s">
        <v>138</v>
      </c>
      <c r="J4" s="2" t="s">
        <v>139</v>
      </c>
      <c r="K4" s="2"/>
      <c r="L4" s="2" t="s">
        <v>132</v>
      </c>
      <c r="M4" s="2"/>
    </row>
  </sheetData>
  <autoFilter ref="B2:M4" xr:uid="{00000000-0009-0000-0000-000005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8"/>
  <sheetViews>
    <sheetView zoomScale="85" zoomScaleNormal="85" workbookViewId="0">
      <pane ySplit="2" topLeftCell="A3" activePane="bottomLeft" state="frozen"/>
      <selection activeCell="C15" sqref="C15"/>
      <selection pane="bottomLeft" activeCell="H22" sqref="H22"/>
    </sheetView>
  </sheetViews>
  <sheetFormatPr defaultRowHeight="17" x14ac:dyDescent="0.45"/>
  <cols>
    <col min="1" max="1" width="2.58203125" customWidth="1"/>
    <col min="2" max="2" width="25" customWidth="1"/>
    <col min="3" max="3" width="28" customWidth="1"/>
  </cols>
  <sheetData>
    <row r="2" spans="2:3" ht="30" customHeight="1" x14ac:dyDescent="0.45">
      <c r="B2" s="1" t="s">
        <v>140</v>
      </c>
      <c r="C2" s="1" t="s">
        <v>141</v>
      </c>
    </row>
    <row r="3" spans="2:3" x14ac:dyDescent="0.45">
      <c r="B3" s="2" t="s">
        <v>142</v>
      </c>
      <c r="C3" s="2" t="s">
        <v>143</v>
      </c>
    </row>
    <row r="4" spans="2:3" x14ac:dyDescent="0.45">
      <c r="B4" s="2" t="s">
        <v>95</v>
      </c>
      <c r="C4" s="2" t="s">
        <v>101</v>
      </c>
    </row>
    <row r="5" spans="2:3" x14ac:dyDescent="0.45">
      <c r="B5" s="2" t="s">
        <v>144</v>
      </c>
      <c r="C5" s="2" t="s">
        <v>145</v>
      </c>
    </row>
    <row r="6" spans="2:3" x14ac:dyDescent="0.45">
      <c r="B6" s="2" t="s">
        <v>146</v>
      </c>
      <c r="C6" s="2" t="s">
        <v>147</v>
      </c>
    </row>
    <row r="7" spans="2:3" x14ac:dyDescent="0.45">
      <c r="B7" s="2" t="s">
        <v>148</v>
      </c>
      <c r="C7" s="2"/>
    </row>
    <row r="8" spans="2:3" x14ac:dyDescent="0.45">
      <c r="B8" s="2" t="s">
        <v>149</v>
      </c>
      <c r="C8" s="2"/>
    </row>
    <row r="9" spans="2:3" x14ac:dyDescent="0.45">
      <c r="B9" s="2" t="s">
        <v>150</v>
      </c>
      <c r="C9" s="2"/>
    </row>
    <row r="10" spans="2:3" x14ac:dyDescent="0.45">
      <c r="B10" s="2" t="s">
        <v>151</v>
      </c>
      <c r="C10" s="2" t="s">
        <v>152</v>
      </c>
    </row>
    <row r="11" spans="2:3" x14ac:dyDescent="0.45">
      <c r="B11" s="2" t="s">
        <v>153</v>
      </c>
      <c r="C11" s="2"/>
    </row>
    <row r="12" spans="2:3" x14ac:dyDescent="0.45">
      <c r="B12" s="2" t="s">
        <v>154</v>
      </c>
      <c r="C12" s="2"/>
    </row>
    <row r="13" spans="2:3" x14ac:dyDescent="0.45">
      <c r="B13" s="2" t="s">
        <v>131</v>
      </c>
      <c r="C13" s="2"/>
    </row>
    <row r="14" spans="2:3" x14ac:dyDescent="0.45">
      <c r="B14" s="2" t="s">
        <v>155</v>
      </c>
      <c r="C14" s="2" t="s">
        <v>156</v>
      </c>
    </row>
    <row r="15" spans="2:3" x14ac:dyDescent="0.45">
      <c r="B15" s="2" t="s">
        <v>14</v>
      </c>
      <c r="C15" s="2" t="s">
        <v>156</v>
      </c>
    </row>
    <row r="16" spans="2:3" x14ac:dyDescent="0.45">
      <c r="B16" s="2" t="s">
        <v>10</v>
      </c>
      <c r="C16" s="2" t="s">
        <v>156</v>
      </c>
    </row>
    <row r="17" spans="2:3" x14ac:dyDescent="0.45">
      <c r="B17" s="2" t="s">
        <v>157</v>
      </c>
      <c r="C17" s="2" t="s">
        <v>156</v>
      </c>
    </row>
    <row r="18" spans="2:3" x14ac:dyDescent="0.45">
      <c r="B18" s="2" t="s">
        <v>158</v>
      </c>
      <c r="C18" s="2" t="s">
        <v>159</v>
      </c>
    </row>
  </sheetData>
  <autoFilter ref="B2:C18" xr:uid="{00000000-0009-0000-0000-000006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7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2" width="16" customWidth="1"/>
    <col min="3" max="3" width="24" customWidth="1"/>
    <col min="4" max="4" width="18" customWidth="1"/>
    <col min="5" max="5" width="14" customWidth="1"/>
    <col min="6" max="6" width="32" customWidth="1"/>
    <col min="7" max="7" width="26" customWidth="1"/>
    <col min="8" max="8" width="16" customWidth="1"/>
    <col min="9" max="10" width="17" customWidth="1"/>
    <col min="11" max="11" width="16" customWidth="1"/>
  </cols>
  <sheetData>
    <row r="2" spans="2:11" ht="30" customHeight="1" x14ac:dyDescent="0.45">
      <c r="B2" s="1" t="s">
        <v>0</v>
      </c>
      <c r="C2" s="1" t="s">
        <v>2</v>
      </c>
      <c r="D2" s="1" t="s">
        <v>160</v>
      </c>
      <c r="E2" s="1" t="s">
        <v>37</v>
      </c>
      <c r="F2" s="1" t="s">
        <v>161</v>
      </c>
      <c r="G2" s="1" t="s">
        <v>162</v>
      </c>
      <c r="H2" s="1" t="s">
        <v>163</v>
      </c>
      <c r="I2" s="1" t="s">
        <v>164</v>
      </c>
      <c r="J2" s="1" t="s">
        <v>165</v>
      </c>
      <c r="K2" s="1" t="s">
        <v>166</v>
      </c>
    </row>
    <row r="3" spans="2:11" x14ac:dyDescent="0.45">
      <c r="B3" s="2" t="s">
        <v>8</v>
      </c>
      <c r="C3" s="2" t="s">
        <v>167</v>
      </c>
      <c r="D3" s="2" t="s">
        <v>168</v>
      </c>
      <c r="E3" s="2" t="s">
        <v>43</v>
      </c>
      <c r="F3" s="2" t="s">
        <v>169</v>
      </c>
      <c r="G3" s="2" t="s">
        <v>72</v>
      </c>
      <c r="H3" s="2" t="s">
        <v>11</v>
      </c>
      <c r="I3" s="2"/>
      <c r="J3" s="2" t="s">
        <v>101</v>
      </c>
      <c r="K3" s="2"/>
    </row>
    <row r="4" spans="2:11" x14ac:dyDescent="0.45">
      <c r="B4" s="2" t="s">
        <v>13</v>
      </c>
      <c r="C4" s="2" t="s">
        <v>170</v>
      </c>
      <c r="D4" s="2" t="s">
        <v>171</v>
      </c>
      <c r="E4" s="2" t="s">
        <v>49</v>
      </c>
      <c r="F4" s="2" t="s">
        <v>172</v>
      </c>
      <c r="G4" s="2" t="s">
        <v>15</v>
      </c>
      <c r="H4" s="2" t="s">
        <v>102</v>
      </c>
      <c r="I4" s="2"/>
      <c r="J4" s="2" t="s">
        <v>101</v>
      </c>
      <c r="K4" s="2"/>
    </row>
    <row r="5" spans="2:11" x14ac:dyDescent="0.45">
      <c r="B5" s="2" t="s">
        <v>16</v>
      </c>
      <c r="C5" s="2" t="s">
        <v>173</v>
      </c>
      <c r="D5" s="2" t="s">
        <v>30</v>
      </c>
      <c r="E5" s="2" t="s">
        <v>54</v>
      </c>
      <c r="F5" s="2" t="s">
        <v>174</v>
      </c>
      <c r="G5" s="2" t="s">
        <v>175</v>
      </c>
      <c r="H5" s="2" t="s">
        <v>17</v>
      </c>
      <c r="I5" s="2"/>
      <c r="J5" s="2" t="s">
        <v>101</v>
      </c>
      <c r="K5" s="2"/>
    </row>
    <row r="6" spans="2:11" x14ac:dyDescent="0.45">
      <c r="B6" s="2" t="s">
        <v>18</v>
      </c>
      <c r="C6" s="2" t="s">
        <v>109</v>
      </c>
      <c r="D6" s="2" t="s">
        <v>36</v>
      </c>
      <c r="E6" s="2" t="s">
        <v>59</v>
      </c>
      <c r="F6" s="2" t="s">
        <v>176</v>
      </c>
      <c r="G6" s="2"/>
      <c r="H6" s="2" t="s">
        <v>19</v>
      </c>
      <c r="I6" s="2"/>
      <c r="J6" s="2" t="s">
        <v>101</v>
      </c>
      <c r="K6" s="2"/>
    </row>
    <row r="7" spans="2:11" x14ac:dyDescent="0.45">
      <c r="B7" s="2" t="s">
        <v>20</v>
      </c>
      <c r="C7" s="2" t="s">
        <v>112</v>
      </c>
      <c r="D7" s="2" t="s">
        <v>168</v>
      </c>
      <c r="E7" s="2" t="s">
        <v>59</v>
      </c>
      <c r="F7" s="2" t="s">
        <v>177</v>
      </c>
      <c r="G7" s="2"/>
      <c r="H7" s="2" t="s">
        <v>21</v>
      </c>
      <c r="I7" s="2"/>
      <c r="J7" s="2" t="s">
        <v>101</v>
      </c>
      <c r="K7" s="2"/>
    </row>
  </sheetData>
  <autoFilter ref="B2:K7" xr:uid="{00000000-0009-0000-0000-000007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CE6E-04CB-4201-95F0-D342C469E1BD}">
  <dimension ref="B2:D7"/>
  <sheetViews>
    <sheetView zoomScale="85" zoomScaleNormal="85" workbookViewId="0"/>
  </sheetViews>
  <sheetFormatPr defaultRowHeight="17" x14ac:dyDescent="0.45"/>
  <cols>
    <col min="1" max="1" width="2.58203125" customWidth="1"/>
    <col min="3" max="3" width="26.83203125" customWidth="1"/>
    <col min="4" max="4" width="12.33203125" bestFit="1" customWidth="1"/>
  </cols>
  <sheetData>
    <row r="2" spans="2:4" ht="30" customHeight="1" x14ac:dyDescent="0.45">
      <c r="B2" s="3" t="s">
        <v>187</v>
      </c>
      <c r="C2" s="3" t="s">
        <v>4</v>
      </c>
      <c r="D2" s="3" t="s">
        <v>6</v>
      </c>
    </row>
    <row r="3" spans="2:4" x14ac:dyDescent="0.45">
      <c r="B3" s="5" t="s">
        <v>188</v>
      </c>
      <c r="C3" s="5" t="s">
        <v>185</v>
      </c>
      <c r="D3" s="5" t="s">
        <v>12</v>
      </c>
    </row>
    <row r="4" spans="2:4" x14ac:dyDescent="0.45">
      <c r="B4" s="5" t="s">
        <v>189</v>
      </c>
      <c r="C4" s="5" t="s">
        <v>186</v>
      </c>
      <c r="D4" s="5" t="s">
        <v>181</v>
      </c>
    </row>
    <row r="5" spans="2:4" x14ac:dyDescent="0.45">
      <c r="B5" s="5" t="s">
        <v>190</v>
      </c>
      <c r="C5" s="5"/>
      <c r="D5" s="5" t="s">
        <v>182</v>
      </c>
    </row>
    <row r="6" spans="2:4" x14ac:dyDescent="0.45">
      <c r="B6" s="5"/>
      <c r="C6" s="5"/>
      <c r="D6" s="5" t="s">
        <v>183</v>
      </c>
    </row>
    <row r="7" spans="2:4" x14ac:dyDescent="0.45">
      <c r="B7" s="5"/>
      <c r="C7" s="5"/>
      <c r="D7" s="5" t="s">
        <v>184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Requirement</vt:lpstr>
      <vt:lpstr>Architecture</vt:lpstr>
      <vt:lpstr>MCU Setting</vt:lpstr>
      <vt:lpstr>Software Design</vt:lpstr>
      <vt:lpstr>Unit Test</vt:lpstr>
      <vt:lpstr>System Test</vt:lpstr>
      <vt:lpstr>Static Analysis</vt:lpstr>
      <vt:lpstr>Release Note</vt:lpstr>
      <vt:lpstr>Traceability</vt:lpstr>
      <vt:lpstr>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준영</cp:lastModifiedBy>
  <dcterms:created xsi:type="dcterms:W3CDTF">2026-08-19T05:52:57Z</dcterms:created>
  <dcterms:modified xsi:type="dcterms:W3CDTF">2026-08-28T07:05:58Z</dcterms:modified>
</cp:coreProperties>
</file>