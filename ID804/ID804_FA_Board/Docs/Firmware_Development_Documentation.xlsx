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working\01_Project\FW\ID804\ID804_FA_Board\Docs\"/>
    </mc:Choice>
  </mc:AlternateContent>
  <xr:revisionPtr revIDLastSave="0" documentId="13_ncr:1_{FF8E7D56-6B30-489B-8FDF-F9FD51894CE5}" xr6:coauthVersionLast="47" xr6:coauthVersionMax="47" xr10:uidLastSave="{00000000-0000-0000-0000-000000000000}"/>
  <bookViews>
    <workbookView xWindow="-110" yWindow="-110" windowWidth="29020" windowHeight="17500" tabRatio="875" activeTab="6" xr2:uid="{00000000-000D-0000-FFFF-FFFF00000000}"/>
  </bookViews>
  <sheets>
    <sheet name="00_Summary" sheetId="14" r:id="rId1"/>
    <sheet name="01_Requirement" sheetId="1" r:id="rId2"/>
    <sheet name="02_Architecture" sheetId="2" r:id="rId3"/>
    <sheet name="03_Software Design" sheetId="3" r:id="rId4"/>
    <sheet name="04_Integrate Test" sheetId="4" r:id="rId5"/>
    <sheet name="05_System Test" sheetId="5" r:id="rId6"/>
    <sheet name="06_CLI" sheetId="15" r:id="rId7"/>
    <sheet name="MCU Setting" sheetId="11" r:id="rId8"/>
    <sheet name="Static Analysis" sheetId="6" r:id="rId9"/>
    <sheet name="Release Note" sheetId="7" r:id="rId10"/>
    <sheet name="Traceability" sheetId="8" r:id="rId11"/>
    <sheet name="Common" sheetId="9" r:id="rId12"/>
  </sheets>
  <definedNames>
    <definedName name="_xlnm._FilterDatabase" localSheetId="0" hidden="1">'00_Summary'!$B$2:$I$14</definedName>
    <definedName name="_xlnm._FilterDatabase" localSheetId="1" hidden="1">'01_Requirement'!$B$2:$I$14</definedName>
    <definedName name="_xlnm._FilterDatabase" localSheetId="2" hidden="1">'02_Architecture'!$B$2:$I$13</definedName>
    <definedName name="_xlnm._FilterDatabase" localSheetId="3" hidden="1">'03_Software Design'!$B$2:$J$6</definedName>
    <definedName name="_xlnm._FilterDatabase" localSheetId="4" hidden="1">'04_Integrate Test'!$B$2:$K$7</definedName>
    <definedName name="_xlnm._FilterDatabase" localSheetId="5" hidden="1">'05_System Test'!$B$2:$L$7</definedName>
    <definedName name="_xlnm._FilterDatabase" localSheetId="9" hidden="1">'Release Note'!$B$2:$C$18</definedName>
    <definedName name="_xlnm._FilterDatabase" localSheetId="8" hidden="1">'Static Analysis'!$B$2:$M$4</definedName>
    <definedName name="_xlnm._FilterDatabase" localSheetId="10" hidden="1">Traceability!$B$2:$K$7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1" l="1"/>
  <c r="C14" i="11"/>
  <c r="C17" i="11" s="1"/>
  <c r="C18" i="11" s="1"/>
  <c r="C19" i="11" s="1"/>
  <c r="D4" i="11"/>
  <c r="K14" i="11" s="1"/>
  <c r="K17" i="11" s="1"/>
  <c r="K18" i="11" s="1"/>
  <c r="K19" i="11" s="1"/>
  <c r="D3" i="11"/>
  <c r="N14" i="11" s="1"/>
  <c r="N17" i="11" s="1"/>
  <c r="N18" i="11" s="1"/>
  <c r="N19" i="11" s="1"/>
  <c r="F14" i="11" l="1"/>
  <c r="F17" i="11" s="1"/>
  <c r="F18" i="11" s="1"/>
  <c r="F19" i="11" s="1"/>
  <c r="O14" i="11"/>
  <c r="O17" i="11" s="1"/>
  <c r="O18" i="11" s="1"/>
  <c r="O19" i="11" s="1"/>
  <c r="P14" i="11"/>
  <c r="P17" i="11" s="1"/>
  <c r="P18" i="11" s="1"/>
  <c r="P19" i="11" s="1"/>
  <c r="J14" i="11"/>
  <c r="J17" i="11" s="1"/>
  <c r="J18" i="11" s="1"/>
  <c r="J19" i="11" s="1"/>
  <c r="L14" i="11"/>
  <c r="L17" i="11" s="1"/>
  <c r="L18" i="11" s="1"/>
  <c r="L19" i="11" s="1"/>
  <c r="M14" i="11"/>
  <c r="M17" i="11" s="1"/>
  <c r="M18" i="11" s="1"/>
  <c r="M19" i="11" s="1"/>
  <c r="D14" i="11"/>
  <c r="D17" i="11" s="1"/>
  <c r="D18" i="11" s="1"/>
  <c r="D19" i="11" s="1"/>
  <c r="G14" i="11"/>
  <c r="G17" i="11" s="1"/>
  <c r="G18" i="11" s="1"/>
  <c r="G19" i="11" s="1"/>
  <c r="H14" i="11"/>
  <c r="H17" i="11" s="1"/>
  <c r="H18" i="11" s="1"/>
  <c r="H19" i="11" s="1"/>
  <c r="I14" i="11"/>
  <c r="I17" i="11" s="1"/>
  <c r="I18" i="11" s="1"/>
  <c r="I19" i="11" s="1"/>
  <c r="E14" i="11"/>
  <c r="E17" i="11" s="1"/>
  <c r="E18" i="11" s="1"/>
  <c r="E19" i="11" s="1"/>
</calcChain>
</file>

<file path=xl/sharedStrings.xml><?xml version="1.0" encoding="utf-8"?>
<sst xmlns="http://schemas.openxmlformats.org/spreadsheetml/2006/main" count="538" uniqueCount="365">
  <si>
    <t>Requirement ID</t>
  </si>
  <si>
    <t>Category</t>
  </si>
  <si>
    <t>Requirement</t>
  </si>
  <si>
    <t>Priority</t>
  </si>
  <si>
    <t>Verification Method</t>
  </si>
  <si>
    <t>Related Test ID</t>
  </si>
  <si>
    <t>Status</t>
  </si>
  <si>
    <t>Remarks</t>
  </si>
  <si>
    <t>FW-REQ-001</t>
  </si>
  <si>
    <t>High</t>
  </si>
  <si>
    <t>System Test</t>
  </si>
  <si>
    <t>ST-001</t>
  </si>
  <si>
    <t>Draft</t>
  </si>
  <si>
    <t>FW-REQ-002</t>
  </si>
  <si>
    <t>Integration Test</t>
  </si>
  <si>
    <t>IT-001</t>
  </si>
  <si>
    <t>FW-REQ-003</t>
  </si>
  <si>
    <t>ST-003</t>
  </si>
  <si>
    <t>FW-REQ-004</t>
  </si>
  <si>
    <t>ST-004</t>
  </si>
  <si>
    <t>FW-REQ-005</t>
  </si>
  <si>
    <t>ST-005</t>
  </si>
  <si>
    <t>Module ID</t>
  </si>
  <si>
    <t>Layer</t>
  </si>
  <si>
    <t>Module</t>
  </si>
  <si>
    <t>Responsibility</t>
  </si>
  <si>
    <t>Interface / Dependency</t>
  </si>
  <si>
    <t>Related Requirement</t>
  </si>
  <si>
    <t>Application</t>
  </si>
  <si>
    <t>ARC-002</t>
  </si>
  <si>
    <t>ARC-003</t>
  </si>
  <si>
    <t>Driver</t>
  </si>
  <si>
    <t>XCR24 Driver</t>
  </si>
  <si>
    <t>SPI Driver</t>
  </si>
  <si>
    <t>ARC-004</t>
  </si>
  <si>
    <t>Provide SPI communication.</t>
  </si>
  <si>
    <t>ARC-005</t>
  </si>
  <si>
    <t>Design ID</t>
  </si>
  <si>
    <t>Function / Item</t>
  </si>
  <si>
    <t>Input</t>
  </si>
  <si>
    <t>Output</t>
  </si>
  <si>
    <t>Description</t>
  </si>
  <si>
    <t>Error Handling</t>
  </si>
  <si>
    <t>DES-001</t>
  </si>
  <si>
    <t>xcr24_init()</t>
  </si>
  <si>
    <t>None</t>
  </si>
  <si>
    <t>status_t</t>
  </si>
  <si>
    <t>Initialize XCR24 registers and operating state.</t>
  </si>
  <si>
    <t>Initialization error</t>
  </si>
  <si>
    <t>DES-002</t>
  </si>
  <si>
    <t>xcr24_write_reg()</t>
  </si>
  <si>
    <t>Address, Data</t>
  </si>
  <si>
    <t>Write XCR24 register through SPI.</t>
  </si>
  <si>
    <t>SPI error/timeout</t>
  </si>
  <si>
    <t>DES-003</t>
  </si>
  <si>
    <t>xcr24_set_dac()</t>
  </si>
  <si>
    <t>uint16_t dac_value</t>
  </si>
  <si>
    <t>Set DAC value within 0~4095.</t>
  </si>
  <si>
    <t>Invalid parameter</t>
  </si>
  <si>
    <t>DES-004</t>
  </si>
  <si>
    <t>xcr24_trim()</t>
  </si>
  <si>
    <t>Trim parameter</t>
  </si>
  <si>
    <t>trim_result_t</t>
  </si>
  <si>
    <t>Perform DAC trim sequence.</t>
  </si>
  <si>
    <t>ADC/trim failure</t>
  </si>
  <si>
    <t>Test ID</t>
  </si>
  <si>
    <t>Type</t>
  </si>
  <si>
    <t>Module / Function</t>
  </si>
  <si>
    <t>Test Condition</t>
  </si>
  <si>
    <t>Expected Result</t>
  </si>
  <si>
    <t>Actual Result</t>
  </si>
  <si>
    <t>PASS/FAIL</t>
  </si>
  <si>
    <t>UT-001</t>
  </si>
  <si>
    <t>Unit</t>
  </si>
  <si>
    <t>Minimum value</t>
  </si>
  <si>
    <t>0</t>
  </si>
  <si>
    <t>STATUS_OK</t>
  </si>
  <si>
    <t>UT-002</t>
  </si>
  <si>
    <t>Nominal value</t>
  </si>
  <si>
    <t>2048</t>
  </si>
  <si>
    <t>UT-003</t>
  </si>
  <si>
    <t>Maximum value</t>
  </si>
  <si>
    <t>4095</t>
  </si>
  <si>
    <t>UT-004</t>
  </si>
  <si>
    <t>Out of range</t>
  </si>
  <si>
    <t>4096</t>
  </si>
  <si>
    <t>STATUS_INVALID_PARAM</t>
  </si>
  <si>
    <t>Integration</t>
  </si>
  <si>
    <t>UART→Command→XCR24</t>
  </si>
  <si>
    <t>Set DAC command</t>
  </si>
  <si>
    <t>DAC=2048</t>
  </si>
  <si>
    <t>XCR24 DAC register = 2048</t>
  </si>
  <si>
    <t>FW-REQ-002,003</t>
  </si>
  <si>
    <t>Test Item</t>
  </si>
  <si>
    <t>Test Procedure</t>
  </si>
  <si>
    <t>FW Version</t>
  </si>
  <si>
    <t>Tester</t>
  </si>
  <si>
    <t>Date</t>
  </si>
  <si>
    <t>Power-on initialization</t>
  </si>
  <si>
    <t>Power ON and monitor initialization sequence.</t>
  </si>
  <si>
    <t>XCR24 initialization completes normally.</t>
  </si>
  <si>
    <t>V1.0.0</t>
  </si>
  <si>
    <t>ST-002</t>
  </si>
  <si>
    <t>SPI register R/W</t>
  </si>
  <si>
    <t>Read/write selected XCR24 registers.</t>
  </si>
  <si>
    <t>Written data is read back correctly.</t>
  </si>
  <si>
    <t>DAC output</t>
  </si>
  <si>
    <t>Set DAC to 0/1024/2048/3072/4095 and measure output.</t>
  </si>
  <si>
    <t>Output follows expected DAC setting.</t>
  </si>
  <si>
    <t>ADC measurement</t>
  </si>
  <si>
    <t>Measure known analog input values.</t>
  </si>
  <si>
    <t>Measured values are within specification.</t>
  </si>
  <si>
    <t>DAC trim</t>
  </si>
  <si>
    <t>Run trim sequence and repeat measurement.</t>
  </si>
  <si>
    <t>Trim completes and result is PASS within limits.</t>
  </si>
  <si>
    <t>Finding ID</t>
  </si>
  <si>
    <t>Tool</t>
  </si>
  <si>
    <t>Rule</t>
  </si>
  <si>
    <t>File</t>
  </si>
  <si>
    <t>Line</t>
  </si>
  <si>
    <t>Severity</t>
  </si>
  <si>
    <t>Action</t>
  </si>
  <si>
    <t>Disposition</t>
  </si>
  <si>
    <t>Reviewer</t>
  </si>
  <si>
    <t>SA-001</t>
  </si>
  <si>
    <t>IAR Static Analysis</t>
  </si>
  <si>
    <t>MISRA-C:2012 Rule 14.4</t>
  </si>
  <si>
    <t>xcr24.c</t>
  </si>
  <si>
    <t>Controlling expression violation.</t>
  </si>
  <si>
    <t>Warning</t>
  </si>
  <si>
    <t>Modify condition</t>
  </si>
  <si>
    <t>Fixed</t>
  </si>
  <si>
    <t>Open</t>
  </si>
  <si>
    <t>SA-002</t>
  </si>
  <si>
    <t>cppcheck</t>
  </si>
  <si>
    <t>MISRA-C:2012 Rule 10.8</t>
  </si>
  <si>
    <t>trim.c</t>
  </si>
  <si>
    <t>Cast expression issue.</t>
  </si>
  <si>
    <t>Review cast</t>
  </si>
  <si>
    <t>Deviation</t>
  </si>
  <si>
    <t>Item</t>
  </si>
  <si>
    <t>Value</t>
  </si>
  <si>
    <t>Product</t>
  </si>
  <si>
    <t>XCR24</t>
  </si>
  <si>
    <t>MCU</t>
  </si>
  <si>
    <t>STM32F446RE</t>
  </si>
  <si>
    <t>Compiler</t>
  </si>
  <si>
    <t>IAR</t>
  </si>
  <si>
    <t>Git Commit</t>
  </si>
  <si>
    <t>Build Date</t>
  </si>
  <si>
    <t>Release Date</t>
  </si>
  <si>
    <t>Release Type</t>
  </si>
  <si>
    <t>Initial Release</t>
  </si>
  <si>
    <t>Added</t>
  </si>
  <si>
    <t>Changed</t>
  </si>
  <si>
    <t>Unit Test</t>
  </si>
  <si>
    <t>PASS</t>
  </si>
  <si>
    <t>Static Analysis / MISRA</t>
  </si>
  <si>
    <t>Binary</t>
  </si>
  <si>
    <t>XCR24_FW_V1.0.0.hex / .bin</t>
  </si>
  <si>
    <t>Architecture ID</t>
  </si>
  <si>
    <t>Source File / Function</t>
  </si>
  <si>
    <t>Unit/Integration Test ID</t>
  </si>
  <si>
    <t>System Test ID</t>
  </si>
  <si>
    <t>Static Analysis</t>
  </si>
  <si>
    <t>Release Version</t>
  </si>
  <si>
    <t>Overall Status</t>
  </si>
  <si>
    <t>XCR24 initialization</t>
  </si>
  <si>
    <t>ARC-001, ARC-003</t>
  </si>
  <si>
    <t>xcr24.c / xcr24_init()</t>
  </si>
  <si>
    <t>XCR24 SPI register R/W</t>
  </si>
  <si>
    <t>ARC-003, ARC-004</t>
  </si>
  <si>
    <t>drv_xcr24.c / xcr24_write_reg()</t>
  </si>
  <si>
    <t>12-bit DAC setting</t>
  </si>
  <si>
    <t>drv_xcr24.c / xcr24_set_dac()</t>
  </si>
  <si>
    <t>UT-001~004</t>
  </si>
  <si>
    <t>drv_adc.c / adc_measure()</t>
  </si>
  <si>
    <t>xcr24_trim.c / xcr24_trim()</t>
  </si>
  <si>
    <t>FW-REQ-001</t>
    <phoneticPr fontId="2" type="noConversion"/>
  </si>
  <si>
    <t>Measurement</t>
    <phoneticPr fontId="2" type="noConversion"/>
  </si>
  <si>
    <t>Interface</t>
    <phoneticPr fontId="2" type="noConversion"/>
  </si>
  <si>
    <t>Approved</t>
  </si>
  <si>
    <t>Implemented</t>
  </si>
  <si>
    <t>Verified</t>
  </si>
  <si>
    <t>Failed</t>
  </si>
  <si>
    <t>Integration Test</t>
    <phoneticPr fontId="2" type="noConversion"/>
  </si>
  <si>
    <t>System Test</t>
    <phoneticPr fontId="2" type="noConversion"/>
  </si>
  <si>
    <t>Priority</t>
    <phoneticPr fontId="2" type="noConversion"/>
  </si>
  <si>
    <t>High</t>
    <phoneticPr fontId="2" type="noConversion"/>
  </si>
  <si>
    <t>Mid</t>
    <phoneticPr fontId="2" type="noConversion"/>
  </si>
  <si>
    <t>Low</t>
    <phoneticPr fontId="2" type="noConversion"/>
  </si>
  <si>
    <t>Timer Driver</t>
    <phoneticPr fontId="2" type="noConversion"/>
  </si>
  <si>
    <t>STM32 LL / TIM / DMA</t>
    <phoneticPr fontId="2" type="noConversion"/>
  </si>
  <si>
    <t>UART Driver</t>
    <phoneticPr fontId="2" type="noConversion"/>
  </si>
  <si>
    <t>ARC-006</t>
  </si>
  <si>
    <t>ARC-007</t>
  </si>
  <si>
    <t>ARC-008</t>
  </si>
  <si>
    <t>Provide UART communication.</t>
    <phoneticPr fontId="2" type="noConversion"/>
  </si>
  <si>
    <t>I2C Driver</t>
    <phoneticPr fontId="2" type="noConversion"/>
  </si>
  <si>
    <t>Provide I2C communication.</t>
    <phoneticPr fontId="2" type="noConversion"/>
  </si>
  <si>
    <t>STM32 HAL / I2C</t>
    <phoneticPr fontId="2" type="noConversion"/>
  </si>
  <si>
    <t>STM32 LL / SPI</t>
    <phoneticPr fontId="2" type="noConversion"/>
  </si>
  <si>
    <t>Command Line Interface</t>
    <phoneticPr fontId="2" type="noConversion"/>
  </si>
  <si>
    <t>Parse received commands and dispatch corresponding application functions.</t>
    <phoneticPr fontId="2" type="noConversion"/>
  </si>
  <si>
    <t>GPIO Driver</t>
    <phoneticPr fontId="2" type="noConversion"/>
  </si>
  <si>
    <t>STM32 LL / GPIO</t>
    <phoneticPr fontId="2" type="noConversion"/>
  </si>
  <si>
    <t>Provide timer-based PWM, DMA, interrupt, and microsecond delay functions.
Convert timer count value to frequency.</t>
    <phoneticPr fontId="2" type="noConversion"/>
  </si>
  <si>
    <t>Peripheral</t>
    <phoneticPr fontId="4" type="noConversion"/>
  </si>
  <si>
    <t>timer</t>
    <phoneticPr fontId="4" type="noConversion"/>
  </si>
  <si>
    <t>APB1</t>
    <phoneticPr fontId="4" type="noConversion"/>
  </si>
  <si>
    <t>APB2</t>
    <phoneticPr fontId="4" type="noConversion"/>
  </si>
  <si>
    <t>TIM1</t>
    <phoneticPr fontId="4" type="noConversion"/>
  </si>
  <si>
    <t>TIM2</t>
    <phoneticPr fontId="4" type="noConversion"/>
  </si>
  <si>
    <t>TIM3</t>
    <phoneticPr fontId="4" type="noConversion"/>
  </si>
  <si>
    <t>TIM4</t>
    <phoneticPr fontId="4" type="noConversion"/>
  </si>
  <si>
    <t>APB</t>
    <phoneticPr fontId="4" type="noConversion"/>
  </si>
  <si>
    <t>BIT</t>
    <phoneticPr fontId="4" type="noConversion"/>
  </si>
  <si>
    <t>Purpose</t>
    <phoneticPr fontId="4" type="noConversion"/>
  </si>
  <si>
    <t>Base Freq</t>
    <phoneticPr fontId="4" type="noConversion"/>
  </si>
  <si>
    <t>Precaler</t>
    <phoneticPr fontId="4" type="noConversion"/>
  </si>
  <si>
    <t>Period</t>
    <phoneticPr fontId="4" type="noConversion"/>
  </si>
  <si>
    <t>MHz</t>
    <phoneticPr fontId="4" type="noConversion"/>
  </si>
  <si>
    <t>kHz</t>
    <phoneticPr fontId="4" type="noConversion"/>
  </si>
  <si>
    <t>Hz</t>
    <phoneticPr fontId="4" type="noConversion"/>
  </si>
  <si>
    <t>TIM5</t>
    <phoneticPr fontId="4" type="noConversion"/>
  </si>
  <si>
    <t>TIM6</t>
    <phoneticPr fontId="4" type="noConversion"/>
  </si>
  <si>
    <t>TIM7</t>
    <phoneticPr fontId="4" type="noConversion"/>
  </si>
  <si>
    <t>TIM8</t>
    <phoneticPr fontId="4" type="noConversion"/>
  </si>
  <si>
    <t>TIM9</t>
    <phoneticPr fontId="4" type="noConversion"/>
  </si>
  <si>
    <t>TIM10</t>
    <phoneticPr fontId="4" type="noConversion"/>
  </si>
  <si>
    <t>TIM11</t>
    <phoneticPr fontId="4" type="noConversion"/>
  </si>
  <si>
    <t>TIM12</t>
    <phoneticPr fontId="4" type="noConversion"/>
  </si>
  <si>
    <t>TIM13</t>
    <phoneticPr fontId="4" type="noConversion"/>
  </si>
  <si>
    <t>TIM14</t>
    <phoneticPr fontId="4" type="noConversion"/>
  </si>
  <si>
    <t>us delay</t>
    <phoneticPr fontId="4" type="noConversion"/>
  </si>
  <si>
    <t>DMA</t>
    <phoneticPr fontId="4" type="noConversion"/>
  </si>
  <si>
    <t>IRQ</t>
    <phoneticPr fontId="4" type="noConversion"/>
  </si>
  <si>
    <t>PWM Gen</t>
    <phoneticPr fontId="4" type="noConversion"/>
  </si>
  <si>
    <t>PWM Input</t>
    <phoneticPr fontId="4" type="noConversion"/>
  </si>
  <si>
    <t>Measure</t>
    <phoneticPr fontId="4" type="noConversion"/>
  </si>
  <si>
    <t>O</t>
    <phoneticPr fontId="4" type="noConversion"/>
  </si>
  <si>
    <t>HAL base</t>
    <phoneticPr fontId="4" type="noConversion"/>
  </si>
  <si>
    <t>ID804 Driver</t>
    <phoneticPr fontId="2" type="noConversion"/>
  </si>
  <si>
    <t>Framework</t>
    <phoneticPr fontId="2" type="noConversion"/>
  </si>
  <si>
    <t>RTOS</t>
    <phoneticPr fontId="2" type="noConversion"/>
  </si>
  <si>
    <t>ARC-001</t>
    <phoneticPr fontId="2" type="noConversion"/>
  </si>
  <si>
    <t>Driver</t>
    <phoneticPr fontId="2" type="noConversion"/>
  </si>
  <si>
    <t>UART Driver</t>
    <phoneticPr fontId="2" type="noConversion"/>
  </si>
  <si>
    <t>STM32 LL / UART</t>
    <phoneticPr fontId="2" type="noConversion"/>
  </si>
  <si>
    <t>Manage task scheduling and execution based on task priorities and timing requirements.</t>
    <phoneticPr fontId="2" type="noConversion"/>
  </si>
  <si>
    <t>FreeRTOS Kernel</t>
    <phoneticPr fontId="2" type="noConversion"/>
  </si>
  <si>
    <t>FW-REQ-006</t>
  </si>
  <si>
    <t>Provide GPIO control functions for firmware modules.</t>
    <phoneticPr fontId="2" type="noConversion"/>
  </si>
  <si>
    <t>SPI Driver, I2C Driver , GPIO Driver</t>
    <phoneticPr fontId="2" type="noConversion"/>
  </si>
  <si>
    <t>FW-REQ-003, 004, 005</t>
    <phoneticPr fontId="2" type="noConversion"/>
  </si>
  <si>
    <t>Provide ID804 registers and control functions.
Encode the data using Manchester encoding.</t>
    <phoneticPr fontId="2" type="noConversion"/>
  </si>
  <si>
    <t>Control</t>
    <phoneticPr fontId="2" type="noConversion"/>
  </si>
  <si>
    <t>Low</t>
  </si>
  <si>
    <t>The The firmware shall execute application tasks according to the scheduling mechanism provided by the RTOS.</t>
  </si>
  <si>
    <t>The The firmware shall provide a UART-based command interface for communication with PC.</t>
  </si>
  <si>
    <t>The firmware shall control ID804 through SPI and I2C.</t>
  </si>
  <si>
    <t>The firmware shall encode data transmitted through the ID804 SPI interface using Manchester encoding.</t>
  </si>
  <si>
    <t>The firmware shall control the communication direction of the ID804 interface.</t>
  </si>
  <si>
    <t>The firmware shall measure the frequency of ID804 output signal.</t>
  </si>
  <si>
    <t>The The firmware shall support a bootloader.</t>
    <phoneticPr fontId="2" type="noConversion"/>
  </si>
  <si>
    <t>ARC-009</t>
  </si>
  <si>
    <t>Bootloader</t>
    <phoneticPr fontId="2" type="noConversion"/>
  </si>
  <si>
    <t>FW-REQ-007</t>
  </si>
  <si>
    <t>Perform system initialization, firmware image verification, and application jump.
Support firmware update via UART communication.</t>
    <phoneticPr fontId="2" type="noConversion"/>
  </si>
  <si>
    <t>STM32 LL / UART / FLASH</t>
    <phoneticPr fontId="2" type="noConversion"/>
  </si>
  <si>
    <t>FW-REQ-008</t>
    <phoneticPr fontId="2" type="noConversion"/>
  </si>
  <si>
    <t>The The firmware shall not use HAL_Delay or LL_mDelay.</t>
    <phoneticPr fontId="2" type="noConversion"/>
  </si>
  <si>
    <t>명령어</t>
  </si>
  <si>
    <t>매개변수 (Parameters)</t>
  </si>
  <si>
    <t>설명 및 동작</t>
  </si>
  <si>
    <t>사용 예시</t>
  </si>
  <si>
    <t>비고 및 주의사항 (Notes)</t>
  </si>
  <si>
    <t>help</t>
  </si>
  <si>
    <t>-</t>
  </si>
  <si>
    <t>도움말 정보 출력</t>
  </si>
  <si>
    <t>?</t>
  </si>
  <si>
    <t>reset</t>
  </si>
  <si>
    <t>전체 시스템(메인 MCU) 리셋</t>
  </si>
  <si>
    <t>id804_vdd</t>
  </si>
  <si>
    <t>&lt;0: OFF, 1: 5V, 2: 5.5V&gt;</t>
  </si>
  <si>
    <t>ID804 VDD 전압 제어</t>
  </si>
  <si>
    <t>id804_vdd 1</t>
  </si>
  <si>
    <t>id804_vled</t>
  </si>
  <si>
    <t>ID804 VLED 전원 제어</t>
  </si>
  <si>
    <t>id804_vled 1</t>
  </si>
  <si>
    <t>id804_tm0</t>
  </si>
  <si>
    <t>&lt;0: GND, 1: VDD&gt;</t>
  </si>
  <si>
    <t>ID804 TM0 핀 논리 수준 제어</t>
  </si>
  <si>
    <t>id804_tm0 0</t>
  </si>
  <si>
    <t>id804_sio1</t>
  </si>
  <si>
    <t>SIO1 인터페이스 통신 경로 선택 및 활성화</t>
  </si>
  <si>
    <t>id804_sio2</t>
  </si>
  <si>
    <t>SIO2 인터페이스 통신 경로 선택 및 활성화</t>
  </si>
  <si>
    <t>id804_boot_single</t>
  </si>
  <si>
    <t>&lt;0: MCU, 1: I2C&gt;</t>
  </si>
  <si>
    <t>ID804 Single 부팅 시 통신 방식 설정</t>
  </si>
  <si>
    <t>id804_boot_forward</t>
  </si>
  <si>
    <t>&lt;0: LVDS, 1: CAN&gt;</t>
  </si>
  <si>
    <t>ID804 Forward 부팅 시 통신 방식 설정</t>
  </si>
  <si>
    <t>id804_boot_backward</t>
  </si>
  <si>
    <t>ID804 Backward 부팅 시 통신 방식 설정</t>
  </si>
  <si>
    <t>id804_reset</t>
  </si>
  <si>
    <t>&lt;Dev Addr&gt;</t>
  </si>
  <si>
    <t>id804_initbidir</t>
  </si>
  <si>
    <t>id804_clrerror</t>
  </si>
  <si>
    <t>id804_gosleep</t>
  </si>
  <si>
    <t>id804_goactive</t>
  </si>
  <si>
    <t>id804_godeepsleep</t>
  </si>
  <si>
    <t>id804_me</t>
  </si>
  <si>
    <t>Read 시 Data 인자는 생략</t>
  </si>
  <si>
    <t>id804_i2c</t>
  </si>
  <si>
    <t>I2C 인터페이스 레지스터 Read/Write</t>
  </si>
  <si>
    <t>&lt;0: OFF, 1: 5V&gt;</t>
    <phoneticPr fontId="2" type="noConversion"/>
  </si>
  <si>
    <t>id804_sio1 2 1</t>
    <phoneticPr fontId="2" type="noConversion"/>
  </si>
  <si>
    <t>id804_sio2 3 1</t>
    <phoneticPr fontId="2" type="noConversion"/>
  </si>
  <si>
    <t xml:space="preserve">id804_boot_single 0 </t>
    <phoneticPr fontId="2" type="noConversion"/>
  </si>
  <si>
    <t xml:space="preserve">id804_boot_forward 1 </t>
    <phoneticPr fontId="2" type="noConversion"/>
  </si>
  <si>
    <t xml:space="preserve">id804_boot_backward 0 </t>
    <phoneticPr fontId="2" type="noConversion"/>
  </si>
  <si>
    <t xml:space="preserve">id804_reset 0 </t>
    <phoneticPr fontId="2" type="noConversion"/>
  </si>
  <si>
    <t xml:space="preserve">id804_gosleep 10 </t>
    <phoneticPr fontId="2" type="noConversion"/>
  </si>
  <si>
    <t xml:space="preserve">id804_goactive 100 </t>
    <phoneticPr fontId="2" type="noConversion"/>
  </si>
  <si>
    <t xml:space="preserve">id804_godeepsleep 1000 </t>
    <phoneticPr fontId="2" type="noConversion"/>
  </si>
  <si>
    <t>VDD 5V</t>
    <phoneticPr fontId="2" type="noConversion"/>
  </si>
  <si>
    <t>TM0 GND</t>
    <phoneticPr fontId="2" type="noConversion"/>
  </si>
  <si>
    <t>RESET, Broadcast</t>
    <phoneticPr fontId="2" type="noConversion"/>
  </si>
  <si>
    <t>INITBIDIR, Dev Addr = 1</t>
    <phoneticPr fontId="2" type="noConversion"/>
  </si>
  <si>
    <t>CLRERROR, Broadcast</t>
    <phoneticPr fontId="2" type="noConversion"/>
  </si>
  <si>
    <t>GOSLEEP, Dev Addr = 10</t>
    <phoneticPr fontId="2" type="noConversion"/>
  </si>
  <si>
    <t>GOACTIVE, Dev Addr = 100</t>
    <phoneticPr fontId="2" type="noConversion"/>
  </si>
  <si>
    <t>READ_RGB, Broadcast</t>
    <phoneticPr fontId="2" type="noConversion"/>
  </si>
  <si>
    <t>Address = 0x50, Data = 0xAB</t>
    <phoneticPr fontId="2" type="noConversion"/>
  </si>
  <si>
    <t>Address = 0x50</t>
    <phoneticPr fontId="2" type="noConversion"/>
  </si>
  <si>
    <t>SIO1 CAN 선택 후 Enable</t>
    <phoneticPr fontId="2" type="noConversion"/>
  </si>
  <si>
    <t>단일 제어, MCU 부팅</t>
    <phoneticPr fontId="2" type="noConversion"/>
  </si>
  <si>
    <t>복수 정방향 제어, CAN 부팅</t>
    <phoneticPr fontId="2" type="noConversion"/>
  </si>
  <si>
    <t>복수 역방향 제어, LVDS 부팅</t>
    <phoneticPr fontId="2" type="noConversion"/>
  </si>
  <si>
    <t>지정 Dev Addr ID804 RESET</t>
    <phoneticPr fontId="2" type="noConversion"/>
  </si>
  <si>
    <t>지정 Dev Addr ID804 INITBIDIR</t>
    <phoneticPr fontId="2" type="noConversion"/>
  </si>
  <si>
    <t>지정 Dev Addr ID804 CLRERROR</t>
    <phoneticPr fontId="2" type="noConversion"/>
  </si>
  <si>
    <t>지정 Dev Addr ID804 GOSLEEP</t>
    <phoneticPr fontId="2" type="noConversion"/>
  </si>
  <si>
    <t>지정 Dev Addr ID804 GOACTIVE</t>
    <phoneticPr fontId="2" type="noConversion"/>
  </si>
  <si>
    <t>지정 Dev Addr ID804 GODEEPSLEEP</t>
    <phoneticPr fontId="2" type="noConversion"/>
  </si>
  <si>
    <t>M.E. 인터페이스 레지스터 Read/Write</t>
    <phoneticPr fontId="2" type="noConversion"/>
  </si>
  <si>
    <t>SIO2 LVDS 선택 후 Enable</t>
    <phoneticPr fontId="2" type="noConversion"/>
  </si>
  <si>
    <t>※ Boot 모드 변경 필요 시 보드 리셋 필요</t>
    <phoneticPr fontId="2" type="noConversion"/>
  </si>
  <si>
    <t>VLED 5V</t>
    <phoneticPr fontId="2" type="noConversion"/>
  </si>
  <si>
    <t>SET_RGB, Broadcast</t>
    <phoneticPr fontId="2" type="noConversion"/>
  </si>
  <si>
    <t>&lt;인터페이스&gt; &lt;활성화&gt;</t>
  </si>
  <si>
    <t>• 인터페이스: 1: MCU, 2: CAN, 3: LVDS, 4: I2C</t>
  </si>
  <si>
    <t>• 활성화: 1: ENABLE, 0: DISABLE</t>
  </si>
  <si>
    <t>• 인터페이스: 1: MCU, 2: CAN, 3: LVDS, 4: EOL</t>
  </si>
  <si>
    <t>&lt;0: WRITE, 1: READ&gt; &lt;Dev Addr&gt; &lt;CMD&gt; &lt;Data&gt;</t>
  </si>
  <si>
    <t xml:space="preserve">• 쓰기: id804_me 0 0 0xA0 0xFFFFFF </t>
    <phoneticPr fontId="2" type="noConversion"/>
  </si>
  <si>
    <t xml:space="preserve">• 읽기: id804_me 1 2 0x60 </t>
    <phoneticPr fontId="2" type="noConversion"/>
  </si>
  <si>
    <t>&lt;0: WRITE, 1: READ&gt; &lt;Address&gt; &lt;Data&gt;</t>
  </si>
  <si>
    <t xml:space="preserve">• 쓰기: id804_i2c 0 0x50 0xAB </t>
    <phoneticPr fontId="2" type="noConversion"/>
  </si>
  <si>
    <t xml:space="preserve">• 읽기: id804_i2c 1 0x50 </t>
    <phoneticPr fontId="2" type="noConversion"/>
  </si>
  <si>
    <t>id804_initbidir 1</t>
    <phoneticPr fontId="2" type="noConversion"/>
  </si>
  <si>
    <t>id804_clrerror 0</t>
    <phoneticPr fontId="2" type="noConversion"/>
  </si>
  <si>
    <t>GODEEPSLEEP, Dev Addr = 1000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</si>
</sst>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&quot;MHz&quot;"/>
    <numFmt numFmtId="177" formatCode="0&quot;MHz&quot;"/>
    <numFmt numFmtId="178" formatCode="0.00&quot;MHz&quot;"/>
  </numFmts>
  <fonts count="8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FFFFF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>
      <alignment vertical="center"/>
    </xf>
    <xf numFmtId="177" fontId="3" fillId="0" borderId="0" xfId="1" applyNumberFormat="1">
      <alignment vertical="center"/>
    </xf>
    <xf numFmtId="0" fontId="3" fillId="0" borderId="2" xfId="1" applyBorder="1">
      <alignment vertical="center"/>
    </xf>
    <xf numFmtId="178" fontId="3" fillId="0" borderId="2" xfId="1" applyNumberFormat="1" applyBorder="1">
      <alignment vertical="center"/>
    </xf>
    <xf numFmtId="176" fontId="3" fillId="0" borderId="2" xfId="1" applyNumberFormat="1" applyBorder="1">
      <alignment vertical="center"/>
    </xf>
    <xf numFmtId="0" fontId="3" fillId="0" borderId="2" xfId="1" applyBorder="1" applyAlignment="1">
      <alignment horizontal="center" vertical="center"/>
    </xf>
    <xf numFmtId="0" fontId="0" fillId="0" borderId="2" xfId="0" applyBorder="1"/>
    <xf numFmtId="0" fontId="5" fillId="0" borderId="0" xfId="0" applyFont="1"/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vertical="center" wrapText="1"/>
    </xf>
    <xf numFmtId="0" fontId="7" fillId="0" borderId="2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A1D0B2E5-89DF-445F-9A9A-659BBD7CBAD1}"/>
  </cellStyles>
  <dxfs count="0"/>
  <tableStyles count="0" defaultTableStyle="TableStyleMedium9" defaultPivotStyle="PivotStyleLight16"/>
  <colors>
    <mruColors>
      <color rgb="FFFF9933"/>
      <color rgb="FFFF3399"/>
      <color rgb="FFCC00FF"/>
      <color rgb="FF6666FF"/>
      <color rgb="FF0099FF"/>
      <color rgb="FF00FFCC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0</xdr:colOff>
      <xdr:row>1</xdr:row>
      <xdr:rowOff>0</xdr:rowOff>
    </xdr:from>
    <xdr:to>
      <xdr:col>31</xdr:col>
      <xdr:colOff>231296</xdr:colOff>
      <xdr:row>31</xdr:row>
      <xdr:rowOff>190500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4F6BBD1-2099-4F1D-86CE-1118C4F2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75821" y="217714"/>
          <a:ext cx="9375296" cy="672192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31A36-77E2-444D-83DE-525CC45F8632}">
  <sheetPr>
    <tabColor rgb="FF00FF00"/>
  </sheetPr>
  <dimension ref="B2:I16"/>
  <sheetViews>
    <sheetView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6" customWidth="1"/>
    <col min="4" max="4" width="86.5" bestFit="1" customWidth="1"/>
    <col min="5" max="5" width="14" customWidth="1"/>
    <col min="6" max="6" width="21" customWidth="1"/>
    <col min="7" max="7" width="17" customWidth="1"/>
    <col min="8" max="9" width="14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9" ht="30" customHeight="1" x14ac:dyDescent="0.45">
      <c r="B2" s="3"/>
      <c r="C2" s="3"/>
      <c r="D2" s="3"/>
      <c r="E2" s="3"/>
      <c r="F2" s="3"/>
      <c r="G2" s="3"/>
      <c r="H2" s="3"/>
      <c r="I2" s="3"/>
    </row>
    <row r="3" spans="2:9" ht="17" customHeight="1" x14ac:dyDescent="0.45">
      <c r="B3" s="4"/>
      <c r="C3" s="5"/>
      <c r="D3" s="4"/>
      <c r="E3" s="4"/>
      <c r="F3" s="4"/>
      <c r="G3" s="4"/>
      <c r="H3" s="4"/>
      <c r="I3" s="4"/>
    </row>
    <row r="4" spans="2:9" ht="17" customHeight="1" x14ac:dyDescent="0.45">
      <c r="B4" s="4"/>
      <c r="C4" s="5"/>
      <c r="D4" s="4"/>
      <c r="E4" s="4"/>
      <c r="F4" s="4"/>
      <c r="G4" s="5"/>
      <c r="H4" s="5"/>
      <c r="I4" s="5"/>
    </row>
    <row r="5" spans="2:9" ht="17" customHeight="1" x14ac:dyDescent="0.45">
      <c r="B5" s="4"/>
      <c r="C5" s="5"/>
      <c r="D5" s="4"/>
      <c r="E5" s="4"/>
      <c r="F5" s="4"/>
      <c r="G5" s="5"/>
      <c r="H5" s="5"/>
      <c r="I5" s="5"/>
    </row>
    <row r="6" spans="2:9" ht="17" customHeight="1" x14ac:dyDescent="0.45">
      <c r="B6" s="4"/>
      <c r="C6" s="5"/>
      <c r="D6" s="13"/>
      <c r="E6" s="4"/>
      <c r="F6" s="4"/>
      <c r="H6" s="5"/>
      <c r="I6" s="5"/>
    </row>
    <row r="7" spans="2:9" ht="17" customHeight="1" x14ac:dyDescent="0.45">
      <c r="B7" s="4"/>
      <c r="C7" s="5"/>
      <c r="D7" s="4"/>
      <c r="E7" s="4"/>
      <c r="F7" s="4"/>
      <c r="G7" s="4"/>
      <c r="H7" s="4"/>
      <c r="I7" s="4"/>
    </row>
    <row r="8" spans="2:9" ht="17" customHeight="1" x14ac:dyDescent="0.45">
      <c r="B8" s="4"/>
      <c r="C8" s="5"/>
      <c r="D8" s="5"/>
      <c r="E8" s="4"/>
      <c r="F8" s="4"/>
      <c r="G8" s="4"/>
      <c r="H8" s="4"/>
      <c r="I8" s="4"/>
    </row>
    <row r="9" spans="2:9" ht="17" customHeight="1" x14ac:dyDescent="0.45">
      <c r="B9" s="4"/>
      <c r="C9" s="5"/>
      <c r="D9" s="4"/>
      <c r="E9" s="4"/>
      <c r="F9" s="4"/>
      <c r="G9" s="4"/>
      <c r="H9" s="4"/>
      <c r="I9" s="4"/>
    </row>
    <row r="10" spans="2:9" ht="17" customHeight="1" x14ac:dyDescent="0.45"/>
    <row r="11" spans="2:9" ht="17" customHeight="1" x14ac:dyDescent="0.45"/>
    <row r="12" spans="2:9" ht="17" customHeight="1" x14ac:dyDescent="0.45"/>
    <row r="13" spans="2:9" ht="17" customHeight="1" x14ac:dyDescent="0.45"/>
    <row r="14" spans="2:9" ht="17" customHeight="1" x14ac:dyDescent="0.45"/>
    <row r="15" spans="2:9" ht="17" customHeight="1" x14ac:dyDescent="0.45"/>
    <row r="16" spans="2:9" ht="17" customHeight="1" x14ac:dyDescent="0.45"/>
  </sheetData>
  <autoFilter ref="B2:I7" xr:uid="{00000000-0009-0000-0000-000000000000}"/>
  <phoneticPr fontId="2" type="noConversion"/>
  <pageMargins left="0.75" right="0.75" top="1" bottom="1" header="0.5" footer="0.5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784CBB2-2796-42AC-912A-C9ADECDB84C7}">
          <x14:formula1>
            <xm:f>Common!$C$3:$C$4</xm:f>
          </x14:formula1>
          <xm:sqref>F3:F9</xm:sqref>
        </x14:dataValidation>
        <x14:dataValidation type="list" allowBlank="1" showInputMessage="1" showErrorMessage="1" xr:uid="{E47BC8F1-40F8-4461-B31F-9C5E7844E755}">
          <x14:formula1>
            <xm:f>Common!$B$3:$B$5</xm:f>
          </x14:formula1>
          <xm:sqref>E3:E9</xm:sqref>
        </x14:dataValidation>
        <x14:dataValidation type="list" allowBlank="1" showInputMessage="1" showErrorMessage="1" xr:uid="{A9D85386-A792-4B24-AD0C-C9DFB37EAB73}">
          <x14:formula1>
            <xm:f>Common!$D$3:$D$7</xm:f>
          </x14:formula1>
          <xm:sqref>H3:H9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CC"/>
  </sheetPr>
  <dimension ref="B2:I16"/>
  <sheetViews>
    <sheetView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6" customWidth="1"/>
    <col min="4" max="4" width="91" customWidth="1"/>
    <col min="5" max="5" width="14" customWidth="1"/>
    <col min="6" max="6" width="21" customWidth="1"/>
    <col min="7" max="7" width="17" customWidth="1"/>
    <col min="8" max="9" width="14" customWidth="1"/>
    <col min="12" max="12" width="14.33203125" bestFit="1" customWidth="1"/>
    <col min="13" max="13" width="7.5" bestFit="1" customWidth="1"/>
    <col min="14" max="14" width="5.75" bestFit="1" customWidth="1"/>
  </cols>
  <sheetData>
    <row r="2" spans="2:9" ht="30" customHeight="1" x14ac:dyDescent="0.4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</row>
    <row r="3" spans="2:9" ht="17" customHeight="1" x14ac:dyDescent="0.45">
      <c r="B3" s="4" t="s">
        <v>178</v>
      </c>
      <c r="C3" s="5" t="s">
        <v>256</v>
      </c>
      <c r="D3" s="4" t="s">
        <v>258</v>
      </c>
      <c r="E3" s="4" t="s">
        <v>9</v>
      </c>
      <c r="F3" s="4" t="s">
        <v>14</v>
      </c>
      <c r="G3" s="4"/>
      <c r="H3" s="4" t="s">
        <v>12</v>
      </c>
      <c r="I3" s="4"/>
    </row>
    <row r="4" spans="2:9" ht="17" customHeight="1" x14ac:dyDescent="0.45">
      <c r="B4" s="4" t="s">
        <v>13</v>
      </c>
      <c r="C4" s="5" t="s">
        <v>180</v>
      </c>
      <c r="D4" s="4" t="s">
        <v>259</v>
      </c>
      <c r="E4" s="4" t="s">
        <v>9</v>
      </c>
      <c r="F4" s="4" t="s">
        <v>14</v>
      </c>
      <c r="G4" s="5"/>
      <c r="H4" s="5" t="s">
        <v>12</v>
      </c>
      <c r="I4" s="5"/>
    </row>
    <row r="5" spans="2:9" ht="17" customHeight="1" x14ac:dyDescent="0.45">
      <c r="B5" s="4" t="s">
        <v>16</v>
      </c>
      <c r="C5" s="5" t="s">
        <v>180</v>
      </c>
      <c r="D5" s="4" t="s">
        <v>260</v>
      </c>
      <c r="E5" s="4" t="s">
        <v>9</v>
      </c>
      <c r="F5" s="4" t="s">
        <v>14</v>
      </c>
      <c r="G5" s="5"/>
      <c r="H5" s="5" t="s">
        <v>12</v>
      </c>
      <c r="I5" s="5"/>
    </row>
    <row r="6" spans="2:9" ht="17" customHeight="1" x14ac:dyDescent="0.45">
      <c r="B6" s="4" t="s">
        <v>18</v>
      </c>
      <c r="C6" s="5" t="s">
        <v>180</v>
      </c>
      <c r="D6" s="13" t="s">
        <v>261</v>
      </c>
      <c r="E6" s="4" t="s">
        <v>9</v>
      </c>
      <c r="F6" s="4" t="s">
        <v>14</v>
      </c>
      <c r="H6" s="5" t="s">
        <v>12</v>
      </c>
      <c r="I6" s="5"/>
    </row>
    <row r="7" spans="2:9" ht="17" customHeight="1" x14ac:dyDescent="0.45">
      <c r="B7" s="4" t="s">
        <v>20</v>
      </c>
      <c r="C7" s="5" t="s">
        <v>180</v>
      </c>
      <c r="D7" s="4" t="s">
        <v>262</v>
      </c>
      <c r="E7" s="4" t="s">
        <v>9</v>
      </c>
      <c r="F7" s="4" t="s">
        <v>14</v>
      </c>
      <c r="G7" s="4"/>
      <c r="H7" s="4" t="s">
        <v>12</v>
      </c>
      <c r="I7" s="4"/>
    </row>
    <row r="8" spans="2:9" ht="17" customHeight="1" x14ac:dyDescent="0.45">
      <c r="B8" s="4" t="s">
        <v>251</v>
      </c>
      <c r="C8" s="5" t="s">
        <v>179</v>
      </c>
      <c r="D8" s="5" t="s">
        <v>263</v>
      </c>
      <c r="E8" s="4" t="s">
        <v>257</v>
      </c>
      <c r="F8" s="4" t="s">
        <v>10</v>
      </c>
      <c r="G8" s="4"/>
      <c r="H8" s="4" t="s">
        <v>12</v>
      </c>
      <c r="I8" s="4"/>
    </row>
    <row r="9" spans="2:9" ht="17" customHeight="1" x14ac:dyDescent="0.45">
      <c r="B9" s="4" t="s">
        <v>267</v>
      </c>
      <c r="C9" s="5" t="s">
        <v>256</v>
      </c>
      <c r="D9" s="4" t="s">
        <v>264</v>
      </c>
      <c r="E9" s="4" t="s">
        <v>9</v>
      </c>
      <c r="F9" s="4" t="s">
        <v>10</v>
      </c>
      <c r="G9" s="4"/>
      <c r="H9" s="4" t="s">
        <v>12</v>
      </c>
      <c r="I9" s="4"/>
    </row>
    <row r="10" spans="2:9" ht="17" customHeight="1" x14ac:dyDescent="0.45">
      <c r="B10" s="4" t="s">
        <v>270</v>
      </c>
      <c r="C10" s="5" t="s">
        <v>256</v>
      </c>
      <c r="D10" s="4" t="s">
        <v>271</v>
      </c>
      <c r="E10" s="4" t="s">
        <v>9</v>
      </c>
      <c r="F10" s="4" t="s">
        <v>10</v>
      </c>
      <c r="G10" s="4"/>
      <c r="H10" s="4" t="s">
        <v>12</v>
      </c>
      <c r="I10" s="4"/>
    </row>
    <row r="11" spans="2:9" ht="17" customHeight="1" x14ac:dyDescent="0.45"/>
    <row r="12" spans="2:9" ht="17" customHeight="1" x14ac:dyDescent="0.45"/>
    <row r="13" spans="2:9" ht="17" customHeight="1" x14ac:dyDescent="0.45"/>
    <row r="14" spans="2:9" ht="17" customHeight="1" x14ac:dyDescent="0.45"/>
    <row r="15" spans="2:9" ht="17" customHeight="1" x14ac:dyDescent="0.45"/>
    <row r="16" spans="2:9" ht="17" customHeight="1" x14ac:dyDescent="0.45"/>
  </sheetData>
  <autoFilter ref="B2:I7" xr:uid="{00000000-0009-0000-0000-000000000000}"/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C8A9ECE-FE41-4C2F-832C-97EAE43D07AA}">
          <x14:formula1>
            <xm:f>Common!$D$3:$D$7</xm:f>
          </x14:formula1>
          <xm:sqref>H3:H10</xm:sqref>
        </x14:dataValidation>
        <x14:dataValidation type="list" allowBlank="1" showInputMessage="1" showErrorMessage="1" xr:uid="{5DF9B7D1-31DB-4402-87DE-866074A4475D}">
          <x14:formula1>
            <xm:f>Common!$B$3:$B$5</xm:f>
          </x14:formula1>
          <xm:sqref>E3:E10</xm:sqref>
        </x14:dataValidation>
        <x14:dataValidation type="list" allowBlank="1" showInputMessage="1" showErrorMessage="1" xr:uid="{A450BA07-13EB-4D36-880F-44F80B40A943}">
          <x14:formula1>
            <xm:f>Common!$C$3:$C$4</xm:f>
          </x14:formula1>
          <xm:sqref>F3:F10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99FF"/>
  </sheetPr>
  <dimension ref="B2:I13"/>
  <sheetViews>
    <sheetView zoomScale="85" zoomScaleNormal="85" workbookViewId="0">
      <pane ySplit="2" topLeftCell="A3" activePane="bottomLeft" state="frozen"/>
      <selection pane="bottomLeft"/>
    </sheetView>
  </sheetViews>
  <sheetFormatPr defaultRowHeight="17" x14ac:dyDescent="0.45"/>
  <cols>
    <col min="1" max="1" width="2.58203125" customWidth="1"/>
    <col min="2" max="3" width="14" customWidth="1"/>
    <col min="4" max="4" width="22.58203125" bestFit="1" customWidth="1"/>
    <col min="5" max="5" width="70.08203125" bestFit="1" customWidth="1"/>
    <col min="6" max="6" width="92.33203125" bestFit="1" customWidth="1"/>
    <col min="7" max="7" width="26.08203125" bestFit="1" customWidth="1"/>
    <col min="8" max="9" width="14" customWidth="1"/>
  </cols>
  <sheetData>
    <row r="2" spans="2:9" ht="30" customHeight="1" x14ac:dyDescent="0.45"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6</v>
      </c>
      <c r="I2" s="3" t="s">
        <v>7</v>
      </c>
    </row>
    <row r="3" spans="2:9" ht="17" customHeight="1" x14ac:dyDescent="0.45">
      <c r="B3" s="4" t="s">
        <v>245</v>
      </c>
      <c r="C3" s="4" t="s">
        <v>243</v>
      </c>
      <c r="D3" s="4" t="s">
        <v>244</v>
      </c>
      <c r="E3" s="4" t="s">
        <v>249</v>
      </c>
      <c r="F3" s="4" t="s">
        <v>250</v>
      </c>
      <c r="G3" s="4" t="s">
        <v>178</v>
      </c>
      <c r="H3" s="5" t="s">
        <v>12</v>
      </c>
      <c r="I3" s="5"/>
    </row>
    <row r="4" spans="2:9" ht="17" customHeight="1" x14ac:dyDescent="0.45">
      <c r="B4" s="4" t="s">
        <v>29</v>
      </c>
      <c r="C4" s="4" t="s">
        <v>28</v>
      </c>
      <c r="D4" s="4" t="s">
        <v>202</v>
      </c>
      <c r="E4" s="4" t="s">
        <v>203</v>
      </c>
      <c r="F4" s="4" t="s">
        <v>247</v>
      </c>
      <c r="G4" s="4" t="s">
        <v>13</v>
      </c>
      <c r="H4" s="5" t="s">
        <v>12</v>
      </c>
      <c r="I4" s="13"/>
    </row>
    <row r="5" spans="2:9" ht="17" customHeight="1" x14ac:dyDescent="0.45">
      <c r="B5" s="4" t="s">
        <v>30</v>
      </c>
      <c r="C5" s="13" t="s">
        <v>246</v>
      </c>
      <c r="D5" s="4" t="s">
        <v>193</v>
      </c>
      <c r="E5" s="4" t="s">
        <v>197</v>
      </c>
      <c r="F5" s="4" t="s">
        <v>248</v>
      </c>
      <c r="G5" s="4" t="s">
        <v>13</v>
      </c>
      <c r="H5" s="5" t="s">
        <v>12</v>
      </c>
      <c r="I5" s="13"/>
    </row>
    <row r="6" spans="2:9" ht="34" customHeight="1" x14ac:dyDescent="0.45">
      <c r="B6" s="4" t="s">
        <v>34</v>
      </c>
      <c r="C6" s="4" t="s">
        <v>31</v>
      </c>
      <c r="D6" s="4" t="s">
        <v>242</v>
      </c>
      <c r="E6" s="4" t="s">
        <v>255</v>
      </c>
      <c r="F6" s="4" t="s">
        <v>253</v>
      </c>
      <c r="G6" s="4" t="s">
        <v>254</v>
      </c>
      <c r="H6" s="5" t="s">
        <v>12</v>
      </c>
      <c r="I6" s="5"/>
    </row>
    <row r="7" spans="2:9" ht="17" customHeight="1" x14ac:dyDescent="0.45">
      <c r="B7" s="4" t="s">
        <v>36</v>
      </c>
      <c r="C7" s="4" t="s">
        <v>31</v>
      </c>
      <c r="D7" s="4" t="s">
        <v>198</v>
      </c>
      <c r="E7" s="4" t="s">
        <v>199</v>
      </c>
      <c r="F7" s="4" t="s">
        <v>200</v>
      </c>
      <c r="G7" s="4" t="s">
        <v>16</v>
      </c>
      <c r="H7" s="5" t="s">
        <v>12</v>
      </c>
      <c r="I7" s="5"/>
    </row>
    <row r="8" spans="2:9" ht="17" customHeight="1" x14ac:dyDescent="0.45">
      <c r="B8" s="4" t="s">
        <v>194</v>
      </c>
      <c r="C8" s="4" t="s">
        <v>31</v>
      </c>
      <c r="D8" s="4" t="s">
        <v>33</v>
      </c>
      <c r="E8" s="4" t="s">
        <v>35</v>
      </c>
      <c r="F8" s="4" t="s">
        <v>201</v>
      </c>
      <c r="G8" s="4" t="s">
        <v>16</v>
      </c>
      <c r="H8" s="5" t="s">
        <v>12</v>
      </c>
      <c r="I8" s="5"/>
    </row>
    <row r="9" spans="2:9" ht="17" customHeight="1" x14ac:dyDescent="0.45">
      <c r="B9" s="4" t="s">
        <v>195</v>
      </c>
      <c r="C9" s="4" t="s">
        <v>31</v>
      </c>
      <c r="D9" s="4" t="s">
        <v>204</v>
      </c>
      <c r="E9" s="4" t="s">
        <v>252</v>
      </c>
      <c r="F9" s="4" t="s">
        <v>205</v>
      </c>
      <c r="G9" s="4" t="s">
        <v>20</v>
      </c>
      <c r="H9" s="5" t="s">
        <v>12</v>
      </c>
      <c r="I9" s="5"/>
    </row>
    <row r="10" spans="2:9" ht="34" x14ac:dyDescent="0.45">
      <c r="B10" s="4" t="s">
        <v>196</v>
      </c>
      <c r="C10" s="4" t="s">
        <v>31</v>
      </c>
      <c r="D10" s="4" t="s">
        <v>191</v>
      </c>
      <c r="E10" s="4" t="s">
        <v>206</v>
      </c>
      <c r="F10" s="4" t="s">
        <v>192</v>
      </c>
      <c r="G10" s="4" t="s">
        <v>251</v>
      </c>
      <c r="H10" s="5" t="s">
        <v>12</v>
      </c>
      <c r="I10" s="5"/>
    </row>
    <row r="11" spans="2:9" ht="34" x14ac:dyDescent="0.45">
      <c r="B11" s="4" t="s">
        <v>265</v>
      </c>
      <c r="C11" s="4" t="s">
        <v>243</v>
      </c>
      <c r="D11" s="4" t="s">
        <v>266</v>
      </c>
      <c r="E11" s="4" t="s">
        <v>268</v>
      </c>
      <c r="F11" s="4" t="s">
        <v>269</v>
      </c>
      <c r="G11" s="4" t="s">
        <v>267</v>
      </c>
      <c r="H11" s="5" t="s">
        <v>12</v>
      </c>
      <c r="I11" s="13"/>
    </row>
    <row r="13" spans="2:9" ht="17" customHeight="1" x14ac:dyDescent="0.45"/>
  </sheetData>
  <autoFilter ref="B2:I13" xr:uid="{00000000-0009-0000-0000-000001000000}">
    <sortState xmlns:xlrd2="http://schemas.microsoft.com/office/spreadsheetml/2017/richdata2" ref="B3:I23">
      <sortCondition descending="1" ref="C2:C13"/>
    </sortState>
  </autoFilter>
  <phoneticPr fontId="2" type="noConversion"/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143727-0189-441B-AF85-05A98769C614}">
          <x14:formula1>
            <xm:f>Common!$D$3:$D$7</xm:f>
          </x14:formula1>
          <xm:sqref>H3:H11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6666FF"/>
  </sheetPr>
  <dimension ref="B2:J6"/>
  <sheetViews>
    <sheetView zoomScale="85" zoomScaleNormal="85" workbookViewId="0">
      <pane ySplit="2" topLeftCell="A3" activePane="bottomLeft" state="frozen"/>
      <selection sqref="A1:A1048576"/>
      <selection pane="bottomLeft" activeCell="K19" sqref="K19"/>
    </sheetView>
  </sheetViews>
  <sheetFormatPr defaultRowHeight="17" x14ac:dyDescent="0.45"/>
  <cols>
    <col min="1" max="1" width="2.58203125" customWidth="1"/>
    <col min="2" max="3" width="14" customWidth="1"/>
    <col min="4" max="4" width="19" customWidth="1"/>
    <col min="5" max="5" width="20" customWidth="1"/>
    <col min="6" max="6" width="15" customWidth="1"/>
    <col min="7" max="7" width="32" customWidth="1"/>
    <col min="8" max="8" width="22" customWidth="1"/>
    <col min="9" max="9" width="21" customWidth="1"/>
    <col min="10" max="10" width="14" customWidth="1"/>
  </cols>
  <sheetData>
    <row r="2" spans="2:10" ht="30" customHeight="1" x14ac:dyDescent="0.45">
      <c r="B2" s="1" t="s">
        <v>37</v>
      </c>
      <c r="C2" s="1" t="s">
        <v>24</v>
      </c>
      <c r="D2" s="1" t="s">
        <v>38</v>
      </c>
      <c r="E2" s="1" t="s">
        <v>39</v>
      </c>
      <c r="F2" s="1" t="s">
        <v>40</v>
      </c>
      <c r="G2" s="1" t="s">
        <v>41</v>
      </c>
      <c r="H2" s="1" t="s">
        <v>42</v>
      </c>
      <c r="I2" s="1" t="s">
        <v>27</v>
      </c>
      <c r="J2" s="1" t="s">
        <v>6</v>
      </c>
    </row>
    <row r="3" spans="2:10" ht="34" x14ac:dyDescent="0.45">
      <c r="B3" s="6" t="s">
        <v>43</v>
      </c>
      <c r="C3" s="6" t="s">
        <v>32</v>
      </c>
      <c r="D3" s="6" t="s">
        <v>44</v>
      </c>
      <c r="E3" s="6" t="s">
        <v>45</v>
      </c>
      <c r="F3" s="6" t="s">
        <v>46</v>
      </c>
      <c r="G3" s="6" t="s">
        <v>47</v>
      </c>
      <c r="H3" s="6" t="s">
        <v>48</v>
      </c>
      <c r="I3" s="6" t="s">
        <v>8</v>
      </c>
      <c r="J3" s="6" t="s">
        <v>12</v>
      </c>
    </row>
    <row r="4" spans="2:10" x14ac:dyDescent="0.45">
      <c r="B4" s="6" t="s">
        <v>49</v>
      </c>
      <c r="C4" s="6" t="s">
        <v>32</v>
      </c>
      <c r="D4" s="6" t="s">
        <v>50</v>
      </c>
      <c r="E4" s="6" t="s">
        <v>51</v>
      </c>
      <c r="F4" s="6" t="s">
        <v>46</v>
      </c>
      <c r="G4" s="6" t="s">
        <v>52</v>
      </c>
      <c r="H4" s="6" t="s">
        <v>53</v>
      </c>
      <c r="I4" s="6" t="s">
        <v>13</v>
      </c>
      <c r="J4" s="6" t="s">
        <v>12</v>
      </c>
    </row>
    <row r="5" spans="2:10" x14ac:dyDescent="0.45">
      <c r="B5" s="6" t="s">
        <v>54</v>
      </c>
      <c r="C5" s="6" t="s">
        <v>32</v>
      </c>
      <c r="D5" s="6" t="s">
        <v>55</v>
      </c>
      <c r="E5" s="6" t="s">
        <v>56</v>
      </c>
      <c r="F5" s="6" t="s">
        <v>46</v>
      </c>
      <c r="G5" s="6" t="s">
        <v>57</v>
      </c>
      <c r="H5" s="6" t="s">
        <v>58</v>
      </c>
      <c r="I5" s="6" t="s">
        <v>16</v>
      </c>
      <c r="J5" s="6" t="s">
        <v>12</v>
      </c>
    </row>
    <row r="6" spans="2:10" x14ac:dyDescent="0.45">
      <c r="B6" s="6" t="s">
        <v>59</v>
      </c>
      <c r="C6" s="6" t="s">
        <v>32</v>
      </c>
      <c r="D6" s="6" t="s">
        <v>60</v>
      </c>
      <c r="E6" s="6" t="s">
        <v>61</v>
      </c>
      <c r="F6" s="6" t="s">
        <v>62</v>
      </c>
      <c r="G6" s="6" t="s">
        <v>63</v>
      </c>
      <c r="H6" s="6" t="s">
        <v>64</v>
      </c>
      <c r="I6" s="6" t="s">
        <v>20</v>
      </c>
      <c r="J6" s="6" t="s">
        <v>12</v>
      </c>
    </row>
  </sheetData>
  <autoFilter ref="B2:J6" xr:uid="{00000000-0009-0000-0000-000002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00FF"/>
  </sheetPr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H25" sqref="H25:H27"/>
    </sheetView>
  </sheetViews>
  <sheetFormatPr defaultRowHeight="17" x14ac:dyDescent="0.45"/>
  <cols>
    <col min="1" max="1" width="2.58203125" customWidth="1"/>
    <col min="2" max="3" width="14" customWidth="1"/>
    <col min="4" max="4" width="20" customWidth="1"/>
    <col min="5" max="5" width="17" customWidth="1"/>
    <col min="6" max="6" width="14" customWidth="1"/>
    <col min="7" max="7" width="27" customWidth="1"/>
    <col min="8" max="8" width="15" customWidth="1"/>
    <col min="9" max="9" width="14" customWidth="1"/>
    <col min="10" max="10" width="21" customWidth="1"/>
    <col min="11" max="11" width="14" customWidth="1"/>
  </cols>
  <sheetData>
    <row r="2" spans="2:11" ht="30" customHeight="1" x14ac:dyDescent="0.45">
      <c r="B2" s="1" t="s">
        <v>65</v>
      </c>
      <c r="C2" s="1" t="s">
        <v>66</v>
      </c>
      <c r="D2" s="1" t="s">
        <v>67</v>
      </c>
      <c r="E2" s="1" t="s">
        <v>68</v>
      </c>
      <c r="F2" s="1" t="s">
        <v>39</v>
      </c>
      <c r="G2" s="1" t="s">
        <v>69</v>
      </c>
      <c r="H2" s="1" t="s">
        <v>70</v>
      </c>
      <c r="I2" s="1" t="s">
        <v>71</v>
      </c>
      <c r="J2" s="1" t="s">
        <v>27</v>
      </c>
      <c r="K2" s="1" t="s">
        <v>7</v>
      </c>
    </row>
    <row r="3" spans="2:11" x14ac:dyDescent="0.45">
      <c r="B3" s="2" t="s">
        <v>72</v>
      </c>
      <c r="C3" s="2" t="s">
        <v>73</v>
      </c>
      <c r="D3" s="2" t="s">
        <v>55</v>
      </c>
      <c r="E3" s="2" t="s">
        <v>74</v>
      </c>
      <c r="F3" s="2" t="s">
        <v>75</v>
      </c>
      <c r="G3" s="2" t="s">
        <v>76</v>
      </c>
      <c r="H3" s="2"/>
      <c r="I3" s="2"/>
      <c r="J3" s="2" t="s">
        <v>16</v>
      </c>
      <c r="K3" s="2"/>
    </row>
    <row r="4" spans="2:11" x14ac:dyDescent="0.45">
      <c r="B4" s="2" t="s">
        <v>77</v>
      </c>
      <c r="C4" s="2" t="s">
        <v>73</v>
      </c>
      <c r="D4" s="2" t="s">
        <v>55</v>
      </c>
      <c r="E4" s="2" t="s">
        <v>78</v>
      </c>
      <c r="F4" s="2" t="s">
        <v>79</v>
      </c>
      <c r="G4" s="2" t="s">
        <v>76</v>
      </c>
      <c r="H4" s="2"/>
      <c r="I4" s="2"/>
      <c r="J4" s="2" t="s">
        <v>16</v>
      </c>
      <c r="K4" s="2"/>
    </row>
    <row r="5" spans="2:11" x14ac:dyDescent="0.45">
      <c r="B5" s="2" t="s">
        <v>80</v>
      </c>
      <c r="C5" s="2" t="s">
        <v>73</v>
      </c>
      <c r="D5" s="2" t="s">
        <v>55</v>
      </c>
      <c r="E5" s="2" t="s">
        <v>81</v>
      </c>
      <c r="F5" s="2" t="s">
        <v>82</v>
      </c>
      <c r="G5" s="2" t="s">
        <v>76</v>
      </c>
      <c r="H5" s="2"/>
      <c r="I5" s="2"/>
      <c r="J5" s="2" t="s">
        <v>16</v>
      </c>
      <c r="K5" s="2"/>
    </row>
    <row r="6" spans="2:11" x14ac:dyDescent="0.45">
      <c r="B6" s="2" t="s">
        <v>83</v>
      </c>
      <c r="C6" s="2" t="s">
        <v>73</v>
      </c>
      <c r="D6" s="2" t="s">
        <v>55</v>
      </c>
      <c r="E6" s="2" t="s">
        <v>84</v>
      </c>
      <c r="F6" s="2" t="s">
        <v>85</v>
      </c>
      <c r="G6" s="2" t="s">
        <v>86</v>
      </c>
      <c r="H6" s="2"/>
      <c r="I6" s="2"/>
      <c r="J6" s="2" t="s">
        <v>16</v>
      </c>
      <c r="K6" s="2"/>
    </row>
    <row r="7" spans="2:11" ht="34" x14ac:dyDescent="0.45">
      <c r="B7" s="2" t="s">
        <v>15</v>
      </c>
      <c r="C7" s="2" t="s">
        <v>87</v>
      </c>
      <c r="D7" s="2" t="s">
        <v>88</v>
      </c>
      <c r="E7" s="2" t="s">
        <v>89</v>
      </c>
      <c r="F7" s="2" t="s">
        <v>90</v>
      </c>
      <c r="G7" s="2" t="s">
        <v>91</v>
      </c>
      <c r="H7" s="2"/>
      <c r="I7" s="2"/>
      <c r="J7" s="2" t="s">
        <v>92</v>
      </c>
      <c r="K7" s="2"/>
    </row>
  </sheetData>
  <autoFilter ref="B2:K7" xr:uid="{00000000-0009-0000-0000-000003000000}"/>
  <phoneticPr fontId="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3399"/>
  </sheetPr>
  <dimension ref="B2:L7"/>
  <sheetViews>
    <sheetView zoomScale="85" zoomScaleNormal="85" workbookViewId="0">
      <pane ySplit="2" topLeftCell="A3" activePane="bottomLeft" state="frozen"/>
      <selection activeCell="C15" sqref="C15"/>
      <selection pane="bottomLeft" activeCell="B2" sqref="B2:L7"/>
    </sheetView>
  </sheetViews>
  <sheetFormatPr defaultRowHeight="17" x14ac:dyDescent="0.45"/>
  <cols>
    <col min="1" max="1" width="2.58203125" customWidth="1"/>
    <col min="2" max="2" width="14" customWidth="1"/>
    <col min="3" max="3" width="16" customWidth="1"/>
    <col min="4" max="4" width="25" customWidth="1"/>
    <col min="5" max="6" width="32" customWidth="1"/>
    <col min="7" max="7" width="15" customWidth="1"/>
    <col min="8" max="12" width="14" customWidth="1"/>
  </cols>
  <sheetData>
    <row r="2" spans="2:12" ht="30" customHeight="1" x14ac:dyDescent="0.45">
      <c r="B2" s="1" t="s">
        <v>65</v>
      </c>
      <c r="C2" s="1" t="s">
        <v>0</v>
      </c>
      <c r="D2" s="1" t="s">
        <v>93</v>
      </c>
      <c r="E2" s="1" t="s">
        <v>94</v>
      </c>
      <c r="F2" s="1" t="s">
        <v>69</v>
      </c>
      <c r="G2" s="1" t="s">
        <v>70</v>
      </c>
      <c r="H2" s="1" t="s">
        <v>71</v>
      </c>
      <c r="I2" s="1" t="s">
        <v>95</v>
      </c>
      <c r="J2" s="1" t="s">
        <v>96</v>
      </c>
      <c r="K2" s="1" t="s">
        <v>97</v>
      </c>
      <c r="L2" s="1" t="s">
        <v>7</v>
      </c>
    </row>
    <row r="3" spans="2:12" ht="34" x14ac:dyDescent="0.45">
      <c r="B3" s="2" t="s">
        <v>11</v>
      </c>
      <c r="C3" s="2" t="s">
        <v>8</v>
      </c>
      <c r="D3" s="2" t="s">
        <v>98</v>
      </c>
      <c r="E3" s="2" t="s">
        <v>99</v>
      </c>
      <c r="F3" s="2" t="s">
        <v>100</v>
      </c>
      <c r="G3" s="2"/>
      <c r="H3" s="2"/>
      <c r="I3" s="2" t="s">
        <v>101</v>
      </c>
      <c r="J3" s="2"/>
      <c r="K3" s="2"/>
      <c r="L3" s="2"/>
    </row>
    <row r="4" spans="2:12" x14ac:dyDescent="0.45">
      <c r="B4" s="2" t="s">
        <v>102</v>
      </c>
      <c r="C4" s="2" t="s">
        <v>13</v>
      </c>
      <c r="D4" s="2" t="s">
        <v>103</v>
      </c>
      <c r="E4" s="2" t="s">
        <v>104</v>
      </c>
      <c r="F4" s="2" t="s">
        <v>105</v>
      </c>
      <c r="G4" s="2"/>
      <c r="H4" s="2"/>
      <c r="I4" s="2" t="s">
        <v>101</v>
      </c>
      <c r="J4" s="2"/>
      <c r="K4" s="2"/>
      <c r="L4" s="2"/>
    </row>
    <row r="5" spans="2:12" ht="34" x14ac:dyDescent="0.45">
      <c r="B5" s="2" t="s">
        <v>17</v>
      </c>
      <c r="C5" s="2" t="s">
        <v>16</v>
      </c>
      <c r="D5" s="2" t="s">
        <v>106</v>
      </c>
      <c r="E5" s="2" t="s">
        <v>107</v>
      </c>
      <c r="F5" s="2" t="s">
        <v>108</v>
      </c>
      <c r="G5" s="2"/>
      <c r="H5" s="2"/>
      <c r="I5" s="2" t="s">
        <v>101</v>
      </c>
      <c r="J5" s="2"/>
      <c r="K5" s="2"/>
      <c r="L5" s="2"/>
    </row>
    <row r="6" spans="2:12" ht="34" x14ac:dyDescent="0.45">
      <c r="B6" s="2" t="s">
        <v>19</v>
      </c>
      <c r="C6" s="2" t="s">
        <v>18</v>
      </c>
      <c r="D6" s="2" t="s">
        <v>109</v>
      </c>
      <c r="E6" s="2" t="s">
        <v>110</v>
      </c>
      <c r="F6" s="2" t="s">
        <v>111</v>
      </c>
      <c r="G6" s="2"/>
      <c r="H6" s="2"/>
      <c r="I6" s="2" t="s">
        <v>101</v>
      </c>
      <c r="J6" s="2"/>
      <c r="K6" s="2"/>
      <c r="L6" s="2"/>
    </row>
    <row r="7" spans="2:12" ht="34" x14ac:dyDescent="0.45">
      <c r="B7" s="2" t="s">
        <v>21</v>
      </c>
      <c r="C7" s="2" t="s">
        <v>20</v>
      </c>
      <c r="D7" s="2" t="s">
        <v>112</v>
      </c>
      <c r="E7" s="2" t="s">
        <v>113</v>
      </c>
      <c r="F7" s="2" t="s">
        <v>114</v>
      </c>
      <c r="G7" s="2"/>
      <c r="H7" s="2"/>
      <c r="I7" s="2" t="s">
        <v>101</v>
      </c>
      <c r="J7" s="2"/>
      <c r="K7" s="2"/>
      <c r="L7" s="2"/>
    </row>
  </sheetData>
  <autoFilter ref="B2:L7" xr:uid="{00000000-0009-0000-0000-000004000000}"/>
  <phoneticPr fontId="2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DDBF-7655-41D3-8E35-D934A2646BBA}">
  <sheetPr>
    <tabColor rgb="FFFF9933"/>
  </sheetPr>
  <dimension ref="B1:G29"/>
  <sheetViews>
    <sheetView tabSelected="1" zoomScale="85" zoomScaleNormal="85" workbookViewId="0"/>
  </sheetViews>
  <sheetFormatPr defaultRowHeight="17" x14ac:dyDescent="0.45"/>
  <cols>
    <col min="1" max="1" width="2.58203125" style="14" customWidth="1"/>
    <col min="2" max="2" width="17.58203125" style="14" customWidth="1"/>
    <col min="3" max="3" width="41.58203125" style="14" bestFit="1" customWidth="1"/>
    <col min="4" max="4" width="37.83203125" style="14" customWidth="1"/>
    <col min="5" max="5" width="28" style="14" customWidth="1"/>
    <col min="6" max="6" width="69" style="14" customWidth="1"/>
    <col min="7" max="7" width="38.83203125" style="14" bestFit="1" customWidth="1"/>
    <col min="8" max="16384" width="8.6640625" style="14"/>
  </cols>
  <sheetData>
    <row r="1" spans="2:7" ht="17" customHeight="1" x14ac:dyDescent="0.45"/>
    <row r="2" spans="2:7" ht="17" customHeight="1" x14ac:dyDescent="0.45">
      <c r="B2" s="15" t="s">
        <v>272</v>
      </c>
      <c r="C2" s="15" t="s">
        <v>273</v>
      </c>
      <c r="D2" s="15" t="s">
        <v>274</v>
      </c>
      <c r="E2" s="19" t="s">
        <v>275</v>
      </c>
      <c r="F2" s="19"/>
      <c r="G2" s="15" t="s">
        <v>276</v>
      </c>
    </row>
    <row r="3" spans="2:7" ht="17" customHeight="1" x14ac:dyDescent="0.45">
      <c r="B3" s="16" t="s">
        <v>277</v>
      </c>
      <c r="C3" s="16" t="s">
        <v>278</v>
      </c>
      <c r="D3" s="16" t="s">
        <v>279</v>
      </c>
      <c r="E3" s="16" t="s">
        <v>277</v>
      </c>
      <c r="F3" s="16"/>
      <c r="G3" s="16"/>
    </row>
    <row r="4" spans="2:7" ht="17" customHeight="1" x14ac:dyDescent="0.45">
      <c r="B4" s="16" t="s">
        <v>280</v>
      </c>
      <c r="C4" s="16" t="s">
        <v>278</v>
      </c>
      <c r="D4" s="16" t="s">
        <v>279</v>
      </c>
      <c r="E4" s="16" t="s">
        <v>280</v>
      </c>
      <c r="F4" s="16"/>
      <c r="G4" s="16"/>
    </row>
    <row r="5" spans="2:7" ht="17" customHeight="1" x14ac:dyDescent="0.45">
      <c r="B5" s="16" t="s">
        <v>281</v>
      </c>
      <c r="C5" s="16" t="s">
        <v>278</v>
      </c>
      <c r="D5" s="16" t="s">
        <v>282</v>
      </c>
      <c r="E5" s="16" t="s">
        <v>281</v>
      </c>
      <c r="F5" s="16"/>
      <c r="G5" s="16"/>
    </row>
    <row r="6" spans="2:7" ht="17" customHeight="1" x14ac:dyDescent="0.45">
      <c r="B6" s="16" t="s">
        <v>283</v>
      </c>
      <c r="C6" s="16" t="s">
        <v>284</v>
      </c>
      <c r="D6" s="16" t="s">
        <v>285</v>
      </c>
      <c r="E6" s="16" t="s">
        <v>286</v>
      </c>
      <c r="F6" s="16" t="s">
        <v>327</v>
      </c>
      <c r="G6" s="16"/>
    </row>
    <row r="7" spans="2:7" ht="17" customHeight="1" x14ac:dyDescent="0.45">
      <c r="B7" s="16" t="s">
        <v>287</v>
      </c>
      <c r="C7" s="16" t="s">
        <v>317</v>
      </c>
      <c r="D7" s="16" t="s">
        <v>288</v>
      </c>
      <c r="E7" s="16" t="s">
        <v>289</v>
      </c>
      <c r="F7" s="16" t="s">
        <v>350</v>
      </c>
      <c r="G7" s="16"/>
    </row>
    <row r="8" spans="2:7" ht="17" customHeight="1" x14ac:dyDescent="0.45">
      <c r="B8" s="16" t="s">
        <v>290</v>
      </c>
      <c r="C8" s="16" t="s">
        <v>291</v>
      </c>
      <c r="D8" s="16" t="s">
        <v>292</v>
      </c>
      <c r="E8" s="16" t="s">
        <v>293</v>
      </c>
      <c r="F8" s="16" t="s">
        <v>328</v>
      </c>
      <c r="G8" s="16"/>
    </row>
    <row r="9" spans="2:7" ht="17" customHeight="1" x14ac:dyDescent="0.45">
      <c r="B9" s="17" t="s">
        <v>294</v>
      </c>
      <c r="C9" s="16" t="s">
        <v>352</v>
      </c>
      <c r="D9" s="17" t="s">
        <v>295</v>
      </c>
      <c r="E9" s="17" t="s">
        <v>318</v>
      </c>
      <c r="F9" s="18" t="s">
        <v>337</v>
      </c>
      <c r="G9" s="17"/>
    </row>
    <row r="10" spans="2:7" ht="17" customHeight="1" x14ac:dyDescent="0.45">
      <c r="B10" s="17"/>
      <c r="C10" s="16" t="s">
        <v>353</v>
      </c>
      <c r="D10" s="17"/>
      <c r="E10" s="17"/>
      <c r="F10" s="18"/>
      <c r="G10" s="17"/>
    </row>
    <row r="11" spans="2:7" ht="17" customHeight="1" x14ac:dyDescent="0.45">
      <c r="B11" s="17"/>
      <c r="C11" s="16" t="s">
        <v>354</v>
      </c>
      <c r="D11" s="17"/>
      <c r="E11" s="17"/>
      <c r="F11" s="18"/>
      <c r="G11" s="17"/>
    </row>
    <row r="12" spans="2:7" ht="17" customHeight="1" x14ac:dyDescent="0.45">
      <c r="B12" s="17" t="s">
        <v>296</v>
      </c>
      <c r="C12" s="16" t="s">
        <v>352</v>
      </c>
      <c r="D12" s="17" t="s">
        <v>297</v>
      </c>
      <c r="E12" s="17" t="s">
        <v>319</v>
      </c>
      <c r="F12" s="18" t="s">
        <v>348</v>
      </c>
      <c r="G12" s="17"/>
    </row>
    <row r="13" spans="2:7" ht="17" customHeight="1" x14ac:dyDescent="0.45">
      <c r="B13" s="17"/>
      <c r="C13" s="16" t="s">
        <v>355</v>
      </c>
      <c r="D13" s="17"/>
      <c r="E13" s="17"/>
      <c r="F13" s="18"/>
      <c r="G13" s="17"/>
    </row>
    <row r="14" spans="2:7" ht="17" customHeight="1" x14ac:dyDescent="0.45">
      <c r="B14" s="17"/>
      <c r="C14" s="16" t="s">
        <v>354</v>
      </c>
      <c r="D14" s="17"/>
      <c r="E14" s="17"/>
      <c r="F14" s="18"/>
      <c r="G14" s="17"/>
    </row>
    <row r="15" spans="2:7" ht="17" customHeight="1" x14ac:dyDescent="0.45">
      <c r="B15" s="16" t="s">
        <v>298</v>
      </c>
      <c r="C15" s="16" t="s">
        <v>299</v>
      </c>
      <c r="D15" s="16" t="s">
        <v>300</v>
      </c>
      <c r="E15" s="16" t="s">
        <v>320</v>
      </c>
      <c r="F15" s="16" t="s">
        <v>338</v>
      </c>
      <c r="G15" s="16" t="s">
        <v>349</v>
      </c>
    </row>
    <row r="16" spans="2:7" ht="17" customHeight="1" x14ac:dyDescent="0.45">
      <c r="B16" s="16" t="s">
        <v>301</v>
      </c>
      <c r="C16" s="16" t="s">
        <v>302</v>
      </c>
      <c r="D16" s="16" t="s">
        <v>303</v>
      </c>
      <c r="E16" s="16" t="s">
        <v>321</v>
      </c>
      <c r="F16" s="16" t="s">
        <v>339</v>
      </c>
      <c r="G16" s="16" t="s">
        <v>349</v>
      </c>
    </row>
    <row r="17" spans="2:7" ht="17" customHeight="1" x14ac:dyDescent="0.45">
      <c r="B17" s="16" t="s">
        <v>304</v>
      </c>
      <c r="C17" s="16" t="s">
        <v>302</v>
      </c>
      <c r="D17" s="16" t="s">
        <v>305</v>
      </c>
      <c r="E17" s="16" t="s">
        <v>322</v>
      </c>
      <c r="F17" s="16" t="s">
        <v>340</v>
      </c>
      <c r="G17" s="16" t="s">
        <v>349</v>
      </c>
    </row>
    <row r="18" spans="2:7" ht="17" customHeight="1" x14ac:dyDescent="0.45">
      <c r="B18" s="16" t="s">
        <v>306</v>
      </c>
      <c r="C18" s="16" t="s">
        <v>307</v>
      </c>
      <c r="D18" s="16" t="s">
        <v>341</v>
      </c>
      <c r="E18" s="16" t="s">
        <v>323</v>
      </c>
      <c r="F18" s="16" t="s">
        <v>329</v>
      </c>
      <c r="G18" s="16"/>
    </row>
    <row r="19" spans="2:7" ht="17" customHeight="1" x14ac:dyDescent="0.45">
      <c r="B19" s="16" t="s">
        <v>308</v>
      </c>
      <c r="C19" s="16" t="s">
        <v>307</v>
      </c>
      <c r="D19" s="16" t="s">
        <v>342</v>
      </c>
      <c r="E19" s="16" t="s">
        <v>362</v>
      </c>
      <c r="F19" s="16" t="s">
        <v>330</v>
      </c>
      <c r="G19" s="16"/>
    </row>
    <row r="20" spans="2:7" ht="17" customHeight="1" x14ac:dyDescent="0.45">
      <c r="B20" s="16" t="s">
        <v>309</v>
      </c>
      <c r="C20" s="16" t="s">
        <v>307</v>
      </c>
      <c r="D20" s="16" t="s">
        <v>343</v>
      </c>
      <c r="E20" s="16" t="s">
        <v>363</v>
      </c>
      <c r="F20" s="16" t="s">
        <v>331</v>
      </c>
      <c r="G20" s="16"/>
    </row>
    <row r="21" spans="2:7" ht="17" customHeight="1" x14ac:dyDescent="0.45">
      <c r="B21" s="16" t="s">
        <v>310</v>
      </c>
      <c r="C21" s="16" t="s">
        <v>307</v>
      </c>
      <c r="D21" s="16" t="s">
        <v>344</v>
      </c>
      <c r="E21" s="16" t="s">
        <v>324</v>
      </c>
      <c r="F21" s="16" t="s">
        <v>332</v>
      </c>
      <c r="G21" s="16"/>
    </row>
    <row r="22" spans="2:7" ht="17" customHeight="1" x14ac:dyDescent="0.45">
      <c r="B22" s="16" t="s">
        <v>311</v>
      </c>
      <c r="C22" s="16" t="s">
        <v>307</v>
      </c>
      <c r="D22" s="16" t="s">
        <v>345</v>
      </c>
      <c r="E22" s="16" t="s">
        <v>325</v>
      </c>
      <c r="F22" s="16" t="s">
        <v>333</v>
      </c>
      <c r="G22" s="16"/>
    </row>
    <row r="23" spans="2:7" ht="17" customHeight="1" x14ac:dyDescent="0.45">
      <c r="B23" s="16" t="s">
        <v>312</v>
      </c>
      <c r="C23" s="16" t="s">
        <v>307</v>
      </c>
      <c r="D23" s="16" t="s">
        <v>346</v>
      </c>
      <c r="E23" s="16" t="s">
        <v>326</v>
      </c>
      <c r="F23" s="16" t="s">
        <v>364</v>
      </c>
      <c r="G23" s="16"/>
    </row>
    <row r="24" spans="2:7" ht="17" customHeight="1" x14ac:dyDescent="0.45">
      <c r="B24" s="17" t="s">
        <v>313</v>
      </c>
      <c r="C24" s="17" t="s">
        <v>356</v>
      </c>
      <c r="D24" s="17" t="s">
        <v>347</v>
      </c>
      <c r="E24" s="16" t="s">
        <v>357</v>
      </c>
      <c r="F24" s="16" t="s">
        <v>351</v>
      </c>
      <c r="G24" s="17" t="s">
        <v>314</v>
      </c>
    </row>
    <row r="25" spans="2:7" ht="17" customHeight="1" x14ac:dyDescent="0.45">
      <c r="B25" s="17"/>
      <c r="C25" s="17"/>
      <c r="D25" s="17"/>
      <c r="E25" s="16" t="s">
        <v>358</v>
      </c>
      <c r="F25" s="16" t="s">
        <v>334</v>
      </c>
      <c r="G25" s="17"/>
    </row>
    <row r="26" spans="2:7" ht="17" customHeight="1" x14ac:dyDescent="0.45">
      <c r="B26" s="17" t="s">
        <v>315</v>
      </c>
      <c r="C26" s="17" t="s">
        <v>359</v>
      </c>
      <c r="D26" s="17" t="s">
        <v>316</v>
      </c>
      <c r="E26" s="16" t="s">
        <v>360</v>
      </c>
      <c r="F26" s="16" t="s">
        <v>335</v>
      </c>
      <c r="G26" s="17" t="s">
        <v>314</v>
      </c>
    </row>
    <row r="27" spans="2:7" ht="17" customHeight="1" x14ac:dyDescent="0.45">
      <c r="B27" s="17"/>
      <c r="C27" s="17"/>
      <c r="D27" s="17"/>
      <c r="E27" s="16" t="s">
        <v>361</v>
      </c>
      <c r="F27" s="16" t="s">
        <v>336</v>
      </c>
      <c r="G27" s="17"/>
    </row>
    <row r="28" spans="2:7" ht="17" customHeight="1" x14ac:dyDescent="0.45"/>
    <row r="29" spans="2:7" ht="17" customHeight="1" x14ac:dyDescent="0.45"/>
  </sheetData>
  <mergeCells count="19">
    <mergeCell ref="E2:F2"/>
    <mergeCell ref="B24:B25"/>
    <mergeCell ref="C24:C25"/>
    <mergeCell ref="D24:D25"/>
    <mergeCell ref="G24:G25"/>
    <mergeCell ref="B26:B27"/>
    <mergeCell ref="C26:C27"/>
    <mergeCell ref="D26:D27"/>
    <mergeCell ref="G26:G27"/>
    <mergeCell ref="B9:B11"/>
    <mergeCell ref="D9:D11"/>
    <mergeCell ref="E9:E11"/>
    <mergeCell ref="G9:G11"/>
    <mergeCell ref="B12:B14"/>
    <mergeCell ref="D12:D14"/>
    <mergeCell ref="E12:E14"/>
    <mergeCell ref="G12:G14"/>
    <mergeCell ref="F9:F11"/>
    <mergeCell ref="F12:F14"/>
  </mergeCells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FE29F-E938-437A-A1E2-83FAA50DF5A9}">
  <dimension ref="B2:R19"/>
  <sheetViews>
    <sheetView zoomScale="70" zoomScaleNormal="70" workbookViewId="0">
      <selection activeCell="O39" sqref="O39"/>
    </sheetView>
  </sheetViews>
  <sheetFormatPr defaultRowHeight="17" x14ac:dyDescent="0.45"/>
  <cols>
    <col min="1" max="1" width="2.58203125" style="7" customWidth="1"/>
    <col min="2" max="2" width="11.5" style="7" bestFit="1" customWidth="1"/>
    <col min="3" max="3" width="11.6640625" style="7" bestFit="1" customWidth="1"/>
    <col min="4" max="9" width="10.58203125" style="7" bestFit="1" customWidth="1"/>
    <col min="10" max="13" width="11.6640625" style="7" bestFit="1" customWidth="1"/>
    <col min="14" max="16" width="10.58203125" style="7" bestFit="1" customWidth="1"/>
    <col min="17" max="16384" width="8.6640625" style="7"/>
  </cols>
  <sheetData>
    <row r="2" spans="2:18" x14ac:dyDescent="0.45">
      <c r="B2" s="3"/>
      <c r="C2" s="3" t="s">
        <v>207</v>
      </c>
      <c r="D2" s="3" t="s">
        <v>208</v>
      </c>
    </row>
    <row r="3" spans="2:18" x14ac:dyDescent="0.45">
      <c r="B3" s="3" t="s">
        <v>209</v>
      </c>
      <c r="C3" s="11">
        <v>32</v>
      </c>
      <c r="D3" s="11">
        <f>C3*2</f>
        <v>64</v>
      </c>
    </row>
    <row r="4" spans="2:18" x14ac:dyDescent="0.45">
      <c r="B4" s="3" t="s">
        <v>210</v>
      </c>
      <c r="C4" s="11">
        <f>C3*2</f>
        <v>64</v>
      </c>
      <c r="D4" s="11">
        <f>C4*2</f>
        <v>128</v>
      </c>
      <c r="Q4" s="8"/>
      <c r="R4" s="8"/>
    </row>
    <row r="6" spans="2:18" x14ac:dyDescent="0.45">
      <c r="B6" s="3"/>
      <c r="C6" s="3" t="s">
        <v>211</v>
      </c>
      <c r="D6" s="3" t="s">
        <v>212</v>
      </c>
      <c r="E6" s="3" t="s">
        <v>213</v>
      </c>
      <c r="F6" s="3" t="s">
        <v>214</v>
      </c>
      <c r="G6" s="3" t="s">
        <v>224</v>
      </c>
      <c r="H6" s="3" t="s">
        <v>225</v>
      </c>
      <c r="I6" s="3" t="s">
        <v>226</v>
      </c>
      <c r="J6" s="3" t="s">
        <v>227</v>
      </c>
      <c r="K6" s="3" t="s">
        <v>228</v>
      </c>
      <c r="L6" s="3" t="s">
        <v>229</v>
      </c>
      <c r="M6" s="3" t="s">
        <v>230</v>
      </c>
      <c r="N6" s="3" t="s">
        <v>231</v>
      </c>
      <c r="O6" s="3" t="s">
        <v>232</v>
      </c>
      <c r="P6" s="3" t="s">
        <v>233</v>
      </c>
    </row>
    <row r="7" spans="2:18" x14ac:dyDescent="0.45">
      <c r="B7" s="3" t="s">
        <v>215</v>
      </c>
      <c r="C7" s="3" t="s">
        <v>210</v>
      </c>
      <c r="D7" s="3" t="s">
        <v>209</v>
      </c>
      <c r="E7" s="3" t="s">
        <v>209</v>
      </c>
      <c r="F7" s="3" t="s">
        <v>209</v>
      </c>
      <c r="G7" s="3" t="s">
        <v>209</v>
      </c>
      <c r="H7" s="3" t="s">
        <v>209</v>
      </c>
      <c r="I7" s="3" t="s">
        <v>209</v>
      </c>
      <c r="J7" s="3" t="s">
        <v>210</v>
      </c>
      <c r="K7" s="3" t="s">
        <v>210</v>
      </c>
      <c r="L7" s="3" t="s">
        <v>210</v>
      </c>
      <c r="M7" s="3" t="s">
        <v>210</v>
      </c>
      <c r="N7" s="3" t="s">
        <v>209</v>
      </c>
      <c r="O7" s="3" t="s">
        <v>209</v>
      </c>
      <c r="P7" s="3" t="s">
        <v>209</v>
      </c>
    </row>
    <row r="8" spans="2:18" x14ac:dyDescent="0.45">
      <c r="B8" s="3" t="s">
        <v>216</v>
      </c>
      <c r="C8" s="3">
        <v>16</v>
      </c>
      <c r="D8" s="3">
        <v>32</v>
      </c>
      <c r="E8" s="3">
        <v>16</v>
      </c>
      <c r="F8" s="3">
        <v>16</v>
      </c>
      <c r="G8" s="3">
        <v>32</v>
      </c>
      <c r="H8" s="3">
        <v>16</v>
      </c>
      <c r="I8" s="3">
        <v>16</v>
      </c>
      <c r="J8" s="3">
        <v>16</v>
      </c>
      <c r="K8" s="3">
        <v>16</v>
      </c>
      <c r="L8" s="3">
        <v>16</v>
      </c>
      <c r="M8" s="3">
        <v>16</v>
      </c>
      <c r="N8" s="3">
        <v>16</v>
      </c>
      <c r="O8" s="3">
        <v>16</v>
      </c>
      <c r="P8" s="3">
        <v>16</v>
      </c>
    </row>
    <row r="9" spans="2:18" x14ac:dyDescent="0.45">
      <c r="B9" s="3" t="s">
        <v>217</v>
      </c>
      <c r="C9" s="12"/>
      <c r="D9" s="12" t="s">
        <v>239</v>
      </c>
      <c r="E9" s="12"/>
      <c r="F9" s="12"/>
      <c r="G9" s="12"/>
      <c r="H9" s="12"/>
      <c r="I9" s="12"/>
      <c r="J9" s="12"/>
      <c r="K9" s="12"/>
      <c r="L9" s="12"/>
      <c r="M9" s="12"/>
      <c r="N9" s="12"/>
      <c r="O9" s="12" t="s">
        <v>234</v>
      </c>
      <c r="P9" s="12" t="s">
        <v>241</v>
      </c>
    </row>
    <row r="10" spans="2:18" x14ac:dyDescent="0.45">
      <c r="B10" s="3" t="s">
        <v>237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2:18" x14ac:dyDescent="0.45">
      <c r="B11" s="3" t="s">
        <v>238</v>
      </c>
      <c r="C11" s="12"/>
      <c r="D11" s="12" t="s">
        <v>240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</row>
    <row r="12" spans="2:18" x14ac:dyDescent="0.45">
      <c r="B12" s="3" t="s">
        <v>235</v>
      </c>
      <c r="C12" s="12"/>
      <c r="D12" s="12" t="s">
        <v>240</v>
      </c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</row>
    <row r="13" spans="2:18" x14ac:dyDescent="0.45">
      <c r="B13" s="3" t="s">
        <v>236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 t="s">
        <v>240</v>
      </c>
      <c r="P13" s="12"/>
    </row>
    <row r="14" spans="2:18" x14ac:dyDescent="0.45">
      <c r="B14" s="3" t="s">
        <v>218</v>
      </c>
      <c r="C14" s="10">
        <f t="shared" ref="C14:P14" si="0">IF(C7="APB2",$D$4, $D$3)</f>
        <v>128</v>
      </c>
      <c r="D14" s="10">
        <f t="shared" si="0"/>
        <v>64</v>
      </c>
      <c r="E14" s="10">
        <f t="shared" si="0"/>
        <v>64</v>
      </c>
      <c r="F14" s="10">
        <f t="shared" si="0"/>
        <v>64</v>
      </c>
      <c r="G14" s="10">
        <f t="shared" si="0"/>
        <v>64</v>
      </c>
      <c r="H14" s="10">
        <f t="shared" si="0"/>
        <v>64</v>
      </c>
      <c r="I14" s="10">
        <f t="shared" si="0"/>
        <v>64</v>
      </c>
      <c r="J14" s="10">
        <f t="shared" si="0"/>
        <v>128</v>
      </c>
      <c r="K14" s="10">
        <f t="shared" si="0"/>
        <v>128</v>
      </c>
      <c r="L14" s="10">
        <f t="shared" si="0"/>
        <v>128</v>
      </c>
      <c r="M14" s="10">
        <f t="shared" si="0"/>
        <v>128</v>
      </c>
      <c r="N14" s="10">
        <f t="shared" si="0"/>
        <v>64</v>
      </c>
      <c r="O14" s="11">
        <f t="shared" si="0"/>
        <v>64</v>
      </c>
      <c r="P14" s="11">
        <f t="shared" si="0"/>
        <v>64</v>
      </c>
    </row>
    <row r="15" spans="2:18" x14ac:dyDescent="0.45">
      <c r="B15" s="3" t="s">
        <v>219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63</v>
      </c>
      <c r="P15" s="9">
        <v>0</v>
      </c>
    </row>
    <row r="16" spans="2:18" x14ac:dyDescent="0.45">
      <c r="B16" s="3" t="s">
        <v>220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2:16" x14ac:dyDescent="0.45">
      <c r="B17" s="3" t="s">
        <v>221</v>
      </c>
      <c r="C17" s="9">
        <f>C14/((C15+1)*(C16+1))</f>
        <v>128</v>
      </c>
      <c r="D17" s="9">
        <f t="shared" ref="D17:P17" si="1">D14/((D15+1)*(D16+1))</f>
        <v>64</v>
      </c>
      <c r="E17" s="9">
        <f t="shared" si="1"/>
        <v>64</v>
      </c>
      <c r="F17" s="9">
        <f t="shared" si="1"/>
        <v>64</v>
      </c>
      <c r="G17" s="9">
        <f t="shared" si="1"/>
        <v>64</v>
      </c>
      <c r="H17" s="9">
        <f t="shared" si="1"/>
        <v>64</v>
      </c>
      <c r="I17" s="9">
        <f t="shared" si="1"/>
        <v>64</v>
      </c>
      <c r="J17" s="9">
        <f t="shared" si="1"/>
        <v>128</v>
      </c>
      <c r="K17" s="9">
        <f t="shared" si="1"/>
        <v>128</v>
      </c>
      <c r="L17" s="9">
        <f t="shared" si="1"/>
        <v>128</v>
      </c>
      <c r="M17" s="9">
        <f t="shared" si="1"/>
        <v>128</v>
      </c>
      <c r="N17" s="9">
        <f t="shared" si="1"/>
        <v>64</v>
      </c>
      <c r="O17" s="9">
        <f t="shared" si="1"/>
        <v>1</v>
      </c>
      <c r="P17" s="9">
        <f t="shared" si="1"/>
        <v>64</v>
      </c>
    </row>
    <row r="18" spans="2:16" x14ac:dyDescent="0.45">
      <c r="B18" s="3" t="s">
        <v>222</v>
      </c>
      <c r="C18" s="9">
        <f>C17*1000</f>
        <v>128000</v>
      </c>
      <c r="D18" s="9">
        <f t="shared" ref="D18:P19" si="2">D17*1000</f>
        <v>64000</v>
      </c>
      <c r="E18" s="9">
        <f t="shared" si="2"/>
        <v>64000</v>
      </c>
      <c r="F18" s="9">
        <f t="shared" si="2"/>
        <v>64000</v>
      </c>
      <c r="G18" s="9">
        <f t="shared" si="2"/>
        <v>64000</v>
      </c>
      <c r="H18" s="9">
        <f t="shared" si="2"/>
        <v>64000</v>
      </c>
      <c r="I18" s="9">
        <f t="shared" si="2"/>
        <v>64000</v>
      </c>
      <c r="J18" s="9">
        <f t="shared" si="2"/>
        <v>128000</v>
      </c>
      <c r="K18" s="9">
        <f t="shared" si="2"/>
        <v>128000</v>
      </c>
      <c r="L18" s="9">
        <f t="shared" si="2"/>
        <v>128000</v>
      </c>
      <c r="M18" s="9">
        <f t="shared" si="2"/>
        <v>128000</v>
      </c>
      <c r="N18" s="9">
        <f t="shared" si="2"/>
        <v>64000</v>
      </c>
      <c r="O18" s="9">
        <f t="shared" si="2"/>
        <v>1000</v>
      </c>
      <c r="P18" s="9">
        <f t="shared" si="2"/>
        <v>64000</v>
      </c>
    </row>
    <row r="19" spans="2:16" x14ac:dyDescent="0.45">
      <c r="B19" s="3" t="s">
        <v>223</v>
      </c>
      <c r="C19" s="9">
        <f>C18*1000</f>
        <v>128000000</v>
      </c>
      <c r="D19" s="9">
        <f t="shared" si="2"/>
        <v>64000000</v>
      </c>
      <c r="E19" s="9">
        <f t="shared" si="2"/>
        <v>64000000</v>
      </c>
      <c r="F19" s="9">
        <f t="shared" si="2"/>
        <v>64000000</v>
      </c>
      <c r="G19" s="9">
        <f t="shared" si="2"/>
        <v>64000000</v>
      </c>
      <c r="H19" s="9">
        <f t="shared" si="2"/>
        <v>64000000</v>
      </c>
      <c r="I19" s="9">
        <f t="shared" si="2"/>
        <v>64000000</v>
      </c>
      <c r="J19" s="9">
        <f t="shared" si="2"/>
        <v>128000000</v>
      </c>
      <c r="K19" s="9">
        <f t="shared" si="2"/>
        <v>128000000</v>
      </c>
      <c r="L19" s="9">
        <f t="shared" si="2"/>
        <v>128000000</v>
      </c>
      <c r="M19" s="9">
        <f t="shared" si="2"/>
        <v>128000000</v>
      </c>
      <c r="N19" s="9">
        <f t="shared" si="2"/>
        <v>64000000</v>
      </c>
      <c r="O19" s="9">
        <f t="shared" si="2"/>
        <v>1000000</v>
      </c>
      <c r="P19" s="9">
        <f t="shared" si="2"/>
        <v>64000000</v>
      </c>
    </row>
  </sheetData>
  <phoneticPr fontId="4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M4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4" customWidth="1"/>
    <col min="3" max="3" width="21" customWidth="1"/>
    <col min="4" max="4" width="24" customWidth="1"/>
    <col min="5" max="6" width="14" customWidth="1"/>
    <col min="7" max="7" width="32" customWidth="1"/>
    <col min="8" max="8" width="14" customWidth="1"/>
    <col min="9" max="9" width="18" customWidth="1"/>
    <col min="10" max="13" width="14" customWidth="1"/>
  </cols>
  <sheetData>
    <row r="2" spans="2:13" ht="30" customHeight="1" x14ac:dyDescent="0.45">
      <c r="B2" s="1" t="s">
        <v>115</v>
      </c>
      <c r="C2" s="1" t="s">
        <v>116</v>
      </c>
      <c r="D2" s="1" t="s">
        <v>117</v>
      </c>
      <c r="E2" s="1" t="s">
        <v>118</v>
      </c>
      <c r="F2" s="1" t="s">
        <v>119</v>
      </c>
      <c r="G2" s="1" t="s">
        <v>41</v>
      </c>
      <c r="H2" s="1" t="s">
        <v>120</v>
      </c>
      <c r="I2" s="1" t="s">
        <v>121</v>
      </c>
      <c r="J2" s="1" t="s">
        <v>122</v>
      </c>
      <c r="K2" s="1" t="s">
        <v>123</v>
      </c>
      <c r="L2" s="1" t="s">
        <v>6</v>
      </c>
      <c r="M2" s="1" t="s">
        <v>7</v>
      </c>
    </row>
    <row r="3" spans="2:13" x14ac:dyDescent="0.45">
      <c r="B3" s="2" t="s">
        <v>124</v>
      </c>
      <c r="C3" s="2" t="s">
        <v>125</v>
      </c>
      <c r="D3" s="2" t="s">
        <v>126</v>
      </c>
      <c r="E3" s="2" t="s">
        <v>127</v>
      </c>
      <c r="F3" s="2">
        <v>123</v>
      </c>
      <c r="G3" s="2" t="s">
        <v>128</v>
      </c>
      <c r="H3" s="2" t="s">
        <v>129</v>
      </c>
      <c r="I3" s="2" t="s">
        <v>130</v>
      </c>
      <c r="J3" s="2" t="s">
        <v>131</v>
      </c>
      <c r="K3" s="2"/>
      <c r="L3" s="2" t="s">
        <v>132</v>
      </c>
      <c r="M3" s="2"/>
    </row>
    <row r="4" spans="2:13" x14ac:dyDescent="0.45">
      <c r="B4" s="2" t="s">
        <v>133</v>
      </c>
      <c r="C4" s="2" t="s">
        <v>134</v>
      </c>
      <c r="D4" s="2" t="s">
        <v>135</v>
      </c>
      <c r="E4" s="2" t="s">
        <v>136</v>
      </c>
      <c r="F4" s="2">
        <v>245</v>
      </c>
      <c r="G4" s="2" t="s">
        <v>137</v>
      </c>
      <c r="H4" s="2" t="s">
        <v>129</v>
      </c>
      <c r="I4" s="2" t="s">
        <v>138</v>
      </c>
      <c r="J4" s="2" t="s">
        <v>139</v>
      </c>
      <c r="K4" s="2"/>
      <c r="L4" s="2" t="s">
        <v>132</v>
      </c>
      <c r="M4" s="2"/>
    </row>
  </sheetData>
  <autoFilter ref="B2:M4" xr:uid="{00000000-0009-0000-0000-000005000000}"/>
  <phoneticPr fontId="2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8"/>
  <sheetViews>
    <sheetView zoomScale="85" zoomScaleNormal="85" workbookViewId="0">
      <pane ySplit="2" topLeftCell="A3" activePane="bottomLeft" state="frozen"/>
      <selection activeCell="C15" sqref="C15"/>
      <selection pane="bottomLeft" activeCell="H22" sqref="H22"/>
    </sheetView>
  </sheetViews>
  <sheetFormatPr defaultRowHeight="17" x14ac:dyDescent="0.45"/>
  <cols>
    <col min="1" max="1" width="2.58203125" customWidth="1"/>
    <col min="2" max="2" width="25" customWidth="1"/>
    <col min="3" max="3" width="28" customWidth="1"/>
  </cols>
  <sheetData>
    <row r="2" spans="2:3" ht="30" customHeight="1" x14ac:dyDescent="0.45">
      <c r="B2" s="1" t="s">
        <v>140</v>
      </c>
      <c r="C2" s="1" t="s">
        <v>141</v>
      </c>
    </row>
    <row r="3" spans="2:3" x14ac:dyDescent="0.45">
      <c r="B3" s="2" t="s">
        <v>142</v>
      </c>
      <c r="C3" s="2" t="s">
        <v>143</v>
      </c>
    </row>
    <row r="4" spans="2:3" x14ac:dyDescent="0.45">
      <c r="B4" s="2" t="s">
        <v>95</v>
      </c>
      <c r="C4" s="2" t="s">
        <v>101</v>
      </c>
    </row>
    <row r="5" spans="2:3" x14ac:dyDescent="0.45">
      <c r="B5" s="2" t="s">
        <v>144</v>
      </c>
      <c r="C5" s="2" t="s">
        <v>145</v>
      </c>
    </row>
    <row r="6" spans="2:3" x14ac:dyDescent="0.45">
      <c r="B6" s="2" t="s">
        <v>146</v>
      </c>
      <c r="C6" s="2" t="s">
        <v>147</v>
      </c>
    </row>
    <row r="7" spans="2:3" x14ac:dyDescent="0.45">
      <c r="B7" s="2" t="s">
        <v>148</v>
      </c>
      <c r="C7" s="2"/>
    </row>
    <row r="8" spans="2:3" x14ac:dyDescent="0.45">
      <c r="B8" s="2" t="s">
        <v>149</v>
      </c>
      <c r="C8" s="2"/>
    </row>
    <row r="9" spans="2:3" x14ac:dyDescent="0.45">
      <c r="B9" s="2" t="s">
        <v>150</v>
      </c>
      <c r="C9" s="2"/>
    </row>
    <row r="10" spans="2:3" x14ac:dyDescent="0.45">
      <c r="B10" s="2" t="s">
        <v>151</v>
      </c>
      <c r="C10" s="2" t="s">
        <v>152</v>
      </c>
    </row>
    <row r="11" spans="2:3" x14ac:dyDescent="0.45">
      <c r="B11" s="2" t="s">
        <v>153</v>
      </c>
      <c r="C11" s="2"/>
    </row>
    <row r="12" spans="2:3" x14ac:dyDescent="0.45">
      <c r="B12" s="2" t="s">
        <v>154</v>
      </c>
      <c r="C12" s="2"/>
    </row>
    <row r="13" spans="2:3" x14ac:dyDescent="0.45">
      <c r="B13" s="2" t="s">
        <v>131</v>
      </c>
      <c r="C13" s="2"/>
    </row>
    <row r="14" spans="2:3" x14ac:dyDescent="0.45">
      <c r="B14" s="2" t="s">
        <v>155</v>
      </c>
      <c r="C14" s="2" t="s">
        <v>156</v>
      </c>
    </row>
    <row r="15" spans="2:3" x14ac:dyDescent="0.45">
      <c r="B15" s="2" t="s">
        <v>14</v>
      </c>
      <c r="C15" s="2" t="s">
        <v>156</v>
      </c>
    </row>
    <row r="16" spans="2:3" x14ac:dyDescent="0.45">
      <c r="B16" s="2" t="s">
        <v>10</v>
      </c>
      <c r="C16" s="2" t="s">
        <v>156</v>
      </c>
    </row>
    <row r="17" spans="2:3" x14ac:dyDescent="0.45">
      <c r="B17" s="2" t="s">
        <v>157</v>
      </c>
      <c r="C17" s="2" t="s">
        <v>156</v>
      </c>
    </row>
    <row r="18" spans="2:3" x14ac:dyDescent="0.45">
      <c r="B18" s="2" t="s">
        <v>158</v>
      </c>
      <c r="C18" s="2" t="s">
        <v>159</v>
      </c>
    </row>
  </sheetData>
  <autoFilter ref="B2:C18" xr:uid="{00000000-0009-0000-0000-000006000000}"/>
  <phoneticPr fontId="2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K7"/>
  <sheetViews>
    <sheetView zoomScale="85" zoomScaleNormal="85" workbookViewId="0">
      <pane ySplit="2" topLeftCell="A3" activePane="bottomLeft" state="frozen"/>
      <selection activeCell="C15" sqref="C15"/>
      <selection pane="bottomLeft" activeCell="C15" sqref="C15"/>
    </sheetView>
  </sheetViews>
  <sheetFormatPr defaultRowHeight="17" x14ac:dyDescent="0.45"/>
  <cols>
    <col min="1" max="1" width="2.58203125" customWidth="1"/>
    <col min="2" max="2" width="16" customWidth="1"/>
    <col min="3" max="3" width="24" customWidth="1"/>
    <col min="4" max="4" width="18" customWidth="1"/>
    <col min="5" max="5" width="14" customWidth="1"/>
    <col min="6" max="6" width="32" customWidth="1"/>
    <col min="7" max="7" width="26" customWidth="1"/>
    <col min="8" max="8" width="16" customWidth="1"/>
    <col min="9" max="10" width="17" customWidth="1"/>
    <col min="11" max="11" width="16" customWidth="1"/>
  </cols>
  <sheetData>
    <row r="2" spans="2:11" ht="30" customHeight="1" x14ac:dyDescent="0.45">
      <c r="B2" s="1" t="s">
        <v>0</v>
      </c>
      <c r="C2" s="1" t="s">
        <v>2</v>
      </c>
      <c r="D2" s="1" t="s">
        <v>160</v>
      </c>
      <c r="E2" s="1" t="s">
        <v>37</v>
      </c>
      <c r="F2" s="1" t="s">
        <v>161</v>
      </c>
      <c r="G2" s="1" t="s">
        <v>162</v>
      </c>
      <c r="H2" s="1" t="s">
        <v>163</v>
      </c>
      <c r="I2" s="1" t="s">
        <v>164</v>
      </c>
      <c r="J2" s="1" t="s">
        <v>165</v>
      </c>
      <c r="K2" s="1" t="s">
        <v>166</v>
      </c>
    </row>
    <row r="3" spans="2:11" x14ac:dyDescent="0.45">
      <c r="B3" s="2" t="s">
        <v>8</v>
      </c>
      <c r="C3" s="2" t="s">
        <v>167</v>
      </c>
      <c r="D3" s="2" t="s">
        <v>168</v>
      </c>
      <c r="E3" s="2" t="s">
        <v>43</v>
      </c>
      <c r="F3" s="2" t="s">
        <v>169</v>
      </c>
      <c r="G3" s="2" t="s">
        <v>72</v>
      </c>
      <c r="H3" s="2" t="s">
        <v>11</v>
      </c>
      <c r="I3" s="2"/>
      <c r="J3" s="2" t="s">
        <v>101</v>
      </c>
      <c r="K3" s="2"/>
    </row>
    <row r="4" spans="2:11" x14ac:dyDescent="0.45">
      <c r="B4" s="2" t="s">
        <v>13</v>
      </c>
      <c r="C4" s="2" t="s">
        <v>170</v>
      </c>
      <c r="D4" s="2" t="s">
        <v>171</v>
      </c>
      <c r="E4" s="2" t="s">
        <v>49</v>
      </c>
      <c r="F4" s="2" t="s">
        <v>172</v>
      </c>
      <c r="G4" s="2" t="s">
        <v>15</v>
      </c>
      <c r="H4" s="2" t="s">
        <v>102</v>
      </c>
      <c r="I4" s="2"/>
      <c r="J4" s="2" t="s">
        <v>101</v>
      </c>
      <c r="K4" s="2"/>
    </row>
    <row r="5" spans="2:11" x14ac:dyDescent="0.45">
      <c r="B5" s="2" t="s">
        <v>16</v>
      </c>
      <c r="C5" s="2" t="s">
        <v>173</v>
      </c>
      <c r="D5" s="2" t="s">
        <v>30</v>
      </c>
      <c r="E5" s="2" t="s">
        <v>54</v>
      </c>
      <c r="F5" s="2" t="s">
        <v>174</v>
      </c>
      <c r="G5" s="2" t="s">
        <v>175</v>
      </c>
      <c r="H5" s="2" t="s">
        <v>17</v>
      </c>
      <c r="I5" s="2"/>
      <c r="J5" s="2" t="s">
        <v>101</v>
      </c>
      <c r="K5" s="2"/>
    </row>
    <row r="6" spans="2:11" x14ac:dyDescent="0.45">
      <c r="B6" s="2" t="s">
        <v>18</v>
      </c>
      <c r="C6" s="2" t="s">
        <v>109</v>
      </c>
      <c r="D6" s="2" t="s">
        <v>36</v>
      </c>
      <c r="E6" s="2" t="s">
        <v>59</v>
      </c>
      <c r="F6" s="2" t="s">
        <v>176</v>
      </c>
      <c r="G6" s="2"/>
      <c r="H6" s="2" t="s">
        <v>19</v>
      </c>
      <c r="I6" s="2"/>
      <c r="J6" s="2" t="s">
        <v>101</v>
      </c>
      <c r="K6" s="2"/>
    </row>
    <row r="7" spans="2:11" x14ac:dyDescent="0.45">
      <c r="B7" s="2" t="s">
        <v>20</v>
      </c>
      <c r="C7" s="2" t="s">
        <v>112</v>
      </c>
      <c r="D7" s="2" t="s">
        <v>168</v>
      </c>
      <c r="E7" s="2" t="s">
        <v>59</v>
      </c>
      <c r="F7" s="2" t="s">
        <v>177</v>
      </c>
      <c r="G7" s="2"/>
      <c r="H7" s="2" t="s">
        <v>21</v>
      </c>
      <c r="I7" s="2"/>
      <c r="J7" s="2" t="s">
        <v>101</v>
      </c>
      <c r="K7" s="2"/>
    </row>
  </sheetData>
  <autoFilter ref="B2:K7" xr:uid="{00000000-0009-0000-0000-000007000000}"/>
  <phoneticPr fontId="2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CE6E-04CB-4201-95F0-D342C469E1BD}">
  <dimension ref="B2:D7"/>
  <sheetViews>
    <sheetView zoomScale="85" zoomScaleNormal="85" workbookViewId="0"/>
  </sheetViews>
  <sheetFormatPr defaultRowHeight="17" x14ac:dyDescent="0.45"/>
  <cols>
    <col min="1" max="1" width="2.58203125" customWidth="1"/>
    <col min="3" max="3" width="26.83203125" customWidth="1"/>
    <col min="4" max="4" width="12.33203125" bestFit="1" customWidth="1"/>
  </cols>
  <sheetData>
    <row r="2" spans="2:4" ht="30" customHeight="1" x14ac:dyDescent="0.45">
      <c r="B2" s="3" t="s">
        <v>187</v>
      </c>
      <c r="C2" s="3" t="s">
        <v>4</v>
      </c>
      <c r="D2" s="3" t="s">
        <v>6</v>
      </c>
    </row>
    <row r="3" spans="2:4" x14ac:dyDescent="0.45">
      <c r="B3" s="5" t="s">
        <v>188</v>
      </c>
      <c r="C3" s="5" t="s">
        <v>185</v>
      </c>
      <c r="D3" s="5" t="s">
        <v>12</v>
      </c>
    </row>
    <row r="4" spans="2:4" x14ac:dyDescent="0.45">
      <c r="B4" s="5" t="s">
        <v>189</v>
      </c>
      <c r="C4" s="5" t="s">
        <v>186</v>
      </c>
      <c r="D4" s="5" t="s">
        <v>181</v>
      </c>
    </row>
    <row r="5" spans="2:4" x14ac:dyDescent="0.45">
      <c r="B5" s="5" t="s">
        <v>190</v>
      </c>
      <c r="C5" s="5"/>
      <c r="D5" s="5" t="s">
        <v>182</v>
      </c>
    </row>
    <row r="6" spans="2:4" x14ac:dyDescent="0.45">
      <c r="B6" s="5"/>
      <c r="C6" s="5"/>
      <c r="D6" s="5" t="s">
        <v>183</v>
      </c>
    </row>
    <row r="7" spans="2:4" x14ac:dyDescent="0.45">
      <c r="B7" s="5"/>
      <c r="C7" s="5"/>
      <c r="D7" s="5" t="s">
        <v>184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00_Summary</vt:lpstr>
      <vt:lpstr>01_Requirement</vt:lpstr>
      <vt:lpstr>02_Architecture</vt:lpstr>
      <vt:lpstr>03_Software Design</vt:lpstr>
      <vt:lpstr>04_Integrate Test</vt:lpstr>
      <vt:lpstr>05_System Test</vt:lpstr>
      <vt:lpstr>06_CLI</vt:lpstr>
      <vt:lpstr>MCU Setting</vt:lpstr>
      <vt:lpstr>Static Analysis</vt:lpstr>
      <vt:lpstr>Release Note</vt:lpstr>
      <vt:lpstr>Traceability</vt:lpstr>
      <vt:lpstr>Common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 준영</cp:lastModifiedBy>
  <dcterms:created xsi:type="dcterms:W3CDTF">2026-08-19T05:52:57Z</dcterms:created>
  <dcterms:modified xsi:type="dcterms:W3CDTF">2026-09-16T01:36:30Z</dcterms:modified>
</cp:coreProperties>
</file>