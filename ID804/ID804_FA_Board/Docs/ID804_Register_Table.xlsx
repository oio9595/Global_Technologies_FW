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working\01_Project\FW\ID804\ID804_CS\Docs\"/>
    </mc:Choice>
  </mc:AlternateContent>
  <xr:revisionPtr revIDLastSave="0" documentId="13_ncr:1_{8B559594-6F37-4311-8251-8BC6308A2D7A}" xr6:coauthVersionLast="47" xr6:coauthVersionMax="47" xr10:uidLastSave="{00000000-0000-0000-0000-000000000000}"/>
  <bookViews>
    <workbookView xWindow="71880" yWindow="2160" windowWidth="29040" windowHeight="15720" activeTab="3" xr2:uid="{00000000-000D-0000-FFFF-FFFF00000000}"/>
  </bookViews>
  <sheets>
    <sheet name="Command" sheetId="6" r:id="rId1"/>
    <sheet name="Register Table" sheetId="4" r:id="rId2"/>
    <sheet name="Register Description" sheetId="7" r:id="rId3"/>
    <sheet name="Testmode Reg. Table" sheetId="5" r:id="rId4"/>
    <sheet name="Testmode Reg. Description" sheetId="8" r:id="rId5"/>
  </sheets>
  <definedNames>
    <definedName name="OLE_LINK288" localSheetId="0">Command!$E$5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5" l="1"/>
  <c r="W53" i="6" l="1"/>
  <c r="C53" i="6"/>
  <c r="W52" i="6"/>
  <c r="C52" i="6"/>
  <c r="W51" i="6"/>
  <c r="C51" i="6"/>
  <c r="W50" i="6"/>
  <c r="C50" i="6"/>
  <c r="W49" i="6"/>
  <c r="C49" i="6"/>
  <c r="W48" i="6"/>
  <c r="C48" i="6"/>
  <c r="W47" i="6"/>
  <c r="C47" i="6"/>
  <c r="W46" i="6"/>
  <c r="C46" i="6"/>
  <c r="W45" i="6"/>
  <c r="C45" i="6"/>
  <c r="W44" i="6"/>
  <c r="C44" i="6"/>
  <c r="W43" i="6"/>
  <c r="C43" i="6"/>
  <c r="W42" i="6"/>
  <c r="C42" i="6"/>
  <c r="W41" i="6"/>
  <c r="C41" i="6"/>
  <c r="W40" i="6"/>
  <c r="C40" i="6"/>
  <c r="W39" i="6"/>
  <c r="C39" i="6"/>
  <c r="W38" i="6"/>
  <c r="C38" i="6"/>
  <c r="W37" i="6"/>
  <c r="C37" i="6"/>
  <c r="W36" i="6"/>
  <c r="C36" i="6"/>
  <c r="W35" i="6"/>
  <c r="C35" i="6"/>
  <c r="W34" i="6"/>
  <c r="C34" i="6"/>
  <c r="W33" i="6"/>
  <c r="C33" i="6"/>
  <c r="W32" i="6"/>
  <c r="C32" i="6"/>
  <c r="W31" i="6"/>
  <c r="C31" i="6"/>
  <c r="W30" i="6"/>
  <c r="C30" i="6"/>
  <c r="W29" i="6"/>
  <c r="C29" i="6"/>
  <c r="W28" i="6"/>
  <c r="C28" i="6"/>
  <c r="AF27" i="6"/>
  <c r="W27" i="6"/>
  <c r="F27" i="6"/>
  <c r="C27" i="6"/>
  <c r="AF26" i="6"/>
  <c r="W26" i="6"/>
  <c r="F26" i="6"/>
  <c r="C26" i="6"/>
  <c r="AF25" i="6"/>
  <c r="W25" i="6"/>
  <c r="F25" i="6"/>
  <c r="C25" i="6"/>
  <c r="AF24" i="6"/>
  <c r="W24" i="6"/>
  <c r="F24" i="6"/>
  <c r="C24" i="6"/>
  <c r="AF23" i="6"/>
  <c r="W23" i="6"/>
  <c r="F23" i="6"/>
  <c r="C23" i="6"/>
  <c r="AF22" i="6"/>
  <c r="W22" i="6"/>
  <c r="F22" i="6"/>
  <c r="C22" i="6"/>
  <c r="AF21" i="6"/>
  <c r="W21" i="6"/>
  <c r="F21" i="6"/>
  <c r="C21" i="6"/>
  <c r="AF20" i="6"/>
  <c r="W20" i="6"/>
  <c r="F20" i="6"/>
  <c r="C20" i="6"/>
  <c r="AF19" i="6"/>
  <c r="W19" i="6"/>
  <c r="F19" i="6"/>
  <c r="C19" i="6"/>
  <c r="AF18" i="6"/>
  <c r="W18" i="6"/>
  <c r="F18" i="6"/>
  <c r="C18" i="6"/>
  <c r="AF17" i="6"/>
  <c r="W17" i="6"/>
  <c r="F17" i="6"/>
  <c r="C17" i="6"/>
  <c r="AF16" i="6"/>
  <c r="W16" i="6"/>
  <c r="F16" i="6"/>
  <c r="C16" i="6"/>
  <c r="AF15" i="6"/>
  <c r="W15" i="6"/>
  <c r="F15" i="6"/>
  <c r="C15" i="6"/>
  <c r="AF14" i="6"/>
  <c r="W14" i="6"/>
  <c r="F14" i="6"/>
  <c r="C14" i="6"/>
  <c r="AF13" i="6"/>
  <c r="W13" i="6"/>
  <c r="F13" i="6"/>
  <c r="C13" i="6"/>
  <c r="AF12" i="6"/>
  <c r="W12" i="6"/>
  <c r="F12" i="6"/>
  <c r="C12" i="6"/>
  <c r="AF11" i="6"/>
  <c r="W11" i="6"/>
  <c r="F11" i="6"/>
  <c r="C11" i="6"/>
  <c r="AF10" i="6"/>
  <c r="W10" i="6"/>
  <c r="F10" i="6"/>
  <c r="C10" i="6"/>
  <c r="AF9" i="6"/>
  <c r="W9" i="6"/>
  <c r="F9" i="6"/>
  <c r="C9" i="6"/>
  <c r="AF8" i="6"/>
  <c r="W8" i="6"/>
  <c r="F8" i="6"/>
  <c r="C8" i="6"/>
  <c r="AF7" i="6"/>
  <c r="W7" i="6"/>
  <c r="F7" i="6"/>
  <c r="C7" i="6"/>
  <c r="AF6" i="6"/>
  <c r="W6" i="6"/>
  <c r="F6" i="6"/>
  <c r="C6" i="6"/>
  <c r="W5" i="6"/>
  <c r="C5" i="6"/>
  <c r="W4" i="6"/>
  <c r="C4" i="6"/>
  <c r="X29" i="5" l="1"/>
  <c r="X28" i="5"/>
  <c r="X27" i="5"/>
  <c r="X26" i="5"/>
  <c r="X25" i="5"/>
  <c r="X24" i="5"/>
  <c r="X22" i="5"/>
  <c r="X21" i="5"/>
  <c r="X20" i="5"/>
  <c r="X19" i="5"/>
  <c r="X18" i="5"/>
  <c r="X17" i="5"/>
  <c r="X16" i="5"/>
  <c r="X15" i="5"/>
  <c r="X14" i="5"/>
  <c r="X13" i="5"/>
  <c r="X12" i="5"/>
  <c r="X11" i="5"/>
  <c r="X10" i="5"/>
  <c r="X8" i="5"/>
  <c r="X7" i="5"/>
  <c r="X6" i="5"/>
  <c r="AC32" i="4"/>
  <c r="AC31" i="4"/>
  <c r="AC30" i="4"/>
  <c r="AC29" i="4"/>
  <c r="AC25" i="4"/>
  <c r="AC24" i="4"/>
  <c r="AC23" i="4"/>
  <c r="AC22" i="4"/>
  <c r="AC21" i="4"/>
  <c r="AC20" i="4"/>
  <c r="AC19" i="4"/>
  <c r="AC18" i="4"/>
  <c r="AC17" i="4"/>
  <c r="AC16" i="4"/>
  <c r="AC15" i="4"/>
  <c r="AC14" i="4"/>
  <c r="AC13" i="4"/>
  <c r="AC12" i="4"/>
  <c r="AC11" i="4"/>
  <c r="AC10" i="4"/>
  <c r="AC9" i="4"/>
  <c r="AC8" i="4"/>
  <c r="AC7" i="4"/>
  <c r="AC6" i="4"/>
  <c r="AC5" i="4"/>
  <c r="AC4" i="4"/>
  <c r="AC3" i="4"/>
</calcChain>
</file>

<file path=xl/sharedStrings.xml><?xml version="1.0" encoding="utf-8"?>
<sst xmlns="http://schemas.openxmlformats.org/spreadsheetml/2006/main" count="2688" uniqueCount="584">
  <si>
    <t>ADDR</t>
    <phoneticPr fontId="6" type="noConversion"/>
  </si>
  <si>
    <t>Register</t>
    <phoneticPr fontId="6" type="noConversion"/>
  </si>
  <si>
    <t>Reset
Type</t>
  </si>
  <si>
    <t>Read
Write</t>
  </si>
  <si>
    <t>D15</t>
  </si>
  <si>
    <t>D14</t>
  </si>
  <si>
    <t>D13</t>
  </si>
  <si>
    <t>D12</t>
  </si>
  <si>
    <t>D11</t>
    <phoneticPr fontId="6" type="noConversion"/>
  </si>
  <si>
    <t>D10</t>
    <phoneticPr fontId="6" type="noConversion"/>
  </si>
  <si>
    <t>D9</t>
    <phoneticPr fontId="6" type="noConversion"/>
  </si>
  <si>
    <t>D8</t>
    <phoneticPr fontId="6" type="noConversion"/>
  </si>
  <si>
    <t>D7</t>
    <phoneticPr fontId="6" type="noConversion"/>
  </si>
  <si>
    <t>D6</t>
    <phoneticPr fontId="6" type="noConversion"/>
  </si>
  <si>
    <t>D5</t>
  </si>
  <si>
    <t>D4</t>
  </si>
  <si>
    <t>D3</t>
  </si>
  <si>
    <t>D2</t>
  </si>
  <si>
    <t>D1</t>
  </si>
  <si>
    <t>D0</t>
  </si>
  <si>
    <t>Frame Data@NORMAL</t>
    <phoneticPr fontId="6" type="noConversion"/>
  </si>
  <si>
    <t>DEFAULT
bin</t>
  </si>
  <si>
    <t>DEFAULT</t>
  </si>
  <si>
    <t>I2C@TESTMODE</t>
  </si>
  <si>
    <t>D11</t>
  </si>
  <si>
    <t>D10</t>
  </si>
  <si>
    <t>D9</t>
  </si>
  <si>
    <t>D8</t>
  </si>
  <si>
    <t>D7</t>
  </si>
  <si>
    <t>D6</t>
  </si>
  <si>
    <t>0x01</t>
    <phoneticPr fontId="9" type="noConversion"/>
  </si>
  <si>
    <t>STATUS1</t>
    <phoneticPr fontId="6" type="noConversion"/>
  </si>
  <si>
    <t>POR, RESET</t>
    <phoneticPr fontId="6" type="noConversion"/>
  </si>
  <si>
    <t>RO</t>
    <phoneticPr fontId="6" type="noConversion"/>
  </si>
  <si>
    <t>dumy</t>
    <phoneticPr fontId="9" type="noConversion"/>
  </si>
  <si>
    <t>RSVD</t>
  </si>
  <si>
    <t>IC_STATE[2:0]</t>
    <phoneticPr fontId="9" type="noConversion"/>
  </si>
  <si>
    <t>SIO2[1:0]</t>
    <phoneticPr fontId="9" type="noConversion"/>
  </si>
  <si>
    <t>SIO1[1:0]</t>
    <phoneticPr fontId="9" type="noConversion"/>
  </si>
  <si>
    <t>0000_0000_0000</t>
    <phoneticPr fontId="6" type="noConversion"/>
  </si>
  <si>
    <t>0x02</t>
    <phoneticPr fontId="9" type="noConversion"/>
  </si>
  <si>
    <t>STATUS2</t>
    <phoneticPr fontId="6" type="noConversion"/>
  </si>
  <si>
    <t>RC</t>
    <phoneticPr fontId="6" type="noConversion"/>
  </si>
  <si>
    <t>OTPCRC</t>
    <phoneticPr fontId="9" type="noConversion"/>
  </si>
  <si>
    <t>T_OUT</t>
    <phoneticPr fontId="9" type="noConversion"/>
  </si>
  <si>
    <t>OPEN_R</t>
    <phoneticPr fontId="9" type="noConversion"/>
  </si>
  <si>
    <t>OPEN_G</t>
    <phoneticPr fontId="9" type="noConversion"/>
  </si>
  <si>
    <t>OPEN_B</t>
    <phoneticPr fontId="9" type="noConversion"/>
  </si>
  <si>
    <t>SHORT_R</t>
    <phoneticPr fontId="9" type="noConversion"/>
  </si>
  <si>
    <t>SHORT_G</t>
    <phoneticPr fontId="9" type="noConversion"/>
  </si>
  <si>
    <t>SHORT_B</t>
    <phoneticPr fontId="9" type="noConversion"/>
  </si>
  <si>
    <t>OT_FLT</t>
    <phoneticPr fontId="9" type="noConversion"/>
  </si>
  <si>
    <t>UV_FLT</t>
    <phoneticPr fontId="9" type="noConversion"/>
  </si>
  <si>
    <t>CRC_FLT</t>
    <phoneticPr fontId="9" type="noConversion"/>
  </si>
  <si>
    <t>COM_FLT</t>
    <phoneticPr fontId="9" type="noConversion"/>
  </si>
  <si>
    <t>0x03</t>
  </si>
  <si>
    <t>TEMP</t>
    <phoneticPr fontId="6" type="noConversion"/>
  </si>
  <si>
    <t>TEMPERATURE[9:0]</t>
    <phoneticPr fontId="9" type="noConversion"/>
  </si>
  <si>
    <t>0x05</t>
    <phoneticPr fontId="6" type="noConversion"/>
  </si>
  <si>
    <t>VEXT_TM</t>
    <phoneticPr fontId="6" type="noConversion"/>
  </si>
  <si>
    <t>VEXT_TM[9:0]</t>
    <phoneticPr fontId="9" type="noConversion"/>
  </si>
  <si>
    <t>0x06</t>
    <phoneticPr fontId="6" type="noConversion"/>
  </si>
  <si>
    <t>SETUP1</t>
    <phoneticPr fontId="6" type="noConversion"/>
  </si>
  <si>
    <t>RW</t>
    <phoneticPr fontId="6" type="noConversion"/>
  </si>
  <si>
    <t>TC_E</t>
    <phoneticPr fontId="9" type="noConversion"/>
  </si>
  <si>
    <t>OS_FLT_E</t>
    <phoneticPr fontId="9" type="noConversion"/>
  </si>
  <si>
    <t>OT_FLT_E</t>
    <phoneticPr fontId="9" type="noConversion"/>
  </si>
  <si>
    <t>UV_FLT_E</t>
    <phoneticPr fontId="9" type="noConversion"/>
  </si>
  <si>
    <t>COM_FLT_E</t>
    <phoneticPr fontId="9" type="noConversion"/>
  </si>
  <si>
    <t>CRC_E</t>
    <phoneticPr fontId="9" type="noConversion"/>
  </si>
  <si>
    <t>PH_SHIFT_E</t>
    <phoneticPr fontId="9" type="noConversion"/>
  </si>
  <si>
    <t>LG_E</t>
    <phoneticPr fontId="9" type="noConversion"/>
  </si>
  <si>
    <t>F_PWM_DIV[3:0]</t>
    <phoneticPr fontId="9" type="noConversion"/>
  </si>
  <si>
    <t>0x07</t>
    <phoneticPr fontId="6" type="noConversion"/>
  </si>
  <si>
    <t>SETUP2</t>
    <phoneticPr fontId="6" type="noConversion"/>
  </si>
  <si>
    <t>CLK_INV_E</t>
    <phoneticPr fontId="9" type="noConversion"/>
  </si>
  <si>
    <t>VEXT_MON_E</t>
    <phoneticPr fontId="9" type="noConversion"/>
  </si>
  <si>
    <t>EVENT_CYC</t>
    <phoneticPr fontId="9" type="noConversion"/>
  </si>
  <si>
    <t>UV_LVL[1:0]</t>
    <phoneticPr fontId="9" type="noConversion"/>
  </si>
  <si>
    <t>SH_LVL[1:0]</t>
    <phoneticPr fontId="9" type="noConversion"/>
  </si>
  <si>
    <t>0000_0000_1110</t>
    <phoneticPr fontId="6" type="noConversion"/>
  </si>
  <si>
    <t>0x0A</t>
    <phoneticPr fontId="6" type="noConversion"/>
  </si>
  <si>
    <t>TEMPTH</t>
    <phoneticPr fontId="6" type="noConversion"/>
  </si>
  <si>
    <t>TEMP_THRESHOLD[9:0]</t>
    <phoneticPr fontId="9" type="noConversion"/>
  </si>
  <si>
    <t>0x0B</t>
    <phoneticPr fontId="6" type="noConversion"/>
  </si>
  <si>
    <t>TEMPHYS</t>
    <phoneticPr fontId="6" type="noConversion"/>
  </si>
  <si>
    <t>TEMP_HYSTERISIS[9:0]</t>
    <phoneticPr fontId="9" type="noConversion"/>
  </si>
  <si>
    <t>0x0C</t>
    <phoneticPr fontId="9" type="noConversion"/>
  </si>
  <si>
    <t>CAL_PWM_RED</t>
    <phoneticPr fontId="6" type="noConversion"/>
  </si>
  <si>
    <t>PWM_RED_VAL[11:0]</t>
    <phoneticPr fontId="9" type="noConversion"/>
  </si>
  <si>
    <t>0x0D</t>
    <phoneticPr fontId="9" type="noConversion"/>
  </si>
  <si>
    <t>CAL_PWM_GREEN</t>
    <phoneticPr fontId="6" type="noConversion"/>
  </si>
  <si>
    <t>PWM_GREEN_VAL[11:0]</t>
    <phoneticPr fontId="9" type="noConversion"/>
  </si>
  <si>
    <t>0x0E</t>
    <phoneticPr fontId="9" type="noConversion"/>
  </si>
  <si>
    <t>CAL_PWM_BLUE</t>
    <phoneticPr fontId="6" type="noConversion"/>
  </si>
  <si>
    <t>PWM_BLUE_VAL[11:0]</t>
    <phoneticPr fontId="9" type="noConversion"/>
  </si>
  <si>
    <t>0x0F</t>
    <phoneticPr fontId="6" type="noConversion"/>
  </si>
  <si>
    <t>CURR_MAX_LVL</t>
    <phoneticPr fontId="6" type="noConversion"/>
  </si>
  <si>
    <t>R_CURR_MAX_LVL[3:0]</t>
    <phoneticPr fontId="9" type="noConversion"/>
  </si>
  <si>
    <t>G_CURR_MAX_LVL[3:0]</t>
    <phoneticPr fontId="9" type="noConversion"/>
  </si>
  <si>
    <t>B_CURR_MAX_LVL[3:0]</t>
    <phoneticPr fontId="9" type="noConversion"/>
  </si>
  <si>
    <t>1000_1000_1000</t>
    <phoneticPr fontId="6" type="noConversion"/>
  </si>
  <si>
    <t>0x10</t>
    <phoneticPr fontId="6" type="noConversion"/>
  </si>
  <si>
    <t>TEMP_LUT_TC1</t>
    <phoneticPr fontId="6" type="noConversion"/>
  </si>
  <si>
    <t>TEMP_LUT_TC1 [9:0]</t>
    <phoneticPr fontId="6" type="noConversion"/>
  </si>
  <si>
    <t>0010_0000_0000</t>
    <phoneticPr fontId="6" type="noConversion"/>
  </si>
  <si>
    <t>0x11</t>
    <phoneticPr fontId="6" type="noConversion"/>
  </si>
  <si>
    <t>TEMP_LUT_TC2</t>
  </si>
  <si>
    <t>TEMP_LUT_TC2 [9:0]</t>
    <phoneticPr fontId="6" type="noConversion"/>
  </si>
  <si>
    <t>0x12</t>
    <phoneticPr fontId="6" type="noConversion"/>
  </si>
  <si>
    <t>TEMP_LUT_TC3</t>
  </si>
  <si>
    <t>TEMP_LUT_TC3 [9:0]</t>
    <phoneticPr fontId="6" type="noConversion"/>
  </si>
  <si>
    <t>0010_0001_1010</t>
    <phoneticPr fontId="6" type="noConversion"/>
  </si>
  <si>
    <t>0x13</t>
    <phoneticPr fontId="6" type="noConversion"/>
  </si>
  <si>
    <t>TEMP_LUT_TC4</t>
  </si>
  <si>
    <t>TEMP_LUT_TC4 [9:0]</t>
    <phoneticPr fontId="6" type="noConversion"/>
  </si>
  <si>
    <t>0010_0011_0001</t>
    <phoneticPr fontId="6" type="noConversion"/>
  </si>
  <si>
    <t>0x14</t>
    <phoneticPr fontId="6" type="noConversion"/>
  </si>
  <si>
    <t>TEMP_LUT_TC5</t>
  </si>
  <si>
    <t>TEMP_LUT_TC5 [9:0]</t>
    <phoneticPr fontId="6" type="noConversion"/>
  </si>
  <si>
    <t>0010_0100_1000</t>
    <phoneticPr fontId="6" type="noConversion"/>
  </si>
  <si>
    <t>0x15</t>
    <phoneticPr fontId="6" type="noConversion"/>
  </si>
  <si>
    <t>TEMP_LUT_TC6</t>
  </si>
  <si>
    <t>TEMP_LUT_TC6 [9:0]</t>
    <phoneticPr fontId="6" type="noConversion"/>
  </si>
  <si>
    <t>0010_0101_1111</t>
    <phoneticPr fontId="6" type="noConversion"/>
  </si>
  <si>
    <t>0x16</t>
    <phoneticPr fontId="6" type="noConversion"/>
  </si>
  <si>
    <t>TEMP_LUT_TC7</t>
  </si>
  <si>
    <t>TEMP_LUT_TC7 [9:0]</t>
    <phoneticPr fontId="6" type="noConversion"/>
  </si>
  <si>
    <t>0010_0111_0110</t>
    <phoneticPr fontId="6" type="noConversion"/>
  </si>
  <si>
    <t>0x17</t>
    <phoneticPr fontId="6" type="noConversion"/>
  </si>
  <si>
    <t>TEMP_LUT_TC8</t>
  </si>
  <si>
    <t>TEMP_LUT_TC8 [9:0]</t>
    <phoneticPr fontId="6" type="noConversion"/>
  </si>
  <si>
    <t>0010_1000_1101</t>
    <phoneticPr fontId="6" type="noConversion"/>
  </si>
  <si>
    <t>0x18</t>
    <phoneticPr fontId="6" type="noConversion"/>
  </si>
  <si>
    <t>TEMP_LUT_TC9</t>
  </si>
  <si>
    <t>TEMP_LUT_TC9 [9:0]</t>
    <phoneticPr fontId="6" type="noConversion"/>
  </si>
  <si>
    <t>0010_1010_0100</t>
    <phoneticPr fontId="6" type="noConversion"/>
  </si>
  <si>
    <t>0x19</t>
    <phoneticPr fontId="6" type="noConversion"/>
  </si>
  <si>
    <t>TEMP_LUT_TC10</t>
  </si>
  <si>
    <t>TEMP_LUT_TC10 [9:0]</t>
    <phoneticPr fontId="6" type="noConversion"/>
  </si>
  <si>
    <t>0010_1011_1011</t>
    <phoneticPr fontId="6" type="noConversion"/>
  </si>
  <si>
    <t>0x1A</t>
    <phoneticPr fontId="6" type="noConversion"/>
  </si>
  <si>
    <t>TIMEOUT</t>
    <phoneticPr fontId="6" type="noConversion"/>
  </si>
  <si>
    <t>TIMEOUT[11:0]</t>
    <phoneticPr fontId="6" type="noConversion"/>
  </si>
  <si>
    <t>1000_0000_0000</t>
    <phoneticPr fontId="6" type="noConversion"/>
  </si>
  <si>
    <t>D23</t>
  </si>
  <si>
    <t>D22</t>
  </si>
  <si>
    <t>D21</t>
  </si>
  <si>
    <t>D20</t>
  </si>
  <si>
    <t>D19</t>
  </si>
  <si>
    <t>D18</t>
  </si>
  <si>
    <t>D17</t>
  </si>
  <si>
    <t>D16</t>
  </si>
  <si>
    <t>D13</t>
    <phoneticPr fontId="6" type="noConversion"/>
  </si>
  <si>
    <t>D12</t>
    <phoneticPr fontId="6" type="noConversion"/>
  </si>
  <si>
    <t>D1</t>
    <phoneticPr fontId="6" type="noConversion"/>
  </si>
  <si>
    <t>D0</t>
    <phoneticPr fontId="6" type="noConversion"/>
  </si>
  <si>
    <t>0x08</t>
    <phoneticPr fontId="9" type="noConversion"/>
  </si>
  <si>
    <t>MCAST</t>
    <phoneticPr fontId="6" type="noConversion"/>
  </si>
  <si>
    <t>MCAST_ADDR[15:12]</t>
    <phoneticPr fontId="9" type="noConversion"/>
  </si>
  <si>
    <t>0x09</t>
    <phoneticPr fontId="9" type="noConversion"/>
  </si>
  <si>
    <t>MCAST_ADDR[11:0]</t>
    <phoneticPr fontId="9" type="noConversion"/>
  </si>
  <si>
    <t>0x20</t>
    <phoneticPr fontId="9" type="noConversion"/>
  </si>
  <si>
    <t>RGB</t>
    <phoneticPr fontId="6" type="noConversion"/>
  </si>
  <si>
    <t>R_DATA[7:0]</t>
    <phoneticPr fontId="9" type="noConversion"/>
  </si>
  <si>
    <t>G_DATA[7:4]</t>
    <phoneticPr fontId="9" type="noConversion"/>
  </si>
  <si>
    <t>0x21</t>
    <phoneticPr fontId="9" type="noConversion"/>
  </si>
  <si>
    <t>B_DATA[7:0]</t>
    <phoneticPr fontId="9" type="noConversion"/>
  </si>
  <si>
    <t>OTP_CONTROL</t>
    <phoneticPr fontId="9" type="noConversion"/>
  </si>
  <si>
    <t>0xE0</t>
    <phoneticPr fontId="9" type="noConversion"/>
  </si>
  <si>
    <t>TRIM_CONTROL</t>
    <phoneticPr fontId="9" type="noConversion"/>
  </si>
  <si>
    <t>POR</t>
    <phoneticPr fontId="9" type="noConversion"/>
  </si>
  <si>
    <t>RW</t>
    <phoneticPr fontId="9" type="noConversion"/>
  </si>
  <si>
    <t>TEST_E</t>
    <phoneticPr fontId="9" type="noConversion"/>
  </si>
  <si>
    <t>CKO_E</t>
    <phoneticPr fontId="9" type="noConversion"/>
  </si>
  <si>
    <t>ADC_CLK_POL</t>
    <phoneticPr fontId="9" type="noConversion"/>
  </si>
  <si>
    <t>ANA_MOD_SEL [2:0]</t>
    <phoneticPr fontId="9" type="noConversion"/>
  </si>
  <si>
    <t>T_ANA_SEL[2:0]</t>
    <phoneticPr fontId="9" type="noConversion"/>
  </si>
  <si>
    <t>PWM_MAX_R_E</t>
    <phoneticPr fontId="9" type="noConversion"/>
  </si>
  <si>
    <t>PWM_MAX_G_E</t>
    <phoneticPr fontId="9" type="noConversion"/>
  </si>
  <si>
    <t>PWM_MAX_B_E</t>
    <phoneticPr fontId="9" type="noConversion"/>
  </si>
  <si>
    <t>0xE1</t>
  </si>
  <si>
    <t>OTP_CONTROL1</t>
  </si>
  <si>
    <t>OTP_PG2</t>
    <phoneticPr fontId="9" type="noConversion"/>
  </si>
  <si>
    <t>OTP_PG1</t>
    <phoneticPr fontId="9" type="noConversion"/>
  </si>
  <si>
    <t>T_ANA_E</t>
    <phoneticPr fontId="9" type="noConversion"/>
  </si>
  <si>
    <t>OTP_RD</t>
    <phoneticPr fontId="9" type="noConversion"/>
  </si>
  <si>
    <t>OTP_WSEL [3:0]</t>
    <phoneticPr fontId="9" type="noConversion"/>
  </si>
  <si>
    <t>0000_0100_0000</t>
    <phoneticPr fontId="6" type="noConversion"/>
  </si>
  <si>
    <t>0xE2</t>
  </si>
  <si>
    <t>OTP_CONTROL2</t>
  </si>
  <si>
    <t>OTP_PG_ACC_CYCLE [11:0]</t>
    <phoneticPr fontId="9" type="noConversion"/>
  </si>
  <si>
    <t>0001_0100_0000</t>
    <phoneticPr fontId="6" type="noConversion"/>
  </si>
  <si>
    <t>0xE3</t>
  </si>
  <si>
    <t>OTP_CONTROL3</t>
  </si>
  <si>
    <t>PROTECT [11:0]</t>
    <phoneticPr fontId="9" type="noConversion"/>
  </si>
  <si>
    <t>0101_1010_0101</t>
    <phoneticPr fontId="6" type="noConversion"/>
  </si>
  <si>
    <t>OTP_WAFER</t>
    <phoneticPr fontId="9" type="noConversion"/>
  </si>
  <si>
    <t>0xE4</t>
  </si>
  <si>
    <t>OTP1_MIRROR1</t>
    <phoneticPr fontId="9" type="noConversion"/>
  </si>
  <si>
    <t>SIO1_TR_TX_BIAS [2:0]</t>
    <phoneticPr fontId="9" type="noConversion"/>
  </si>
  <si>
    <t>SIO2_TR_TX_BIAS [2:0]</t>
    <phoneticPr fontId="9" type="noConversion"/>
  </si>
  <si>
    <t>V_TRIM_BGR [5:0]</t>
    <phoneticPr fontId="9" type="noConversion"/>
  </si>
  <si>
    <t>0000_0010_0000</t>
    <phoneticPr fontId="4" type="noConversion"/>
  </si>
  <si>
    <t>0xE5</t>
  </si>
  <si>
    <t>OTP1_MIRROR2</t>
    <phoneticPr fontId="9" type="noConversion"/>
  </si>
  <si>
    <t>SIO1_TR_RES [1:0]</t>
    <phoneticPr fontId="9" type="noConversion"/>
  </si>
  <si>
    <t>SIO2_TR_RES [1:0]</t>
    <phoneticPr fontId="9" type="noConversion"/>
  </si>
  <si>
    <t>VLDO_CTRL [2:0]</t>
    <phoneticPr fontId="9" type="noConversion"/>
  </si>
  <si>
    <t>I_TRIM_BGR [4:0]</t>
    <phoneticPr fontId="4" type="noConversion"/>
  </si>
  <si>
    <t>0000_0001_0000</t>
    <phoneticPr fontId="4" type="noConversion"/>
  </si>
  <si>
    <t>0xE6</t>
  </si>
  <si>
    <t>OTP1_MIRROR3</t>
  </si>
  <si>
    <t>na</t>
    <phoneticPr fontId="9" type="noConversion"/>
  </si>
  <si>
    <t>TEMP_TRIM_BGR [5:0]</t>
    <phoneticPr fontId="9" type="noConversion"/>
  </si>
  <si>
    <t>BGR_R1_TRIM&lt;3:0&gt;</t>
  </si>
  <si>
    <t>0010_0000_1000</t>
    <phoneticPr fontId="4" type="noConversion"/>
  </si>
  <si>
    <t>0xE7</t>
  </si>
  <si>
    <t>OTP1_MIRROR4</t>
  </si>
  <si>
    <t>OSC_CTL [7:0]</t>
    <phoneticPr fontId="9" type="noConversion"/>
  </si>
  <si>
    <t>BGR_R2_TRIM&lt;3:0&gt;</t>
  </si>
  <si>
    <t>0000_0000_1000</t>
    <phoneticPr fontId="9" type="noConversion"/>
  </si>
  <si>
    <t>0xE8</t>
  </si>
  <si>
    <t>OTP1_MIRROR5</t>
  </si>
  <si>
    <t>0000_0000_0000</t>
    <phoneticPr fontId="4" type="noConversion"/>
  </si>
  <si>
    <t>0000_0000_0000</t>
    <phoneticPr fontId="9" type="noConversion"/>
  </si>
  <si>
    <t>0xE9</t>
  </si>
  <si>
    <t>OTP1_MIRROR6</t>
  </si>
  <si>
    <t>0xEA</t>
    <phoneticPr fontId="9" type="noConversion"/>
  </si>
  <si>
    <t>OTP1_MIRROR7</t>
  </si>
  <si>
    <t>ADC_OFFSET [8:0]</t>
    <phoneticPr fontId="9" type="noConversion"/>
  </si>
  <si>
    <t>0xEB</t>
    <phoneticPr fontId="9" type="noConversion"/>
  </si>
  <si>
    <t>OTP1_MIRROR8</t>
  </si>
  <si>
    <t>ADC_GAIN [4:0]</t>
    <phoneticPr fontId="9" type="noConversion"/>
  </si>
  <si>
    <t>0000_0001_0000</t>
    <phoneticPr fontId="9" type="noConversion"/>
  </si>
  <si>
    <t>0xEC</t>
    <phoneticPr fontId="9" type="noConversion"/>
  </si>
  <si>
    <t>OTP1_MIRROR9</t>
  </si>
  <si>
    <t>ITRIM_R [7:0]</t>
    <phoneticPr fontId="9" type="noConversion"/>
  </si>
  <si>
    <t>0000_1000_0000</t>
    <phoneticPr fontId="4" type="noConversion"/>
  </si>
  <si>
    <t>0xED</t>
    <phoneticPr fontId="9" type="noConversion"/>
  </si>
  <si>
    <t>OTP1_MIRROR10</t>
  </si>
  <si>
    <t>ITRIM_G [7:0]</t>
    <phoneticPr fontId="9" type="noConversion"/>
  </si>
  <si>
    <t>0xEE</t>
    <phoneticPr fontId="9" type="noConversion"/>
  </si>
  <si>
    <t>OTP1_MIRROR11</t>
  </si>
  <si>
    <t>ITRIM_B [7:0]</t>
    <phoneticPr fontId="9" type="noConversion"/>
  </si>
  <si>
    <t>0xEF</t>
    <phoneticPr fontId="9" type="noConversion"/>
  </si>
  <si>
    <t>OTP1_MIRROR12</t>
  </si>
  <si>
    <t>TC_BASE [9:0]</t>
    <phoneticPr fontId="9" type="noConversion"/>
  </si>
  <si>
    <t>0xF0</t>
    <phoneticPr fontId="9" type="noConversion"/>
  </si>
  <si>
    <t>OTP1_MIRROR13</t>
  </si>
  <si>
    <t>TC_OFFSET [9:0]</t>
    <phoneticPr fontId="9" type="noConversion"/>
  </si>
  <si>
    <t>0000_0000_0000</t>
  </si>
  <si>
    <t>OTP_PACKAGE</t>
    <phoneticPr fontId="9" type="noConversion"/>
  </si>
  <si>
    <t>0xF1</t>
    <phoneticPr fontId="9" type="noConversion"/>
  </si>
  <si>
    <t>OTP2_MIRROR14</t>
    <phoneticPr fontId="9" type="noConversion"/>
  </si>
  <si>
    <t>PWM_MAX_R [11:0]</t>
    <phoneticPr fontId="9" type="noConversion"/>
  </si>
  <si>
    <t>0xF2</t>
  </si>
  <si>
    <t>OTP2_MIRROR15</t>
  </si>
  <si>
    <t>PWM_MAX_G [11:0]</t>
    <phoneticPr fontId="9" type="noConversion"/>
  </si>
  <si>
    <t>0xF3</t>
  </si>
  <si>
    <t>OTP2_MIRROR16</t>
  </si>
  <si>
    <t>PWM_MAX_B [11:0]</t>
    <phoneticPr fontId="9" type="noConversion"/>
  </si>
  <si>
    <t>0xF4</t>
  </si>
  <si>
    <t>OTP2_MIRROR17</t>
  </si>
  <si>
    <t>OTP_CRC[7:0]</t>
    <phoneticPr fontId="9" type="noConversion"/>
  </si>
  <si>
    <t>0xF5</t>
    <phoneticPr fontId="9" type="noConversion"/>
  </si>
  <si>
    <t>OTP2_MIRROR18</t>
  </si>
  <si>
    <t>0xF6</t>
    <phoneticPr fontId="9" type="noConversion"/>
  </si>
  <si>
    <t>OTP2_MIRROR19</t>
  </si>
  <si>
    <t>-</t>
    <phoneticPr fontId="4" type="noConversion"/>
  </si>
  <si>
    <t>Command</t>
    <phoneticPr fontId="9" type="noConversion"/>
  </si>
  <si>
    <t>Normal Command</t>
    <phoneticPr fontId="9" type="noConversion"/>
  </si>
  <si>
    <t>SR (Status Request) Command</t>
  </si>
  <si>
    <t>Data bits</t>
    <phoneticPr fontId="9" type="noConversion"/>
  </si>
  <si>
    <t>Encoding</t>
    <phoneticPr fontId="9" type="noConversion"/>
  </si>
  <si>
    <t>Broadcast possible</t>
    <phoneticPr fontId="9" type="noConversion"/>
  </si>
  <si>
    <t>Multicast possible</t>
  </si>
  <si>
    <t>Encoding with SR</t>
  </si>
  <si>
    <t>Broadcast possible</t>
  </si>
  <si>
    <t>* Command Encoding description</t>
    <phoneticPr fontId="9" type="noConversion"/>
  </si>
  <si>
    <t>RESET</t>
  </si>
  <si>
    <t>O</t>
  </si>
  <si>
    <t>-</t>
    <phoneticPr fontId="9" type="noConversion"/>
  </si>
  <si>
    <t>[7:6]</t>
    <phoneticPr fontId="9" type="noConversion"/>
  </si>
  <si>
    <t>2'b01</t>
    <phoneticPr fontId="9" type="noConversion"/>
  </si>
  <si>
    <t>Write command</t>
    <phoneticPr fontId="9" type="noConversion"/>
  </si>
  <si>
    <t>INITBIDIR</t>
  </si>
  <si>
    <t>X</t>
  </si>
  <si>
    <t>2'b10</t>
    <phoneticPr fontId="9" type="noConversion"/>
  </si>
  <si>
    <t>Read command</t>
    <phoneticPr fontId="9" type="noConversion"/>
  </si>
  <si>
    <t>CLRERROR</t>
  </si>
  <si>
    <t>2'b11</t>
    <phoneticPr fontId="9" type="noConversion"/>
  </si>
  <si>
    <t>SR command</t>
    <phoneticPr fontId="9" type="noConversion"/>
  </si>
  <si>
    <t>GOSLEEP</t>
  </si>
  <si>
    <t>[5:0]</t>
    <phoneticPr fontId="9" type="noConversion"/>
  </si>
  <si>
    <t>Register Address</t>
    <phoneticPr fontId="9" type="noConversion"/>
  </si>
  <si>
    <t>GOACTIVE</t>
  </si>
  <si>
    <t>SET_SETUP1</t>
  </si>
  <si>
    <t>SET_SETUP2</t>
  </si>
  <si>
    <t>SET_MCAST</t>
  </si>
  <si>
    <t>SET_RGB</t>
  </si>
  <si>
    <t>SET_TEMPTH</t>
  </si>
  <si>
    <t>SET_TEMPHYS</t>
  </si>
  <si>
    <t>SET_CURR_MAX_LVL</t>
    <phoneticPr fontId="9" type="noConversion"/>
  </si>
  <si>
    <t>SET_TEMP_LUT_TC1</t>
  </si>
  <si>
    <t>SET_TEMP_LUT_TC2</t>
  </si>
  <si>
    <t>SET_TEMP_LUT_TC3</t>
  </si>
  <si>
    <t>SET_TEMP_LUT_TC4</t>
  </si>
  <si>
    <t>SET_TEMP_LUT_TC5</t>
  </si>
  <si>
    <t>SET_TEMP_LUT_TC6</t>
  </si>
  <si>
    <t>SET_TEMP_LUT_TC7</t>
  </si>
  <si>
    <t>SET_TEMP_LUT_TC8</t>
  </si>
  <si>
    <t>SET_TEMP_LUT_TC9</t>
  </si>
  <si>
    <t>O</t>
    <phoneticPr fontId="9" type="noConversion"/>
  </si>
  <si>
    <t>SET_TEMP_LUT_TC10</t>
  </si>
  <si>
    <t>SET_TIMEOUT</t>
    <phoneticPr fontId="9" type="noConversion"/>
  </si>
  <si>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</si>
  <si>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</si>
  <si>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</si>
  <si>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</si>
  <si>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</si>
  <si>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</si>
  <si>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</si>
  <si>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</si>
  <si>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</si>
  <si>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</si>
  <si>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</si>
  <si>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</si>
  <si>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</si>
  <si>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</si>
  <si>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READ_CURR_MAX_LVL</t>
    <phoneticPr fontId="9" type="noConversion"/>
  </si>
  <si>
    <t>READ_TEMP_LUT_TC1</t>
  </si>
  <si>
    <t>READ_TEMP_LUT_TC2</t>
  </si>
  <si>
    <t>READ_TEMP_LUT_TC3</t>
  </si>
  <si>
    <t>READ_TEMP_LUT_TC4</t>
  </si>
  <si>
    <t>READ_TEMP_LUT_TC5</t>
  </si>
  <si>
    <t>READ_TEMP_LUT_TC6</t>
  </si>
  <si>
    <t>READ_TEMP_LUT_TC7</t>
  </si>
  <si>
    <t>READ_TEMP_LUT_TC8</t>
  </si>
  <si>
    <t>READ_TEMP_LUT_TC9</t>
  </si>
  <si>
    <t>READ_TEMP_LUT_TC10</t>
  </si>
  <si>
    <t>READ_TIMEOUT</t>
    <phoneticPr fontId="9" type="noConversion"/>
  </si>
  <si>
    <t>Reset Source</t>
    <phoneticPr fontId="9" type="noConversion"/>
  </si>
  <si>
    <t xml:space="preserve">1. POR : digital input signal (porb) </t>
    <phoneticPr fontId="9" type="noConversion"/>
  </si>
  <si>
    <t>2. RESET : registers reset by RESET command</t>
    <phoneticPr fontId="9" type="noConversion"/>
  </si>
  <si>
    <t>Access</t>
    <phoneticPr fontId="9" type="noConversion"/>
  </si>
  <si>
    <t>1. RW : Read / Write access</t>
    <phoneticPr fontId="9" type="noConversion"/>
  </si>
  <si>
    <t>2. RO : Read Only access</t>
    <phoneticPr fontId="9" type="noConversion"/>
  </si>
  <si>
    <t>3. RC : Read Clear access</t>
    <phoneticPr fontId="9" type="noConversion"/>
  </si>
  <si>
    <t>Name</t>
    <phoneticPr fontId="9" type="noConversion"/>
  </si>
  <si>
    <t>Addr</t>
    <phoneticPr fontId="9" type="noConversion"/>
  </si>
  <si>
    <t>Bit 11</t>
    <phoneticPr fontId="9" type="noConversion"/>
  </si>
  <si>
    <t>Bit 10</t>
    <phoneticPr fontId="9" type="noConversion"/>
  </si>
  <si>
    <t>Bit 9</t>
    <phoneticPr fontId="9" type="noConversion"/>
  </si>
  <si>
    <t>Bit 8</t>
    <phoneticPr fontId="9" type="noConversion"/>
  </si>
  <si>
    <t>Bit 7</t>
    <phoneticPr fontId="9" type="noConversion"/>
  </si>
  <si>
    <t>Bit 6</t>
    <phoneticPr fontId="9" type="noConversion"/>
  </si>
  <si>
    <t>Bit 5</t>
    <phoneticPr fontId="9" type="noConversion"/>
  </si>
  <si>
    <t>Bit 4</t>
    <phoneticPr fontId="9" type="noConversion"/>
  </si>
  <si>
    <t>Bit 3</t>
    <phoneticPr fontId="9" type="noConversion"/>
  </si>
  <si>
    <t>Bit 2</t>
    <phoneticPr fontId="9" type="noConversion"/>
  </si>
  <si>
    <t>Bit 1</t>
    <phoneticPr fontId="9" type="noConversion"/>
  </si>
  <si>
    <t>Bit 0</t>
    <phoneticPr fontId="9" type="noConversion"/>
  </si>
  <si>
    <t>STATUS1</t>
    <phoneticPr fontId="9" type="noConversion"/>
  </si>
  <si>
    <t>Content</t>
    <phoneticPr fontId="9" type="noConversion"/>
  </si>
  <si>
    <t>Reset Value</t>
    <phoneticPr fontId="9" type="noConversion"/>
  </si>
  <si>
    <t>0x0</t>
    <phoneticPr fontId="9" type="noConversion"/>
  </si>
  <si>
    <t>POR, RESET</t>
    <phoneticPr fontId="9" type="noConversion"/>
  </si>
  <si>
    <t>RO</t>
    <phoneticPr fontId="9" type="noConversion"/>
  </si>
  <si>
    <t>Bit Description</t>
    <phoneticPr fontId="9"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</si>
  <si>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9" type="noConversion"/>
  </si>
  <si>
    <t>STATUS2</t>
    <phoneticPr fontId="9" type="noConversion"/>
  </si>
  <si>
    <t>RC</t>
    <phoneticPr fontId="9"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</si>
  <si>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 xml:space="preserve">(=0.25V) and the PWM output 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 xml:space="preserve">(configurable with SH_LVL) and the PWM output F28signal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
    </r>
    <r>
      <rPr>
        <sz val="8"/>
        <color rgb="FFFF0000"/>
        <rFont val="맑은 고딕"/>
        <family val="3"/>
        <charset val="129"/>
        <scheme val="minor"/>
      </rPr>
      <t xml:space="preserve">The TEMP update period is performed at a period of 31.25khz if the EVENT_CYC is set to 0, and 62,5khz if the EVENT_CYC is set to 1. However, if VEXT_MON_E is set to 1, the update duration will be repeated
every 36 EVENT_CYC cycles.
</t>
    </r>
    <r>
      <rPr>
        <sz val="8"/>
        <rFont val="맑은 고딕"/>
        <family val="3"/>
        <charset val="129"/>
        <scheme val="minor"/>
      </rPr>
      <t xml:space="preserve">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9" type="noConversion"/>
  </si>
  <si>
    <t>TEMP</t>
    <phoneticPr fontId="9" type="noConversion"/>
  </si>
  <si>
    <t>0x03</t>
    <phoneticPr fontId="9" type="noConversion"/>
  </si>
  <si>
    <t>0x000</t>
    <phoneticPr fontId="9" type="noConversion"/>
  </si>
  <si>
    <t>TEMPERATURE[9:0]: Temperature data</t>
    <phoneticPr fontId="9" type="noConversion"/>
  </si>
  <si>
    <t>VEXT_TM</t>
    <phoneticPr fontId="9" type="noConversion"/>
  </si>
  <si>
    <t>0x05</t>
    <phoneticPr fontId="9" type="noConversion"/>
  </si>
  <si>
    <t>VEXT_TM[9:0]: EXT_TM pin voltage.</t>
    <phoneticPr fontId="9" type="noConversion"/>
  </si>
  <si>
    <t>SETUP1</t>
    <phoneticPr fontId="9" type="noConversion"/>
  </si>
  <si>
    <t>0x06</t>
    <phoneticPr fontId="9" type="noConversion"/>
  </si>
  <si>
    <t>FPWM_DIV[3:0]</t>
    <phoneticPr fontId="9" type="noConversion"/>
  </si>
  <si>
    <t>(</t>
    <phoneticPr fontId="9" type="noConversion"/>
  </si>
  <si>
    <t>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1: G starts driving the sink-output at 0 degree, and then R, 90 degree and B, 270 degree, respectively.
LG_E:
0: Low Grayscale PWM disable.
1: Low Grayscale PWM enable.
If R/G/B each 8-bit data ＜ 0x4, the PWM frequency is FPWM/4, and if 0x3 &lt; data ＜ 0x8, the PWM frequency is FPWM/2
FPWM_DIV[3:0]: PWM Frequency divider. The PWM Frequency is activated in only active mode. FPWM = mclk / (F_PWM_DIV+1)</t>
    <phoneticPr fontId="9" type="noConversion"/>
  </si>
  <si>
    <t>SETUP2</t>
    <phoneticPr fontId="9" type="noConversion"/>
  </si>
  <si>
    <t>0x07</t>
    <phoneticPr fontId="9" type="noConversion"/>
  </si>
  <si>
    <t>0x3</t>
    <phoneticPr fontId="9" type="noConversion"/>
  </si>
  <si>
    <t>0x2</t>
    <phoneticPr fontId="9" type="noConversion"/>
  </si>
  <si>
    <r>
      <t xml:space="preserve">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 xml:space="preserve">EVENT_CYC:
This bit determines a period to detect fault events or </t>
    </r>
    <r>
      <rPr>
        <sz val="8"/>
        <color rgb="FFFF0000"/>
        <rFont val="맑은 고딕"/>
        <family val="3"/>
        <charset val="129"/>
        <scheme val="minor"/>
      </rPr>
      <t>ADC clock.</t>
    </r>
    <r>
      <rPr>
        <sz val="8"/>
        <rFont val="맑은 고딕"/>
        <family val="3"/>
        <charset val="129"/>
        <scheme val="minor"/>
      </rPr>
      <t xml:space="preserve">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9" type="noConversion"/>
  </si>
  <si>
    <t>Bit 23</t>
    <phoneticPr fontId="9" type="noConversion"/>
  </si>
  <si>
    <t>Bit 22</t>
    <phoneticPr fontId="9" type="noConversion"/>
  </si>
  <si>
    <t>Bit 21</t>
    <phoneticPr fontId="9" type="noConversion"/>
  </si>
  <si>
    <t>Bit 20</t>
    <phoneticPr fontId="9" type="noConversion"/>
  </si>
  <si>
    <t>Bit 19</t>
    <phoneticPr fontId="9" type="noConversion"/>
  </si>
  <si>
    <t>Bit 18</t>
    <phoneticPr fontId="9" type="noConversion"/>
  </si>
  <si>
    <t>Bit 17</t>
    <phoneticPr fontId="9" type="noConversion"/>
  </si>
  <si>
    <t>Bit 16</t>
    <phoneticPr fontId="9" type="noConversion"/>
  </si>
  <si>
    <t>Bit 15</t>
    <phoneticPr fontId="9" type="noConversion"/>
  </si>
  <si>
    <t>Bit 14</t>
    <phoneticPr fontId="9" type="noConversion"/>
  </si>
  <si>
    <t>Bit 13</t>
    <phoneticPr fontId="9" type="noConversion"/>
  </si>
  <si>
    <t>Bit 12</t>
    <phoneticPr fontId="9" type="noConversion"/>
  </si>
  <si>
    <t>MCAST</t>
    <phoneticPr fontId="9" type="noConversion"/>
  </si>
  <si>
    <t>RGB</t>
    <phoneticPr fontId="9" type="noConversion"/>
  </si>
  <si>
    <t>0x00</t>
    <phoneticPr fontId="9" type="noConversion"/>
  </si>
  <si>
    <t>R_DATA[7:0]/G_DATA[7:0]/B_DATA[7:0]: This data is converted into 12-bit PWM data toward a sink driver.
PWM data = (R/G/B_DATA x PWM_MAX_R/G/B + 128) &gt;&gt; 8</t>
    <phoneticPr fontId="9" type="noConversion"/>
  </si>
  <si>
    <t>TEMPTH</t>
    <phoneticPr fontId="9" type="noConversion"/>
  </si>
  <si>
    <t>0x0A</t>
    <phoneticPr fontId="9" type="noConversion"/>
  </si>
  <si>
    <t>TEMP_THRESHOLD[9:0]: Overtemperature fault detection threshold. 
The OT_FLT is raised automatically the temperature increases above this value.</t>
    <phoneticPr fontId="9" type="noConversion"/>
  </si>
  <si>
    <t>TEMPHYS</t>
    <phoneticPr fontId="9" type="noConversion"/>
  </si>
  <si>
    <t>0x0B</t>
    <phoneticPr fontId="9" type="noConversion"/>
  </si>
  <si>
    <t>TEMP_HYSTERISIS[9:0]: Overtemperature fault release threshold. 
The OT_FLT can be cleared only when the temperature is below this value.</t>
    <phoneticPr fontId="9" type="noConversion"/>
  </si>
  <si>
    <t>PWM_RED_VAL</t>
    <phoneticPr fontId="9" type="noConversion"/>
  </si>
  <si>
    <t>PWM_RED_VAL[11:0]: 12bit RED PWM calculated data value</t>
    <phoneticPr fontId="9" type="noConversion"/>
  </si>
  <si>
    <t>PWM_GREEN_VAL</t>
    <phoneticPr fontId="9" type="noConversion"/>
  </si>
  <si>
    <t>PWM_GREEN_VAL[11:0]: 12bit GREEN calculated data value</t>
    <phoneticPr fontId="9" type="noConversion"/>
  </si>
  <si>
    <t>PWM_BLUE_VAL</t>
    <phoneticPr fontId="9" type="noConversion"/>
  </si>
  <si>
    <t>PWM_BLUE_VAL[11:0]: 12bit BLUE PWM calculated data value</t>
    <phoneticPr fontId="9" type="noConversion"/>
  </si>
  <si>
    <t>CURR_MAX_LVL</t>
    <phoneticPr fontId="9" type="noConversion"/>
  </si>
  <si>
    <t>0x0F</t>
    <phoneticPr fontId="9" type="noConversion"/>
  </si>
  <si>
    <t>0x8</t>
    <phoneticPr fontId="9" type="noConversion"/>
  </si>
  <si>
    <t>This determines the max current value of the output sink driver.
4'b0000:  1.44mA
4'b0001:  2.87mA
4'b0010:  4.31mA
4'b0011:  5.75mA
4'b0100:  7.18mA
4'b0101:  8.62mA
4'b0110: 10.05mA
4'b0111: 10.48mA
4'b1000: 12.92mA
4'b1001: 14.35mA 
4'b1010: 15.78mA
4'b1011: 17.21mA
4'b1100: 18.65mA
4'b1101: 20.08mA
4'b1110: 21.51mA
4'b1111: 22.94mA</t>
    <phoneticPr fontId="9" type="noConversion"/>
  </si>
  <si>
    <t>TEMP_LUT_TC1</t>
    <phoneticPr fontId="9" type="noConversion"/>
  </si>
  <si>
    <t>0x10</t>
    <phoneticPr fontId="9" type="noConversion"/>
  </si>
  <si>
    <t>TEMP_LUT_TC1 [9:0]</t>
    <phoneticPr fontId="9" type="noConversion"/>
  </si>
  <si>
    <t>0x200</t>
    <phoneticPr fontId="9" type="noConversion"/>
  </si>
  <si>
    <t>TEMP_LUT_TC1[9:0]: when the TEMPERATURE is from TC_BASE to TC_OFFSET, TEMP_LUT_TC1[9:0] is applied during TC equation</t>
    <phoneticPr fontId="9" type="noConversion"/>
  </si>
  <si>
    <t>TEMP_LUT_TC2</t>
    <phoneticPr fontId="9" type="noConversion"/>
  </si>
  <si>
    <t>0x11</t>
    <phoneticPr fontId="9" type="noConversion"/>
  </si>
  <si>
    <t>TEMP_LUT_TC2 [9:0]</t>
    <phoneticPr fontId="9" type="noConversion"/>
  </si>
  <si>
    <t>TEMP_LUT_TC2[9:0]: when the TEMPERATURE is in the range of (TC_BASE+TC_OFFSET*1+1) to TC_OFFSET, TEMP_LUT_TC2[9:0] is applied during TC equation</t>
    <phoneticPr fontId="9" type="noConversion"/>
  </si>
  <si>
    <t>TEMP_LUT_TC3</t>
    <phoneticPr fontId="9" type="noConversion"/>
  </si>
  <si>
    <t>0x12</t>
    <phoneticPr fontId="9" type="noConversion"/>
  </si>
  <si>
    <t>TEMP_LUT_TC3 [9:0]</t>
    <phoneticPr fontId="9" type="noConversion"/>
  </si>
  <si>
    <t>0x21A</t>
    <phoneticPr fontId="9" type="noConversion"/>
  </si>
  <si>
    <t>TEMP_LUT_TC3[9:0]: when the TEMPERATURE is in the range of (TC_BASE+TC_OFFSET*2+2) to TC_OFFSET, TEMP_LUT_TC3[9:0] is applied during TC equation</t>
    <phoneticPr fontId="9" type="noConversion"/>
  </si>
  <si>
    <t>TEMP_LUT_TC4</t>
    <phoneticPr fontId="9" type="noConversion"/>
  </si>
  <si>
    <t>0x13</t>
    <phoneticPr fontId="9" type="noConversion"/>
  </si>
  <si>
    <t>TEMP_LUT_TC4 [9:0]</t>
    <phoneticPr fontId="9" type="noConversion"/>
  </si>
  <si>
    <t>0x231</t>
    <phoneticPr fontId="9" type="noConversion"/>
  </si>
  <si>
    <t>TEMP_LUT_TC4[9:0]: when the TEMPERATURE is in the range of (TC_BASE+TC_OFFSET*3+3) to TC_OFFSET, TEMP_LUT_TC4[9:0] is applied during TC equation</t>
    <phoneticPr fontId="9" type="noConversion"/>
  </si>
  <si>
    <t>TEMP_LUT_TC5</t>
    <phoneticPr fontId="9" type="noConversion"/>
  </si>
  <si>
    <t>0x14</t>
    <phoneticPr fontId="9" type="noConversion"/>
  </si>
  <si>
    <t>TEMP_LUT_TC5 [9:0]</t>
    <phoneticPr fontId="9" type="noConversion"/>
  </si>
  <si>
    <t>0x248</t>
    <phoneticPr fontId="9" type="noConversion"/>
  </si>
  <si>
    <t>TEMP_LUT_TC5[9:0]: when the TEMPERATURE is in the range of (TC_BASE+TC_OFFSET*4+4) to TC_OFFSET, TEMP_LUT_TC5[9:0] is applied during TC equation</t>
    <phoneticPr fontId="9" type="noConversion"/>
  </si>
  <si>
    <t>TEMP_LUT_TC6</t>
    <phoneticPr fontId="9" type="noConversion"/>
  </si>
  <si>
    <t>0x15</t>
    <phoneticPr fontId="9" type="noConversion"/>
  </si>
  <si>
    <t>TEMP_LUT_TC6 [9:0]</t>
    <phoneticPr fontId="9" type="noConversion"/>
  </si>
  <si>
    <t>0x25F</t>
    <phoneticPr fontId="9" type="noConversion"/>
  </si>
  <si>
    <t>TEMP_LUT_TC6[9:0]: when the TEMPERATURE is in the range of (TC_BASE+TC_OFFSET*5+5) to TC_OFFSET, TEMP_LUT_TC6[9:0] is applied during TC equation</t>
    <phoneticPr fontId="9" type="noConversion"/>
  </si>
  <si>
    <t>TEMP_LUT_TC7</t>
    <phoneticPr fontId="9" type="noConversion"/>
  </si>
  <si>
    <t>0x16</t>
    <phoneticPr fontId="9" type="noConversion"/>
  </si>
  <si>
    <t>TEMP_LUT_TC7 [9:0]</t>
    <phoneticPr fontId="9" type="noConversion"/>
  </si>
  <si>
    <t>0x276</t>
    <phoneticPr fontId="9" type="noConversion"/>
  </si>
  <si>
    <t>TEMP_LUT_TC7[9:0]: when the TEMPERATURE is in the range of (TC_BASE+TC_OFFSET*6+6) to TC_OFFSET, TEMP_LUT_TC7[9:0] is applied during TC equation</t>
    <phoneticPr fontId="9" type="noConversion"/>
  </si>
  <si>
    <t>TEMP_LUT_TC8</t>
    <phoneticPr fontId="9" type="noConversion"/>
  </si>
  <si>
    <t>0x17</t>
    <phoneticPr fontId="9" type="noConversion"/>
  </si>
  <si>
    <t>TEMP_LUT_TC8 [9:0]</t>
    <phoneticPr fontId="9" type="noConversion"/>
  </si>
  <si>
    <t>0x28D</t>
    <phoneticPr fontId="9" type="noConversion"/>
  </si>
  <si>
    <t>TEMP_LUT_TC8[9:0]: when the TEMPERATURE is in the range of (TC_BASE+TC_OFFSET*7+7) to TC_OFFSET, TEMP_LUT_TC8[9:0] is applied during TC equation</t>
    <phoneticPr fontId="9" type="noConversion"/>
  </si>
  <si>
    <t>TEMP_LUT_TC9</t>
    <phoneticPr fontId="9" type="noConversion"/>
  </si>
  <si>
    <t>0x18</t>
    <phoneticPr fontId="9" type="noConversion"/>
  </si>
  <si>
    <t>TEMP_LUT_TC9 [9:0]</t>
    <phoneticPr fontId="9" type="noConversion"/>
  </si>
  <si>
    <t>0x2A4</t>
    <phoneticPr fontId="9" type="noConversion"/>
  </si>
  <si>
    <t>TEMP_LUT_TC9[9:0]: when the TEMPERATURE is in the range of (TC_BASE+TC_OFFSET*8+8) to TC_OFFSET, TEMP_LUT_TC9[9:0] is applied during TC equation</t>
    <phoneticPr fontId="9" type="noConversion"/>
  </si>
  <si>
    <t>TEMP_LUT_TC10</t>
    <phoneticPr fontId="9" type="noConversion"/>
  </si>
  <si>
    <t>0x19</t>
    <phoneticPr fontId="9" type="noConversion"/>
  </si>
  <si>
    <t>TEMP_LUT_TC10 [9:0]</t>
    <phoneticPr fontId="9" type="noConversion"/>
  </si>
  <si>
    <t>0x2BB</t>
    <phoneticPr fontId="9" type="noConversion"/>
  </si>
  <si>
    <t>TEMP_LUT_TC10[9:0]: when the TEMPERATURE is in the range of (TC_BASE+TC_OFFSET*9+9) to TC_OFFSET, TEMP_LUT_TC10[9:0] is applied during TC equation</t>
    <phoneticPr fontId="9" type="noConversion"/>
  </si>
  <si>
    <t>TIMEOUT</t>
    <phoneticPr fontId="9" type="noConversion"/>
  </si>
  <si>
    <t>0x1A</t>
    <phoneticPr fontId="9" type="noConversion"/>
  </si>
  <si>
    <t>TIMEOUT [11:0]</t>
    <phoneticPr fontId="9" type="noConversion"/>
  </si>
  <si>
    <t>0x800</t>
    <phoneticPr fontId="9" type="noConversion"/>
  </si>
  <si>
    <t>ref clk = mclk * 2^10</t>
    <phoneticPr fontId="9"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</si>
  <si>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9" type="noConversion"/>
  </si>
  <si>
    <t>OTP_CONTROL1</t>
    <phoneticPr fontId="9" type="noConversion"/>
  </si>
  <si>
    <t>0xE1</t>
    <phoneticPr fontId="9" type="noConversion"/>
  </si>
  <si>
    <t>OTP_WSEL[3:0]</t>
    <phoneticPr fontId="9" type="noConversion"/>
  </si>
  <si>
    <t>OTP_PG_ACC_CYCLE[15:12]</t>
    <phoneticPr fontId="9" type="noConversion"/>
  </si>
  <si>
    <t>0x4</t>
    <phoneticPr fontId="9" type="noConversion"/>
  </si>
  <si>
    <t>OTP_PG2:
This is used to start programming the OTP 128bits on Packaging stage for trimming.
OTP_PG1:
This is used to start programming the OTP 64bits on Fab wafer stage for trimming.
T_ANA_E: Test Mux Enable</t>
    <phoneticPr fontId="9" type="noConversion"/>
  </si>
  <si>
    <t>OTP_CONTROL2</t>
    <phoneticPr fontId="9" type="noConversion"/>
  </si>
  <si>
    <t>0xE2</t>
    <phoneticPr fontId="9" type="noConversion"/>
  </si>
  <si>
    <t>OTP_PG_ACC_CYCLE[11:0]</t>
    <phoneticPr fontId="9" type="noConversion"/>
  </si>
  <si>
    <t>0x140</t>
    <phoneticPr fontId="9" type="noConversion"/>
  </si>
  <si>
    <t>OTP_CONTROL3</t>
    <phoneticPr fontId="9" type="noConversion"/>
  </si>
  <si>
    <t>0xE3</t>
    <phoneticPr fontId="9" type="noConversion"/>
  </si>
  <si>
    <t>PROTECT[11:0]</t>
    <phoneticPr fontId="9" type="noConversion"/>
  </si>
  <si>
    <t>0x5A5</t>
    <phoneticPr fontId="9" type="noConversion"/>
  </si>
  <si>
    <t>The 0x5A5 is intended to protect all access to OTP mirror registers.
The 0xA5A is intended to give access to OTP mirror registers.
it is needed to set to 0xA5A in order to read, write and program the OTP.</t>
    <phoneticPr fontId="9" type="noConversion"/>
  </si>
  <si>
    <t>for wafer stage</t>
    <phoneticPr fontId="9" type="noConversion"/>
  </si>
  <si>
    <t>OTP_MIRROR1</t>
    <phoneticPr fontId="9" type="noConversion"/>
  </si>
  <si>
    <t>0xE4</t>
    <phoneticPr fontId="9" type="noConversion"/>
  </si>
  <si>
    <t>This is for trimming at Fab wafer stage.</t>
    <phoneticPr fontId="9" type="noConversion"/>
  </si>
  <si>
    <t>OTP_MIRROR2</t>
    <phoneticPr fontId="9" type="noConversion"/>
  </si>
  <si>
    <t>0xE5</t>
    <phoneticPr fontId="9" type="noConversion"/>
  </si>
  <si>
    <t>OTP_MIRROR3</t>
    <phoneticPr fontId="9" type="noConversion"/>
  </si>
  <si>
    <t>0xE6</t>
    <phoneticPr fontId="9" type="noConversion"/>
  </si>
  <si>
    <t>0x0</t>
  </si>
  <si>
    <t>0x208</t>
    <phoneticPr fontId="9" type="noConversion"/>
  </si>
  <si>
    <t>OTP_MIRROR4</t>
    <phoneticPr fontId="9" type="noConversion"/>
  </si>
  <si>
    <t>0xE7</t>
    <phoneticPr fontId="9" type="noConversion"/>
  </si>
  <si>
    <t>0x008</t>
    <phoneticPr fontId="9" type="noConversion"/>
  </si>
  <si>
    <t>OTP_MIRROR5</t>
    <phoneticPr fontId="9" type="noConversion"/>
  </si>
  <si>
    <t>0xE8</t>
    <phoneticPr fontId="9" type="noConversion"/>
  </si>
  <si>
    <t>OTP_MIRROR6</t>
    <phoneticPr fontId="9" type="noConversion"/>
  </si>
  <si>
    <t>0xE9</t>
    <phoneticPr fontId="9" type="noConversion"/>
  </si>
  <si>
    <t>OTP_MIRROR7</t>
    <phoneticPr fontId="9" type="noConversion"/>
  </si>
  <si>
    <t>OTP_MIRROR8</t>
    <phoneticPr fontId="9" type="noConversion"/>
  </si>
  <si>
    <t>0x010</t>
    <phoneticPr fontId="9" type="noConversion"/>
  </si>
  <si>
    <t>OTP_MIRROR9</t>
    <phoneticPr fontId="9" type="noConversion"/>
  </si>
  <si>
    <t>0x080</t>
    <phoneticPr fontId="9" type="noConversion"/>
  </si>
  <si>
    <t>To make room for TC compensation, the max value of PWM_MAX_R can not exceed about 2,900 (= 4095 * 40%) 
This is for trimming at Packaging stage.</t>
    <phoneticPr fontId="9" type="noConversion"/>
  </si>
  <si>
    <t>OTP_MIRROR10</t>
    <phoneticPr fontId="9" type="noConversion"/>
  </si>
  <si>
    <t>This is for trimming at Packaging stage.</t>
    <phoneticPr fontId="9" type="noConversion"/>
  </si>
  <si>
    <t>OTP_MIRROR11</t>
    <phoneticPr fontId="9" type="noConversion"/>
  </si>
  <si>
    <t>OTP_MIRROR12</t>
    <phoneticPr fontId="9" type="noConversion"/>
  </si>
  <si>
    <t>na</t>
  </si>
  <si>
    <t>OTP_MIRROR13</t>
    <phoneticPr fontId="9" type="noConversion"/>
  </si>
  <si>
    <t>for package</t>
    <phoneticPr fontId="9" type="noConversion"/>
  </si>
  <si>
    <t>OTP_MIRROR14</t>
    <phoneticPr fontId="9" type="noConversion"/>
  </si>
  <si>
    <t>OTP_MIRROR15</t>
    <phoneticPr fontId="9" type="noConversion"/>
  </si>
  <si>
    <t>0xF2</t>
    <phoneticPr fontId="9" type="noConversion"/>
  </si>
  <si>
    <t>OTP_MIRROR16</t>
    <phoneticPr fontId="9" type="noConversion"/>
  </si>
  <si>
    <t>0xF3</t>
    <phoneticPr fontId="9" type="noConversion"/>
  </si>
  <si>
    <t>OTP_MIRROR17</t>
    <phoneticPr fontId="9" type="noConversion"/>
  </si>
  <si>
    <t>0xF4</t>
    <phoneticPr fontId="9" type="noConversion"/>
  </si>
  <si>
    <t>OTP_MIRROR18</t>
    <phoneticPr fontId="9" type="noConversion"/>
  </si>
  <si>
    <t>OTP_MIRROR19</t>
    <phoneticPr fontId="9" type="noConversion"/>
  </si>
  <si>
    <t>Read</t>
    <phoneticPr fontId="4" type="noConversion"/>
  </si>
  <si>
    <t>Write</t>
    <phoneticPr fontId="4" type="noConversion"/>
  </si>
  <si>
    <t>0x41</t>
  </si>
  <si>
    <t>0x42</t>
  </si>
  <si>
    <t>0x43</t>
  </si>
  <si>
    <t>0x45</t>
  </si>
  <si>
    <t>0x46</t>
  </si>
  <si>
    <t>0x47</t>
  </si>
  <si>
    <t>0x48</t>
  </si>
  <si>
    <t>0x60</t>
  </si>
  <si>
    <t>0x4A</t>
  </si>
  <si>
    <t>0x4B</t>
  </si>
  <si>
    <t>0x4C</t>
  </si>
  <si>
    <t>0x4D</t>
  </si>
  <si>
    <t>0x4E</t>
  </si>
  <si>
    <t>0x4F</t>
  </si>
  <si>
    <t>0x50</t>
  </si>
  <si>
    <t>0x51</t>
  </si>
  <si>
    <t>0x52</t>
  </si>
  <si>
    <t>0x53</t>
  </si>
  <si>
    <t>0x54</t>
  </si>
  <si>
    <t>0x55</t>
  </si>
  <si>
    <t>0x56</t>
  </si>
  <si>
    <t>0x57</t>
  </si>
  <si>
    <t>0x58</t>
  </si>
  <si>
    <t>0x59</t>
  </si>
  <si>
    <t>0x5A</t>
  </si>
  <si>
    <t>0x86</t>
  </si>
  <si>
    <t>0x87</t>
  </si>
  <si>
    <t>0x88</t>
  </si>
  <si>
    <t>0xA0</t>
  </si>
  <si>
    <t>0x8A</t>
  </si>
  <si>
    <t>0x8B</t>
  </si>
  <si>
    <t>0x8F</t>
  </si>
  <si>
    <t>0x90</t>
  </si>
  <si>
    <t>0x91</t>
  </si>
  <si>
    <t>0x92</t>
  </si>
  <si>
    <t>0x93</t>
  </si>
  <si>
    <t>0x94</t>
  </si>
  <si>
    <t>0x95</t>
  </si>
  <si>
    <t>0x96</t>
  </si>
  <si>
    <t>0x97</t>
  </si>
  <si>
    <t>0x98</t>
  </si>
  <si>
    <t>0x99</t>
  </si>
  <si>
    <t>0x9A</t>
  </si>
  <si>
    <t>Dec</t>
    <phoneticPr fontId="4"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</si>
  <si>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(4079)
[1] = 1 : Multicast group address 0xFF0 (4080)
〮〮〮
[15] = 1 : Multicast group address 0xFFE (4094)
12bits device addr
0x000 → broad-cast addr
0x001~0xFEE → individual node addr
0xFEF~0xFFE → multi-cast addr
0xFFF → default addr</t>
    <phoneticPr fontId="9" type="noConversion"/>
  </si>
  <si>
    <t>G_DATA[3:0]</t>
    <phoneticPr fontId="9" type="noConversion"/>
  </si>
  <si>
    <t>TMUX_SEL [3:0]</t>
    <phoneticPr fontId="9" type="noConversion"/>
  </si>
  <si>
    <t>GODEEPSLEEP</t>
    <phoneticPr fontId="4" type="noConversion"/>
  </si>
  <si>
    <t>O</t>
    <phoneticPr fontId="4" type="noConversion"/>
  </si>
  <si>
    <t>X</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</si>
</sst>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9"/>
      <color theme="0"/>
      <name val="Arial"/>
      <family val="2"/>
    </font>
    <font>
      <sz val="8"/>
      <color theme="1"/>
      <name val="Arial"/>
      <family val="2"/>
    </font>
    <font>
      <sz val="9"/>
      <name val="Arial"/>
      <family val="2"/>
    </font>
    <font>
      <sz val="9"/>
      <color theme="0"/>
      <name val="맑은 고딕"/>
      <family val="3"/>
      <charset val="129"/>
      <scheme val="minor"/>
    </font>
    <font>
      <sz val="8"/>
      <name val="맑은 고딕"/>
      <family val="2"/>
      <charset val="129"/>
      <scheme val="minor"/>
    </font>
    <font>
      <sz val="11"/>
      <name val="맑은 고딕"/>
      <family val="3"/>
      <charset val="129"/>
      <scheme val="minor"/>
    </font>
    <font>
      <b/>
      <sz val="8"/>
      <name val="맑은 고딕"/>
      <family val="3"/>
      <charset val="129"/>
      <scheme val="minor"/>
    </font>
    <font>
      <vertAlign val="subscript"/>
      <sz val="8"/>
      <name val="맑은 고딕"/>
      <family val="3"/>
      <charset val="129"/>
      <scheme val="minor"/>
    </font>
    <font>
      <sz val="8"/>
      <name val="맑은 고딕"/>
      <family val="3"/>
      <charset val="129"/>
    </font>
    <font>
      <sz val="8"/>
      <color rgb="FFFF0000"/>
      <name val="맑은 고딕"/>
      <family val="3"/>
      <charset val="129"/>
      <scheme val="minor"/>
    </font>
    <font>
      <sz val="9.6"/>
      <name val="맑은 고딕"/>
      <family val="3"/>
      <charset val="129"/>
    </font>
    <font>
      <strike/>
      <sz val="8"/>
      <name val="맑은 고딕"/>
      <family val="3"/>
      <charset val="129"/>
      <scheme val="minor"/>
    </font>
    <font>
      <sz val="11"/>
      <name val="맑은 고딕"/>
      <family val="2"/>
      <charset val="129"/>
      <scheme val="minor"/>
    </font>
    <font>
      <sz val="8"/>
      <name val="Arial"/>
      <family val="2"/>
    </font>
    <font>
      <b/>
      <sz val="8"/>
      <name val="Arial"/>
      <family val="2"/>
    </font>
    <font>
      <sz val="8"/>
      <color rgb="FFFF00FF"/>
      <name val="Arial"/>
      <family val="2"/>
    </font>
  </fonts>
  <fills count="12">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
      <patternFill patternType="solid">
        <fgColor rgb="FF66FF9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6">
    <xf numFmtId="0" fontId="0" fillId="0" borderId="0"/>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9" fontId="1" fillId="0" borderId="0" applyFont="0" applyFill="0" applyBorder="0" applyAlignment="0" applyProtection="0">
      <alignment vertical="center"/>
    </xf>
  </cellStyleXfs>
  <cellXfs count="129">
    <xf numFmtId="0" fontId="0" fillId="0" borderId="0" xfId="0"/>
    <xf numFmtId="0" fontId="5" fillId="2" borderId="1" xfId="1" applyFont="1" applyFill="1" applyBorder="1" applyAlignment="1">
      <alignment horizontal="center" vertical="center"/>
    </xf>
    <xf numFmtId="0" fontId="5" fillId="2" borderId="1" xfId="1" applyFont="1" applyFill="1" applyBorder="1" applyAlignment="1">
      <alignment horizontal="center" vertical="center" wrapText="1"/>
    </xf>
    <xf numFmtId="0" fontId="7" fillId="0" borderId="0" xfId="1" applyFont="1">
      <alignment vertical="center"/>
    </xf>
    <xf numFmtId="0" fontId="7" fillId="0" borderId="1" xfId="1" applyFont="1" applyBorder="1" applyAlignment="1">
      <alignment horizontal="center" vertical="center"/>
    </xf>
    <xf numFmtId="0" fontId="7" fillId="3" borderId="1" xfId="1" applyFont="1" applyFill="1" applyBorder="1" applyAlignment="1">
      <alignment horizontal="center" vertical="center"/>
    </xf>
    <xf numFmtId="0" fontId="7" fillId="3" borderId="1" xfId="1" applyFont="1" applyFill="1" applyBorder="1" applyAlignment="1">
      <alignment horizontal="center" vertical="center" wrapText="1"/>
    </xf>
    <xf numFmtId="0" fontId="7" fillId="0" borderId="1" xfId="1" applyFont="1" applyBorder="1" applyAlignment="1">
      <alignment horizontal="center" vertical="center" wrapText="1"/>
    </xf>
    <xf numFmtId="0" fontId="7" fillId="4" borderId="1" xfId="1" quotePrefix="1" applyFont="1" applyFill="1" applyBorder="1" applyAlignment="1">
      <alignment horizontal="center" vertical="center"/>
    </xf>
    <xf numFmtId="0" fontId="7" fillId="0" borderId="1" xfId="1" quotePrefix="1" applyFont="1" applyBorder="1" applyAlignment="1">
      <alignment horizontal="center" vertical="center"/>
    </xf>
    <xf numFmtId="0" fontId="7" fillId="2" borderId="1" xfId="1" applyFont="1" applyFill="1" applyBorder="1" applyAlignment="1">
      <alignment horizontal="center" vertical="center"/>
    </xf>
    <xf numFmtId="0" fontId="7" fillId="0" borderId="0" xfId="1" applyFont="1" applyAlignment="1">
      <alignment horizontal="center" vertical="center"/>
    </xf>
    <xf numFmtId="0" fontId="5" fillId="2" borderId="0" xfId="1" applyFont="1" applyFill="1" applyAlignment="1">
      <alignment horizontal="center" vertical="center"/>
    </xf>
    <xf numFmtId="0" fontId="5" fillId="2" borderId="0" xfId="1" applyFont="1" applyFill="1" applyAlignment="1">
      <alignment horizontal="center" vertical="center" wrapText="1"/>
    </xf>
    <xf numFmtId="0" fontId="7" fillId="0" borderId="0" xfId="1" applyFont="1" applyAlignment="1">
      <alignment horizontal="left" vertical="center"/>
    </xf>
    <xf numFmtId="0" fontId="7" fillId="5" borderId="1" xfId="1" applyFont="1" applyFill="1" applyBorder="1" applyAlignment="1">
      <alignment horizontal="center" vertical="center" wrapText="1"/>
    </xf>
    <xf numFmtId="0" fontId="7" fillId="3" borderId="1" xfId="2" applyFont="1" applyFill="1" applyBorder="1" applyAlignment="1">
      <alignment horizontal="center" vertical="center" wrapText="1"/>
    </xf>
    <xf numFmtId="0" fontId="7" fillId="0" borderId="0" xfId="2" applyFont="1">
      <alignment vertical="center"/>
    </xf>
    <xf numFmtId="0" fontId="7" fillId="0" borderId="1" xfId="2" applyFont="1" applyBorder="1">
      <alignment vertical="center"/>
    </xf>
    <xf numFmtId="0" fontId="7" fillId="7" borderId="1" xfId="2" applyFont="1" applyFill="1" applyBorder="1" applyAlignment="1">
      <alignment horizontal="center" vertical="center" wrapText="1"/>
    </xf>
    <xf numFmtId="0" fontId="7" fillId="0" borderId="1" xfId="2" applyFont="1" applyBorder="1" applyAlignment="1">
      <alignment horizontal="center" vertical="center" wrapText="1"/>
    </xf>
    <xf numFmtId="0" fontId="7" fillId="8" borderId="1" xfId="2" applyFont="1" applyFill="1" applyBorder="1" applyAlignment="1">
      <alignment horizontal="center" vertical="center"/>
    </xf>
    <xf numFmtId="0" fontId="7" fillId="8" borderId="1" xfId="2" quotePrefix="1" applyFont="1" applyFill="1" applyBorder="1" applyAlignment="1">
      <alignment horizontal="center" vertical="center" wrapText="1"/>
    </xf>
    <xf numFmtId="0" fontId="7" fillId="0" borderId="1" xfId="2" applyFont="1" applyBorder="1" applyAlignment="1">
      <alignment horizontal="center" vertical="center"/>
    </xf>
    <xf numFmtId="0" fontId="7" fillId="0" borderId="0" xfId="2" applyFont="1" applyAlignment="1">
      <alignment horizontal="center" vertical="center" wrapText="1"/>
    </xf>
    <xf numFmtId="0" fontId="7" fillId="0" borderId="0" xfId="2" applyFont="1" applyAlignment="1">
      <alignment horizontal="center" vertical="center"/>
    </xf>
    <xf numFmtId="0" fontId="10" fillId="0" borderId="0" xfId="2" applyFont="1" applyAlignment="1">
      <alignment vertical="center" wrapText="1"/>
    </xf>
    <xf numFmtId="0" fontId="4" fillId="0" borderId="0" xfId="2" applyFont="1" applyAlignment="1">
      <alignment horizontal="left" vertical="center" wrapText="1"/>
    </xf>
    <xf numFmtId="0" fontId="4" fillId="9" borderId="1" xfId="2" applyFont="1" applyFill="1" applyBorder="1" applyAlignment="1">
      <alignment vertical="center" wrapText="1"/>
    </xf>
    <xf numFmtId="0" fontId="4" fillId="3" borderId="1" xfId="2" applyFont="1" applyFill="1" applyBorder="1" applyAlignment="1">
      <alignment vertical="center" wrapText="1"/>
    </xf>
    <xf numFmtId="0" fontId="4" fillId="0" borderId="1" xfId="2" applyFont="1" applyBorder="1" applyAlignment="1">
      <alignment vertical="center" wrapText="1"/>
    </xf>
    <xf numFmtId="0" fontId="4" fillId="10" borderId="1" xfId="2" applyFont="1" applyFill="1" applyBorder="1" applyAlignment="1">
      <alignment horizontal="center" vertical="center" wrapText="1"/>
    </xf>
    <xf numFmtId="0" fontId="4" fillId="0" borderId="1" xfId="2" applyFont="1" applyBorder="1" applyAlignment="1">
      <alignment horizontal="center" vertical="center" wrapText="1"/>
    </xf>
    <xf numFmtId="0" fontId="4" fillId="3" borderId="7" xfId="2" applyFont="1" applyFill="1" applyBorder="1" applyAlignment="1">
      <alignment vertical="center" wrapText="1"/>
    </xf>
    <xf numFmtId="0" fontId="4" fillId="0" borderId="0" xfId="2" applyFont="1" applyAlignment="1">
      <alignment vertical="center" wrapText="1"/>
    </xf>
    <xf numFmtId="0" fontId="17" fillId="0" borderId="0" xfId="2" applyFont="1" applyAlignment="1">
      <alignment horizontal="center" vertical="center" wrapText="1"/>
    </xf>
    <xf numFmtId="0" fontId="17" fillId="0" borderId="0" xfId="2" applyFont="1" applyAlignment="1">
      <alignment vertical="center" wrapText="1"/>
    </xf>
    <xf numFmtId="0" fontId="18" fillId="0" borderId="0" xfId="2" applyFont="1" applyAlignment="1">
      <alignment vertical="center" wrapText="1"/>
    </xf>
    <xf numFmtId="0" fontId="18" fillId="0" borderId="0" xfId="2" applyFont="1" applyAlignment="1">
      <alignment horizontal="left" vertical="center" wrapText="1"/>
    </xf>
    <xf numFmtId="0" fontId="4" fillId="9" borderId="1" xfId="2" applyFont="1" applyFill="1" applyBorder="1" applyAlignment="1">
      <alignment horizontal="center" vertical="center" wrapText="1"/>
    </xf>
    <xf numFmtId="0" fontId="18" fillId="3" borderId="1" xfId="2" applyFont="1" applyFill="1" applyBorder="1" applyAlignment="1">
      <alignment vertical="center" wrapText="1"/>
    </xf>
    <xf numFmtId="0" fontId="18" fillId="3" borderId="1" xfId="2" applyFont="1" applyFill="1" applyBorder="1" applyAlignment="1">
      <alignment horizontal="center" vertical="center" wrapText="1"/>
    </xf>
    <xf numFmtId="0" fontId="18" fillId="0" borderId="1" xfId="2" applyFont="1" applyBorder="1" applyAlignment="1">
      <alignment horizontal="center" vertical="center" wrapText="1"/>
    </xf>
    <xf numFmtId="0" fontId="18" fillId="0" borderId="2" xfId="2" applyFont="1" applyBorder="1" applyAlignment="1">
      <alignment horizontal="center" vertical="center" wrapText="1"/>
    </xf>
    <xf numFmtId="0" fontId="18" fillId="0" borderId="3" xfId="2" applyFont="1" applyBorder="1" applyAlignment="1">
      <alignment horizontal="center" vertical="center" wrapText="1"/>
    </xf>
    <xf numFmtId="0" fontId="18" fillId="0" borderId="4" xfId="2" applyFont="1" applyBorder="1" applyAlignment="1">
      <alignment horizontal="center" vertical="center" wrapText="1"/>
    </xf>
    <xf numFmtId="0" fontId="9" fillId="11" borderId="0" xfId="2" applyFont="1" applyFill="1" applyAlignment="1">
      <alignment horizontal="left" vertical="center" wrapText="1"/>
    </xf>
    <xf numFmtId="0" fontId="17" fillId="11" borderId="0" xfId="2" applyFont="1" applyFill="1" applyAlignment="1">
      <alignment horizontal="center" vertical="center" wrapText="1"/>
    </xf>
    <xf numFmtId="0" fontId="17" fillId="11" borderId="0" xfId="2" applyFont="1" applyFill="1" applyAlignment="1">
      <alignment vertical="center" wrapText="1"/>
    </xf>
    <xf numFmtId="0" fontId="18" fillId="11" borderId="0" xfId="2" applyFont="1" applyFill="1" applyAlignment="1">
      <alignment vertical="center" wrapText="1"/>
    </xf>
    <xf numFmtId="0" fontId="18" fillId="11" borderId="0" xfId="2" applyFont="1" applyFill="1" applyAlignment="1">
      <alignment horizontal="left" vertical="center" wrapText="1"/>
    </xf>
    <xf numFmtId="0" fontId="7" fillId="5" borderId="1" xfId="2" applyFont="1" applyFill="1" applyBorder="1" applyAlignment="1">
      <alignment horizontal="center" vertical="center" wrapText="1"/>
    </xf>
    <xf numFmtId="0" fontId="18" fillId="0" borderId="0" xfId="2" applyFont="1" applyAlignment="1">
      <alignment horizontal="center" vertical="center" wrapText="1"/>
    </xf>
    <xf numFmtId="0" fontId="18" fillId="0" borderId="2" xfId="2" applyFont="1" applyBorder="1" applyAlignment="1">
      <alignment vertical="center" wrapText="1"/>
    </xf>
    <xf numFmtId="0" fontId="18" fillId="0" borderId="3" xfId="2" applyFont="1" applyBorder="1" applyAlignment="1">
      <alignment vertical="center" wrapText="1"/>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7" fillId="6" borderId="1" xfId="1" applyFont="1" applyFill="1" applyBorder="1" applyAlignment="1">
      <alignment horizontal="center" vertical="center"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7" fillId="0" borderId="1" xfId="2" applyFont="1" applyBorder="1" applyAlignment="1">
      <alignment horizontal="left" vertical="center"/>
    </xf>
    <xf numFmtId="0" fontId="7" fillId="0" borderId="6" xfId="1" applyFont="1" applyBorder="1" applyAlignment="1">
      <alignment horizontal="center" vertical="center"/>
    </xf>
    <xf numFmtId="0" fontId="7" fillId="0" borderId="7" xfId="1" applyFont="1" applyBorder="1" applyAlignment="1">
      <alignment horizontal="center" vertical="center"/>
    </xf>
    <xf numFmtId="0" fontId="7" fillId="0" borderId="1" xfId="1" applyFont="1" applyBorder="1" applyAlignment="1">
      <alignment horizontal="center" vertical="center" wrapText="1"/>
    </xf>
    <xf numFmtId="0" fontId="5" fillId="2" borderId="2" xfId="1" applyFont="1" applyFill="1" applyBorder="1" applyAlignment="1">
      <alignment horizontal="center" vertical="center"/>
    </xf>
    <xf numFmtId="0" fontId="5" fillId="2" borderId="3" xfId="1" applyFont="1" applyFill="1" applyBorder="1" applyAlignment="1">
      <alignment horizontal="center" vertical="center"/>
    </xf>
    <xf numFmtId="0" fontId="5" fillId="2" borderId="4" xfId="1" applyFont="1" applyFill="1" applyBorder="1" applyAlignment="1">
      <alignment horizontal="center" vertical="center"/>
    </xf>
    <xf numFmtId="0" fontId="5" fillId="2" borderId="1" xfId="1" applyFont="1" applyFill="1" applyBorder="1" applyAlignment="1">
      <alignment horizontal="center" vertical="center" wrapText="1"/>
    </xf>
    <xf numFmtId="0" fontId="8" fillId="2" borderId="5" xfId="1" applyFont="1" applyFill="1" applyBorder="1" applyAlignment="1">
      <alignment horizontal="center"/>
    </xf>
    <xf numFmtId="0" fontId="5" fillId="2" borderId="1" xfId="1" applyFont="1" applyFill="1" applyBorder="1" applyAlignment="1">
      <alignment horizontal="center" vertical="center"/>
    </xf>
    <xf numFmtId="0" fontId="4" fillId="0" borderId="2" xfId="2" applyFont="1" applyBorder="1" applyAlignment="1">
      <alignment horizontal="left" vertical="center" wrapText="1"/>
    </xf>
    <xf numFmtId="0" fontId="4" fillId="0" borderId="3" xfId="2" applyFont="1" applyBorder="1" applyAlignment="1">
      <alignment horizontal="left" vertical="center" wrapText="1"/>
    </xf>
    <xf numFmtId="0" fontId="4" fillId="0" borderId="4" xfId="2" applyFont="1" applyBorder="1" applyAlignment="1">
      <alignment horizontal="left" vertical="center" wrapText="1"/>
    </xf>
    <xf numFmtId="0" fontId="4" fillId="0" borderId="2" xfId="2" applyFont="1" applyBorder="1" applyAlignment="1">
      <alignment horizontal="center" vertical="center" wrapText="1"/>
    </xf>
    <xf numFmtId="0" fontId="4" fillId="0" borderId="3" xfId="2" applyFont="1" applyBorder="1" applyAlignment="1">
      <alignment horizontal="center" vertical="center" wrapText="1"/>
    </xf>
    <xf numFmtId="0" fontId="4" fillId="0" borderId="4" xfId="2" applyFont="1" applyBorder="1" applyAlignment="1">
      <alignment horizontal="center" vertical="center" wrapText="1"/>
    </xf>
    <xf numFmtId="0" fontId="4" fillId="0" borderId="2" xfId="2" applyFont="1" applyBorder="1" applyAlignment="1">
      <alignment horizontal="left" vertical="top" wrapText="1"/>
    </xf>
    <xf numFmtId="0" fontId="4" fillId="0" borderId="3" xfId="2" applyFont="1" applyBorder="1" applyAlignment="1">
      <alignment horizontal="left" vertical="top" wrapText="1"/>
    </xf>
    <xf numFmtId="0" fontId="4" fillId="0" borderId="4" xfId="2" applyFont="1" applyBorder="1" applyAlignment="1">
      <alignment horizontal="left" vertical="top" wrapText="1"/>
    </xf>
    <xf numFmtId="0" fontId="4" fillId="0" borderId="1" xfId="2" applyFont="1" applyBorder="1" applyAlignment="1">
      <alignment horizontal="center" vertical="center" wrapText="1"/>
    </xf>
    <xf numFmtId="0" fontId="4" fillId="0" borderId="1" xfId="2" applyFont="1" applyBorder="1" applyAlignment="1">
      <alignment horizontal="left" vertical="center" wrapText="1"/>
    </xf>
    <xf numFmtId="0" fontId="4" fillId="0" borderId="15" xfId="2" applyFont="1" applyBorder="1" applyAlignment="1">
      <alignment horizontal="left" vertical="center" wrapText="1"/>
    </xf>
    <xf numFmtId="0" fontId="4" fillId="0" borderId="5" xfId="2" applyFont="1" applyBorder="1" applyAlignment="1">
      <alignment horizontal="left" vertical="center" wrapText="1"/>
    </xf>
    <xf numFmtId="0" fontId="4" fillId="0" borderId="8" xfId="2" applyFont="1" applyBorder="1" applyAlignment="1">
      <alignment horizontal="left" vertical="center" wrapText="1"/>
    </xf>
    <xf numFmtId="0" fontId="4" fillId="0" borderId="1" xfId="2" applyFont="1" applyBorder="1" applyAlignment="1">
      <alignment horizontal="left" vertical="top" wrapText="1"/>
    </xf>
    <xf numFmtId="0" fontId="4" fillId="0" borderId="14" xfId="2" applyFont="1" applyBorder="1" applyAlignment="1">
      <alignment horizontal="left" vertical="center" wrapText="1"/>
    </xf>
    <xf numFmtId="0" fontId="4" fillId="0" borderId="10" xfId="2" applyFont="1" applyBorder="1" applyAlignment="1">
      <alignment horizontal="left" vertical="center" wrapText="1"/>
    </xf>
    <xf numFmtId="0" fontId="11" fillId="3" borderId="12" xfId="2" applyFont="1" applyFill="1" applyBorder="1" applyAlignment="1">
      <alignment horizontal="left" vertical="center" wrapText="1"/>
    </xf>
    <xf numFmtId="0" fontId="11" fillId="3" borderId="11" xfId="2" applyFont="1" applyFill="1" applyBorder="1" applyAlignment="1">
      <alignment horizontal="left" vertical="center" wrapText="1"/>
    </xf>
    <xf numFmtId="0" fontId="4" fillId="0" borderId="13" xfId="2" applyFont="1" applyBorder="1" applyAlignment="1">
      <alignment horizontal="left" vertical="center" wrapText="1"/>
    </xf>
    <xf numFmtId="0" fontId="4" fillId="0" borderId="9" xfId="2" applyFont="1" applyBorder="1" applyAlignment="1">
      <alignment horizontal="left" vertical="center" wrapText="1"/>
    </xf>
    <xf numFmtId="0" fontId="7" fillId="5" borderId="1" xfId="1" applyFont="1" applyFill="1" applyBorder="1" applyAlignment="1">
      <alignment horizontal="center" vertical="center" wrapText="1"/>
    </xf>
    <xf numFmtId="0" fontId="7" fillId="5" borderId="2" xfId="1" applyFont="1" applyFill="1" applyBorder="1" applyAlignment="1">
      <alignment horizontal="center" vertical="center"/>
    </xf>
    <xf numFmtId="0" fontId="7" fillId="5" borderId="4" xfId="1" applyFont="1" applyFill="1" applyBorder="1" applyAlignment="1">
      <alignment horizontal="center" vertical="center"/>
    </xf>
    <xf numFmtId="0" fontId="7" fillId="5" borderId="2" xfId="1" applyFont="1" applyFill="1" applyBorder="1" applyAlignment="1">
      <alignment horizontal="center" vertical="center" wrapText="1"/>
    </xf>
    <xf numFmtId="0" fontId="7" fillId="5" borderId="3" xfId="1" applyFont="1" applyFill="1" applyBorder="1" applyAlignment="1">
      <alignment horizontal="center" vertical="center" wrapText="1"/>
    </xf>
    <xf numFmtId="0" fontId="7" fillId="5" borderId="4" xfId="1" applyFont="1" applyFill="1" applyBorder="1" applyAlignment="1">
      <alignment horizontal="center" vertical="center" wrapText="1"/>
    </xf>
    <xf numFmtId="0" fontId="7" fillId="0" borderId="2" xfId="1" applyFont="1" applyBorder="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center" vertical="center" wrapText="1"/>
    </xf>
    <xf numFmtId="0" fontId="7" fillId="6" borderId="1" xfId="1" applyFont="1" applyFill="1" applyBorder="1" applyAlignment="1">
      <alignment horizontal="center" vertical="center" wrapText="1"/>
    </xf>
    <xf numFmtId="0" fontId="18" fillId="0" borderId="1" xfId="2" applyFont="1" applyBorder="1" applyAlignment="1">
      <alignment horizontal="left" vertical="center" wrapText="1"/>
    </xf>
    <xf numFmtId="0" fontId="18" fillId="0" borderId="1" xfId="2" applyFont="1" applyBorder="1" applyAlignment="1">
      <alignment horizontal="center" vertical="center" wrapText="1"/>
    </xf>
    <xf numFmtId="0" fontId="18" fillId="0" borderId="2" xfId="2" applyFont="1" applyBorder="1" applyAlignment="1">
      <alignment horizontal="center" vertical="center" wrapText="1"/>
    </xf>
    <xf numFmtId="0" fontId="18" fillId="0" borderId="3" xfId="2" applyFont="1" applyBorder="1" applyAlignment="1">
      <alignment horizontal="center" vertical="center" wrapText="1"/>
    </xf>
    <xf numFmtId="0" fontId="18" fillId="0" borderId="4" xfId="2" applyFont="1" applyBorder="1" applyAlignment="1">
      <alignment horizontal="center" vertical="center" wrapText="1"/>
    </xf>
    <xf numFmtId="0" fontId="7" fillId="5" borderId="1" xfId="3" applyFont="1" applyFill="1" applyBorder="1" applyAlignment="1">
      <alignment horizontal="center" vertical="center" wrapText="1"/>
    </xf>
    <xf numFmtId="0" fontId="18" fillId="0" borderId="2" xfId="2" applyFont="1" applyBorder="1" applyAlignment="1">
      <alignment horizontal="left" vertical="center" wrapText="1"/>
    </xf>
    <xf numFmtId="0" fontId="18" fillId="0" borderId="3" xfId="2" applyFont="1" applyBorder="1" applyAlignment="1">
      <alignment horizontal="left" vertical="center" wrapText="1"/>
    </xf>
    <xf numFmtId="0" fontId="18" fillId="0" borderId="4" xfId="2" applyFont="1" applyBorder="1" applyAlignment="1">
      <alignment horizontal="left" vertical="center" wrapText="1"/>
    </xf>
    <xf numFmtId="0" fontId="7" fillId="5" borderId="2" xfId="3" applyFont="1" applyFill="1" applyBorder="1" applyAlignment="1">
      <alignment horizontal="center" vertical="center" wrapText="1"/>
    </xf>
    <xf numFmtId="0" fontId="7" fillId="5" borderId="3" xfId="3" applyFont="1" applyFill="1" applyBorder="1" applyAlignment="1">
      <alignment horizontal="center" vertical="center" wrapText="1"/>
    </xf>
    <xf numFmtId="0" fontId="7" fillId="5" borderId="4" xfId="3" applyFont="1" applyFill="1" applyBorder="1" applyAlignment="1">
      <alignment horizontal="center" vertical="center" wrapText="1"/>
    </xf>
    <xf numFmtId="0" fontId="7" fillId="5" borderId="2" xfId="2" applyFont="1" applyFill="1" applyBorder="1" applyAlignment="1">
      <alignment horizontal="center" vertical="center" wrapText="1"/>
    </xf>
    <xf numFmtId="0" fontId="7" fillId="5" borderId="3" xfId="2" applyFont="1" applyFill="1" applyBorder="1" applyAlignment="1">
      <alignment horizontal="center" vertical="center" wrapText="1"/>
    </xf>
    <xf numFmtId="0" fontId="7" fillId="5" borderId="4" xfId="2" applyFont="1" applyFill="1" applyBorder="1" applyAlignment="1">
      <alignment horizontal="center" vertical="center" wrapText="1"/>
    </xf>
    <xf numFmtId="0" fontId="7" fillId="5" borderId="2" xfId="2" applyFont="1" applyFill="1" applyBorder="1" applyAlignment="1">
      <alignment horizontal="center" vertical="center"/>
    </xf>
    <xf numFmtId="0" fontId="7" fillId="5" borderId="4" xfId="2" applyFont="1" applyFill="1" applyBorder="1" applyAlignment="1">
      <alignment horizontal="center" vertical="center"/>
    </xf>
    <xf numFmtId="0" fontId="18" fillId="0" borderId="2" xfId="2" applyFont="1" applyBorder="1" applyAlignment="1">
      <alignment horizontal="left" vertical="top" wrapText="1"/>
    </xf>
    <xf numFmtId="0" fontId="18" fillId="0" borderId="3" xfId="2" applyFont="1" applyBorder="1" applyAlignment="1">
      <alignment horizontal="left" vertical="top" wrapText="1"/>
    </xf>
    <xf numFmtId="0" fontId="18" fillId="0" borderId="4" xfId="2" applyFont="1" applyBorder="1" applyAlignment="1">
      <alignment horizontal="left" vertical="top" wrapText="1"/>
    </xf>
    <xf numFmtId="0" fontId="18" fillId="0" borderId="14" xfId="2" applyFont="1" applyBorder="1" applyAlignment="1">
      <alignment horizontal="left" vertical="center" wrapText="1"/>
    </xf>
    <xf numFmtId="0" fontId="18" fillId="0" borderId="19" xfId="2" applyFont="1" applyBorder="1" applyAlignment="1">
      <alignment horizontal="left" vertical="center" wrapText="1"/>
    </xf>
    <xf numFmtId="0" fontId="18" fillId="0" borderId="20" xfId="2" applyFont="1" applyBorder="1" applyAlignment="1">
      <alignment horizontal="left" vertical="center" wrapText="1"/>
    </xf>
    <xf numFmtId="0" fontId="19" fillId="3" borderId="12" xfId="2" applyFont="1" applyFill="1" applyBorder="1" applyAlignment="1">
      <alignment horizontal="left" vertical="center" wrapText="1"/>
    </xf>
    <xf numFmtId="0" fontId="19" fillId="3" borderId="16" xfId="2" applyFont="1" applyFill="1" applyBorder="1" applyAlignment="1">
      <alignment horizontal="left" vertical="center" wrapText="1"/>
    </xf>
    <xf numFmtId="0" fontId="19" fillId="3" borderId="17" xfId="2" applyFont="1" applyFill="1" applyBorder="1" applyAlignment="1">
      <alignment horizontal="left" vertical="center" wrapText="1"/>
    </xf>
    <xf numFmtId="0" fontId="18" fillId="0" borderId="13" xfId="2" applyFont="1" applyBorder="1" applyAlignment="1">
      <alignment horizontal="left" vertical="center" wrapText="1"/>
    </xf>
    <xf numFmtId="0" fontId="18" fillId="0" borderId="18" xfId="2" applyFont="1" applyBorder="1" applyAlignment="1">
      <alignment horizontal="left" vertical="center" wrapText="1"/>
    </xf>
  </cellXfs>
  <cellStyles count="6">
    <cellStyle name="백분율 2" xfId="5" xr:uid="{0EA6F5F6-3D25-4CAC-9DBA-A0C966022145}"/>
    <cellStyle name="표준" xfId="0" builtinId="0"/>
    <cellStyle name="표준 2" xfId="1" xr:uid="{71FAF8D8-C1BE-4567-8ADF-1417BB8930F4}"/>
    <cellStyle name="표준 2 2" xfId="3" xr:uid="{0E7DD8FF-D930-4CBD-9202-02B6C97AEAB2}"/>
    <cellStyle name="표준 3" xfId="2" xr:uid="{7A956465-79E8-40DA-AA1F-DCA8F50F17AB}"/>
    <cellStyle name="표준 4" xfId="4" xr:uid="{B1C57868-7073-424F-9967-AC799E8CCC9B}"/>
  </cellStyles>
  <dxfs count="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37</xdr:col>
      <xdr:colOff>0</xdr:colOff>
      <xdr:row>1</xdr:row>
      <xdr:rowOff>0</xdr:rowOff>
    </xdr:from>
    <xdr:to>
      <xdr:col>49</xdr:col>
      <xdr:colOff>286353</xdr:colOff>
      <xdr:row>17</xdr:row>
      <xdr:rowOff>152019</xdr:rowOff>
    </xdr:to>
    <xdr:pic>
      <xdr:nvPicPr>
        <xdr:cNvPr id="3" name="그림 2">
          <a:extLst>
            <a:ext uri="{FF2B5EF4-FFF2-40B4-BE49-F238E27FC236}">
              <a16:creationId xmlns:a16="http://schemas.microsoft.com/office/drawing/2014/main" id="{0BFE2E2D-7CF2-49DC-BB21-1103DF56DEB7}"/>
            </a:ext>
          </a:extLst>
        </xdr:cNvPr>
        <xdr:cNvPicPr>
          <a:picLocks noChangeAspect="1"/>
        </xdr:cNvPicPr>
      </xdr:nvPicPr>
      <xdr:blipFill>
        <a:blip xmlns:r="http://schemas.openxmlformats.org/officeDocument/2006/relationships" r:embed="rId1"/>
        <a:stretch>
          <a:fillRect/>
        </a:stretch>
      </xdr:blipFill>
      <xdr:spPr>
        <a:xfrm>
          <a:off x="8908676" y="190500"/>
          <a:ext cx="8349827" cy="33008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67BC-523B-412F-A20B-9A72BE9B9805}">
  <dimension ref="B2:AI53"/>
  <sheetViews>
    <sheetView zoomScale="70" zoomScaleNormal="70" workbookViewId="0"/>
  </sheetViews>
  <sheetFormatPr defaultColWidth="8.6640625" defaultRowHeight="15" customHeight="1" x14ac:dyDescent="0.45"/>
  <cols>
    <col min="1" max="1" width="2.58203125" style="17" customWidth="1"/>
    <col min="2" max="2" width="20.75" style="17" bestFit="1" customWidth="1"/>
    <col min="3" max="3" width="8" style="24" bestFit="1" customWidth="1"/>
    <col min="4" max="4" width="8.5" style="24" bestFit="1" customWidth="1"/>
    <col min="5" max="5" width="7.5" style="24" bestFit="1" customWidth="1"/>
    <col min="6" max="6" width="10.58203125" style="25" bestFit="1" customWidth="1"/>
    <col min="7" max="7" width="8.5" style="25" bestFit="1" customWidth="1"/>
    <col min="8" max="8" width="7.5" style="25" bestFit="1" customWidth="1"/>
    <col min="9" max="9" width="7.58203125" style="25" bestFit="1" customWidth="1"/>
    <col min="10" max="10" width="8.6640625" style="17" customWidth="1"/>
    <col min="11" max="11" width="8.6640625" style="17" hidden="1" customWidth="1"/>
    <col min="12" max="12" width="11.83203125" style="17" hidden="1" customWidth="1"/>
    <col min="13" max="13" width="7.83203125" style="17" hidden="1" customWidth="1"/>
    <col min="14" max="14" width="13" style="17" hidden="1" customWidth="1"/>
    <col min="15" max="22" width="3.83203125" style="17" hidden="1" customWidth="1"/>
    <col min="23" max="23" width="11.33203125" style="17" hidden="1" customWidth="1"/>
    <col min="24" max="31" width="3.83203125" style="17" hidden="1" customWidth="1"/>
    <col min="32" max="32" width="9" style="17" hidden="1" customWidth="1"/>
    <col min="33" max="34" width="8.6640625" style="17" hidden="1" customWidth="1"/>
    <col min="35" max="16384" width="8.6640625" style="17"/>
  </cols>
  <sheetData>
    <row r="2" spans="2:35" ht="15" customHeight="1" x14ac:dyDescent="0.45">
      <c r="B2" s="58" t="s">
        <v>270</v>
      </c>
      <c r="C2" s="59" t="s">
        <v>271</v>
      </c>
      <c r="D2" s="59"/>
      <c r="E2" s="59"/>
      <c r="F2" s="58" t="s">
        <v>272</v>
      </c>
      <c r="G2" s="58"/>
      <c r="H2" s="58"/>
      <c r="I2" s="58" t="s">
        <v>273</v>
      </c>
      <c r="O2" s="17">
        <v>7</v>
      </c>
      <c r="P2" s="17">
        <v>6</v>
      </c>
      <c r="Q2" s="17">
        <v>5</v>
      </c>
      <c r="R2" s="17">
        <v>4</v>
      </c>
      <c r="S2" s="17">
        <v>3</v>
      </c>
      <c r="T2" s="17">
        <v>2</v>
      </c>
      <c r="U2" s="17">
        <v>1</v>
      </c>
      <c r="V2" s="17">
        <v>0</v>
      </c>
      <c r="X2" s="17">
        <v>7</v>
      </c>
      <c r="Y2" s="17">
        <v>6</v>
      </c>
      <c r="Z2" s="17">
        <v>5</v>
      </c>
      <c r="AA2" s="17">
        <v>4</v>
      </c>
      <c r="AB2" s="17">
        <v>3</v>
      </c>
      <c r="AC2" s="17">
        <v>2</v>
      </c>
      <c r="AD2" s="17">
        <v>1</v>
      </c>
      <c r="AE2" s="17">
        <v>0</v>
      </c>
    </row>
    <row r="3" spans="2:35" ht="23" x14ac:dyDescent="0.45">
      <c r="B3" s="58"/>
      <c r="C3" s="16" t="s">
        <v>274</v>
      </c>
      <c r="D3" s="16" t="s">
        <v>275</v>
      </c>
      <c r="E3" s="16" t="s">
        <v>276</v>
      </c>
      <c r="F3" s="16" t="s">
        <v>277</v>
      </c>
      <c r="G3" s="16" t="s">
        <v>278</v>
      </c>
      <c r="H3" s="16" t="s">
        <v>276</v>
      </c>
      <c r="I3" s="58"/>
      <c r="L3" s="18" t="s">
        <v>279</v>
      </c>
      <c r="M3" s="18"/>
      <c r="N3" s="18"/>
    </row>
    <row r="4" spans="2:35" ht="15" customHeight="1" x14ac:dyDescent="0.45">
      <c r="B4" s="19" t="s">
        <v>280</v>
      </c>
      <c r="C4" s="20" t="str">
        <f>_xlfn.CONCAT("0x",BIN2HEX(_xlfn.CONCAT(O4,P4,Q4,R4,S4,T4,U4,V4,),2))</f>
        <v>0xB1</v>
      </c>
      <c r="D4" s="20" t="s">
        <v>281</v>
      </c>
      <c r="E4" s="20" t="s">
        <v>281</v>
      </c>
      <c r="F4" s="21"/>
      <c r="G4" s="22" t="s">
        <v>282</v>
      </c>
      <c r="H4" s="22" t="s">
        <v>282</v>
      </c>
      <c r="I4" s="23">
        <v>0</v>
      </c>
      <c r="L4" s="18" t="s">
        <v>283</v>
      </c>
      <c r="M4" s="18" t="s">
        <v>284</v>
      </c>
      <c r="N4" s="18" t="s">
        <v>285</v>
      </c>
      <c r="O4" s="17">
        <v>1</v>
      </c>
      <c r="P4" s="17">
        <v>0</v>
      </c>
      <c r="Q4" s="17">
        <v>1</v>
      </c>
      <c r="R4" s="17">
        <v>1</v>
      </c>
      <c r="S4" s="17">
        <v>0</v>
      </c>
      <c r="T4" s="17">
        <v>0</v>
      </c>
      <c r="U4" s="17">
        <v>0</v>
      </c>
      <c r="V4" s="17">
        <v>1</v>
      </c>
      <c r="W4" s="17" t="str">
        <f t="shared" ref="W4:W9" si="0">BIN2HEX(_xlfn.CONCAT(Q4,R4,S4,T4,U4,V4),2)</f>
        <v>31</v>
      </c>
    </row>
    <row r="5" spans="2:35" ht="15" customHeight="1" x14ac:dyDescent="0.45">
      <c r="B5" s="20" t="s">
        <v>286</v>
      </c>
      <c r="C5" s="20" t="str">
        <f t="shared" ref="C5:C53" si="1">_xlfn.CONCAT("0x",BIN2HEX(_xlfn.CONCAT(O5,P5,Q5,R5,S5,T5,U5,V5,),2))</f>
        <v>0xB2</v>
      </c>
      <c r="D5" s="20" t="s">
        <v>287</v>
      </c>
      <c r="E5" s="20" t="s">
        <v>287</v>
      </c>
      <c r="F5" s="21"/>
      <c r="G5" s="22" t="s">
        <v>282</v>
      </c>
      <c r="H5" s="22" t="s">
        <v>282</v>
      </c>
      <c r="I5" s="23">
        <v>0</v>
      </c>
      <c r="L5" s="18"/>
      <c r="M5" s="18" t="s">
        <v>288</v>
      </c>
      <c r="N5" s="18" t="s">
        <v>289</v>
      </c>
      <c r="O5" s="17">
        <v>1</v>
      </c>
      <c r="P5" s="17">
        <v>0</v>
      </c>
      <c r="Q5" s="17">
        <v>1</v>
      </c>
      <c r="R5" s="17">
        <v>1</v>
      </c>
      <c r="S5" s="17">
        <v>0</v>
      </c>
      <c r="T5" s="17">
        <v>0</v>
      </c>
      <c r="U5" s="17">
        <v>1</v>
      </c>
      <c r="V5" s="17">
        <v>0</v>
      </c>
      <c r="W5" s="17" t="str">
        <f t="shared" si="0"/>
        <v>32</v>
      </c>
    </row>
    <row r="6" spans="2:35" ht="15" customHeight="1" x14ac:dyDescent="0.45">
      <c r="B6" s="20" t="s">
        <v>290</v>
      </c>
      <c r="C6" s="20" t="str">
        <f t="shared" si="1"/>
        <v>0xB3</v>
      </c>
      <c r="D6" s="20" t="s">
        <v>281</v>
      </c>
      <c r="E6" s="20" t="s">
        <v>281</v>
      </c>
      <c r="F6" s="20" t="str">
        <f>_xlfn.CONCAT("0x",BIN2HEX(_xlfn.CONCAT(X6,Y6,Z6,AA6,AB6,AC6,AD6,AE6),2))</f>
        <v>0xF3</v>
      </c>
      <c r="G6" s="20" t="s">
        <v>281</v>
      </c>
      <c r="H6" s="20" t="s">
        <v>287</v>
      </c>
      <c r="I6" s="23">
        <v>0</v>
      </c>
      <c r="J6" s="17" t="s">
        <v>582</v>
      </c>
      <c r="L6" s="18"/>
      <c r="M6" s="18" t="s">
        <v>291</v>
      </c>
      <c r="N6" s="18" t="s">
        <v>292</v>
      </c>
      <c r="O6" s="17">
        <v>1</v>
      </c>
      <c r="P6" s="17">
        <v>0</v>
      </c>
      <c r="Q6" s="17">
        <v>1</v>
      </c>
      <c r="R6" s="17">
        <v>1</v>
      </c>
      <c r="S6" s="17">
        <v>0</v>
      </c>
      <c r="T6" s="17">
        <v>0</v>
      </c>
      <c r="U6" s="17">
        <v>1</v>
      </c>
      <c r="V6" s="17">
        <v>1</v>
      </c>
      <c r="W6" s="17" t="str">
        <f t="shared" si="0"/>
        <v>33</v>
      </c>
      <c r="X6" s="17">
        <v>1</v>
      </c>
      <c r="Y6" s="17">
        <v>1</v>
      </c>
      <c r="Z6" s="17">
        <v>1</v>
      </c>
      <c r="AA6" s="17">
        <v>1</v>
      </c>
      <c r="AB6" s="17">
        <v>0</v>
      </c>
      <c r="AC6" s="17">
        <v>0</v>
      </c>
      <c r="AD6" s="17">
        <v>1</v>
      </c>
      <c r="AE6" s="17">
        <v>1</v>
      </c>
      <c r="AF6" s="17" t="str">
        <f>BIN2HEX(_xlfn.CONCAT(Z6,AA6,AB6,AC6,AD6,AE6),2)</f>
        <v>33</v>
      </c>
    </row>
    <row r="7" spans="2:35" ht="15" customHeight="1" x14ac:dyDescent="0.45">
      <c r="B7" s="20" t="s">
        <v>293</v>
      </c>
      <c r="C7" s="20" t="str">
        <f t="shared" si="1"/>
        <v>0xB4</v>
      </c>
      <c r="D7" s="20" t="s">
        <v>281</v>
      </c>
      <c r="E7" s="20" t="s">
        <v>281</v>
      </c>
      <c r="F7" s="20" t="str">
        <f t="shared" ref="F7:F26" si="2">_xlfn.CONCAT("0x",BIN2HEX(_xlfn.CONCAT(X7,Y7,Z7,AA7,AB7,AC7,AD7,AE7),2))</f>
        <v>0xF4</v>
      </c>
      <c r="G7" s="20" t="s">
        <v>281</v>
      </c>
      <c r="H7" s="20" t="s">
        <v>287</v>
      </c>
      <c r="I7" s="23">
        <v>0</v>
      </c>
      <c r="J7" s="17" t="s">
        <v>582</v>
      </c>
      <c r="L7" s="18" t="s">
        <v>294</v>
      </c>
      <c r="M7" s="60" t="s">
        <v>295</v>
      </c>
      <c r="N7" s="60"/>
      <c r="O7" s="17">
        <v>1</v>
      </c>
      <c r="P7" s="17">
        <v>0</v>
      </c>
      <c r="Q7" s="17">
        <v>1</v>
      </c>
      <c r="R7" s="17">
        <v>1</v>
      </c>
      <c r="S7" s="17">
        <v>0</v>
      </c>
      <c r="T7" s="17">
        <v>1</v>
      </c>
      <c r="U7" s="17">
        <v>0</v>
      </c>
      <c r="V7" s="17">
        <v>0</v>
      </c>
      <c r="W7" s="17" t="str">
        <f t="shared" si="0"/>
        <v>34</v>
      </c>
      <c r="X7" s="17">
        <v>1</v>
      </c>
      <c r="Y7" s="17">
        <v>1</v>
      </c>
      <c r="Z7" s="17">
        <v>1</v>
      </c>
      <c r="AA7" s="17">
        <v>1</v>
      </c>
      <c r="AB7" s="17">
        <v>0</v>
      </c>
      <c r="AC7" s="17">
        <v>1</v>
      </c>
      <c r="AD7" s="17">
        <v>0</v>
      </c>
      <c r="AE7" s="17">
        <v>0</v>
      </c>
      <c r="AF7" s="17" t="str">
        <f>BIN2HEX(_xlfn.CONCAT(Z7,AA7,AB7,AC7,AD7,AE7),2)</f>
        <v>34</v>
      </c>
    </row>
    <row r="8" spans="2:35" ht="15" customHeight="1" x14ac:dyDescent="0.45">
      <c r="B8" s="20" t="s">
        <v>296</v>
      </c>
      <c r="C8" s="20" t="str">
        <f t="shared" si="1"/>
        <v>0xB8</v>
      </c>
      <c r="D8" s="20" t="s">
        <v>281</v>
      </c>
      <c r="E8" s="20" t="s">
        <v>281</v>
      </c>
      <c r="F8" s="20" t="str">
        <f t="shared" si="2"/>
        <v>0xF8</v>
      </c>
      <c r="G8" s="20" t="s">
        <v>281</v>
      </c>
      <c r="H8" s="20" t="s">
        <v>287</v>
      </c>
      <c r="I8" s="23">
        <v>0</v>
      </c>
      <c r="J8" s="17" t="s">
        <v>582</v>
      </c>
      <c r="O8" s="17">
        <v>1</v>
      </c>
      <c r="P8" s="17">
        <v>0</v>
      </c>
      <c r="Q8" s="17">
        <v>1</v>
      </c>
      <c r="R8" s="17">
        <v>1</v>
      </c>
      <c r="S8" s="17">
        <v>1</v>
      </c>
      <c r="T8" s="17">
        <v>0</v>
      </c>
      <c r="U8" s="17">
        <v>0</v>
      </c>
      <c r="V8" s="17">
        <v>0</v>
      </c>
      <c r="W8" s="17" t="str">
        <f t="shared" si="0"/>
        <v>38</v>
      </c>
      <c r="X8" s="17">
        <v>1</v>
      </c>
      <c r="Y8" s="17">
        <v>1</v>
      </c>
      <c r="Z8" s="17">
        <v>1</v>
      </c>
      <c r="AA8" s="17">
        <v>1</v>
      </c>
      <c r="AB8" s="17">
        <v>1</v>
      </c>
      <c r="AC8" s="17">
        <v>0</v>
      </c>
      <c r="AD8" s="17">
        <v>0</v>
      </c>
      <c r="AE8" s="17">
        <v>0</v>
      </c>
      <c r="AF8" s="17" t="str">
        <f>BIN2HEX(_xlfn.CONCAT(Z8,AA8,AB8,AC8,AD8,AE8),2)</f>
        <v>38</v>
      </c>
    </row>
    <row r="9" spans="2:35" ht="15" customHeight="1" x14ac:dyDescent="0.45">
      <c r="B9" s="20" t="s">
        <v>581</v>
      </c>
      <c r="C9" s="20" t="str">
        <f t="shared" si="1"/>
        <v>0xBC</v>
      </c>
      <c r="D9" s="20" t="s">
        <v>281</v>
      </c>
      <c r="E9" s="20" t="s">
        <v>281</v>
      </c>
      <c r="F9" s="20" t="str">
        <f t="shared" si="2"/>
        <v>0xFC</v>
      </c>
      <c r="G9" s="20" t="s">
        <v>281</v>
      </c>
      <c r="H9" s="20" t="s">
        <v>287</v>
      </c>
      <c r="I9" s="23">
        <v>0</v>
      </c>
      <c r="J9" s="17" t="s">
        <v>582</v>
      </c>
      <c r="O9" s="17">
        <v>1</v>
      </c>
      <c r="P9" s="17">
        <v>0</v>
      </c>
      <c r="Q9" s="17">
        <v>1</v>
      </c>
      <c r="R9" s="17">
        <v>1</v>
      </c>
      <c r="S9" s="17">
        <v>1</v>
      </c>
      <c r="T9" s="17">
        <v>1</v>
      </c>
      <c r="U9" s="17">
        <v>0</v>
      </c>
      <c r="V9" s="17">
        <v>0</v>
      </c>
      <c r="W9" s="17" t="str">
        <f t="shared" si="0"/>
        <v>3C</v>
      </c>
      <c r="X9" s="17">
        <v>1</v>
      </c>
      <c r="Y9" s="17">
        <v>1</v>
      </c>
      <c r="Z9" s="17">
        <v>1</v>
      </c>
      <c r="AA9" s="17">
        <v>1</v>
      </c>
      <c r="AB9" s="17">
        <v>1</v>
      </c>
      <c r="AC9" s="17">
        <v>1</v>
      </c>
      <c r="AD9" s="17">
        <v>0</v>
      </c>
      <c r="AE9" s="17">
        <v>0</v>
      </c>
      <c r="AF9" s="17" t="str">
        <f>BIN2HEX(_xlfn.CONCAT(Z9,AA9,AB9,AC9,AD9,AE9),2)</f>
        <v>3C</v>
      </c>
    </row>
    <row r="10" spans="2:35" ht="15" customHeight="1" x14ac:dyDescent="0.45">
      <c r="B10" s="19" t="s">
        <v>297</v>
      </c>
      <c r="C10" s="20" t="str">
        <f t="shared" si="1"/>
        <v>0x86</v>
      </c>
      <c r="D10" s="20" t="s">
        <v>281</v>
      </c>
      <c r="E10" s="20" t="s">
        <v>281</v>
      </c>
      <c r="F10" s="20" t="str">
        <f t="shared" si="2"/>
        <v>0xC6</v>
      </c>
      <c r="G10" s="20" t="s">
        <v>281</v>
      </c>
      <c r="H10" s="20" t="s">
        <v>287</v>
      </c>
      <c r="I10" s="23">
        <v>12</v>
      </c>
      <c r="J10" s="17" t="s">
        <v>583</v>
      </c>
      <c r="O10" s="17">
        <v>1</v>
      </c>
      <c r="P10" s="17">
        <v>0</v>
      </c>
      <c r="Q10" s="17">
        <v>0</v>
      </c>
      <c r="R10" s="17">
        <v>0</v>
      </c>
      <c r="S10" s="17">
        <v>0</v>
      </c>
      <c r="T10" s="17">
        <v>1</v>
      </c>
      <c r="U10" s="17">
        <v>1</v>
      </c>
      <c r="V10" s="17">
        <v>0</v>
      </c>
      <c r="W10" s="17" t="str">
        <f>BIN2HEX(_xlfn.CONCAT(Q10,R10,S10,T10,U10,V10),2)</f>
        <v>06</v>
      </c>
      <c r="X10" s="17">
        <v>1</v>
      </c>
      <c r="Y10" s="17">
        <v>1</v>
      </c>
      <c r="Z10" s="17">
        <v>0</v>
      </c>
      <c r="AA10" s="17">
        <v>0</v>
      </c>
      <c r="AB10" s="17">
        <v>0</v>
      </c>
      <c r="AC10" s="17">
        <v>1</v>
      </c>
      <c r="AD10" s="17">
        <v>1</v>
      </c>
      <c r="AE10" s="17">
        <v>0</v>
      </c>
      <c r="AF10" s="17" t="str">
        <f>BIN2HEX(_xlfn.CONCAT(Z10,AA10,AB10,AC10,AD10,AE10),2)</f>
        <v>06</v>
      </c>
      <c r="AI10" s="17" t="s">
        <v>582</v>
      </c>
    </row>
    <row r="11" spans="2:35" ht="15" customHeight="1" x14ac:dyDescent="0.45">
      <c r="B11" s="19" t="s">
        <v>298</v>
      </c>
      <c r="C11" s="20" t="str">
        <f t="shared" si="1"/>
        <v>0x87</v>
      </c>
      <c r="D11" s="20" t="s">
        <v>281</v>
      </c>
      <c r="E11" s="20" t="s">
        <v>281</v>
      </c>
      <c r="F11" s="20" t="str">
        <f t="shared" si="2"/>
        <v>0xC7</v>
      </c>
      <c r="G11" s="20" t="s">
        <v>281</v>
      </c>
      <c r="H11" s="20" t="s">
        <v>287</v>
      </c>
      <c r="I11" s="23">
        <v>12</v>
      </c>
      <c r="J11" s="17" t="s">
        <v>583</v>
      </c>
      <c r="O11" s="17">
        <v>1</v>
      </c>
      <c r="P11" s="17">
        <v>0</v>
      </c>
      <c r="Q11" s="17">
        <v>0</v>
      </c>
      <c r="R11" s="17">
        <v>0</v>
      </c>
      <c r="S11" s="17">
        <v>0</v>
      </c>
      <c r="T11" s="17">
        <v>1</v>
      </c>
      <c r="U11" s="17">
        <v>1</v>
      </c>
      <c r="V11" s="17">
        <v>1</v>
      </c>
      <c r="W11" s="17" t="str">
        <f t="shared" ref="W11:W52" si="3">BIN2HEX(_xlfn.CONCAT(Q11,R11,S11,T11,U11,V11),2)</f>
        <v>07</v>
      </c>
      <c r="X11" s="17">
        <v>1</v>
      </c>
      <c r="Y11" s="17">
        <v>1</v>
      </c>
      <c r="Z11" s="17">
        <v>0</v>
      </c>
      <c r="AA11" s="17">
        <v>0</v>
      </c>
      <c r="AB11" s="17">
        <v>0</v>
      </c>
      <c r="AC11" s="17">
        <v>1</v>
      </c>
      <c r="AD11" s="17">
        <v>1</v>
      </c>
      <c r="AE11" s="17">
        <v>1</v>
      </c>
      <c r="AF11" s="17" t="str">
        <f t="shared" ref="AF11:AF26" si="4">BIN2HEX(_xlfn.CONCAT(Z11,AA11,AB11,AC11,AD11,AE11),2)</f>
        <v>07</v>
      </c>
      <c r="AI11" s="17" t="s">
        <v>582</v>
      </c>
    </row>
    <row r="12" spans="2:35" ht="15" customHeight="1" x14ac:dyDescent="0.45">
      <c r="B12" s="20" t="s">
        <v>299</v>
      </c>
      <c r="C12" s="20" t="str">
        <f>_xlfn.CONCAT("0x",BIN2HEX(_xlfn.CONCAT(O12,P12,Q12,R12,S12,T12,U12,V12,),2))</f>
        <v>0x88</v>
      </c>
      <c r="D12" s="20" t="s">
        <v>287</v>
      </c>
      <c r="E12" s="20" t="s">
        <v>287</v>
      </c>
      <c r="F12" s="20" t="str">
        <f t="shared" si="2"/>
        <v>0xC8</v>
      </c>
      <c r="G12" s="20" t="s">
        <v>287</v>
      </c>
      <c r="H12" s="20" t="s">
        <v>287</v>
      </c>
      <c r="I12" s="23">
        <v>24</v>
      </c>
      <c r="J12" s="17" t="s">
        <v>269</v>
      </c>
      <c r="O12" s="17">
        <v>1</v>
      </c>
      <c r="P12" s="17">
        <v>0</v>
      </c>
      <c r="Q12" s="17">
        <v>0</v>
      </c>
      <c r="R12" s="17">
        <v>0</v>
      </c>
      <c r="S12" s="17">
        <v>1</v>
      </c>
      <c r="T12" s="17">
        <v>0</v>
      </c>
      <c r="U12" s="17">
        <v>0</v>
      </c>
      <c r="V12" s="17">
        <v>0</v>
      </c>
      <c r="W12" s="17" t="str">
        <f t="shared" si="3"/>
        <v>08</v>
      </c>
      <c r="X12" s="17">
        <v>1</v>
      </c>
      <c r="Y12" s="17">
        <v>1</v>
      </c>
      <c r="Z12" s="17">
        <v>0</v>
      </c>
      <c r="AA12" s="17">
        <v>0</v>
      </c>
      <c r="AB12" s="17">
        <v>1</v>
      </c>
      <c r="AC12" s="17">
        <v>0</v>
      </c>
      <c r="AD12" s="17">
        <v>0</v>
      </c>
      <c r="AE12" s="17">
        <v>0</v>
      </c>
      <c r="AF12" s="17" t="str">
        <f t="shared" si="4"/>
        <v>08</v>
      </c>
      <c r="AI12" s="17" t="s">
        <v>269</v>
      </c>
    </row>
    <row r="13" spans="2:35" ht="15" customHeight="1" x14ac:dyDescent="0.45">
      <c r="B13" s="19" t="s">
        <v>300</v>
      </c>
      <c r="C13" s="20" t="str">
        <f t="shared" si="1"/>
        <v>0xA0</v>
      </c>
      <c r="D13" s="20" t="s">
        <v>281</v>
      </c>
      <c r="E13" s="20" t="s">
        <v>281</v>
      </c>
      <c r="F13" s="20" t="str">
        <f t="shared" si="2"/>
        <v>0xE0</v>
      </c>
      <c r="G13" s="20" t="s">
        <v>281</v>
      </c>
      <c r="H13" s="20" t="s">
        <v>287</v>
      </c>
      <c r="I13" s="23">
        <v>24</v>
      </c>
      <c r="J13" s="17" t="s">
        <v>583</v>
      </c>
      <c r="O13" s="17">
        <v>1</v>
      </c>
      <c r="P13" s="17">
        <v>0</v>
      </c>
      <c r="Q13" s="17">
        <v>1</v>
      </c>
      <c r="R13" s="17">
        <v>0</v>
      </c>
      <c r="S13" s="17">
        <v>0</v>
      </c>
      <c r="T13" s="17">
        <v>0</v>
      </c>
      <c r="U13" s="17">
        <v>0</v>
      </c>
      <c r="V13" s="17">
        <v>0</v>
      </c>
      <c r="W13" s="17" t="str">
        <f t="shared" si="3"/>
        <v>20</v>
      </c>
      <c r="X13" s="17">
        <v>1</v>
      </c>
      <c r="Y13" s="17">
        <v>1</v>
      </c>
      <c r="Z13" s="17">
        <v>1</v>
      </c>
      <c r="AA13" s="17">
        <v>0</v>
      </c>
      <c r="AB13" s="17">
        <v>0</v>
      </c>
      <c r="AC13" s="17">
        <v>0</v>
      </c>
      <c r="AD13" s="17">
        <v>0</v>
      </c>
      <c r="AE13" s="17">
        <v>0</v>
      </c>
      <c r="AF13" s="17" t="str">
        <f t="shared" si="4"/>
        <v>20</v>
      </c>
      <c r="AI13" s="17" t="s">
        <v>582</v>
      </c>
    </row>
    <row r="14" spans="2:35" ht="15" customHeight="1" x14ac:dyDescent="0.45">
      <c r="B14" s="19" t="s">
        <v>301</v>
      </c>
      <c r="C14" s="20" t="str">
        <f t="shared" si="1"/>
        <v>0x8A</v>
      </c>
      <c r="D14" s="20" t="s">
        <v>281</v>
      </c>
      <c r="E14" s="20" t="s">
        <v>281</v>
      </c>
      <c r="F14" s="20" t="str">
        <f t="shared" si="2"/>
        <v>0xCA</v>
      </c>
      <c r="G14" s="20" t="s">
        <v>281</v>
      </c>
      <c r="H14" s="20" t="s">
        <v>287</v>
      </c>
      <c r="I14" s="23">
        <v>12</v>
      </c>
      <c r="J14" s="17" t="s">
        <v>583</v>
      </c>
      <c r="O14" s="17">
        <v>1</v>
      </c>
      <c r="P14" s="17">
        <v>0</v>
      </c>
      <c r="Q14" s="17">
        <v>0</v>
      </c>
      <c r="R14" s="17">
        <v>0</v>
      </c>
      <c r="S14" s="17">
        <v>1</v>
      </c>
      <c r="T14" s="17">
        <v>0</v>
      </c>
      <c r="U14" s="17">
        <v>1</v>
      </c>
      <c r="V14" s="17">
        <v>0</v>
      </c>
      <c r="W14" s="17" t="str">
        <f t="shared" si="3"/>
        <v>0A</v>
      </c>
      <c r="X14" s="17">
        <v>1</v>
      </c>
      <c r="Y14" s="17">
        <v>1</v>
      </c>
      <c r="Z14" s="17">
        <v>0</v>
      </c>
      <c r="AA14" s="17">
        <v>0</v>
      </c>
      <c r="AB14" s="17">
        <v>1</v>
      </c>
      <c r="AC14" s="17">
        <v>0</v>
      </c>
      <c r="AD14" s="17">
        <v>1</v>
      </c>
      <c r="AE14" s="17">
        <v>0</v>
      </c>
      <c r="AF14" s="17" t="str">
        <f t="shared" si="4"/>
        <v>0A</v>
      </c>
    </row>
    <row r="15" spans="2:35" ht="15" customHeight="1" x14ac:dyDescent="0.45">
      <c r="B15" s="19" t="s">
        <v>302</v>
      </c>
      <c r="C15" s="20" t="str">
        <f t="shared" si="1"/>
        <v>0x8B</v>
      </c>
      <c r="D15" s="20" t="s">
        <v>281</v>
      </c>
      <c r="E15" s="20" t="s">
        <v>281</v>
      </c>
      <c r="F15" s="20" t="str">
        <f t="shared" si="2"/>
        <v>0xCB</v>
      </c>
      <c r="G15" s="20" t="s">
        <v>281</v>
      </c>
      <c r="H15" s="20" t="s">
        <v>287</v>
      </c>
      <c r="I15" s="23">
        <v>12</v>
      </c>
      <c r="J15" s="17" t="s">
        <v>583</v>
      </c>
      <c r="O15" s="17">
        <v>1</v>
      </c>
      <c r="P15" s="17">
        <v>0</v>
      </c>
      <c r="Q15" s="17">
        <v>0</v>
      </c>
      <c r="R15" s="17">
        <v>0</v>
      </c>
      <c r="S15" s="17">
        <v>1</v>
      </c>
      <c r="T15" s="17">
        <v>0</v>
      </c>
      <c r="U15" s="17">
        <v>1</v>
      </c>
      <c r="V15" s="17">
        <v>1</v>
      </c>
      <c r="W15" s="17" t="str">
        <f t="shared" si="3"/>
        <v>0B</v>
      </c>
      <c r="X15" s="17">
        <v>1</v>
      </c>
      <c r="Y15" s="17">
        <v>1</v>
      </c>
      <c r="Z15" s="17">
        <v>0</v>
      </c>
      <c r="AA15" s="17">
        <v>0</v>
      </c>
      <c r="AB15" s="17">
        <v>1</v>
      </c>
      <c r="AC15" s="17">
        <v>0</v>
      </c>
      <c r="AD15" s="17">
        <v>1</v>
      </c>
      <c r="AE15" s="17">
        <v>1</v>
      </c>
      <c r="AF15" s="17" t="str">
        <f t="shared" si="4"/>
        <v>0B</v>
      </c>
    </row>
    <row r="16" spans="2:35" ht="15" customHeight="1" x14ac:dyDescent="0.45">
      <c r="B16" s="20" t="s">
        <v>303</v>
      </c>
      <c r="C16" s="20" t="str">
        <f t="shared" si="1"/>
        <v>0x8F</v>
      </c>
      <c r="D16" s="20" t="s">
        <v>281</v>
      </c>
      <c r="E16" s="20" t="s">
        <v>281</v>
      </c>
      <c r="F16" s="20" t="str">
        <f t="shared" si="2"/>
        <v>0xCF</v>
      </c>
      <c r="G16" s="20" t="s">
        <v>281</v>
      </c>
      <c r="H16" s="20" t="s">
        <v>287</v>
      </c>
      <c r="I16" s="23">
        <v>12</v>
      </c>
      <c r="J16" s="17" t="s">
        <v>583</v>
      </c>
      <c r="O16" s="17">
        <v>1</v>
      </c>
      <c r="P16" s="17">
        <v>0</v>
      </c>
      <c r="Q16" s="17">
        <v>0</v>
      </c>
      <c r="R16" s="17">
        <v>0</v>
      </c>
      <c r="S16" s="17">
        <v>1</v>
      </c>
      <c r="T16" s="17">
        <v>1</v>
      </c>
      <c r="U16" s="17">
        <v>1</v>
      </c>
      <c r="V16" s="17">
        <v>1</v>
      </c>
      <c r="W16" s="17" t="str">
        <f t="shared" si="3"/>
        <v>0F</v>
      </c>
      <c r="X16" s="17">
        <v>1</v>
      </c>
      <c r="Y16" s="17">
        <v>1</v>
      </c>
      <c r="Z16" s="17">
        <v>0</v>
      </c>
      <c r="AA16" s="17">
        <v>0</v>
      </c>
      <c r="AB16" s="17">
        <v>1</v>
      </c>
      <c r="AC16" s="17">
        <v>1</v>
      </c>
      <c r="AD16" s="17">
        <v>1</v>
      </c>
      <c r="AE16" s="17">
        <v>1</v>
      </c>
      <c r="AF16" s="17" t="str">
        <f t="shared" si="4"/>
        <v>0F</v>
      </c>
    </row>
    <row r="17" spans="2:32" ht="15" customHeight="1" x14ac:dyDescent="0.45">
      <c r="B17" s="20" t="s">
        <v>304</v>
      </c>
      <c r="C17" s="20" t="str">
        <f t="shared" si="1"/>
        <v>0x90</v>
      </c>
      <c r="D17" s="20" t="s">
        <v>281</v>
      </c>
      <c r="E17" s="20" t="s">
        <v>281</v>
      </c>
      <c r="F17" s="20" t="str">
        <f t="shared" si="2"/>
        <v>0xD0</v>
      </c>
      <c r="G17" s="20" t="s">
        <v>281</v>
      </c>
      <c r="H17" s="20" t="s">
        <v>287</v>
      </c>
      <c r="I17" s="23">
        <v>12</v>
      </c>
      <c r="J17" s="17" t="s">
        <v>583</v>
      </c>
      <c r="O17" s="17">
        <v>1</v>
      </c>
      <c r="P17" s="17">
        <v>0</v>
      </c>
      <c r="Q17" s="17">
        <v>0</v>
      </c>
      <c r="R17" s="17">
        <v>1</v>
      </c>
      <c r="S17" s="17">
        <v>0</v>
      </c>
      <c r="T17" s="17">
        <v>0</v>
      </c>
      <c r="U17" s="17">
        <v>0</v>
      </c>
      <c r="V17" s="17">
        <v>0</v>
      </c>
      <c r="W17" s="17" t="str">
        <f t="shared" si="3"/>
        <v>10</v>
      </c>
      <c r="X17" s="17">
        <v>1</v>
      </c>
      <c r="Y17" s="17">
        <v>1</v>
      </c>
      <c r="Z17" s="17">
        <v>0</v>
      </c>
      <c r="AA17" s="17">
        <v>1</v>
      </c>
      <c r="AB17" s="17">
        <v>0</v>
      </c>
      <c r="AC17" s="17">
        <v>0</v>
      </c>
      <c r="AD17" s="17">
        <v>0</v>
      </c>
      <c r="AE17" s="17">
        <v>0</v>
      </c>
      <c r="AF17" s="17" t="str">
        <f t="shared" si="4"/>
        <v>10</v>
      </c>
    </row>
    <row r="18" spans="2:32" ht="15" customHeight="1" x14ac:dyDescent="0.45">
      <c r="B18" s="20" t="s">
        <v>305</v>
      </c>
      <c r="C18" s="20" t="str">
        <f t="shared" si="1"/>
        <v>0x91</v>
      </c>
      <c r="D18" s="20" t="s">
        <v>281</v>
      </c>
      <c r="E18" s="20" t="s">
        <v>281</v>
      </c>
      <c r="F18" s="20" t="str">
        <f t="shared" si="2"/>
        <v>0xD1</v>
      </c>
      <c r="G18" s="20" t="s">
        <v>281</v>
      </c>
      <c r="H18" s="20" t="s">
        <v>287</v>
      </c>
      <c r="I18" s="23">
        <v>12</v>
      </c>
      <c r="J18" s="17" t="s">
        <v>583</v>
      </c>
      <c r="O18" s="17">
        <v>1</v>
      </c>
      <c r="P18" s="17">
        <v>0</v>
      </c>
      <c r="Q18" s="17">
        <v>0</v>
      </c>
      <c r="R18" s="17">
        <v>1</v>
      </c>
      <c r="S18" s="17">
        <v>0</v>
      </c>
      <c r="T18" s="17">
        <v>0</v>
      </c>
      <c r="U18" s="17">
        <v>0</v>
      </c>
      <c r="V18" s="17">
        <v>1</v>
      </c>
      <c r="W18" s="17" t="str">
        <f t="shared" si="3"/>
        <v>11</v>
      </c>
      <c r="X18" s="17">
        <v>1</v>
      </c>
      <c r="Y18" s="17">
        <v>1</v>
      </c>
      <c r="Z18" s="17">
        <v>0</v>
      </c>
      <c r="AA18" s="17">
        <v>1</v>
      </c>
      <c r="AB18" s="17">
        <v>0</v>
      </c>
      <c r="AC18" s="17">
        <v>0</v>
      </c>
      <c r="AD18" s="17">
        <v>0</v>
      </c>
      <c r="AE18" s="17">
        <v>1</v>
      </c>
      <c r="AF18" s="17" t="str">
        <f t="shared" si="4"/>
        <v>11</v>
      </c>
    </row>
    <row r="19" spans="2:32" ht="15" customHeight="1" x14ac:dyDescent="0.45">
      <c r="B19" s="20" t="s">
        <v>306</v>
      </c>
      <c r="C19" s="20" t="str">
        <f t="shared" si="1"/>
        <v>0x92</v>
      </c>
      <c r="D19" s="20" t="s">
        <v>281</v>
      </c>
      <c r="E19" s="20" t="s">
        <v>281</v>
      </c>
      <c r="F19" s="20" t="str">
        <f t="shared" si="2"/>
        <v>0xD2</v>
      </c>
      <c r="G19" s="20" t="s">
        <v>281</v>
      </c>
      <c r="H19" s="20" t="s">
        <v>287</v>
      </c>
      <c r="I19" s="23">
        <v>12</v>
      </c>
      <c r="O19" s="17">
        <v>1</v>
      </c>
      <c r="P19" s="17">
        <v>0</v>
      </c>
      <c r="Q19" s="17">
        <v>0</v>
      </c>
      <c r="R19" s="17">
        <v>1</v>
      </c>
      <c r="S19" s="17">
        <v>0</v>
      </c>
      <c r="T19" s="17">
        <v>0</v>
      </c>
      <c r="U19" s="17">
        <v>1</v>
      </c>
      <c r="V19" s="17">
        <v>0</v>
      </c>
      <c r="W19" s="17" t="str">
        <f t="shared" si="3"/>
        <v>12</v>
      </c>
      <c r="X19" s="17">
        <v>1</v>
      </c>
      <c r="Y19" s="17">
        <v>1</v>
      </c>
      <c r="Z19" s="17">
        <v>0</v>
      </c>
      <c r="AA19" s="17">
        <v>1</v>
      </c>
      <c r="AB19" s="17">
        <v>0</v>
      </c>
      <c r="AC19" s="17">
        <v>0</v>
      </c>
      <c r="AD19" s="17">
        <v>1</v>
      </c>
      <c r="AE19" s="17">
        <v>0</v>
      </c>
      <c r="AF19" s="17" t="str">
        <f t="shared" si="4"/>
        <v>12</v>
      </c>
    </row>
    <row r="20" spans="2:32" ht="15" customHeight="1" x14ac:dyDescent="0.45">
      <c r="B20" s="20" t="s">
        <v>307</v>
      </c>
      <c r="C20" s="20" t="str">
        <f t="shared" si="1"/>
        <v>0x93</v>
      </c>
      <c r="D20" s="20" t="s">
        <v>281</v>
      </c>
      <c r="E20" s="20" t="s">
        <v>281</v>
      </c>
      <c r="F20" s="20" t="str">
        <f t="shared" si="2"/>
        <v>0xD3</v>
      </c>
      <c r="G20" s="20" t="s">
        <v>281</v>
      </c>
      <c r="H20" s="20" t="s">
        <v>287</v>
      </c>
      <c r="I20" s="23">
        <v>12</v>
      </c>
      <c r="O20" s="17">
        <v>1</v>
      </c>
      <c r="P20" s="17">
        <v>0</v>
      </c>
      <c r="Q20" s="17">
        <v>0</v>
      </c>
      <c r="R20" s="17">
        <v>1</v>
      </c>
      <c r="S20" s="17">
        <v>0</v>
      </c>
      <c r="T20" s="17">
        <v>0</v>
      </c>
      <c r="U20" s="17">
        <v>1</v>
      </c>
      <c r="V20" s="17">
        <v>1</v>
      </c>
      <c r="W20" s="17" t="str">
        <f t="shared" si="3"/>
        <v>13</v>
      </c>
      <c r="X20" s="17">
        <v>1</v>
      </c>
      <c r="Y20" s="17">
        <v>1</v>
      </c>
      <c r="Z20" s="17">
        <v>0</v>
      </c>
      <c r="AA20" s="17">
        <v>1</v>
      </c>
      <c r="AB20" s="17">
        <v>0</v>
      </c>
      <c r="AC20" s="17">
        <v>0</v>
      </c>
      <c r="AD20" s="17">
        <v>1</v>
      </c>
      <c r="AE20" s="17">
        <v>1</v>
      </c>
      <c r="AF20" s="17" t="str">
        <f t="shared" si="4"/>
        <v>13</v>
      </c>
    </row>
    <row r="21" spans="2:32" ht="15" customHeight="1" x14ac:dyDescent="0.45">
      <c r="B21" s="20" t="s">
        <v>308</v>
      </c>
      <c r="C21" s="20" t="str">
        <f t="shared" si="1"/>
        <v>0x94</v>
      </c>
      <c r="D21" s="20" t="s">
        <v>281</v>
      </c>
      <c r="E21" s="20" t="s">
        <v>281</v>
      </c>
      <c r="F21" s="20" t="str">
        <f t="shared" si="2"/>
        <v>0xD4</v>
      </c>
      <c r="G21" s="20" t="s">
        <v>281</v>
      </c>
      <c r="H21" s="20" t="s">
        <v>287</v>
      </c>
      <c r="I21" s="23">
        <v>12</v>
      </c>
      <c r="O21" s="17">
        <v>1</v>
      </c>
      <c r="P21" s="17">
        <v>0</v>
      </c>
      <c r="Q21" s="17">
        <v>0</v>
      </c>
      <c r="R21" s="17">
        <v>1</v>
      </c>
      <c r="S21" s="17">
        <v>0</v>
      </c>
      <c r="T21" s="17">
        <v>1</v>
      </c>
      <c r="U21" s="17">
        <v>0</v>
      </c>
      <c r="V21" s="17">
        <v>0</v>
      </c>
      <c r="W21" s="17" t="str">
        <f t="shared" si="3"/>
        <v>14</v>
      </c>
      <c r="X21" s="17">
        <v>1</v>
      </c>
      <c r="Y21" s="17">
        <v>1</v>
      </c>
      <c r="Z21" s="17">
        <v>0</v>
      </c>
      <c r="AA21" s="17">
        <v>1</v>
      </c>
      <c r="AB21" s="17">
        <v>0</v>
      </c>
      <c r="AC21" s="17">
        <v>1</v>
      </c>
      <c r="AD21" s="17">
        <v>0</v>
      </c>
      <c r="AE21" s="17">
        <v>0</v>
      </c>
      <c r="AF21" s="17" t="str">
        <f t="shared" si="4"/>
        <v>14</v>
      </c>
    </row>
    <row r="22" spans="2:32" ht="15" customHeight="1" x14ac:dyDescent="0.45">
      <c r="B22" s="20" t="s">
        <v>309</v>
      </c>
      <c r="C22" s="20" t="str">
        <f t="shared" si="1"/>
        <v>0x95</v>
      </c>
      <c r="D22" s="20" t="s">
        <v>281</v>
      </c>
      <c r="E22" s="20" t="s">
        <v>281</v>
      </c>
      <c r="F22" s="20" t="str">
        <f t="shared" si="2"/>
        <v>0xD5</v>
      </c>
      <c r="G22" s="20" t="s">
        <v>281</v>
      </c>
      <c r="H22" s="20" t="s">
        <v>287</v>
      </c>
      <c r="I22" s="23">
        <v>12</v>
      </c>
      <c r="O22" s="17">
        <v>1</v>
      </c>
      <c r="P22" s="17">
        <v>0</v>
      </c>
      <c r="Q22" s="17">
        <v>0</v>
      </c>
      <c r="R22" s="17">
        <v>1</v>
      </c>
      <c r="S22" s="17">
        <v>0</v>
      </c>
      <c r="T22" s="17">
        <v>1</v>
      </c>
      <c r="U22" s="17">
        <v>0</v>
      </c>
      <c r="V22" s="17">
        <v>1</v>
      </c>
      <c r="W22" s="17" t="str">
        <f t="shared" si="3"/>
        <v>15</v>
      </c>
      <c r="X22" s="17">
        <v>1</v>
      </c>
      <c r="Y22" s="17">
        <v>1</v>
      </c>
      <c r="Z22" s="17">
        <v>0</v>
      </c>
      <c r="AA22" s="17">
        <v>1</v>
      </c>
      <c r="AB22" s="17">
        <v>0</v>
      </c>
      <c r="AC22" s="17">
        <v>1</v>
      </c>
      <c r="AD22" s="17">
        <v>0</v>
      </c>
      <c r="AE22" s="17">
        <v>1</v>
      </c>
      <c r="AF22" s="17" t="str">
        <f t="shared" si="4"/>
        <v>15</v>
      </c>
    </row>
    <row r="23" spans="2:32" ht="15" customHeight="1" x14ac:dyDescent="0.45">
      <c r="B23" s="20" t="s">
        <v>310</v>
      </c>
      <c r="C23" s="20" t="str">
        <f t="shared" si="1"/>
        <v>0x96</v>
      </c>
      <c r="D23" s="20" t="s">
        <v>281</v>
      </c>
      <c r="E23" s="20" t="s">
        <v>281</v>
      </c>
      <c r="F23" s="20" t="str">
        <f t="shared" si="2"/>
        <v>0xD6</v>
      </c>
      <c r="G23" s="20" t="s">
        <v>281</v>
      </c>
      <c r="H23" s="20" t="s">
        <v>287</v>
      </c>
      <c r="I23" s="23">
        <v>12</v>
      </c>
      <c r="O23" s="17">
        <v>1</v>
      </c>
      <c r="P23" s="17">
        <v>0</v>
      </c>
      <c r="Q23" s="17">
        <v>0</v>
      </c>
      <c r="R23" s="17">
        <v>1</v>
      </c>
      <c r="S23" s="17">
        <v>0</v>
      </c>
      <c r="T23" s="17">
        <v>1</v>
      </c>
      <c r="U23" s="17">
        <v>1</v>
      </c>
      <c r="V23" s="17">
        <v>0</v>
      </c>
      <c r="W23" s="17" t="str">
        <f t="shared" si="3"/>
        <v>16</v>
      </c>
      <c r="X23" s="17">
        <v>1</v>
      </c>
      <c r="Y23" s="17">
        <v>1</v>
      </c>
      <c r="Z23" s="17">
        <v>0</v>
      </c>
      <c r="AA23" s="17">
        <v>1</v>
      </c>
      <c r="AB23" s="17">
        <v>0</v>
      </c>
      <c r="AC23" s="17">
        <v>1</v>
      </c>
      <c r="AD23" s="17">
        <v>1</v>
      </c>
      <c r="AE23" s="17">
        <v>0</v>
      </c>
      <c r="AF23" s="17" t="str">
        <f t="shared" si="4"/>
        <v>16</v>
      </c>
    </row>
    <row r="24" spans="2:32" ht="15" customHeight="1" x14ac:dyDescent="0.45">
      <c r="B24" s="20" t="s">
        <v>311</v>
      </c>
      <c r="C24" s="20" t="str">
        <f t="shared" si="1"/>
        <v>0x97</v>
      </c>
      <c r="D24" s="20" t="s">
        <v>281</v>
      </c>
      <c r="E24" s="20" t="s">
        <v>281</v>
      </c>
      <c r="F24" s="20" t="str">
        <f t="shared" si="2"/>
        <v>0xD7</v>
      </c>
      <c r="G24" s="20" t="s">
        <v>281</v>
      </c>
      <c r="H24" s="20" t="s">
        <v>287</v>
      </c>
      <c r="I24" s="23">
        <v>12</v>
      </c>
      <c r="O24" s="17">
        <v>1</v>
      </c>
      <c r="P24" s="17">
        <v>0</v>
      </c>
      <c r="Q24" s="17">
        <v>0</v>
      </c>
      <c r="R24" s="17">
        <v>1</v>
      </c>
      <c r="S24" s="17">
        <v>0</v>
      </c>
      <c r="T24" s="17">
        <v>1</v>
      </c>
      <c r="U24" s="17">
        <v>1</v>
      </c>
      <c r="V24" s="17">
        <v>1</v>
      </c>
      <c r="W24" s="17" t="str">
        <f t="shared" si="3"/>
        <v>17</v>
      </c>
      <c r="X24" s="17">
        <v>1</v>
      </c>
      <c r="Y24" s="17">
        <v>1</v>
      </c>
      <c r="Z24" s="17">
        <v>0</v>
      </c>
      <c r="AA24" s="17">
        <v>1</v>
      </c>
      <c r="AB24" s="17">
        <v>0</v>
      </c>
      <c r="AC24" s="17">
        <v>1</v>
      </c>
      <c r="AD24" s="17">
        <v>1</v>
      </c>
      <c r="AE24" s="17">
        <v>1</v>
      </c>
      <c r="AF24" s="17" t="str">
        <f t="shared" si="4"/>
        <v>17</v>
      </c>
    </row>
    <row r="25" spans="2:32" ht="15" customHeight="1" x14ac:dyDescent="0.45">
      <c r="B25" s="20" t="s">
        <v>312</v>
      </c>
      <c r="C25" s="20" t="str">
        <f t="shared" si="1"/>
        <v>0x98</v>
      </c>
      <c r="D25" s="20" t="s">
        <v>313</v>
      </c>
      <c r="E25" s="20" t="s">
        <v>281</v>
      </c>
      <c r="F25" s="20" t="str">
        <f t="shared" si="2"/>
        <v>0xD8</v>
      </c>
      <c r="G25" s="20" t="s">
        <v>281</v>
      </c>
      <c r="H25" s="20" t="s">
        <v>287</v>
      </c>
      <c r="I25" s="23">
        <v>12</v>
      </c>
      <c r="O25" s="17">
        <v>1</v>
      </c>
      <c r="P25" s="17">
        <v>0</v>
      </c>
      <c r="Q25" s="17">
        <v>0</v>
      </c>
      <c r="R25" s="17">
        <v>1</v>
      </c>
      <c r="S25" s="17">
        <v>1</v>
      </c>
      <c r="T25" s="17">
        <v>0</v>
      </c>
      <c r="U25" s="17">
        <v>0</v>
      </c>
      <c r="V25" s="17">
        <v>0</v>
      </c>
      <c r="W25" s="17" t="str">
        <f t="shared" si="3"/>
        <v>18</v>
      </c>
      <c r="X25" s="17">
        <v>1</v>
      </c>
      <c r="Y25" s="17">
        <v>1</v>
      </c>
      <c r="Z25" s="17">
        <v>0</v>
      </c>
      <c r="AA25" s="17">
        <v>1</v>
      </c>
      <c r="AB25" s="17">
        <v>1</v>
      </c>
      <c r="AC25" s="17">
        <v>0</v>
      </c>
      <c r="AD25" s="17">
        <v>0</v>
      </c>
      <c r="AE25" s="17">
        <v>0</v>
      </c>
      <c r="AF25" s="17" t="str">
        <f t="shared" si="4"/>
        <v>18</v>
      </c>
    </row>
    <row r="26" spans="2:32" ht="15" customHeight="1" x14ac:dyDescent="0.45">
      <c r="B26" s="20" t="s">
        <v>314</v>
      </c>
      <c r="C26" s="20" t="str">
        <f t="shared" si="1"/>
        <v>0x99</v>
      </c>
      <c r="D26" s="20" t="s">
        <v>313</v>
      </c>
      <c r="E26" s="20" t="s">
        <v>281</v>
      </c>
      <c r="F26" s="20" t="str">
        <f t="shared" si="2"/>
        <v>0xD9</v>
      </c>
      <c r="G26" s="20" t="s">
        <v>281</v>
      </c>
      <c r="H26" s="20" t="s">
        <v>287</v>
      </c>
      <c r="I26" s="23">
        <v>12</v>
      </c>
      <c r="J26" s="17" t="s">
        <v>583</v>
      </c>
      <c r="O26" s="17">
        <v>1</v>
      </c>
      <c r="P26" s="17">
        <v>0</v>
      </c>
      <c r="Q26" s="17">
        <v>0</v>
      </c>
      <c r="R26" s="17">
        <v>1</v>
      </c>
      <c r="S26" s="17">
        <v>1</v>
      </c>
      <c r="T26" s="17">
        <v>0</v>
      </c>
      <c r="U26" s="17">
        <v>0</v>
      </c>
      <c r="V26" s="17">
        <v>1</v>
      </c>
      <c r="W26" s="17" t="str">
        <f t="shared" si="3"/>
        <v>19</v>
      </c>
      <c r="X26" s="17">
        <v>1</v>
      </c>
      <c r="Y26" s="17">
        <v>1</v>
      </c>
      <c r="Z26" s="17">
        <v>0</v>
      </c>
      <c r="AA26" s="17">
        <v>1</v>
      </c>
      <c r="AB26" s="17">
        <v>1</v>
      </c>
      <c r="AC26" s="17">
        <v>0</v>
      </c>
      <c r="AD26" s="17">
        <v>0</v>
      </c>
      <c r="AE26" s="17">
        <v>1</v>
      </c>
      <c r="AF26" s="17" t="str">
        <f t="shared" si="4"/>
        <v>19</v>
      </c>
    </row>
    <row r="27" spans="2:32" ht="15" customHeight="1" x14ac:dyDescent="0.45">
      <c r="B27" s="20" t="s">
        <v>315</v>
      </c>
      <c r="C27" s="20" t="str">
        <f>_xlfn.CONCAT("0x",BIN2HEX(_xlfn.CONCAT(O27,P27,Q27,R27,S27,T27,U27,V27,),2))</f>
        <v>0x9A</v>
      </c>
      <c r="D27" s="20" t="s">
        <v>313</v>
      </c>
      <c r="E27" s="20" t="s">
        <v>281</v>
      </c>
      <c r="F27" s="20" t="str">
        <f>_xlfn.CONCAT("0x",BIN2HEX(_xlfn.CONCAT(X27,Y27,Z27,AA27,AB27,AC27,AD27,AE27),2))</f>
        <v>0xDA</v>
      </c>
      <c r="G27" s="20" t="s">
        <v>281</v>
      </c>
      <c r="H27" s="20" t="s">
        <v>287</v>
      </c>
      <c r="I27" s="23">
        <v>12</v>
      </c>
      <c r="J27" s="17" t="s">
        <v>583</v>
      </c>
      <c r="O27" s="17">
        <v>1</v>
      </c>
      <c r="P27" s="17">
        <v>0</v>
      </c>
      <c r="Q27" s="17">
        <v>0</v>
      </c>
      <c r="R27" s="17">
        <v>1</v>
      </c>
      <c r="S27" s="17">
        <v>1</v>
      </c>
      <c r="T27" s="17">
        <v>0</v>
      </c>
      <c r="U27" s="17">
        <v>1</v>
      </c>
      <c r="V27" s="17">
        <v>0</v>
      </c>
      <c r="W27" s="17" t="str">
        <f>BIN2HEX(_xlfn.CONCAT(Q27,R27,S27,T27,U27,V27),2)</f>
        <v>1A</v>
      </c>
      <c r="X27" s="17">
        <v>1</v>
      </c>
      <c r="Y27" s="17">
        <v>1</v>
      </c>
      <c r="Z27" s="17">
        <v>0</v>
      </c>
      <c r="AA27" s="17">
        <v>1</v>
      </c>
      <c r="AB27" s="17">
        <v>1</v>
      </c>
      <c r="AC27" s="17">
        <v>0</v>
      </c>
      <c r="AD27" s="17">
        <v>1</v>
      </c>
      <c r="AE27" s="17">
        <v>0</v>
      </c>
      <c r="AF27" s="17" t="str">
        <f>BIN2HEX(_xlfn.CONCAT(Z27,AA27,AB27,AC27,AD27,AE27),2)</f>
        <v>1A</v>
      </c>
    </row>
    <row r="28" spans="2:32" ht="15" customHeight="1" x14ac:dyDescent="0.45">
      <c r="B28" s="20" t="s">
        <v>316</v>
      </c>
      <c r="C28" s="20" t="str">
        <f t="shared" si="1"/>
        <v>0x41</v>
      </c>
      <c r="D28" s="20" t="s">
        <v>281</v>
      </c>
      <c r="E28" s="20" t="s">
        <v>287</v>
      </c>
      <c r="F28" s="21"/>
      <c r="G28" s="22" t="s">
        <v>282</v>
      </c>
      <c r="H28" s="22" t="s">
        <v>282</v>
      </c>
      <c r="I28" s="23">
        <v>12</v>
      </c>
      <c r="O28" s="17">
        <v>0</v>
      </c>
      <c r="P28" s="17">
        <v>1</v>
      </c>
      <c r="Q28" s="17">
        <v>0</v>
      </c>
      <c r="R28" s="17">
        <v>0</v>
      </c>
      <c r="S28" s="17">
        <v>0</v>
      </c>
      <c r="T28" s="17">
        <v>0</v>
      </c>
      <c r="U28" s="17">
        <v>0</v>
      </c>
      <c r="V28" s="17">
        <v>1</v>
      </c>
      <c r="W28" s="17" t="str">
        <f t="shared" si="3"/>
        <v>01</v>
      </c>
    </row>
    <row r="29" spans="2:32" ht="15" customHeight="1" x14ac:dyDescent="0.45">
      <c r="B29" s="20" t="s">
        <v>317</v>
      </c>
      <c r="C29" s="20" t="str">
        <f t="shared" si="1"/>
        <v>0x42</v>
      </c>
      <c r="D29" s="20" t="s">
        <v>281</v>
      </c>
      <c r="E29" s="20" t="s">
        <v>287</v>
      </c>
      <c r="F29" s="21"/>
      <c r="G29" s="22" t="s">
        <v>282</v>
      </c>
      <c r="H29" s="22" t="s">
        <v>282</v>
      </c>
      <c r="I29" s="23">
        <v>12</v>
      </c>
      <c r="O29" s="17">
        <v>0</v>
      </c>
      <c r="P29" s="17">
        <v>1</v>
      </c>
      <c r="Q29" s="17">
        <v>0</v>
      </c>
      <c r="R29" s="17">
        <v>0</v>
      </c>
      <c r="S29" s="17">
        <v>0</v>
      </c>
      <c r="T29" s="17">
        <v>0</v>
      </c>
      <c r="U29" s="17">
        <v>1</v>
      </c>
      <c r="V29" s="17">
        <v>0</v>
      </c>
      <c r="W29" s="17" t="str">
        <f t="shared" si="3"/>
        <v>02</v>
      </c>
    </row>
    <row r="30" spans="2:32" ht="15" customHeight="1" x14ac:dyDescent="0.45">
      <c r="B30" s="20" t="s">
        <v>318</v>
      </c>
      <c r="C30" s="20" t="str">
        <f t="shared" si="1"/>
        <v>0x43</v>
      </c>
      <c r="D30" s="20" t="s">
        <v>281</v>
      </c>
      <c r="E30" s="20" t="s">
        <v>287</v>
      </c>
      <c r="F30" s="21"/>
      <c r="G30" s="22" t="s">
        <v>282</v>
      </c>
      <c r="H30" s="22" t="s">
        <v>282</v>
      </c>
      <c r="I30" s="23">
        <v>12</v>
      </c>
      <c r="O30" s="17">
        <v>0</v>
      </c>
      <c r="P30" s="17">
        <v>1</v>
      </c>
      <c r="Q30" s="17">
        <v>0</v>
      </c>
      <c r="R30" s="17">
        <v>0</v>
      </c>
      <c r="S30" s="17">
        <v>0</v>
      </c>
      <c r="T30" s="17">
        <v>0</v>
      </c>
      <c r="U30" s="17">
        <v>1</v>
      </c>
      <c r="V30" s="17">
        <v>1</v>
      </c>
      <c r="W30" s="17" t="str">
        <f t="shared" si="3"/>
        <v>03</v>
      </c>
    </row>
    <row r="31" spans="2:32" ht="15" customHeight="1" x14ac:dyDescent="0.45">
      <c r="B31" s="20" t="s">
        <v>319</v>
      </c>
      <c r="C31" s="20" t="str">
        <f t="shared" si="1"/>
        <v>0x44</v>
      </c>
      <c r="D31" s="20" t="s">
        <v>281</v>
      </c>
      <c r="E31" s="20" t="s">
        <v>287</v>
      </c>
      <c r="F31" s="21"/>
      <c r="G31" s="22" t="s">
        <v>282</v>
      </c>
      <c r="H31" s="22" t="s">
        <v>282</v>
      </c>
      <c r="I31" s="23">
        <v>24</v>
      </c>
      <c r="O31" s="17">
        <v>0</v>
      </c>
      <c r="P31" s="17">
        <v>1</v>
      </c>
      <c r="Q31" s="17">
        <v>0</v>
      </c>
      <c r="R31" s="17">
        <v>0</v>
      </c>
      <c r="S31" s="17">
        <v>0</v>
      </c>
      <c r="T31" s="17">
        <v>1</v>
      </c>
      <c r="U31" s="17">
        <v>0</v>
      </c>
      <c r="V31" s="17">
        <v>0</v>
      </c>
      <c r="W31" s="17" t="str">
        <f t="shared" si="3"/>
        <v>04</v>
      </c>
    </row>
    <row r="32" spans="2:32" ht="15" customHeight="1" x14ac:dyDescent="0.45">
      <c r="B32" s="20" t="s">
        <v>320</v>
      </c>
      <c r="C32" s="20" t="str">
        <f t="shared" si="1"/>
        <v>0x45</v>
      </c>
      <c r="D32" s="20" t="s">
        <v>281</v>
      </c>
      <c r="E32" s="20" t="s">
        <v>287</v>
      </c>
      <c r="F32" s="21"/>
      <c r="G32" s="22" t="s">
        <v>282</v>
      </c>
      <c r="H32" s="22" t="s">
        <v>282</v>
      </c>
      <c r="I32" s="23">
        <v>12</v>
      </c>
      <c r="O32" s="17">
        <v>0</v>
      </c>
      <c r="P32" s="17">
        <v>1</v>
      </c>
      <c r="Q32" s="17">
        <v>0</v>
      </c>
      <c r="R32" s="17">
        <v>0</v>
      </c>
      <c r="S32" s="17">
        <v>0</v>
      </c>
      <c r="T32" s="17">
        <v>1</v>
      </c>
      <c r="U32" s="17">
        <v>0</v>
      </c>
      <c r="V32" s="17">
        <v>1</v>
      </c>
      <c r="W32" s="17" t="str">
        <f t="shared" si="3"/>
        <v>05</v>
      </c>
    </row>
    <row r="33" spans="2:23" ht="15" customHeight="1" x14ac:dyDescent="0.45">
      <c r="B33" s="20" t="s">
        <v>321</v>
      </c>
      <c r="C33" s="20" t="str">
        <f t="shared" si="1"/>
        <v>0x46</v>
      </c>
      <c r="D33" s="20" t="s">
        <v>281</v>
      </c>
      <c r="E33" s="20" t="s">
        <v>287</v>
      </c>
      <c r="F33" s="21"/>
      <c r="G33" s="22" t="s">
        <v>282</v>
      </c>
      <c r="H33" s="22" t="s">
        <v>282</v>
      </c>
      <c r="I33" s="23">
        <v>12</v>
      </c>
      <c r="O33" s="17">
        <v>0</v>
      </c>
      <c r="P33" s="17">
        <v>1</v>
      </c>
      <c r="Q33" s="17">
        <v>0</v>
      </c>
      <c r="R33" s="17">
        <v>0</v>
      </c>
      <c r="S33" s="17">
        <v>0</v>
      </c>
      <c r="T33" s="17">
        <v>1</v>
      </c>
      <c r="U33" s="17">
        <v>1</v>
      </c>
      <c r="V33" s="17">
        <v>0</v>
      </c>
      <c r="W33" s="17" t="str">
        <f t="shared" si="3"/>
        <v>06</v>
      </c>
    </row>
    <row r="34" spans="2:23" ht="15" customHeight="1" x14ac:dyDescent="0.45">
      <c r="B34" s="20" t="s">
        <v>322</v>
      </c>
      <c r="C34" s="20" t="str">
        <f t="shared" si="1"/>
        <v>0x47</v>
      </c>
      <c r="D34" s="20" t="s">
        <v>281</v>
      </c>
      <c r="E34" s="20" t="s">
        <v>287</v>
      </c>
      <c r="F34" s="21"/>
      <c r="G34" s="22" t="s">
        <v>282</v>
      </c>
      <c r="H34" s="22" t="s">
        <v>282</v>
      </c>
      <c r="I34" s="23">
        <v>12</v>
      </c>
      <c r="O34" s="17">
        <v>0</v>
      </c>
      <c r="P34" s="17">
        <v>1</v>
      </c>
      <c r="Q34" s="17">
        <v>0</v>
      </c>
      <c r="R34" s="17">
        <v>0</v>
      </c>
      <c r="S34" s="17">
        <v>0</v>
      </c>
      <c r="T34" s="17">
        <v>1</v>
      </c>
      <c r="U34" s="17">
        <v>1</v>
      </c>
      <c r="V34" s="17">
        <v>1</v>
      </c>
      <c r="W34" s="17" t="str">
        <f t="shared" si="3"/>
        <v>07</v>
      </c>
    </row>
    <row r="35" spans="2:23" ht="15" customHeight="1" x14ac:dyDescent="0.45">
      <c r="B35" s="20" t="s">
        <v>323</v>
      </c>
      <c r="C35" s="20" t="str">
        <f t="shared" si="1"/>
        <v>0x48</v>
      </c>
      <c r="D35" s="20" t="s">
        <v>281</v>
      </c>
      <c r="E35" s="20" t="s">
        <v>287</v>
      </c>
      <c r="F35" s="21"/>
      <c r="G35" s="22" t="s">
        <v>282</v>
      </c>
      <c r="H35" s="22" t="s">
        <v>282</v>
      </c>
      <c r="I35" s="23">
        <v>24</v>
      </c>
      <c r="O35" s="17">
        <v>0</v>
      </c>
      <c r="P35" s="17">
        <v>1</v>
      </c>
      <c r="Q35" s="17">
        <v>0</v>
      </c>
      <c r="R35" s="17">
        <v>0</v>
      </c>
      <c r="S35" s="17">
        <v>1</v>
      </c>
      <c r="T35" s="17">
        <v>0</v>
      </c>
      <c r="U35" s="17">
        <v>0</v>
      </c>
      <c r="V35" s="17">
        <v>0</v>
      </c>
      <c r="W35" s="17" t="str">
        <f t="shared" si="3"/>
        <v>08</v>
      </c>
    </row>
    <row r="36" spans="2:23" ht="15" customHeight="1" x14ac:dyDescent="0.45">
      <c r="B36" s="20" t="s">
        <v>324</v>
      </c>
      <c r="C36" s="20" t="str">
        <f t="shared" si="1"/>
        <v>0x60</v>
      </c>
      <c r="D36" s="20" t="s">
        <v>281</v>
      </c>
      <c r="E36" s="20" t="s">
        <v>287</v>
      </c>
      <c r="F36" s="21"/>
      <c r="G36" s="22" t="s">
        <v>282</v>
      </c>
      <c r="H36" s="22" t="s">
        <v>282</v>
      </c>
      <c r="I36" s="23">
        <v>24</v>
      </c>
      <c r="O36" s="17">
        <v>0</v>
      </c>
      <c r="P36" s="17">
        <v>1</v>
      </c>
      <c r="Q36" s="17">
        <v>1</v>
      </c>
      <c r="R36" s="17">
        <v>0</v>
      </c>
      <c r="S36" s="17">
        <v>0</v>
      </c>
      <c r="T36" s="17">
        <v>0</v>
      </c>
      <c r="U36" s="17">
        <v>0</v>
      </c>
      <c r="V36" s="17">
        <v>0</v>
      </c>
      <c r="W36" s="17" t="str">
        <f t="shared" si="3"/>
        <v>20</v>
      </c>
    </row>
    <row r="37" spans="2:23" ht="15" customHeight="1" x14ac:dyDescent="0.45">
      <c r="B37" s="20" t="s">
        <v>325</v>
      </c>
      <c r="C37" s="20" t="str">
        <f t="shared" si="1"/>
        <v>0x4A</v>
      </c>
      <c r="D37" s="20" t="s">
        <v>281</v>
      </c>
      <c r="E37" s="20" t="s">
        <v>287</v>
      </c>
      <c r="F37" s="21"/>
      <c r="G37" s="22" t="s">
        <v>282</v>
      </c>
      <c r="H37" s="22" t="s">
        <v>282</v>
      </c>
      <c r="I37" s="23">
        <v>12</v>
      </c>
      <c r="O37" s="17">
        <v>0</v>
      </c>
      <c r="P37" s="17">
        <v>1</v>
      </c>
      <c r="Q37" s="17">
        <v>0</v>
      </c>
      <c r="R37" s="17">
        <v>0</v>
      </c>
      <c r="S37" s="17">
        <v>1</v>
      </c>
      <c r="T37" s="17">
        <v>0</v>
      </c>
      <c r="U37" s="17">
        <v>1</v>
      </c>
      <c r="V37" s="17">
        <v>0</v>
      </c>
      <c r="W37" s="17" t="str">
        <f t="shared" si="3"/>
        <v>0A</v>
      </c>
    </row>
    <row r="38" spans="2:23" ht="15" customHeight="1" x14ac:dyDescent="0.45">
      <c r="B38" s="20" t="s">
        <v>326</v>
      </c>
      <c r="C38" s="20" t="str">
        <f t="shared" si="1"/>
        <v>0x4B</v>
      </c>
      <c r="D38" s="20" t="s">
        <v>281</v>
      </c>
      <c r="E38" s="20" t="s">
        <v>287</v>
      </c>
      <c r="F38" s="21"/>
      <c r="G38" s="22" t="s">
        <v>282</v>
      </c>
      <c r="H38" s="22" t="s">
        <v>282</v>
      </c>
      <c r="I38" s="23">
        <v>12</v>
      </c>
      <c r="O38" s="17">
        <v>0</v>
      </c>
      <c r="P38" s="17">
        <v>1</v>
      </c>
      <c r="Q38" s="17">
        <v>0</v>
      </c>
      <c r="R38" s="17">
        <v>0</v>
      </c>
      <c r="S38" s="17">
        <v>1</v>
      </c>
      <c r="T38" s="17">
        <v>0</v>
      </c>
      <c r="U38" s="17">
        <v>1</v>
      </c>
      <c r="V38" s="17">
        <v>1</v>
      </c>
      <c r="W38" s="17" t="str">
        <f t="shared" si="3"/>
        <v>0B</v>
      </c>
    </row>
    <row r="39" spans="2:23" ht="15" customHeight="1" x14ac:dyDescent="0.45">
      <c r="B39" s="20" t="s">
        <v>327</v>
      </c>
      <c r="C39" s="20" t="str">
        <f t="shared" si="1"/>
        <v>0x4C</v>
      </c>
      <c r="D39" s="20" t="s">
        <v>281</v>
      </c>
      <c r="E39" s="20" t="s">
        <v>287</v>
      </c>
      <c r="F39" s="21"/>
      <c r="G39" s="22" t="s">
        <v>282</v>
      </c>
      <c r="H39" s="22" t="s">
        <v>282</v>
      </c>
      <c r="I39" s="23">
        <v>12</v>
      </c>
      <c r="O39" s="17">
        <v>0</v>
      </c>
      <c r="P39" s="17">
        <v>1</v>
      </c>
      <c r="Q39" s="17">
        <v>0</v>
      </c>
      <c r="R39" s="17">
        <v>0</v>
      </c>
      <c r="S39" s="17">
        <v>1</v>
      </c>
      <c r="T39" s="17">
        <v>1</v>
      </c>
      <c r="U39" s="17">
        <v>0</v>
      </c>
      <c r="V39" s="17">
        <v>0</v>
      </c>
      <c r="W39" s="17" t="str">
        <f t="shared" si="3"/>
        <v>0C</v>
      </c>
    </row>
    <row r="40" spans="2:23" ht="15" customHeight="1" x14ac:dyDescent="0.45">
      <c r="B40" s="20" t="s">
        <v>328</v>
      </c>
      <c r="C40" s="20" t="str">
        <f t="shared" si="1"/>
        <v>0x4D</v>
      </c>
      <c r="D40" s="20" t="s">
        <v>281</v>
      </c>
      <c r="E40" s="20" t="s">
        <v>287</v>
      </c>
      <c r="F40" s="21"/>
      <c r="G40" s="22" t="s">
        <v>282</v>
      </c>
      <c r="H40" s="22" t="s">
        <v>282</v>
      </c>
      <c r="I40" s="23">
        <v>12</v>
      </c>
      <c r="O40" s="17">
        <v>0</v>
      </c>
      <c r="P40" s="17">
        <v>1</v>
      </c>
      <c r="Q40" s="17">
        <v>0</v>
      </c>
      <c r="R40" s="17">
        <v>0</v>
      </c>
      <c r="S40" s="17">
        <v>1</v>
      </c>
      <c r="T40" s="17">
        <v>1</v>
      </c>
      <c r="U40" s="17">
        <v>0</v>
      </c>
      <c r="V40" s="17">
        <v>1</v>
      </c>
      <c r="W40" s="17" t="str">
        <f t="shared" si="3"/>
        <v>0D</v>
      </c>
    </row>
    <row r="41" spans="2:23" ht="15" customHeight="1" x14ac:dyDescent="0.45">
      <c r="B41" s="20" t="s">
        <v>329</v>
      </c>
      <c r="C41" s="20" t="str">
        <f t="shared" si="1"/>
        <v>0x4E</v>
      </c>
      <c r="D41" s="20" t="s">
        <v>281</v>
      </c>
      <c r="E41" s="20" t="s">
        <v>287</v>
      </c>
      <c r="F41" s="21"/>
      <c r="G41" s="22" t="s">
        <v>282</v>
      </c>
      <c r="H41" s="22" t="s">
        <v>282</v>
      </c>
      <c r="I41" s="23">
        <v>12</v>
      </c>
      <c r="O41" s="17">
        <v>0</v>
      </c>
      <c r="P41" s="17">
        <v>1</v>
      </c>
      <c r="Q41" s="17">
        <v>0</v>
      </c>
      <c r="R41" s="17">
        <v>0</v>
      </c>
      <c r="S41" s="17">
        <v>1</v>
      </c>
      <c r="T41" s="17">
        <v>1</v>
      </c>
      <c r="U41" s="17">
        <v>1</v>
      </c>
      <c r="V41" s="17">
        <v>0</v>
      </c>
      <c r="W41" s="17" t="str">
        <f t="shared" si="3"/>
        <v>0E</v>
      </c>
    </row>
    <row r="42" spans="2:23" ht="15" customHeight="1" x14ac:dyDescent="0.45">
      <c r="B42" s="20" t="s">
        <v>330</v>
      </c>
      <c r="C42" s="20" t="str">
        <f t="shared" si="1"/>
        <v>0x4F</v>
      </c>
      <c r="D42" s="20" t="s">
        <v>281</v>
      </c>
      <c r="E42" s="20" t="s">
        <v>287</v>
      </c>
      <c r="F42" s="21"/>
      <c r="G42" s="22" t="s">
        <v>282</v>
      </c>
      <c r="H42" s="22" t="s">
        <v>282</v>
      </c>
      <c r="I42" s="23">
        <v>12</v>
      </c>
      <c r="O42" s="17">
        <v>0</v>
      </c>
      <c r="P42" s="17">
        <v>1</v>
      </c>
      <c r="Q42" s="17">
        <v>0</v>
      </c>
      <c r="R42" s="17">
        <v>0</v>
      </c>
      <c r="S42" s="17">
        <v>1</v>
      </c>
      <c r="T42" s="17">
        <v>1</v>
      </c>
      <c r="U42" s="17">
        <v>1</v>
      </c>
      <c r="V42" s="17">
        <v>1</v>
      </c>
      <c r="W42" s="17" t="str">
        <f t="shared" si="3"/>
        <v>0F</v>
      </c>
    </row>
    <row r="43" spans="2:23" ht="15" customHeight="1" x14ac:dyDescent="0.45">
      <c r="B43" s="20" t="s">
        <v>331</v>
      </c>
      <c r="C43" s="20" t="str">
        <f t="shared" si="1"/>
        <v>0x50</v>
      </c>
      <c r="D43" s="20" t="s">
        <v>281</v>
      </c>
      <c r="E43" s="20" t="s">
        <v>287</v>
      </c>
      <c r="F43" s="21"/>
      <c r="G43" s="22" t="s">
        <v>282</v>
      </c>
      <c r="H43" s="22" t="s">
        <v>282</v>
      </c>
      <c r="I43" s="23">
        <v>12</v>
      </c>
      <c r="O43" s="17">
        <v>0</v>
      </c>
      <c r="P43" s="17">
        <v>1</v>
      </c>
      <c r="Q43" s="17">
        <v>0</v>
      </c>
      <c r="R43" s="17">
        <v>1</v>
      </c>
      <c r="S43" s="17">
        <v>0</v>
      </c>
      <c r="T43" s="17">
        <v>0</v>
      </c>
      <c r="U43" s="17">
        <v>0</v>
      </c>
      <c r="V43" s="17">
        <v>0</v>
      </c>
      <c r="W43" s="17" t="str">
        <f t="shared" si="3"/>
        <v>10</v>
      </c>
    </row>
    <row r="44" spans="2:23" ht="15" customHeight="1" x14ac:dyDescent="0.45">
      <c r="B44" s="20" t="s">
        <v>332</v>
      </c>
      <c r="C44" s="20" t="str">
        <f t="shared" si="1"/>
        <v>0x51</v>
      </c>
      <c r="D44" s="20" t="s">
        <v>281</v>
      </c>
      <c r="E44" s="20" t="s">
        <v>287</v>
      </c>
      <c r="F44" s="21"/>
      <c r="G44" s="22" t="s">
        <v>282</v>
      </c>
      <c r="H44" s="22" t="s">
        <v>282</v>
      </c>
      <c r="I44" s="23">
        <v>12</v>
      </c>
      <c r="O44" s="17">
        <v>0</v>
      </c>
      <c r="P44" s="17">
        <v>1</v>
      </c>
      <c r="Q44" s="17">
        <v>0</v>
      </c>
      <c r="R44" s="17">
        <v>1</v>
      </c>
      <c r="S44" s="17">
        <v>0</v>
      </c>
      <c r="T44" s="17">
        <v>0</v>
      </c>
      <c r="U44" s="17">
        <v>0</v>
      </c>
      <c r="V44" s="17">
        <v>1</v>
      </c>
      <c r="W44" s="17" t="str">
        <f t="shared" si="3"/>
        <v>11</v>
      </c>
    </row>
    <row r="45" spans="2:23" ht="15" customHeight="1" x14ac:dyDescent="0.45">
      <c r="B45" s="20" t="s">
        <v>333</v>
      </c>
      <c r="C45" s="20" t="str">
        <f t="shared" si="1"/>
        <v>0x52</v>
      </c>
      <c r="D45" s="20" t="s">
        <v>281</v>
      </c>
      <c r="E45" s="20" t="s">
        <v>287</v>
      </c>
      <c r="F45" s="21"/>
      <c r="G45" s="22" t="s">
        <v>282</v>
      </c>
      <c r="H45" s="22" t="s">
        <v>282</v>
      </c>
      <c r="I45" s="23">
        <v>12</v>
      </c>
      <c r="O45" s="17">
        <v>0</v>
      </c>
      <c r="P45" s="17">
        <v>1</v>
      </c>
      <c r="Q45" s="17">
        <v>0</v>
      </c>
      <c r="R45" s="17">
        <v>1</v>
      </c>
      <c r="S45" s="17">
        <v>0</v>
      </c>
      <c r="T45" s="17">
        <v>0</v>
      </c>
      <c r="U45" s="17">
        <v>1</v>
      </c>
      <c r="V45" s="17">
        <v>0</v>
      </c>
      <c r="W45" s="17" t="str">
        <f t="shared" si="3"/>
        <v>12</v>
      </c>
    </row>
    <row r="46" spans="2:23" ht="15" customHeight="1" x14ac:dyDescent="0.45">
      <c r="B46" s="20" t="s">
        <v>334</v>
      </c>
      <c r="C46" s="20" t="str">
        <f t="shared" si="1"/>
        <v>0x53</v>
      </c>
      <c r="D46" s="20" t="s">
        <v>281</v>
      </c>
      <c r="E46" s="20" t="s">
        <v>287</v>
      </c>
      <c r="F46" s="21"/>
      <c r="G46" s="22" t="s">
        <v>282</v>
      </c>
      <c r="H46" s="22" t="s">
        <v>282</v>
      </c>
      <c r="I46" s="23">
        <v>12</v>
      </c>
      <c r="O46" s="17">
        <v>0</v>
      </c>
      <c r="P46" s="17">
        <v>1</v>
      </c>
      <c r="Q46" s="17">
        <v>0</v>
      </c>
      <c r="R46" s="17">
        <v>1</v>
      </c>
      <c r="S46" s="17">
        <v>0</v>
      </c>
      <c r="T46" s="17">
        <v>0</v>
      </c>
      <c r="U46" s="17">
        <v>1</v>
      </c>
      <c r="V46" s="17">
        <v>1</v>
      </c>
      <c r="W46" s="17" t="str">
        <f t="shared" si="3"/>
        <v>13</v>
      </c>
    </row>
    <row r="47" spans="2:23" ht="15" customHeight="1" x14ac:dyDescent="0.45">
      <c r="B47" s="20" t="s">
        <v>335</v>
      </c>
      <c r="C47" s="20" t="str">
        <f t="shared" si="1"/>
        <v>0x54</v>
      </c>
      <c r="D47" s="20" t="s">
        <v>281</v>
      </c>
      <c r="E47" s="20" t="s">
        <v>287</v>
      </c>
      <c r="F47" s="21"/>
      <c r="G47" s="22" t="s">
        <v>282</v>
      </c>
      <c r="H47" s="22" t="s">
        <v>282</v>
      </c>
      <c r="I47" s="23">
        <v>12</v>
      </c>
      <c r="O47" s="17">
        <v>0</v>
      </c>
      <c r="P47" s="17">
        <v>1</v>
      </c>
      <c r="Q47" s="17">
        <v>0</v>
      </c>
      <c r="R47" s="17">
        <v>1</v>
      </c>
      <c r="S47" s="17">
        <v>0</v>
      </c>
      <c r="T47" s="17">
        <v>1</v>
      </c>
      <c r="U47" s="17">
        <v>0</v>
      </c>
      <c r="V47" s="17">
        <v>0</v>
      </c>
      <c r="W47" s="17" t="str">
        <f t="shared" si="3"/>
        <v>14</v>
      </c>
    </row>
    <row r="48" spans="2:23" ht="15" customHeight="1" x14ac:dyDescent="0.45">
      <c r="B48" s="20" t="s">
        <v>336</v>
      </c>
      <c r="C48" s="20" t="str">
        <f t="shared" si="1"/>
        <v>0x55</v>
      </c>
      <c r="D48" s="20" t="s">
        <v>281</v>
      </c>
      <c r="E48" s="20" t="s">
        <v>287</v>
      </c>
      <c r="F48" s="21"/>
      <c r="G48" s="22" t="s">
        <v>282</v>
      </c>
      <c r="H48" s="22" t="s">
        <v>282</v>
      </c>
      <c r="I48" s="23">
        <v>12</v>
      </c>
      <c r="O48" s="17">
        <v>0</v>
      </c>
      <c r="P48" s="17">
        <v>1</v>
      </c>
      <c r="Q48" s="17">
        <v>0</v>
      </c>
      <c r="R48" s="17">
        <v>1</v>
      </c>
      <c r="S48" s="17">
        <v>0</v>
      </c>
      <c r="T48" s="17">
        <v>1</v>
      </c>
      <c r="U48" s="17">
        <v>0</v>
      </c>
      <c r="V48" s="17">
        <v>1</v>
      </c>
      <c r="W48" s="17" t="str">
        <f t="shared" si="3"/>
        <v>15</v>
      </c>
    </row>
    <row r="49" spans="2:23" ht="15" customHeight="1" x14ac:dyDescent="0.45">
      <c r="B49" s="20" t="s">
        <v>337</v>
      </c>
      <c r="C49" s="20" t="str">
        <f t="shared" si="1"/>
        <v>0x56</v>
      </c>
      <c r="D49" s="20" t="s">
        <v>281</v>
      </c>
      <c r="E49" s="20" t="s">
        <v>287</v>
      </c>
      <c r="F49" s="21"/>
      <c r="G49" s="22" t="s">
        <v>282</v>
      </c>
      <c r="H49" s="22" t="s">
        <v>282</v>
      </c>
      <c r="I49" s="23">
        <v>12</v>
      </c>
      <c r="O49" s="17">
        <v>0</v>
      </c>
      <c r="P49" s="17">
        <v>1</v>
      </c>
      <c r="Q49" s="17">
        <v>0</v>
      </c>
      <c r="R49" s="17">
        <v>1</v>
      </c>
      <c r="S49" s="17">
        <v>0</v>
      </c>
      <c r="T49" s="17">
        <v>1</v>
      </c>
      <c r="U49" s="17">
        <v>1</v>
      </c>
      <c r="V49" s="17">
        <v>0</v>
      </c>
      <c r="W49" s="17" t="str">
        <f t="shared" si="3"/>
        <v>16</v>
      </c>
    </row>
    <row r="50" spans="2:23" ht="15" customHeight="1" x14ac:dyDescent="0.45">
      <c r="B50" s="20" t="s">
        <v>338</v>
      </c>
      <c r="C50" s="20" t="str">
        <f t="shared" si="1"/>
        <v>0x57</v>
      </c>
      <c r="D50" s="20" t="s">
        <v>281</v>
      </c>
      <c r="E50" s="20" t="s">
        <v>287</v>
      </c>
      <c r="F50" s="21"/>
      <c r="G50" s="22" t="s">
        <v>282</v>
      </c>
      <c r="H50" s="22" t="s">
        <v>282</v>
      </c>
      <c r="I50" s="23">
        <v>12</v>
      </c>
      <c r="O50" s="17">
        <v>0</v>
      </c>
      <c r="P50" s="17">
        <v>1</v>
      </c>
      <c r="Q50" s="17">
        <v>0</v>
      </c>
      <c r="R50" s="17">
        <v>1</v>
      </c>
      <c r="S50" s="17">
        <v>0</v>
      </c>
      <c r="T50" s="17">
        <v>1</v>
      </c>
      <c r="U50" s="17">
        <v>1</v>
      </c>
      <c r="V50" s="17">
        <v>1</v>
      </c>
      <c r="W50" s="17" t="str">
        <f t="shared" si="3"/>
        <v>17</v>
      </c>
    </row>
    <row r="51" spans="2:23" ht="15" customHeight="1" x14ac:dyDescent="0.45">
      <c r="B51" s="20" t="s">
        <v>339</v>
      </c>
      <c r="C51" s="20" t="str">
        <f t="shared" si="1"/>
        <v>0x58</v>
      </c>
      <c r="D51" s="20" t="s">
        <v>281</v>
      </c>
      <c r="E51" s="20" t="s">
        <v>287</v>
      </c>
      <c r="F51" s="21"/>
      <c r="G51" s="22" t="s">
        <v>282</v>
      </c>
      <c r="H51" s="22" t="s">
        <v>282</v>
      </c>
      <c r="I51" s="23">
        <v>12</v>
      </c>
      <c r="O51" s="17">
        <v>0</v>
      </c>
      <c r="P51" s="17">
        <v>1</v>
      </c>
      <c r="Q51" s="17">
        <v>0</v>
      </c>
      <c r="R51" s="17">
        <v>1</v>
      </c>
      <c r="S51" s="17">
        <v>1</v>
      </c>
      <c r="T51" s="17">
        <v>0</v>
      </c>
      <c r="U51" s="17">
        <v>0</v>
      </c>
      <c r="V51" s="17">
        <v>0</v>
      </c>
      <c r="W51" s="17" t="str">
        <f t="shared" si="3"/>
        <v>18</v>
      </c>
    </row>
    <row r="52" spans="2:23" ht="15" customHeight="1" x14ac:dyDescent="0.45">
      <c r="B52" s="20" t="s">
        <v>340</v>
      </c>
      <c r="C52" s="20" t="str">
        <f t="shared" si="1"/>
        <v>0x59</v>
      </c>
      <c r="D52" s="20" t="s">
        <v>281</v>
      </c>
      <c r="E52" s="20" t="s">
        <v>287</v>
      </c>
      <c r="F52" s="21"/>
      <c r="G52" s="22" t="s">
        <v>282</v>
      </c>
      <c r="H52" s="22" t="s">
        <v>282</v>
      </c>
      <c r="I52" s="23">
        <v>12</v>
      </c>
      <c r="O52" s="17">
        <v>0</v>
      </c>
      <c r="P52" s="17">
        <v>1</v>
      </c>
      <c r="Q52" s="17">
        <v>0</v>
      </c>
      <c r="R52" s="17">
        <v>1</v>
      </c>
      <c r="S52" s="17">
        <v>1</v>
      </c>
      <c r="T52" s="17">
        <v>0</v>
      </c>
      <c r="U52" s="17">
        <v>0</v>
      </c>
      <c r="V52" s="17">
        <v>1</v>
      </c>
      <c r="W52" s="17" t="str">
        <f t="shared" si="3"/>
        <v>19</v>
      </c>
    </row>
    <row r="53" spans="2:23" ht="15" customHeight="1" x14ac:dyDescent="0.45">
      <c r="B53" s="20" t="s">
        <v>341</v>
      </c>
      <c r="C53" s="20" t="str">
        <f t="shared" si="1"/>
        <v>0x5A</v>
      </c>
      <c r="D53" s="20" t="s">
        <v>313</v>
      </c>
      <c r="E53" s="20" t="s">
        <v>287</v>
      </c>
      <c r="F53" s="21"/>
      <c r="G53" s="22" t="s">
        <v>282</v>
      </c>
      <c r="H53" s="22" t="s">
        <v>282</v>
      </c>
      <c r="I53" s="23">
        <v>12</v>
      </c>
      <c r="O53" s="17">
        <v>0</v>
      </c>
      <c r="P53" s="17">
        <v>1</v>
      </c>
      <c r="Q53" s="17">
        <v>0</v>
      </c>
      <c r="R53" s="17">
        <v>1</v>
      </c>
      <c r="S53" s="17">
        <v>1</v>
      </c>
      <c r="T53" s="17">
        <v>0</v>
      </c>
      <c r="U53" s="17">
        <v>1</v>
      </c>
      <c r="V53" s="17">
        <v>0</v>
      </c>
      <c r="W53" s="17" t="str">
        <f>BIN2HEX(_xlfn.CONCAT(Q53,R53,S53,T53,U53,V53),2)</f>
        <v>1A</v>
      </c>
    </row>
  </sheetData>
  <mergeCells count="5">
    <mergeCell ref="B2:B3"/>
    <mergeCell ref="C2:E2"/>
    <mergeCell ref="F2:H2"/>
    <mergeCell ref="I2:I3"/>
    <mergeCell ref="M7:N7"/>
  </mergeCells>
  <phoneticPr fontId="4"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9E20-50D0-4CF9-8A03-E2AD8F819E91}">
  <dimension ref="B2:AC32"/>
  <sheetViews>
    <sheetView zoomScale="85" zoomScaleNormal="85" workbookViewId="0">
      <selection activeCell="B3" sqref="B3:G25"/>
    </sheetView>
  </sheetViews>
  <sheetFormatPr defaultColWidth="9" defaultRowHeight="17" customHeight="1" x14ac:dyDescent="0.45"/>
  <cols>
    <col min="1" max="1" width="2.58203125" style="3" customWidth="1"/>
    <col min="2" max="2" width="5.83203125" style="11" bestFit="1" customWidth="1"/>
    <col min="3" max="3" width="15.9140625" style="3" bestFit="1" customWidth="1"/>
    <col min="4" max="4" width="5.1640625" style="3" bestFit="1" customWidth="1"/>
    <col min="5" max="5" width="5.33203125" style="3" bestFit="1" customWidth="1"/>
    <col min="6" max="6" width="10.9140625" style="3" bestFit="1" customWidth="1"/>
    <col min="7" max="7" width="4.58203125" style="3" bestFit="1" customWidth="1"/>
    <col min="8" max="11" width="5.58203125" style="3" bestFit="1" customWidth="1"/>
    <col min="12" max="12" width="8.08203125" style="3" bestFit="1" customWidth="1"/>
    <col min="13" max="14" width="9.4140625" style="3" bestFit="1" customWidth="1"/>
    <col min="15" max="15" width="9.33203125" style="3" bestFit="1" customWidth="1"/>
    <col min="16" max="16" width="10.83203125" style="3" bestFit="1" customWidth="1"/>
    <col min="17" max="17" width="9.9140625" style="3" bestFit="1" customWidth="1"/>
    <col min="18" max="18" width="12.33203125" style="3" bestFit="1" customWidth="1"/>
    <col min="19" max="19" width="10.83203125" style="3" bestFit="1" customWidth="1"/>
    <col min="20" max="20" width="7.58203125" style="3" bestFit="1" customWidth="1"/>
    <col min="21" max="21" width="7.4140625" style="3" bestFit="1" customWidth="1"/>
    <col min="22" max="22" width="8.4140625" style="3" bestFit="1" customWidth="1"/>
    <col min="23" max="23" width="8.9140625" style="3" bestFit="1" customWidth="1"/>
    <col min="24" max="27" width="3.58203125" style="3" bestFit="1" customWidth="1"/>
    <col min="28" max="28" width="14.4140625" style="3" bestFit="1" customWidth="1"/>
    <col min="29" max="29" width="8.58203125" style="3" bestFit="1" customWidth="1"/>
    <col min="30" max="16384" width="9" style="3"/>
  </cols>
  <sheetData>
    <row r="2" spans="2:29" ht="23" x14ac:dyDescent="0.45">
      <c r="B2" s="1" t="s">
        <v>0</v>
      </c>
      <c r="C2" s="1" t="s">
        <v>1</v>
      </c>
      <c r="D2" s="1" t="s">
        <v>533</v>
      </c>
      <c r="E2" s="1" t="s">
        <v>532</v>
      </c>
      <c r="F2" s="2" t="s">
        <v>2</v>
      </c>
      <c r="G2" s="2" t="s">
        <v>3</v>
      </c>
      <c r="H2" s="2" t="s">
        <v>4</v>
      </c>
      <c r="I2" s="2" t="s">
        <v>5</v>
      </c>
      <c r="J2" s="2" t="s">
        <v>6</v>
      </c>
      <c r="K2" s="2" t="s">
        <v>7</v>
      </c>
      <c r="L2" s="2" t="s">
        <v>8</v>
      </c>
      <c r="M2" s="2" t="s">
        <v>9</v>
      </c>
      <c r="N2" s="2" t="s">
        <v>10</v>
      </c>
      <c r="O2" s="2" t="s">
        <v>11</v>
      </c>
      <c r="P2" s="1" t="s">
        <v>12</v>
      </c>
      <c r="Q2" s="1" t="s">
        <v>13</v>
      </c>
      <c r="R2" s="1" t="s">
        <v>14</v>
      </c>
      <c r="S2" s="1" t="s">
        <v>15</v>
      </c>
      <c r="T2" s="1" t="s">
        <v>16</v>
      </c>
      <c r="U2" s="1" t="s">
        <v>17</v>
      </c>
      <c r="V2" s="1" t="s">
        <v>18</v>
      </c>
      <c r="W2" s="1" t="s">
        <v>19</v>
      </c>
      <c r="X2" s="64" t="s">
        <v>20</v>
      </c>
      <c r="Y2" s="65"/>
      <c r="Z2" s="65"/>
      <c r="AA2" s="66"/>
      <c r="AB2" s="2" t="s">
        <v>21</v>
      </c>
      <c r="AC2" s="2" t="s">
        <v>22</v>
      </c>
    </row>
    <row r="3" spans="2:29" ht="17" customHeight="1" x14ac:dyDescent="0.45">
      <c r="B3" s="4" t="s">
        <v>30</v>
      </c>
      <c r="C3" s="4" t="s">
        <v>31</v>
      </c>
      <c r="D3" s="4" t="s">
        <v>269</v>
      </c>
      <c r="E3" s="4" t="s">
        <v>534</v>
      </c>
      <c r="F3" s="4" t="s">
        <v>32</v>
      </c>
      <c r="G3" s="4" t="s">
        <v>33</v>
      </c>
      <c r="H3" s="5" t="s">
        <v>34</v>
      </c>
      <c r="I3" s="5" t="s">
        <v>34</v>
      </c>
      <c r="J3" s="5" t="s">
        <v>34</v>
      </c>
      <c r="K3" s="5" t="s">
        <v>34</v>
      </c>
      <c r="L3" s="6" t="s">
        <v>35</v>
      </c>
      <c r="M3" s="6" t="s">
        <v>35</v>
      </c>
      <c r="N3" s="6" t="s">
        <v>35</v>
      </c>
      <c r="O3" s="6" t="s">
        <v>35</v>
      </c>
      <c r="P3" s="6" t="s">
        <v>35</v>
      </c>
      <c r="Q3" s="63" t="s">
        <v>36</v>
      </c>
      <c r="R3" s="63"/>
      <c r="S3" s="63"/>
      <c r="T3" s="63" t="s">
        <v>37</v>
      </c>
      <c r="U3" s="63"/>
      <c r="V3" s="63" t="s">
        <v>38</v>
      </c>
      <c r="W3" s="63"/>
      <c r="X3" s="5">
        <v>0</v>
      </c>
      <c r="Y3" s="5">
        <v>0</v>
      </c>
      <c r="Z3" s="5">
        <v>0</v>
      </c>
      <c r="AA3" s="5">
        <v>0</v>
      </c>
      <c r="AB3" s="8" t="s">
        <v>39</v>
      </c>
      <c r="AC3" s="4" t="str">
        <f>_xlfn.CONCAT("0x",BIN2HEX(MID(AB3,1,4),1),BIN2HEX(MID(AB3,6,4),1),BIN2HEX(MID(AB3,11,4),1))</f>
        <v>0x000</v>
      </c>
    </row>
    <row r="4" spans="2:29" ht="17" customHeight="1" x14ac:dyDescent="0.45">
      <c r="B4" s="9" t="s">
        <v>40</v>
      </c>
      <c r="C4" s="4" t="s">
        <v>41</v>
      </c>
      <c r="D4" s="4" t="s">
        <v>269</v>
      </c>
      <c r="E4" s="4" t="s">
        <v>535</v>
      </c>
      <c r="F4" s="4" t="s">
        <v>32</v>
      </c>
      <c r="G4" s="4" t="s">
        <v>42</v>
      </c>
      <c r="H4" s="5" t="s">
        <v>34</v>
      </c>
      <c r="I4" s="5" t="s">
        <v>34</v>
      </c>
      <c r="J4" s="5" t="s">
        <v>34</v>
      </c>
      <c r="K4" s="5" t="s">
        <v>34</v>
      </c>
      <c r="L4" s="7" t="s">
        <v>43</v>
      </c>
      <c r="M4" s="7" t="s">
        <v>44</v>
      </c>
      <c r="N4" s="7" t="s">
        <v>45</v>
      </c>
      <c r="O4" s="7" t="s">
        <v>46</v>
      </c>
      <c r="P4" s="7" t="s">
        <v>47</v>
      </c>
      <c r="Q4" s="7" t="s">
        <v>48</v>
      </c>
      <c r="R4" s="7" t="s">
        <v>49</v>
      </c>
      <c r="S4" s="7" t="s">
        <v>50</v>
      </c>
      <c r="T4" s="7" t="s">
        <v>51</v>
      </c>
      <c r="U4" s="7" t="s">
        <v>52</v>
      </c>
      <c r="V4" s="7" t="s">
        <v>53</v>
      </c>
      <c r="W4" s="7" t="s">
        <v>54</v>
      </c>
      <c r="X4" s="5">
        <v>0</v>
      </c>
      <c r="Y4" s="5">
        <v>0</v>
      </c>
      <c r="Z4" s="5">
        <v>0</v>
      </c>
      <c r="AA4" s="5">
        <v>0</v>
      </c>
      <c r="AB4" s="8" t="s">
        <v>39</v>
      </c>
      <c r="AC4" s="4" t="str">
        <f t="shared" ref="AC4:AC13" si="0">_xlfn.CONCAT("0x",BIN2HEX(MID(AB4,1,4),1),BIN2HEX(MID(AB4,6,4),1),BIN2HEX(MID(AB4,11,4),1))</f>
        <v>0x000</v>
      </c>
    </row>
    <row r="5" spans="2:29" ht="17" customHeight="1" x14ac:dyDescent="0.45">
      <c r="B5" s="4" t="s">
        <v>55</v>
      </c>
      <c r="C5" s="4" t="s">
        <v>56</v>
      </c>
      <c r="D5" s="4" t="s">
        <v>269</v>
      </c>
      <c r="E5" s="4" t="s">
        <v>536</v>
      </c>
      <c r="F5" s="4" t="s">
        <v>32</v>
      </c>
      <c r="G5" s="4" t="s">
        <v>33</v>
      </c>
      <c r="H5" s="5" t="s">
        <v>34</v>
      </c>
      <c r="I5" s="5" t="s">
        <v>34</v>
      </c>
      <c r="J5" s="5" t="s">
        <v>34</v>
      </c>
      <c r="K5" s="5" t="s">
        <v>34</v>
      </c>
      <c r="L5" s="6" t="s">
        <v>35</v>
      </c>
      <c r="M5" s="6" t="s">
        <v>35</v>
      </c>
      <c r="N5" s="63" t="s">
        <v>57</v>
      </c>
      <c r="O5" s="63"/>
      <c r="P5" s="63"/>
      <c r="Q5" s="63"/>
      <c r="R5" s="63"/>
      <c r="S5" s="63"/>
      <c r="T5" s="63"/>
      <c r="U5" s="63"/>
      <c r="V5" s="63"/>
      <c r="W5" s="63"/>
      <c r="X5" s="5">
        <v>0</v>
      </c>
      <c r="Y5" s="5">
        <v>0</v>
      </c>
      <c r="Z5" s="5">
        <v>0</v>
      </c>
      <c r="AA5" s="5">
        <v>0</v>
      </c>
      <c r="AB5" s="8" t="s">
        <v>39</v>
      </c>
      <c r="AC5" s="4" t="str">
        <f t="shared" si="0"/>
        <v>0x000</v>
      </c>
    </row>
    <row r="6" spans="2:29" ht="17" customHeight="1" x14ac:dyDescent="0.45">
      <c r="B6" s="4" t="s">
        <v>58</v>
      </c>
      <c r="C6" s="4" t="s">
        <v>59</v>
      </c>
      <c r="D6" s="4" t="s">
        <v>269</v>
      </c>
      <c r="E6" s="4" t="s">
        <v>537</v>
      </c>
      <c r="F6" s="4" t="s">
        <v>32</v>
      </c>
      <c r="G6" s="4" t="s">
        <v>33</v>
      </c>
      <c r="H6" s="5" t="s">
        <v>34</v>
      </c>
      <c r="I6" s="5" t="s">
        <v>34</v>
      </c>
      <c r="J6" s="5" t="s">
        <v>34</v>
      </c>
      <c r="K6" s="5" t="s">
        <v>34</v>
      </c>
      <c r="L6" s="6" t="s">
        <v>35</v>
      </c>
      <c r="M6" s="6" t="s">
        <v>35</v>
      </c>
      <c r="N6" s="63" t="s">
        <v>60</v>
      </c>
      <c r="O6" s="63"/>
      <c r="P6" s="63"/>
      <c r="Q6" s="63"/>
      <c r="R6" s="63"/>
      <c r="S6" s="63"/>
      <c r="T6" s="63"/>
      <c r="U6" s="63"/>
      <c r="V6" s="63"/>
      <c r="W6" s="63"/>
      <c r="X6" s="5">
        <v>0</v>
      </c>
      <c r="Y6" s="5">
        <v>0</v>
      </c>
      <c r="Z6" s="5">
        <v>0</v>
      </c>
      <c r="AA6" s="5">
        <v>0</v>
      </c>
      <c r="AB6" s="8" t="s">
        <v>39</v>
      </c>
      <c r="AC6" s="4" t="str">
        <f t="shared" si="0"/>
        <v>0x000</v>
      </c>
    </row>
    <row r="7" spans="2:29" ht="17" customHeight="1" x14ac:dyDescent="0.45">
      <c r="B7" s="9" t="s">
        <v>61</v>
      </c>
      <c r="C7" s="4" t="s">
        <v>62</v>
      </c>
      <c r="D7" s="4" t="s">
        <v>559</v>
      </c>
      <c r="E7" s="4" t="s">
        <v>538</v>
      </c>
      <c r="F7" s="4" t="s">
        <v>32</v>
      </c>
      <c r="G7" s="4" t="s">
        <v>63</v>
      </c>
      <c r="H7" s="5" t="s">
        <v>34</v>
      </c>
      <c r="I7" s="5" t="s">
        <v>34</v>
      </c>
      <c r="J7" s="5" t="s">
        <v>34</v>
      </c>
      <c r="K7" s="5" t="s">
        <v>34</v>
      </c>
      <c r="L7" s="7" t="s">
        <v>64</v>
      </c>
      <c r="M7" s="7" t="s">
        <v>65</v>
      </c>
      <c r="N7" s="7" t="s">
        <v>66</v>
      </c>
      <c r="O7" s="7" t="s">
        <v>67</v>
      </c>
      <c r="P7" s="7" t="s">
        <v>68</v>
      </c>
      <c r="Q7" s="7" t="s">
        <v>69</v>
      </c>
      <c r="R7" s="7" t="s">
        <v>70</v>
      </c>
      <c r="S7" s="7" t="s">
        <v>71</v>
      </c>
      <c r="T7" s="63" t="s">
        <v>72</v>
      </c>
      <c r="U7" s="63"/>
      <c r="V7" s="63"/>
      <c r="W7" s="63"/>
      <c r="X7" s="5">
        <v>0</v>
      </c>
      <c r="Y7" s="5">
        <v>0</v>
      </c>
      <c r="Z7" s="5">
        <v>0</v>
      </c>
      <c r="AA7" s="5">
        <v>0</v>
      </c>
      <c r="AB7" s="8" t="s">
        <v>39</v>
      </c>
      <c r="AC7" s="4" t="str">
        <f t="shared" si="0"/>
        <v>0x000</v>
      </c>
    </row>
    <row r="8" spans="2:29" ht="17" customHeight="1" x14ac:dyDescent="0.45">
      <c r="B8" s="4" t="s">
        <v>73</v>
      </c>
      <c r="C8" s="4" t="s">
        <v>74</v>
      </c>
      <c r="D8" s="4" t="s">
        <v>560</v>
      </c>
      <c r="E8" s="4" t="s">
        <v>539</v>
      </c>
      <c r="F8" s="4" t="s">
        <v>32</v>
      </c>
      <c r="G8" s="4" t="s">
        <v>63</v>
      </c>
      <c r="H8" s="5" t="s">
        <v>34</v>
      </c>
      <c r="I8" s="5" t="s">
        <v>34</v>
      </c>
      <c r="J8" s="5" t="s">
        <v>34</v>
      </c>
      <c r="K8" s="5" t="s">
        <v>34</v>
      </c>
      <c r="L8" s="6" t="s">
        <v>35</v>
      </c>
      <c r="M8" s="6" t="s">
        <v>35</v>
      </c>
      <c r="N8" s="6" t="s">
        <v>35</v>
      </c>
      <c r="O8" s="6" t="s">
        <v>35</v>
      </c>
      <c r="P8" s="6" t="s">
        <v>35</v>
      </c>
      <c r="Q8" s="7" t="s">
        <v>75</v>
      </c>
      <c r="R8" s="57" t="s">
        <v>76</v>
      </c>
      <c r="S8" s="7" t="s">
        <v>77</v>
      </c>
      <c r="T8" s="63" t="s">
        <v>78</v>
      </c>
      <c r="U8" s="63"/>
      <c r="V8" s="63" t="s">
        <v>79</v>
      </c>
      <c r="W8" s="63"/>
      <c r="X8" s="5">
        <v>0</v>
      </c>
      <c r="Y8" s="5">
        <v>0</v>
      </c>
      <c r="Z8" s="5">
        <v>0</v>
      </c>
      <c r="AA8" s="5">
        <v>0</v>
      </c>
      <c r="AB8" s="8" t="s">
        <v>80</v>
      </c>
      <c r="AC8" s="4" t="str">
        <f>_xlfn.CONCAT("0x",BIN2HEX(MID(AB8,1,4),1),BIN2HEX(MID(AB8,6,4),1),BIN2HEX(MID(AB8,11,4),1))</f>
        <v>0x00E</v>
      </c>
    </row>
    <row r="9" spans="2:29" ht="17" customHeight="1" x14ac:dyDescent="0.45">
      <c r="B9" s="4" t="s">
        <v>81</v>
      </c>
      <c r="C9" s="4" t="s">
        <v>82</v>
      </c>
      <c r="D9" s="4" t="s">
        <v>563</v>
      </c>
      <c r="E9" s="4" t="s">
        <v>542</v>
      </c>
      <c r="F9" s="4" t="s">
        <v>32</v>
      </c>
      <c r="G9" s="4" t="s">
        <v>63</v>
      </c>
      <c r="H9" s="5" t="s">
        <v>34</v>
      </c>
      <c r="I9" s="5" t="s">
        <v>34</v>
      </c>
      <c r="J9" s="5" t="s">
        <v>34</v>
      </c>
      <c r="K9" s="5" t="s">
        <v>34</v>
      </c>
      <c r="L9" s="6" t="s">
        <v>35</v>
      </c>
      <c r="M9" s="6" t="s">
        <v>35</v>
      </c>
      <c r="N9" s="63" t="s">
        <v>83</v>
      </c>
      <c r="O9" s="63"/>
      <c r="P9" s="63"/>
      <c r="Q9" s="63"/>
      <c r="R9" s="63"/>
      <c r="S9" s="63"/>
      <c r="T9" s="63"/>
      <c r="U9" s="63"/>
      <c r="V9" s="63"/>
      <c r="W9" s="63"/>
      <c r="X9" s="5">
        <v>0</v>
      </c>
      <c r="Y9" s="5">
        <v>0</v>
      </c>
      <c r="Z9" s="5">
        <v>0</v>
      </c>
      <c r="AA9" s="5">
        <v>0</v>
      </c>
      <c r="AB9" s="8" t="s">
        <v>39</v>
      </c>
      <c r="AC9" s="4" t="str">
        <f t="shared" si="0"/>
        <v>0x000</v>
      </c>
    </row>
    <row r="10" spans="2:29" ht="17" customHeight="1" x14ac:dyDescent="0.45">
      <c r="B10" s="9" t="s">
        <v>84</v>
      </c>
      <c r="C10" s="4" t="s">
        <v>85</v>
      </c>
      <c r="D10" s="4" t="s">
        <v>564</v>
      </c>
      <c r="E10" s="4" t="s">
        <v>543</v>
      </c>
      <c r="F10" s="4" t="s">
        <v>32</v>
      </c>
      <c r="G10" s="4" t="s">
        <v>63</v>
      </c>
      <c r="H10" s="5" t="s">
        <v>34</v>
      </c>
      <c r="I10" s="5" t="s">
        <v>34</v>
      </c>
      <c r="J10" s="5" t="s">
        <v>34</v>
      </c>
      <c r="K10" s="5" t="s">
        <v>34</v>
      </c>
      <c r="L10" s="6" t="s">
        <v>35</v>
      </c>
      <c r="M10" s="6" t="s">
        <v>35</v>
      </c>
      <c r="N10" s="63" t="s">
        <v>86</v>
      </c>
      <c r="O10" s="63"/>
      <c r="P10" s="63"/>
      <c r="Q10" s="63"/>
      <c r="R10" s="63"/>
      <c r="S10" s="63"/>
      <c r="T10" s="63"/>
      <c r="U10" s="63"/>
      <c r="V10" s="63"/>
      <c r="W10" s="63"/>
      <c r="X10" s="5">
        <v>0</v>
      </c>
      <c r="Y10" s="5">
        <v>0</v>
      </c>
      <c r="Z10" s="5">
        <v>0</v>
      </c>
      <c r="AA10" s="5">
        <v>0</v>
      </c>
      <c r="AB10" s="8" t="s">
        <v>39</v>
      </c>
      <c r="AC10" s="4" t="str">
        <f t="shared" si="0"/>
        <v>0x000</v>
      </c>
    </row>
    <row r="11" spans="2:29" ht="17" customHeight="1" x14ac:dyDescent="0.45">
      <c r="B11" s="4" t="s">
        <v>87</v>
      </c>
      <c r="C11" s="4" t="s">
        <v>88</v>
      </c>
      <c r="D11" s="4" t="s">
        <v>269</v>
      </c>
      <c r="E11" s="4" t="s">
        <v>544</v>
      </c>
      <c r="F11" s="4" t="s">
        <v>32</v>
      </c>
      <c r="G11" s="4" t="s">
        <v>33</v>
      </c>
      <c r="H11" s="5" t="s">
        <v>34</v>
      </c>
      <c r="I11" s="5" t="s">
        <v>34</v>
      </c>
      <c r="J11" s="5" t="s">
        <v>34</v>
      </c>
      <c r="K11" s="5" t="s">
        <v>34</v>
      </c>
      <c r="L11" s="63" t="s">
        <v>89</v>
      </c>
      <c r="M11" s="63"/>
      <c r="N11" s="63"/>
      <c r="O11" s="63"/>
      <c r="P11" s="63"/>
      <c r="Q11" s="63"/>
      <c r="R11" s="63"/>
      <c r="S11" s="63"/>
      <c r="T11" s="63"/>
      <c r="U11" s="63"/>
      <c r="V11" s="63"/>
      <c r="W11" s="63"/>
      <c r="X11" s="5">
        <v>0</v>
      </c>
      <c r="Y11" s="5">
        <v>0</v>
      </c>
      <c r="Z11" s="5">
        <v>0</v>
      </c>
      <c r="AA11" s="5">
        <v>0</v>
      </c>
      <c r="AB11" s="8" t="s">
        <v>39</v>
      </c>
      <c r="AC11" s="4" t="str">
        <f t="shared" si="0"/>
        <v>0x000</v>
      </c>
    </row>
    <row r="12" spans="2:29" ht="17" customHeight="1" x14ac:dyDescent="0.45">
      <c r="B12" s="9" t="s">
        <v>90</v>
      </c>
      <c r="C12" s="4" t="s">
        <v>91</v>
      </c>
      <c r="D12" s="4" t="s">
        <v>269</v>
      </c>
      <c r="E12" s="4" t="s">
        <v>545</v>
      </c>
      <c r="F12" s="4" t="s">
        <v>32</v>
      </c>
      <c r="G12" s="4" t="s">
        <v>33</v>
      </c>
      <c r="H12" s="5" t="s">
        <v>34</v>
      </c>
      <c r="I12" s="5" t="s">
        <v>34</v>
      </c>
      <c r="J12" s="5" t="s">
        <v>34</v>
      </c>
      <c r="K12" s="5" t="s">
        <v>34</v>
      </c>
      <c r="L12" s="63" t="s">
        <v>92</v>
      </c>
      <c r="M12" s="63"/>
      <c r="N12" s="63"/>
      <c r="O12" s="63"/>
      <c r="P12" s="63"/>
      <c r="Q12" s="63"/>
      <c r="R12" s="63"/>
      <c r="S12" s="63"/>
      <c r="T12" s="63"/>
      <c r="U12" s="63"/>
      <c r="V12" s="63"/>
      <c r="W12" s="63"/>
      <c r="X12" s="5">
        <v>0</v>
      </c>
      <c r="Y12" s="5">
        <v>0</v>
      </c>
      <c r="Z12" s="5">
        <v>0</v>
      </c>
      <c r="AA12" s="5">
        <v>0</v>
      </c>
      <c r="AB12" s="8" t="s">
        <v>39</v>
      </c>
      <c r="AC12" s="4" t="str">
        <f t="shared" si="0"/>
        <v>0x000</v>
      </c>
    </row>
    <row r="13" spans="2:29" ht="17" customHeight="1" x14ac:dyDescent="0.45">
      <c r="B13" s="4" t="s">
        <v>93</v>
      </c>
      <c r="C13" s="4" t="s">
        <v>94</v>
      </c>
      <c r="D13" s="4" t="s">
        <v>269</v>
      </c>
      <c r="E13" s="4" t="s">
        <v>546</v>
      </c>
      <c r="F13" s="4" t="s">
        <v>32</v>
      </c>
      <c r="G13" s="4" t="s">
        <v>33</v>
      </c>
      <c r="H13" s="5" t="s">
        <v>34</v>
      </c>
      <c r="I13" s="5" t="s">
        <v>34</v>
      </c>
      <c r="J13" s="5" t="s">
        <v>34</v>
      </c>
      <c r="K13" s="5" t="s">
        <v>34</v>
      </c>
      <c r="L13" s="63" t="s">
        <v>95</v>
      </c>
      <c r="M13" s="63"/>
      <c r="N13" s="63"/>
      <c r="O13" s="63"/>
      <c r="P13" s="63"/>
      <c r="Q13" s="63"/>
      <c r="R13" s="63"/>
      <c r="S13" s="63"/>
      <c r="T13" s="63"/>
      <c r="U13" s="63"/>
      <c r="V13" s="63"/>
      <c r="W13" s="63"/>
      <c r="X13" s="5">
        <v>0</v>
      </c>
      <c r="Y13" s="5">
        <v>0</v>
      </c>
      <c r="Z13" s="5">
        <v>0</v>
      </c>
      <c r="AA13" s="5">
        <v>0</v>
      </c>
      <c r="AB13" s="8" t="s">
        <v>39</v>
      </c>
      <c r="AC13" s="4" t="str">
        <f t="shared" si="0"/>
        <v>0x000</v>
      </c>
    </row>
    <row r="14" spans="2:29" ht="17" customHeight="1" x14ac:dyDescent="0.45">
      <c r="B14" s="4" t="s">
        <v>96</v>
      </c>
      <c r="C14" s="4" t="s">
        <v>97</v>
      </c>
      <c r="D14" s="4" t="s">
        <v>565</v>
      </c>
      <c r="E14" s="4" t="s">
        <v>547</v>
      </c>
      <c r="F14" s="4" t="s">
        <v>32</v>
      </c>
      <c r="G14" s="4" t="s">
        <v>63</v>
      </c>
      <c r="H14" s="5" t="s">
        <v>34</v>
      </c>
      <c r="I14" s="5" t="s">
        <v>34</v>
      </c>
      <c r="J14" s="5" t="s">
        <v>34</v>
      </c>
      <c r="K14" s="5" t="s">
        <v>34</v>
      </c>
      <c r="L14" s="63" t="s">
        <v>98</v>
      </c>
      <c r="M14" s="63"/>
      <c r="N14" s="63"/>
      <c r="O14" s="63"/>
      <c r="P14" s="63" t="s">
        <v>99</v>
      </c>
      <c r="Q14" s="63"/>
      <c r="R14" s="63"/>
      <c r="S14" s="63"/>
      <c r="T14" s="63" t="s">
        <v>100</v>
      </c>
      <c r="U14" s="63"/>
      <c r="V14" s="63"/>
      <c r="W14" s="63"/>
      <c r="X14" s="5">
        <v>0</v>
      </c>
      <c r="Y14" s="5">
        <v>0</v>
      </c>
      <c r="Z14" s="5">
        <v>0</v>
      </c>
      <c r="AA14" s="5">
        <v>0</v>
      </c>
      <c r="AB14" s="8" t="s">
        <v>101</v>
      </c>
      <c r="AC14" s="4" t="str">
        <f>_xlfn.CONCAT("0x",BIN2HEX(MID(AB14,1,4),1),BIN2HEX(MID(AB14,6,4),1),BIN2HEX(MID(AB14,11,4),1))</f>
        <v>0x888</v>
      </c>
    </row>
    <row r="15" spans="2:29" ht="17" customHeight="1" x14ac:dyDescent="0.45">
      <c r="B15" s="4" t="s">
        <v>102</v>
      </c>
      <c r="C15" s="4" t="s">
        <v>103</v>
      </c>
      <c r="D15" s="4" t="s">
        <v>566</v>
      </c>
      <c r="E15" s="4" t="s">
        <v>548</v>
      </c>
      <c r="F15" s="4" t="s">
        <v>32</v>
      </c>
      <c r="G15" s="4" t="s">
        <v>63</v>
      </c>
      <c r="H15" s="5" t="s">
        <v>34</v>
      </c>
      <c r="I15" s="5" t="s">
        <v>34</v>
      </c>
      <c r="J15" s="5" t="s">
        <v>34</v>
      </c>
      <c r="K15" s="5" t="s">
        <v>34</v>
      </c>
      <c r="L15" s="63" t="s">
        <v>104</v>
      </c>
      <c r="M15" s="63"/>
      <c r="N15" s="63"/>
      <c r="O15" s="63"/>
      <c r="P15" s="63"/>
      <c r="Q15" s="63"/>
      <c r="R15" s="63"/>
      <c r="S15" s="63"/>
      <c r="T15" s="63"/>
      <c r="U15" s="63"/>
      <c r="V15" s="63"/>
      <c r="W15" s="63"/>
      <c r="X15" s="5">
        <v>0</v>
      </c>
      <c r="Y15" s="5">
        <v>0</v>
      </c>
      <c r="Z15" s="5">
        <v>0</v>
      </c>
      <c r="AA15" s="5">
        <v>0</v>
      </c>
      <c r="AB15" s="8" t="s">
        <v>105</v>
      </c>
      <c r="AC15" s="4" t="str">
        <f t="shared" ref="AC15:AC24" si="1">_xlfn.CONCAT("0x",BIN2HEX(MID(AB15,1,4),1),BIN2HEX(MID(AB15,6,4),1),BIN2HEX(MID(AB15,11,4),1))</f>
        <v>0x200</v>
      </c>
    </row>
    <row r="16" spans="2:29" ht="17" customHeight="1" x14ac:dyDescent="0.45">
      <c r="B16" s="4" t="s">
        <v>106</v>
      </c>
      <c r="C16" s="4" t="s">
        <v>107</v>
      </c>
      <c r="D16" s="4" t="s">
        <v>567</v>
      </c>
      <c r="E16" s="4" t="s">
        <v>549</v>
      </c>
      <c r="F16" s="4" t="s">
        <v>32</v>
      </c>
      <c r="G16" s="4" t="s">
        <v>63</v>
      </c>
      <c r="H16" s="5" t="s">
        <v>34</v>
      </c>
      <c r="I16" s="5" t="s">
        <v>34</v>
      </c>
      <c r="J16" s="5" t="s">
        <v>34</v>
      </c>
      <c r="K16" s="5" t="s">
        <v>34</v>
      </c>
      <c r="L16" s="63" t="s">
        <v>108</v>
      </c>
      <c r="M16" s="63"/>
      <c r="N16" s="63"/>
      <c r="O16" s="63"/>
      <c r="P16" s="63"/>
      <c r="Q16" s="63"/>
      <c r="R16" s="63"/>
      <c r="S16" s="63"/>
      <c r="T16" s="63"/>
      <c r="U16" s="63"/>
      <c r="V16" s="63"/>
      <c r="W16" s="63"/>
      <c r="X16" s="5">
        <v>0</v>
      </c>
      <c r="Y16" s="5">
        <v>0</v>
      </c>
      <c r="Z16" s="5">
        <v>0</v>
      </c>
      <c r="AA16" s="5">
        <v>0</v>
      </c>
      <c r="AB16" s="8" t="s">
        <v>105</v>
      </c>
      <c r="AC16" s="4" t="str">
        <f t="shared" si="1"/>
        <v>0x200</v>
      </c>
    </row>
    <row r="17" spans="2:29" ht="17" customHeight="1" x14ac:dyDescent="0.45">
      <c r="B17" s="4" t="s">
        <v>109</v>
      </c>
      <c r="C17" s="4" t="s">
        <v>110</v>
      </c>
      <c r="D17" s="4" t="s">
        <v>568</v>
      </c>
      <c r="E17" s="4" t="s">
        <v>550</v>
      </c>
      <c r="F17" s="4" t="s">
        <v>32</v>
      </c>
      <c r="G17" s="4" t="s">
        <v>63</v>
      </c>
      <c r="H17" s="5" t="s">
        <v>34</v>
      </c>
      <c r="I17" s="5" t="s">
        <v>34</v>
      </c>
      <c r="J17" s="5" t="s">
        <v>34</v>
      </c>
      <c r="K17" s="5" t="s">
        <v>34</v>
      </c>
      <c r="L17" s="63" t="s">
        <v>111</v>
      </c>
      <c r="M17" s="63"/>
      <c r="N17" s="63"/>
      <c r="O17" s="63"/>
      <c r="P17" s="63"/>
      <c r="Q17" s="63"/>
      <c r="R17" s="63"/>
      <c r="S17" s="63"/>
      <c r="T17" s="63"/>
      <c r="U17" s="63"/>
      <c r="V17" s="63"/>
      <c r="W17" s="63"/>
      <c r="X17" s="5">
        <v>0</v>
      </c>
      <c r="Y17" s="5">
        <v>0</v>
      </c>
      <c r="Z17" s="5">
        <v>0</v>
      </c>
      <c r="AA17" s="5">
        <v>0</v>
      </c>
      <c r="AB17" s="8" t="s">
        <v>112</v>
      </c>
      <c r="AC17" s="4" t="str">
        <f t="shared" si="1"/>
        <v>0x21A</v>
      </c>
    </row>
    <row r="18" spans="2:29" ht="17" customHeight="1" x14ac:dyDescent="0.45">
      <c r="B18" s="4" t="s">
        <v>113</v>
      </c>
      <c r="C18" s="4" t="s">
        <v>114</v>
      </c>
      <c r="D18" s="4" t="s">
        <v>569</v>
      </c>
      <c r="E18" s="4" t="s">
        <v>551</v>
      </c>
      <c r="F18" s="4" t="s">
        <v>32</v>
      </c>
      <c r="G18" s="4" t="s">
        <v>63</v>
      </c>
      <c r="H18" s="5" t="s">
        <v>34</v>
      </c>
      <c r="I18" s="5" t="s">
        <v>34</v>
      </c>
      <c r="J18" s="5" t="s">
        <v>34</v>
      </c>
      <c r="K18" s="5" t="s">
        <v>34</v>
      </c>
      <c r="L18" s="63" t="s">
        <v>115</v>
      </c>
      <c r="M18" s="63"/>
      <c r="N18" s="63"/>
      <c r="O18" s="63"/>
      <c r="P18" s="63"/>
      <c r="Q18" s="63"/>
      <c r="R18" s="63"/>
      <c r="S18" s="63"/>
      <c r="T18" s="63"/>
      <c r="U18" s="63"/>
      <c r="V18" s="63"/>
      <c r="W18" s="63"/>
      <c r="X18" s="5">
        <v>0</v>
      </c>
      <c r="Y18" s="5">
        <v>0</v>
      </c>
      <c r="Z18" s="5">
        <v>0</v>
      </c>
      <c r="AA18" s="5">
        <v>0</v>
      </c>
      <c r="AB18" s="8" t="s">
        <v>116</v>
      </c>
      <c r="AC18" s="4" t="str">
        <f t="shared" si="1"/>
        <v>0x231</v>
      </c>
    </row>
    <row r="19" spans="2:29" ht="17" customHeight="1" x14ac:dyDescent="0.45">
      <c r="B19" s="4" t="s">
        <v>117</v>
      </c>
      <c r="C19" s="4" t="s">
        <v>118</v>
      </c>
      <c r="D19" s="4" t="s">
        <v>570</v>
      </c>
      <c r="E19" s="4" t="s">
        <v>552</v>
      </c>
      <c r="F19" s="4" t="s">
        <v>32</v>
      </c>
      <c r="G19" s="4" t="s">
        <v>63</v>
      </c>
      <c r="H19" s="5" t="s">
        <v>34</v>
      </c>
      <c r="I19" s="5" t="s">
        <v>34</v>
      </c>
      <c r="J19" s="5" t="s">
        <v>34</v>
      </c>
      <c r="K19" s="5" t="s">
        <v>34</v>
      </c>
      <c r="L19" s="63" t="s">
        <v>119</v>
      </c>
      <c r="M19" s="63"/>
      <c r="N19" s="63"/>
      <c r="O19" s="63"/>
      <c r="P19" s="63"/>
      <c r="Q19" s="63"/>
      <c r="R19" s="63"/>
      <c r="S19" s="63"/>
      <c r="T19" s="63"/>
      <c r="U19" s="63"/>
      <c r="V19" s="63"/>
      <c r="W19" s="63"/>
      <c r="X19" s="5">
        <v>0</v>
      </c>
      <c r="Y19" s="5">
        <v>0</v>
      </c>
      <c r="Z19" s="5">
        <v>0</v>
      </c>
      <c r="AA19" s="5">
        <v>0</v>
      </c>
      <c r="AB19" s="8" t="s">
        <v>120</v>
      </c>
      <c r="AC19" s="4" t="str">
        <f t="shared" si="1"/>
        <v>0x248</v>
      </c>
    </row>
    <row r="20" spans="2:29" ht="17" customHeight="1" x14ac:dyDescent="0.45">
      <c r="B20" s="4" t="s">
        <v>121</v>
      </c>
      <c r="C20" s="4" t="s">
        <v>122</v>
      </c>
      <c r="D20" s="4" t="s">
        <v>571</v>
      </c>
      <c r="E20" s="4" t="s">
        <v>553</v>
      </c>
      <c r="F20" s="4" t="s">
        <v>32</v>
      </c>
      <c r="G20" s="4" t="s">
        <v>63</v>
      </c>
      <c r="H20" s="5" t="s">
        <v>34</v>
      </c>
      <c r="I20" s="5" t="s">
        <v>34</v>
      </c>
      <c r="J20" s="5" t="s">
        <v>34</v>
      </c>
      <c r="K20" s="5" t="s">
        <v>34</v>
      </c>
      <c r="L20" s="63" t="s">
        <v>123</v>
      </c>
      <c r="M20" s="63"/>
      <c r="N20" s="63"/>
      <c r="O20" s="63"/>
      <c r="P20" s="63"/>
      <c r="Q20" s="63"/>
      <c r="R20" s="63"/>
      <c r="S20" s="63"/>
      <c r="T20" s="63"/>
      <c r="U20" s="63"/>
      <c r="V20" s="63"/>
      <c r="W20" s="63"/>
      <c r="X20" s="5">
        <v>0</v>
      </c>
      <c r="Y20" s="5">
        <v>0</v>
      </c>
      <c r="Z20" s="5">
        <v>0</v>
      </c>
      <c r="AA20" s="5">
        <v>0</v>
      </c>
      <c r="AB20" s="8" t="s">
        <v>124</v>
      </c>
      <c r="AC20" s="4" t="str">
        <f t="shared" si="1"/>
        <v>0x25F</v>
      </c>
    </row>
    <row r="21" spans="2:29" ht="17" customHeight="1" x14ac:dyDescent="0.45">
      <c r="B21" s="4" t="s">
        <v>125</v>
      </c>
      <c r="C21" s="4" t="s">
        <v>126</v>
      </c>
      <c r="D21" s="4" t="s">
        <v>572</v>
      </c>
      <c r="E21" s="4" t="s">
        <v>554</v>
      </c>
      <c r="F21" s="4" t="s">
        <v>32</v>
      </c>
      <c r="G21" s="4" t="s">
        <v>63</v>
      </c>
      <c r="H21" s="5" t="s">
        <v>34</v>
      </c>
      <c r="I21" s="5" t="s">
        <v>34</v>
      </c>
      <c r="J21" s="5" t="s">
        <v>34</v>
      </c>
      <c r="K21" s="5" t="s">
        <v>34</v>
      </c>
      <c r="L21" s="63" t="s">
        <v>127</v>
      </c>
      <c r="M21" s="63"/>
      <c r="N21" s="63"/>
      <c r="O21" s="63"/>
      <c r="P21" s="63"/>
      <c r="Q21" s="63"/>
      <c r="R21" s="63"/>
      <c r="S21" s="63"/>
      <c r="T21" s="63"/>
      <c r="U21" s="63"/>
      <c r="V21" s="63"/>
      <c r="W21" s="63"/>
      <c r="X21" s="5">
        <v>0</v>
      </c>
      <c r="Y21" s="5">
        <v>0</v>
      </c>
      <c r="Z21" s="5">
        <v>0</v>
      </c>
      <c r="AA21" s="5">
        <v>0</v>
      </c>
      <c r="AB21" s="8" t="s">
        <v>128</v>
      </c>
      <c r="AC21" s="4" t="str">
        <f t="shared" si="1"/>
        <v>0x276</v>
      </c>
    </row>
    <row r="22" spans="2:29" ht="17" customHeight="1" x14ac:dyDescent="0.45">
      <c r="B22" s="4" t="s">
        <v>129</v>
      </c>
      <c r="C22" s="4" t="s">
        <v>130</v>
      </c>
      <c r="D22" s="4" t="s">
        <v>573</v>
      </c>
      <c r="E22" s="4" t="s">
        <v>555</v>
      </c>
      <c r="F22" s="4" t="s">
        <v>32</v>
      </c>
      <c r="G22" s="4" t="s">
        <v>63</v>
      </c>
      <c r="H22" s="5" t="s">
        <v>34</v>
      </c>
      <c r="I22" s="5" t="s">
        <v>34</v>
      </c>
      <c r="J22" s="5" t="s">
        <v>34</v>
      </c>
      <c r="K22" s="5" t="s">
        <v>34</v>
      </c>
      <c r="L22" s="63" t="s">
        <v>131</v>
      </c>
      <c r="M22" s="63"/>
      <c r="N22" s="63"/>
      <c r="O22" s="63"/>
      <c r="P22" s="63"/>
      <c r="Q22" s="63"/>
      <c r="R22" s="63"/>
      <c r="S22" s="63"/>
      <c r="T22" s="63"/>
      <c r="U22" s="63"/>
      <c r="V22" s="63"/>
      <c r="W22" s="63"/>
      <c r="X22" s="5">
        <v>0</v>
      </c>
      <c r="Y22" s="5">
        <v>0</v>
      </c>
      <c r="Z22" s="5">
        <v>0</v>
      </c>
      <c r="AA22" s="5">
        <v>0</v>
      </c>
      <c r="AB22" s="8" t="s">
        <v>132</v>
      </c>
      <c r="AC22" s="4" t="str">
        <f t="shared" si="1"/>
        <v>0x28D</v>
      </c>
    </row>
    <row r="23" spans="2:29" ht="17" customHeight="1" x14ac:dyDescent="0.45">
      <c r="B23" s="4" t="s">
        <v>133</v>
      </c>
      <c r="C23" s="4" t="s">
        <v>134</v>
      </c>
      <c r="D23" s="4" t="s">
        <v>574</v>
      </c>
      <c r="E23" s="4" t="s">
        <v>556</v>
      </c>
      <c r="F23" s="4" t="s">
        <v>32</v>
      </c>
      <c r="G23" s="4" t="s">
        <v>63</v>
      </c>
      <c r="H23" s="5" t="s">
        <v>34</v>
      </c>
      <c r="I23" s="5" t="s">
        <v>34</v>
      </c>
      <c r="J23" s="5" t="s">
        <v>34</v>
      </c>
      <c r="K23" s="5" t="s">
        <v>34</v>
      </c>
      <c r="L23" s="63" t="s">
        <v>135</v>
      </c>
      <c r="M23" s="63"/>
      <c r="N23" s="63"/>
      <c r="O23" s="63"/>
      <c r="P23" s="63"/>
      <c r="Q23" s="63"/>
      <c r="R23" s="63"/>
      <c r="S23" s="63"/>
      <c r="T23" s="63"/>
      <c r="U23" s="63"/>
      <c r="V23" s="63"/>
      <c r="W23" s="63"/>
      <c r="X23" s="5">
        <v>0</v>
      </c>
      <c r="Y23" s="5">
        <v>0</v>
      </c>
      <c r="Z23" s="5">
        <v>0</v>
      </c>
      <c r="AA23" s="5">
        <v>0</v>
      </c>
      <c r="AB23" s="8" t="s">
        <v>136</v>
      </c>
      <c r="AC23" s="4" t="str">
        <f t="shared" si="1"/>
        <v>0x2A4</v>
      </c>
    </row>
    <row r="24" spans="2:29" ht="17" customHeight="1" x14ac:dyDescent="0.45">
      <c r="B24" s="4" t="s">
        <v>137</v>
      </c>
      <c r="C24" s="4" t="s">
        <v>138</v>
      </c>
      <c r="D24" s="4" t="s">
        <v>575</v>
      </c>
      <c r="E24" s="4" t="s">
        <v>557</v>
      </c>
      <c r="F24" s="4" t="s">
        <v>32</v>
      </c>
      <c r="G24" s="4" t="s">
        <v>63</v>
      </c>
      <c r="H24" s="5" t="s">
        <v>34</v>
      </c>
      <c r="I24" s="5" t="s">
        <v>34</v>
      </c>
      <c r="J24" s="5" t="s">
        <v>34</v>
      </c>
      <c r="K24" s="5" t="s">
        <v>34</v>
      </c>
      <c r="L24" s="63" t="s">
        <v>139</v>
      </c>
      <c r="M24" s="63"/>
      <c r="N24" s="63"/>
      <c r="O24" s="63"/>
      <c r="P24" s="63"/>
      <c r="Q24" s="63"/>
      <c r="R24" s="63"/>
      <c r="S24" s="63"/>
      <c r="T24" s="63"/>
      <c r="U24" s="63"/>
      <c r="V24" s="63"/>
      <c r="W24" s="63"/>
      <c r="X24" s="5">
        <v>0</v>
      </c>
      <c r="Y24" s="5">
        <v>0</v>
      </c>
      <c r="Z24" s="5">
        <v>0</v>
      </c>
      <c r="AA24" s="5">
        <v>0</v>
      </c>
      <c r="AB24" s="8" t="s">
        <v>140</v>
      </c>
      <c r="AC24" s="4" t="str">
        <f t="shared" si="1"/>
        <v>0x2BB</v>
      </c>
    </row>
    <row r="25" spans="2:29" ht="17" customHeight="1" x14ac:dyDescent="0.45">
      <c r="B25" s="4" t="s">
        <v>141</v>
      </c>
      <c r="C25" s="4" t="s">
        <v>142</v>
      </c>
      <c r="D25" s="4" t="s">
        <v>576</v>
      </c>
      <c r="E25" s="4" t="s">
        <v>558</v>
      </c>
      <c r="F25" s="4" t="s">
        <v>32</v>
      </c>
      <c r="G25" s="4" t="s">
        <v>63</v>
      </c>
      <c r="H25" s="5" t="s">
        <v>34</v>
      </c>
      <c r="I25" s="5" t="s">
        <v>34</v>
      </c>
      <c r="J25" s="5" t="s">
        <v>34</v>
      </c>
      <c r="K25" s="5" t="s">
        <v>34</v>
      </c>
      <c r="L25" s="63" t="s">
        <v>143</v>
      </c>
      <c r="M25" s="63"/>
      <c r="N25" s="63"/>
      <c r="O25" s="63"/>
      <c r="P25" s="63"/>
      <c r="Q25" s="63"/>
      <c r="R25" s="63"/>
      <c r="S25" s="63"/>
      <c r="T25" s="63"/>
      <c r="U25" s="63"/>
      <c r="V25" s="63"/>
      <c r="W25" s="63"/>
      <c r="X25" s="5">
        <v>0</v>
      </c>
      <c r="Y25" s="5">
        <v>0</v>
      </c>
      <c r="Z25" s="5">
        <v>0</v>
      </c>
      <c r="AA25" s="5">
        <v>0</v>
      </c>
      <c r="AB25" s="8" t="s">
        <v>144</v>
      </c>
      <c r="AC25" s="4" t="str">
        <f>_xlfn.CONCAT("0x",BIN2HEX(MID(AB25,1,4),1),BIN2HEX(MID(AB25,6,4),1),BIN2HEX(MID(AB25,11,4),1))</f>
        <v>0x800</v>
      </c>
    </row>
    <row r="27" spans="2:29" ht="17" customHeight="1" x14ac:dyDescent="0.45">
      <c r="B27" s="69" t="s">
        <v>0</v>
      </c>
      <c r="C27" s="69" t="s">
        <v>1</v>
      </c>
      <c r="D27" s="1" t="s">
        <v>533</v>
      </c>
      <c r="E27" s="1" t="s">
        <v>532</v>
      </c>
      <c r="F27" s="67" t="s">
        <v>2</v>
      </c>
      <c r="G27" s="67" t="s">
        <v>3</v>
      </c>
      <c r="H27" s="2" t="s">
        <v>4</v>
      </c>
      <c r="I27" s="2" t="s">
        <v>5</v>
      </c>
      <c r="J27" s="2" t="s">
        <v>6</v>
      </c>
      <c r="K27" s="2" t="s">
        <v>7</v>
      </c>
      <c r="L27" s="1" t="s">
        <v>145</v>
      </c>
      <c r="M27" s="1" t="s">
        <v>146</v>
      </c>
      <c r="N27" s="1" t="s">
        <v>147</v>
      </c>
      <c r="O27" s="1" t="s">
        <v>148</v>
      </c>
      <c r="P27" s="1" t="s">
        <v>149</v>
      </c>
      <c r="Q27" s="1" t="s">
        <v>150</v>
      </c>
      <c r="R27" s="1" t="s">
        <v>151</v>
      </c>
      <c r="S27" s="1" t="s">
        <v>152</v>
      </c>
      <c r="T27" s="1" t="s">
        <v>4</v>
      </c>
      <c r="U27" s="1" t="s">
        <v>5</v>
      </c>
      <c r="V27" s="1" t="s">
        <v>153</v>
      </c>
      <c r="W27" s="1" t="s">
        <v>154</v>
      </c>
      <c r="X27" s="64"/>
      <c r="Y27" s="65"/>
      <c r="Z27" s="65"/>
      <c r="AA27" s="66"/>
      <c r="AB27" s="67" t="s">
        <v>21</v>
      </c>
      <c r="AC27" s="67" t="s">
        <v>22</v>
      </c>
    </row>
    <row r="28" spans="2:29" ht="17" customHeight="1" x14ac:dyDescent="0.4">
      <c r="B28" s="69"/>
      <c r="C28" s="69"/>
      <c r="D28" s="1"/>
      <c r="E28" s="1"/>
      <c r="F28" s="67"/>
      <c r="G28" s="67"/>
      <c r="H28" s="68" t="s">
        <v>23</v>
      </c>
      <c r="I28" s="68"/>
      <c r="J28" s="68"/>
      <c r="K28" s="68"/>
      <c r="L28" s="2" t="s">
        <v>24</v>
      </c>
      <c r="M28" s="2" t="s">
        <v>25</v>
      </c>
      <c r="N28" s="2" t="s">
        <v>26</v>
      </c>
      <c r="O28" s="2" t="s">
        <v>27</v>
      </c>
      <c r="P28" s="2" t="s">
        <v>28</v>
      </c>
      <c r="Q28" s="2" t="s">
        <v>29</v>
      </c>
      <c r="R28" s="2" t="s">
        <v>14</v>
      </c>
      <c r="S28" s="2" t="s">
        <v>15</v>
      </c>
      <c r="T28" s="2" t="s">
        <v>16</v>
      </c>
      <c r="U28" s="2" t="s">
        <v>17</v>
      </c>
      <c r="V28" s="2" t="s">
        <v>155</v>
      </c>
      <c r="W28" s="2" t="s">
        <v>156</v>
      </c>
      <c r="X28" s="2"/>
      <c r="Y28" s="2"/>
      <c r="Z28" s="2"/>
      <c r="AA28" s="2"/>
      <c r="AB28" s="67"/>
      <c r="AC28" s="67"/>
    </row>
    <row r="29" spans="2:29" ht="17" customHeight="1" x14ac:dyDescent="0.45">
      <c r="B29" s="7" t="s">
        <v>157</v>
      </c>
      <c r="C29" s="61" t="s">
        <v>158</v>
      </c>
      <c r="D29" s="55" t="s">
        <v>561</v>
      </c>
      <c r="E29" s="55" t="s">
        <v>540</v>
      </c>
      <c r="F29" s="61" t="s">
        <v>32</v>
      </c>
      <c r="G29" s="61" t="s">
        <v>63</v>
      </c>
      <c r="H29" s="5" t="s">
        <v>34</v>
      </c>
      <c r="I29" s="5" t="s">
        <v>34</v>
      </c>
      <c r="J29" s="5" t="s">
        <v>34</v>
      </c>
      <c r="K29" s="5" t="s">
        <v>34</v>
      </c>
      <c r="L29" s="6" t="s">
        <v>35</v>
      </c>
      <c r="M29" s="6" t="s">
        <v>35</v>
      </c>
      <c r="N29" s="6" t="s">
        <v>35</v>
      </c>
      <c r="O29" s="6" t="s">
        <v>35</v>
      </c>
      <c r="P29" s="6" t="s">
        <v>35</v>
      </c>
      <c r="Q29" s="6" t="s">
        <v>35</v>
      </c>
      <c r="R29" s="6" t="s">
        <v>35</v>
      </c>
      <c r="S29" s="6" t="s">
        <v>35</v>
      </c>
      <c r="T29" s="63" t="s">
        <v>159</v>
      </c>
      <c r="U29" s="63"/>
      <c r="V29" s="63"/>
      <c r="W29" s="63"/>
      <c r="X29" s="10"/>
      <c r="Y29" s="10"/>
      <c r="Z29" s="10"/>
      <c r="AA29" s="10"/>
      <c r="AB29" s="8" t="s">
        <v>39</v>
      </c>
      <c r="AC29" s="4" t="str">
        <f>_xlfn.CONCAT("0x",BIN2HEX(MID(AB29,1,4),1),BIN2HEX(MID(AB29,6,4),1),BIN2HEX(MID(AB29,11,4),1))</f>
        <v>0x000</v>
      </c>
    </row>
    <row r="30" spans="2:29" ht="17" customHeight="1" x14ac:dyDescent="0.45">
      <c r="B30" s="7" t="s">
        <v>160</v>
      </c>
      <c r="C30" s="62"/>
      <c r="D30" s="56"/>
      <c r="E30" s="56"/>
      <c r="F30" s="62"/>
      <c r="G30" s="62"/>
      <c r="H30" s="5" t="s">
        <v>34</v>
      </c>
      <c r="I30" s="5" t="s">
        <v>34</v>
      </c>
      <c r="J30" s="5" t="s">
        <v>34</v>
      </c>
      <c r="K30" s="5" t="s">
        <v>34</v>
      </c>
      <c r="L30" s="63" t="s">
        <v>161</v>
      </c>
      <c r="M30" s="63"/>
      <c r="N30" s="63"/>
      <c r="O30" s="63"/>
      <c r="P30" s="63"/>
      <c r="Q30" s="63"/>
      <c r="R30" s="63"/>
      <c r="S30" s="63"/>
      <c r="T30" s="63"/>
      <c r="U30" s="63"/>
      <c r="V30" s="63"/>
      <c r="W30" s="63"/>
      <c r="X30" s="10"/>
      <c r="Y30" s="10"/>
      <c r="Z30" s="10"/>
      <c r="AA30" s="10"/>
      <c r="AB30" s="8" t="s">
        <v>39</v>
      </c>
      <c r="AC30" s="4" t="str">
        <f>_xlfn.CONCAT("0x",BIN2HEX(MID(AB30,1,4),1),BIN2HEX(MID(AB30,6,4),1),BIN2HEX(MID(AB30,11,4),1))</f>
        <v>0x000</v>
      </c>
    </row>
    <row r="31" spans="2:29" ht="17" customHeight="1" x14ac:dyDescent="0.45">
      <c r="B31" s="7" t="s">
        <v>162</v>
      </c>
      <c r="C31" s="61" t="s">
        <v>163</v>
      </c>
      <c r="D31" s="55" t="s">
        <v>562</v>
      </c>
      <c r="E31" s="55" t="s">
        <v>541</v>
      </c>
      <c r="F31" s="61" t="s">
        <v>32</v>
      </c>
      <c r="G31" s="61" t="s">
        <v>63</v>
      </c>
      <c r="H31" s="5" t="s">
        <v>34</v>
      </c>
      <c r="I31" s="5" t="s">
        <v>34</v>
      </c>
      <c r="J31" s="5" t="s">
        <v>34</v>
      </c>
      <c r="K31" s="5" t="s">
        <v>34</v>
      </c>
      <c r="L31" s="63" t="s">
        <v>164</v>
      </c>
      <c r="M31" s="63"/>
      <c r="N31" s="63"/>
      <c r="O31" s="63"/>
      <c r="P31" s="63"/>
      <c r="Q31" s="63"/>
      <c r="R31" s="63"/>
      <c r="S31" s="63"/>
      <c r="T31" s="63" t="s">
        <v>165</v>
      </c>
      <c r="U31" s="63"/>
      <c r="V31" s="63"/>
      <c r="W31" s="63"/>
      <c r="X31" s="10"/>
      <c r="Y31" s="10"/>
      <c r="Z31" s="10"/>
      <c r="AA31" s="10"/>
      <c r="AB31" s="8" t="s">
        <v>39</v>
      </c>
      <c r="AC31" s="4" t="str">
        <f>_xlfn.CONCAT("0x",BIN2HEX(MID(AB31,1,4),1),BIN2HEX(MID(AB31,6,4),1),BIN2HEX(MID(AB31,11,4),1))</f>
        <v>0x000</v>
      </c>
    </row>
    <row r="32" spans="2:29" ht="17" customHeight="1" x14ac:dyDescent="0.45">
      <c r="B32" s="7" t="s">
        <v>166</v>
      </c>
      <c r="C32" s="62"/>
      <c r="D32" s="56"/>
      <c r="E32" s="56"/>
      <c r="F32" s="62"/>
      <c r="G32" s="62"/>
      <c r="H32" s="5" t="s">
        <v>34</v>
      </c>
      <c r="I32" s="5" t="s">
        <v>34</v>
      </c>
      <c r="J32" s="5" t="s">
        <v>34</v>
      </c>
      <c r="K32" s="5" t="s">
        <v>34</v>
      </c>
      <c r="L32" s="63" t="s">
        <v>579</v>
      </c>
      <c r="M32" s="63"/>
      <c r="N32" s="63"/>
      <c r="O32" s="63"/>
      <c r="P32" s="63" t="s">
        <v>167</v>
      </c>
      <c r="Q32" s="63"/>
      <c r="R32" s="63"/>
      <c r="S32" s="63"/>
      <c r="T32" s="63"/>
      <c r="U32" s="63"/>
      <c r="V32" s="63"/>
      <c r="W32" s="63"/>
      <c r="X32" s="10"/>
      <c r="Y32" s="10"/>
      <c r="Z32" s="10"/>
      <c r="AA32" s="10"/>
      <c r="AB32" s="8" t="s">
        <v>39</v>
      </c>
      <c r="AC32" s="4" t="str">
        <f>_xlfn.CONCAT("0x",BIN2HEX(MID(AB32,1,4),1),BIN2HEX(MID(AB32,6,4),1),BIN2HEX(MID(AB32,11,4),1))</f>
        <v>0x000</v>
      </c>
    </row>
  </sheetData>
  <mergeCells count="48">
    <mergeCell ref="N10:W10"/>
    <mergeCell ref="X2:AA2"/>
    <mergeCell ref="Q3:S3"/>
    <mergeCell ref="T3:U3"/>
    <mergeCell ref="V3:W3"/>
    <mergeCell ref="N5:W5"/>
    <mergeCell ref="N6:W6"/>
    <mergeCell ref="T7:W7"/>
    <mergeCell ref="T8:U8"/>
    <mergeCell ref="V8:W8"/>
    <mergeCell ref="N9:W9"/>
    <mergeCell ref="L11:W11"/>
    <mergeCell ref="L12:W12"/>
    <mergeCell ref="L13:W13"/>
    <mergeCell ref="L14:O14"/>
    <mergeCell ref="P14:S14"/>
    <mergeCell ref="T14:W14"/>
    <mergeCell ref="B27:B28"/>
    <mergeCell ref="C27:C28"/>
    <mergeCell ref="F27:F28"/>
    <mergeCell ref="G27:G28"/>
    <mergeCell ref="L15:W15"/>
    <mergeCell ref="L16:W16"/>
    <mergeCell ref="L17:W17"/>
    <mergeCell ref="L18:W18"/>
    <mergeCell ref="L19:W19"/>
    <mergeCell ref="L20:W20"/>
    <mergeCell ref="L21:W21"/>
    <mergeCell ref="L22:W22"/>
    <mergeCell ref="L23:W23"/>
    <mergeCell ref="L24:W24"/>
    <mergeCell ref="L25:W25"/>
    <mergeCell ref="X27:AA27"/>
    <mergeCell ref="AB27:AB28"/>
    <mergeCell ref="AC27:AC28"/>
    <mergeCell ref="H28:K28"/>
    <mergeCell ref="C29:C30"/>
    <mergeCell ref="F29:F30"/>
    <mergeCell ref="G29:G30"/>
    <mergeCell ref="T29:W29"/>
    <mergeCell ref="L30:W30"/>
    <mergeCell ref="C31:C32"/>
    <mergeCell ref="F31:F32"/>
    <mergeCell ref="G31:G32"/>
    <mergeCell ref="L31:S31"/>
    <mergeCell ref="T31:W31"/>
    <mergeCell ref="L32:O32"/>
    <mergeCell ref="P32:W32"/>
  </mergeCells>
  <phoneticPr fontId="4" type="noConversion"/>
  <conditionalFormatting sqref="T7">
    <cfRule type="cellIs" dxfId="3" priority="1" operator="equal">
      <formula>"RSVD"</formula>
    </cfRule>
  </conditionalFormatting>
  <conditionalFormatting sqref="T9">
    <cfRule type="cellIs" dxfId="2" priority="2" operator="equal">
      <formula>"RSVD"</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129B-D5CC-41DC-A856-1BEF96363D53}">
  <dimension ref="B3:Q199"/>
  <sheetViews>
    <sheetView topLeftCell="A122" zoomScaleNormal="100" workbookViewId="0"/>
  </sheetViews>
  <sheetFormatPr defaultColWidth="9" defaultRowHeight="17" x14ac:dyDescent="0.45"/>
  <cols>
    <col min="1" max="1" width="2.58203125" style="26" customWidth="1"/>
    <col min="2" max="2" width="12.58203125" style="26" customWidth="1"/>
    <col min="3" max="3" width="10.58203125" style="26" customWidth="1"/>
    <col min="4" max="4" width="5.58203125" style="26" customWidth="1"/>
    <col min="5" max="17" width="10.58203125" style="26" customWidth="1"/>
    <col min="18" max="20" width="9" style="26"/>
    <col min="21" max="21" width="12.6640625" style="26" bestFit="1" customWidth="1"/>
    <col min="22" max="16384" width="9" style="26"/>
  </cols>
  <sheetData>
    <row r="3" spans="2:17" ht="17.5" thickBot="1" x14ac:dyDescent="0.5"/>
    <row r="4" spans="2:17" x14ac:dyDescent="0.45">
      <c r="E4" s="87" t="s">
        <v>342</v>
      </c>
      <c r="F4" s="87"/>
      <c r="G4" s="87"/>
      <c r="H4" s="87"/>
      <c r="I4" s="87"/>
      <c r="J4" s="87"/>
      <c r="K4" s="87"/>
      <c r="L4" s="87"/>
      <c r="M4" s="87"/>
      <c r="N4" s="87"/>
      <c r="O4" s="87"/>
      <c r="P4" s="87"/>
      <c r="Q4" s="88"/>
    </row>
    <row r="5" spans="2:17" x14ac:dyDescent="0.45">
      <c r="E5" s="89" t="s">
        <v>343</v>
      </c>
      <c r="F5" s="89"/>
      <c r="G5" s="89"/>
      <c r="H5" s="89"/>
      <c r="I5" s="89"/>
      <c r="J5" s="89"/>
      <c r="K5" s="89"/>
      <c r="L5" s="89"/>
      <c r="M5" s="89"/>
      <c r="N5" s="89"/>
      <c r="O5" s="89"/>
      <c r="P5" s="89"/>
      <c r="Q5" s="90"/>
    </row>
    <row r="6" spans="2:17" ht="17.5" thickBot="1" x14ac:dyDescent="0.5">
      <c r="E6" s="85" t="s">
        <v>344</v>
      </c>
      <c r="F6" s="85"/>
      <c r="G6" s="85"/>
      <c r="H6" s="85"/>
      <c r="I6" s="85"/>
      <c r="J6" s="85"/>
      <c r="K6" s="85"/>
      <c r="L6" s="85"/>
      <c r="M6" s="85"/>
      <c r="N6" s="85"/>
      <c r="O6" s="85"/>
      <c r="P6" s="85"/>
      <c r="Q6" s="86"/>
    </row>
    <row r="7" spans="2:17" x14ac:dyDescent="0.45">
      <c r="E7" s="27"/>
      <c r="F7" s="27"/>
      <c r="G7" s="27"/>
      <c r="H7" s="27"/>
      <c r="I7" s="27"/>
      <c r="J7" s="27"/>
      <c r="K7" s="27"/>
      <c r="L7" s="27"/>
      <c r="M7" s="27"/>
      <c r="N7" s="27"/>
      <c r="O7" s="27"/>
      <c r="P7" s="27"/>
      <c r="Q7" s="27"/>
    </row>
    <row r="8" spans="2:17" ht="17.5" thickBot="1" x14ac:dyDescent="0.5"/>
    <row r="9" spans="2:17" x14ac:dyDescent="0.45">
      <c r="E9" s="87" t="s">
        <v>345</v>
      </c>
      <c r="F9" s="87"/>
      <c r="G9" s="87"/>
      <c r="H9" s="87"/>
      <c r="I9" s="87"/>
      <c r="J9" s="87"/>
      <c r="K9" s="87"/>
      <c r="L9" s="87"/>
      <c r="M9" s="87"/>
      <c r="N9" s="87"/>
      <c r="O9" s="87"/>
      <c r="P9" s="87"/>
      <c r="Q9" s="88"/>
    </row>
    <row r="10" spans="2:17" x14ac:dyDescent="0.45">
      <c r="E10" s="89" t="s">
        <v>346</v>
      </c>
      <c r="F10" s="89"/>
      <c r="G10" s="89"/>
      <c r="H10" s="89"/>
      <c r="I10" s="89"/>
      <c r="J10" s="89"/>
      <c r="K10" s="89"/>
      <c r="L10" s="89"/>
      <c r="M10" s="89"/>
      <c r="N10" s="89"/>
      <c r="O10" s="89"/>
      <c r="P10" s="89"/>
      <c r="Q10" s="90"/>
    </row>
    <row r="11" spans="2:17" x14ac:dyDescent="0.45">
      <c r="E11" s="89" t="s">
        <v>347</v>
      </c>
      <c r="F11" s="89"/>
      <c r="G11" s="89"/>
      <c r="H11" s="89"/>
      <c r="I11" s="89"/>
      <c r="J11" s="89"/>
      <c r="K11" s="89"/>
      <c r="L11" s="89"/>
      <c r="M11" s="89"/>
      <c r="N11" s="89"/>
      <c r="O11" s="89"/>
      <c r="P11" s="89"/>
      <c r="Q11" s="90"/>
    </row>
    <row r="12" spans="2:17" ht="17.5" thickBot="1" x14ac:dyDescent="0.5">
      <c r="E12" s="85" t="s">
        <v>348</v>
      </c>
      <c r="F12" s="85"/>
      <c r="G12" s="85"/>
      <c r="H12" s="85"/>
      <c r="I12" s="85"/>
      <c r="J12" s="85"/>
      <c r="K12" s="85"/>
      <c r="L12" s="85"/>
      <c r="M12" s="85"/>
      <c r="N12" s="85"/>
      <c r="O12" s="85"/>
      <c r="P12" s="85"/>
      <c r="Q12" s="86"/>
    </row>
    <row r="13" spans="2:17" x14ac:dyDescent="0.45">
      <c r="E13" s="27"/>
      <c r="F13" s="27"/>
      <c r="G13" s="27"/>
      <c r="H13" s="27"/>
      <c r="I13" s="27"/>
      <c r="J13" s="27"/>
      <c r="K13" s="27"/>
      <c r="L13" s="27"/>
      <c r="M13" s="27"/>
      <c r="N13" s="27"/>
      <c r="O13" s="27"/>
      <c r="P13" s="27"/>
      <c r="Q13" s="27"/>
    </row>
    <row r="16" spans="2:17" x14ac:dyDescent="0.45">
      <c r="B16" s="28" t="s">
        <v>349</v>
      </c>
      <c r="C16" s="28" t="s">
        <v>350</v>
      </c>
      <c r="E16" s="29"/>
      <c r="F16" s="29" t="s">
        <v>351</v>
      </c>
      <c r="G16" s="29" t="s">
        <v>352</v>
      </c>
      <c r="H16" s="29" t="s">
        <v>353</v>
      </c>
      <c r="I16" s="29" t="s">
        <v>354</v>
      </c>
      <c r="J16" s="29" t="s">
        <v>355</v>
      </c>
      <c r="K16" s="29" t="s">
        <v>356</v>
      </c>
      <c r="L16" s="29" t="s">
        <v>357</v>
      </c>
      <c r="M16" s="29" t="s">
        <v>358</v>
      </c>
      <c r="N16" s="29" t="s">
        <v>359</v>
      </c>
      <c r="O16" s="29" t="s">
        <v>360</v>
      </c>
      <c r="P16" s="29" t="s">
        <v>361</v>
      </c>
      <c r="Q16" s="29" t="s">
        <v>362</v>
      </c>
    </row>
    <row r="17" spans="2:17" x14ac:dyDescent="0.45">
      <c r="B17" s="30" t="s">
        <v>363</v>
      </c>
      <c r="C17" s="30" t="s">
        <v>30</v>
      </c>
      <c r="E17" s="29" t="s">
        <v>364</v>
      </c>
      <c r="F17" s="31" t="s">
        <v>213</v>
      </c>
      <c r="G17" s="31" t="s">
        <v>213</v>
      </c>
      <c r="H17" s="31" t="s">
        <v>213</v>
      </c>
      <c r="I17" s="31" t="s">
        <v>213</v>
      </c>
      <c r="J17" s="31" t="s">
        <v>213</v>
      </c>
      <c r="K17" s="73" t="s">
        <v>36</v>
      </c>
      <c r="L17" s="73"/>
      <c r="M17" s="73"/>
      <c r="N17" s="73" t="s">
        <v>37</v>
      </c>
      <c r="O17" s="73"/>
      <c r="P17" s="73" t="s">
        <v>38</v>
      </c>
      <c r="Q17" s="79"/>
    </row>
    <row r="18" spans="2:17" x14ac:dyDescent="0.45">
      <c r="E18" s="29" t="s">
        <v>365</v>
      </c>
      <c r="F18" s="32"/>
      <c r="G18" s="32"/>
      <c r="H18" s="32"/>
      <c r="I18" s="32"/>
      <c r="J18" s="32"/>
      <c r="K18" s="73" t="s">
        <v>366</v>
      </c>
      <c r="L18" s="73"/>
      <c r="M18" s="73"/>
      <c r="N18" s="73" t="s">
        <v>366</v>
      </c>
      <c r="O18" s="73"/>
      <c r="P18" s="73" t="s">
        <v>366</v>
      </c>
      <c r="Q18" s="79"/>
    </row>
    <row r="19" spans="2:17" x14ac:dyDescent="0.45">
      <c r="E19" s="29" t="s">
        <v>342</v>
      </c>
      <c r="F19" s="32"/>
      <c r="G19" s="32"/>
      <c r="H19" s="32"/>
      <c r="I19" s="32"/>
      <c r="J19" s="32"/>
      <c r="K19" s="73" t="s">
        <v>367</v>
      </c>
      <c r="L19" s="73"/>
      <c r="M19" s="73"/>
      <c r="N19" s="73" t="s">
        <v>367</v>
      </c>
      <c r="O19" s="73"/>
      <c r="P19" s="73" t="s">
        <v>367</v>
      </c>
      <c r="Q19" s="79"/>
    </row>
    <row r="20" spans="2:17" x14ac:dyDescent="0.45">
      <c r="E20" s="29" t="s">
        <v>345</v>
      </c>
      <c r="F20" s="32"/>
      <c r="G20" s="32"/>
      <c r="H20" s="32"/>
      <c r="I20" s="32"/>
      <c r="J20" s="32"/>
      <c r="K20" s="73" t="s">
        <v>368</v>
      </c>
      <c r="L20" s="73"/>
      <c r="M20" s="73"/>
      <c r="N20" s="73" t="s">
        <v>368</v>
      </c>
      <c r="O20" s="73"/>
      <c r="P20" s="73" t="s">
        <v>368</v>
      </c>
      <c r="Q20" s="79"/>
    </row>
    <row r="21" spans="2:17" ht="301.5" customHeight="1" x14ac:dyDescent="0.45">
      <c r="E21" s="29" t="s">
        <v>369</v>
      </c>
      <c r="F21" s="84" t="s">
        <v>370</v>
      </c>
      <c r="G21" s="84"/>
      <c r="H21" s="84"/>
      <c r="I21" s="84"/>
      <c r="J21" s="84"/>
      <c r="K21" s="84"/>
      <c r="L21" s="84"/>
      <c r="M21" s="84"/>
      <c r="N21" s="84"/>
      <c r="O21" s="84"/>
      <c r="P21" s="84"/>
      <c r="Q21" s="84"/>
    </row>
    <row r="23" spans="2:17" x14ac:dyDescent="0.45">
      <c r="B23" s="28" t="s">
        <v>349</v>
      </c>
      <c r="C23" s="28" t="s">
        <v>350</v>
      </c>
      <c r="E23" s="29"/>
      <c r="F23" s="29" t="s">
        <v>351</v>
      </c>
      <c r="G23" s="29" t="s">
        <v>352</v>
      </c>
      <c r="H23" s="29" t="s">
        <v>353</v>
      </c>
      <c r="I23" s="29" t="s">
        <v>354</v>
      </c>
      <c r="J23" s="29" t="s">
        <v>355</v>
      </c>
      <c r="K23" s="29" t="s">
        <v>356</v>
      </c>
      <c r="L23" s="29" t="s">
        <v>357</v>
      </c>
      <c r="M23" s="29" t="s">
        <v>358</v>
      </c>
      <c r="N23" s="29" t="s">
        <v>359</v>
      </c>
      <c r="O23" s="29" t="s">
        <v>360</v>
      </c>
      <c r="P23" s="29" t="s">
        <v>361</v>
      </c>
      <c r="Q23" s="29" t="s">
        <v>362</v>
      </c>
    </row>
    <row r="24" spans="2:17" x14ac:dyDescent="0.45">
      <c r="B24" s="30" t="s">
        <v>371</v>
      </c>
      <c r="C24" s="30" t="s">
        <v>40</v>
      </c>
      <c r="E24" s="29" t="s">
        <v>364</v>
      </c>
      <c r="F24" s="32" t="s">
        <v>43</v>
      </c>
      <c r="G24" s="32" t="s">
        <v>44</v>
      </c>
      <c r="H24" s="32" t="s">
        <v>45</v>
      </c>
      <c r="I24" s="32" t="s">
        <v>46</v>
      </c>
      <c r="J24" s="32" t="s">
        <v>47</v>
      </c>
      <c r="K24" s="32" t="s">
        <v>48</v>
      </c>
      <c r="L24" s="32" t="s">
        <v>49</v>
      </c>
      <c r="M24" s="32" t="s">
        <v>50</v>
      </c>
      <c r="N24" s="32" t="s">
        <v>51</v>
      </c>
      <c r="O24" s="32" t="s">
        <v>52</v>
      </c>
      <c r="P24" s="32" t="s">
        <v>53</v>
      </c>
      <c r="Q24" s="32" t="s">
        <v>54</v>
      </c>
    </row>
    <row r="25" spans="2:17" x14ac:dyDescent="0.45">
      <c r="E25" s="29" t="s">
        <v>365</v>
      </c>
      <c r="F25" s="32">
        <v>0</v>
      </c>
      <c r="G25" s="32">
        <v>0</v>
      </c>
      <c r="H25" s="32">
        <v>0</v>
      </c>
      <c r="I25" s="32">
        <v>0</v>
      </c>
      <c r="J25" s="32">
        <v>0</v>
      </c>
      <c r="K25" s="32">
        <v>0</v>
      </c>
      <c r="L25" s="32">
        <v>0</v>
      </c>
      <c r="M25" s="32">
        <v>0</v>
      </c>
      <c r="N25" s="32">
        <v>0</v>
      </c>
      <c r="O25" s="32">
        <v>0</v>
      </c>
      <c r="P25" s="32">
        <v>0</v>
      </c>
      <c r="Q25" s="32">
        <v>0</v>
      </c>
    </row>
    <row r="26" spans="2:17" x14ac:dyDescent="0.45">
      <c r="E26" s="29" t="s">
        <v>342</v>
      </c>
      <c r="F26" s="32" t="s">
        <v>367</v>
      </c>
      <c r="G26" s="32" t="s">
        <v>367</v>
      </c>
      <c r="H26" s="32" t="s">
        <v>367</v>
      </c>
      <c r="I26" s="32" t="s">
        <v>367</v>
      </c>
      <c r="J26" s="32" t="s">
        <v>367</v>
      </c>
      <c r="K26" s="32" t="s">
        <v>367</v>
      </c>
      <c r="L26" s="32" t="s">
        <v>367</v>
      </c>
      <c r="M26" s="32" t="s">
        <v>367</v>
      </c>
      <c r="N26" s="32" t="s">
        <v>367</v>
      </c>
      <c r="O26" s="32" t="s">
        <v>367</v>
      </c>
      <c r="P26" s="32" t="s">
        <v>367</v>
      </c>
      <c r="Q26" s="32" t="s">
        <v>367</v>
      </c>
    </row>
    <row r="27" spans="2:17" x14ac:dyDescent="0.45">
      <c r="E27" s="29" t="s">
        <v>345</v>
      </c>
      <c r="F27" s="32" t="s">
        <v>372</v>
      </c>
      <c r="G27" s="32" t="s">
        <v>372</v>
      </c>
      <c r="H27" s="32" t="s">
        <v>372</v>
      </c>
      <c r="I27" s="32" t="s">
        <v>372</v>
      </c>
      <c r="J27" s="32" t="s">
        <v>372</v>
      </c>
      <c r="K27" s="32" t="s">
        <v>372</v>
      </c>
      <c r="L27" s="32" t="s">
        <v>372</v>
      </c>
      <c r="M27" s="32" t="s">
        <v>372</v>
      </c>
      <c r="N27" s="32" t="s">
        <v>372</v>
      </c>
      <c r="O27" s="32" t="s">
        <v>372</v>
      </c>
      <c r="P27" s="32" t="s">
        <v>372</v>
      </c>
      <c r="Q27" s="32" t="s">
        <v>372</v>
      </c>
    </row>
    <row r="28" spans="2:17" ht="409.5" customHeight="1" x14ac:dyDescent="0.45">
      <c r="E28" s="29" t="s">
        <v>369</v>
      </c>
      <c r="F28" s="76" t="s">
        <v>373</v>
      </c>
      <c r="G28" s="76"/>
      <c r="H28" s="76"/>
      <c r="I28" s="76"/>
      <c r="J28" s="76"/>
      <c r="K28" s="76"/>
      <c r="L28" s="76"/>
      <c r="M28" s="76"/>
      <c r="N28" s="76"/>
      <c r="O28" s="76"/>
      <c r="P28" s="76"/>
      <c r="Q28" s="84"/>
    </row>
    <row r="30" spans="2:17" x14ac:dyDescent="0.45">
      <c r="B30" s="28" t="s">
        <v>349</v>
      </c>
      <c r="C30" s="28" t="s">
        <v>350</v>
      </c>
      <c r="E30" s="29"/>
      <c r="F30" s="29" t="s">
        <v>351</v>
      </c>
      <c r="G30" s="29" t="s">
        <v>352</v>
      </c>
      <c r="H30" s="29" t="s">
        <v>353</v>
      </c>
      <c r="I30" s="29" t="s">
        <v>354</v>
      </c>
      <c r="J30" s="29" t="s">
        <v>355</v>
      </c>
      <c r="K30" s="29" t="s">
        <v>356</v>
      </c>
      <c r="L30" s="29" t="s">
        <v>357</v>
      </c>
      <c r="M30" s="29" t="s">
        <v>358</v>
      </c>
      <c r="N30" s="29" t="s">
        <v>359</v>
      </c>
      <c r="O30" s="29" t="s">
        <v>360</v>
      </c>
      <c r="P30" s="29" t="s">
        <v>361</v>
      </c>
      <c r="Q30" s="29" t="s">
        <v>362</v>
      </c>
    </row>
    <row r="31" spans="2:17" x14ac:dyDescent="0.45">
      <c r="B31" s="30" t="s">
        <v>374</v>
      </c>
      <c r="C31" s="30" t="s">
        <v>375</v>
      </c>
      <c r="E31" s="29" t="s">
        <v>364</v>
      </c>
      <c r="F31" s="31" t="s">
        <v>213</v>
      </c>
      <c r="G31" s="31" t="s">
        <v>213</v>
      </c>
      <c r="H31" s="79" t="s">
        <v>57</v>
      </c>
      <c r="I31" s="79"/>
      <c r="J31" s="79"/>
      <c r="K31" s="79"/>
      <c r="L31" s="79"/>
      <c r="M31" s="79"/>
      <c r="N31" s="79"/>
      <c r="O31" s="79"/>
      <c r="P31" s="79"/>
      <c r="Q31" s="79"/>
    </row>
    <row r="32" spans="2:17" x14ac:dyDescent="0.45">
      <c r="E32" s="29" t="s">
        <v>365</v>
      </c>
      <c r="F32" s="32"/>
      <c r="G32" s="32"/>
      <c r="H32" s="79" t="s">
        <v>376</v>
      </c>
      <c r="I32" s="79"/>
      <c r="J32" s="79"/>
      <c r="K32" s="79"/>
      <c r="L32" s="79"/>
      <c r="M32" s="79"/>
      <c r="N32" s="79"/>
      <c r="O32" s="79"/>
      <c r="P32" s="79"/>
      <c r="Q32" s="79"/>
    </row>
    <row r="33" spans="2:17" x14ac:dyDescent="0.45">
      <c r="E33" s="29" t="s">
        <v>342</v>
      </c>
      <c r="F33" s="32"/>
      <c r="G33" s="32"/>
      <c r="H33" s="79" t="s">
        <v>367</v>
      </c>
      <c r="I33" s="79"/>
      <c r="J33" s="79"/>
      <c r="K33" s="79"/>
      <c r="L33" s="79"/>
      <c r="M33" s="79"/>
      <c r="N33" s="79"/>
      <c r="O33" s="79"/>
      <c r="P33" s="79"/>
      <c r="Q33" s="79"/>
    </row>
    <row r="34" spans="2:17" x14ac:dyDescent="0.45">
      <c r="E34" s="29" t="s">
        <v>345</v>
      </c>
      <c r="F34" s="32"/>
      <c r="G34" s="32"/>
      <c r="H34" s="79" t="s">
        <v>368</v>
      </c>
      <c r="I34" s="79"/>
      <c r="J34" s="79"/>
      <c r="K34" s="79"/>
      <c r="L34" s="79"/>
      <c r="M34" s="79"/>
      <c r="N34" s="79"/>
      <c r="O34" s="79"/>
      <c r="P34" s="79"/>
      <c r="Q34" s="79"/>
    </row>
    <row r="35" spans="2:17" x14ac:dyDescent="0.45">
      <c r="E35" s="29" t="s">
        <v>369</v>
      </c>
      <c r="F35" s="70" t="s">
        <v>377</v>
      </c>
      <c r="G35" s="70"/>
      <c r="H35" s="70"/>
      <c r="I35" s="70"/>
      <c r="J35" s="70"/>
      <c r="K35" s="70"/>
      <c r="L35" s="70"/>
      <c r="M35" s="70"/>
      <c r="N35" s="70"/>
      <c r="O35" s="70"/>
      <c r="P35" s="70"/>
      <c r="Q35" s="70"/>
    </row>
    <row r="37" spans="2:17" x14ac:dyDescent="0.45">
      <c r="B37" s="28" t="s">
        <v>349</v>
      </c>
      <c r="C37" s="28" t="s">
        <v>350</v>
      </c>
      <c r="E37" s="29"/>
      <c r="F37" s="29" t="s">
        <v>351</v>
      </c>
      <c r="G37" s="29" t="s">
        <v>352</v>
      </c>
      <c r="H37" s="29" t="s">
        <v>353</v>
      </c>
      <c r="I37" s="29" t="s">
        <v>354</v>
      </c>
      <c r="J37" s="29" t="s">
        <v>355</v>
      </c>
      <c r="K37" s="29" t="s">
        <v>356</v>
      </c>
      <c r="L37" s="29" t="s">
        <v>357</v>
      </c>
      <c r="M37" s="29" t="s">
        <v>358</v>
      </c>
      <c r="N37" s="29" t="s">
        <v>359</v>
      </c>
      <c r="O37" s="29" t="s">
        <v>360</v>
      </c>
      <c r="P37" s="29" t="s">
        <v>361</v>
      </c>
      <c r="Q37" s="29" t="s">
        <v>362</v>
      </c>
    </row>
    <row r="38" spans="2:17" x14ac:dyDescent="0.45">
      <c r="B38" s="30" t="s">
        <v>378</v>
      </c>
      <c r="C38" s="30" t="s">
        <v>379</v>
      </c>
      <c r="E38" s="29" t="s">
        <v>364</v>
      </c>
      <c r="F38" s="31" t="s">
        <v>213</v>
      </c>
      <c r="G38" s="31" t="s">
        <v>213</v>
      </c>
      <c r="H38" s="79" t="s">
        <v>60</v>
      </c>
      <c r="I38" s="79"/>
      <c r="J38" s="79"/>
      <c r="K38" s="79"/>
      <c r="L38" s="79"/>
      <c r="M38" s="79"/>
      <c r="N38" s="79"/>
      <c r="O38" s="79"/>
      <c r="P38" s="79"/>
      <c r="Q38" s="79"/>
    </row>
    <row r="39" spans="2:17" x14ac:dyDescent="0.45">
      <c r="E39" s="29" t="s">
        <v>365</v>
      </c>
      <c r="F39" s="32"/>
      <c r="G39" s="32"/>
      <c r="H39" s="79" t="s">
        <v>376</v>
      </c>
      <c r="I39" s="79"/>
      <c r="J39" s="79"/>
      <c r="K39" s="79"/>
      <c r="L39" s="79"/>
      <c r="M39" s="79"/>
      <c r="N39" s="79"/>
      <c r="O39" s="79"/>
      <c r="P39" s="79"/>
      <c r="Q39" s="79"/>
    </row>
    <row r="40" spans="2:17" x14ac:dyDescent="0.45">
      <c r="E40" s="29" t="s">
        <v>342</v>
      </c>
      <c r="F40" s="32"/>
      <c r="G40" s="32"/>
      <c r="H40" s="79" t="s">
        <v>367</v>
      </c>
      <c r="I40" s="79"/>
      <c r="J40" s="79"/>
      <c r="K40" s="79"/>
      <c r="L40" s="79"/>
      <c r="M40" s="79"/>
      <c r="N40" s="79"/>
      <c r="O40" s="79"/>
      <c r="P40" s="79"/>
      <c r="Q40" s="79"/>
    </row>
    <row r="41" spans="2:17" x14ac:dyDescent="0.45">
      <c r="E41" s="29" t="s">
        <v>345</v>
      </c>
      <c r="F41" s="32"/>
      <c r="G41" s="32"/>
      <c r="H41" s="79" t="s">
        <v>368</v>
      </c>
      <c r="I41" s="79"/>
      <c r="J41" s="79"/>
      <c r="K41" s="79"/>
      <c r="L41" s="79"/>
      <c r="M41" s="79"/>
      <c r="N41" s="79"/>
      <c r="O41" s="79"/>
      <c r="P41" s="79"/>
      <c r="Q41" s="79"/>
    </row>
    <row r="42" spans="2:17" x14ac:dyDescent="0.45">
      <c r="E42" s="29" t="s">
        <v>369</v>
      </c>
      <c r="F42" s="70" t="s">
        <v>380</v>
      </c>
      <c r="G42" s="70"/>
      <c r="H42" s="70"/>
      <c r="I42" s="70"/>
      <c r="J42" s="70"/>
      <c r="K42" s="70"/>
      <c r="L42" s="70"/>
      <c r="M42" s="70"/>
      <c r="N42" s="70"/>
      <c r="O42" s="70"/>
      <c r="P42" s="70"/>
      <c r="Q42" s="70"/>
    </row>
    <row r="44" spans="2:17" x14ac:dyDescent="0.45">
      <c r="B44" s="28" t="s">
        <v>349</v>
      </c>
      <c r="C44" s="28" t="s">
        <v>350</v>
      </c>
      <c r="E44" s="29"/>
      <c r="F44" s="29" t="s">
        <v>351</v>
      </c>
      <c r="G44" s="29" t="s">
        <v>352</v>
      </c>
      <c r="H44" s="29" t="s">
        <v>353</v>
      </c>
      <c r="I44" s="29" t="s">
        <v>354</v>
      </c>
      <c r="J44" s="29" t="s">
        <v>355</v>
      </c>
      <c r="K44" s="29" t="s">
        <v>356</v>
      </c>
      <c r="L44" s="29" t="s">
        <v>357</v>
      </c>
      <c r="M44" s="29" t="s">
        <v>358</v>
      </c>
      <c r="N44" s="29" t="s">
        <v>359</v>
      </c>
      <c r="O44" s="29" t="s">
        <v>360</v>
      </c>
      <c r="P44" s="29" t="s">
        <v>361</v>
      </c>
      <c r="Q44" s="29" t="s">
        <v>362</v>
      </c>
    </row>
    <row r="45" spans="2:17" ht="16.5" customHeight="1" x14ac:dyDescent="0.45">
      <c r="B45" s="30" t="s">
        <v>381</v>
      </c>
      <c r="C45" s="30" t="s">
        <v>382</v>
      </c>
      <c r="E45" s="29" t="s">
        <v>364</v>
      </c>
      <c r="F45" s="32" t="s">
        <v>64</v>
      </c>
      <c r="G45" s="32" t="s">
        <v>65</v>
      </c>
      <c r="H45" s="32" t="s">
        <v>66</v>
      </c>
      <c r="I45" s="32" t="s">
        <v>67</v>
      </c>
      <c r="J45" s="32" t="s">
        <v>68</v>
      </c>
      <c r="K45" s="32" t="s">
        <v>69</v>
      </c>
      <c r="L45" s="32" t="s">
        <v>70</v>
      </c>
      <c r="M45" s="32" t="s">
        <v>71</v>
      </c>
      <c r="N45" s="79" t="s">
        <v>383</v>
      </c>
      <c r="O45" s="79"/>
      <c r="P45" s="79"/>
      <c r="Q45" s="79"/>
    </row>
    <row r="46" spans="2:17" x14ac:dyDescent="0.45">
      <c r="E46" s="29" t="s">
        <v>365</v>
      </c>
      <c r="F46" s="32">
        <v>0</v>
      </c>
      <c r="G46" s="32">
        <v>0</v>
      </c>
      <c r="H46" s="32">
        <v>0</v>
      </c>
      <c r="I46" s="32">
        <v>0</v>
      </c>
      <c r="J46" s="32">
        <v>0</v>
      </c>
      <c r="K46" s="32">
        <v>0</v>
      </c>
      <c r="L46" s="32">
        <v>0</v>
      </c>
      <c r="M46" s="32">
        <v>0</v>
      </c>
      <c r="N46" s="79" t="s">
        <v>366</v>
      </c>
      <c r="O46" s="79"/>
      <c r="P46" s="79"/>
      <c r="Q46" s="79"/>
    </row>
    <row r="47" spans="2:17" x14ac:dyDescent="0.45">
      <c r="E47" s="29" t="s">
        <v>342</v>
      </c>
      <c r="F47" s="32" t="s">
        <v>367</v>
      </c>
      <c r="G47" s="32" t="s">
        <v>367</v>
      </c>
      <c r="H47" s="32" t="s">
        <v>367</v>
      </c>
      <c r="I47" s="32" t="s">
        <v>367</v>
      </c>
      <c r="J47" s="32" t="s">
        <v>367</v>
      </c>
      <c r="K47" s="32" t="s">
        <v>367</v>
      </c>
      <c r="L47" s="32" t="s">
        <v>367</v>
      </c>
      <c r="M47" s="32" t="s">
        <v>367</v>
      </c>
      <c r="N47" s="79" t="s">
        <v>367</v>
      </c>
      <c r="O47" s="79"/>
      <c r="P47" s="79"/>
      <c r="Q47" s="79"/>
    </row>
    <row r="48" spans="2:17" x14ac:dyDescent="0.45">
      <c r="E48" s="29" t="s">
        <v>345</v>
      </c>
      <c r="F48" s="32" t="s">
        <v>384</v>
      </c>
      <c r="G48" s="32" t="s">
        <v>172</v>
      </c>
      <c r="H48" s="32" t="s">
        <v>172</v>
      </c>
      <c r="I48" s="32" t="s">
        <v>172</v>
      </c>
      <c r="J48" s="32" t="s">
        <v>172</v>
      </c>
      <c r="K48" s="32" t="s">
        <v>172</v>
      </c>
      <c r="L48" s="32" t="s">
        <v>172</v>
      </c>
      <c r="M48" s="32" t="s">
        <v>172</v>
      </c>
      <c r="N48" s="79" t="s">
        <v>172</v>
      </c>
      <c r="O48" s="79"/>
      <c r="P48" s="79"/>
      <c r="Q48" s="79"/>
    </row>
    <row r="49" spans="2:17" ht="409.5" customHeight="1" x14ac:dyDescent="0.45">
      <c r="E49" s="29" t="s">
        <v>369</v>
      </c>
      <c r="F49" s="76" t="s">
        <v>385</v>
      </c>
      <c r="G49" s="76"/>
      <c r="H49" s="76"/>
      <c r="I49" s="76"/>
      <c r="J49" s="76"/>
      <c r="K49" s="76"/>
      <c r="L49" s="76"/>
      <c r="M49" s="76"/>
      <c r="N49" s="76"/>
      <c r="O49" s="76"/>
      <c r="P49" s="76"/>
      <c r="Q49" s="84"/>
    </row>
    <row r="51" spans="2:17" ht="16.5" customHeight="1" x14ac:dyDescent="0.45">
      <c r="B51" s="28" t="s">
        <v>349</v>
      </c>
      <c r="C51" s="28" t="s">
        <v>350</v>
      </c>
      <c r="E51" s="29"/>
      <c r="F51" s="29" t="s">
        <v>351</v>
      </c>
      <c r="G51" s="29" t="s">
        <v>352</v>
      </c>
      <c r="H51" s="29" t="s">
        <v>353</v>
      </c>
      <c r="I51" s="29" t="s">
        <v>354</v>
      </c>
      <c r="J51" s="29" t="s">
        <v>355</v>
      </c>
      <c r="K51" s="29" t="s">
        <v>356</v>
      </c>
      <c r="L51" s="29" t="s">
        <v>357</v>
      </c>
      <c r="M51" s="29" t="s">
        <v>358</v>
      </c>
      <c r="N51" s="29" t="s">
        <v>359</v>
      </c>
      <c r="O51" s="29" t="s">
        <v>360</v>
      </c>
      <c r="P51" s="29" t="s">
        <v>361</v>
      </c>
      <c r="Q51" s="29" t="s">
        <v>362</v>
      </c>
    </row>
    <row r="52" spans="2:17" ht="16.5" customHeight="1" x14ac:dyDescent="0.45">
      <c r="B52" s="30" t="s">
        <v>386</v>
      </c>
      <c r="C52" s="30" t="s">
        <v>387</v>
      </c>
      <c r="E52" s="29" t="s">
        <v>364</v>
      </c>
      <c r="F52" s="31" t="s">
        <v>213</v>
      </c>
      <c r="G52" s="31" t="s">
        <v>213</v>
      </c>
      <c r="H52" s="31" t="s">
        <v>213</v>
      </c>
      <c r="I52" s="31" t="s">
        <v>213</v>
      </c>
      <c r="J52" s="31" t="s">
        <v>213</v>
      </c>
      <c r="K52" s="32" t="s">
        <v>75</v>
      </c>
      <c r="L52" s="32" t="s">
        <v>76</v>
      </c>
      <c r="M52" s="32" t="s">
        <v>77</v>
      </c>
      <c r="N52" s="73" t="s">
        <v>78</v>
      </c>
      <c r="O52" s="75"/>
      <c r="P52" s="73" t="s">
        <v>79</v>
      </c>
      <c r="Q52" s="75"/>
    </row>
    <row r="53" spans="2:17" ht="16.5" customHeight="1" x14ac:dyDescent="0.45">
      <c r="E53" s="29" t="s">
        <v>365</v>
      </c>
      <c r="F53" s="32"/>
      <c r="G53" s="32"/>
      <c r="H53" s="32"/>
      <c r="I53" s="32"/>
      <c r="J53" s="32"/>
      <c r="K53" s="32">
        <v>0</v>
      </c>
      <c r="L53" s="32">
        <v>0</v>
      </c>
      <c r="M53" s="32">
        <v>0</v>
      </c>
      <c r="N53" s="73" t="s">
        <v>388</v>
      </c>
      <c r="O53" s="75"/>
      <c r="P53" s="73" t="s">
        <v>389</v>
      </c>
      <c r="Q53" s="75"/>
    </row>
    <row r="54" spans="2:17" ht="16.5" customHeight="1" x14ac:dyDescent="0.45">
      <c r="E54" s="29" t="s">
        <v>342</v>
      </c>
      <c r="F54" s="32"/>
      <c r="G54" s="32"/>
      <c r="H54" s="32"/>
      <c r="I54" s="32"/>
      <c r="J54" s="32"/>
      <c r="K54" s="32" t="s">
        <v>367</v>
      </c>
      <c r="L54" s="32" t="s">
        <v>367</v>
      </c>
      <c r="M54" s="32" t="s">
        <v>367</v>
      </c>
      <c r="N54" s="73" t="s">
        <v>367</v>
      </c>
      <c r="O54" s="75"/>
      <c r="P54" s="73" t="s">
        <v>367</v>
      </c>
      <c r="Q54" s="75"/>
    </row>
    <row r="55" spans="2:17" ht="16.5" customHeight="1" x14ac:dyDescent="0.45">
      <c r="E55" s="29" t="s">
        <v>345</v>
      </c>
      <c r="F55" s="32"/>
      <c r="G55" s="32"/>
      <c r="H55" s="32"/>
      <c r="I55" s="32"/>
      <c r="J55" s="32"/>
      <c r="K55" s="32" t="s">
        <v>172</v>
      </c>
      <c r="L55" s="32" t="s">
        <v>172</v>
      </c>
      <c r="M55" s="32" t="s">
        <v>172</v>
      </c>
      <c r="N55" s="73" t="s">
        <v>172</v>
      </c>
      <c r="O55" s="75"/>
      <c r="P55" s="73" t="s">
        <v>172</v>
      </c>
      <c r="Q55" s="75"/>
    </row>
    <row r="56" spans="2:17" ht="378.75" customHeight="1" x14ac:dyDescent="0.45">
      <c r="E56" s="29" t="s">
        <v>369</v>
      </c>
      <c r="F56" s="84" t="s">
        <v>390</v>
      </c>
      <c r="G56" s="84"/>
      <c r="H56" s="84"/>
      <c r="I56" s="84"/>
      <c r="J56" s="84"/>
      <c r="K56" s="84"/>
      <c r="L56" s="84"/>
      <c r="M56" s="84"/>
      <c r="N56" s="84"/>
      <c r="O56" s="84"/>
      <c r="P56" s="84"/>
      <c r="Q56" s="84"/>
    </row>
    <row r="58" spans="2:17" x14ac:dyDescent="0.45">
      <c r="B58" s="28" t="s">
        <v>349</v>
      </c>
      <c r="C58" s="28" t="s">
        <v>350</v>
      </c>
      <c r="E58" s="29"/>
      <c r="F58" s="29" t="s">
        <v>391</v>
      </c>
      <c r="G58" s="29" t="s">
        <v>392</v>
      </c>
      <c r="H58" s="29" t="s">
        <v>393</v>
      </c>
      <c r="I58" s="29" t="s">
        <v>394</v>
      </c>
      <c r="J58" s="29" t="s">
        <v>395</v>
      </c>
      <c r="K58" s="29" t="s">
        <v>396</v>
      </c>
      <c r="L58" s="29" t="s">
        <v>397</v>
      </c>
      <c r="M58" s="29" t="s">
        <v>398</v>
      </c>
      <c r="N58" s="29" t="s">
        <v>399</v>
      </c>
      <c r="O58" s="29" t="s">
        <v>400</v>
      </c>
      <c r="P58" s="29" t="s">
        <v>401</v>
      </c>
      <c r="Q58" s="29" t="s">
        <v>402</v>
      </c>
    </row>
    <row r="59" spans="2:17" x14ac:dyDescent="0.45">
      <c r="B59" s="30" t="s">
        <v>403</v>
      </c>
      <c r="C59" s="30" t="s">
        <v>157</v>
      </c>
      <c r="E59" s="29" t="s">
        <v>364</v>
      </c>
      <c r="F59" s="31" t="s">
        <v>213</v>
      </c>
      <c r="G59" s="31" t="s">
        <v>213</v>
      </c>
      <c r="H59" s="31" t="s">
        <v>213</v>
      </c>
      <c r="I59" s="31" t="s">
        <v>213</v>
      </c>
      <c r="J59" s="31" t="s">
        <v>213</v>
      </c>
      <c r="K59" s="31" t="s">
        <v>213</v>
      </c>
      <c r="L59" s="31" t="s">
        <v>213</v>
      </c>
      <c r="M59" s="31" t="s">
        <v>213</v>
      </c>
      <c r="N59" s="79" t="s">
        <v>159</v>
      </c>
      <c r="O59" s="79"/>
      <c r="P59" s="79"/>
      <c r="Q59" s="79"/>
    </row>
    <row r="60" spans="2:17" x14ac:dyDescent="0.45">
      <c r="B60" s="30" t="s">
        <v>403</v>
      </c>
      <c r="C60" s="30" t="s">
        <v>160</v>
      </c>
      <c r="E60" s="29" t="s">
        <v>365</v>
      </c>
      <c r="F60" s="30"/>
      <c r="G60" s="30"/>
      <c r="H60" s="30"/>
      <c r="I60" s="30"/>
      <c r="J60" s="30"/>
      <c r="K60" s="30"/>
      <c r="L60" s="30"/>
      <c r="M60" s="30"/>
      <c r="N60" s="79" t="s">
        <v>366</v>
      </c>
      <c r="O60" s="79"/>
      <c r="P60" s="79"/>
      <c r="Q60" s="79"/>
    </row>
    <row r="61" spans="2:17" x14ac:dyDescent="0.45">
      <c r="E61" s="29" t="s">
        <v>342</v>
      </c>
      <c r="F61" s="30"/>
      <c r="G61" s="30"/>
      <c r="H61" s="30"/>
      <c r="I61" s="30"/>
      <c r="J61" s="30"/>
      <c r="K61" s="30"/>
      <c r="L61" s="30"/>
      <c r="M61" s="30"/>
      <c r="N61" s="79" t="s">
        <v>367</v>
      </c>
      <c r="O61" s="79"/>
      <c r="P61" s="79"/>
      <c r="Q61" s="79"/>
    </row>
    <row r="62" spans="2:17" x14ac:dyDescent="0.45">
      <c r="E62" s="29" t="s">
        <v>345</v>
      </c>
      <c r="F62" s="30"/>
      <c r="G62" s="30"/>
      <c r="H62" s="30"/>
      <c r="I62" s="30"/>
      <c r="J62" s="30"/>
      <c r="K62" s="30"/>
      <c r="L62" s="30"/>
      <c r="M62" s="30"/>
      <c r="N62" s="79" t="s">
        <v>172</v>
      </c>
      <c r="O62" s="79"/>
      <c r="P62" s="79"/>
      <c r="Q62" s="79"/>
    </row>
    <row r="63" spans="2:17" x14ac:dyDescent="0.45">
      <c r="E63" s="29"/>
      <c r="F63" s="29" t="s">
        <v>351</v>
      </c>
      <c r="G63" s="29" t="s">
        <v>352</v>
      </c>
      <c r="H63" s="29" t="s">
        <v>353</v>
      </c>
      <c r="I63" s="29" t="s">
        <v>354</v>
      </c>
      <c r="J63" s="29" t="s">
        <v>355</v>
      </c>
      <c r="K63" s="29" t="s">
        <v>356</v>
      </c>
      <c r="L63" s="29" t="s">
        <v>357</v>
      </c>
      <c r="M63" s="29" t="s">
        <v>358</v>
      </c>
      <c r="N63" s="29" t="s">
        <v>359</v>
      </c>
      <c r="O63" s="29" t="s">
        <v>360</v>
      </c>
      <c r="P63" s="29" t="s">
        <v>361</v>
      </c>
      <c r="Q63" s="29" t="s">
        <v>362</v>
      </c>
    </row>
    <row r="64" spans="2:17" x14ac:dyDescent="0.45">
      <c r="E64" s="29" t="s">
        <v>364</v>
      </c>
      <c r="F64" s="79" t="s">
        <v>161</v>
      </c>
      <c r="G64" s="79"/>
      <c r="H64" s="79"/>
      <c r="I64" s="79"/>
      <c r="J64" s="79"/>
      <c r="K64" s="79"/>
      <c r="L64" s="79"/>
      <c r="M64" s="79"/>
      <c r="N64" s="79"/>
      <c r="O64" s="79"/>
      <c r="P64" s="79"/>
      <c r="Q64" s="79"/>
    </row>
    <row r="65" spans="2:17" x14ac:dyDescent="0.45">
      <c r="E65" s="29" t="s">
        <v>365</v>
      </c>
      <c r="F65" s="79" t="s">
        <v>376</v>
      </c>
      <c r="G65" s="79"/>
      <c r="H65" s="79"/>
      <c r="I65" s="79"/>
      <c r="J65" s="79"/>
      <c r="K65" s="79"/>
      <c r="L65" s="79"/>
      <c r="M65" s="79"/>
      <c r="N65" s="79"/>
      <c r="O65" s="79"/>
      <c r="P65" s="79"/>
      <c r="Q65" s="79"/>
    </row>
    <row r="66" spans="2:17" x14ac:dyDescent="0.45">
      <c r="E66" s="29" t="s">
        <v>342</v>
      </c>
      <c r="F66" s="79" t="s">
        <v>367</v>
      </c>
      <c r="G66" s="79"/>
      <c r="H66" s="79"/>
      <c r="I66" s="79"/>
      <c r="J66" s="79"/>
      <c r="K66" s="79"/>
      <c r="L66" s="79"/>
      <c r="M66" s="79"/>
      <c r="N66" s="79"/>
      <c r="O66" s="79"/>
      <c r="P66" s="79"/>
      <c r="Q66" s="79"/>
    </row>
    <row r="67" spans="2:17" x14ac:dyDescent="0.45">
      <c r="E67" s="29" t="s">
        <v>345</v>
      </c>
      <c r="F67" s="79" t="s">
        <v>172</v>
      </c>
      <c r="G67" s="79"/>
      <c r="H67" s="79"/>
      <c r="I67" s="79"/>
      <c r="J67" s="79"/>
      <c r="K67" s="79"/>
      <c r="L67" s="79"/>
      <c r="M67" s="79"/>
      <c r="N67" s="79"/>
      <c r="O67" s="79"/>
      <c r="P67" s="79"/>
      <c r="Q67" s="79"/>
    </row>
    <row r="68" spans="2:17" ht="360" customHeight="1" x14ac:dyDescent="0.45">
      <c r="E68" s="33" t="s">
        <v>369</v>
      </c>
      <c r="F68" s="81" t="s">
        <v>578</v>
      </c>
      <c r="G68" s="82"/>
      <c r="H68" s="82"/>
      <c r="I68" s="82"/>
      <c r="J68" s="82"/>
      <c r="K68" s="82"/>
      <c r="L68" s="82"/>
      <c r="M68" s="82"/>
      <c r="N68" s="82"/>
      <c r="O68" s="82"/>
      <c r="P68" s="82"/>
      <c r="Q68" s="83"/>
    </row>
    <row r="70" spans="2:17" x14ac:dyDescent="0.45">
      <c r="B70" s="28" t="s">
        <v>349</v>
      </c>
      <c r="C70" s="28" t="s">
        <v>350</v>
      </c>
      <c r="E70" s="29"/>
      <c r="F70" s="29" t="s">
        <v>391</v>
      </c>
      <c r="G70" s="29" t="s">
        <v>392</v>
      </c>
      <c r="H70" s="29" t="s">
        <v>393</v>
      </c>
      <c r="I70" s="29" t="s">
        <v>394</v>
      </c>
      <c r="J70" s="29" t="s">
        <v>395</v>
      </c>
      <c r="K70" s="29" t="s">
        <v>396</v>
      </c>
      <c r="L70" s="29" t="s">
        <v>397</v>
      </c>
      <c r="M70" s="29" t="s">
        <v>398</v>
      </c>
      <c r="N70" s="29" t="s">
        <v>399</v>
      </c>
      <c r="O70" s="29" t="s">
        <v>400</v>
      </c>
      <c r="P70" s="29" t="s">
        <v>401</v>
      </c>
      <c r="Q70" s="29" t="s">
        <v>402</v>
      </c>
    </row>
    <row r="71" spans="2:17" x14ac:dyDescent="0.45">
      <c r="B71" s="30" t="s">
        <v>404</v>
      </c>
      <c r="C71" s="30" t="s">
        <v>162</v>
      </c>
      <c r="E71" s="29" t="s">
        <v>364</v>
      </c>
      <c r="F71" s="79" t="s">
        <v>164</v>
      </c>
      <c r="G71" s="79"/>
      <c r="H71" s="79"/>
      <c r="I71" s="79"/>
      <c r="J71" s="79"/>
      <c r="K71" s="79"/>
      <c r="L71" s="79"/>
      <c r="M71" s="79"/>
      <c r="N71" s="79" t="s">
        <v>165</v>
      </c>
      <c r="O71" s="79"/>
      <c r="P71" s="79"/>
      <c r="Q71" s="79"/>
    </row>
    <row r="72" spans="2:17" x14ac:dyDescent="0.45">
      <c r="B72" s="30" t="s">
        <v>404</v>
      </c>
      <c r="C72" s="30" t="s">
        <v>166</v>
      </c>
      <c r="E72" s="29" t="s">
        <v>365</v>
      </c>
      <c r="F72" s="79" t="s">
        <v>405</v>
      </c>
      <c r="G72" s="79"/>
      <c r="H72" s="79"/>
      <c r="I72" s="79"/>
      <c r="J72" s="79"/>
      <c r="K72" s="79"/>
      <c r="L72" s="79"/>
      <c r="M72" s="79"/>
      <c r="N72" s="79" t="s">
        <v>366</v>
      </c>
      <c r="O72" s="79"/>
      <c r="P72" s="79"/>
      <c r="Q72" s="79"/>
    </row>
    <row r="73" spans="2:17" x14ac:dyDescent="0.45">
      <c r="E73" s="29" t="s">
        <v>342</v>
      </c>
      <c r="F73" s="79" t="s">
        <v>367</v>
      </c>
      <c r="G73" s="79"/>
      <c r="H73" s="79"/>
      <c r="I73" s="79"/>
      <c r="J73" s="79"/>
      <c r="K73" s="79"/>
      <c r="L73" s="79"/>
      <c r="M73" s="79"/>
      <c r="N73" s="79" t="s">
        <v>367</v>
      </c>
      <c r="O73" s="79"/>
      <c r="P73" s="79"/>
      <c r="Q73" s="79"/>
    </row>
    <row r="74" spans="2:17" x14ac:dyDescent="0.45">
      <c r="E74" s="29" t="s">
        <v>345</v>
      </c>
      <c r="F74" s="79" t="s">
        <v>172</v>
      </c>
      <c r="G74" s="79"/>
      <c r="H74" s="79"/>
      <c r="I74" s="79"/>
      <c r="J74" s="79"/>
      <c r="K74" s="79"/>
      <c r="L74" s="79"/>
      <c r="M74" s="79"/>
      <c r="N74" s="79" t="s">
        <v>172</v>
      </c>
      <c r="O74" s="79"/>
      <c r="P74" s="79"/>
      <c r="Q74" s="79"/>
    </row>
    <row r="75" spans="2:17" x14ac:dyDescent="0.45">
      <c r="E75" s="29"/>
      <c r="F75" s="29" t="s">
        <v>351</v>
      </c>
      <c r="G75" s="29" t="s">
        <v>352</v>
      </c>
      <c r="H75" s="29" t="s">
        <v>353</v>
      </c>
      <c r="I75" s="29" t="s">
        <v>354</v>
      </c>
      <c r="J75" s="29" t="s">
        <v>355</v>
      </c>
      <c r="K75" s="29" t="s">
        <v>356</v>
      </c>
      <c r="L75" s="29" t="s">
        <v>357</v>
      </c>
      <c r="M75" s="29" t="s">
        <v>358</v>
      </c>
      <c r="N75" s="29" t="s">
        <v>359</v>
      </c>
      <c r="O75" s="29" t="s">
        <v>360</v>
      </c>
      <c r="P75" s="29" t="s">
        <v>361</v>
      </c>
      <c r="Q75" s="29" t="s">
        <v>362</v>
      </c>
    </row>
    <row r="76" spans="2:17" x14ac:dyDescent="0.45">
      <c r="E76" s="29" t="s">
        <v>364</v>
      </c>
      <c r="F76" s="79" t="s">
        <v>165</v>
      </c>
      <c r="G76" s="79"/>
      <c r="H76" s="79"/>
      <c r="I76" s="79"/>
      <c r="J76" s="79" t="s">
        <v>167</v>
      </c>
      <c r="K76" s="79"/>
      <c r="L76" s="79"/>
      <c r="M76" s="79"/>
      <c r="N76" s="79"/>
      <c r="O76" s="79"/>
      <c r="P76" s="79"/>
      <c r="Q76" s="79"/>
    </row>
    <row r="77" spans="2:17" x14ac:dyDescent="0.45">
      <c r="E77" s="29" t="s">
        <v>365</v>
      </c>
      <c r="F77" s="79" t="s">
        <v>366</v>
      </c>
      <c r="G77" s="79"/>
      <c r="H77" s="79"/>
      <c r="I77" s="79"/>
      <c r="J77" s="79" t="s">
        <v>376</v>
      </c>
      <c r="K77" s="79"/>
      <c r="L77" s="79"/>
      <c r="M77" s="79"/>
      <c r="N77" s="79"/>
      <c r="O77" s="79"/>
      <c r="P77" s="79"/>
      <c r="Q77" s="79"/>
    </row>
    <row r="78" spans="2:17" x14ac:dyDescent="0.45">
      <c r="E78" s="29" t="s">
        <v>342</v>
      </c>
      <c r="F78" s="79" t="s">
        <v>367</v>
      </c>
      <c r="G78" s="79"/>
      <c r="H78" s="79"/>
      <c r="I78" s="79"/>
      <c r="J78" s="79" t="s">
        <v>367</v>
      </c>
      <c r="K78" s="79"/>
      <c r="L78" s="79"/>
      <c r="M78" s="79"/>
      <c r="N78" s="79"/>
      <c r="O78" s="79"/>
      <c r="P78" s="79"/>
      <c r="Q78" s="79"/>
    </row>
    <row r="79" spans="2:17" x14ac:dyDescent="0.45">
      <c r="E79" s="29" t="s">
        <v>345</v>
      </c>
      <c r="F79" s="79" t="s">
        <v>172</v>
      </c>
      <c r="G79" s="79"/>
      <c r="H79" s="79"/>
      <c r="I79" s="79"/>
      <c r="J79" s="79" t="s">
        <v>172</v>
      </c>
      <c r="K79" s="79"/>
      <c r="L79" s="79"/>
      <c r="M79" s="79"/>
      <c r="N79" s="79"/>
      <c r="O79" s="79"/>
      <c r="P79" s="79"/>
      <c r="Q79" s="79"/>
    </row>
    <row r="80" spans="2:17" ht="29.25" customHeight="1" x14ac:dyDescent="0.45">
      <c r="E80" s="29" t="s">
        <v>369</v>
      </c>
      <c r="F80" s="80" t="s">
        <v>406</v>
      </c>
      <c r="G80" s="80"/>
      <c r="H80" s="80"/>
      <c r="I80" s="80"/>
      <c r="J80" s="80"/>
      <c r="K80" s="80"/>
      <c r="L80" s="80"/>
      <c r="M80" s="80"/>
      <c r="N80" s="80"/>
      <c r="O80" s="80"/>
      <c r="P80" s="80"/>
      <c r="Q80" s="80"/>
    </row>
    <row r="82" spans="2:17" x14ac:dyDescent="0.45">
      <c r="B82" s="28" t="s">
        <v>349</v>
      </c>
      <c r="C82" s="28" t="s">
        <v>350</v>
      </c>
      <c r="E82" s="29"/>
      <c r="F82" s="29" t="s">
        <v>351</v>
      </c>
      <c r="G82" s="29" t="s">
        <v>352</v>
      </c>
      <c r="H82" s="29" t="s">
        <v>353</v>
      </c>
      <c r="I82" s="29" t="s">
        <v>354</v>
      </c>
      <c r="J82" s="29" t="s">
        <v>355</v>
      </c>
      <c r="K82" s="29" t="s">
        <v>356</v>
      </c>
      <c r="L82" s="29" t="s">
        <v>357</v>
      </c>
      <c r="M82" s="29" t="s">
        <v>358</v>
      </c>
      <c r="N82" s="29" t="s">
        <v>359</v>
      </c>
      <c r="O82" s="29" t="s">
        <v>360</v>
      </c>
      <c r="P82" s="29" t="s">
        <v>361</v>
      </c>
      <c r="Q82" s="29" t="s">
        <v>362</v>
      </c>
    </row>
    <row r="83" spans="2:17" x14ac:dyDescent="0.45">
      <c r="B83" s="30" t="s">
        <v>407</v>
      </c>
      <c r="C83" s="30" t="s">
        <v>408</v>
      </c>
      <c r="E83" s="29" t="s">
        <v>364</v>
      </c>
      <c r="F83" s="31" t="s">
        <v>213</v>
      </c>
      <c r="G83" s="31" t="s">
        <v>213</v>
      </c>
      <c r="H83" s="79" t="s">
        <v>83</v>
      </c>
      <c r="I83" s="79"/>
      <c r="J83" s="79"/>
      <c r="K83" s="79"/>
      <c r="L83" s="79"/>
      <c r="M83" s="79"/>
      <c r="N83" s="79"/>
      <c r="O83" s="79"/>
      <c r="P83" s="79"/>
      <c r="Q83" s="79"/>
    </row>
    <row r="84" spans="2:17" x14ac:dyDescent="0.45">
      <c r="E84" s="29" t="s">
        <v>365</v>
      </c>
      <c r="F84" s="32"/>
      <c r="G84" s="32"/>
      <c r="H84" s="79" t="s">
        <v>376</v>
      </c>
      <c r="I84" s="79"/>
      <c r="J84" s="79"/>
      <c r="K84" s="79"/>
      <c r="L84" s="79"/>
      <c r="M84" s="79"/>
      <c r="N84" s="79"/>
      <c r="O84" s="79"/>
      <c r="P84" s="79"/>
      <c r="Q84" s="79"/>
    </row>
    <row r="85" spans="2:17" x14ac:dyDescent="0.45">
      <c r="E85" s="29" t="s">
        <v>342</v>
      </c>
      <c r="F85" s="32"/>
      <c r="G85" s="32"/>
      <c r="H85" s="79" t="s">
        <v>367</v>
      </c>
      <c r="I85" s="79"/>
      <c r="J85" s="79"/>
      <c r="K85" s="79"/>
      <c r="L85" s="79"/>
      <c r="M85" s="79"/>
      <c r="N85" s="79"/>
      <c r="O85" s="79"/>
      <c r="P85" s="79"/>
      <c r="Q85" s="79"/>
    </row>
    <row r="86" spans="2:17" x14ac:dyDescent="0.45">
      <c r="E86" s="29" t="s">
        <v>345</v>
      </c>
      <c r="F86" s="32"/>
      <c r="G86" s="32"/>
      <c r="H86" s="79" t="s">
        <v>172</v>
      </c>
      <c r="I86" s="79"/>
      <c r="J86" s="79"/>
      <c r="K86" s="79"/>
      <c r="L86" s="79"/>
      <c r="M86" s="79"/>
      <c r="N86" s="79"/>
      <c r="O86" s="79"/>
      <c r="P86" s="79"/>
      <c r="Q86" s="79"/>
    </row>
    <row r="87" spans="2:17" ht="28" customHeight="1" x14ac:dyDescent="0.45">
      <c r="E87" s="29" t="s">
        <v>369</v>
      </c>
      <c r="F87" s="80" t="s">
        <v>409</v>
      </c>
      <c r="G87" s="80"/>
      <c r="H87" s="80"/>
      <c r="I87" s="80"/>
      <c r="J87" s="80"/>
      <c r="K87" s="80"/>
      <c r="L87" s="80"/>
      <c r="M87" s="80"/>
      <c r="N87" s="80"/>
      <c r="O87" s="80"/>
      <c r="P87" s="80"/>
      <c r="Q87" s="80"/>
    </row>
    <row r="88" spans="2:17" x14ac:dyDescent="0.45">
      <c r="E88" s="34"/>
      <c r="F88" s="27"/>
      <c r="G88" s="27"/>
      <c r="H88" s="27"/>
      <c r="I88" s="27"/>
      <c r="J88" s="27"/>
      <c r="K88" s="27"/>
      <c r="L88" s="27"/>
      <c r="M88" s="27"/>
      <c r="N88" s="27"/>
      <c r="O88" s="27"/>
      <c r="P88" s="27"/>
      <c r="Q88" s="27"/>
    </row>
    <row r="89" spans="2:17" x14ac:dyDescent="0.45">
      <c r="B89" s="28" t="s">
        <v>349</v>
      </c>
      <c r="C89" s="28" t="s">
        <v>350</v>
      </c>
      <c r="E89" s="29"/>
      <c r="F89" s="29" t="s">
        <v>351</v>
      </c>
      <c r="G89" s="29" t="s">
        <v>352</v>
      </c>
      <c r="H89" s="29" t="s">
        <v>353</v>
      </c>
      <c r="I89" s="29" t="s">
        <v>354</v>
      </c>
      <c r="J89" s="29" t="s">
        <v>355</v>
      </c>
      <c r="K89" s="29" t="s">
        <v>356</v>
      </c>
      <c r="L89" s="29" t="s">
        <v>357</v>
      </c>
      <c r="M89" s="29" t="s">
        <v>358</v>
      </c>
      <c r="N89" s="29" t="s">
        <v>359</v>
      </c>
      <c r="O89" s="29" t="s">
        <v>360</v>
      </c>
      <c r="P89" s="29" t="s">
        <v>361</v>
      </c>
      <c r="Q89" s="29" t="s">
        <v>362</v>
      </c>
    </row>
    <row r="90" spans="2:17" x14ac:dyDescent="0.45">
      <c r="B90" s="30" t="s">
        <v>410</v>
      </c>
      <c r="C90" s="30" t="s">
        <v>411</v>
      </c>
      <c r="E90" s="29" t="s">
        <v>364</v>
      </c>
      <c r="F90" s="31" t="s">
        <v>213</v>
      </c>
      <c r="G90" s="31" t="s">
        <v>213</v>
      </c>
      <c r="H90" s="79" t="s">
        <v>86</v>
      </c>
      <c r="I90" s="79"/>
      <c r="J90" s="79"/>
      <c r="K90" s="79"/>
      <c r="L90" s="79"/>
      <c r="M90" s="79"/>
      <c r="N90" s="79"/>
      <c r="O90" s="79"/>
      <c r="P90" s="79"/>
      <c r="Q90" s="79"/>
    </row>
    <row r="91" spans="2:17" x14ac:dyDescent="0.45">
      <c r="E91" s="29" t="s">
        <v>365</v>
      </c>
      <c r="F91" s="32"/>
      <c r="G91" s="32"/>
      <c r="H91" s="79" t="s">
        <v>376</v>
      </c>
      <c r="I91" s="79"/>
      <c r="J91" s="79"/>
      <c r="K91" s="79"/>
      <c r="L91" s="79"/>
      <c r="M91" s="79"/>
      <c r="N91" s="79"/>
      <c r="O91" s="79"/>
      <c r="P91" s="79"/>
      <c r="Q91" s="79"/>
    </row>
    <row r="92" spans="2:17" x14ac:dyDescent="0.45">
      <c r="E92" s="29" t="s">
        <v>342</v>
      </c>
      <c r="F92" s="32"/>
      <c r="G92" s="32"/>
      <c r="H92" s="79" t="s">
        <v>367</v>
      </c>
      <c r="I92" s="79"/>
      <c r="J92" s="79"/>
      <c r="K92" s="79"/>
      <c r="L92" s="79"/>
      <c r="M92" s="79"/>
      <c r="N92" s="79"/>
      <c r="O92" s="79"/>
      <c r="P92" s="79"/>
      <c r="Q92" s="79"/>
    </row>
    <row r="93" spans="2:17" x14ac:dyDescent="0.45">
      <c r="E93" s="29" t="s">
        <v>345</v>
      </c>
      <c r="F93" s="32"/>
      <c r="G93" s="32"/>
      <c r="H93" s="79" t="s">
        <v>172</v>
      </c>
      <c r="I93" s="79"/>
      <c r="J93" s="79"/>
      <c r="K93" s="79"/>
      <c r="L93" s="79"/>
      <c r="M93" s="79"/>
      <c r="N93" s="79"/>
      <c r="O93" s="79"/>
      <c r="P93" s="79"/>
      <c r="Q93" s="79"/>
    </row>
    <row r="94" spans="2:17" ht="29.25" customHeight="1" x14ac:dyDescent="0.45">
      <c r="E94" s="29" t="s">
        <v>369</v>
      </c>
      <c r="F94" s="80" t="s">
        <v>412</v>
      </c>
      <c r="G94" s="80"/>
      <c r="H94" s="80"/>
      <c r="I94" s="80"/>
      <c r="J94" s="80"/>
      <c r="K94" s="80"/>
      <c r="L94" s="80"/>
      <c r="M94" s="80"/>
      <c r="N94" s="80"/>
      <c r="O94" s="80"/>
      <c r="P94" s="80"/>
      <c r="Q94" s="80"/>
    </row>
    <row r="95" spans="2:17" ht="16.5" customHeight="1" x14ac:dyDescent="0.45"/>
    <row r="96" spans="2:17" x14ac:dyDescent="0.45">
      <c r="B96" s="28" t="s">
        <v>349</v>
      </c>
      <c r="C96" s="28" t="s">
        <v>350</v>
      </c>
      <c r="E96" s="29"/>
      <c r="F96" s="29" t="s">
        <v>351</v>
      </c>
      <c r="G96" s="29" t="s">
        <v>352</v>
      </c>
      <c r="H96" s="29" t="s">
        <v>353</v>
      </c>
      <c r="I96" s="29" t="s">
        <v>354</v>
      </c>
      <c r="J96" s="29" t="s">
        <v>355</v>
      </c>
      <c r="K96" s="29" t="s">
        <v>356</v>
      </c>
      <c r="L96" s="29" t="s">
        <v>357</v>
      </c>
      <c r="M96" s="29" t="s">
        <v>358</v>
      </c>
      <c r="N96" s="29" t="s">
        <v>359</v>
      </c>
      <c r="O96" s="29" t="s">
        <v>360</v>
      </c>
      <c r="P96" s="29" t="s">
        <v>361</v>
      </c>
      <c r="Q96" s="29" t="s">
        <v>362</v>
      </c>
    </row>
    <row r="97" spans="2:17" x14ac:dyDescent="0.45">
      <c r="B97" s="30" t="s">
        <v>413</v>
      </c>
      <c r="C97" s="30" t="s">
        <v>87</v>
      </c>
      <c r="E97" s="29" t="s">
        <v>364</v>
      </c>
      <c r="F97" s="73" t="s">
        <v>89</v>
      </c>
      <c r="G97" s="74"/>
      <c r="H97" s="74"/>
      <c r="I97" s="74"/>
      <c r="J97" s="74"/>
      <c r="K97" s="74"/>
      <c r="L97" s="74"/>
      <c r="M97" s="74"/>
      <c r="N97" s="74"/>
      <c r="O97" s="74"/>
      <c r="P97" s="74"/>
      <c r="Q97" s="75"/>
    </row>
    <row r="98" spans="2:17" x14ac:dyDescent="0.45">
      <c r="E98" s="29" t="s">
        <v>365</v>
      </c>
      <c r="F98" s="73" t="s">
        <v>376</v>
      </c>
      <c r="G98" s="74"/>
      <c r="H98" s="74"/>
      <c r="I98" s="74"/>
      <c r="J98" s="74"/>
      <c r="K98" s="74"/>
      <c r="L98" s="74"/>
      <c r="M98" s="74"/>
      <c r="N98" s="74"/>
      <c r="O98" s="74"/>
      <c r="P98" s="74"/>
      <c r="Q98" s="75"/>
    </row>
    <row r="99" spans="2:17" x14ac:dyDescent="0.45">
      <c r="E99" s="29" t="s">
        <v>342</v>
      </c>
      <c r="F99" s="73" t="s">
        <v>367</v>
      </c>
      <c r="G99" s="74"/>
      <c r="H99" s="74"/>
      <c r="I99" s="74"/>
      <c r="J99" s="74"/>
      <c r="K99" s="74"/>
      <c r="L99" s="74"/>
      <c r="M99" s="74"/>
      <c r="N99" s="74"/>
      <c r="O99" s="74"/>
      <c r="P99" s="74"/>
      <c r="Q99" s="75"/>
    </row>
    <row r="100" spans="2:17" x14ac:dyDescent="0.45">
      <c r="E100" s="29" t="s">
        <v>345</v>
      </c>
      <c r="F100" s="73" t="s">
        <v>368</v>
      </c>
      <c r="G100" s="74"/>
      <c r="H100" s="74"/>
      <c r="I100" s="74"/>
      <c r="J100" s="74"/>
      <c r="K100" s="74"/>
      <c r="L100" s="74"/>
      <c r="M100" s="74"/>
      <c r="N100" s="74"/>
      <c r="O100" s="74"/>
      <c r="P100" s="74"/>
      <c r="Q100" s="75"/>
    </row>
    <row r="101" spans="2:17" x14ac:dyDescent="0.45">
      <c r="E101" s="29" t="s">
        <v>369</v>
      </c>
      <c r="F101" s="70" t="s">
        <v>414</v>
      </c>
      <c r="G101" s="71"/>
      <c r="H101" s="71"/>
      <c r="I101" s="71"/>
      <c r="J101" s="71"/>
      <c r="K101" s="71"/>
      <c r="L101" s="71"/>
      <c r="M101" s="71"/>
      <c r="N101" s="71"/>
      <c r="O101" s="71"/>
      <c r="P101" s="71"/>
      <c r="Q101" s="72"/>
    </row>
    <row r="103" spans="2:17" x14ac:dyDescent="0.45">
      <c r="B103" s="28" t="s">
        <v>349</v>
      </c>
      <c r="C103" s="28" t="s">
        <v>350</v>
      </c>
      <c r="E103" s="29"/>
      <c r="F103" s="29" t="s">
        <v>351</v>
      </c>
      <c r="G103" s="29" t="s">
        <v>352</v>
      </c>
      <c r="H103" s="29" t="s">
        <v>353</v>
      </c>
      <c r="I103" s="29" t="s">
        <v>354</v>
      </c>
      <c r="J103" s="29" t="s">
        <v>355</v>
      </c>
      <c r="K103" s="29" t="s">
        <v>356</v>
      </c>
      <c r="L103" s="29" t="s">
        <v>357</v>
      </c>
      <c r="M103" s="29" t="s">
        <v>358</v>
      </c>
      <c r="N103" s="29" t="s">
        <v>359</v>
      </c>
      <c r="O103" s="29" t="s">
        <v>360</v>
      </c>
      <c r="P103" s="29" t="s">
        <v>361</v>
      </c>
      <c r="Q103" s="29" t="s">
        <v>362</v>
      </c>
    </row>
    <row r="104" spans="2:17" x14ac:dyDescent="0.45">
      <c r="B104" s="30" t="s">
        <v>415</v>
      </c>
      <c r="C104" s="30" t="s">
        <v>90</v>
      </c>
      <c r="E104" s="29" t="s">
        <v>364</v>
      </c>
      <c r="F104" s="73" t="s">
        <v>92</v>
      </c>
      <c r="G104" s="74"/>
      <c r="H104" s="74"/>
      <c r="I104" s="74"/>
      <c r="J104" s="74"/>
      <c r="K104" s="74"/>
      <c r="L104" s="74"/>
      <c r="M104" s="74"/>
      <c r="N104" s="74"/>
      <c r="O104" s="74"/>
      <c r="P104" s="74"/>
      <c r="Q104" s="75"/>
    </row>
    <row r="105" spans="2:17" x14ac:dyDescent="0.45">
      <c r="E105" s="29" t="s">
        <v>365</v>
      </c>
      <c r="F105" s="73" t="s">
        <v>376</v>
      </c>
      <c r="G105" s="74"/>
      <c r="H105" s="74"/>
      <c r="I105" s="74"/>
      <c r="J105" s="74"/>
      <c r="K105" s="74"/>
      <c r="L105" s="74"/>
      <c r="M105" s="74"/>
      <c r="N105" s="74"/>
      <c r="O105" s="74"/>
      <c r="P105" s="74"/>
      <c r="Q105" s="75"/>
    </row>
    <row r="106" spans="2:17" x14ac:dyDescent="0.45">
      <c r="E106" s="29" t="s">
        <v>342</v>
      </c>
      <c r="F106" s="73" t="s">
        <v>367</v>
      </c>
      <c r="G106" s="74"/>
      <c r="H106" s="74"/>
      <c r="I106" s="74"/>
      <c r="J106" s="74"/>
      <c r="K106" s="74"/>
      <c r="L106" s="74"/>
      <c r="M106" s="74"/>
      <c r="N106" s="74"/>
      <c r="O106" s="74"/>
      <c r="P106" s="74"/>
      <c r="Q106" s="75"/>
    </row>
    <row r="107" spans="2:17" x14ac:dyDescent="0.45">
      <c r="E107" s="29" t="s">
        <v>345</v>
      </c>
      <c r="F107" s="73" t="s">
        <v>368</v>
      </c>
      <c r="G107" s="74"/>
      <c r="H107" s="74"/>
      <c r="I107" s="74"/>
      <c r="J107" s="74"/>
      <c r="K107" s="74"/>
      <c r="L107" s="74"/>
      <c r="M107" s="74"/>
      <c r="N107" s="74"/>
      <c r="O107" s="74"/>
      <c r="P107" s="74"/>
      <c r="Q107" s="75"/>
    </row>
    <row r="108" spans="2:17" x14ac:dyDescent="0.45">
      <c r="E108" s="29" t="s">
        <v>369</v>
      </c>
      <c r="F108" s="70" t="s">
        <v>416</v>
      </c>
      <c r="G108" s="71"/>
      <c r="H108" s="71"/>
      <c r="I108" s="71"/>
      <c r="J108" s="71"/>
      <c r="K108" s="71"/>
      <c r="L108" s="71"/>
      <c r="M108" s="71"/>
      <c r="N108" s="71"/>
      <c r="O108" s="71"/>
      <c r="P108" s="71"/>
      <c r="Q108" s="72"/>
    </row>
    <row r="110" spans="2:17" x14ac:dyDescent="0.45">
      <c r="B110" s="28" t="s">
        <v>349</v>
      </c>
      <c r="C110" s="28" t="s">
        <v>350</v>
      </c>
      <c r="E110" s="29"/>
      <c r="F110" s="29" t="s">
        <v>351</v>
      </c>
      <c r="G110" s="29" t="s">
        <v>352</v>
      </c>
      <c r="H110" s="29" t="s">
        <v>353</v>
      </c>
      <c r="I110" s="29" t="s">
        <v>354</v>
      </c>
      <c r="J110" s="29" t="s">
        <v>355</v>
      </c>
      <c r="K110" s="29" t="s">
        <v>356</v>
      </c>
      <c r="L110" s="29" t="s">
        <v>357</v>
      </c>
      <c r="M110" s="29" t="s">
        <v>358</v>
      </c>
      <c r="N110" s="29" t="s">
        <v>359</v>
      </c>
      <c r="O110" s="29" t="s">
        <v>360</v>
      </c>
      <c r="P110" s="29" t="s">
        <v>361</v>
      </c>
      <c r="Q110" s="29" t="s">
        <v>362</v>
      </c>
    </row>
    <row r="111" spans="2:17" x14ac:dyDescent="0.45">
      <c r="B111" s="30" t="s">
        <v>417</v>
      </c>
      <c r="C111" s="30" t="s">
        <v>93</v>
      </c>
      <c r="E111" s="29" t="s">
        <v>364</v>
      </c>
      <c r="F111" s="73" t="s">
        <v>95</v>
      </c>
      <c r="G111" s="74"/>
      <c r="H111" s="74"/>
      <c r="I111" s="74"/>
      <c r="J111" s="74"/>
      <c r="K111" s="74"/>
      <c r="L111" s="74"/>
      <c r="M111" s="74"/>
      <c r="N111" s="74"/>
      <c r="O111" s="74"/>
      <c r="P111" s="74"/>
      <c r="Q111" s="75"/>
    </row>
    <row r="112" spans="2:17" x14ac:dyDescent="0.45">
      <c r="E112" s="29" t="s">
        <v>365</v>
      </c>
      <c r="F112" s="73" t="s">
        <v>376</v>
      </c>
      <c r="G112" s="74"/>
      <c r="H112" s="74"/>
      <c r="I112" s="74"/>
      <c r="J112" s="74"/>
      <c r="K112" s="74"/>
      <c r="L112" s="74"/>
      <c r="M112" s="74"/>
      <c r="N112" s="74"/>
      <c r="O112" s="74"/>
      <c r="P112" s="74"/>
      <c r="Q112" s="75"/>
    </row>
    <row r="113" spans="2:17" x14ac:dyDescent="0.45">
      <c r="E113" s="29" t="s">
        <v>342</v>
      </c>
      <c r="F113" s="73" t="s">
        <v>367</v>
      </c>
      <c r="G113" s="74"/>
      <c r="H113" s="74"/>
      <c r="I113" s="74"/>
      <c r="J113" s="74"/>
      <c r="K113" s="74"/>
      <c r="L113" s="74"/>
      <c r="M113" s="74"/>
      <c r="N113" s="74"/>
      <c r="O113" s="74"/>
      <c r="P113" s="74"/>
      <c r="Q113" s="75"/>
    </row>
    <row r="114" spans="2:17" x14ac:dyDescent="0.45">
      <c r="E114" s="29" t="s">
        <v>345</v>
      </c>
      <c r="F114" s="73" t="s">
        <v>368</v>
      </c>
      <c r="G114" s="74"/>
      <c r="H114" s="74"/>
      <c r="I114" s="74"/>
      <c r="J114" s="74"/>
      <c r="K114" s="74"/>
      <c r="L114" s="74"/>
      <c r="M114" s="74"/>
      <c r="N114" s="74"/>
      <c r="O114" s="74"/>
      <c r="P114" s="74"/>
      <c r="Q114" s="75"/>
    </row>
    <row r="115" spans="2:17" x14ac:dyDescent="0.45">
      <c r="E115" s="29" t="s">
        <v>369</v>
      </c>
      <c r="F115" s="70" t="s">
        <v>418</v>
      </c>
      <c r="G115" s="71"/>
      <c r="H115" s="71"/>
      <c r="I115" s="71"/>
      <c r="J115" s="71"/>
      <c r="K115" s="71"/>
      <c r="L115" s="71"/>
      <c r="M115" s="71"/>
      <c r="N115" s="71"/>
      <c r="O115" s="71"/>
      <c r="P115" s="71"/>
      <c r="Q115" s="72"/>
    </row>
    <row r="117" spans="2:17" x14ac:dyDescent="0.45">
      <c r="B117" s="28" t="s">
        <v>349</v>
      </c>
      <c r="C117" s="28" t="s">
        <v>350</v>
      </c>
      <c r="E117" s="29"/>
      <c r="F117" s="29" t="s">
        <v>351</v>
      </c>
      <c r="G117" s="29" t="s">
        <v>352</v>
      </c>
      <c r="H117" s="29" t="s">
        <v>353</v>
      </c>
      <c r="I117" s="29" t="s">
        <v>354</v>
      </c>
      <c r="J117" s="29" t="s">
        <v>355</v>
      </c>
      <c r="K117" s="29" t="s">
        <v>356</v>
      </c>
      <c r="L117" s="29" t="s">
        <v>357</v>
      </c>
      <c r="M117" s="29" t="s">
        <v>358</v>
      </c>
      <c r="N117" s="29" t="s">
        <v>359</v>
      </c>
      <c r="O117" s="29" t="s">
        <v>360</v>
      </c>
      <c r="P117" s="29" t="s">
        <v>361</v>
      </c>
      <c r="Q117" s="29" t="s">
        <v>362</v>
      </c>
    </row>
    <row r="118" spans="2:17" x14ac:dyDescent="0.45">
      <c r="B118" s="30" t="s">
        <v>419</v>
      </c>
      <c r="C118" s="30" t="s">
        <v>420</v>
      </c>
      <c r="E118" s="29" t="s">
        <v>364</v>
      </c>
      <c r="F118" s="79" t="s">
        <v>98</v>
      </c>
      <c r="G118" s="79"/>
      <c r="H118" s="79"/>
      <c r="I118" s="79"/>
      <c r="J118" s="79" t="s">
        <v>99</v>
      </c>
      <c r="K118" s="79"/>
      <c r="L118" s="79"/>
      <c r="M118" s="79"/>
      <c r="N118" s="79" t="s">
        <v>100</v>
      </c>
      <c r="O118" s="79"/>
      <c r="P118" s="79"/>
      <c r="Q118" s="79"/>
    </row>
    <row r="119" spans="2:17" x14ac:dyDescent="0.45">
      <c r="E119" s="29" t="s">
        <v>365</v>
      </c>
      <c r="F119" s="73" t="s">
        <v>421</v>
      </c>
      <c r="G119" s="74"/>
      <c r="H119" s="74"/>
      <c r="I119" s="74"/>
      <c r="J119" s="73" t="s">
        <v>421</v>
      </c>
      <c r="K119" s="74"/>
      <c r="L119" s="74"/>
      <c r="M119" s="74"/>
      <c r="N119" s="73" t="s">
        <v>421</v>
      </c>
      <c r="O119" s="74"/>
      <c r="P119" s="74"/>
      <c r="Q119" s="74"/>
    </row>
    <row r="120" spans="2:17" x14ac:dyDescent="0.45">
      <c r="E120" s="29" t="s">
        <v>342</v>
      </c>
      <c r="F120" s="73" t="s">
        <v>367</v>
      </c>
      <c r="G120" s="74"/>
      <c r="H120" s="74"/>
      <c r="I120" s="74"/>
      <c r="J120" s="74"/>
      <c r="K120" s="74"/>
      <c r="L120" s="74"/>
      <c r="M120" s="74"/>
      <c r="N120" s="74"/>
      <c r="O120" s="74"/>
      <c r="P120" s="74"/>
      <c r="Q120" s="75"/>
    </row>
    <row r="121" spans="2:17" x14ac:dyDescent="0.45">
      <c r="E121" s="29" t="s">
        <v>345</v>
      </c>
      <c r="F121" s="73" t="s">
        <v>172</v>
      </c>
      <c r="G121" s="74"/>
      <c r="H121" s="74"/>
      <c r="I121" s="74"/>
      <c r="J121" s="74"/>
      <c r="K121" s="74"/>
      <c r="L121" s="74"/>
      <c r="M121" s="74"/>
      <c r="N121" s="74"/>
      <c r="O121" s="74"/>
      <c r="P121" s="74"/>
      <c r="Q121" s="75"/>
    </row>
    <row r="122" spans="2:17" ht="300.39999999999998" customHeight="1" x14ac:dyDescent="0.45">
      <c r="E122" s="29" t="s">
        <v>369</v>
      </c>
      <c r="F122" s="76" t="s">
        <v>422</v>
      </c>
      <c r="G122" s="77"/>
      <c r="H122" s="77"/>
      <c r="I122" s="77"/>
      <c r="J122" s="77"/>
      <c r="K122" s="77"/>
      <c r="L122" s="77"/>
      <c r="M122" s="77"/>
      <c r="N122" s="77"/>
      <c r="O122" s="77"/>
      <c r="P122" s="77"/>
      <c r="Q122" s="78"/>
    </row>
    <row r="124" spans="2:17" x14ac:dyDescent="0.45">
      <c r="B124" s="28" t="s">
        <v>349</v>
      </c>
      <c r="C124" s="28" t="s">
        <v>350</v>
      </c>
      <c r="E124" s="29"/>
      <c r="F124" s="29" t="s">
        <v>351</v>
      </c>
      <c r="G124" s="29" t="s">
        <v>352</v>
      </c>
      <c r="H124" s="29" t="s">
        <v>353</v>
      </c>
      <c r="I124" s="29" t="s">
        <v>354</v>
      </c>
      <c r="J124" s="29" t="s">
        <v>355</v>
      </c>
      <c r="K124" s="29" t="s">
        <v>356</v>
      </c>
      <c r="L124" s="29" t="s">
        <v>357</v>
      </c>
      <c r="M124" s="29" t="s">
        <v>358</v>
      </c>
      <c r="N124" s="29" t="s">
        <v>359</v>
      </c>
      <c r="O124" s="29" t="s">
        <v>360</v>
      </c>
      <c r="P124" s="29" t="s">
        <v>361</v>
      </c>
      <c r="Q124" s="29" t="s">
        <v>362</v>
      </c>
    </row>
    <row r="125" spans="2:17" ht="17.25" customHeight="1" x14ac:dyDescent="0.45">
      <c r="B125" s="30" t="s">
        <v>423</v>
      </c>
      <c r="C125" s="30" t="s">
        <v>424</v>
      </c>
      <c r="E125" s="29" t="s">
        <v>364</v>
      </c>
      <c r="F125" s="31" t="s">
        <v>213</v>
      </c>
      <c r="G125" s="31" t="s">
        <v>213</v>
      </c>
      <c r="H125" s="73" t="s">
        <v>425</v>
      </c>
      <c r="I125" s="74"/>
      <c r="J125" s="74"/>
      <c r="K125" s="74"/>
      <c r="L125" s="74"/>
      <c r="M125" s="74"/>
      <c r="N125" s="74"/>
      <c r="O125" s="74"/>
      <c r="P125" s="74"/>
      <c r="Q125" s="75"/>
    </row>
    <row r="126" spans="2:17" x14ac:dyDescent="0.45">
      <c r="E126" s="29" t="s">
        <v>365</v>
      </c>
      <c r="F126" s="73" t="s">
        <v>426</v>
      </c>
      <c r="G126" s="74"/>
      <c r="H126" s="74"/>
      <c r="I126" s="74"/>
      <c r="J126" s="74"/>
      <c r="K126" s="74"/>
      <c r="L126" s="74"/>
      <c r="M126" s="74"/>
      <c r="N126" s="74"/>
      <c r="O126" s="74"/>
      <c r="P126" s="74"/>
      <c r="Q126" s="75"/>
    </row>
    <row r="127" spans="2:17" x14ac:dyDescent="0.45">
      <c r="E127" s="29" t="s">
        <v>342</v>
      </c>
      <c r="F127" s="73" t="s">
        <v>367</v>
      </c>
      <c r="G127" s="74"/>
      <c r="H127" s="74"/>
      <c r="I127" s="74"/>
      <c r="J127" s="74"/>
      <c r="K127" s="74"/>
      <c r="L127" s="74"/>
      <c r="M127" s="74"/>
      <c r="N127" s="74"/>
      <c r="O127" s="74"/>
      <c r="P127" s="74"/>
      <c r="Q127" s="75"/>
    </row>
    <row r="128" spans="2:17" x14ac:dyDescent="0.45">
      <c r="E128" s="29" t="s">
        <v>345</v>
      </c>
      <c r="F128" s="73" t="s">
        <v>172</v>
      </c>
      <c r="G128" s="74"/>
      <c r="H128" s="74"/>
      <c r="I128" s="74"/>
      <c r="J128" s="74"/>
      <c r="K128" s="74"/>
      <c r="L128" s="74"/>
      <c r="M128" s="74"/>
      <c r="N128" s="74"/>
      <c r="O128" s="74"/>
      <c r="P128" s="74"/>
      <c r="Q128" s="75"/>
    </row>
    <row r="129" spans="2:17" x14ac:dyDescent="0.45">
      <c r="E129" s="29" t="s">
        <v>369</v>
      </c>
      <c r="F129" s="70" t="s">
        <v>427</v>
      </c>
      <c r="G129" s="71"/>
      <c r="H129" s="71"/>
      <c r="I129" s="71"/>
      <c r="J129" s="71"/>
      <c r="K129" s="71"/>
      <c r="L129" s="71"/>
      <c r="M129" s="71"/>
      <c r="N129" s="71"/>
      <c r="O129" s="71"/>
      <c r="P129" s="71"/>
      <c r="Q129" s="72"/>
    </row>
    <row r="131" spans="2:17" x14ac:dyDescent="0.45">
      <c r="B131" s="28" t="s">
        <v>349</v>
      </c>
      <c r="C131" s="28" t="s">
        <v>350</v>
      </c>
      <c r="E131" s="29"/>
      <c r="F131" s="29" t="s">
        <v>351</v>
      </c>
      <c r="G131" s="29" t="s">
        <v>352</v>
      </c>
      <c r="H131" s="29" t="s">
        <v>353</v>
      </c>
      <c r="I131" s="29" t="s">
        <v>354</v>
      </c>
      <c r="J131" s="29" t="s">
        <v>355</v>
      </c>
      <c r="K131" s="29" t="s">
        <v>356</v>
      </c>
      <c r="L131" s="29" t="s">
        <v>357</v>
      </c>
      <c r="M131" s="29" t="s">
        <v>358</v>
      </c>
      <c r="N131" s="29" t="s">
        <v>359</v>
      </c>
      <c r="O131" s="29" t="s">
        <v>360</v>
      </c>
      <c r="P131" s="29" t="s">
        <v>361</v>
      </c>
      <c r="Q131" s="29" t="s">
        <v>362</v>
      </c>
    </row>
    <row r="132" spans="2:17" ht="17.25" customHeight="1" x14ac:dyDescent="0.45">
      <c r="B132" s="30" t="s">
        <v>428</v>
      </c>
      <c r="C132" s="30" t="s">
        <v>429</v>
      </c>
      <c r="E132" s="29" t="s">
        <v>364</v>
      </c>
      <c r="F132" s="31" t="s">
        <v>213</v>
      </c>
      <c r="G132" s="31" t="s">
        <v>213</v>
      </c>
      <c r="H132" s="73" t="s">
        <v>430</v>
      </c>
      <c r="I132" s="74"/>
      <c r="J132" s="74"/>
      <c r="K132" s="74"/>
      <c r="L132" s="74"/>
      <c r="M132" s="74"/>
      <c r="N132" s="74"/>
      <c r="O132" s="74"/>
      <c r="P132" s="74"/>
      <c r="Q132" s="75"/>
    </row>
    <row r="133" spans="2:17" x14ac:dyDescent="0.45">
      <c r="E133" s="29" t="s">
        <v>365</v>
      </c>
      <c r="F133" s="73" t="s">
        <v>426</v>
      </c>
      <c r="G133" s="74"/>
      <c r="H133" s="74"/>
      <c r="I133" s="74"/>
      <c r="J133" s="74"/>
      <c r="K133" s="74"/>
      <c r="L133" s="74"/>
      <c r="M133" s="74"/>
      <c r="N133" s="74"/>
      <c r="O133" s="74"/>
      <c r="P133" s="74"/>
      <c r="Q133" s="75"/>
    </row>
    <row r="134" spans="2:17" x14ac:dyDescent="0.45">
      <c r="E134" s="29" t="s">
        <v>342</v>
      </c>
      <c r="F134" s="73" t="s">
        <v>367</v>
      </c>
      <c r="G134" s="74"/>
      <c r="H134" s="74"/>
      <c r="I134" s="74"/>
      <c r="J134" s="74"/>
      <c r="K134" s="74"/>
      <c r="L134" s="74"/>
      <c r="M134" s="74"/>
      <c r="N134" s="74"/>
      <c r="O134" s="74"/>
      <c r="P134" s="74"/>
      <c r="Q134" s="75"/>
    </row>
    <row r="135" spans="2:17" x14ac:dyDescent="0.45">
      <c r="E135" s="29" t="s">
        <v>345</v>
      </c>
      <c r="F135" s="73" t="s">
        <v>172</v>
      </c>
      <c r="G135" s="74"/>
      <c r="H135" s="74"/>
      <c r="I135" s="74"/>
      <c r="J135" s="74"/>
      <c r="K135" s="74"/>
      <c r="L135" s="74"/>
      <c r="M135" s="74"/>
      <c r="N135" s="74"/>
      <c r="O135" s="74"/>
      <c r="P135" s="74"/>
      <c r="Q135" s="75"/>
    </row>
    <row r="136" spans="2:17" ht="17.25" customHeight="1" x14ac:dyDescent="0.45">
      <c r="E136" s="29" t="s">
        <v>369</v>
      </c>
      <c r="F136" s="70" t="s">
        <v>431</v>
      </c>
      <c r="G136" s="71"/>
      <c r="H136" s="71"/>
      <c r="I136" s="71"/>
      <c r="J136" s="71"/>
      <c r="K136" s="71"/>
      <c r="L136" s="71"/>
      <c r="M136" s="71"/>
      <c r="N136" s="71"/>
      <c r="O136" s="71"/>
      <c r="P136" s="71"/>
      <c r="Q136" s="72"/>
    </row>
    <row r="138" spans="2:17" x14ac:dyDescent="0.45">
      <c r="B138" s="28" t="s">
        <v>349</v>
      </c>
      <c r="C138" s="28" t="s">
        <v>350</v>
      </c>
      <c r="E138" s="29"/>
      <c r="F138" s="29" t="s">
        <v>351</v>
      </c>
      <c r="G138" s="29" t="s">
        <v>352</v>
      </c>
      <c r="H138" s="29" t="s">
        <v>353</v>
      </c>
      <c r="I138" s="29" t="s">
        <v>354</v>
      </c>
      <c r="J138" s="29" t="s">
        <v>355</v>
      </c>
      <c r="K138" s="29" t="s">
        <v>356</v>
      </c>
      <c r="L138" s="29" t="s">
        <v>357</v>
      </c>
      <c r="M138" s="29" t="s">
        <v>358</v>
      </c>
      <c r="N138" s="29" t="s">
        <v>359</v>
      </c>
      <c r="O138" s="29" t="s">
        <v>360</v>
      </c>
      <c r="P138" s="29" t="s">
        <v>361</v>
      </c>
      <c r="Q138" s="29" t="s">
        <v>362</v>
      </c>
    </row>
    <row r="139" spans="2:17" ht="17.25" customHeight="1" x14ac:dyDescent="0.45">
      <c r="B139" s="30" t="s">
        <v>432</v>
      </c>
      <c r="C139" s="30" t="s">
        <v>433</v>
      </c>
      <c r="E139" s="29" t="s">
        <v>364</v>
      </c>
      <c r="F139" s="31" t="s">
        <v>213</v>
      </c>
      <c r="G139" s="31" t="s">
        <v>213</v>
      </c>
      <c r="H139" s="73" t="s">
        <v>434</v>
      </c>
      <c r="I139" s="74"/>
      <c r="J139" s="74"/>
      <c r="K139" s="74"/>
      <c r="L139" s="74"/>
      <c r="M139" s="74"/>
      <c r="N139" s="74"/>
      <c r="O139" s="74"/>
      <c r="P139" s="74"/>
      <c r="Q139" s="75"/>
    </row>
    <row r="140" spans="2:17" x14ac:dyDescent="0.45">
      <c r="E140" s="29" t="s">
        <v>365</v>
      </c>
      <c r="F140" s="73" t="s">
        <v>435</v>
      </c>
      <c r="G140" s="74"/>
      <c r="H140" s="74"/>
      <c r="I140" s="74"/>
      <c r="J140" s="74"/>
      <c r="K140" s="74"/>
      <c r="L140" s="74"/>
      <c r="M140" s="74"/>
      <c r="N140" s="74"/>
      <c r="O140" s="74"/>
      <c r="P140" s="74"/>
      <c r="Q140" s="75"/>
    </row>
    <row r="141" spans="2:17" x14ac:dyDescent="0.45">
      <c r="E141" s="29" t="s">
        <v>342</v>
      </c>
      <c r="F141" s="73" t="s">
        <v>367</v>
      </c>
      <c r="G141" s="74"/>
      <c r="H141" s="74"/>
      <c r="I141" s="74"/>
      <c r="J141" s="74"/>
      <c r="K141" s="74"/>
      <c r="L141" s="74"/>
      <c r="M141" s="74"/>
      <c r="N141" s="74"/>
      <c r="O141" s="74"/>
      <c r="P141" s="74"/>
      <c r="Q141" s="75"/>
    </row>
    <row r="142" spans="2:17" x14ac:dyDescent="0.45">
      <c r="E142" s="29" t="s">
        <v>345</v>
      </c>
      <c r="F142" s="73" t="s">
        <v>172</v>
      </c>
      <c r="G142" s="74"/>
      <c r="H142" s="74"/>
      <c r="I142" s="74"/>
      <c r="J142" s="74"/>
      <c r="K142" s="74"/>
      <c r="L142" s="74"/>
      <c r="M142" s="74"/>
      <c r="N142" s="74"/>
      <c r="O142" s="74"/>
      <c r="P142" s="74"/>
      <c r="Q142" s="75"/>
    </row>
    <row r="143" spans="2:17" ht="16.5" customHeight="1" x14ac:dyDescent="0.45">
      <c r="E143" s="29" t="s">
        <v>369</v>
      </c>
      <c r="F143" s="70" t="s">
        <v>436</v>
      </c>
      <c r="G143" s="71"/>
      <c r="H143" s="71"/>
      <c r="I143" s="71"/>
      <c r="J143" s="71"/>
      <c r="K143" s="71"/>
      <c r="L143" s="71"/>
      <c r="M143" s="71"/>
      <c r="N143" s="71"/>
      <c r="O143" s="71"/>
      <c r="P143" s="71"/>
      <c r="Q143" s="72"/>
    </row>
    <row r="145" spans="2:17" x14ac:dyDescent="0.45">
      <c r="B145" s="28" t="s">
        <v>349</v>
      </c>
      <c r="C145" s="28" t="s">
        <v>350</v>
      </c>
      <c r="E145" s="29"/>
      <c r="F145" s="29" t="s">
        <v>351</v>
      </c>
      <c r="G145" s="29" t="s">
        <v>352</v>
      </c>
      <c r="H145" s="29" t="s">
        <v>353</v>
      </c>
      <c r="I145" s="29" t="s">
        <v>354</v>
      </c>
      <c r="J145" s="29" t="s">
        <v>355</v>
      </c>
      <c r="K145" s="29" t="s">
        <v>356</v>
      </c>
      <c r="L145" s="29" t="s">
        <v>357</v>
      </c>
      <c r="M145" s="29" t="s">
        <v>358</v>
      </c>
      <c r="N145" s="29" t="s">
        <v>359</v>
      </c>
      <c r="O145" s="29" t="s">
        <v>360</v>
      </c>
      <c r="P145" s="29" t="s">
        <v>361</v>
      </c>
      <c r="Q145" s="29" t="s">
        <v>362</v>
      </c>
    </row>
    <row r="146" spans="2:17" ht="17.25" customHeight="1" x14ac:dyDescent="0.45">
      <c r="B146" s="30" t="s">
        <v>437</v>
      </c>
      <c r="C146" s="30" t="s">
        <v>438</v>
      </c>
      <c r="E146" s="29" t="s">
        <v>364</v>
      </c>
      <c r="F146" s="31" t="s">
        <v>213</v>
      </c>
      <c r="G146" s="31" t="s">
        <v>213</v>
      </c>
      <c r="H146" s="73" t="s">
        <v>439</v>
      </c>
      <c r="I146" s="74"/>
      <c r="J146" s="74"/>
      <c r="K146" s="74"/>
      <c r="L146" s="74"/>
      <c r="M146" s="74"/>
      <c r="N146" s="74"/>
      <c r="O146" s="74"/>
      <c r="P146" s="74"/>
      <c r="Q146" s="75"/>
    </row>
    <row r="147" spans="2:17" x14ac:dyDescent="0.45">
      <c r="E147" s="29" t="s">
        <v>365</v>
      </c>
      <c r="F147" s="73" t="s">
        <v>440</v>
      </c>
      <c r="G147" s="74"/>
      <c r="H147" s="74"/>
      <c r="I147" s="74"/>
      <c r="J147" s="74"/>
      <c r="K147" s="74"/>
      <c r="L147" s="74"/>
      <c r="M147" s="74"/>
      <c r="N147" s="74"/>
      <c r="O147" s="74"/>
      <c r="P147" s="74"/>
      <c r="Q147" s="75"/>
    </row>
    <row r="148" spans="2:17" x14ac:dyDescent="0.45">
      <c r="E148" s="29" t="s">
        <v>342</v>
      </c>
      <c r="F148" s="73" t="s">
        <v>367</v>
      </c>
      <c r="G148" s="74"/>
      <c r="H148" s="74"/>
      <c r="I148" s="74"/>
      <c r="J148" s="74"/>
      <c r="K148" s="74"/>
      <c r="L148" s="74"/>
      <c r="M148" s="74"/>
      <c r="N148" s="74"/>
      <c r="O148" s="74"/>
      <c r="P148" s="74"/>
      <c r="Q148" s="75"/>
    </row>
    <row r="149" spans="2:17" x14ac:dyDescent="0.45">
      <c r="E149" s="29" t="s">
        <v>345</v>
      </c>
      <c r="F149" s="73" t="s">
        <v>172</v>
      </c>
      <c r="G149" s="74"/>
      <c r="H149" s="74"/>
      <c r="I149" s="74"/>
      <c r="J149" s="74"/>
      <c r="K149" s="74"/>
      <c r="L149" s="74"/>
      <c r="M149" s="74"/>
      <c r="N149" s="74"/>
      <c r="O149" s="74"/>
      <c r="P149" s="74"/>
      <c r="Q149" s="75"/>
    </row>
    <row r="150" spans="2:17" ht="16.5" customHeight="1" x14ac:dyDescent="0.45">
      <c r="E150" s="29" t="s">
        <v>369</v>
      </c>
      <c r="F150" s="70" t="s">
        <v>441</v>
      </c>
      <c r="G150" s="71"/>
      <c r="H150" s="71"/>
      <c r="I150" s="71"/>
      <c r="J150" s="71"/>
      <c r="K150" s="71"/>
      <c r="L150" s="71"/>
      <c r="M150" s="71"/>
      <c r="N150" s="71"/>
      <c r="O150" s="71"/>
      <c r="P150" s="71"/>
      <c r="Q150" s="72"/>
    </row>
    <row r="152" spans="2:17" x14ac:dyDescent="0.45">
      <c r="B152" s="28" t="s">
        <v>349</v>
      </c>
      <c r="C152" s="28" t="s">
        <v>350</v>
      </c>
      <c r="E152" s="29"/>
      <c r="F152" s="29" t="s">
        <v>351</v>
      </c>
      <c r="G152" s="29" t="s">
        <v>352</v>
      </c>
      <c r="H152" s="29" t="s">
        <v>353</v>
      </c>
      <c r="I152" s="29" t="s">
        <v>354</v>
      </c>
      <c r="J152" s="29" t="s">
        <v>355</v>
      </c>
      <c r="K152" s="29" t="s">
        <v>356</v>
      </c>
      <c r="L152" s="29" t="s">
        <v>357</v>
      </c>
      <c r="M152" s="29" t="s">
        <v>358</v>
      </c>
      <c r="N152" s="29" t="s">
        <v>359</v>
      </c>
      <c r="O152" s="29" t="s">
        <v>360</v>
      </c>
      <c r="P152" s="29" t="s">
        <v>361</v>
      </c>
      <c r="Q152" s="29" t="s">
        <v>362</v>
      </c>
    </row>
    <row r="153" spans="2:17" ht="17.25" customHeight="1" x14ac:dyDescent="0.45">
      <c r="B153" s="30" t="s">
        <v>442</v>
      </c>
      <c r="C153" s="30" t="s">
        <v>443</v>
      </c>
      <c r="E153" s="29" t="s">
        <v>364</v>
      </c>
      <c r="F153" s="31" t="s">
        <v>213</v>
      </c>
      <c r="G153" s="31" t="s">
        <v>213</v>
      </c>
      <c r="H153" s="73" t="s">
        <v>444</v>
      </c>
      <c r="I153" s="74"/>
      <c r="J153" s="74"/>
      <c r="K153" s="74"/>
      <c r="L153" s="74"/>
      <c r="M153" s="74"/>
      <c r="N153" s="74"/>
      <c r="O153" s="74"/>
      <c r="P153" s="74"/>
      <c r="Q153" s="75"/>
    </row>
    <row r="154" spans="2:17" x14ac:dyDescent="0.45">
      <c r="E154" s="29" t="s">
        <v>365</v>
      </c>
      <c r="F154" s="73" t="s">
        <v>445</v>
      </c>
      <c r="G154" s="74"/>
      <c r="H154" s="74"/>
      <c r="I154" s="74"/>
      <c r="J154" s="74"/>
      <c r="K154" s="74"/>
      <c r="L154" s="74"/>
      <c r="M154" s="74"/>
      <c r="N154" s="74"/>
      <c r="O154" s="74"/>
      <c r="P154" s="74"/>
      <c r="Q154" s="75"/>
    </row>
    <row r="155" spans="2:17" x14ac:dyDescent="0.45">
      <c r="E155" s="29" t="s">
        <v>342</v>
      </c>
      <c r="F155" s="73" t="s">
        <v>367</v>
      </c>
      <c r="G155" s="74"/>
      <c r="H155" s="74"/>
      <c r="I155" s="74"/>
      <c r="J155" s="74"/>
      <c r="K155" s="74"/>
      <c r="L155" s="74"/>
      <c r="M155" s="74"/>
      <c r="N155" s="74"/>
      <c r="O155" s="74"/>
      <c r="P155" s="74"/>
      <c r="Q155" s="75"/>
    </row>
    <row r="156" spans="2:17" x14ac:dyDescent="0.45">
      <c r="E156" s="29" t="s">
        <v>345</v>
      </c>
      <c r="F156" s="73" t="s">
        <v>172</v>
      </c>
      <c r="G156" s="74"/>
      <c r="H156" s="74"/>
      <c r="I156" s="74"/>
      <c r="J156" s="74"/>
      <c r="K156" s="74"/>
      <c r="L156" s="74"/>
      <c r="M156" s="74"/>
      <c r="N156" s="74"/>
      <c r="O156" s="74"/>
      <c r="P156" s="74"/>
      <c r="Q156" s="75"/>
    </row>
    <row r="157" spans="2:17" ht="16.5" customHeight="1" x14ac:dyDescent="0.45">
      <c r="E157" s="29" t="s">
        <v>369</v>
      </c>
      <c r="F157" s="70" t="s">
        <v>446</v>
      </c>
      <c r="G157" s="71"/>
      <c r="H157" s="71"/>
      <c r="I157" s="71"/>
      <c r="J157" s="71"/>
      <c r="K157" s="71"/>
      <c r="L157" s="71"/>
      <c r="M157" s="71"/>
      <c r="N157" s="71"/>
      <c r="O157" s="71"/>
      <c r="P157" s="71"/>
      <c r="Q157" s="72"/>
    </row>
    <row r="159" spans="2:17" x14ac:dyDescent="0.45">
      <c r="B159" s="28" t="s">
        <v>349</v>
      </c>
      <c r="C159" s="28" t="s">
        <v>350</v>
      </c>
      <c r="E159" s="29"/>
      <c r="F159" s="29" t="s">
        <v>351</v>
      </c>
      <c r="G159" s="29" t="s">
        <v>352</v>
      </c>
      <c r="H159" s="29" t="s">
        <v>353</v>
      </c>
      <c r="I159" s="29" t="s">
        <v>354</v>
      </c>
      <c r="J159" s="29" t="s">
        <v>355</v>
      </c>
      <c r="K159" s="29" t="s">
        <v>356</v>
      </c>
      <c r="L159" s="29" t="s">
        <v>357</v>
      </c>
      <c r="M159" s="29" t="s">
        <v>358</v>
      </c>
      <c r="N159" s="29" t="s">
        <v>359</v>
      </c>
      <c r="O159" s="29" t="s">
        <v>360</v>
      </c>
      <c r="P159" s="29" t="s">
        <v>361</v>
      </c>
      <c r="Q159" s="29" t="s">
        <v>362</v>
      </c>
    </row>
    <row r="160" spans="2:17" ht="17.25" customHeight="1" x14ac:dyDescent="0.45">
      <c r="B160" s="30" t="s">
        <v>447</v>
      </c>
      <c r="C160" s="30" t="s">
        <v>448</v>
      </c>
      <c r="E160" s="29" t="s">
        <v>364</v>
      </c>
      <c r="F160" s="31" t="s">
        <v>213</v>
      </c>
      <c r="G160" s="31" t="s">
        <v>213</v>
      </c>
      <c r="H160" s="73" t="s">
        <v>449</v>
      </c>
      <c r="I160" s="74"/>
      <c r="J160" s="74"/>
      <c r="K160" s="74"/>
      <c r="L160" s="74"/>
      <c r="M160" s="74"/>
      <c r="N160" s="74"/>
      <c r="O160" s="74"/>
      <c r="P160" s="74"/>
      <c r="Q160" s="75"/>
    </row>
    <row r="161" spans="2:17" x14ac:dyDescent="0.45">
      <c r="E161" s="29" t="s">
        <v>365</v>
      </c>
      <c r="F161" s="73" t="s">
        <v>450</v>
      </c>
      <c r="G161" s="74"/>
      <c r="H161" s="74"/>
      <c r="I161" s="74"/>
      <c r="J161" s="74"/>
      <c r="K161" s="74"/>
      <c r="L161" s="74"/>
      <c r="M161" s="74"/>
      <c r="N161" s="74"/>
      <c r="O161" s="74"/>
      <c r="P161" s="74"/>
      <c r="Q161" s="75"/>
    </row>
    <row r="162" spans="2:17" x14ac:dyDescent="0.45">
      <c r="E162" s="29" t="s">
        <v>342</v>
      </c>
      <c r="F162" s="73" t="s">
        <v>367</v>
      </c>
      <c r="G162" s="74"/>
      <c r="H162" s="74"/>
      <c r="I162" s="74"/>
      <c r="J162" s="74"/>
      <c r="K162" s="74"/>
      <c r="L162" s="74"/>
      <c r="M162" s="74"/>
      <c r="N162" s="74"/>
      <c r="O162" s="74"/>
      <c r="P162" s="74"/>
      <c r="Q162" s="75"/>
    </row>
    <row r="163" spans="2:17" x14ac:dyDescent="0.45">
      <c r="E163" s="29" t="s">
        <v>345</v>
      </c>
      <c r="F163" s="73" t="s">
        <v>172</v>
      </c>
      <c r="G163" s="74"/>
      <c r="H163" s="74"/>
      <c r="I163" s="74"/>
      <c r="J163" s="74"/>
      <c r="K163" s="74"/>
      <c r="L163" s="74"/>
      <c r="M163" s="74"/>
      <c r="N163" s="74"/>
      <c r="O163" s="74"/>
      <c r="P163" s="74"/>
      <c r="Q163" s="75"/>
    </row>
    <row r="164" spans="2:17" ht="16.5" customHeight="1" x14ac:dyDescent="0.45">
      <c r="E164" s="29" t="s">
        <v>369</v>
      </c>
      <c r="F164" s="70" t="s">
        <v>451</v>
      </c>
      <c r="G164" s="71"/>
      <c r="H164" s="71"/>
      <c r="I164" s="71"/>
      <c r="J164" s="71"/>
      <c r="K164" s="71"/>
      <c r="L164" s="71"/>
      <c r="M164" s="71"/>
      <c r="N164" s="71"/>
      <c r="O164" s="71"/>
      <c r="P164" s="71"/>
      <c r="Q164" s="72"/>
    </row>
    <row r="166" spans="2:17" x14ac:dyDescent="0.45">
      <c r="B166" s="28" t="s">
        <v>349</v>
      </c>
      <c r="C166" s="28" t="s">
        <v>350</v>
      </c>
      <c r="E166" s="29"/>
      <c r="F166" s="29" t="s">
        <v>351</v>
      </c>
      <c r="G166" s="29" t="s">
        <v>352</v>
      </c>
      <c r="H166" s="29" t="s">
        <v>353</v>
      </c>
      <c r="I166" s="29" t="s">
        <v>354</v>
      </c>
      <c r="J166" s="29" t="s">
        <v>355</v>
      </c>
      <c r="K166" s="29" t="s">
        <v>356</v>
      </c>
      <c r="L166" s="29" t="s">
        <v>357</v>
      </c>
      <c r="M166" s="29" t="s">
        <v>358</v>
      </c>
      <c r="N166" s="29" t="s">
        <v>359</v>
      </c>
      <c r="O166" s="29" t="s">
        <v>360</v>
      </c>
      <c r="P166" s="29" t="s">
        <v>361</v>
      </c>
      <c r="Q166" s="29" t="s">
        <v>362</v>
      </c>
    </row>
    <row r="167" spans="2:17" ht="17.25" customHeight="1" x14ac:dyDescent="0.45">
      <c r="B167" s="30" t="s">
        <v>452</v>
      </c>
      <c r="C167" s="30" t="s">
        <v>453</v>
      </c>
      <c r="E167" s="29" t="s">
        <v>364</v>
      </c>
      <c r="F167" s="31" t="s">
        <v>213</v>
      </c>
      <c r="G167" s="31" t="s">
        <v>213</v>
      </c>
      <c r="H167" s="73" t="s">
        <v>454</v>
      </c>
      <c r="I167" s="74"/>
      <c r="J167" s="74"/>
      <c r="K167" s="74"/>
      <c r="L167" s="74"/>
      <c r="M167" s="74"/>
      <c r="N167" s="74"/>
      <c r="O167" s="74"/>
      <c r="P167" s="74"/>
      <c r="Q167" s="75"/>
    </row>
    <row r="168" spans="2:17" x14ac:dyDescent="0.45">
      <c r="E168" s="29" t="s">
        <v>365</v>
      </c>
      <c r="F168" s="73" t="s">
        <v>455</v>
      </c>
      <c r="G168" s="74"/>
      <c r="H168" s="74"/>
      <c r="I168" s="74"/>
      <c r="J168" s="74"/>
      <c r="K168" s="74"/>
      <c r="L168" s="74"/>
      <c r="M168" s="74"/>
      <c r="N168" s="74"/>
      <c r="O168" s="74"/>
      <c r="P168" s="74"/>
      <c r="Q168" s="75"/>
    </row>
    <row r="169" spans="2:17" x14ac:dyDescent="0.45">
      <c r="E169" s="29" t="s">
        <v>342</v>
      </c>
      <c r="F169" s="73" t="s">
        <v>367</v>
      </c>
      <c r="G169" s="74"/>
      <c r="H169" s="74"/>
      <c r="I169" s="74"/>
      <c r="J169" s="74"/>
      <c r="K169" s="74"/>
      <c r="L169" s="74"/>
      <c r="M169" s="74"/>
      <c r="N169" s="74"/>
      <c r="O169" s="74"/>
      <c r="P169" s="74"/>
      <c r="Q169" s="75"/>
    </row>
    <row r="170" spans="2:17" x14ac:dyDescent="0.45">
      <c r="E170" s="29" t="s">
        <v>345</v>
      </c>
      <c r="F170" s="73" t="s">
        <v>172</v>
      </c>
      <c r="G170" s="74"/>
      <c r="H170" s="74"/>
      <c r="I170" s="74"/>
      <c r="J170" s="74"/>
      <c r="K170" s="74"/>
      <c r="L170" s="74"/>
      <c r="M170" s="74"/>
      <c r="N170" s="74"/>
      <c r="O170" s="74"/>
      <c r="P170" s="74"/>
      <c r="Q170" s="75"/>
    </row>
    <row r="171" spans="2:17" ht="16.5" customHeight="1" x14ac:dyDescent="0.45">
      <c r="E171" s="29" t="s">
        <v>369</v>
      </c>
      <c r="F171" s="70" t="s">
        <v>456</v>
      </c>
      <c r="G171" s="71"/>
      <c r="H171" s="71"/>
      <c r="I171" s="71"/>
      <c r="J171" s="71"/>
      <c r="K171" s="71"/>
      <c r="L171" s="71"/>
      <c r="M171" s="71"/>
      <c r="N171" s="71"/>
      <c r="O171" s="71"/>
      <c r="P171" s="71"/>
      <c r="Q171" s="72"/>
    </row>
    <row r="173" spans="2:17" x14ac:dyDescent="0.45">
      <c r="B173" s="28" t="s">
        <v>349</v>
      </c>
      <c r="C173" s="28" t="s">
        <v>350</v>
      </c>
      <c r="E173" s="29"/>
      <c r="F173" s="29" t="s">
        <v>351</v>
      </c>
      <c r="G173" s="29" t="s">
        <v>352</v>
      </c>
      <c r="H173" s="29" t="s">
        <v>353</v>
      </c>
      <c r="I173" s="29" t="s">
        <v>354</v>
      </c>
      <c r="J173" s="29" t="s">
        <v>355</v>
      </c>
      <c r="K173" s="29" t="s">
        <v>356</v>
      </c>
      <c r="L173" s="29" t="s">
        <v>357</v>
      </c>
      <c r="M173" s="29" t="s">
        <v>358</v>
      </c>
      <c r="N173" s="29" t="s">
        <v>359</v>
      </c>
      <c r="O173" s="29" t="s">
        <v>360</v>
      </c>
      <c r="P173" s="29" t="s">
        <v>361</v>
      </c>
      <c r="Q173" s="29" t="s">
        <v>362</v>
      </c>
    </row>
    <row r="174" spans="2:17" ht="17.25" customHeight="1" x14ac:dyDescent="0.45">
      <c r="B174" s="30" t="s">
        <v>457</v>
      </c>
      <c r="C174" s="30" t="s">
        <v>458</v>
      </c>
      <c r="E174" s="29" t="s">
        <v>364</v>
      </c>
      <c r="F174" s="31" t="s">
        <v>213</v>
      </c>
      <c r="G174" s="31" t="s">
        <v>213</v>
      </c>
      <c r="H174" s="73" t="s">
        <v>459</v>
      </c>
      <c r="I174" s="74"/>
      <c r="J174" s="74"/>
      <c r="K174" s="74"/>
      <c r="L174" s="74"/>
      <c r="M174" s="74"/>
      <c r="N174" s="74"/>
      <c r="O174" s="74"/>
      <c r="P174" s="74"/>
      <c r="Q174" s="75"/>
    </row>
    <row r="175" spans="2:17" x14ac:dyDescent="0.45">
      <c r="E175" s="29" t="s">
        <v>365</v>
      </c>
      <c r="F175" s="73" t="s">
        <v>460</v>
      </c>
      <c r="G175" s="74"/>
      <c r="H175" s="74"/>
      <c r="I175" s="74"/>
      <c r="J175" s="74"/>
      <c r="K175" s="74"/>
      <c r="L175" s="74"/>
      <c r="M175" s="74"/>
      <c r="N175" s="74"/>
      <c r="O175" s="74"/>
      <c r="P175" s="74"/>
      <c r="Q175" s="75"/>
    </row>
    <row r="176" spans="2:17" x14ac:dyDescent="0.45">
      <c r="E176" s="29" t="s">
        <v>342</v>
      </c>
      <c r="F176" s="73" t="s">
        <v>367</v>
      </c>
      <c r="G176" s="74"/>
      <c r="H176" s="74"/>
      <c r="I176" s="74"/>
      <c r="J176" s="74"/>
      <c r="K176" s="74"/>
      <c r="L176" s="74"/>
      <c r="M176" s="74"/>
      <c r="N176" s="74"/>
      <c r="O176" s="74"/>
      <c r="P176" s="74"/>
      <c r="Q176" s="75"/>
    </row>
    <row r="177" spans="2:17" x14ac:dyDescent="0.45">
      <c r="E177" s="29" t="s">
        <v>345</v>
      </c>
      <c r="F177" s="73" t="s">
        <v>172</v>
      </c>
      <c r="G177" s="74"/>
      <c r="H177" s="74"/>
      <c r="I177" s="74"/>
      <c r="J177" s="74"/>
      <c r="K177" s="74"/>
      <c r="L177" s="74"/>
      <c r="M177" s="74"/>
      <c r="N177" s="74"/>
      <c r="O177" s="74"/>
      <c r="P177" s="74"/>
      <c r="Q177" s="75"/>
    </row>
    <row r="178" spans="2:17" ht="16.5" customHeight="1" x14ac:dyDescent="0.45">
      <c r="E178" s="29" t="s">
        <v>369</v>
      </c>
      <c r="F178" s="70" t="s">
        <v>461</v>
      </c>
      <c r="G178" s="71"/>
      <c r="H178" s="71"/>
      <c r="I178" s="71"/>
      <c r="J178" s="71"/>
      <c r="K178" s="71"/>
      <c r="L178" s="71"/>
      <c r="M178" s="71"/>
      <c r="N178" s="71"/>
      <c r="O178" s="71"/>
      <c r="P178" s="71"/>
      <c r="Q178" s="72"/>
    </row>
    <row r="180" spans="2:17" x14ac:dyDescent="0.45">
      <c r="B180" s="28" t="s">
        <v>349</v>
      </c>
      <c r="C180" s="28" t="s">
        <v>350</v>
      </c>
      <c r="E180" s="29"/>
      <c r="F180" s="29" t="s">
        <v>351</v>
      </c>
      <c r="G180" s="29" t="s">
        <v>352</v>
      </c>
      <c r="H180" s="29" t="s">
        <v>353</v>
      </c>
      <c r="I180" s="29" t="s">
        <v>354</v>
      </c>
      <c r="J180" s="29" t="s">
        <v>355</v>
      </c>
      <c r="K180" s="29" t="s">
        <v>356</v>
      </c>
      <c r="L180" s="29" t="s">
        <v>357</v>
      </c>
      <c r="M180" s="29" t="s">
        <v>358</v>
      </c>
      <c r="N180" s="29" t="s">
        <v>359</v>
      </c>
      <c r="O180" s="29" t="s">
        <v>360</v>
      </c>
      <c r="P180" s="29" t="s">
        <v>361</v>
      </c>
      <c r="Q180" s="29" t="s">
        <v>362</v>
      </c>
    </row>
    <row r="181" spans="2:17" ht="17.25" customHeight="1" x14ac:dyDescent="0.45">
      <c r="B181" s="30" t="s">
        <v>462</v>
      </c>
      <c r="C181" s="30" t="s">
        <v>463</v>
      </c>
      <c r="E181" s="29" t="s">
        <v>364</v>
      </c>
      <c r="F181" s="31" t="s">
        <v>213</v>
      </c>
      <c r="G181" s="31" t="s">
        <v>213</v>
      </c>
      <c r="H181" s="73" t="s">
        <v>464</v>
      </c>
      <c r="I181" s="74"/>
      <c r="J181" s="74"/>
      <c r="K181" s="74"/>
      <c r="L181" s="74"/>
      <c r="M181" s="74"/>
      <c r="N181" s="74"/>
      <c r="O181" s="74"/>
      <c r="P181" s="74"/>
      <c r="Q181" s="75"/>
    </row>
    <row r="182" spans="2:17" x14ac:dyDescent="0.45">
      <c r="E182" s="29" t="s">
        <v>365</v>
      </c>
      <c r="F182" s="73" t="s">
        <v>465</v>
      </c>
      <c r="G182" s="74"/>
      <c r="H182" s="74"/>
      <c r="I182" s="74"/>
      <c r="J182" s="74"/>
      <c r="K182" s="74"/>
      <c r="L182" s="74"/>
      <c r="M182" s="74"/>
      <c r="N182" s="74"/>
      <c r="O182" s="74"/>
      <c r="P182" s="74"/>
      <c r="Q182" s="75"/>
    </row>
    <row r="183" spans="2:17" x14ac:dyDescent="0.45">
      <c r="E183" s="29" t="s">
        <v>342</v>
      </c>
      <c r="F183" s="73" t="s">
        <v>367</v>
      </c>
      <c r="G183" s="74"/>
      <c r="H183" s="74"/>
      <c r="I183" s="74"/>
      <c r="J183" s="74"/>
      <c r="K183" s="74"/>
      <c r="L183" s="74"/>
      <c r="M183" s="74"/>
      <c r="N183" s="74"/>
      <c r="O183" s="74"/>
      <c r="P183" s="74"/>
      <c r="Q183" s="75"/>
    </row>
    <row r="184" spans="2:17" x14ac:dyDescent="0.45">
      <c r="E184" s="29" t="s">
        <v>345</v>
      </c>
      <c r="F184" s="73" t="s">
        <v>172</v>
      </c>
      <c r="G184" s="74"/>
      <c r="H184" s="74"/>
      <c r="I184" s="74"/>
      <c r="J184" s="74"/>
      <c r="K184" s="74"/>
      <c r="L184" s="74"/>
      <c r="M184" s="74"/>
      <c r="N184" s="74"/>
      <c r="O184" s="74"/>
      <c r="P184" s="74"/>
      <c r="Q184" s="75"/>
    </row>
    <row r="185" spans="2:17" ht="16.5" customHeight="1" x14ac:dyDescent="0.45">
      <c r="E185" s="29" t="s">
        <v>369</v>
      </c>
      <c r="F185" s="70" t="s">
        <v>466</v>
      </c>
      <c r="G185" s="71"/>
      <c r="H185" s="71"/>
      <c r="I185" s="71"/>
      <c r="J185" s="71"/>
      <c r="K185" s="71"/>
      <c r="L185" s="71"/>
      <c r="M185" s="71"/>
      <c r="N185" s="71"/>
      <c r="O185" s="71"/>
      <c r="P185" s="71"/>
      <c r="Q185" s="72"/>
    </row>
    <row r="187" spans="2:17" x14ac:dyDescent="0.45">
      <c r="B187" s="28" t="s">
        <v>349</v>
      </c>
      <c r="C187" s="28" t="s">
        <v>350</v>
      </c>
      <c r="E187" s="29"/>
      <c r="F187" s="29" t="s">
        <v>351</v>
      </c>
      <c r="G187" s="29" t="s">
        <v>352</v>
      </c>
      <c r="H187" s="29" t="s">
        <v>353</v>
      </c>
      <c r="I187" s="29" t="s">
        <v>354</v>
      </c>
      <c r="J187" s="29" t="s">
        <v>355</v>
      </c>
      <c r="K187" s="29" t="s">
        <v>356</v>
      </c>
      <c r="L187" s="29" t="s">
        <v>357</v>
      </c>
      <c r="M187" s="29" t="s">
        <v>358</v>
      </c>
      <c r="N187" s="29" t="s">
        <v>359</v>
      </c>
      <c r="O187" s="29" t="s">
        <v>360</v>
      </c>
      <c r="P187" s="29" t="s">
        <v>361</v>
      </c>
      <c r="Q187" s="29" t="s">
        <v>362</v>
      </c>
    </row>
    <row r="188" spans="2:17" ht="17.25" customHeight="1" x14ac:dyDescent="0.45">
      <c r="B188" s="30" t="s">
        <v>467</v>
      </c>
      <c r="C188" s="30" t="s">
        <v>468</v>
      </c>
      <c r="E188" s="29" t="s">
        <v>364</v>
      </c>
      <c r="F188" s="31" t="s">
        <v>213</v>
      </c>
      <c r="G188" s="31" t="s">
        <v>213</v>
      </c>
      <c r="H188" s="73" t="s">
        <v>469</v>
      </c>
      <c r="I188" s="74"/>
      <c r="J188" s="74"/>
      <c r="K188" s="74"/>
      <c r="L188" s="74"/>
      <c r="M188" s="74"/>
      <c r="N188" s="74"/>
      <c r="O188" s="74"/>
      <c r="P188" s="74"/>
      <c r="Q188" s="75"/>
    </row>
    <row r="189" spans="2:17" x14ac:dyDescent="0.45">
      <c r="E189" s="29" t="s">
        <v>365</v>
      </c>
      <c r="F189" s="73" t="s">
        <v>470</v>
      </c>
      <c r="G189" s="74"/>
      <c r="H189" s="74"/>
      <c r="I189" s="74"/>
      <c r="J189" s="74"/>
      <c r="K189" s="74"/>
      <c r="L189" s="74"/>
      <c r="M189" s="74"/>
      <c r="N189" s="74"/>
      <c r="O189" s="74"/>
      <c r="P189" s="74"/>
      <c r="Q189" s="75"/>
    </row>
    <row r="190" spans="2:17" x14ac:dyDescent="0.45">
      <c r="E190" s="29" t="s">
        <v>342</v>
      </c>
      <c r="F190" s="73" t="s">
        <v>367</v>
      </c>
      <c r="G190" s="74"/>
      <c r="H190" s="74"/>
      <c r="I190" s="74"/>
      <c r="J190" s="74"/>
      <c r="K190" s="74"/>
      <c r="L190" s="74"/>
      <c r="M190" s="74"/>
      <c r="N190" s="74"/>
      <c r="O190" s="74"/>
      <c r="P190" s="74"/>
      <c r="Q190" s="75"/>
    </row>
    <row r="191" spans="2:17" x14ac:dyDescent="0.45">
      <c r="E191" s="29" t="s">
        <v>345</v>
      </c>
      <c r="F191" s="73" t="s">
        <v>172</v>
      </c>
      <c r="G191" s="74"/>
      <c r="H191" s="74"/>
      <c r="I191" s="74"/>
      <c r="J191" s="74"/>
      <c r="K191" s="74"/>
      <c r="L191" s="74"/>
      <c r="M191" s="74"/>
      <c r="N191" s="74"/>
      <c r="O191" s="74"/>
      <c r="P191" s="74"/>
      <c r="Q191" s="75"/>
    </row>
    <row r="192" spans="2:17" ht="16.5" customHeight="1" x14ac:dyDescent="0.45">
      <c r="E192" s="29" t="s">
        <v>369</v>
      </c>
      <c r="F192" s="70" t="s">
        <v>471</v>
      </c>
      <c r="G192" s="71"/>
      <c r="H192" s="71"/>
      <c r="I192" s="71"/>
      <c r="J192" s="71"/>
      <c r="K192" s="71"/>
      <c r="L192" s="71"/>
      <c r="M192" s="71"/>
      <c r="N192" s="71"/>
      <c r="O192" s="71"/>
      <c r="P192" s="71"/>
      <c r="Q192" s="72"/>
    </row>
    <row r="194" spans="2:17" x14ac:dyDescent="0.45">
      <c r="B194" s="28" t="s">
        <v>349</v>
      </c>
      <c r="C194" s="28" t="s">
        <v>350</v>
      </c>
      <c r="E194" s="29"/>
      <c r="F194" s="29" t="s">
        <v>351</v>
      </c>
      <c r="G194" s="29" t="s">
        <v>352</v>
      </c>
      <c r="H194" s="29" t="s">
        <v>353</v>
      </c>
      <c r="I194" s="29" t="s">
        <v>354</v>
      </c>
      <c r="J194" s="29" t="s">
        <v>355</v>
      </c>
      <c r="K194" s="29" t="s">
        <v>356</v>
      </c>
      <c r="L194" s="29" t="s">
        <v>357</v>
      </c>
      <c r="M194" s="29" t="s">
        <v>358</v>
      </c>
      <c r="N194" s="29" t="s">
        <v>359</v>
      </c>
      <c r="O194" s="29" t="s">
        <v>360</v>
      </c>
      <c r="P194" s="29" t="s">
        <v>361</v>
      </c>
      <c r="Q194" s="29" t="s">
        <v>362</v>
      </c>
    </row>
    <row r="195" spans="2:17" ht="17.25" customHeight="1" x14ac:dyDescent="0.45">
      <c r="B195" s="30" t="s">
        <v>472</v>
      </c>
      <c r="C195" s="30" t="s">
        <v>473</v>
      </c>
      <c r="E195" s="29" t="s">
        <v>364</v>
      </c>
      <c r="F195" s="73" t="s">
        <v>474</v>
      </c>
      <c r="G195" s="74"/>
      <c r="H195" s="74"/>
      <c r="I195" s="74"/>
      <c r="J195" s="74"/>
      <c r="K195" s="74"/>
      <c r="L195" s="74"/>
      <c r="M195" s="74"/>
      <c r="N195" s="74"/>
      <c r="O195" s="74"/>
      <c r="P195" s="74"/>
      <c r="Q195" s="75"/>
    </row>
    <row r="196" spans="2:17" x14ac:dyDescent="0.45">
      <c r="E196" s="29" t="s">
        <v>365</v>
      </c>
      <c r="F196" s="73" t="s">
        <v>475</v>
      </c>
      <c r="G196" s="74"/>
      <c r="H196" s="74"/>
      <c r="I196" s="74"/>
      <c r="J196" s="74"/>
      <c r="K196" s="74"/>
      <c r="L196" s="74"/>
      <c r="M196" s="74"/>
      <c r="N196" s="74"/>
      <c r="O196" s="74"/>
      <c r="P196" s="74"/>
      <c r="Q196" s="75"/>
    </row>
    <row r="197" spans="2:17" x14ac:dyDescent="0.45">
      <c r="E197" s="29" t="s">
        <v>342</v>
      </c>
      <c r="F197" s="73" t="s">
        <v>367</v>
      </c>
      <c r="G197" s="74"/>
      <c r="H197" s="74"/>
      <c r="I197" s="74"/>
      <c r="J197" s="74"/>
      <c r="K197" s="74"/>
      <c r="L197" s="74"/>
      <c r="M197" s="74"/>
      <c r="N197" s="74"/>
      <c r="O197" s="74"/>
      <c r="P197" s="74"/>
      <c r="Q197" s="75"/>
    </row>
    <row r="198" spans="2:17" x14ac:dyDescent="0.45">
      <c r="E198" s="29" t="s">
        <v>345</v>
      </c>
      <c r="F198" s="73" t="s">
        <v>172</v>
      </c>
      <c r="G198" s="74"/>
      <c r="H198" s="74"/>
      <c r="I198" s="74"/>
      <c r="J198" s="74"/>
      <c r="K198" s="74"/>
      <c r="L198" s="74"/>
      <c r="M198" s="74"/>
      <c r="N198" s="74"/>
      <c r="O198" s="74"/>
      <c r="P198" s="74"/>
      <c r="Q198" s="75"/>
    </row>
    <row r="199" spans="2:17" ht="16.5" customHeight="1" x14ac:dyDescent="0.45">
      <c r="E199" s="29" t="s">
        <v>369</v>
      </c>
      <c r="F199" s="70" t="s">
        <v>476</v>
      </c>
      <c r="G199" s="71"/>
      <c r="H199" s="71"/>
      <c r="I199" s="71"/>
      <c r="J199" s="71"/>
      <c r="K199" s="71"/>
      <c r="L199" s="71"/>
      <c r="M199" s="71"/>
      <c r="N199" s="71"/>
      <c r="O199" s="71"/>
      <c r="P199" s="71"/>
      <c r="Q199" s="72"/>
    </row>
  </sheetData>
  <mergeCells count="160">
    <mergeCell ref="E12:Q12"/>
    <mergeCell ref="K17:M17"/>
    <mergeCell ref="N17:O17"/>
    <mergeCell ref="P17:Q17"/>
    <mergeCell ref="K18:M18"/>
    <mergeCell ref="N18:O18"/>
    <mergeCell ref="P18:Q18"/>
    <mergeCell ref="E4:Q4"/>
    <mergeCell ref="E5:Q5"/>
    <mergeCell ref="E6:Q6"/>
    <mergeCell ref="E9:Q9"/>
    <mergeCell ref="E10:Q10"/>
    <mergeCell ref="E11:Q11"/>
    <mergeCell ref="F21:Q21"/>
    <mergeCell ref="F28:Q28"/>
    <mergeCell ref="H31:Q31"/>
    <mergeCell ref="H32:Q32"/>
    <mergeCell ref="H33:Q33"/>
    <mergeCell ref="H34:Q34"/>
    <mergeCell ref="K19:M19"/>
    <mergeCell ref="N19:O19"/>
    <mergeCell ref="P19:Q19"/>
    <mergeCell ref="K20:M20"/>
    <mergeCell ref="N20:O20"/>
    <mergeCell ref="P20:Q20"/>
    <mergeCell ref="N45:Q45"/>
    <mergeCell ref="N46:Q46"/>
    <mergeCell ref="N47:Q47"/>
    <mergeCell ref="N48:Q48"/>
    <mergeCell ref="F49:Q49"/>
    <mergeCell ref="N52:O52"/>
    <mergeCell ref="P52:Q52"/>
    <mergeCell ref="F35:Q35"/>
    <mergeCell ref="H38:Q38"/>
    <mergeCell ref="H39:Q39"/>
    <mergeCell ref="H40:Q40"/>
    <mergeCell ref="H41:Q41"/>
    <mergeCell ref="F42:Q42"/>
    <mergeCell ref="F56:Q56"/>
    <mergeCell ref="N59:Q59"/>
    <mergeCell ref="N60:Q60"/>
    <mergeCell ref="N61:Q61"/>
    <mergeCell ref="N62:Q62"/>
    <mergeCell ref="F64:Q64"/>
    <mergeCell ref="N53:O53"/>
    <mergeCell ref="P53:Q53"/>
    <mergeCell ref="N54:O54"/>
    <mergeCell ref="P54:Q54"/>
    <mergeCell ref="N55:O55"/>
    <mergeCell ref="P55:Q55"/>
    <mergeCell ref="F72:M72"/>
    <mergeCell ref="N72:Q72"/>
    <mergeCell ref="F73:M73"/>
    <mergeCell ref="N73:Q73"/>
    <mergeCell ref="F74:M74"/>
    <mergeCell ref="N74:Q74"/>
    <mergeCell ref="F65:Q65"/>
    <mergeCell ref="F66:Q66"/>
    <mergeCell ref="F67:Q67"/>
    <mergeCell ref="F68:Q68"/>
    <mergeCell ref="F71:M71"/>
    <mergeCell ref="N71:Q71"/>
    <mergeCell ref="F79:I79"/>
    <mergeCell ref="J79:Q79"/>
    <mergeCell ref="F80:Q80"/>
    <mergeCell ref="H83:Q83"/>
    <mergeCell ref="H84:Q84"/>
    <mergeCell ref="H85:Q85"/>
    <mergeCell ref="F76:I76"/>
    <mergeCell ref="J76:Q76"/>
    <mergeCell ref="F77:I77"/>
    <mergeCell ref="J77:Q77"/>
    <mergeCell ref="F78:I78"/>
    <mergeCell ref="J78:Q78"/>
    <mergeCell ref="F94:Q94"/>
    <mergeCell ref="F97:Q97"/>
    <mergeCell ref="F98:Q98"/>
    <mergeCell ref="F99:Q99"/>
    <mergeCell ref="F100:Q100"/>
    <mergeCell ref="F101:Q101"/>
    <mergeCell ref="H86:Q86"/>
    <mergeCell ref="F87:Q87"/>
    <mergeCell ref="H90:Q90"/>
    <mergeCell ref="H91:Q91"/>
    <mergeCell ref="H92:Q92"/>
    <mergeCell ref="H93:Q93"/>
    <mergeCell ref="F112:Q112"/>
    <mergeCell ref="F113:Q113"/>
    <mergeCell ref="F114:Q114"/>
    <mergeCell ref="F115:Q115"/>
    <mergeCell ref="F118:I118"/>
    <mergeCell ref="J118:M118"/>
    <mergeCell ref="N118:Q118"/>
    <mergeCell ref="F104:Q104"/>
    <mergeCell ref="F105:Q105"/>
    <mergeCell ref="F106:Q106"/>
    <mergeCell ref="F107:Q107"/>
    <mergeCell ref="F108:Q108"/>
    <mergeCell ref="F111:Q111"/>
    <mergeCell ref="H125:Q125"/>
    <mergeCell ref="F126:Q126"/>
    <mergeCell ref="F127:Q127"/>
    <mergeCell ref="F128:Q128"/>
    <mergeCell ref="F129:Q129"/>
    <mergeCell ref="H132:Q132"/>
    <mergeCell ref="F119:I119"/>
    <mergeCell ref="J119:M119"/>
    <mergeCell ref="N119:Q119"/>
    <mergeCell ref="F120:Q120"/>
    <mergeCell ref="F121:Q121"/>
    <mergeCell ref="F122:Q122"/>
    <mergeCell ref="F141:Q141"/>
    <mergeCell ref="F142:Q142"/>
    <mergeCell ref="F143:Q143"/>
    <mergeCell ref="H146:Q146"/>
    <mergeCell ref="F147:Q147"/>
    <mergeCell ref="F148:Q148"/>
    <mergeCell ref="F133:Q133"/>
    <mergeCell ref="F134:Q134"/>
    <mergeCell ref="F135:Q135"/>
    <mergeCell ref="F136:Q136"/>
    <mergeCell ref="H139:Q139"/>
    <mergeCell ref="F140:Q140"/>
    <mergeCell ref="F157:Q157"/>
    <mergeCell ref="H160:Q160"/>
    <mergeCell ref="F161:Q161"/>
    <mergeCell ref="F162:Q162"/>
    <mergeCell ref="F163:Q163"/>
    <mergeCell ref="F164:Q164"/>
    <mergeCell ref="F149:Q149"/>
    <mergeCell ref="F150:Q150"/>
    <mergeCell ref="H153:Q153"/>
    <mergeCell ref="F154:Q154"/>
    <mergeCell ref="F155:Q155"/>
    <mergeCell ref="F156:Q156"/>
    <mergeCell ref="F175:Q175"/>
    <mergeCell ref="F176:Q176"/>
    <mergeCell ref="F177:Q177"/>
    <mergeCell ref="F178:Q178"/>
    <mergeCell ref="H181:Q181"/>
    <mergeCell ref="F182:Q182"/>
    <mergeCell ref="H167:Q167"/>
    <mergeCell ref="F168:Q168"/>
    <mergeCell ref="F169:Q169"/>
    <mergeCell ref="F170:Q170"/>
    <mergeCell ref="F171:Q171"/>
    <mergeCell ref="H174:Q174"/>
    <mergeCell ref="F199:Q199"/>
    <mergeCell ref="F191:Q191"/>
    <mergeCell ref="F192:Q192"/>
    <mergeCell ref="F195:Q195"/>
    <mergeCell ref="F196:Q196"/>
    <mergeCell ref="F197:Q197"/>
    <mergeCell ref="F198:Q198"/>
    <mergeCell ref="F183:Q183"/>
    <mergeCell ref="F184:Q184"/>
    <mergeCell ref="F185:Q185"/>
    <mergeCell ref="H188:Q188"/>
    <mergeCell ref="F189:Q189"/>
    <mergeCell ref="F190:Q190"/>
  </mergeCells>
  <phoneticPr fontId="4"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74FF-AFD6-4207-A61F-B092CD6FCD81}">
  <dimension ref="A1:X29"/>
  <sheetViews>
    <sheetView showGridLines="0" tabSelected="1" zoomScale="85" zoomScaleNormal="85" workbookViewId="0"/>
  </sheetViews>
  <sheetFormatPr defaultColWidth="9" defaultRowHeight="17" customHeight="1" x14ac:dyDescent="0.45"/>
  <cols>
    <col min="1" max="1" width="2.58203125" style="3" customWidth="1"/>
    <col min="2" max="2" width="13.4140625" style="11" bestFit="1" customWidth="1"/>
    <col min="3" max="3" width="4.33203125" style="11" bestFit="1" customWidth="1"/>
    <col min="4" max="4" width="14.9140625" style="3" bestFit="1" customWidth="1"/>
    <col min="5" max="5" width="5.08203125" style="3" bestFit="1" customWidth="1"/>
    <col min="6" max="6" width="4.58203125" style="3" bestFit="1" customWidth="1"/>
    <col min="7" max="10" width="5.58203125" style="3" bestFit="1" customWidth="1"/>
    <col min="11" max="12" width="8.9140625" style="3" bestFit="1" customWidth="1"/>
    <col min="13" max="13" width="12.83203125" style="3" bestFit="1" customWidth="1"/>
    <col min="14" max="14" width="7.83203125" style="3" bestFit="1" customWidth="1"/>
    <col min="15" max="19" width="5.83203125" style="3" bestFit="1" customWidth="1"/>
    <col min="20" max="20" width="13.9140625" style="3" bestFit="1" customWidth="1"/>
    <col min="21" max="21" width="14.08203125" style="3" bestFit="1" customWidth="1"/>
    <col min="22" max="22" width="13.9140625" style="3" bestFit="1" customWidth="1"/>
    <col min="23" max="23" width="14.4140625" style="3" bestFit="1" customWidth="1"/>
    <col min="24" max="24" width="8.58203125" style="3" customWidth="1"/>
    <col min="25" max="25" width="2.58203125" style="3" customWidth="1"/>
    <col min="26" max="16384" width="9" style="3"/>
  </cols>
  <sheetData>
    <row r="1" spans="1:24" ht="17" customHeight="1" x14ac:dyDescent="0.45">
      <c r="A1"/>
    </row>
    <row r="2" spans="1:24" ht="23" x14ac:dyDescent="0.45">
      <c r="B2" s="1" t="s">
        <v>0</v>
      </c>
      <c r="C2" s="1" t="s">
        <v>577</v>
      </c>
      <c r="D2" s="1" t="s">
        <v>1</v>
      </c>
      <c r="E2" s="2" t="s">
        <v>2</v>
      </c>
      <c r="F2" s="2" t="s">
        <v>3</v>
      </c>
      <c r="G2" s="2" t="s">
        <v>4</v>
      </c>
      <c r="H2" s="2" t="s">
        <v>5</v>
      </c>
      <c r="I2" s="2" t="s">
        <v>6</v>
      </c>
      <c r="J2" s="2" t="s">
        <v>7</v>
      </c>
      <c r="K2" s="2" t="s">
        <v>8</v>
      </c>
      <c r="L2" s="2" t="s">
        <v>9</v>
      </c>
      <c r="M2" s="2" t="s">
        <v>10</v>
      </c>
      <c r="N2" s="2" t="s">
        <v>11</v>
      </c>
      <c r="O2" s="1" t="s">
        <v>12</v>
      </c>
      <c r="P2" s="1" t="s">
        <v>13</v>
      </c>
      <c r="Q2" s="1" t="s">
        <v>14</v>
      </c>
      <c r="R2" s="1" t="s">
        <v>15</v>
      </c>
      <c r="S2" s="1" t="s">
        <v>16</v>
      </c>
      <c r="T2" s="1" t="s">
        <v>17</v>
      </c>
      <c r="U2" s="1" t="s">
        <v>18</v>
      </c>
      <c r="V2" s="1" t="s">
        <v>19</v>
      </c>
      <c r="W2" s="2" t="s">
        <v>21</v>
      </c>
      <c r="X2" s="2" t="s">
        <v>22</v>
      </c>
    </row>
    <row r="3" spans="1:24" ht="14.5" x14ac:dyDescent="0.4">
      <c r="B3" s="12"/>
      <c r="C3" s="12"/>
      <c r="D3" s="12"/>
      <c r="E3" s="13"/>
      <c r="F3" s="13"/>
      <c r="G3" s="68" t="s">
        <v>23</v>
      </c>
      <c r="H3" s="68"/>
      <c r="I3" s="68"/>
      <c r="J3" s="68"/>
      <c r="K3" s="13"/>
      <c r="L3" s="13"/>
      <c r="M3" s="13"/>
      <c r="N3" s="13"/>
      <c r="O3" s="12"/>
      <c r="P3" s="12"/>
      <c r="Q3" s="12"/>
      <c r="R3" s="12"/>
      <c r="S3" s="12"/>
      <c r="T3" s="12"/>
      <c r="U3" s="12"/>
      <c r="V3" s="12"/>
      <c r="W3" s="13"/>
      <c r="X3" s="13"/>
    </row>
    <row r="4" spans="1:24" ht="17" customHeight="1" x14ac:dyDescent="0.45">
      <c r="B4" s="14" t="s">
        <v>168</v>
      </c>
      <c r="C4" s="14"/>
    </row>
    <row r="5" spans="1:24" ht="17" customHeight="1" x14ac:dyDescent="0.45">
      <c r="B5" s="4" t="s">
        <v>169</v>
      </c>
      <c r="C5" s="4">
        <v>224</v>
      </c>
      <c r="D5" s="4" t="s">
        <v>170</v>
      </c>
      <c r="E5" s="4" t="s">
        <v>171</v>
      </c>
      <c r="F5" s="4" t="s">
        <v>172</v>
      </c>
      <c r="G5" s="5" t="s">
        <v>34</v>
      </c>
      <c r="H5" s="5" t="s">
        <v>34</v>
      </c>
      <c r="I5" s="5" t="s">
        <v>34</v>
      </c>
      <c r="J5" s="5" t="s">
        <v>34</v>
      </c>
      <c r="K5" s="7" t="s">
        <v>173</v>
      </c>
      <c r="L5" s="7" t="s">
        <v>174</v>
      </c>
      <c r="M5" s="7" t="s">
        <v>175</v>
      </c>
      <c r="N5" s="97" t="s">
        <v>176</v>
      </c>
      <c r="O5" s="98"/>
      <c r="P5" s="99"/>
      <c r="Q5" s="97" t="s">
        <v>177</v>
      </c>
      <c r="R5" s="98"/>
      <c r="S5" s="99"/>
      <c r="T5" s="7" t="s">
        <v>178</v>
      </c>
      <c r="U5" s="7" t="s">
        <v>179</v>
      </c>
      <c r="V5" s="7" t="s">
        <v>180</v>
      </c>
      <c r="W5" s="8" t="s">
        <v>39</v>
      </c>
      <c r="X5" s="4" t="str">
        <f>_xlfn.CONCAT("0x",BIN2HEX(MID(W5,1,4),1),BIN2HEX(MID(W5,6,4),1),BIN2HEX(MID(W5,11,4),1))</f>
        <v>0x000</v>
      </c>
    </row>
    <row r="6" spans="1:24" ht="17" customHeight="1" x14ac:dyDescent="0.45">
      <c r="B6" s="4" t="s">
        <v>181</v>
      </c>
      <c r="C6" s="4">
        <v>225</v>
      </c>
      <c r="D6" s="4" t="s">
        <v>182</v>
      </c>
      <c r="E6" s="4" t="s">
        <v>171</v>
      </c>
      <c r="F6" s="4" t="s">
        <v>172</v>
      </c>
      <c r="G6" s="5" t="s">
        <v>34</v>
      </c>
      <c r="H6" s="5" t="s">
        <v>34</v>
      </c>
      <c r="I6" s="5" t="s">
        <v>34</v>
      </c>
      <c r="J6" s="5" t="s">
        <v>34</v>
      </c>
      <c r="K6" s="7" t="s">
        <v>183</v>
      </c>
      <c r="L6" s="7" t="s">
        <v>184</v>
      </c>
      <c r="M6" s="7" t="s">
        <v>185</v>
      </c>
      <c r="N6" s="7" t="s">
        <v>186</v>
      </c>
      <c r="O6" s="63" t="s">
        <v>187</v>
      </c>
      <c r="P6" s="63"/>
      <c r="Q6" s="63"/>
      <c r="R6" s="63"/>
      <c r="S6" s="100" t="s">
        <v>580</v>
      </c>
      <c r="T6" s="100"/>
      <c r="U6" s="100"/>
      <c r="V6" s="100"/>
      <c r="W6" s="8" t="s">
        <v>188</v>
      </c>
      <c r="X6" s="4" t="str">
        <f>_xlfn.CONCAT("0x",BIN2HEX(MID(W6,1,4),1),BIN2HEX(MID(W6,6,4),1),BIN2HEX(MID(W6,11,4),1))</f>
        <v>0x040</v>
      </c>
    </row>
    <row r="7" spans="1:24" ht="17" customHeight="1" x14ac:dyDescent="0.45">
      <c r="B7" s="4" t="s">
        <v>189</v>
      </c>
      <c r="C7" s="4">
        <v>226</v>
      </c>
      <c r="D7" s="4" t="s">
        <v>190</v>
      </c>
      <c r="E7" s="4" t="s">
        <v>171</v>
      </c>
      <c r="F7" s="4" t="s">
        <v>172</v>
      </c>
      <c r="G7" s="5" t="s">
        <v>34</v>
      </c>
      <c r="H7" s="5" t="s">
        <v>34</v>
      </c>
      <c r="I7" s="5" t="s">
        <v>34</v>
      </c>
      <c r="J7" s="5" t="s">
        <v>34</v>
      </c>
      <c r="K7" s="63" t="s">
        <v>191</v>
      </c>
      <c r="L7" s="63"/>
      <c r="M7" s="63"/>
      <c r="N7" s="63"/>
      <c r="O7" s="63"/>
      <c r="P7" s="63"/>
      <c r="Q7" s="63"/>
      <c r="R7" s="63"/>
      <c r="S7" s="63"/>
      <c r="T7" s="63"/>
      <c r="U7" s="63"/>
      <c r="V7" s="63"/>
      <c r="W7" s="8" t="s">
        <v>192</v>
      </c>
      <c r="X7" s="4" t="str">
        <f>_xlfn.CONCAT("0x",BIN2HEX(MID(W7,1,4),1),BIN2HEX(MID(W7,6,4),1),BIN2HEX(MID(W7,11,4),1))</f>
        <v>0x140</v>
      </c>
    </row>
    <row r="8" spans="1:24" ht="17" customHeight="1" x14ac:dyDescent="0.45">
      <c r="B8" s="4" t="s">
        <v>193</v>
      </c>
      <c r="C8" s="4">
        <v>227</v>
      </c>
      <c r="D8" s="4" t="s">
        <v>194</v>
      </c>
      <c r="E8" s="4" t="s">
        <v>171</v>
      </c>
      <c r="F8" s="4" t="s">
        <v>172</v>
      </c>
      <c r="G8" s="5" t="s">
        <v>34</v>
      </c>
      <c r="H8" s="5" t="s">
        <v>34</v>
      </c>
      <c r="I8" s="5" t="s">
        <v>34</v>
      </c>
      <c r="J8" s="5" t="s">
        <v>34</v>
      </c>
      <c r="K8" s="63" t="s">
        <v>195</v>
      </c>
      <c r="L8" s="63"/>
      <c r="M8" s="63"/>
      <c r="N8" s="63"/>
      <c r="O8" s="63"/>
      <c r="P8" s="63"/>
      <c r="Q8" s="63"/>
      <c r="R8" s="63"/>
      <c r="S8" s="63"/>
      <c r="T8" s="63"/>
      <c r="U8" s="63"/>
      <c r="V8" s="63"/>
      <c r="W8" s="8" t="s">
        <v>196</v>
      </c>
      <c r="X8" s="4" t="str">
        <f>_xlfn.CONCAT("0x",BIN2HEX(MID(W8,1,4),1),BIN2HEX(MID(W8,6,4),1),BIN2HEX(MID(W8,11,4),1))</f>
        <v>0x5A5</v>
      </c>
    </row>
    <row r="9" spans="1:24" ht="17" customHeight="1" x14ac:dyDescent="0.45">
      <c r="B9" s="14" t="s">
        <v>197</v>
      </c>
      <c r="C9" s="14"/>
    </row>
    <row r="10" spans="1:24" ht="17" customHeight="1" x14ac:dyDescent="0.45">
      <c r="B10" s="4" t="s">
        <v>198</v>
      </c>
      <c r="C10" s="4">
        <v>228</v>
      </c>
      <c r="D10" s="4" t="s">
        <v>199</v>
      </c>
      <c r="E10" s="4" t="s">
        <v>171</v>
      </c>
      <c r="F10" s="4" t="s">
        <v>172</v>
      </c>
      <c r="G10" s="5" t="s">
        <v>34</v>
      </c>
      <c r="H10" s="5" t="s">
        <v>34</v>
      </c>
      <c r="I10" s="5" t="s">
        <v>34</v>
      </c>
      <c r="J10" s="5" t="s">
        <v>34</v>
      </c>
      <c r="K10" s="91" t="s">
        <v>200</v>
      </c>
      <c r="L10" s="91"/>
      <c r="M10" s="91"/>
      <c r="N10" s="91" t="s">
        <v>201</v>
      </c>
      <c r="O10" s="91"/>
      <c r="P10" s="91"/>
      <c r="Q10" s="91" t="s">
        <v>202</v>
      </c>
      <c r="R10" s="91"/>
      <c r="S10" s="91"/>
      <c r="T10" s="91"/>
      <c r="U10" s="91"/>
      <c r="V10" s="91"/>
      <c r="W10" s="8" t="s">
        <v>203</v>
      </c>
      <c r="X10" s="4" t="str">
        <f t="shared" ref="X10:X24" si="0">_xlfn.CONCAT("0x",BIN2HEX(MID(W10,1,4),1),BIN2HEX(MID(W10,6,4),1),BIN2HEX(MID(W10,11,4),1))</f>
        <v>0x020</v>
      </c>
    </row>
    <row r="11" spans="1:24" ht="17" customHeight="1" x14ac:dyDescent="0.45">
      <c r="B11" s="4" t="s">
        <v>204</v>
      </c>
      <c r="C11" s="4">
        <v>229</v>
      </c>
      <c r="D11" s="4" t="s">
        <v>205</v>
      </c>
      <c r="E11" s="4" t="s">
        <v>171</v>
      </c>
      <c r="F11" s="4" t="s">
        <v>172</v>
      </c>
      <c r="G11" s="5" t="s">
        <v>34</v>
      </c>
      <c r="H11" s="5" t="s">
        <v>34</v>
      </c>
      <c r="I11" s="5" t="s">
        <v>34</v>
      </c>
      <c r="J11" s="5" t="s">
        <v>34</v>
      </c>
      <c r="K11" s="91" t="s">
        <v>206</v>
      </c>
      <c r="L11" s="91"/>
      <c r="M11" s="92" t="s">
        <v>207</v>
      </c>
      <c r="N11" s="93"/>
      <c r="O11" s="91" t="s">
        <v>208</v>
      </c>
      <c r="P11" s="91"/>
      <c r="Q11" s="91"/>
      <c r="R11" s="91" t="s">
        <v>209</v>
      </c>
      <c r="S11" s="91"/>
      <c r="T11" s="91"/>
      <c r="U11" s="91"/>
      <c r="V11" s="91"/>
      <c r="W11" s="8" t="s">
        <v>210</v>
      </c>
      <c r="X11" s="4" t="str">
        <f t="shared" si="0"/>
        <v>0x010</v>
      </c>
    </row>
    <row r="12" spans="1:24" ht="17" customHeight="1" x14ac:dyDescent="0.45">
      <c r="B12" s="4" t="s">
        <v>211</v>
      </c>
      <c r="C12" s="4">
        <v>230</v>
      </c>
      <c r="D12" s="4" t="s">
        <v>212</v>
      </c>
      <c r="E12" s="4" t="s">
        <v>171</v>
      </c>
      <c r="F12" s="4" t="s">
        <v>172</v>
      </c>
      <c r="G12" s="5" t="s">
        <v>34</v>
      </c>
      <c r="H12" s="5" t="s">
        <v>34</v>
      </c>
      <c r="I12" s="5" t="s">
        <v>34</v>
      </c>
      <c r="J12" s="5" t="s">
        <v>34</v>
      </c>
      <c r="K12" s="6" t="s">
        <v>213</v>
      </c>
      <c r="L12" s="6" t="s">
        <v>213</v>
      </c>
      <c r="M12" s="94" t="s">
        <v>214</v>
      </c>
      <c r="N12" s="95"/>
      <c r="O12" s="95"/>
      <c r="P12" s="95"/>
      <c r="Q12" s="95"/>
      <c r="R12" s="96"/>
      <c r="S12" s="94" t="s">
        <v>215</v>
      </c>
      <c r="T12" s="95"/>
      <c r="U12" s="95"/>
      <c r="V12" s="96"/>
      <c r="W12" s="8" t="s">
        <v>216</v>
      </c>
      <c r="X12" s="4" t="str">
        <f t="shared" si="0"/>
        <v>0x208</v>
      </c>
    </row>
    <row r="13" spans="1:24" ht="17" customHeight="1" x14ac:dyDescent="0.45">
      <c r="B13" s="4" t="s">
        <v>217</v>
      </c>
      <c r="C13" s="4">
        <v>231</v>
      </c>
      <c r="D13" s="4" t="s">
        <v>218</v>
      </c>
      <c r="E13" s="4" t="s">
        <v>171</v>
      </c>
      <c r="F13" s="4" t="s">
        <v>172</v>
      </c>
      <c r="G13" s="5" t="s">
        <v>34</v>
      </c>
      <c r="H13" s="5" t="s">
        <v>34</v>
      </c>
      <c r="I13" s="5" t="s">
        <v>34</v>
      </c>
      <c r="J13" s="5" t="s">
        <v>34</v>
      </c>
      <c r="K13" s="91" t="s">
        <v>219</v>
      </c>
      <c r="L13" s="91"/>
      <c r="M13" s="91"/>
      <c r="N13" s="91"/>
      <c r="O13" s="91"/>
      <c r="P13" s="91"/>
      <c r="Q13" s="91"/>
      <c r="R13" s="91"/>
      <c r="S13" s="94" t="s">
        <v>220</v>
      </c>
      <c r="T13" s="95"/>
      <c r="U13" s="95"/>
      <c r="V13" s="96"/>
      <c r="W13" s="8" t="s">
        <v>221</v>
      </c>
      <c r="X13" s="4" t="str">
        <f t="shared" si="0"/>
        <v>0x008</v>
      </c>
    </row>
    <row r="14" spans="1:24" ht="17" customHeight="1" x14ac:dyDescent="0.45">
      <c r="B14" s="4" t="s">
        <v>222</v>
      </c>
      <c r="C14" s="4">
        <v>232</v>
      </c>
      <c r="D14" s="4" t="s">
        <v>223</v>
      </c>
      <c r="E14" s="4" t="s">
        <v>171</v>
      </c>
      <c r="F14" s="4" t="s">
        <v>172</v>
      </c>
      <c r="G14" s="5" t="s">
        <v>34</v>
      </c>
      <c r="H14" s="5" t="s">
        <v>34</v>
      </c>
      <c r="I14" s="5" t="s">
        <v>34</v>
      </c>
      <c r="J14" s="5" t="s">
        <v>34</v>
      </c>
      <c r="K14" s="15" t="s">
        <v>35</v>
      </c>
      <c r="L14" s="15" t="s">
        <v>35</v>
      </c>
      <c r="M14" s="15" t="s">
        <v>35</v>
      </c>
      <c r="N14" s="15" t="s">
        <v>35</v>
      </c>
      <c r="O14" s="15" t="s">
        <v>35</v>
      </c>
      <c r="P14" s="15" t="s">
        <v>35</v>
      </c>
      <c r="Q14" s="15" t="s">
        <v>35</v>
      </c>
      <c r="R14" s="15" t="s">
        <v>35</v>
      </c>
      <c r="S14" s="15" t="s">
        <v>35</v>
      </c>
      <c r="T14" s="15" t="s">
        <v>35</v>
      </c>
      <c r="U14" s="15" t="s">
        <v>35</v>
      </c>
      <c r="V14" s="15" t="s">
        <v>35</v>
      </c>
      <c r="W14" s="8" t="s">
        <v>225</v>
      </c>
      <c r="X14" s="4" t="str">
        <f t="shared" si="0"/>
        <v>0x000</v>
      </c>
    </row>
    <row r="15" spans="1:24" ht="17" customHeight="1" x14ac:dyDescent="0.45">
      <c r="B15" s="4" t="s">
        <v>226</v>
      </c>
      <c r="C15" s="4">
        <v>233</v>
      </c>
      <c r="D15" s="4" t="s">
        <v>227</v>
      </c>
      <c r="E15" s="4" t="s">
        <v>171</v>
      </c>
      <c r="F15" s="4" t="s">
        <v>172</v>
      </c>
      <c r="G15" s="5" t="s">
        <v>34</v>
      </c>
      <c r="H15" s="5" t="s">
        <v>34</v>
      </c>
      <c r="I15" s="5" t="s">
        <v>34</v>
      </c>
      <c r="J15" s="5" t="s">
        <v>34</v>
      </c>
      <c r="K15" s="15" t="s">
        <v>35</v>
      </c>
      <c r="L15" s="15" t="s">
        <v>35</v>
      </c>
      <c r="M15" s="15" t="s">
        <v>35</v>
      </c>
      <c r="N15" s="15" t="s">
        <v>35</v>
      </c>
      <c r="O15" s="15" t="s">
        <v>35</v>
      </c>
      <c r="P15" s="15" t="s">
        <v>35</v>
      </c>
      <c r="Q15" s="15" t="s">
        <v>35</v>
      </c>
      <c r="R15" s="15" t="s">
        <v>35</v>
      </c>
      <c r="S15" s="15" t="s">
        <v>35</v>
      </c>
      <c r="T15" s="15" t="s">
        <v>35</v>
      </c>
      <c r="U15" s="15" t="s">
        <v>35</v>
      </c>
      <c r="V15" s="15" t="s">
        <v>35</v>
      </c>
      <c r="W15" s="8" t="s">
        <v>225</v>
      </c>
      <c r="X15" s="4" t="str">
        <f t="shared" si="0"/>
        <v>0x000</v>
      </c>
    </row>
    <row r="16" spans="1:24" ht="17" customHeight="1" x14ac:dyDescent="0.45">
      <c r="B16" s="4" t="s">
        <v>228</v>
      </c>
      <c r="C16" s="4">
        <v>234</v>
      </c>
      <c r="D16" s="4" t="s">
        <v>229</v>
      </c>
      <c r="E16" s="4" t="s">
        <v>171</v>
      </c>
      <c r="F16" s="4" t="s">
        <v>172</v>
      </c>
      <c r="G16" s="5" t="s">
        <v>34</v>
      </c>
      <c r="H16" s="5" t="s">
        <v>34</v>
      </c>
      <c r="I16" s="5" t="s">
        <v>34</v>
      </c>
      <c r="J16" s="5" t="s">
        <v>34</v>
      </c>
      <c r="K16" s="6" t="s">
        <v>213</v>
      </c>
      <c r="L16" s="6" t="s">
        <v>213</v>
      </c>
      <c r="M16" s="6" t="s">
        <v>213</v>
      </c>
      <c r="N16" s="94" t="s">
        <v>230</v>
      </c>
      <c r="O16" s="95"/>
      <c r="P16" s="95"/>
      <c r="Q16" s="95"/>
      <c r="R16" s="95"/>
      <c r="S16" s="95"/>
      <c r="T16" s="95"/>
      <c r="U16" s="95"/>
      <c r="V16" s="96"/>
      <c r="W16" s="8" t="s">
        <v>225</v>
      </c>
      <c r="X16" s="4" t="str">
        <f t="shared" si="0"/>
        <v>0x000</v>
      </c>
    </row>
    <row r="17" spans="2:24" ht="17" customHeight="1" x14ac:dyDescent="0.45">
      <c r="B17" s="4" t="s">
        <v>231</v>
      </c>
      <c r="C17" s="4">
        <v>235</v>
      </c>
      <c r="D17" s="4" t="s">
        <v>232</v>
      </c>
      <c r="E17" s="4" t="s">
        <v>171</v>
      </c>
      <c r="F17" s="4" t="s">
        <v>172</v>
      </c>
      <c r="G17" s="5" t="s">
        <v>34</v>
      </c>
      <c r="H17" s="5" t="s">
        <v>34</v>
      </c>
      <c r="I17" s="5" t="s">
        <v>34</v>
      </c>
      <c r="J17" s="5" t="s">
        <v>34</v>
      </c>
      <c r="K17" s="6" t="s">
        <v>213</v>
      </c>
      <c r="L17" s="6" t="s">
        <v>213</v>
      </c>
      <c r="M17" s="6" t="s">
        <v>213</v>
      </c>
      <c r="N17" s="6" t="s">
        <v>213</v>
      </c>
      <c r="O17" s="6" t="s">
        <v>213</v>
      </c>
      <c r="P17" s="6" t="s">
        <v>213</v>
      </c>
      <c r="Q17" s="6" t="s">
        <v>213</v>
      </c>
      <c r="R17" s="91" t="s">
        <v>233</v>
      </c>
      <c r="S17" s="91"/>
      <c r="T17" s="91"/>
      <c r="U17" s="91"/>
      <c r="V17" s="91"/>
      <c r="W17" s="8" t="s">
        <v>234</v>
      </c>
      <c r="X17" s="4" t="str">
        <f t="shared" si="0"/>
        <v>0x010</v>
      </c>
    </row>
    <row r="18" spans="2:24" ht="17" customHeight="1" x14ac:dyDescent="0.45">
      <c r="B18" s="4" t="s">
        <v>235</v>
      </c>
      <c r="C18" s="4">
        <v>236</v>
      </c>
      <c r="D18" s="4" t="s">
        <v>236</v>
      </c>
      <c r="E18" s="4" t="s">
        <v>171</v>
      </c>
      <c r="F18" s="4" t="s">
        <v>172</v>
      </c>
      <c r="G18" s="5" t="s">
        <v>34</v>
      </c>
      <c r="H18" s="5" t="s">
        <v>34</v>
      </c>
      <c r="I18" s="5" t="s">
        <v>34</v>
      </c>
      <c r="J18" s="5" t="s">
        <v>34</v>
      </c>
      <c r="K18" s="6" t="s">
        <v>213</v>
      </c>
      <c r="L18" s="6" t="s">
        <v>213</v>
      </c>
      <c r="M18" s="6" t="s">
        <v>213</v>
      </c>
      <c r="N18" s="6" t="s">
        <v>213</v>
      </c>
      <c r="O18" s="91" t="s">
        <v>237</v>
      </c>
      <c r="P18" s="91"/>
      <c r="Q18" s="91"/>
      <c r="R18" s="91"/>
      <c r="S18" s="91"/>
      <c r="T18" s="91"/>
      <c r="U18" s="91"/>
      <c r="V18" s="91"/>
      <c r="W18" s="8" t="s">
        <v>238</v>
      </c>
      <c r="X18" s="4" t="str">
        <f t="shared" si="0"/>
        <v>0x080</v>
      </c>
    </row>
    <row r="19" spans="2:24" ht="17" customHeight="1" x14ac:dyDescent="0.45">
      <c r="B19" s="4" t="s">
        <v>239</v>
      </c>
      <c r="C19" s="4">
        <v>237</v>
      </c>
      <c r="D19" s="4" t="s">
        <v>240</v>
      </c>
      <c r="E19" s="4" t="s">
        <v>171</v>
      </c>
      <c r="F19" s="4" t="s">
        <v>172</v>
      </c>
      <c r="G19" s="5" t="s">
        <v>34</v>
      </c>
      <c r="H19" s="5" t="s">
        <v>34</v>
      </c>
      <c r="I19" s="5" t="s">
        <v>34</v>
      </c>
      <c r="J19" s="5" t="s">
        <v>34</v>
      </c>
      <c r="K19" s="6" t="s">
        <v>213</v>
      </c>
      <c r="L19" s="6" t="s">
        <v>213</v>
      </c>
      <c r="M19" s="6" t="s">
        <v>213</v>
      </c>
      <c r="N19" s="6" t="s">
        <v>213</v>
      </c>
      <c r="O19" s="91" t="s">
        <v>241</v>
      </c>
      <c r="P19" s="91"/>
      <c r="Q19" s="91"/>
      <c r="R19" s="91"/>
      <c r="S19" s="91"/>
      <c r="T19" s="91"/>
      <c r="U19" s="91"/>
      <c r="V19" s="91"/>
      <c r="W19" s="8" t="s">
        <v>238</v>
      </c>
      <c r="X19" s="4" t="str">
        <f t="shared" si="0"/>
        <v>0x080</v>
      </c>
    </row>
    <row r="20" spans="2:24" ht="17" customHeight="1" x14ac:dyDescent="0.45">
      <c r="B20" s="4" t="s">
        <v>242</v>
      </c>
      <c r="C20" s="4">
        <v>238</v>
      </c>
      <c r="D20" s="4" t="s">
        <v>243</v>
      </c>
      <c r="E20" s="4" t="s">
        <v>171</v>
      </c>
      <c r="F20" s="4" t="s">
        <v>172</v>
      </c>
      <c r="G20" s="5" t="s">
        <v>34</v>
      </c>
      <c r="H20" s="5" t="s">
        <v>34</v>
      </c>
      <c r="I20" s="5" t="s">
        <v>34</v>
      </c>
      <c r="J20" s="5" t="s">
        <v>34</v>
      </c>
      <c r="K20" s="6" t="s">
        <v>213</v>
      </c>
      <c r="L20" s="6" t="s">
        <v>213</v>
      </c>
      <c r="M20" s="6" t="s">
        <v>213</v>
      </c>
      <c r="N20" s="6" t="s">
        <v>213</v>
      </c>
      <c r="O20" s="91" t="s">
        <v>244</v>
      </c>
      <c r="P20" s="91"/>
      <c r="Q20" s="91"/>
      <c r="R20" s="91"/>
      <c r="S20" s="91"/>
      <c r="T20" s="91"/>
      <c r="U20" s="91"/>
      <c r="V20" s="91"/>
      <c r="W20" s="8" t="s">
        <v>238</v>
      </c>
      <c r="X20" s="4" t="str">
        <f t="shared" si="0"/>
        <v>0x080</v>
      </c>
    </row>
    <row r="21" spans="2:24" ht="17" customHeight="1" x14ac:dyDescent="0.45">
      <c r="B21" s="4" t="s">
        <v>245</v>
      </c>
      <c r="C21" s="4">
        <v>239</v>
      </c>
      <c r="D21" s="4" t="s">
        <v>246</v>
      </c>
      <c r="E21" s="4" t="s">
        <v>171</v>
      </c>
      <c r="F21" s="4" t="s">
        <v>172</v>
      </c>
      <c r="G21" s="5" t="s">
        <v>34</v>
      </c>
      <c r="H21" s="5" t="s">
        <v>34</v>
      </c>
      <c r="I21" s="5" t="s">
        <v>34</v>
      </c>
      <c r="J21" s="5" t="s">
        <v>34</v>
      </c>
      <c r="K21" s="6" t="s">
        <v>213</v>
      </c>
      <c r="L21" s="6" t="s">
        <v>213</v>
      </c>
      <c r="M21" s="91" t="s">
        <v>247</v>
      </c>
      <c r="N21" s="91"/>
      <c r="O21" s="91"/>
      <c r="P21" s="91"/>
      <c r="Q21" s="91"/>
      <c r="R21" s="91"/>
      <c r="S21" s="91"/>
      <c r="T21" s="91"/>
      <c r="U21" s="91"/>
      <c r="V21" s="91"/>
      <c r="W21" s="8" t="s">
        <v>224</v>
      </c>
      <c r="X21" s="4" t="str">
        <f t="shared" si="0"/>
        <v>0x000</v>
      </c>
    </row>
    <row r="22" spans="2:24" ht="17" customHeight="1" x14ac:dyDescent="0.45">
      <c r="B22" s="4" t="s">
        <v>248</v>
      </c>
      <c r="C22" s="4">
        <v>240</v>
      </c>
      <c r="D22" s="4" t="s">
        <v>249</v>
      </c>
      <c r="E22" s="4" t="s">
        <v>171</v>
      </c>
      <c r="F22" s="4" t="s">
        <v>172</v>
      </c>
      <c r="G22" s="5" t="s">
        <v>34</v>
      </c>
      <c r="H22" s="5" t="s">
        <v>34</v>
      </c>
      <c r="I22" s="5" t="s">
        <v>34</v>
      </c>
      <c r="J22" s="5" t="s">
        <v>34</v>
      </c>
      <c r="K22" s="6" t="s">
        <v>213</v>
      </c>
      <c r="L22" s="6" t="s">
        <v>213</v>
      </c>
      <c r="M22" s="91" t="s">
        <v>250</v>
      </c>
      <c r="N22" s="91"/>
      <c r="O22" s="91"/>
      <c r="P22" s="91"/>
      <c r="Q22" s="91"/>
      <c r="R22" s="91"/>
      <c r="S22" s="91"/>
      <c r="T22" s="91"/>
      <c r="U22" s="91"/>
      <c r="V22" s="91"/>
      <c r="W22" s="8" t="s">
        <v>251</v>
      </c>
      <c r="X22" s="4" t="str">
        <f t="shared" si="0"/>
        <v>0x000</v>
      </c>
    </row>
    <row r="23" spans="2:24" ht="17" customHeight="1" x14ac:dyDescent="0.45">
      <c r="B23" s="14" t="s">
        <v>252</v>
      </c>
      <c r="C23" s="14"/>
    </row>
    <row r="24" spans="2:24" ht="17" customHeight="1" x14ac:dyDescent="0.45">
      <c r="B24" s="4" t="s">
        <v>253</v>
      </c>
      <c r="C24" s="4">
        <v>241</v>
      </c>
      <c r="D24" s="4" t="s">
        <v>254</v>
      </c>
      <c r="E24" s="4" t="s">
        <v>171</v>
      </c>
      <c r="F24" s="4" t="s">
        <v>172</v>
      </c>
      <c r="G24" s="5" t="s">
        <v>34</v>
      </c>
      <c r="H24" s="5" t="s">
        <v>34</v>
      </c>
      <c r="I24" s="5" t="s">
        <v>34</v>
      </c>
      <c r="J24" s="5" t="s">
        <v>34</v>
      </c>
      <c r="K24" s="91" t="s">
        <v>255</v>
      </c>
      <c r="L24" s="91"/>
      <c r="M24" s="91"/>
      <c r="N24" s="91"/>
      <c r="O24" s="91"/>
      <c r="P24" s="91"/>
      <c r="Q24" s="91"/>
      <c r="R24" s="91"/>
      <c r="S24" s="91"/>
      <c r="T24" s="91"/>
      <c r="U24" s="91"/>
      <c r="V24" s="91"/>
      <c r="W24" s="8" t="s">
        <v>224</v>
      </c>
      <c r="X24" s="4" t="str">
        <f t="shared" si="0"/>
        <v>0x000</v>
      </c>
    </row>
    <row r="25" spans="2:24" ht="17" customHeight="1" x14ac:dyDescent="0.45">
      <c r="B25" s="4" t="s">
        <v>256</v>
      </c>
      <c r="C25" s="4">
        <v>242</v>
      </c>
      <c r="D25" s="4" t="s">
        <v>257</v>
      </c>
      <c r="E25" s="4" t="s">
        <v>171</v>
      </c>
      <c r="F25" s="4" t="s">
        <v>172</v>
      </c>
      <c r="G25" s="5" t="s">
        <v>34</v>
      </c>
      <c r="H25" s="5" t="s">
        <v>34</v>
      </c>
      <c r="I25" s="5" t="s">
        <v>34</v>
      </c>
      <c r="J25" s="5" t="s">
        <v>34</v>
      </c>
      <c r="K25" s="91" t="s">
        <v>258</v>
      </c>
      <c r="L25" s="91"/>
      <c r="M25" s="91"/>
      <c r="N25" s="91"/>
      <c r="O25" s="91"/>
      <c r="P25" s="91"/>
      <c r="Q25" s="91"/>
      <c r="R25" s="91"/>
      <c r="S25" s="91"/>
      <c r="T25" s="91"/>
      <c r="U25" s="91"/>
      <c r="V25" s="91"/>
      <c r="W25" s="8" t="s">
        <v>224</v>
      </c>
      <c r="X25" s="4" t="str">
        <f>_xlfn.CONCAT("0x",BIN2HEX(MID(W25,1,4),1),BIN2HEX(MID(W25,6,4),1),BIN2HEX(MID(W25,11,4),1))</f>
        <v>0x000</v>
      </c>
    </row>
    <row r="26" spans="2:24" ht="17" customHeight="1" x14ac:dyDescent="0.45">
      <c r="B26" s="4" t="s">
        <v>259</v>
      </c>
      <c r="C26" s="4">
        <v>243</v>
      </c>
      <c r="D26" s="4" t="s">
        <v>260</v>
      </c>
      <c r="E26" s="4" t="s">
        <v>171</v>
      </c>
      <c r="F26" s="4" t="s">
        <v>172</v>
      </c>
      <c r="G26" s="5" t="s">
        <v>34</v>
      </c>
      <c r="H26" s="5" t="s">
        <v>34</v>
      </c>
      <c r="I26" s="5" t="s">
        <v>34</v>
      </c>
      <c r="J26" s="5" t="s">
        <v>34</v>
      </c>
      <c r="K26" s="91" t="s">
        <v>261</v>
      </c>
      <c r="L26" s="91"/>
      <c r="M26" s="91"/>
      <c r="N26" s="91"/>
      <c r="O26" s="91"/>
      <c r="P26" s="91"/>
      <c r="Q26" s="91"/>
      <c r="R26" s="91"/>
      <c r="S26" s="91"/>
      <c r="T26" s="91"/>
      <c r="U26" s="91"/>
      <c r="V26" s="91"/>
      <c r="W26" s="8" t="s">
        <v>251</v>
      </c>
      <c r="X26" s="4" t="str">
        <f>_xlfn.CONCAT("0x",BIN2HEX(MID(W26,1,4),1),BIN2HEX(MID(W26,6,4),1),BIN2HEX(MID(W26,11,4),1))</f>
        <v>0x000</v>
      </c>
    </row>
    <row r="27" spans="2:24" ht="17" customHeight="1" x14ac:dyDescent="0.45">
      <c r="B27" s="4" t="s">
        <v>262</v>
      </c>
      <c r="C27" s="4">
        <v>244</v>
      </c>
      <c r="D27" s="4" t="s">
        <v>263</v>
      </c>
      <c r="E27" s="4" t="s">
        <v>171</v>
      </c>
      <c r="F27" s="4" t="s">
        <v>172</v>
      </c>
      <c r="G27" s="5" t="s">
        <v>34</v>
      </c>
      <c r="H27" s="5" t="s">
        <v>34</v>
      </c>
      <c r="I27" s="5" t="s">
        <v>34</v>
      </c>
      <c r="J27" s="5" t="s">
        <v>34</v>
      </c>
      <c r="K27" s="15" t="s">
        <v>35</v>
      </c>
      <c r="L27" s="15" t="s">
        <v>35</v>
      </c>
      <c r="M27" s="15" t="s">
        <v>35</v>
      </c>
      <c r="N27" s="15" t="s">
        <v>35</v>
      </c>
      <c r="O27" s="91" t="s">
        <v>264</v>
      </c>
      <c r="P27" s="91"/>
      <c r="Q27" s="91"/>
      <c r="R27" s="91"/>
      <c r="S27" s="91"/>
      <c r="T27" s="91"/>
      <c r="U27" s="91"/>
      <c r="V27" s="91"/>
      <c r="W27" s="8" t="s">
        <v>251</v>
      </c>
      <c r="X27" s="4" t="str">
        <f>_xlfn.CONCAT("0x",BIN2HEX(MID(W27,1,4),1),BIN2HEX(MID(W27,6,4),1),BIN2HEX(MID(W27,11,4),1))</f>
        <v>0x000</v>
      </c>
    </row>
    <row r="28" spans="2:24" ht="17" customHeight="1" x14ac:dyDescent="0.45">
      <c r="B28" s="4" t="s">
        <v>265</v>
      </c>
      <c r="C28" s="4">
        <v>245</v>
      </c>
      <c r="D28" s="4" t="s">
        <v>266</v>
      </c>
      <c r="E28" s="4" t="s">
        <v>171</v>
      </c>
      <c r="F28" s="4" t="s">
        <v>172</v>
      </c>
      <c r="G28" s="5" t="s">
        <v>34</v>
      </c>
      <c r="H28" s="5" t="s">
        <v>34</v>
      </c>
      <c r="I28" s="5" t="s">
        <v>34</v>
      </c>
      <c r="J28" s="5" t="s">
        <v>34</v>
      </c>
      <c r="K28" s="15" t="s">
        <v>35</v>
      </c>
      <c r="L28" s="15" t="s">
        <v>35</v>
      </c>
      <c r="M28" s="15" t="s">
        <v>35</v>
      </c>
      <c r="N28" s="15" t="s">
        <v>35</v>
      </c>
      <c r="O28" s="15" t="s">
        <v>35</v>
      </c>
      <c r="P28" s="15" t="s">
        <v>35</v>
      </c>
      <c r="Q28" s="15" t="s">
        <v>35</v>
      </c>
      <c r="R28" s="15" t="s">
        <v>35</v>
      </c>
      <c r="S28" s="15" t="s">
        <v>35</v>
      </c>
      <c r="T28" s="15" t="s">
        <v>35</v>
      </c>
      <c r="U28" s="15" t="s">
        <v>35</v>
      </c>
      <c r="V28" s="15" t="s">
        <v>35</v>
      </c>
      <c r="W28" s="8" t="s">
        <v>251</v>
      </c>
      <c r="X28" s="4" t="str">
        <f>_xlfn.CONCAT("0x",BIN2HEX(MID(W28,1,4),1),BIN2HEX(MID(W28,6,4),1),BIN2HEX(MID(W28,11,4),1))</f>
        <v>0x000</v>
      </c>
    </row>
    <row r="29" spans="2:24" ht="17" customHeight="1" x14ac:dyDescent="0.45">
      <c r="B29" s="4" t="s">
        <v>267</v>
      </c>
      <c r="C29" s="4">
        <v>246</v>
      </c>
      <c r="D29" s="4" t="s">
        <v>268</v>
      </c>
      <c r="E29" s="4" t="s">
        <v>171</v>
      </c>
      <c r="F29" s="4" t="s">
        <v>172</v>
      </c>
      <c r="G29" s="5" t="s">
        <v>34</v>
      </c>
      <c r="H29" s="5" t="s">
        <v>34</v>
      </c>
      <c r="I29" s="5" t="s">
        <v>34</v>
      </c>
      <c r="J29" s="5" t="s">
        <v>34</v>
      </c>
      <c r="K29" s="6" t="s">
        <v>213</v>
      </c>
      <c r="L29" s="6" t="s">
        <v>213</v>
      </c>
      <c r="M29" s="6" t="s">
        <v>213</v>
      </c>
      <c r="N29" s="6" t="s">
        <v>213</v>
      </c>
      <c r="O29" s="6" t="s">
        <v>213</v>
      </c>
      <c r="P29" s="6" t="s">
        <v>213</v>
      </c>
      <c r="Q29" s="6" t="s">
        <v>213</v>
      </c>
      <c r="R29" s="6" t="s">
        <v>213</v>
      </c>
      <c r="S29" s="15" t="s">
        <v>35</v>
      </c>
      <c r="T29" s="15" t="s">
        <v>35</v>
      </c>
      <c r="U29" s="15" t="s">
        <v>35</v>
      </c>
      <c r="V29" s="15" t="s">
        <v>35</v>
      </c>
      <c r="W29" s="8" t="s">
        <v>251</v>
      </c>
      <c r="X29" s="4" t="str">
        <f>_xlfn.CONCAT("0x",BIN2HEX(MID(W29,1,4),1),BIN2HEX(MID(W29,6,4),1),BIN2HEX(MID(W29,11,4),1))</f>
        <v>0x000</v>
      </c>
    </row>
  </sheetData>
  <mergeCells count="29">
    <mergeCell ref="K7:V7"/>
    <mergeCell ref="G3:J3"/>
    <mergeCell ref="N5:P5"/>
    <mergeCell ref="Q5:S5"/>
    <mergeCell ref="O6:R6"/>
    <mergeCell ref="S6:V6"/>
    <mergeCell ref="R17:V17"/>
    <mergeCell ref="K8:V8"/>
    <mergeCell ref="K10:M10"/>
    <mergeCell ref="N10:P10"/>
    <mergeCell ref="Q10:V10"/>
    <mergeCell ref="K11:L11"/>
    <mergeCell ref="M11:N11"/>
    <mergeCell ref="O11:Q11"/>
    <mergeCell ref="R11:V11"/>
    <mergeCell ref="M12:R12"/>
    <mergeCell ref="S12:V12"/>
    <mergeCell ref="K13:R13"/>
    <mergeCell ref="S13:V13"/>
    <mergeCell ref="N16:V16"/>
    <mergeCell ref="K25:V25"/>
    <mergeCell ref="K26:V26"/>
    <mergeCell ref="O27:V27"/>
    <mergeCell ref="O18:V18"/>
    <mergeCell ref="O19:V19"/>
    <mergeCell ref="O20:V20"/>
    <mergeCell ref="M21:V21"/>
    <mergeCell ref="M22:V22"/>
    <mergeCell ref="K24:V24"/>
  </mergeCells>
  <phoneticPr fontId="4" type="noConversion"/>
  <conditionalFormatting sqref="S22">
    <cfRule type="cellIs" dxfId="1" priority="1" operator="equal">
      <formula>"RSVD"</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A434-6631-4127-994C-38B4463D7503}">
  <dimension ref="B2:Q175"/>
  <sheetViews>
    <sheetView showGridLines="0" topLeftCell="A5" zoomScale="70" zoomScaleNormal="70" workbookViewId="0">
      <selection activeCell="T26" sqref="T26"/>
    </sheetView>
  </sheetViews>
  <sheetFormatPr defaultColWidth="9" defaultRowHeight="17" x14ac:dyDescent="0.45"/>
  <cols>
    <col min="1" max="1" width="2.58203125" style="36" customWidth="1"/>
    <col min="2" max="2" width="11.08203125" style="35" bestFit="1" customWidth="1"/>
    <col min="3" max="3" width="6.75" style="35" customWidth="1"/>
    <col min="4" max="4" width="5.58203125" style="36" customWidth="1"/>
    <col min="5" max="17" width="11.58203125" style="37" customWidth="1"/>
    <col min="18" max="16384" width="9" style="36"/>
  </cols>
  <sheetData>
    <row r="2" spans="2:17" ht="17.5" thickBot="1" x14ac:dyDescent="0.5"/>
    <row r="3" spans="2:17" x14ac:dyDescent="0.45">
      <c r="E3" s="124" t="s">
        <v>342</v>
      </c>
      <c r="F3" s="125"/>
      <c r="G3" s="125"/>
      <c r="H3" s="125"/>
      <c r="I3" s="125"/>
      <c r="J3" s="125"/>
      <c r="K3" s="125"/>
      <c r="L3" s="125"/>
      <c r="M3" s="125"/>
      <c r="N3" s="125"/>
      <c r="O3" s="125"/>
      <c r="P3" s="125"/>
      <c r="Q3" s="126"/>
    </row>
    <row r="4" spans="2:17" x14ac:dyDescent="0.45">
      <c r="E4" s="127" t="s">
        <v>343</v>
      </c>
      <c r="F4" s="108"/>
      <c r="G4" s="108"/>
      <c r="H4" s="108"/>
      <c r="I4" s="108"/>
      <c r="J4" s="108"/>
      <c r="K4" s="108"/>
      <c r="L4" s="108"/>
      <c r="M4" s="108"/>
      <c r="N4" s="108"/>
      <c r="O4" s="108"/>
      <c r="P4" s="108"/>
      <c r="Q4" s="128"/>
    </row>
    <row r="5" spans="2:17" ht="17.5" thickBot="1" x14ac:dyDescent="0.5">
      <c r="E5" s="121" t="s">
        <v>344</v>
      </c>
      <c r="F5" s="122"/>
      <c r="G5" s="122"/>
      <c r="H5" s="122"/>
      <c r="I5" s="122"/>
      <c r="J5" s="122"/>
      <c r="K5" s="122"/>
      <c r="L5" s="122"/>
      <c r="M5" s="122"/>
      <c r="N5" s="122"/>
      <c r="O5" s="122"/>
      <c r="P5" s="122"/>
      <c r="Q5" s="123"/>
    </row>
    <row r="6" spans="2:17" x14ac:dyDescent="0.45">
      <c r="E6" s="38"/>
      <c r="F6" s="38"/>
      <c r="G6" s="38"/>
      <c r="H6" s="38"/>
      <c r="I6" s="38"/>
      <c r="J6" s="38"/>
      <c r="K6" s="38"/>
      <c r="L6" s="38"/>
      <c r="M6" s="38"/>
      <c r="N6" s="38"/>
      <c r="O6" s="38"/>
      <c r="P6" s="38"/>
      <c r="Q6" s="38"/>
    </row>
    <row r="7" spans="2:17" ht="17.5" thickBot="1" x14ac:dyDescent="0.5"/>
    <row r="8" spans="2:17" x14ac:dyDescent="0.45">
      <c r="E8" s="124" t="s">
        <v>345</v>
      </c>
      <c r="F8" s="125"/>
      <c r="G8" s="125"/>
      <c r="H8" s="125"/>
      <c r="I8" s="125"/>
      <c r="J8" s="125"/>
      <c r="K8" s="125"/>
      <c r="L8" s="125"/>
      <c r="M8" s="125"/>
      <c r="N8" s="125"/>
      <c r="O8" s="125"/>
      <c r="P8" s="125"/>
      <c r="Q8" s="126"/>
    </row>
    <row r="9" spans="2:17" x14ac:dyDescent="0.45">
      <c r="E9" s="127" t="s">
        <v>346</v>
      </c>
      <c r="F9" s="108"/>
      <c r="G9" s="108"/>
      <c r="H9" s="108"/>
      <c r="I9" s="108"/>
      <c r="J9" s="108"/>
      <c r="K9" s="108"/>
      <c r="L9" s="108"/>
      <c r="M9" s="108"/>
      <c r="N9" s="108"/>
      <c r="O9" s="108"/>
      <c r="P9" s="108"/>
      <c r="Q9" s="128"/>
    </row>
    <row r="10" spans="2:17" x14ac:dyDescent="0.45">
      <c r="E10" s="127" t="s">
        <v>347</v>
      </c>
      <c r="F10" s="108"/>
      <c r="G10" s="108"/>
      <c r="H10" s="108"/>
      <c r="I10" s="108"/>
      <c r="J10" s="108"/>
      <c r="K10" s="108"/>
      <c r="L10" s="108"/>
      <c r="M10" s="108"/>
      <c r="N10" s="108"/>
      <c r="O10" s="108"/>
      <c r="P10" s="108"/>
      <c r="Q10" s="128"/>
    </row>
    <row r="11" spans="2:17" ht="17.5" thickBot="1" x14ac:dyDescent="0.5">
      <c r="E11" s="121" t="s">
        <v>348</v>
      </c>
      <c r="F11" s="122"/>
      <c r="G11" s="122"/>
      <c r="H11" s="122"/>
      <c r="I11" s="122"/>
      <c r="J11" s="122"/>
      <c r="K11" s="122"/>
      <c r="L11" s="122"/>
      <c r="M11" s="122"/>
      <c r="N11" s="122"/>
      <c r="O11" s="122"/>
      <c r="P11" s="122"/>
      <c r="Q11" s="123"/>
    </row>
    <row r="12" spans="2:17" x14ac:dyDescent="0.45">
      <c r="E12" s="38"/>
      <c r="F12" s="38"/>
      <c r="G12" s="38"/>
      <c r="H12" s="38"/>
      <c r="I12" s="38"/>
      <c r="J12" s="38"/>
      <c r="K12" s="38"/>
      <c r="L12" s="38"/>
      <c r="M12" s="38"/>
      <c r="N12" s="38"/>
      <c r="O12" s="38"/>
      <c r="P12" s="38"/>
      <c r="Q12" s="38"/>
    </row>
    <row r="14" spans="2:17" x14ac:dyDescent="0.45">
      <c r="B14" s="39" t="s">
        <v>349</v>
      </c>
      <c r="C14" s="39" t="s">
        <v>350</v>
      </c>
      <c r="E14" s="40"/>
      <c r="F14" s="41" t="s">
        <v>351</v>
      </c>
      <c r="G14" s="41" t="s">
        <v>352</v>
      </c>
      <c r="H14" s="41" t="s">
        <v>353</v>
      </c>
      <c r="I14" s="41" t="s">
        <v>354</v>
      </c>
      <c r="J14" s="41" t="s">
        <v>355</v>
      </c>
      <c r="K14" s="41" t="s">
        <v>356</v>
      </c>
      <c r="L14" s="41" t="s">
        <v>357</v>
      </c>
      <c r="M14" s="41" t="s">
        <v>358</v>
      </c>
      <c r="N14" s="41" t="s">
        <v>359</v>
      </c>
      <c r="O14" s="41" t="s">
        <v>360</v>
      </c>
      <c r="P14" s="41" t="s">
        <v>361</v>
      </c>
      <c r="Q14" s="41" t="s">
        <v>362</v>
      </c>
    </row>
    <row r="15" spans="2:17" ht="16.5" customHeight="1" x14ac:dyDescent="0.45">
      <c r="B15" s="32" t="s">
        <v>170</v>
      </c>
      <c r="C15" s="32" t="s">
        <v>169</v>
      </c>
      <c r="E15" s="40" t="s">
        <v>364</v>
      </c>
      <c r="F15" s="42" t="s">
        <v>173</v>
      </c>
      <c r="G15" s="42" t="s">
        <v>174</v>
      </c>
      <c r="H15" s="42" t="s">
        <v>175</v>
      </c>
      <c r="I15" s="103" t="s">
        <v>176</v>
      </c>
      <c r="J15" s="104"/>
      <c r="K15" s="105"/>
      <c r="L15" s="103" t="s">
        <v>177</v>
      </c>
      <c r="M15" s="104"/>
      <c r="N15" s="105"/>
      <c r="O15" s="42" t="s">
        <v>178</v>
      </c>
      <c r="P15" s="42" t="s">
        <v>179</v>
      </c>
      <c r="Q15" s="42" t="s">
        <v>180</v>
      </c>
    </row>
    <row r="16" spans="2:17" x14ac:dyDescent="0.45">
      <c r="E16" s="40" t="s">
        <v>365</v>
      </c>
      <c r="F16" s="42">
        <v>0</v>
      </c>
      <c r="G16" s="42">
        <v>0</v>
      </c>
      <c r="H16" s="42">
        <v>0</v>
      </c>
      <c r="I16" s="103">
        <v>0</v>
      </c>
      <c r="J16" s="104"/>
      <c r="K16" s="105"/>
      <c r="L16" s="103">
        <v>0</v>
      </c>
      <c r="M16" s="104"/>
      <c r="N16" s="105"/>
      <c r="O16" s="42">
        <v>0</v>
      </c>
      <c r="P16" s="42">
        <v>0</v>
      </c>
      <c r="Q16" s="42">
        <v>0</v>
      </c>
    </row>
    <row r="17" spans="2:17" x14ac:dyDescent="0.45">
      <c r="E17" s="40" t="s">
        <v>342</v>
      </c>
      <c r="F17" s="42" t="s">
        <v>171</v>
      </c>
      <c r="G17" s="42" t="s">
        <v>171</v>
      </c>
      <c r="H17" s="42" t="s">
        <v>171</v>
      </c>
      <c r="I17" s="103" t="s">
        <v>171</v>
      </c>
      <c r="J17" s="104"/>
      <c r="K17" s="105"/>
      <c r="L17" s="103" t="s">
        <v>171</v>
      </c>
      <c r="M17" s="104"/>
      <c r="N17" s="105"/>
      <c r="O17" s="42" t="s">
        <v>171</v>
      </c>
      <c r="P17" s="42" t="s">
        <v>171</v>
      </c>
      <c r="Q17" s="42" t="s">
        <v>171</v>
      </c>
    </row>
    <row r="18" spans="2:17" x14ac:dyDescent="0.45">
      <c r="E18" s="40" t="s">
        <v>345</v>
      </c>
      <c r="F18" s="42" t="s">
        <v>172</v>
      </c>
      <c r="G18" s="42" t="s">
        <v>172</v>
      </c>
      <c r="H18" s="42" t="s">
        <v>172</v>
      </c>
      <c r="I18" s="103" t="s">
        <v>172</v>
      </c>
      <c r="J18" s="104"/>
      <c r="K18" s="105"/>
      <c r="L18" s="103" t="s">
        <v>172</v>
      </c>
      <c r="M18" s="104"/>
      <c r="N18" s="105"/>
      <c r="O18" s="42" t="s">
        <v>172</v>
      </c>
      <c r="P18" s="42" t="s">
        <v>172</v>
      </c>
      <c r="Q18" s="42" t="s">
        <v>172</v>
      </c>
    </row>
    <row r="19" spans="2:17" ht="215.5" customHeight="1" x14ac:dyDescent="0.45">
      <c r="E19" s="40" t="s">
        <v>369</v>
      </c>
      <c r="F19" s="118" t="s">
        <v>477</v>
      </c>
      <c r="G19" s="119"/>
      <c r="H19" s="119"/>
      <c r="I19" s="119"/>
      <c r="J19" s="119"/>
      <c r="K19" s="119"/>
      <c r="L19" s="119"/>
      <c r="M19" s="119"/>
      <c r="N19" s="119"/>
      <c r="O19" s="119"/>
      <c r="P19" s="119"/>
      <c r="Q19" s="120"/>
    </row>
    <row r="21" spans="2:17" x14ac:dyDescent="0.45">
      <c r="B21" s="39" t="s">
        <v>349</v>
      </c>
      <c r="C21" s="39" t="s">
        <v>350</v>
      </c>
      <c r="E21" s="40"/>
      <c r="F21" s="40" t="s">
        <v>351</v>
      </c>
      <c r="G21" s="40" t="s">
        <v>352</v>
      </c>
      <c r="H21" s="40" t="s">
        <v>353</v>
      </c>
      <c r="I21" s="40" t="s">
        <v>354</v>
      </c>
      <c r="J21" s="40" t="s">
        <v>355</v>
      </c>
      <c r="K21" s="40" t="s">
        <v>356</v>
      </c>
      <c r="L21" s="40" t="s">
        <v>357</v>
      </c>
      <c r="M21" s="40" t="s">
        <v>358</v>
      </c>
      <c r="N21" s="40" t="s">
        <v>359</v>
      </c>
      <c r="O21" s="40" t="s">
        <v>360</v>
      </c>
      <c r="P21" s="40" t="s">
        <v>361</v>
      </c>
      <c r="Q21" s="40" t="s">
        <v>362</v>
      </c>
    </row>
    <row r="22" spans="2:17" x14ac:dyDescent="0.45">
      <c r="B22" s="32" t="s">
        <v>478</v>
      </c>
      <c r="C22" s="32" t="s">
        <v>479</v>
      </c>
      <c r="E22" s="40" t="s">
        <v>364</v>
      </c>
      <c r="F22" s="42" t="s">
        <v>183</v>
      </c>
      <c r="G22" s="42" t="s">
        <v>184</v>
      </c>
      <c r="H22" s="42" t="s">
        <v>185</v>
      </c>
      <c r="I22" s="42" t="s">
        <v>186</v>
      </c>
      <c r="J22" s="102" t="s">
        <v>480</v>
      </c>
      <c r="K22" s="102"/>
      <c r="L22" s="102"/>
      <c r="M22" s="102"/>
      <c r="N22" s="102" t="s">
        <v>481</v>
      </c>
      <c r="O22" s="102"/>
      <c r="P22" s="102"/>
      <c r="Q22" s="102"/>
    </row>
    <row r="23" spans="2:17" x14ac:dyDescent="0.45">
      <c r="E23" s="40" t="s">
        <v>365</v>
      </c>
      <c r="F23" s="42">
        <v>0</v>
      </c>
      <c r="G23" s="42">
        <v>0</v>
      </c>
      <c r="H23" s="42">
        <v>0</v>
      </c>
      <c r="I23" s="42">
        <v>0</v>
      </c>
      <c r="J23" s="102" t="s">
        <v>482</v>
      </c>
      <c r="K23" s="102"/>
      <c r="L23" s="102"/>
      <c r="M23" s="102"/>
      <c r="N23" s="102" t="s">
        <v>366</v>
      </c>
      <c r="O23" s="102"/>
      <c r="P23" s="102"/>
      <c r="Q23" s="102"/>
    </row>
    <row r="24" spans="2:17" x14ac:dyDescent="0.45">
      <c r="E24" s="40" t="s">
        <v>342</v>
      </c>
      <c r="F24" s="42" t="s">
        <v>171</v>
      </c>
      <c r="G24" s="42" t="s">
        <v>171</v>
      </c>
      <c r="H24" s="42" t="s">
        <v>171</v>
      </c>
      <c r="I24" s="42" t="s">
        <v>171</v>
      </c>
      <c r="J24" s="102" t="s">
        <v>171</v>
      </c>
      <c r="K24" s="102"/>
      <c r="L24" s="102"/>
      <c r="M24" s="102"/>
      <c r="N24" s="102" t="s">
        <v>171</v>
      </c>
      <c r="O24" s="102"/>
      <c r="P24" s="102"/>
      <c r="Q24" s="102"/>
    </row>
    <row r="25" spans="2:17" x14ac:dyDescent="0.45">
      <c r="E25" s="40" t="s">
        <v>345</v>
      </c>
      <c r="F25" s="42" t="s">
        <v>172</v>
      </c>
      <c r="G25" s="42" t="s">
        <v>172</v>
      </c>
      <c r="H25" s="42" t="s">
        <v>172</v>
      </c>
      <c r="I25" s="42" t="s">
        <v>172</v>
      </c>
      <c r="J25" s="102" t="s">
        <v>172</v>
      </c>
      <c r="K25" s="102"/>
      <c r="L25" s="102"/>
      <c r="M25" s="102"/>
      <c r="N25" s="102" t="s">
        <v>172</v>
      </c>
      <c r="O25" s="102"/>
      <c r="P25" s="102"/>
      <c r="Q25" s="102"/>
    </row>
    <row r="26" spans="2:17" ht="70.5" customHeight="1" x14ac:dyDescent="0.45">
      <c r="E26" s="40" t="s">
        <v>369</v>
      </c>
      <c r="F26" s="107" t="s">
        <v>483</v>
      </c>
      <c r="G26" s="108"/>
      <c r="H26" s="108"/>
      <c r="I26" s="108"/>
      <c r="J26" s="108"/>
      <c r="K26" s="108"/>
      <c r="L26" s="108"/>
      <c r="M26" s="108"/>
      <c r="N26" s="108"/>
      <c r="O26" s="108"/>
      <c r="P26" s="108"/>
      <c r="Q26" s="109"/>
    </row>
    <row r="28" spans="2:17" x14ac:dyDescent="0.45">
      <c r="B28" s="39" t="s">
        <v>349</v>
      </c>
      <c r="C28" s="39" t="s">
        <v>350</v>
      </c>
      <c r="E28" s="40"/>
      <c r="F28" s="40" t="s">
        <v>351</v>
      </c>
      <c r="G28" s="40" t="s">
        <v>352</v>
      </c>
      <c r="H28" s="40" t="s">
        <v>353</v>
      </c>
      <c r="I28" s="40" t="s">
        <v>354</v>
      </c>
      <c r="J28" s="40" t="s">
        <v>355</v>
      </c>
      <c r="K28" s="40" t="s">
        <v>356</v>
      </c>
      <c r="L28" s="40" t="s">
        <v>357</v>
      </c>
      <c r="M28" s="40" t="s">
        <v>358</v>
      </c>
      <c r="N28" s="40" t="s">
        <v>359</v>
      </c>
      <c r="O28" s="40" t="s">
        <v>360</v>
      </c>
      <c r="P28" s="40" t="s">
        <v>361</v>
      </c>
      <c r="Q28" s="40" t="s">
        <v>362</v>
      </c>
    </row>
    <row r="29" spans="2:17" x14ac:dyDescent="0.45">
      <c r="B29" s="32" t="s">
        <v>484</v>
      </c>
      <c r="C29" s="32" t="s">
        <v>485</v>
      </c>
      <c r="E29" s="40" t="s">
        <v>364</v>
      </c>
      <c r="F29" s="103" t="s">
        <v>486</v>
      </c>
      <c r="G29" s="104"/>
      <c r="H29" s="104"/>
      <c r="I29" s="104"/>
      <c r="J29" s="104"/>
      <c r="K29" s="104"/>
      <c r="L29" s="104"/>
      <c r="M29" s="104"/>
      <c r="N29" s="104"/>
      <c r="O29" s="104"/>
      <c r="P29" s="104"/>
      <c r="Q29" s="105"/>
    </row>
    <row r="30" spans="2:17" x14ac:dyDescent="0.45">
      <c r="E30" s="40" t="s">
        <v>365</v>
      </c>
      <c r="F30" s="103" t="s">
        <v>487</v>
      </c>
      <c r="G30" s="104"/>
      <c r="H30" s="104"/>
      <c r="I30" s="104"/>
      <c r="J30" s="104"/>
      <c r="K30" s="104"/>
      <c r="L30" s="104"/>
      <c r="M30" s="104"/>
      <c r="N30" s="104"/>
      <c r="O30" s="104"/>
      <c r="P30" s="104"/>
      <c r="Q30" s="105"/>
    </row>
    <row r="31" spans="2:17" x14ac:dyDescent="0.45">
      <c r="E31" s="40" t="s">
        <v>342</v>
      </c>
      <c r="F31" s="103" t="s">
        <v>171</v>
      </c>
      <c r="G31" s="104"/>
      <c r="H31" s="104"/>
      <c r="I31" s="104"/>
      <c r="J31" s="104"/>
      <c r="K31" s="104"/>
      <c r="L31" s="104"/>
      <c r="M31" s="104"/>
      <c r="N31" s="104"/>
      <c r="O31" s="104"/>
      <c r="P31" s="104"/>
      <c r="Q31" s="105"/>
    </row>
    <row r="32" spans="2:17" x14ac:dyDescent="0.45">
      <c r="E32" s="40" t="s">
        <v>345</v>
      </c>
      <c r="F32" s="103" t="s">
        <v>172</v>
      </c>
      <c r="G32" s="104"/>
      <c r="H32" s="104"/>
      <c r="I32" s="104"/>
      <c r="J32" s="104"/>
      <c r="K32" s="104"/>
      <c r="L32" s="104"/>
      <c r="M32" s="104"/>
      <c r="N32" s="104"/>
      <c r="O32" s="104"/>
      <c r="P32" s="104"/>
      <c r="Q32" s="105"/>
    </row>
    <row r="33" spans="2:17" x14ac:dyDescent="0.45">
      <c r="E33" s="40" t="s">
        <v>369</v>
      </c>
      <c r="F33" s="107"/>
      <c r="G33" s="108"/>
      <c r="H33" s="108"/>
      <c r="I33" s="108"/>
      <c r="J33" s="108"/>
      <c r="K33" s="108"/>
      <c r="L33" s="108"/>
      <c r="M33" s="108"/>
      <c r="N33" s="108"/>
      <c r="O33" s="108"/>
      <c r="P33" s="108"/>
      <c r="Q33" s="109"/>
    </row>
    <row r="35" spans="2:17" x14ac:dyDescent="0.45">
      <c r="B35" s="39" t="s">
        <v>349</v>
      </c>
      <c r="C35" s="39" t="s">
        <v>350</v>
      </c>
      <c r="E35" s="40"/>
      <c r="F35" s="40" t="s">
        <v>351</v>
      </c>
      <c r="G35" s="40" t="s">
        <v>352</v>
      </c>
      <c r="H35" s="40" t="s">
        <v>353</v>
      </c>
      <c r="I35" s="40" t="s">
        <v>354</v>
      </c>
      <c r="J35" s="40" t="s">
        <v>355</v>
      </c>
      <c r="K35" s="40" t="s">
        <v>356</v>
      </c>
      <c r="L35" s="40" t="s">
        <v>357</v>
      </c>
      <c r="M35" s="40" t="s">
        <v>358</v>
      </c>
      <c r="N35" s="40" t="s">
        <v>359</v>
      </c>
      <c r="O35" s="40" t="s">
        <v>360</v>
      </c>
      <c r="P35" s="40" t="s">
        <v>361</v>
      </c>
      <c r="Q35" s="40" t="s">
        <v>362</v>
      </c>
    </row>
    <row r="36" spans="2:17" x14ac:dyDescent="0.45">
      <c r="B36" s="32" t="s">
        <v>488</v>
      </c>
      <c r="C36" s="32" t="s">
        <v>489</v>
      </c>
      <c r="E36" s="40" t="s">
        <v>364</v>
      </c>
      <c r="F36" s="103" t="s">
        <v>490</v>
      </c>
      <c r="G36" s="104"/>
      <c r="H36" s="104"/>
      <c r="I36" s="104"/>
      <c r="J36" s="104"/>
      <c r="K36" s="104"/>
      <c r="L36" s="104"/>
      <c r="M36" s="104"/>
      <c r="N36" s="104"/>
      <c r="O36" s="104"/>
      <c r="P36" s="104"/>
      <c r="Q36" s="105"/>
    </row>
    <row r="37" spans="2:17" x14ac:dyDescent="0.45">
      <c r="E37" s="40" t="s">
        <v>365</v>
      </c>
      <c r="F37" s="103" t="s">
        <v>491</v>
      </c>
      <c r="G37" s="104"/>
      <c r="H37" s="104"/>
      <c r="I37" s="104"/>
      <c r="J37" s="104"/>
      <c r="K37" s="104"/>
      <c r="L37" s="104"/>
      <c r="M37" s="104"/>
      <c r="N37" s="104"/>
      <c r="O37" s="104"/>
      <c r="P37" s="104"/>
      <c r="Q37" s="105"/>
    </row>
    <row r="38" spans="2:17" x14ac:dyDescent="0.45">
      <c r="E38" s="40" t="s">
        <v>342</v>
      </c>
      <c r="F38" s="103" t="s">
        <v>171</v>
      </c>
      <c r="G38" s="104"/>
      <c r="H38" s="104"/>
      <c r="I38" s="104"/>
      <c r="J38" s="104"/>
      <c r="K38" s="104"/>
      <c r="L38" s="104"/>
      <c r="M38" s="104"/>
      <c r="N38" s="104"/>
      <c r="O38" s="104"/>
      <c r="P38" s="104"/>
      <c r="Q38" s="105"/>
    </row>
    <row r="39" spans="2:17" x14ac:dyDescent="0.45">
      <c r="E39" s="40" t="s">
        <v>345</v>
      </c>
      <c r="F39" s="103" t="s">
        <v>172</v>
      </c>
      <c r="G39" s="104"/>
      <c r="H39" s="104"/>
      <c r="I39" s="104"/>
      <c r="J39" s="104"/>
      <c r="K39" s="104"/>
      <c r="L39" s="104"/>
      <c r="M39" s="104"/>
      <c r="N39" s="104"/>
      <c r="O39" s="104"/>
      <c r="P39" s="104"/>
      <c r="Q39" s="105"/>
    </row>
    <row r="40" spans="2:17" ht="39" customHeight="1" x14ac:dyDescent="0.45">
      <c r="E40" s="40" t="s">
        <v>369</v>
      </c>
      <c r="F40" s="107" t="s">
        <v>492</v>
      </c>
      <c r="G40" s="108"/>
      <c r="H40" s="108"/>
      <c r="I40" s="108"/>
      <c r="J40" s="108"/>
      <c r="K40" s="108"/>
      <c r="L40" s="108"/>
      <c r="M40" s="108"/>
      <c r="N40" s="108"/>
      <c r="O40" s="108"/>
      <c r="P40" s="108"/>
      <c r="Q40" s="109"/>
    </row>
    <row r="42" spans="2:17" ht="17.25" customHeight="1" x14ac:dyDescent="0.45">
      <c r="B42" s="46" t="s">
        <v>493</v>
      </c>
      <c r="C42" s="47"/>
      <c r="D42" s="48"/>
      <c r="E42" s="49"/>
      <c r="F42" s="50"/>
      <c r="G42" s="50"/>
      <c r="H42" s="50"/>
      <c r="I42" s="50"/>
      <c r="J42" s="50"/>
      <c r="K42" s="50"/>
      <c r="L42" s="50"/>
      <c r="M42" s="50"/>
      <c r="N42" s="50"/>
      <c r="O42" s="50"/>
      <c r="P42" s="50"/>
      <c r="Q42" s="50"/>
    </row>
    <row r="43" spans="2:17" x14ac:dyDescent="0.45">
      <c r="B43" s="39" t="s">
        <v>349</v>
      </c>
      <c r="C43" s="39" t="s">
        <v>350</v>
      </c>
      <c r="E43" s="40"/>
      <c r="F43" s="40" t="s">
        <v>351</v>
      </c>
      <c r="G43" s="40" t="s">
        <v>352</v>
      </c>
      <c r="H43" s="40" t="s">
        <v>353</v>
      </c>
      <c r="I43" s="40" t="s">
        <v>354</v>
      </c>
      <c r="J43" s="40" t="s">
        <v>355</v>
      </c>
      <c r="K43" s="40" t="s">
        <v>356</v>
      </c>
      <c r="L43" s="40" t="s">
        <v>357</v>
      </c>
      <c r="M43" s="40" t="s">
        <v>358</v>
      </c>
      <c r="N43" s="40" t="s">
        <v>359</v>
      </c>
      <c r="O43" s="40" t="s">
        <v>360</v>
      </c>
      <c r="P43" s="40" t="s">
        <v>361</v>
      </c>
      <c r="Q43" s="40" t="s">
        <v>362</v>
      </c>
    </row>
    <row r="44" spans="2:17" ht="16.5" customHeight="1" x14ac:dyDescent="0.45">
      <c r="B44" s="32" t="s">
        <v>494</v>
      </c>
      <c r="C44" s="32" t="s">
        <v>495</v>
      </c>
      <c r="E44" s="40" t="s">
        <v>364</v>
      </c>
      <c r="F44" s="106" t="s">
        <v>200</v>
      </c>
      <c r="G44" s="106"/>
      <c r="H44" s="106"/>
      <c r="I44" s="106" t="s">
        <v>201</v>
      </c>
      <c r="J44" s="106"/>
      <c r="K44" s="106"/>
      <c r="L44" s="106" t="s">
        <v>202</v>
      </c>
      <c r="M44" s="106"/>
      <c r="N44" s="106"/>
      <c r="O44" s="106"/>
      <c r="P44" s="106"/>
      <c r="Q44" s="106"/>
    </row>
    <row r="45" spans="2:17" x14ac:dyDescent="0.45">
      <c r="E45" s="40" t="s">
        <v>365</v>
      </c>
      <c r="F45" s="102" t="s">
        <v>366</v>
      </c>
      <c r="G45" s="102"/>
      <c r="H45" s="102"/>
      <c r="I45" s="102" t="s">
        <v>366</v>
      </c>
      <c r="J45" s="102"/>
      <c r="K45" s="102"/>
      <c r="L45" s="103" t="s">
        <v>162</v>
      </c>
      <c r="M45" s="104"/>
      <c r="N45" s="104"/>
      <c r="O45" s="104"/>
      <c r="P45" s="104"/>
      <c r="Q45" s="104"/>
    </row>
    <row r="46" spans="2:17" x14ac:dyDescent="0.45">
      <c r="E46" s="40" t="s">
        <v>342</v>
      </c>
      <c r="F46" s="103" t="s">
        <v>171</v>
      </c>
      <c r="G46" s="104"/>
      <c r="H46" s="104"/>
      <c r="I46" s="104"/>
      <c r="J46" s="104"/>
      <c r="K46" s="104"/>
      <c r="L46" s="104"/>
      <c r="M46" s="104"/>
      <c r="N46" s="104"/>
      <c r="O46" s="104"/>
      <c r="P46" s="104"/>
      <c r="Q46" s="105"/>
    </row>
    <row r="47" spans="2:17" x14ac:dyDescent="0.45">
      <c r="E47" s="40" t="s">
        <v>345</v>
      </c>
      <c r="F47" s="103" t="s">
        <v>172</v>
      </c>
      <c r="G47" s="104"/>
      <c r="H47" s="104"/>
      <c r="I47" s="104"/>
      <c r="J47" s="104"/>
      <c r="K47" s="104"/>
      <c r="L47" s="104"/>
      <c r="M47" s="104"/>
      <c r="N47" s="104"/>
      <c r="O47" s="104"/>
      <c r="P47" s="104"/>
      <c r="Q47" s="105"/>
    </row>
    <row r="48" spans="2:17" x14ac:dyDescent="0.45">
      <c r="E48" s="40" t="s">
        <v>369</v>
      </c>
      <c r="F48" s="107" t="s">
        <v>496</v>
      </c>
      <c r="G48" s="108"/>
      <c r="H48" s="108"/>
      <c r="I48" s="108"/>
      <c r="J48" s="108"/>
      <c r="K48" s="108"/>
      <c r="L48" s="108"/>
      <c r="M48" s="108"/>
      <c r="N48" s="108"/>
      <c r="O48" s="108"/>
      <c r="P48" s="108"/>
      <c r="Q48" s="109"/>
    </row>
    <row r="50" spans="2:17" x14ac:dyDescent="0.45">
      <c r="B50" s="39" t="s">
        <v>349</v>
      </c>
      <c r="C50" s="39" t="s">
        <v>350</v>
      </c>
      <c r="E50" s="40"/>
      <c r="F50" s="40" t="s">
        <v>351</v>
      </c>
      <c r="G50" s="40" t="s">
        <v>352</v>
      </c>
      <c r="H50" s="40" t="s">
        <v>353</v>
      </c>
      <c r="I50" s="40" t="s">
        <v>354</v>
      </c>
      <c r="J50" s="40" t="s">
        <v>355</v>
      </c>
      <c r="K50" s="40" t="s">
        <v>356</v>
      </c>
      <c r="L50" s="40" t="s">
        <v>357</v>
      </c>
      <c r="M50" s="40" t="s">
        <v>358</v>
      </c>
      <c r="N50" s="40" t="s">
        <v>359</v>
      </c>
      <c r="O50" s="40" t="s">
        <v>360</v>
      </c>
      <c r="P50" s="40" t="s">
        <v>361</v>
      </c>
      <c r="Q50" s="40" t="s">
        <v>362</v>
      </c>
    </row>
    <row r="51" spans="2:17" ht="17.25" customHeight="1" x14ac:dyDescent="0.45">
      <c r="B51" s="32" t="s">
        <v>497</v>
      </c>
      <c r="C51" s="32" t="s">
        <v>498</v>
      </c>
      <c r="E51" s="40" t="s">
        <v>364</v>
      </c>
      <c r="F51" s="106" t="s">
        <v>206</v>
      </c>
      <c r="G51" s="106"/>
      <c r="H51" s="116" t="s">
        <v>207</v>
      </c>
      <c r="I51" s="117"/>
      <c r="J51" s="106" t="s">
        <v>208</v>
      </c>
      <c r="K51" s="106"/>
      <c r="L51" s="106"/>
      <c r="M51" s="106" t="s">
        <v>209</v>
      </c>
      <c r="N51" s="106"/>
      <c r="O51" s="106"/>
      <c r="P51" s="106"/>
      <c r="Q51" s="106"/>
    </row>
    <row r="52" spans="2:17" x14ac:dyDescent="0.45">
      <c r="E52" s="40" t="s">
        <v>365</v>
      </c>
      <c r="F52" s="103" t="s">
        <v>366</v>
      </c>
      <c r="G52" s="105"/>
      <c r="H52" s="103" t="s">
        <v>366</v>
      </c>
      <c r="I52" s="105"/>
      <c r="J52" s="102" t="s">
        <v>366</v>
      </c>
      <c r="K52" s="102"/>
      <c r="L52" s="102"/>
      <c r="M52" s="102" t="s">
        <v>424</v>
      </c>
      <c r="N52" s="102"/>
      <c r="O52" s="102"/>
      <c r="P52" s="102"/>
      <c r="Q52" s="102"/>
    </row>
    <row r="53" spans="2:17" x14ac:dyDescent="0.45">
      <c r="E53" s="40" t="s">
        <v>342</v>
      </c>
      <c r="F53" s="102" t="s">
        <v>171</v>
      </c>
      <c r="G53" s="102"/>
      <c r="H53" s="102"/>
      <c r="I53" s="102"/>
      <c r="J53" s="102"/>
      <c r="K53" s="102"/>
      <c r="L53" s="102"/>
      <c r="M53" s="102"/>
      <c r="N53" s="102"/>
      <c r="O53" s="102"/>
      <c r="P53" s="102"/>
      <c r="Q53" s="102"/>
    </row>
    <row r="54" spans="2:17" x14ac:dyDescent="0.45">
      <c r="E54" s="40" t="s">
        <v>345</v>
      </c>
      <c r="F54" s="102" t="s">
        <v>172</v>
      </c>
      <c r="G54" s="102"/>
      <c r="H54" s="102"/>
      <c r="I54" s="102"/>
      <c r="J54" s="102"/>
      <c r="K54" s="102"/>
      <c r="L54" s="102"/>
      <c r="M54" s="102"/>
      <c r="N54" s="102"/>
      <c r="O54" s="102"/>
      <c r="P54" s="102"/>
      <c r="Q54" s="102"/>
    </row>
    <row r="55" spans="2:17" ht="17.25" customHeight="1" x14ac:dyDescent="0.45">
      <c r="E55" s="40" t="s">
        <v>369</v>
      </c>
      <c r="F55" s="107" t="s">
        <v>496</v>
      </c>
      <c r="G55" s="108"/>
      <c r="H55" s="108"/>
      <c r="I55" s="108"/>
      <c r="J55" s="108"/>
      <c r="K55" s="108"/>
      <c r="L55" s="108"/>
      <c r="M55" s="108"/>
      <c r="N55" s="108"/>
      <c r="O55" s="108"/>
      <c r="P55" s="108"/>
      <c r="Q55" s="109"/>
    </row>
    <row r="57" spans="2:17" x14ac:dyDescent="0.45">
      <c r="B57" s="39" t="s">
        <v>349</v>
      </c>
      <c r="C57" s="39" t="s">
        <v>350</v>
      </c>
      <c r="E57" s="40"/>
      <c r="F57" s="40" t="s">
        <v>351</v>
      </c>
      <c r="G57" s="40" t="s">
        <v>352</v>
      </c>
      <c r="H57" s="40" t="s">
        <v>353</v>
      </c>
      <c r="I57" s="40" t="s">
        <v>354</v>
      </c>
      <c r="J57" s="40" t="s">
        <v>355</v>
      </c>
      <c r="K57" s="40" t="s">
        <v>356</v>
      </c>
      <c r="L57" s="40" t="s">
        <v>357</v>
      </c>
      <c r="M57" s="40" t="s">
        <v>358</v>
      </c>
      <c r="N57" s="40" t="s">
        <v>359</v>
      </c>
      <c r="O57" s="40" t="s">
        <v>360</v>
      </c>
      <c r="P57" s="40" t="s">
        <v>361</v>
      </c>
      <c r="Q57" s="40" t="s">
        <v>362</v>
      </c>
    </row>
    <row r="58" spans="2:17" ht="17.25" customHeight="1" x14ac:dyDescent="0.45">
      <c r="B58" s="32" t="s">
        <v>499</v>
      </c>
      <c r="C58" s="32" t="s">
        <v>500</v>
      </c>
      <c r="E58" s="40" t="s">
        <v>364</v>
      </c>
      <c r="F58" s="51" t="s">
        <v>35</v>
      </c>
      <c r="G58" s="51" t="s">
        <v>35</v>
      </c>
      <c r="H58" s="110" t="s">
        <v>214</v>
      </c>
      <c r="I58" s="111"/>
      <c r="J58" s="111"/>
      <c r="K58" s="111"/>
      <c r="L58" s="111"/>
      <c r="M58" s="112"/>
      <c r="N58" s="113" t="s">
        <v>215</v>
      </c>
      <c r="O58" s="114"/>
      <c r="P58" s="114"/>
      <c r="Q58" s="115"/>
    </row>
    <row r="59" spans="2:17" ht="17" customHeight="1" x14ac:dyDescent="0.45">
      <c r="E59" s="40" t="s">
        <v>365</v>
      </c>
      <c r="F59" s="43" t="s">
        <v>501</v>
      </c>
      <c r="G59" s="45" t="s">
        <v>501</v>
      </c>
      <c r="H59" s="103" t="s">
        <v>502</v>
      </c>
      <c r="I59" s="104"/>
      <c r="J59" s="104"/>
      <c r="K59" s="104"/>
      <c r="L59" s="104"/>
      <c r="M59" s="104"/>
      <c r="N59" s="104"/>
      <c r="O59" s="104"/>
      <c r="P59" s="104"/>
      <c r="Q59" s="105"/>
    </row>
    <row r="60" spans="2:17" x14ac:dyDescent="0.45">
      <c r="E60" s="40" t="s">
        <v>342</v>
      </c>
      <c r="F60" s="103" t="s">
        <v>171</v>
      </c>
      <c r="G60" s="104"/>
      <c r="H60" s="104"/>
      <c r="I60" s="104"/>
      <c r="J60" s="104"/>
      <c r="K60" s="104"/>
      <c r="L60" s="104"/>
      <c r="M60" s="104"/>
      <c r="N60" s="104"/>
      <c r="O60" s="104"/>
      <c r="P60" s="104"/>
      <c r="Q60" s="105"/>
    </row>
    <row r="61" spans="2:17" x14ac:dyDescent="0.45">
      <c r="E61" s="40" t="s">
        <v>345</v>
      </c>
      <c r="F61" s="102" t="s">
        <v>172</v>
      </c>
      <c r="G61" s="102"/>
      <c r="H61" s="102"/>
      <c r="I61" s="102"/>
      <c r="J61" s="102"/>
      <c r="K61" s="102"/>
      <c r="L61" s="102"/>
      <c r="M61" s="102"/>
      <c r="N61" s="102"/>
      <c r="O61" s="102"/>
      <c r="P61" s="102"/>
      <c r="Q61" s="102"/>
    </row>
    <row r="62" spans="2:17" ht="17.25" customHeight="1" x14ac:dyDescent="0.45">
      <c r="E62" s="40" t="s">
        <v>369</v>
      </c>
      <c r="F62" s="107" t="s">
        <v>496</v>
      </c>
      <c r="G62" s="108"/>
      <c r="H62" s="108"/>
      <c r="I62" s="108"/>
      <c r="J62" s="108"/>
      <c r="K62" s="108"/>
      <c r="L62" s="108"/>
      <c r="M62" s="108"/>
      <c r="N62" s="108"/>
      <c r="O62" s="108"/>
      <c r="P62" s="108"/>
      <c r="Q62" s="109"/>
    </row>
    <row r="64" spans="2:17" x14ac:dyDescent="0.45">
      <c r="B64" s="39" t="s">
        <v>349</v>
      </c>
      <c r="C64" s="39" t="s">
        <v>350</v>
      </c>
      <c r="E64" s="40"/>
      <c r="F64" s="40" t="s">
        <v>351</v>
      </c>
      <c r="G64" s="40" t="s">
        <v>352</v>
      </c>
      <c r="H64" s="40" t="s">
        <v>353</v>
      </c>
      <c r="I64" s="40" t="s">
        <v>354</v>
      </c>
      <c r="J64" s="40" t="s">
        <v>355</v>
      </c>
      <c r="K64" s="40" t="s">
        <v>356</v>
      </c>
      <c r="L64" s="40" t="s">
        <v>357</v>
      </c>
      <c r="M64" s="40" t="s">
        <v>358</v>
      </c>
      <c r="N64" s="40" t="s">
        <v>359</v>
      </c>
      <c r="O64" s="40" t="s">
        <v>360</v>
      </c>
      <c r="P64" s="40" t="s">
        <v>361</v>
      </c>
      <c r="Q64" s="40" t="s">
        <v>362</v>
      </c>
    </row>
    <row r="65" spans="2:17" ht="17.25" customHeight="1" x14ac:dyDescent="0.45">
      <c r="B65" s="32" t="s">
        <v>503</v>
      </c>
      <c r="C65" s="32" t="s">
        <v>504</v>
      </c>
      <c r="E65" s="40" t="s">
        <v>364</v>
      </c>
      <c r="F65" s="106" t="s">
        <v>219</v>
      </c>
      <c r="G65" s="106"/>
      <c r="H65" s="106"/>
      <c r="I65" s="106"/>
      <c r="J65" s="106"/>
      <c r="K65" s="106"/>
      <c r="L65" s="106"/>
      <c r="M65" s="106"/>
      <c r="N65" s="113" t="s">
        <v>220</v>
      </c>
      <c r="O65" s="114"/>
      <c r="P65" s="114"/>
      <c r="Q65" s="115"/>
    </row>
    <row r="66" spans="2:17" x14ac:dyDescent="0.45">
      <c r="E66" s="40" t="s">
        <v>365</v>
      </c>
      <c r="F66" s="102" t="s">
        <v>366</v>
      </c>
      <c r="G66" s="102"/>
      <c r="H66" s="102"/>
      <c r="I66" s="102"/>
      <c r="J66" s="102"/>
      <c r="K66" s="102"/>
      <c r="L66" s="102"/>
      <c r="M66" s="102"/>
      <c r="N66" s="102" t="s">
        <v>505</v>
      </c>
      <c r="O66" s="102"/>
      <c r="P66" s="102"/>
      <c r="Q66" s="102"/>
    </row>
    <row r="67" spans="2:17" x14ac:dyDescent="0.45">
      <c r="E67" s="40" t="s">
        <v>342</v>
      </c>
      <c r="F67" s="102" t="s">
        <v>171</v>
      </c>
      <c r="G67" s="102"/>
      <c r="H67" s="102"/>
      <c r="I67" s="102"/>
      <c r="J67" s="102"/>
      <c r="K67" s="102"/>
      <c r="L67" s="102"/>
      <c r="M67" s="102"/>
      <c r="N67" s="102"/>
      <c r="O67" s="102"/>
      <c r="P67" s="102"/>
      <c r="Q67" s="102"/>
    </row>
    <row r="68" spans="2:17" x14ac:dyDescent="0.45">
      <c r="E68" s="40" t="s">
        <v>345</v>
      </c>
      <c r="F68" s="102" t="s">
        <v>172</v>
      </c>
      <c r="G68" s="102"/>
      <c r="H68" s="102"/>
      <c r="I68" s="102"/>
      <c r="J68" s="102"/>
      <c r="K68" s="102"/>
      <c r="L68" s="102"/>
      <c r="M68" s="102"/>
      <c r="N68" s="102"/>
      <c r="O68" s="102"/>
      <c r="P68" s="102"/>
      <c r="Q68" s="102"/>
    </row>
    <row r="69" spans="2:17" ht="17.25" customHeight="1" x14ac:dyDescent="0.45">
      <c r="E69" s="40" t="s">
        <v>369</v>
      </c>
      <c r="F69" s="107" t="s">
        <v>496</v>
      </c>
      <c r="G69" s="108"/>
      <c r="H69" s="108"/>
      <c r="I69" s="108"/>
      <c r="J69" s="108"/>
      <c r="K69" s="108"/>
      <c r="L69" s="108"/>
      <c r="M69" s="108"/>
      <c r="N69" s="108"/>
      <c r="O69" s="108"/>
      <c r="P69" s="108"/>
      <c r="Q69" s="109"/>
    </row>
    <row r="71" spans="2:17" x14ac:dyDescent="0.45">
      <c r="B71" s="39" t="s">
        <v>349</v>
      </c>
      <c r="C71" s="39" t="s">
        <v>350</v>
      </c>
      <c r="E71" s="40"/>
      <c r="F71" s="40" t="s">
        <v>351</v>
      </c>
      <c r="G71" s="40" t="s">
        <v>352</v>
      </c>
      <c r="H71" s="40" t="s">
        <v>353</v>
      </c>
      <c r="I71" s="40" t="s">
        <v>354</v>
      </c>
      <c r="J71" s="40" t="s">
        <v>355</v>
      </c>
      <c r="K71" s="40" t="s">
        <v>356</v>
      </c>
      <c r="L71" s="40" t="s">
        <v>357</v>
      </c>
      <c r="M71" s="40" t="s">
        <v>358</v>
      </c>
      <c r="N71" s="40" t="s">
        <v>359</v>
      </c>
      <c r="O71" s="40" t="s">
        <v>360</v>
      </c>
      <c r="P71" s="40" t="s">
        <v>361</v>
      </c>
      <c r="Q71" s="40" t="s">
        <v>362</v>
      </c>
    </row>
    <row r="72" spans="2:17" ht="17.25" customHeight="1" x14ac:dyDescent="0.45">
      <c r="B72" s="32" t="s">
        <v>506</v>
      </c>
      <c r="C72" s="32" t="s">
        <v>507</v>
      </c>
      <c r="E72" s="40" t="s">
        <v>364</v>
      </c>
      <c r="F72" s="51" t="s">
        <v>35</v>
      </c>
      <c r="G72" s="51" t="s">
        <v>35</v>
      </c>
      <c r="H72" s="51" t="s">
        <v>35</v>
      </c>
      <c r="I72" s="51" t="s">
        <v>35</v>
      </c>
      <c r="J72" s="51" t="s">
        <v>35</v>
      </c>
      <c r="K72" s="51" t="s">
        <v>35</v>
      </c>
      <c r="L72" s="51" t="s">
        <v>35</v>
      </c>
      <c r="M72" s="51" t="s">
        <v>35</v>
      </c>
      <c r="N72" s="51" t="s">
        <v>35</v>
      </c>
      <c r="O72" s="51" t="s">
        <v>35</v>
      </c>
      <c r="P72" s="51" t="s">
        <v>35</v>
      </c>
      <c r="Q72" s="51" t="s">
        <v>35</v>
      </c>
    </row>
    <row r="73" spans="2:17" x14ac:dyDescent="0.45">
      <c r="E73" s="40" t="s">
        <v>365</v>
      </c>
      <c r="F73" s="52" t="s">
        <v>366</v>
      </c>
      <c r="G73" s="52" t="s">
        <v>366</v>
      </c>
      <c r="H73" s="52" t="s">
        <v>366</v>
      </c>
      <c r="I73" s="52" t="s">
        <v>366</v>
      </c>
      <c r="J73" s="52" t="s">
        <v>366</v>
      </c>
      <c r="K73" s="52" t="s">
        <v>366</v>
      </c>
      <c r="L73" s="52" t="s">
        <v>366</v>
      </c>
      <c r="M73" s="52" t="s">
        <v>366</v>
      </c>
      <c r="N73" s="52" t="s">
        <v>366</v>
      </c>
      <c r="O73" s="52" t="s">
        <v>366</v>
      </c>
      <c r="P73" s="52" t="s">
        <v>366</v>
      </c>
      <c r="Q73" s="52" t="s">
        <v>366</v>
      </c>
    </row>
    <row r="74" spans="2:17" x14ac:dyDescent="0.45">
      <c r="E74" s="40" t="s">
        <v>342</v>
      </c>
      <c r="F74" s="102" t="s">
        <v>171</v>
      </c>
      <c r="G74" s="102"/>
      <c r="H74" s="102"/>
      <c r="I74" s="102"/>
      <c r="J74" s="102"/>
      <c r="K74" s="102"/>
      <c r="L74" s="102"/>
      <c r="M74" s="102"/>
      <c r="N74" s="102"/>
      <c r="O74" s="102"/>
      <c r="P74" s="102"/>
      <c r="Q74" s="102"/>
    </row>
    <row r="75" spans="2:17" x14ac:dyDescent="0.45">
      <c r="E75" s="40" t="s">
        <v>345</v>
      </c>
      <c r="F75" s="102" t="s">
        <v>172</v>
      </c>
      <c r="G75" s="102"/>
      <c r="H75" s="102"/>
      <c r="I75" s="102"/>
      <c r="J75" s="102"/>
      <c r="K75" s="102"/>
      <c r="L75" s="102"/>
      <c r="M75" s="102"/>
      <c r="N75" s="102"/>
      <c r="O75" s="102"/>
      <c r="P75" s="102"/>
      <c r="Q75" s="102"/>
    </row>
    <row r="76" spans="2:17" ht="17.25" customHeight="1" x14ac:dyDescent="0.45">
      <c r="E76" s="40" t="s">
        <v>369</v>
      </c>
      <c r="F76" s="107" t="s">
        <v>496</v>
      </c>
      <c r="G76" s="108"/>
      <c r="H76" s="108"/>
      <c r="I76" s="108"/>
      <c r="J76" s="108"/>
      <c r="K76" s="108"/>
      <c r="L76" s="108"/>
      <c r="M76" s="108"/>
      <c r="N76" s="108"/>
      <c r="O76" s="108"/>
      <c r="P76" s="108"/>
      <c r="Q76" s="109"/>
    </row>
    <row r="77" spans="2:17" ht="17.25" customHeight="1" x14ac:dyDescent="0.45">
      <c r="F77" s="38"/>
      <c r="G77" s="38"/>
      <c r="H77" s="38"/>
      <c r="I77" s="38"/>
      <c r="J77" s="38"/>
      <c r="K77" s="38"/>
      <c r="L77" s="38"/>
      <c r="M77" s="38"/>
      <c r="N77" s="38"/>
      <c r="O77" s="38"/>
      <c r="P77" s="38"/>
      <c r="Q77" s="38"/>
    </row>
    <row r="78" spans="2:17" x14ac:dyDescent="0.45">
      <c r="B78" s="39" t="s">
        <v>349</v>
      </c>
      <c r="C78" s="39" t="s">
        <v>350</v>
      </c>
      <c r="E78" s="40"/>
      <c r="F78" s="40" t="s">
        <v>351</v>
      </c>
      <c r="G78" s="40" t="s">
        <v>352</v>
      </c>
      <c r="H78" s="40" t="s">
        <v>353</v>
      </c>
      <c r="I78" s="40" t="s">
        <v>354</v>
      </c>
      <c r="J78" s="40" t="s">
        <v>355</v>
      </c>
      <c r="K78" s="40" t="s">
        <v>356</v>
      </c>
      <c r="L78" s="40" t="s">
        <v>357</v>
      </c>
      <c r="M78" s="40" t="s">
        <v>358</v>
      </c>
      <c r="N78" s="40" t="s">
        <v>359</v>
      </c>
      <c r="O78" s="40" t="s">
        <v>360</v>
      </c>
      <c r="P78" s="40" t="s">
        <v>361</v>
      </c>
      <c r="Q78" s="40" t="s">
        <v>362</v>
      </c>
    </row>
    <row r="79" spans="2:17" ht="17.25" customHeight="1" x14ac:dyDescent="0.45">
      <c r="B79" s="32" t="s">
        <v>508</v>
      </c>
      <c r="C79" s="32" t="s">
        <v>509</v>
      </c>
      <c r="E79" s="40" t="s">
        <v>364</v>
      </c>
      <c r="F79" s="16" t="s">
        <v>213</v>
      </c>
      <c r="G79" s="16" t="s">
        <v>213</v>
      </c>
      <c r="H79" s="16" t="s">
        <v>213</v>
      </c>
      <c r="I79" s="16" t="s">
        <v>213</v>
      </c>
      <c r="J79" s="16" t="s">
        <v>213</v>
      </c>
      <c r="K79" s="16" t="s">
        <v>213</v>
      </c>
      <c r="L79" s="51" t="s">
        <v>35</v>
      </c>
      <c r="M79" s="51" t="s">
        <v>35</v>
      </c>
      <c r="N79" s="51" t="s">
        <v>35</v>
      </c>
      <c r="O79" s="51" t="s">
        <v>35</v>
      </c>
      <c r="P79" s="51" t="s">
        <v>35</v>
      </c>
      <c r="Q79" s="51" t="s">
        <v>35</v>
      </c>
    </row>
    <row r="80" spans="2:17" x14ac:dyDescent="0.45">
      <c r="B80" s="36"/>
      <c r="E80" s="40" t="s">
        <v>365</v>
      </c>
      <c r="L80" s="52" t="s">
        <v>366</v>
      </c>
      <c r="M80" s="52" t="s">
        <v>366</v>
      </c>
      <c r="N80" s="52" t="s">
        <v>366</v>
      </c>
      <c r="O80" s="52" t="s">
        <v>366</v>
      </c>
      <c r="P80" s="52" t="s">
        <v>366</v>
      </c>
      <c r="Q80" s="52" t="s">
        <v>366</v>
      </c>
    </row>
    <row r="81" spans="2:17" x14ac:dyDescent="0.45">
      <c r="B81" s="36"/>
      <c r="E81" s="40" t="s">
        <v>342</v>
      </c>
      <c r="F81" s="102" t="s">
        <v>171</v>
      </c>
      <c r="G81" s="102"/>
      <c r="H81" s="102"/>
      <c r="I81" s="102"/>
      <c r="J81" s="102"/>
      <c r="K81" s="102"/>
      <c r="L81" s="102"/>
      <c r="M81" s="102"/>
      <c r="N81" s="102"/>
      <c r="O81" s="102"/>
      <c r="P81" s="102"/>
      <c r="Q81" s="102"/>
    </row>
    <row r="82" spans="2:17" x14ac:dyDescent="0.45">
      <c r="B82" s="36"/>
      <c r="E82" s="40" t="s">
        <v>345</v>
      </c>
      <c r="F82" s="102" t="s">
        <v>172</v>
      </c>
      <c r="G82" s="102"/>
      <c r="H82" s="102"/>
      <c r="I82" s="102"/>
      <c r="J82" s="102"/>
      <c r="K82" s="102"/>
      <c r="L82" s="102"/>
      <c r="M82" s="102"/>
      <c r="N82" s="102"/>
      <c r="O82" s="102"/>
      <c r="P82" s="102"/>
      <c r="Q82" s="102"/>
    </row>
    <row r="83" spans="2:17" ht="17.25" customHeight="1" x14ac:dyDescent="0.45">
      <c r="B83" s="36"/>
      <c r="E83" s="40" t="s">
        <v>369</v>
      </c>
      <c r="F83" s="107" t="s">
        <v>496</v>
      </c>
      <c r="G83" s="108"/>
      <c r="H83" s="108"/>
      <c r="I83" s="108"/>
      <c r="J83" s="108"/>
      <c r="K83" s="108"/>
      <c r="L83" s="108"/>
      <c r="M83" s="108"/>
      <c r="N83" s="108"/>
      <c r="O83" s="108"/>
      <c r="P83" s="108"/>
      <c r="Q83" s="109"/>
    </row>
    <row r="84" spans="2:17" ht="17.25" customHeight="1" x14ac:dyDescent="0.45">
      <c r="B84" s="36"/>
      <c r="F84" s="38"/>
      <c r="G84" s="38"/>
      <c r="H84" s="38"/>
      <c r="I84" s="38"/>
      <c r="J84" s="38"/>
      <c r="K84" s="38"/>
      <c r="L84" s="38"/>
      <c r="M84" s="38"/>
      <c r="N84" s="38"/>
      <c r="O84" s="38"/>
      <c r="P84" s="38"/>
      <c r="Q84" s="38"/>
    </row>
    <row r="85" spans="2:17" x14ac:dyDescent="0.45">
      <c r="B85" s="39" t="s">
        <v>349</v>
      </c>
      <c r="C85" s="39" t="s">
        <v>350</v>
      </c>
      <c r="E85" s="40"/>
      <c r="F85" s="40" t="s">
        <v>351</v>
      </c>
      <c r="G85" s="40" t="s">
        <v>352</v>
      </c>
      <c r="H85" s="40" t="s">
        <v>353</v>
      </c>
      <c r="I85" s="40" t="s">
        <v>354</v>
      </c>
      <c r="J85" s="40" t="s">
        <v>355</v>
      </c>
      <c r="K85" s="40" t="s">
        <v>356</v>
      </c>
      <c r="L85" s="40" t="s">
        <v>357</v>
      </c>
      <c r="M85" s="40" t="s">
        <v>358</v>
      </c>
      <c r="N85" s="40" t="s">
        <v>359</v>
      </c>
      <c r="O85" s="40" t="s">
        <v>360</v>
      </c>
      <c r="P85" s="40" t="s">
        <v>361</v>
      </c>
      <c r="Q85" s="40" t="s">
        <v>362</v>
      </c>
    </row>
    <row r="86" spans="2:17" ht="17.25" customHeight="1" x14ac:dyDescent="0.45">
      <c r="B86" s="32" t="s">
        <v>510</v>
      </c>
      <c r="C86" s="32" t="s">
        <v>228</v>
      </c>
      <c r="E86" s="40" t="s">
        <v>364</v>
      </c>
      <c r="F86" s="16" t="s">
        <v>213</v>
      </c>
      <c r="G86" s="16" t="s">
        <v>213</v>
      </c>
      <c r="H86" s="51" t="s">
        <v>35</v>
      </c>
      <c r="I86" s="110" t="s">
        <v>230</v>
      </c>
      <c r="J86" s="111"/>
      <c r="K86" s="111"/>
      <c r="L86" s="111"/>
      <c r="M86" s="111"/>
      <c r="N86" s="111"/>
      <c r="O86" s="111"/>
      <c r="P86" s="111"/>
      <c r="Q86" s="112"/>
    </row>
    <row r="87" spans="2:17" x14ac:dyDescent="0.45">
      <c r="B87" s="36"/>
      <c r="E87" s="40" t="s">
        <v>365</v>
      </c>
      <c r="H87" s="52" t="s">
        <v>366</v>
      </c>
      <c r="I87" s="103" t="s">
        <v>405</v>
      </c>
      <c r="J87" s="104"/>
      <c r="K87" s="104"/>
      <c r="L87" s="104"/>
      <c r="M87" s="104"/>
      <c r="N87" s="104"/>
      <c r="O87" s="104"/>
      <c r="P87" s="104"/>
      <c r="Q87" s="105"/>
    </row>
    <row r="88" spans="2:17" x14ac:dyDescent="0.45">
      <c r="B88" s="36"/>
      <c r="E88" s="40" t="s">
        <v>342</v>
      </c>
      <c r="F88" s="102" t="s">
        <v>171</v>
      </c>
      <c r="G88" s="102"/>
      <c r="H88" s="102"/>
      <c r="I88" s="102"/>
      <c r="J88" s="102"/>
      <c r="K88" s="102"/>
      <c r="L88" s="102"/>
      <c r="M88" s="102"/>
      <c r="N88" s="102"/>
      <c r="O88" s="102"/>
      <c r="P88" s="102"/>
      <c r="Q88" s="102"/>
    </row>
    <row r="89" spans="2:17" x14ac:dyDescent="0.45">
      <c r="B89" s="36"/>
      <c r="E89" s="40" t="s">
        <v>345</v>
      </c>
      <c r="F89" s="102" t="s">
        <v>172</v>
      </c>
      <c r="G89" s="102"/>
      <c r="H89" s="102"/>
      <c r="I89" s="102"/>
      <c r="J89" s="102"/>
      <c r="K89" s="102"/>
      <c r="L89" s="102"/>
      <c r="M89" s="102"/>
      <c r="N89" s="102"/>
      <c r="O89" s="102"/>
      <c r="P89" s="102"/>
      <c r="Q89" s="102"/>
    </row>
    <row r="90" spans="2:17" ht="17.25" customHeight="1" x14ac:dyDescent="0.45">
      <c r="B90" s="36"/>
      <c r="E90" s="40" t="s">
        <v>369</v>
      </c>
      <c r="F90" s="107" t="s">
        <v>496</v>
      </c>
      <c r="G90" s="108"/>
      <c r="H90" s="108"/>
      <c r="I90" s="108"/>
      <c r="J90" s="108"/>
      <c r="K90" s="108"/>
      <c r="L90" s="108"/>
      <c r="M90" s="108"/>
      <c r="N90" s="108"/>
      <c r="O90" s="108"/>
      <c r="P90" s="108"/>
      <c r="Q90" s="109"/>
    </row>
    <row r="92" spans="2:17" x14ac:dyDescent="0.45">
      <c r="B92" s="39" t="s">
        <v>349</v>
      </c>
      <c r="C92" s="39" t="s">
        <v>350</v>
      </c>
      <c r="E92" s="40"/>
      <c r="F92" s="40" t="s">
        <v>351</v>
      </c>
      <c r="G92" s="40" t="s">
        <v>352</v>
      </c>
      <c r="H92" s="40" t="s">
        <v>353</v>
      </c>
      <c r="I92" s="40" t="s">
        <v>354</v>
      </c>
      <c r="J92" s="40" t="s">
        <v>355</v>
      </c>
      <c r="K92" s="40" t="s">
        <v>356</v>
      </c>
      <c r="L92" s="40" t="s">
        <v>357</v>
      </c>
      <c r="M92" s="40" t="s">
        <v>358</v>
      </c>
      <c r="N92" s="40" t="s">
        <v>359</v>
      </c>
      <c r="O92" s="40" t="s">
        <v>360</v>
      </c>
      <c r="P92" s="40" t="s">
        <v>361</v>
      </c>
      <c r="Q92" s="40" t="s">
        <v>362</v>
      </c>
    </row>
    <row r="93" spans="2:17" ht="17.25" customHeight="1" x14ac:dyDescent="0.45">
      <c r="B93" s="32" t="s">
        <v>511</v>
      </c>
      <c r="C93" s="32" t="s">
        <v>231</v>
      </c>
      <c r="E93" s="40" t="s">
        <v>364</v>
      </c>
      <c r="F93" s="16" t="s">
        <v>213</v>
      </c>
      <c r="G93" s="16" t="s">
        <v>213</v>
      </c>
      <c r="H93" s="16" t="s">
        <v>213</v>
      </c>
      <c r="I93" s="16" t="s">
        <v>213</v>
      </c>
      <c r="J93" s="16" t="s">
        <v>213</v>
      </c>
      <c r="K93" s="16" t="s">
        <v>213</v>
      </c>
      <c r="L93" s="51" t="s">
        <v>35</v>
      </c>
      <c r="M93" s="110" t="s">
        <v>233</v>
      </c>
      <c r="N93" s="111"/>
      <c r="O93" s="111"/>
      <c r="P93" s="111"/>
      <c r="Q93" s="112"/>
    </row>
    <row r="94" spans="2:17" x14ac:dyDescent="0.45">
      <c r="B94" s="36"/>
      <c r="E94" s="40" t="s">
        <v>365</v>
      </c>
      <c r="L94" s="52" t="s">
        <v>366</v>
      </c>
      <c r="M94" s="103" t="s">
        <v>512</v>
      </c>
      <c r="N94" s="104"/>
      <c r="O94" s="104"/>
      <c r="P94" s="104"/>
      <c r="Q94" s="105"/>
    </row>
    <row r="95" spans="2:17" x14ac:dyDescent="0.45">
      <c r="B95" s="36"/>
      <c r="E95" s="40" t="s">
        <v>342</v>
      </c>
      <c r="F95" s="102" t="s">
        <v>171</v>
      </c>
      <c r="G95" s="102"/>
      <c r="H95" s="102"/>
      <c r="I95" s="102"/>
      <c r="J95" s="102"/>
      <c r="K95" s="102"/>
      <c r="L95" s="102"/>
      <c r="M95" s="102"/>
      <c r="N95" s="102"/>
      <c r="O95" s="102"/>
      <c r="P95" s="102"/>
      <c r="Q95" s="102"/>
    </row>
    <row r="96" spans="2:17" x14ac:dyDescent="0.45">
      <c r="B96" s="36"/>
      <c r="E96" s="40" t="s">
        <v>345</v>
      </c>
      <c r="F96" s="102" t="s">
        <v>172</v>
      </c>
      <c r="G96" s="102"/>
      <c r="H96" s="102"/>
      <c r="I96" s="102"/>
      <c r="J96" s="102"/>
      <c r="K96" s="102"/>
      <c r="L96" s="102"/>
      <c r="M96" s="102"/>
      <c r="N96" s="102"/>
      <c r="O96" s="102"/>
      <c r="P96" s="102"/>
      <c r="Q96" s="102"/>
    </row>
    <row r="97" spans="2:17" ht="17.25" customHeight="1" x14ac:dyDescent="0.45">
      <c r="B97" s="36"/>
      <c r="E97" s="40" t="s">
        <v>369</v>
      </c>
      <c r="F97" s="107" t="s">
        <v>496</v>
      </c>
      <c r="G97" s="108"/>
      <c r="H97" s="108"/>
      <c r="I97" s="108"/>
      <c r="J97" s="108"/>
      <c r="K97" s="108"/>
      <c r="L97" s="108"/>
      <c r="M97" s="108"/>
      <c r="N97" s="108"/>
      <c r="O97" s="108"/>
      <c r="P97" s="108"/>
      <c r="Q97" s="109"/>
    </row>
    <row r="98" spans="2:17" ht="17.25" customHeight="1" x14ac:dyDescent="0.45">
      <c r="B98" s="36"/>
      <c r="F98" s="38"/>
      <c r="G98" s="38"/>
      <c r="H98" s="38"/>
      <c r="I98" s="38"/>
      <c r="J98" s="38"/>
      <c r="K98" s="38"/>
      <c r="L98" s="38"/>
      <c r="M98" s="38"/>
      <c r="N98" s="38"/>
      <c r="O98" s="38"/>
      <c r="P98" s="38"/>
      <c r="Q98" s="38"/>
    </row>
    <row r="99" spans="2:17" x14ac:dyDescent="0.45">
      <c r="B99" s="39" t="s">
        <v>349</v>
      </c>
      <c r="C99" s="39" t="s">
        <v>350</v>
      </c>
      <c r="E99" s="40"/>
      <c r="F99" s="40" t="s">
        <v>351</v>
      </c>
      <c r="G99" s="40" t="s">
        <v>352</v>
      </c>
      <c r="H99" s="40" t="s">
        <v>353</v>
      </c>
      <c r="I99" s="40" t="s">
        <v>354</v>
      </c>
      <c r="J99" s="40" t="s">
        <v>355</v>
      </c>
      <c r="K99" s="40" t="s">
        <v>356</v>
      </c>
      <c r="L99" s="40" t="s">
        <v>357</v>
      </c>
      <c r="M99" s="40" t="s">
        <v>358</v>
      </c>
      <c r="N99" s="40" t="s">
        <v>359</v>
      </c>
      <c r="O99" s="40" t="s">
        <v>360</v>
      </c>
      <c r="P99" s="40" t="s">
        <v>361</v>
      </c>
      <c r="Q99" s="40" t="s">
        <v>362</v>
      </c>
    </row>
    <row r="100" spans="2:17" ht="16.5" customHeight="1" x14ac:dyDescent="0.45">
      <c r="B100" s="32" t="s">
        <v>513</v>
      </c>
      <c r="C100" s="32" t="s">
        <v>235</v>
      </c>
      <c r="E100" s="40" t="s">
        <v>364</v>
      </c>
      <c r="F100" s="16" t="s">
        <v>213</v>
      </c>
      <c r="G100" s="51" t="s">
        <v>35</v>
      </c>
      <c r="H100" s="51" t="s">
        <v>35</v>
      </c>
      <c r="I100" s="51" t="s">
        <v>35</v>
      </c>
      <c r="J100" s="106" t="s">
        <v>237</v>
      </c>
      <c r="K100" s="106"/>
      <c r="L100" s="106"/>
      <c r="M100" s="106"/>
      <c r="N100" s="106"/>
      <c r="O100" s="106"/>
      <c r="P100" s="106"/>
      <c r="Q100" s="106"/>
    </row>
    <row r="101" spans="2:17" x14ac:dyDescent="0.45">
      <c r="E101" s="40" t="s">
        <v>365</v>
      </c>
      <c r="G101" s="52" t="s">
        <v>366</v>
      </c>
      <c r="H101" s="52" t="s">
        <v>366</v>
      </c>
      <c r="I101" s="52" t="s">
        <v>366</v>
      </c>
      <c r="J101" s="103" t="s">
        <v>514</v>
      </c>
      <c r="K101" s="104"/>
      <c r="L101" s="104"/>
      <c r="M101" s="104"/>
      <c r="N101" s="104"/>
      <c r="O101" s="104"/>
      <c r="P101" s="104"/>
      <c r="Q101" s="105"/>
    </row>
    <row r="102" spans="2:17" x14ac:dyDescent="0.45">
      <c r="E102" s="40" t="s">
        <v>342</v>
      </c>
      <c r="F102" s="102" t="s">
        <v>171</v>
      </c>
      <c r="G102" s="102"/>
      <c r="H102" s="102"/>
      <c r="I102" s="102"/>
      <c r="J102" s="102"/>
      <c r="K102" s="102"/>
      <c r="L102" s="102"/>
      <c r="M102" s="102"/>
      <c r="N102" s="102"/>
      <c r="O102" s="102"/>
      <c r="P102" s="102"/>
      <c r="Q102" s="102"/>
    </row>
    <row r="103" spans="2:17" x14ac:dyDescent="0.45">
      <c r="E103" s="40" t="s">
        <v>345</v>
      </c>
      <c r="F103" s="102" t="s">
        <v>172</v>
      </c>
      <c r="G103" s="102"/>
      <c r="H103" s="102"/>
      <c r="I103" s="102"/>
      <c r="J103" s="102"/>
      <c r="K103" s="102"/>
      <c r="L103" s="102"/>
      <c r="M103" s="102"/>
      <c r="N103" s="102"/>
      <c r="O103" s="102"/>
      <c r="P103" s="102"/>
      <c r="Q103" s="102"/>
    </row>
    <row r="104" spans="2:17" ht="27" customHeight="1" x14ac:dyDescent="0.45">
      <c r="E104" s="40" t="s">
        <v>369</v>
      </c>
      <c r="F104" s="101" t="s">
        <v>515</v>
      </c>
      <c r="G104" s="101"/>
      <c r="H104" s="101"/>
      <c r="I104" s="101"/>
      <c r="J104" s="101"/>
      <c r="K104" s="101"/>
      <c r="L104" s="101"/>
      <c r="M104" s="101"/>
      <c r="N104" s="101"/>
      <c r="O104" s="101"/>
      <c r="P104" s="101"/>
      <c r="Q104" s="101"/>
    </row>
    <row r="106" spans="2:17" x14ac:dyDescent="0.45">
      <c r="B106" s="39" t="s">
        <v>349</v>
      </c>
      <c r="C106" s="39" t="s">
        <v>350</v>
      </c>
      <c r="E106" s="40"/>
      <c r="F106" s="40" t="s">
        <v>351</v>
      </c>
      <c r="G106" s="40" t="s">
        <v>352</v>
      </c>
      <c r="H106" s="40" t="s">
        <v>353</v>
      </c>
      <c r="I106" s="40" t="s">
        <v>354</v>
      </c>
      <c r="J106" s="40" t="s">
        <v>355</v>
      </c>
      <c r="K106" s="40" t="s">
        <v>356</v>
      </c>
      <c r="L106" s="40" t="s">
        <v>357</v>
      </c>
      <c r="M106" s="40" t="s">
        <v>358</v>
      </c>
      <c r="N106" s="40" t="s">
        <v>359</v>
      </c>
      <c r="O106" s="40" t="s">
        <v>360</v>
      </c>
      <c r="P106" s="40" t="s">
        <v>361</v>
      </c>
      <c r="Q106" s="40" t="s">
        <v>362</v>
      </c>
    </row>
    <row r="107" spans="2:17" ht="16.5" customHeight="1" x14ac:dyDescent="0.45">
      <c r="B107" s="32" t="s">
        <v>516</v>
      </c>
      <c r="C107" s="32" t="s">
        <v>239</v>
      </c>
      <c r="E107" s="40" t="s">
        <v>364</v>
      </c>
      <c r="F107" s="16" t="s">
        <v>213</v>
      </c>
      <c r="G107" s="51" t="s">
        <v>35</v>
      </c>
      <c r="H107" s="51" t="s">
        <v>35</v>
      </c>
      <c r="I107" s="51" t="s">
        <v>35</v>
      </c>
      <c r="J107" s="106" t="s">
        <v>237</v>
      </c>
      <c r="K107" s="106"/>
      <c r="L107" s="106"/>
      <c r="M107" s="106"/>
      <c r="N107" s="106"/>
      <c r="O107" s="106"/>
      <c r="P107" s="106"/>
      <c r="Q107" s="106"/>
    </row>
    <row r="108" spans="2:17" x14ac:dyDescent="0.45">
      <c r="E108" s="40" t="s">
        <v>365</v>
      </c>
      <c r="G108" s="52" t="s">
        <v>366</v>
      </c>
      <c r="H108" s="52" t="s">
        <v>366</v>
      </c>
      <c r="I108" s="52" t="s">
        <v>366</v>
      </c>
      <c r="J108" s="103" t="s">
        <v>514</v>
      </c>
      <c r="K108" s="104"/>
      <c r="L108" s="104"/>
      <c r="M108" s="104"/>
      <c r="N108" s="104"/>
      <c r="O108" s="104"/>
      <c r="P108" s="104"/>
      <c r="Q108" s="105"/>
    </row>
    <row r="109" spans="2:17" x14ac:dyDescent="0.45">
      <c r="E109" s="40" t="s">
        <v>342</v>
      </c>
      <c r="F109" s="102" t="s">
        <v>171</v>
      </c>
      <c r="G109" s="102"/>
      <c r="H109" s="102"/>
      <c r="I109" s="102"/>
      <c r="J109" s="102"/>
      <c r="K109" s="102"/>
      <c r="L109" s="102"/>
      <c r="M109" s="102"/>
      <c r="N109" s="102"/>
      <c r="O109" s="102"/>
      <c r="P109" s="102"/>
      <c r="Q109" s="102"/>
    </row>
    <row r="110" spans="2:17" x14ac:dyDescent="0.45">
      <c r="E110" s="40" t="s">
        <v>345</v>
      </c>
      <c r="F110" s="102" t="s">
        <v>172</v>
      </c>
      <c r="G110" s="102"/>
      <c r="H110" s="102"/>
      <c r="I110" s="102"/>
      <c r="J110" s="102"/>
      <c r="K110" s="102"/>
      <c r="L110" s="102"/>
      <c r="M110" s="102"/>
      <c r="N110" s="102"/>
      <c r="O110" s="102"/>
      <c r="P110" s="102"/>
      <c r="Q110" s="102"/>
    </row>
    <row r="111" spans="2:17" x14ac:dyDescent="0.45">
      <c r="B111" s="36"/>
      <c r="E111" s="40" t="s">
        <v>369</v>
      </c>
      <c r="F111" s="101" t="s">
        <v>517</v>
      </c>
      <c r="G111" s="101"/>
      <c r="H111" s="101"/>
      <c r="I111" s="101"/>
      <c r="J111" s="101"/>
      <c r="K111" s="101"/>
      <c r="L111" s="101"/>
      <c r="M111" s="101"/>
      <c r="N111" s="101"/>
      <c r="O111" s="101"/>
      <c r="P111" s="101"/>
      <c r="Q111" s="101"/>
    </row>
    <row r="113" spans="2:17" x14ac:dyDescent="0.45">
      <c r="B113" s="39" t="s">
        <v>349</v>
      </c>
      <c r="C113" s="39" t="s">
        <v>350</v>
      </c>
      <c r="E113" s="40"/>
      <c r="F113" s="40" t="s">
        <v>351</v>
      </c>
      <c r="G113" s="40" t="s">
        <v>352</v>
      </c>
      <c r="H113" s="40" t="s">
        <v>353</v>
      </c>
      <c r="I113" s="40" t="s">
        <v>354</v>
      </c>
      <c r="J113" s="40" t="s">
        <v>355</v>
      </c>
      <c r="K113" s="40" t="s">
        <v>356</v>
      </c>
      <c r="L113" s="40" t="s">
        <v>357</v>
      </c>
      <c r="M113" s="40" t="s">
        <v>358</v>
      </c>
      <c r="N113" s="40" t="s">
        <v>359</v>
      </c>
      <c r="O113" s="40" t="s">
        <v>360</v>
      </c>
      <c r="P113" s="40" t="s">
        <v>361</v>
      </c>
      <c r="Q113" s="40" t="s">
        <v>362</v>
      </c>
    </row>
    <row r="114" spans="2:17" ht="17" customHeight="1" x14ac:dyDescent="0.45">
      <c r="B114" s="32" t="s">
        <v>518</v>
      </c>
      <c r="C114" s="32" t="s">
        <v>242</v>
      </c>
      <c r="E114" s="40" t="s">
        <v>364</v>
      </c>
      <c r="F114" s="16" t="s">
        <v>213</v>
      </c>
      <c r="G114" s="51" t="s">
        <v>35</v>
      </c>
      <c r="H114" s="51" t="s">
        <v>35</v>
      </c>
      <c r="I114" s="51" t="s">
        <v>35</v>
      </c>
      <c r="J114" s="106" t="s">
        <v>237</v>
      </c>
      <c r="K114" s="106"/>
      <c r="L114" s="106"/>
      <c r="M114" s="106"/>
      <c r="N114" s="106"/>
      <c r="O114" s="106"/>
      <c r="P114" s="106"/>
      <c r="Q114" s="106"/>
    </row>
    <row r="115" spans="2:17" x14ac:dyDescent="0.45">
      <c r="E115" s="40" t="s">
        <v>365</v>
      </c>
      <c r="G115" s="52" t="s">
        <v>366</v>
      </c>
      <c r="H115" s="52" t="s">
        <v>366</v>
      </c>
      <c r="I115" s="52" t="s">
        <v>366</v>
      </c>
      <c r="J115" s="103" t="s">
        <v>514</v>
      </c>
      <c r="K115" s="104"/>
      <c r="L115" s="104"/>
      <c r="M115" s="104"/>
      <c r="N115" s="104"/>
      <c r="O115" s="104"/>
      <c r="P115" s="104"/>
      <c r="Q115" s="105"/>
    </row>
    <row r="116" spans="2:17" x14ac:dyDescent="0.45">
      <c r="E116" s="40" t="s">
        <v>342</v>
      </c>
      <c r="F116" s="102" t="s">
        <v>171</v>
      </c>
      <c r="G116" s="102"/>
      <c r="H116" s="102"/>
      <c r="I116" s="102"/>
      <c r="J116" s="102"/>
      <c r="K116" s="102"/>
      <c r="L116" s="102"/>
      <c r="M116" s="102"/>
      <c r="N116" s="102"/>
      <c r="O116" s="102"/>
      <c r="P116" s="102"/>
      <c r="Q116" s="102"/>
    </row>
    <row r="117" spans="2:17" x14ac:dyDescent="0.45">
      <c r="E117" s="40" t="s">
        <v>345</v>
      </c>
      <c r="F117" s="102" t="s">
        <v>172</v>
      </c>
      <c r="G117" s="102"/>
      <c r="H117" s="102"/>
      <c r="I117" s="102"/>
      <c r="J117" s="102"/>
      <c r="K117" s="102"/>
      <c r="L117" s="102"/>
      <c r="M117" s="102"/>
      <c r="N117" s="102"/>
      <c r="O117" s="102"/>
      <c r="P117" s="102"/>
      <c r="Q117" s="102"/>
    </row>
    <row r="118" spans="2:17" ht="17.25" customHeight="1" x14ac:dyDescent="0.45">
      <c r="E118" s="40" t="s">
        <v>369</v>
      </c>
      <c r="F118" s="101" t="s">
        <v>517</v>
      </c>
      <c r="G118" s="101"/>
      <c r="H118" s="101"/>
      <c r="I118" s="101"/>
      <c r="J118" s="101"/>
      <c r="K118" s="101"/>
      <c r="L118" s="101"/>
      <c r="M118" s="101"/>
      <c r="N118" s="101"/>
      <c r="O118" s="101"/>
      <c r="P118" s="101"/>
      <c r="Q118" s="101"/>
    </row>
    <row r="120" spans="2:17" x14ac:dyDescent="0.45">
      <c r="B120" s="39" t="s">
        <v>349</v>
      </c>
      <c r="C120" s="39" t="s">
        <v>350</v>
      </c>
      <c r="E120" s="40"/>
      <c r="F120" s="40" t="s">
        <v>351</v>
      </c>
      <c r="G120" s="40" t="s">
        <v>352</v>
      </c>
      <c r="H120" s="40" t="s">
        <v>353</v>
      </c>
      <c r="I120" s="40" t="s">
        <v>354</v>
      </c>
      <c r="J120" s="40" t="s">
        <v>355</v>
      </c>
      <c r="K120" s="40" t="s">
        <v>356</v>
      </c>
      <c r="L120" s="40" t="s">
        <v>357</v>
      </c>
      <c r="M120" s="40" t="s">
        <v>358</v>
      </c>
      <c r="N120" s="40" t="s">
        <v>359</v>
      </c>
      <c r="O120" s="40" t="s">
        <v>360</v>
      </c>
      <c r="P120" s="40" t="s">
        <v>361</v>
      </c>
      <c r="Q120" s="40" t="s">
        <v>362</v>
      </c>
    </row>
    <row r="121" spans="2:17" ht="17.25" customHeight="1" x14ac:dyDescent="0.45">
      <c r="B121" s="32" t="s">
        <v>519</v>
      </c>
      <c r="C121" s="32" t="s">
        <v>245</v>
      </c>
      <c r="E121" s="40" t="s">
        <v>364</v>
      </c>
      <c r="F121" s="16" t="s">
        <v>520</v>
      </c>
      <c r="G121" s="51" t="s">
        <v>35</v>
      </c>
      <c r="H121" s="106" t="s">
        <v>247</v>
      </c>
      <c r="I121" s="106"/>
      <c r="J121" s="106"/>
      <c r="K121" s="106"/>
      <c r="L121" s="106"/>
      <c r="M121" s="106"/>
      <c r="N121" s="106"/>
      <c r="O121" s="106"/>
      <c r="P121" s="106"/>
      <c r="Q121" s="106"/>
    </row>
    <row r="122" spans="2:17" x14ac:dyDescent="0.45">
      <c r="B122" s="36"/>
      <c r="E122" s="40" t="s">
        <v>365</v>
      </c>
      <c r="G122" s="52" t="s">
        <v>366</v>
      </c>
      <c r="H122" s="103" t="s">
        <v>376</v>
      </c>
      <c r="I122" s="104"/>
      <c r="J122" s="104"/>
      <c r="K122" s="104"/>
      <c r="L122" s="104"/>
      <c r="M122" s="104"/>
      <c r="N122" s="104"/>
      <c r="O122" s="104"/>
      <c r="P122" s="104"/>
      <c r="Q122" s="105"/>
    </row>
    <row r="123" spans="2:17" x14ac:dyDescent="0.45">
      <c r="B123" s="36"/>
      <c r="E123" s="40" t="s">
        <v>342</v>
      </c>
      <c r="F123" s="102" t="s">
        <v>171</v>
      </c>
      <c r="G123" s="102"/>
      <c r="H123" s="102"/>
      <c r="I123" s="102"/>
      <c r="J123" s="102"/>
      <c r="K123" s="102"/>
      <c r="L123" s="102"/>
      <c r="M123" s="102"/>
      <c r="N123" s="102"/>
      <c r="O123" s="102"/>
      <c r="P123" s="102"/>
      <c r="Q123" s="102"/>
    </row>
    <row r="124" spans="2:17" x14ac:dyDescent="0.45">
      <c r="B124" s="36"/>
      <c r="E124" s="40" t="s">
        <v>345</v>
      </c>
      <c r="F124" s="102" t="s">
        <v>172</v>
      </c>
      <c r="G124" s="102"/>
      <c r="H124" s="102"/>
      <c r="I124" s="102"/>
      <c r="J124" s="102"/>
      <c r="K124" s="102"/>
      <c r="L124" s="102"/>
      <c r="M124" s="102"/>
      <c r="N124" s="102"/>
      <c r="O124" s="102"/>
      <c r="P124" s="102"/>
      <c r="Q124" s="102"/>
    </row>
    <row r="125" spans="2:17" ht="17.25" customHeight="1" x14ac:dyDescent="0.45">
      <c r="B125" s="36"/>
      <c r="E125" s="40" t="s">
        <v>369</v>
      </c>
      <c r="F125" s="101" t="s">
        <v>517</v>
      </c>
      <c r="G125" s="101"/>
      <c r="H125" s="101"/>
      <c r="I125" s="101"/>
      <c r="J125" s="101"/>
      <c r="K125" s="101"/>
      <c r="L125" s="101"/>
      <c r="M125" s="101"/>
      <c r="N125" s="101"/>
      <c r="O125" s="101"/>
      <c r="P125" s="101"/>
      <c r="Q125" s="101"/>
    </row>
    <row r="127" spans="2:17" x14ac:dyDescent="0.45">
      <c r="B127" s="39" t="s">
        <v>349</v>
      </c>
      <c r="C127" s="39" t="s">
        <v>350</v>
      </c>
      <c r="E127" s="40"/>
      <c r="F127" s="40" t="s">
        <v>351</v>
      </c>
      <c r="G127" s="40" t="s">
        <v>352</v>
      </c>
      <c r="H127" s="40" t="s">
        <v>353</v>
      </c>
      <c r="I127" s="40" t="s">
        <v>354</v>
      </c>
      <c r="J127" s="40" t="s">
        <v>355</v>
      </c>
      <c r="K127" s="40" t="s">
        <v>356</v>
      </c>
      <c r="L127" s="40" t="s">
        <v>357</v>
      </c>
      <c r="M127" s="40" t="s">
        <v>358</v>
      </c>
      <c r="N127" s="40" t="s">
        <v>359</v>
      </c>
      <c r="O127" s="40" t="s">
        <v>360</v>
      </c>
      <c r="P127" s="40" t="s">
        <v>361</v>
      </c>
      <c r="Q127" s="40" t="s">
        <v>362</v>
      </c>
    </row>
    <row r="128" spans="2:17" ht="16.5" customHeight="1" x14ac:dyDescent="0.45">
      <c r="B128" s="32" t="s">
        <v>521</v>
      </c>
      <c r="C128" s="32" t="s">
        <v>248</v>
      </c>
      <c r="E128" s="40" t="s">
        <v>364</v>
      </c>
      <c r="F128" s="16" t="s">
        <v>520</v>
      </c>
      <c r="G128" s="51" t="s">
        <v>35</v>
      </c>
      <c r="H128" s="106" t="s">
        <v>250</v>
      </c>
      <c r="I128" s="106"/>
      <c r="J128" s="106"/>
      <c r="K128" s="106"/>
      <c r="L128" s="106"/>
      <c r="M128" s="106"/>
      <c r="N128" s="106"/>
      <c r="O128" s="106"/>
      <c r="P128" s="106"/>
      <c r="Q128" s="106"/>
    </row>
    <row r="129" spans="2:17" x14ac:dyDescent="0.45">
      <c r="E129" s="40" t="s">
        <v>365</v>
      </c>
      <c r="G129" s="52" t="s">
        <v>366</v>
      </c>
      <c r="H129" s="103" t="s">
        <v>376</v>
      </c>
      <c r="I129" s="104"/>
      <c r="J129" s="104"/>
      <c r="K129" s="104"/>
      <c r="L129" s="104"/>
      <c r="M129" s="104"/>
      <c r="N129" s="104"/>
      <c r="O129" s="104"/>
      <c r="P129" s="104"/>
      <c r="Q129" s="105"/>
    </row>
    <row r="130" spans="2:17" x14ac:dyDescent="0.45">
      <c r="E130" s="40" t="s">
        <v>342</v>
      </c>
      <c r="F130" s="102" t="s">
        <v>171</v>
      </c>
      <c r="G130" s="102"/>
      <c r="H130" s="102"/>
      <c r="I130" s="102"/>
      <c r="J130" s="102"/>
      <c r="K130" s="102"/>
      <c r="L130" s="102"/>
      <c r="M130" s="102"/>
      <c r="N130" s="102"/>
      <c r="O130" s="102"/>
      <c r="P130" s="102"/>
      <c r="Q130" s="102"/>
    </row>
    <row r="131" spans="2:17" x14ac:dyDescent="0.45">
      <c r="E131" s="40" t="s">
        <v>345</v>
      </c>
      <c r="F131" s="102" t="s">
        <v>172</v>
      </c>
      <c r="G131" s="102"/>
      <c r="H131" s="102"/>
      <c r="I131" s="102"/>
      <c r="J131" s="102"/>
      <c r="K131" s="102"/>
      <c r="L131" s="102"/>
      <c r="M131" s="102"/>
      <c r="N131" s="102"/>
      <c r="O131" s="102"/>
      <c r="P131" s="102"/>
      <c r="Q131" s="102"/>
    </row>
    <row r="132" spans="2:17" ht="17.25" customHeight="1" x14ac:dyDescent="0.45">
      <c r="E132" s="40" t="s">
        <v>369</v>
      </c>
      <c r="F132" s="101" t="s">
        <v>517</v>
      </c>
      <c r="G132" s="101"/>
      <c r="H132" s="101"/>
      <c r="I132" s="101"/>
      <c r="J132" s="101"/>
      <c r="K132" s="101"/>
      <c r="L132" s="101"/>
      <c r="M132" s="101"/>
      <c r="N132" s="101"/>
      <c r="O132" s="101"/>
      <c r="P132" s="101"/>
      <c r="Q132" s="101"/>
    </row>
    <row r="133" spans="2:17" ht="17.25" customHeight="1" x14ac:dyDescent="0.45">
      <c r="D133" s="38"/>
      <c r="E133" s="38"/>
      <c r="F133" s="38"/>
      <c r="G133" s="38"/>
      <c r="H133" s="38"/>
      <c r="I133" s="38"/>
      <c r="J133" s="38"/>
      <c r="K133" s="38"/>
      <c r="L133" s="38"/>
      <c r="M133" s="38"/>
      <c r="N133" s="38"/>
      <c r="O133" s="38"/>
      <c r="P133" s="38"/>
      <c r="Q133" s="38"/>
    </row>
    <row r="134" spans="2:17" ht="17.25" customHeight="1" x14ac:dyDescent="0.45">
      <c r="B134" s="46" t="s">
        <v>522</v>
      </c>
      <c r="C134" s="47"/>
      <c r="D134" s="48"/>
      <c r="E134" s="49"/>
      <c r="F134" s="50"/>
      <c r="G134" s="50"/>
      <c r="H134" s="50"/>
      <c r="I134" s="50"/>
      <c r="J134" s="50"/>
      <c r="K134" s="50"/>
      <c r="L134" s="50"/>
      <c r="M134" s="50"/>
      <c r="N134" s="50"/>
      <c r="O134" s="50"/>
      <c r="P134" s="50"/>
      <c r="Q134" s="50"/>
    </row>
    <row r="135" spans="2:17" x14ac:dyDescent="0.45">
      <c r="B135" s="39" t="s">
        <v>349</v>
      </c>
      <c r="C135" s="39" t="s">
        <v>350</v>
      </c>
      <c r="E135" s="40"/>
      <c r="F135" s="40" t="s">
        <v>351</v>
      </c>
      <c r="G135" s="40" t="s">
        <v>352</v>
      </c>
      <c r="H135" s="40" t="s">
        <v>353</v>
      </c>
      <c r="I135" s="40" t="s">
        <v>354</v>
      </c>
      <c r="J135" s="40" t="s">
        <v>355</v>
      </c>
      <c r="K135" s="40" t="s">
        <v>356</v>
      </c>
      <c r="L135" s="40" t="s">
        <v>357</v>
      </c>
      <c r="M135" s="40" t="s">
        <v>358</v>
      </c>
      <c r="N135" s="40" t="s">
        <v>359</v>
      </c>
      <c r="O135" s="40" t="s">
        <v>360</v>
      </c>
      <c r="P135" s="40" t="s">
        <v>361</v>
      </c>
      <c r="Q135" s="40" t="s">
        <v>362</v>
      </c>
    </row>
    <row r="136" spans="2:17" x14ac:dyDescent="0.45">
      <c r="B136" s="32" t="s">
        <v>523</v>
      </c>
      <c r="C136" s="32" t="s">
        <v>253</v>
      </c>
      <c r="E136" s="40" t="s">
        <v>364</v>
      </c>
      <c r="F136" s="106" t="s">
        <v>255</v>
      </c>
      <c r="G136" s="106"/>
      <c r="H136" s="106"/>
      <c r="I136" s="106"/>
      <c r="J136" s="106"/>
      <c r="K136" s="106"/>
      <c r="L136" s="106"/>
      <c r="M136" s="106"/>
      <c r="N136" s="106"/>
      <c r="O136" s="106"/>
      <c r="P136" s="106"/>
      <c r="Q136" s="106"/>
    </row>
    <row r="137" spans="2:17" x14ac:dyDescent="0.45">
      <c r="E137" s="40" t="s">
        <v>365</v>
      </c>
      <c r="F137" s="103" t="s">
        <v>376</v>
      </c>
      <c r="G137" s="104"/>
      <c r="H137" s="104"/>
      <c r="I137" s="104"/>
      <c r="J137" s="104"/>
      <c r="K137" s="104"/>
      <c r="L137" s="104"/>
      <c r="M137" s="104"/>
      <c r="N137" s="104"/>
      <c r="O137" s="104"/>
      <c r="P137" s="104"/>
      <c r="Q137" s="105"/>
    </row>
    <row r="138" spans="2:17" x14ac:dyDescent="0.45">
      <c r="E138" s="40" t="s">
        <v>342</v>
      </c>
      <c r="F138" s="102" t="s">
        <v>171</v>
      </c>
      <c r="G138" s="102"/>
      <c r="H138" s="102"/>
      <c r="I138" s="102"/>
      <c r="J138" s="102"/>
      <c r="K138" s="102"/>
      <c r="L138" s="102"/>
      <c r="M138" s="102"/>
      <c r="N138" s="102"/>
      <c r="O138" s="102"/>
      <c r="P138" s="102"/>
      <c r="Q138" s="102"/>
    </row>
    <row r="139" spans="2:17" x14ac:dyDescent="0.45">
      <c r="E139" s="40" t="s">
        <v>345</v>
      </c>
      <c r="F139" s="102" t="s">
        <v>172</v>
      </c>
      <c r="G139" s="102"/>
      <c r="H139" s="102"/>
      <c r="I139" s="102"/>
      <c r="J139" s="102"/>
      <c r="K139" s="102"/>
      <c r="L139" s="102"/>
      <c r="M139" s="102"/>
      <c r="N139" s="102"/>
      <c r="O139" s="102"/>
      <c r="P139" s="102"/>
      <c r="Q139" s="102"/>
    </row>
    <row r="140" spans="2:17" x14ac:dyDescent="0.45">
      <c r="E140" s="40" t="s">
        <v>369</v>
      </c>
      <c r="F140" s="101" t="s">
        <v>517</v>
      </c>
      <c r="G140" s="101"/>
      <c r="H140" s="101"/>
      <c r="I140" s="101"/>
      <c r="J140" s="101"/>
      <c r="K140" s="101"/>
      <c r="L140" s="101"/>
      <c r="M140" s="101"/>
      <c r="N140" s="101"/>
      <c r="O140" s="101"/>
      <c r="P140" s="101"/>
      <c r="Q140" s="101"/>
    </row>
    <row r="142" spans="2:17" x14ac:dyDescent="0.45">
      <c r="B142" s="39" t="s">
        <v>349</v>
      </c>
      <c r="C142" s="39" t="s">
        <v>350</v>
      </c>
      <c r="E142" s="40"/>
      <c r="F142" s="40" t="s">
        <v>351</v>
      </c>
      <c r="G142" s="40" t="s">
        <v>352</v>
      </c>
      <c r="H142" s="40" t="s">
        <v>353</v>
      </c>
      <c r="I142" s="40" t="s">
        <v>354</v>
      </c>
      <c r="J142" s="40" t="s">
        <v>355</v>
      </c>
      <c r="K142" s="40" t="s">
        <v>356</v>
      </c>
      <c r="L142" s="40" t="s">
        <v>357</v>
      </c>
      <c r="M142" s="40" t="s">
        <v>358</v>
      </c>
      <c r="N142" s="40" t="s">
        <v>359</v>
      </c>
      <c r="O142" s="40" t="s">
        <v>360</v>
      </c>
      <c r="P142" s="40" t="s">
        <v>361</v>
      </c>
      <c r="Q142" s="40" t="s">
        <v>362</v>
      </c>
    </row>
    <row r="143" spans="2:17" x14ac:dyDescent="0.45">
      <c r="B143" s="32" t="s">
        <v>524</v>
      </c>
      <c r="C143" s="32" t="s">
        <v>525</v>
      </c>
      <c r="E143" s="40" t="s">
        <v>364</v>
      </c>
      <c r="F143" s="106" t="s">
        <v>258</v>
      </c>
      <c r="G143" s="106"/>
      <c r="H143" s="106"/>
      <c r="I143" s="106"/>
      <c r="J143" s="106"/>
      <c r="K143" s="106"/>
      <c r="L143" s="106"/>
      <c r="M143" s="106"/>
      <c r="N143" s="106"/>
      <c r="O143" s="106"/>
      <c r="P143" s="106"/>
      <c r="Q143" s="106"/>
    </row>
    <row r="144" spans="2:17" x14ac:dyDescent="0.45">
      <c r="E144" s="40" t="s">
        <v>365</v>
      </c>
      <c r="F144" s="103" t="s">
        <v>376</v>
      </c>
      <c r="G144" s="104"/>
      <c r="H144" s="104"/>
      <c r="I144" s="104"/>
      <c r="J144" s="104"/>
      <c r="K144" s="104"/>
      <c r="L144" s="104"/>
      <c r="M144" s="104"/>
      <c r="N144" s="104"/>
      <c r="O144" s="104"/>
      <c r="P144" s="104"/>
      <c r="Q144" s="105"/>
    </row>
    <row r="145" spans="2:17" x14ac:dyDescent="0.45">
      <c r="E145" s="40" t="s">
        <v>342</v>
      </c>
      <c r="F145" s="102" t="s">
        <v>171</v>
      </c>
      <c r="G145" s="102"/>
      <c r="H145" s="102"/>
      <c r="I145" s="102"/>
      <c r="J145" s="102"/>
      <c r="K145" s="102"/>
      <c r="L145" s="102"/>
      <c r="M145" s="102"/>
      <c r="N145" s="102"/>
      <c r="O145" s="102"/>
      <c r="P145" s="102"/>
      <c r="Q145" s="102"/>
    </row>
    <row r="146" spans="2:17" x14ac:dyDescent="0.45">
      <c r="E146" s="40" t="s">
        <v>345</v>
      </c>
      <c r="F146" s="102" t="s">
        <v>172</v>
      </c>
      <c r="G146" s="102"/>
      <c r="H146" s="102"/>
      <c r="I146" s="102"/>
      <c r="J146" s="102"/>
      <c r="K146" s="102"/>
      <c r="L146" s="102"/>
      <c r="M146" s="102"/>
      <c r="N146" s="102"/>
      <c r="O146" s="102"/>
      <c r="P146" s="102"/>
      <c r="Q146" s="102"/>
    </row>
    <row r="147" spans="2:17" ht="17.25" customHeight="1" x14ac:dyDescent="0.45">
      <c r="E147" s="40" t="s">
        <v>369</v>
      </c>
      <c r="F147" s="101" t="s">
        <v>517</v>
      </c>
      <c r="G147" s="101"/>
      <c r="H147" s="101"/>
      <c r="I147" s="101"/>
      <c r="J147" s="101"/>
      <c r="K147" s="101"/>
      <c r="L147" s="101"/>
      <c r="M147" s="101"/>
      <c r="N147" s="101"/>
      <c r="O147" s="101"/>
      <c r="P147" s="101"/>
      <c r="Q147" s="101"/>
    </row>
    <row r="149" spans="2:17" x14ac:dyDescent="0.45">
      <c r="B149" s="39" t="s">
        <v>349</v>
      </c>
      <c r="C149" s="39" t="s">
        <v>350</v>
      </c>
      <c r="E149" s="40"/>
      <c r="F149" s="40" t="s">
        <v>351</v>
      </c>
      <c r="G149" s="40" t="s">
        <v>352</v>
      </c>
      <c r="H149" s="40" t="s">
        <v>353</v>
      </c>
      <c r="I149" s="40" t="s">
        <v>354</v>
      </c>
      <c r="J149" s="40" t="s">
        <v>355</v>
      </c>
      <c r="K149" s="40" t="s">
        <v>356</v>
      </c>
      <c r="L149" s="40" t="s">
        <v>357</v>
      </c>
      <c r="M149" s="40" t="s">
        <v>358</v>
      </c>
      <c r="N149" s="40" t="s">
        <v>359</v>
      </c>
      <c r="O149" s="40" t="s">
        <v>360</v>
      </c>
      <c r="P149" s="40" t="s">
        <v>361</v>
      </c>
      <c r="Q149" s="40" t="s">
        <v>362</v>
      </c>
    </row>
    <row r="150" spans="2:17" ht="16.5" customHeight="1" x14ac:dyDescent="0.45">
      <c r="B150" s="32" t="s">
        <v>526</v>
      </c>
      <c r="C150" s="32" t="s">
        <v>527</v>
      </c>
      <c r="E150" s="40" t="s">
        <v>364</v>
      </c>
      <c r="F150" s="106" t="s">
        <v>261</v>
      </c>
      <c r="G150" s="106"/>
      <c r="H150" s="106"/>
      <c r="I150" s="106"/>
      <c r="J150" s="106"/>
      <c r="K150" s="106"/>
      <c r="L150" s="106"/>
      <c r="M150" s="106"/>
      <c r="N150" s="106"/>
      <c r="O150" s="106"/>
      <c r="P150" s="106"/>
      <c r="Q150" s="106"/>
    </row>
    <row r="151" spans="2:17" x14ac:dyDescent="0.45">
      <c r="B151" s="36"/>
      <c r="E151" s="40" t="s">
        <v>365</v>
      </c>
      <c r="F151" s="103" t="s">
        <v>376</v>
      </c>
      <c r="G151" s="104"/>
      <c r="H151" s="104"/>
      <c r="I151" s="104"/>
      <c r="J151" s="104"/>
      <c r="K151" s="104"/>
      <c r="L151" s="104"/>
      <c r="M151" s="104"/>
      <c r="N151" s="104"/>
      <c r="O151" s="104"/>
      <c r="P151" s="104"/>
      <c r="Q151" s="105"/>
    </row>
    <row r="152" spans="2:17" x14ac:dyDescent="0.45">
      <c r="B152" s="36"/>
      <c r="E152" s="40" t="s">
        <v>342</v>
      </c>
      <c r="F152" s="102" t="s">
        <v>171</v>
      </c>
      <c r="G152" s="102"/>
      <c r="H152" s="102"/>
      <c r="I152" s="102"/>
      <c r="J152" s="102"/>
      <c r="K152" s="102"/>
      <c r="L152" s="102"/>
      <c r="M152" s="102"/>
      <c r="N152" s="102"/>
      <c r="O152" s="102"/>
      <c r="P152" s="102"/>
      <c r="Q152" s="102"/>
    </row>
    <row r="153" spans="2:17" x14ac:dyDescent="0.45">
      <c r="B153" s="36"/>
      <c r="E153" s="40" t="s">
        <v>345</v>
      </c>
      <c r="F153" s="102" t="s">
        <v>172</v>
      </c>
      <c r="G153" s="102"/>
      <c r="H153" s="102"/>
      <c r="I153" s="102"/>
      <c r="J153" s="102"/>
      <c r="K153" s="102"/>
      <c r="L153" s="102"/>
      <c r="M153" s="102"/>
      <c r="N153" s="102"/>
      <c r="O153" s="102"/>
      <c r="P153" s="102"/>
      <c r="Q153" s="102"/>
    </row>
    <row r="154" spans="2:17" x14ac:dyDescent="0.45">
      <c r="B154" s="36"/>
      <c r="E154" s="40" t="s">
        <v>369</v>
      </c>
      <c r="F154" s="101" t="s">
        <v>517</v>
      </c>
      <c r="G154" s="101"/>
      <c r="H154" s="101"/>
      <c r="I154" s="101"/>
      <c r="J154" s="101"/>
      <c r="K154" s="101"/>
      <c r="L154" s="101"/>
      <c r="M154" s="101"/>
      <c r="N154" s="101"/>
      <c r="O154" s="101"/>
      <c r="P154" s="101"/>
      <c r="Q154" s="101"/>
    </row>
    <row r="156" spans="2:17" x14ac:dyDescent="0.45">
      <c r="B156" s="39" t="s">
        <v>349</v>
      </c>
      <c r="C156" s="39" t="s">
        <v>350</v>
      </c>
      <c r="E156" s="40"/>
      <c r="F156" s="40" t="s">
        <v>351</v>
      </c>
      <c r="G156" s="40" t="s">
        <v>352</v>
      </c>
      <c r="H156" s="40" t="s">
        <v>353</v>
      </c>
      <c r="I156" s="40" t="s">
        <v>354</v>
      </c>
      <c r="J156" s="40" t="s">
        <v>355</v>
      </c>
      <c r="K156" s="40" t="s">
        <v>356</v>
      </c>
      <c r="L156" s="40" t="s">
        <v>357</v>
      </c>
      <c r="M156" s="40" t="s">
        <v>358</v>
      </c>
      <c r="N156" s="40" t="s">
        <v>359</v>
      </c>
      <c r="O156" s="40" t="s">
        <v>360</v>
      </c>
      <c r="P156" s="40" t="s">
        <v>361</v>
      </c>
      <c r="Q156" s="40" t="s">
        <v>362</v>
      </c>
    </row>
    <row r="157" spans="2:17" x14ac:dyDescent="0.45">
      <c r="B157" s="32" t="s">
        <v>528</v>
      </c>
      <c r="C157" s="32" t="s">
        <v>529</v>
      </c>
      <c r="E157" s="40" t="s">
        <v>364</v>
      </c>
      <c r="F157" s="51" t="s">
        <v>35</v>
      </c>
      <c r="G157" s="51" t="s">
        <v>35</v>
      </c>
      <c r="H157" s="51" t="s">
        <v>35</v>
      </c>
      <c r="I157" s="51" t="s">
        <v>35</v>
      </c>
      <c r="J157" s="106" t="s">
        <v>264</v>
      </c>
      <c r="K157" s="106"/>
      <c r="L157" s="106"/>
      <c r="M157" s="106"/>
      <c r="N157" s="106"/>
      <c r="O157" s="106"/>
      <c r="P157" s="106"/>
      <c r="Q157" s="106"/>
    </row>
    <row r="158" spans="2:17" x14ac:dyDescent="0.45">
      <c r="E158" s="40" t="s">
        <v>365</v>
      </c>
      <c r="F158" s="52" t="s">
        <v>366</v>
      </c>
      <c r="G158" s="52" t="s">
        <v>366</v>
      </c>
      <c r="H158" s="52" t="s">
        <v>366</v>
      </c>
      <c r="I158" s="52" t="s">
        <v>366</v>
      </c>
      <c r="J158" s="103" t="s">
        <v>376</v>
      </c>
      <c r="K158" s="104"/>
      <c r="L158" s="104"/>
      <c r="M158" s="104"/>
      <c r="N158" s="104"/>
      <c r="O158" s="104"/>
      <c r="P158" s="104"/>
      <c r="Q158" s="105"/>
    </row>
    <row r="159" spans="2:17" x14ac:dyDescent="0.45">
      <c r="E159" s="40" t="s">
        <v>342</v>
      </c>
      <c r="F159" s="102" t="s">
        <v>171</v>
      </c>
      <c r="G159" s="102"/>
      <c r="H159" s="102"/>
      <c r="I159" s="102"/>
      <c r="J159" s="102"/>
      <c r="K159" s="102"/>
      <c r="L159" s="102"/>
      <c r="M159" s="102"/>
      <c r="N159" s="102"/>
      <c r="O159" s="102"/>
      <c r="P159" s="102"/>
      <c r="Q159" s="102"/>
    </row>
    <row r="160" spans="2:17" x14ac:dyDescent="0.45">
      <c r="E160" s="40" t="s">
        <v>345</v>
      </c>
      <c r="F160" s="102" t="s">
        <v>172</v>
      </c>
      <c r="G160" s="102"/>
      <c r="H160" s="102"/>
      <c r="I160" s="102"/>
      <c r="J160" s="102"/>
      <c r="K160" s="102"/>
      <c r="L160" s="102"/>
      <c r="M160" s="102"/>
      <c r="N160" s="102"/>
      <c r="O160" s="102"/>
      <c r="P160" s="102"/>
      <c r="Q160" s="102"/>
    </row>
    <row r="161" spans="2:17" ht="17.25" customHeight="1" x14ac:dyDescent="0.45">
      <c r="E161" s="40" t="s">
        <v>369</v>
      </c>
      <c r="F161" s="101" t="s">
        <v>517</v>
      </c>
      <c r="G161" s="101"/>
      <c r="H161" s="101"/>
      <c r="I161" s="101"/>
      <c r="J161" s="101"/>
      <c r="K161" s="101"/>
      <c r="L161" s="101"/>
      <c r="M161" s="101"/>
      <c r="N161" s="101"/>
      <c r="O161" s="101"/>
      <c r="P161" s="101"/>
      <c r="Q161" s="101"/>
    </row>
    <row r="163" spans="2:17" x14ac:dyDescent="0.45">
      <c r="B163" s="39" t="s">
        <v>349</v>
      </c>
      <c r="C163" s="39" t="s">
        <v>350</v>
      </c>
      <c r="E163" s="40"/>
      <c r="F163" s="40" t="s">
        <v>351</v>
      </c>
      <c r="G163" s="40" t="s">
        <v>352</v>
      </c>
      <c r="H163" s="40" t="s">
        <v>353</v>
      </c>
      <c r="I163" s="40" t="s">
        <v>354</v>
      </c>
      <c r="J163" s="40" t="s">
        <v>355</v>
      </c>
      <c r="K163" s="40" t="s">
        <v>356</v>
      </c>
      <c r="L163" s="40" t="s">
        <v>357</v>
      </c>
      <c r="M163" s="40" t="s">
        <v>358</v>
      </c>
      <c r="N163" s="40" t="s">
        <v>359</v>
      </c>
      <c r="O163" s="40" t="s">
        <v>360</v>
      </c>
      <c r="P163" s="40" t="s">
        <v>361</v>
      </c>
      <c r="Q163" s="40" t="s">
        <v>362</v>
      </c>
    </row>
    <row r="164" spans="2:17" x14ac:dyDescent="0.45">
      <c r="B164" s="32" t="s">
        <v>530</v>
      </c>
      <c r="C164" s="32" t="s">
        <v>265</v>
      </c>
      <c r="E164" s="40" t="s">
        <v>364</v>
      </c>
      <c r="F164" s="51" t="s">
        <v>35</v>
      </c>
      <c r="G164" s="51" t="s">
        <v>35</v>
      </c>
      <c r="H164" s="51" t="s">
        <v>35</v>
      </c>
      <c r="I164" s="51" t="s">
        <v>35</v>
      </c>
      <c r="J164" s="51" t="s">
        <v>35</v>
      </c>
      <c r="K164" s="51" t="s">
        <v>35</v>
      </c>
      <c r="L164" s="51" t="s">
        <v>35</v>
      </c>
      <c r="M164" s="51" t="s">
        <v>35</v>
      </c>
      <c r="N164" s="51" t="s">
        <v>35</v>
      </c>
      <c r="O164" s="51" t="s">
        <v>35</v>
      </c>
      <c r="P164" s="51" t="s">
        <v>35</v>
      </c>
      <c r="Q164" s="51" t="s">
        <v>35</v>
      </c>
    </row>
    <row r="165" spans="2:17" x14ac:dyDescent="0.45">
      <c r="C165" s="36"/>
      <c r="E165" s="40" t="s">
        <v>365</v>
      </c>
      <c r="F165" s="43" t="s">
        <v>366</v>
      </c>
      <c r="G165" s="44" t="s">
        <v>366</v>
      </c>
      <c r="H165" s="44" t="s">
        <v>366</v>
      </c>
      <c r="I165" s="44" t="s">
        <v>366</v>
      </c>
      <c r="J165" s="44" t="s">
        <v>366</v>
      </c>
      <c r="K165" s="44" t="s">
        <v>366</v>
      </c>
      <c r="L165" s="44" t="s">
        <v>366</v>
      </c>
      <c r="M165" s="44" t="s">
        <v>366</v>
      </c>
      <c r="N165" s="44" t="s">
        <v>366</v>
      </c>
      <c r="O165" s="44" t="s">
        <v>366</v>
      </c>
      <c r="P165" s="44" t="s">
        <v>366</v>
      </c>
      <c r="Q165" s="45" t="s">
        <v>366</v>
      </c>
    </row>
    <row r="166" spans="2:17" x14ac:dyDescent="0.45">
      <c r="C166" s="36"/>
      <c r="E166" s="40" t="s">
        <v>342</v>
      </c>
      <c r="F166" s="102" t="s">
        <v>171</v>
      </c>
      <c r="G166" s="102"/>
      <c r="H166" s="102"/>
      <c r="I166" s="102"/>
      <c r="J166" s="102"/>
      <c r="K166" s="102"/>
      <c r="L166" s="102"/>
      <c r="M166" s="102"/>
      <c r="N166" s="102"/>
      <c r="O166" s="102"/>
      <c r="P166" s="102"/>
      <c r="Q166" s="102"/>
    </row>
    <row r="167" spans="2:17" x14ac:dyDescent="0.45">
      <c r="C167" s="36"/>
      <c r="E167" s="40" t="s">
        <v>345</v>
      </c>
      <c r="F167" s="102" t="s">
        <v>172</v>
      </c>
      <c r="G167" s="102"/>
      <c r="H167" s="102"/>
      <c r="I167" s="102"/>
      <c r="J167" s="102"/>
      <c r="K167" s="102"/>
      <c r="L167" s="102"/>
      <c r="M167" s="102"/>
      <c r="N167" s="102"/>
      <c r="O167" s="102"/>
      <c r="P167" s="102"/>
      <c r="Q167" s="102"/>
    </row>
    <row r="168" spans="2:17" x14ac:dyDescent="0.45">
      <c r="C168" s="36"/>
      <c r="E168" s="40" t="s">
        <v>369</v>
      </c>
      <c r="F168" s="101" t="s">
        <v>517</v>
      </c>
      <c r="G168" s="101"/>
      <c r="H168" s="101"/>
      <c r="I168" s="101"/>
      <c r="J168" s="101"/>
      <c r="K168" s="101"/>
      <c r="L168" s="101"/>
      <c r="M168" s="101"/>
      <c r="N168" s="101"/>
      <c r="O168" s="101"/>
      <c r="P168" s="101"/>
      <c r="Q168" s="101"/>
    </row>
    <row r="170" spans="2:17" x14ac:dyDescent="0.45">
      <c r="B170" s="39" t="s">
        <v>349</v>
      </c>
      <c r="C170" s="39" t="s">
        <v>350</v>
      </c>
      <c r="E170" s="40"/>
      <c r="F170" s="40" t="s">
        <v>351</v>
      </c>
      <c r="G170" s="40" t="s">
        <v>352</v>
      </c>
      <c r="H170" s="40" t="s">
        <v>353</v>
      </c>
      <c r="I170" s="40" t="s">
        <v>354</v>
      </c>
      <c r="J170" s="40" t="s">
        <v>355</v>
      </c>
      <c r="K170" s="40" t="s">
        <v>356</v>
      </c>
      <c r="L170" s="40" t="s">
        <v>357</v>
      </c>
      <c r="M170" s="40" t="s">
        <v>358</v>
      </c>
      <c r="N170" s="40" t="s">
        <v>359</v>
      </c>
      <c r="O170" s="40" t="s">
        <v>360</v>
      </c>
      <c r="P170" s="40" t="s">
        <v>361</v>
      </c>
      <c r="Q170" s="40" t="s">
        <v>362</v>
      </c>
    </row>
    <row r="171" spans="2:17" ht="17" customHeight="1" x14ac:dyDescent="0.45">
      <c r="B171" s="32" t="s">
        <v>531</v>
      </c>
      <c r="C171" s="32" t="s">
        <v>267</v>
      </c>
      <c r="E171" s="40" t="s">
        <v>364</v>
      </c>
      <c r="F171" s="16" t="s">
        <v>213</v>
      </c>
      <c r="G171" s="16" t="s">
        <v>213</v>
      </c>
      <c r="H171" s="16" t="s">
        <v>213</v>
      </c>
      <c r="I171" s="16" t="s">
        <v>213</v>
      </c>
      <c r="J171" s="16" t="s">
        <v>213</v>
      </c>
      <c r="K171" s="16" t="s">
        <v>213</v>
      </c>
      <c r="L171" s="16" t="s">
        <v>213</v>
      </c>
      <c r="M171" s="16" t="s">
        <v>213</v>
      </c>
      <c r="N171" s="51" t="s">
        <v>35</v>
      </c>
      <c r="O171" s="51" t="s">
        <v>35</v>
      </c>
      <c r="P171" s="51" t="s">
        <v>35</v>
      </c>
      <c r="Q171" s="51" t="s">
        <v>35</v>
      </c>
    </row>
    <row r="172" spans="2:17" x14ac:dyDescent="0.45">
      <c r="E172" s="40" t="s">
        <v>365</v>
      </c>
      <c r="F172" s="53"/>
      <c r="G172" s="54"/>
      <c r="H172" s="54"/>
      <c r="I172" s="54"/>
      <c r="J172" s="54"/>
      <c r="K172" s="54"/>
      <c r="L172" s="54"/>
      <c r="M172" s="54"/>
      <c r="N172" s="44" t="s">
        <v>366</v>
      </c>
      <c r="O172" s="44" t="s">
        <v>366</v>
      </c>
      <c r="P172" s="44" t="s">
        <v>366</v>
      </c>
      <c r="Q172" s="45" t="s">
        <v>366</v>
      </c>
    </row>
    <row r="173" spans="2:17" x14ac:dyDescent="0.45">
      <c r="E173" s="40" t="s">
        <v>342</v>
      </c>
      <c r="F173" s="102" t="s">
        <v>171</v>
      </c>
      <c r="G173" s="102"/>
      <c r="H173" s="102"/>
      <c r="I173" s="102"/>
      <c r="J173" s="102"/>
      <c r="K173" s="102"/>
      <c r="L173" s="102"/>
      <c r="M173" s="102"/>
      <c r="N173" s="102"/>
      <c r="O173" s="102"/>
      <c r="P173" s="102"/>
      <c r="Q173" s="102"/>
    </row>
    <row r="174" spans="2:17" x14ac:dyDescent="0.45">
      <c r="E174" s="40" t="s">
        <v>345</v>
      </c>
      <c r="F174" s="102" t="s">
        <v>172</v>
      </c>
      <c r="G174" s="102"/>
      <c r="H174" s="102"/>
      <c r="I174" s="102"/>
      <c r="J174" s="102"/>
      <c r="K174" s="102"/>
      <c r="L174" s="102"/>
      <c r="M174" s="102"/>
      <c r="N174" s="102"/>
      <c r="O174" s="102"/>
      <c r="P174" s="102"/>
      <c r="Q174" s="102"/>
    </row>
    <row r="175" spans="2:17" ht="17.25" customHeight="1" x14ac:dyDescent="0.45">
      <c r="E175" s="40" t="s">
        <v>369</v>
      </c>
      <c r="F175" s="101" t="s">
        <v>517</v>
      </c>
      <c r="G175" s="101"/>
      <c r="H175" s="101"/>
      <c r="I175" s="101"/>
      <c r="J175" s="101"/>
      <c r="K175" s="101"/>
      <c r="L175" s="101"/>
      <c r="M175" s="101"/>
      <c r="N175" s="101"/>
      <c r="O175" s="101"/>
      <c r="P175" s="101"/>
      <c r="Q175" s="101"/>
    </row>
  </sheetData>
  <mergeCells count="135">
    <mergeCell ref="E11:Q11"/>
    <mergeCell ref="I15:K15"/>
    <mergeCell ref="L15:N15"/>
    <mergeCell ref="I16:K16"/>
    <mergeCell ref="L16:N16"/>
    <mergeCell ref="I17:K17"/>
    <mergeCell ref="L17:N17"/>
    <mergeCell ref="E3:Q3"/>
    <mergeCell ref="E4:Q4"/>
    <mergeCell ref="E5:Q5"/>
    <mergeCell ref="E8:Q8"/>
    <mergeCell ref="E9:Q9"/>
    <mergeCell ref="E10:Q10"/>
    <mergeCell ref="J24:M24"/>
    <mergeCell ref="N24:Q24"/>
    <mergeCell ref="J25:M25"/>
    <mergeCell ref="N25:Q25"/>
    <mergeCell ref="F26:Q26"/>
    <mergeCell ref="F29:Q29"/>
    <mergeCell ref="I18:K18"/>
    <mergeCell ref="L18:N18"/>
    <mergeCell ref="F19:Q19"/>
    <mergeCell ref="J22:M22"/>
    <mergeCell ref="N22:Q22"/>
    <mergeCell ref="J23:M23"/>
    <mergeCell ref="N23:Q23"/>
    <mergeCell ref="F38:Q38"/>
    <mergeCell ref="F39:Q39"/>
    <mergeCell ref="F40:Q40"/>
    <mergeCell ref="F44:H44"/>
    <mergeCell ref="I44:K44"/>
    <mergeCell ref="L44:Q44"/>
    <mergeCell ref="F30:Q30"/>
    <mergeCell ref="F31:Q31"/>
    <mergeCell ref="F32:Q32"/>
    <mergeCell ref="F33:Q33"/>
    <mergeCell ref="F36:Q36"/>
    <mergeCell ref="F37:Q37"/>
    <mergeCell ref="F51:G51"/>
    <mergeCell ref="H51:I51"/>
    <mergeCell ref="J51:L51"/>
    <mergeCell ref="M51:Q51"/>
    <mergeCell ref="F52:G52"/>
    <mergeCell ref="H52:I52"/>
    <mergeCell ref="J52:L52"/>
    <mergeCell ref="M52:Q52"/>
    <mergeCell ref="F45:H45"/>
    <mergeCell ref="I45:K45"/>
    <mergeCell ref="L45:Q45"/>
    <mergeCell ref="F46:Q46"/>
    <mergeCell ref="F47:Q47"/>
    <mergeCell ref="F48:Q48"/>
    <mergeCell ref="F60:Q60"/>
    <mergeCell ref="F61:Q61"/>
    <mergeCell ref="F62:Q62"/>
    <mergeCell ref="F65:M65"/>
    <mergeCell ref="N65:Q65"/>
    <mergeCell ref="F66:M66"/>
    <mergeCell ref="N66:Q66"/>
    <mergeCell ref="F53:Q53"/>
    <mergeCell ref="F54:Q54"/>
    <mergeCell ref="F55:Q55"/>
    <mergeCell ref="H58:M58"/>
    <mergeCell ref="N58:Q58"/>
    <mergeCell ref="H59:Q59"/>
    <mergeCell ref="F81:Q81"/>
    <mergeCell ref="F82:Q82"/>
    <mergeCell ref="F83:Q83"/>
    <mergeCell ref="I86:Q86"/>
    <mergeCell ref="I87:Q87"/>
    <mergeCell ref="F88:Q88"/>
    <mergeCell ref="F67:Q67"/>
    <mergeCell ref="F68:Q68"/>
    <mergeCell ref="F69:Q69"/>
    <mergeCell ref="F74:Q74"/>
    <mergeCell ref="F75:Q75"/>
    <mergeCell ref="F76:Q76"/>
    <mergeCell ref="F97:Q97"/>
    <mergeCell ref="J100:Q100"/>
    <mergeCell ref="J101:Q101"/>
    <mergeCell ref="F102:Q102"/>
    <mergeCell ref="F103:Q103"/>
    <mergeCell ref="F104:Q104"/>
    <mergeCell ref="F89:Q89"/>
    <mergeCell ref="F90:Q90"/>
    <mergeCell ref="M93:Q93"/>
    <mergeCell ref="M94:Q94"/>
    <mergeCell ref="F95:Q95"/>
    <mergeCell ref="F96:Q96"/>
    <mergeCell ref="J115:Q115"/>
    <mergeCell ref="F116:Q116"/>
    <mergeCell ref="F117:Q117"/>
    <mergeCell ref="F118:Q118"/>
    <mergeCell ref="H121:Q121"/>
    <mergeCell ref="H122:Q122"/>
    <mergeCell ref="J107:Q107"/>
    <mergeCell ref="J108:Q108"/>
    <mergeCell ref="F109:Q109"/>
    <mergeCell ref="F110:Q110"/>
    <mergeCell ref="F111:Q111"/>
    <mergeCell ref="J114:Q114"/>
    <mergeCell ref="F131:Q131"/>
    <mergeCell ref="F132:Q132"/>
    <mergeCell ref="F136:Q136"/>
    <mergeCell ref="F137:Q137"/>
    <mergeCell ref="F138:Q138"/>
    <mergeCell ref="F139:Q139"/>
    <mergeCell ref="F123:Q123"/>
    <mergeCell ref="F124:Q124"/>
    <mergeCell ref="F125:Q125"/>
    <mergeCell ref="H128:Q128"/>
    <mergeCell ref="H129:Q129"/>
    <mergeCell ref="F130:Q130"/>
    <mergeCell ref="F150:Q150"/>
    <mergeCell ref="F151:Q151"/>
    <mergeCell ref="F152:Q152"/>
    <mergeCell ref="F153:Q153"/>
    <mergeCell ref="F154:Q154"/>
    <mergeCell ref="J157:Q157"/>
    <mergeCell ref="F140:Q140"/>
    <mergeCell ref="F143:Q143"/>
    <mergeCell ref="F144:Q144"/>
    <mergeCell ref="F145:Q145"/>
    <mergeCell ref="F146:Q146"/>
    <mergeCell ref="F147:Q147"/>
    <mergeCell ref="F168:Q168"/>
    <mergeCell ref="F173:Q173"/>
    <mergeCell ref="F174:Q174"/>
    <mergeCell ref="F175:Q175"/>
    <mergeCell ref="J158:Q158"/>
    <mergeCell ref="F159:Q159"/>
    <mergeCell ref="F160:Q160"/>
    <mergeCell ref="F161:Q161"/>
    <mergeCell ref="F166:Q166"/>
    <mergeCell ref="F167:Q167"/>
  </mergeCells>
  <phoneticPr fontId="4" type="noConversion"/>
  <conditionalFormatting sqref="N128">
    <cfRule type="cellIs" dxfId="0" priority="1" operator="equal">
      <formula>"RSVD"</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Command</vt:lpstr>
      <vt:lpstr>Register Table</vt:lpstr>
      <vt:lpstr>Register Description</vt:lpstr>
      <vt:lpstr>Testmode Reg. Table</vt:lpstr>
      <vt:lpstr>Testmode Reg. Description</vt:lpstr>
      <vt:lpstr>Command!OLE_LINK288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jylee</dc:creator>
  <cp:lastModifiedBy>이 준영</cp:lastModifiedBy>
  <dcterms:created xsi:type="dcterms:W3CDTF">2015-06-05T18:19:34Z</dcterms:created>
  <dcterms:modified xsi:type="dcterms:W3CDTF">2026-09-01T02:08:47Z</dcterms:modified>
</cp:coreProperties>
</file>