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defaultThemeVersion="202300"/>
  <mc:AlternateContent xmlns:mc="http://schemas.openxmlformats.org/markup-compatibility/2006">
    <mc:Choice Requires="x15">
      <x15ac:absPath xmlns:x15ac="http://schemas.microsoft.com/office/spreadsheetml/2010/11/ac" url="C:\working\01_Project\FW\ID804\ID804_FA_Board\Docs\"/>
    </mc:Choice>
  </mc:AlternateContent>
  <xr:revisionPtr revIDLastSave="0" documentId="13_ncr:1_{6CB68B60-10D1-4EF9-A274-001BEFE9733D}" xr6:coauthVersionLast="47" xr6:coauthVersionMax="47" xr10:uidLastSave="{00000000-0000-0000-0000-000000000000}"/>
  <bookViews>
    <workbookView xWindow="71880" yWindow="2160" windowWidth="29040" windowHeight="15720" xr2:uid="{581D679E-9BCD-404B-BE1B-951678DCFF1E}"/>
  </bookViews>
  <sheets>
    <sheet name="Command" sheetId="4" r:id="rId1"/>
    <sheet name="Register Table" sheetId="5" r:id="rId2"/>
    <sheet name="Register Description" sheetId="6" r:id="rId3"/>
    <sheet name="Testmode Reg. Table" sheetId="7" r:id="rId4"/>
    <sheet name="Testmode Reg. Description" sheetId="8" r:id="rId5"/>
    <sheet name="ME encode" sheetId="9" r:id="rId6"/>
  </sheets>
  <functionGroups builtInGroupCount="19"/>
  <definedNames>
    <definedName name="OLE_LINK288" localSheetId="0">Command!$E$5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W4" i="4" l="1"/>
  <c r="AN28" i="9" l="1"/>
  <c r="AM28" i="9"/>
  <c r="AL28" i="9"/>
  <c r="AK28" i="9"/>
  <c r="AJ28" i="9"/>
  <c r="AI28" i="9"/>
  <c r="AF28" i="9"/>
  <c r="AE28" i="9"/>
  <c r="I28" i="9"/>
  <c r="D28" i="9"/>
  <c r="C28" i="9"/>
  <c r="AW25" i="9"/>
  <c r="AX28" i="9" s="1"/>
  <c r="AU25" i="9"/>
  <c r="AV28" i="9" s="1"/>
  <c r="AS25" i="9"/>
  <c r="AT28" i="9" s="1"/>
  <c r="AQ25" i="9"/>
  <c r="AR28" i="9" s="1"/>
  <c r="AO25" i="9"/>
  <c r="AP28" i="9" s="1"/>
  <c r="AM25" i="9"/>
  <c r="AK25" i="9"/>
  <c r="AI25" i="9"/>
  <c r="AG25" i="9"/>
  <c r="AG28" i="9" s="1"/>
  <c r="AE25" i="9"/>
  <c r="AC25" i="9"/>
  <c r="AD28" i="9" s="1"/>
  <c r="AA25" i="9"/>
  <c r="AB28" i="9" s="1"/>
  <c r="Y25" i="9"/>
  <c r="Z28" i="9" s="1"/>
  <c r="W25" i="9"/>
  <c r="W28" i="9" s="1"/>
  <c r="U25" i="9"/>
  <c r="U28" i="9" s="1"/>
  <c r="S25" i="9"/>
  <c r="S26" i="9" s="1"/>
  <c r="S27" i="9" s="1"/>
  <c r="Q25" i="9"/>
  <c r="Q28" i="9" s="1"/>
  <c r="O25" i="9"/>
  <c r="P28" i="9" s="1"/>
  <c r="M25" i="9"/>
  <c r="N28" i="9" s="1"/>
  <c r="K25" i="9"/>
  <c r="L28" i="9" s="1"/>
  <c r="I25" i="9"/>
  <c r="J28" i="9" s="1"/>
  <c r="G25" i="9"/>
  <c r="H28" i="9" s="1"/>
  <c r="E25" i="9"/>
  <c r="F28" i="9" s="1"/>
  <c r="C25" i="9"/>
  <c r="DP23" i="9"/>
  <c r="DN23" i="9"/>
  <c r="DM23" i="9"/>
  <c r="DL23" i="9"/>
  <c r="CD18" i="9"/>
  <c r="CC18" i="9"/>
  <c r="CB18" i="9"/>
  <c r="CA18" i="9"/>
  <c r="BZ18" i="9"/>
  <c r="BY18" i="9"/>
  <c r="BE18" i="9"/>
  <c r="BD18" i="9"/>
  <c r="BC18" i="9"/>
  <c r="AX18" i="9"/>
  <c r="AW18" i="9"/>
  <c r="AU18" i="9"/>
  <c r="AT18" i="9"/>
  <c r="AS18" i="9"/>
  <c r="AR18" i="9"/>
  <c r="AQ18" i="9"/>
  <c r="AP18" i="9"/>
  <c r="AO18" i="9"/>
  <c r="AN18" i="9"/>
  <c r="AM18" i="9"/>
  <c r="AL18" i="9"/>
  <c r="AK18" i="9"/>
  <c r="AJ18" i="9"/>
  <c r="AI18" i="9"/>
  <c r="AI19" i="9" s="1"/>
  <c r="AH18" i="9"/>
  <c r="AG18" i="9"/>
  <c r="M18" i="9"/>
  <c r="L18" i="9"/>
  <c r="K18" i="9"/>
  <c r="F18" i="9"/>
  <c r="E18" i="9"/>
  <c r="C18" i="9"/>
  <c r="BO16" i="9"/>
  <c r="BO17" i="9" s="1"/>
  <c r="AI16" i="9"/>
  <c r="AI17" i="9" s="1"/>
  <c r="S16" i="9"/>
  <c r="S17" i="9" s="1"/>
  <c r="CC15" i="9"/>
  <c r="CA15" i="9"/>
  <c r="BY15" i="9"/>
  <c r="BW15" i="9"/>
  <c r="BX18" i="9" s="1"/>
  <c r="BU15" i="9"/>
  <c r="BV18" i="9" s="1"/>
  <c r="BS15" i="9"/>
  <c r="BT18" i="9" s="1"/>
  <c r="BQ15" i="9"/>
  <c r="BQ18" i="9" s="1"/>
  <c r="BO15" i="9"/>
  <c r="BO18" i="9" s="1"/>
  <c r="BM15" i="9"/>
  <c r="BN18" i="9" s="1"/>
  <c r="BK15" i="9"/>
  <c r="BL18" i="9" s="1"/>
  <c r="BI15" i="9"/>
  <c r="BJ18" i="9" s="1"/>
  <c r="BG15" i="9"/>
  <c r="BH18" i="9" s="1"/>
  <c r="BE15" i="9"/>
  <c r="BF18" i="9" s="1"/>
  <c r="BC15" i="9"/>
  <c r="BA15" i="9"/>
  <c r="BB18" i="9" s="1"/>
  <c r="AY15" i="9"/>
  <c r="AZ18" i="9" s="1"/>
  <c r="AW15" i="9"/>
  <c r="AU15" i="9"/>
  <c r="AV18" i="9" s="1"/>
  <c r="AQ19" i="9" s="1"/>
  <c r="AS15" i="9"/>
  <c r="AQ15" i="9"/>
  <c r="AO15" i="9"/>
  <c r="AM15" i="9"/>
  <c r="AK15" i="9"/>
  <c r="AI15" i="9"/>
  <c r="AG15" i="9"/>
  <c r="AE15" i="9"/>
  <c r="AF18" i="9" s="1"/>
  <c r="AC15" i="9"/>
  <c r="AD18" i="9" s="1"/>
  <c r="AA15" i="9"/>
  <c r="AB18" i="9" s="1"/>
  <c r="Y15" i="9"/>
  <c r="Y18" i="9" s="1"/>
  <c r="W15" i="9"/>
  <c r="X18" i="9" s="1"/>
  <c r="U15" i="9"/>
  <c r="V18" i="9" s="1"/>
  <c r="S15" i="9"/>
  <c r="S18" i="9" s="1"/>
  <c r="Q15" i="9"/>
  <c r="R18" i="9" s="1"/>
  <c r="O15" i="9"/>
  <c r="O18" i="9" s="1"/>
  <c r="M15" i="9"/>
  <c r="N18" i="9" s="1"/>
  <c r="K15" i="9"/>
  <c r="I15" i="9"/>
  <c r="J18" i="9" s="1"/>
  <c r="G15" i="9"/>
  <c r="H18" i="9" s="1"/>
  <c r="E15" i="9"/>
  <c r="C15" i="9"/>
  <c r="D18" i="9" s="1"/>
  <c r="DP13" i="9"/>
  <c r="DO13" i="9"/>
  <c r="DN13" i="9"/>
  <c r="DM13" i="9"/>
  <c r="DL13" i="9"/>
  <c r="CR8" i="9"/>
  <c r="CH8" i="9"/>
  <c r="CG8" i="9"/>
  <c r="BF8" i="9"/>
  <c r="BC8" i="9"/>
  <c r="AZ8" i="9"/>
  <c r="AP8" i="9"/>
  <c r="AO8" i="9"/>
  <c r="AK8" i="9"/>
  <c r="AJ8" i="9"/>
  <c r="AI8" i="9"/>
  <c r="AH8" i="9"/>
  <c r="AG8" i="9"/>
  <c r="AF8" i="9"/>
  <c r="AE8" i="9"/>
  <c r="AD8" i="9"/>
  <c r="T8" i="9"/>
  <c r="S8" i="9"/>
  <c r="R8" i="9"/>
  <c r="Q8" i="9"/>
  <c r="P8" i="9"/>
  <c r="O8" i="9"/>
  <c r="N8" i="9"/>
  <c r="M8" i="9"/>
  <c r="L8" i="9"/>
  <c r="K8" i="9"/>
  <c r="K9" i="9" s="1"/>
  <c r="J8" i="9"/>
  <c r="I8" i="9"/>
  <c r="H8" i="9"/>
  <c r="AI6" i="9"/>
  <c r="AI7" i="9" s="1"/>
  <c r="C6" i="9"/>
  <c r="C7" i="9" s="1"/>
  <c r="CS5" i="9"/>
  <c r="CE6" i="9" s="1"/>
  <c r="CE7" i="9" s="1"/>
  <c r="CQ5" i="9"/>
  <c r="CQ8" i="9" s="1"/>
  <c r="CO5" i="9"/>
  <c r="CP8" i="9" s="1"/>
  <c r="CM5" i="9"/>
  <c r="CN8" i="9" s="1"/>
  <c r="CK5" i="9"/>
  <c r="CL8" i="9" s="1"/>
  <c r="CI5" i="9"/>
  <c r="CJ8" i="9" s="1"/>
  <c r="CG5" i="9"/>
  <c r="CE5" i="9"/>
  <c r="CE8" i="9" s="1"/>
  <c r="CC5" i="9"/>
  <c r="CD8" i="9" s="1"/>
  <c r="CA5" i="9"/>
  <c r="CB8" i="9" s="1"/>
  <c r="BY5" i="9"/>
  <c r="BY8" i="9" s="1"/>
  <c r="BW5" i="9"/>
  <c r="BW8" i="9" s="1"/>
  <c r="BU5" i="9"/>
  <c r="BU8" i="9" s="1"/>
  <c r="BS5" i="9"/>
  <c r="BT8" i="9" s="1"/>
  <c r="BQ5" i="9"/>
  <c r="BR8" i="9" s="1"/>
  <c r="BO5" i="9"/>
  <c r="BM5" i="9"/>
  <c r="BM8" i="9" s="1"/>
  <c r="BK5" i="9"/>
  <c r="BL8" i="9" s="1"/>
  <c r="BI5" i="9"/>
  <c r="BI8" i="9" s="1"/>
  <c r="BG5" i="9"/>
  <c r="BH8" i="9" s="1"/>
  <c r="BE5" i="9"/>
  <c r="BE8" i="9" s="1"/>
  <c r="BC5" i="9"/>
  <c r="BD8" i="9" s="1"/>
  <c r="BA5" i="9"/>
  <c r="BA8" i="9" s="1"/>
  <c r="AY5" i="9"/>
  <c r="AY8" i="9" s="1"/>
  <c r="AW5" i="9"/>
  <c r="AX8" i="9" s="1"/>
  <c r="AU5" i="9"/>
  <c r="AV8" i="9" s="1"/>
  <c r="AS5" i="9"/>
  <c r="AT8" i="9" s="1"/>
  <c r="AQ5" i="9"/>
  <c r="AR8" i="9" s="1"/>
  <c r="AO5" i="9"/>
  <c r="AM5" i="9"/>
  <c r="AM8" i="9" s="1"/>
  <c r="AK5" i="9"/>
  <c r="AL8" i="9" s="1"/>
  <c r="AI5" i="9"/>
  <c r="AG5" i="9"/>
  <c r="AE5" i="9"/>
  <c r="AC5" i="9"/>
  <c r="AC8" i="9" s="1"/>
  <c r="AA5" i="9"/>
  <c r="AB8" i="9" s="1"/>
  <c r="Y5" i="9"/>
  <c r="Z8" i="9" s="1"/>
  <c r="W5" i="9"/>
  <c r="X8" i="9" s="1"/>
  <c r="U5" i="9"/>
  <c r="U8" i="9" s="1"/>
  <c r="S5" i="9"/>
  <c r="Q5" i="9"/>
  <c r="O5" i="9"/>
  <c r="M5" i="9"/>
  <c r="K5" i="9"/>
  <c r="I5" i="9"/>
  <c r="G5" i="9"/>
  <c r="G8" i="9" s="1"/>
  <c r="E5" i="9"/>
  <c r="F8" i="9" s="1"/>
  <c r="C5" i="9"/>
  <c r="D8" i="9" s="1"/>
  <c r="DQ3" i="9"/>
  <c r="DP3" i="9"/>
  <c r="DO3" i="9"/>
  <c r="DN3" i="9"/>
  <c r="DM3" i="9"/>
  <c r="DL3" i="9"/>
  <c r="X29" i="7"/>
  <c r="X28" i="7"/>
  <c r="X27" i="7"/>
  <c r="X26" i="7"/>
  <c r="X25" i="7"/>
  <c r="X24" i="7"/>
  <c r="X22" i="7"/>
  <c r="X21" i="7"/>
  <c r="X20" i="7"/>
  <c r="X19" i="7"/>
  <c r="X18" i="7"/>
  <c r="X17" i="7"/>
  <c r="X16" i="7"/>
  <c r="X15" i="7"/>
  <c r="X14" i="7"/>
  <c r="X13" i="7"/>
  <c r="X12" i="7"/>
  <c r="X11" i="7"/>
  <c r="X10" i="7"/>
  <c r="X8" i="7"/>
  <c r="X7" i="7"/>
  <c r="X6" i="7"/>
  <c r="X5" i="7"/>
  <c r="AC32" i="5"/>
  <c r="AC31" i="5"/>
  <c r="AC30" i="5"/>
  <c r="AC29" i="5"/>
  <c r="AC25" i="5"/>
  <c r="AC24" i="5"/>
  <c r="AC23" i="5"/>
  <c r="AC22" i="5"/>
  <c r="AC21" i="5"/>
  <c r="AC20" i="5"/>
  <c r="AC19" i="5"/>
  <c r="AC18" i="5"/>
  <c r="AC17" i="5"/>
  <c r="AC16" i="5"/>
  <c r="AC15" i="5"/>
  <c r="AC14" i="5"/>
  <c r="AC13" i="5"/>
  <c r="AC12" i="5"/>
  <c r="AC11" i="5"/>
  <c r="AC10" i="5"/>
  <c r="AC9" i="5"/>
  <c r="AC8" i="5"/>
  <c r="AC7" i="5"/>
  <c r="AC6" i="5"/>
  <c r="AC5" i="5"/>
  <c r="AC4" i="5"/>
  <c r="AC3" i="5"/>
  <c r="W53" i="4"/>
  <c r="C53" i="4"/>
  <c r="W52" i="4"/>
  <c r="C52" i="4"/>
  <c r="W51" i="4"/>
  <c r="C51" i="4"/>
  <c r="W50" i="4"/>
  <c r="C50" i="4"/>
  <c r="W49" i="4"/>
  <c r="C49" i="4"/>
  <c r="W48" i="4"/>
  <c r="C48" i="4"/>
  <c r="W47" i="4"/>
  <c r="C47" i="4"/>
  <c r="W46" i="4"/>
  <c r="C46" i="4"/>
  <c r="W45" i="4"/>
  <c r="C45" i="4"/>
  <c r="W44" i="4"/>
  <c r="C44" i="4"/>
  <c r="W43" i="4"/>
  <c r="C43" i="4"/>
  <c r="W42" i="4"/>
  <c r="C42" i="4"/>
  <c r="W41" i="4"/>
  <c r="C41" i="4"/>
  <c r="W40" i="4"/>
  <c r="C40" i="4"/>
  <c r="W39" i="4"/>
  <c r="C39" i="4"/>
  <c r="W38" i="4"/>
  <c r="C38" i="4"/>
  <c r="W37" i="4"/>
  <c r="C37" i="4"/>
  <c r="W36" i="4"/>
  <c r="C36" i="4"/>
  <c r="W35" i="4"/>
  <c r="C35" i="4"/>
  <c r="W34" i="4"/>
  <c r="C34" i="4"/>
  <c r="W33" i="4"/>
  <c r="C33" i="4"/>
  <c r="W32" i="4"/>
  <c r="C32" i="4"/>
  <c r="W31" i="4"/>
  <c r="C31" i="4"/>
  <c r="W30" i="4"/>
  <c r="C30" i="4"/>
  <c r="W29" i="4"/>
  <c r="C29" i="4"/>
  <c r="W28" i="4"/>
  <c r="C28" i="4"/>
  <c r="AF27" i="4"/>
  <c r="W27" i="4"/>
  <c r="F27" i="4"/>
  <c r="C27" i="4"/>
  <c r="AF26" i="4"/>
  <c r="W26" i="4"/>
  <c r="F26" i="4"/>
  <c r="C26" i="4"/>
  <c r="AF25" i="4"/>
  <c r="W25" i="4"/>
  <c r="F25" i="4"/>
  <c r="C25" i="4"/>
  <c r="AF24" i="4"/>
  <c r="W24" i="4"/>
  <c r="F24" i="4"/>
  <c r="C24" i="4"/>
  <c r="AF23" i="4"/>
  <c r="W23" i="4"/>
  <c r="F23" i="4"/>
  <c r="C23" i="4"/>
  <c r="AF22" i="4"/>
  <c r="W22" i="4"/>
  <c r="F22" i="4"/>
  <c r="C22" i="4"/>
  <c r="AF21" i="4"/>
  <c r="W21" i="4"/>
  <c r="F21" i="4"/>
  <c r="C21" i="4"/>
  <c r="AF20" i="4"/>
  <c r="W20" i="4"/>
  <c r="F20" i="4"/>
  <c r="C20" i="4"/>
  <c r="AF19" i="4"/>
  <c r="W19" i="4"/>
  <c r="F19" i="4"/>
  <c r="C19" i="4"/>
  <c r="AF18" i="4"/>
  <c r="W18" i="4"/>
  <c r="F18" i="4"/>
  <c r="C18" i="4"/>
  <c r="AF17" i="4"/>
  <c r="W17" i="4"/>
  <c r="F17" i="4"/>
  <c r="C17" i="4"/>
  <c r="AF16" i="4"/>
  <c r="W16" i="4"/>
  <c r="F16" i="4"/>
  <c r="C16" i="4"/>
  <c r="AF15" i="4"/>
  <c r="W15" i="4"/>
  <c r="F15" i="4"/>
  <c r="C15" i="4"/>
  <c r="AF14" i="4"/>
  <c r="W14" i="4"/>
  <c r="F14" i="4"/>
  <c r="C14" i="4"/>
  <c r="AF13" i="4"/>
  <c r="W13" i="4"/>
  <c r="F13" i="4"/>
  <c r="C13" i="4"/>
  <c r="AF12" i="4"/>
  <c r="W12" i="4"/>
  <c r="F12" i="4"/>
  <c r="C12" i="4"/>
  <c r="AF11" i="4"/>
  <c r="W11" i="4"/>
  <c r="F11" i="4"/>
  <c r="C11" i="4"/>
  <c r="AF10" i="4"/>
  <c r="W10" i="4"/>
  <c r="F10" i="4"/>
  <c r="C10" i="4"/>
  <c r="AF9" i="4"/>
  <c r="W9" i="4"/>
  <c r="F9" i="4"/>
  <c r="C9" i="4"/>
  <c r="AF8" i="4"/>
  <c r="W8" i="4"/>
  <c r="F8" i="4"/>
  <c r="C8" i="4"/>
  <c r="AF7" i="4"/>
  <c r="W7" i="4"/>
  <c r="F7" i="4"/>
  <c r="C7" i="4"/>
  <c r="AF6" i="4"/>
  <c r="W6" i="4"/>
  <c r="F6" i="4"/>
  <c r="C6" i="4"/>
  <c r="W5" i="4"/>
  <c r="C5" i="4"/>
  <c r="C4" i="4"/>
  <c r="DR13" i="9" a="1"/>
  <c r="DR3" i="9" a="1"/>
  <c r="DR23" i="9" a="1"/>
  <c r="CS8" i="9" l="1"/>
  <c r="CT8" i="9"/>
  <c r="BX8" i="9"/>
  <c r="BZ8" i="9"/>
  <c r="BO6" i="9"/>
  <c r="BO7" i="9" s="1"/>
  <c r="CA8" i="9"/>
  <c r="CC8" i="9"/>
  <c r="BV8" i="9"/>
  <c r="BJ8" i="9"/>
  <c r="BG8" i="9"/>
  <c r="BK8" i="9"/>
  <c r="BB8" i="9"/>
  <c r="AY9" i="9" s="1"/>
  <c r="AQ28" i="9"/>
  <c r="AS28" i="9"/>
  <c r="AI26" i="9"/>
  <c r="AI27" i="9" s="1"/>
  <c r="AU28" i="9"/>
  <c r="AH28" i="9"/>
  <c r="DR13" i="9"/>
  <c r="DR23" i="9"/>
  <c r="DR3" i="9"/>
  <c r="DC3" i="9"/>
  <c r="CU3" i="9"/>
  <c r="AQ29" i="9"/>
  <c r="BG23" i="9"/>
  <c r="AY23" i="9"/>
  <c r="AI29" i="9"/>
  <c r="BG9" i="9"/>
  <c r="CM13" i="9"/>
  <c r="CE13" i="9"/>
  <c r="BW9" i="9"/>
  <c r="K19" i="9"/>
  <c r="O28" i="9"/>
  <c r="T18" i="9"/>
  <c r="S19" i="9" s="1"/>
  <c r="AN8" i="9"/>
  <c r="AI9" i="9" s="1"/>
  <c r="CF8" i="9"/>
  <c r="CE9" i="9" s="1"/>
  <c r="U18" i="9"/>
  <c r="BM18" i="9"/>
  <c r="S28" i="9"/>
  <c r="AO28" i="9"/>
  <c r="C16" i="9"/>
  <c r="C17" i="9" s="1"/>
  <c r="T28" i="9"/>
  <c r="W8" i="9"/>
  <c r="AS8" i="9"/>
  <c r="BO8" i="9"/>
  <c r="CK8" i="9"/>
  <c r="Z18" i="9"/>
  <c r="BR18" i="9"/>
  <c r="X28" i="9"/>
  <c r="BG18" i="9"/>
  <c r="M28" i="9"/>
  <c r="AY16" i="9"/>
  <c r="AY17" i="9" s="1"/>
  <c r="AY6" i="9"/>
  <c r="AY7" i="9" s="1"/>
  <c r="BI18" i="9"/>
  <c r="W18" i="9"/>
  <c r="CI8" i="9"/>
  <c r="BP18" i="9"/>
  <c r="BO19" i="9" s="1"/>
  <c r="V28" i="9"/>
  <c r="V8" i="9"/>
  <c r="S9" i="9" s="1"/>
  <c r="BP8" i="9"/>
  <c r="AA18" i="9"/>
  <c r="BS18" i="9"/>
  <c r="Y28" i="9"/>
  <c r="BN8" i="9"/>
  <c r="P18" i="9"/>
  <c r="Q18" i="9"/>
  <c r="BK18" i="9"/>
  <c r="C26" i="9"/>
  <c r="C27" i="9" s="1"/>
  <c r="R28" i="9"/>
  <c r="AQ8" i="9"/>
  <c r="C8" i="9"/>
  <c r="C9" i="9" s="1"/>
  <c r="Y8" i="9"/>
  <c r="AU8" i="9"/>
  <c r="BQ8" i="9"/>
  <c r="CM8" i="9"/>
  <c r="G18" i="9"/>
  <c r="C19" i="9" s="1"/>
  <c r="AC18" i="9"/>
  <c r="AY18" i="9"/>
  <c r="AY19" i="9" s="1"/>
  <c r="BU18" i="9"/>
  <c r="E28" i="9"/>
  <c r="C29" i="9" s="1"/>
  <c r="AA28" i="9"/>
  <c r="AA29" i="9" s="1"/>
  <c r="AW28" i="9"/>
  <c r="K28" i="9"/>
  <c r="S6" i="9"/>
  <c r="S7" i="9" s="1"/>
  <c r="E8" i="9"/>
  <c r="AA8" i="9"/>
  <c r="AA9" i="9" s="1"/>
  <c r="AW8" i="9"/>
  <c r="BS8" i="9"/>
  <c r="CO8" i="9"/>
  <c r="I18" i="9"/>
  <c r="AE18" i="9"/>
  <c r="BA18" i="9"/>
  <c r="BW18" i="9"/>
  <c r="BW19" i="9" s="1"/>
  <c r="G28" i="9"/>
  <c r="AC28" i="9"/>
  <c r="CM9" i="9" l="1"/>
  <c r="CK15" i="9"/>
  <c r="CI15" i="9"/>
  <c r="CG15" i="9"/>
  <c r="CE15" i="9"/>
  <c r="CO15" i="9"/>
  <c r="CM15" i="9"/>
  <c r="CS15" i="9"/>
  <c r="CQ15" i="9"/>
  <c r="BO9" i="9"/>
  <c r="BG19" i="9"/>
  <c r="AQ9" i="9"/>
  <c r="BE25" i="9"/>
  <c r="AY25" i="9"/>
  <c r="BC25" i="9"/>
  <c r="BA25" i="9"/>
  <c r="K29" i="9"/>
  <c r="AA19" i="9"/>
  <c r="S29" i="9"/>
  <c r="DA5" i="9"/>
  <c r="CY5" i="9"/>
  <c r="CW5" i="9"/>
  <c r="CU5" i="9"/>
  <c r="BM25" i="9"/>
  <c r="BG25" i="9"/>
  <c r="BK25" i="9"/>
  <c r="BI25" i="9"/>
  <c r="DC5" i="9"/>
  <c r="DI5" i="9"/>
  <c r="DG5" i="9"/>
  <c r="DE5" i="9"/>
  <c r="BD28" i="9" l="1"/>
  <c r="BC28" i="9"/>
  <c r="CX8" i="9"/>
  <c r="CW8" i="9"/>
  <c r="CU8" i="9"/>
  <c r="CU6" i="9"/>
  <c r="CU7" i="9" s="1"/>
  <c r="CV8" i="9"/>
  <c r="DA8" i="9"/>
  <c r="DB8" i="9"/>
  <c r="AZ28" i="9"/>
  <c r="AY28" i="9"/>
  <c r="AY26" i="9"/>
  <c r="AY27" i="9" s="1"/>
  <c r="DJ8" i="9"/>
  <c r="DI8" i="9"/>
  <c r="CY8" i="9"/>
  <c r="CZ8" i="9"/>
  <c r="BA28" i="9"/>
  <c r="BB28" i="9"/>
  <c r="BF28" i="9"/>
  <c r="BE28" i="9"/>
  <c r="DF8" i="9"/>
  <c r="DE8" i="9"/>
  <c r="CR18" i="9"/>
  <c r="CQ18" i="9"/>
  <c r="DH8" i="9"/>
  <c r="DG8" i="9"/>
  <c r="CT18" i="9"/>
  <c r="CS18" i="9"/>
  <c r="CM18" i="9"/>
  <c r="CN18" i="9"/>
  <c r="DD8" i="9"/>
  <c r="DC8" i="9"/>
  <c r="CP18" i="9"/>
  <c r="CO18" i="9"/>
  <c r="BJ28" i="9"/>
  <c r="BI28" i="9"/>
  <c r="CF18" i="9"/>
  <c r="CE16" i="9"/>
  <c r="CE17" i="9" s="1"/>
  <c r="CE18" i="9"/>
  <c r="BL28" i="9"/>
  <c r="BK28" i="9"/>
  <c r="CG18" i="9"/>
  <c r="CH18" i="9"/>
  <c r="BH28" i="9"/>
  <c r="BG28" i="9"/>
  <c r="CJ18" i="9"/>
  <c r="CI18" i="9"/>
  <c r="BN28" i="9"/>
  <c r="BM28" i="9"/>
  <c r="CL18" i="9"/>
  <c r="CK18" i="9"/>
  <c r="CU9" i="9" l="1"/>
  <c r="CM19" i="9"/>
  <c r="DC9" i="9"/>
  <c r="AY29" i="9"/>
  <c r="CE19" i="9"/>
  <c r="BG29"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<sst xmlns="http://schemas.openxmlformats.org/spreadsheetml/2006/main" count="2840" uniqueCount="652">
  <si>
    <t>Command</t>
    <phoneticPr fontId="1" type="noConversion"/>
  </si>
  <si>
    <t>Normal Command</t>
    <phoneticPr fontId="1" type="noConversion"/>
  </si>
  <si>
    <t>SR (Status Request) Command</t>
  </si>
  <si>
    <t>Data bits</t>
    <phoneticPr fontId="1" type="noConversion"/>
  </si>
  <si>
    <t>Encoding</t>
    <phoneticPr fontId="1" type="noConversion"/>
  </si>
  <si>
    <t>Broadcast possible</t>
    <phoneticPr fontId="1" type="noConversion"/>
  </si>
  <si>
    <t>Multicast possible</t>
  </si>
  <si>
    <t>Encoding with SR</t>
  </si>
  <si>
    <t>Broadcast possible</t>
  </si>
  <si>
    <t>* Command Encoding description</t>
    <phoneticPr fontId="1" type="noConversion"/>
  </si>
  <si>
    <t>RESET</t>
  </si>
  <si>
    <t>O</t>
  </si>
  <si>
    <t>-</t>
    <phoneticPr fontId="1" type="noConversion"/>
  </si>
  <si>
    <t>[7:6]</t>
    <phoneticPr fontId="1" type="noConversion"/>
  </si>
  <si>
    <t>2'b01</t>
    <phoneticPr fontId="1" type="noConversion"/>
  </si>
  <si>
    <t>Write command</t>
    <phoneticPr fontId="1" type="noConversion"/>
  </si>
  <si>
    <t>INITBIDIR</t>
  </si>
  <si>
    <t>X</t>
  </si>
  <si>
    <t>2'b10</t>
    <phoneticPr fontId="1" type="noConversion"/>
  </si>
  <si>
    <t>Read command</t>
    <phoneticPr fontId="1" type="noConversion"/>
  </si>
  <si>
    <t>CLRERROR</t>
  </si>
  <si>
    <t>2'b11</t>
    <phoneticPr fontId="1" type="noConversion"/>
  </si>
  <si>
    <t>SR command</t>
    <phoneticPr fontId="1" type="noConversion"/>
  </si>
  <si>
    <t>GOSLEEP</t>
  </si>
  <si>
    <t>[5:0]</t>
    <phoneticPr fontId="1" type="noConversion"/>
  </si>
  <si>
    <t>Register Address</t>
    <phoneticPr fontId="1" type="noConversion"/>
  </si>
  <si>
    <t>GOACTIVE</t>
  </si>
  <si>
    <t>GODEEPSLEEP</t>
    <phoneticPr fontId="4" type="noConversion"/>
  </si>
  <si>
    <t>SET_SETUP1</t>
  </si>
  <si>
    <t>SET_SETUP2</t>
  </si>
  <si>
    <t>SET_MCAST</t>
  </si>
  <si>
    <t>-</t>
    <phoneticPr fontId="4" type="noConversion"/>
  </si>
  <si>
    <t>SET_RGB</t>
  </si>
  <si>
    <t>SET_TEMPTH</t>
  </si>
  <si>
    <t>SET_TEMPHYS</t>
  </si>
  <si>
    <t>SET_CURR_MAX_LVL</t>
    <phoneticPr fontId="1" type="noConversion"/>
  </si>
  <si>
    <t>SET_TEMP_LUT_TC1</t>
  </si>
  <si>
    <t>SET_TEMP_LUT_TC2</t>
  </si>
  <si>
    <t>SET_TEMP_LUT_TC3</t>
  </si>
  <si>
    <t>SET_TEMP_LUT_TC4</t>
  </si>
  <si>
    <t>SET_TEMP_LUT_TC5</t>
  </si>
  <si>
    <t>SET_TEMP_LUT_TC6</t>
  </si>
  <si>
    <t>SET_TEMP_LUT_TC7</t>
  </si>
  <si>
    <t>SET_TEMP_LUT_TC8</t>
  </si>
  <si>
    <t>SET_TEMP_LUT_TC9</t>
  </si>
  <si>
    <t>O</t>
    <phoneticPr fontId="1" type="noConversion"/>
  </si>
  <si>
    <t>SET_TEMP_LUT_TC10</t>
  </si>
  <si>
    <t>SET_TIMEOUT</t>
    <phoneticPr fontId="1" type="noConversion"/>
  </si>
  <si>
    <t>READ_STATUS1</t>
  </si>
  <si>
    <t>READ_STATUS2</t>
  </si>
  <si>
    <t>READ_TEMP</t>
  </si>
  <si>
    <t>READ_TEMPST</t>
  </si>
  <si>
    <t>READ_VEXT_TM</t>
  </si>
  <si>
    <t>READ_SETUP1</t>
  </si>
  <si>
    <t>READ_SETUP2</t>
  </si>
  <si>
    <t>READ_MCAST</t>
  </si>
  <si>
    <t>READ_RGB</t>
  </si>
  <si>
    <t>READ_TEMPTH</t>
  </si>
  <si>
    <t>READ_TEMPHYS</t>
  </si>
  <si>
    <t>READ_PWM_RED_VAL</t>
  </si>
  <si>
    <t>READ_PWM_GREEN_VAL</t>
  </si>
  <si>
    <t>READ_PWM_BLUE_VAL</t>
  </si>
  <si>
    <t>READ_CURR_MAX_LVL</t>
    <phoneticPr fontId="1" type="noConversion"/>
  </si>
  <si>
    <t>READ_TEMP_LUT_TC1</t>
  </si>
  <si>
    <t>READ_TEMP_LUT_TC2</t>
  </si>
  <si>
    <t>READ_TEMP_LUT_TC3</t>
  </si>
  <si>
    <t>READ_TEMP_LUT_TC4</t>
  </si>
  <si>
    <t>READ_TEMP_LUT_TC5</t>
  </si>
  <si>
    <t>READ_TEMP_LUT_TC6</t>
  </si>
  <si>
    <t>READ_TEMP_LUT_TC7</t>
  </si>
  <si>
    <t>READ_TEMP_LUT_TC8</t>
  </si>
  <si>
    <t>READ_TEMP_LUT_TC9</t>
  </si>
  <si>
    <t>READ_TEMP_LUT_TC10</t>
  </si>
  <si>
    <t>READ_TIMEOUT</t>
    <phoneticPr fontId="1" type="noConversion"/>
  </si>
  <si>
    <t>ADDR</t>
    <phoneticPr fontId="6" type="noConversion"/>
  </si>
  <si>
    <t>Register</t>
    <phoneticPr fontId="6" type="noConversion"/>
  </si>
  <si>
    <t>Write</t>
    <phoneticPr fontId="4" type="noConversion"/>
  </si>
  <si>
    <t>Read</t>
    <phoneticPr fontId="4" type="noConversion"/>
  </si>
  <si>
    <t>Reset
Type</t>
  </si>
  <si>
    <t>Read
Write</t>
  </si>
  <si>
    <t>D15</t>
  </si>
  <si>
    <t>D14</t>
  </si>
  <si>
    <t>D13</t>
  </si>
  <si>
    <t>D12</t>
  </si>
  <si>
    <t>D11</t>
    <phoneticPr fontId="6" type="noConversion"/>
  </si>
  <si>
    <t>D10</t>
    <phoneticPr fontId="6" type="noConversion"/>
  </si>
  <si>
    <t>D9</t>
    <phoneticPr fontId="6" type="noConversion"/>
  </si>
  <si>
    <t>D8</t>
    <phoneticPr fontId="6" type="noConversion"/>
  </si>
  <si>
    <t>D7</t>
    <phoneticPr fontId="6" type="noConversion"/>
  </si>
  <si>
    <t>D6</t>
    <phoneticPr fontId="6" type="noConversion"/>
  </si>
  <si>
    <t>D5</t>
  </si>
  <si>
    <t>D4</t>
  </si>
  <si>
    <t>D3</t>
  </si>
  <si>
    <t>D2</t>
  </si>
  <si>
    <t>D1</t>
  </si>
  <si>
    <t>D0</t>
  </si>
  <si>
    <t>Frame Data@NORMAL</t>
    <phoneticPr fontId="6" type="noConversion"/>
  </si>
  <si>
    <t>DEFAULT
bin</t>
  </si>
  <si>
    <t>DEFAULT</t>
  </si>
  <si>
    <t>0x01</t>
    <phoneticPr fontId="1" type="noConversion"/>
  </si>
  <si>
    <t>STATUS1</t>
    <phoneticPr fontId="6" type="noConversion"/>
  </si>
  <si>
    <t>0x41</t>
  </si>
  <si>
    <t>POR, RESET</t>
    <phoneticPr fontId="6" type="noConversion"/>
  </si>
  <si>
    <t>RO</t>
    <phoneticPr fontId="6" type="noConversion"/>
  </si>
  <si>
    <t>dumy</t>
    <phoneticPr fontId="1" type="noConversion"/>
  </si>
  <si>
    <t>RSVD</t>
  </si>
  <si>
    <t>IC_STATE[2:0]</t>
    <phoneticPr fontId="1" type="noConversion"/>
  </si>
  <si>
    <t>SIO2[1:0]</t>
    <phoneticPr fontId="1" type="noConversion"/>
  </si>
  <si>
    <t>SIO1[1:0]</t>
    <phoneticPr fontId="1" type="noConversion"/>
  </si>
  <si>
    <t>0000_0000_0000</t>
    <phoneticPr fontId="6" type="noConversion"/>
  </si>
  <si>
    <t>0x02</t>
    <phoneticPr fontId="1" type="noConversion"/>
  </si>
  <si>
    <t>STATUS2</t>
    <phoneticPr fontId="6" type="noConversion"/>
  </si>
  <si>
    <t>0x42</t>
  </si>
  <si>
    <t>RC</t>
    <phoneticPr fontId="6" type="noConversion"/>
  </si>
  <si>
    <t>OTPCRC</t>
    <phoneticPr fontId="1" type="noConversion"/>
  </si>
  <si>
    <t>T_OUT</t>
    <phoneticPr fontId="1" type="noConversion"/>
  </si>
  <si>
    <t>OPEN_R</t>
    <phoneticPr fontId="1" type="noConversion"/>
  </si>
  <si>
    <t>OPEN_G</t>
    <phoneticPr fontId="1" type="noConversion"/>
  </si>
  <si>
    <t>OPEN_B</t>
    <phoneticPr fontId="1" type="noConversion"/>
  </si>
  <si>
    <t>SHORT_R</t>
    <phoneticPr fontId="1" type="noConversion"/>
  </si>
  <si>
    <t>SHORT_G</t>
    <phoneticPr fontId="1" type="noConversion"/>
  </si>
  <si>
    <t>SHORT_B</t>
    <phoneticPr fontId="1" type="noConversion"/>
  </si>
  <si>
    <t>OT_FLT</t>
    <phoneticPr fontId="1" type="noConversion"/>
  </si>
  <si>
    <t>UV_FLT</t>
    <phoneticPr fontId="1" type="noConversion"/>
  </si>
  <si>
    <t>CRC_FLT</t>
    <phoneticPr fontId="1" type="noConversion"/>
  </si>
  <si>
    <t>COM_FLT</t>
    <phoneticPr fontId="1" type="noConversion"/>
  </si>
  <si>
    <t>0x03</t>
  </si>
  <si>
    <t>TEMP</t>
    <phoneticPr fontId="6" type="noConversion"/>
  </si>
  <si>
    <t>0x43</t>
  </si>
  <si>
    <t>TEMPERATURE[9:0]</t>
    <phoneticPr fontId="1" type="noConversion"/>
  </si>
  <si>
    <t>0x05</t>
    <phoneticPr fontId="6" type="noConversion"/>
  </si>
  <si>
    <t>VEXT_TM</t>
    <phoneticPr fontId="6" type="noConversion"/>
  </si>
  <si>
    <t>0x45</t>
  </si>
  <si>
    <t>VEXT_TM[9:0]</t>
    <phoneticPr fontId="1" type="noConversion"/>
  </si>
  <si>
    <t>0x06</t>
    <phoneticPr fontId="6" type="noConversion"/>
  </si>
  <si>
    <t>SETUP1</t>
    <phoneticPr fontId="6" type="noConversion"/>
  </si>
  <si>
    <t>0x86</t>
  </si>
  <si>
    <t>0x46</t>
  </si>
  <si>
    <t>RW</t>
    <phoneticPr fontId="6" type="noConversion"/>
  </si>
  <si>
    <t>TC_E</t>
    <phoneticPr fontId="1" type="noConversion"/>
  </si>
  <si>
    <t>OS_FLT_E</t>
    <phoneticPr fontId="1" type="noConversion"/>
  </si>
  <si>
    <t>OT_FLT_E</t>
    <phoneticPr fontId="1" type="noConversion"/>
  </si>
  <si>
    <t>UV_FLT_E</t>
    <phoneticPr fontId="1" type="noConversion"/>
  </si>
  <si>
    <t>COM_FLT_E</t>
    <phoneticPr fontId="1" type="noConversion"/>
  </si>
  <si>
    <t>CRC_E</t>
    <phoneticPr fontId="1" type="noConversion"/>
  </si>
  <si>
    <t>PH_SHIFT_E</t>
    <phoneticPr fontId="1" type="noConversion"/>
  </si>
  <si>
    <t>LG_E</t>
    <phoneticPr fontId="1" type="noConversion"/>
  </si>
  <si>
    <t>F_PWM_DIV[3:0]</t>
    <phoneticPr fontId="1" type="noConversion"/>
  </si>
  <si>
    <t>0x07</t>
    <phoneticPr fontId="6" type="noConversion"/>
  </si>
  <si>
    <t>SETUP2</t>
    <phoneticPr fontId="6" type="noConversion"/>
  </si>
  <si>
    <t>0x87</t>
  </si>
  <si>
    <t>0x47</t>
  </si>
  <si>
    <t>CLK_INV_E</t>
    <phoneticPr fontId="1" type="noConversion"/>
  </si>
  <si>
    <t>VEXT_MON_E</t>
    <phoneticPr fontId="1" type="noConversion"/>
  </si>
  <si>
    <t>EVENT_CYC</t>
    <phoneticPr fontId="1" type="noConversion"/>
  </si>
  <si>
    <t>UV_LVL[1:0]</t>
    <phoneticPr fontId="1" type="noConversion"/>
  </si>
  <si>
    <t>SH_LVL[1:0]</t>
    <phoneticPr fontId="1" type="noConversion"/>
  </si>
  <si>
    <t>0000_0000_1110</t>
    <phoneticPr fontId="6" type="noConversion"/>
  </si>
  <si>
    <t>0x0A</t>
    <phoneticPr fontId="6" type="noConversion"/>
  </si>
  <si>
    <t>TEMPTH</t>
    <phoneticPr fontId="6" type="noConversion"/>
  </si>
  <si>
    <t>0x8A</t>
  </si>
  <si>
    <t>0x4A</t>
  </si>
  <si>
    <t>TEMP_THRESHOLD[9:0]</t>
    <phoneticPr fontId="1" type="noConversion"/>
  </si>
  <si>
    <t>0x0B</t>
    <phoneticPr fontId="6" type="noConversion"/>
  </si>
  <si>
    <t>TEMPHYS</t>
    <phoneticPr fontId="6" type="noConversion"/>
  </si>
  <si>
    <t>0x8B</t>
  </si>
  <si>
    <t>0x4B</t>
  </si>
  <si>
    <t>TEMP_HYSTERISIS[9:0]</t>
    <phoneticPr fontId="1" type="noConversion"/>
  </si>
  <si>
    <t>0x0C</t>
    <phoneticPr fontId="1" type="noConversion"/>
  </si>
  <si>
    <t>CAL_PWM_RED</t>
    <phoneticPr fontId="6" type="noConversion"/>
  </si>
  <si>
    <t>0x4C</t>
  </si>
  <si>
    <t>PWM_RED_VAL[11:0]</t>
    <phoneticPr fontId="1" type="noConversion"/>
  </si>
  <si>
    <t>0x0D</t>
    <phoneticPr fontId="1" type="noConversion"/>
  </si>
  <si>
    <t>CAL_PWM_GREEN</t>
    <phoneticPr fontId="6" type="noConversion"/>
  </si>
  <si>
    <t>0x4D</t>
  </si>
  <si>
    <t>PWM_GREEN_VAL[11:0]</t>
    <phoneticPr fontId="1" type="noConversion"/>
  </si>
  <si>
    <t>0x0E</t>
    <phoneticPr fontId="1" type="noConversion"/>
  </si>
  <si>
    <t>CAL_PWM_BLUE</t>
    <phoneticPr fontId="6" type="noConversion"/>
  </si>
  <si>
    <t>0x4E</t>
  </si>
  <si>
    <t>PWM_BLUE_VAL[11:0]</t>
    <phoneticPr fontId="1" type="noConversion"/>
  </si>
  <si>
    <t>0x0F</t>
    <phoneticPr fontId="6" type="noConversion"/>
  </si>
  <si>
    <t>CURR_MAX_LVL</t>
    <phoneticPr fontId="6" type="noConversion"/>
  </si>
  <si>
    <t>0x8F</t>
  </si>
  <si>
    <t>0x4F</t>
  </si>
  <si>
    <t>R_CURR_MAX_LVL[3:0]</t>
    <phoneticPr fontId="1" type="noConversion"/>
  </si>
  <si>
    <t>G_CURR_MAX_LVL[3:0]</t>
    <phoneticPr fontId="1" type="noConversion"/>
  </si>
  <si>
    <t>B_CURR_MAX_LVL[3:0]</t>
    <phoneticPr fontId="1" type="noConversion"/>
  </si>
  <si>
    <t>1000_1000_1000</t>
    <phoneticPr fontId="6" type="noConversion"/>
  </si>
  <si>
    <t>0x10</t>
    <phoneticPr fontId="6" type="noConversion"/>
  </si>
  <si>
    <t>TEMP_LUT_TC1</t>
    <phoneticPr fontId="6" type="noConversion"/>
  </si>
  <si>
    <t>0x90</t>
  </si>
  <si>
    <t>0x50</t>
  </si>
  <si>
    <t>TEMP_LUT_TC1 [9:0]</t>
    <phoneticPr fontId="6" type="noConversion"/>
  </si>
  <si>
    <t>0010_0000_0000</t>
    <phoneticPr fontId="6" type="noConversion"/>
  </si>
  <si>
    <t>0x11</t>
    <phoneticPr fontId="6" type="noConversion"/>
  </si>
  <si>
    <t>TEMP_LUT_TC2</t>
  </si>
  <si>
    <t>0x91</t>
  </si>
  <si>
    <t>0x51</t>
  </si>
  <si>
    <t>TEMP_LUT_TC2 [9:0]</t>
    <phoneticPr fontId="6" type="noConversion"/>
  </si>
  <si>
    <t>0x12</t>
    <phoneticPr fontId="6" type="noConversion"/>
  </si>
  <si>
    <t>TEMP_LUT_TC3</t>
  </si>
  <si>
    <t>0x92</t>
  </si>
  <si>
    <t>0x52</t>
  </si>
  <si>
    <t>TEMP_LUT_TC3 [9:0]</t>
    <phoneticPr fontId="6" type="noConversion"/>
  </si>
  <si>
    <t>0010_0001_1010</t>
    <phoneticPr fontId="6" type="noConversion"/>
  </si>
  <si>
    <t>0x13</t>
    <phoneticPr fontId="6" type="noConversion"/>
  </si>
  <si>
    <t>TEMP_LUT_TC4</t>
  </si>
  <si>
    <t>0x93</t>
  </si>
  <si>
    <t>0x53</t>
  </si>
  <si>
    <t>TEMP_LUT_TC4 [9:0]</t>
    <phoneticPr fontId="6" type="noConversion"/>
  </si>
  <si>
    <t>0010_0011_0001</t>
    <phoneticPr fontId="6" type="noConversion"/>
  </si>
  <si>
    <t>0x14</t>
    <phoneticPr fontId="6" type="noConversion"/>
  </si>
  <si>
    <t>TEMP_LUT_TC5</t>
  </si>
  <si>
    <t>0x94</t>
  </si>
  <si>
    <t>0x54</t>
  </si>
  <si>
    <t>TEMP_LUT_TC5 [9:0]</t>
    <phoneticPr fontId="6" type="noConversion"/>
  </si>
  <si>
    <t>0010_0100_1000</t>
    <phoneticPr fontId="6" type="noConversion"/>
  </si>
  <si>
    <t>0x15</t>
    <phoneticPr fontId="6" type="noConversion"/>
  </si>
  <si>
    <t>TEMP_LUT_TC6</t>
  </si>
  <si>
    <t>0x95</t>
  </si>
  <si>
    <t>0x55</t>
  </si>
  <si>
    <t>TEMP_LUT_TC6 [9:0]</t>
    <phoneticPr fontId="6" type="noConversion"/>
  </si>
  <si>
    <t>0010_0101_1111</t>
    <phoneticPr fontId="6" type="noConversion"/>
  </si>
  <si>
    <t>0x16</t>
    <phoneticPr fontId="6" type="noConversion"/>
  </si>
  <si>
    <t>TEMP_LUT_TC7</t>
  </si>
  <si>
    <t>0x96</t>
  </si>
  <si>
    <t>0x56</t>
  </si>
  <si>
    <t>TEMP_LUT_TC7 [9:0]</t>
    <phoneticPr fontId="6" type="noConversion"/>
  </si>
  <si>
    <t>0010_0111_0110</t>
    <phoneticPr fontId="6" type="noConversion"/>
  </si>
  <si>
    <t>0x17</t>
    <phoneticPr fontId="6" type="noConversion"/>
  </si>
  <si>
    <t>TEMP_LUT_TC8</t>
  </si>
  <si>
    <t>0x97</t>
  </si>
  <si>
    <t>0x57</t>
  </si>
  <si>
    <t>TEMP_LUT_TC8 [9:0]</t>
    <phoneticPr fontId="6" type="noConversion"/>
  </si>
  <si>
    <t>0010_1000_1101</t>
    <phoneticPr fontId="6" type="noConversion"/>
  </si>
  <si>
    <t>0x18</t>
    <phoneticPr fontId="6" type="noConversion"/>
  </si>
  <si>
    <t>TEMP_LUT_TC9</t>
  </si>
  <si>
    <t>0x98</t>
  </si>
  <si>
    <t>0x58</t>
  </si>
  <si>
    <t>TEMP_LUT_TC9 [9:0]</t>
    <phoneticPr fontId="6" type="noConversion"/>
  </si>
  <si>
    <t>0010_1010_0100</t>
    <phoneticPr fontId="6" type="noConversion"/>
  </si>
  <si>
    <t>0x19</t>
    <phoneticPr fontId="6" type="noConversion"/>
  </si>
  <si>
    <t>TEMP_LUT_TC10</t>
  </si>
  <si>
    <t>0x99</t>
  </si>
  <si>
    <t>0x59</t>
  </si>
  <si>
    <t>TEMP_LUT_TC10 [9:0]</t>
    <phoneticPr fontId="6" type="noConversion"/>
  </si>
  <si>
    <t>0010_1011_1011</t>
    <phoneticPr fontId="6" type="noConversion"/>
  </si>
  <si>
    <t>0x1A</t>
    <phoneticPr fontId="6" type="noConversion"/>
  </si>
  <si>
    <t>TIMEOUT</t>
    <phoneticPr fontId="6" type="noConversion"/>
  </si>
  <si>
    <t>0x9A</t>
  </si>
  <si>
    <t>0x5A</t>
  </si>
  <si>
    <t>TIMEOUT[11:0]</t>
    <phoneticPr fontId="6" type="noConversion"/>
  </si>
  <si>
    <t>1000_0000_0000</t>
    <phoneticPr fontId="6" type="noConversion"/>
  </si>
  <si>
    <t>D23</t>
  </si>
  <si>
    <t>D22</t>
  </si>
  <si>
    <t>D21</t>
  </si>
  <si>
    <t>D20</t>
  </si>
  <si>
    <t>D19</t>
  </si>
  <si>
    <t>D18</t>
  </si>
  <si>
    <t>D17</t>
  </si>
  <si>
    <t>D16</t>
  </si>
  <si>
    <t>D13</t>
    <phoneticPr fontId="6" type="noConversion"/>
  </si>
  <si>
    <t>D12</t>
    <phoneticPr fontId="6" type="noConversion"/>
  </si>
  <si>
    <t>I2C@TESTMODE</t>
  </si>
  <si>
    <t>D11</t>
  </si>
  <si>
    <t>D10</t>
  </si>
  <si>
    <t>D9</t>
  </si>
  <si>
    <t>D8</t>
  </si>
  <si>
    <t>D7</t>
  </si>
  <si>
    <t>D6</t>
  </si>
  <si>
    <t>D1</t>
    <phoneticPr fontId="6" type="noConversion"/>
  </si>
  <si>
    <t>D0</t>
    <phoneticPr fontId="6" type="noConversion"/>
  </si>
  <si>
    <t>0x08</t>
    <phoneticPr fontId="1" type="noConversion"/>
  </si>
  <si>
    <t>MCAST</t>
    <phoneticPr fontId="6" type="noConversion"/>
  </si>
  <si>
    <t>0x88</t>
  </si>
  <si>
    <t>0x48</t>
  </si>
  <si>
    <t>MCAST_ADDR[15:12]</t>
    <phoneticPr fontId="1" type="noConversion"/>
  </si>
  <si>
    <t>0x09</t>
    <phoneticPr fontId="1" type="noConversion"/>
  </si>
  <si>
    <t>MCAST_ADDR[11:0]</t>
    <phoneticPr fontId="1" type="noConversion"/>
  </si>
  <si>
    <t>0x20</t>
    <phoneticPr fontId="1" type="noConversion"/>
  </si>
  <si>
    <t>RGB</t>
    <phoneticPr fontId="6" type="noConversion"/>
  </si>
  <si>
    <t>0xA0</t>
  </si>
  <si>
    <t>0x60</t>
  </si>
  <si>
    <t>R_DATA[7:0]</t>
    <phoneticPr fontId="1" type="noConversion"/>
  </si>
  <si>
    <t>G_DATA[7:4]</t>
    <phoneticPr fontId="1" type="noConversion"/>
  </si>
  <si>
    <t>0x21</t>
    <phoneticPr fontId="1" type="noConversion"/>
  </si>
  <si>
    <t>G_DATA[3:0]</t>
    <phoneticPr fontId="1" type="noConversion"/>
  </si>
  <si>
    <t>B_DATA[7:0]</t>
    <phoneticPr fontId="1" type="noConversion"/>
  </si>
  <si>
    <t>Reset Source</t>
    <phoneticPr fontId="1" type="noConversion"/>
  </si>
  <si>
    <t xml:space="preserve">1. POR : digital input signal (porb) </t>
    <phoneticPr fontId="1" type="noConversion"/>
  </si>
  <si>
    <t>2. RESET : registers reset by RESET command</t>
    <phoneticPr fontId="1" type="noConversion"/>
  </si>
  <si>
    <t>Access</t>
    <phoneticPr fontId="1" type="noConversion"/>
  </si>
  <si>
    <t>1. RW : Read / Write access</t>
    <phoneticPr fontId="1" type="noConversion"/>
  </si>
  <si>
    <t>2. RO : Read Only access</t>
    <phoneticPr fontId="1" type="noConversion"/>
  </si>
  <si>
    <t>3. RC : Read Clear access</t>
    <phoneticPr fontId="1" type="noConversion"/>
  </si>
  <si>
    <t>Name</t>
    <phoneticPr fontId="1" type="noConversion"/>
  </si>
  <si>
    <t>Addr</t>
    <phoneticPr fontId="1" type="noConversion"/>
  </si>
  <si>
    <t>Bit 11</t>
    <phoneticPr fontId="1" type="noConversion"/>
  </si>
  <si>
    <t>Bit 10</t>
    <phoneticPr fontId="1" type="noConversion"/>
  </si>
  <si>
    <t>Bit 9</t>
    <phoneticPr fontId="1" type="noConversion"/>
  </si>
  <si>
    <t>Bit 8</t>
    <phoneticPr fontId="1" type="noConversion"/>
  </si>
  <si>
    <t>Bit 7</t>
    <phoneticPr fontId="1" type="noConversion"/>
  </si>
  <si>
    <t>Bit 6</t>
    <phoneticPr fontId="1" type="noConversion"/>
  </si>
  <si>
    <t>Bit 5</t>
    <phoneticPr fontId="1" type="noConversion"/>
  </si>
  <si>
    <t>Bit 4</t>
    <phoneticPr fontId="1" type="noConversion"/>
  </si>
  <si>
    <t>Bit 3</t>
    <phoneticPr fontId="1" type="noConversion"/>
  </si>
  <si>
    <t>Bit 2</t>
    <phoneticPr fontId="1" type="noConversion"/>
  </si>
  <si>
    <t>Bit 1</t>
    <phoneticPr fontId="1" type="noConversion"/>
  </si>
  <si>
    <t>Bit 0</t>
    <phoneticPr fontId="1" type="noConversion"/>
  </si>
  <si>
    <t>STATUS1</t>
    <phoneticPr fontId="1" type="noConversion"/>
  </si>
  <si>
    <t>Content</t>
    <phoneticPr fontId="1" type="noConversion"/>
  </si>
  <si>
    <t>na</t>
    <phoneticPr fontId="1" type="noConversion"/>
  </si>
  <si>
    <t>Reset Value</t>
    <phoneticPr fontId="1" type="noConversion"/>
  </si>
  <si>
    <t>0x0</t>
    <phoneticPr fontId="1" type="noConversion"/>
  </si>
  <si>
    <t>POR, RESET</t>
    <phoneticPr fontId="1" type="noConversion"/>
  </si>
  <si>
    <t>RO</t>
    <phoneticPr fontId="1" type="noConversion"/>
  </si>
  <si>
    <t>Bit Description</t>
    <phoneticPr fontId="1" type="noConversion"/>
  </si>
  <si>
    <t>IC_STATE[2:0]: Represent current IC state.
3'b000 : POR. (default)
3'b001 : Uninitialized
3'b010 : Sleep
3'b011 : Active
3'b100 : Deepsleep
SIO2[1:0]: Communication mode of SIO2.
2'b00 : LVDS
2'b01 : EOL
2'b10 : MCU
2'b11 : CAN
Value is set automatically at startup and after reset.
SIO1[1:0]: Communication mode of SIO1.
2'b00 : LVDS
2'b01 : EOL
2'b10 : MCU
2'b11 : CAN
Value is set automatically at startup and after reset.</t>
    <phoneticPr fontId="1" type="noConversion"/>
  </si>
  <si>
    <t>STATUS2</t>
    <phoneticPr fontId="1" type="noConversion"/>
  </si>
  <si>
    <t>RC</t>
    <phoneticPr fontId="1" type="noConversion"/>
  </si>
  <si>
    <r>
      <t>This register's bits will be cleared after readout, but even if auto-cleared after readout, each bit will be set immediately as long as its source stays in event condition.
OTPCRC:
This is set during startup and working when a mismatch between the OTP values and the internal CRC is detected. Cleared after readout.
T_OUT
Frame Time Out event flag is raised if the response is not arrived within a fixed time, and auto-cleared after readout.
OPEN_R/G/B: 
R/G/B LED Open event flag is raised if the detection condition, V</t>
    </r>
    <r>
      <rPr>
        <vertAlign val="subscript"/>
        <sz val="8"/>
        <rFont val="맑은 고딕"/>
        <family val="3"/>
        <charset val="129"/>
        <scheme val="minor"/>
      </rPr>
      <t>HD</t>
    </r>
    <r>
      <rPr>
        <sz val="8"/>
        <rFont val="맑은 고딕"/>
        <family val="3"/>
        <charset val="129"/>
      </rPr>
      <t>＜</t>
    </r>
    <r>
      <rPr>
        <sz val="8"/>
        <rFont val="맑은 고딕"/>
        <family val="3"/>
        <charset val="129"/>
        <scheme val="minor"/>
      </rPr>
      <t>V</t>
    </r>
    <r>
      <rPr>
        <vertAlign val="subscript"/>
        <sz val="8"/>
        <rFont val="맑은 고딕"/>
        <family val="3"/>
        <charset val="129"/>
        <scheme val="minor"/>
      </rPr>
      <t xml:space="preserve">OPEN </t>
    </r>
    <r>
      <rPr>
        <sz val="8"/>
        <rFont val="맑은 고딕"/>
        <family val="3"/>
        <charset val="129"/>
        <scheme val="minor"/>
      </rPr>
      <t xml:space="preserve">(=0.25V) and the PWM output signal is active, </t>
    </r>
    <r>
      <rPr>
        <sz val="8"/>
        <color rgb="FFFF0000"/>
        <rFont val="맑은 고딕"/>
        <family val="3"/>
        <charset val="129"/>
        <scheme val="minor"/>
      </rPr>
      <t>continues for 16 consecutive FPWM_DIV cycles.</t>
    </r>
    <r>
      <rPr>
        <sz val="8"/>
        <rFont val="맑은 고딕"/>
        <family val="3"/>
        <charset val="129"/>
        <scheme val="minor"/>
      </rPr>
      <t xml:space="preserve">
If the event flag is raised under OS_FLT_E ‘1’, then the device state will transit to a SLEEP state and the LED sink driver will be turned off.
This bit is auto-cleared after readout, but if the detection condition is still valid after readout, this bit will be set again immediately unless the condition is removed.
SHORT_R/G/B: 
R/G/B LED Short event flag is raised if the detection condition, V</t>
    </r>
    <r>
      <rPr>
        <vertAlign val="subscript"/>
        <sz val="8"/>
        <rFont val="맑은 고딕"/>
        <family val="3"/>
        <charset val="129"/>
        <scheme val="minor"/>
      </rPr>
      <t>HD</t>
    </r>
    <r>
      <rPr>
        <sz val="8"/>
        <rFont val="맑은 고딕"/>
        <family val="3"/>
        <charset val="129"/>
        <scheme val="minor"/>
      </rPr>
      <t xml:space="preserve"> ≥ V</t>
    </r>
    <r>
      <rPr>
        <vertAlign val="subscript"/>
        <sz val="8"/>
        <rFont val="맑은 고딕"/>
        <family val="3"/>
        <charset val="129"/>
        <scheme val="minor"/>
      </rPr>
      <t xml:space="preserve">S_TH </t>
    </r>
    <r>
      <rPr>
        <sz val="8"/>
        <rFont val="맑은 고딕"/>
        <family val="3"/>
        <charset val="129"/>
        <scheme val="minor"/>
      </rPr>
      <t xml:space="preserve">(configurable with SH_LVL) and the PWM output F28signal is active, </t>
    </r>
    <r>
      <rPr>
        <sz val="8"/>
        <color rgb="FFFF0000"/>
        <rFont val="맑은 고딕"/>
        <family val="3"/>
        <charset val="129"/>
        <scheme val="minor"/>
      </rPr>
      <t>continues for 16 consecutive FPWM_DIV cycles.</t>
    </r>
    <r>
      <rPr>
        <sz val="8"/>
        <rFont val="맑은 고딕"/>
        <family val="3"/>
        <charset val="129"/>
        <scheme val="minor"/>
      </rPr>
      <t xml:space="preserve">
If the event flag is raised under OS_FLT_E ‘1’, then the device state will transit to a SLEEP state and the LED sink driver will be turned off.
This bit is auto-cleared after readout, but if the detection condition is still valid after readout, this bit will be set again immediately unless the condition is removed.
OT_FLT: 
Over temperature fault flag is raised if the detection condition, TEMP &gt; TEMPTH, </t>
    </r>
    <r>
      <rPr>
        <sz val="8"/>
        <color rgb="FFFF0000"/>
        <rFont val="맑은 고딕"/>
        <family val="3"/>
        <charset val="129"/>
        <scheme val="minor"/>
      </rPr>
      <t>continues for 5 consecutive EVENT_CYC cycles.</t>
    </r>
    <r>
      <rPr>
        <sz val="8"/>
        <rFont val="맑은 고딕"/>
        <family val="3"/>
        <charset val="129"/>
        <scheme val="minor"/>
      </rPr>
      <t xml:space="preserve">
If the event flag is raised under OT_FLT_E ‘1’, then the device state will transit to a SLEEP state and the LED sink driver will be turned off.
This bit is auto-cleared after readout or in case TEMP goes down below TEMPHYS, but if the detection condition is still valid after readout, this bit will be set again immediately unless the condition is removed.
</t>
    </r>
    <r>
      <rPr>
        <sz val="8"/>
        <color rgb="FFFF0000"/>
        <rFont val="맑은 고딕"/>
        <family val="3"/>
        <charset val="129"/>
        <scheme val="minor"/>
      </rPr>
      <t xml:space="preserve">The TEMP update period is performed at a period of 31.25khz if the EVENT_CYC is set to 0, and 62,5khz if the EVENT_CYC is set to 1. However, if VEXT_MON_E is set to 1, the update duration will be repeated
every 36 EVENT_CYC cycles.
</t>
    </r>
    <r>
      <rPr>
        <sz val="8"/>
        <rFont val="맑은 고딕"/>
        <family val="3"/>
        <charset val="129"/>
        <scheme val="minor"/>
      </rPr>
      <t xml:space="preserve">
UV_FLT:  
Undervoltage fault flag is raised if the detection condition, V</t>
    </r>
    <r>
      <rPr>
        <vertAlign val="subscript"/>
        <sz val="8"/>
        <rFont val="맑은 고딕"/>
        <family val="3"/>
        <charset val="129"/>
        <scheme val="minor"/>
      </rPr>
      <t>DD</t>
    </r>
    <r>
      <rPr>
        <sz val="8"/>
        <rFont val="맑은 고딕"/>
        <family val="3"/>
        <charset val="129"/>
        <scheme val="minor"/>
      </rPr>
      <t xml:space="preserve"> &lt; V</t>
    </r>
    <r>
      <rPr>
        <vertAlign val="subscript"/>
        <sz val="8"/>
        <rFont val="맑은 고딕"/>
        <family val="3"/>
        <charset val="129"/>
        <scheme val="minor"/>
      </rPr>
      <t>UVLO</t>
    </r>
    <r>
      <rPr>
        <sz val="8"/>
        <rFont val="맑은 고딕"/>
        <family val="3"/>
        <charset val="129"/>
        <scheme val="minor"/>
      </rPr>
      <t xml:space="preserve"> (configurable with UV_LVL), </t>
    </r>
    <r>
      <rPr>
        <sz val="8"/>
        <color rgb="FFFF0000"/>
        <rFont val="맑은 고딕"/>
        <family val="3"/>
        <charset val="129"/>
        <scheme val="minor"/>
      </rPr>
      <t>continues for 5 consecutive EVENT_CYC cycles.</t>
    </r>
    <r>
      <rPr>
        <sz val="8"/>
        <rFont val="맑은 고딕"/>
        <family val="3"/>
        <charset val="129"/>
        <scheme val="minor"/>
      </rPr>
      <t xml:space="preserve">
If the event flag is raised under UV_FLT_E ‘1’, then the device state will transit to a SLEEP state and the LED sink driver will be turned off.
This bit is auto-cleared after readout, but if the detection condition is still valid after readout, this bit will be set again immediately unless the condition is removed.
</t>
    </r>
    <r>
      <rPr>
        <sz val="8"/>
        <rFont val="맑은 고딕"/>
        <family val="3"/>
        <charset val="129"/>
      </rPr>
      <t>※</t>
    </r>
    <r>
      <rPr>
        <sz val="9.6"/>
        <rFont val="맑은 고딕"/>
        <family val="3"/>
        <charset val="129"/>
      </rPr>
      <t xml:space="preserve"> </t>
    </r>
    <r>
      <rPr>
        <sz val="8"/>
        <rFont val="맑은 고딕"/>
        <family val="3"/>
        <charset val="129"/>
        <scheme val="minor"/>
      </rPr>
      <t>EVENT_CYC will be deactivated in deepsleep mode (working in active state and sleep;  0: 31.25khz (32us),  1: 62.5khz (16us)
CRC_FLT: CRC fault flag is raised if CRC is wrong under CRC_E ‘1’, and auto-cleared after readout.
COM_FLT: Communication fault flag is raised if any communication error is occurred, and auto-cleared after readout. 
If the fault flag is raised under COM_FLT_E ‘1’, then the device state will transit to a SLEEP state and the LED sink driver will be turned off.</t>
    </r>
    <phoneticPr fontId="1" type="noConversion"/>
  </si>
  <si>
    <t>TEMP</t>
    <phoneticPr fontId="1" type="noConversion"/>
  </si>
  <si>
    <t>0x03</t>
    <phoneticPr fontId="1" type="noConversion"/>
  </si>
  <si>
    <t>0x000</t>
    <phoneticPr fontId="1" type="noConversion"/>
  </si>
  <si>
    <t>TEMPERATURE[9:0]: Temperature data</t>
    <phoneticPr fontId="1" type="noConversion"/>
  </si>
  <si>
    <t>VEXT_TM</t>
    <phoneticPr fontId="1" type="noConversion"/>
  </si>
  <si>
    <t>0x05</t>
    <phoneticPr fontId="1" type="noConversion"/>
  </si>
  <si>
    <t>VEXT_TM[9:0]: EXT_TM pin voltage.</t>
    <phoneticPr fontId="1" type="noConversion"/>
  </si>
  <si>
    <t>SETUP1</t>
    <phoneticPr fontId="1" type="noConversion"/>
  </si>
  <si>
    <t>0x06</t>
    <phoneticPr fontId="1" type="noConversion"/>
  </si>
  <si>
    <t>FPWM_DIV[3:0]</t>
    <phoneticPr fontId="1" type="noConversion"/>
  </si>
  <si>
    <t>(</t>
    <phoneticPr fontId="1" type="noConversion"/>
  </si>
  <si>
    <t>RW</t>
    <phoneticPr fontId="1" type="noConversion"/>
  </si>
  <si>
    <t>TC_E:
0: RED LED temperature compensation disable.
1: RED LED temperature compensation enable.
OS_FLT_E:
0: LED open/short fault flag, OS_FLT, is raised.
1: OS_FLT bit is raised, and LED drivers are disabled.
OT_FLT_E:
0: Overtemperature fault flag, OT_FLT, is raised.
1: OT_FLT bit is raised, and LED drivers are disabled.
UV_FLT_E:
0: Undervoltage fault flag, UV_FLT, is raised.
1: UV_FLT bit is raised, and LED drivers are disabled.
COM_FLT_E:
0: Communication fault flag, C_FLT, is raised.
1: C_FLT bit is raised, and LED drivers are disabled.
CRC_E:
0: CRC disabled.
1: CRC enabled.
PH_SHIFT_E:
0: No shift
1: G starts driving the sink-output at 0 degree, and then R, 90 degree and B, 270 degree, respectively.
LG_E:
0: Low Grayscale PWM disable.
1: Low Grayscale PWM enable.
If R/G/B each 8-bit data ＜ 0x4, the PWM frequency is FPWM/4, and if 0x3 &lt; data ＜ 0x8, the PWM frequency is FPWM/2
FPWM_DIV[3:0]: PWM Frequency divider. The PWM Frequency is activated in only active mode. FPWM = mclk / (F_PWM_DIV+1)</t>
    <phoneticPr fontId="1" type="noConversion"/>
  </si>
  <si>
    <t>SETUP2</t>
    <phoneticPr fontId="1" type="noConversion"/>
  </si>
  <si>
    <t>0x07</t>
    <phoneticPr fontId="1" type="noConversion"/>
  </si>
  <si>
    <t>0x3</t>
    <phoneticPr fontId="1" type="noConversion"/>
  </si>
  <si>
    <t>0x2</t>
    <phoneticPr fontId="1" type="noConversion"/>
  </si>
  <si>
    <r>
      <t xml:space="preserve">CLK_INV_E: CLK polarity for MCU mode
0: Inverted disabled.
1: Inverted enabled.
VEXT_MON_E:
0: EXT_TM pin voltage monitoring disable.
1: EXT_TM pin voltage monitoring enable.
</t>
    </r>
    <r>
      <rPr>
        <strike/>
        <sz val="8"/>
        <rFont val="맑은 고딕"/>
        <family val="3"/>
        <charset val="129"/>
        <scheme val="minor"/>
      </rPr>
      <t xml:space="preserve">
</t>
    </r>
    <r>
      <rPr>
        <sz val="8"/>
        <rFont val="맑은 고딕"/>
        <family val="3"/>
        <charset val="129"/>
        <scheme val="minor"/>
      </rPr>
      <t xml:space="preserve">EVENT_CYC:
This bit determines a period to detect fault events or </t>
    </r>
    <r>
      <rPr>
        <sz val="8"/>
        <color rgb="FFFF0000"/>
        <rFont val="맑은 고딕"/>
        <family val="3"/>
        <charset val="129"/>
        <scheme val="minor"/>
      </rPr>
      <t>ADC clock.</t>
    </r>
    <r>
      <rPr>
        <sz val="8"/>
        <rFont val="맑은 고딕"/>
        <family val="3"/>
        <charset val="129"/>
        <scheme val="minor"/>
      </rPr>
      <t xml:space="preserve">
0: 31.25khz (typical 32us)
1: 62.5khz (typical 16us)
UV_LVL[1:0]: UVLO detection level.
2'b00 : VUV_TH = 3.6V
2'b01 : VUV_TH = 3.8V
2'b10 : VUV_TH = 4.0V
2'b11 : VUV_TH = 4.2V (default)
SH_LVL[1:0]: LED Short detection level.
2'b00 : VS_TH = 3.75V
2'b01 : VS_TH = 4.00V 
2'b10 : VS_TH = 4.25V (default)
2'b11 : VS_TH = 4.50V</t>
    </r>
    <phoneticPr fontId="1" type="noConversion"/>
  </si>
  <si>
    <t>Bit 23</t>
    <phoneticPr fontId="1" type="noConversion"/>
  </si>
  <si>
    <t>Bit 22</t>
    <phoneticPr fontId="1" type="noConversion"/>
  </si>
  <si>
    <t>Bit 21</t>
    <phoneticPr fontId="1" type="noConversion"/>
  </si>
  <si>
    <t>Bit 20</t>
    <phoneticPr fontId="1" type="noConversion"/>
  </si>
  <si>
    <t>Bit 19</t>
    <phoneticPr fontId="1" type="noConversion"/>
  </si>
  <si>
    <t>Bit 18</t>
    <phoneticPr fontId="1" type="noConversion"/>
  </si>
  <si>
    <t>Bit 17</t>
    <phoneticPr fontId="1" type="noConversion"/>
  </si>
  <si>
    <t>Bit 16</t>
    <phoneticPr fontId="1" type="noConversion"/>
  </si>
  <si>
    <t>Bit 15</t>
    <phoneticPr fontId="1" type="noConversion"/>
  </si>
  <si>
    <t>Bit 14</t>
    <phoneticPr fontId="1" type="noConversion"/>
  </si>
  <si>
    <t>Bit 13</t>
    <phoneticPr fontId="1" type="noConversion"/>
  </si>
  <si>
    <t>Bit 12</t>
    <phoneticPr fontId="1" type="noConversion"/>
  </si>
  <si>
    <t>MCAST</t>
    <phoneticPr fontId="1" type="noConversion"/>
  </si>
  <si>
    <t>MCAST_ADDR[15:0]: Multicast group address. In case that the device address indicates the multicast group address. 
All devices received the command act like a broadcast and all device belonging to a multicast address should treat the command transaction.
This register can be accessed by SET_MCAST and READ_MCAST command.
[0] = 1 : Multicast group address 0xFEF (4079)
[1] = 1 : Multicast group address 0xFF0 (4080)
〮〮〮
[15] = 1 : Multicast group address 0xFFE (4094)
12bits device addr
0x000 → broad-cast addr
0x001~0xFEE → individual node addr
0xFEF~0xFFE → multi-cast addr
0xFFF → default addr</t>
    <phoneticPr fontId="1" type="noConversion"/>
  </si>
  <si>
    <t>RGB</t>
    <phoneticPr fontId="1" type="noConversion"/>
  </si>
  <si>
    <t>0x00</t>
    <phoneticPr fontId="1" type="noConversion"/>
  </si>
  <si>
    <t>R_DATA[7:0]/G_DATA[7:0]/B_DATA[7:0]: This data is converted into 12-bit PWM data toward a sink driver.
PWM data = (R/G/B_DATA x PWM_MAX_R/G/B + 128) &gt;&gt; 8</t>
    <phoneticPr fontId="1" type="noConversion"/>
  </si>
  <si>
    <t>TEMPTH</t>
    <phoneticPr fontId="1" type="noConversion"/>
  </si>
  <si>
    <t>0x0A</t>
    <phoneticPr fontId="1" type="noConversion"/>
  </si>
  <si>
    <t>TEMP_THRESHOLD[9:0]: Overtemperature fault detection threshold. 
The OT_FLT is raised automatically the temperature increases above this value.</t>
    <phoneticPr fontId="1" type="noConversion"/>
  </si>
  <si>
    <t>TEMPHYS</t>
    <phoneticPr fontId="1" type="noConversion"/>
  </si>
  <si>
    <t>0x0B</t>
    <phoneticPr fontId="1" type="noConversion"/>
  </si>
  <si>
    <t>TEMP_HYSTERISIS[9:0]: Overtemperature fault release threshold. 
The OT_FLT can be cleared only when the temperature is below this value.</t>
    <phoneticPr fontId="1" type="noConversion"/>
  </si>
  <si>
    <t>PWM_RED_VAL</t>
    <phoneticPr fontId="1" type="noConversion"/>
  </si>
  <si>
    <t>PWM_RED_VAL[11:0]: 12bit RED PWM calculated data value</t>
    <phoneticPr fontId="1" type="noConversion"/>
  </si>
  <si>
    <t>PWM_GREEN_VAL</t>
    <phoneticPr fontId="1" type="noConversion"/>
  </si>
  <si>
    <t>PWM_GREEN_VAL[11:0]: 12bit GREEN calculated data value</t>
    <phoneticPr fontId="1" type="noConversion"/>
  </si>
  <si>
    <t>PWM_BLUE_VAL</t>
    <phoneticPr fontId="1" type="noConversion"/>
  </si>
  <si>
    <t>PWM_BLUE_VAL[11:0]: 12bit BLUE PWM calculated data value</t>
    <phoneticPr fontId="1" type="noConversion"/>
  </si>
  <si>
    <t>CURR_MAX_LVL</t>
    <phoneticPr fontId="1" type="noConversion"/>
  </si>
  <si>
    <t>0x0F</t>
    <phoneticPr fontId="1" type="noConversion"/>
  </si>
  <si>
    <t>0x8</t>
    <phoneticPr fontId="1" type="noConversion"/>
  </si>
  <si>
    <t>This determines the max current value of the output sink driver.
4'b0000:  1.44mA
4'b0001:  2.87mA
4'b0010:  4.31mA
4'b0011:  5.75mA
4'b0100:  7.18mA
4'b0101:  8.62mA
4'b0110: 10.05mA
4'b0111: 10.48mA
4'b1000: 12.92mA
4'b1001: 14.35mA 
4'b1010: 15.78mA
4'b1011: 17.21mA
4'b1100: 18.65mA
4'b1101: 20.08mA
4'b1110: 21.51mA
4'b1111: 22.94mA</t>
    <phoneticPr fontId="1" type="noConversion"/>
  </si>
  <si>
    <t>TEMP_LUT_TC1</t>
    <phoneticPr fontId="1" type="noConversion"/>
  </si>
  <si>
    <t>0x10</t>
    <phoneticPr fontId="1" type="noConversion"/>
  </si>
  <si>
    <t>TEMP_LUT_TC1 [9:0]</t>
    <phoneticPr fontId="1" type="noConversion"/>
  </si>
  <si>
    <t>0x200</t>
    <phoneticPr fontId="1" type="noConversion"/>
  </si>
  <si>
    <t>TEMP_LUT_TC1[9:0]: when the TEMPERATURE is from TC_BASE to TC_OFFSET, TEMP_LUT_TC1[9:0] is applied during TC equation</t>
    <phoneticPr fontId="1" type="noConversion"/>
  </si>
  <si>
    <t>TEMP_LUT_TC2</t>
    <phoneticPr fontId="1" type="noConversion"/>
  </si>
  <si>
    <t>0x11</t>
    <phoneticPr fontId="1" type="noConversion"/>
  </si>
  <si>
    <t>TEMP_LUT_TC2 [9:0]</t>
    <phoneticPr fontId="1" type="noConversion"/>
  </si>
  <si>
    <t>TEMP_LUT_TC2[9:0]: when the TEMPERATURE is in the range of (TC_BASE+TC_OFFSET*1+1) to TC_OFFSET, TEMP_LUT_TC2[9:0] is applied during TC equation</t>
    <phoneticPr fontId="1" type="noConversion"/>
  </si>
  <si>
    <t>TEMP_LUT_TC3</t>
    <phoneticPr fontId="1" type="noConversion"/>
  </si>
  <si>
    <t>0x12</t>
    <phoneticPr fontId="1" type="noConversion"/>
  </si>
  <si>
    <t>TEMP_LUT_TC3 [9:0]</t>
    <phoneticPr fontId="1" type="noConversion"/>
  </si>
  <si>
    <t>0x21A</t>
    <phoneticPr fontId="1" type="noConversion"/>
  </si>
  <si>
    <t>TEMP_LUT_TC3[9:0]: when the TEMPERATURE is in the range of (TC_BASE+TC_OFFSET*2+2) to TC_OFFSET, TEMP_LUT_TC3[9:0] is applied during TC equation</t>
    <phoneticPr fontId="1" type="noConversion"/>
  </si>
  <si>
    <t>TEMP_LUT_TC4</t>
    <phoneticPr fontId="1" type="noConversion"/>
  </si>
  <si>
    <t>0x13</t>
    <phoneticPr fontId="1" type="noConversion"/>
  </si>
  <si>
    <t>TEMP_LUT_TC4 [9:0]</t>
    <phoneticPr fontId="1" type="noConversion"/>
  </si>
  <si>
    <t>0x231</t>
    <phoneticPr fontId="1" type="noConversion"/>
  </si>
  <si>
    <t>TEMP_LUT_TC4[9:0]: when the TEMPERATURE is in the range of (TC_BASE+TC_OFFSET*3+3) to TC_OFFSET, TEMP_LUT_TC4[9:0] is applied during TC equation</t>
    <phoneticPr fontId="1" type="noConversion"/>
  </si>
  <si>
    <t>TEMP_LUT_TC5</t>
    <phoneticPr fontId="1" type="noConversion"/>
  </si>
  <si>
    <t>0x14</t>
    <phoneticPr fontId="1" type="noConversion"/>
  </si>
  <si>
    <t>TEMP_LUT_TC5 [9:0]</t>
    <phoneticPr fontId="1" type="noConversion"/>
  </si>
  <si>
    <t>0x248</t>
    <phoneticPr fontId="1" type="noConversion"/>
  </si>
  <si>
    <t>TEMP_LUT_TC5[9:0]: when the TEMPERATURE is in the range of (TC_BASE+TC_OFFSET*4+4) to TC_OFFSET, TEMP_LUT_TC5[9:0] is applied during TC equation</t>
    <phoneticPr fontId="1" type="noConversion"/>
  </si>
  <si>
    <t>TEMP_LUT_TC6</t>
    <phoneticPr fontId="1" type="noConversion"/>
  </si>
  <si>
    <t>0x15</t>
    <phoneticPr fontId="1" type="noConversion"/>
  </si>
  <si>
    <t>TEMP_LUT_TC6 [9:0]</t>
    <phoneticPr fontId="1" type="noConversion"/>
  </si>
  <si>
    <t>0x25F</t>
    <phoneticPr fontId="1" type="noConversion"/>
  </si>
  <si>
    <t>TEMP_LUT_TC6[9:0]: when the TEMPERATURE is in the range of (TC_BASE+TC_OFFSET*5+5) to TC_OFFSET, TEMP_LUT_TC6[9:0] is applied during TC equation</t>
    <phoneticPr fontId="1" type="noConversion"/>
  </si>
  <si>
    <t>TEMP_LUT_TC7</t>
    <phoneticPr fontId="1" type="noConversion"/>
  </si>
  <si>
    <t>0x16</t>
    <phoneticPr fontId="1" type="noConversion"/>
  </si>
  <si>
    <t>TEMP_LUT_TC7 [9:0]</t>
    <phoneticPr fontId="1" type="noConversion"/>
  </si>
  <si>
    <t>0x276</t>
    <phoneticPr fontId="1" type="noConversion"/>
  </si>
  <si>
    <t>TEMP_LUT_TC7[9:0]: when the TEMPERATURE is in the range of (TC_BASE+TC_OFFSET*6+6) to TC_OFFSET, TEMP_LUT_TC7[9:0] is applied during TC equation</t>
    <phoneticPr fontId="1" type="noConversion"/>
  </si>
  <si>
    <t>TEMP_LUT_TC8</t>
    <phoneticPr fontId="1" type="noConversion"/>
  </si>
  <si>
    <t>0x17</t>
    <phoneticPr fontId="1" type="noConversion"/>
  </si>
  <si>
    <t>TEMP_LUT_TC8 [9:0]</t>
    <phoneticPr fontId="1" type="noConversion"/>
  </si>
  <si>
    <t>0x28D</t>
    <phoneticPr fontId="1" type="noConversion"/>
  </si>
  <si>
    <t>TEMP_LUT_TC8[9:0]: when the TEMPERATURE is in the range of (TC_BASE+TC_OFFSET*7+7) to TC_OFFSET, TEMP_LUT_TC8[9:0] is applied during TC equation</t>
    <phoneticPr fontId="1" type="noConversion"/>
  </si>
  <si>
    <t>TEMP_LUT_TC9</t>
    <phoneticPr fontId="1" type="noConversion"/>
  </si>
  <si>
    <t>0x18</t>
    <phoneticPr fontId="1" type="noConversion"/>
  </si>
  <si>
    <t>TEMP_LUT_TC9 [9:0]</t>
    <phoneticPr fontId="1" type="noConversion"/>
  </si>
  <si>
    <t>0x2A4</t>
    <phoneticPr fontId="1" type="noConversion"/>
  </si>
  <si>
    <t>TEMP_LUT_TC9[9:0]: when the TEMPERATURE is in the range of (TC_BASE+TC_OFFSET*8+8) to TC_OFFSET, TEMP_LUT_TC9[9:0] is applied during TC equation</t>
    <phoneticPr fontId="1" type="noConversion"/>
  </si>
  <si>
    <t>TEMP_LUT_TC10</t>
    <phoneticPr fontId="1" type="noConversion"/>
  </si>
  <si>
    <t>0x19</t>
    <phoneticPr fontId="1" type="noConversion"/>
  </si>
  <si>
    <t>TEMP_LUT_TC10 [9:0]</t>
    <phoneticPr fontId="1" type="noConversion"/>
  </si>
  <si>
    <t>0x2BB</t>
    <phoneticPr fontId="1" type="noConversion"/>
  </si>
  <si>
    <t>TEMP_LUT_TC10[9:0]: when the TEMPERATURE is in the range of (TC_BASE+TC_OFFSET*9+9) to TC_OFFSET, TEMP_LUT_TC10[9:0] is applied during TC equation</t>
    <phoneticPr fontId="1" type="noConversion"/>
  </si>
  <si>
    <t>TIMEOUT</t>
    <phoneticPr fontId="1" type="noConversion"/>
  </si>
  <si>
    <t>0x1A</t>
    <phoneticPr fontId="1" type="noConversion"/>
  </si>
  <si>
    <t>TIMEOUT [11:0]</t>
    <phoneticPr fontId="1" type="noConversion"/>
  </si>
  <si>
    <t>0x800</t>
    <phoneticPr fontId="1" type="noConversion"/>
  </si>
  <si>
    <t>ref clk = mclk * 2^10</t>
    <phoneticPr fontId="1" type="noConversion"/>
  </si>
  <si>
    <t>Dec</t>
    <phoneticPr fontId="4" type="noConversion"/>
  </si>
  <si>
    <t>OTP_CONTROL</t>
    <phoneticPr fontId="1" type="noConversion"/>
  </si>
  <si>
    <t>0xE0</t>
    <phoneticPr fontId="1" type="noConversion"/>
  </si>
  <si>
    <t>TRIM_CONTROL</t>
    <phoneticPr fontId="1" type="noConversion"/>
  </si>
  <si>
    <t>POR</t>
    <phoneticPr fontId="1" type="noConversion"/>
  </si>
  <si>
    <t>TEST_E</t>
    <phoneticPr fontId="1" type="noConversion"/>
  </si>
  <si>
    <t>CKO_E</t>
    <phoneticPr fontId="1" type="noConversion"/>
  </si>
  <si>
    <t>ADC_CLK_POL</t>
    <phoneticPr fontId="1" type="noConversion"/>
  </si>
  <si>
    <t>ANA_MOD_SEL [2:0]</t>
    <phoneticPr fontId="1" type="noConversion"/>
  </si>
  <si>
    <t>T_ANA_SEL[2:0]</t>
    <phoneticPr fontId="1" type="noConversion"/>
  </si>
  <si>
    <t>PWM_MAX_R_E</t>
    <phoneticPr fontId="1" type="noConversion"/>
  </si>
  <si>
    <t>PWM_MAX_G_E</t>
    <phoneticPr fontId="1" type="noConversion"/>
  </si>
  <si>
    <t>PWM_MAX_B_E</t>
    <phoneticPr fontId="1" type="noConversion"/>
  </si>
  <si>
    <t>0xE1</t>
  </si>
  <si>
    <t>OTP_CONTROL1</t>
  </si>
  <si>
    <t>OTP_PG2</t>
    <phoneticPr fontId="1" type="noConversion"/>
  </si>
  <si>
    <t>OTP_PG1</t>
    <phoneticPr fontId="1" type="noConversion"/>
  </si>
  <si>
    <t>T_ANA_E</t>
    <phoneticPr fontId="1" type="noConversion"/>
  </si>
  <si>
    <t>OTP_RD</t>
    <phoneticPr fontId="1" type="noConversion"/>
  </si>
  <si>
    <t>OTP_WSEL [3:0]</t>
    <phoneticPr fontId="1" type="noConversion"/>
  </si>
  <si>
    <t>TMUX_SEL [3:0]</t>
    <phoneticPr fontId="1" type="noConversion"/>
  </si>
  <si>
    <t>0000_0100_0000</t>
    <phoneticPr fontId="6" type="noConversion"/>
  </si>
  <si>
    <t>0xE2</t>
  </si>
  <si>
    <t>OTP_CONTROL2</t>
  </si>
  <si>
    <t>OTP_PG_ACC_CYCLE [11:0]</t>
    <phoneticPr fontId="1" type="noConversion"/>
  </si>
  <si>
    <t>0001_0100_0000</t>
    <phoneticPr fontId="6" type="noConversion"/>
  </si>
  <si>
    <t>0xE3</t>
  </si>
  <si>
    <t>OTP_CONTROL3</t>
  </si>
  <si>
    <t>PROTECT [11:0]</t>
    <phoneticPr fontId="1" type="noConversion"/>
  </si>
  <si>
    <t>0101_1010_0101</t>
    <phoneticPr fontId="6" type="noConversion"/>
  </si>
  <si>
    <t>OTP_WAFER</t>
    <phoneticPr fontId="1" type="noConversion"/>
  </si>
  <si>
    <t>0xE4</t>
  </si>
  <si>
    <t>OTP1_MIRROR1</t>
    <phoneticPr fontId="1" type="noConversion"/>
  </si>
  <si>
    <t>SIO1_TR_TX_BIAS [2:0]</t>
    <phoneticPr fontId="1" type="noConversion"/>
  </si>
  <si>
    <t>SIO2_TR_TX_BIAS [2:0]</t>
    <phoneticPr fontId="1" type="noConversion"/>
  </si>
  <si>
    <t>V_TRIM_BGR [5:0]</t>
    <phoneticPr fontId="1" type="noConversion"/>
  </si>
  <si>
    <t>0000_0010_0000</t>
    <phoneticPr fontId="4" type="noConversion"/>
  </si>
  <si>
    <t>0xE5</t>
  </si>
  <si>
    <t>OTP1_MIRROR2</t>
    <phoneticPr fontId="1" type="noConversion"/>
  </si>
  <si>
    <t>SIO1_TR_RES [1:0]</t>
    <phoneticPr fontId="1" type="noConversion"/>
  </si>
  <si>
    <t>SIO2_TR_RES [1:0]</t>
    <phoneticPr fontId="1" type="noConversion"/>
  </si>
  <si>
    <t>VLDO_CTRL [2:0]</t>
    <phoneticPr fontId="1" type="noConversion"/>
  </si>
  <si>
    <t>I_TRIM_BGR [4:0]</t>
    <phoneticPr fontId="4" type="noConversion"/>
  </si>
  <si>
    <t>0000_0001_0000</t>
    <phoneticPr fontId="4" type="noConversion"/>
  </si>
  <si>
    <t>0xE6</t>
  </si>
  <si>
    <t>OTP1_MIRROR3</t>
  </si>
  <si>
    <t>TEMP_TRIM_BGR [5:0]</t>
    <phoneticPr fontId="1" type="noConversion"/>
  </si>
  <si>
    <t>BGR_R1_TRIM&lt;3:0&gt;</t>
  </si>
  <si>
    <t>0010_0000_1000</t>
    <phoneticPr fontId="4" type="noConversion"/>
  </si>
  <si>
    <t>0xE7</t>
  </si>
  <si>
    <t>OTP1_MIRROR4</t>
  </si>
  <si>
    <t>OSC_CTL [7:0]</t>
    <phoneticPr fontId="1" type="noConversion"/>
  </si>
  <si>
    <t>BGR_R2_TRIM&lt;3:0&gt;</t>
  </si>
  <si>
    <t>0000_0000_1000</t>
    <phoneticPr fontId="1" type="noConversion"/>
  </si>
  <si>
    <t>0xE8</t>
  </si>
  <si>
    <t>OTP1_MIRROR5</t>
  </si>
  <si>
    <t>0000_0000_0000</t>
    <phoneticPr fontId="1" type="noConversion"/>
  </si>
  <si>
    <t>0xE9</t>
  </si>
  <si>
    <t>OTP1_MIRROR6</t>
  </si>
  <si>
    <t>0xEA</t>
    <phoneticPr fontId="1" type="noConversion"/>
  </si>
  <si>
    <t>OTP1_MIRROR7</t>
  </si>
  <si>
    <t>ADC_OFFSET [8:0]</t>
    <phoneticPr fontId="1" type="noConversion"/>
  </si>
  <si>
    <t>0xEB</t>
    <phoneticPr fontId="1" type="noConversion"/>
  </si>
  <si>
    <t>OTP1_MIRROR8</t>
  </si>
  <si>
    <t>ADC_GAIN [4:0]</t>
    <phoneticPr fontId="1" type="noConversion"/>
  </si>
  <si>
    <t>0000_0001_0000</t>
    <phoneticPr fontId="1" type="noConversion"/>
  </si>
  <si>
    <t>0xEC</t>
    <phoneticPr fontId="1" type="noConversion"/>
  </si>
  <si>
    <t>OTP1_MIRROR9</t>
  </si>
  <si>
    <t>ITRIM_R [7:0]</t>
    <phoneticPr fontId="1" type="noConversion"/>
  </si>
  <si>
    <t>0000_1000_0000</t>
    <phoneticPr fontId="4" type="noConversion"/>
  </si>
  <si>
    <t>0xED</t>
    <phoneticPr fontId="1" type="noConversion"/>
  </si>
  <si>
    <t>OTP1_MIRROR10</t>
  </si>
  <si>
    <t>ITRIM_G [7:0]</t>
    <phoneticPr fontId="1" type="noConversion"/>
  </si>
  <si>
    <t>0xEE</t>
    <phoneticPr fontId="1" type="noConversion"/>
  </si>
  <si>
    <t>OTP1_MIRROR11</t>
  </si>
  <si>
    <t>ITRIM_B [7:0]</t>
    <phoneticPr fontId="1" type="noConversion"/>
  </si>
  <si>
    <t>0xEF</t>
    <phoneticPr fontId="1" type="noConversion"/>
  </si>
  <si>
    <t>OTP1_MIRROR12</t>
  </si>
  <si>
    <t>TC_BASE [9:0]</t>
    <phoneticPr fontId="1" type="noConversion"/>
  </si>
  <si>
    <t>0000_0000_0000</t>
    <phoneticPr fontId="4" type="noConversion"/>
  </si>
  <si>
    <t>0xF0</t>
    <phoneticPr fontId="1" type="noConversion"/>
  </si>
  <si>
    <t>OTP1_MIRROR13</t>
  </si>
  <si>
    <t>TC_OFFSET [9:0]</t>
    <phoneticPr fontId="1" type="noConversion"/>
  </si>
  <si>
    <t>0000_0000_0000</t>
  </si>
  <si>
    <t>OTP_PACKAGE</t>
    <phoneticPr fontId="1" type="noConversion"/>
  </si>
  <si>
    <t>0xF1</t>
    <phoneticPr fontId="1" type="noConversion"/>
  </si>
  <si>
    <t>OTP2_MIRROR14</t>
    <phoneticPr fontId="1" type="noConversion"/>
  </si>
  <si>
    <t>PWM_MAX_R [11:0]</t>
    <phoneticPr fontId="1" type="noConversion"/>
  </si>
  <si>
    <t>0xF2</t>
  </si>
  <si>
    <t>OTP2_MIRROR15</t>
  </si>
  <si>
    <t>PWM_MAX_G [11:0]</t>
    <phoneticPr fontId="1" type="noConversion"/>
  </si>
  <si>
    <t>0xF3</t>
  </si>
  <si>
    <t>OTP2_MIRROR16</t>
  </si>
  <si>
    <t>PWM_MAX_B [11:0]</t>
    <phoneticPr fontId="1" type="noConversion"/>
  </si>
  <si>
    <t>0xF4</t>
  </si>
  <si>
    <t>OTP2_MIRROR17</t>
  </si>
  <si>
    <t>OTP_CRC[7:0]</t>
    <phoneticPr fontId="1" type="noConversion"/>
  </si>
  <si>
    <t>0xF5</t>
    <phoneticPr fontId="1" type="noConversion"/>
  </si>
  <si>
    <t>OTP2_MIRROR18</t>
  </si>
  <si>
    <t>0xF6</t>
    <phoneticPr fontId="1" type="noConversion"/>
  </si>
  <si>
    <t>OTP2_MIRROR19</t>
  </si>
  <si>
    <r>
      <t xml:space="preserve">TEST_E: 
If TEST_E is ‘0’ in TEST MODE, there is not any specitial behavior.
If TEST_E is '1' in TEST MODE, all registers are working for each register's purpose and the OTP re-downloading and crc calculation will not work for easy trimming.
CKO_E:
If TEST_E '1' and CKO_E '1' in TEST MODE, the divided clock (=mclk/16) will be driven on SIO2_N pin.
ADC_CLK_POL:
ANA_MOD_SEL[2:0]:
To select a analog module activation for test.
0: NOP (the relavant logics are all deactivated)
T_ANA_SEL [2:0]:
To determin the internal analog signal to be driven on the pin, EXT_TM, for test.
0: NOP (the relavant logics are all deactivated)
PWM_MAX_R/G/B_E:
If TEST_E ‘1’ and PWM_MAX_R/G/B_E '1' in TEST MODE, the PWM signal toward the output sink driver will depends on the PWM_MAX_R/G/B register value at a pwm period by F_PWM_DIV.
</t>
    </r>
    <r>
      <rPr>
        <sz val="8"/>
        <color rgb="FFFF00FF"/>
        <rFont val="Arial"/>
        <family val="2"/>
      </rPr>
      <t>If TEST_E '1' and PWM_MAX_R/G/B_E '0' in TEST MODE,  the PWM operation can work like ACTIVE MODE after the R/G/B data registers' value are written to '0' firstly and then other target values.</t>
    </r>
    <phoneticPr fontId="1" type="noConversion"/>
  </si>
  <si>
    <t>OTP_CONTROL1</t>
    <phoneticPr fontId="1" type="noConversion"/>
  </si>
  <si>
    <t>0xE1</t>
    <phoneticPr fontId="1" type="noConversion"/>
  </si>
  <si>
    <t>OTP_WSEL[3:0]</t>
    <phoneticPr fontId="1" type="noConversion"/>
  </si>
  <si>
    <t>OTP_PG_ACC_CYCLE[15:12]</t>
    <phoneticPr fontId="1" type="noConversion"/>
  </si>
  <si>
    <t>0x4</t>
    <phoneticPr fontId="1" type="noConversion"/>
  </si>
  <si>
    <t>OTP_PG2:
This is used to start programming the OTP 128bits on Packaging stage for trimming.
OTP_PG1:
This is used to start programming the OTP 64bits on Fab wafer stage for trimming.
T_ANA_E: Test Mux Enable</t>
    <phoneticPr fontId="1" type="noConversion"/>
  </si>
  <si>
    <t>OTP_CONTROL2</t>
    <phoneticPr fontId="1" type="noConversion"/>
  </si>
  <si>
    <t>0xE2</t>
    <phoneticPr fontId="1" type="noConversion"/>
  </si>
  <si>
    <t>OTP_PG_ACC_CYCLE[11:0]</t>
    <phoneticPr fontId="1" type="noConversion"/>
  </si>
  <si>
    <t>0x140</t>
    <phoneticPr fontId="1" type="noConversion"/>
  </si>
  <si>
    <t>OTP_CONTROL3</t>
    <phoneticPr fontId="1" type="noConversion"/>
  </si>
  <si>
    <t>0xE3</t>
    <phoneticPr fontId="1" type="noConversion"/>
  </si>
  <si>
    <t>PROTECT[11:0]</t>
    <phoneticPr fontId="1" type="noConversion"/>
  </si>
  <si>
    <t>0x5A5</t>
    <phoneticPr fontId="1" type="noConversion"/>
  </si>
  <si>
    <t>The 0x5A5 is intended to protect all access to OTP mirror registers.
The 0xA5A is intended to give access to OTP mirror registers.
it is needed to set to 0xA5A in order to read, write and program the OTP.</t>
    <phoneticPr fontId="1" type="noConversion"/>
  </si>
  <si>
    <t>for wafer stage</t>
    <phoneticPr fontId="1" type="noConversion"/>
  </si>
  <si>
    <t>OTP_MIRROR1</t>
    <phoneticPr fontId="1" type="noConversion"/>
  </si>
  <si>
    <t>0xE4</t>
    <phoneticPr fontId="1" type="noConversion"/>
  </si>
  <si>
    <t>This is for trimming at Fab wafer stage.</t>
    <phoneticPr fontId="1" type="noConversion"/>
  </si>
  <si>
    <t>OTP_MIRROR2</t>
    <phoneticPr fontId="1" type="noConversion"/>
  </si>
  <si>
    <t>0xE5</t>
    <phoneticPr fontId="1" type="noConversion"/>
  </si>
  <si>
    <t>OTP_MIRROR3</t>
    <phoneticPr fontId="1" type="noConversion"/>
  </si>
  <si>
    <t>0xE6</t>
    <phoneticPr fontId="1" type="noConversion"/>
  </si>
  <si>
    <t>0x0</t>
  </si>
  <si>
    <t>0x208</t>
    <phoneticPr fontId="1" type="noConversion"/>
  </si>
  <si>
    <t>OTP_MIRROR4</t>
    <phoneticPr fontId="1" type="noConversion"/>
  </si>
  <si>
    <t>0xE7</t>
    <phoneticPr fontId="1" type="noConversion"/>
  </si>
  <si>
    <t>0x008</t>
    <phoneticPr fontId="1" type="noConversion"/>
  </si>
  <si>
    <t>OTP_MIRROR5</t>
    <phoneticPr fontId="1" type="noConversion"/>
  </si>
  <si>
    <t>0xE8</t>
    <phoneticPr fontId="1" type="noConversion"/>
  </si>
  <si>
    <t>OTP_MIRROR6</t>
    <phoneticPr fontId="1" type="noConversion"/>
  </si>
  <si>
    <t>0xE9</t>
    <phoneticPr fontId="1" type="noConversion"/>
  </si>
  <si>
    <t>OTP_MIRROR7</t>
    <phoneticPr fontId="1" type="noConversion"/>
  </si>
  <si>
    <t>OTP_MIRROR8</t>
    <phoneticPr fontId="1" type="noConversion"/>
  </si>
  <si>
    <t>0x010</t>
    <phoneticPr fontId="1" type="noConversion"/>
  </si>
  <si>
    <t>OTP_MIRROR9</t>
    <phoneticPr fontId="1" type="noConversion"/>
  </si>
  <si>
    <t>0x080</t>
    <phoneticPr fontId="1" type="noConversion"/>
  </si>
  <si>
    <t>To make room for TC compensation, the max value of PWM_MAX_R can not exceed about 2,900 (= 4095 * 40%) 
This is for trimming at Packaging stage.</t>
    <phoneticPr fontId="1" type="noConversion"/>
  </si>
  <si>
    <t>OTP_MIRROR10</t>
    <phoneticPr fontId="1" type="noConversion"/>
  </si>
  <si>
    <t>This is for trimming at Packaging stage.</t>
    <phoneticPr fontId="1" type="noConversion"/>
  </si>
  <si>
    <t>OTP_MIRROR11</t>
    <phoneticPr fontId="1" type="noConversion"/>
  </si>
  <si>
    <t>OTP_MIRROR12</t>
    <phoneticPr fontId="1" type="noConversion"/>
  </si>
  <si>
    <t>na</t>
  </si>
  <si>
    <t>OTP_MIRROR13</t>
    <phoneticPr fontId="1" type="noConversion"/>
  </si>
  <si>
    <t>for package</t>
    <phoneticPr fontId="1" type="noConversion"/>
  </si>
  <si>
    <t>OTP_MIRROR14</t>
    <phoneticPr fontId="1" type="noConversion"/>
  </si>
  <si>
    <t>OTP_MIRROR15</t>
    <phoneticPr fontId="1" type="noConversion"/>
  </si>
  <si>
    <t>0xF2</t>
    <phoneticPr fontId="1" type="noConversion"/>
  </si>
  <si>
    <t>OTP_MIRROR16</t>
    <phoneticPr fontId="1" type="noConversion"/>
  </si>
  <si>
    <t>0xF3</t>
    <phoneticPr fontId="1" type="noConversion"/>
  </si>
  <si>
    <t>OTP_MIRROR17</t>
    <phoneticPr fontId="1" type="noConversion"/>
  </si>
  <si>
    <t>0xF4</t>
    <phoneticPr fontId="1" type="noConversion"/>
  </si>
  <si>
    <t>OTP_MIRROR18</t>
    <phoneticPr fontId="1" type="noConversion"/>
  </si>
  <si>
    <t>OTP_MIRROR19</t>
    <phoneticPr fontId="1" type="noConversion"/>
  </si>
  <si>
    <t>PREAMBLE</t>
    <phoneticPr fontId="4" type="noConversion"/>
  </si>
  <si>
    <t>DEV_ADDR</t>
    <phoneticPr fontId="4" type="noConversion"/>
  </si>
  <si>
    <t>CMD</t>
    <phoneticPr fontId="4" type="noConversion"/>
  </si>
  <si>
    <t>DATA</t>
    <phoneticPr fontId="4" type="noConversion"/>
  </si>
  <si>
    <t>CRC</t>
    <phoneticPr fontId="4" type="noConversion"/>
  </si>
  <si>
    <t>A</t>
    <phoneticPr fontId="4" type="noConversion"/>
  </si>
  <si>
    <t>F</t>
    <phoneticPr fontId="4" type="noConversion"/>
  </si>
  <si>
    <t>24-bits
Raw Packet</t>
    <phoneticPr fontId="4" type="noConversion"/>
  </si>
  <si>
    <t>B55</t>
    <phoneticPr fontId="4" type="noConversion"/>
  </si>
  <si>
    <t>B54</t>
    <phoneticPr fontId="4" type="noConversion"/>
  </si>
  <si>
    <t>B53</t>
    <phoneticPr fontId="4" type="noConversion"/>
  </si>
  <si>
    <t>B52</t>
    <phoneticPr fontId="4" type="noConversion"/>
  </si>
  <si>
    <t>B51</t>
    <phoneticPr fontId="4" type="noConversion"/>
  </si>
  <si>
    <t>B50</t>
    <phoneticPr fontId="4" type="noConversion"/>
  </si>
  <si>
    <t>B49</t>
    <phoneticPr fontId="4" type="noConversion"/>
  </si>
  <si>
    <t>B48</t>
    <phoneticPr fontId="4" type="noConversion"/>
  </si>
  <si>
    <t>B47</t>
    <phoneticPr fontId="4" type="noConversion"/>
  </si>
  <si>
    <t>B46</t>
    <phoneticPr fontId="4" type="noConversion"/>
  </si>
  <si>
    <t>B45</t>
    <phoneticPr fontId="4" type="noConversion"/>
  </si>
  <si>
    <t>B44</t>
    <phoneticPr fontId="4" type="noConversion"/>
  </si>
  <si>
    <t>B43</t>
    <phoneticPr fontId="4" type="noConversion"/>
  </si>
  <si>
    <t>B42</t>
    <phoneticPr fontId="4" type="noConversion"/>
  </si>
  <si>
    <t>B41</t>
    <phoneticPr fontId="4" type="noConversion"/>
  </si>
  <si>
    <t>B40</t>
    <phoneticPr fontId="4" type="noConversion"/>
  </si>
  <si>
    <t>B39</t>
    <phoneticPr fontId="4" type="noConversion"/>
  </si>
  <si>
    <t>B38</t>
    <phoneticPr fontId="4" type="noConversion"/>
  </si>
  <si>
    <t>B37</t>
    <phoneticPr fontId="4" type="noConversion"/>
  </si>
  <si>
    <t>B36</t>
    <phoneticPr fontId="4" type="noConversion"/>
  </si>
  <si>
    <t>B35</t>
    <phoneticPr fontId="4" type="noConversion"/>
  </si>
  <si>
    <t>B34</t>
    <phoneticPr fontId="4" type="noConversion"/>
  </si>
  <si>
    <t>B33</t>
    <phoneticPr fontId="4" type="noConversion"/>
  </si>
  <si>
    <t>B32</t>
    <phoneticPr fontId="4" type="noConversion"/>
  </si>
  <si>
    <t>B31</t>
    <phoneticPr fontId="4" type="noConversion"/>
  </si>
  <si>
    <t>B30</t>
    <phoneticPr fontId="4" type="noConversion"/>
  </si>
  <si>
    <t>B29</t>
    <phoneticPr fontId="4" type="noConversion"/>
  </si>
  <si>
    <t>B28</t>
    <phoneticPr fontId="4" type="noConversion"/>
  </si>
  <si>
    <t>B27</t>
    <phoneticPr fontId="4" type="noConversion"/>
  </si>
  <si>
    <t>B26</t>
    <phoneticPr fontId="4" type="noConversion"/>
  </si>
  <si>
    <t>B25</t>
    <phoneticPr fontId="4" type="noConversion"/>
  </si>
  <si>
    <t>B24</t>
    <phoneticPr fontId="4" type="noConversion"/>
  </si>
  <si>
    <t>B23</t>
    <phoneticPr fontId="4" type="noConversion"/>
  </si>
  <si>
    <t>B22</t>
    <phoneticPr fontId="4" type="noConversion"/>
  </si>
  <si>
    <t>B21</t>
    <phoneticPr fontId="4" type="noConversion"/>
  </si>
  <si>
    <t>B20</t>
    <phoneticPr fontId="4" type="noConversion"/>
  </si>
  <si>
    <t>B19</t>
    <phoneticPr fontId="4" type="noConversion"/>
  </si>
  <si>
    <t>B18</t>
    <phoneticPr fontId="4" type="noConversion"/>
  </si>
  <si>
    <t>B17</t>
    <phoneticPr fontId="4" type="noConversion"/>
  </si>
  <si>
    <t>B16</t>
    <phoneticPr fontId="4" type="noConversion"/>
  </si>
  <si>
    <t>B15</t>
    <phoneticPr fontId="4" type="noConversion"/>
  </si>
  <si>
    <t>B14</t>
    <phoneticPr fontId="4" type="noConversion"/>
  </si>
  <si>
    <t>B13</t>
    <phoneticPr fontId="4" type="noConversion"/>
  </si>
  <si>
    <t>B12</t>
    <phoneticPr fontId="4" type="noConversion"/>
  </si>
  <si>
    <t>B11</t>
    <phoneticPr fontId="4" type="noConversion"/>
  </si>
  <si>
    <t>B10</t>
    <phoneticPr fontId="4" type="noConversion"/>
  </si>
  <si>
    <t>B9</t>
    <phoneticPr fontId="4" type="noConversion"/>
  </si>
  <si>
    <t>B8</t>
    <phoneticPr fontId="4" type="noConversion"/>
  </si>
  <si>
    <t>B7</t>
    <phoneticPr fontId="4" type="noConversion"/>
  </si>
  <si>
    <t>B6</t>
    <phoneticPr fontId="4" type="noConversion"/>
  </si>
  <si>
    <t>B5</t>
    <phoneticPr fontId="4" type="noConversion"/>
  </si>
  <si>
    <t>B4</t>
    <phoneticPr fontId="4" type="noConversion"/>
  </si>
  <si>
    <t>B3</t>
    <phoneticPr fontId="4" type="noConversion"/>
  </si>
  <si>
    <t>B2</t>
    <phoneticPr fontId="4" type="noConversion"/>
  </si>
  <si>
    <t>B1</t>
    <phoneticPr fontId="4" type="noConversion"/>
  </si>
  <si>
    <t>B0</t>
    <phoneticPr fontId="4" type="noConversion"/>
  </si>
  <si>
    <t>ME Packet</t>
    <phoneticPr fontId="4" type="noConversion"/>
  </si>
  <si>
    <t>DUMMY</t>
    <phoneticPr fontId="4" type="noConversion"/>
  </si>
  <si>
    <t>12-bits
Raw Packet</t>
    <phoneticPr fontId="4" type="noConversion"/>
  </si>
  <si>
    <t>B</t>
    <phoneticPr fontId="4" type="noConversion"/>
  </si>
  <si>
    <t>0-bits
Raw Packet</t>
    <phoneticPr fontId="4" type="noConversion"/>
  </si>
  <si>
    <t>C</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</si>
</sst>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Arial"/>
      <family val="2"/>
    </font>
    <font>
      <sz val="8"/>
      <name val="맑은 고딕"/>
      <family val="3"/>
      <charset val="129"/>
      <scheme val="minor"/>
    </font>
    <font>
      <sz val="9"/>
      <color theme="0"/>
      <name val="Arial"/>
      <family val="2"/>
    </font>
    <font>
      <sz val="8"/>
      <color theme="1"/>
      <name val="Arial"/>
      <family val="2"/>
    </font>
    <font>
      <sz val="9"/>
      <color theme="0"/>
      <name val="맑은 고딕"/>
      <family val="3"/>
      <charset val="129"/>
      <scheme val="minor"/>
    </font>
    <font>
      <sz val="11"/>
      <name val="맑은 고딕"/>
      <family val="3"/>
      <charset val="129"/>
      <scheme val="minor"/>
    </font>
    <font>
      <b/>
      <sz val="8"/>
      <name val="맑은 고딕"/>
      <family val="3"/>
      <charset val="129"/>
      <scheme val="minor"/>
    </font>
    <font>
      <vertAlign val="subscript"/>
      <sz val="8"/>
      <name val="맑은 고딕"/>
      <family val="3"/>
      <charset val="129"/>
      <scheme val="minor"/>
    </font>
    <font>
      <sz val="8"/>
      <name val="맑은 고딕"/>
      <family val="3"/>
      <charset val="129"/>
    </font>
    <font>
      <sz val="8"/>
      <color rgb="FFFF0000"/>
      <name val="맑은 고딕"/>
      <family val="3"/>
      <charset val="129"/>
      <scheme val="minor"/>
    </font>
    <font>
      <sz val="9.6"/>
      <name val="맑은 고딕"/>
      <family val="3"/>
      <charset val="129"/>
    </font>
    <font>
      <strike/>
      <sz val="8"/>
      <name val="맑은 고딕"/>
      <family val="3"/>
      <charset val="129"/>
      <scheme val="minor"/>
    </font>
    <font>
      <sz val="11"/>
      <color theme="1"/>
      <name val="맑은 고딕"/>
      <family val="2"/>
      <scheme val="minor"/>
    </font>
    <font>
      <sz val="11"/>
      <name val="맑은 고딕"/>
      <family val="2"/>
      <charset val="129"/>
      <scheme val="minor"/>
    </font>
    <font>
      <sz val="8"/>
      <name val="Arial"/>
      <family val="2"/>
    </font>
    <font>
      <b/>
      <sz val="8"/>
      <name val="Arial"/>
      <family val="2"/>
    </font>
    <font>
      <sz val="8"/>
      <color rgb="FFFF00FF"/>
      <name val="Arial"/>
      <family val="2"/>
    </font>
    <font>
      <sz val="9"/>
      <color theme="1"/>
      <name val="맑은 고딕"/>
      <family val="3"/>
      <charset val="129"/>
      <scheme val="minor"/>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rgb="FF66FF99"/>
        <bgColor indexed="64"/>
      </patternFill>
    </fill>
    <fill>
      <patternFill patternType="solid">
        <fgColor rgb="FFFFFF0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rgb="FFFF99FF"/>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5999938962981048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s>
  <cellStyleXfs count="5">
    <xf numFmtId="0" fontId="0" fillId="0" borderId="0">
      <alignment vertical="center"/>
    </xf>
    <xf numFmtId="0" fontId="2" fillId="0" borderId="0">
      <alignment vertical="center"/>
    </xf>
    <xf numFmtId="0" fontId="2" fillId="0" borderId="0">
      <alignment vertical="center"/>
    </xf>
    <xf numFmtId="0" fontId="15" fillId="0" borderId="0"/>
    <xf numFmtId="0" fontId="2" fillId="0" borderId="0">
      <alignment vertical="center"/>
    </xf>
  </cellStyleXfs>
  <cellXfs count="212">
    <xf numFmtId="0" fontId="0" fillId="0" borderId="0" xfId="0">
      <alignment vertical="center"/>
    </xf>
    <xf numFmtId="0" fontId="3" fillId="2" borderId="1" xfId="1" applyFont="1" applyFill="1" applyBorder="1" applyAlignment="1">
      <alignment horizontal="center" vertical="center" wrapText="1"/>
    </xf>
    <xf numFmtId="0" fontId="3" fillId="0" borderId="0" xfId="1" applyFont="1">
      <alignment vertical="center"/>
    </xf>
    <xf numFmtId="0" fontId="3" fillId="0" borderId="1" xfId="1" applyFont="1" applyBorder="1">
      <alignment vertical="center"/>
    </xf>
    <xf numFmtId="0" fontId="3" fillId="3" borderId="1" xfId="1" applyFont="1" applyFill="1" applyBorder="1" applyAlignment="1">
      <alignment horizontal="center" vertical="center" wrapText="1"/>
    </xf>
    <xf numFmtId="0" fontId="3" fillId="0" borderId="1" xfId="1" applyFont="1" applyBorder="1" applyAlignment="1">
      <alignment horizontal="center" vertical="center" wrapText="1"/>
    </xf>
    <xf numFmtId="0" fontId="3" fillId="4" borderId="1" xfId="1" applyFont="1" applyFill="1" applyBorder="1" applyAlignment="1">
      <alignment horizontal="center" vertical="center"/>
    </xf>
    <xf numFmtId="0" fontId="3" fillId="4" borderId="1" xfId="1" quotePrefix="1" applyFont="1" applyFill="1" applyBorder="1" applyAlignment="1">
      <alignment horizontal="center" vertical="center" wrapText="1"/>
    </xf>
    <xf numFmtId="0" fontId="3" fillId="0" borderId="1" xfId="1" applyFont="1" applyBorder="1" applyAlignment="1">
      <alignment horizontal="center" vertical="center"/>
    </xf>
    <xf numFmtId="0" fontId="3" fillId="0" borderId="0" xfId="1" applyFont="1" applyAlignment="1">
      <alignment horizontal="center" vertical="center" wrapText="1"/>
    </xf>
    <xf numFmtId="0" fontId="3" fillId="0" borderId="0" xfId="1" applyFont="1" applyAlignment="1">
      <alignment horizontal="center" vertical="center"/>
    </xf>
    <xf numFmtId="0" fontId="5" fillId="5" borderId="1" xfId="2" applyFont="1" applyFill="1" applyBorder="1" applyAlignment="1">
      <alignment horizontal="center" vertical="center"/>
    </xf>
    <xf numFmtId="0" fontId="5" fillId="5" borderId="1" xfId="2" applyFont="1" applyFill="1" applyBorder="1" applyAlignment="1">
      <alignment horizontal="center" vertical="center" wrapText="1"/>
    </xf>
    <xf numFmtId="0" fontId="3" fillId="0" borderId="0" xfId="2" applyFont="1">
      <alignment vertical="center"/>
    </xf>
    <xf numFmtId="0" fontId="3" fillId="0" borderId="1" xfId="2" applyFont="1" applyBorder="1" applyAlignment="1">
      <alignment horizontal="center" vertical="center"/>
    </xf>
    <xf numFmtId="0" fontId="3" fillId="2" borderId="1" xfId="2" applyFont="1" applyFill="1" applyBorder="1" applyAlignment="1">
      <alignment horizontal="center" vertical="center"/>
    </xf>
    <xf numFmtId="0" fontId="3" fillId="2" borderId="1" xfId="2" applyFont="1" applyFill="1" applyBorder="1" applyAlignment="1">
      <alignment horizontal="center" vertical="center" wrapText="1"/>
    </xf>
    <xf numFmtId="0" fontId="3" fillId="0" borderId="1" xfId="2" applyFont="1" applyBorder="1" applyAlignment="1">
      <alignment horizontal="center" vertical="center" wrapText="1"/>
    </xf>
    <xf numFmtId="0" fontId="3" fillId="6" borderId="1" xfId="2" quotePrefix="1" applyFont="1" applyFill="1" applyBorder="1" applyAlignment="1">
      <alignment horizontal="center" vertical="center"/>
    </xf>
    <xf numFmtId="0" fontId="3" fillId="0" borderId="1" xfId="2" quotePrefix="1" applyFont="1" applyBorder="1" applyAlignment="1">
      <alignment horizontal="center" vertical="center"/>
    </xf>
    <xf numFmtId="0" fontId="3" fillId="7" borderId="1" xfId="2" applyFont="1" applyFill="1" applyBorder="1" applyAlignment="1">
      <alignment horizontal="center" vertical="center" wrapText="1"/>
    </xf>
    <xf numFmtId="0" fontId="3" fillId="0" borderId="6" xfId="2" applyFont="1" applyBorder="1" applyAlignment="1">
      <alignment horizontal="center" vertical="center"/>
    </xf>
    <xf numFmtId="0" fontId="3" fillId="5" borderId="1" xfId="2" applyFont="1" applyFill="1" applyBorder="1" applyAlignment="1">
      <alignment horizontal="center" vertical="center"/>
    </xf>
    <xf numFmtId="0" fontId="3" fillId="0" borderId="7" xfId="2" applyFont="1" applyBorder="1" applyAlignment="1">
      <alignment horizontal="center" vertical="center"/>
    </xf>
    <xf numFmtId="0" fontId="3" fillId="0" borderId="0" xfId="2" applyFont="1" applyAlignment="1">
      <alignment horizontal="center" vertical="center"/>
    </xf>
    <xf numFmtId="0" fontId="8" fillId="0" borderId="0" xfId="1" applyFont="1" applyAlignment="1">
      <alignment vertical="center" wrapText="1"/>
    </xf>
    <xf numFmtId="0" fontId="4" fillId="0" borderId="0" xfId="1" applyFont="1" applyAlignment="1">
      <alignment horizontal="left" vertical="center" wrapText="1"/>
    </xf>
    <xf numFmtId="0" fontId="4" fillId="8" borderId="1" xfId="1" applyFont="1" applyFill="1" applyBorder="1" applyAlignment="1">
      <alignment vertical="center" wrapText="1"/>
    </xf>
    <xf numFmtId="0" fontId="4" fillId="2" borderId="1" xfId="1" applyFont="1" applyFill="1" applyBorder="1" applyAlignment="1">
      <alignment vertical="center" wrapText="1"/>
    </xf>
    <xf numFmtId="0" fontId="4" fillId="0" borderId="1" xfId="1" applyFont="1" applyBorder="1" applyAlignment="1">
      <alignment vertical="center" wrapText="1"/>
    </xf>
    <xf numFmtId="0" fontId="4" fillId="9" borderId="1" xfId="1" applyFont="1" applyFill="1" applyBorder="1" applyAlignment="1">
      <alignment horizontal="center" vertical="center" wrapText="1"/>
    </xf>
    <xf numFmtId="0" fontId="4" fillId="0" borderId="1" xfId="1" applyFont="1" applyBorder="1" applyAlignment="1">
      <alignment horizontal="center" vertical="center" wrapText="1"/>
    </xf>
    <xf numFmtId="0" fontId="4" fillId="2" borderId="7" xfId="1" applyFont="1" applyFill="1" applyBorder="1" applyAlignment="1">
      <alignment vertical="center" wrapText="1"/>
    </xf>
    <xf numFmtId="0" fontId="4" fillId="0" borderId="0" xfId="1" applyFont="1" applyAlignment="1">
      <alignment vertical="center" wrapText="1"/>
    </xf>
    <xf numFmtId="0" fontId="15" fillId="0" borderId="0" xfId="3"/>
    <xf numFmtId="0" fontId="5" fillId="5" borderId="0" xfId="2" applyFont="1" applyFill="1" applyAlignment="1">
      <alignment horizontal="center" vertical="center"/>
    </xf>
    <xf numFmtId="0" fontId="5" fillId="5" borderId="0" xfId="2" applyFont="1" applyFill="1" applyAlignment="1">
      <alignment horizontal="center" vertical="center" wrapText="1"/>
    </xf>
    <xf numFmtId="0" fontId="3" fillId="0" borderId="0" xfId="2" applyFont="1" applyAlignment="1">
      <alignment horizontal="left" vertical="center"/>
    </xf>
    <xf numFmtId="0" fontId="3" fillId="10" borderId="1" xfId="2" applyFont="1" applyFill="1" applyBorder="1" applyAlignment="1">
      <alignment horizontal="center" vertical="center" wrapText="1"/>
    </xf>
    <xf numFmtId="0" fontId="16" fillId="0" borderId="0" xfId="1" applyFont="1" applyAlignment="1">
      <alignment horizontal="center" vertical="center" wrapText="1"/>
    </xf>
    <xf numFmtId="0" fontId="16" fillId="0" borderId="0" xfId="1" applyFont="1" applyAlignment="1">
      <alignment vertical="center" wrapText="1"/>
    </xf>
    <xf numFmtId="0" fontId="17" fillId="0" borderId="0" xfId="1" applyFont="1" applyAlignment="1">
      <alignment vertical="center" wrapText="1"/>
    </xf>
    <xf numFmtId="0" fontId="17" fillId="0" borderId="0" xfId="1" applyFont="1" applyAlignment="1">
      <alignment horizontal="left" vertical="center" wrapText="1"/>
    </xf>
    <xf numFmtId="0" fontId="4" fillId="8" borderId="1" xfId="1" applyFont="1" applyFill="1" applyBorder="1" applyAlignment="1">
      <alignment horizontal="center" vertical="center" wrapText="1"/>
    </xf>
    <xf numFmtId="0" fontId="17" fillId="2" borderId="1" xfId="1" applyFont="1" applyFill="1" applyBorder="1" applyAlignment="1">
      <alignment vertical="center" wrapText="1"/>
    </xf>
    <xf numFmtId="0" fontId="17" fillId="2" borderId="1" xfId="1" applyFont="1" applyFill="1" applyBorder="1" applyAlignment="1">
      <alignment horizontal="center" vertical="center" wrapText="1"/>
    </xf>
    <xf numFmtId="0" fontId="17" fillId="0" borderId="1" xfId="1" applyFont="1" applyBorder="1" applyAlignment="1">
      <alignment horizontal="center" vertical="center" wrapText="1"/>
    </xf>
    <xf numFmtId="0" fontId="17" fillId="0" borderId="2" xfId="1" applyFont="1" applyBorder="1" applyAlignment="1">
      <alignment horizontal="center" vertical="center" wrapText="1"/>
    </xf>
    <xf numFmtId="0" fontId="17" fillId="0" borderId="3" xfId="1" applyFont="1" applyBorder="1" applyAlignment="1">
      <alignment horizontal="center" vertical="center" wrapText="1"/>
    </xf>
    <xf numFmtId="0" fontId="17" fillId="0" borderId="4" xfId="1" applyFont="1" applyBorder="1" applyAlignment="1">
      <alignment horizontal="center" vertical="center" wrapText="1"/>
    </xf>
    <xf numFmtId="0" fontId="1" fillId="11" borderId="0" xfId="1" applyFont="1" applyFill="1" applyAlignment="1">
      <alignment horizontal="left" vertical="center" wrapText="1"/>
    </xf>
    <xf numFmtId="0" fontId="16" fillId="11" borderId="0" xfId="1" applyFont="1" applyFill="1" applyAlignment="1">
      <alignment horizontal="center" vertical="center" wrapText="1"/>
    </xf>
    <xf numFmtId="0" fontId="16" fillId="11" borderId="0" xfId="1" applyFont="1" applyFill="1" applyAlignment="1">
      <alignment vertical="center" wrapText="1"/>
    </xf>
    <xf numFmtId="0" fontId="17" fillId="11" borderId="0" xfId="1" applyFont="1" applyFill="1" applyAlignment="1">
      <alignment vertical="center" wrapText="1"/>
    </xf>
    <xf numFmtId="0" fontId="17" fillId="11" borderId="0" xfId="1" applyFont="1" applyFill="1" applyAlignment="1">
      <alignment horizontal="left" vertical="center" wrapText="1"/>
    </xf>
    <xf numFmtId="0" fontId="3" fillId="10" borderId="1" xfId="1" applyFont="1" applyFill="1" applyBorder="1" applyAlignment="1">
      <alignment horizontal="center" vertical="center" wrapText="1"/>
    </xf>
    <xf numFmtId="0" fontId="17" fillId="0" borderId="0" xfId="1" applyFont="1" applyAlignment="1">
      <alignment horizontal="center" vertical="center" wrapText="1"/>
    </xf>
    <xf numFmtId="0" fontId="17" fillId="0" borderId="2" xfId="1" applyFont="1" applyBorder="1" applyAlignment="1">
      <alignment vertical="center" wrapText="1"/>
    </xf>
    <xf numFmtId="0" fontId="17" fillId="0" borderId="3" xfId="1" applyFont="1" applyBorder="1" applyAlignment="1">
      <alignment vertical="center" wrapText="1"/>
    </xf>
    <xf numFmtId="0" fontId="20" fillId="0" borderId="0" xfId="3" applyFont="1" applyAlignment="1">
      <alignment vertical="center"/>
    </xf>
    <xf numFmtId="0" fontId="20" fillId="0" borderId="1" xfId="3" applyFont="1" applyBorder="1" applyAlignment="1">
      <alignment vertical="center"/>
    </xf>
    <xf numFmtId="0" fontId="20" fillId="0" borderId="32" xfId="3" applyFont="1" applyBorder="1" applyAlignment="1">
      <alignment horizontal="centerContinuous" vertical="center"/>
    </xf>
    <xf numFmtId="0" fontId="20" fillId="0" borderId="7" xfId="3" applyFont="1" applyBorder="1" applyAlignment="1">
      <alignment horizontal="centerContinuous" vertical="center"/>
    </xf>
    <xf numFmtId="0" fontId="20" fillId="0" borderId="33" xfId="3" applyFont="1" applyBorder="1" applyAlignment="1">
      <alignment horizontal="centerContinuous" vertical="center"/>
    </xf>
    <xf numFmtId="0" fontId="20" fillId="0" borderId="15" xfId="3" applyFont="1" applyBorder="1" applyAlignment="1">
      <alignment horizontal="centerContinuous" vertical="center"/>
    </xf>
    <xf numFmtId="0" fontId="20" fillId="0" borderId="34" xfId="3" applyFont="1" applyBorder="1" applyAlignment="1">
      <alignment horizontal="centerContinuous" vertical="center"/>
    </xf>
    <xf numFmtId="0" fontId="20" fillId="0" borderId="35" xfId="3" applyFont="1" applyBorder="1" applyAlignment="1">
      <alignment horizontal="centerContinuous" vertical="center"/>
    </xf>
    <xf numFmtId="0" fontId="20" fillId="0" borderId="36" xfId="3" applyFont="1" applyBorder="1" applyAlignment="1">
      <alignment horizontal="centerContinuous" vertical="center"/>
    </xf>
    <xf numFmtId="0" fontId="20" fillId="0" borderId="37" xfId="3" applyFont="1" applyBorder="1" applyAlignment="1">
      <alignment horizontal="centerContinuous" vertical="center"/>
    </xf>
    <xf numFmtId="0" fontId="20" fillId="0" borderId="38" xfId="3" applyFont="1" applyBorder="1" applyAlignment="1">
      <alignment horizontal="centerContinuous" vertical="center"/>
    </xf>
    <xf numFmtId="0" fontId="20" fillId="0" borderId="39" xfId="3" applyFont="1" applyBorder="1" applyAlignment="1">
      <alignment horizontal="centerContinuous" vertical="center"/>
    </xf>
    <xf numFmtId="0" fontId="20" fillId="0" borderId="1" xfId="3" applyFont="1" applyBorder="1" applyAlignment="1">
      <alignment horizontal="centerContinuous" vertical="center"/>
    </xf>
    <xf numFmtId="0" fontId="20" fillId="0" borderId="40" xfId="3" applyFont="1" applyBorder="1" applyAlignment="1">
      <alignment horizontal="centerContinuous" vertical="center"/>
    </xf>
    <xf numFmtId="0" fontId="20" fillId="0" borderId="4" xfId="3" applyFont="1" applyBorder="1" applyAlignment="1">
      <alignment horizontal="centerContinuous" vertical="center"/>
    </xf>
    <xf numFmtId="0" fontId="20" fillId="0" borderId="2" xfId="3" applyFont="1" applyBorder="1" applyAlignment="1">
      <alignment horizontal="centerContinuous" vertical="center"/>
    </xf>
    <xf numFmtId="0" fontId="20" fillId="0" borderId="32" xfId="3" applyFont="1" applyBorder="1" applyAlignment="1">
      <alignment vertical="center"/>
    </xf>
    <xf numFmtId="0" fontId="20" fillId="0" borderId="7" xfId="3" applyFont="1" applyBorder="1" applyAlignment="1">
      <alignment vertical="center"/>
    </xf>
    <xf numFmtId="0" fontId="20" fillId="0" borderId="33" xfId="3" applyFont="1" applyBorder="1" applyAlignment="1">
      <alignment vertical="center"/>
    </xf>
    <xf numFmtId="0" fontId="20" fillId="0" borderId="14" xfId="3" applyFont="1" applyBorder="1" applyAlignment="1">
      <alignment vertical="center"/>
    </xf>
    <xf numFmtId="0" fontId="20" fillId="0" borderId="37" xfId="3" applyFont="1" applyBorder="1" applyAlignment="1">
      <alignment vertical="center"/>
    </xf>
    <xf numFmtId="0" fontId="20" fillId="0" borderId="35" xfId="3" applyFont="1" applyBorder="1" applyAlignment="1">
      <alignment vertical="center"/>
    </xf>
    <xf numFmtId="0" fontId="20" fillId="0" borderId="36" xfId="3" applyFont="1" applyBorder="1" applyAlignment="1">
      <alignment vertical="center"/>
    </xf>
    <xf numFmtId="0" fontId="20" fillId="0" borderId="38" xfId="3" applyFont="1" applyBorder="1" applyAlignment="1">
      <alignment vertical="center"/>
    </xf>
    <xf numFmtId="0" fontId="20" fillId="12" borderId="21" xfId="3" applyFont="1" applyFill="1" applyBorder="1" applyAlignment="1">
      <alignment horizontal="center" vertical="center"/>
    </xf>
    <xf numFmtId="0" fontId="20" fillId="12" borderId="22" xfId="3" applyFont="1" applyFill="1" applyBorder="1" applyAlignment="1">
      <alignment horizontal="center" vertical="center"/>
    </xf>
    <xf numFmtId="0" fontId="20" fillId="10" borderId="21" xfId="3" applyFont="1" applyFill="1" applyBorder="1" applyAlignment="1">
      <alignment horizontal="center" vertical="center"/>
    </xf>
    <xf numFmtId="0" fontId="20" fillId="10" borderId="22" xfId="3" applyFont="1" applyFill="1" applyBorder="1" applyAlignment="1">
      <alignment horizontal="center" vertical="center"/>
    </xf>
    <xf numFmtId="0" fontId="20" fillId="10" borderId="23" xfId="3" applyFont="1" applyFill="1" applyBorder="1" applyAlignment="1">
      <alignment horizontal="center" vertical="center"/>
    </xf>
    <xf numFmtId="0" fontId="20" fillId="13" borderId="21" xfId="3" applyFont="1" applyFill="1" applyBorder="1" applyAlignment="1">
      <alignment horizontal="center" vertical="center"/>
    </xf>
    <xf numFmtId="0" fontId="20" fillId="13" borderId="22" xfId="3" applyFont="1" applyFill="1" applyBorder="1" applyAlignment="1">
      <alignment horizontal="center" vertical="center"/>
    </xf>
    <xf numFmtId="0" fontId="20" fillId="13" borderId="23" xfId="3" applyFont="1" applyFill="1" applyBorder="1" applyAlignment="1">
      <alignment horizontal="center" vertical="center"/>
    </xf>
    <xf numFmtId="0" fontId="20" fillId="7" borderId="24" xfId="3" applyFont="1" applyFill="1" applyBorder="1" applyAlignment="1">
      <alignment horizontal="center" vertical="center"/>
    </xf>
    <xf numFmtId="0" fontId="20" fillId="7" borderId="25" xfId="3" applyFont="1" applyFill="1" applyBorder="1" applyAlignment="1">
      <alignment horizontal="center" vertical="center"/>
    </xf>
    <xf numFmtId="0" fontId="20" fillId="14" borderId="24" xfId="3" applyFont="1" applyFill="1" applyBorder="1" applyAlignment="1">
      <alignment horizontal="center" vertical="center"/>
    </xf>
    <xf numFmtId="0" fontId="20" fillId="14" borderId="25" xfId="3" applyFont="1" applyFill="1" applyBorder="1" applyAlignment="1">
      <alignment horizontal="center" vertical="center"/>
    </xf>
    <xf numFmtId="0" fontId="20" fillId="14" borderId="26" xfId="3" applyFont="1" applyFill="1" applyBorder="1" applyAlignment="1">
      <alignment horizontal="center" vertical="center"/>
    </xf>
    <xf numFmtId="0" fontId="20" fillId="12" borderId="27" xfId="3" applyFont="1" applyFill="1" applyBorder="1" applyAlignment="1">
      <alignment horizontal="center" vertical="center"/>
    </xf>
    <xf numFmtId="0" fontId="20" fillId="12" borderId="28" xfId="3" applyFont="1" applyFill="1" applyBorder="1" applyAlignment="1">
      <alignment horizontal="center" vertical="center"/>
    </xf>
    <xf numFmtId="0" fontId="20" fillId="12" borderId="29" xfId="3" applyFont="1" applyFill="1" applyBorder="1" applyAlignment="1">
      <alignment horizontal="center" vertical="center"/>
    </xf>
    <xf numFmtId="0" fontId="20" fillId="10" borderId="27" xfId="3" applyFont="1" applyFill="1" applyBorder="1" applyAlignment="1">
      <alignment horizontal="center" vertical="center"/>
    </xf>
    <xf numFmtId="0" fontId="20" fillId="10" borderId="28" xfId="3" applyFont="1" applyFill="1" applyBorder="1" applyAlignment="1">
      <alignment horizontal="center" vertical="center"/>
    </xf>
    <xf numFmtId="0" fontId="20" fillId="10" borderId="30" xfId="3" applyFont="1" applyFill="1" applyBorder="1" applyAlignment="1">
      <alignment horizontal="center" vertical="center"/>
    </xf>
    <xf numFmtId="0" fontId="20" fillId="10" borderId="31" xfId="3" applyFont="1" applyFill="1" applyBorder="1" applyAlignment="1">
      <alignment horizontal="center" vertical="center"/>
    </xf>
    <xf numFmtId="0" fontId="20" fillId="13" borderId="27" xfId="3" applyFont="1" applyFill="1" applyBorder="1" applyAlignment="1">
      <alignment horizontal="center" vertical="center"/>
    </xf>
    <xf numFmtId="0" fontId="20" fillId="13" borderId="28" xfId="3" applyFont="1" applyFill="1" applyBorder="1" applyAlignment="1">
      <alignment horizontal="center" vertical="center"/>
    </xf>
    <xf numFmtId="0" fontId="20" fillId="7" borderId="27" xfId="3" applyFont="1" applyFill="1" applyBorder="1" applyAlignment="1">
      <alignment horizontal="center" vertical="center"/>
    </xf>
    <xf numFmtId="0" fontId="20" fillId="7" borderId="28" xfId="3" applyFont="1" applyFill="1" applyBorder="1" applyAlignment="1">
      <alignment horizontal="center" vertical="center"/>
    </xf>
    <xf numFmtId="0" fontId="20" fillId="7" borderId="29" xfId="3" applyFont="1" applyFill="1" applyBorder="1" applyAlignment="1">
      <alignment horizontal="center" vertical="center"/>
    </xf>
    <xf numFmtId="0" fontId="20" fillId="14" borderId="27" xfId="3" applyFont="1" applyFill="1" applyBorder="1" applyAlignment="1">
      <alignment horizontal="center" vertical="center"/>
    </xf>
    <xf numFmtId="0" fontId="20" fillId="14" borderId="28" xfId="3" applyFont="1" applyFill="1" applyBorder="1" applyAlignment="1">
      <alignment horizontal="center" vertical="center"/>
    </xf>
    <xf numFmtId="0" fontId="20" fillId="14" borderId="30" xfId="3" applyFont="1" applyFill="1" applyBorder="1" applyAlignment="1">
      <alignment horizontal="center" vertical="center"/>
    </xf>
    <xf numFmtId="0" fontId="20" fillId="0" borderId="8" xfId="3" applyFont="1" applyBorder="1" applyAlignment="1">
      <alignment horizontal="center" vertical="center" wrapText="1"/>
    </xf>
    <xf numFmtId="0" fontId="20" fillId="0" borderId="10" xfId="3" applyFont="1" applyBorder="1" applyAlignment="1">
      <alignment horizontal="center" vertical="center"/>
    </xf>
    <xf numFmtId="0" fontId="20" fillId="0" borderId="41" xfId="3" applyFont="1" applyBorder="1" applyAlignment="1">
      <alignment horizontal="center" vertical="center"/>
    </xf>
    <xf numFmtId="0" fontId="20" fillId="0" borderId="39" xfId="3" applyFont="1" applyBorder="1" applyAlignment="1">
      <alignment horizontal="center" vertical="center"/>
    </xf>
    <xf numFmtId="0" fontId="20" fillId="0" borderId="1" xfId="3" applyFont="1" applyBorder="1" applyAlignment="1">
      <alignment horizontal="center" vertical="center"/>
    </xf>
    <xf numFmtId="0" fontId="20" fillId="0" borderId="40" xfId="3" applyFont="1" applyBorder="1" applyAlignment="1">
      <alignment horizontal="center" vertical="center"/>
    </xf>
    <xf numFmtId="0" fontId="20" fillId="0" borderId="4" xfId="3" applyFont="1" applyBorder="1" applyAlignment="1">
      <alignment horizontal="center" vertical="center"/>
    </xf>
    <xf numFmtId="0" fontId="20" fillId="0" borderId="3" xfId="3" applyFont="1" applyBorder="1" applyAlignment="1">
      <alignment horizontal="center" vertical="center"/>
    </xf>
    <xf numFmtId="0" fontId="20" fillId="0" borderId="18" xfId="3" applyFont="1" applyBorder="1" applyAlignment="1">
      <alignment horizontal="center" vertical="center"/>
    </xf>
    <xf numFmtId="0" fontId="20" fillId="13" borderId="30" xfId="3" applyFont="1" applyFill="1" applyBorder="1" applyAlignment="1">
      <alignment horizontal="center" vertical="center"/>
    </xf>
    <xf numFmtId="0" fontId="20" fillId="7" borderId="30" xfId="3" applyFont="1" applyFill="1" applyBorder="1" applyAlignment="1">
      <alignment horizontal="center" vertical="center"/>
    </xf>
    <xf numFmtId="0" fontId="20" fillId="0" borderId="8" xfId="3" applyFont="1" applyBorder="1" applyAlignment="1">
      <alignment horizontal="center" vertical="center"/>
    </xf>
    <xf numFmtId="0" fontId="20" fillId="0" borderId="12" xfId="3" applyFont="1" applyBorder="1" applyAlignment="1">
      <alignment horizontal="center" vertical="center"/>
    </xf>
    <xf numFmtId="0" fontId="20" fillId="0" borderId="42" xfId="3" applyFont="1" applyBorder="1" applyAlignment="1">
      <alignment horizontal="center" vertical="center"/>
    </xf>
    <xf numFmtId="0" fontId="20" fillId="0" borderId="43" xfId="3" applyFont="1" applyBorder="1" applyAlignment="1">
      <alignment horizontal="center" vertical="center"/>
    </xf>
    <xf numFmtId="0" fontId="20" fillId="0" borderId="44" xfId="3" applyFont="1" applyBorder="1" applyAlignment="1">
      <alignment horizontal="center" vertical="center"/>
    </xf>
    <xf numFmtId="0" fontId="20" fillId="0" borderId="48" xfId="3" applyFont="1" applyBorder="1" applyAlignment="1">
      <alignment horizontal="center" vertical="center"/>
    </xf>
    <xf numFmtId="0" fontId="20" fillId="0" borderId="45" xfId="3" applyFont="1" applyBorder="1" applyAlignment="1">
      <alignment horizontal="center" vertical="center"/>
    </xf>
    <xf numFmtId="0" fontId="20" fillId="0" borderId="19" xfId="3" applyFont="1" applyBorder="1" applyAlignment="1">
      <alignment horizontal="center" vertical="center"/>
    </xf>
    <xf numFmtId="0" fontId="20" fillId="0" borderId="20" xfId="3" applyFont="1" applyBorder="1" applyAlignment="1">
      <alignment horizontal="center" vertical="center"/>
    </xf>
    <xf numFmtId="0" fontId="20" fillId="0" borderId="46" xfId="3" applyFont="1" applyBorder="1" applyAlignment="1">
      <alignment horizontal="center" vertical="center"/>
    </xf>
    <xf numFmtId="0" fontId="20" fillId="0" borderId="47" xfId="3" applyFont="1" applyBorder="1" applyAlignment="1">
      <alignment horizontal="center" vertical="center"/>
    </xf>
    <xf numFmtId="0" fontId="20" fillId="15" borderId="24" xfId="3" applyFont="1" applyFill="1" applyBorder="1" applyAlignment="1">
      <alignment horizontal="center" vertical="center"/>
    </xf>
    <xf numFmtId="0" fontId="20" fillId="15" borderId="25" xfId="3" applyFont="1" applyFill="1" applyBorder="1" applyAlignment="1">
      <alignment horizontal="center" vertical="center"/>
    </xf>
    <xf numFmtId="0" fontId="20" fillId="15" borderId="26" xfId="3" applyFont="1" applyFill="1" applyBorder="1" applyAlignment="1">
      <alignment horizontal="center" vertical="center"/>
    </xf>
    <xf numFmtId="0" fontId="20" fillId="15" borderId="27" xfId="3" applyFont="1" applyFill="1" applyBorder="1" applyAlignment="1">
      <alignment horizontal="center" vertical="center"/>
    </xf>
    <xf numFmtId="0" fontId="20" fillId="15" borderId="28" xfId="3" applyFont="1" applyFill="1" applyBorder="1" applyAlignment="1">
      <alignment horizontal="center" vertical="center"/>
    </xf>
    <xf numFmtId="0" fontId="20" fillId="15" borderId="30" xfId="3" applyFont="1" applyFill="1" applyBorder="1" applyAlignment="1">
      <alignment horizontal="center" vertical="center"/>
    </xf>
    <xf numFmtId="0" fontId="20" fillId="12" borderId="23" xfId="3" applyFont="1" applyFill="1" applyBorder="1" applyAlignment="1">
      <alignment horizontal="center" vertical="center"/>
    </xf>
    <xf numFmtId="0" fontId="20" fillId="12" borderId="30" xfId="3" applyFont="1" applyFill="1" applyBorder="1" applyAlignment="1">
      <alignment horizontal="center" vertical="center"/>
    </xf>
    <xf numFmtId="0" fontId="3" fillId="2" borderId="1" xfId="1" applyFont="1" applyFill="1" applyBorder="1" applyAlignment="1">
      <alignment horizontal="center" vertical="center"/>
    </xf>
    <xf numFmtId="0" fontId="3" fillId="2" borderId="1" xfId="1" applyFont="1" applyFill="1" applyBorder="1" applyAlignment="1">
      <alignment horizontal="center" vertical="center" wrapText="1"/>
    </xf>
    <xf numFmtId="0" fontId="3" fillId="0" borderId="1" xfId="1" applyFont="1" applyBorder="1" applyAlignment="1">
      <alignment horizontal="left" vertical="center"/>
    </xf>
    <xf numFmtId="0" fontId="3" fillId="0" borderId="1" xfId="2" applyFont="1" applyBorder="1" applyAlignment="1">
      <alignment horizontal="center" vertical="center" wrapText="1"/>
    </xf>
    <xf numFmtId="0" fontId="5" fillId="5" borderId="2" xfId="2" applyFont="1" applyFill="1" applyBorder="1" applyAlignment="1">
      <alignment horizontal="center" vertical="center"/>
    </xf>
    <xf numFmtId="0" fontId="5" fillId="5" borderId="3" xfId="2" applyFont="1" applyFill="1" applyBorder="1" applyAlignment="1">
      <alignment horizontal="center" vertical="center"/>
    </xf>
    <xf numFmtId="0" fontId="5" fillId="5" borderId="4" xfId="2" applyFont="1" applyFill="1" applyBorder="1" applyAlignment="1">
      <alignment horizontal="center" vertical="center"/>
    </xf>
    <xf numFmtId="0" fontId="5" fillId="5" borderId="1" xfId="2" applyFont="1" applyFill="1" applyBorder="1" applyAlignment="1">
      <alignment horizontal="center" vertical="center"/>
    </xf>
    <xf numFmtId="0" fontId="5" fillId="5" borderId="1" xfId="2" applyFont="1" applyFill="1" applyBorder="1" applyAlignment="1">
      <alignment horizontal="center" vertical="center" wrapText="1"/>
    </xf>
    <xf numFmtId="0" fontId="7" fillId="5" borderId="5" xfId="2" applyFont="1" applyFill="1" applyBorder="1" applyAlignment="1">
      <alignment horizontal="center"/>
    </xf>
    <xf numFmtId="0" fontId="3" fillId="0" borderId="6" xfId="2" applyFont="1" applyBorder="1" applyAlignment="1">
      <alignment horizontal="center" vertical="center"/>
    </xf>
    <xf numFmtId="0" fontId="3" fillId="0" borderId="7" xfId="2" applyFont="1" applyBorder="1" applyAlignment="1">
      <alignment horizontal="center" vertical="center"/>
    </xf>
    <xf numFmtId="0" fontId="4" fillId="0" borderId="12" xfId="1" applyFont="1" applyBorder="1" applyAlignment="1">
      <alignment horizontal="left" vertical="center" wrapText="1"/>
    </xf>
    <xf numFmtId="0" fontId="4" fillId="0" borderId="13" xfId="1" applyFont="1" applyBorder="1" applyAlignment="1">
      <alignment horizontal="left" vertical="center" wrapText="1"/>
    </xf>
    <xf numFmtId="0" fontId="4" fillId="0" borderId="2" xfId="1" applyFont="1" applyBorder="1" applyAlignment="1">
      <alignment horizontal="center" vertical="center" wrapText="1"/>
    </xf>
    <xf numFmtId="0" fontId="4" fillId="0" borderId="1" xfId="1" applyFont="1" applyBorder="1" applyAlignment="1">
      <alignment horizontal="center" vertical="center" wrapText="1"/>
    </xf>
    <xf numFmtId="0" fontId="9" fillId="2" borderId="8" xfId="1" applyFont="1" applyFill="1" applyBorder="1" applyAlignment="1">
      <alignment horizontal="left" vertical="center" wrapText="1"/>
    </xf>
    <xf numFmtId="0" fontId="9" fillId="2" borderId="9" xfId="1" applyFont="1" applyFill="1" applyBorder="1" applyAlignment="1">
      <alignment horizontal="left" vertical="center" wrapText="1"/>
    </xf>
    <xf numFmtId="0" fontId="4" fillId="0" borderId="10" xfId="1" applyFont="1" applyBorder="1" applyAlignment="1">
      <alignment horizontal="left" vertical="center" wrapText="1"/>
    </xf>
    <xf numFmtId="0" fontId="4" fillId="0" borderId="11" xfId="1" applyFont="1" applyBorder="1" applyAlignment="1">
      <alignment horizontal="left" vertical="center" wrapText="1"/>
    </xf>
    <xf numFmtId="0" fontId="4" fillId="0" borderId="1" xfId="1" applyFont="1" applyBorder="1" applyAlignment="1">
      <alignment horizontal="left" vertical="top" wrapText="1"/>
    </xf>
    <xf numFmtId="0" fontId="4" fillId="0" borderId="2" xfId="1" applyFont="1" applyBorder="1" applyAlignment="1">
      <alignment horizontal="left" vertical="top" wrapText="1"/>
    </xf>
    <xf numFmtId="0" fontId="4" fillId="0" borderId="4" xfId="1" applyFont="1" applyBorder="1" applyAlignment="1">
      <alignment horizontal="center" vertical="center" wrapText="1"/>
    </xf>
    <xf numFmtId="0" fontId="4" fillId="0" borderId="2" xfId="1" applyFont="1" applyBorder="1" applyAlignment="1">
      <alignment horizontal="left" vertical="center" wrapText="1"/>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4" fillId="0" borderId="1" xfId="1" applyFont="1" applyBorder="1" applyAlignment="1">
      <alignment horizontal="left" vertical="center" wrapText="1"/>
    </xf>
    <xf numFmtId="0" fontId="4" fillId="0" borderId="3" xfId="1" applyFont="1" applyBorder="1" applyAlignment="1">
      <alignment horizontal="center" vertical="center" wrapText="1"/>
    </xf>
    <xf numFmtId="0" fontId="4" fillId="0" borderId="3" xfId="1" applyFont="1" applyBorder="1" applyAlignment="1">
      <alignment horizontal="left" vertical="center" wrapText="1"/>
    </xf>
    <xf numFmtId="0" fontId="4" fillId="0" borderId="4" xfId="1" applyFont="1" applyBorder="1" applyAlignment="1">
      <alignment horizontal="left" vertical="center" wrapText="1"/>
    </xf>
    <xf numFmtId="0" fontId="4" fillId="0" borderId="3" xfId="1" applyFont="1" applyBorder="1" applyAlignment="1">
      <alignment horizontal="left" vertical="top" wrapText="1"/>
    </xf>
    <xf numFmtId="0" fontId="4" fillId="0" borderId="4" xfId="1" applyFont="1" applyBorder="1" applyAlignment="1">
      <alignment horizontal="left" vertical="top" wrapText="1"/>
    </xf>
    <xf numFmtId="0" fontId="3" fillId="0" borderId="2" xfId="2" applyFont="1" applyBorder="1" applyAlignment="1">
      <alignment horizontal="center" vertical="center" wrapText="1"/>
    </xf>
    <xf numFmtId="0" fontId="3" fillId="0" borderId="3" xfId="2" applyFont="1" applyBorder="1" applyAlignment="1">
      <alignment horizontal="center" vertical="center" wrapText="1"/>
    </xf>
    <xf numFmtId="0" fontId="3" fillId="0" borderId="4" xfId="2" applyFont="1" applyBorder="1" applyAlignment="1">
      <alignment horizontal="center" vertical="center" wrapText="1"/>
    </xf>
    <xf numFmtId="0" fontId="3" fillId="7" borderId="1" xfId="2" applyFont="1" applyFill="1" applyBorder="1" applyAlignment="1">
      <alignment horizontal="center" vertical="center" wrapText="1"/>
    </xf>
    <xf numFmtId="0" fontId="3" fillId="10" borderId="1" xfId="2" applyFont="1" applyFill="1" applyBorder="1" applyAlignment="1">
      <alignment horizontal="center" vertical="center" wrapText="1"/>
    </xf>
    <xf numFmtId="0" fontId="3" fillId="10" borderId="2" xfId="2" applyFont="1" applyFill="1" applyBorder="1" applyAlignment="1">
      <alignment horizontal="center" vertical="center"/>
    </xf>
    <xf numFmtId="0" fontId="3" fillId="10" borderId="4" xfId="2" applyFont="1" applyFill="1" applyBorder="1" applyAlignment="1">
      <alignment horizontal="center" vertical="center"/>
    </xf>
    <xf numFmtId="0" fontId="3" fillId="10" borderId="2" xfId="2" applyFont="1" applyFill="1" applyBorder="1" applyAlignment="1">
      <alignment horizontal="center" vertical="center" wrapText="1"/>
    </xf>
    <xf numFmtId="0" fontId="3" fillId="10" borderId="3" xfId="2" applyFont="1" applyFill="1" applyBorder="1" applyAlignment="1">
      <alignment horizontal="center" vertical="center" wrapText="1"/>
    </xf>
    <xf numFmtId="0" fontId="3" fillId="10" borderId="4" xfId="2" applyFont="1" applyFill="1" applyBorder="1" applyAlignment="1">
      <alignment horizontal="center" vertical="center" wrapText="1"/>
    </xf>
    <xf numFmtId="0" fontId="17" fillId="0" borderId="12" xfId="1" applyFont="1" applyBorder="1" applyAlignment="1">
      <alignment horizontal="left" vertical="center" wrapText="1"/>
    </xf>
    <xf numFmtId="0" fontId="17" fillId="0" borderId="19" xfId="1" applyFont="1" applyBorder="1" applyAlignment="1">
      <alignment horizontal="left" vertical="center" wrapText="1"/>
    </xf>
    <xf numFmtId="0" fontId="17" fillId="0" borderId="20" xfId="1" applyFont="1" applyBorder="1" applyAlignment="1">
      <alignment horizontal="left" vertical="center" wrapText="1"/>
    </xf>
    <xf numFmtId="0" fontId="17" fillId="0" borderId="2" xfId="1" applyFont="1" applyBorder="1" applyAlignment="1">
      <alignment horizontal="center" vertical="center" wrapText="1"/>
    </xf>
    <xf numFmtId="0" fontId="17" fillId="0" borderId="3" xfId="1" applyFont="1" applyBorder="1" applyAlignment="1">
      <alignment horizontal="center" vertical="center" wrapText="1"/>
    </xf>
    <xf numFmtId="0" fontId="17" fillId="0" borderId="4" xfId="1" applyFont="1" applyBorder="1" applyAlignment="1">
      <alignment horizontal="center" vertical="center" wrapText="1"/>
    </xf>
    <xf numFmtId="0" fontId="18" fillId="2" borderId="8" xfId="1" applyFont="1" applyFill="1" applyBorder="1" applyAlignment="1">
      <alignment horizontal="left" vertical="center" wrapText="1"/>
    </xf>
    <xf numFmtId="0" fontId="18" fillId="2" borderId="16" xfId="1" applyFont="1" applyFill="1" applyBorder="1" applyAlignment="1">
      <alignment horizontal="left" vertical="center" wrapText="1"/>
    </xf>
    <xf numFmtId="0" fontId="18" fillId="2" borderId="17" xfId="1" applyFont="1" applyFill="1" applyBorder="1" applyAlignment="1">
      <alignment horizontal="left" vertical="center" wrapText="1"/>
    </xf>
    <xf numFmtId="0" fontId="17" fillId="0" borderId="10" xfId="1" applyFont="1" applyBorder="1" applyAlignment="1">
      <alignment horizontal="left" vertical="center" wrapText="1"/>
    </xf>
    <xf numFmtId="0" fontId="17" fillId="0" borderId="3" xfId="1" applyFont="1" applyBorder="1" applyAlignment="1">
      <alignment horizontal="left" vertical="center" wrapText="1"/>
    </xf>
    <xf numFmtId="0" fontId="17" fillId="0" borderId="18" xfId="1" applyFont="1" applyBorder="1" applyAlignment="1">
      <alignment horizontal="left" vertical="center" wrapText="1"/>
    </xf>
    <xf numFmtId="0" fontId="17" fillId="0" borderId="1" xfId="1" applyFont="1" applyBorder="1" applyAlignment="1">
      <alignment horizontal="center" vertical="center" wrapText="1"/>
    </xf>
    <xf numFmtId="0" fontId="17" fillId="0" borderId="2" xfId="1" applyFont="1" applyBorder="1" applyAlignment="1">
      <alignment horizontal="left" vertical="center" wrapText="1"/>
    </xf>
    <xf numFmtId="0" fontId="17" fillId="0" borderId="4" xfId="1" applyFont="1" applyBorder="1" applyAlignment="1">
      <alignment horizontal="left" vertical="center" wrapText="1"/>
    </xf>
    <xf numFmtId="0" fontId="17" fillId="0" borderId="2" xfId="1" applyFont="1" applyBorder="1" applyAlignment="1">
      <alignment horizontal="left" vertical="top" wrapText="1"/>
    </xf>
    <xf numFmtId="0" fontId="17" fillId="0" borderId="3" xfId="1" applyFont="1" applyBorder="1" applyAlignment="1">
      <alignment horizontal="left" vertical="top" wrapText="1"/>
    </xf>
    <xf numFmtId="0" fontId="17" fillId="0" borderId="4" xfId="1" applyFont="1" applyBorder="1" applyAlignment="1">
      <alignment horizontal="left" vertical="top" wrapText="1"/>
    </xf>
    <xf numFmtId="0" fontId="3" fillId="10" borderId="1" xfId="4" applyFont="1" applyFill="1" applyBorder="1" applyAlignment="1">
      <alignment horizontal="center" vertical="center" wrapText="1"/>
    </xf>
    <xf numFmtId="0" fontId="3" fillId="10" borderId="2" xfId="1" applyFont="1" applyFill="1" applyBorder="1" applyAlignment="1">
      <alignment horizontal="center" vertical="center"/>
    </xf>
    <xf numFmtId="0" fontId="3" fillId="10" borderId="4" xfId="1" applyFont="1" applyFill="1" applyBorder="1" applyAlignment="1">
      <alignment horizontal="center" vertical="center"/>
    </xf>
    <xf numFmtId="0" fontId="3" fillId="10" borderId="2" xfId="1" applyFont="1" applyFill="1" applyBorder="1" applyAlignment="1">
      <alignment horizontal="center" vertical="center" wrapText="1"/>
    </xf>
    <xf numFmtId="0" fontId="3" fillId="10" borderId="3" xfId="1" applyFont="1" applyFill="1" applyBorder="1" applyAlignment="1">
      <alignment horizontal="center" vertical="center" wrapText="1"/>
    </xf>
    <xf numFmtId="0" fontId="3" fillId="10" borderId="4" xfId="1" applyFont="1" applyFill="1" applyBorder="1" applyAlignment="1">
      <alignment horizontal="center" vertical="center" wrapText="1"/>
    </xf>
    <xf numFmtId="0" fontId="3" fillId="10" borderId="2" xfId="4" applyFont="1" applyFill="1" applyBorder="1" applyAlignment="1">
      <alignment horizontal="center" vertical="center" wrapText="1"/>
    </xf>
    <xf numFmtId="0" fontId="3" fillId="10" borderId="3" xfId="4" applyFont="1" applyFill="1" applyBorder="1" applyAlignment="1">
      <alignment horizontal="center" vertical="center" wrapText="1"/>
    </xf>
    <xf numFmtId="0" fontId="3" fillId="10" borderId="4" xfId="4" applyFont="1" applyFill="1" applyBorder="1" applyAlignment="1">
      <alignment horizontal="center" vertical="center" wrapText="1"/>
    </xf>
    <xf numFmtId="0" fontId="17" fillId="0" borderId="1" xfId="1" applyFont="1" applyBorder="1" applyAlignment="1">
      <alignment horizontal="left" vertical="center" wrapText="1"/>
    </xf>
  </cellXfs>
  <cellStyles count="5">
    <cellStyle name="표준" xfId="0" builtinId="0"/>
    <cellStyle name="표준 2" xfId="2" xr:uid="{3A1720E4-8969-45B0-9841-0573AC9F4760}"/>
    <cellStyle name="표준 2 2" xfId="4" xr:uid="{6EDFC0BE-765C-4550-8F69-125E8D533309}"/>
    <cellStyle name="표준 3" xfId="1" xr:uid="{AE59F727-D0D9-4D2C-8E1D-DB1D71C8BF25}"/>
    <cellStyle name="표준 4" xfId="3" xr:uid="{AB1C84C2-2E9E-40DF-80A4-9289AD723D69}"/>
  </cellStyles>
  <dxfs count="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37</xdr:col>
      <xdr:colOff>0</xdr:colOff>
      <xdr:row>1</xdr:row>
      <xdr:rowOff>0</xdr:rowOff>
    </xdr:from>
    <xdr:to>
      <xdr:col>49</xdr:col>
      <xdr:colOff>286353</xdr:colOff>
      <xdr:row>17</xdr:row>
      <xdr:rowOff>152019</xdr:rowOff>
    </xdr:to>
    <xdr:pic>
      <xdr:nvPicPr>
        <xdr:cNvPr id="2" name="그림 1">
          <a:extLst>
            <a:ext uri="{FF2B5EF4-FFF2-40B4-BE49-F238E27FC236}">
              <a16:creationId xmlns:a16="http://schemas.microsoft.com/office/drawing/2014/main" id="{C73F6AB4-5DB4-4D61-B2F2-D75D23AFD4F1}"/>
            </a:ext>
          </a:extLst>
        </xdr:cNvPr>
        <xdr:cNvPicPr>
          <a:picLocks noChangeAspect="1"/>
        </xdr:cNvPicPr>
      </xdr:nvPicPr>
      <xdr:blipFill>
        <a:blip xmlns:r="http://schemas.openxmlformats.org/officeDocument/2006/relationships" r:embed="rId1"/>
        <a:stretch>
          <a:fillRect/>
        </a:stretch>
      </xdr:blipFill>
      <xdr:spPr>
        <a:xfrm>
          <a:off x="8848725" y="190500"/>
          <a:ext cx="8173053" cy="33047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68</xdr:col>
      <xdr:colOff>0</xdr:colOff>
      <xdr:row>20</xdr:row>
      <xdr:rowOff>0</xdr:rowOff>
    </xdr:from>
    <xdr:to>
      <xdr:col>107</xdr:col>
      <xdr:colOff>25576</xdr:colOff>
      <xdr:row>31</xdr:row>
      <xdr:rowOff>1795</xdr:rowOff>
    </xdr:to>
    <xdr:pic>
      <xdr:nvPicPr>
        <xdr:cNvPr id="2" name="그림 1">
          <a:extLst>
            <a:ext uri="{FF2B5EF4-FFF2-40B4-BE49-F238E27FC236}">
              <a16:creationId xmlns:a16="http://schemas.microsoft.com/office/drawing/2014/main" id="{2D88B58B-0A24-431C-BC5C-1A26F6EDDE06}"/>
            </a:ext>
          </a:extLst>
        </xdr:cNvPr>
        <xdr:cNvPicPr>
          <a:picLocks noChangeAspect="1"/>
        </xdr:cNvPicPr>
      </xdr:nvPicPr>
      <xdr:blipFill>
        <a:blip xmlns:r="http://schemas.openxmlformats.org/officeDocument/2006/relationships" r:embed="rId1"/>
        <a:stretch>
          <a:fillRect/>
        </a:stretch>
      </xdr:blipFill>
      <xdr:spPr>
        <a:xfrm>
          <a:off x="9239250" y="3810000"/>
          <a:ext cx="4857926" cy="2040145"/>
        </a:xfrm>
        <a:prstGeom prst="rect">
          <a:avLst/>
        </a:prstGeom>
        <a:ln>
          <a:solidFill>
            <a:schemeClr val="accent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4EB19-9DD2-44CE-AE85-0304EC8AF956}">
  <sheetPr codeName="Sheet1"/>
  <dimension ref="B2:AH53"/>
  <sheetViews>
    <sheetView tabSelected="1" zoomScale="70" zoomScaleNormal="70" workbookViewId="0"/>
  </sheetViews>
  <sheetFormatPr defaultColWidth="9.453125" defaultRowHeight="15" customHeight="1" x14ac:dyDescent="0.45"/>
  <cols>
    <col min="1" max="1" width="2.81640625" style="2" customWidth="1"/>
    <col min="2" max="2" width="22.6328125" style="2" bestFit="1" customWidth="1"/>
    <col min="3" max="3" width="8.7265625" style="9" bestFit="1" customWidth="1"/>
    <col min="4" max="4" width="9.26953125" style="9" bestFit="1" customWidth="1"/>
    <col min="5" max="5" width="8.1796875" style="9" bestFit="1" customWidth="1"/>
    <col min="6" max="6" width="11.54296875" style="10" bestFit="1" customWidth="1"/>
    <col min="7" max="7" width="9.26953125" style="10" bestFit="1" customWidth="1"/>
    <col min="8" max="8" width="8.1796875" style="10" bestFit="1" customWidth="1"/>
    <col min="9" max="9" width="8.26953125" style="10" bestFit="1" customWidth="1"/>
    <col min="10" max="10" width="9.453125" style="2" customWidth="1"/>
    <col min="11" max="11" width="9.453125" style="2" hidden="1" customWidth="1"/>
    <col min="12" max="12" width="12.90625" style="2" hidden="1" customWidth="1"/>
    <col min="13" max="13" width="8.54296875" style="2" hidden="1" customWidth="1"/>
    <col min="14" max="14" width="14.1796875" style="2" hidden="1" customWidth="1"/>
    <col min="15" max="22" width="4.1796875" style="2" hidden="1" customWidth="1"/>
    <col min="23" max="23" width="12.36328125" style="2" hidden="1" customWidth="1"/>
    <col min="24" max="31" width="4.1796875" style="2" hidden="1" customWidth="1"/>
    <col min="32" max="32" width="9.81640625" style="2" hidden="1" customWidth="1"/>
    <col min="33" max="34" width="9.453125" style="2" hidden="1" customWidth="1"/>
    <col min="35" max="16384" width="9.453125" style="2"/>
  </cols>
  <sheetData>
    <row r="2" spans="2:32" ht="15" customHeight="1" x14ac:dyDescent="0.45">
      <c r="B2" s="141" t="s">
        <v>0</v>
      </c>
      <c r="C2" s="142" t="s">
        <v>1</v>
      </c>
      <c r="D2" s="142"/>
      <c r="E2" s="142"/>
      <c r="F2" s="141" t="s">
        <v>2</v>
      </c>
      <c r="G2" s="141"/>
      <c r="H2" s="141"/>
      <c r="I2" s="141" t="s">
        <v>3</v>
      </c>
      <c r="O2" s="2">
        <v>7</v>
      </c>
      <c r="P2" s="2">
        <v>6</v>
      </c>
      <c r="Q2" s="2">
        <v>5</v>
      </c>
      <c r="R2" s="2">
        <v>4</v>
      </c>
      <c r="S2" s="2">
        <v>3</v>
      </c>
      <c r="T2" s="2">
        <v>2</v>
      </c>
      <c r="U2" s="2">
        <v>1</v>
      </c>
      <c r="V2" s="2">
        <v>0</v>
      </c>
      <c r="X2" s="2">
        <v>7</v>
      </c>
      <c r="Y2" s="2">
        <v>6</v>
      </c>
      <c r="Z2" s="2">
        <v>5</v>
      </c>
      <c r="AA2" s="2">
        <v>4</v>
      </c>
      <c r="AB2" s="2">
        <v>3</v>
      </c>
      <c r="AC2" s="2">
        <v>2</v>
      </c>
      <c r="AD2" s="2">
        <v>1</v>
      </c>
      <c r="AE2" s="2">
        <v>0</v>
      </c>
    </row>
    <row r="3" spans="2:32" ht="23" x14ac:dyDescent="0.45">
      <c r="B3" s="141"/>
      <c r="C3" s="1" t="s">
        <v>4</v>
      </c>
      <c r="D3" s="1" t="s">
        <v>5</v>
      </c>
      <c r="E3" s="1" t="s">
        <v>6</v>
      </c>
      <c r="F3" s="1" t="s">
        <v>7</v>
      </c>
      <c r="G3" s="1" t="s">
        <v>8</v>
      </c>
      <c r="H3" s="1" t="s">
        <v>6</v>
      </c>
      <c r="I3" s="141"/>
      <c r="L3" s="3" t="s">
        <v>9</v>
      </c>
      <c r="M3" s="3"/>
      <c r="N3" s="3"/>
    </row>
    <row r="4" spans="2:32" ht="15" customHeight="1" x14ac:dyDescent="0.45">
      <c r="B4" s="4" t="s">
        <v>10</v>
      </c>
      <c r="C4" s="5" t="str">
        <f>_xlfn.CONCAT("0x",BIN2HEX(_xlfn.CONCAT(O4,P4,Q4,R4,S4,T4,U4,V4,),2))</f>
        <v>0xB1</v>
      </c>
      <c r="D4" s="5" t="s">
        <v>11</v>
      </c>
      <c r="E4" s="5" t="s">
        <v>11</v>
      </c>
      <c r="F4" s="6"/>
      <c r="G4" s="7" t="s">
        <v>12</v>
      </c>
      <c r="H4" s="7" t="s">
        <v>12</v>
      </c>
      <c r="I4" s="8">
        <v>0</v>
      </c>
      <c r="L4" s="3" t="s">
        <v>13</v>
      </c>
      <c r="M4" s="3" t="s">
        <v>14</v>
      </c>
      <c r="N4" s="3" t="s">
        <v>15</v>
      </c>
      <c r="O4" s="2">
        <v>1</v>
      </c>
      <c r="P4" s="2">
        <v>0</v>
      </c>
      <c r="Q4" s="2">
        <v>1</v>
      </c>
      <c r="R4" s="2">
        <v>1</v>
      </c>
      <c r="S4" s="2">
        <v>0</v>
      </c>
      <c r="T4" s="2">
        <v>0</v>
      </c>
      <c r="U4" s="2">
        <v>0</v>
      </c>
      <c r="V4" s="2">
        <v>1</v>
      </c>
      <c r="W4" s="2" t="str">
        <f t="shared" ref="W4:W9" si="0">BIN2HEX(_xlfn.CONCAT(Q4,R4,S4,T4,U4,V4),2)</f>
        <v>31</v>
      </c>
    </row>
    <row r="5" spans="2:32" ht="15" customHeight="1" x14ac:dyDescent="0.45">
      <c r="B5" s="5" t="s">
        <v>16</v>
      </c>
      <c r="C5" s="5" t="str">
        <f t="shared" ref="C5:C53" si="1">_xlfn.CONCAT("0x",BIN2HEX(_xlfn.CONCAT(O5,P5,Q5,R5,S5,T5,U5,V5,),2))</f>
        <v>0xB2</v>
      </c>
      <c r="D5" s="5" t="s">
        <v>17</v>
      </c>
      <c r="E5" s="5" t="s">
        <v>17</v>
      </c>
      <c r="F5" s="6"/>
      <c r="G5" s="7" t="s">
        <v>12</v>
      </c>
      <c r="H5" s="7" t="s">
        <v>12</v>
      </c>
      <c r="I5" s="8">
        <v>0</v>
      </c>
      <c r="L5" s="3"/>
      <c r="M5" s="3" t="s">
        <v>18</v>
      </c>
      <c r="N5" s="3" t="s">
        <v>19</v>
      </c>
      <c r="O5" s="2">
        <v>1</v>
      </c>
      <c r="P5" s="2">
        <v>0</v>
      </c>
      <c r="Q5" s="2">
        <v>1</v>
      </c>
      <c r="R5" s="2">
        <v>1</v>
      </c>
      <c r="S5" s="2">
        <v>0</v>
      </c>
      <c r="T5" s="2">
        <v>0</v>
      </c>
      <c r="U5" s="2">
        <v>1</v>
      </c>
      <c r="V5" s="2">
        <v>0</v>
      </c>
      <c r="W5" s="2" t="str">
        <f t="shared" si="0"/>
        <v>32</v>
      </c>
    </row>
    <row r="6" spans="2:32" ht="15" customHeight="1" x14ac:dyDescent="0.45">
      <c r="B6" s="5" t="s">
        <v>20</v>
      </c>
      <c r="C6" s="5" t="str">
        <f t="shared" si="1"/>
        <v>0xB3</v>
      </c>
      <c r="D6" s="5" t="s">
        <v>11</v>
      </c>
      <c r="E6" s="5" t="s">
        <v>11</v>
      </c>
      <c r="F6" s="5" t="str">
        <f>_xlfn.CONCAT("0x",BIN2HEX(_xlfn.CONCAT(X6,Y6,Z6,AA6,AB6,AC6,AD6,AE6),2))</f>
        <v>0xF3</v>
      </c>
      <c r="G6" s="5" t="s">
        <v>11</v>
      </c>
      <c r="H6" s="5" t="s">
        <v>17</v>
      </c>
      <c r="I6" s="8">
        <v>0</v>
      </c>
      <c r="L6" s="3"/>
      <c r="M6" s="3" t="s">
        <v>21</v>
      </c>
      <c r="N6" s="3" t="s">
        <v>22</v>
      </c>
      <c r="O6" s="2">
        <v>1</v>
      </c>
      <c r="P6" s="2">
        <v>0</v>
      </c>
      <c r="Q6" s="2">
        <v>1</v>
      </c>
      <c r="R6" s="2">
        <v>1</v>
      </c>
      <c r="S6" s="2">
        <v>0</v>
      </c>
      <c r="T6" s="2">
        <v>0</v>
      </c>
      <c r="U6" s="2">
        <v>1</v>
      </c>
      <c r="V6" s="2">
        <v>1</v>
      </c>
      <c r="W6" s="2" t="str">
        <f t="shared" si="0"/>
        <v>33</v>
      </c>
      <c r="X6" s="2">
        <v>1</v>
      </c>
      <c r="Y6" s="2">
        <v>1</v>
      </c>
      <c r="Z6" s="2">
        <v>1</v>
      </c>
      <c r="AA6" s="2">
        <v>1</v>
      </c>
      <c r="AB6" s="2">
        <v>0</v>
      </c>
      <c r="AC6" s="2">
        <v>0</v>
      </c>
      <c r="AD6" s="2">
        <v>1</v>
      </c>
      <c r="AE6" s="2">
        <v>1</v>
      </c>
      <c r="AF6" s="2" t="str">
        <f>BIN2HEX(_xlfn.CONCAT(Z6,AA6,AB6,AC6,AD6,AE6),2)</f>
        <v>33</v>
      </c>
    </row>
    <row r="7" spans="2:32" ht="15" customHeight="1" x14ac:dyDescent="0.45">
      <c r="B7" s="5" t="s">
        <v>23</v>
      </c>
      <c r="C7" s="5" t="str">
        <f t="shared" si="1"/>
        <v>0xB4</v>
      </c>
      <c r="D7" s="5" t="s">
        <v>11</v>
      </c>
      <c r="E7" s="5" t="s">
        <v>11</v>
      </c>
      <c r="F7" s="5" t="str">
        <f t="shared" ref="F7:F26" si="2">_xlfn.CONCAT("0x",BIN2HEX(_xlfn.CONCAT(X7,Y7,Z7,AA7,AB7,AC7,AD7,AE7),2))</f>
        <v>0xF4</v>
      </c>
      <c r="G7" s="5" t="s">
        <v>11</v>
      </c>
      <c r="H7" s="5" t="s">
        <v>17</v>
      </c>
      <c r="I7" s="8">
        <v>0</v>
      </c>
      <c r="L7" s="3" t="s">
        <v>24</v>
      </c>
      <c r="M7" s="143" t="s">
        <v>25</v>
      </c>
      <c r="N7" s="143"/>
      <c r="O7" s="2">
        <v>1</v>
      </c>
      <c r="P7" s="2">
        <v>0</v>
      </c>
      <c r="Q7" s="2">
        <v>1</v>
      </c>
      <c r="R7" s="2">
        <v>1</v>
      </c>
      <c r="S7" s="2">
        <v>0</v>
      </c>
      <c r="T7" s="2">
        <v>1</v>
      </c>
      <c r="U7" s="2">
        <v>0</v>
      </c>
      <c r="V7" s="2">
        <v>0</v>
      </c>
      <c r="W7" s="2" t="str">
        <f t="shared" si="0"/>
        <v>34</v>
      </c>
      <c r="X7" s="2">
        <v>1</v>
      </c>
      <c r="Y7" s="2">
        <v>1</v>
      </c>
      <c r="Z7" s="2">
        <v>1</v>
      </c>
      <c r="AA7" s="2">
        <v>1</v>
      </c>
      <c r="AB7" s="2">
        <v>0</v>
      </c>
      <c r="AC7" s="2">
        <v>1</v>
      </c>
      <c r="AD7" s="2">
        <v>0</v>
      </c>
      <c r="AE7" s="2">
        <v>0</v>
      </c>
      <c r="AF7" s="2" t="str">
        <f>BIN2HEX(_xlfn.CONCAT(Z7,AA7,AB7,AC7,AD7,AE7),2)</f>
        <v>34</v>
      </c>
    </row>
    <row r="8" spans="2:32" ht="15" customHeight="1" x14ac:dyDescent="0.45">
      <c r="B8" s="5" t="s">
        <v>26</v>
      </c>
      <c r="C8" s="5" t="str">
        <f t="shared" si="1"/>
        <v>0xB8</v>
      </c>
      <c r="D8" s="5" t="s">
        <v>11</v>
      </c>
      <c r="E8" s="5" t="s">
        <v>11</v>
      </c>
      <c r="F8" s="5" t="str">
        <f t="shared" si="2"/>
        <v>0xF8</v>
      </c>
      <c r="G8" s="5" t="s">
        <v>11</v>
      </c>
      <c r="H8" s="5" t="s">
        <v>17</v>
      </c>
      <c r="I8" s="8">
        <v>0</v>
      </c>
      <c r="O8" s="2">
        <v>1</v>
      </c>
      <c r="P8" s="2">
        <v>0</v>
      </c>
      <c r="Q8" s="2">
        <v>1</v>
      </c>
      <c r="R8" s="2">
        <v>1</v>
      </c>
      <c r="S8" s="2">
        <v>1</v>
      </c>
      <c r="T8" s="2">
        <v>0</v>
      </c>
      <c r="U8" s="2">
        <v>0</v>
      </c>
      <c r="V8" s="2">
        <v>0</v>
      </c>
      <c r="W8" s="2" t="str">
        <f t="shared" si="0"/>
        <v>38</v>
      </c>
      <c r="X8" s="2">
        <v>1</v>
      </c>
      <c r="Y8" s="2">
        <v>1</v>
      </c>
      <c r="Z8" s="2">
        <v>1</v>
      </c>
      <c r="AA8" s="2">
        <v>1</v>
      </c>
      <c r="AB8" s="2">
        <v>1</v>
      </c>
      <c r="AC8" s="2">
        <v>0</v>
      </c>
      <c r="AD8" s="2">
        <v>0</v>
      </c>
      <c r="AE8" s="2">
        <v>0</v>
      </c>
      <c r="AF8" s="2" t="str">
        <f>BIN2HEX(_xlfn.CONCAT(Z8,AA8,AB8,AC8,AD8,AE8),2)</f>
        <v>38</v>
      </c>
    </row>
    <row r="9" spans="2:32" ht="15" customHeight="1" x14ac:dyDescent="0.45">
      <c r="B9" s="5" t="s">
        <v>27</v>
      </c>
      <c r="C9" s="5" t="str">
        <f t="shared" si="1"/>
        <v>0xBC</v>
      </c>
      <c r="D9" s="5" t="s">
        <v>11</v>
      </c>
      <c r="E9" s="5" t="s">
        <v>11</v>
      </c>
      <c r="F9" s="5" t="str">
        <f t="shared" si="2"/>
        <v>0xFC</v>
      </c>
      <c r="G9" s="5" t="s">
        <v>11</v>
      </c>
      <c r="H9" s="5" t="s">
        <v>17</v>
      </c>
      <c r="I9" s="8">
        <v>0</v>
      </c>
      <c r="O9" s="2">
        <v>1</v>
      </c>
      <c r="P9" s="2">
        <v>0</v>
      </c>
      <c r="Q9" s="2">
        <v>1</v>
      </c>
      <c r="R9" s="2">
        <v>1</v>
      </c>
      <c r="S9" s="2">
        <v>1</v>
      </c>
      <c r="T9" s="2">
        <v>1</v>
      </c>
      <c r="U9" s="2">
        <v>0</v>
      </c>
      <c r="V9" s="2">
        <v>0</v>
      </c>
      <c r="W9" s="2" t="str">
        <f t="shared" si="0"/>
        <v>3C</v>
      </c>
      <c r="X9" s="2">
        <v>1</v>
      </c>
      <c r="Y9" s="2">
        <v>1</v>
      </c>
      <c r="Z9" s="2">
        <v>1</v>
      </c>
      <c r="AA9" s="2">
        <v>1</v>
      </c>
      <c r="AB9" s="2">
        <v>1</v>
      </c>
      <c r="AC9" s="2">
        <v>1</v>
      </c>
      <c r="AD9" s="2">
        <v>0</v>
      </c>
      <c r="AE9" s="2">
        <v>0</v>
      </c>
      <c r="AF9" s="2" t="str">
        <f>BIN2HEX(_xlfn.CONCAT(Z9,AA9,AB9,AC9,AD9,AE9),2)</f>
        <v>3C</v>
      </c>
    </row>
    <row r="10" spans="2:32" ht="15" customHeight="1" x14ac:dyDescent="0.45">
      <c r="B10" s="4" t="s">
        <v>28</v>
      </c>
      <c r="C10" s="5" t="str">
        <f t="shared" si="1"/>
        <v>0x86</v>
      </c>
      <c r="D10" s="5" t="s">
        <v>11</v>
      </c>
      <c r="E10" s="5" t="s">
        <v>11</v>
      </c>
      <c r="F10" s="5" t="str">
        <f t="shared" si="2"/>
        <v>0xC6</v>
      </c>
      <c r="G10" s="5" t="s">
        <v>11</v>
      </c>
      <c r="H10" s="5" t="s">
        <v>17</v>
      </c>
      <c r="I10" s="8">
        <v>12</v>
      </c>
      <c r="O10" s="2">
        <v>1</v>
      </c>
      <c r="P10" s="2">
        <v>0</v>
      </c>
      <c r="Q10" s="2">
        <v>0</v>
      </c>
      <c r="R10" s="2">
        <v>0</v>
      </c>
      <c r="S10" s="2">
        <v>0</v>
      </c>
      <c r="T10" s="2">
        <v>1</v>
      </c>
      <c r="U10" s="2">
        <v>1</v>
      </c>
      <c r="V10" s="2">
        <v>0</v>
      </c>
      <c r="W10" s="2" t="str">
        <f>BIN2HEX(_xlfn.CONCAT(Q10,R10,S10,T10,U10,V10),2)</f>
        <v>06</v>
      </c>
      <c r="X10" s="2">
        <v>1</v>
      </c>
      <c r="Y10" s="2">
        <v>1</v>
      </c>
      <c r="Z10" s="2">
        <v>0</v>
      </c>
      <c r="AA10" s="2">
        <v>0</v>
      </c>
      <c r="AB10" s="2">
        <v>0</v>
      </c>
      <c r="AC10" s="2">
        <v>1</v>
      </c>
      <c r="AD10" s="2">
        <v>1</v>
      </c>
      <c r="AE10" s="2">
        <v>0</v>
      </c>
      <c r="AF10" s="2" t="str">
        <f>BIN2HEX(_xlfn.CONCAT(Z10,AA10,AB10,AC10,AD10,AE10),2)</f>
        <v>06</v>
      </c>
    </row>
    <row r="11" spans="2:32" ht="15" customHeight="1" x14ac:dyDescent="0.45">
      <c r="B11" s="4" t="s">
        <v>29</v>
      </c>
      <c r="C11" s="5" t="str">
        <f t="shared" si="1"/>
        <v>0x87</v>
      </c>
      <c r="D11" s="5" t="s">
        <v>11</v>
      </c>
      <c r="E11" s="5" t="s">
        <v>11</v>
      </c>
      <c r="F11" s="5" t="str">
        <f t="shared" si="2"/>
        <v>0xC7</v>
      </c>
      <c r="G11" s="5" t="s">
        <v>11</v>
      </c>
      <c r="H11" s="5" t="s">
        <v>17</v>
      </c>
      <c r="I11" s="8">
        <v>12</v>
      </c>
      <c r="O11" s="2">
        <v>1</v>
      </c>
      <c r="P11" s="2">
        <v>0</v>
      </c>
      <c r="Q11" s="2">
        <v>0</v>
      </c>
      <c r="R11" s="2">
        <v>0</v>
      </c>
      <c r="S11" s="2">
        <v>0</v>
      </c>
      <c r="T11" s="2">
        <v>1</v>
      </c>
      <c r="U11" s="2">
        <v>1</v>
      </c>
      <c r="V11" s="2">
        <v>1</v>
      </c>
      <c r="W11" s="2" t="str">
        <f t="shared" ref="W11:W52" si="3">BIN2HEX(_xlfn.CONCAT(Q11,R11,S11,T11,U11,V11),2)</f>
        <v>07</v>
      </c>
      <c r="X11" s="2">
        <v>1</v>
      </c>
      <c r="Y11" s="2">
        <v>1</v>
      </c>
      <c r="Z11" s="2">
        <v>0</v>
      </c>
      <c r="AA11" s="2">
        <v>0</v>
      </c>
      <c r="AB11" s="2">
        <v>0</v>
      </c>
      <c r="AC11" s="2">
        <v>1</v>
      </c>
      <c r="AD11" s="2">
        <v>1</v>
      </c>
      <c r="AE11" s="2">
        <v>1</v>
      </c>
      <c r="AF11" s="2" t="str">
        <f t="shared" ref="AF11:AF26" si="4">BIN2HEX(_xlfn.CONCAT(Z11,AA11,AB11,AC11,AD11,AE11),2)</f>
        <v>07</v>
      </c>
    </row>
    <row r="12" spans="2:32" ht="15" customHeight="1" x14ac:dyDescent="0.45">
      <c r="B12" s="5" t="s">
        <v>30</v>
      </c>
      <c r="C12" s="5" t="str">
        <f>_xlfn.CONCAT("0x",BIN2HEX(_xlfn.CONCAT(O12,P12,Q12,R12,S12,T12,U12,V12,),2))</f>
        <v>0x88</v>
      </c>
      <c r="D12" s="5" t="s">
        <v>17</v>
      </c>
      <c r="E12" s="5" t="s">
        <v>17</v>
      </c>
      <c r="F12" s="5" t="str">
        <f t="shared" si="2"/>
        <v>0xC8</v>
      </c>
      <c r="G12" s="5" t="s">
        <v>17</v>
      </c>
      <c r="H12" s="5" t="s">
        <v>17</v>
      </c>
      <c r="I12" s="8">
        <v>24</v>
      </c>
      <c r="O12" s="2">
        <v>1</v>
      </c>
      <c r="P12" s="2">
        <v>0</v>
      </c>
      <c r="Q12" s="2">
        <v>0</v>
      </c>
      <c r="R12" s="2">
        <v>0</v>
      </c>
      <c r="S12" s="2">
        <v>1</v>
      </c>
      <c r="T12" s="2">
        <v>0</v>
      </c>
      <c r="U12" s="2">
        <v>0</v>
      </c>
      <c r="V12" s="2">
        <v>0</v>
      </c>
      <c r="W12" s="2" t="str">
        <f t="shared" si="3"/>
        <v>08</v>
      </c>
      <c r="X12" s="2">
        <v>1</v>
      </c>
      <c r="Y12" s="2">
        <v>1</v>
      </c>
      <c r="Z12" s="2">
        <v>0</v>
      </c>
      <c r="AA12" s="2">
        <v>0</v>
      </c>
      <c r="AB12" s="2">
        <v>1</v>
      </c>
      <c r="AC12" s="2">
        <v>0</v>
      </c>
      <c r="AD12" s="2">
        <v>0</v>
      </c>
      <c r="AE12" s="2">
        <v>0</v>
      </c>
      <c r="AF12" s="2" t="str">
        <f t="shared" si="4"/>
        <v>08</v>
      </c>
    </row>
    <row r="13" spans="2:32" ht="15" customHeight="1" x14ac:dyDescent="0.45">
      <c r="B13" s="4" t="s">
        <v>32</v>
      </c>
      <c r="C13" s="5" t="str">
        <f t="shared" si="1"/>
        <v>0xA0</v>
      </c>
      <c r="D13" s="5" t="s">
        <v>11</v>
      </c>
      <c r="E13" s="5" t="s">
        <v>11</v>
      </c>
      <c r="F13" s="5" t="str">
        <f t="shared" si="2"/>
        <v>0xE0</v>
      </c>
      <c r="G13" s="5" t="s">
        <v>11</v>
      </c>
      <c r="H13" s="5" t="s">
        <v>17</v>
      </c>
      <c r="I13" s="8">
        <v>24</v>
      </c>
      <c r="O13" s="2">
        <v>1</v>
      </c>
      <c r="P13" s="2">
        <v>0</v>
      </c>
      <c r="Q13" s="2">
        <v>1</v>
      </c>
      <c r="R13" s="2">
        <v>0</v>
      </c>
      <c r="S13" s="2">
        <v>0</v>
      </c>
      <c r="T13" s="2">
        <v>0</v>
      </c>
      <c r="U13" s="2">
        <v>0</v>
      </c>
      <c r="V13" s="2">
        <v>0</v>
      </c>
      <c r="W13" s="2" t="str">
        <f t="shared" si="3"/>
        <v>20</v>
      </c>
      <c r="X13" s="2">
        <v>1</v>
      </c>
      <c r="Y13" s="2">
        <v>1</v>
      </c>
      <c r="Z13" s="2">
        <v>1</v>
      </c>
      <c r="AA13" s="2">
        <v>0</v>
      </c>
      <c r="AB13" s="2">
        <v>0</v>
      </c>
      <c r="AC13" s="2">
        <v>0</v>
      </c>
      <c r="AD13" s="2">
        <v>0</v>
      </c>
      <c r="AE13" s="2">
        <v>0</v>
      </c>
      <c r="AF13" s="2" t="str">
        <f t="shared" si="4"/>
        <v>20</v>
      </c>
    </row>
    <row r="14" spans="2:32" ht="15" customHeight="1" x14ac:dyDescent="0.45">
      <c r="B14" s="4" t="s">
        <v>33</v>
      </c>
      <c r="C14" s="5" t="str">
        <f t="shared" si="1"/>
        <v>0x8A</v>
      </c>
      <c r="D14" s="5" t="s">
        <v>11</v>
      </c>
      <c r="E14" s="5" t="s">
        <v>11</v>
      </c>
      <c r="F14" s="5" t="str">
        <f t="shared" si="2"/>
        <v>0xCA</v>
      </c>
      <c r="G14" s="5" t="s">
        <v>11</v>
      </c>
      <c r="H14" s="5" t="s">
        <v>17</v>
      </c>
      <c r="I14" s="8">
        <v>12</v>
      </c>
      <c r="O14" s="2">
        <v>1</v>
      </c>
      <c r="P14" s="2">
        <v>0</v>
      </c>
      <c r="Q14" s="2">
        <v>0</v>
      </c>
      <c r="R14" s="2">
        <v>0</v>
      </c>
      <c r="S14" s="2">
        <v>1</v>
      </c>
      <c r="T14" s="2">
        <v>0</v>
      </c>
      <c r="U14" s="2">
        <v>1</v>
      </c>
      <c r="V14" s="2">
        <v>0</v>
      </c>
      <c r="W14" s="2" t="str">
        <f t="shared" si="3"/>
        <v>0A</v>
      </c>
      <c r="X14" s="2">
        <v>1</v>
      </c>
      <c r="Y14" s="2">
        <v>1</v>
      </c>
      <c r="Z14" s="2">
        <v>0</v>
      </c>
      <c r="AA14" s="2">
        <v>0</v>
      </c>
      <c r="AB14" s="2">
        <v>1</v>
      </c>
      <c r="AC14" s="2">
        <v>0</v>
      </c>
      <c r="AD14" s="2">
        <v>1</v>
      </c>
      <c r="AE14" s="2">
        <v>0</v>
      </c>
      <c r="AF14" s="2" t="str">
        <f t="shared" si="4"/>
        <v>0A</v>
      </c>
    </row>
    <row r="15" spans="2:32" ht="15" customHeight="1" x14ac:dyDescent="0.45">
      <c r="B15" s="4" t="s">
        <v>34</v>
      </c>
      <c r="C15" s="5" t="str">
        <f t="shared" si="1"/>
        <v>0x8B</v>
      </c>
      <c r="D15" s="5" t="s">
        <v>11</v>
      </c>
      <c r="E15" s="5" t="s">
        <v>11</v>
      </c>
      <c r="F15" s="5" t="str">
        <f t="shared" si="2"/>
        <v>0xCB</v>
      </c>
      <c r="G15" s="5" t="s">
        <v>11</v>
      </c>
      <c r="H15" s="5" t="s">
        <v>17</v>
      </c>
      <c r="I15" s="8">
        <v>12</v>
      </c>
      <c r="O15" s="2">
        <v>1</v>
      </c>
      <c r="P15" s="2">
        <v>0</v>
      </c>
      <c r="Q15" s="2">
        <v>0</v>
      </c>
      <c r="R15" s="2">
        <v>0</v>
      </c>
      <c r="S15" s="2">
        <v>1</v>
      </c>
      <c r="T15" s="2">
        <v>0</v>
      </c>
      <c r="U15" s="2">
        <v>1</v>
      </c>
      <c r="V15" s="2">
        <v>1</v>
      </c>
      <c r="W15" s="2" t="str">
        <f t="shared" si="3"/>
        <v>0B</v>
      </c>
      <c r="X15" s="2">
        <v>1</v>
      </c>
      <c r="Y15" s="2">
        <v>1</v>
      </c>
      <c r="Z15" s="2">
        <v>0</v>
      </c>
      <c r="AA15" s="2">
        <v>0</v>
      </c>
      <c r="AB15" s="2">
        <v>1</v>
      </c>
      <c r="AC15" s="2">
        <v>0</v>
      </c>
      <c r="AD15" s="2">
        <v>1</v>
      </c>
      <c r="AE15" s="2">
        <v>1</v>
      </c>
      <c r="AF15" s="2" t="str">
        <f t="shared" si="4"/>
        <v>0B</v>
      </c>
    </row>
    <row r="16" spans="2:32" ht="15" customHeight="1" x14ac:dyDescent="0.45">
      <c r="B16" s="5" t="s">
        <v>35</v>
      </c>
      <c r="C16" s="5" t="str">
        <f t="shared" si="1"/>
        <v>0x8F</v>
      </c>
      <c r="D16" s="5" t="s">
        <v>11</v>
      </c>
      <c r="E16" s="5" t="s">
        <v>11</v>
      </c>
      <c r="F16" s="5" t="str">
        <f t="shared" si="2"/>
        <v>0xCF</v>
      </c>
      <c r="G16" s="5" t="s">
        <v>11</v>
      </c>
      <c r="H16" s="5" t="s">
        <v>17</v>
      </c>
      <c r="I16" s="8">
        <v>12</v>
      </c>
      <c r="O16" s="2">
        <v>1</v>
      </c>
      <c r="P16" s="2">
        <v>0</v>
      </c>
      <c r="Q16" s="2">
        <v>0</v>
      </c>
      <c r="R16" s="2">
        <v>0</v>
      </c>
      <c r="S16" s="2">
        <v>1</v>
      </c>
      <c r="T16" s="2">
        <v>1</v>
      </c>
      <c r="U16" s="2">
        <v>1</v>
      </c>
      <c r="V16" s="2">
        <v>1</v>
      </c>
      <c r="W16" s="2" t="str">
        <f t="shared" si="3"/>
        <v>0F</v>
      </c>
      <c r="X16" s="2">
        <v>1</v>
      </c>
      <c r="Y16" s="2">
        <v>1</v>
      </c>
      <c r="Z16" s="2">
        <v>0</v>
      </c>
      <c r="AA16" s="2">
        <v>0</v>
      </c>
      <c r="AB16" s="2">
        <v>1</v>
      </c>
      <c r="AC16" s="2">
        <v>1</v>
      </c>
      <c r="AD16" s="2">
        <v>1</v>
      </c>
      <c r="AE16" s="2">
        <v>1</v>
      </c>
      <c r="AF16" s="2" t="str">
        <f t="shared" si="4"/>
        <v>0F</v>
      </c>
    </row>
    <row r="17" spans="2:32" ht="15" customHeight="1" x14ac:dyDescent="0.45">
      <c r="B17" s="5" t="s">
        <v>36</v>
      </c>
      <c r="C17" s="5" t="str">
        <f t="shared" si="1"/>
        <v>0x90</v>
      </c>
      <c r="D17" s="5" t="s">
        <v>11</v>
      </c>
      <c r="E17" s="5" t="s">
        <v>11</v>
      </c>
      <c r="F17" s="5" t="str">
        <f t="shared" si="2"/>
        <v>0xD0</v>
      </c>
      <c r="G17" s="5" t="s">
        <v>11</v>
      </c>
      <c r="H17" s="5" t="s">
        <v>17</v>
      </c>
      <c r="I17" s="8">
        <v>12</v>
      </c>
      <c r="O17" s="2">
        <v>1</v>
      </c>
      <c r="P17" s="2">
        <v>0</v>
      </c>
      <c r="Q17" s="2">
        <v>0</v>
      </c>
      <c r="R17" s="2">
        <v>1</v>
      </c>
      <c r="S17" s="2">
        <v>0</v>
      </c>
      <c r="T17" s="2">
        <v>0</v>
      </c>
      <c r="U17" s="2">
        <v>0</v>
      </c>
      <c r="V17" s="2">
        <v>0</v>
      </c>
      <c r="W17" s="2" t="str">
        <f t="shared" si="3"/>
        <v>10</v>
      </c>
      <c r="X17" s="2">
        <v>1</v>
      </c>
      <c r="Y17" s="2">
        <v>1</v>
      </c>
      <c r="Z17" s="2">
        <v>0</v>
      </c>
      <c r="AA17" s="2">
        <v>1</v>
      </c>
      <c r="AB17" s="2">
        <v>0</v>
      </c>
      <c r="AC17" s="2">
        <v>0</v>
      </c>
      <c r="AD17" s="2">
        <v>0</v>
      </c>
      <c r="AE17" s="2">
        <v>0</v>
      </c>
      <c r="AF17" s="2" t="str">
        <f t="shared" si="4"/>
        <v>10</v>
      </c>
    </row>
    <row r="18" spans="2:32" ht="15" customHeight="1" x14ac:dyDescent="0.45">
      <c r="B18" s="5" t="s">
        <v>37</v>
      </c>
      <c r="C18" s="5" t="str">
        <f t="shared" si="1"/>
        <v>0x91</v>
      </c>
      <c r="D18" s="5" t="s">
        <v>11</v>
      </c>
      <c r="E18" s="5" t="s">
        <v>11</v>
      </c>
      <c r="F18" s="5" t="str">
        <f t="shared" si="2"/>
        <v>0xD1</v>
      </c>
      <c r="G18" s="5" t="s">
        <v>11</v>
      </c>
      <c r="H18" s="5" t="s">
        <v>17</v>
      </c>
      <c r="I18" s="8">
        <v>12</v>
      </c>
      <c r="O18" s="2">
        <v>1</v>
      </c>
      <c r="P18" s="2">
        <v>0</v>
      </c>
      <c r="Q18" s="2">
        <v>0</v>
      </c>
      <c r="R18" s="2">
        <v>1</v>
      </c>
      <c r="S18" s="2">
        <v>0</v>
      </c>
      <c r="T18" s="2">
        <v>0</v>
      </c>
      <c r="U18" s="2">
        <v>0</v>
      </c>
      <c r="V18" s="2">
        <v>1</v>
      </c>
      <c r="W18" s="2" t="str">
        <f t="shared" si="3"/>
        <v>11</v>
      </c>
      <c r="X18" s="2">
        <v>1</v>
      </c>
      <c r="Y18" s="2">
        <v>1</v>
      </c>
      <c r="Z18" s="2">
        <v>0</v>
      </c>
      <c r="AA18" s="2">
        <v>1</v>
      </c>
      <c r="AB18" s="2">
        <v>0</v>
      </c>
      <c r="AC18" s="2">
        <v>0</v>
      </c>
      <c r="AD18" s="2">
        <v>0</v>
      </c>
      <c r="AE18" s="2">
        <v>1</v>
      </c>
      <c r="AF18" s="2" t="str">
        <f t="shared" si="4"/>
        <v>11</v>
      </c>
    </row>
    <row r="19" spans="2:32" ht="15" customHeight="1" x14ac:dyDescent="0.45">
      <c r="B19" s="5" t="s">
        <v>38</v>
      </c>
      <c r="C19" s="5" t="str">
        <f t="shared" si="1"/>
        <v>0x92</v>
      </c>
      <c r="D19" s="5" t="s">
        <v>11</v>
      </c>
      <c r="E19" s="5" t="s">
        <v>11</v>
      </c>
      <c r="F19" s="5" t="str">
        <f t="shared" si="2"/>
        <v>0xD2</v>
      </c>
      <c r="G19" s="5" t="s">
        <v>11</v>
      </c>
      <c r="H19" s="5" t="s">
        <v>17</v>
      </c>
      <c r="I19" s="8">
        <v>12</v>
      </c>
      <c r="O19" s="2">
        <v>1</v>
      </c>
      <c r="P19" s="2">
        <v>0</v>
      </c>
      <c r="Q19" s="2">
        <v>0</v>
      </c>
      <c r="R19" s="2">
        <v>1</v>
      </c>
      <c r="S19" s="2">
        <v>0</v>
      </c>
      <c r="T19" s="2">
        <v>0</v>
      </c>
      <c r="U19" s="2">
        <v>1</v>
      </c>
      <c r="V19" s="2">
        <v>0</v>
      </c>
      <c r="W19" s="2" t="str">
        <f t="shared" si="3"/>
        <v>12</v>
      </c>
      <c r="X19" s="2">
        <v>1</v>
      </c>
      <c r="Y19" s="2">
        <v>1</v>
      </c>
      <c r="Z19" s="2">
        <v>0</v>
      </c>
      <c r="AA19" s="2">
        <v>1</v>
      </c>
      <c r="AB19" s="2">
        <v>0</v>
      </c>
      <c r="AC19" s="2">
        <v>0</v>
      </c>
      <c r="AD19" s="2">
        <v>1</v>
      </c>
      <c r="AE19" s="2">
        <v>0</v>
      </c>
      <c r="AF19" s="2" t="str">
        <f t="shared" si="4"/>
        <v>12</v>
      </c>
    </row>
    <row r="20" spans="2:32" ht="15" customHeight="1" x14ac:dyDescent="0.45">
      <c r="B20" s="5" t="s">
        <v>39</v>
      </c>
      <c r="C20" s="5" t="str">
        <f t="shared" si="1"/>
        <v>0x93</v>
      </c>
      <c r="D20" s="5" t="s">
        <v>11</v>
      </c>
      <c r="E20" s="5" t="s">
        <v>11</v>
      </c>
      <c r="F20" s="5" t="str">
        <f t="shared" si="2"/>
        <v>0xD3</v>
      </c>
      <c r="G20" s="5" t="s">
        <v>11</v>
      </c>
      <c r="H20" s="5" t="s">
        <v>17</v>
      </c>
      <c r="I20" s="8">
        <v>12</v>
      </c>
      <c r="O20" s="2">
        <v>1</v>
      </c>
      <c r="P20" s="2">
        <v>0</v>
      </c>
      <c r="Q20" s="2">
        <v>0</v>
      </c>
      <c r="R20" s="2">
        <v>1</v>
      </c>
      <c r="S20" s="2">
        <v>0</v>
      </c>
      <c r="T20" s="2">
        <v>0</v>
      </c>
      <c r="U20" s="2">
        <v>1</v>
      </c>
      <c r="V20" s="2">
        <v>1</v>
      </c>
      <c r="W20" s="2" t="str">
        <f t="shared" si="3"/>
        <v>13</v>
      </c>
      <c r="X20" s="2">
        <v>1</v>
      </c>
      <c r="Y20" s="2">
        <v>1</v>
      </c>
      <c r="Z20" s="2">
        <v>0</v>
      </c>
      <c r="AA20" s="2">
        <v>1</v>
      </c>
      <c r="AB20" s="2">
        <v>0</v>
      </c>
      <c r="AC20" s="2">
        <v>0</v>
      </c>
      <c r="AD20" s="2">
        <v>1</v>
      </c>
      <c r="AE20" s="2">
        <v>1</v>
      </c>
      <c r="AF20" s="2" t="str">
        <f t="shared" si="4"/>
        <v>13</v>
      </c>
    </row>
    <row r="21" spans="2:32" ht="15" customHeight="1" x14ac:dyDescent="0.45">
      <c r="B21" s="5" t="s">
        <v>40</v>
      </c>
      <c r="C21" s="5" t="str">
        <f t="shared" si="1"/>
        <v>0x94</v>
      </c>
      <c r="D21" s="5" t="s">
        <v>11</v>
      </c>
      <c r="E21" s="5" t="s">
        <v>11</v>
      </c>
      <c r="F21" s="5" t="str">
        <f t="shared" si="2"/>
        <v>0xD4</v>
      </c>
      <c r="G21" s="5" t="s">
        <v>11</v>
      </c>
      <c r="H21" s="5" t="s">
        <v>17</v>
      </c>
      <c r="I21" s="8">
        <v>12</v>
      </c>
      <c r="O21" s="2">
        <v>1</v>
      </c>
      <c r="P21" s="2">
        <v>0</v>
      </c>
      <c r="Q21" s="2">
        <v>0</v>
      </c>
      <c r="R21" s="2">
        <v>1</v>
      </c>
      <c r="S21" s="2">
        <v>0</v>
      </c>
      <c r="T21" s="2">
        <v>1</v>
      </c>
      <c r="U21" s="2">
        <v>0</v>
      </c>
      <c r="V21" s="2">
        <v>0</v>
      </c>
      <c r="W21" s="2" t="str">
        <f t="shared" si="3"/>
        <v>14</v>
      </c>
      <c r="X21" s="2">
        <v>1</v>
      </c>
      <c r="Y21" s="2">
        <v>1</v>
      </c>
      <c r="Z21" s="2">
        <v>0</v>
      </c>
      <c r="AA21" s="2">
        <v>1</v>
      </c>
      <c r="AB21" s="2">
        <v>0</v>
      </c>
      <c r="AC21" s="2">
        <v>1</v>
      </c>
      <c r="AD21" s="2">
        <v>0</v>
      </c>
      <c r="AE21" s="2">
        <v>0</v>
      </c>
      <c r="AF21" s="2" t="str">
        <f t="shared" si="4"/>
        <v>14</v>
      </c>
    </row>
    <row r="22" spans="2:32" ht="15" customHeight="1" x14ac:dyDescent="0.45">
      <c r="B22" s="5" t="s">
        <v>41</v>
      </c>
      <c r="C22" s="5" t="str">
        <f t="shared" si="1"/>
        <v>0x95</v>
      </c>
      <c r="D22" s="5" t="s">
        <v>11</v>
      </c>
      <c r="E22" s="5" t="s">
        <v>11</v>
      </c>
      <c r="F22" s="5" t="str">
        <f t="shared" si="2"/>
        <v>0xD5</v>
      </c>
      <c r="G22" s="5" t="s">
        <v>11</v>
      </c>
      <c r="H22" s="5" t="s">
        <v>17</v>
      </c>
      <c r="I22" s="8">
        <v>12</v>
      </c>
      <c r="O22" s="2">
        <v>1</v>
      </c>
      <c r="P22" s="2">
        <v>0</v>
      </c>
      <c r="Q22" s="2">
        <v>0</v>
      </c>
      <c r="R22" s="2">
        <v>1</v>
      </c>
      <c r="S22" s="2">
        <v>0</v>
      </c>
      <c r="T22" s="2">
        <v>1</v>
      </c>
      <c r="U22" s="2">
        <v>0</v>
      </c>
      <c r="V22" s="2">
        <v>1</v>
      </c>
      <c r="W22" s="2" t="str">
        <f t="shared" si="3"/>
        <v>15</v>
      </c>
      <c r="X22" s="2">
        <v>1</v>
      </c>
      <c r="Y22" s="2">
        <v>1</v>
      </c>
      <c r="Z22" s="2">
        <v>0</v>
      </c>
      <c r="AA22" s="2">
        <v>1</v>
      </c>
      <c r="AB22" s="2">
        <v>0</v>
      </c>
      <c r="AC22" s="2">
        <v>1</v>
      </c>
      <c r="AD22" s="2">
        <v>0</v>
      </c>
      <c r="AE22" s="2">
        <v>1</v>
      </c>
      <c r="AF22" s="2" t="str">
        <f t="shared" si="4"/>
        <v>15</v>
      </c>
    </row>
    <row r="23" spans="2:32" ht="15" customHeight="1" x14ac:dyDescent="0.45">
      <c r="B23" s="5" t="s">
        <v>42</v>
      </c>
      <c r="C23" s="5" t="str">
        <f t="shared" si="1"/>
        <v>0x96</v>
      </c>
      <c r="D23" s="5" t="s">
        <v>11</v>
      </c>
      <c r="E23" s="5" t="s">
        <v>11</v>
      </c>
      <c r="F23" s="5" t="str">
        <f t="shared" si="2"/>
        <v>0xD6</v>
      </c>
      <c r="G23" s="5" t="s">
        <v>11</v>
      </c>
      <c r="H23" s="5" t="s">
        <v>17</v>
      </c>
      <c r="I23" s="8">
        <v>12</v>
      </c>
      <c r="O23" s="2">
        <v>1</v>
      </c>
      <c r="P23" s="2">
        <v>0</v>
      </c>
      <c r="Q23" s="2">
        <v>0</v>
      </c>
      <c r="R23" s="2">
        <v>1</v>
      </c>
      <c r="S23" s="2">
        <v>0</v>
      </c>
      <c r="T23" s="2">
        <v>1</v>
      </c>
      <c r="U23" s="2">
        <v>1</v>
      </c>
      <c r="V23" s="2">
        <v>0</v>
      </c>
      <c r="W23" s="2" t="str">
        <f t="shared" si="3"/>
        <v>16</v>
      </c>
      <c r="X23" s="2">
        <v>1</v>
      </c>
      <c r="Y23" s="2">
        <v>1</v>
      </c>
      <c r="Z23" s="2">
        <v>0</v>
      </c>
      <c r="AA23" s="2">
        <v>1</v>
      </c>
      <c r="AB23" s="2">
        <v>0</v>
      </c>
      <c r="AC23" s="2">
        <v>1</v>
      </c>
      <c r="AD23" s="2">
        <v>1</v>
      </c>
      <c r="AE23" s="2">
        <v>0</v>
      </c>
      <c r="AF23" s="2" t="str">
        <f t="shared" si="4"/>
        <v>16</v>
      </c>
    </row>
    <row r="24" spans="2:32" ht="15" customHeight="1" x14ac:dyDescent="0.45">
      <c r="B24" s="5" t="s">
        <v>43</v>
      </c>
      <c r="C24" s="5" t="str">
        <f t="shared" si="1"/>
        <v>0x97</v>
      </c>
      <c r="D24" s="5" t="s">
        <v>11</v>
      </c>
      <c r="E24" s="5" t="s">
        <v>11</v>
      </c>
      <c r="F24" s="5" t="str">
        <f t="shared" si="2"/>
        <v>0xD7</v>
      </c>
      <c r="G24" s="5" t="s">
        <v>11</v>
      </c>
      <c r="H24" s="5" t="s">
        <v>17</v>
      </c>
      <c r="I24" s="8">
        <v>12</v>
      </c>
      <c r="O24" s="2">
        <v>1</v>
      </c>
      <c r="P24" s="2">
        <v>0</v>
      </c>
      <c r="Q24" s="2">
        <v>0</v>
      </c>
      <c r="R24" s="2">
        <v>1</v>
      </c>
      <c r="S24" s="2">
        <v>0</v>
      </c>
      <c r="T24" s="2">
        <v>1</v>
      </c>
      <c r="U24" s="2">
        <v>1</v>
      </c>
      <c r="V24" s="2">
        <v>1</v>
      </c>
      <c r="W24" s="2" t="str">
        <f t="shared" si="3"/>
        <v>17</v>
      </c>
      <c r="X24" s="2">
        <v>1</v>
      </c>
      <c r="Y24" s="2">
        <v>1</v>
      </c>
      <c r="Z24" s="2">
        <v>0</v>
      </c>
      <c r="AA24" s="2">
        <v>1</v>
      </c>
      <c r="AB24" s="2">
        <v>0</v>
      </c>
      <c r="AC24" s="2">
        <v>1</v>
      </c>
      <c r="AD24" s="2">
        <v>1</v>
      </c>
      <c r="AE24" s="2">
        <v>1</v>
      </c>
      <c r="AF24" s="2" t="str">
        <f t="shared" si="4"/>
        <v>17</v>
      </c>
    </row>
    <row r="25" spans="2:32" ht="15" customHeight="1" x14ac:dyDescent="0.45">
      <c r="B25" s="5" t="s">
        <v>44</v>
      </c>
      <c r="C25" s="5" t="str">
        <f t="shared" si="1"/>
        <v>0x98</v>
      </c>
      <c r="D25" s="5" t="s">
        <v>45</v>
      </c>
      <c r="E25" s="5" t="s">
        <v>11</v>
      </c>
      <c r="F25" s="5" t="str">
        <f t="shared" si="2"/>
        <v>0xD8</v>
      </c>
      <c r="G25" s="5" t="s">
        <v>11</v>
      </c>
      <c r="H25" s="5" t="s">
        <v>17</v>
      </c>
      <c r="I25" s="8">
        <v>12</v>
      </c>
      <c r="O25" s="2">
        <v>1</v>
      </c>
      <c r="P25" s="2">
        <v>0</v>
      </c>
      <c r="Q25" s="2">
        <v>0</v>
      </c>
      <c r="R25" s="2">
        <v>1</v>
      </c>
      <c r="S25" s="2">
        <v>1</v>
      </c>
      <c r="T25" s="2">
        <v>0</v>
      </c>
      <c r="U25" s="2">
        <v>0</v>
      </c>
      <c r="V25" s="2">
        <v>0</v>
      </c>
      <c r="W25" s="2" t="str">
        <f t="shared" si="3"/>
        <v>18</v>
      </c>
      <c r="X25" s="2">
        <v>1</v>
      </c>
      <c r="Y25" s="2">
        <v>1</v>
      </c>
      <c r="Z25" s="2">
        <v>0</v>
      </c>
      <c r="AA25" s="2">
        <v>1</v>
      </c>
      <c r="AB25" s="2">
        <v>1</v>
      </c>
      <c r="AC25" s="2">
        <v>0</v>
      </c>
      <c r="AD25" s="2">
        <v>0</v>
      </c>
      <c r="AE25" s="2">
        <v>0</v>
      </c>
      <c r="AF25" s="2" t="str">
        <f t="shared" si="4"/>
        <v>18</v>
      </c>
    </row>
    <row r="26" spans="2:32" ht="15" customHeight="1" x14ac:dyDescent="0.45">
      <c r="B26" s="5" t="s">
        <v>46</v>
      </c>
      <c r="C26" s="5" t="str">
        <f t="shared" si="1"/>
        <v>0x99</v>
      </c>
      <c r="D26" s="5" t="s">
        <v>45</v>
      </c>
      <c r="E26" s="5" t="s">
        <v>11</v>
      </c>
      <c r="F26" s="5" t="str">
        <f t="shared" si="2"/>
        <v>0xD9</v>
      </c>
      <c r="G26" s="5" t="s">
        <v>11</v>
      </c>
      <c r="H26" s="5" t="s">
        <v>17</v>
      </c>
      <c r="I26" s="8">
        <v>12</v>
      </c>
      <c r="O26" s="2">
        <v>1</v>
      </c>
      <c r="P26" s="2">
        <v>0</v>
      </c>
      <c r="Q26" s="2">
        <v>0</v>
      </c>
      <c r="R26" s="2">
        <v>1</v>
      </c>
      <c r="S26" s="2">
        <v>1</v>
      </c>
      <c r="T26" s="2">
        <v>0</v>
      </c>
      <c r="U26" s="2">
        <v>0</v>
      </c>
      <c r="V26" s="2">
        <v>1</v>
      </c>
      <c r="W26" s="2" t="str">
        <f t="shared" si="3"/>
        <v>19</v>
      </c>
      <c r="X26" s="2">
        <v>1</v>
      </c>
      <c r="Y26" s="2">
        <v>1</v>
      </c>
      <c r="Z26" s="2">
        <v>0</v>
      </c>
      <c r="AA26" s="2">
        <v>1</v>
      </c>
      <c r="AB26" s="2">
        <v>1</v>
      </c>
      <c r="AC26" s="2">
        <v>0</v>
      </c>
      <c r="AD26" s="2">
        <v>0</v>
      </c>
      <c r="AE26" s="2">
        <v>1</v>
      </c>
      <c r="AF26" s="2" t="str">
        <f t="shared" si="4"/>
        <v>19</v>
      </c>
    </row>
    <row r="27" spans="2:32" ht="15" customHeight="1" x14ac:dyDescent="0.45">
      <c r="B27" s="5" t="s">
        <v>47</v>
      </c>
      <c r="C27" s="5" t="str">
        <f>_xlfn.CONCAT("0x",BIN2HEX(_xlfn.CONCAT(O27,P27,Q27,R27,S27,T27,U27,V27,),2))</f>
        <v>0x9A</v>
      </c>
      <c r="D27" s="5" t="s">
        <v>45</v>
      </c>
      <c r="E27" s="5" t="s">
        <v>11</v>
      </c>
      <c r="F27" s="5" t="str">
        <f>_xlfn.CONCAT("0x",BIN2HEX(_xlfn.CONCAT(X27,Y27,Z27,AA27,AB27,AC27,AD27,AE27),2))</f>
        <v>0xDA</v>
      </c>
      <c r="G27" s="5" t="s">
        <v>11</v>
      </c>
      <c r="H27" s="5" t="s">
        <v>17</v>
      </c>
      <c r="I27" s="8">
        <v>12</v>
      </c>
      <c r="O27" s="2">
        <v>1</v>
      </c>
      <c r="P27" s="2">
        <v>0</v>
      </c>
      <c r="Q27" s="2">
        <v>0</v>
      </c>
      <c r="R27" s="2">
        <v>1</v>
      </c>
      <c r="S27" s="2">
        <v>1</v>
      </c>
      <c r="T27" s="2">
        <v>0</v>
      </c>
      <c r="U27" s="2">
        <v>1</v>
      </c>
      <c r="V27" s="2">
        <v>0</v>
      </c>
      <c r="W27" s="2" t="str">
        <f>BIN2HEX(_xlfn.CONCAT(Q27,R27,S27,T27,U27,V27),2)</f>
        <v>1A</v>
      </c>
      <c r="X27" s="2">
        <v>1</v>
      </c>
      <c r="Y27" s="2">
        <v>1</v>
      </c>
      <c r="Z27" s="2">
        <v>0</v>
      </c>
      <c r="AA27" s="2">
        <v>1</v>
      </c>
      <c r="AB27" s="2">
        <v>1</v>
      </c>
      <c r="AC27" s="2">
        <v>0</v>
      </c>
      <c r="AD27" s="2">
        <v>1</v>
      </c>
      <c r="AE27" s="2">
        <v>0</v>
      </c>
      <c r="AF27" s="2" t="str">
        <f>BIN2HEX(_xlfn.CONCAT(Z27,AA27,AB27,AC27,AD27,AE27),2)</f>
        <v>1A</v>
      </c>
    </row>
    <row r="28" spans="2:32" ht="15" customHeight="1" x14ac:dyDescent="0.45">
      <c r="B28" s="5" t="s">
        <v>48</v>
      </c>
      <c r="C28" s="5" t="str">
        <f t="shared" si="1"/>
        <v>0x41</v>
      </c>
      <c r="D28" s="5" t="s">
        <v>11</v>
      </c>
      <c r="E28" s="5" t="s">
        <v>17</v>
      </c>
      <c r="F28" s="6"/>
      <c r="G28" s="7" t="s">
        <v>12</v>
      </c>
      <c r="H28" s="7" t="s">
        <v>12</v>
      </c>
      <c r="I28" s="8">
        <v>12</v>
      </c>
      <c r="O28" s="2">
        <v>0</v>
      </c>
      <c r="P28" s="2">
        <v>1</v>
      </c>
      <c r="Q28" s="2">
        <v>0</v>
      </c>
      <c r="R28" s="2">
        <v>0</v>
      </c>
      <c r="S28" s="2">
        <v>0</v>
      </c>
      <c r="T28" s="2">
        <v>0</v>
      </c>
      <c r="U28" s="2">
        <v>0</v>
      </c>
      <c r="V28" s="2">
        <v>1</v>
      </c>
      <c r="W28" s="2" t="str">
        <f t="shared" si="3"/>
        <v>01</v>
      </c>
    </row>
    <row r="29" spans="2:32" ht="15" customHeight="1" x14ac:dyDescent="0.45">
      <c r="B29" s="5" t="s">
        <v>49</v>
      </c>
      <c r="C29" s="5" t="str">
        <f t="shared" si="1"/>
        <v>0x42</v>
      </c>
      <c r="D29" s="5" t="s">
        <v>11</v>
      </c>
      <c r="E29" s="5" t="s">
        <v>17</v>
      </c>
      <c r="F29" s="6"/>
      <c r="G29" s="7" t="s">
        <v>12</v>
      </c>
      <c r="H29" s="7" t="s">
        <v>12</v>
      </c>
      <c r="I29" s="8">
        <v>12</v>
      </c>
      <c r="O29" s="2">
        <v>0</v>
      </c>
      <c r="P29" s="2">
        <v>1</v>
      </c>
      <c r="Q29" s="2">
        <v>0</v>
      </c>
      <c r="R29" s="2">
        <v>0</v>
      </c>
      <c r="S29" s="2">
        <v>0</v>
      </c>
      <c r="T29" s="2">
        <v>0</v>
      </c>
      <c r="U29" s="2">
        <v>1</v>
      </c>
      <c r="V29" s="2">
        <v>0</v>
      </c>
      <c r="W29" s="2" t="str">
        <f t="shared" si="3"/>
        <v>02</v>
      </c>
    </row>
    <row r="30" spans="2:32" ht="15" customHeight="1" x14ac:dyDescent="0.45">
      <c r="B30" s="5" t="s">
        <v>50</v>
      </c>
      <c r="C30" s="5" t="str">
        <f t="shared" si="1"/>
        <v>0x43</v>
      </c>
      <c r="D30" s="5" t="s">
        <v>11</v>
      </c>
      <c r="E30" s="5" t="s">
        <v>17</v>
      </c>
      <c r="F30" s="6"/>
      <c r="G30" s="7" t="s">
        <v>12</v>
      </c>
      <c r="H30" s="7" t="s">
        <v>12</v>
      </c>
      <c r="I30" s="8">
        <v>12</v>
      </c>
      <c r="O30" s="2">
        <v>0</v>
      </c>
      <c r="P30" s="2">
        <v>1</v>
      </c>
      <c r="Q30" s="2">
        <v>0</v>
      </c>
      <c r="R30" s="2">
        <v>0</v>
      </c>
      <c r="S30" s="2">
        <v>0</v>
      </c>
      <c r="T30" s="2">
        <v>0</v>
      </c>
      <c r="U30" s="2">
        <v>1</v>
      </c>
      <c r="V30" s="2">
        <v>1</v>
      </c>
      <c r="W30" s="2" t="str">
        <f t="shared" si="3"/>
        <v>03</v>
      </c>
    </row>
    <row r="31" spans="2:32" ht="15" customHeight="1" x14ac:dyDescent="0.45">
      <c r="B31" s="5" t="s">
        <v>51</v>
      </c>
      <c r="C31" s="5" t="str">
        <f t="shared" si="1"/>
        <v>0x44</v>
      </c>
      <c r="D31" s="5" t="s">
        <v>11</v>
      </c>
      <c r="E31" s="5" t="s">
        <v>17</v>
      </c>
      <c r="F31" s="6"/>
      <c r="G31" s="7" t="s">
        <v>12</v>
      </c>
      <c r="H31" s="7" t="s">
        <v>12</v>
      </c>
      <c r="I31" s="8">
        <v>24</v>
      </c>
      <c r="O31" s="2">
        <v>0</v>
      </c>
      <c r="P31" s="2">
        <v>1</v>
      </c>
      <c r="Q31" s="2">
        <v>0</v>
      </c>
      <c r="R31" s="2">
        <v>0</v>
      </c>
      <c r="S31" s="2">
        <v>0</v>
      </c>
      <c r="T31" s="2">
        <v>1</v>
      </c>
      <c r="U31" s="2">
        <v>0</v>
      </c>
      <c r="V31" s="2">
        <v>0</v>
      </c>
      <c r="W31" s="2" t="str">
        <f t="shared" si="3"/>
        <v>04</v>
      </c>
    </row>
    <row r="32" spans="2:32" ht="15" customHeight="1" x14ac:dyDescent="0.45">
      <c r="B32" s="5" t="s">
        <v>52</v>
      </c>
      <c r="C32" s="5" t="str">
        <f t="shared" si="1"/>
        <v>0x45</v>
      </c>
      <c r="D32" s="5" t="s">
        <v>11</v>
      </c>
      <c r="E32" s="5" t="s">
        <v>17</v>
      </c>
      <c r="F32" s="6"/>
      <c r="G32" s="7" t="s">
        <v>12</v>
      </c>
      <c r="H32" s="7" t="s">
        <v>12</v>
      </c>
      <c r="I32" s="8">
        <v>12</v>
      </c>
      <c r="O32" s="2">
        <v>0</v>
      </c>
      <c r="P32" s="2">
        <v>1</v>
      </c>
      <c r="Q32" s="2">
        <v>0</v>
      </c>
      <c r="R32" s="2">
        <v>0</v>
      </c>
      <c r="S32" s="2">
        <v>0</v>
      </c>
      <c r="T32" s="2">
        <v>1</v>
      </c>
      <c r="U32" s="2">
        <v>0</v>
      </c>
      <c r="V32" s="2">
        <v>1</v>
      </c>
      <c r="W32" s="2" t="str">
        <f t="shared" si="3"/>
        <v>05</v>
      </c>
    </row>
    <row r="33" spans="2:23" ht="15" customHeight="1" x14ac:dyDescent="0.45">
      <c r="B33" s="5" t="s">
        <v>53</v>
      </c>
      <c r="C33" s="5" t="str">
        <f t="shared" si="1"/>
        <v>0x46</v>
      </c>
      <c r="D33" s="5" t="s">
        <v>11</v>
      </c>
      <c r="E33" s="5" t="s">
        <v>17</v>
      </c>
      <c r="F33" s="6"/>
      <c r="G33" s="7" t="s">
        <v>12</v>
      </c>
      <c r="H33" s="7" t="s">
        <v>12</v>
      </c>
      <c r="I33" s="8">
        <v>12</v>
      </c>
      <c r="O33" s="2">
        <v>0</v>
      </c>
      <c r="P33" s="2">
        <v>1</v>
      </c>
      <c r="Q33" s="2">
        <v>0</v>
      </c>
      <c r="R33" s="2">
        <v>0</v>
      </c>
      <c r="S33" s="2">
        <v>0</v>
      </c>
      <c r="T33" s="2">
        <v>1</v>
      </c>
      <c r="U33" s="2">
        <v>1</v>
      </c>
      <c r="V33" s="2">
        <v>0</v>
      </c>
      <c r="W33" s="2" t="str">
        <f t="shared" si="3"/>
        <v>06</v>
      </c>
    </row>
    <row r="34" spans="2:23" ht="15" customHeight="1" x14ac:dyDescent="0.45">
      <c r="B34" s="5" t="s">
        <v>54</v>
      </c>
      <c r="C34" s="5" t="str">
        <f t="shared" si="1"/>
        <v>0x47</v>
      </c>
      <c r="D34" s="5" t="s">
        <v>11</v>
      </c>
      <c r="E34" s="5" t="s">
        <v>17</v>
      </c>
      <c r="F34" s="6"/>
      <c r="G34" s="7" t="s">
        <v>12</v>
      </c>
      <c r="H34" s="7" t="s">
        <v>12</v>
      </c>
      <c r="I34" s="8">
        <v>12</v>
      </c>
      <c r="O34" s="2">
        <v>0</v>
      </c>
      <c r="P34" s="2">
        <v>1</v>
      </c>
      <c r="Q34" s="2">
        <v>0</v>
      </c>
      <c r="R34" s="2">
        <v>0</v>
      </c>
      <c r="S34" s="2">
        <v>0</v>
      </c>
      <c r="T34" s="2">
        <v>1</v>
      </c>
      <c r="U34" s="2">
        <v>1</v>
      </c>
      <c r="V34" s="2">
        <v>1</v>
      </c>
      <c r="W34" s="2" t="str">
        <f t="shared" si="3"/>
        <v>07</v>
      </c>
    </row>
    <row r="35" spans="2:23" ht="15" customHeight="1" x14ac:dyDescent="0.45">
      <c r="B35" s="5" t="s">
        <v>55</v>
      </c>
      <c r="C35" s="5" t="str">
        <f t="shared" si="1"/>
        <v>0x48</v>
      </c>
      <c r="D35" s="5" t="s">
        <v>11</v>
      </c>
      <c r="E35" s="5" t="s">
        <v>17</v>
      </c>
      <c r="F35" s="6"/>
      <c r="G35" s="7" t="s">
        <v>12</v>
      </c>
      <c r="H35" s="7" t="s">
        <v>12</v>
      </c>
      <c r="I35" s="8">
        <v>24</v>
      </c>
      <c r="O35" s="2">
        <v>0</v>
      </c>
      <c r="P35" s="2">
        <v>1</v>
      </c>
      <c r="Q35" s="2">
        <v>0</v>
      </c>
      <c r="R35" s="2">
        <v>0</v>
      </c>
      <c r="S35" s="2">
        <v>1</v>
      </c>
      <c r="T35" s="2">
        <v>0</v>
      </c>
      <c r="U35" s="2">
        <v>0</v>
      </c>
      <c r="V35" s="2">
        <v>0</v>
      </c>
      <c r="W35" s="2" t="str">
        <f t="shared" si="3"/>
        <v>08</v>
      </c>
    </row>
    <row r="36" spans="2:23" ht="15" customHeight="1" x14ac:dyDescent="0.45">
      <c r="B36" s="5" t="s">
        <v>56</v>
      </c>
      <c r="C36" s="5" t="str">
        <f t="shared" si="1"/>
        <v>0x60</v>
      </c>
      <c r="D36" s="5" t="s">
        <v>11</v>
      </c>
      <c r="E36" s="5" t="s">
        <v>17</v>
      </c>
      <c r="F36" s="6"/>
      <c r="G36" s="7" t="s">
        <v>12</v>
      </c>
      <c r="H36" s="7" t="s">
        <v>12</v>
      </c>
      <c r="I36" s="8">
        <v>24</v>
      </c>
      <c r="O36" s="2">
        <v>0</v>
      </c>
      <c r="P36" s="2">
        <v>1</v>
      </c>
      <c r="Q36" s="2">
        <v>1</v>
      </c>
      <c r="R36" s="2">
        <v>0</v>
      </c>
      <c r="S36" s="2">
        <v>0</v>
      </c>
      <c r="T36" s="2">
        <v>0</v>
      </c>
      <c r="U36" s="2">
        <v>0</v>
      </c>
      <c r="V36" s="2">
        <v>0</v>
      </c>
      <c r="W36" s="2" t="str">
        <f t="shared" si="3"/>
        <v>20</v>
      </c>
    </row>
    <row r="37" spans="2:23" ht="15" customHeight="1" x14ac:dyDescent="0.45">
      <c r="B37" s="5" t="s">
        <v>57</v>
      </c>
      <c r="C37" s="5" t="str">
        <f t="shared" si="1"/>
        <v>0x4A</v>
      </c>
      <c r="D37" s="5" t="s">
        <v>11</v>
      </c>
      <c r="E37" s="5" t="s">
        <v>17</v>
      </c>
      <c r="F37" s="6"/>
      <c r="G37" s="7" t="s">
        <v>12</v>
      </c>
      <c r="H37" s="7" t="s">
        <v>12</v>
      </c>
      <c r="I37" s="8">
        <v>12</v>
      </c>
      <c r="O37" s="2">
        <v>0</v>
      </c>
      <c r="P37" s="2">
        <v>1</v>
      </c>
      <c r="Q37" s="2">
        <v>0</v>
      </c>
      <c r="R37" s="2">
        <v>0</v>
      </c>
      <c r="S37" s="2">
        <v>1</v>
      </c>
      <c r="T37" s="2">
        <v>0</v>
      </c>
      <c r="U37" s="2">
        <v>1</v>
      </c>
      <c r="V37" s="2">
        <v>0</v>
      </c>
      <c r="W37" s="2" t="str">
        <f t="shared" si="3"/>
        <v>0A</v>
      </c>
    </row>
    <row r="38" spans="2:23" ht="15" customHeight="1" x14ac:dyDescent="0.45">
      <c r="B38" s="5" t="s">
        <v>58</v>
      </c>
      <c r="C38" s="5" t="str">
        <f t="shared" si="1"/>
        <v>0x4B</v>
      </c>
      <c r="D38" s="5" t="s">
        <v>11</v>
      </c>
      <c r="E38" s="5" t="s">
        <v>17</v>
      </c>
      <c r="F38" s="6"/>
      <c r="G38" s="7" t="s">
        <v>12</v>
      </c>
      <c r="H38" s="7" t="s">
        <v>12</v>
      </c>
      <c r="I38" s="8">
        <v>12</v>
      </c>
      <c r="O38" s="2">
        <v>0</v>
      </c>
      <c r="P38" s="2">
        <v>1</v>
      </c>
      <c r="Q38" s="2">
        <v>0</v>
      </c>
      <c r="R38" s="2">
        <v>0</v>
      </c>
      <c r="S38" s="2">
        <v>1</v>
      </c>
      <c r="T38" s="2">
        <v>0</v>
      </c>
      <c r="U38" s="2">
        <v>1</v>
      </c>
      <c r="V38" s="2">
        <v>1</v>
      </c>
      <c r="W38" s="2" t="str">
        <f t="shared" si="3"/>
        <v>0B</v>
      </c>
    </row>
    <row r="39" spans="2:23" ht="15" customHeight="1" x14ac:dyDescent="0.45">
      <c r="B39" s="5" t="s">
        <v>59</v>
      </c>
      <c r="C39" s="5" t="str">
        <f t="shared" si="1"/>
        <v>0x4C</v>
      </c>
      <c r="D39" s="5" t="s">
        <v>11</v>
      </c>
      <c r="E39" s="5" t="s">
        <v>17</v>
      </c>
      <c r="F39" s="6"/>
      <c r="G39" s="7" t="s">
        <v>12</v>
      </c>
      <c r="H39" s="7" t="s">
        <v>12</v>
      </c>
      <c r="I39" s="8">
        <v>12</v>
      </c>
      <c r="O39" s="2">
        <v>0</v>
      </c>
      <c r="P39" s="2">
        <v>1</v>
      </c>
      <c r="Q39" s="2">
        <v>0</v>
      </c>
      <c r="R39" s="2">
        <v>0</v>
      </c>
      <c r="S39" s="2">
        <v>1</v>
      </c>
      <c r="T39" s="2">
        <v>1</v>
      </c>
      <c r="U39" s="2">
        <v>0</v>
      </c>
      <c r="V39" s="2">
        <v>0</v>
      </c>
      <c r="W39" s="2" t="str">
        <f t="shared" si="3"/>
        <v>0C</v>
      </c>
    </row>
    <row r="40" spans="2:23" ht="15" customHeight="1" x14ac:dyDescent="0.45">
      <c r="B40" s="5" t="s">
        <v>60</v>
      </c>
      <c r="C40" s="5" t="str">
        <f t="shared" si="1"/>
        <v>0x4D</v>
      </c>
      <c r="D40" s="5" t="s">
        <v>11</v>
      </c>
      <c r="E40" s="5" t="s">
        <v>17</v>
      </c>
      <c r="F40" s="6"/>
      <c r="G40" s="7" t="s">
        <v>12</v>
      </c>
      <c r="H40" s="7" t="s">
        <v>12</v>
      </c>
      <c r="I40" s="8">
        <v>12</v>
      </c>
      <c r="O40" s="2">
        <v>0</v>
      </c>
      <c r="P40" s="2">
        <v>1</v>
      </c>
      <c r="Q40" s="2">
        <v>0</v>
      </c>
      <c r="R40" s="2">
        <v>0</v>
      </c>
      <c r="S40" s="2">
        <v>1</v>
      </c>
      <c r="T40" s="2">
        <v>1</v>
      </c>
      <c r="U40" s="2">
        <v>0</v>
      </c>
      <c r="V40" s="2">
        <v>1</v>
      </c>
      <c r="W40" s="2" t="str">
        <f t="shared" si="3"/>
        <v>0D</v>
      </c>
    </row>
    <row r="41" spans="2:23" ht="15" customHeight="1" x14ac:dyDescent="0.45">
      <c r="B41" s="5" t="s">
        <v>61</v>
      </c>
      <c r="C41" s="5" t="str">
        <f t="shared" si="1"/>
        <v>0x4E</v>
      </c>
      <c r="D41" s="5" t="s">
        <v>11</v>
      </c>
      <c r="E41" s="5" t="s">
        <v>17</v>
      </c>
      <c r="F41" s="6"/>
      <c r="G41" s="7" t="s">
        <v>12</v>
      </c>
      <c r="H41" s="7" t="s">
        <v>12</v>
      </c>
      <c r="I41" s="8">
        <v>12</v>
      </c>
      <c r="O41" s="2">
        <v>0</v>
      </c>
      <c r="P41" s="2">
        <v>1</v>
      </c>
      <c r="Q41" s="2">
        <v>0</v>
      </c>
      <c r="R41" s="2">
        <v>0</v>
      </c>
      <c r="S41" s="2">
        <v>1</v>
      </c>
      <c r="T41" s="2">
        <v>1</v>
      </c>
      <c r="U41" s="2">
        <v>1</v>
      </c>
      <c r="V41" s="2">
        <v>0</v>
      </c>
      <c r="W41" s="2" t="str">
        <f t="shared" si="3"/>
        <v>0E</v>
      </c>
    </row>
    <row r="42" spans="2:23" ht="15" customHeight="1" x14ac:dyDescent="0.45">
      <c r="B42" s="5" t="s">
        <v>62</v>
      </c>
      <c r="C42" s="5" t="str">
        <f t="shared" si="1"/>
        <v>0x4F</v>
      </c>
      <c r="D42" s="5" t="s">
        <v>11</v>
      </c>
      <c r="E42" s="5" t="s">
        <v>17</v>
      </c>
      <c r="F42" s="6"/>
      <c r="G42" s="7" t="s">
        <v>12</v>
      </c>
      <c r="H42" s="7" t="s">
        <v>12</v>
      </c>
      <c r="I42" s="8">
        <v>12</v>
      </c>
      <c r="O42" s="2">
        <v>0</v>
      </c>
      <c r="P42" s="2">
        <v>1</v>
      </c>
      <c r="Q42" s="2">
        <v>0</v>
      </c>
      <c r="R42" s="2">
        <v>0</v>
      </c>
      <c r="S42" s="2">
        <v>1</v>
      </c>
      <c r="T42" s="2">
        <v>1</v>
      </c>
      <c r="U42" s="2">
        <v>1</v>
      </c>
      <c r="V42" s="2">
        <v>1</v>
      </c>
      <c r="W42" s="2" t="str">
        <f t="shared" si="3"/>
        <v>0F</v>
      </c>
    </row>
    <row r="43" spans="2:23" ht="15" customHeight="1" x14ac:dyDescent="0.45">
      <c r="B43" s="5" t="s">
        <v>63</v>
      </c>
      <c r="C43" s="5" t="str">
        <f t="shared" si="1"/>
        <v>0x50</v>
      </c>
      <c r="D43" s="5" t="s">
        <v>11</v>
      </c>
      <c r="E43" s="5" t="s">
        <v>17</v>
      </c>
      <c r="F43" s="6"/>
      <c r="G43" s="7" t="s">
        <v>12</v>
      </c>
      <c r="H43" s="7" t="s">
        <v>12</v>
      </c>
      <c r="I43" s="8">
        <v>12</v>
      </c>
      <c r="O43" s="2">
        <v>0</v>
      </c>
      <c r="P43" s="2">
        <v>1</v>
      </c>
      <c r="Q43" s="2">
        <v>0</v>
      </c>
      <c r="R43" s="2">
        <v>1</v>
      </c>
      <c r="S43" s="2">
        <v>0</v>
      </c>
      <c r="T43" s="2">
        <v>0</v>
      </c>
      <c r="U43" s="2">
        <v>0</v>
      </c>
      <c r="V43" s="2">
        <v>0</v>
      </c>
      <c r="W43" s="2" t="str">
        <f t="shared" si="3"/>
        <v>10</v>
      </c>
    </row>
    <row r="44" spans="2:23" ht="15" customHeight="1" x14ac:dyDescent="0.45">
      <c r="B44" s="5" t="s">
        <v>64</v>
      </c>
      <c r="C44" s="5" t="str">
        <f t="shared" si="1"/>
        <v>0x51</v>
      </c>
      <c r="D44" s="5" t="s">
        <v>11</v>
      </c>
      <c r="E44" s="5" t="s">
        <v>17</v>
      </c>
      <c r="F44" s="6"/>
      <c r="G44" s="7" t="s">
        <v>12</v>
      </c>
      <c r="H44" s="7" t="s">
        <v>12</v>
      </c>
      <c r="I44" s="8">
        <v>12</v>
      </c>
      <c r="O44" s="2">
        <v>0</v>
      </c>
      <c r="P44" s="2">
        <v>1</v>
      </c>
      <c r="Q44" s="2">
        <v>0</v>
      </c>
      <c r="R44" s="2">
        <v>1</v>
      </c>
      <c r="S44" s="2">
        <v>0</v>
      </c>
      <c r="T44" s="2">
        <v>0</v>
      </c>
      <c r="U44" s="2">
        <v>0</v>
      </c>
      <c r="V44" s="2">
        <v>1</v>
      </c>
      <c r="W44" s="2" t="str">
        <f t="shared" si="3"/>
        <v>11</v>
      </c>
    </row>
    <row r="45" spans="2:23" ht="15" customHeight="1" x14ac:dyDescent="0.45">
      <c r="B45" s="5" t="s">
        <v>65</v>
      </c>
      <c r="C45" s="5" t="str">
        <f t="shared" si="1"/>
        <v>0x52</v>
      </c>
      <c r="D45" s="5" t="s">
        <v>11</v>
      </c>
      <c r="E45" s="5" t="s">
        <v>17</v>
      </c>
      <c r="F45" s="6"/>
      <c r="G45" s="7" t="s">
        <v>12</v>
      </c>
      <c r="H45" s="7" t="s">
        <v>12</v>
      </c>
      <c r="I45" s="8">
        <v>12</v>
      </c>
      <c r="O45" s="2">
        <v>0</v>
      </c>
      <c r="P45" s="2">
        <v>1</v>
      </c>
      <c r="Q45" s="2">
        <v>0</v>
      </c>
      <c r="R45" s="2">
        <v>1</v>
      </c>
      <c r="S45" s="2">
        <v>0</v>
      </c>
      <c r="T45" s="2">
        <v>0</v>
      </c>
      <c r="U45" s="2">
        <v>1</v>
      </c>
      <c r="V45" s="2">
        <v>0</v>
      </c>
      <c r="W45" s="2" t="str">
        <f t="shared" si="3"/>
        <v>12</v>
      </c>
    </row>
    <row r="46" spans="2:23" ht="15" customHeight="1" x14ac:dyDescent="0.45">
      <c r="B46" s="5" t="s">
        <v>66</v>
      </c>
      <c r="C46" s="5" t="str">
        <f t="shared" si="1"/>
        <v>0x53</v>
      </c>
      <c r="D46" s="5" t="s">
        <v>11</v>
      </c>
      <c r="E46" s="5" t="s">
        <v>17</v>
      </c>
      <c r="F46" s="6"/>
      <c r="G46" s="7" t="s">
        <v>12</v>
      </c>
      <c r="H46" s="7" t="s">
        <v>12</v>
      </c>
      <c r="I46" s="8">
        <v>12</v>
      </c>
      <c r="O46" s="2">
        <v>0</v>
      </c>
      <c r="P46" s="2">
        <v>1</v>
      </c>
      <c r="Q46" s="2">
        <v>0</v>
      </c>
      <c r="R46" s="2">
        <v>1</v>
      </c>
      <c r="S46" s="2">
        <v>0</v>
      </c>
      <c r="T46" s="2">
        <v>0</v>
      </c>
      <c r="U46" s="2">
        <v>1</v>
      </c>
      <c r="V46" s="2">
        <v>1</v>
      </c>
      <c r="W46" s="2" t="str">
        <f t="shared" si="3"/>
        <v>13</v>
      </c>
    </row>
    <row r="47" spans="2:23" ht="15" customHeight="1" x14ac:dyDescent="0.45">
      <c r="B47" s="5" t="s">
        <v>67</v>
      </c>
      <c r="C47" s="5" t="str">
        <f t="shared" si="1"/>
        <v>0x54</v>
      </c>
      <c r="D47" s="5" t="s">
        <v>11</v>
      </c>
      <c r="E47" s="5" t="s">
        <v>17</v>
      </c>
      <c r="F47" s="6"/>
      <c r="G47" s="7" t="s">
        <v>12</v>
      </c>
      <c r="H47" s="7" t="s">
        <v>12</v>
      </c>
      <c r="I47" s="8">
        <v>12</v>
      </c>
      <c r="O47" s="2">
        <v>0</v>
      </c>
      <c r="P47" s="2">
        <v>1</v>
      </c>
      <c r="Q47" s="2">
        <v>0</v>
      </c>
      <c r="R47" s="2">
        <v>1</v>
      </c>
      <c r="S47" s="2">
        <v>0</v>
      </c>
      <c r="T47" s="2">
        <v>1</v>
      </c>
      <c r="U47" s="2">
        <v>0</v>
      </c>
      <c r="V47" s="2">
        <v>0</v>
      </c>
      <c r="W47" s="2" t="str">
        <f t="shared" si="3"/>
        <v>14</v>
      </c>
    </row>
    <row r="48" spans="2:23" ht="15" customHeight="1" x14ac:dyDescent="0.45">
      <c r="B48" s="5" t="s">
        <v>68</v>
      </c>
      <c r="C48" s="5" t="str">
        <f t="shared" si="1"/>
        <v>0x55</v>
      </c>
      <c r="D48" s="5" t="s">
        <v>11</v>
      </c>
      <c r="E48" s="5" t="s">
        <v>17</v>
      </c>
      <c r="F48" s="6"/>
      <c r="G48" s="7" t="s">
        <v>12</v>
      </c>
      <c r="H48" s="7" t="s">
        <v>12</v>
      </c>
      <c r="I48" s="8">
        <v>12</v>
      </c>
      <c r="O48" s="2">
        <v>0</v>
      </c>
      <c r="P48" s="2">
        <v>1</v>
      </c>
      <c r="Q48" s="2">
        <v>0</v>
      </c>
      <c r="R48" s="2">
        <v>1</v>
      </c>
      <c r="S48" s="2">
        <v>0</v>
      </c>
      <c r="T48" s="2">
        <v>1</v>
      </c>
      <c r="U48" s="2">
        <v>0</v>
      </c>
      <c r="V48" s="2">
        <v>1</v>
      </c>
      <c r="W48" s="2" t="str">
        <f t="shared" si="3"/>
        <v>15</v>
      </c>
    </row>
    <row r="49" spans="2:23" ht="15" customHeight="1" x14ac:dyDescent="0.45">
      <c r="B49" s="5" t="s">
        <v>69</v>
      </c>
      <c r="C49" s="5" t="str">
        <f t="shared" si="1"/>
        <v>0x56</v>
      </c>
      <c r="D49" s="5" t="s">
        <v>11</v>
      </c>
      <c r="E49" s="5" t="s">
        <v>17</v>
      </c>
      <c r="F49" s="6"/>
      <c r="G49" s="7" t="s">
        <v>12</v>
      </c>
      <c r="H49" s="7" t="s">
        <v>12</v>
      </c>
      <c r="I49" s="8">
        <v>12</v>
      </c>
      <c r="O49" s="2">
        <v>0</v>
      </c>
      <c r="P49" s="2">
        <v>1</v>
      </c>
      <c r="Q49" s="2">
        <v>0</v>
      </c>
      <c r="R49" s="2">
        <v>1</v>
      </c>
      <c r="S49" s="2">
        <v>0</v>
      </c>
      <c r="T49" s="2">
        <v>1</v>
      </c>
      <c r="U49" s="2">
        <v>1</v>
      </c>
      <c r="V49" s="2">
        <v>0</v>
      </c>
      <c r="W49" s="2" t="str">
        <f t="shared" si="3"/>
        <v>16</v>
      </c>
    </row>
    <row r="50" spans="2:23" ht="15" customHeight="1" x14ac:dyDescent="0.45">
      <c r="B50" s="5" t="s">
        <v>70</v>
      </c>
      <c r="C50" s="5" t="str">
        <f t="shared" si="1"/>
        <v>0x57</v>
      </c>
      <c r="D50" s="5" t="s">
        <v>11</v>
      </c>
      <c r="E50" s="5" t="s">
        <v>17</v>
      </c>
      <c r="F50" s="6"/>
      <c r="G50" s="7" t="s">
        <v>12</v>
      </c>
      <c r="H50" s="7" t="s">
        <v>12</v>
      </c>
      <c r="I50" s="8">
        <v>12</v>
      </c>
      <c r="O50" s="2">
        <v>0</v>
      </c>
      <c r="P50" s="2">
        <v>1</v>
      </c>
      <c r="Q50" s="2">
        <v>0</v>
      </c>
      <c r="R50" s="2">
        <v>1</v>
      </c>
      <c r="S50" s="2">
        <v>0</v>
      </c>
      <c r="T50" s="2">
        <v>1</v>
      </c>
      <c r="U50" s="2">
        <v>1</v>
      </c>
      <c r="V50" s="2">
        <v>1</v>
      </c>
      <c r="W50" s="2" t="str">
        <f t="shared" si="3"/>
        <v>17</v>
      </c>
    </row>
    <row r="51" spans="2:23" ht="15" customHeight="1" x14ac:dyDescent="0.45">
      <c r="B51" s="5" t="s">
        <v>71</v>
      </c>
      <c r="C51" s="5" t="str">
        <f t="shared" si="1"/>
        <v>0x58</v>
      </c>
      <c r="D51" s="5" t="s">
        <v>11</v>
      </c>
      <c r="E51" s="5" t="s">
        <v>17</v>
      </c>
      <c r="F51" s="6"/>
      <c r="G51" s="7" t="s">
        <v>12</v>
      </c>
      <c r="H51" s="7" t="s">
        <v>12</v>
      </c>
      <c r="I51" s="8">
        <v>12</v>
      </c>
      <c r="O51" s="2">
        <v>0</v>
      </c>
      <c r="P51" s="2">
        <v>1</v>
      </c>
      <c r="Q51" s="2">
        <v>0</v>
      </c>
      <c r="R51" s="2">
        <v>1</v>
      </c>
      <c r="S51" s="2">
        <v>1</v>
      </c>
      <c r="T51" s="2">
        <v>0</v>
      </c>
      <c r="U51" s="2">
        <v>0</v>
      </c>
      <c r="V51" s="2">
        <v>0</v>
      </c>
      <c r="W51" s="2" t="str">
        <f t="shared" si="3"/>
        <v>18</v>
      </c>
    </row>
    <row r="52" spans="2:23" ht="15" customHeight="1" x14ac:dyDescent="0.45">
      <c r="B52" s="5" t="s">
        <v>72</v>
      </c>
      <c r="C52" s="5" t="str">
        <f t="shared" si="1"/>
        <v>0x59</v>
      </c>
      <c r="D52" s="5" t="s">
        <v>11</v>
      </c>
      <c r="E52" s="5" t="s">
        <v>17</v>
      </c>
      <c r="F52" s="6"/>
      <c r="G52" s="7" t="s">
        <v>12</v>
      </c>
      <c r="H52" s="7" t="s">
        <v>12</v>
      </c>
      <c r="I52" s="8">
        <v>12</v>
      </c>
      <c r="O52" s="2">
        <v>0</v>
      </c>
      <c r="P52" s="2">
        <v>1</v>
      </c>
      <c r="Q52" s="2">
        <v>0</v>
      </c>
      <c r="R52" s="2">
        <v>1</v>
      </c>
      <c r="S52" s="2">
        <v>1</v>
      </c>
      <c r="T52" s="2">
        <v>0</v>
      </c>
      <c r="U52" s="2">
        <v>0</v>
      </c>
      <c r="V52" s="2">
        <v>1</v>
      </c>
      <c r="W52" s="2" t="str">
        <f t="shared" si="3"/>
        <v>19</v>
      </c>
    </row>
    <row r="53" spans="2:23" ht="15" customHeight="1" x14ac:dyDescent="0.45">
      <c r="B53" s="5" t="s">
        <v>73</v>
      </c>
      <c r="C53" s="5" t="str">
        <f t="shared" si="1"/>
        <v>0x5A</v>
      </c>
      <c r="D53" s="5" t="s">
        <v>45</v>
      </c>
      <c r="E53" s="5" t="s">
        <v>17</v>
      </c>
      <c r="F53" s="6"/>
      <c r="G53" s="7" t="s">
        <v>12</v>
      </c>
      <c r="H53" s="7" t="s">
        <v>12</v>
      </c>
      <c r="I53" s="8">
        <v>12</v>
      </c>
      <c r="O53" s="2">
        <v>0</v>
      </c>
      <c r="P53" s="2">
        <v>1</v>
      </c>
      <c r="Q53" s="2">
        <v>0</v>
      </c>
      <c r="R53" s="2">
        <v>1</v>
      </c>
      <c r="S53" s="2">
        <v>1</v>
      </c>
      <c r="T53" s="2">
        <v>0</v>
      </c>
      <c r="U53" s="2">
        <v>1</v>
      </c>
      <c r="V53" s="2">
        <v>0</v>
      </c>
      <c r="W53" s="2" t="str">
        <f>BIN2HEX(_xlfn.CONCAT(Q53,R53,S53,T53,U53,V53),2)</f>
        <v>1A</v>
      </c>
    </row>
  </sheetData>
  <mergeCells count="5">
    <mergeCell ref="B2:B3"/>
    <mergeCell ref="C2:E2"/>
    <mergeCell ref="F2:H2"/>
    <mergeCell ref="I2:I3"/>
    <mergeCell ref="M7:N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CDBA5-66C9-4E8E-AFF9-605C0B64831E}">
  <sheetPr codeName="Sheet2"/>
  <dimension ref="B2:AC32"/>
  <sheetViews>
    <sheetView zoomScale="85" zoomScaleNormal="85" workbookViewId="0">
      <selection activeCell="B10" sqref="B10:AH28"/>
    </sheetView>
  </sheetViews>
  <sheetFormatPr defaultColWidth="9.81640625" defaultRowHeight="17" customHeight="1" x14ac:dyDescent="0.45"/>
  <cols>
    <col min="1" max="1" width="2.81640625" style="13" customWidth="1"/>
    <col min="2" max="2" width="6.36328125" style="24" bestFit="1" customWidth="1"/>
    <col min="3" max="3" width="17.36328125" style="13" bestFit="1" customWidth="1"/>
    <col min="4" max="4" width="5.6328125" style="13" bestFit="1" customWidth="1"/>
    <col min="5" max="5" width="5.81640625" style="13" bestFit="1" customWidth="1"/>
    <col min="6" max="6" width="11.90625" style="13" bestFit="1" customWidth="1"/>
    <col min="7" max="7" width="5" style="13" bestFit="1" customWidth="1"/>
    <col min="8" max="11" width="6.08984375" style="13" bestFit="1" customWidth="1"/>
    <col min="12" max="12" width="8.81640625" style="13" bestFit="1" customWidth="1"/>
    <col min="13" max="14" width="10.26953125" style="13" bestFit="1" customWidth="1"/>
    <col min="15" max="15" width="10.1796875" style="13" bestFit="1" customWidth="1"/>
    <col min="16" max="16" width="11.81640625" style="13" bestFit="1" customWidth="1"/>
    <col min="17" max="17" width="10.81640625" style="13" bestFit="1" customWidth="1"/>
    <col min="18" max="18" width="13.453125" style="13" bestFit="1" customWidth="1"/>
    <col min="19" max="19" width="11.81640625" style="13" bestFit="1" customWidth="1"/>
    <col min="20" max="20" width="8.26953125" style="13" bestFit="1" customWidth="1"/>
    <col min="21" max="21" width="8.08984375" style="13" bestFit="1" customWidth="1"/>
    <col min="22" max="22" width="9.1796875" style="13" bestFit="1" customWidth="1"/>
    <col min="23" max="23" width="9.7265625" style="13" bestFit="1" customWidth="1"/>
    <col min="24" max="27" width="3.90625" style="13" bestFit="1" customWidth="1"/>
    <col min="28" max="28" width="15.7265625" style="13" bestFit="1" customWidth="1"/>
    <col min="29" max="29" width="9.36328125" style="13" bestFit="1" customWidth="1"/>
    <col min="30" max="16384" width="9.81640625" style="13"/>
  </cols>
  <sheetData>
    <row r="2" spans="2:29" ht="23" x14ac:dyDescent="0.45">
      <c r="B2" s="11" t="s">
        <v>74</v>
      </c>
      <c r="C2" s="11" t="s">
        <v>75</v>
      </c>
      <c r="D2" s="11" t="s">
        <v>76</v>
      </c>
      <c r="E2" s="11" t="s">
        <v>77</v>
      </c>
      <c r="F2" s="12" t="s">
        <v>78</v>
      </c>
      <c r="G2" s="12" t="s">
        <v>79</v>
      </c>
      <c r="H2" s="12" t="s">
        <v>80</v>
      </c>
      <c r="I2" s="12" t="s">
        <v>81</v>
      </c>
      <c r="J2" s="12" t="s">
        <v>82</v>
      </c>
      <c r="K2" s="12" t="s">
        <v>83</v>
      </c>
      <c r="L2" s="12" t="s">
        <v>84</v>
      </c>
      <c r="M2" s="12" t="s">
        <v>85</v>
      </c>
      <c r="N2" s="12" t="s">
        <v>86</v>
      </c>
      <c r="O2" s="12" t="s">
        <v>87</v>
      </c>
      <c r="P2" s="11" t="s">
        <v>88</v>
      </c>
      <c r="Q2" s="11" t="s">
        <v>89</v>
      </c>
      <c r="R2" s="11" t="s">
        <v>90</v>
      </c>
      <c r="S2" s="11" t="s">
        <v>91</v>
      </c>
      <c r="T2" s="11" t="s">
        <v>92</v>
      </c>
      <c r="U2" s="11" t="s">
        <v>93</v>
      </c>
      <c r="V2" s="11" t="s">
        <v>94</v>
      </c>
      <c r="W2" s="11" t="s">
        <v>95</v>
      </c>
      <c r="X2" s="145" t="s">
        <v>96</v>
      </c>
      <c r="Y2" s="146"/>
      <c r="Z2" s="146"/>
      <c r="AA2" s="147"/>
      <c r="AB2" s="12" t="s">
        <v>97</v>
      </c>
      <c r="AC2" s="12" t="s">
        <v>98</v>
      </c>
    </row>
    <row r="3" spans="2:29" ht="17" customHeight="1" x14ac:dyDescent="0.45">
      <c r="B3" s="14" t="s">
        <v>99</v>
      </c>
      <c r="C3" s="14" t="s">
        <v>100</v>
      </c>
      <c r="D3" s="14" t="s">
        <v>31</v>
      </c>
      <c r="E3" s="14" t="s">
        <v>101</v>
      </c>
      <c r="F3" s="14" t="s">
        <v>102</v>
      </c>
      <c r="G3" s="14" t="s">
        <v>103</v>
      </c>
      <c r="H3" s="15" t="s">
        <v>104</v>
      </c>
      <c r="I3" s="15" t="s">
        <v>104</v>
      </c>
      <c r="J3" s="15" t="s">
        <v>104</v>
      </c>
      <c r="K3" s="15" t="s">
        <v>104</v>
      </c>
      <c r="L3" s="16" t="s">
        <v>105</v>
      </c>
      <c r="M3" s="16" t="s">
        <v>105</v>
      </c>
      <c r="N3" s="16" t="s">
        <v>105</v>
      </c>
      <c r="O3" s="16" t="s">
        <v>105</v>
      </c>
      <c r="P3" s="16" t="s">
        <v>105</v>
      </c>
      <c r="Q3" s="144" t="s">
        <v>106</v>
      </c>
      <c r="R3" s="144"/>
      <c r="S3" s="144"/>
      <c r="T3" s="144" t="s">
        <v>107</v>
      </c>
      <c r="U3" s="144"/>
      <c r="V3" s="144" t="s">
        <v>108</v>
      </c>
      <c r="W3" s="144"/>
      <c r="X3" s="15">
        <v>0</v>
      </c>
      <c r="Y3" s="15">
        <v>0</v>
      </c>
      <c r="Z3" s="15">
        <v>0</v>
      </c>
      <c r="AA3" s="15">
        <v>0</v>
      </c>
      <c r="AB3" s="18" t="s">
        <v>109</v>
      </c>
      <c r="AC3" s="14" t="str">
        <f>_xlfn.CONCAT("0x",BIN2HEX(MID(AB3,1,4),1),BIN2HEX(MID(AB3,6,4),1),BIN2HEX(MID(AB3,11,4),1))</f>
        <v>0x000</v>
      </c>
    </row>
    <row r="4" spans="2:29" ht="17" customHeight="1" x14ac:dyDescent="0.45">
      <c r="B4" s="19" t="s">
        <v>110</v>
      </c>
      <c r="C4" s="14" t="s">
        <v>111</v>
      </c>
      <c r="D4" s="14" t="s">
        <v>31</v>
      </c>
      <c r="E4" s="14" t="s">
        <v>112</v>
      </c>
      <c r="F4" s="14" t="s">
        <v>102</v>
      </c>
      <c r="G4" s="14" t="s">
        <v>113</v>
      </c>
      <c r="H4" s="15" t="s">
        <v>104</v>
      </c>
      <c r="I4" s="15" t="s">
        <v>104</v>
      </c>
      <c r="J4" s="15" t="s">
        <v>104</v>
      </c>
      <c r="K4" s="15" t="s">
        <v>104</v>
      </c>
      <c r="L4" s="17" t="s">
        <v>114</v>
      </c>
      <c r="M4" s="17" t="s">
        <v>115</v>
      </c>
      <c r="N4" s="17" t="s">
        <v>116</v>
      </c>
      <c r="O4" s="17" t="s">
        <v>117</v>
      </c>
      <c r="P4" s="17" t="s">
        <v>118</v>
      </c>
      <c r="Q4" s="17" t="s">
        <v>119</v>
      </c>
      <c r="R4" s="17" t="s">
        <v>120</v>
      </c>
      <c r="S4" s="17" t="s">
        <v>121</v>
      </c>
      <c r="T4" s="17" t="s">
        <v>122</v>
      </c>
      <c r="U4" s="17" t="s">
        <v>123</v>
      </c>
      <c r="V4" s="17" t="s">
        <v>124</v>
      </c>
      <c r="W4" s="17" t="s">
        <v>125</v>
      </c>
      <c r="X4" s="15">
        <v>0</v>
      </c>
      <c r="Y4" s="15">
        <v>0</v>
      </c>
      <c r="Z4" s="15">
        <v>0</v>
      </c>
      <c r="AA4" s="15">
        <v>0</v>
      </c>
      <c r="AB4" s="18" t="s">
        <v>109</v>
      </c>
      <c r="AC4" s="14" t="str">
        <f t="shared" ref="AC4:AC13" si="0">_xlfn.CONCAT("0x",BIN2HEX(MID(AB4,1,4),1),BIN2HEX(MID(AB4,6,4),1),BIN2HEX(MID(AB4,11,4),1))</f>
        <v>0x000</v>
      </c>
    </row>
    <row r="5" spans="2:29" ht="17" customHeight="1" x14ac:dyDescent="0.45">
      <c r="B5" s="14" t="s">
        <v>126</v>
      </c>
      <c r="C5" s="14" t="s">
        <v>127</v>
      </c>
      <c r="D5" s="14" t="s">
        <v>31</v>
      </c>
      <c r="E5" s="14" t="s">
        <v>128</v>
      </c>
      <c r="F5" s="14" t="s">
        <v>102</v>
      </c>
      <c r="G5" s="14" t="s">
        <v>103</v>
      </c>
      <c r="H5" s="15" t="s">
        <v>104</v>
      </c>
      <c r="I5" s="15" t="s">
        <v>104</v>
      </c>
      <c r="J5" s="15" t="s">
        <v>104</v>
      </c>
      <c r="K5" s="15" t="s">
        <v>104</v>
      </c>
      <c r="L5" s="16" t="s">
        <v>105</v>
      </c>
      <c r="M5" s="16" t="s">
        <v>105</v>
      </c>
      <c r="N5" s="144" t="s">
        <v>129</v>
      </c>
      <c r="O5" s="144"/>
      <c r="P5" s="144"/>
      <c r="Q5" s="144"/>
      <c r="R5" s="144"/>
      <c r="S5" s="144"/>
      <c r="T5" s="144"/>
      <c r="U5" s="144"/>
      <c r="V5" s="144"/>
      <c r="W5" s="144"/>
      <c r="X5" s="15">
        <v>0</v>
      </c>
      <c r="Y5" s="15">
        <v>0</v>
      </c>
      <c r="Z5" s="15">
        <v>0</v>
      </c>
      <c r="AA5" s="15">
        <v>0</v>
      </c>
      <c r="AB5" s="18" t="s">
        <v>109</v>
      </c>
      <c r="AC5" s="14" t="str">
        <f t="shared" si="0"/>
        <v>0x000</v>
      </c>
    </row>
    <row r="6" spans="2:29" ht="17" customHeight="1" x14ac:dyDescent="0.45">
      <c r="B6" s="14" t="s">
        <v>130</v>
      </c>
      <c r="C6" s="14" t="s">
        <v>131</v>
      </c>
      <c r="D6" s="14" t="s">
        <v>31</v>
      </c>
      <c r="E6" s="14" t="s">
        <v>132</v>
      </c>
      <c r="F6" s="14" t="s">
        <v>102</v>
      </c>
      <c r="G6" s="14" t="s">
        <v>103</v>
      </c>
      <c r="H6" s="15" t="s">
        <v>104</v>
      </c>
      <c r="I6" s="15" t="s">
        <v>104</v>
      </c>
      <c r="J6" s="15" t="s">
        <v>104</v>
      </c>
      <c r="K6" s="15" t="s">
        <v>104</v>
      </c>
      <c r="L6" s="16" t="s">
        <v>105</v>
      </c>
      <c r="M6" s="16" t="s">
        <v>105</v>
      </c>
      <c r="N6" s="144" t="s">
        <v>133</v>
      </c>
      <c r="O6" s="144"/>
      <c r="P6" s="144"/>
      <c r="Q6" s="144"/>
      <c r="R6" s="144"/>
      <c r="S6" s="144"/>
      <c r="T6" s="144"/>
      <c r="U6" s="144"/>
      <c r="V6" s="144"/>
      <c r="W6" s="144"/>
      <c r="X6" s="15">
        <v>0</v>
      </c>
      <c r="Y6" s="15">
        <v>0</v>
      </c>
      <c r="Z6" s="15">
        <v>0</v>
      </c>
      <c r="AA6" s="15">
        <v>0</v>
      </c>
      <c r="AB6" s="18" t="s">
        <v>109</v>
      </c>
      <c r="AC6" s="14" t="str">
        <f t="shared" si="0"/>
        <v>0x000</v>
      </c>
    </row>
    <row r="7" spans="2:29" ht="17" customHeight="1" x14ac:dyDescent="0.45">
      <c r="B7" s="19" t="s">
        <v>134</v>
      </c>
      <c r="C7" s="14" t="s">
        <v>135</v>
      </c>
      <c r="D7" s="14" t="s">
        <v>136</v>
      </c>
      <c r="E7" s="14" t="s">
        <v>137</v>
      </c>
      <c r="F7" s="14" t="s">
        <v>102</v>
      </c>
      <c r="G7" s="14" t="s">
        <v>138</v>
      </c>
      <c r="H7" s="15" t="s">
        <v>104</v>
      </c>
      <c r="I7" s="15" t="s">
        <v>104</v>
      </c>
      <c r="J7" s="15" t="s">
        <v>104</v>
      </c>
      <c r="K7" s="15" t="s">
        <v>104</v>
      </c>
      <c r="L7" s="17" t="s">
        <v>139</v>
      </c>
      <c r="M7" s="17" t="s">
        <v>140</v>
      </c>
      <c r="N7" s="17" t="s">
        <v>141</v>
      </c>
      <c r="O7" s="17" t="s">
        <v>142</v>
      </c>
      <c r="P7" s="17" t="s">
        <v>143</v>
      </c>
      <c r="Q7" s="17" t="s">
        <v>144</v>
      </c>
      <c r="R7" s="17" t="s">
        <v>145</v>
      </c>
      <c r="S7" s="17" t="s">
        <v>146</v>
      </c>
      <c r="T7" s="144" t="s">
        <v>147</v>
      </c>
      <c r="U7" s="144"/>
      <c r="V7" s="144"/>
      <c r="W7" s="144"/>
      <c r="X7" s="15">
        <v>0</v>
      </c>
      <c r="Y7" s="15">
        <v>0</v>
      </c>
      <c r="Z7" s="15">
        <v>0</v>
      </c>
      <c r="AA7" s="15">
        <v>0</v>
      </c>
      <c r="AB7" s="18" t="s">
        <v>109</v>
      </c>
      <c r="AC7" s="14" t="str">
        <f t="shared" si="0"/>
        <v>0x000</v>
      </c>
    </row>
    <row r="8" spans="2:29" ht="17" customHeight="1" x14ac:dyDescent="0.45">
      <c r="B8" s="14" t="s">
        <v>148</v>
      </c>
      <c r="C8" s="14" t="s">
        <v>149</v>
      </c>
      <c r="D8" s="14" t="s">
        <v>150</v>
      </c>
      <c r="E8" s="14" t="s">
        <v>151</v>
      </c>
      <c r="F8" s="14" t="s">
        <v>102</v>
      </c>
      <c r="G8" s="14" t="s">
        <v>138</v>
      </c>
      <c r="H8" s="15" t="s">
        <v>104</v>
      </c>
      <c r="I8" s="15" t="s">
        <v>104</v>
      </c>
      <c r="J8" s="15" t="s">
        <v>104</v>
      </c>
      <c r="K8" s="15" t="s">
        <v>104</v>
      </c>
      <c r="L8" s="16" t="s">
        <v>105</v>
      </c>
      <c r="M8" s="16" t="s">
        <v>105</v>
      </c>
      <c r="N8" s="16" t="s">
        <v>105</v>
      </c>
      <c r="O8" s="16" t="s">
        <v>105</v>
      </c>
      <c r="P8" s="16" t="s">
        <v>105</v>
      </c>
      <c r="Q8" s="17" t="s">
        <v>152</v>
      </c>
      <c r="R8" s="20" t="s">
        <v>153</v>
      </c>
      <c r="S8" s="17" t="s">
        <v>154</v>
      </c>
      <c r="T8" s="144" t="s">
        <v>155</v>
      </c>
      <c r="U8" s="144"/>
      <c r="V8" s="144" t="s">
        <v>156</v>
      </c>
      <c r="W8" s="144"/>
      <c r="X8" s="15">
        <v>0</v>
      </c>
      <c r="Y8" s="15">
        <v>0</v>
      </c>
      <c r="Z8" s="15">
        <v>0</v>
      </c>
      <c r="AA8" s="15">
        <v>0</v>
      </c>
      <c r="AB8" s="18" t="s">
        <v>157</v>
      </c>
      <c r="AC8" s="14" t="str">
        <f>_xlfn.CONCAT("0x",BIN2HEX(MID(AB8,1,4),1),BIN2HEX(MID(AB8,6,4),1),BIN2HEX(MID(AB8,11,4),1))</f>
        <v>0x00E</v>
      </c>
    </row>
    <row r="9" spans="2:29" ht="17" customHeight="1" x14ac:dyDescent="0.45">
      <c r="B9" s="14" t="s">
        <v>158</v>
      </c>
      <c r="C9" s="14" t="s">
        <v>159</v>
      </c>
      <c r="D9" s="14" t="s">
        <v>160</v>
      </c>
      <c r="E9" s="14" t="s">
        <v>161</v>
      </c>
      <c r="F9" s="14" t="s">
        <v>102</v>
      </c>
      <c r="G9" s="14" t="s">
        <v>138</v>
      </c>
      <c r="H9" s="15" t="s">
        <v>104</v>
      </c>
      <c r="I9" s="15" t="s">
        <v>104</v>
      </c>
      <c r="J9" s="15" t="s">
        <v>104</v>
      </c>
      <c r="K9" s="15" t="s">
        <v>104</v>
      </c>
      <c r="L9" s="16" t="s">
        <v>105</v>
      </c>
      <c r="M9" s="16" t="s">
        <v>105</v>
      </c>
      <c r="N9" s="144" t="s">
        <v>162</v>
      </c>
      <c r="O9" s="144"/>
      <c r="P9" s="144"/>
      <c r="Q9" s="144"/>
      <c r="R9" s="144"/>
      <c r="S9" s="144"/>
      <c r="T9" s="144"/>
      <c r="U9" s="144"/>
      <c r="V9" s="144"/>
      <c r="W9" s="144"/>
      <c r="X9" s="15">
        <v>0</v>
      </c>
      <c r="Y9" s="15">
        <v>0</v>
      </c>
      <c r="Z9" s="15">
        <v>0</v>
      </c>
      <c r="AA9" s="15">
        <v>0</v>
      </c>
      <c r="AB9" s="18" t="s">
        <v>109</v>
      </c>
      <c r="AC9" s="14" t="str">
        <f t="shared" si="0"/>
        <v>0x000</v>
      </c>
    </row>
    <row r="10" spans="2:29" ht="17" customHeight="1" x14ac:dyDescent="0.45">
      <c r="B10" s="19" t="s">
        <v>163</v>
      </c>
      <c r="C10" s="14" t="s">
        <v>164</v>
      </c>
      <c r="D10" s="14" t="s">
        <v>165</v>
      </c>
      <c r="E10" s="14" t="s">
        <v>166</v>
      </c>
      <c r="F10" s="14" t="s">
        <v>102</v>
      </c>
      <c r="G10" s="14" t="s">
        <v>138</v>
      </c>
      <c r="H10" s="15" t="s">
        <v>104</v>
      </c>
      <c r="I10" s="15" t="s">
        <v>104</v>
      </c>
      <c r="J10" s="15" t="s">
        <v>104</v>
      </c>
      <c r="K10" s="15" t="s">
        <v>104</v>
      </c>
      <c r="L10" s="16" t="s">
        <v>105</v>
      </c>
      <c r="M10" s="16" t="s">
        <v>105</v>
      </c>
      <c r="N10" s="144" t="s">
        <v>167</v>
      </c>
      <c r="O10" s="144"/>
      <c r="P10" s="144"/>
      <c r="Q10" s="144"/>
      <c r="R10" s="144"/>
      <c r="S10" s="144"/>
      <c r="T10" s="144"/>
      <c r="U10" s="144"/>
      <c r="V10" s="144"/>
      <c r="W10" s="144"/>
      <c r="X10" s="15">
        <v>0</v>
      </c>
      <c r="Y10" s="15">
        <v>0</v>
      </c>
      <c r="Z10" s="15">
        <v>0</v>
      </c>
      <c r="AA10" s="15">
        <v>0</v>
      </c>
      <c r="AB10" s="18" t="s">
        <v>109</v>
      </c>
      <c r="AC10" s="14" t="str">
        <f t="shared" si="0"/>
        <v>0x000</v>
      </c>
    </row>
    <row r="11" spans="2:29" ht="17" customHeight="1" x14ac:dyDescent="0.45">
      <c r="B11" s="14" t="s">
        <v>168</v>
      </c>
      <c r="C11" s="14" t="s">
        <v>169</v>
      </c>
      <c r="D11" s="14" t="s">
        <v>31</v>
      </c>
      <c r="E11" s="14" t="s">
        <v>170</v>
      </c>
      <c r="F11" s="14" t="s">
        <v>102</v>
      </c>
      <c r="G11" s="14" t="s">
        <v>103</v>
      </c>
      <c r="H11" s="15" t="s">
        <v>104</v>
      </c>
      <c r="I11" s="15" t="s">
        <v>104</v>
      </c>
      <c r="J11" s="15" t="s">
        <v>104</v>
      </c>
      <c r="K11" s="15" t="s">
        <v>104</v>
      </c>
      <c r="L11" s="144" t="s">
        <v>171</v>
      </c>
      <c r="M11" s="144"/>
      <c r="N11" s="144"/>
      <c r="O11" s="144"/>
      <c r="P11" s="144"/>
      <c r="Q11" s="144"/>
      <c r="R11" s="144"/>
      <c r="S11" s="144"/>
      <c r="T11" s="144"/>
      <c r="U11" s="144"/>
      <c r="V11" s="144"/>
      <c r="W11" s="144"/>
      <c r="X11" s="15">
        <v>0</v>
      </c>
      <c r="Y11" s="15">
        <v>0</v>
      </c>
      <c r="Z11" s="15">
        <v>0</v>
      </c>
      <c r="AA11" s="15">
        <v>0</v>
      </c>
      <c r="AB11" s="18" t="s">
        <v>109</v>
      </c>
      <c r="AC11" s="14" t="str">
        <f t="shared" si="0"/>
        <v>0x000</v>
      </c>
    </row>
    <row r="12" spans="2:29" ht="17" customHeight="1" x14ac:dyDescent="0.45">
      <c r="B12" s="19" t="s">
        <v>172</v>
      </c>
      <c r="C12" s="14" t="s">
        <v>173</v>
      </c>
      <c r="D12" s="14" t="s">
        <v>31</v>
      </c>
      <c r="E12" s="14" t="s">
        <v>174</v>
      </c>
      <c r="F12" s="14" t="s">
        <v>102</v>
      </c>
      <c r="G12" s="14" t="s">
        <v>103</v>
      </c>
      <c r="H12" s="15" t="s">
        <v>104</v>
      </c>
      <c r="I12" s="15" t="s">
        <v>104</v>
      </c>
      <c r="J12" s="15" t="s">
        <v>104</v>
      </c>
      <c r="K12" s="15" t="s">
        <v>104</v>
      </c>
      <c r="L12" s="144" t="s">
        <v>175</v>
      </c>
      <c r="M12" s="144"/>
      <c r="N12" s="144"/>
      <c r="O12" s="144"/>
      <c r="P12" s="144"/>
      <c r="Q12" s="144"/>
      <c r="R12" s="144"/>
      <c r="S12" s="144"/>
      <c r="T12" s="144"/>
      <c r="U12" s="144"/>
      <c r="V12" s="144"/>
      <c r="W12" s="144"/>
      <c r="X12" s="15">
        <v>0</v>
      </c>
      <c r="Y12" s="15">
        <v>0</v>
      </c>
      <c r="Z12" s="15">
        <v>0</v>
      </c>
      <c r="AA12" s="15">
        <v>0</v>
      </c>
      <c r="AB12" s="18" t="s">
        <v>109</v>
      </c>
      <c r="AC12" s="14" t="str">
        <f t="shared" si="0"/>
        <v>0x000</v>
      </c>
    </row>
    <row r="13" spans="2:29" ht="17" customHeight="1" x14ac:dyDescent="0.45">
      <c r="B13" s="14" t="s">
        <v>176</v>
      </c>
      <c r="C13" s="14" t="s">
        <v>177</v>
      </c>
      <c r="D13" s="14" t="s">
        <v>31</v>
      </c>
      <c r="E13" s="14" t="s">
        <v>178</v>
      </c>
      <c r="F13" s="14" t="s">
        <v>102</v>
      </c>
      <c r="G13" s="14" t="s">
        <v>103</v>
      </c>
      <c r="H13" s="15" t="s">
        <v>104</v>
      </c>
      <c r="I13" s="15" t="s">
        <v>104</v>
      </c>
      <c r="J13" s="15" t="s">
        <v>104</v>
      </c>
      <c r="K13" s="15" t="s">
        <v>104</v>
      </c>
      <c r="L13" s="144" t="s">
        <v>179</v>
      </c>
      <c r="M13" s="144"/>
      <c r="N13" s="144"/>
      <c r="O13" s="144"/>
      <c r="P13" s="144"/>
      <c r="Q13" s="144"/>
      <c r="R13" s="144"/>
      <c r="S13" s="144"/>
      <c r="T13" s="144"/>
      <c r="U13" s="144"/>
      <c r="V13" s="144"/>
      <c r="W13" s="144"/>
      <c r="X13" s="15">
        <v>0</v>
      </c>
      <c r="Y13" s="15">
        <v>0</v>
      </c>
      <c r="Z13" s="15">
        <v>0</v>
      </c>
      <c r="AA13" s="15">
        <v>0</v>
      </c>
      <c r="AB13" s="18" t="s">
        <v>109</v>
      </c>
      <c r="AC13" s="14" t="str">
        <f t="shared" si="0"/>
        <v>0x000</v>
      </c>
    </row>
    <row r="14" spans="2:29" ht="17" customHeight="1" x14ac:dyDescent="0.45">
      <c r="B14" s="14" t="s">
        <v>180</v>
      </c>
      <c r="C14" s="14" t="s">
        <v>181</v>
      </c>
      <c r="D14" s="14" t="s">
        <v>182</v>
      </c>
      <c r="E14" s="14" t="s">
        <v>183</v>
      </c>
      <c r="F14" s="14" t="s">
        <v>102</v>
      </c>
      <c r="G14" s="14" t="s">
        <v>138</v>
      </c>
      <c r="H14" s="15" t="s">
        <v>104</v>
      </c>
      <c r="I14" s="15" t="s">
        <v>104</v>
      </c>
      <c r="J14" s="15" t="s">
        <v>104</v>
      </c>
      <c r="K14" s="15" t="s">
        <v>104</v>
      </c>
      <c r="L14" s="144" t="s">
        <v>184</v>
      </c>
      <c r="M14" s="144"/>
      <c r="N14" s="144"/>
      <c r="O14" s="144"/>
      <c r="P14" s="144" t="s">
        <v>185</v>
      </c>
      <c r="Q14" s="144"/>
      <c r="R14" s="144"/>
      <c r="S14" s="144"/>
      <c r="T14" s="144" t="s">
        <v>186</v>
      </c>
      <c r="U14" s="144"/>
      <c r="V14" s="144"/>
      <c r="W14" s="144"/>
      <c r="X14" s="15">
        <v>0</v>
      </c>
      <c r="Y14" s="15">
        <v>0</v>
      </c>
      <c r="Z14" s="15">
        <v>0</v>
      </c>
      <c r="AA14" s="15">
        <v>0</v>
      </c>
      <c r="AB14" s="18" t="s">
        <v>187</v>
      </c>
      <c r="AC14" s="14" t="str">
        <f>_xlfn.CONCAT("0x",BIN2HEX(MID(AB14,1,4),1),BIN2HEX(MID(AB14,6,4),1),BIN2HEX(MID(AB14,11,4),1))</f>
        <v>0x888</v>
      </c>
    </row>
    <row r="15" spans="2:29" ht="17" customHeight="1" x14ac:dyDescent="0.45">
      <c r="B15" s="14" t="s">
        <v>188</v>
      </c>
      <c r="C15" s="14" t="s">
        <v>189</v>
      </c>
      <c r="D15" s="14" t="s">
        <v>190</v>
      </c>
      <c r="E15" s="14" t="s">
        <v>191</v>
      </c>
      <c r="F15" s="14" t="s">
        <v>102</v>
      </c>
      <c r="G15" s="14" t="s">
        <v>138</v>
      </c>
      <c r="H15" s="15" t="s">
        <v>104</v>
      </c>
      <c r="I15" s="15" t="s">
        <v>104</v>
      </c>
      <c r="J15" s="15" t="s">
        <v>104</v>
      </c>
      <c r="K15" s="15" t="s">
        <v>104</v>
      </c>
      <c r="L15" s="144" t="s">
        <v>192</v>
      </c>
      <c r="M15" s="144"/>
      <c r="N15" s="144"/>
      <c r="O15" s="144"/>
      <c r="P15" s="144"/>
      <c r="Q15" s="144"/>
      <c r="R15" s="144"/>
      <c r="S15" s="144"/>
      <c r="T15" s="144"/>
      <c r="U15" s="144"/>
      <c r="V15" s="144"/>
      <c r="W15" s="144"/>
      <c r="X15" s="15">
        <v>0</v>
      </c>
      <c r="Y15" s="15">
        <v>0</v>
      </c>
      <c r="Z15" s="15">
        <v>0</v>
      </c>
      <c r="AA15" s="15">
        <v>0</v>
      </c>
      <c r="AB15" s="18" t="s">
        <v>193</v>
      </c>
      <c r="AC15" s="14" t="str">
        <f t="shared" ref="AC15:AC24" si="1">_xlfn.CONCAT("0x",BIN2HEX(MID(AB15,1,4),1),BIN2HEX(MID(AB15,6,4),1),BIN2HEX(MID(AB15,11,4),1))</f>
        <v>0x200</v>
      </c>
    </row>
    <row r="16" spans="2:29" ht="17" customHeight="1" x14ac:dyDescent="0.45">
      <c r="B16" s="14" t="s">
        <v>194</v>
      </c>
      <c r="C16" s="14" t="s">
        <v>195</v>
      </c>
      <c r="D16" s="14" t="s">
        <v>196</v>
      </c>
      <c r="E16" s="14" t="s">
        <v>197</v>
      </c>
      <c r="F16" s="14" t="s">
        <v>102</v>
      </c>
      <c r="G16" s="14" t="s">
        <v>138</v>
      </c>
      <c r="H16" s="15" t="s">
        <v>104</v>
      </c>
      <c r="I16" s="15" t="s">
        <v>104</v>
      </c>
      <c r="J16" s="15" t="s">
        <v>104</v>
      </c>
      <c r="K16" s="15" t="s">
        <v>104</v>
      </c>
      <c r="L16" s="144" t="s">
        <v>198</v>
      </c>
      <c r="M16" s="144"/>
      <c r="N16" s="144"/>
      <c r="O16" s="144"/>
      <c r="P16" s="144"/>
      <c r="Q16" s="144"/>
      <c r="R16" s="144"/>
      <c r="S16" s="144"/>
      <c r="T16" s="144"/>
      <c r="U16" s="144"/>
      <c r="V16" s="144"/>
      <c r="W16" s="144"/>
      <c r="X16" s="15">
        <v>0</v>
      </c>
      <c r="Y16" s="15">
        <v>0</v>
      </c>
      <c r="Z16" s="15">
        <v>0</v>
      </c>
      <c r="AA16" s="15">
        <v>0</v>
      </c>
      <c r="AB16" s="18" t="s">
        <v>193</v>
      </c>
      <c r="AC16" s="14" t="str">
        <f t="shared" si="1"/>
        <v>0x200</v>
      </c>
    </row>
    <row r="17" spans="2:29" ht="17" customHeight="1" x14ac:dyDescent="0.45">
      <c r="B17" s="14" t="s">
        <v>199</v>
      </c>
      <c r="C17" s="14" t="s">
        <v>200</v>
      </c>
      <c r="D17" s="14" t="s">
        <v>201</v>
      </c>
      <c r="E17" s="14" t="s">
        <v>202</v>
      </c>
      <c r="F17" s="14" t="s">
        <v>102</v>
      </c>
      <c r="G17" s="14" t="s">
        <v>138</v>
      </c>
      <c r="H17" s="15" t="s">
        <v>104</v>
      </c>
      <c r="I17" s="15" t="s">
        <v>104</v>
      </c>
      <c r="J17" s="15" t="s">
        <v>104</v>
      </c>
      <c r="K17" s="15" t="s">
        <v>104</v>
      </c>
      <c r="L17" s="144" t="s">
        <v>203</v>
      </c>
      <c r="M17" s="144"/>
      <c r="N17" s="144"/>
      <c r="O17" s="144"/>
      <c r="P17" s="144"/>
      <c r="Q17" s="144"/>
      <c r="R17" s="144"/>
      <c r="S17" s="144"/>
      <c r="T17" s="144"/>
      <c r="U17" s="144"/>
      <c r="V17" s="144"/>
      <c r="W17" s="144"/>
      <c r="X17" s="15">
        <v>0</v>
      </c>
      <c r="Y17" s="15">
        <v>0</v>
      </c>
      <c r="Z17" s="15">
        <v>0</v>
      </c>
      <c r="AA17" s="15">
        <v>0</v>
      </c>
      <c r="AB17" s="18" t="s">
        <v>204</v>
      </c>
      <c r="AC17" s="14" t="str">
        <f t="shared" si="1"/>
        <v>0x21A</v>
      </c>
    </row>
    <row r="18" spans="2:29" ht="17" customHeight="1" x14ac:dyDescent="0.45">
      <c r="B18" s="14" t="s">
        <v>205</v>
      </c>
      <c r="C18" s="14" t="s">
        <v>206</v>
      </c>
      <c r="D18" s="14" t="s">
        <v>207</v>
      </c>
      <c r="E18" s="14" t="s">
        <v>208</v>
      </c>
      <c r="F18" s="14" t="s">
        <v>102</v>
      </c>
      <c r="G18" s="14" t="s">
        <v>138</v>
      </c>
      <c r="H18" s="15" t="s">
        <v>104</v>
      </c>
      <c r="I18" s="15" t="s">
        <v>104</v>
      </c>
      <c r="J18" s="15" t="s">
        <v>104</v>
      </c>
      <c r="K18" s="15" t="s">
        <v>104</v>
      </c>
      <c r="L18" s="144" t="s">
        <v>209</v>
      </c>
      <c r="M18" s="144"/>
      <c r="N18" s="144"/>
      <c r="O18" s="144"/>
      <c r="P18" s="144"/>
      <c r="Q18" s="144"/>
      <c r="R18" s="144"/>
      <c r="S18" s="144"/>
      <c r="T18" s="144"/>
      <c r="U18" s="144"/>
      <c r="V18" s="144"/>
      <c r="W18" s="144"/>
      <c r="X18" s="15">
        <v>0</v>
      </c>
      <c r="Y18" s="15">
        <v>0</v>
      </c>
      <c r="Z18" s="15">
        <v>0</v>
      </c>
      <c r="AA18" s="15">
        <v>0</v>
      </c>
      <c r="AB18" s="18" t="s">
        <v>210</v>
      </c>
      <c r="AC18" s="14" t="str">
        <f t="shared" si="1"/>
        <v>0x231</v>
      </c>
    </row>
    <row r="19" spans="2:29" ht="17" customHeight="1" x14ac:dyDescent="0.45">
      <c r="B19" s="14" t="s">
        <v>211</v>
      </c>
      <c r="C19" s="14" t="s">
        <v>212</v>
      </c>
      <c r="D19" s="14" t="s">
        <v>213</v>
      </c>
      <c r="E19" s="14" t="s">
        <v>214</v>
      </c>
      <c r="F19" s="14" t="s">
        <v>102</v>
      </c>
      <c r="G19" s="14" t="s">
        <v>138</v>
      </c>
      <c r="H19" s="15" t="s">
        <v>104</v>
      </c>
      <c r="I19" s="15" t="s">
        <v>104</v>
      </c>
      <c r="J19" s="15" t="s">
        <v>104</v>
      </c>
      <c r="K19" s="15" t="s">
        <v>104</v>
      </c>
      <c r="L19" s="144" t="s">
        <v>215</v>
      </c>
      <c r="M19" s="144"/>
      <c r="N19" s="144"/>
      <c r="O19" s="144"/>
      <c r="P19" s="144"/>
      <c r="Q19" s="144"/>
      <c r="R19" s="144"/>
      <c r="S19" s="144"/>
      <c r="T19" s="144"/>
      <c r="U19" s="144"/>
      <c r="V19" s="144"/>
      <c r="W19" s="144"/>
      <c r="X19" s="15">
        <v>0</v>
      </c>
      <c r="Y19" s="15">
        <v>0</v>
      </c>
      <c r="Z19" s="15">
        <v>0</v>
      </c>
      <c r="AA19" s="15">
        <v>0</v>
      </c>
      <c r="AB19" s="18" t="s">
        <v>216</v>
      </c>
      <c r="AC19" s="14" t="str">
        <f t="shared" si="1"/>
        <v>0x248</v>
      </c>
    </row>
    <row r="20" spans="2:29" ht="17" customHeight="1" x14ac:dyDescent="0.45">
      <c r="B20" s="14" t="s">
        <v>217</v>
      </c>
      <c r="C20" s="14" t="s">
        <v>218</v>
      </c>
      <c r="D20" s="14" t="s">
        <v>219</v>
      </c>
      <c r="E20" s="14" t="s">
        <v>220</v>
      </c>
      <c r="F20" s="14" t="s">
        <v>102</v>
      </c>
      <c r="G20" s="14" t="s">
        <v>138</v>
      </c>
      <c r="H20" s="15" t="s">
        <v>104</v>
      </c>
      <c r="I20" s="15" t="s">
        <v>104</v>
      </c>
      <c r="J20" s="15" t="s">
        <v>104</v>
      </c>
      <c r="K20" s="15" t="s">
        <v>104</v>
      </c>
      <c r="L20" s="144" t="s">
        <v>221</v>
      </c>
      <c r="M20" s="144"/>
      <c r="N20" s="144"/>
      <c r="O20" s="144"/>
      <c r="P20" s="144"/>
      <c r="Q20" s="144"/>
      <c r="R20" s="144"/>
      <c r="S20" s="144"/>
      <c r="T20" s="144"/>
      <c r="U20" s="144"/>
      <c r="V20" s="144"/>
      <c r="W20" s="144"/>
      <c r="X20" s="15">
        <v>0</v>
      </c>
      <c r="Y20" s="15">
        <v>0</v>
      </c>
      <c r="Z20" s="15">
        <v>0</v>
      </c>
      <c r="AA20" s="15">
        <v>0</v>
      </c>
      <c r="AB20" s="18" t="s">
        <v>222</v>
      </c>
      <c r="AC20" s="14" t="str">
        <f t="shared" si="1"/>
        <v>0x25F</v>
      </c>
    </row>
    <row r="21" spans="2:29" ht="17" customHeight="1" x14ac:dyDescent="0.45">
      <c r="B21" s="14" t="s">
        <v>223</v>
      </c>
      <c r="C21" s="14" t="s">
        <v>224</v>
      </c>
      <c r="D21" s="14" t="s">
        <v>225</v>
      </c>
      <c r="E21" s="14" t="s">
        <v>226</v>
      </c>
      <c r="F21" s="14" t="s">
        <v>102</v>
      </c>
      <c r="G21" s="14" t="s">
        <v>138</v>
      </c>
      <c r="H21" s="15" t="s">
        <v>104</v>
      </c>
      <c r="I21" s="15" t="s">
        <v>104</v>
      </c>
      <c r="J21" s="15" t="s">
        <v>104</v>
      </c>
      <c r="K21" s="15" t="s">
        <v>104</v>
      </c>
      <c r="L21" s="144" t="s">
        <v>227</v>
      </c>
      <c r="M21" s="144"/>
      <c r="N21" s="144"/>
      <c r="O21" s="144"/>
      <c r="P21" s="144"/>
      <c r="Q21" s="144"/>
      <c r="R21" s="144"/>
      <c r="S21" s="144"/>
      <c r="T21" s="144"/>
      <c r="U21" s="144"/>
      <c r="V21" s="144"/>
      <c r="W21" s="144"/>
      <c r="X21" s="15">
        <v>0</v>
      </c>
      <c r="Y21" s="15">
        <v>0</v>
      </c>
      <c r="Z21" s="15">
        <v>0</v>
      </c>
      <c r="AA21" s="15">
        <v>0</v>
      </c>
      <c r="AB21" s="18" t="s">
        <v>228</v>
      </c>
      <c r="AC21" s="14" t="str">
        <f t="shared" si="1"/>
        <v>0x276</v>
      </c>
    </row>
    <row r="22" spans="2:29" ht="17" customHeight="1" x14ac:dyDescent="0.45">
      <c r="B22" s="14" t="s">
        <v>229</v>
      </c>
      <c r="C22" s="14" t="s">
        <v>230</v>
      </c>
      <c r="D22" s="14" t="s">
        <v>231</v>
      </c>
      <c r="E22" s="14" t="s">
        <v>232</v>
      </c>
      <c r="F22" s="14" t="s">
        <v>102</v>
      </c>
      <c r="G22" s="14" t="s">
        <v>138</v>
      </c>
      <c r="H22" s="15" t="s">
        <v>104</v>
      </c>
      <c r="I22" s="15" t="s">
        <v>104</v>
      </c>
      <c r="J22" s="15" t="s">
        <v>104</v>
      </c>
      <c r="K22" s="15" t="s">
        <v>104</v>
      </c>
      <c r="L22" s="144" t="s">
        <v>233</v>
      </c>
      <c r="M22" s="144"/>
      <c r="N22" s="144"/>
      <c r="O22" s="144"/>
      <c r="P22" s="144"/>
      <c r="Q22" s="144"/>
      <c r="R22" s="144"/>
      <c r="S22" s="144"/>
      <c r="T22" s="144"/>
      <c r="U22" s="144"/>
      <c r="V22" s="144"/>
      <c r="W22" s="144"/>
      <c r="X22" s="15">
        <v>0</v>
      </c>
      <c r="Y22" s="15">
        <v>0</v>
      </c>
      <c r="Z22" s="15">
        <v>0</v>
      </c>
      <c r="AA22" s="15">
        <v>0</v>
      </c>
      <c r="AB22" s="18" t="s">
        <v>234</v>
      </c>
      <c r="AC22" s="14" t="str">
        <f t="shared" si="1"/>
        <v>0x28D</v>
      </c>
    </row>
    <row r="23" spans="2:29" ht="17" customHeight="1" x14ac:dyDescent="0.45">
      <c r="B23" s="14" t="s">
        <v>235</v>
      </c>
      <c r="C23" s="14" t="s">
        <v>236</v>
      </c>
      <c r="D23" s="14" t="s">
        <v>237</v>
      </c>
      <c r="E23" s="14" t="s">
        <v>238</v>
      </c>
      <c r="F23" s="14" t="s">
        <v>102</v>
      </c>
      <c r="G23" s="14" t="s">
        <v>138</v>
      </c>
      <c r="H23" s="15" t="s">
        <v>104</v>
      </c>
      <c r="I23" s="15" t="s">
        <v>104</v>
      </c>
      <c r="J23" s="15" t="s">
        <v>104</v>
      </c>
      <c r="K23" s="15" t="s">
        <v>104</v>
      </c>
      <c r="L23" s="144" t="s">
        <v>239</v>
      </c>
      <c r="M23" s="144"/>
      <c r="N23" s="144"/>
      <c r="O23" s="144"/>
      <c r="P23" s="144"/>
      <c r="Q23" s="144"/>
      <c r="R23" s="144"/>
      <c r="S23" s="144"/>
      <c r="T23" s="144"/>
      <c r="U23" s="144"/>
      <c r="V23" s="144"/>
      <c r="W23" s="144"/>
      <c r="X23" s="15">
        <v>0</v>
      </c>
      <c r="Y23" s="15">
        <v>0</v>
      </c>
      <c r="Z23" s="15">
        <v>0</v>
      </c>
      <c r="AA23" s="15">
        <v>0</v>
      </c>
      <c r="AB23" s="18" t="s">
        <v>240</v>
      </c>
      <c r="AC23" s="14" t="str">
        <f t="shared" si="1"/>
        <v>0x2A4</v>
      </c>
    </row>
    <row r="24" spans="2:29" ht="17" customHeight="1" x14ac:dyDescent="0.45">
      <c r="B24" s="14" t="s">
        <v>241</v>
      </c>
      <c r="C24" s="14" t="s">
        <v>242</v>
      </c>
      <c r="D24" s="14" t="s">
        <v>243</v>
      </c>
      <c r="E24" s="14" t="s">
        <v>244</v>
      </c>
      <c r="F24" s="14" t="s">
        <v>102</v>
      </c>
      <c r="G24" s="14" t="s">
        <v>138</v>
      </c>
      <c r="H24" s="15" t="s">
        <v>104</v>
      </c>
      <c r="I24" s="15" t="s">
        <v>104</v>
      </c>
      <c r="J24" s="15" t="s">
        <v>104</v>
      </c>
      <c r="K24" s="15" t="s">
        <v>104</v>
      </c>
      <c r="L24" s="144" t="s">
        <v>245</v>
      </c>
      <c r="M24" s="144"/>
      <c r="N24" s="144"/>
      <c r="O24" s="144"/>
      <c r="P24" s="144"/>
      <c r="Q24" s="144"/>
      <c r="R24" s="144"/>
      <c r="S24" s="144"/>
      <c r="T24" s="144"/>
      <c r="U24" s="144"/>
      <c r="V24" s="144"/>
      <c r="W24" s="144"/>
      <c r="X24" s="15">
        <v>0</v>
      </c>
      <c r="Y24" s="15">
        <v>0</v>
      </c>
      <c r="Z24" s="15">
        <v>0</v>
      </c>
      <c r="AA24" s="15">
        <v>0</v>
      </c>
      <c r="AB24" s="18" t="s">
        <v>246</v>
      </c>
      <c r="AC24" s="14" t="str">
        <f t="shared" si="1"/>
        <v>0x2BB</v>
      </c>
    </row>
    <row r="25" spans="2:29" ht="17" customHeight="1" x14ac:dyDescent="0.45">
      <c r="B25" s="14" t="s">
        <v>247</v>
      </c>
      <c r="C25" s="14" t="s">
        <v>248</v>
      </c>
      <c r="D25" s="14" t="s">
        <v>249</v>
      </c>
      <c r="E25" s="14" t="s">
        <v>250</v>
      </c>
      <c r="F25" s="14" t="s">
        <v>102</v>
      </c>
      <c r="G25" s="14" t="s">
        <v>138</v>
      </c>
      <c r="H25" s="15" t="s">
        <v>104</v>
      </c>
      <c r="I25" s="15" t="s">
        <v>104</v>
      </c>
      <c r="J25" s="15" t="s">
        <v>104</v>
      </c>
      <c r="K25" s="15" t="s">
        <v>104</v>
      </c>
      <c r="L25" s="144" t="s">
        <v>251</v>
      </c>
      <c r="M25" s="144"/>
      <c r="N25" s="144"/>
      <c r="O25" s="144"/>
      <c r="P25" s="144"/>
      <c r="Q25" s="144"/>
      <c r="R25" s="144"/>
      <c r="S25" s="144"/>
      <c r="T25" s="144"/>
      <c r="U25" s="144"/>
      <c r="V25" s="144"/>
      <c r="W25" s="144"/>
      <c r="X25" s="15">
        <v>0</v>
      </c>
      <c r="Y25" s="15">
        <v>0</v>
      </c>
      <c r="Z25" s="15">
        <v>0</v>
      </c>
      <c r="AA25" s="15">
        <v>0</v>
      </c>
      <c r="AB25" s="18" t="s">
        <v>252</v>
      </c>
      <c r="AC25" s="14" t="str">
        <f>_xlfn.CONCAT("0x",BIN2HEX(MID(AB25,1,4),1),BIN2HEX(MID(AB25,6,4),1),BIN2HEX(MID(AB25,11,4),1))</f>
        <v>0x800</v>
      </c>
    </row>
    <row r="27" spans="2:29" ht="17" customHeight="1" x14ac:dyDescent="0.45">
      <c r="B27" s="148" t="s">
        <v>74</v>
      </c>
      <c r="C27" s="148" t="s">
        <v>75</v>
      </c>
      <c r="D27" s="11" t="s">
        <v>76</v>
      </c>
      <c r="E27" s="11" t="s">
        <v>77</v>
      </c>
      <c r="F27" s="149" t="s">
        <v>78</v>
      </c>
      <c r="G27" s="149" t="s">
        <v>79</v>
      </c>
      <c r="H27" s="12" t="s">
        <v>80</v>
      </c>
      <c r="I27" s="12" t="s">
        <v>81</v>
      </c>
      <c r="J27" s="12" t="s">
        <v>82</v>
      </c>
      <c r="K27" s="12" t="s">
        <v>83</v>
      </c>
      <c r="L27" s="11" t="s">
        <v>253</v>
      </c>
      <c r="M27" s="11" t="s">
        <v>254</v>
      </c>
      <c r="N27" s="11" t="s">
        <v>255</v>
      </c>
      <c r="O27" s="11" t="s">
        <v>256</v>
      </c>
      <c r="P27" s="11" t="s">
        <v>257</v>
      </c>
      <c r="Q27" s="11" t="s">
        <v>258</v>
      </c>
      <c r="R27" s="11" t="s">
        <v>259</v>
      </c>
      <c r="S27" s="11" t="s">
        <v>260</v>
      </c>
      <c r="T27" s="11" t="s">
        <v>80</v>
      </c>
      <c r="U27" s="11" t="s">
        <v>81</v>
      </c>
      <c r="V27" s="11" t="s">
        <v>261</v>
      </c>
      <c r="W27" s="11" t="s">
        <v>262</v>
      </c>
      <c r="X27" s="145"/>
      <c r="Y27" s="146"/>
      <c r="Z27" s="146"/>
      <c r="AA27" s="147"/>
      <c r="AB27" s="149" t="s">
        <v>97</v>
      </c>
      <c r="AC27" s="149" t="s">
        <v>98</v>
      </c>
    </row>
    <row r="28" spans="2:29" ht="17" customHeight="1" x14ac:dyDescent="0.4">
      <c r="B28" s="148"/>
      <c r="C28" s="148"/>
      <c r="D28" s="11"/>
      <c r="E28" s="11"/>
      <c r="F28" s="149"/>
      <c r="G28" s="149"/>
      <c r="H28" s="150" t="s">
        <v>263</v>
      </c>
      <c r="I28" s="150"/>
      <c r="J28" s="150"/>
      <c r="K28" s="150"/>
      <c r="L28" s="12" t="s">
        <v>264</v>
      </c>
      <c r="M28" s="12" t="s">
        <v>265</v>
      </c>
      <c r="N28" s="12" t="s">
        <v>266</v>
      </c>
      <c r="O28" s="12" t="s">
        <v>267</v>
      </c>
      <c r="P28" s="12" t="s">
        <v>268</v>
      </c>
      <c r="Q28" s="12" t="s">
        <v>269</v>
      </c>
      <c r="R28" s="12" t="s">
        <v>90</v>
      </c>
      <c r="S28" s="12" t="s">
        <v>91</v>
      </c>
      <c r="T28" s="12" t="s">
        <v>92</v>
      </c>
      <c r="U28" s="12" t="s">
        <v>93</v>
      </c>
      <c r="V28" s="12" t="s">
        <v>270</v>
      </c>
      <c r="W28" s="12" t="s">
        <v>271</v>
      </c>
      <c r="X28" s="12"/>
      <c r="Y28" s="12"/>
      <c r="Z28" s="12"/>
      <c r="AA28" s="12"/>
      <c r="AB28" s="149"/>
      <c r="AC28" s="149"/>
    </row>
    <row r="29" spans="2:29" ht="17" customHeight="1" x14ac:dyDescent="0.45">
      <c r="B29" s="17" t="s">
        <v>272</v>
      </c>
      <c r="C29" s="151" t="s">
        <v>273</v>
      </c>
      <c r="D29" s="21" t="s">
        <v>274</v>
      </c>
      <c r="E29" s="21" t="s">
        <v>275</v>
      </c>
      <c r="F29" s="151" t="s">
        <v>102</v>
      </c>
      <c r="G29" s="151" t="s">
        <v>138</v>
      </c>
      <c r="H29" s="15" t="s">
        <v>104</v>
      </c>
      <c r="I29" s="15" t="s">
        <v>104</v>
      </c>
      <c r="J29" s="15" t="s">
        <v>104</v>
      </c>
      <c r="K29" s="15" t="s">
        <v>104</v>
      </c>
      <c r="L29" s="16" t="s">
        <v>105</v>
      </c>
      <c r="M29" s="16" t="s">
        <v>105</v>
      </c>
      <c r="N29" s="16" t="s">
        <v>105</v>
      </c>
      <c r="O29" s="16" t="s">
        <v>105</v>
      </c>
      <c r="P29" s="16" t="s">
        <v>105</v>
      </c>
      <c r="Q29" s="16" t="s">
        <v>105</v>
      </c>
      <c r="R29" s="16" t="s">
        <v>105</v>
      </c>
      <c r="S29" s="16" t="s">
        <v>105</v>
      </c>
      <c r="T29" s="144" t="s">
        <v>276</v>
      </c>
      <c r="U29" s="144"/>
      <c r="V29" s="144"/>
      <c r="W29" s="144"/>
      <c r="X29" s="22"/>
      <c r="Y29" s="22"/>
      <c r="Z29" s="22"/>
      <c r="AA29" s="22"/>
      <c r="AB29" s="18" t="s">
        <v>109</v>
      </c>
      <c r="AC29" s="14" t="str">
        <f>_xlfn.CONCAT("0x",BIN2HEX(MID(AB29,1,4),1),BIN2HEX(MID(AB29,6,4),1),BIN2HEX(MID(AB29,11,4),1))</f>
        <v>0x000</v>
      </c>
    </row>
    <row r="30" spans="2:29" ht="17" customHeight="1" x14ac:dyDescent="0.45">
      <c r="B30" s="17" t="s">
        <v>277</v>
      </c>
      <c r="C30" s="152"/>
      <c r="D30" s="23"/>
      <c r="E30" s="23"/>
      <c r="F30" s="152"/>
      <c r="G30" s="152"/>
      <c r="H30" s="15" t="s">
        <v>104</v>
      </c>
      <c r="I30" s="15" t="s">
        <v>104</v>
      </c>
      <c r="J30" s="15" t="s">
        <v>104</v>
      </c>
      <c r="K30" s="15" t="s">
        <v>104</v>
      </c>
      <c r="L30" s="144" t="s">
        <v>278</v>
      </c>
      <c r="M30" s="144"/>
      <c r="N30" s="144"/>
      <c r="O30" s="144"/>
      <c r="P30" s="144"/>
      <c r="Q30" s="144"/>
      <c r="R30" s="144"/>
      <c r="S30" s="144"/>
      <c r="T30" s="144"/>
      <c r="U30" s="144"/>
      <c r="V30" s="144"/>
      <c r="W30" s="144"/>
      <c r="X30" s="22"/>
      <c r="Y30" s="22"/>
      <c r="Z30" s="22"/>
      <c r="AA30" s="22"/>
      <c r="AB30" s="18" t="s">
        <v>109</v>
      </c>
      <c r="AC30" s="14" t="str">
        <f>_xlfn.CONCAT("0x",BIN2HEX(MID(AB30,1,4),1),BIN2HEX(MID(AB30,6,4),1),BIN2HEX(MID(AB30,11,4),1))</f>
        <v>0x000</v>
      </c>
    </row>
    <row r="31" spans="2:29" ht="17" customHeight="1" x14ac:dyDescent="0.45">
      <c r="B31" s="17" t="s">
        <v>279</v>
      </c>
      <c r="C31" s="151" t="s">
        <v>280</v>
      </c>
      <c r="D31" s="21" t="s">
        <v>281</v>
      </c>
      <c r="E31" s="21" t="s">
        <v>282</v>
      </c>
      <c r="F31" s="151" t="s">
        <v>102</v>
      </c>
      <c r="G31" s="151" t="s">
        <v>138</v>
      </c>
      <c r="H31" s="15" t="s">
        <v>104</v>
      </c>
      <c r="I31" s="15" t="s">
        <v>104</v>
      </c>
      <c r="J31" s="15" t="s">
        <v>104</v>
      </c>
      <c r="K31" s="15" t="s">
        <v>104</v>
      </c>
      <c r="L31" s="144" t="s">
        <v>283</v>
      </c>
      <c r="M31" s="144"/>
      <c r="N31" s="144"/>
      <c r="O31" s="144"/>
      <c r="P31" s="144"/>
      <c r="Q31" s="144"/>
      <c r="R31" s="144"/>
      <c r="S31" s="144"/>
      <c r="T31" s="144" t="s">
        <v>284</v>
      </c>
      <c r="U31" s="144"/>
      <c r="V31" s="144"/>
      <c r="W31" s="144"/>
      <c r="X31" s="22"/>
      <c r="Y31" s="22"/>
      <c r="Z31" s="22"/>
      <c r="AA31" s="22"/>
      <c r="AB31" s="18" t="s">
        <v>109</v>
      </c>
      <c r="AC31" s="14" t="str">
        <f>_xlfn.CONCAT("0x",BIN2HEX(MID(AB31,1,4),1),BIN2HEX(MID(AB31,6,4),1),BIN2HEX(MID(AB31,11,4),1))</f>
        <v>0x000</v>
      </c>
    </row>
    <row r="32" spans="2:29" ht="17" customHeight="1" x14ac:dyDescent="0.45">
      <c r="B32" s="17" t="s">
        <v>285</v>
      </c>
      <c r="C32" s="152"/>
      <c r="D32" s="23"/>
      <c r="E32" s="23"/>
      <c r="F32" s="152"/>
      <c r="G32" s="152"/>
      <c r="H32" s="15" t="s">
        <v>104</v>
      </c>
      <c r="I32" s="15" t="s">
        <v>104</v>
      </c>
      <c r="J32" s="15" t="s">
        <v>104</v>
      </c>
      <c r="K32" s="15" t="s">
        <v>104</v>
      </c>
      <c r="L32" s="144" t="s">
        <v>286</v>
      </c>
      <c r="M32" s="144"/>
      <c r="N32" s="144"/>
      <c r="O32" s="144"/>
      <c r="P32" s="144" t="s">
        <v>287</v>
      </c>
      <c r="Q32" s="144"/>
      <c r="R32" s="144"/>
      <c r="S32" s="144"/>
      <c r="T32" s="144"/>
      <c r="U32" s="144"/>
      <c r="V32" s="144"/>
      <c r="W32" s="144"/>
      <c r="X32" s="22"/>
      <c r="Y32" s="22"/>
      <c r="Z32" s="22"/>
      <c r="AA32" s="22"/>
      <c r="AB32" s="18" t="s">
        <v>109</v>
      </c>
      <c r="AC32" s="14" t="str">
        <f>_xlfn.CONCAT("0x",BIN2HEX(MID(AB32,1,4),1),BIN2HEX(MID(AB32,6,4),1),BIN2HEX(MID(AB32,11,4),1))</f>
        <v>0x000</v>
      </c>
    </row>
  </sheetData>
  <mergeCells count="48">
    <mergeCell ref="C31:C32"/>
    <mergeCell ref="F31:F32"/>
    <mergeCell ref="G31:G32"/>
    <mergeCell ref="L31:S31"/>
    <mergeCell ref="T31:W31"/>
    <mergeCell ref="L32:O32"/>
    <mergeCell ref="P32:W32"/>
    <mergeCell ref="X27:AA27"/>
    <mergeCell ref="AB27:AB28"/>
    <mergeCell ref="AC27:AC28"/>
    <mergeCell ref="H28:K28"/>
    <mergeCell ref="C29:C30"/>
    <mergeCell ref="F29:F30"/>
    <mergeCell ref="G29:G30"/>
    <mergeCell ref="T29:W29"/>
    <mergeCell ref="L30:W30"/>
    <mergeCell ref="L22:W22"/>
    <mergeCell ref="L23:W23"/>
    <mergeCell ref="L24:W24"/>
    <mergeCell ref="L25:W25"/>
    <mergeCell ref="B27:B28"/>
    <mergeCell ref="C27:C28"/>
    <mergeCell ref="F27:F28"/>
    <mergeCell ref="G27:G28"/>
    <mergeCell ref="L21:W21"/>
    <mergeCell ref="L12:W12"/>
    <mergeCell ref="L13:W13"/>
    <mergeCell ref="L14:O14"/>
    <mergeCell ref="P14:S14"/>
    <mergeCell ref="T14:W14"/>
    <mergeCell ref="L15:W15"/>
    <mergeCell ref="L16:W16"/>
    <mergeCell ref="L17:W17"/>
    <mergeCell ref="L18:W18"/>
    <mergeCell ref="L19:W19"/>
    <mergeCell ref="L20:W20"/>
    <mergeCell ref="L11:W11"/>
    <mergeCell ref="X2:AA2"/>
    <mergeCell ref="Q3:S3"/>
    <mergeCell ref="T3:U3"/>
    <mergeCell ref="V3:W3"/>
    <mergeCell ref="N5:W5"/>
    <mergeCell ref="N6:W6"/>
    <mergeCell ref="T7:W7"/>
    <mergeCell ref="T8:U8"/>
    <mergeCell ref="V8:W8"/>
    <mergeCell ref="N9:W9"/>
    <mergeCell ref="N10:W10"/>
  </mergeCells>
  <phoneticPr fontId="1" type="noConversion"/>
  <conditionalFormatting sqref="T7">
    <cfRule type="cellIs" dxfId="3" priority="1" operator="equal">
      <formula>"RSVD"</formula>
    </cfRule>
  </conditionalFormatting>
  <conditionalFormatting sqref="T9">
    <cfRule type="cellIs" dxfId="2" priority="2" operator="equal">
      <formula>"RSVD"</formula>
    </cfRule>
  </conditionalFormatting>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1C8A6-B2A8-4524-8E37-86C526A91C58}">
  <sheetPr codeName="Sheet3"/>
  <dimension ref="B3:Q199"/>
  <sheetViews>
    <sheetView topLeftCell="A15" zoomScaleNormal="100" workbookViewId="0">
      <selection activeCell="B10" sqref="B10:AH27"/>
    </sheetView>
  </sheetViews>
  <sheetFormatPr defaultColWidth="9.81640625" defaultRowHeight="17" x14ac:dyDescent="0.45"/>
  <cols>
    <col min="1" max="1" width="2.81640625" style="25" customWidth="1"/>
    <col min="2" max="2" width="13.7265625" style="25" customWidth="1"/>
    <col min="3" max="3" width="11.54296875" style="25" customWidth="1"/>
    <col min="4" max="4" width="6.08984375" style="25" customWidth="1"/>
    <col min="5" max="17" width="11.54296875" style="25" customWidth="1"/>
    <col min="18" max="20" width="9.81640625" style="25"/>
    <col min="21" max="21" width="13.81640625" style="25" bestFit="1" customWidth="1"/>
    <col min="22" max="16384" width="9.81640625" style="25"/>
  </cols>
  <sheetData>
    <row r="3" spans="2:17" ht="17.5" thickBot="1" x14ac:dyDescent="0.5"/>
    <row r="4" spans="2:17" x14ac:dyDescent="0.45">
      <c r="E4" s="157" t="s">
        <v>288</v>
      </c>
      <c r="F4" s="157"/>
      <c r="G4" s="157"/>
      <c r="H4" s="157"/>
      <c r="I4" s="157"/>
      <c r="J4" s="157"/>
      <c r="K4" s="157"/>
      <c r="L4" s="157"/>
      <c r="M4" s="157"/>
      <c r="N4" s="157"/>
      <c r="O4" s="157"/>
      <c r="P4" s="157"/>
      <c r="Q4" s="158"/>
    </row>
    <row r="5" spans="2:17" x14ac:dyDescent="0.45">
      <c r="E5" s="159" t="s">
        <v>289</v>
      </c>
      <c r="F5" s="159"/>
      <c r="G5" s="159"/>
      <c r="H5" s="159"/>
      <c r="I5" s="159"/>
      <c r="J5" s="159"/>
      <c r="K5" s="159"/>
      <c r="L5" s="159"/>
      <c r="M5" s="159"/>
      <c r="N5" s="159"/>
      <c r="O5" s="159"/>
      <c r="P5" s="159"/>
      <c r="Q5" s="160"/>
    </row>
    <row r="6" spans="2:17" ht="17.5" thickBot="1" x14ac:dyDescent="0.5">
      <c r="E6" s="153" t="s">
        <v>290</v>
      </c>
      <c r="F6" s="153"/>
      <c r="G6" s="153"/>
      <c r="H6" s="153"/>
      <c r="I6" s="153"/>
      <c r="J6" s="153"/>
      <c r="K6" s="153"/>
      <c r="L6" s="153"/>
      <c r="M6" s="153"/>
      <c r="N6" s="153"/>
      <c r="O6" s="153"/>
      <c r="P6" s="153"/>
      <c r="Q6" s="154"/>
    </row>
    <row r="7" spans="2:17" x14ac:dyDescent="0.45">
      <c r="E7" s="26"/>
      <c r="F7" s="26"/>
      <c r="G7" s="26"/>
      <c r="H7" s="26"/>
      <c r="I7" s="26"/>
      <c r="J7" s="26"/>
      <c r="K7" s="26"/>
      <c r="L7" s="26"/>
      <c r="M7" s="26"/>
      <c r="N7" s="26"/>
      <c r="O7" s="26"/>
      <c r="P7" s="26"/>
      <c r="Q7" s="26"/>
    </row>
    <row r="8" spans="2:17" ht="17.5" thickBot="1" x14ac:dyDescent="0.5"/>
    <row r="9" spans="2:17" x14ac:dyDescent="0.45">
      <c r="E9" s="157" t="s">
        <v>291</v>
      </c>
      <c r="F9" s="157"/>
      <c r="G9" s="157"/>
      <c r="H9" s="157"/>
      <c r="I9" s="157"/>
      <c r="J9" s="157"/>
      <c r="K9" s="157"/>
      <c r="L9" s="157"/>
      <c r="M9" s="157"/>
      <c r="N9" s="157"/>
      <c r="O9" s="157"/>
      <c r="P9" s="157"/>
      <c r="Q9" s="158"/>
    </row>
    <row r="10" spans="2:17" x14ac:dyDescent="0.45">
      <c r="E10" s="159" t="s">
        <v>292</v>
      </c>
      <c r="F10" s="159"/>
      <c r="G10" s="159"/>
      <c r="H10" s="159"/>
      <c r="I10" s="159"/>
      <c r="J10" s="159"/>
      <c r="K10" s="159"/>
      <c r="L10" s="159"/>
      <c r="M10" s="159"/>
      <c r="N10" s="159"/>
      <c r="O10" s="159"/>
      <c r="P10" s="159"/>
      <c r="Q10" s="160"/>
    </row>
    <row r="11" spans="2:17" x14ac:dyDescent="0.45">
      <c r="E11" s="159" t="s">
        <v>293</v>
      </c>
      <c r="F11" s="159"/>
      <c r="G11" s="159"/>
      <c r="H11" s="159"/>
      <c r="I11" s="159"/>
      <c r="J11" s="159"/>
      <c r="K11" s="159"/>
      <c r="L11" s="159"/>
      <c r="M11" s="159"/>
      <c r="N11" s="159"/>
      <c r="O11" s="159"/>
      <c r="P11" s="159"/>
      <c r="Q11" s="160"/>
    </row>
    <row r="12" spans="2:17" ht="17.5" thickBot="1" x14ac:dyDescent="0.5">
      <c r="E12" s="153" t="s">
        <v>294</v>
      </c>
      <c r="F12" s="153"/>
      <c r="G12" s="153"/>
      <c r="H12" s="153"/>
      <c r="I12" s="153"/>
      <c r="J12" s="153"/>
      <c r="K12" s="153"/>
      <c r="L12" s="153"/>
      <c r="M12" s="153"/>
      <c r="N12" s="153"/>
      <c r="O12" s="153"/>
      <c r="P12" s="153"/>
      <c r="Q12" s="154"/>
    </row>
    <row r="13" spans="2:17" x14ac:dyDescent="0.45">
      <c r="E13" s="26"/>
      <c r="F13" s="26"/>
      <c r="G13" s="26"/>
      <c r="H13" s="26"/>
      <c r="I13" s="26"/>
      <c r="J13" s="26"/>
      <c r="K13" s="26"/>
      <c r="L13" s="26"/>
      <c r="M13" s="26"/>
      <c r="N13" s="26"/>
      <c r="O13" s="26"/>
      <c r="P13" s="26"/>
      <c r="Q13" s="26"/>
    </row>
    <row r="16" spans="2:17" x14ac:dyDescent="0.45">
      <c r="B16" s="27" t="s">
        <v>295</v>
      </c>
      <c r="C16" s="27" t="s">
        <v>296</v>
      </c>
      <c r="E16" s="28"/>
      <c r="F16" s="28" t="s">
        <v>297</v>
      </c>
      <c r="G16" s="28" t="s">
        <v>298</v>
      </c>
      <c r="H16" s="28" t="s">
        <v>299</v>
      </c>
      <c r="I16" s="28" t="s">
        <v>300</v>
      </c>
      <c r="J16" s="28" t="s">
        <v>301</v>
      </c>
      <c r="K16" s="28" t="s">
        <v>302</v>
      </c>
      <c r="L16" s="28" t="s">
        <v>303</v>
      </c>
      <c r="M16" s="28" t="s">
        <v>304</v>
      </c>
      <c r="N16" s="28" t="s">
        <v>305</v>
      </c>
      <c r="O16" s="28" t="s">
        <v>306</v>
      </c>
      <c r="P16" s="28" t="s">
        <v>307</v>
      </c>
      <c r="Q16" s="28" t="s">
        <v>308</v>
      </c>
    </row>
    <row r="17" spans="2:17" x14ac:dyDescent="0.45">
      <c r="B17" s="29" t="s">
        <v>309</v>
      </c>
      <c r="C17" s="29" t="s">
        <v>99</v>
      </c>
      <c r="E17" s="28" t="s">
        <v>310</v>
      </c>
      <c r="F17" s="30" t="s">
        <v>311</v>
      </c>
      <c r="G17" s="30" t="s">
        <v>311</v>
      </c>
      <c r="H17" s="30" t="s">
        <v>311</v>
      </c>
      <c r="I17" s="30" t="s">
        <v>311</v>
      </c>
      <c r="J17" s="30" t="s">
        <v>311</v>
      </c>
      <c r="K17" s="155" t="s">
        <v>106</v>
      </c>
      <c r="L17" s="155"/>
      <c r="M17" s="155"/>
      <c r="N17" s="155" t="s">
        <v>107</v>
      </c>
      <c r="O17" s="155"/>
      <c r="P17" s="155" t="s">
        <v>108</v>
      </c>
      <c r="Q17" s="156"/>
    </row>
    <row r="18" spans="2:17" x14ac:dyDescent="0.45">
      <c r="E18" s="28" t="s">
        <v>312</v>
      </c>
      <c r="F18" s="31"/>
      <c r="G18" s="31"/>
      <c r="H18" s="31"/>
      <c r="I18" s="31"/>
      <c r="J18" s="31"/>
      <c r="K18" s="155" t="s">
        <v>313</v>
      </c>
      <c r="L18" s="155"/>
      <c r="M18" s="155"/>
      <c r="N18" s="155" t="s">
        <v>313</v>
      </c>
      <c r="O18" s="155"/>
      <c r="P18" s="155" t="s">
        <v>313</v>
      </c>
      <c r="Q18" s="156"/>
    </row>
    <row r="19" spans="2:17" x14ac:dyDescent="0.45">
      <c r="E19" s="28" t="s">
        <v>288</v>
      </c>
      <c r="F19" s="31"/>
      <c r="G19" s="31"/>
      <c r="H19" s="31"/>
      <c r="I19" s="31"/>
      <c r="J19" s="31"/>
      <c r="K19" s="155" t="s">
        <v>314</v>
      </c>
      <c r="L19" s="155"/>
      <c r="M19" s="155"/>
      <c r="N19" s="155" t="s">
        <v>314</v>
      </c>
      <c r="O19" s="155"/>
      <c r="P19" s="155" t="s">
        <v>314</v>
      </c>
      <c r="Q19" s="156"/>
    </row>
    <row r="20" spans="2:17" x14ac:dyDescent="0.45">
      <c r="E20" s="28" t="s">
        <v>291</v>
      </c>
      <c r="F20" s="31"/>
      <c r="G20" s="31"/>
      <c r="H20" s="31"/>
      <c r="I20" s="31"/>
      <c r="J20" s="31"/>
      <c r="K20" s="155" t="s">
        <v>315</v>
      </c>
      <c r="L20" s="155"/>
      <c r="M20" s="155"/>
      <c r="N20" s="155" t="s">
        <v>315</v>
      </c>
      <c r="O20" s="155"/>
      <c r="P20" s="155" t="s">
        <v>315</v>
      </c>
      <c r="Q20" s="156"/>
    </row>
    <row r="21" spans="2:17" ht="301.5" customHeight="1" x14ac:dyDescent="0.45">
      <c r="E21" s="28" t="s">
        <v>316</v>
      </c>
      <c r="F21" s="161" t="s">
        <v>317</v>
      </c>
      <c r="G21" s="161"/>
      <c r="H21" s="161"/>
      <c r="I21" s="161"/>
      <c r="J21" s="161"/>
      <c r="K21" s="161"/>
      <c r="L21" s="161"/>
      <c r="M21" s="161"/>
      <c r="N21" s="161"/>
      <c r="O21" s="161"/>
      <c r="P21" s="161"/>
      <c r="Q21" s="161"/>
    </row>
    <row r="23" spans="2:17" x14ac:dyDescent="0.45">
      <c r="B23" s="27" t="s">
        <v>295</v>
      </c>
      <c r="C23" s="27" t="s">
        <v>296</v>
      </c>
      <c r="E23" s="28"/>
      <c r="F23" s="28" t="s">
        <v>297</v>
      </c>
      <c r="G23" s="28" t="s">
        <v>298</v>
      </c>
      <c r="H23" s="28" t="s">
        <v>299</v>
      </c>
      <c r="I23" s="28" t="s">
        <v>300</v>
      </c>
      <c r="J23" s="28" t="s">
        <v>301</v>
      </c>
      <c r="K23" s="28" t="s">
        <v>302</v>
      </c>
      <c r="L23" s="28" t="s">
        <v>303</v>
      </c>
      <c r="M23" s="28" t="s">
        <v>304</v>
      </c>
      <c r="N23" s="28" t="s">
        <v>305</v>
      </c>
      <c r="O23" s="28" t="s">
        <v>306</v>
      </c>
      <c r="P23" s="28" t="s">
        <v>307</v>
      </c>
      <c r="Q23" s="28" t="s">
        <v>308</v>
      </c>
    </row>
    <row r="24" spans="2:17" x14ac:dyDescent="0.45">
      <c r="B24" s="29" t="s">
        <v>318</v>
      </c>
      <c r="C24" s="29" t="s">
        <v>110</v>
      </c>
      <c r="E24" s="28" t="s">
        <v>310</v>
      </c>
      <c r="F24" s="31" t="s">
        <v>114</v>
      </c>
      <c r="G24" s="31" t="s">
        <v>115</v>
      </c>
      <c r="H24" s="31" t="s">
        <v>116</v>
      </c>
      <c r="I24" s="31" t="s">
        <v>117</v>
      </c>
      <c r="J24" s="31" t="s">
        <v>118</v>
      </c>
      <c r="K24" s="31" t="s">
        <v>119</v>
      </c>
      <c r="L24" s="31" t="s">
        <v>120</v>
      </c>
      <c r="M24" s="31" t="s">
        <v>121</v>
      </c>
      <c r="N24" s="31" t="s">
        <v>122</v>
      </c>
      <c r="O24" s="31" t="s">
        <v>123</v>
      </c>
      <c r="P24" s="31" t="s">
        <v>124</v>
      </c>
      <c r="Q24" s="31" t="s">
        <v>125</v>
      </c>
    </row>
    <row r="25" spans="2:17" x14ac:dyDescent="0.45">
      <c r="E25" s="28" t="s">
        <v>312</v>
      </c>
      <c r="F25" s="31">
        <v>0</v>
      </c>
      <c r="G25" s="31">
        <v>0</v>
      </c>
      <c r="H25" s="31">
        <v>0</v>
      </c>
      <c r="I25" s="31">
        <v>0</v>
      </c>
      <c r="J25" s="31">
        <v>0</v>
      </c>
      <c r="K25" s="31">
        <v>0</v>
      </c>
      <c r="L25" s="31">
        <v>0</v>
      </c>
      <c r="M25" s="31">
        <v>0</v>
      </c>
      <c r="N25" s="31">
        <v>0</v>
      </c>
      <c r="O25" s="31">
        <v>0</v>
      </c>
      <c r="P25" s="31">
        <v>0</v>
      </c>
      <c r="Q25" s="31">
        <v>0</v>
      </c>
    </row>
    <row r="26" spans="2:17" x14ac:dyDescent="0.45">
      <c r="E26" s="28" t="s">
        <v>288</v>
      </c>
      <c r="F26" s="31" t="s">
        <v>314</v>
      </c>
      <c r="G26" s="31" t="s">
        <v>314</v>
      </c>
      <c r="H26" s="31" t="s">
        <v>314</v>
      </c>
      <c r="I26" s="31" t="s">
        <v>314</v>
      </c>
      <c r="J26" s="31" t="s">
        <v>314</v>
      </c>
      <c r="K26" s="31" t="s">
        <v>314</v>
      </c>
      <c r="L26" s="31" t="s">
        <v>314</v>
      </c>
      <c r="M26" s="31" t="s">
        <v>314</v>
      </c>
      <c r="N26" s="31" t="s">
        <v>314</v>
      </c>
      <c r="O26" s="31" t="s">
        <v>314</v>
      </c>
      <c r="P26" s="31" t="s">
        <v>314</v>
      </c>
      <c r="Q26" s="31" t="s">
        <v>314</v>
      </c>
    </row>
    <row r="27" spans="2:17" x14ac:dyDescent="0.45">
      <c r="E27" s="28" t="s">
        <v>291</v>
      </c>
      <c r="F27" s="31" t="s">
        <v>319</v>
      </c>
      <c r="G27" s="31" t="s">
        <v>319</v>
      </c>
      <c r="H27" s="31" t="s">
        <v>319</v>
      </c>
      <c r="I27" s="31" t="s">
        <v>319</v>
      </c>
      <c r="J27" s="31" t="s">
        <v>319</v>
      </c>
      <c r="K27" s="31" t="s">
        <v>319</v>
      </c>
      <c r="L27" s="31" t="s">
        <v>319</v>
      </c>
      <c r="M27" s="31" t="s">
        <v>319</v>
      </c>
      <c r="N27" s="31" t="s">
        <v>319</v>
      </c>
      <c r="O27" s="31" t="s">
        <v>319</v>
      </c>
      <c r="P27" s="31" t="s">
        <v>319</v>
      </c>
      <c r="Q27" s="31" t="s">
        <v>319</v>
      </c>
    </row>
    <row r="28" spans="2:17" ht="409.5" customHeight="1" x14ac:dyDescent="0.45">
      <c r="E28" s="28" t="s">
        <v>316</v>
      </c>
      <c r="F28" s="162" t="s">
        <v>320</v>
      </c>
      <c r="G28" s="162"/>
      <c r="H28" s="162"/>
      <c r="I28" s="162"/>
      <c r="J28" s="162"/>
      <c r="K28" s="162"/>
      <c r="L28" s="162"/>
      <c r="M28" s="162"/>
      <c r="N28" s="162"/>
      <c r="O28" s="162"/>
      <c r="P28" s="162"/>
      <c r="Q28" s="161"/>
    </row>
    <row r="30" spans="2:17" x14ac:dyDescent="0.45">
      <c r="B30" s="27" t="s">
        <v>295</v>
      </c>
      <c r="C30" s="27" t="s">
        <v>296</v>
      </c>
      <c r="E30" s="28"/>
      <c r="F30" s="28" t="s">
        <v>297</v>
      </c>
      <c r="G30" s="28" t="s">
        <v>298</v>
      </c>
      <c r="H30" s="28" t="s">
        <v>299</v>
      </c>
      <c r="I30" s="28" t="s">
        <v>300</v>
      </c>
      <c r="J30" s="28" t="s">
        <v>301</v>
      </c>
      <c r="K30" s="28" t="s">
        <v>302</v>
      </c>
      <c r="L30" s="28" t="s">
        <v>303</v>
      </c>
      <c r="M30" s="28" t="s">
        <v>304</v>
      </c>
      <c r="N30" s="28" t="s">
        <v>305</v>
      </c>
      <c r="O30" s="28" t="s">
        <v>306</v>
      </c>
      <c r="P30" s="28" t="s">
        <v>307</v>
      </c>
      <c r="Q30" s="28" t="s">
        <v>308</v>
      </c>
    </row>
    <row r="31" spans="2:17" x14ac:dyDescent="0.45">
      <c r="B31" s="29" t="s">
        <v>321</v>
      </c>
      <c r="C31" s="29" t="s">
        <v>322</v>
      </c>
      <c r="E31" s="28" t="s">
        <v>310</v>
      </c>
      <c r="F31" s="30" t="s">
        <v>311</v>
      </c>
      <c r="G31" s="30" t="s">
        <v>311</v>
      </c>
      <c r="H31" s="156" t="s">
        <v>129</v>
      </c>
      <c r="I31" s="156"/>
      <c r="J31" s="156"/>
      <c r="K31" s="156"/>
      <c r="L31" s="156"/>
      <c r="M31" s="156"/>
      <c r="N31" s="156"/>
      <c r="O31" s="156"/>
      <c r="P31" s="156"/>
      <c r="Q31" s="156"/>
    </row>
    <row r="32" spans="2:17" x14ac:dyDescent="0.45">
      <c r="E32" s="28" t="s">
        <v>312</v>
      </c>
      <c r="F32" s="31"/>
      <c r="G32" s="31"/>
      <c r="H32" s="156" t="s">
        <v>323</v>
      </c>
      <c r="I32" s="156"/>
      <c r="J32" s="156"/>
      <c r="K32" s="156"/>
      <c r="L32" s="156"/>
      <c r="M32" s="156"/>
      <c r="N32" s="156"/>
      <c r="O32" s="156"/>
      <c r="P32" s="156"/>
      <c r="Q32" s="156"/>
    </row>
    <row r="33" spans="2:17" x14ac:dyDescent="0.45">
      <c r="E33" s="28" t="s">
        <v>288</v>
      </c>
      <c r="F33" s="31"/>
      <c r="G33" s="31"/>
      <c r="H33" s="156" t="s">
        <v>314</v>
      </c>
      <c r="I33" s="156"/>
      <c r="J33" s="156"/>
      <c r="K33" s="156"/>
      <c r="L33" s="156"/>
      <c r="M33" s="156"/>
      <c r="N33" s="156"/>
      <c r="O33" s="156"/>
      <c r="P33" s="156"/>
      <c r="Q33" s="156"/>
    </row>
    <row r="34" spans="2:17" x14ac:dyDescent="0.45">
      <c r="E34" s="28" t="s">
        <v>291</v>
      </c>
      <c r="F34" s="31"/>
      <c r="G34" s="31"/>
      <c r="H34" s="156" t="s">
        <v>315</v>
      </c>
      <c r="I34" s="156"/>
      <c r="J34" s="156"/>
      <c r="K34" s="156"/>
      <c r="L34" s="156"/>
      <c r="M34" s="156"/>
      <c r="N34" s="156"/>
      <c r="O34" s="156"/>
      <c r="P34" s="156"/>
      <c r="Q34" s="156"/>
    </row>
    <row r="35" spans="2:17" x14ac:dyDescent="0.45">
      <c r="E35" s="28" t="s">
        <v>316</v>
      </c>
      <c r="F35" s="164" t="s">
        <v>324</v>
      </c>
      <c r="G35" s="164"/>
      <c r="H35" s="164"/>
      <c r="I35" s="164"/>
      <c r="J35" s="164"/>
      <c r="K35" s="164"/>
      <c r="L35" s="164"/>
      <c r="M35" s="164"/>
      <c r="N35" s="164"/>
      <c r="O35" s="164"/>
      <c r="P35" s="164"/>
      <c r="Q35" s="164"/>
    </row>
    <row r="37" spans="2:17" x14ac:dyDescent="0.45">
      <c r="B37" s="27" t="s">
        <v>295</v>
      </c>
      <c r="C37" s="27" t="s">
        <v>296</v>
      </c>
      <c r="E37" s="28"/>
      <c r="F37" s="28" t="s">
        <v>297</v>
      </c>
      <c r="G37" s="28" t="s">
        <v>298</v>
      </c>
      <c r="H37" s="28" t="s">
        <v>299</v>
      </c>
      <c r="I37" s="28" t="s">
        <v>300</v>
      </c>
      <c r="J37" s="28" t="s">
        <v>301</v>
      </c>
      <c r="K37" s="28" t="s">
        <v>302</v>
      </c>
      <c r="L37" s="28" t="s">
        <v>303</v>
      </c>
      <c r="M37" s="28" t="s">
        <v>304</v>
      </c>
      <c r="N37" s="28" t="s">
        <v>305</v>
      </c>
      <c r="O37" s="28" t="s">
        <v>306</v>
      </c>
      <c r="P37" s="28" t="s">
        <v>307</v>
      </c>
      <c r="Q37" s="28" t="s">
        <v>308</v>
      </c>
    </row>
    <row r="38" spans="2:17" x14ac:dyDescent="0.45">
      <c r="B38" s="29" t="s">
        <v>325</v>
      </c>
      <c r="C38" s="29" t="s">
        <v>326</v>
      </c>
      <c r="E38" s="28" t="s">
        <v>310</v>
      </c>
      <c r="F38" s="30" t="s">
        <v>311</v>
      </c>
      <c r="G38" s="30" t="s">
        <v>311</v>
      </c>
      <c r="H38" s="156" t="s">
        <v>133</v>
      </c>
      <c r="I38" s="156"/>
      <c r="J38" s="156"/>
      <c r="K38" s="156"/>
      <c r="L38" s="156"/>
      <c r="M38" s="156"/>
      <c r="N38" s="156"/>
      <c r="O38" s="156"/>
      <c r="P38" s="156"/>
      <c r="Q38" s="156"/>
    </row>
    <row r="39" spans="2:17" x14ac:dyDescent="0.45">
      <c r="E39" s="28" t="s">
        <v>312</v>
      </c>
      <c r="F39" s="31"/>
      <c r="G39" s="31"/>
      <c r="H39" s="156" t="s">
        <v>323</v>
      </c>
      <c r="I39" s="156"/>
      <c r="J39" s="156"/>
      <c r="K39" s="156"/>
      <c r="L39" s="156"/>
      <c r="M39" s="156"/>
      <c r="N39" s="156"/>
      <c r="O39" s="156"/>
      <c r="P39" s="156"/>
      <c r="Q39" s="156"/>
    </row>
    <row r="40" spans="2:17" x14ac:dyDescent="0.45">
      <c r="E40" s="28" t="s">
        <v>288</v>
      </c>
      <c r="F40" s="31"/>
      <c r="G40" s="31"/>
      <c r="H40" s="156" t="s">
        <v>314</v>
      </c>
      <c r="I40" s="156"/>
      <c r="J40" s="156"/>
      <c r="K40" s="156"/>
      <c r="L40" s="156"/>
      <c r="M40" s="156"/>
      <c r="N40" s="156"/>
      <c r="O40" s="156"/>
      <c r="P40" s="156"/>
      <c r="Q40" s="156"/>
    </row>
    <row r="41" spans="2:17" x14ac:dyDescent="0.45">
      <c r="E41" s="28" t="s">
        <v>291</v>
      </c>
      <c r="F41" s="31"/>
      <c r="G41" s="31"/>
      <c r="H41" s="156" t="s">
        <v>315</v>
      </c>
      <c r="I41" s="156"/>
      <c r="J41" s="156"/>
      <c r="K41" s="156"/>
      <c r="L41" s="156"/>
      <c r="M41" s="156"/>
      <c r="N41" s="156"/>
      <c r="O41" s="156"/>
      <c r="P41" s="156"/>
      <c r="Q41" s="156"/>
    </row>
    <row r="42" spans="2:17" x14ac:dyDescent="0.45">
      <c r="E42" s="28" t="s">
        <v>316</v>
      </c>
      <c r="F42" s="164" t="s">
        <v>327</v>
      </c>
      <c r="G42" s="164"/>
      <c r="H42" s="164"/>
      <c r="I42" s="164"/>
      <c r="J42" s="164"/>
      <c r="K42" s="164"/>
      <c r="L42" s="164"/>
      <c r="M42" s="164"/>
      <c r="N42" s="164"/>
      <c r="O42" s="164"/>
      <c r="P42" s="164"/>
      <c r="Q42" s="164"/>
    </row>
    <row r="44" spans="2:17" x14ac:dyDescent="0.45">
      <c r="B44" s="27" t="s">
        <v>295</v>
      </c>
      <c r="C44" s="27" t="s">
        <v>296</v>
      </c>
      <c r="E44" s="28"/>
      <c r="F44" s="28" t="s">
        <v>297</v>
      </c>
      <c r="G44" s="28" t="s">
        <v>298</v>
      </c>
      <c r="H44" s="28" t="s">
        <v>299</v>
      </c>
      <c r="I44" s="28" t="s">
        <v>300</v>
      </c>
      <c r="J44" s="28" t="s">
        <v>301</v>
      </c>
      <c r="K44" s="28" t="s">
        <v>302</v>
      </c>
      <c r="L44" s="28" t="s">
        <v>303</v>
      </c>
      <c r="M44" s="28" t="s">
        <v>304</v>
      </c>
      <c r="N44" s="28" t="s">
        <v>305</v>
      </c>
      <c r="O44" s="28" t="s">
        <v>306</v>
      </c>
      <c r="P44" s="28" t="s">
        <v>307</v>
      </c>
      <c r="Q44" s="28" t="s">
        <v>308</v>
      </c>
    </row>
    <row r="45" spans="2:17" ht="16.5" customHeight="1" x14ac:dyDescent="0.45">
      <c r="B45" s="29" t="s">
        <v>328</v>
      </c>
      <c r="C45" s="29" t="s">
        <v>329</v>
      </c>
      <c r="E45" s="28" t="s">
        <v>310</v>
      </c>
      <c r="F45" s="31" t="s">
        <v>139</v>
      </c>
      <c r="G45" s="31" t="s">
        <v>140</v>
      </c>
      <c r="H45" s="31" t="s">
        <v>141</v>
      </c>
      <c r="I45" s="31" t="s">
        <v>142</v>
      </c>
      <c r="J45" s="31" t="s">
        <v>143</v>
      </c>
      <c r="K45" s="31" t="s">
        <v>144</v>
      </c>
      <c r="L45" s="31" t="s">
        <v>145</v>
      </c>
      <c r="M45" s="31" t="s">
        <v>146</v>
      </c>
      <c r="N45" s="156" t="s">
        <v>330</v>
      </c>
      <c r="O45" s="156"/>
      <c r="P45" s="156"/>
      <c r="Q45" s="156"/>
    </row>
    <row r="46" spans="2:17" x14ac:dyDescent="0.45">
      <c r="E46" s="28" t="s">
        <v>312</v>
      </c>
      <c r="F46" s="31">
        <v>0</v>
      </c>
      <c r="G46" s="31">
        <v>0</v>
      </c>
      <c r="H46" s="31">
        <v>0</v>
      </c>
      <c r="I46" s="31">
        <v>0</v>
      </c>
      <c r="J46" s="31">
        <v>0</v>
      </c>
      <c r="K46" s="31">
        <v>0</v>
      </c>
      <c r="L46" s="31">
        <v>0</v>
      </c>
      <c r="M46" s="31">
        <v>0</v>
      </c>
      <c r="N46" s="156" t="s">
        <v>313</v>
      </c>
      <c r="O46" s="156"/>
      <c r="P46" s="156"/>
      <c r="Q46" s="156"/>
    </row>
    <row r="47" spans="2:17" x14ac:dyDescent="0.45">
      <c r="E47" s="28" t="s">
        <v>288</v>
      </c>
      <c r="F47" s="31" t="s">
        <v>314</v>
      </c>
      <c r="G47" s="31" t="s">
        <v>314</v>
      </c>
      <c r="H47" s="31" t="s">
        <v>314</v>
      </c>
      <c r="I47" s="31" t="s">
        <v>314</v>
      </c>
      <c r="J47" s="31" t="s">
        <v>314</v>
      </c>
      <c r="K47" s="31" t="s">
        <v>314</v>
      </c>
      <c r="L47" s="31" t="s">
        <v>314</v>
      </c>
      <c r="M47" s="31" t="s">
        <v>314</v>
      </c>
      <c r="N47" s="156" t="s">
        <v>314</v>
      </c>
      <c r="O47" s="156"/>
      <c r="P47" s="156"/>
      <c r="Q47" s="156"/>
    </row>
    <row r="48" spans="2:17" x14ac:dyDescent="0.45">
      <c r="E48" s="28" t="s">
        <v>291</v>
      </c>
      <c r="F48" s="31" t="s">
        <v>331</v>
      </c>
      <c r="G48" s="31" t="s">
        <v>332</v>
      </c>
      <c r="H48" s="31" t="s">
        <v>332</v>
      </c>
      <c r="I48" s="31" t="s">
        <v>332</v>
      </c>
      <c r="J48" s="31" t="s">
        <v>332</v>
      </c>
      <c r="K48" s="31" t="s">
        <v>332</v>
      </c>
      <c r="L48" s="31" t="s">
        <v>332</v>
      </c>
      <c r="M48" s="31" t="s">
        <v>332</v>
      </c>
      <c r="N48" s="156" t="s">
        <v>332</v>
      </c>
      <c r="O48" s="156"/>
      <c r="P48" s="156"/>
      <c r="Q48" s="156"/>
    </row>
    <row r="49" spans="2:17" ht="409.5" customHeight="1" x14ac:dyDescent="0.45">
      <c r="E49" s="28" t="s">
        <v>316</v>
      </c>
      <c r="F49" s="162" t="s">
        <v>333</v>
      </c>
      <c r="G49" s="162"/>
      <c r="H49" s="162"/>
      <c r="I49" s="162"/>
      <c r="J49" s="162"/>
      <c r="K49" s="162"/>
      <c r="L49" s="162"/>
      <c r="M49" s="162"/>
      <c r="N49" s="162"/>
      <c r="O49" s="162"/>
      <c r="P49" s="162"/>
      <c r="Q49" s="161"/>
    </row>
    <row r="51" spans="2:17" ht="16.5" customHeight="1" x14ac:dyDescent="0.45">
      <c r="B51" s="27" t="s">
        <v>295</v>
      </c>
      <c r="C51" s="27" t="s">
        <v>296</v>
      </c>
      <c r="E51" s="28"/>
      <c r="F51" s="28" t="s">
        <v>297</v>
      </c>
      <c r="G51" s="28" t="s">
        <v>298</v>
      </c>
      <c r="H51" s="28" t="s">
        <v>299</v>
      </c>
      <c r="I51" s="28" t="s">
        <v>300</v>
      </c>
      <c r="J51" s="28" t="s">
        <v>301</v>
      </c>
      <c r="K51" s="28" t="s">
        <v>302</v>
      </c>
      <c r="L51" s="28" t="s">
        <v>303</v>
      </c>
      <c r="M51" s="28" t="s">
        <v>304</v>
      </c>
      <c r="N51" s="28" t="s">
        <v>305</v>
      </c>
      <c r="O51" s="28" t="s">
        <v>306</v>
      </c>
      <c r="P51" s="28" t="s">
        <v>307</v>
      </c>
      <c r="Q51" s="28" t="s">
        <v>308</v>
      </c>
    </row>
    <row r="52" spans="2:17" ht="16.5" customHeight="1" x14ac:dyDescent="0.45">
      <c r="B52" s="29" t="s">
        <v>334</v>
      </c>
      <c r="C52" s="29" t="s">
        <v>335</v>
      </c>
      <c r="E52" s="28" t="s">
        <v>310</v>
      </c>
      <c r="F52" s="30" t="s">
        <v>311</v>
      </c>
      <c r="G52" s="30" t="s">
        <v>311</v>
      </c>
      <c r="H52" s="30" t="s">
        <v>311</v>
      </c>
      <c r="I52" s="30" t="s">
        <v>311</v>
      </c>
      <c r="J52" s="30" t="s">
        <v>311</v>
      </c>
      <c r="K52" s="31" t="s">
        <v>152</v>
      </c>
      <c r="L52" s="31" t="s">
        <v>153</v>
      </c>
      <c r="M52" s="31" t="s">
        <v>154</v>
      </c>
      <c r="N52" s="155" t="s">
        <v>155</v>
      </c>
      <c r="O52" s="163"/>
      <c r="P52" s="155" t="s">
        <v>156</v>
      </c>
      <c r="Q52" s="163"/>
    </row>
    <row r="53" spans="2:17" ht="16.5" customHeight="1" x14ac:dyDescent="0.45">
      <c r="E53" s="28" t="s">
        <v>312</v>
      </c>
      <c r="F53" s="31"/>
      <c r="G53" s="31"/>
      <c r="H53" s="31"/>
      <c r="I53" s="31"/>
      <c r="J53" s="31"/>
      <c r="K53" s="31">
        <v>0</v>
      </c>
      <c r="L53" s="31">
        <v>0</v>
      </c>
      <c r="M53" s="31">
        <v>0</v>
      </c>
      <c r="N53" s="155" t="s">
        <v>336</v>
      </c>
      <c r="O53" s="163"/>
      <c r="P53" s="155" t="s">
        <v>337</v>
      </c>
      <c r="Q53" s="163"/>
    </row>
    <row r="54" spans="2:17" ht="16.5" customHeight="1" x14ac:dyDescent="0.45">
      <c r="E54" s="28" t="s">
        <v>288</v>
      </c>
      <c r="F54" s="31"/>
      <c r="G54" s="31"/>
      <c r="H54" s="31"/>
      <c r="I54" s="31"/>
      <c r="J54" s="31"/>
      <c r="K54" s="31" t="s">
        <v>314</v>
      </c>
      <c r="L54" s="31" t="s">
        <v>314</v>
      </c>
      <c r="M54" s="31" t="s">
        <v>314</v>
      </c>
      <c r="N54" s="155" t="s">
        <v>314</v>
      </c>
      <c r="O54" s="163"/>
      <c r="P54" s="155" t="s">
        <v>314</v>
      </c>
      <c r="Q54" s="163"/>
    </row>
    <row r="55" spans="2:17" ht="16.5" customHeight="1" x14ac:dyDescent="0.45">
      <c r="E55" s="28" t="s">
        <v>291</v>
      </c>
      <c r="F55" s="31"/>
      <c r="G55" s="31"/>
      <c r="H55" s="31"/>
      <c r="I55" s="31"/>
      <c r="J55" s="31"/>
      <c r="K55" s="31" t="s">
        <v>332</v>
      </c>
      <c r="L55" s="31" t="s">
        <v>332</v>
      </c>
      <c r="M55" s="31" t="s">
        <v>332</v>
      </c>
      <c r="N55" s="155" t="s">
        <v>332</v>
      </c>
      <c r="O55" s="163"/>
      <c r="P55" s="155" t="s">
        <v>332</v>
      </c>
      <c r="Q55" s="163"/>
    </row>
    <row r="56" spans="2:17" ht="378.75" customHeight="1" x14ac:dyDescent="0.45">
      <c r="E56" s="28" t="s">
        <v>316</v>
      </c>
      <c r="F56" s="161" t="s">
        <v>338</v>
      </c>
      <c r="G56" s="161"/>
      <c r="H56" s="161"/>
      <c r="I56" s="161"/>
      <c r="J56" s="161"/>
      <c r="K56" s="161"/>
      <c r="L56" s="161"/>
      <c r="M56" s="161"/>
      <c r="N56" s="161"/>
      <c r="O56" s="161"/>
      <c r="P56" s="161"/>
      <c r="Q56" s="161"/>
    </row>
    <row r="58" spans="2:17" x14ac:dyDescent="0.45">
      <c r="B58" s="27" t="s">
        <v>295</v>
      </c>
      <c r="C58" s="27" t="s">
        <v>296</v>
      </c>
      <c r="E58" s="28"/>
      <c r="F58" s="28" t="s">
        <v>339</v>
      </c>
      <c r="G58" s="28" t="s">
        <v>340</v>
      </c>
      <c r="H58" s="28" t="s">
        <v>341</v>
      </c>
      <c r="I58" s="28" t="s">
        <v>342</v>
      </c>
      <c r="J58" s="28" t="s">
        <v>343</v>
      </c>
      <c r="K58" s="28" t="s">
        <v>344</v>
      </c>
      <c r="L58" s="28" t="s">
        <v>345</v>
      </c>
      <c r="M58" s="28" t="s">
        <v>346</v>
      </c>
      <c r="N58" s="28" t="s">
        <v>347</v>
      </c>
      <c r="O58" s="28" t="s">
        <v>348</v>
      </c>
      <c r="P58" s="28" t="s">
        <v>349</v>
      </c>
      <c r="Q58" s="28" t="s">
        <v>350</v>
      </c>
    </row>
    <row r="59" spans="2:17" x14ac:dyDescent="0.45">
      <c r="B59" s="29" t="s">
        <v>351</v>
      </c>
      <c r="C59" s="29" t="s">
        <v>272</v>
      </c>
      <c r="E59" s="28" t="s">
        <v>310</v>
      </c>
      <c r="F59" s="30" t="s">
        <v>311</v>
      </c>
      <c r="G59" s="30" t="s">
        <v>311</v>
      </c>
      <c r="H59" s="30" t="s">
        <v>311</v>
      </c>
      <c r="I59" s="30" t="s">
        <v>311</v>
      </c>
      <c r="J59" s="30" t="s">
        <v>311</v>
      </c>
      <c r="K59" s="30" t="s">
        <v>311</v>
      </c>
      <c r="L59" s="30" t="s">
        <v>311</v>
      </c>
      <c r="M59" s="30" t="s">
        <v>311</v>
      </c>
      <c r="N59" s="156" t="s">
        <v>276</v>
      </c>
      <c r="O59" s="156"/>
      <c r="P59" s="156"/>
      <c r="Q59" s="156"/>
    </row>
    <row r="60" spans="2:17" x14ac:dyDescent="0.45">
      <c r="B60" s="29" t="s">
        <v>351</v>
      </c>
      <c r="C60" s="29" t="s">
        <v>277</v>
      </c>
      <c r="E60" s="28" t="s">
        <v>312</v>
      </c>
      <c r="F60" s="29"/>
      <c r="G60" s="29"/>
      <c r="H60" s="29"/>
      <c r="I60" s="29"/>
      <c r="J60" s="29"/>
      <c r="K60" s="29"/>
      <c r="L60" s="29"/>
      <c r="M60" s="29"/>
      <c r="N60" s="156" t="s">
        <v>313</v>
      </c>
      <c r="O60" s="156"/>
      <c r="P60" s="156"/>
      <c r="Q60" s="156"/>
    </row>
    <row r="61" spans="2:17" x14ac:dyDescent="0.45">
      <c r="E61" s="28" t="s">
        <v>288</v>
      </c>
      <c r="F61" s="29"/>
      <c r="G61" s="29"/>
      <c r="H61" s="29"/>
      <c r="I61" s="29"/>
      <c r="J61" s="29"/>
      <c r="K61" s="29"/>
      <c r="L61" s="29"/>
      <c r="M61" s="29"/>
      <c r="N61" s="156" t="s">
        <v>314</v>
      </c>
      <c r="O61" s="156"/>
      <c r="P61" s="156"/>
      <c r="Q61" s="156"/>
    </row>
    <row r="62" spans="2:17" x14ac:dyDescent="0.45">
      <c r="E62" s="28" t="s">
        <v>291</v>
      </c>
      <c r="F62" s="29"/>
      <c r="G62" s="29"/>
      <c r="H62" s="29"/>
      <c r="I62" s="29"/>
      <c r="J62" s="29"/>
      <c r="K62" s="29"/>
      <c r="L62" s="29"/>
      <c r="M62" s="29"/>
      <c r="N62" s="156" t="s">
        <v>332</v>
      </c>
      <c r="O62" s="156"/>
      <c r="P62" s="156"/>
      <c r="Q62" s="156"/>
    </row>
    <row r="63" spans="2:17" x14ac:dyDescent="0.45">
      <c r="E63" s="28"/>
      <c r="F63" s="28" t="s">
        <v>297</v>
      </c>
      <c r="G63" s="28" t="s">
        <v>298</v>
      </c>
      <c r="H63" s="28" t="s">
        <v>299</v>
      </c>
      <c r="I63" s="28" t="s">
        <v>300</v>
      </c>
      <c r="J63" s="28" t="s">
        <v>301</v>
      </c>
      <c r="K63" s="28" t="s">
        <v>302</v>
      </c>
      <c r="L63" s="28" t="s">
        <v>303</v>
      </c>
      <c r="M63" s="28" t="s">
        <v>304</v>
      </c>
      <c r="N63" s="28" t="s">
        <v>305</v>
      </c>
      <c r="O63" s="28" t="s">
        <v>306</v>
      </c>
      <c r="P63" s="28" t="s">
        <v>307</v>
      </c>
      <c r="Q63" s="28" t="s">
        <v>308</v>
      </c>
    </row>
    <row r="64" spans="2:17" x14ac:dyDescent="0.45">
      <c r="E64" s="28" t="s">
        <v>310</v>
      </c>
      <c r="F64" s="156" t="s">
        <v>278</v>
      </c>
      <c r="G64" s="156"/>
      <c r="H64" s="156"/>
      <c r="I64" s="156"/>
      <c r="J64" s="156"/>
      <c r="K64" s="156"/>
      <c r="L64" s="156"/>
      <c r="M64" s="156"/>
      <c r="N64" s="156"/>
      <c r="O64" s="156"/>
      <c r="P64" s="156"/>
      <c r="Q64" s="156"/>
    </row>
    <row r="65" spans="2:17" x14ac:dyDescent="0.45">
      <c r="E65" s="28" t="s">
        <v>312</v>
      </c>
      <c r="F65" s="156" t="s">
        <v>323</v>
      </c>
      <c r="G65" s="156"/>
      <c r="H65" s="156"/>
      <c r="I65" s="156"/>
      <c r="J65" s="156"/>
      <c r="K65" s="156"/>
      <c r="L65" s="156"/>
      <c r="M65" s="156"/>
      <c r="N65" s="156"/>
      <c r="O65" s="156"/>
      <c r="P65" s="156"/>
      <c r="Q65" s="156"/>
    </row>
    <row r="66" spans="2:17" x14ac:dyDescent="0.45">
      <c r="E66" s="28" t="s">
        <v>288</v>
      </c>
      <c r="F66" s="156" t="s">
        <v>314</v>
      </c>
      <c r="G66" s="156"/>
      <c r="H66" s="156"/>
      <c r="I66" s="156"/>
      <c r="J66" s="156"/>
      <c r="K66" s="156"/>
      <c r="L66" s="156"/>
      <c r="M66" s="156"/>
      <c r="N66" s="156"/>
      <c r="O66" s="156"/>
      <c r="P66" s="156"/>
      <c r="Q66" s="156"/>
    </row>
    <row r="67" spans="2:17" x14ac:dyDescent="0.45">
      <c r="E67" s="28" t="s">
        <v>291</v>
      </c>
      <c r="F67" s="156" t="s">
        <v>332</v>
      </c>
      <c r="G67" s="156"/>
      <c r="H67" s="156"/>
      <c r="I67" s="156"/>
      <c r="J67" s="156"/>
      <c r="K67" s="156"/>
      <c r="L67" s="156"/>
      <c r="M67" s="156"/>
      <c r="N67" s="156"/>
      <c r="O67" s="156"/>
      <c r="P67" s="156"/>
      <c r="Q67" s="156"/>
    </row>
    <row r="68" spans="2:17" ht="360" customHeight="1" x14ac:dyDescent="0.45">
      <c r="E68" s="32" t="s">
        <v>316</v>
      </c>
      <c r="F68" s="165" t="s">
        <v>352</v>
      </c>
      <c r="G68" s="166"/>
      <c r="H68" s="166"/>
      <c r="I68" s="166"/>
      <c r="J68" s="166"/>
      <c r="K68" s="166"/>
      <c r="L68" s="166"/>
      <c r="M68" s="166"/>
      <c r="N68" s="166"/>
      <c r="O68" s="166"/>
      <c r="P68" s="166"/>
      <c r="Q68" s="167"/>
    </row>
    <row r="70" spans="2:17" x14ac:dyDescent="0.45">
      <c r="B70" s="27" t="s">
        <v>295</v>
      </c>
      <c r="C70" s="27" t="s">
        <v>296</v>
      </c>
      <c r="E70" s="28"/>
      <c r="F70" s="28" t="s">
        <v>339</v>
      </c>
      <c r="G70" s="28" t="s">
        <v>340</v>
      </c>
      <c r="H70" s="28" t="s">
        <v>341</v>
      </c>
      <c r="I70" s="28" t="s">
        <v>342</v>
      </c>
      <c r="J70" s="28" t="s">
        <v>343</v>
      </c>
      <c r="K70" s="28" t="s">
        <v>344</v>
      </c>
      <c r="L70" s="28" t="s">
        <v>345</v>
      </c>
      <c r="M70" s="28" t="s">
        <v>346</v>
      </c>
      <c r="N70" s="28" t="s">
        <v>347</v>
      </c>
      <c r="O70" s="28" t="s">
        <v>348</v>
      </c>
      <c r="P70" s="28" t="s">
        <v>349</v>
      </c>
      <c r="Q70" s="28" t="s">
        <v>350</v>
      </c>
    </row>
    <row r="71" spans="2:17" x14ac:dyDescent="0.45">
      <c r="B71" s="29" t="s">
        <v>353</v>
      </c>
      <c r="C71" s="29" t="s">
        <v>279</v>
      </c>
      <c r="E71" s="28" t="s">
        <v>310</v>
      </c>
      <c r="F71" s="156" t="s">
        <v>283</v>
      </c>
      <c r="G71" s="156"/>
      <c r="H71" s="156"/>
      <c r="I71" s="156"/>
      <c r="J71" s="156"/>
      <c r="K71" s="156"/>
      <c r="L71" s="156"/>
      <c r="M71" s="156"/>
      <c r="N71" s="156" t="s">
        <v>284</v>
      </c>
      <c r="O71" s="156"/>
      <c r="P71" s="156"/>
      <c r="Q71" s="156"/>
    </row>
    <row r="72" spans="2:17" x14ac:dyDescent="0.45">
      <c r="B72" s="29" t="s">
        <v>353</v>
      </c>
      <c r="C72" s="29" t="s">
        <v>285</v>
      </c>
      <c r="E72" s="28" t="s">
        <v>312</v>
      </c>
      <c r="F72" s="156" t="s">
        <v>354</v>
      </c>
      <c r="G72" s="156"/>
      <c r="H72" s="156"/>
      <c r="I72" s="156"/>
      <c r="J72" s="156"/>
      <c r="K72" s="156"/>
      <c r="L72" s="156"/>
      <c r="M72" s="156"/>
      <c r="N72" s="156" t="s">
        <v>313</v>
      </c>
      <c r="O72" s="156"/>
      <c r="P72" s="156"/>
      <c r="Q72" s="156"/>
    </row>
    <row r="73" spans="2:17" x14ac:dyDescent="0.45">
      <c r="E73" s="28" t="s">
        <v>288</v>
      </c>
      <c r="F73" s="156" t="s">
        <v>314</v>
      </c>
      <c r="G73" s="156"/>
      <c r="H73" s="156"/>
      <c r="I73" s="156"/>
      <c r="J73" s="156"/>
      <c r="K73" s="156"/>
      <c r="L73" s="156"/>
      <c r="M73" s="156"/>
      <c r="N73" s="156" t="s">
        <v>314</v>
      </c>
      <c r="O73" s="156"/>
      <c r="P73" s="156"/>
      <c r="Q73" s="156"/>
    </row>
    <row r="74" spans="2:17" x14ac:dyDescent="0.45">
      <c r="E74" s="28" t="s">
        <v>291</v>
      </c>
      <c r="F74" s="156" t="s">
        <v>332</v>
      </c>
      <c r="G74" s="156"/>
      <c r="H74" s="156"/>
      <c r="I74" s="156"/>
      <c r="J74" s="156"/>
      <c r="K74" s="156"/>
      <c r="L74" s="156"/>
      <c r="M74" s="156"/>
      <c r="N74" s="156" t="s">
        <v>332</v>
      </c>
      <c r="O74" s="156"/>
      <c r="P74" s="156"/>
      <c r="Q74" s="156"/>
    </row>
    <row r="75" spans="2:17" x14ac:dyDescent="0.45">
      <c r="E75" s="28"/>
      <c r="F75" s="28" t="s">
        <v>297</v>
      </c>
      <c r="G75" s="28" t="s">
        <v>298</v>
      </c>
      <c r="H75" s="28" t="s">
        <v>299</v>
      </c>
      <c r="I75" s="28" t="s">
        <v>300</v>
      </c>
      <c r="J75" s="28" t="s">
        <v>301</v>
      </c>
      <c r="K75" s="28" t="s">
        <v>302</v>
      </c>
      <c r="L75" s="28" t="s">
        <v>303</v>
      </c>
      <c r="M75" s="28" t="s">
        <v>304</v>
      </c>
      <c r="N75" s="28" t="s">
        <v>305</v>
      </c>
      <c r="O75" s="28" t="s">
        <v>306</v>
      </c>
      <c r="P75" s="28" t="s">
        <v>307</v>
      </c>
      <c r="Q75" s="28" t="s">
        <v>308</v>
      </c>
    </row>
    <row r="76" spans="2:17" x14ac:dyDescent="0.45">
      <c r="E76" s="28" t="s">
        <v>310</v>
      </c>
      <c r="F76" s="156" t="s">
        <v>284</v>
      </c>
      <c r="G76" s="156"/>
      <c r="H76" s="156"/>
      <c r="I76" s="156"/>
      <c r="J76" s="156" t="s">
        <v>287</v>
      </c>
      <c r="K76" s="156"/>
      <c r="L76" s="156"/>
      <c r="M76" s="156"/>
      <c r="N76" s="156"/>
      <c r="O76" s="156"/>
      <c r="P76" s="156"/>
      <c r="Q76" s="156"/>
    </row>
    <row r="77" spans="2:17" x14ac:dyDescent="0.45">
      <c r="E77" s="28" t="s">
        <v>312</v>
      </c>
      <c r="F77" s="156" t="s">
        <v>313</v>
      </c>
      <c r="G77" s="156"/>
      <c r="H77" s="156"/>
      <c r="I77" s="156"/>
      <c r="J77" s="156" t="s">
        <v>323</v>
      </c>
      <c r="K77" s="156"/>
      <c r="L77" s="156"/>
      <c r="M77" s="156"/>
      <c r="N77" s="156"/>
      <c r="O77" s="156"/>
      <c r="P77" s="156"/>
      <c r="Q77" s="156"/>
    </row>
    <row r="78" spans="2:17" x14ac:dyDescent="0.45">
      <c r="E78" s="28" t="s">
        <v>288</v>
      </c>
      <c r="F78" s="156" t="s">
        <v>314</v>
      </c>
      <c r="G78" s="156"/>
      <c r="H78" s="156"/>
      <c r="I78" s="156"/>
      <c r="J78" s="156" t="s">
        <v>314</v>
      </c>
      <c r="K78" s="156"/>
      <c r="L78" s="156"/>
      <c r="M78" s="156"/>
      <c r="N78" s="156"/>
      <c r="O78" s="156"/>
      <c r="P78" s="156"/>
      <c r="Q78" s="156"/>
    </row>
    <row r="79" spans="2:17" x14ac:dyDescent="0.45">
      <c r="E79" s="28" t="s">
        <v>291</v>
      </c>
      <c r="F79" s="156" t="s">
        <v>332</v>
      </c>
      <c r="G79" s="156"/>
      <c r="H79" s="156"/>
      <c r="I79" s="156"/>
      <c r="J79" s="156" t="s">
        <v>332</v>
      </c>
      <c r="K79" s="156"/>
      <c r="L79" s="156"/>
      <c r="M79" s="156"/>
      <c r="N79" s="156"/>
      <c r="O79" s="156"/>
      <c r="P79" s="156"/>
      <c r="Q79" s="156"/>
    </row>
    <row r="80" spans="2:17" ht="29.25" customHeight="1" x14ac:dyDescent="0.45">
      <c r="E80" s="28" t="s">
        <v>316</v>
      </c>
      <c r="F80" s="168" t="s">
        <v>355</v>
      </c>
      <c r="G80" s="168"/>
      <c r="H80" s="168"/>
      <c r="I80" s="168"/>
      <c r="J80" s="168"/>
      <c r="K80" s="168"/>
      <c r="L80" s="168"/>
      <c r="M80" s="168"/>
      <c r="N80" s="168"/>
      <c r="O80" s="168"/>
      <c r="P80" s="168"/>
      <c r="Q80" s="168"/>
    </row>
    <row r="82" spans="2:17" x14ac:dyDescent="0.45">
      <c r="B82" s="27" t="s">
        <v>295</v>
      </c>
      <c r="C82" s="27" t="s">
        <v>296</v>
      </c>
      <c r="E82" s="28"/>
      <c r="F82" s="28" t="s">
        <v>297</v>
      </c>
      <c r="G82" s="28" t="s">
        <v>298</v>
      </c>
      <c r="H82" s="28" t="s">
        <v>299</v>
      </c>
      <c r="I82" s="28" t="s">
        <v>300</v>
      </c>
      <c r="J82" s="28" t="s">
        <v>301</v>
      </c>
      <c r="K82" s="28" t="s">
        <v>302</v>
      </c>
      <c r="L82" s="28" t="s">
        <v>303</v>
      </c>
      <c r="M82" s="28" t="s">
        <v>304</v>
      </c>
      <c r="N82" s="28" t="s">
        <v>305</v>
      </c>
      <c r="O82" s="28" t="s">
        <v>306</v>
      </c>
      <c r="P82" s="28" t="s">
        <v>307</v>
      </c>
      <c r="Q82" s="28" t="s">
        <v>308</v>
      </c>
    </row>
    <row r="83" spans="2:17" x14ac:dyDescent="0.45">
      <c r="B83" s="29" t="s">
        <v>356</v>
      </c>
      <c r="C83" s="29" t="s">
        <v>357</v>
      </c>
      <c r="E83" s="28" t="s">
        <v>310</v>
      </c>
      <c r="F83" s="30" t="s">
        <v>311</v>
      </c>
      <c r="G83" s="30" t="s">
        <v>311</v>
      </c>
      <c r="H83" s="156" t="s">
        <v>162</v>
      </c>
      <c r="I83" s="156"/>
      <c r="J83" s="156"/>
      <c r="K83" s="156"/>
      <c r="L83" s="156"/>
      <c r="M83" s="156"/>
      <c r="N83" s="156"/>
      <c r="O83" s="156"/>
      <c r="P83" s="156"/>
      <c r="Q83" s="156"/>
    </row>
    <row r="84" spans="2:17" x14ac:dyDescent="0.45">
      <c r="E84" s="28" t="s">
        <v>312</v>
      </c>
      <c r="F84" s="31"/>
      <c r="G84" s="31"/>
      <c r="H84" s="156" t="s">
        <v>323</v>
      </c>
      <c r="I84" s="156"/>
      <c r="J84" s="156"/>
      <c r="K84" s="156"/>
      <c r="L84" s="156"/>
      <c r="M84" s="156"/>
      <c r="N84" s="156"/>
      <c r="O84" s="156"/>
      <c r="P84" s="156"/>
      <c r="Q84" s="156"/>
    </row>
    <row r="85" spans="2:17" x14ac:dyDescent="0.45">
      <c r="E85" s="28" t="s">
        <v>288</v>
      </c>
      <c r="F85" s="31"/>
      <c r="G85" s="31"/>
      <c r="H85" s="156" t="s">
        <v>314</v>
      </c>
      <c r="I85" s="156"/>
      <c r="J85" s="156"/>
      <c r="K85" s="156"/>
      <c r="L85" s="156"/>
      <c r="M85" s="156"/>
      <c r="N85" s="156"/>
      <c r="O85" s="156"/>
      <c r="P85" s="156"/>
      <c r="Q85" s="156"/>
    </row>
    <row r="86" spans="2:17" x14ac:dyDescent="0.45">
      <c r="E86" s="28" t="s">
        <v>291</v>
      </c>
      <c r="F86" s="31"/>
      <c r="G86" s="31"/>
      <c r="H86" s="156" t="s">
        <v>332</v>
      </c>
      <c r="I86" s="156"/>
      <c r="J86" s="156"/>
      <c r="K86" s="156"/>
      <c r="L86" s="156"/>
      <c r="M86" s="156"/>
      <c r="N86" s="156"/>
      <c r="O86" s="156"/>
      <c r="P86" s="156"/>
      <c r="Q86" s="156"/>
    </row>
    <row r="87" spans="2:17" ht="28" customHeight="1" x14ac:dyDescent="0.45">
      <c r="E87" s="28" t="s">
        <v>316</v>
      </c>
      <c r="F87" s="168" t="s">
        <v>358</v>
      </c>
      <c r="G87" s="168"/>
      <c r="H87" s="168"/>
      <c r="I87" s="168"/>
      <c r="J87" s="168"/>
      <c r="K87" s="168"/>
      <c r="L87" s="168"/>
      <c r="M87" s="168"/>
      <c r="N87" s="168"/>
      <c r="O87" s="168"/>
      <c r="P87" s="168"/>
      <c r="Q87" s="168"/>
    </row>
    <row r="88" spans="2:17" x14ac:dyDescent="0.45">
      <c r="E88" s="33"/>
      <c r="F88" s="26"/>
      <c r="G88" s="26"/>
      <c r="H88" s="26"/>
      <c r="I88" s="26"/>
      <c r="J88" s="26"/>
      <c r="K88" s="26"/>
      <c r="L88" s="26"/>
      <c r="M88" s="26"/>
      <c r="N88" s="26"/>
      <c r="O88" s="26"/>
      <c r="P88" s="26"/>
      <c r="Q88" s="26"/>
    </row>
    <row r="89" spans="2:17" x14ac:dyDescent="0.45">
      <c r="B89" s="27" t="s">
        <v>295</v>
      </c>
      <c r="C89" s="27" t="s">
        <v>296</v>
      </c>
      <c r="E89" s="28"/>
      <c r="F89" s="28" t="s">
        <v>297</v>
      </c>
      <c r="G89" s="28" t="s">
        <v>298</v>
      </c>
      <c r="H89" s="28" t="s">
        <v>299</v>
      </c>
      <c r="I89" s="28" t="s">
        <v>300</v>
      </c>
      <c r="J89" s="28" t="s">
        <v>301</v>
      </c>
      <c r="K89" s="28" t="s">
        <v>302</v>
      </c>
      <c r="L89" s="28" t="s">
        <v>303</v>
      </c>
      <c r="M89" s="28" t="s">
        <v>304</v>
      </c>
      <c r="N89" s="28" t="s">
        <v>305</v>
      </c>
      <c r="O89" s="28" t="s">
        <v>306</v>
      </c>
      <c r="P89" s="28" t="s">
        <v>307</v>
      </c>
      <c r="Q89" s="28" t="s">
        <v>308</v>
      </c>
    </row>
    <row r="90" spans="2:17" x14ac:dyDescent="0.45">
      <c r="B90" s="29" t="s">
        <v>359</v>
      </c>
      <c r="C90" s="29" t="s">
        <v>360</v>
      </c>
      <c r="E90" s="28" t="s">
        <v>310</v>
      </c>
      <c r="F90" s="30" t="s">
        <v>311</v>
      </c>
      <c r="G90" s="30" t="s">
        <v>311</v>
      </c>
      <c r="H90" s="156" t="s">
        <v>167</v>
      </c>
      <c r="I90" s="156"/>
      <c r="J90" s="156"/>
      <c r="K90" s="156"/>
      <c r="L90" s="156"/>
      <c r="M90" s="156"/>
      <c r="N90" s="156"/>
      <c r="O90" s="156"/>
      <c r="P90" s="156"/>
      <c r="Q90" s="156"/>
    </row>
    <row r="91" spans="2:17" x14ac:dyDescent="0.45">
      <c r="E91" s="28" t="s">
        <v>312</v>
      </c>
      <c r="F91" s="31"/>
      <c r="G91" s="31"/>
      <c r="H91" s="156" t="s">
        <v>323</v>
      </c>
      <c r="I91" s="156"/>
      <c r="J91" s="156"/>
      <c r="K91" s="156"/>
      <c r="L91" s="156"/>
      <c r="M91" s="156"/>
      <c r="N91" s="156"/>
      <c r="O91" s="156"/>
      <c r="P91" s="156"/>
      <c r="Q91" s="156"/>
    </row>
    <row r="92" spans="2:17" x14ac:dyDescent="0.45">
      <c r="E92" s="28" t="s">
        <v>288</v>
      </c>
      <c r="F92" s="31"/>
      <c r="G92" s="31"/>
      <c r="H92" s="156" t="s">
        <v>314</v>
      </c>
      <c r="I92" s="156"/>
      <c r="J92" s="156"/>
      <c r="K92" s="156"/>
      <c r="L92" s="156"/>
      <c r="M92" s="156"/>
      <c r="N92" s="156"/>
      <c r="O92" s="156"/>
      <c r="P92" s="156"/>
      <c r="Q92" s="156"/>
    </row>
    <row r="93" spans="2:17" x14ac:dyDescent="0.45">
      <c r="E93" s="28" t="s">
        <v>291</v>
      </c>
      <c r="F93" s="31"/>
      <c r="G93" s="31"/>
      <c r="H93" s="156" t="s">
        <v>332</v>
      </c>
      <c r="I93" s="156"/>
      <c r="J93" s="156"/>
      <c r="K93" s="156"/>
      <c r="L93" s="156"/>
      <c r="M93" s="156"/>
      <c r="N93" s="156"/>
      <c r="O93" s="156"/>
      <c r="P93" s="156"/>
      <c r="Q93" s="156"/>
    </row>
    <row r="94" spans="2:17" ht="29.25" customHeight="1" x14ac:dyDescent="0.45">
      <c r="E94" s="28" t="s">
        <v>316</v>
      </c>
      <c r="F94" s="168" t="s">
        <v>361</v>
      </c>
      <c r="G94" s="168"/>
      <c r="H94" s="168"/>
      <c r="I94" s="168"/>
      <c r="J94" s="168"/>
      <c r="K94" s="168"/>
      <c r="L94" s="168"/>
      <c r="M94" s="168"/>
      <c r="N94" s="168"/>
      <c r="O94" s="168"/>
      <c r="P94" s="168"/>
      <c r="Q94" s="168"/>
    </row>
    <row r="95" spans="2:17" ht="16.5" customHeight="1" x14ac:dyDescent="0.45"/>
    <row r="96" spans="2:17" x14ac:dyDescent="0.45">
      <c r="B96" s="27" t="s">
        <v>295</v>
      </c>
      <c r="C96" s="27" t="s">
        <v>296</v>
      </c>
      <c r="E96" s="28"/>
      <c r="F96" s="28" t="s">
        <v>297</v>
      </c>
      <c r="G96" s="28" t="s">
        <v>298</v>
      </c>
      <c r="H96" s="28" t="s">
        <v>299</v>
      </c>
      <c r="I96" s="28" t="s">
        <v>300</v>
      </c>
      <c r="J96" s="28" t="s">
        <v>301</v>
      </c>
      <c r="K96" s="28" t="s">
        <v>302</v>
      </c>
      <c r="L96" s="28" t="s">
        <v>303</v>
      </c>
      <c r="M96" s="28" t="s">
        <v>304</v>
      </c>
      <c r="N96" s="28" t="s">
        <v>305</v>
      </c>
      <c r="O96" s="28" t="s">
        <v>306</v>
      </c>
      <c r="P96" s="28" t="s">
        <v>307</v>
      </c>
      <c r="Q96" s="28" t="s">
        <v>308</v>
      </c>
    </row>
    <row r="97" spans="2:17" x14ac:dyDescent="0.45">
      <c r="B97" s="29" t="s">
        <v>362</v>
      </c>
      <c r="C97" s="29" t="s">
        <v>168</v>
      </c>
      <c r="E97" s="28" t="s">
        <v>310</v>
      </c>
      <c r="F97" s="155" t="s">
        <v>171</v>
      </c>
      <c r="G97" s="169"/>
      <c r="H97" s="169"/>
      <c r="I97" s="169"/>
      <c r="J97" s="169"/>
      <c r="K97" s="169"/>
      <c r="L97" s="169"/>
      <c r="M97" s="169"/>
      <c r="N97" s="169"/>
      <c r="O97" s="169"/>
      <c r="P97" s="169"/>
      <c r="Q97" s="163"/>
    </row>
    <row r="98" spans="2:17" x14ac:dyDescent="0.45">
      <c r="E98" s="28" t="s">
        <v>312</v>
      </c>
      <c r="F98" s="155" t="s">
        <v>323</v>
      </c>
      <c r="G98" s="169"/>
      <c r="H98" s="169"/>
      <c r="I98" s="169"/>
      <c r="J98" s="169"/>
      <c r="K98" s="169"/>
      <c r="L98" s="169"/>
      <c r="M98" s="169"/>
      <c r="N98" s="169"/>
      <c r="O98" s="169"/>
      <c r="P98" s="169"/>
      <c r="Q98" s="163"/>
    </row>
    <row r="99" spans="2:17" x14ac:dyDescent="0.45">
      <c r="E99" s="28" t="s">
        <v>288</v>
      </c>
      <c r="F99" s="155" t="s">
        <v>314</v>
      </c>
      <c r="G99" s="169"/>
      <c r="H99" s="169"/>
      <c r="I99" s="169"/>
      <c r="J99" s="169"/>
      <c r="K99" s="169"/>
      <c r="L99" s="169"/>
      <c r="M99" s="169"/>
      <c r="N99" s="169"/>
      <c r="O99" s="169"/>
      <c r="P99" s="169"/>
      <c r="Q99" s="163"/>
    </row>
    <row r="100" spans="2:17" x14ac:dyDescent="0.45">
      <c r="E100" s="28" t="s">
        <v>291</v>
      </c>
      <c r="F100" s="155" t="s">
        <v>315</v>
      </c>
      <c r="G100" s="169"/>
      <c r="H100" s="169"/>
      <c r="I100" s="169"/>
      <c r="J100" s="169"/>
      <c r="K100" s="169"/>
      <c r="L100" s="169"/>
      <c r="M100" s="169"/>
      <c r="N100" s="169"/>
      <c r="O100" s="169"/>
      <c r="P100" s="169"/>
      <c r="Q100" s="163"/>
    </row>
    <row r="101" spans="2:17" x14ac:dyDescent="0.45">
      <c r="E101" s="28" t="s">
        <v>316</v>
      </c>
      <c r="F101" s="164" t="s">
        <v>363</v>
      </c>
      <c r="G101" s="170"/>
      <c r="H101" s="170"/>
      <c r="I101" s="170"/>
      <c r="J101" s="170"/>
      <c r="K101" s="170"/>
      <c r="L101" s="170"/>
      <c r="M101" s="170"/>
      <c r="N101" s="170"/>
      <c r="O101" s="170"/>
      <c r="P101" s="170"/>
      <c r="Q101" s="171"/>
    </row>
    <row r="103" spans="2:17" x14ac:dyDescent="0.45">
      <c r="B103" s="27" t="s">
        <v>295</v>
      </c>
      <c r="C103" s="27" t="s">
        <v>296</v>
      </c>
      <c r="E103" s="28"/>
      <c r="F103" s="28" t="s">
        <v>297</v>
      </c>
      <c r="G103" s="28" t="s">
        <v>298</v>
      </c>
      <c r="H103" s="28" t="s">
        <v>299</v>
      </c>
      <c r="I103" s="28" t="s">
        <v>300</v>
      </c>
      <c r="J103" s="28" t="s">
        <v>301</v>
      </c>
      <c r="K103" s="28" t="s">
        <v>302</v>
      </c>
      <c r="L103" s="28" t="s">
        <v>303</v>
      </c>
      <c r="M103" s="28" t="s">
        <v>304</v>
      </c>
      <c r="N103" s="28" t="s">
        <v>305</v>
      </c>
      <c r="O103" s="28" t="s">
        <v>306</v>
      </c>
      <c r="P103" s="28" t="s">
        <v>307</v>
      </c>
      <c r="Q103" s="28" t="s">
        <v>308</v>
      </c>
    </row>
    <row r="104" spans="2:17" x14ac:dyDescent="0.45">
      <c r="B104" s="29" t="s">
        <v>364</v>
      </c>
      <c r="C104" s="29" t="s">
        <v>172</v>
      </c>
      <c r="E104" s="28" t="s">
        <v>310</v>
      </c>
      <c r="F104" s="155" t="s">
        <v>175</v>
      </c>
      <c r="G104" s="169"/>
      <c r="H104" s="169"/>
      <c r="I104" s="169"/>
      <c r="J104" s="169"/>
      <c r="K104" s="169"/>
      <c r="L104" s="169"/>
      <c r="M104" s="169"/>
      <c r="N104" s="169"/>
      <c r="O104" s="169"/>
      <c r="P104" s="169"/>
      <c r="Q104" s="163"/>
    </row>
    <row r="105" spans="2:17" x14ac:dyDescent="0.45">
      <c r="E105" s="28" t="s">
        <v>312</v>
      </c>
      <c r="F105" s="155" t="s">
        <v>323</v>
      </c>
      <c r="G105" s="169"/>
      <c r="H105" s="169"/>
      <c r="I105" s="169"/>
      <c r="J105" s="169"/>
      <c r="K105" s="169"/>
      <c r="L105" s="169"/>
      <c r="M105" s="169"/>
      <c r="N105" s="169"/>
      <c r="O105" s="169"/>
      <c r="P105" s="169"/>
      <c r="Q105" s="163"/>
    </row>
    <row r="106" spans="2:17" x14ac:dyDescent="0.45">
      <c r="E106" s="28" t="s">
        <v>288</v>
      </c>
      <c r="F106" s="155" t="s">
        <v>314</v>
      </c>
      <c r="G106" s="169"/>
      <c r="H106" s="169"/>
      <c r="I106" s="169"/>
      <c r="J106" s="169"/>
      <c r="K106" s="169"/>
      <c r="L106" s="169"/>
      <c r="M106" s="169"/>
      <c r="N106" s="169"/>
      <c r="O106" s="169"/>
      <c r="P106" s="169"/>
      <c r="Q106" s="163"/>
    </row>
    <row r="107" spans="2:17" x14ac:dyDescent="0.45">
      <c r="E107" s="28" t="s">
        <v>291</v>
      </c>
      <c r="F107" s="155" t="s">
        <v>315</v>
      </c>
      <c r="G107" s="169"/>
      <c r="H107" s="169"/>
      <c r="I107" s="169"/>
      <c r="J107" s="169"/>
      <c r="K107" s="169"/>
      <c r="L107" s="169"/>
      <c r="M107" s="169"/>
      <c r="N107" s="169"/>
      <c r="O107" s="169"/>
      <c r="P107" s="169"/>
      <c r="Q107" s="163"/>
    </row>
    <row r="108" spans="2:17" x14ac:dyDescent="0.45">
      <c r="E108" s="28" t="s">
        <v>316</v>
      </c>
      <c r="F108" s="164" t="s">
        <v>365</v>
      </c>
      <c r="G108" s="170"/>
      <c r="H108" s="170"/>
      <c r="I108" s="170"/>
      <c r="J108" s="170"/>
      <c r="K108" s="170"/>
      <c r="L108" s="170"/>
      <c r="M108" s="170"/>
      <c r="N108" s="170"/>
      <c r="O108" s="170"/>
      <c r="P108" s="170"/>
      <c r="Q108" s="171"/>
    </row>
    <row r="110" spans="2:17" x14ac:dyDescent="0.45">
      <c r="B110" s="27" t="s">
        <v>295</v>
      </c>
      <c r="C110" s="27" t="s">
        <v>296</v>
      </c>
      <c r="E110" s="28"/>
      <c r="F110" s="28" t="s">
        <v>297</v>
      </c>
      <c r="G110" s="28" t="s">
        <v>298</v>
      </c>
      <c r="H110" s="28" t="s">
        <v>299</v>
      </c>
      <c r="I110" s="28" t="s">
        <v>300</v>
      </c>
      <c r="J110" s="28" t="s">
        <v>301</v>
      </c>
      <c r="K110" s="28" t="s">
        <v>302</v>
      </c>
      <c r="L110" s="28" t="s">
        <v>303</v>
      </c>
      <c r="M110" s="28" t="s">
        <v>304</v>
      </c>
      <c r="N110" s="28" t="s">
        <v>305</v>
      </c>
      <c r="O110" s="28" t="s">
        <v>306</v>
      </c>
      <c r="P110" s="28" t="s">
        <v>307</v>
      </c>
      <c r="Q110" s="28" t="s">
        <v>308</v>
      </c>
    </row>
    <row r="111" spans="2:17" x14ac:dyDescent="0.45">
      <c r="B111" s="29" t="s">
        <v>366</v>
      </c>
      <c r="C111" s="29" t="s">
        <v>176</v>
      </c>
      <c r="E111" s="28" t="s">
        <v>310</v>
      </c>
      <c r="F111" s="155" t="s">
        <v>179</v>
      </c>
      <c r="G111" s="169"/>
      <c r="H111" s="169"/>
      <c r="I111" s="169"/>
      <c r="J111" s="169"/>
      <c r="K111" s="169"/>
      <c r="L111" s="169"/>
      <c r="M111" s="169"/>
      <c r="N111" s="169"/>
      <c r="O111" s="169"/>
      <c r="P111" s="169"/>
      <c r="Q111" s="163"/>
    </row>
    <row r="112" spans="2:17" x14ac:dyDescent="0.45">
      <c r="E112" s="28" t="s">
        <v>312</v>
      </c>
      <c r="F112" s="155" t="s">
        <v>323</v>
      </c>
      <c r="G112" s="169"/>
      <c r="H112" s="169"/>
      <c r="I112" s="169"/>
      <c r="J112" s="169"/>
      <c r="K112" s="169"/>
      <c r="L112" s="169"/>
      <c r="M112" s="169"/>
      <c r="N112" s="169"/>
      <c r="O112" s="169"/>
      <c r="P112" s="169"/>
      <c r="Q112" s="163"/>
    </row>
    <row r="113" spans="2:17" x14ac:dyDescent="0.45">
      <c r="E113" s="28" t="s">
        <v>288</v>
      </c>
      <c r="F113" s="155" t="s">
        <v>314</v>
      </c>
      <c r="G113" s="169"/>
      <c r="H113" s="169"/>
      <c r="I113" s="169"/>
      <c r="J113" s="169"/>
      <c r="K113" s="169"/>
      <c r="L113" s="169"/>
      <c r="M113" s="169"/>
      <c r="N113" s="169"/>
      <c r="O113" s="169"/>
      <c r="P113" s="169"/>
      <c r="Q113" s="163"/>
    </row>
    <row r="114" spans="2:17" x14ac:dyDescent="0.45">
      <c r="E114" s="28" t="s">
        <v>291</v>
      </c>
      <c r="F114" s="155" t="s">
        <v>315</v>
      </c>
      <c r="G114" s="169"/>
      <c r="H114" s="169"/>
      <c r="I114" s="169"/>
      <c r="J114" s="169"/>
      <c r="K114" s="169"/>
      <c r="L114" s="169"/>
      <c r="M114" s="169"/>
      <c r="N114" s="169"/>
      <c r="O114" s="169"/>
      <c r="P114" s="169"/>
      <c r="Q114" s="163"/>
    </row>
    <row r="115" spans="2:17" x14ac:dyDescent="0.45">
      <c r="E115" s="28" t="s">
        <v>316</v>
      </c>
      <c r="F115" s="164" t="s">
        <v>367</v>
      </c>
      <c r="G115" s="170"/>
      <c r="H115" s="170"/>
      <c r="I115" s="170"/>
      <c r="J115" s="170"/>
      <c r="K115" s="170"/>
      <c r="L115" s="170"/>
      <c r="M115" s="170"/>
      <c r="N115" s="170"/>
      <c r="O115" s="170"/>
      <c r="P115" s="170"/>
      <c r="Q115" s="171"/>
    </row>
    <row r="117" spans="2:17" x14ac:dyDescent="0.45">
      <c r="B117" s="27" t="s">
        <v>295</v>
      </c>
      <c r="C117" s="27" t="s">
        <v>296</v>
      </c>
      <c r="E117" s="28"/>
      <c r="F117" s="28" t="s">
        <v>297</v>
      </c>
      <c r="G117" s="28" t="s">
        <v>298</v>
      </c>
      <c r="H117" s="28" t="s">
        <v>299</v>
      </c>
      <c r="I117" s="28" t="s">
        <v>300</v>
      </c>
      <c r="J117" s="28" t="s">
        <v>301</v>
      </c>
      <c r="K117" s="28" t="s">
        <v>302</v>
      </c>
      <c r="L117" s="28" t="s">
        <v>303</v>
      </c>
      <c r="M117" s="28" t="s">
        <v>304</v>
      </c>
      <c r="N117" s="28" t="s">
        <v>305</v>
      </c>
      <c r="O117" s="28" t="s">
        <v>306</v>
      </c>
      <c r="P117" s="28" t="s">
        <v>307</v>
      </c>
      <c r="Q117" s="28" t="s">
        <v>308</v>
      </c>
    </row>
    <row r="118" spans="2:17" x14ac:dyDescent="0.45">
      <c r="B118" s="29" t="s">
        <v>368</v>
      </c>
      <c r="C118" s="29" t="s">
        <v>369</v>
      </c>
      <c r="E118" s="28" t="s">
        <v>310</v>
      </c>
      <c r="F118" s="156" t="s">
        <v>184</v>
      </c>
      <c r="G118" s="156"/>
      <c r="H118" s="156"/>
      <c r="I118" s="156"/>
      <c r="J118" s="156" t="s">
        <v>185</v>
      </c>
      <c r="K118" s="156"/>
      <c r="L118" s="156"/>
      <c r="M118" s="156"/>
      <c r="N118" s="156" t="s">
        <v>186</v>
      </c>
      <c r="O118" s="156"/>
      <c r="P118" s="156"/>
      <c r="Q118" s="156"/>
    </row>
    <row r="119" spans="2:17" x14ac:dyDescent="0.45">
      <c r="E119" s="28" t="s">
        <v>312</v>
      </c>
      <c r="F119" s="155" t="s">
        <v>370</v>
      </c>
      <c r="G119" s="169"/>
      <c r="H119" s="169"/>
      <c r="I119" s="169"/>
      <c r="J119" s="155" t="s">
        <v>370</v>
      </c>
      <c r="K119" s="169"/>
      <c r="L119" s="169"/>
      <c r="M119" s="169"/>
      <c r="N119" s="155" t="s">
        <v>370</v>
      </c>
      <c r="O119" s="169"/>
      <c r="P119" s="169"/>
      <c r="Q119" s="169"/>
    </row>
    <row r="120" spans="2:17" x14ac:dyDescent="0.45">
      <c r="E120" s="28" t="s">
        <v>288</v>
      </c>
      <c r="F120" s="155" t="s">
        <v>314</v>
      </c>
      <c r="G120" s="169"/>
      <c r="H120" s="169"/>
      <c r="I120" s="169"/>
      <c r="J120" s="169"/>
      <c r="K120" s="169"/>
      <c r="L120" s="169"/>
      <c r="M120" s="169"/>
      <c r="N120" s="169"/>
      <c r="O120" s="169"/>
      <c r="P120" s="169"/>
      <c r="Q120" s="163"/>
    </row>
    <row r="121" spans="2:17" x14ac:dyDescent="0.45">
      <c r="E121" s="28" t="s">
        <v>291</v>
      </c>
      <c r="F121" s="155" t="s">
        <v>332</v>
      </c>
      <c r="G121" s="169"/>
      <c r="H121" s="169"/>
      <c r="I121" s="169"/>
      <c r="J121" s="169"/>
      <c r="K121" s="169"/>
      <c r="L121" s="169"/>
      <c r="M121" s="169"/>
      <c r="N121" s="169"/>
      <c r="O121" s="169"/>
      <c r="P121" s="169"/>
      <c r="Q121" s="163"/>
    </row>
    <row r="122" spans="2:17" ht="300.39999999999998" customHeight="1" x14ac:dyDescent="0.45">
      <c r="E122" s="28" t="s">
        <v>316</v>
      </c>
      <c r="F122" s="162" t="s">
        <v>371</v>
      </c>
      <c r="G122" s="172"/>
      <c r="H122" s="172"/>
      <c r="I122" s="172"/>
      <c r="J122" s="172"/>
      <c r="K122" s="172"/>
      <c r="L122" s="172"/>
      <c r="M122" s="172"/>
      <c r="N122" s="172"/>
      <c r="O122" s="172"/>
      <c r="P122" s="172"/>
      <c r="Q122" s="173"/>
    </row>
    <row r="124" spans="2:17" x14ac:dyDescent="0.45">
      <c r="B124" s="27" t="s">
        <v>295</v>
      </c>
      <c r="C124" s="27" t="s">
        <v>296</v>
      </c>
      <c r="E124" s="28"/>
      <c r="F124" s="28" t="s">
        <v>297</v>
      </c>
      <c r="G124" s="28" t="s">
        <v>298</v>
      </c>
      <c r="H124" s="28" t="s">
        <v>299</v>
      </c>
      <c r="I124" s="28" t="s">
        <v>300</v>
      </c>
      <c r="J124" s="28" t="s">
        <v>301</v>
      </c>
      <c r="K124" s="28" t="s">
        <v>302</v>
      </c>
      <c r="L124" s="28" t="s">
        <v>303</v>
      </c>
      <c r="M124" s="28" t="s">
        <v>304</v>
      </c>
      <c r="N124" s="28" t="s">
        <v>305</v>
      </c>
      <c r="O124" s="28" t="s">
        <v>306</v>
      </c>
      <c r="P124" s="28" t="s">
        <v>307</v>
      </c>
      <c r="Q124" s="28" t="s">
        <v>308</v>
      </c>
    </row>
    <row r="125" spans="2:17" ht="17.25" customHeight="1" x14ac:dyDescent="0.45">
      <c r="B125" s="29" t="s">
        <v>372</v>
      </c>
      <c r="C125" s="29" t="s">
        <v>373</v>
      </c>
      <c r="E125" s="28" t="s">
        <v>310</v>
      </c>
      <c r="F125" s="30" t="s">
        <v>311</v>
      </c>
      <c r="G125" s="30" t="s">
        <v>311</v>
      </c>
      <c r="H125" s="155" t="s">
        <v>374</v>
      </c>
      <c r="I125" s="169"/>
      <c r="J125" s="169"/>
      <c r="K125" s="169"/>
      <c r="L125" s="169"/>
      <c r="M125" s="169"/>
      <c r="N125" s="169"/>
      <c r="O125" s="169"/>
      <c r="P125" s="169"/>
      <c r="Q125" s="163"/>
    </row>
    <row r="126" spans="2:17" x14ac:dyDescent="0.45">
      <c r="E126" s="28" t="s">
        <v>312</v>
      </c>
      <c r="F126" s="155" t="s">
        <v>375</v>
      </c>
      <c r="G126" s="169"/>
      <c r="H126" s="169"/>
      <c r="I126" s="169"/>
      <c r="J126" s="169"/>
      <c r="K126" s="169"/>
      <c r="L126" s="169"/>
      <c r="M126" s="169"/>
      <c r="N126" s="169"/>
      <c r="O126" s="169"/>
      <c r="P126" s="169"/>
      <c r="Q126" s="163"/>
    </row>
    <row r="127" spans="2:17" x14ac:dyDescent="0.45">
      <c r="E127" s="28" t="s">
        <v>288</v>
      </c>
      <c r="F127" s="155" t="s">
        <v>314</v>
      </c>
      <c r="G127" s="169"/>
      <c r="H127" s="169"/>
      <c r="I127" s="169"/>
      <c r="J127" s="169"/>
      <c r="K127" s="169"/>
      <c r="L127" s="169"/>
      <c r="M127" s="169"/>
      <c r="N127" s="169"/>
      <c r="O127" s="169"/>
      <c r="P127" s="169"/>
      <c r="Q127" s="163"/>
    </row>
    <row r="128" spans="2:17" x14ac:dyDescent="0.45">
      <c r="E128" s="28" t="s">
        <v>291</v>
      </c>
      <c r="F128" s="155" t="s">
        <v>332</v>
      </c>
      <c r="G128" s="169"/>
      <c r="H128" s="169"/>
      <c r="I128" s="169"/>
      <c r="J128" s="169"/>
      <c r="K128" s="169"/>
      <c r="L128" s="169"/>
      <c r="M128" s="169"/>
      <c r="N128" s="169"/>
      <c r="O128" s="169"/>
      <c r="P128" s="169"/>
      <c r="Q128" s="163"/>
    </row>
    <row r="129" spans="2:17" x14ac:dyDescent="0.45">
      <c r="E129" s="28" t="s">
        <v>316</v>
      </c>
      <c r="F129" s="164" t="s">
        <v>376</v>
      </c>
      <c r="G129" s="170"/>
      <c r="H129" s="170"/>
      <c r="I129" s="170"/>
      <c r="J129" s="170"/>
      <c r="K129" s="170"/>
      <c r="L129" s="170"/>
      <c r="M129" s="170"/>
      <c r="N129" s="170"/>
      <c r="O129" s="170"/>
      <c r="P129" s="170"/>
      <c r="Q129" s="171"/>
    </row>
    <row r="131" spans="2:17" x14ac:dyDescent="0.45">
      <c r="B131" s="27" t="s">
        <v>295</v>
      </c>
      <c r="C131" s="27" t="s">
        <v>296</v>
      </c>
      <c r="E131" s="28"/>
      <c r="F131" s="28" t="s">
        <v>297</v>
      </c>
      <c r="G131" s="28" t="s">
        <v>298</v>
      </c>
      <c r="H131" s="28" t="s">
        <v>299</v>
      </c>
      <c r="I131" s="28" t="s">
        <v>300</v>
      </c>
      <c r="J131" s="28" t="s">
        <v>301</v>
      </c>
      <c r="K131" s="28" t="s">
        <v>302</v>
      </c>
      <c r="L131" s="28" t="s">
        <v>303</v>
      </c>
      <c r="M131" s="28" t="s">
        <v>304</v>
      </c>
      <c r="N131" s="28" t="s">
        <v>305</v>
      </c>
      <c r="O131" s="28" t="s">
        <v>306</v>
      </c>
      <c r="P131" s="28" t="s">
        <v>307</v>
      </c>
      <c r="Q131" s="28" t="s">
        <v>308</v>
      </c>
    </row>
    <row r="132" spans="2:17" ht="17.25" customHeight="1" x14ac:dyDescent="0.45">
      <c r="B132" s="29" t="s">
        <v>377</v>
      </c>
      <c r="C132" s="29" t="s">
        <v>378</v>
      </c>
      <c r="E132" s="28" t="s">
        <v>310</v>
      </c>
      <c r="F132" s="30" t="s">
        <v>311</v>
      </c>
      <c r="G132" s="30" t="s">
        <v>311</v>
      </c>
      <c r="H132" s="155" t="s">
        <v>379</v>
      </c>
      <c r="I132" s="169"/>
      <c r="J132" s="169"/>
      <c r="K132" s="169"/>
      <c r="L132" s="169"/>
      <c r="M132" s="169"/>
      <c r="N132" s="169"/>
      <c r="O132" s="169"/>
      <c r="P132" s="169"/>
      <c r="Q132" s="163"/>
    </row>
    <row r="133" spans="2:17" x14ac:dyDescent="0.45">
      <c r="E133" s="28" t="s">
        <v>312</v>
      </c>
      <c r="F133" s="155" t="s">
        <v>375</v>
      </c>
      <c r="G133" s="169"/>
      <c r="H133" s="169"/>
      <c r="I133" s="169"/>
      <c r="J133" s="169"/>
      <c r="K133" s="169"/>
      <c r="L133" s="169"/>
      <c r="M133" s="169"/>
      <c r="N133" s="169"/>
      <c r="O133" s="169"/>
      <c r="P133" s="169"/>
      <c r="Q133" s="163"/>
    </row>
    <row r="134" spans="2:17" x14ac:dyDescent="0.45">
      <c r="E134" s="28" t="s">
        <v>288</v>
      </c>
      <c r="F134" s="155" t="s">
        <v>314</v>
      </c>
      <c r="G134" s="169"/>
      <c r="H134" s="169"/>
      <c r="I134" s="169"/>
      <c r="J134" s="169"/>
      <c r="K134" s="169"/>
      <c r="L134" s="169"/>
      <c r="M134" s="169"/>
      <c r="N134" s="169"/>
      <c r="O134" s="169"/>
      <c r="P134" s="169"/>
      <c r="Q134" s="163"/>
    </row>
    <row r="135" spans="2:17" x14ac:dyDescent="0.45">
      <c r="E135" s="28" t="s">
        <v>291</v>
      </c>
      <c r="F135" s="155" t="s">
        <v>332</v>
      </c>
      <c r="G135" s="169"/>
      <c r="H135" s="169"/>
      <c r="I135" s="169"/>
      <c r="J135" s="169"/>
      <c r="K135" s="169"/>
      <c r="L135" s="169"/>
      <c r="M135" s="169"/>
      <c r="N135" s="169"/>
      <c r="O135" s="169"/>
      <c r="P135" s="169"/>
      <c r="Q135" s="163"/>
    </row>
    <row r="136" spans="2:17" ht="17.25" customHeight="1" x14ac:dyDescent="0.45">
      <c r="E136" s="28" t="s">
        <v>316</v>
      </c>
      <c r="F136" s="164" t="s">
        <v>380</v>
      </c>
      <c r="G136" s="170"/>
      <c r="H136" s="170"/>
      <c r="I136" s="170"/>
      <c r="J136" s="170"/>
      <c r="K136" s="170"/>
      <c r="L136" s="170"/>
      <c r="M136" s="170"/>
      <c r="N136" s="170"/>
      <c r="O136" s="170"/>
      <c r="P136" s="170"/>
      <c r="Q136" s="171"/>
    </row>
    <row r="138" spans="2:17" x14ac:dyDescent="0.45">
      <c r="B138" s="27" t="s">
        <v>295</v>
      </c>
      <c r="C138" s="27" t="s">
        <v>296</v>
      </c>
      <c r="E138" s="28"/>
      <c r="F138" s="28" t="s">
        <v>297</v>
      </c>
      <c r="G138" s="28" t="s">
        <v>298</v>
      </c>
      <c r="H138" s="28" t="s">
        <v>299</v>
      </c>
      <c r="I138" s="28" t="s">
        <v>300</v>
      </c>
      <c r="J138" s="28" t="s">
        <v>301</v>
      </c>
      <c r="K138" s="28" t="s">
        <v>302</v>
      </c>
      <c r="L138" s="28" t="s">
        <v>303</v>
      </c>
      <c r="M138" s="28" t="s">
        <v>304</v>
      </c>
      <c r="N138" s="28" t="s">
        <v>305</v>
      </c>
      <c r="O138" s="28" t="s">
        <v>306</v>
      </c>
      <c r="P138" s="28" t="s">
        <v>307</v>
      </c>
      <c r="Q138" s="28" t="s">
        <v>308</v>
      </c>
    </row>
    <row r="139" spans="2:17" ht="17.25" customHeight="1" x14ac:dyDescent="0.45">
      <c r="B139" s="29" t="s">
        <v>381</v>
      </c>
      <c r="C139" s="29" t="s">
        <v>382</v>
      </c>
      <c r="E139" s="28" t="s">
        <v>310</v>
      </c>
      <c r="F139" s="30" t="s">
        <v>311</v>
      </c>
      <c r="G139" s="30" t="s">
        <v>311</v>
      </c>
      <c r="H139" s="155" t="s">
        <v>383</v>
      </c>
      <c r="I139" s="169"/>
      <c r="J139" s="169"/>
      <c r="K139" s="169"/>
      <c r="L139" s="169"/>
      <c r="M139" s="169"/>
      <c r="N139" s="169"/>
      <c r="O139" s="169"/>
      <c r="P139" s="169"/>
      <c r="Q139" s="163"/>
    </row>
    <row r="140" spans="2:17" x14ac:dyDescent="0.45">
      <c r="E140" s="28" t="s">
        <v>312</v>
      </c>
      <c r="F140" s="155" t="s">
        <v>384</v>
      </c>
      <c r="G140" s="169"/>
      <c r="H140" s="169"/>
      <c r="I140" s="169"/>
      <c r="J140" s="169"/>
      <c r="K140" s="169"/>
      <c r="L140" s="169"/>
      <c r="M140" s="169"/>
      <c r="N140" s="169"/>
      <c r="O140" s="169"/>
      <c r="P140" s="169"/>
      <c r="Q140" s="163"/>
    </row>
    <row r="141" spans="2:17" x14ac:dyDescent="0.45">
      <c r="E141" s="28" t="s">
        <v>288</v>
      </c>
      <c r="F141" s="155" t="s">
        <v>314</v>
      </c>
      <c r="G141" s="169"/>
      <c r="H141" s="169"/>
      <c r="I141" s="169"/>
      <c r="J141" s="169"/>
      <c r="K141" s="169"/>
      <c r="L141" s="169"/>
      <c r="M141" s="169"/>
      <c r="N141" s="169"/>
      <c r="O141" s="169"/>
      <c r="P141" s="169"/>
      <c r="Q141" s="163"/>
    </row>
    <row r="142" spans="2:17" x14ac:dyDescent="0.45">
      <c r="E142" s="28" t="s">
        <v>291</v>
      </c>
      <c r="F142" s="155" t="s">
        <v>332</v>
      </c>
      <c r="G142" s="169"/>
      <c r="H142" s="169"/>
      <c r="I142" s="169"/>
      <c r="J142" s="169"/>
      <c r="K142" s="169"/>
      <c r="L142" s="169"/>
      <c r="M142" s="169"/>
      <c r="N142" s="169"/>
      <c r="O142" s="169"/>
      <c r="P142" s="169"/>
      <c r="Q142" s="163"/>
    </row>
    <row r="143" spans="2:17" ht="16.5" customHeight="1" x14ac:dyDescent="0.45">
      <c r="E143" s="28" t="s">
        <v>316</v>
      </c>
      <c r="F143" s="164" t="s">
        <v>385</v>
      </c>
      <c r="G143" s="170"/>
      <c r="H143" s="170"/>
      <c r="I143" s="170"/>
      <c r="J143" s="170"/>
      <c r="K143" s="170"/>
      <c r="L143" s="170"/>
      <c r="M143" s="170"/>
      <c r="N143" s="170"/>
      <c r="O143" s="170"/>
      <c r="P143" s="170"/>
      <c r="Q143" s="171"/>
    </row>
    <row r="145" spans="2:17" x14ac:dyDescent="0.45">
      <c r="B145" s="27" t="s">
        <v>295</v>
      </c>
      <c r="C145" s="27" t="s">
        <v>296</v>
      </c>
      <c r="E145" s="28"/>
      <c r="F145" s="28" t="s">
        <v>297</v>
      </c>
      <c r="G145" s="28" t="s">
        <v>298</v>
      </c>
      <c r="H145" s="28" t="s">
        <v>299</v>
      </c>
      <c r="I145" s="28" t="s">
        <v>300</v>
      </c>
      <c r="J145" s="28" t="s">
        <v>301</v>
      </c>
      <c r="K145" s="28" t="s">
        <v>302</v>
      </c>
      <c r="L145" s="28" t="s">
        <v>303</v>
      </c>
      <c r="M145" s="28" t="s">
        <v>304</v>
      </c>
      <c r="N145" s="28" t="s">
        <v>305</v>
      </c>
      <c r="O145" s="28" t="s">
        <v>306</v>
      </c>
      <c r="P145" s="28" t="s">
        <v>307</v>
      </c>
      <c r="Q145" s="28" t="s">
        <v>308</v>
      </c>
    </row>
    <row r="146" spans="2:17" ht="17.25" customHeight="1" x14ac:dyDescent="0.45">
      <c r="B146" s="29" t="s">
        <v>386</v>
      </c>
      <c r="C146" s="29" t="s">
        <v>387</v>
      </c>
      <c r="E146" s="28" t="s">
        <v>310</v>
      </c>
      <c r="F146" s="30" t="s">
        <v>311</v>
      </c>
      <c r="G146" s="30" t="s">
        <v>311</v>
      </c>
      <c r="H146" s="155" t="s">
        <v>388</v>
      </c>
      <c r="I146" s="169"/>
      <c r="J146" s="169"/>
      <c r="K146" s="169"/>
      <c r="L146" s="169"/>
      <c r="M146" s="169"/>
      <c r="N146" s="169"/>
      <c r="O146" s="169"/>
      <c r="P146" s="169"/>
      <c r="Q146" s="163"/>
    </row>
    <row r="147" spans="2:17" x14ac:dyDescent="0.45">
      <c r="E147" s="28" t="s">
        <v>312</v>
      </c>
      <c r="F147" s="155" t="s">
        <v>389</v>
      </c>
      <c r="G147" s="169"/>
      <c r="H147" s="169"/>
      <c r="I147" s="169"/>
      <c r="J147" s="169"/>
      <c r="K147" s="169"/>
      <c r="L147" s="169"/>
      <c r="M147" s="169"/>
      <c r="N147" s="169"/>
      <c r="O147" s="169"/>
      <c r="P147" s="169"/>
      <c r="Q147" s="163"/>
    </row>
    <row r="148" spans="2:17" x14ac:dyDescent="0.45">
      <c r="E148" s="28" t="s">
        <v>288</v>
      </c>
      <c r="F148" s="155" t="s">
        <v>314</v>
      </c>
      <c r="G148" s="169"/>
      <c r="H148" s="169"/>
      <c r="I148" s="169"/>
      <c r="J148" s="169"/>
      <c r="K148" s="169"/>
      <c r="L148" s="169"/>
      <c r="M148" s="169"/>
      <c r="N148" s="169"/>
      <c r="O148" s="169"/>
      <c r="P148" s="169"/>
      <c r="Q148" s="163"/>
    </row>
    <row r="149" spans="2:17" x14ac:dyDescent="0.45">
      <c r="E149" s="28" t="s">
        <v>291</v>
      </c>
      <c r="F149" s="155" t="s">
        <v>332</v>
      </c>
      <c r="G149" s="169"/>
      <c r="H149" s="169"/>
      <c r="I149" s="169"/>
      <c r="J149" s="169"/>
      <c r="K149" s="169"/>
      <c r="L149" s="169"/>
      <c r="M149" s="169"/>
      <c r="N149" s="169"/>
      <c r="O149" s="169"/>
      <c r="P149" s="169"/>
      <c r="Q149" s="163"/>
    </row>
    <row r="150" spans="2:17" ht="16.5" customHeight="1" x14ac:dyDescent="0.45">
      <c r="E150" s="28" t="s">
        <v>316</v>
      </c>
      <c r="F150" s="164" t="s">
        <v>390</v>
      </c>
      <c r="G150" s="170"/>
      <c r="H150" s="170"/>
      <c r="I150" s="170"/>
      <c r="J150" s="170"/>
      <c r="K150" s="170"/>
      <c r="L150" s="170"/>
      <c r="M150" s="170"/>
      <c r="N150" s="170"/>
      <c r="O150" s="170"/>
      <c r="P150" s="170"/>
      <c r="Q150" s="171"/>
    </row>
    <row r="152" spans="2:17" x14ac:dyDescent="0.45">
      <c r="B152" s="27" t="s">
        <v>295</v>
      </c>
      <c r="C152" s="27" t="s">
        <v>296</v>
      </c>
      <c r="E152" s="28"/>
      <c r="F152" s="28" t="s">
        <v>297</v>
      </c>
      <c r="G152" s="28" t="s">
        <v>298</v>
      </c>
      <c r="H152" s="28" t="s">
        <v>299</v>
      </c>
      <c r="I152" s="28" t="s">
        <v>300</v>
      </c>
      <c r="J152" s="28" t="s">
        <v>301</v>
      </c>
      <c r="K152" s="28" t="s">
        <v>302</v>
      </c>
      <c r="L152" s="28" t="s">
        <v>303</v>
      </c>
      <c r="M152" s="28" t="s">
        <v>304</v>
      </c>
      <c r="N152" s="28" t="s">
        <v>305</v>
      </c>
      <c r="O152" s="28" t="s">
        <v>306</v>
      </c>
      <c r="P152" s="28" t="s">
        <v>307</v>
      </c>
      <c r="Q152" s="28" t="s">
        <v>308</v>
      </c>
    </row>
    <row r="153" spans="2:17" ht="17.25" customHeight="1" x14ac:dyDescent="0.45">
      <c r="B153" s="29" t="s">
        <v>391</v>
      </c>
      <c r="C153" s="29" t="s">
        <v>392</v>
      </c>
      <c r="E153" s="28" t="s">
        <v>310</v>
      </c>
      <c r="F153" s="30" t="s">
        <v>311</v>
      </c>
      <c r="G153" s="30" t="s">
        <v>311</v>
      </c>
      <c r="H153" s="155" t="s">
        <v>393</v>
      </c>
      <c r="I153" s="169"/>
      <c r="J153" s="169"/>
      <c r="K153" s="169"/>
      <c r="L153" s="169"/>
      <c r="M153" s="169"/>
      <c r="N153" s="169"/>
      <c r="O153" s="169"/>
      <c r="P153" s="169"/>
      <c r="Q153" s="163"/>
    </row>
    <row r="154" spans="2:17" x14ac:dyDescent="0.45">
      <c r="E154" s="28" t="s">
        <v>312</v>
      </c>
      <c r="F154" s="155" t="s">
        <v>394</v>
      </c>
      <c r="G154" s="169"/>
      <c r="H154" s="169"/>
      <c r="I154" s="169"/>
      <c r="J154" s="169"/>
      <c r="K154" s="169"/>
      <c r="L154" s="169"/>
      <c r="M154" s="169"/>
      <c r="N154" s="169"/>
      <c r="O154" s="169"/>
      <c r="P154" s="169"/>
      <c r="Q154" s="163"/>
    </row>
    <row r="155" spans="2:17" x14ac:dyDescent="0.45">
      <c r="E155" s="28" t="s">
        <v>288</v>
      </c>
      <c r="F155" s="155" t="s">
        <v>314</v>
      </c>
      <c r="G155" s="169"/>
      <c r="H155" s="169"/>
      <c r="I155" s="169"/>
      <c r="J155" s="169"/>
      <c r="K155" s="169"/>
      <c r="L155" s="169"/>
      <c r="M155" s="169"/>
      <c r="N155" s="169"/>
      <c r="O155" s="169"/>
      <c r="P155" s="169"/>
      <c r="Q155" s="163"/>
    </row>
    <row r="156" spans="2:17" x14ac:dyDescent="0.45">
      <c r="E156" s="28" t="s">
        <v>291</v>
      </c>
      <c r="F156" s="155" t="s">
        <v>332</v>
      </c>
      <c r="G156" s="169"/>
      <c r="H156" s="169"/>
      <c r="I156" s="169"/>
      <c r="J156" s="169"/>
      <c r="K156" s="169"/>
      <c r="L156" s="169"/>
      <c r="M156" s="169"/>
      <c r="N156" s="169"/>
      <c r="O156" s="169"/>
      <c r="P156" s="169"/>
      <c r="Q156" s="163"/>
    </row>
    <row r="157" spans="2:17" ht="16.5" customHeight="1" x14ac:dyDescent="0.45">
      <c r="E157" s="28" t="s">
        <v>316</v>
      </c>
      <c r="F157" s="164" t="s">
        <v>395</v>
      </c>
      <c r="G157" s="170"/>
      <c r="H157" s="170"/>
      <c r="I157" s="170"/>
      <c r="J157" s="170"/>
      <c r="K157" s="170"/>
      <c r="L157" s="170"/>
      <c r="M157" s="170"/>
      <c r="N157" s="170"/>
      <c r="O157" s="170"/>
      <c r="P157" s="170"/>
      <c r="Q157" s="171"/>
    </row>
    <row r="159" spans="2:17" x14ac:dyDescent="0.45">
      <c r="B159" s="27" t="s">
        <v>295</v>
      </c>
      <c r="C159" s="27" t="s">
        <v>296</v>
      </c>
      <c r="E159" s="28"/>
      <c r="F159" s="28" t="s">
        <v>297</v>
      </c>
      <c r="G159" s="28" t="s">
        <v>298</v>
      </c>
      <c r="H159" s="28" t="s">
        <v>299</v>
      </c>
      <c r="I159" s="28" t="s">
        <v>300</v>
      </c>
      <c r="J159" s="28" t="s">
        <v>301</v>
      </c>
      <c r="K159" s="28" t="s">
        <v>302</v>
      </c>
      <c r="L159" s="28" t="s">
        <v>303</v>
      </c>
      <c r="M159" s="28" t="s">
        <v>304</v>
      </c>
      <c r="N159" s="28" t="s">
        <v>305</v>
      </c>
      <c r="O159" s="28" t="s">
        <v>306</v>
      </c>
      <c r="P159" s="28" t="s">
        <v>307</v>
      </c>
      <c r="Q159" s="28" t="s">
        <v>308</v>
      </c>
    </row>
    <row r="160" spans="2:17" ht="17.25" customHeight="1" x14ac:dyDescent="0.45">
      <c r="B160" s="29" t="s">
        <v>396</v>
      </c>
      <c r="C160" s="29" t="s">
        <v>397</v>
      </c>
      <c r="E160" s="28" t="s">
        <v>310</v>
      </c>
      <c r="F160" s="30" t="s">
        <v>311</v>
      </c>
      <c r="G160" s="30" t="s">
        <v>311</v>
      </c>
      <c r="H160" s="155" t="s">
        <v>398</v>
      </c>
      <c r="I160" s="169"/>
      <c r="J160" s="169"/>
      <c r="K160" s="169"/>
      <c r="L160" s="169"/>
      <c r="M160" s="169"/>
      <c r="N160" s="169"/>
      <c r="O160" s="169"/>
      <c r="P160" s="169"/>
      <c r="Q160" s="163"/>
    </row>
    <row r="161" spans="2:17" x14ac:dyDescent="0.45">
      <c r="E161" s="28" t="s">
        <v>312</v>
      </c>
      <c r="F161" s="155" t="s">
        <v>399</v>
      </c>
      <c r="G161" s="169"/>
      <c r="H161" s="169"/>
      <c r="I161" s="169"/>
      <c r="J161" s="169"/>
      <c r="K161" s="169"/>
      <c r="L161" s="169"/>
      <c r="M161" s="169"/>
      <c r="N161" s="169"/>
      <c r="O161" s="169"/>
      <c r="P161" s="169"/>
      <c r="Q161" s="163"/>
    </row>
    <row r="162" spans="2:17" x14ac:dyDescent="0.45">
      <c r="E162" s="28" t="s">
        <v>288</v>
      </c>
      <c r="F162" s="155" t="s">
        <v>314</v>
      </c>
      <c r="G162" s="169"/>
      <c r="H162" s="169"/>
      <c r="I162" s="169"/>
      <c r="J162" s="169"/>
      <c r="K162" s="169"/>
      <c r="L162" s="169"/>
      <c r="M162" s="169"/>
      <c r="N162" s="169"/>
      <c r="O162" s="169"/>
      <c r="P162" s="169"/>
      <c r="Q162" s="163"/>
    </row>
    <row r="163" spans="2:17" x14ac:dyDescent="0.45">
      <c r="E163" s="28" t="s">
        <v>291</v>
      </c>
      <c r="F163" s="155" t="s">
        <v>332</v>
      </c>
      <c r="G163" s="169"/>
      <c r="H163" s="169"/>
      <c r="I163" s="169"/>
      <c r="J163" s="169"/>
      <c r="K163" s="169"/>
      <c r="L163" s="169"/>
      <c r="M163" s="169"/>
      <c r="N163" s="169"/>
      <c r="O163" s="169"/>
      <c r="P163" s="169"/>
      <c r="Q163" s="163"/>
    </row>
    <row r="164" spans="2:17" ht="16.5" customHeight="1" x14ac:dyDescent="0.45">
      <c r="E164" s="28" t="s">
        <v>316</v>
      </c>
      <c r="F164" s="164" t="s">
        <v>400</v>
      </c>
      <c r="G164" s="170"/>
      <c r="H164" s="170"/>
      <c r="I164" s="170"/>
      <c r="J164" s="170"/>
      <c r="K164" s="170"/>
      <c r="L164" s="170"/>
      <c r="M164" s="170"/>
      <c r="N164" s="170"/>
      <c r="O164" s="170"/>
      <c r="P164" s="170"/>
      <c r="Q164" s="171"/>
    </row>
    <row r="166" spans="2:17" x14ac:dyDescent="0.45">
      <c r="B166" s="27" t="s">
        <v>295</v>
      </c>
      <c r="C166" s="27" t="s">
        <v>296</v>
      </c>
      <c r="E166" s="28"/>
      <c r="F166" s="28" t="s">
        <v>297</v>
      </c>
      <c r="G166" s="28" t="s">
        <v>298</v>
      </c>
      <c r="H166" s="28" t="s">
        <v>299</v>
      </c>
      <c r="I166" s="28" t="s">
        <v>300</v>
      </c>
      <c r="J166" s="28" t="s">
        <v>301</v>
      </c>
      <c r="K166" s="28" t="s">
        <v>302</v>
      </c>
      <c r="L166" s="28" t="s">
        <v>303</v>
      </c>
      <c r="M166" s="28" t="s">
        <v>304</v>
      </c>
      <c r="N166" s="28" t="s">
        <v>305</v>
      </c>
      <c r="O166" s="28" t="s">
        <v>306</v>
      </c>
      <c r="P166" s="28" t="s">
        <v>307</v>
      </c>
      <c r="Q166" s="28" t="s">
        <v>308</v>
      </c>
    </row>
    <row r="167" spans="2:17" ht="17.25" customHeight="1" x14ac:dyDescent="0.45">
      <c r="B167" s="29" t="s">
        <v>401</v>
      </c>
      <c r="C167" s="29" t="s">
        <v>402</v>
      </c>
      <c r="E167" s="28" t="s">
        <v>310</v>
      </c>
      <c r="F167" s="30" t="s">
        <v>311</v>
      </c>
      <c r="G167" s="30" t="s">
        <v>311</v>
      </c>
      <c r="H167" s="155" t="s">
        <v>403</v>
      </c>
      <c r="I167" s="169"/>
      <c r="J167" s="169"/>
      <c r="K167" s="169"/>
      <c r="L167" s="169"/>
      <c r="M167" s="169"/>
      <c r="N167" s="169"/>
      <c r="O167" s="169"/>
      <c r="P167" s="169"/>
      <c r="Q167" s="163"/>
    </row>
    <row r="168" spans="2:17" x14ac:dyDescent="0.45">
      <c r="E168" s="28" t="s">
        <v>312</v>
      </c>
      <c r="F168" s="155" t="s">
        <v>404</v>
      </c>
      <c r="G168" s="169"/>
      <c r="H168" s="169"/>
      <c r="I168" s="169"/>
      <c r="J168" s="169"/>
      <c r="K168" s="169"/>
      <c r="L168" s="169"/>
      <c r="M168" s="169"/>
      <c r="N168" s="169"/>
      <c r="O168" s="169"/>
      <c r="P168" s="169"/>
      <c r="Q168" s="163"/>
    </row>
    <row r="169" spans="2:17" x14ac:dyDescent="0.45">
      <c r="E169" s="28" t="s">
        <v>288</v>
      </c>
      <c r="F169" s="155" t="s">
        <v>314</v>
      </c>
      <c r="G169" s="169"/>
      <c r="H169" s="169"/>
      <c r="I169" s="169"/>
      <c r="J169" s="169"/>
      <c r="K169" s="169"/>
      <c r="L169" s="169"/>
      <c r="M169" s="169"/>
      <c r="N169" s="169"/>
      <c r="O169" s="169"/>
      <c r="P169" s="169"/>
      <c r="Q169" s="163"/>
    </row>
    <row r="170" spans="2:17" x14ac:dyDescent="0.45">
      <c r="E170" s="28" t="s">
        <v>291</v>
      </c>
      <c r="F170" s="155" t="s">
        <v>332</v>
      </c>
      <c r="G170" s="169"/>
      <c r="H170" s="169"/>
      <c r="I170" s="169"/>
      <c r="J170" s="169"/>
      <c r="K170" s="169"/>
      <c r="L170" s="169"/>
      <c r="M170" s="169"/>
      <c r="N170" s="169"/>
      <c r="O170" s="169"/>
      <c r="P170" s="169"/>
      <c r="Q170" s="163"/>
    </row>
    <row r="171" spans="2:17" ht="16.5" customHeight="1" x14ac:dyDescent="0.45">
      <c r="E171" s="28" t="s">
        <v>316</v>
      </c>
      <c r="F171" s="164" t="s">
        <v>405</v>
      </c>
      <c r="G171" s="170"/>
      <c r="H171" s="170"/>
      <c r="I171" s="170"/>
      <c r="J171" s="170"/>
      <c r="K171" s="170"/>
      <c r="L171" s="170"/>
      <c r="M171" s="170"/>
      <c r="N171" s="170"/>
      <c r="O171" s="170"/>
      <c r="P171" s="170"/>
      <c r="Q171" s="171"/>
    </row>
    <row r="173" spans="2:17" x14ac:dyDescent="0.45">
      <c r="B173" s="27" t="s">
        <v>295</v>
      </c>
      <c r="C173" s="27" t="s">
        <v>296</v>
      </c>
      <c r="E173" s="28"/>
      <c r="F173" s="28" t="s">
        <v>297</v>
      </c>
      <c r="G173" s="28" t="s">
        <v>298</v>
      </c>
      <c r="H173" s="28" t="s">
        <v>299</v>
      </c>
      <c r="I173" s="28" t="s">
        <v>300</v>
      </c>
      <c r="J173" s="28" t="s">
        <v>301</v>
      </c>
      <c r="K173" s="28" t="s">
        <v>302</v>
      </c>
      <c r="L173" s="28" t="s">
        <v>303</v>
      </c>
      <c r="M173" s="28" t="s">
        <v>304</v>
      </c>
      <c r="N173" s="28" t="s">
        <v>305</v>
      </c>
      <c r="O173" s="28" t="s">
        <v>306</v>
      </c>
      <c r="P173" s="28" t="s">
        <v>307</v>
      </c>
      <c r="Q173" s="28" t="s">
        <v>308</v>
      </c>
    </row>
    <row r="174" spans="2:17" ht="17.25" customHeight="1" x14ac:dyDescent="0.45">
      <c r="B174" s="29" t="s">
        <v>406</v>
      </c>
      <c r="C174" s="29" t="s">
        <v>407</v>
      </c>
      <c r="E174" s="28" t="s">
        <v>310</v>
      </c>
      <c r="F174" s="30" t="s">
        <v>311</v>
      </c>
      <c r="G174" s="30" t="s">
        <v>311</v>
      </c>
      <c r="H174" s="155" t="s">
        <v>408</v>
      </c>
      <c r="I174" s="169"/>
      <c r="J174" s="169"/>
      <c r="K174" s="169"/>
      <c r="L174" s="169"/>
      <c r="M174" s="169"/>
      <c r="N174" s="169"/>
      <c r="O174" s="169"/>
      <c r="P174" s="169"/>
      <c r="Q174" s="163"/>
    </row>
    <row r="175" spans="2:17" x14ac:dyDescent="0.45">
      <c r="E175" s="28" t="s">
        <v>312</v>
      </c>
      <c r="F175" s="155" t="s">
        <v>409</v>
      </c>
      <c r="G175" s="169"/>
      <c r="H175" s="169"/>
      <c r="I175" s="169"/>
      <c r="J175" s="169"/>
      <c r="K175" s="169"/>
      <c r="L175" s="169"/>
      <c r="M175" s="169"/>
      <c r="N175" s="169"/>
      <c r="O175" s="169"/>
      <c r="P175" s="169"/>
      <c r="Q175" s="163"/>
    </row>
    <row r="176" spans="2:17" x14ac:dyDescent="0.45">
      <c r="E176" s="28" t="s">
        <v>288</v>
      </c>
      <c r="F176" s="155" t="s">
        <v>314</v>
      </c>
      <c r="G176" s="169"/>
      <c r="H176" s="169"/>
      <c r="I176" s="169"/>
      <c r="J176" s="169"/>
      <c r="K176" s="169"/>
      <c r="L176" s="169"/>
      <c r="M176" s="169"/>
      <c r="N176" s="169"/>
      <c r="O176" s="169"/>
      <c r="P176" s="169"/>
      <c r="Q176" s="163"/>
    </row>
    <row r="177" spans="2:17" x14ac:dyDescent="0.45">
      <c r="E177" s="28" t="s">
        <v>291</v>
      </c>
      <c r="F177" s="155" t="s">
        <v>332</v>
      </c>
      <c r="G177" s="169"/>
      <c r="H177" s="169"/>
      <c r="I177" s="169"/>
      <c r="J177" s="169"/>
      <c r="K177" s="169"/>
      <c r="L177" s="169"/>
      <c r="M177" s="169"/>
      <c r="N177" s="169"/>
      <c r="O177" s="169"/>
      <c r="P177" s="169"/>
      <c r="Q177" s="163"/>
    </row>
    <row r="178" spans="2:17" ht="16.5" customHeight="1" x14ac:dyDescent="0.45">
      <c r="E178" s="28" t="s">
        <v>316</v>
      </c>
      <c r="F178" s="164" t="s">
        <v>410</v>
      </c>
      <c r="G178" s="170"/>
      <c r="H178" s="170"/>
      <c r="I178" s="170"/>
      <c r="J178" s="170"/>
      <c r="K178" s="170"/>
      <c r="L178" s="170"/>
      <c r="M178" s="170"/>
      <c r="N178" s="170"/>
      <c r="O178" s="170"/>
      <c r="P178" s="170"/>
      <c r="Q178" s="171"/>
    </row>
    <row r="180" spans="2:17" x14ac:dyDescent="0.45">
      <c r="B180" s="27" t="s">
        <v>295</v>
      </c>
      <c r="C180" s="27" t="s">
        <v>296</v>
      </c>
      <c r="E180" s="28"/>
      <c r="F180" s="28" t="s">
        <v>297</v>
      </c>
      <c r="G180" s="28" t="s">
        <v>298</v>
      </c>
      <c r="H180" s="28" t="s">
        <v>299</v>
      </c>
      <c r="I180" s="28" t="s">
        <v>300</v>
      </c>
      <c r="J180" s="28" t="s">
        <v>301</v>
      </c>
      <c r="K180" s="28" t="s">
        <v>302</v>
      </c>
      <c r="L180" s="28" t="s">
        <v>303</v>
      </c>
      <c r="M180" s="28" t="s">
        <v>304</v>
      </c>
      <c r="N180" s="28" t="s">
        <v>305</v>
      </c>
      <c r="O180" s="28" t="s">
        <v>306</v>
      </c>
      <c r="P180" s="28" t="s">
        <v>307</v>
      </c>
      <c r="Q180" s="28" t="s">
        <v>308</v>
      </c>
    </row>
    <row r="181" spans="2:17" ht="17.25" customHeight="1" x14ac:dyDescent="0.45">
      <c r="B181" s="29" t="s">
        <v>411</v>
      </c>
      <c r="C181" s="29" t="s">
        <v>412</v>
      </c>
      <c r="E181" s="28" t="s">
        <v>310</v>
      </c>
      <c r="F181" s="30" t="s">
        <v>311</v>
      </c>
      <c r="G181" s="30" t="s">
        <v>311</v>
      </c>
      <c r="H181" s="155" t="s">
        <v>413</v>
      </c>
      <c r="I181" s="169"/>
      <c r="J181" s="169"/>
      <c r="K181" s="169"/>
      <c r="L181" s="169"/>
      <c r="M181" s="169"/>
      <c r="N181" s="169"/>
      <c r="O181" s="169"/>
      <c r="P181" s="169"/>
      <c r="Q181" s="163"/>
    </row>
    <row r="182" spans="2:17" x14ac:dyDescent="0.45">
      <c r="E182" s="28" t="s">
        <v>312</v>
      </c>
      <c r="F182" s="155" t="s">
        <v>414</v>
      </c>
      <c r="G182" s="169"/>
      <c r="H182" s="169"/>
      <c r="I182" s="169"/>
      <c r="J182" s="169"/>
      <c r="K182" s="169"/>
      <c r="L182" s="169"/>
      <c r="M182" s="169"/>
      <c r="N182" s="169"/>
      <c r="O182" s="169"/>
      <c r="P182" s="169"/>
      <c r="Q182" s="163"/>
    </row>
    <row r="183" spans="2:17" x14ac:dyDescent="0.45">
      <c r="E183" s="28" t="s">
        <v>288</v>
      </c>
      <c r="F183" s="155" t="s">
        <v>314</v>
      </c>
      <c r="G183" s="169"/>
      <c r="H183" s="169"/>
      <c r="I183" s="169"/>
      <c r="J183" s="169"/>
      <c r="K183" s="169"/>
      <c r="L183" s="169"/>
      <c r="M183" s="169"/>
      <c r="N183" s="169"/>
      <c r="O183" s="169"/>
      <c r="P183" s="169"/>
      <c r="Q183" s="163"/>
    </row>
    <row r="184" spans="2:17" x14ac:dyDescent="0.45">
      <c r="E184" s="28" t="s">
        <v>291</v>
      </c>
      <c r="F184" s="155" t="s">
        <v>332</v>
      </c>
      <c r="G184" s="169"/>
      <c r="H184" s="169"/>
      <c r="I184" s="169"/>
      <c r="J184" s="169"/>
      <c r="K184" s="169"/>
      <c r="L184" s="169"/>
      <c r="M184" s="169"/>
      <c r="N184" s="169"/>
      <c r="O184" s="169"/>
      <c r="P184" s="169"/>
      <c r="Q184" s="163"/>
    </row>
    <row r="185" spans="2:17" ht="16.5" customHeight="1" x14ac:dyDescent="0.45">
      <c r="E185" s="28" t="s">
        <v>316</v>
      </c>
      <c r="F185" s="164" t="s">
        <v>415</v>
      </c>
      <c r="G185" s="170"/>
      <c r="H185" s="170"/>
      <c r="I185" s="170"/>
      <c r="J185" s="170"/>
      <c r="K185" s="170"/>
      <c r="L185" s="170"/>
      <c r="M185" s="170"/>
      <c r="N185" s="170"/>
      <c r="O185" s="170"/>
      <c r="P185" s="170"/>
      <c r="Q185" s="171"/>
    </row>
    <row r="187" spans="2:17" x14ac:dyDescent="0.45">
      <c r="B187" s="27" t="s">
        <v>295</v>
      </c>
      <c r="C187" s="27" t="s">
        <v>296</v>
      </c>
      <c r="E187" s="28"/>
      <c r="F187" s="28" t="s">
        <v>297</v>
      </c>
      <c r="G187" s="28" t="s">
        <v>298</v>
      </c>
      <c r="H187" s="28" t="s">
        <v>299</v>
      </c>
      <c r="I187" s="28" t="s">
        <v>300</v>
      </c>
      <c r="J187" s="28" t="s">
        <v>301</v>
      </c>
      <c r="K187" s="28" t="s">
        <v>302</v>
      </c>
      <c r="L187" s="28" t="s">
        <v>303</v>
      </c>
      <c r="M187" s="28" t="s">
        <v>304</v>
      </c>
      <c r="N187" s="28" t="s">
        <v>305</v>
      </c>
      <c r="O187" s="28" t="s">
        <v>306</v>
      </c>
      <c r="P187" s="28" t="s">
        <v>307</v>
      </c>
      <c r="Q187" s="28" t="s">
        <v>308</v>
      </c>
    </row>
    <row r="188" spans="2:17" ht="17.25" customHeight="1" x14ac:dyDescent="0.45">
      <c r="B188" s="29" t="s">
        <v>416</v>
      </c>
      <c r="C188" s="29" t="s">
        <v>417</v>
      </c>
      <c r="E188" s="28" t="s">
        <v>310</v>
      </c>
      <c r="F188" s="30" t="s">
        <v>311</v>
      </c>
      <c r="G188" s="30" t="s">
        <v>311</v>
      </c>
      <c r="H188" s="155" t="s">
        <v>418</v>
      </c>
      <c r="I188" s="169"/>
      <c r="J188" s="169"/>
      <c r="K188" s="169"/>
      <c r="L188" s="169"/>
      <c r="M188" s="169"/>
      <c r="N188" s="169"/>
      <c r="O188" s="169"/>
      <c r="P188" s="169"/>
      <c r="Q188" s="163"/>
    </row>
    <row r="189" spans="2:17" x14ac:dyDescent="0.45">
      <c r="E189" s="28" t="s">
        <v>312</v>
      </c>
      <c r="F189" s="155" t="s">
        <v>419</v>
      </c>
      <c r="G189" s="169"/>
      <c r="H189" s="169"/>
      <c r="I189" s="169"/>
      <c r="J189" s="169"/>
      <c r="K189" s="169"/>
      <c r="L189" s="169"/>
      <c r="M189" s="169"/>
      <c r="N189" s="169"/>
      <c r="O189" s="169"/>
      <c r="P189" s="169"/>
      <c r="Q189" s="163"/>
    </row>
    <row r="190" spans="2:17" x14ac:dyDescent="0.45">
      <c r="E190" s="28" t="s">
        <v>288</v>
      </c>
      <c r="F190" s="155" t="s">
        <v>314</v>
      </c>
      <c r="G190" s="169"/>
      <c r="H190" s="169"/>
      <c r="I190" s="169"/>
      <c r="J190" s="169"/>
      <c r="K190" s="169"/>
      <c r="L190" s="169"/>
      <c r="M190" s="169"/>
      <c r="N190" s="169"/>
      <c r="O190" s="169"/>
      <c r="P190" s="169"/>
      <c r="Q190" s="163"/>
    </row>
    <row r="191" spans="2:17" x14ac:dyDescent="0.45">
      <c r="E191" s="28" t="s">
        <v>291</v>
      </c>
      <c r="F191" s="155" t="s">
        <v>332</v>
      </c>
      <c r="G191" s="169"/>
      <c r="H191" s="169"/>
      <c r="I191" s="169"/>
      <c r="J191" s="169"/>
      <c r="K191" s="169"/>
      <c r="L191" s="169"/>
      <c r="M191" s="169"/>
      <c r="N191" s="169"/>
      <c r="O191" s="169"/>
      <c r="P191" s="169"/>
      <c r="Q191" s="163"/>
    </row>
    <row r="192" spans="2:17" ht="16.5" customHeight="1" x14ac:dyDescent="0.45">
      <c r="E192" s="28" t="s">
        <v>316</v>
      </c>
      <c r="F192" s="164" t="s">
        <v>420</v>
      </c>
      <c r="G192" s="170"/>
      <c r="H192" s="170"/>
      <c r="I192" s="170"/>
      <c r="J192" s="170"/>
      <c r="K192" s="170"/>
      <c r="L192" s="170"/>
      <c r="M192" s="170"/>
      <c r="N192" s="170"/>
      <c r="O192" s="170"/>
      <c r="P192" s="170"/>
      <c r="Q192" s="171"/>
    </row>
    <row r="194" spans="2:17" x14ac:dyDescent="0.45">
      <c r="B194" s="27" t="s">
        <v>295</v>
      </c>
      <c r="C194" s="27" t="s">
        <v>296</v>
      </c>
      <c r="E194" s="28"/>
      <c r="F194" s="28" t="s">
        <v>297</v>
      </c>
      <c r="G194" s="28" t="s">
        <v>298</v>
      </c>
      <c r="H194" s="28" t="s">
        <v>299</v>
      </c>
      <c r="I194" s="28" t="s">
        <v>300</v>
      </c>
      <c r="J194" s="28" t="s">
        <v>301</v>
      </c>
      <c r="K194" s="28" t="s">
        <v>302</v>
      </c>
      <c r="L194" s="28" t="s">
        <v>303</v>
      </c>
      <c r="M194" s="28" t="s">
        <v>304</v>
      </c>
      <c r="N194" s="28" t="s">
        <v>305</v>
      </c>
      <c r="O194" s="28" t="s">
        <v>306</v>
      </c>
      <c r="P194" s="28" t="s">
        <v>307</v>
      </c>
      <c r="Q194" s="28" t="s">
        <v>308</v>
      </c>
    </row>
    <row r="195" spans="2:17" ht="17.25" customHeight="1" x14ac:dyDescent="0.45">
      <c r="B195" s="29" t="s">
        <v>421</v>
      </c>
      <c r="C195" s="29" t="s">
        <v>422</v>
      </c>
      <c r="E195" s="28" t="s">
        <v>310</v>
      </c>
      <c r="F195" s="155" t="s">
        <v>423</v>
      </c>
      <c r="G195" s="169"/>
      <c r="H195" s="169"/>
      <c r="I195" s="169"/>
      <c r="J195" s="169"/>
      <c r="K195" s="169"/>
      <c r="L195" s="169"/>
      <c r="M195" s="169"/>
      <c r="N195" s="169"/>
      <c r="O195" s="169"/>
      <c r="P195" s="169"/>
      <c r="Q195" s="163"/>
    </row>
    <row r="196" spans="2:17" x14ac:dyDescent="0.45">
      <c r="E196" s="28" t="s">
        <v>312</v>
      </c>
      <c r="F196" s="155" t="s">
        <v>424</v>
      </c>
      <c r="G196" s="169"/>
      <c r="H196" s="169"/>
      <c r="I196" s="169"/>
      <c r="J196" s="169"/>
      <c r="K196" s="169"/>
      <c r="L196" s="169"/>
      <c r="M196" s="169"/>
      <c r="N196" s="169"/>
      <c r="O196" s="169"/>
      <c r="P196" s="169"/>
      <c r="Q196" s="163"/>
    </row>
    <row r="197" spans="2:17" x14ac:dyDescent="0.45">
      <c r="E197" s="28" t="s">
        <v>288</v>
      </c>
      <c r="F197" s="155" t="s">
        <v>314</v>
      </c>
      <c r="G197" s="169"/>
      <c r="H197" s="169"/>
      <c r="I197" s="169"/>
      <c r="J197" s="169"/>
      <c r="K197" s="169"/>
      <c r="L197" s="169"/>
      <c r="M197" s="169"/>
      <c r="N197" s="169"/>
      <c r="O197" s="169"/>
      <c r="P197" s="169"/>
      <c r="Q197" s="163"/>
    </row>
    <row r="198" spans="2:17" x14ac:dyDescent="0.45">
      <c r="E198" s="28" t="s">
        <v>291</v>
      </c>
      <c r="F198" s="155" t="s">
        <v>332</v>
      </c>
      <c r="G198" s="169"/>
      <c r="H198" s="169"/>
      <c r="I198" s="169"/>
      <c r="J198" s="169"/>
      <c r="K198" s="169"/>
      <c r="L198" s="169"/>
      <c r="M198" s="169"/>
      <c r="N198" s="169"/>
      <c r="O198" s="169"/>
      <c r="P198" s="169"/>
      <c r="Q198" s="163"/>
    </row>
    <row r="199" spans="2:17" ht="16.5" customHeight="1" x14ac:dyDescent="0.45">
      <c r="E199" s="28" t="s">
        <v>316</v>
      </c>
      <c r="F199" s="164" t="s">
        <v>425</v>
      </c>
      <c r="G199" s="170"/>
      <c r="H199" s="170"/>
      <c r="I199" s="170"/>
      <c r="J199" s="170"/>
      <c r="K199" s="170"/>
      <c r="L199" s="170"/>
      <c r="M199" s="170"/>
      <c r="N199" s="170"/>
      <c r="O199" s="170"/>
      <c r="P199" s="170"/>
      <c r="Q199" s="171"/>
    </row>
  </sheetData>
  <mergeCells count="160">
    <mergeCell ref="F199:Q199"/>
    <mergeCell ref="F191:Q191"/>
    <mergeCell ref="F192:Q192"/>
    <mergeCell ref="F195:Q195"/>
    <mergeCell ref="F196:Q196"/>
    <mergeCell ref="F197:Q197"/>
    <mergeCell ref="F198:Q198"/>
    <mergeCell ref="F183:Q183"/>
    <mergeCell ref="F184:Q184"/>
    <mergeCell ref="F185:Q185"/>
    <mergeCell ref="H188:Q188"/>
    <mergeCell ref="F189:Q189"/>
    <mergeCell ref="F190:Q190"/>
    <mergeCell ref="F175:Q175"/>
    <mergeCell ref="F176:Q176"/>
    <mergeCell ref="F177:Q177"/>
    <mergeCell ref="F178:Q178"/>
    <mergeCell ref="H181:Q181"/>
    <mergeCell ref="F182:Q182"/>
    <mergeCell ref="H167:Q167"/>
    <mergeCell ref="F168:Q168"/>
    <mergeCell ref="F169:Q169"/>
    <mergeCell ref="F170:Q170"/>
    <mergeCell ref="F171:Q171"/>
    <mergeCell ref="H174:Q174"/>
    <mergeCell ref="F157:Q157"/>
    <mergeCell ref="H160:Q160"/>
    <mergeCell ref="F161:Q161"/>
    <mergeCell ref="F162:Q162"/>
    <mergeCell ref="F163:Q163"/>
    <mergeCell ref="F164:Q164"/>
    <mergeCell ref="F149:Q149"/>
    <mergeCell ref="F150:Q150"/>
    <mergeCell ref="H153:Q153"/>
    <mergeCell ref="F154:Q154"/>
    <mergeCell ref="F155:Q155"/>
    <mergeCell ref="F156:Q156"/>
    <mergeCell ref="F141:Q141"/>
    <mergeCell ref="F142:Q142"/>
    <mergeCell ref="F143:Q143"/>
    <mergeCell ref="H146:Q146"/>
    <mergeCell ref="F147:Q147"/>
    <mergeCell ref="F148:Q148"/>
    <mergeCell ref="F133:Q133"/>
    <mergeCell ref="F134:Q134"/>
    <mergeCell ref="F135:Q135"/>
    <mergeCell ref="F136:Q136"/>
    <mergeCell ref="H139:Q139"/>
    <mergeCell ref="F140:Q140"/>
    <mergeCell ref="H125:Q125"/>
    <mergeCell ref="F126:Q126"/>
    <mergeCell ref="F127:Q127"/>
    <mergeCell ref="F128:Q128"/>
    <mergeCell ref="F129:Q129"/>
    <mergeCell ref="H132:Q132"/>
    <mergeCell ref="F119:I119"/>
    <mergeCell ref="J119:M119"/>
    <mergeCell ref="N119:Q119"/>
    <mergeCell ref="F120:Q120"/>
    <mergeCell ref="F121:Q121"/>
    <mergeCell ref="F122:Q122"/>
    <mergeCell ref="F112:Q112"/>
    <mergeCell ref="F113:Q113"/>
    <mergeCell ref="F114:Q114"/>
    <mergeCell ref="F115:Q115"/>
    <mergeCell ref="F118:I118"/>
    <mergeCell ref="J118:M118"/>
    <mergeCell ref="N118:Q118"/>
    <mergeCell ref="F104:Q104"/>
    <mergeCell ref="F105:Q105"/>
    <mergeCell ref="F106:Q106"/>
    <mergeCell ref="F107:Q107"/>
    <mergeCell ref="F108:Q108"/>
    <mergeCell ref="F111:Q111"/>
    <mergeCell ref="F94:Q94"/>
    <mergeCell ref="F97:Q97"/>
    <mergeCell ref="F98:Q98"/>
    <mergeCell ref="F99:Q99"/>
    <mergeCell ref="F100:Q100"/>
    <mergeCell ref="F101:Q101"/>
    <mergeCell ref="H86:Q86"/>
    <mergeCell ref="F87:Q87"/>
    <mergeCell ref="H90:Q90"/>
    <mergeCell ref="H91:Q91"/>
    <mergeCell ref="H92:Q92"/>
    <mergeCell ref="H93:Q93"/>
    <mergeCell ref="F79:I79"/>
    <mergeCell ref="J79:Q79"/>
    <mergeCell ref="F80:Q80"/>
    <mergeCell ref="H83:Q83"/>
    <mergeCell ref="H84:Q84"/>
    <mergeCell ref="H85:Q85"/>
    <mergeCell ref="F76:I76"/>
    <mergeCell ref="J76:Q76"/>
    <mergeCell ref="F77:I77"/>
    <mergeCell ref="J77:Q77"/>
    <mergeCell ref="F78:I78"/>
    <mergeCell ref="J78:Q78"/>
    <mergeCell ref="F72:M72"/>
    <mergeCell ref="N72:Q72"/>
    <mergeCell ref="F73:M73"/>
    <mergeCell ref="N73:Q73"/>
    <mergeCell ref="F74:M74"/>
    <mergeCell ref="N74:Q74"/>
    <mergeCell ref="F65:Q65"/>
    <mergeCell ref="F66:Q66"/>
    <mergeCell ref="F67:Q67"/>
    <mergeCell ref="F68:Q68"/>
    <mergeCell ref="F71:M71"/>
    <mergeCell ref="N71:Q71"/>
    <mergeCell ref="F56:Q56"/>
    <mergeCell ref="N59:Q59"/>
    <mergeCell ref="N60:Q60"/>
    <mergeCell ref="N61:Q61"/>
    <mergeCell ref="N62:Q62"/>
    <mergeCell ref="F64:Q64"/>
    <mergeCell ref="N53:O53"/>
    <mergeCell ref="P53:Q53"/>
    <mergeCell ref="N54:O54"/>
    <mergeCell ref="P54:Q54"/>
    <mergeCell ref="N55:O55"/>
    <mergeCell ref="P55:Q55"/>
    <mergeCell ref="N45:Q45"/>
    <mergeCell ref="N46:Q46"/>
    <mergeCell ref="N47:Q47"/>
    <mergeCell ref="N48:Q48"/>
    <mergeCell ref="F49:Q49"/>
    <mergeCell ref="N52:O52"/>
    <mergeCell ref="P52:Q52"/>
    <mergeCell ref="F35:Q35"/>
    <mergeCell ref="H38:Q38"/>
    <mergeCell ref="H39:Q39"/>
    <mergeCell ref="H40:Q40"/>
    <mergeCell ref="H41:Q41"/>
    <mergeCell ref="F42:Q42"/>
    <mergeCell ref="F21:Q21"/>
    <mergeCell ref="F28:Q28"/>
    <mergeCell ref="H31:Q31"/>
    <mergeCell ref="H32:Q32"/>
    <mergeCell ref="H33:Q33"/>
    <mergeCell ref="H34:Q34"/>
    <mergeCell ref="K19:M19"/>
    <mergeCell ref="N19:O19"/>
    <mergeCell ref="P19:Q19"/>
    <mergeCell ref="K20:M20"/>
    <mergeCell ref="N20:O20"/>
    <mergeCell ref="P20:Q20"/>
    <mergeCell ref="E12:Q12"/>
    <mergeCell ref="K17:M17"/>
    <mergeCell ref="N17:O17"/>
    <mergeCell ref="P17:Q17"/>
    <mergeCell ref="K18:M18"/>
    <mergeCell ref="N18:O18"/>
    <mergeCell ref="P18:Q18"/>
    <mergeCell ref="E4:Q4"/>
    <mergeCell ref="E5:Q5"/>
    <mergeCell ref="E6:Q6"/>
    <mergeCell ref="E9:Q9"/>
    <mergeCell ref="E10:Q10"/>
    <mergeCell ref="E11:Q11"/>
  </mergeCells>
  <phoneticPr fontId="1"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3C0A5-01CD-4B66-AD2D-A57CC2A7A381}">
  <sheetPr codeName="Sheet4"/>
  <dimension ref="A1:X29"/>
  <sheetViews>
    <sheetView showGridLines="0" zoomScale="85" zoomScaleNormal="85" workbookViewId="0">
      <selection activeCell="B10" sqref="B10:AH27"/>
    </sheetView>
  </sheetViews>
  <sheetFormatPr defaultColWidth="9.81640625" defaultRowHeight="17" customHeight="1" x14ac:dyDescent="0.45"/>
  <cols>
    <col min="1" max="1" width="2.81640625" style="13" customWidth="1"/>
    <col min="2" max="2" width="14.6328125" style="24" bestFit="1" customWidth="1"/>
    <col min="3" max="3" width="4.7265625" style="24" bestFit="1" customWidth="1"/>
    <col min="4" max="4" width="16.26953125" style="13" bestFit="1" customWidth="1"/>
    <col min="5" max="5" width="5.54296875" style="13" bestFit="1" customWidth="1"/>
    <col min="6" max="6" width="5" style="13" bestFit="1" customWidth="1"/>
    <col min="7" max="10" width="6.08984375" style="13" bestFit="1" customWidth="1"/>
    <col min="11" max="12" width="9.7265625" style="13" bestFit="1" customWidth="1"/>
    <col min="13" max="13" width="14" style="13" bestFit="1" customWidth="1"/>
    <col min="14" max="14" width="8.54296875" style="13" bestFit="1" customWidth="1"/>
    <col min="15" max="19" width="6.36328125" style="13" bestFit="1" customWidth="1"/>
    <col min="20" max="20" width="15.1796875" style="13" bestFit="1" customWidth="1"/>
    <col min="21" max="21" width="15.36328125" style="13" bestFit="1" customWidth="1"/>
    <col min="22" max="22" width="15.1796875" style="13" bestFit="1" customWidth="1"/>
    <col min="23" max="23" width="15.7265625" style="13" bestFit="1" customWidth="1"/>
    <col min="24" max="24" width="9.36328125" style="13" customWidth="1"/>
    <col min="25" max="25" width="2.81640625" style="13" customWidth="1"/>
    <col min="26" max="16384" width="9.81640625" style="13"/>
  </cols>
  <sheetData>
    <row r="1" spans="1:24" ht="17" customHeight="1" x14ac:dyDescent="0.45">
      <c r="A1" s="34"/>
    </row>
    <row r="2" spans="1:24" ht="23" x14ac:dyDescent="0.45">
      <c r="B2" s="11" t="s">
        <v>74</v>
      </c>
      <c r="C2" s="11" t="s">
        <v>426</v>
      </c>
      <c r="D2" s="11" t="s">
        <v>75</v>
      </c>
      <c r="E2" s="12" t="s">
        <v>78</v>
      </c>
      <c r="F2" s="12" t="s">
        <v>79</v>
      </c>
      <c r="G2" s="12" t="s">
        <v>80</v>
      </c>
      <c r="H2" s="12" t="s">
        <v>81</v>
      </c>
      <c r="I2" s="12" t="s">
        <v>82</v>
      </c>
      <c r="J2" s="12" t="s">
        <v>83</v>
      </c>
      <c r="K2" s="12" t="s">
        <v>84</v>
      </c>
      <c r="L2" s="12" t="s">
        <v>85</v>
      </c>
      <c r="M2" s="12" t="s">
        <v>86</v>
      </c>
      <c r="N2" s="12" t="s">
        <v>87</v>
      </c>
      <c r="O2" s="11" t="s">
        <v>88</v>
      </c>
      <c r="P2" s="11" t="s">
        <v>89</v>
      </c>
      <c r="Q2" s="11" t="s">
        <v>90</v>
      </c>
      <c r="R2" s="11" t="s">
        <v>91</v>
      </c>
      <c r="S2" s="11" t="s">
        <v>92</v>
      </c>
      <c r="T2" s="11" t="s">
        <v>93</v>
      </c>
      <c r="U2" s="11" t="s">
        <v>94</v>
      </c>
      <c r="V2" s="11" t="s">
        <v>95</v>
      </c>
      <c r="W2" s="12" t="s">
        <v>97</v>
      </c>
      <c r="X2" s="12" t="s">
        <v>98</v>
      </c>
    </row>
    <row r="3" spans="1:24" ht="14.5" x14ac:dyDescent="0.4">
      <c r="B3" s="35"/>
      <c r="C3" s="35"/>
      <c r="D3" s="35"/>
      <c r="E3" s="36"/>
      <c r="F3" s="36"/>
      <c r="G3" s="150" t="s">
        <v>263</v>
      </c>
      <c r="H3" s="150"/>
      <c r="I3" s="150"/>
      <c r="J3" s="150"/>
      <c r="K3" s="36"/>
      <c r="L3" s="36"/>
      <c r="M3" s="36"/>
      <c r="N3" s="36"/>
      <c r="O3" s="35"/>
      <c r="P3" s="35"/>
      <c r="Q3" s="35"/>
      <c r="R3" s="35"/>
      <c r="S3" s="35"/>
      <c r="T3" s="35"/>
      <c r="U3" s="35"/>
      <c r="V3" s="35"/>
      <c r="W3" s="36"/>
      <c r="X3" s="36"/>
    </row>
    <row r="4" spans="1:24" ht="17" customHeight="1" x14ac:dyDescent="0.45">
      <c r="B4" s="37" t="s">
        <v>427</v>
      </c>
      <c r="C4" s="37"/>
    </row>
    <row r="5" spans="1:24" ht="17" customHeight="1" x14ac:dyDescent="0.45">
      <c r="B5" s="14" t="s">
        <v>428</v>
      </c>
      <c r="C5" s="14">
        <v>224</v>
      </c>
      <c r="D5" s="14" t="s">
        <v>429</v>
      </c>
      <c r="E5" s="14" t="s">
        <v>430</v>
      </c>
      <c r="F5" s="14" t="s">
        <v>332</v>
      </c>
      <c r="G5" s="15" t="s">
        <v>104</v>
      </c>
      <c r="H5" s="15" t="s">
        <v>104</v>
      </c>
      <c r="I5" s="15" t="s">
        <v>104</v>
      </c>
      <c r="J5" s="15" t="s">
        <v>104</v>
      </c>
      <c r="K5" s="17" t="s">
        <v>431</v>
      </c>
      <c r="L5" s="17" t="s">
        <v>432</v>
      </c>
      <c r="M5" s="17" t="s">
        <v>433</v>
      </c>
      <c r="N5" s="174" t="s">
        <v>434</v>
      </c>
      <c r="O5" s="175"/>
      <c r="P5" s="176"/>
      <c r="Q5" s="174" t="s">
        <v>435</v>
      </c>
      <c r="R5" s="175"/>
      <c r="S5" s="176"/>
      <c r="T5" s="17" t="s">
        <v>436</v>
      </c>
      <c r="U5" s="17" t="s">
        <v>437</v>
      </c>
      <c r="V5" s="17" t="s">
        <v>438</v>
      </c>
      <c r="W5" s="18" t="s">
        <v>109</v>
      </c>
      <c r="X5" s="14" t="str">
        <f>_xlfn.CONCAT("0x",BIN2HEX(MID(W5,1,4),1),BIN2HEX(MID(W5,6,4),1),BIN2HEX(MID(W5,11,4),1))</f>
        <v>0x000</v>
      </c>
    </row>
    <row r="6" spans="1:24" ht="17" customHeight="1" x14ac:dyDescent="0.45">
      <c r="B6" s="14" t="s">
        <v>439</v>
      </c>
      <c r="C6" s="14">
        <v>225</v>
      </c>
      <c r="D6" s="14" t="s">
        <v>440</v>
      </c>
      <c r="E6" s="14" t="s">
        <v>430</v>
      </c>
      <c r="F6" s="14" t="s">
        <v>332</v>
      </c>
      <c r="G6" s="15" t="s">
        <v>104</v>
      </c>
      <c r="H6" s="15" t="s">
        <v>104</v>
      </c>
      <c r="I6" s="15" t="s">
        <v>104</v>
      </c>
      <c r="J6" s="15" t="s">
        <v>104</v>
      </c>
      <c r="K6" s="17" t="s">
        <v>441</v>
      </c>
      <c r="L6" s="17" t="s">
        <v>442</v>
      </c>
      <c r="M6" s="17" t="s">
        <v>443</v>
      </c>
      <c r="N6" s="17" t="s">
        <v>444</v>
      </c>
      <c r="O6" s="144" t="s">
        <v>445</v>
      </c>
      <c r="P6" s="144"/>
      <c r="Q6" s="144"/>
      <c r="R6" s="144"/>
      <c r="S6" s="177" t="s">
        <v>446</v>
      </c>
      <c r="T6" s="177"/>
      <c r="U6" s="177"/>
      <c r="V6" s="177"/>
      <c r="W6" s="18" t="s">
        <v>447</v>
      </c>
      <c r="X6" s="14" t="str">
        <f>_xlfn.CONCAT("0x",BIN2HEX(MID(W6,1,4),1),BIN2HEX(MID(W6,6,4),1),BIN2HEX(MID(W6,11,4),1))</f>
        <v>0x040</v>
      </c>
    </row>
    <row r="7" spans="1:24" ht="17" customHeight="1" x14ac:dyDescent="0.45">
      <c r="B7" s="14" t="s">
        <v>448</v>
      </c>
      <c r="C7" s="14">
        <v>226</v>
      </c>
      <c r="D7" s="14" t="s">
        <v>449</v>
      </c>
      <c r="E7" s="14" t="s">
        <v>430</v>
      </c>
      <c r="F7" s="14" t="s">
        <v>332</v>
      </c>
      <c r="G7" s="15" t="s">
        <v>104</v>
      </c>
      <c r="H7" s="15" t="s">
        <v>104</v>
      </c>
      <c r="I7" s="15" t="s">
        <v>104</v>
      </c>
      <c r="J7" s="15" t="s">
        <v>104</v>
      </c>
      <c r="K7" s="144" t="s">
        <v>450</v>
      </c>
      <c r="L7" s="144"/>
      <c r="M7" s="144"/>
      <c r="N7" s="144"/>
      <c r="O7" s="144"/>
      <c r="P7" s="144"/>
      <c r="Q7" s="144"/>
      <c r="R7" s="144"/>
      <c r="S7" s="144"/>
      <c r="T7" s="144"/>
      <c r="U7" s="144"/>
      <c r="V7" s="144"/>
      <c r="W7" s="18" t="s">
        <v>451</v>
      </c>
      <c r="X7" s="14" t="str">
        <f>_xlfn.CONCAT("0x",BIN2HEX(MID(W7,1,4),1),BIN2HEX(MID(W7,6,4),1),BIN2HEX(MID(W7,11,4),1))</f>
        <v>0x140</v>
      </c>
    </row>
    <row r="8" spans="1:24" ht="17" customHeight="1" x14ac:dyDescent="0.45">
      <c r="B8" s="14" t="s">
        <v>452</v>
      </c>
      <c r="C8" s="14">
        <v>227</v>
      </c>
      <c r="D8" s="14" t="s">
        <v>453</v>
      </c>
      <c r="E8" s="14" t="s">
        <v>430</v>
      </c>
      <c r="F8" s="14" t="s">
        <v>332</v>
      </c>
      <c r="G8" s="15" t="s">
        <v>104</v>
      </c>
      <c r="H8" s="15" t="s">
        <v>104</v>
      </c>
      <c r="I8" s="15" t="s">
        <v>104</v>
      </c>
      <c r="J8" s="15" t="s">
        <v>104</v>
      </c>
      <c r="K8" s="144" t="s">
        <v>454</v>
      </c>
      <c r="L8" s="144"/>
      <c r="M8" s="144"/>
      <c r="N8" s="144"/>
      <c r="O8" s="144"/>
      <c r="P8" s="144"/>
      <c r="Q8" s="144"/>
      <c r="R8" s="144"/>
      <c r="S8" s="144"/>
      <c r="T8" s="144"/>
      <c r="U8" s="144"/>
      <c r="V8" s="144"/>
      <c r="W8" s="18" t="s">
        <v>455</v>
      </c>
      <c r="X8" s="14" t="str">
        <f>_xlfn.CONCAT("0x",BIN2HEX(MID(W8,1,4),1),BIN2HEX(MID(W8,6,4),1),BIN2HEX(MID(W8,11,4),1))</f>
        <v>0x5A5</v>
      </c>
    </row>
    <row r="9" spans="1:24" ht="17" customHeight="1" x14ac:dyDescent="0.45">
      <c r="B9" s="37" t="s">
        <v>456</v>
      </c>
      <c r="C9" s="37"/>
    </row>
    <row r="10" spans="1:24" ht="17" customHeight="1" x14ac:dyDescent="0.45">
      <c r="B10" s="14" t="s">
        <v>457</v>
      </c>
      <c r="C10" s="14">
        <v>228</v>
      </c>
      <c r="D10" s="14" t="s">
        <v>458</v>
      </c>
      <c r="E10" s="14" t="s">
        <v>430</v>
      </c>
      <c r="F10" s="14" t="s">
        <v>332</v>
      </c>
      <c r="G10" s="15" t="s">
        <v>104</v>
      </c>
      <c r="H10" s="15" t="s">
        <v>104</v>
      </c>
      <c r="I10" s="15" t="s">
        <v>104</v>
      </c>
      <c r="J10" s="15" t="s">
        <v>104</v>
      </c>
      <c r="K10" s="178" t="s">
        <v>459</v>
      </c>
      <c r="L10" s="178"/>
      <c r="M10" s="178"/>
      <c r="N10" s="178" t="s">
        <v>460</v>
      </c>
      <c r="O10" s="178"/>
      <c r="P10" s="178"/>
      <c r="Q10" s="178" t="s">
        <v>461</v>
      </c>
      <c r="R10" s="178"/>
      <c r="S10" s="178"/>
      <c r="T10" s="178"/>
      <c r="U10" s="178"/>
      <c r="V10" s="178"/>
      <c r="W10" s="18" t="s">
        <v>462</v>
      </c>
      <c r="X10" s="14" t="str">
        <f t="shared" ref="X10:X24" si="0">_xlfn.CONCAT("0x",BIN2HEX(MID(W10,1,4),1),BIN2HEX(MID(W10,6,4),1),BIN2HEX(MID(W10,11,4),1))</f>
        <v>0x020</v>
      </c>
    </row>
    <row r="11" spans="1:24" ht="17" customHeight="1" x14ac:dyDescent="0.45">
      <c r="B11" s="14" t="s">
        <v>463</v>
      </c>
      <c r="C11" s="14">
        <v>229</v>
      </c>
      <c r="D11" s="14" t="s">
        <v>464</v>
      </c>
      <c r="E11" s="14" t="s">
        <v>430</v>
      </c>
      <c r="F11" s="14" t="s">
        <v>332</v>
      </c>
      <c r="G11" s="15" t="s">
        <v>104</v>
      </c>
      <c r="H11" s="15" t="s">
        <v>104</v>
      </c>
      <c r="I11" s="15" t="s">
        <v>104</v>
      </c>
      <c r="J11" s="15" t="s">
        <v>104</v>
      </c>
      <c r="K11" s="178" t="s">
        <v>465</v>
      </c>
      <c r="L11" s="178"/>
      <c r="M11" s="179" t="s">
        <v>466</v>
      </c>
      <c r="N11" s="180"/>
      <c r="O11" s="178" t="s">
        <v>467</v>
      </c>
      <c r="P11" s="178"/>
      <c r="Q11" s="178"/>
      <c r="R11" s="178" t="s">
        <v>468</v>
      </c>
      <c r="S11" s="178"/>
      <c r="T11" s="178"/>
      <c r="U11" s="178"/>
      <c r="V11" s="178"/>
      <c r="W11" s="18" t="s">
        <v>469</v>
      </c>
      <c r="X11" s="14" t="str">
        <f t="shared" si="0"/>
        <v>0x010</v>
      </c>
    </row>
    <row r="12" spans="1:24" ht="17" customHeight="1" x14ac:dyDescent="0.45">
      <c r="B12" s="14" t="s">
        <v>470</v>
      </c>
      <c r="C12" s="14">
        <v>230</v>
      </c>
      <c r="D12" s="14" t="s">
        <v>471</v>
      </c>
      <c r="E12" s="14" t="s">
        <v>430</v>
      </c>
      <c r="F12" s="14" t="s">
        <v>332</v>
      </c>
      <c r="G12" s="15" t="s">
        <v>104</v>
      </c>
      <c r="H12" s="15" t="s">
        <v>104</v>
      </c>
      <c r="I12" s="15" t="s">
        <v>104</v>
      </c>
      <c r="J12" s="15" t="s">
        <v>104</v>
      </c>
      <c r="K12" s="16" t="s">
        <v>311</v>
      </c>
      <c r="L12" s="16" t="s">
        <v>311</v>
      </c>
      <c r="M12" s="181" t="s">
        <v>472</v>
      </c>
      <c r="N12" s="182"/>
      <c r="O12" s="182"/>
      <c r="P12" s="182"/>
      <c r="Q12" s="182"/>
      <c r="R12" s="183"/>
      <c r="S12" s="181" t="s">
        <v>473</v>
      </c>
      <c r="T12" s="182"/>
      <c r="U12" s="182"/>
      <c r="V12" s="183"/>
      <c r="W12" s="18" t="s">
        <v>474</v>
      </c>
      <c r="X12" s="14" t="str">
        <f t="shared" si="0"/>
        <v>0x208</v>
      </c>
    </row>
    <row r="13" spans="1:24" ht="17" customHeight="1" x14ac:dyDescent="0.45">
      <c r="B13" s="14" t="s">
        <v>475</v>
      </c>
      <c r="C13" s="14">
        <v>231</v>
      </c>
      <c r="D13" s="14" t="s">
        <v>476</v>
      </c>
      <c r="E13" s="14" t="s">
        <v>430</v>
      </c>
      <c r="F13" s="14" t="s">
        <v>332</v>
      </c>
      <c r="G13" s="15" t="s">
        <v>104</v>
      </c>
      <c r="H13" s="15" t="s">
        <v>104</v>
      </c>
      <c r="I13" s="15" t="s">
        <v>104</v>
      </c>
      <c r="J13" s="15" t="s">
        <v>104</v>
      </c>
      <c r="K13" s="178" t="s">
        <v>477</v>
      </c>
      <c r="L13" s="178"/>
      <c r="M13" s="178"/>
      <c r="N13" s="178"/>
      <c r="O13" s="178"/>
      <c r="P13" s="178"/>
      <c r="Q13" s="178"/>
      <c r="R13" s="178"/>
      <c r="S13" s="181" t="s">
        <v>478</v>
      </c>
      <c r="T13" s="182"/>
      <c r="U13" s="182"/>
      <c r="V13" s="183"/>
      <c r="W13" s="18" t="s">
        <v>479</v>
      </c>
      <c r="X13" s="14" t="str">
        <f t="shared" si="0"/>
        <v>0x008</v>
      </c>
    </row>
    <row r="14" spans="1:24" ht="17" customHeight="1" x14ac:dyDescent="0.45">
      <c r="B14" s="14" t="s">
        <v>480</v>
      </c>
      <c r="C14" s="14">
        <v>232</v>
      </c>
      <c r="D14" s="14" t="s">
        <v>481</v>
      </c>
      <c r="E14" s="14" t="s">
        <v>430</v>
      </c>
      <c r="F14" s="14" t="s">
        <v>332</v>
      </c>
      <c r="G14" s="15" t="s">
        <v>104</v>
      </c>
      <c r="H14" s="15" t="s">
        <v>104</v>
      </c>
      <c r="I14" s="15" t="s">
        <v>104</v>
      </c>
      <c r="J14" s="15" t="s">
        <v>104</v>
      </c>
      <c r="K14" s="38" t="s">
        <v>105</v>
      </c>
      <c r="L14" s="38" t="s">
        <v>105</v>
      </c>
      <c r="M14" s="38" t="s">
        <v>105</v>
      </c>
      <c r="N14" s="38" t="s">
        <v>105</v>
      </c>
      <c r="O14" s="38" t="s">
        <v>105</v>
      </c>
      <c r="P14" s="38" t="s">
        <v>105</v>
      </c>
      <c r="Q14" s="38" t="s">
        <v>105</v>
      </c>
      <c r="R14" s="38" t="s">
        <v>105</v>
      </c>
      <c r="S14" s="38" t="s">
        <v>105</v>
      </c>
      <c r="T14" s="38" t="s">
        <v>105</v>
      </c>
      <c r="U14" s="38" t="s">
        <v>105</v>
      </c>
      <c r="V14" s="38" t="s">
        <v>105</v>
      </c>
      <c r="W14" s="18" t="s">
        <v>482</v>
      </c>
      <c r="X14" s="14" t="str">
        <f t="shared" si="0"/>
        <v>0x000</v>
      </c>
    </row>
    <row r="15" spans="1:24" ht="17" customHeight="1" x14ac:dyDescent="0.45">
      <c r="B15" s="14" t="s">
        <v>483</v>
      </c>
      <c r="C15" s="14">
        <v>233</v>
      </c>
      <c r="D15" s="14" t="s">
        <v>484</v>
      </c>
      <c r="E15" s="14" t="s">
        <v>430</v>
      </c>
      <c r="F15" s="14" t="s">
        <v>332</v>
      </c>
      <c r="G15" s="15" t="s">
        <v>104</v>
      </c>
      <c r="H15" s="15" t="s">
        <v>104</v>
      </c>
      <c r="I15" s="15" t="s">
        <v>104</v>
      </c>
      <c r="J15" s="15" t="s">
        <v>104</v>
      </c>
      <c r="K15" s="38" t="s">
        <v>105</v>
      </c>
      <c r="L15" s="38" t="s">
        <v>105</v>
      </c>
      <c r="M15" s="38" t="s">
        <v>105</v>
      </c>
      <c r="N15" s="38" t="s">
        <v>105</v>
      </c>
      <c r="O15" s="38" t="s">
        <v>105</v>
      </c>
      <c r="P15" s="38" t="s">
        <v>105</v>
      </c>
      <c r="Q15" s="38" t="s">
        <v>105</v>
      </c>
      <c r="R15" s="38" t="s">
        <v>105</v>
      </c>
      <c r="S15" s="38" t="s">
        <v>105</v>
      </c>
      <c r="T15" s="38" t="s">
        <v>105</v>
      </c>
      <c r="U15" s="38" t="s">
        <v>105</v>
      </c>
      <c r="V15" s="38" t="s">
        <v>105</v>
      </c>
      <c r="W15" s="18" t="s">
        <v>482</v>
      </c>
      <c r="X15" s="14" t="str">
        <f t="shared" si="0"/>
        <v>0x000</v>
      </c>
    </row>
    <row r="16" spans="1:24" ht="17" customHeight="1" x14ac:dyDescent="0.45">
      <c r="B16" s="14" t="s">
        <v>485</v>
      </c>
      <c r="C16" s="14">
        <v>234</v>
      </c>
      <c r="D16" s="14" t="s">
        <v>486</v>
      </c>
      <c r="E16" s="14" t="s">
        <v>430</v>
      </c>
      <c r="F16" s="14" t="s">
        <v>332</v>
      </c>
      <c r="G16" s="15" t="s">
        <v>104</v>
      </c>
      <c r="H16" s="15" t="s">
        <v>104</v>
      </c>
      <c r="I16" s="15" t="s">
        <v>104</v>
      </c>
      <c r="J16" s="15" t="s">
        <v>104</v>
      </c>
      <c r="K16" s="16" t="s">
        <v>311</v>
      </c>
      <c r="L16" s="16" t="s">
        <v>311</v>
      </c>
      <c r="M16" s="16" t="s">
        <v>311</v>
      </c>
      <c r="N16" s="181" t="s">
        <v>487</v>
      </c>
      <c r="O16" s="182"/>
      <c r="P16" s="182"/>
      <c r="Q16" s="182"/>
      <c r="R16" s="182"/>
      <c r="S16" s="182"/>
      <c r="T16" s="182"/>
      <c r="U16" s="182"/>
      <c r="V16" s="183"/>
      <c r="W16" s="18" t="s">
        <v>482</v>
      </c>
      <c r="X16" s="14" t="str">
        <f t="shared" si="0"/>
        <v>0x000</v>
      </c>
    </row>
    <row r="17" spans="2:24" ht="17" customHeight="1" x14ac:dyDescent="0.45">
      <c r="B17" s="14" t="s">
        <v>488</v>
      </c>
      <c r="C17" s="14">
        <v>235</v>
      </c>
      <c r="D17" s="14" t="s">
        <v>489</v>
      </c>
      <c r="E17" s="14" t="s">
        <v>430</v>
      </c>
      <c r="F17" s="14" t="s">
        <v>332</v>
      </c>
      <c r="G17" s="15" t="s">
        <v>104</v>
      </c>
      <c r="H17" s="15" t="s">
        <v>104</v>
      </c>
      <c r="I17" s="15" t="s">
        <v>104</v>
      </c>
      <c r="J17" s="15" t="s">
        <v>104</v>
      </c>
      <c r="K17" s="16" t="s">
        <v>311</v>
      </c>
      <c r="L17" s="16" t="s">
        <v>311</v>
      </c>
      <c r="M17" s="16" t="s">
        <v>311</v>
      </c>
      <c r="N17" s="16" t="s">
        <v>311</v>
      </c>
      <c r="O17" s="16" t="s">
        <v>311</v>
      </c>
      <c r="P17" s="16" t="s">
        <v>311</v>
      </c>
      <c r="Q17" s="16" t="s">
        <v>311</v>
      </c>
      <c r="R17" s="178" t="s">
        <v>490</v>
      </c>
      <c r="S17" s="178"/>
      <c r="T17" s="178"/>
      <c r="U17" s="178"/>
      <c r="V17" s="178"/>
      <c r="W17" s="18" t="s">
        <v>491</v>
      </c>
      <c r="X17" s="14" t="str">
        <f t="shared" si="0"/>
        <v>0x010</v>
      </c>
    </row>
    <row r="18" spans="2:24" ht="17" customHeight="1" x14ac:dyDescent="0.45">
      <c r="B18" s="14" t="s">
        <v>492</v>
      </c>
      <c r="C18" s="14">
        <v>236</v>
      </c>
      <c r="D18" s="14" t="s">
        <v>493</v>
      </c>
      <c r="E18" s="14" t="s">
        <v>430</v>
      </c>
      <c r="F18" s="14" t="s">
        <v>332</v>
      </c>
      <c r="G18" s="15" t="s">
        <v>104</v>
      </c>
      <c r="H18" s="15" t="s">
        <v>104</v>
      </c>
      <c r="I18" s="15" t="s">
        <v>104</v>
      </c>
      <c r="J18" s="15" t="s">
        <v>104</v>
      </c>
      <c r="K18" s="16" t="s">
        <v>311</v>
      </c>
      <c r="L18" s="16" t="s">
        <v>311</v>
      </c>
      <c r="M18" s="16" t="s">
        <v>311</v>
      </c>
      <c r="N18" s="16" t="s">
        <v>311</v>
      </c>
      <c r="O18" s="178" t="s">
        <v>494</v>
      </c>
      <c r="P18" s="178"/>
      <c r="Q18" s="178"/>
      <c r="R18" s="178"/>
      <c r="S18" s="178"/>
      <c r="T18" s="178"/>
      <c r="U18" s="178"/>
      <c r="V18" s="178"/>
      <c r="W18" s="18" t="s">
        <v>495</v>
      </c>
      <c r="X18" s="14" t="str">
        <f t="shared" si="0"/>
        <v>0x080</v>
      </c>
    </row>
    <row r="19" spans="2:24" ht="17" customHeight="1" x14ac:dyDescent="0.45">
      <c r="B19" s="14" t="s">
        <v>496</v>
      </c>
      <c r="C19" s="14">
        <v>237</v>
      </c>
      <c r="D19" s="14" t="s">
        <v>497</v>
      </c>
      <c r="E19" s="14" t="s">
        <v>430</v>
      </c>
      <c r="F19" s="14" t="s">
        <v>332</v>
      </c>
      <c r="G19" s="15" t="s">
        <v>104</v>
      </c>
      <c r="H19" s="15" t="s">
        <v>104</v>
      </c>
      <c r="I19" s="15" t="s">
        <v>104</v>
      </c>
      <c r="J19" s="15" t="s">
        <v>104</v>
      </c>
      <c r="K19" s="16" t="s">
        <v>311</v>
      </c>
      <c r="L19" s="16" t="s">
        <v>311</v>
      </c>
      <c r="M19" s="16" t="s">
        <v>311</v>
      </c>
      <c r="N19" s="16" t="s">
        <v>311</v>
      </c>
      <c r="O19" s="178" t="s">
        <v>498</v>
      </c>
      <c r="P19" s="178"/>
      <c r="Q19" s="178"/>
      <c r="R19" s="178"/>
      <c r="S19" s="178"/>
      <c r="T19" s="178"/>
      <c r="U19" s="178"/>
      <c r="V19" s="178"/>
      <c r="W19" s="18" t="s">
        <v>495</v>
      </c>
      <c r="X19" s="14" t="str">
        <f t="shared" si="0"/>
        <v>0x080</v>
      </c>
    </row>
    <row r="20" spans="2:24" ht="17" customHeight="1" x14ac:dyDescent="0.45">
      <c r="B20" s="14" t="s">
        <v>499</v>
      </c>
      <c r="C20" s="14">
        <v>238</v>
      </c>
      <c r="D20" s="14" t="s">
        <v>500</v>
      </c>
      <c r="E20" s="14" t="s">
        <v>430</v>
      </c>
      <c r="F20" s="14" t="s">
        <v>332</v>
      </c>
      <c r="G20" s="15" t="s">
        <v>104</v>
      </c>
      <c r="H20" s="15" t="s">
        <v>104</v>
      </c>
      <c r="I20" s="15" t="s">
        <v>104</v>
      </c>
      <c r="J20" s="15" t="s">
        <v>104</v>
      </c>
      <c r="K20" s="16" t="s">
        <v>311</v>
      </c>
      <c r="L20" s="16" t="s">
        <v>311</v>
      </c>
      <c r="M20" s="16" t="s">
        <v>311</v>
      </c>
      <c r="N20" s="16" t="s">
        <v>311</v>
      </c>
      <c r="O20" s="178" t="s">
        <v>501</v>
      </c>
      <c r="P20" s="178"/>
      <c r="Q20" s="178"/>
      <c r="R20" s="178"/>
      <c r="S20" s="178"/>
      <c r="T20" s="178"/>
      <c r="U20" s="178"/>
      <c r="V20" s="178"/>
      <c r="W20" s="18" t="s">
        <v>495</v>
      </c>
      <c r="X20" s="14" t="str">
        <f t="shared" si="0"/>
        <v>0x080</v>
      </c>
    </row>
    <row r="21" spans="2:24" ht="17" customHeight="1" x14ac:dyDescent="0.45">
      <c r="B21" s="14" t="s">
        <v>502</v>
      </c>
      <c r="C21" s="14">
        <v>239</v>
      </c>
      <c r="D21" s="14" t="s">
        <v>503</v>
      </c>
      <c r="E21" s="14" t="s">
        <v>430</v>
      </c>
      <c r="F21" s="14" t="s">
        <v>332</v>
      </c>
      <c r="G21" s="15" t="s">
        <v>104</v>
      </c>
      <c r="H21" s="15" t="s">
        <v>104</v>
      </c>
      <c r="I21" s="15" t="s">
        <v>104</v>
      </c>
      <c r="J21" s="15" t="s">
        <v>104</v>
      </c>
      <c r="K21" s="16" t="s">
        <v>311</v>
      </c>
      <c r="L21" s="16" t="s">
        <v>311</v>
      </c>
      <c r="M21" s="178" t="s">
        <v>504</v>
      </c>
      <c r="N21" s="178"/>
      <c r="O21" s="178"/>
      <c r="P21" s="178"/>
      <c r="Q21" s="178"/>
      <c r="R21" s="178"/>
      <c r="S21" s="178"/>
      <c r="T21" s="178"/>
      <c r="U21" s="178"/>
      <c r="V21" s="178"/>
      <c r="W21" s="18" t="s">
        <v>505</v>
      </c>
      <c r="X21" s="14" t="str">
        <f t="shared" si="0"/>
        <v>0x000</v>
      </c>
    </row>
    <row r="22" spans="2:24" ht="17" customHeight="1" x14ac:dyDescent="0.45">
      <c r="B22" s="14" t="s">
        <v>506</v>
      </c>
      <c r="C22" s="14">
        <v>240</v>
      </c>
      <c r="D22" s="14" t="s">
        <v>507</v>
      </c>
      <c r="E22" s="14" t="s">
        <v>430</v>
      </c>
      <c r="F22" s="14" t="s">
        <v>332</v>
      </c>
      <c r="G22" s="15" t="s">
        <v>104</v>
      </c>
      <c r="H22" s="15" t="s">
        <v>104</v>
      </c>
      <c r="I22" s="15" t="s">
        <v>104</v>
      </c>
      <c r="J22" s="15" t="s">
        <v>104</v>
      </c>
      <c r="K22" s="16" t="s">
        <v>311</v>
      </c>
      <c r="L22" s="16" t="s">
        <v>311</v>
      </c>
      <c r="M22" s="178" t="s">
        <v>508</v>
      </c>
      <c r="N22" s="178"/>
      <c r="O22" s="178"/>
      <c r="P22" s="178"/>
      <c r="Q22" s="178"/>
      <c r="R22" s="178"/>
      <c r="S22" s="178"/>
      <c r="T22" s="178"/>
      <c r="U22" s="178"/>
      <c r="V22" s="178"/>
      <c r="W22" s="18" t="s">
        <v>509</v>
      </c>
      <c r="X22" s="14" t="str">
        <f t="shared" si="0"/>
        <v>0x000</v>
      </c>
    </row>
    <row r="23" spans="2:24" ht="17" customHeight="1" x14ac:dyDescent="0.45">
      <c r="B23" s="37" t="s">
        <v>510</v>
      </c>
      <c r="C23" s="37"/>
    </row>
    <row r="24" spans="2:24" ht="17" customHeight="1" x14ac:dyDescent="0.45">
      <c r="B24" s="14" t="s">
        <v>511</v>
      </c>
      <c r="C24" s="14">
        <v>241</v>
      </c>
      <c r="D24" s="14" t="s">
        <v>512</v>
      </c>
      <c r="E24" s="14" t="s">
        <v>430</v>
      </c>
      <c r="F24" s="14" t="s">
        <v>332</v>
      </c>
      <c r="G24" s="15" t="s">
        <v>104</v>
      </c>
      <c r="H24" s="15" t="s">
        <v>104</v>
      </c>
      <c r="I24" s="15" t="s">
        <v>104</v>
      </c>
      <c r="J24" s="15" t="s">
        <v>104</v>
      </c>
      <c r="K24" s="178" t="s">
        <v>513</v>
      </c>
      <c r="L24" s="178"/>
      <c r="M24" s="178"/>
      <c r="N24" s="178"/>
      <c r="O24" s="178"/>
      <c r="P24" s="178"/>
      <c r="Q24" s="178"/>
      <c r="R24" s="178"/>
      <c r="S24" s="178"/>
      <c r="T24" s="178"/>
      <c r="U24" s="178"/>
      <c r="V24" s="178"/>
      <c r="W24" s="18" t="s">
        <v>505</v>
      </c>
      <c r="X24" s="14" t="str">
        <f t="shared" si="0"/>
        <v>0x000</v>
      </c>
    </row>
    <row r="25" spans="2:24" ht="17" customHeight="1" x14ac:dyDescent="0.45">
      <c r="B25" s="14" t="s">
        <v>514</v>
      </c>
      <c r="C25" s="14">
        <v>242</v>
      </c>
      <c r="D25" s="14" t="s">
        <v>515</v>
      </c>
      <c r="E25" s="14" t="s">
        <v>430</v>
      </c>
      <c r="F25" s="14" t="s">
        <v>332</v>
      </c>
      <c r="G25" s="15" t="s">
        <v>104</v>
      </c>
      <c r="H25" s="15" t="s">
        <v>104</v>
      </c>
      <c r="I25" s="15" t="s">
        <v>104</v>
      </c>
      <c r="J25" s="15" t="s">
        <v>104</v>
      </c>
      <c r="K25" s="178" t="s">
        <v>516</v>
      </c>
      <c r="L25" s="178"/>
      <c r="M25" s="178"/>
      <c r="N25" s="178"/>
      <c r="O25" s="178"/>
      <c r="P25" s="178"/>
      <c r="Q25" s="178"/>
      <c r="R25" s="178"/>
      <c r="S25" s="178"/>
      <c r="T25" s="178"/>
      <c r="U25" s="178"/>
      <c r="V25" s="178"/>
      <c r="W25" s="18" t="s">
        <v>505</v>
      </c>
      <c r="X25" s="14" t="str">
        <f>_xlfn.CONCAT("0x",BIN2HEX(MID(W25,1,4),1),BIN2HEX(MID(W25,6,4),1),BIN2HEX(MID(W25,11,4),1))</f>
        <v>0x000</v>
      </c>
    </row>
    <row r="26" spans="2:24" ht="17" customHeight="1" x14ac:dyDescent="0.45">
      <c r="B26" s="14" t="s">
        <v>517</v>
      </c>
      <c r="C26" s="14">
        <v>243</v>
      </c>
      <c r="D26" s="14" t="s">
        <v>518</v>
      </c>
      <c r="E26" s="14" t="s">
        <v>430</v>
      </c>
      <c r="F26" s="14" t="s">
        <v>332</v>
      </c>
      <c r="G26" s="15" t="s">
        <v>104</v>
      </c>
      <c r="H26" s="15" t="s">
        <v>104</v>
      </c>
      <c r="I26" s="15" t="s">
        <v>104</v>
      </c>
      <c r="J26" s="15" t="s">
        <v>104</v>
      </c>
      <c r="K26" s="178" t="s">
        <v>519</v>
      </c>
      <c r="L26" s="178"/>
      <c r="M26" s="178"/>
      <c r="N26" s="178"/>
      <c r="O26" s="178"/>
      <c r="P26" s="178"/>
      <c r="Q26" s="178"/>
      <c r="R26" s="178"/>
      <c r="S26" s="178"/>
      <c r="T26" s="178"/>
      <c r="U26" s="178"/>
      <c r="V26" s="178"/>
      <c r="W26" s="18" t="s">
        <v>509</v>
      </c>
      <c r="X26" s="14" t="str">
        <f>_xlfn.CONCAT("0x",BIN2HEX(MID(W26,1,4),1),BIN2HEX(MID(W26,6,4),1),BIN2HEX(MID(W26,11,4),1))</f>
        <v>0x000</v>
      </c>
    </row>
    <row r="27" spans="2:24" ht="17" customHeight="1" x14ac:dyDescent="0.45">
      <c r="B27" s="14" t="s">
        <v>520</v>
      </c>
      <c r="C27" s="14">
        <v>244</v>
      </c>
      <c r="D27" s="14" t="s">
        <v>521</v>
      </c>
      <c r="E27" s="14" t="s">
        <v>430</v>
      </c>
      <c r="F27" s="14" t="s">
        <v>332</v>
      </c>
      <c r="G27" s="15" t="s">
        <v>104</v>
      </c>
      <c r="H27" s="15" t="s">
        <v>104</v>
      </c>
      <c r="I27" s="15" t="s">
        <v>104</v>
      </c>
      <c r="J27" s="15" t="s">
        <v>104</v>
      </c>
      <c r="K27" s="38" t="s">
        <v>105</v>
      </c>
      <c r="L27" s="38" t="s">
        <v>105</v>
      </c>
      <c r="M27" s="38" t="s">
        <v>105</v>
      </c>
      <c r="N27" s="38" t="s">
        <v>105</v>
      </c>
      <c r="O27" s="178" t="s">
        <v>522</v>
      </c>
      <c r="P27" s="178"/>
      <c r="Q27" s="178"/>
      <c r="R27" s="178"/>
      <c r="S27" s="178"/>
      <c r="T27" s="178"/>
      <c r="U27" s="178"/>
      <c r="V27" s="178"/>
      <c r="W27" s="18" t="s">
        <v>509</v>
      </c>
      <c r="X27" s="14" t="str">
        <f>_xlfn.CONCAT("0x",BIN2HEX(MID(W27,1,4),1),BIN2HEX(MID(W27,6,4),1),BIN2HEX(MID(W27,11,4),1))</f>
        <v>0x000</v>
      </c>
    </row>
    <row r="28" spans="2:24" ht="17" customHeight="1" x14ac:dyDescent="0.45">
      <c r="B28" s="14" t="s">
        <v>523</v>
      </c>
      <c r="C28" s="14">
        <v>245</v>
      </c>
      <c r="D28" s="14" t="s">
        <v>524</v>
      </c>
      <c r="E28" s="14" t="s">
        <v>430</v>
      </c>
      <c r="F28" s="14" t="s">
        <v>332</v>
      </c>
      <c r="G28" s="15" t="s">
        <v>104</v>
      </c>
      <c r="H28" s="15" t="s">
        <v>104</v>
      </c>
      <c r="I28" s="15" t="s">
        <v>104</v>
      </c>
      <c r="J28" s="15" t="s">
        <v>104</v>
      </c>
      <c r="K28" s="38" t="s">
        <v>105</v>
      </c>
      <c r="L28" s="38" t="s">
        <v>105</v>
      </c>
      <c r="M28" s="38" t="s">
        <v>105</v>
      </c>
      <c r="N28" s="38" t="s">
        <v>105</v>
      </c>
      <c r="O28" s="38" t="s">
        <v>105</v>
      </c>
      <c r="P28" s="38" t="s">
        <v>105</v>
      </c>
      <c r="Q28" s="38" t="s">
        <v>105</v>
      </c>
      <c r="R28" s="38" t="s">
        <v>105</v>
      </c>
      <c r="S28" s="38" t="s">
        <v>105</v>
      </c>
      <c r="T28" s="38" t="s">
        <v>105</v>
      </c>
      <c r="U28" s="38" t="s">
        <v>105</v>
      </c>
      <c r="V28" s="38" t="s">
        <v>105</v>
      </c>
      <c r="W28" s="18" t="s">
        <v>509</v>
      </c>
      <c r="X28" s="14" t="str">
        <f>_xlfn.CONCAT("0x",BIN2HEX(MID(W28,1,4),1),BIN2HEX(MID(W28,6,4),1),BIN2HEX(MID(W28,11,4),1))</f>
        <v>0x000</v>
      </c>
    </row>
    <row r="29" spans="2:24" ht="17" customHeight="1" x14ac:dyDescent="0.45">
      <c r="B29" s="14" t="s">
        <v>525</v>
      </c>
      <c r="C29" s="14">
        <v>246</v>
      </c>
      <c r="D29" s="14" t="s">
        <v>526</v>
      </c>
      <c r="E29" s="14" t="s">
        <v>430</v>
      </c>
      <c r="F29" s="14" t="s">
        <v>332</v>
      </c>
      <c r="G29" s="15" t="s">
        <v>104</v>
      </c>
      <c r="H29" s="15" t="s">
        <v>104</v>
      </c>
      <c r="I29" s="15" t="s">
        <v>104</v>
      </c>
      <c r="J29" s="15" t="s">
        <v>104</v>
      </c>
      <c r="K29" s="16" t="s">
        <v>311</v>
      </c>
      <c r="L29" s="16" t="s">
        <v>311</v>
      </c>
      <c r="M29" s="16" t="s">
        <v>311</v>
      </c>
      <c r="N29" s="16" t="s">
        <v>311</v>
      </c>
      <c r="O29" s="16" t="s">
        <v>311</v>
      </c>
      <c r="P29" s="16" t="s">
        <v>311</v>
      </c>
      <c r="Q29" s="16" t="s">
        <v>311</v>
      </c>
      <c r="R29" s="16" t="s">
        <v>311</v>
      </c>
      <c r="S29" s="38" t="s">
        <v>105</v>
      </c>
      <c r="T29" s="38" t="s">
        <v>105</v>
      </c>
      <c r="U29" s="38" t="s">
        <v>105</v>
      </c>
      <c r="V29" s="38" t="s">
        <v>105</v>
      </c>
      <c r="W29" s="18" t="s">
        <v>509</v>
      </c>
      <c r="X29" s="14" t="str">
        <f>_xlfn.CONCAT("0x",BIN2HEX(MID(W29,1,4),1),BIN2HEX(MID(W29,6,4),1),BIN2HEX(MID(W29,11,4),1))</f>
        <v>0x000</v>
      </c>
    </row>
  </sheetData>
  <mergeCells count="29">
    <mergeCell ref="K25:V25"/>
    <mergeCell ref="K26:V26"/>
    <mergeCell ref="O27:V27"/>
    <mergeCell ref="O18:V18"/>
    <mergeCell ref="O19:V19"/>
    <mergeCell ref="O20:V20"/>
    <mergeCell ref="M21:V21"/>
    <mergeCell ref="M22:V22"/>
    <mergeCell ref="K24:V24"/>
    <mergeCell ref="R17:V17"/>
    <mergeCell ref="K8:V8"/>
    <mergeCell ref="K10:M10"/>
    <mergeCell ref="N10:P10"/>
    <mergeCell ref="Q10:V10"/>
    <mergeCell ref="K11:L11"/>
    <mergeCell ref="M11:N11"/>
    <mergeCell ref="O11:Q11"/>
    <mergeCell ref="R11:V11"/>
    <mergeCell ref="M12:R12"/>
    <mergeCell ref="S12:V12"/>
    <mergeCell ref="K13:R13"/>
    <mergeCell ref="S13:V13"/>
    <mergeCell ref="N16:V16"/>
    <mergeCell ref="K7:V7"/>
    <mergeCell ref="G3:J3"/>
    <mergeCell ref="N5:P5"/>
    <mergeCell ref="Q5:S5"/>
    <mergeCell ref="O6:R6"/>
    <mergeCell ref="S6:V6"/>
  </mergeCells>
  <phoneticPr fontId="1" type="noConversion"/>
  <conditionalFormatting sqref="S22">
    <cfRule type="cellIs" dxfId="1" priority="1" operator="equal">
      <formula>"RSVD"</formula>
    </cfRule>
  </conditionalFormatting>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AE543-946E-44FF-8770-39270A79D811}">
  <sheetPr codeName="Sheet5"/>
  <dimension ref="B2:Q175"/>
  <sheetViews>
    <sheetView showGridLines="0" topLeftCell="A5" zoomScale="70" zoomScaleNormal="70" workbookViewId="0">
      <selection activeCell="B10" sqref="B10:AH27"/>
    </sheetView>
  </sheetViews>
  <sheetFormatPr defaultColWidth="9.81640625" defaultRowHeight="17" x14ac:dyDescent="0.45"/>
  <cols>
    <col min="1" max="1" width="2.81640625" style="40" customWidth="1"/>
    <col min="2" max="2" width="12.08984375" style="39" bestFit="1" customWidth="1"/>
    <col min="3" max="3" width="7.36328125" style="39" customWidth="1"/>
    <col min="4" max="4" width="6.08984375" style="40" customWidth="1"/>
    <col min="5" max="17" width="12.6328125" style="41" customWidth="1"/>
    <col min="18" max="16384" width="9.81640625" style="40"/>
  </cols>
  <sheetData>
    <row r="2" spans="2:17" ht="17.5" thickBot="1" x14ac:dyDescent="0.5"/>
    <row r="3" spans="2:17" x14ac:dyDescent="0.45">
      <c r="E3" s="190" t="s">
        <v>288</v>
      </c>
      <c r="F3" s="191"/>
      <c r="G3" s="191"/>
      <c r="H3" s="191"/>
      <c r="I3" s="191"/>
      <c r="J3" s="191"/>
      <c r="K3" s="191"/>
      <c r="L3" s="191"/>
      <c r="M3" s="191"/>
      <c r="N3" s="191"/>
      <c r="O3" s="191"/>
      <c r="P3" s="191"/>
      <c r="Q3" s="192"/>
    </row>
    <row r="4" spans="2:17" x14ac:dyDescent="0.45">
      <c r="E4" s="193" t="s">
        <v>289</v>
      </c>
      <c r="F4" s="194"/>
      <c r="G4" s="194"/>
      <c r="H4" s="194"/>
      <c r="I4" s="194"/>
      <c r="J4" s="194"/>
      <c r="K4" s="194"/>
      <c r="L4" s="194"/>
      <c r="M4" s="194"/>
      <c r="N4" s="194"/>
      <c r="O4" s="194"/>
      <c r="P4" s="194"/>
      <c r="Q4" s="195"/>
    </row>
    <row r="5" spans="2:17" ht="17.5" thickBot="1" x14ac:dyDescent="0.5">
      <c r="E5" s="184" t="s">
        <v>290</v>
      </c>
      <c r="F5" s="185"/>
      <c r="G5" s="185"/>
      <c r="H5" s="185"/>
      <c r="I5" s="185"/>
      <c r="J5" s="185"/>
      <c r="K5" s="185"/>
      <c r="L5" s="185"/>
      <c r="M5" s="185"/>
      <c r="N5" s="185"/>
      <c r="O5" s="185"/>
      <c r="P5" s="185"/>
      <c r="Q5" s="186"/>
    </row>
    <row r="6" spans="2:17" x14ac:dyDescent="0.45">
      <c r="E6" s="42"/>
      <c r="F6" s="42"/>
      <c r="G6" s="42"/>
      <c r="H6" s="42"/>
      <c r="I6" s="42"/>
      <c r="J6" s="42"/>
      <c r="K6" s="42"/>
      <c r="L6" s="42"/>
      <c r="M6" s="42"/>
      <c r="N6" s="42"/>
      <c r="O6" s="42"/>
      <c r="P6" s="42"/>
      <c r="Q6" s="42"/>
    </row>
    <row r="7" spans="2:17" ht="17.5" thickBot="1" x14ac:dyDescent="0.5"/>
    <row r="8" spans="2:17" x14ac:dyDescent="0.45">
      <c r="E8" s="190" t="s">
        <v>291</v>
      </c>
      <c r="F8" s="191"/>
      <c r="G8" s="191"/>
      <c r="H8" s="191"/>
      <c r="I8" s="191"/>
      <c r="J8" s="191"/>
      <c r="K8" s="191"/>
      <c r="L8" s="191"/>
      <c r="M8" s="191"/>
      <c r="N8" s="191"/>
      <c r="O8" s="191"/>
      <c r="P8" s="191"/>
      <c r="Q8" s="192"/>
    </row>
    <row r="9" spans="2:17" x14ac:dyDescent="0.45">
      <c r="E9" s="193" t="s">
        <v>292</v>
      </c>
      <c r="F9" s="194"/>
      <c r="G9" s="194"/>
      <c r="H9" s="194"/>
      <c r="I9" s="194"/>
      <c r="J9" s="194"/>
      <c r="K9" s="194"/>
      <c r="L9" s="194"/>
      <c r="M9" s="194"/>
      <c r="N9" s="194"/>
      <c r="O9" s="194"/>
      <c r="P9" s="194"/>
      <c r="Q9" s="195"/>
    </row>
    <row r="10" spans="2:17" x14ac:dyDescent="0.45">
      <c r="E10" s="193" t="s">
        <v>293</v>
      </c>
      <c r="F10" s="194"/>
      <c r="G10" s="194"/>
      <c r="H10" s="194"/>
      <c r="I10" s="194"/>
      <c r="J10" s="194"/>
      <c r="K10" s="194"/>
      <c r="L10" s="194"/>
      <c r="M10" s="194"/>
      <c r="N10" s="194"/>
      <c r="O10" s="194"/>
      <c r="P10" s="194"/>
      <c r="Q10" s="195"/>
    </row>
    <row r="11" spans="2:17" ht="17.5" thickBot="1" x14ac:dyDescent="0.5">
      <c r="E11" s="184" t="s">
        <v>294</v>
      </c>
      <c r="F11" s="185"/>
      <c r="G11" s="185"/>
      <c r="H11" s="185"/>
      <c r="I11" s="185"/>
      <c r="J11" s="185"/>
      <c r="K11" s="185"/>
      <c r="L11" s="185"/>
      <c r="M11" s="185"/>
      <c r="N11" s="185"/>
      <c r="O11" s="185"/>
      <c r="P11" s="185"/>
      <c r="Q11" s="186"/>
    </row>
    <row r="12" spans="2:17" x14ac:dyDescent="0.45">
      <c r="E12" s="42"/>
      <c r="F12" s="42"/>
      <c r="G12" s="42"/>
      <c r="H12" s="42"/>
      <c r="I12" s="42"/>
      <c r="J12" s="42"/>
      <c r="K12" s="42"/>
      <c r="L12" s="42"/>
      <c r="M12" s="42"/>
      <c r="N12" s="42"/>
      <c r="O12" s="42"/>
      <c r="P12" s="42"/>
      <c r="Q12" s="42"/>
    </row>
    <row r="14" spans="2:17" x14ac:dyDescent="0.45">
      <c r="B14" s="43" t="s">
        <v>295</v>
      </c>
      <c r="C14" s="43" t="s">
        <v>296</v>
      </c>
      <c r="E14" s="44"/>
      <c r="F14" s="45" t="s">
        <v>297</v>
      </c>
      <c r="G14" s="45" t="s">
        <v>298</v>
      </c>
      <c r="H14" s="45" t="s">
        <v>299</v>
      </c>
      <c r="I14" s="45" t="s">
        <v>300</v>
      </c>
      <c r="J14" s="45" t="s">
        <v>301</v>
      </c>
      <c r="K14" s="45" t="s">
        <v>302</v>
      </c>
      <c r="L14" s="45" t="s">
        <v>303</v>
      </c>
      <c r="M14" s="45" t="s">
        <v>304</v>
      </c>
      <c r="N14" s="45" t="s">
        <v>305</v>
      </c>
      <c r="O14" s="45" t="s">
        <v>306</v>
      </c>
      <c r="P14" s="45" t="s">
        <v>307</v>
      </c>
      <c r="Q14" s="45" t="s">
        <v>308</v>
      </c>
    </row>
    <row r="15" spans="2:17" ht="16.5" customHeight="1" x14ac:dyDescent="0.45">
      <c r="B15" s="31" t="s">
        <v>429</v>
      </c>
      <c r="C15" s="31" t="s">
        <v>428</v>
      </c>
      <c r="E15" s="44" t="s">
        <v>310</v>
      </c>
      <c r="F15" s="46" t="s">
        <v>431</v>
      </c>
      <c r="G15" s="46" t="s">
        <v>432</v>
      </c>
      <c r="H15" s="46" t="s">
        <v>433</v>
      </c>
      <c r="I15" s="187" t="s">
        <v>434</v>
      </c>
      <c r="J15" s="188"/>
      <c r="K15" s="189"/>
      <c r="L15" s="187" t="s">
        <v>435</v>
      </c>
      <c r="M15" s="188"/>
      <c r="N15" s="189"/>
      <c r="O15" s="46" t="s">
        <v>436</v>
      </c>
      <c r="P15" s="46" t="s">
        <v>437</v>
      </c>
      <c r="Q15" s="46" t="s">
        <v>438</v>
      </c>
    </row>
    <row r="16" spans="2:17" x14ac:dyDescent="0.45">
      <c r="E16" s="44" t="s">
        <v>312</v>
      </c>
      <c r="F16" s="46">
        <v>0</v>
      </c>
      <c r="G16" s="46">
        <v>0</v>
      </c>
      <c r="H16" s="46">
        <v>0</v>
      </c>
      <c r="I16" s="187">
        <v>0</v>
      </c>
      <c r="J16" s="188"/>
      <c r="K16" s="189"/>
      <c r="L16" s="187">
        <v>0</v>
      </c>
      <c r="M16" s="188"/>
      <c r="N16" s="189"/>
      <c r="O16" s="46">
        <v>0</v>
      </c>
      <c r="P16" s="46">
        <v>0</v>
      </c>
      <c r="Q16" s="46">
        <v>0</v>
      </c>
    </row>
    <row r="17" spans="2:17" x14ac:dyDescent="0.45">
      <c r="E17" s="44" t="s">
        <v>288</v>
      </c>
      <c r="F17" s="46" t="s">
        <v>430</v>
      </c>
      <c r="G17" s="46" t="s">
        <v>430</v>
      </c>
      <c r="H17" s="46" t="s">
        <v>430</v>
      </c>
      <c r="I17" s="187" t="s">
        <v>430</v>
      </c>
      <c r="J17" s="188"/>
      <c r="K17" s="189"/>
      <c r="L17" s="187" t="s">
        <v>430</v>
      </c>
      <c r="M17" s="188"/>
      <c r="N17" s="189"/>
      <c r="O17" s="46" t="s">
        <v>430</v>
      </c>
      <c r="P17" s="46" t="s">
        <v>430</v>
      </c>
      <c r="Q17" s="46" t="s">
        <v>430</v>
      </c>
    </row>
    <row r="18" spans="2:17" x14ac:dyDescent="0.45">
      <c r="E18" s="44" t="s">
        <v>291</v>
      </c>
      <c r="F18" s="46" t="s">
        <v>332</v>
      </c>
      <c r="G18" s="46" t="s">
        <v>332</v>
      </c>
      <c r="H18" s="46" t="s">
        <v>332</v>
      </c>
      <c r="I18" s="187" t="s">
        <v>332</v>
      </c>
      <c r="J18" s="188"/>
      <c r="K18" s="189"/>
      <c r="L18" s="187" t="s">
        <v>332</v>
      </c>
      <c r="M18" s="188"/>
      <c r="N18" s="189"/>
      <c r="O18" s="46" t="s">
        <v>332</v>
      </c>
      <c r="P18" s="46" t="s">
        <v>332</v>
      </c>
      <c r="Q18" s="46" t="s">
        <v>332</v>
      </c>
    </row>
    <row r="19" spans="2:17" ht="215.5" customHeight="1" x14ac:dyDescent="0.45">
      <c r="E19" s="44" t="s">
        <v>316</v>
      </c>
      <c r="F19" s="199" t="s">
        <v>527</v>
      </c>
      <c r="G19" s="200"/>
      <c r="H19" s="200"/>
      <c r="I19" s="200"/>
      <c r="J19" s="200"/>
      <c r="K19" s="200"/>
      <c r="L19" s="200"/>
      <c r="M19" s="200"/>
      <c r="N19" s="200"/>
      <c r="O19" s="200"/>
      <c r="P19" s="200"/>
      <c r="Q19" s="201"/>
    </row>
    <row r="21" spans="2:17" x14ac:dyDescent="0.45">
      <c r="B21" s="43" t="s">
        <v>295</v>
      </c>
      <c r="C21" s="43" t="s">
        <v>296</v>
      </c>
      <c r="E21" s="44"/>
      <c r="F21" s="44" t="s">
        <v>297</v>
      </c>
      <c r="G21" s="44" t="s">
        <v>298</v>
      </c>
      <c r="H21" s="44" t="s">
        <v>299</v>
      </c>
      <c r="I21" s="44" t="s">
        <v>300</v>
      </c>
      <c r="J21" s="44" t="s">
        <v>301</v>
      </c>
      <c r="K21" s="44" t="s">
        <v>302</v>
      </c>
      <c r="L21" s="44" t="s">
        <v>303</v>
      </c>
      <c r="M21" s="44" t="s">
        <v>304</v>
      </c>
      <c r="N21" s="44" t="s">
        <v>305</v>
      </c>
      <c r="O21" s="44" t="s">
        <v>306</v>
      </c>
      <c r="P21" s="44" t="s">
        <v>307</v>
      </c>
      <c r="Q21" s="44" t="s">
        <v>308</v>
      </c>
    </row>
    <row r="22" spans="2:17" x14ac:dyDescent="0.45">
      <c r="B22" s="31" t="s">
        <v>528</v>
      </c>
      <c r="C22" s="31" t="s">
        <v>529</v>
      </c>
      <c r="E22" s="44" t="s">
        <v>310</v>
      </c>
      <c r="F22" s="46" t="s">
        <v>441</v>
      </c>
      <c r="G22" s="46" t="s">
        <v>442</v>
      </c>
      <c r="H22" s="46" t="s">
        <v>443</v>
      </c>
      <c r="I22" s="46" t="s">
        <v>444</v>
      </c>
      <c r="J22" s="196" t="s">
        <v>530</v>
      </c>
      <c r="K22" s="196"/>
      <c r="L22" s="196"/>
      <c r="M22" s="196"/>
      <c r="N22" s="196" t="s">
        <v>531</v>
      </c>
      <c r="O22" s="196"/>
      <c r="P22" s="196"/>
      <c r="Q22" s="196"/>
    </row>
    <row r="23" spans="2:17" x14ac:dyDescent="0.45">
      <c r="E23" s="44" t="s">
        <v>312</v>
      </c>
      <c r="F23" s="46">
        <v>0</v>
      </c>
      <c r="G23" s="46">
        <v>0</v>
      </c>
      <c r="H23" s="46">
        <v>0</v>
      </c>
      <c r="I23" s="46">
        <v>0</v>
      </c>
      <c r="J23" s="196" t="s">
        <v>532</v>
      </c>
      <c r="K23" s="196"/>
      <c r="L23" s="196"/>
      <c r="M23" s="196"/>
      <c r="N23" s="196" t="s">
        <v>313</v>
      </c>
      <c r="O23" s="196"/>
      <c r="P23" s="196"/>
      <c r="Q23" s="196"/>
    </row>
    <row r="24" spans="2:17" x14ac:dyDescent="0.45">
      <c r="E24" s="44" t="s">
        <v>288</v>
      </c>
      <c r="F24" s="46" t="s">
        <v>430</v>
      </c>
      <c r="G24" s="46" t="s">
        <v>430</v>
      </c>
      <c r="H24" s="46" t="s">
        <v>430</v>
      </c>
      <c r="I24" s="46" t="s">
        <v>430</v>
      </c>
      <c r="J24" s="196" t="s">
        <v>430</v>
      </c>
      <c r="K24" s="196"/>
      <c r="L24" s="196"/>
      <c r="M24" s="196"/>
      <c r="N24" s="196" t="s">
        <v>430</v>
      </c>
      <c r="O24" s="196"/>
      <c r="P24" s="196"/>
      <c r="Q24" s="196"/>
    </row>
    <row r="25" spans="2:17" x14ac:dyDescent="0.45">
      <c r="E25" s="44" t="s">
        <v>291</v>
      </c>
      <c r="F25" s="46" t="s">
        <v>332</v>
      </c>
      <c r="G25" s="46" t="s">
        <v>332</v>
      </c>
      <c r="H25" s="46" t="s">
        <v>332</v>
      </c>
      <c r="I25" s="46" t="s">
        <v>332</v>
      </c>
      <c r="J25" s="196" t="s">
        <v>332</v>
      </c>
      <c r="K25" s="196"/>
      <c r="L25" s="196"/>
      <c r="M25" s="196"/>
      <c r="N25" s="196" t="s">
        <v>332</v>
      </c>
      <c r="O25" s="196"/>
      <c r="P25" s="196"/>
      <c r="Q25" s="196"/>
    </row>
    <row r="26" spans="2:17" ht="70.5" customHeight="1" x14ac:dyDescent="0.45">
      <c r="E26" s="44" t="s">
        <v>316</v>
      </c>
      <c r="F26" s="197" t="s">
        <v>533</v>
      </c>
      <c r="G26" s="194"/>
      <c r="H26" s="194"/>
      <c r="I26" s="194"/>
      <c r="J26" s="194"/>
      <c r="K26" s="194"/>
      <c r="L26" s="194"/>
      <c r="M26" s="194"/>
      <c r="N26" s="194"/>
      <c r="O26" s="194"/>
      <c r="P26" s="194"/>
      <c r="Q26" s="198"/>
    </row>
    <row r="28" spans="2:17" x14ac:dyDescent="0.45">
      <c r="B28" s="43" t="s">
        <v>295</v>
      </c>
      <c r="C28" s="43" t="s">
        <v>296</v>
      </c>
      <c r="E28" s="44"/>
      <c r="F28" s="44" t="s">
        <v>297</v>
      </c>
      <c r="G28" s="44" t="s">
        <v>298</v>
      </c>
      <c r="H28" s="44" t="s">
        <v>299</v>
      </c>
      <c r="I28" s="44" t="s">
        <v>300</v>
      </c>
      <c r="J28" s="44" t="s">
        <v>301</v>
      </c>
      <c r="K28" s="44" t="s">
        <v>302</v>
      </c>
      <c r="L28" s="44" t="s">
        <v>303</v>
      </c>
      <c r="M28" s="44" t="s">
        <v>304</v>
      </c>
      <c r="N28" s="44" t="s">
        <v>305</v>
      </c>
      <c r="O28" s="44" t="s">
        <v>306</v>
      </c>
      <c r="P28" s="44" t="s">
        <v>307</v>
      </c>
      <c r="Q28" s="44" t="s">
        <v>308</v>
      </c>
    </row>
    <row r="29" spans="2:17" x14ac:dyDescent="0.45">
      <c r="B29" s="31" t="s">
        <v>534</v>
      </c>
      <c r="C29" s="31" t="s">
        <v>535</v>
      </c>
      <c r="E29" s="44" t="s">
        <v>310</v>
      </c>
      <c r="F29" s="187" t="s">
        <v>536</v>
      </c>
      <c r="G29" s="188"/>
      <c r="H29" s="188"/>
      <c r="I29" s="188"/>
      <c r="J29" s="188"/>
      <c r="K29" s="188"/>
      <c r="L29" s="188"/>
      <c r="M29" s="188"/>
      <c r="N29" s="188"/>
      <c r="O29" s="188"/>
      <c r="P29" s="188"/>
      <c r="Q29" s="189"/>
    </row>
    <row r="30" spans="2:17" x14ac:dyDescent="0.45">
      <c r="E30" s="44" t="s">
        <v>312</v>
      </c>
      <c r="F30" s="187" t="s">
        <v>537</v>
      </c>
      <c r="G30" s="188"/>
      <c r="H30" s="188"/>
      <c r="I30" s="188"/>
      <c r="J30" s="188"/>
      <c r="K30" s="188"/>
      <c r="L30" s="188"/>
      <c r="M30" s="188"/>
      <c r="N30" s="188"/>
      <c r="O30" s="188"/>
      <c r="P30" s="188"/>
      <c r="Q30" s="189"/>
    </row>
    <row r="31" spans="2:17" x14ac:dyDescent="0.45">
      <c r="E31" s="44" t="s">
        <v>288</v>
      </c>
      <c r="F31" s="187" t="s">
        <v>430</v>
      </c>
      <c r="G31" s="188"/>
      <c r="H31" s="188"/>
      <c r="I31" s="188"/>
      <c r="J31" s="188"/>
      <c r="K31" s="188"/>
      <c r="L31" s="188"/>
      <c r="M31" s="188"/>
      <c r="N31" s="188"/>
      <c r="O31" s="188"/>
      <c r="P31" s="188"/>
      <c r="Q31" s="189"/>
    </row>
    <row r="32" spans="2:17" x14ac:dyDescent="0.45">
      <c r="E32" s="44" t="s">
        <v>291</v>
      </c>
      <c r="F32" s="187" t="s">
        <v>332</v>
      </c>
      <c r="G32" s="188"/>
      <c r="H32" s="188"/>
      <c r="I32" s="188"/>
      <c r="J32" s="188"/>
      <c r="K32" s="188"/>
      <c r="L32" s="188"/>
      <c r="M32" s="188"/>
      <c r="N32" s="188"/>
      <c r="O32" s="188"/>
      <c r="P32" s="188"/>
      <c r="Q32" s="189"/>
    </row>
    <row r="33" spans="2:17" x14ac:dyDescent="0.45">
      <c r="E33" s="44" t="s">
        <v>316</v>
      </c>
      <c r="F33" s="197"/>
      <c r="G33" s="194"/>
      <c r="H33" s="194"/>
      <c r="I33" s="194"/>
      <c r="J33" s="194"/>
      <c r="K33" s="194"/>
      <c r="L33" s="194"/>
      <c r="M33" s="194"/>
      <c r="N33" s="194"/>
      <c r="O33" s="194"/>
      <c r="P33" s="194"/>
      <c r="Q33" s="198"/>
    </row>
    <row r="35" spans="2:17" x14ac:dyDescent="0.45">
      <c r="B35" s="43" t="s">
        <v>295</v>
      </c>
      <c r="C35" s="43" t="s">
        <v>296</v>
      </c>
      <c r="E35" s="44"/>
      <c r="F35" s="44" t="s">
        <v>297</v>
      </c>
      <c r="G35" s="44" t="s">
        <v>298</v>
      </c>
      <c r="H35" s="44" t="s">
        <v>299</v>
      </c>
      <c r="I35" s="44" t="s">
        <v>300</v>
      </c>
      <c r="J35" s="44" t="s">
        <v>301</v>
      </c>
      <c r="K35" s="44" t="s">
        <v>302</v>
      </c>
      <c r="L35" s="44" t="s">
        <v>303</v>
      </c>
      <c r="M35" s="44" t="s">
        <v>304</v>
      </c>
      <c r="N35" s="44" t="s">
        <v>305</v>
      </c>
      <c r="O35" s="44" t="s">
        <v>306</v>
      </c>
      <c r="P35" s="44" t="s">
        <v>307</v>
      </c>
      <c r="Q35" s="44" t="s">
        <v>308</v>
      </c>
    </row>
    <row r="36" spans="2:17" x14ac:dyDescent="0.45">
      <c r="B36" s="31" t="s">
        <v>538</v>
      </c>
      <c r="C36" s="31" t="s">
        <v>539</v>
      </c>
      <c r="E36" s="44" t="s">
        <v>310</v>
      </c>
      <c r="F36" s="187" t="s">
        <v>540</v>
      </c>
      <c r="G36" s="188"/>
      <c r="H36" s="188"/>
      <c r="I36" s="188"/>
      <c r="J36" s="188"/>
      <c r="K36" s="188"/>
      <c r="L36" s="188"/>
      <c r="M36" s="188"/>
      <c r="N36" s="188"/>
      <c r="O36" s="188"/>
      <c r="P36" s="188"/>
      <c r="Q36" s="189"/>
    </row>
    <row r="37" spans="2:17" x14ac:dyDescent="0.45">
      <c r="E37" s="44" t="s">
        <v>312</v>
      </c>
      <c r="F37" s="187" t="s">
        <v>541</v>
      </c>
      <c r="G37" s="188"/>
      <c r="H37" s="188"/>
      <c r="I37" s="188"/>
      <c r="J37" s="188"/>
      <c r="K37" s="188"/>
      <c r="L37" s="188"/>
      <c r="M37" s="188"/>
      <c r="N37" s="188"/>
      <c r="O37" s="188"/>
      <c r="P37" s="188"/>
      <c r="Q37" s="189"/>
    </row>
    <row r="38" spans="2:17" x14ac:dyDescent="0.45">
      <c r="E38" s="44" t="s">
        <v>288</v>
      </c>
      <c r="F38" s="187" t="s">
        <v>430</v>
      </c>
      <c r="G38" s="188"/>
      <c r="H38" s="188"/>
      <c r="I38" s="188"/>
      <c r="J38" s="188"/>
      <c r="K38" s="188"/>
      <c r="L38" s="188"/>
      <c r="M38" s="188"/>
      <c r="N38" s="188"/>
      <c r="O38" s="188"/>
      <c r="P38" s="188"/>
      <c r="Q38" s="189"/>
    </row>
    <row r="39" spans="2:17" x14ac:dyDescent="0.45">
      <c r="E39" s="44" t="s">
        <v>291</v>
      </c>
      <c r="F39" s="187" t="s">
        <v>332</v>
      </c>
      <c r="G39" s="188"/>
      <c r="H39" s="188"/>
      <c r="I39" s="188"/>
      <c r="J39" s="188"/>
      <c r="K39" s="188"/>
      <c r="L39" s="188"/>
      <c r="M39" s="188"/>
      <c r="N39" s="188"/>
      <c r="O39" s="188"/>
      <c r="P39" s="188"/>
      <c r="Q39" s="189"/>
    </row>
    <row r="40" spans="2:17" ht="39" customHeight="1" x14ac:dyDescent="0.45">
      <c r="E40" s="44" t="s">
        <v>316</v>
      </c>
      <c r="F40" s="197" t="s">
        <v>542</v>
      </c>
      <c r="G40" s="194"/>
      <c r="H40" s="194"/>
      <c r="I40" s="194"/>
      <c r="J40" s="194"/>
      <c r="K40" s="194"/>
      <c r="L40" s="194"/>
      <c r="M40" s="194"/>
      <c r="N40" s="194"/>
      <c r="O40" s="194"/>
      <c r="P40" s="194"/>
      <c r="Q40" s="198"/>
    </row>
    <row r="42" spans="2:17" ht="17.25" customHeight="1" x14ac:dyDescent="0.45">
      <c r="B42" s="50" t="s">
        <v>543</v>
      </c>
      <c r="C42" s="51"/>
      <c r="D42" s="52"/>
      <c r="E42" s="53"/>
      <c r="F42" s="54"/>
      <c r="G42" s="54"/>
      <c r="H42" s="54"/>
      <c r="I42" s="54"/>
      <c r="J42" s="54"/>
      <c r="K42" s="54"/>
      <c r="L42" s="54"/>
      <c r="M42" s="54"/>
      <c r="N42" s="54"/>
      <c r="O42" s="54"/>
      <c r="P42" s="54"/>
      <c r="Q42" s="54"/>
    </row>
    <row r="43" spans="2:17" x14ac:dyDescent="0.45">
      <c r="B43" s="43" t="s">
        <v>295</v>
      </c>
      <c r="C43" s="43" t="s">
        <v>296</v>
      </c>
      <c r="E43" s="44"/>
      <c r="F43" s="44" t="s">
        <v>297</v>
      </c>
      <c r="G43" s="44" t="s">
        <v>298</v>
      </c>
      <c r="H43" s="44" t="s">
        <v>299</v>
      </c>
      <c r="I43" s="44" t="s">
        <v>300</v>
      </c>
      <c r="J43" s="44" t="s">
        <v>301</v>
      </c>
      <c r="K43" s="44" t="s">
        <v>302</v>
      </c>
      <c r="L43" s="44" t="s">
        <v>303</v>
      </c>
      <c r="M43" s="44" t="s">
        <v>304</v>
      </c>
      <c r="N43" s="44" t="s">
        <v>305</v>
      </c>
      <c r="O43" s="44" t="s">
        <v>306</v>
      </c>
      <c r="P43" s="44" t="s">
        <v>307</v>
      </c>
      <c r="Q43" s="44" t="s">
        <v>308</v>
      </c>
    </row>
    <row r="44" spans="2:17" ht="16.5" customHeight="1" x14ac:dyDescent="0.45">
      <c r="B44" s="31" t="s">
        <v>544</v>
      </c>
      <c r="C44" s="31" t="s">
        <v>545</v>
      </c>
      <c r="E44" s="44" t="s">
        <v>310</v>
      </c>
      <c r="F44" s="202" t="s">
        <v>459</v>
      </c>
      <c r="G44" s="202"/>
      <c r="H44" s="202"/>
      <c r="I44" s="202" t="s">
        <v>460</v>
      </c>
      <c r="J44" s="202"/>
      <c r="K44" s="202"/>
      <c r="L44" s="202" t="s">
        <v>461</v>
      </c>
      <c r="M44" s="202"/>
      <c r="N44" s="202"/>
      <c r="O44" s="202"/>
      <c r="P44" s="202"/>
      <c r="Q44" s="202"/>
    </row>
    <row r="45" spans="2:17" x14ac:dyDescent="0.45">
      <c r="E45" s="44" t="s">
        <v>312</v>
      </c>
      <c r="F45" s="196" t="s">
        <v>313</v>
      </c>
      <c r="G45" s="196"/>
      <c r="H45" s="196"/>
      <c r="I45" s="196" t="s">
        <v>313</v>
      </c>
      <c r="J45" s="196"/>
      <c r="K45" s="196"/>
      <c r="L45" s="187" t="s">
        <v>279</v>
      </c>
      <c r="M45" s="188"/>
      <c r="N45" s="188"/>
      <c r="O45" s="188"/>
      <c r="P45" s="188"/>
      <c r="Q45" s="188"/>
    </row>
    <row r="46" spans="2:17" x14ac:dyDescent="0.45">
      <c r="E46" s="44" t="s">
        <v>288</v>
      </c>
      <c r="F46" s="187" t="s">
        <v>430</v>
      </c>
      <c r="G46" s="188"/>
      <c r="H46" s="188"/>
      <c r="I46" s="188"/>
      <c r="J46" s="188"/>
      <c r="K46" s="188"/>
      <c r="L46" s="188"/>
      <c r="M46" s="188"/>
      <c r="N46" s="188"/>
      <c r="O46" s="188"/>
      <c r="P46" s="188"/>
      <c r="Q46" s="189"/>
    </row>
    <row r="47" spans="2:17" x14ac:dyDescent="0.45">
      <c r="E47" s="44" t="s">
        <v>291</v>
      </c>
      <c r="F47" s="187" t="s">
        <v>332</v>
      </c>
      <c r="G47" s="188"/>
      <c r="H47" s="188"/>
      <c r="I47" s="188"/>
      <c r="J47" s="188"/>
      <c r="K47" s="188"/>
      <c r="L47" s="188"/>
      <c r="M47" s="188"/>
      <c r="N47" s="188"/>
      <c r="O47" s="188"/>
      <c r="P47" s="188"/>
      <c r="Q47" s="189"/>
    </row>
    <row r="48" spans="2:17" x14ac:dyDescent="0.45">
      <c r="E48" s="44" t="s">
        <v>316</v>
      </c>
      <c r="F48" s="197" t="s">
        <v>546</v>
      </c>
      <c r="G48" s="194"/>
      <c r="H48" s="194"/>
      <c r="I48" s="194"/>
      <c r="J48" s="194"/>
      <c r="K48" s="194"/>
      <c r="L48" s="194"/>
      <c r="M48" s="194"/>
      <c r="N48" s="194"/>
      <c r="O48" s="194"/>
      <c r="P48" s="194"/>
      <c r="Q48" s="198"/>
    </row>
    <row r="50" spans="2:17" x14ac:dyDescent="0.45">
      <c r="B50" s="43" t="s">
        <v>295</v>
      </c>
      <c r="C50" s="43" t="s">
        <v>296</v>
      </c>
      <c r="E50" s="44"/>
      <c r="F50" s="44" t="s">
        <v>297</v>
      </c>
      <c r="G50" s="44" t="s">
        <v>298</v>
      </c>
      <c r="H50" s="44" t="s">
        <v>299</v>
      </c>
      <c r="I50" s="44" t="s">
        <v>300</v>
      </c>
      <c r="J50" s="44" t="s">
        <v>301</v>
      </c>
      <c r="K50" s="44" t="s">
        <v>302</v>
      </c>
      <c r="L50" s="44" t="s">
        <v>303</v>
      </c>
      <c r="M50" s="44" t="s">
        <v>304</v>
      </c>
      <c r="N50" s="44" t="s">
        <v>305</v>
      </c>
      <c r="O50" s="44" t="s">
        <v>306</v>
      </c>
      <c r="P50" s="44" t="s">
        <v>307</v>
      </c>
      <c r="Q50" s="44" t="s">
        <v>308</v>
      </c>
    </row>
    <row r="51" spans="2:17" ht="17.25" customHeight="1" x14ac:dyDescent="0.45">
      <c r="B51" s="31" t="s">
        <v>547</v>
      </c>
      <c r="C51" s="31" t="s">
        <v>548</v>
      </c>
      <c r="E51" s="44" t="s">
        <v>310</v>
      </c>
      <c r="F51" s="202" t="s">
        <v>465</v>
      </c>
      <c r="G51" s="202"/>
      <c r="H51" s="203" t="s">
        <v>466</v>
      </c>
      <c r="I51" s="204"/>
      <c r="J51" s="202" t="s">
        <v>467</v>
      </c>
      <c r="K51" s="202"/>
      <c r="L51" s="202"/>
      <c r="M51" s="202" t="s">
        <v>468</v>
      </c>
      <c r="N51" s="202"/>
      <c r="O51" s="202"/>
      <c r="P51" s="202"/>
      <c r="Q51" s="202"/>
    </row>
    <row r="52" spans="2:17" x14ac:dyDescent="0.45">
      <c r="E52" s="44" t="s">
        <v>312</v>
      </c>
      <c r="F52" s="187" t="s">
        <v>313</v>
      </c>
      <c r="G52" s="189"/>
      <c r="H52" s="187" t="s">
        <v>313</v>
      </c>
      <c r="I52" s="189"/>
      <c r="J52" s="196" t="s">
        <v>313</v>
      </c>
      <c r="K52" s="196"/>
      <c r="L52" s="196"/>
      <c r="M52" s="196" t="s">
        <v>373</v>
      </c>
      <c r="N52" s="196"/>
      <c r="O52" s="196"/>
      <c r="P52" s="196"/>
      <c r="Q52" s="196"/>
    </row>
    <row r="53" spans="2:17" x14ac:dyDescent="0.45">
      <c r="E53" s="44" t="s">
        <v>288</v>
      </c>
      <c r="F53" s="196" t="s">
        <v>430</v>
      </c>
      <c r="G53" s="196"/>
      <c r="H53" s="196"/>
      <c r="I53" s="196"/>
      <c r="J53" s="196"/>
      <c r="K53" s="196"/>
      <c r="L53" s="196"/>
      <c r="M53" s="196"/>
      <c r="N53" s="196"/>
      <c r="O53" s="196"/>
      <c r="P53" s="196"/>
      <c r="Q53" s="196"/>
    </row>
    <row r="54" spans="2:17" x14ac:dyDescent="0.45">
      <c r="E54" s="44" t="s">
        <v>291</v>
      </c>
      <c r="F54" s="196" t="s">
        <v>332</v>
      </c>
      <c r="G54" s="196"/>
      <c r="H54" s="196"/>
      <c r="I54" s="196"/>
      <c r="J54" s="196"/>
      <c r="K54" s="196"/>
      <c r="L54" s="196"/>
      <c r="M54" s="196"/>
      <c r="N54" s="196"/>
      <c r="O54" s="196"/>
      <c r="P54" s="196"/>
      <c r="Q54" s="196"/>
    </row>
    <row r="55" spans="2:17" ht="17.25" customHeight="1" x14ac:dyDescent="0.45">
      <c r="E55" s="44" t="s">
        <v>316</v>
      </c>
      <c r="F55" s="197" t="s">
        <v>546</v>
      </c>
      <c r="G55" s="194"/>
      <c r="H55" s="194"/>
      <c r="I55" s="194"/>
      <c r="J55" s="194"/>
      <c r="K55" s="194"/>
      <c r="L55" s="194"/>
      <c r="M55" s="194"/>
      <c r="N55" s="194"/>
      <c r="O55" s="194"/>
      <c r="P55" s="194"/>
      <c r="Q55" s="198"/>
    </row>
    <row r="57" spans="2:17" x14ac:dyDescent="0.45">
      <c r="B57" s="43" t="s">
        <v>295</v>
      </c>
      <c r="C57" s="43" t="s">
        <v>296</v>
      </c>
      <c r="E57" s="44"/>
      <c r="F57" s="44" t="s">
        <v>297</v>
      </c>
      <c r="G57" s="44" t="s">
        <v>298</v>
      </c>
      <c r="H57" s="44" t="s">
        <v>299</v>
      </c>
      <c r="I57" s="44" t="s">
        <v>300</v>
      </c>
      <c r="J57" s="44" t="s">
        <v>301</v>
      </c>
      <c r="K57" s="44" t="s">
        <v>302</v>
      </c>
      <c r="L57" s="44" t="s">
        <v>303</v>
      </c>
      <c r="M57" s="44" t="s">
        <v>304</v>
      </c>
      <c r="N57" s="44" t="s">
        <v>305</v>
      </c>
      <c r="O57" s="44" t="s">
        <v>306</v>
      </c>
      <c r="P57" s="44" t="s">
        <v>307</v>
      </c>
      <c r="Q57" s="44" t="s">
        <v>308</v>
      </c>
    </row>
    <row r="58" spans="2:17" ht="17.25" customHeight="1" x14ac:dyDescent="0.45">
      <c r="B58" s="31" t="s">
        <v>549</v>
      </c>
      <c r="C58" s="31" t="s">
        <v>550</v>
      </c>
      <c r="E58" s="44" t="s">
        <v>310</v>
      </c>
      <c r="F58" s="55" t="s">
        <v>105</v>
      </c>
      <c r="G58" s="55" t="s">
        <v>105</v>
      </c>
      <c r="H58" s="208" t="s">
        <v>472</v>
      </c>
      <c r="I58" s="209"/>
      <c r="J58" s="209"/>
      <c r="K58" s="209"/>
      <c r="L58" s="209"/>
      <c r="M58" s="210"/>
      <c r="N58" s="205" t="s">
        <v>473</v>
      </c>
      <c r="O58" s="206"/>
      <c r="P58" s="206"/>
      <c r="Q58" s="207"/>
    </row>
    <row r="59" spans="2:17" ht="17" customHeight="1" x14ac:dyDescent="0.45">
      <c r="E59" s="44" t="s">
        <v>312</v>
      </c>
      <c r="F59" s="47" t="s">
        <v>551</v>
      </c>
      <c r="G59" s="49" t="s">
        <v>551</v>
      </c>
      <c r="H59" s="187" t="s">
        <v>552</v>
      </c>
      <c r="I59" s="188"/>
      <c r="J59" s="188"/>
      <c r="K59" s="188"/>
      <c r="L59" s="188"/>
      <c r="M59" s="188"/>
      <c r="N59" s="188"/>
      <c r="O59" s="188"/>
      <c r="P59" s="188"/>
      <c r="Q59" s="189"/>
    </row>
    <row r="60" spans="2:17" x14ac:dyDescent="0.45">
      <c r="E60" s="44" t="s">
        <v>288</v>
      </c>
      <c r="F60" s="187" t="s">
        <v>430</v>
      </c>
      <c r="G60" s="188"/>
      <c r="H60" s="188"/>
      <c r="I60" s="188"/>
      <c r="J60" s="188"/>
      <c r="K60" s="188"/>
      <c r="L60" s="188"/>
      <c r="M60" s="188"/>
      <c r="N60" s="188"/>
      <c r="O60" s="188"/>
      <c r="P60" s="188"/>
      <c r="Q60" s="189"/>
    </row>
    <row r="61" spans="2:17" x14ac:dyDescent="0.45">
      <c r="E61" s="44" t="s">
        <v>291</v>
      </c>
      <c r="F61" s="196" t="s">
        <v>332</v>
      </c>
      <c r="G61" s="196"/>
      <c r="H61" s="196"/>
      <c r="I61" s="196"/>
      <c r="J61" s="196"/>
      <c r="K61" s="196"/>
      <c r="L61" s="196"/>
      <c r="M61" s="196"/>
      <c r="N61" s="196"/>
      <c r="O61" s="196"/>
      <c r="P61" s="196"/>
      <c r="Q61" s="196"/>
    </row>
    <row r="62" spans="2:17" ht="17.25" customHeight="1" x14ac:dyDescent="0.45">
      <c r="E62" s="44" t="s">
        <v>316</v>
      </c>
      <c r="F62" s="197" t="s">
        <v>546</v>
      </c>
      <c r="G62" s="194"/>
      <c r="H62" s="194"/>
      <c r="I62" s="194"/>
      <c r="J62" s="194"/>
      <c r="K62" s="194"/>
      <c r="L62" s="194"/>
      <c r="M62" s="194"/>
      <c r="N62" s="194"/>
      <c r="O62" s="194"/>
      <c r="P62" s="194"/>
      <c r="Q62" s="198"/>
    </row>
    <row r="64" spans="2:17" x14ac:dyDescent="0.45">
      <c r="B64" s="43" t="s">
        <v>295</v>
      </c>
      <c r="C64" s="43" t="s">
        <v>296</v>
      </c>
      <c r="E64" s="44"/>
      <c r="F64" s="44" t="s">
        <v>297</v>
      </c>
      <c r="G64" s="44" t="s">
        <v>298</v>
      </c>
      <c r="H64" s="44" t="s">
        <v>299</v>
      </c>
      <c r="I64" s="44" t="s">
        <v>300</v>
      </c>
      <c r="J64" s="44" t="s">
        <v>301</v>
      </c>
      <c r="K64" s="44" t="s">
        <v>302</v>
      </c>
      <c r="L64" s="44" t="s">
        <v>303</v>
      </c>
      <c r="M64" s="44" t="s">
        <v>304</v>
      </c>
      <c r="N64" s="44" t="s">
        <v>305</v>
      </c>
      <c r="O64" s="44" t="s">
        <v>306</v>
      </c>
      <c r="P64" s="44" t="s">
        <v>307</v>
      </c>
      <c r="Q64" s="44" t="s">
        <v>308</v>
      </c>
    </row>
    <row r="65" spans="2:17" ht="17.25" customHeight="1" x14ac:dyDescent="0.45">
      <c r="B65" s="31" t="s">
        <v>553</v>
      </c>
      <c r="C65" s="31" t="s">
        <v>554</v>
      </c>
      <c r="E65" s="44" t="s">
        <v>310</v>
      </c>
      <c r="F65" s="202" t="s">
        <v>477</v>
      </c>
      <c r="G65" s="202"/>
      <c r="H65" s="202"/>
      <c r="I65" s="202"/>
      <c r="J65" s="202"/>
      <c r="K65" s="202"/>
      <c r="L65" s="202"/>
      <c r="M65" s="202"/>
      <c r="N65" s="205" t="s">
        <v>478</v>
      </c>
      <c r="O65" s="206"/>
      <c r="P65" s="206"/>
      <c r="Q65" s="207"/>
    </row>
    <row r="66" spans="2:17" x14ac:dyDescent="0.45">
      <c r="E66" s="44" t="s">
        <v>312</v>
      </c>
      <c r="F66" s="196" t="s">
        <v>313</v>
      </c>
      <c r="G66" s="196"/>
      <c r="H66" s="196"/>
      <c r="I66" s="196"/>
      <c r="J66" s="196"/>
      <c r="K66" s="196"/>
      <c r="L66" s="196"/>
      <c r="M66" s="196"/>
      <c r="N66" s="196" t="s">
        <v>555</v>
      </c>
      <c r="O66" s="196"/>
      <c r="P66" s="196"/>
      <c r="Q66" s="196"/>
    </row>
    <row r="67" spans="2:17" x14ac:dyDescent="0.45">
      <c r="E67" s="44" t="s">
        <v>288</v>
      </c>
      <c r="F67" s="196" t="s">
        <v>430</v>
      </c>
      <c r="G67" s="196"/>
      <c r="H67" s="196"/>
      <c r="I67" s="196"/>
      <c r="J67" s="196"/>
      <c r="K67" s="196"/>
      <c r="L67" s="196"/>
      <c r="M67" s="196"/>
      <c r="N67" s="196"/>
      <c r="O67" s="196"/>
      <c r="P67" s="196"/>
      <c r="Q67" s="196"/>
    </row>
    <row r="68" spans="2:17" x14ac:dyDescent="0.45">
      <c r="E68" s="44" t="s">
        <v>291</v>
      </c>
      <c r="F68" s="196" t="s">
        <v>332</v>
      </c>
      <c r="G68" s="196"/>
      <c r="H68" s="196"/>
      <c r="I68" s="196"/>
      <c r="J68" s="196"/>
      <c r="K68" s="196"/>
      <c r="L68" s="196"/>
      <c r="M68" s="196"/>
      <c r="N68" s="196"/>
      <c r="O68" s="196"/>
      <c r="P68" s="196"/>
      <c r="Q68" s="196"/>
    </row>
    <row r="69" spans="2:17" ht="17.25" customHeight="1" x14ac:dyDescent="0.45">
      <c r="E69" s="44" t="s">
        <v>316</v>
      </c>
      <c r="F69" s="197" t="s">
        <v>546</v>
      </c>
      <c r="G69" s="194"/>
      <c r="H69" s="194"/>
      <c r="I69" s="194"/>
      <c r="J69" s="194"/>
      <c r="K69" s="194"/>
      <c r="L69" s="194"/>
      <c r="M69" s="194"/>
      <c r="N69" s="194"/>
      <c r="O69" s="194"/>
      <c r="P69" s="194"/>
      <c r="Q69" s="198"/>
    </row>
    <row r="71" spans="2:17" x14ac:dyDescent="0.45">
      <c r="B71" s="43" t="s">
        <v>295</v>
      </c>
      <c r="C71" s="43" t="s">
        <v>296</v>
      </c>
      <c r="E71" s="44"/>
      <c r="F71" s="44" t="s">
        <v>297</v>
      </c>
      <c r="G71" s="44" t="s">
        <v>298</v>
      </c>
      <c r="H71" s="44" t="s">
        <v>299</v>
      </c>
      <c r="I71" s="44" t="s">
        <v>300</v>
      </c>
      <c r="J71" s="44" t="s">
        <v>301</v>
      </c>
      <c r="K71" s="44" t="s">
        <v>302</v>
      </c>
      <c r="L71" s="44" t="s">
        <v>303</v>
      </c>
      <c r="M71" s="44" t="s">
        <v>304</v>
      </c>
      <c r="N71" s="44" t="s">
        <v>305</v>
      </c>
      <c r="O71" s="44" t="s">
        <v>306</v>
      </c>
      <c r="P71" s="44" t="s">
        <v>307</v>
      </c>
      <c r="Q71" s="44" t="s">
        <v>308</v>
      </c>
    </row>
    <row r="72" spans="2:17" ht="17.25" customHeight="1" x14ac:dyDescent="0.45">
      <c r="B72" s="31" t="s">
        <v>556</v>
      </c>
      <c r="C72" s="31" t="s">
        <v>557</v>
      </c>
      <c r="E72" s="44" t="s">
        <v>310</v>
      </c>
      <c r="F72" s="55" t="s">
        <v>105</v>
      </c>
      <c r="G72" s="55" t="s">
        <v>105</v>
      </c>
      <c r="H72" s="55" t="s">
        <v>105</v>
      </c>
      <c r="I72" s="55" t="s">
        <v>105</v>
      </c>
      <c r="J72" s="55" t="s">
        <v>105</v>
      </c>
      <c r="K72" s="55" t="s">
        <v>105</v>
      </c>
      <c r="L72" s="55" t="s">
        <v>105</v>
      </c>
      <c r="M72" s="55" t="s">
        <v>105</v>
      </c>
      <c r="N72" s="55" t="s">
        <v>105</v>
      </c>
      <c r="O72" s="55" t="s">
        <v>105</v>
      </c>
      <c r="P72" s="55" t="s">
        <v>105</v>
      </c>
      <c r="Q72" s="55" t="s">
        <v>105</v>
      </c>
    </row>
    <row r="73" spans="2:17" x14ac:dyDescent="0.45">
      <c r="E73" s="44" t="s">
        <v>312</v>
      </c>
      <c r="F73" s="56" t="s">
        <v>313</v>
      </c>
      <c r="G73" s="56" t="s">
        <v>313</v>
      </c>
      <c r="H73" s="56" t="s">
        <v>313</v>
      </c>
      <c r="I73" s="56" t="s">
        <v>313</v>
      </c>
      <c r="J73" s="56" t="s">
        <v>313</v>
      </c>
      <c r="K73" s="56" t="s">
        <v>313</v>
      </c>
      <c r="L73" s="56" t="s">
        <v>313</v>
      </c>
      <c r="M73" s="56" t="s">
        <v>313</v>
      </c>
      <c r="N73" s="56" t="s">
        <v>313</v>
      </c>
      <c r="O73" s="56" t="s">
        <v>313</v>
      </c>
      <c r="P73" s="56" t="s">
        <v>313</v>
      </c>
      <c r="Q73" s="56" t="s">
        <v>313</v>
      </c>
    </row>
    <row r="74" spans="2:17" x14ac:dyDescent="0.45">
      <c r="E74" s="44" t="s">
        <v>288</v>
      </c>
      <c r="F74" s="196" t="s">
        <v>430</v>
      </c>
      <c r="G74" s="196"/>
      <c r="H74" s="196"/>
      <c r="I74" s="196"/>
      <c r="J74" s="196"/>
      <c r="K74" s="196"/>
      <c r="L74" s="196"/>
      <c r="M74" s="196"/>
      <c r="N74" s="196"/>
      <c r="O74" s="196"/>
      <c r="P74" s="196"/>
      <c r="Q74" s="196"/>
    </row>
    <row r="75" spans="2:17" x14ac:dyDescent="0.45">
      <c r="E75" s="44" t="s">
        <v>291</v>
      </c>
      <c r="F75" s="196" t="s">
        <v>332</v>
      </c>
      <c r="G75" s="196"/>
      <c r="H75" s="196"/>
      <c r="I75" s="196"/>
      <c r="J75" s="196"/>
      <c r="K75" s="196"/>
      <c r="L75" s="196"/>
      <c r="M75" s="196"/>
      <c r="N75" s="196"/>
      <c r="O75" s="196"/>
      <c r="P75" s="196"/>
      <c r="Q75" s="196"/>
    </row>
    <row r="76" spans="2:17" ht="17.25" customHeight="1" x14ac:dyDescent="0.45">
      <c r="E76" s="44" t="s">
        <v>316</v>
      </c>
      <c r="F76" s="197" t="s">
        <v>546</v>
      </c>
      <c r="G76" s="194"/>
      <c r="H76" s="194"/>
      <c r="I76" s="194"/>
      <c r="J76" s="194"/>
      <c r="K76" s="194"/>
      <c r="L76" s="194"/>
      <c r="M76" s="194"/>
      <c r="N76" s="194"/>
      <c r="O76" s="194"/>
      <c r="P76" s="194"/>
      <c r="Q76" s="198"/>
    </row>
    <row r="77" spans="2:17" ht="17.25" customHeight="1" x14ac:dyDescent="0.45">
      <c r="F77" s="42"/>
      <c r="G77" s="42"/>
      <c r="H77" s="42"/>
      <c r="I77" s="42"/>
      <c r="J77" s="42"/>
      <c r="K77" s="42"/>
      <c r="L77" s="42"/>
      <c r="M77" s="42"/>
      <c r="N77" s="42"/>
      <c r="O77" s="42"/>
      <c r="P77" s="42"/>
      <c r="Q77" s="42"/>
    </row>
    <row r="78" spans="2:17" x14ac:dyDescent="0.45">
      <c r="B78" s="43" t="s">
        <v>295</v>
      </c>
      <c r="C78" s="43" t="s">
        <v>296</v>
      </c>
      <c r="E78" s="44"/>
      <c r="F78" s="44" t="s">
        <v>297</v>
      </c>
      <c r="G78" s="44" t="s">
        <v>298</v>
      </c>
      <c r="H78" s="44" t="s">
        <v>299</v>
      </c>
      <c r="I78" s="44" t="s">
        <v>300</v>
      </c>
      <c r="J78" s="44" t="s">
        <v>301</v>
      </c>
      <c r="K78" s="44" t="s">
        <v>302</v>
      </c>
      <c r="L78" s="44" t="s">
        <v>303</v>
      </c>
      <c r="M78" s="44" t="s">
        <v>304</v>
      </c>
      <c r="N78" s="44" t="s">
        <v>305</v>
      </c>
      <c r="O78" s="44" t="s">
        <v>306</v>
      </c>
      <c r="P78" s="44" t="s">
        <v>307</v>
      </c>
      <c r="Q78" s="44" t="s">
        <v>308</v>
      </c>
    </row>
    <row r="79" spans="2:17" ht="17.25" customHeight="1" x14ac:dyDescent="0.45">
      <c r="B79" s="31" t="s">
        <v>558</v>
      </c>
      <c r="C79" s="31" t="s">
        <v>559</v>
      </c>
      <c r="E79" s="44" t="s">
        <v>310</v>
      </c>
      <c r="F79" s="1" t="s">
        <v>311</v>
      </c>
      <c r="G79" s="1" t="s">
        <v>311</v>
      </c>
      <c r="H79" s="1" t="s">
        <v>311</v>
      </c>
      <c r="I79" s="1" t="s">
        <v>311</v>
      </c>
      <c r="J79" s="1" t="s">
        <v>311</v>
      </c>
      <c r="K79" s="1" t="s">
        <v>311</v>
      </c>
      <c r="L79" s="55" t="s">
        <v>105</v>
      </c>
      <c r="M79" s="55" t="s">
        <v>105</v>
      </c>
      <c r="N79" s="55" t="s">
        <v>105</v>
      </c>
      <c r="O79" s="55" t="s">
        <v>105</v>
      </c>
      <c r="P79" s="55" t="s">
        <v>105</v>
      </c>
      <c r="Q79" s="55" t="s">
        <v>105</v>
      </c>
    </row>
    <row r="80" spans="2:17" x14ac:dyDescent="0.45">
      <c r="B80" s="40"/>
      <c r="E80" s="44" t="s">
        <v>312</v>
      </c>
      <c r="L80" s="56" t="s">
        <v>313</v>
      </c>
      <c r="M80" s="56" t="s">
        <v>313</v>
      </c>
      <c r="N80" s="56" t="s">
        <v>313</v>
      </c>
      <c r="O80" s="56" t="s">
        <v>313</v>
      </c>
      <c r="P80" s="56" t="s">
        <v>313</v>
      </c>
      <c r="Q80" s="56" t="s">
        <v>313</v>
      </c>
    </row>
    <row r="81" spans="2:17" x14ac:dyDescent="0.45">
      <c r="B81" s="40"/>
      <c r="E81" s="44" t="s">
        <v>288</v>
      </c>
      <c r="F81" s="196" t="s">
        <v>430</v>
      </c>
      <c r="G81" s="196"/>
      <c r="H81" s="196"/>
      <c r="I81" s="196"/>
      <c r="J81" s="196"/>
      <c r="K81" s="196"/>
      <c r="L81" s="196"/>
      <c r="M81" s="196"/>
      <c r="N81" s="196"/>
      <c r="O81" s="196"/>
      <c r="P81" s="196"/>
      <c r="Q81" s="196"/>
    </row>
    <row r="82" spans="2:17" x14ac:dyDescent="0.45">
      <c r="B82" s="40"/>
      <c r="E82" s="44" t="s">
        <v>291</v>
      </c>
      <c r="F82" s="196" t="s">
        <v>332</v>
      </c>
      <c r="G82" s="196"/>
      <c r="H82" s="196"/>
      <c r="I82" s="196"/>
      <c r="J82" s="196"/>
      <c r="K82" s="196"/>
      <c r="L82" s="196"/>
      <c r="M82" s="196"/>
      <c r="N82" s="196"/>
      <c r="O82" s="196"/>
      <c r="P82" s="196"/>
      <c r="Q82" s="196"/>
    </row>
    <row r="83" spans="2:17" ht="17.25" customHeight="1" x14ac:dyDescent="0.45">
      <c r="B83" s="40"/>
      <c r="E83" s="44" t="s">
        <v>316</v>
      </c>
      <c r="F83" s="197" t="s">
        <v>546</v>
      </c>
      <c r="G83" s="194"/>
      <c r="H83" s="194"/>
      <c r="I83" s="194"/>
      <c r="J83" s="194"/>
      <c r="K83" s="194"/>
      <c r="L83" s="194"/>
      <c r="M83" s="194"/>
      <c r="N83" s="194"/>
      <c r="O83" s="194"/>
      <c r="P83" s="194"/>
      <c r="Q83" s="198"/>
    </row>
    <row r="84" spans="2:17" ht="17.25" customHeight="1" x14ac:dyDescent="0.45">
      <c r="B84" s="40"/>
      <c r="F84" s="42"/>
      <c r="G84" s="42"/>
      <c r="H84" s="42"/>
      <c r="I84" s="42"/>
      <c r="J84" s="42"/>
      <c r="K84" s="42"/>
      <c r="L84" s="42"/>
      <c r="M84" s="42"/>
      <c r="N84" s="42"/>
      <c r="O84" s="42"/>
      <c r="P84" s="42"/>
      <c r="Q84" s="42"/>
    </row>
    <row r="85" spans="2:17" x14ac:dyDescent="0.45">
      <c r="B85" s="43" t="s">
        <v>295</v>
      </c>
      <c r="C85" s="43" t="s">
        <v>296</v>
      </c>
      <c r="E85" s="44"/>
      <c r="F85" s="44" t="s">
        <v>297</v>
      </c>
      <c r="G85" s="44" t="s">
        <v>298</v>
      </c>
      <c r="H85" s="44" t="s">
        <v>299</v>
      </c>
      <c r="I85" s="44" t="s">
        <v>300</v>
      </c>
      <c r="J85" s="44" t="s">
        <v>301</v>
      </c>
      <c r="K85" s="44" t="s">
        <v>302</v>
      </c>
      <c r="L85" s="44" t="s">
        <v>303</v>
      </c>
      <c r="M85" s="44" t="s">
        <v>304</v>
      </c>
      <c r="N85" s="44" t="s">
        <v>305</v>
      </c>
      <c r="O85" s="44" t="s">
        <v>306</v>
      </c>
      <c r="P85" s="44" t="s">
        <v>307</v>
      </c>
      <c r="Q85" s="44" t="s">
        <v>308</v>
      </c>
    </row>
    <row r="86" spans="2:17" ht="17.25" customHeight="1" x14ac:dyDescent="0.45">
      <c r="B86" s="31" t="s">
        <v>560</v>
      </c>
      <c r="C86" s="31" t="s">
        <v>485</v>
      </c>
      <c r="E86" s="44" t="s">
        <v>310</v>
      </c>
      <c r="F86" s="1" t="s">
        <v>311</v>
      </c>
      <c r="G86" s="1" t="s">
        <v>311</v>
      </c>
      <c r="H86" s="55" t="s">
        <v>105</v>
      </c>
      <c r="I86" s="208" t="s">
        <v>487</v>
      </c>
      <c r="J86" s="209"/>
      <c r="K86" s="209"/>
      <c r="L86" s="209"/>
      <c r="M86" s="209"/>
      <c r="N86" s="209"/>
      <c r="O86" s="209"/>
      <c r="P86" s="209"/>
      <c r="Q86" s="210"/>
    </row>
    <row r="87" spans="2:17" x14ac:dyDescent="0.45">
      <c r="B87" s="40"/>
      <c r="E87" s="44" t="s">
        <v>312</v>
      </c>
      <c r="H87" s="56" t="s">
        <v>313</v>
      </c>
      <c r="I87" s="187" t="s">
        <v>354</v>
      </c>
      <c r="J87" s="188"/>
      <c r="K87" s="188"/>
      <c r="L87" s="188"/>
      <c r="M87" s="188"/>
      <c r="N87" s="188"/>
      <c r="O87" s="188"/>
      <c r="P87" s="188"/>
      <c r="Q87" s="189"/>
    </row>
    <row r="88" spans="2:17" x14ac:dyDescent="0.45">
      <c r="B88" s="40"/>
      <c r="E88" s="44" t="s">
        <v>288</v>
      </c>
      <c r="F88" s="196" t="s">
        <v>430</v>
      </c>
      <c r="G88" s="196"/>
      <c r="H88" s="196"/>
      <c r="I88" s="196"/>
      <c r="J88" s="196"/>
      <c r="K88" s="196"/>
      <c r="L88" s="196"/>
      <c r="M88" s="196"/>
      <c r="N88" s="196"/>
      <c r="O88" s="196"/>
      <c r="P88" s="196"/>
      <c r="Q88" s="196"/>
    </row>
    <row r="89" spans="2:17" x14ac:dyDescent="0.45">
      <c r="B89" s="40"/>
      <c r="E89" s="44" t="s">
        <v>291</v>
      </c>
      <c r="F89" s="196" t="s">
        <v>332</v>
      </c>
      <c r="G89" s="196"/>
      <c r="H89" s="196"/>
      <c r="I89" s="196"/>
      <c r="J89" s="196"/>
      <c r="K89" s="196"/>
      <c r="L89" s="196"/>
      <c r="M89" s="196"/>
      <c r="N89" s="196"/>
      <c r="O89" s="196"/>
      <c r="P89" s="196"/>
      <c r="Q89" s="196"/>
    </row>
    <row r="90" spans="2:17" ht="17.25" customHeight="1" x14ac:dyDescent="0.45">
      <c r="B90" s="40"/>
      <c r="E90" s="44" t="s">
        <v>316</v>
      </c>
      <c r="F90" s="197" t="s">
        <v>546</v>
      </c>
      <c r="G90" s="194"/>
      <c r="H90" s="194"/>
      <c r="I90" s="194"/>
      <c r="J90" s="194"/>
      <c r="K90" s="194"/>
      <c r="L90" s="194"/>
      <c r="M90" s="194"/>
      <c r="N90" s="194"/>
      <c r="O90" s="194"/>
      <c r="P90" s="194"/>
      <c r="Q90" s="198"/>
    </row>
    <row r="92" spans="2:17" x14ac:dyDescent="0.45">
      <c r="B92" s="43" t="s">
        <v>295</v>
      </c>
      <c r="C92" s="43" t="s">
        <v>296</v>
      </c>
      <c r="E92" s="44"/>
      <c r="F92" s="44" t="s">
        <v>297</v>
      </c>
      <c r="G92" s="44" t="s">
        <v>298</v>
      </c>
      <c r="H92" s="44" t="s">
        <v>299</v>
      </c>
      <c r="I92" s="44" t="s">
        <v>300</v>
      </c>
      <c r="J92" s="44" t="s">
        <v>301</v>
      </c>
      <c r="K92" s="44" t="s">
        <v>302</v>
      </c>
      <c r="L92" s="44" t="s">
        <v>303</v>
      </c>
      <c r="M92" s="44" t="s">
        <v>304</v>
      </c>
      <c r="N92" s="44" t="s">
        <v>305</v>
      </c>
      <c r="O92" s="44" t="s">
        <v>306</v>
      </c>
      <c r="P92" s="44" t="s">
        <v>307</v>
      </c>
      <c r="Q92" s="44" t="s">
        <v>308</v>
      </c>
    </row>
    <row r="93" spans="2:17" ht="17.25" customHeight="1" x14ac:dyDescent="0.45">
      <c r="B93" s="31" t="s">
        <v>561</v>
      </c>
      <c r="C93" s="31" t="s">
        <v>488</v>
      </c>
      <c r="E93" s="44" t="s">
        <v>310</v>
      </c>
      <c r="F93" s="1" t="s">
        <v>311</v>
      </c>
      <c r="G93" s="1" t="s">
        <v>311</v>
      </c>
      <c r="H93" s="1" t="s">
        <v>311</v>
      </c>
      <c r="I93" s="1" t="s">
        <v>311</v>
      </c>
      <c r="J93" s="1" t="s">
        <v>311</v>
      </c>
      <c r="K93" s="1" t="s">
        <v>311</v>
      </c>
      <c r="L93" s="55" t="s">
        <v>105</v>
      </c>
      <c r="M93" s="208" t="s">
        <v>490</v>
      </c>
      <c r="N93" s="209"/>
      <c r="O93" s="209"/>
      <c r="P93" s="209"/>
      <c r="Q93" s="210"/>
    </row>
    <row r="94" spans="2:17" x14ac:dyDescent="0.45">
      <c r="B94" s="40"/>
      <c r="E94" s="44" t="s">
        <v>312</v>
      </c>
      <c r="L94" s="56" t="s">
        <v>313</v>
      </c>
      <c r="M94" s="187" t="s">
        <v>562</v>
      </c>
      <c r="N94" s="188"/>
      <c r="O94" s="188"/>
      <c r="P94" s="188"/>
      <c r="Q94" s="189"/>
    </row>
    <row r="95" spans="2:17" x14ac:dyDescent="0.45">
      <c r="B95" s="40"/>
      <c r="E95" s="44" t="s">
        <v>288</v>
      </c>
      <c r="F95" s="196" t="s">
        <v>430</v>
      </c>
      <c r="G95" s="196"/>
      <c r="H95" s="196"/>
      <c r="I95" s="196"/>
      <c r="J95" s="196"/>
      <c r="K95" s="196"/>
      <c r="L95" s="196"/>
      <c r="M95" s="196"/>
      <c r="N95" s="196"/>
      <c r="O95" s="196"/>
      <c r="P95" s="196"/>
      <c r="Q95" s="196"/>
    </row>
    <row r="96" spans="2:17" x14ac:dyDescent="0.45">
      <c r="B96" s="40"/>
      <c r="E96" s="44" t="s">
        <v>291</v>
      </c>
      <c r="F96" s="196" t="s">
        <v>332</v>
      </c>
      <c r="G96" s="196"/>
      <c r="H96" s="196"/>
      <c r="I96" s="196"/>
      <c r="J96" s="196"/>
      <c r="K96" s="196"/>
      <c r="L96" s="196"/>
      <c r="M96" s="196"/>
      <c r="N96" s="196"/>
      <c r="O96" s="196"/>
      <c r="P96" s="196"/>
      <c r="Q96" s="196"/>
    </row>
    <row r="97" spans="2:17" ht="17.25" customHeight="1" x14ac:dyDescent="0.45">
      <c r="B97" s="40"/>
      <c r="E97" s="44" t="s">
        <v>316</v>
      </c>
      <c r="F97" s="197" t="s">
        <v>546</v>
      </c>
      <c r="G97" s="194"/>
      <c r="H97" s="194"/>
      <c r="I97" s="194"/>
      <c r="J97" s="194"/>
      <c r="K97" s="194"/>
      <c r="L97" s="194"/>
      <c r="M97" s="194"/>
      <c r="N97" s="194"/>
      <c r="O97" s="194"/>
      <c r="P97" s="194"/>
      <c r="Q97" s="198"/>
    </row>
    <row r="98" spans="2:17" ht="17.25" customHeight="1" x14ac:dyDescent="0.45">
      <c r="B98" s="40"/>
      <c r="F98" s="42"/>
      <c r="G98" s="42"/>
      <c r="H98" s="42"/>
      <c r="I98" s="42"/>
      <c r="J98" s="42"/>
      <c r="K98" s="42"/>
      <c r="L98" s="42"/>
      <c r="M98" s="42"/>
      <c r="N98" s="42"/>
      <c r="O98" s="42"/>
      <c r="P98" s="42"/>
      <c r="Q98" s="42"/>
    </row>
    <row r="99" spans="2:17" x14ac:dyDescent="0.45">
      <c r="B99" s="43" t="s">
        <v>295</v>
      </c>
      <c r="C99" s="43" t="s">
        <v>296</v>
      </c>
      <c r="E99" s="44"/>
      <c r="F99" s="44" t="s">
        <v>297</v>
      </c>
      <c r="G99" s="44" t="s">
        <v>298</v>
      </c>
      <c r="H99" s="44" t="s">
        <v>299</v>
      </c>
      <c r="I99" s="44" t="s">
        <v>300</v>
      </c>
      <c r="J99" s="44" t="s">
        <v>301</v>
      </c>
      <c r="K99" s="44" t="s">
        <v>302</v>
      </c>
      <c r="L99" s="44" t="s">
        <v>303</v>
      </c>
      <c r="M99" s="44" t="s">
        <v>304</v>
      </c>
      <c r="N99" s="44" t="s">
        <v>305</v>
      </c>
      <c r="O99" s="44" t="s">
        <v>306</v>
      </c>
      <c r="P99" s="44" t="s">
        <v>307</v>
      </c>
      <c r="Q99" s="44" t="s">
        <v>308</v>
      </c>
    </row>
    <row r="100" spans="2:17" ht="16.5" customHeight="1" x14ac:dyDescent="0.45">
      <c r="B100" s="31" t="s">
        <v>563</v>
      </c>
      <c r="C100" s="31" t="s">
        <v>492</v>
      </c>
      <c r="E100" s="44" t="s">
        <v>310</v>
      </c>
      <c r="F100" s="1" t="s">
        <v>311</v>
      </c>
      <c r="G100" s="55" t="s">
        <v>105</v>
      </c>
      <c r="H100" s="55" t="s">
        <v>105</v>
      </c>
      <c r="I100" s="55" t="s">
        <v>105</v>
      </c>
      <c r="J100" s="202" t="s">
        <v>494</v>
      </c>
      <c r="K100" s="202"/>
      <c r="L100" s="202"/>
      <c r="M100" s="202"/>
      <c r="N100" s="202"/>
      <c r="O100" s="202"/>
      <c r="P100" s="202"/>
      <c r="Q100" s="202"/>
    </row>
    <row r="101" spans="2:17" x14ac:dyDescent="0.45">
      <c r="E101" s="44" t="s">
        <v>312</v>
      </c>
      <c r="G101" s="56" t="s">
        <v>313</v>
      </c>
      <c r="H101" s="56" t="s">
        <v>313</v>
      </c>
      <c r="I101" s="56" t="s">
        <v>313</v>
      </c>
      <c r="J101" s="187" t="s">
        <v>564</v>
      </c>
      <c r="K101" s="188"/>
      <c r="L101" s="188"/>
      <c r="M101" s="188"/>
      <c r="N101" s="188"/>
      <c r="O101" s="188"/>
      <c r="P101" s="188"/>
      <c r="Q101" s="189"/>
    </row>
    <row r="102" spans="2:17" x14ac:dyDescent="0.45">
      <c r="E102" s="44" t="s">
        <v>288</v>
      </c>
      <c r="F102" s="196" t="s">
        <v>430</v>
      </c>
      <c r="G102" s="196"/>
      <c r="H102" s="196"/>
      <c r="I102" s="196"/>
      <c r="J102" s="196"/>
      <c r="K102" s="196"/>
      <c r="L102" s="196"/>
      <c r="M102" s="196"/>
      <c r="N102" s="196"/>
      <c r="O102" s="196"/>
      <c r="P102" s="196"/>
      <c r="Q102" s="196"/>
    </row>
    <row r="103" spans="2:17" x14ac:dyDescent="0.45">
      <c r="E103" s="44" t="s">
        <v>291</v>
      </c>
      <c r="F103" s="196" t="s">
        <v>332</v>
      </c>
      <c r="G103" s="196"/>
      <c r="H103" s="196"/>
      <c r="I103" s="196"/>
      <c r="J103" s="196"/>
      <c r="K103" s="196"/>
      <c r="L103" s="196"/>
      <c r="M103" s="196"/>
      <c r="N103" s="196"/>
      <c r="O103" s="196"/>
      <c r="P103" s="196"/>
      <c r="Q103" s="196"/>
    </row>
    <row r="104" spans="2:17" ht="27" customHeight="1" x14ac:dyDescent="0.45">
      <c r="E104" s="44" t="s">
        <v>316</v>
      </c>
      <c r="F104" s="211" t="s">
        <v>565</v>
      </c>
      <c r="G104" s="211"/>
      <c r="H104" s="211"/>
      <c r="I104" s="211"/>
      <c r="J104" s="211"/>
      <c r="K104" s="211"/>
      <c r="L104" s="211"/>
      <c r="M104" s="211"/>
      <c r="N104" s="211"/>
      <c r="O104" s="211"/>
      <c r="P104" s="211"/>
      <c r="Q104" s="211"/>
    </row>
    <row r="106" spans="2:17" x14ac:dyDescent="0.45">
      <c r="B106" s="43" t="s">
        <v>295</v>
      </c>
      <c r="C106" s="43" t="s">
        <v>296</v>
      </c>
      <c r="E106" s="44"/>
      <c r="F106" s="44" t="s">
        <v>297</v>
      </c>
      <c r="G106" s="44" t="s">
        <v>298</v>
      </c>
      <c r="H106" s="44" t="s">
        <v>299</v>
      </c>
      <c r="I106" s="44" t="s">
        <v>300</v>
      </c>
      <c r="J106" s="44" t="s">
        <v>301</v>
      </c>
      <c r="K106" s="44" t="s">
        <v>302</v>
      </c>
      <c r="L106" s="44" t="s">
        <v>303</v>
      </c>
      <c r="M106" s="44" t="s">
        <v>304</v>
      </c>
      <c r="N106" s="44" t="s">
        <v>305</v>
      </c>
      <c r="O106" s="44" t="s">
        <v>306</v>
      </c>
      <c r="P106" s="44" t="s">
        <v>307</v>
      </c>
      <c r="Q106" s="44" t="s">
        <v>308</v>
      </c>
    </row>
    <row r="107" spans="2:17" ht="16.5" customHeight="1" x14ac:dyDescent="0.45">
      <c r="B107" s="31" t="s">
        <v>566</v>
      </c>
      <c r="C107" s="31" t="s">
        <v>496</v>
      </c>
      <c r="E107" s="44" t="s">
        <v>310</v>
      </c>
      <c r="F107" s="1" t="s">
        <v>311</v>
      </c>
      <c r="G107" s="55" t="s">
        <v>105</v>
      </c>
      <c r="H107" s="55" t="s">
        <v>105</v>
      </c>
      <c r="I107" s="55" t="s">
        <v>105</v>
      </c>
      <c r="J107" s="202" t="s">
        <v>494</v>
      </c>
      <c r="K107" s="202"/>
      <c r="L107" s="202"/>
      <c r="M107" s="202"/>
      <c r="N107" s="202"/>
      <c r="O107" s="202"/>
      <c r="P107" s="202"/>
      <c r="Q107" s="202"/>
    </row>
    <row r="108" spans="2:17" x14ac:dyDescent="0.45">
      <c r="E108" s="44" t="s">
        <v>312</v>
      </c>
      <c r="G108" s="56" t="s">
        <v>313</v>
      </c>
      <c r="H108" s="56" t="s">
        <v>313</v>
      </c>
      <c r="I108" s="56" t="s">
        <v>313</v>
      </c>
      <c r="J108" s="187" t="s">
        <v>564</v>
      </c>
      <c r="K108" s="188"/>
      <c r="L108" s="188"/>
      <c r="M108" s="188"/>
      <c r="N108" s="188"/>
      <c r="O108" s="188"/>
      <c r="P108" s="188"/>
      <c r="Q108" s="189"/>
    </row>
    <row r="109" spans="2:17" x14ac:dyDescent="0.45">
      <c r="E109" s="44" t="s">
        <v>288</v>
      </c>
      <c r="F109" s="196" t="s">
        <v>430</v>
      </c>
      <c r="G109" s="196"/>
      <c r="H109" s="196"/>
      <c r="I109" s="196"/>
      <c r="J109" s="196"/>
      <c r="K109" s="196"/>
      <c r="L109" s="196"/>
      <c r="M109" s="196"/>
      <c r="N109" s="196"/>
      <c r="O109" s="196"/>
      <c r="P109" s="196"/>
      <c r="Q109" s="196"/>
    </row>
    <row r="110" spans="2:17" x14ac:dyDescent="0.45">
      <c r="E110" s="44" t="s">
        <v>291</v>
      </c>
      <c r="F110" s="196" t="s">
        <v>332</v>
      </c>
      <c r="G110" s="196"/>
      <c r="H110" s="196"/>
      <c r="I110" s="196"/>
      <c r="J110" s="196"/>
      <c r="K110" s="196"/>
      <c r="L110" s="196"/>
      <c r="M110" s="196"/>
      <c r="N110" s="196"/>
      <c r="O110" s="196"/>
      <c r="P110" s="196"/>
      <c r="Q110" s="196"/>
    </row>
    <row r="111" spans="2:17" x14ac:dyDescent="0.45">
      <c r="B111" s="40"/>
      <c r="E111" s="44" t="s">
        <v>316</v>
      </c>
      <c r="F111" s="211" t="s">
        <v>567</v>
      </c>
      <c r="G111" s="211"/>
      <c r="H111" s="211"/>
      <c r="I111" s="211"/>
      <c r="J111" s="211"/>
      <c r="K111" s="211"/>
      <c r="L111" s="211"/>
      <c r="M111" s="211"/>
      <c r="N111" s="211"/>
      <c r="O111" s="211"/>
      <c r="P111" s="211"/>
      <c r="Q111" s="211"/>
    </row>
    <row r="113" spans="2:17" x14ac:dyDescent="0.45">
      <c r="B113" s="43" t="s">
        <v>295</v>
      </c>
      <c r="C113" s="43" t="s">
        <v>296</v>
      </c>
      <c r="E113" s="44"/>
      <c r="F113" s="44" t="s">
        <v>297</v>
      </c>
      <c r="G113" s="44" t="s">
        <v>298</v>
      </c>
      <c r="H113" s="44" t="s">
        <v>299</v>
      </c>
      <c r="I113" s="44" t="s">
        <v>300</v>
      </c>
      <c r="J113" s="44" t="s">
        <v>301</v>
      </c>
      <c r="K113" s="44" t="s">
        <v>302</v>
      </c>
      <c r="L113" s="44" t="s">
        <v>303</v>
      </c>
      <c r="M113" s="44" t="s">
        <v>304</v>
      </c>
      <c r="N113" s="44" t="s">
        <v>305</v>
      </c>
      <c r="O113" s="44" t="s">
        <v>306</v>
      </c>
      <c r="P113" s="44" t="s">
        <v>307</v>
      </c>
      <c r="Q113" s="44" t="s">
        <v>308</v>
      </c>
    </row>
    <row r="114" spans="2:17" ht="17" customHeight="1" x14ac:dyDescent="0.45">
      <c r="B114" s="31" t="s">
        <v>568</v>
      </c>
      <c r="C114" s="31" t="s">
        <v>499</v>
      </c>
      <c r="E114" s="44" t="s">
        <v>310</v>
      </c>
      <c r="F114" s="1" t="s">
        <v>311</v>
      </c>
      <c r="G114" s="55" t="s">
        <v>105</v>
      </c>
      <c r="H114" s="55" t="s">
        <v>105</v>
      </c>
      <c r="I114" s="55" t="s">
        <v>105</v>
      </c>
      <c r="J114" s="202" t="s">
        <v>494</v>
      </c>
      <c r="K114" s="202"/>
      <c r="L114" s="202"/>
      <c r="M114" s="202"/>
      <c r="N114" s="202"/>
      <c r="O114" s="202"/>
      <c r="P114" s="202"/>
      <c r="Q114" s="202"/>
    </row>
    <row r="115" spans="2:17" x14ac:dyDescent="0.45">
      <c r="E115" s="44" t="s">
        <v>312</v>
      </c>
      <c r="G115" s="56" t="s">
        <v>313</v>
      </c>
      <c r="H115" s="56" t="s">
        <v>313</v>
      </c>
      <c r="I115" s="56" t="s">
        <v>313</v>
      </c>
      <c r="J115" s="187" t="s">
        <v>564</v>
      </c>
      <c r="K115" s="188"/>
      <c r="L115" s="188"/>
      <c r="M115" s="188"/>
      <c r="N115" s="188"/>
      <c r="O115" s="188"/>
      <c r="P115" s="188"/>
      <c r="Q115" s="189"/>
    </row>
    <row r="116" spans="2:17" x14ac:dyDescent="0.45">
      <c r="E116" s="44" t="s">
        <v>288</v>
      </c>
      <c r="F116" s="196" t="s">
        <v>430</v>
      </c>
      <c r="G116" s="196"/>
      <c r="H116" s="196"/>
      <c r="I116" s="196"/>
      <c r="J116" s="196"/>
      <c r="K116" s="196"/>
      <c r="L116" s="196"/>
      <c r="M116" s="196"/>
      <c r="N116" s="196"/>
      <c r="O116" s="196"/>
      <c r="P116" s="196"/>
      <c r="Q116" s="196"/>
    </row>
    <row r="117" spans="2:17" x14ac:dyDescent="0.45">
      <c r="E117" s="44" t="s">
        <v>291</v>
      </c>
      <c r="F117" s="196" t="s">
        <v>332</v>
      </c>
      <c r="G117" s="196"/>
      <c r="H117" s="196"/>
      <c r="I117" s="196"/>
      <c r="J117" s="196"/>
      <c r="K117" s="196"/>
      <c r="L117" s="196"/>
      <c r="M117" s="196"/>
      <c r="N117" s="196"/>
      <c r="O117" s="196"/>
      <c r="P117" s="196"/>
      <c r="Q117" s="196"/>
    </row>
    <row r="118" spans="2:17" ht="17.25" customHeight="1" x14ac:dyDescent="0.45">
      <c r="E118" s="44" t="s">
        <v>316</v>
      </c>
      <c r="F118" s="211" t="s">
        <v>567</v>
      </c>
      <c r="G118" s="211"/>
      <c r="H118" s="211"/>
      <c r="I118" s="211"/>
      <c r="J118" s="211"/>
      <c r="K118" s="211"/>
      <c r="L118" s="211"/>
      <c r="M118" s="211"/>
      <c r="N118" s="211"/>
      <c r="O118" s="211"/>
      <c r="P118" s="211"/>
      <c r="Q118" s="211"/>
    </row>
    <row r="120" spans="2:17" x14ac:dyDescent="0.45">
      <c r="B120" s="43" t="s">
        <v>295</v>
      </c>
      <c r="C120" s="43" t="s">
        <v>296</v>
      </c>
      <c r="E120" s="44"/>
      <c r="F120" s="44" t="s">
        <v>297</v>
      </c>
      <c r="G120" s="44" t="s">
        <v>298</v>
      </c>
      <c r="H120" s="44" t="s">
        <v>299</v>
      </c>
      <c r="I120" s="44" t="s">
        <v>300</v>
      </c>
      <c r="J120" s="44" t="s">
        <v>301</v>
      </c>
      <c r="K120" s="44" t="s">
        <v>302</v>
      </c>
      <c r="L120" s="44" t="s">
        <v>303</v>
      </c>
      <c r="M120" s="44" t="s">
        <v>304</v>
      </c>
      <c r="N120" s="44" t="s">
        <v>305</v>
      </c>
      <c r="O120" s="44" t="s">
        <v>306</v>
      </c>
      <c r="P120" s="44" t="s">
        <v>307</v>
      </c>
      <c r="Q120" s="44" t="s">
        <v>308</v>
      </c>
    </row>
    <row r="121" spans="2:17" ht="17.25" customHeight="1" x14ac:dyDescent="0.45">
      <c r="B121" s="31" t="s">
        <v>569</v>
      </c>
      <c r="C121" s="31" t="s">
        <v>502</v>
      </c>
      <c r="E121" s="44" t="s">
        <v>310</v>
      </c>
      <c r="F121" s="1" t="s">
        <v>570</v>
      </c>
      <c r="G121" s="55" t="s">
        <v>105</v>
      </c>
      <c r="H121" s="202" t="s">
        <v>504</v>
      </c>
      <c r="I121" s="202"/>
      <c r="J121" s="202"/>
      <c r="K121" s="202"/>
      <c r="L121" s="202"/>
      <c r="M121" s="202"/>
      <c r="N121" s="202"/>
      <c r="O121" s="202"/>
      <c r="P121" s="202"/>
      <c r="Q121" s="202"/>
    </row>
    <row r="122" spans="2:17" x14ac:dyDescent="0.45">
      <c r="B122" s="40"/>
      <c r="E122" s="44" t="s">
        <v>312</v>
      </c>
      <c r="G122" s="56" t="s">
        <v>313</v>
      </c>
      <c r="H122" s="187" t="s">
        <v>323</v>
      </c>
      <c r="I122" s="188"/>
      <c r="J122" s="188"/>
      <c r="K122" s="188"/>
      <c r="L122" s="188"/>
      <c r="M122" s="188"/>
      <c r="N122" s="188"/>
      <c r="O122" s="188"/>
      <c r="P122" s="188"/>
      <c r="Q122" s="189"/>
    </row>
    <row r="123" spans="2:17" x14ac:dyDescent="0.45">
      <c r="B123" s="40"/>
      <c r="E123" s="44" t="s">
        <v>288</v>
      </c>
      <c r="F123" s="196" t="s">
        <v>430</v>
      </c>
      <c r="G123" s="196"/>
      <c r="H123" s="196"/>
      <c r="I123" s="196"/>
      <c r="J123" s="196"/>
      <c r="K123" s="196"/>
      <c r="L123" s="196"/>
      <c r="M123" s="196"/>
      <c r="N123" s="196"/>
      <c r="O123" s="196"/>
      <c r="P123" s="196"/>
      <c r="Q123" s="196"/>
    </row>
    <row r="124" spans="2:17" x14ac:dyDescent="0.45">
      <c r="B124" s="40"/>
      <c r="E124" s="44" t="s">
        <v>291</v>
      </c>
      <c r="F124" s="196" t="s">
        <v>332</v>
      </c>
      <c r="G124" s="196"/>
      <c r="H124" s="196"/>
      <c r="I124" s="196"/>
      <c r="J124" s="196"/>
      <c r="K124" s="196"/>
      <c r="L124" s="196"/>
      <c r="M124" s="196"/>
      <c r="N124" s="196"/>
      <c r="O124" s="196"/>
      <c r="P124" s="196"/>
      <c r="Q124" s="196"/>
    </row>
    <row r="125" spans="2:17" ht="17.25" customHeight="1" x14ac:dyDescent="0.45">
      <c r="B125" s="40"/>
      <c r="E125" s="44" t="s">
        <v>316</v>
      </c>
      <c r="F125" s="211" t="s">
        <v>567</v>
      </c>
      <c r="G125" s="211"/>
      <c r="H125" s="211"/>
      <c r="I125" s="211"/>
      <c r="J125" s="211"/>
      <c r="K125" s="211"/>
      <c r="L125" s="211"/>
      <c r="M125" s="211"/>
      <c r="N125" s="211"/>
      <c r="O125" s="211"/>
      <c r="P125" s="211"/>
      <c r="Q125" s="211"/>
    </row>
    <row r="127" spans="2:17" x14ac:dyDescent="0.45">
      <c r="B127" s="43" t="s">
        <v>295</v>
      </c>
      <c r="C127" s="43" t="s">
        <v>296</v>
      </c>
      <c r="E127" s="44"/>
      <c r="F127" s="44" t="s">
        <v>297</v>
      </c>
      <c r="G127" s="44" t="s">
        <v>298</v>
      </c>
      <c r="H127" s="44" t="s">
        <v>299</v>
      </c>
      <c r="I127" s="44" t="s">
        <v>300</v>
      </c>
      <c r="J127" s="44" t="s">
        <v>301</v>
      </c>
      <c r="K127" s="44" t="s">
        <v>302</v>
      </c>
      <c r="L127" s="44" t="s">
        <v>303</v>
      </c>
      <c r="M127" s="44" t="s">
        <v>304</v>
      </c>
      <c r="N127" s="44" t="s">
        <v>305</v>
      </c>
      <c r="O127" s="44" t="s">
        <v>306</v>
      </c>
      <c r="P127" s="44" t="s">
        <v>307</v>
      </c>
      <c r="Q127" s="44" t="s">
        <v>308</v>
      </c>
    </row>
    <row r="128" spans="2:17" ht="16.5" customHeight="1" x14ac:dyDescent="0.45">
      <c r="B128" s="31" t="s">
        <v>571</v>
      </c>
      <c r="C128" s="31" t="s">
        <v>506</v>
      </c>
      <c r="E128" s="44" t="s">
        <v>310</v>
      </c>
      <c r="F128" s="1" t="s">
        <v>570</v>
      </c>
      <c r="G128" s="55" t="s">
        <v>105</v>
      </c>
      <c r="H128" s="202" t="s">
        <v>508</v>
      </c>
      <c r="I128" s="202"/>
      <c r="J128" s="202"/>
      <c r="K128" s="202"/>
      <c r="L128" s="202"/>
      <c r="M128" s="202"/>
      <c r="N128" s="202"/>
      <c r="O128" s="202"/>
      <c r="P128" s="202"/>
      <c r="Q128" s="202"/>
    </row>
    <row r="129" spans="2:17" x14ac:dyDescent="0.45">
      <c r="E129" s="44" t="s">
        <v>312</v>
      </c>
      <c r="G129" s="56" t="s">
        <v>313</v>
      </c>
      <c r="H129" s="187" t="s">
        <v>323</v>
      </c>
      <c r="I129" s="188"/>
      <c r="J129" s="188"/>
      <c r="K129" s="188"/>
      <c r="L129" s="188"/>
      <c r="M129" s="188"/>
      <c r="N129" s="188"/>
      <c r="O129" s="188"/>
      <c r="P129" s="188"/>
      <c r="Q129" s="189"/>
    </row>
    <row r="130" spans="2:17" x14ac:dyDescent="0.45">
      <c r="E130" s="44" t="s">
        <v>288</v>
      </c>
      <c r="F130" s="196" t="s">
        <v>430</v>
      </c>
      <c r="G130" s="196"/>
      <c r="H130" s="196"/>
      <c r="I130" s="196"/>
      <c r="J130" s="196"/>
      <c r="K130" s="196"/>
      <c r="L130" s="196"/>
      <c r="M130" s="196"/>
      <c r="N130" s="196"/>
      <c r="O130" s="196"/>
      <c r="P130" s="196"/>
      <c r="Q130" s="196"/>
    </row>
    <row r="131" spans="2:17" x14ac:dyDescent="0.45">
      <c r="E131" s="44" t="s">
        <v>291</v>
      </c>
      <c r="F131" s="196" t="s">
        <v>332</v>
      </c>
      <c r="G131" s="196"/>
      <c r="H131" s="196"/>
      <c r="I131" s="196"/>
      <c r="J131" s="196"/>
      <c r="K131" s="196"/>
      <c r="L131" s="196"/>
      <c r="M131" s="196"/>
      <c r="N131" s="196"/>
      <c r="O131" s="196"/>
      <c r="P131" s="196"/>
      <c r="Q131" s="196"/>
    </row>
    <row r="132" spans="2:17" ht="17.25" customHeight="1" x14ac:dyDescent="0.45">
      <c r="E132" s="44" t="s">
        <v>316</v>
      </c>
      <c r="F132" s="211" t="s">
        <v>567</v>
      </c>
      <c r="G132" s="211"/>
      <c r="H132" s="211"/>
      <c r="I132" s="211"/>
      <c r="J132" s="211"/>
      <c r="K132" s="211"/>
      <c r="L132" s="211"/>
      <c r="M132" s="211"/>
      <c r="N132" s="211"/>
      <c r="O132" s="211"/>
      <c r="P132" s="211"/>
      <c r="Q132" s="211"/>
    </row>
    <row r="133" spans="2:17" ht="17.25" customHeight="1" x14ac:dyDescent="0.45">
      <c r="D133" s="42"/>
      <c r="E133" s="42"/>
      <c r="F133" s="42"/>
      <c r="G133" s="42"/>
      <c r="H133" s="42"/>
      <c r="I133" s="42"/>
      <c r="J133" s="42"/>
      <c r="K133" s="42"/>
      <c r="L133" s="42"/>
      <c r="M133" s="42"/>
      <c r="N133" s="42"/>
      <c r="O133" s="42"/>
      <c r="P133" s="42"/>
      <c r="Q133" s="42"/>
    </row>
    <row r="134" spans="2:17" ht="17.25" customHeight="1" x14ac:dyDescent="0.45">
      <c r="B134" s="50" t="s">
        <v>572</v>
      </c>
      <c r="C134" s="51"/>
      <c r="D134" s="52"/>
      <c r="E134" s="53"/>
      <c r="F134" s="54"/>
      <c r="G134" s="54"/>
      <c r="H134" s="54"/>
      <c r="I134" s="54"/>
      <c r="J134" s="54"/>
      <c r="K134" s="54"/>
      <c r="L134" s="54"/>
      <c r="M134" s="54"/>
      <c r="N134" s="54"/>
      <c r="O134" s="54"/>
      <c r="P134" s="54"/>
      <c r="Q134" s="54"/>
    </row>
    <row r="135" spans="2:17" x14ac:dyDescent="0.45">
      <c r="B135" s="43" t="s">
        <v>295</v>
      </c>
      <c r="C135" s="43" t="s">
        <v>296</v>
      </c>
      <c r="E135" s="44"/>
      <c r="F135" s="44" t="s">
        <v>297</v>
      </c>
      <c r="G135" s="44" t="s">
        <v>298</v>
      </c>
      <c r="H135" s="44" t="s">
        <v>299</v>
      </c>
      <c r="I135" s="44" t="s">
        <v>300</v>
      </c>
      <c r="J135" s="44" t="s">
        <v>301</v>
      </c>
      <c r="K135" s="44" t="s">
        <v>302</v>
      </c>
      <c r="L135" s="44" t="s">
        <v>303</v>
      </c>
      <c r="M135" s="44" t="s">
        <v>304</v>
      </c>
      <c r="N135" s="44" t="s">
        <v>305</v>
      </c>
      <c r="O135" s="44" t="s">
        <v>306</v>
      </c>
      <c r="P135" s="44" t="s">
        <v>307</v>
      </c>
      <c r="Q135" s="44" t="s">
        <v>308</v>
      </c>
    </row>
    <row r="136" spans="2:17" x14ac:dyDescent="0.45">
      <c r="B136" s="31" t="s">
        <v>573</v>
      </c>
      <c r="C136" s="31" t="s">
        <v>511</v>
      </c>
      <c r="E136" s="44" t="s">
        <v>310</v>
      </c>
      <c r="F136" s="202" t="s">
        <v>513</v>
      </c>
      <c r="G136" s="202"/>
      <c r="H136" s="202"/>
      <c r="I136" s="202"/>
      <c r="J136" s="202"/>
      <c r="K136" s="202"/>
      <c r="L136" s="202"/>
      <c r="M136" s="202"/>
      <c r="N136" s="202"/>
      <c r="O136" s="202"/>
      <c r="P136" s="202"/>
      <c r="Q136" s="202"/>
    </row>
    <row r="137" spans="2:17" x14ac:dyDescent="0.45">
      <c r="E137" s="44" t="s">
        <v>312</v>
      </c>
      <c r="F137" s="187" t="s">
        <v>323</v>
      </c>
      <c r="G137" s="188"/>
      <c r="H137" s="188"/>
      <c r="I137" s="188"/>
      <c r="J137" s="188"/>
      <c r="K137" s="188"/>
      <c r="L137" s="188"/>
      <c r="M137" s="188"/>
      <c r="N137" s="188"/>
      <c r="O137" s="188"/>
      <c r="P137" s="188"/>
      <c r="Q137" s="189"/>
    </row>
    <row r="138" spans="2:17" x14ac:dyDescent="0.45">
      <c r="E138" s="44" t="s">
        <v>288</v>
      </c>
      <c r="F138" s="196" t="s">
        <v>430</v>
      </c>
      <c r="G138" s="196"/>
      <c r="H138" s="196"/>
      <c r="I138" s="196"/>
      <c r="J138" s="196"/>
      <c r="K138" s="196"/>
      <c r="L138" s="196"/>
      <c r="M138" s="196"/>
      <c r="N138" s="196"/>
      <c r="O138" s="196"/>
      <c r="P138" s="196"/>
      <c r="Q138" s="196"/>
    </row>
    <row r="139" spans="2:17" x14ac:dyDescent="0.45">
      <c r="E139" s="44" t="s">
        <v>291</v>
      </c>
      <c r="F139" s="196" t="s">
        <v>332</v>
      </c>
      <c r="G139" s="196"/>
      <c r="H139" s="196"/>
      <c r="I139" s="196"/>
      <c r="J139" s="196"/>
      <c r="K139" s="196"/>
      <c r="L139" s="196"/>
      <c r="M139" s="196"/>
      <c r="N139" s="196"/>
      <c r="O139" s="196"/>
      <c r="P139" s="196"/>
      <c r="Q139" s="196"/>
    </row>
    <row r="140" spans="2:17" x14ac:dyDescent="0.45">
      <c r="E140" s="44" t="s">
        <v>316</v>
      </c>
      <c r="F140" s="211" t="s">
        <v>567</v>
      </c>
      <c r="G140" s="211"/>
      <c r="H140" s="211"/>
      <c r="I140" s="211"/>
      <c r="J140" s="211"/>
      <c r="K140" s="211"/>
      <c r="L140" s="211"/>
      <c r="M140" s="211"/>
      <c r="N140" s="211"/>
      <c r="O140" s="211"/>
      <c r="P140" s="211"/>
      <c r="Q140" s="211"/>
    </row>
    <row r="142" spans="2:17" x14ac:dyDescent="0.45">
      <c r="B142" s="43" t="s">
        <v>295</v>
      </c>
      <c r="C142" s="43" t="s">
        <v>296</v>
      </c>
      <c r="E142" s="44"/>
      <c r="F142" s="44" t="s">
        <v>297</v>
      </c>
      <c r="G142" s="44" t="s">
        <v>298</v>
      </c>
      <c r="H142" s="44" t="s">
        <v>299</v>
      </c>
      <c r="I142" s="44" t="s">
        <v>300</v>
      </c>
      <c r="J142" s="44" t="s">
        <v>301</v>
      </c>
      <c r="K142" s="44" t="s">
        <v>302</v>
      </c>
      <c r="L142" s="44" t="s">
        <v>303</v>
      </c>
      <c r="M142" s="44" t="s">
        <v>304</v>
      </c>
      <c r="N142" s="44" t="s">
        <v>305</v>
      </c>
      <c r="O142" s="44" t="s">
        <v>306</v>
      </c>
      <c r="P142" s="44" t="s">
        <v>307</v>
      </c>
      <c r="Q142" s="44" t="s">
        <v>308</v>
      </c>
    </row>
    <row r="143" spans="2:17" x14ac:dyDescent="0.45">
      <c r="B143" s="31" t="s">
        <v>574</v>
      </c>
      <c r="C143" s="31" t="s">
        <v>575</v>
      </c>
      <c r="E143" s="44" t="s">
        <v>310</v>
      </c>
      <c r="F143" s="202" t="s">
        <v>516</v>
      </c>
      <c r="G143" s="202"/>
      <c r="H143" s="202"/>
      <c r="I143" s="202"/>
      <c r="J143" s="202"/>
      <c r="K143" s="202"/>
      <c r="L143" s="202"/>
      <c r="M143" s="202"/>
      <c r="N143" s="202"/>
      <c r="O143" s="202"/>
      <c r="P143" s="202"/>
      <c r="Q143" s="202"/>
    </row>
    <row r="144" spans="2:17" x14ac:dyDescent="0.45">
      <c r="E144" s="44" t="s">
        <v>312</v>
      </c>
      <c r="F144" s="187" t="s">
        <v>323</v>
      </c>
      <c r="G144" s="188"/>
      <c r="H144" s="188"/>
      <c r="I144" s="188"/>
      <c r="J144" s="188"/>
      <c r="K144" s="188"/>
      <c r="L144" s="188"/>
      <c r="M144" s="188"/>
      <c r="N144" s="188"/>
      <c r="O144" s="188"/>
      <c r="P144" s="188"/>
      <c r="Q144" s="189"/>
    </row>
    <row r="145" spans="2:17" x14ac:dyDescent="0.45">
      <c r="E145" s="44" t="s">
        <v>288</v>
      </c>
      <c r="F145" s="196" t="s">
        <v>430</v>
      </c>
      <c r="G145" s="196"/>
      <c r="H145" s="196"/>
      <c r="I145" s="196"/>
      <c r="J145" s="196"/>
      <c r="K145" s="196"/>
      <c r="L145" s="196"/>
      <c r="M145" s="196"/>
      <c r="N145" s="196"/>
      <c r="O145" s="196"/>
      <c r="P145" s="196"/>
      <c r="Q145" s="196"/>
    </row>
    <row r="146" spans="2:17" x14ac:dyDescent="0.45">
      <c r="E146" s="44" t="s">
        <v>291</v>
      </c>
      <c r="F146" s="196" t="s">
        <v>332</v>
      </c>
      <c r="G146" s="196"/>
      <c r="H146" s="196"/>
      <c r="I146" s="196"/>
      <c r="J146" s="196"/>
      <c r="K146" s="196"/>
      <c r="L146" s="196"/>
      <c r="M146" s="196"/>
      <c r="N146" s="196"/>
      <c r="O146" s="196"/>
      <c r="P146" s="196"/>
      <c r="Q146" s="196"/>
    </row>
    <row r="147" spans="2:17" ht="17.25" customHeight="1" x14ac:dyDescent="0.45">
      <c r="E147" s="44" t="s">
        <v>316</v>
      </c>
      <c r="F147" s="211" t="s">
        <v>567</v>
      </c>
      <c r="G147" s="211"/>
      <c r="H147" s="211"/>
      <c r="I147" s="211"/>
      <c r="J147" s="211"/>
      <c r="K147" s="211"/>
      <c r="L147" s="211"/>
      <c r="M147" s="211"/>
      <c r="N147" s="211"/>
      <c r="O147" s="211"/>
      <c r="P147" s="211"/>
      <c r="Q147" s="211"/>
    </row>
    <row r="149" spans="2:17" x14ac:dyDescent="0.45">
      <c r="B149" s="43" t="s">
        <v>295</v>
      </c>
      <c r="C149" s="43" t="s">
        <v>296</v>
      </c>
      <c r="E149" s="44"/>
      <c r="F149" s="44" t="s">
        <v>297</v>
      </c>
      <c r="G149" s="44" t="s">
        <v>298</v>
      </c>
      <c r="H149" s="44" t="s">
        <v>299</v>
      </c>
      <c r="I149" s="44" t="s">
        <v>300</v>
      </c>
      <c r="J149" s="44" t="s">
        <v>301</v>
      </c>
      <c r="K149" s="44" t="s">
        <v>302</v>
      </c>
      <c r="L149" s="44" t="s">
        <v>303</v>
      </c>
      <c r="M149" s="44" t="s">
        <v>304</v>
      </c>
      <c r="N149" s="44" t="s">
        <v>305</v>
      </c>
      <c r="O149" s="44" t="s">
        <v>306</v>
      </c>
      <c r="P149" s="44" t="s">
        <v>307</v>
      </c>
      <c r="Q149" s="44" t="s">
        <v>308</v>
      </c>
    </row>
    <row r="150" spans="2:17" ht="16.5" customHeight="1" x14ac:dyDescent="0.45">
      <c r="B150" s="31" t="s">
        <v>576</v>
      </c>
      <c r="C150" s="31" t="s">
        <v>577</v>
      </c>
      <c r="E150" s="44" t="s">
        <v>310</v>
      </c>
      <c r="F150" s="202" t="s">
        <v>519</v>
      </c>
      <c r="G150" s="202"/>
      <c r="H150" s="202"/>
      <c r="I150" s="202"/>
      <c r="J150" s="202"/>
      <c r="K150" s="202"/>
      <c r="L150" s="202"/>
      <c r="M150" s="202"/>
      <c r="N150" s="202"/>
      <c r="O150" s="202"/>
      <c r="P150" s="202"/>
      <c r="Q150" s="202"/>
    </row>
    <row r="151" spans="2:17" x14ac:dyDescent="0.45">
      <c r="B151" s="40"/>
      <c r="E151" s="44" t="s">
        <v>312</v>
      </c>
      <c r="F151" s="187" t="s">
        <v>323</v>
      </c>
      <c r="G151" s="188"/>
      <c r="H151" s="188"/>
      <c r="I151" s="188"/>
      <c r="J151" s="188"/>
      <c r="K151" s="188"/>
      <c r="L151" s="188"/>
      <c r="M151" s="188"/>
      <c r="N151" s="188"/>
      <c r="O151" s="188"/>
      <c r="P151" s="188"/>
      <c r="Q151" s="189"/>
    </row>
    <row r="152" spans="2:17" x14ac:dyDescent="0.45">
      <c r="B152" s="40"/>
      <c r="E152" s="44" t="s">
        <v>288</v>
      </c>
      <c r="F152" s="196" t="s">
        <v>430</v>
      </c>
      <c r="G152" s="196"/>
      <c r="H152" s="196"/>
      <c r="I152" s="196"/>
      <c r="J152" s="196"/>
      <c r="K152" s="196"/>
      <c r="L152" s="196"/>
      <c r="M152" s="196"/>
      <c r="N152" s="196"/>
      <c r="O152" s="196"/>
      <c r="P152" s="196"/>
      <c r="Q152" s="196"/>
    </row>
    <row r="153" spans="2:17" x14ac:dyDescent="0.45">
      <c r="B153" s="40"/>
      <c r="E153" s="44" t="s">
        <v>291</v>
      </c>
      <c r="F153" s="196" t="s">
        <v>332</v>
      </c>
      <c r="G153" s="196"/>
      <c r="H153" s="196"/>
      <c r="I153" s="196"/>
      <c r="J153" s="196"/>
      <c r="K153" s="196"/>
      <c r="L153" s="196"/>
      <c r="M153" s="196"/>
      <c r="N153" s="196"/>
      <c r="O153" s="196"/>
      <c r="P153" s="196"/>
      <c r="Q153" s="196"/>
    </row>
    <row r="154" spans="2:17" x14ac:dyDescent="0.45">
      <c r="B154" s="40"/>
      <c r="E154" s="44" t="s">
        <v>316</v>
      </c>
      <c r="F154" s="211" t="s">
        <v>567</v>
      </c>
      <c r="G154" s="211"/>
      <c r="H154" s="211"/>
      <c r="I154" s="211"/>
      <c r="J154" s="211"/>
      <c r="K154" s="211"/>
      <c r="L154" s="211"/>
      <c r="M154" s="211"/>
      <c r="N154" s="211"/>
      <c r="O154" s="211"/>
      <c r="P154" s="211"/>
      <c r="Q154" s="211"/>
    </row>
    <row r="156" spans="2:17" x14ac:dyDescent="0.45">
      <c r="B156" s="43" t="s">
        <v>295</v>
      </c>
      <c r="C156" s="43" t="s">
        <v>296</v>
      </c>
      <c r="E156" s="44"/>
      <c r="F156" s="44" t="s">
        <v>297</v>
      </c>
      <c r="G156" s="44" t="s">
        <v>298</v>
      </c>
      <c r="H156" s="44" t="s">
        <v>299</v>
      </c>
      <c r="I156" s="44" t="s">
        <v>300</v>
      </c>
      <c r="J156" s="44" t="s">
        <v>301</v>
      </c>
      <c r="K156" s="44" t="s">
        <v>302</v>
      </c>
      <c r="L156" s="44" t="s">
        <v>303</v>
      </c>
      <c r="M156" s="44" t="s">
        <v>304</v>
      </c>
      <c r="N156" s="44" t="s">
        <v>305</v>
      </c>
      <c r="O156" s="44" t="s">
        <v>306</v>
      </c>
      <c r="P156" s="44" t="s">
        <v>307</v>
      </c>
      <c r="Q156" s="44" t="s">
        <v>308</v>
      </c>
    </row>
    <row r="157" spans="2:17" x14ac:dyDescent="0.45">
      <c r="B157" s="31" t="s">
        <v>578</v>
      </c>
      <c r="C157" s="31" t="s">
        <v>579</v>
      </c>
      <c r="E157" s="44" t="s">
        <v>310</v>
      </c>
      <c r="F157" s="55" t="s">
        <v>105</v>
      </c>
      <c r="G157" s="55" t="s">
        <v>105</v>
      </c>
      <c r="H157" s="55" t="s">
        <v>105</v>
      </c>
      <c r="I157" s="55" t="s">
        <v>105</v>
      </c>
      <c r="J157" s="202" t="s">
        <v>522</v>
      </c>
      <c r="K157" s="202"/>
      <c r="L157" s="202"/>
      <c r="M157" s="202"/>
      <c r="N157" s="202"/>
      <c r="O157" s="202"/>
      <c r="P157" s="202"/>
      <c r="Q157" s="202"/>
    </row>
    <row r="158" spans="2:17" x14ac:dyDescent="0.45">
      <c r="E158" s="44" t="s">
        <v>312</v>
      </c>
      <c r="F158" s="56" t="s">
        <v>313</v>
      </c>
      <c r="G158" s="56" t="s">
        <v>313</v>
      </c>
      <c r="H158" s="56" t="s">
        <v>313</v>
      </c>
      <c r="I158" s="56" t="s">
        <v>313</v>
      </c>
      <c r="J158" s="187" t="s">
        <v>323</v>
      </c>
      <c r="K158" s="188"/>
      <c r="L158" s="188"/>
      <c r="M158" s="188"/>
      <c r="N158" s="188"/>
      <c r="O158" s="188"/>
      <c r="P158" s="188"/>
      <c r="Q158" s="189"/>
    </row>
    <row r="159" spans="2:17" x14ac:dyDescent="0.45">
      <c r="E159" s="44" t="s">
        <v>288</v>
      </c>
      <c r="F159" s="196" t="s">
        <v>430</v>
      </c>
      <c r="G159" s="196"/>
      <c r="H159" s="196"/>
      <c r="I159" s="196"/>
      <c r="J159" s="196"/>
      <c r="K159" s="196"/>
      <c r="L159" s="196"/>
      <c r="M159" s="196"/>
      <c r="N159" s="196"/>
      <c r="O159" s="196"/>
      <c r="P159" s="196"/>
      <c r="Q159" s="196"/>
    </row>
    <row r="160" spans="2:17" x14ac:dyDescent="0.45">
      <c r="E160" s="44" t="s">
        <v>291</v>
      </c>
      <c r="F160" s="196" t="s">
        <v>332</v>
      </c>
      <c r="G160" s="196"/>
      <c r="H160" s="196"/>
      <c r="I160" s="196"/>
      <c r="J160" s="196"/>
      <c r="K160" s="196"/>
      <c r="L160" s="196"/>
      <c r="M160" s="196"/>
      <c r="N160" s="196"/>
      <c r="O160" s="196"/>
      <c r="P160" s="196"/>
      <c r="Q160" s="196"/>
    </row>
    <row r="161" spans="2:17" ht="17.25" customHeight="1" x14ac:dyDescent="0.45">
      <c r="E161" s="44" t="s">
        <v>316</v>
      </c>
      <c r="F161" s="211" t="s">
        <v>567</v>
      </c>
      <c r="G161" s="211"/>
      <c r="H161" s="211"/>
      <c r="I161" s="211"/>
      <c r="J161" s="211"/>
      <c r="K161" s="211"/>
      <c r="L161" s="211"/>
      <c r="M161" s="211"/>
      <c r="N161" s="211"/>
      <c r="O161" s="211"/>
      <c r="P161" s="211"/>
      <c r="Q161" s="211"/>
    </row>
    <row r="163" spans="2:17" x14ac:dyDescent="0.45">
      <c r="B163" s="43" t="s">
        <v>295</v>
      </c>
      <c r="C163" s="43" t="s">
        <v>296</v>
      </c>
      <c r="E163" s="44"/>
      <c r="F163" s="44" t="s">
        <v>297</v>
      </c>
      <c r="G163" s="44" t="s">
        <v>298</v>
      </c>
      <c r="H163" s="44" t="s">
        <v>299</v>
      </c>
      <c r="I163" s="44" t="s">
        <v>300</v>
      </c>
      <c r="J163" s="44" t="s">
        <v>301</v>
      </c>
      <c r="K163" s="44" t="s">
        <v>302</v>
      </c>
      <c r="L163" s="44" t="s">
        <v>303</v>
      </c>
      <c r="M163" s="44" t="s">
        <v>304</v>
      </c>
      <c r="N163" s="44" t="s">
        <v>305</v>
      </c>
      <c r="O163" s="44" t="s">
        <v>306</v>
      </c>
      <c r="P163" s="44" t="s">
        <v>307</v>
      </c>
      <c r="Q163" s="44" t="s">
        <v>308</v>
      </c>
    </row>
    <row r="164" spans="2:17" x14ac:dyDescent="0.45">
      <c r="B164" s="31" t="s">
        <v>580</v>
      </c>
      <c r="C164" s="31" t="s">
        <v>523</v>
      </c>
      <c r="E164" s="44" t="s">
        <v>310</v>
      </c>
      <c r="F164" s="55" t="s">
        <v>105</v>
      </c>
      <c r="G164" s="55" t="s">
        <v>105</v>
      </c>
      <c r="H164" s="55" t="s">
        <v>105</v>
      </c>
      <c r="I164" s="55" t="s">
        <v>105</v>
      </c>
      <c r="J164" s="55" t="s">
        <v>105</v>
      </c>
      <c r="K164" s="55" t="s">
        <v>105</v>
      </c>
      <c r="L164" s="55" t="s">
        <v>105</v>
      </c>
      <c r="M164" s="55" t="s">
        <v>105</v>
      </c>
      <c r="N164" s="55" t="s">
        <v>105</v>
      </c>
      <c r="O164" s="55" t="s">
        <v>105</v>
      </c>
      <c r="P164" s="55" t="s">
        <v>105</v>
      </c>
      <c r="Q164" s="55" t="s">
        <v>105</v>
      </c>
    </row>
    <row r="165" spans="2:17" x14ac:dyDescent="0.45">
      <c r="C165" s="40"/>
      <c r="E165" s="44" t="s">
        <v>312</v>
      </c>
      <c r="F165" s="47" t="s">
        <v>313</v>
      </c>
      <c r="G165" s="48" t="s">
        <v>313</v>
      </c>
      <c r="H165" s="48" t="s">
        <v>313</v>
      </c>
      <c r="I165" s="48" t="s">
        <v>313</v>
      </c>
      <c r="J165" s="48" t="s">
        <v>313</v>
      </c>
      <c r="K165" s="48" t="s">
        <v>313</v>
      </c>
      <c r="L165" s="48" t="s">
        <v>313</v>
      </c>
      <c r="M165" s="48" t="s">
        <v>313</v>
      </c>
      <c r="N165" s="48" t="s">
        <v>313</v>
      </c>
      <c r="O165" s="48" t="s">
        <v>313</v>
      </c>
      <c r="P165" s="48" t="s">
        <v>313</v>
      </c>
      <c r="Q165" s="49" t="s">
        <v>313</v>
      </c>
    </row>
    <row r="166" spans="2:17" x14ac:dyDescent="0.45">
      <c r="C166" s="40"/>
      <c r="E166" s="44" t="s">
        <v>288</v>
      </c>
      <c r="F166" s="196" t="s">
        <v>430</v>
      </c>
      <c r="G166" s="196"/>
      <c r="H166" s="196"/>
      <c r="I166" s="196"/>
      <c r="J166" s="196"/>
      <c r="K166" s="196"/>
      <c r="L166" s="196"/>
      <c r="M166" s="196"/>
      <c r="N166" s="196"/>
      <c r="O166" s="196"/>
      <c r="P166" s="196"/>
      <c r="Q166" s="196"/>
    </row>
    <row r="167" spans="2:17" x14ac:dyDescent="0.45">
      <c r="C167" s="40"/>
      <c r="E167" s="44" t="s">
        <v>291</v>
      </c>
      <c r="F167" s="196" t="s">
        <v>332</v>
      </c>
      <c r="G167" s="196"/>
      <c r="H167" s="196"/>
      <c r="I167" s="196"/>
      <c r="J167" s="196"/>
      <c r="K167" s="196"/>
      <c r="L167" s="196"/>
      <c r="M167" s="196"/>
      <c r="N167" s="196"/>
      <c r="O167" s="196"/>
      <c r="P167" s="196"/>
      <c r="Q167" s="196"/>
    </row>
    <row r="168" spans="2:17" x14ac:dyDescent="0.45">
      <c r="C168" s="40"/>
      <c r="E168" s="44" t="s">
        <v>316</v>
      </c>
      <c r="F168" s="211" t="s">
        <v>567</v>
      </c>
      <c r="G168" s="211"/>
      <c r="H168" s="211"/>
      <c r="I168" s="211"/>
      <c r="J168" s="211"/>
      <c r="K168" s="211"/>
      <c r="L168" s="211"/>
      <c r="M168" s="211"/>
      <c r="N168" s="211"/>
      <c r="O168" s="211"/>
      <c r="P168" s="211"/>
      <c r="Q168" s="211"/>
    </row>
    <row r="170" spans="2:17" x14ac:dyDescent="0.45">
      <c r="B170" s="43" t="s">
        <v>295</v>
      </c>
      <c r="C170" s="43" t="s">
        <v>296</v>
      </c>
      <c r="E170" s="44"/>
      <c r="F170" s="44" t="s">
        <v>297</v>
      </c>
      <c r="G170" s="44" t="s">
        <v>298</v>
      </c>
      <c r="H170" s="44" t="s">
        <v>299</v>
      </c>
      <c r="I170" s="44" t="s">
        <v>300</v>
      </c>
      <c r="J170" s="44" t="s">
        <v>301</v>
      </c>
      <c r="K170" s="44" t="s">
        <v>302</v>
      </c>
      <c r="L170" s="44" t="s">
        <v>303</v>
      </c>
      <c r="M170" s="44" t="s">
        <v>304</v>
      </c>
      <c r="N170" s="44" t="s">
        <v>305</v>
      </c>
      <c r="O170" s="44" t="s">
        <v>306</v>
      </c>
      <c r="P170" s="44" t="s">
        <v>307</v>
      </c>
      <c r="Q170" s="44" t="s">
        <v>308</v>
      </c>
    </row>
    <row r="171" spans="2:17" ht="17" customHeight="1" x14ac:dyDescent="0.45">
      <c r="B171" s="31" t="s">
        <v>581</v>
      </c>
      <c r="C171" s="31" t="s">
        <v>525</v>
      </c>
      <c r="E171" s="44" t="s">
        <v>310</v>
      </c>
      <c r="F171" s="1" t="s">
        <v>311</v>
      </c>
      <c r="G171" s="1" t="s">
        <v>311</v>
      </c>
      <c r="H171" s="1" t="s">
        <v>311</v>
      </c>
      <c r="I171" s="1" t="s">
        <v>311</v>
      </c>
      <c r="J171" s="1" t="s">
        <v>311</v>
      </c>
      <c r="K171" s="1" t="s">
        <v>311</v>
      </c>
      <c r="L171" s="1" t="s">
        <v>311</v>
      </c>
      <c r="M171" s="1" t="s">
        <v>311</v>
      </c>
      <c r="N171" s="55" t="s">
        <v>105</v>
      </c>
      <c r="O171" s="55" t="s">
        <v>105</v>
      </c>
      <c r="P171" s="55" t="s">
        <v>105</v>
      </c>
      <c r="Q171" s="55" t="s">
        <v>105</v>
      </c>
    </row>
    <row r="172" spans="2:17" x14ac:dyDescent="0.45">
      <c r="E172" s="44" t="s">
        <v>312</v>
      </c>
      <c r="F172" s="57"/>
      <c r="G172" s="58"/>
      <c r="H172" s="58"/>
      <c r="I172" s="58"/>
      <c r="J172" s="58"/>
      <c r="K172" s="58"/>
      <c r="L172" s="58"/>
      <c r="M172" s="58"/>
      <c r="N172" s="48" t="s">
        <v>313</v>
      </c>
      <c r="O172" s="48" t="s">
        <v>313</v>
      </c>
      <c r="P172" s="48" t="s">
        <v>313</v>
      </c>
      <c r="Q172" s="49" t="s">
        <v>313</v>
      </c>
    </row>
    <row r="173" spans="2:17" x14ac:dyDescent="0.45">
      <c r="E173" s="44" t="s">
        <v>288</v>
      </c>
      <c r="F173" s="196" t="s">
        <v>430</v>
      </c>
      <c r="G173" s="196"/>
      <c r="H173" s="196"/>
      <c r="I173" s="196"/>
      <c r="J173" s="196"/>
      <c r="K173" s="196"/>
      <c r="L173" s="196"/>
      <c r="M173" s="196"/>
      <c r="N173" s="196"/>
      <c r="O173" s="196"/>
      <c r="P173" s="196"/>
      <c r="Q173" s="196"/>
    </row>
    <row r="174" spans="2:17" x14ac:dyDescent="0.45">
      <c r="E174" s="44" t="s">
        <v>291</v>
      </c>
      <c r="F174" s="196" t="s">
        <v>332</v>
      </c>
      <c r="G174" s="196"/>
      <c r="H174" s="196"/>
      <c r="I174" s="196"/>
      <c r="J174" s="196"/>
      <c r="K174" s="196"/>
      <c r="L174" s="196"/>
      <c r="M174" s="196"/>
      <c r="N174" s="196"/>
      <c r="O174" s="196"/>
      <c r="P174" s="196"/>
      <c r="Q174" s="196"/>
    </row>
    <row r="175" spans="2:17" ht="17.25" customHeight="1" x14ac:dyDescent="0.45">
      <c r="E175" s="44" t="s">
        <v>316</v>
      </c>
      <c r="F175" s="211" t="s">
        <v>567</v>
      </c>
      <c r="G175" s="211"/>
      <c r="H175" s="211"/>
      <c r="I175" s="211"/>
      <c r="J175" s="211"/>
      <c r="K175" s="211"/>
      <c r="L175" s="211"/>
      <c r="M175" s="211"/>
      <c r="N175" s="211"/>
      <c r="O175" s="211"/>
      <c r="P175" s="211"/>
      <c r="Q175" s="211"/>
    </row>
  </sheetData>
  <mergeCells count="135">
    <mergeCell ref="F168:Q168"/>
    <mergeCell ref="F173:Q173"/>
    <mergeCell ref="F174:Q174"/>
    <mergeCell ref="F175:Q175"/>
    <mergeCell ref="J158:Q158"/>
    <mergeCell ref="F159:Q159"/>
    <mergeCell ref="F160:Q160"/>
    <mergeCell ref="F161:Q161"/>
    <mergeCell ref="F166:Q166"/>
    <mergeCell ref="F167:Q167"/>
    <mergeCell ref="F150:Q150"/>
    <mergeCell ref="F151:Q151"/>
    <mergeCell ref="F152:Q152"/>
    <mergeCell ref="F153:Q153"/>
    <mergeCell ref="F154:Q154"/>
    <mergeCell ref="J157:Q157"/>
    <mergeCell ref="F140:Q140"/>
    <mergeCell ref="F143:Q143"/>
    <mergeCell ref="F144:Q144"/>
    <mergeCell ref="F145:Q145"/>
    <mergeCell ref="F146:Q146"/>
    <mergeCell ref="F147:Q147"/>
    <mergeCell ref="F131:Q131"/>
    <mergeCell ref="F132:Q132"/>
    <mergeCell ref="F136:Q136"/>
    <mergeCell ref="F137:Q137"/>
    <mergeCell ref="F138:Q138"/>
    <mergeCell ref="F139:Q139"/>
    <mergeCell ref="F123:Q123"/>
    <mergeCell ref="F124:Q124"/>
    <mergeCell ref="F125:Q125"/>
    <mergeCell ref="H128:Q128"/>
    <mergeCell ref="H129:Q129"/>
    <mergeCell ref="F130:Q130"/>
    <mergeCell ref="J115:Q115"/>
    <mergeCell ref="F116:Q116"/>
    <mergeCell ref="F117:Q117"/>
    <mergeCell ref="F118:Q118"/>
    <mergeCell ref="H121:Q121"/>
    <mergeCell ref="H122:Q122"/>
    <mergeCell ref="J107:Q107"/>
    <mergeCell ref="J108:Q108"/>
    <mergeCell ref="F109:Q109"/>
    <mergeCell ref="F110:Q110"/>
    <mergeCell ref="F111:Q111"/>
    <mergeCell ref="J114:Q114"/>
    <mergeCell ref="F97:Q97"/>
    <mergeCell ref="J100:Q100"/>
    <mergeCell ref="J101:Q101"/>
    <mergeCell ref="F102:Q102"/>
    <mergeCell ref="F103:Q103"/>
    <mergeCell ref="F104:Q104"/>
    <mergeCell ref="F89:Q89"/>
    <mergeCell ref="F90:Q90"/>
    <mergeCell ref="M93:Q93"/>
    <mergeCell ref="M94:Q94"/>
    <mergeCell ref="F95:Q95"/>
    <mergeCell ref="F96:Q96"/>
    <mergeCell ref="F81:Q81"/>
    <mergeCell ref="F82:Q82"/>
    <mergeCell ref="F83:Q83"/>
    <mergeCell ref="I86:Q86"/>
    <mergeCell ref="I87:Q87"/>
    <mergeCell ref="F88:Q88"/>
    <mergeCell ref="F67:Q67"/>
    <mergeCell ref="F68:Q68"/>
    <mergeCell ref="F69:Q69"/>
    <mergeCell ref="F74:Q74"/>
    <mergeCell ref="F75:Q75"/>
    <mergeCell ref="F76:Q76"/>
    <mergeCell ref="F60:Q60"/>
    <mergeCell ref="F61:Q61"/>
    <mergeCell ref="F62:Q62"/>
    <mergeCell ref="F65:M65"/>
    <mergeCell ref="N65:Q65"/>
    <mergeCell ref="F66:M66"/>
    <mergeCell ref="N66:Q66"/>
    <mergeCell ref="F53:Q53"/>
    <mergeCell ref="F54:Q54"/>
    <mergeCell ref="F55:Q55"/>
    <mergeCell ref="H58:M58"/>
    <mergeCell ref="N58:Q58"/>
    <mergeCell ref="H59:Q59"/>
    <mergeCell ref="F51:G51"/>
    <mergeCell ref="H51:I51"/>
    <mergeCell ref="J51:L51"/>
    <mergeCell ref="M51:Q51"/>
    <mergeCell ref="F52:G52"/>
    <mergeCell ref="H52:I52"/>
    <mergeCell ref="J52:L52"/>
    <mergeCell ref="M52:Q52"/>
    <mergeCell ref="F45:H45"/>
    <mergeCell ref="I45:K45"/>
    <mergeCell ref="L45:Q45"/>
    <mergeCell ref="F46:Q46"/>
    <mergeCell ref="F47:Q47"/>
    <mergeCell ref="F48:Q48"/>
    <mergeCell ref="F38:Q38"/>
    <mergeCell ref="F39:Q39"/>
    <mergeCell ref="F40:Q40"/>
    <mergeCell ref="F44:H44"/>
    <mergeCell ref="I44:K44"/>
    <mergeCell ref="L44:Q44"/>
    <mergeCell ref="F30:Q30"/>
    <mergeCell ref="F31:Q31"/>
    <mergeCell ref="F32:Q32"/>
    <mergeCell ref="F33:Q33"/>
    <mergeCell ref="F36:Q36"/>
    <mergeCell ref="F37:Q37"/>
    <mergeCell ref="J24:M24"/>
    <mergeCell ref="N24:Q24"/>
    <mergeCell ref="J25:M25"/>
    <mergeCell ref="N25:Q25"/>
    <mergeCell ref="F26:Q26"/>
    <mergeCell ref="F29:Q29"/>
    <mergeCell ref="I18:K18"/>
    <mergeCell ref="L18:N18"/>
    <mergeCell ref="F19:Q19"/>
    <mergeCell ref="J22:M22"/>
    <mergeCell ref="N22:Q22"/>
    <mergeCell ref="J23:M23"/>
    <mergeCell ref="N23:Q23"/>
    <mergeCell ref="E11:Q11"/>
    <mergeCell ref="I15:K15"/>
    <mergeCell ref="L15:N15"/>
    <mergeCell ref="I16:K16"/>
    <mergeCell ref="L16:N16"/>
    <mergeCell ref="I17:K17"/>
    <mergeCell ref="L17:N17"/>
    <mergeCell ref="E3:Q3"/>
    <mergeCell ref="E4:Q4"/>
    <mergeCell ref="E5:Q5"/>
    <mergeCell ref="E8:Q8"/>
    <mergeCell ref="E9:Q9"/>
    <mergeCell ref="E10:Q10"/>
  </mergeCells>
  <phoneticPr fontId="1" type="noConversion"/>
  <conditionalFormatting sqref="N128">
    <cfRule type="cellIs" dxfId="0" priority="1" operator="equal">
      <formula>"RSVD"</formula>
    </cfRule>
  </conditionalFormatting>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DC7BA-F18C-4660-8647-A4DA7EED776B}">
  <sheetPr codeName="Sheet6"/>
  <dimension ref="B1:DS29"/>
  <sheetViews>
    <sheetView showGridLines="0" zoomScaleNormal="100" workbookViewId="0">
      <selection activeCell="CU9" sqref="CU9:DB9"/>
    </sheetView>
  </sheetViews>
  <sheetFormatPr defaultRowHeight="14.5" x14ac:dyDescent="0.45"/>
  <cols>
    <col min="1" max="1" width="2.81640625" style="59" customWidth="1"/>
    <col min="2" max="2" width="12.36328125" style="59" bestFit="1" customWidth="1"/>
    <col min="3" max="114" width="1.7265625" style="59" customWidth="1"/>
    <col min="115" max="115" width="8.7265625" style="59"/>
    <col min="116" max="123" width="8.7265625" style="59" hidden="1" customWidth="1"/>
    <col min="124" max="16384" width="8.7265625" style="59"/>
  </cols>
  <sheetData>
    <row r="1" spans="2:123" ht="15" thickBot="1" x14ac:dyDescent="0.5"/>
    <row r="2" spans="2:123" ht="15" thickBot="1" x14ac:dyDescent="0.5">
      <c r="C2" s="83" t="s">
        <v>582</v>
      </c>
      <c r="D2" s="84"/>
      <c r="E2" s="84"/>
      <c r="F2" s="84"/>
      <c r="G2" s="84"/>
      <c r="H2" s="84"/>
      <c r="I2" s="84"/>
      <c r="J2" s="84"/>
      <c r="K2" s="85" t="s">
        <v>583</v>
      </c>
      <c r="L2" s="86"/>
      <c r="M2" s="86"/>
      <c r="N2" s="86"/>
      <c r="O2" s="86"/>
      <c r="P2" s="86"/>
      <c r="Q2" s="86"/>
      <c r="R2" s="86"/>
      <c r="S2" s="86"/>
      <c r="T2" s="86"/>
      <c r="U2" s="86"/>
      <c r="V2" s="86"/>
      <c r="W2" s="86"/>
      <c r="X2" s="86"/>
      <c r="Y2" s="86"/>
      <c r="Z2" s="86"/>
      <c r="AA2" s="86"/>
      <c r="AB2" s="86"/>
      <c r="AC2" s="86"/>
      <c r="AD2" s="86"/>
      <c r="AE2" s="86"/>
      <c r="AF2" s="86"/>
      <c r="AG2" s="86"/>
      <c r="AH2" s="87"/>
      <c r="AI2" s="88" t="s">
        <v>584</v>
      </c>
      <c r="AJ2" s="89"/>
      <c r="AK2" s="89"/>
      <c r="AL2" s="89"/>
      <c r="AM2" s="89"/>
      <c r="AN2" s="89"/>
      <c r="AO2" s="89"/>
      <c r="AP2" s="89"/>
      <c r="AQ2" s="89"/>
      <c r="AR2" s="89"/>
      <c r="AS2" s="89"/>
      <c r="AT2" s="89"/>
      <c r="AU2" s="89"/>
      <c r="AV2" s="89"/>
      <c r="AW2" s="89"/>
      <c r="AX2" s="90"/>
      <c r="AY2" s="91" t="s">
        <v>585</v>
      </c>
      <c r="AZ2" s="92"/>
      <c r="BA2" s="92"/>
      <c r="BB2" s="92"/>
      <c r="BC2" s="92"/>
      <c r="BD2" s="92"/>
      <c r="BE2" s="92"/>
      <c r="BF2" s="92"/>
      <c r="BG2" s="92"/>
      <c r="BH2" s="92"/>
      <c r="BI2" s="92"/>
      <c r="BJ2" s="92"/>
      <c r="BK2" s="92"/>
      <c r="BL2" s="92"/>
      <c r="BM2" s="92"/>
      <c r="BN2" s="92"/>
      <c r="BO2" s="92"/>
      <c r="BP2" s="92"/>
      <c r="BQ2" s="92"/>
      <c r="BR2" s="92"/>
      <c r="BS2" s="92"/>
      <c r="BT2" s="92"/>
      <c r="BU2" s="92"/>
      <c r="BV2" s="92"/>
      <c r="BW2" s="92"/>
      <c r="BX2" s="92"/>
      <c r="BY2" s="92"/>
      <c r="BZ2" s="92"/>
      <c r="CA2" s="92"/>
      <c r="CB2" s="92"/>
      <c r="CC2" s="92"/>
      <c r="CD2" s="92"/>
      <c r="CE2" s="92"/>
      <c r="CF2" s="92"/>
      <c r="CG2" s="92"/>
      <c r="CH2" s="92"/>
      <c r="CI2" s="92"/>
      <c r="CJ2" s="92"/>
      <c r="CK2" s="92"/>
      <c r="CL2" s="92"/>
      <c r="CM2" s="92"/>
      <c r="CN2" s="92"/>
      <c r="CO2" s="92"/>
      <c r="CP2" s="92"/>
      <c r="CQ2" s="92"/>
      <c r="CR2" s="92"/>
      <c r="CS2" s="92"/>
      <c r="CT2" s="92"/>
      <c r="CU2" s="93" t="s">
        <v>586</v>
      </c>
      <c r="CV2" s="94"/>
      <c r="CW2" s="94"/>
      <c r="CX2" s="94"/>
      <c r="CY2" s="94"/>
      <c r="CZ2" s="94"/>
      <c r="DA2" s="94"/>
      <c r="DB2" s="94"/>
      <c r="DC2" s="94"/>
      <c r="DD2" s="94"/>
      <c r="DE2" s="94"/>
      <c r="DF2" s="94"/>
      <c r="DG2" s="94"/>
      <c r="DH2" s="94"/>
      <c r="DI2" s="94"/>
      <c r="DJ2" s="95"/>
    </row>
    <row r="3" spans="2:123" ht="17.5" customHeight="1" thickBot="1" x14ac:dyDescent="0.5">
      <c r="C3" s="96" t="s">
        <v>587</v>
      </c>
      <c r="D3" s="97"/>
      <c r="E3" s="97"/>
      <c r="F3" s="97"/>
      <c r="G3" s="97"/>
      <c r="H3" s="97"/>
      <c r="I3" s="97"/>
      <c r="J3" s="98"/>
      <c r="K3" s="99">
        <v>0</v>
      </c>
      <c r="L3" s="100"/>
      <c r="M3" s="100"/>
      <c r="N3" s="100"/>
      <c r="O3" s="100"/>
      <c r="P3" s="100"/>
      <c r="Q3" s="100"/>
      <c r="R3" s="101"/>
      <c r="S3" s="102">
        <v>0</v>
      </c>
      <c r="T3" s="100"/>
      <c r="U3" s="100"/>
      <c r="V3" s="100"/>
      <c r="W3" s="100"/>
      <c r="X3" s="100"/>
      <c r="Y3" s="100"/>
      <c r="Z3" s="100"/>
      <c r="AA3" s="100">
        <v>0</v>
      </c>
      <c r="AB3" s="100"/>
      <c r="AC3" s="100"/>
      <c r="AD3" s="100"/>
      <c r="AE3" s="100"/>
      <c r="AF3" s="100"/>
      <c r="AG3" s="100"/>
      <c r="AH3" s="101"/>
      <c r="AI3" s="103" t="s">
        <v>587</v>
      </c>
      <c r="AJ3" s="104"/>
      <c r="AK3" s="104"/>
      <c r="AL3" s="104"/>
      <c r="AM3" s="104"/>
      <c r="AN3" s="104"/>
      <c r="AO3" s="104"/>
      <c r="AP3" s="104"/>
      <c r="AQ3" s="104">
        <v>0</v>
      </c>
      <c r="AR3" s="104"/>
      <c r="AS3" s="104"/>
      <c r="AT3" s="104"/>
      <c r="AU3" s="104"/>
      <c r="AV3" s="104"/>
      <c r="AW3" s="104"/>
      <c r="AX3" s="120"/>
      <c r="AY3" s="105" t="s">
        <v>587</v>
      </c>
      <c r="AZ3" s="106"/>
      <c r="BA3" s="106"/>
      <c r="BB3" s="106"/>
      <c r="BC3" s="106"/>
      <c r="BD3" s="106"/>
      <c r="BE3" s="106"/>
      <c r="BF3" s="107"/>
      <c r="BG3" s="105" t="s">
        <v>587</v>
      </c>
      <c r="BH3" s="106"/>
      <c r="BI3" s="106"/>
      <c r="BJ3" s="106"/>
      <c r="BK3" s="106"/>
      <c r="BL3" s="106"/>
      <c r="BM3" s="106"/>
      <c r="BN3" s="106"/>
      <c r="BO3" s="106" t="s">
        <v>649</v>
      </c>
      <c r="BP3" s="106"/>
      <c r="BQ3" s="106"/>
      <c r="BR3" s="106"/>
      <c r="BS3" s="106"/>
      <c r="BT3" s="106"/>
      <c r="BU3" s="106"/>
      <c r="BV3" s="106"/>
      <c r="BW3" s="106" t="s">
        <v>649</v>
      </c>
      <c r="BX3" s="106"/>
      <c r="BY3" s="106"/>
      <c r="BZ3" s="106"/>
      <c r="CA3" s="106"/>
      <c r="CB3" s="106"/>
      <c r="CC3" s="106"/>
      <c r="CD3" s="121"/>
      <c r="CE3" s="105" t="s">
        <v>651</v>
      </c>
      <c r="CF3" s="106"/>
      <c r="CG3" s="106"/>
      <c r="CH3" s="106"/>
      <c r="CI3" s="106"/>
      <c r="CJ3" s="106"/>
      <c r="CK3" s="106"/>
      <c r="CL3" s="107"/>
      <c r="CM3" s="105" t="s">
        <v>651</v>
      </c>
      <c r="CN3" s="106"/>
      <c r="CO3" s="106"/>
      <c r="CP3" s="106"/>
      <c r="CQ3" s="106"/>
      <c r="CR3" s="106"/>
      <c r="CS3" s="106"/>
      <c r="CT3" s="107"/>
      <c r="CU3" s="108" t="str">
        <f>MID(DR3, 3, 1)</f>
        <v>8</v>
      </c>
      <c r="CV3" s="109"/>
      <c r="CW3" s="109"/>
      <c r="CX3" s="109"/>
      <c r="CY3" s="109"/>
      <c r="CZ3" s="109"/>
      <c r="DA3" s="109"/>
      <c r="DB3" s="109"/>
      <c r="DC3" s="109" t="str">
        <f>MID(DR3, 3, 1)</f>
        <v>8</v>
      </c>
      <c r="DD3" s="109"/>
      <c r="DE3" s="109"/>
      <c r="DF3" s="109"/>
      <c r="DG3" s="109"/>
      <c r="DH3" s="109"/>
      <c r="DI3" s="109"/>
      <c r="DJ3" s="110"/>
      <c r="DL3" s="60" t="str">
        <f>_xlfn.CONCAT(C3:R3)</f>
        <v>A0</v>
      </c>
      <c r="DM3" s="60" t="str">
        <f>_xlfn.CONCAT(S3:AH3)</f>
        <v>00</v>
      </c>
      <c r="DN3" s="60" t="str">
        <f>_xlfn.CONCAT(AI3:AX3)</f>
        <v>A0</v>
      </c>
      <c r="DO3" s="60" t="str">
        <f>_xlfn.CONCAT(AY3:BN3)</f>
        <v>AA</v>
      </c>
      <c r="DP3" s="60" t="str">
        <f>_xlfn.CONCAT(BO3:CD3)</f>
        <v>BB</v>
      </c>
      <c r="DQ3" s="60" t="str">
        <f>_xlfn.CONCAT(CE3:CT3)</f>
        <v>CC</v>
      </c>
      <c r="DR3" s="60" t="str" cm="1">
        <f t="array" ref="DR3">CRC8_0x2F(DL3:DQ3)</f>
        <v>0x87</v>
      </c>
    </row>
    <row r="4" spans="2:123" ht="17" x14ac:dyDescent="0.45">
      <c r="B4" s="111" t="s">
        <v>589</v>
      </c>
      <c r="C4" s="61" t="s">
        <v>590</v>
      </c>
      <c r="D4" s="62"/>
      <c r="E4" s="62" t="s">
        <v>591</v>
      </c>
      <c r="F4" s="62"/>
      <c r="G4" s="62" t="s">
        <v>592</v>
      </c>
      <c r="H4" s="62"/>
      <c r="I4" s="62" t="s">
        <v>593</v>
      </c>
      <c r="J4" s="62"/>
      <c r="K4" s="62" t="s">
        <v>594</v>
      </c>
      <c r="L4" s="62"/>
      <c r="M4" s="62" t="s">
        <v>595</v>
      </c>
      <c r="N4" s="62"/>
      <c r="O4" s="62" t="s">
        <v>596</v>
      </c>
      <c r="P4" s="62"/>
      <c r="Q4" s="62" t="s">
        <v>597</v>
      </c>
      <c r="R4" s="63"/>
      <c r="S4" s="64" t="s">
        <v>598</v>
      </c>
      <c r="T4" s="62"/>
      <c r="U4" s="62" t="s">
        <v>599</v>
      </c>
      <c r="V4" s="62"/>
      <c r="W4" s="62" t="s">
        <v>600</v>
      </c>
      <c r="X4" s="62"/>
      <c r="Y4" s="62" t="s">
        <v>601</v>
      </c>
      <c r="Z4" s="62"/>
      <c r="AA4" s="62" t="s">
        <v>602</v>
      </c>
      <c r="AB4" s="62"/>
      <c r="AC4" s="62" t="s">
        <v>603</v>
      </c>
      <c r="AD4" s="62"/>
      <c r="AE4" s="62" t="s">
        <v>604</v>
      </c>
      <c r="AF4" s="62"/>
      <c r="AG4" s="62" t="s">
        <v>605</v>
      </c>
      <c r="AH4" s="63"/>
      <c r="AI4" s="65" t="s">
        <v>606</v>
      </c>
      <c r="AJ4" s="66"/>
      <c r="AK4" s="66" t="s">
        <v>607</v>
      </c>
      <c r="AL4" s="66"/>
      <c r="AM4" s="66" t="s">
        <v>608</v>
      </c>
      <c r="AN4" s="66"/>
      <c r="AO4" s="66" t="s">
        <v>609</v>
      </c>
      <c r="AP4" s="66"/>
      <c r="AQ4" s="66" t="s">
        <v>610</v>
      </c>
      <c r="AR4" s="66"/>
      <c r="AS4" s="66" t="s">
        <v>611</v>
      </c>
      <c r="AT4" s="66"/>
      <c r="AU4" s="66" t="s">
        <v>612</v>
      </c>
      <c r="AV4" s="66"/>
      <c r="AW4" s="66" t="s">
        <v>613</v>
      </c>
      <c r="AX4" s="67"/>
      <c r="AY4" s="68" t="s">
        <v>614</v>
      </c>
      <c r="AZ4" s="66"/>
      <c r="BA4" s="66" t="s">
        <v>615</v>
      </c>
      <c r="BB4" s="66"/>
      <c r="BC4" s="66" t="s">
        <v>616</v>
      </c>
      <c r="BD4" s="66"/>
      <c r="BE4" s="66" t="s">
        <v>617</v>
      </c>
      <c r="BF4" s="66"/>
      <c r="BG4" s="66" t="s">
        <v>618</v>
      </c>
      <c r="BH4" s="66"/>
      <c r="BI4" s="66" t="s">
        <v>619</v>
      </c>
      <c r="BJ4" s="66"/>
      <c r="BK4" s="66" t="s">
        <v>620</v>
      </c>
      <c r="BL4" s="66"/>
      <c r="BM4" s="66" t="s">
        <v>621</v>
      </c>
      <c r="BN4" s="67"/>
      <c r="BO4" s="68" t="s">
        <v>622</v>
      </c>
      <c r="BP4" s="66"/>
      <c r="BQ4" s="66" t="s">
        <v>623</v>
      </c>
      <c r="BR4" s="66"/>
      <c r="BS4" s="66" t="s">
        <v>624</v>
      </c>
      <c r="BT4" s="66"/>
      <c r="BU4" s="66" t="s">
        <v>625</v>
      </c>
      <c r="BV4" s="66"/>
      <c r="BW4" s="66" t="s">
        <v>626</v>
      </c>
      <c r="BX4" s="66"/>
      <c r="BY4" s="66" t="s">
        <v>627</v>
      </c>
      <c r="BZ4" s="66"/>
      <c r="CA4" s="66" t="s">
        <v>628</v>
      </c>
      <c r="CB4" s="66"/>
      <c r="CC4" s="66" t="s">
        <v>629</v>
      </c>
      <c r="CD4" s="67"/>
      <c r="CE4" s="65" t="s">
        <v>630</v>
      </c>
      <c r="CF4" s="66"/>
      <c r="CG4" s="66" t="s">
        <v>631</v>
      </c>
      <c r="CH4" s="66"/>
      <c r="CI4" s="66" t="s">
        <v>632</v>
      </c>
      <c r="CJ4" s="66"/>
      <c r="CK4" s="66" t="s">
        <v>633</v>
      </c>
      <c r="CL4" s="66"/>
      <c r="CM4" s="66" t="s">
        <v>634</v>
      </c>
      <c r="CN4" s="66"/>
      <c r="CO4" s="66" t="s">
        <v>635</v>
      </c>
      <c r="CP4" s="66"/>
      <c r="CQ4" s="66" t="s">
        <v>636</v>
      </c>
      <c r="CR4" s="66"/>
      <c r="CS4" s="66" t="s">
        <v>637</v>
      </c>
      <c r="CT4" s="69"/>
      <c r="CU4" s="68" t="s">
        <v>638</v>
      </c>
      <c r="CV4" s="66"/>
      <c r="CW4" s="66" t="s">
        <v>639</v>
      </c>
      <c r="CX4" s="66"/>
      <c r="CY4" s="66" t="s">
        <v>640</v>
      </c>
      <c r="CZ4" s="66"/>
      <c r="DA4" s="66" t="s">
        <v>641</v>
      </c>
      <c r="DB4" s="66"/>
      <c r="DC4" s="66" t="s">
        <v>642</v>
      </c>
      <c r="DD4" s="66"/>
      <c r="DE4" s="66" t="s">
        <v>643</v>
      </c>
      <c r="DF4" s="66"/>
      <c r="DG4" s="66" t="s">
        <v>644</v>
      </c>
      <c r="DH4" s="66"/>
      <c r="DI4" s="66" t="s">
        <v>645</v>
      </c>
      <c r="DJ4" s="67"/>
      <c r="DR4" s="34"/>
      <c r="DS4" s="34"/>
    </row>
    <row r="5" spans="2:123" x14ac:dyDescent="0.45">
      <c r="B5" s="112"/>
      <c r="C5" s="70" t="str">
        <f>MID(DEC2BIN(HEX2DEC(C3), 4), 1, 1)</f>
        <v>1</v>
      </c>
      <c r="D5" s="71"/>
      <c r="E5" s="71" t="str">
        <f>MID(DEC2BIN(HEX2DEC(C3), 4), 2, 1)</f>
        <v>0</v>
      </c>
      <c r="F5" s="71"/>
      <c r="G5" s="71" t="str">
        <f>MID(DEC2BIN(HEX2DEC(C3), 4), 3, 1)</f>
        <v>1</v>
      </c>
      <c r="H5" s="71"/>
      <c r="I5" s="71" t="str">
        <f>MID(DEC2BIN(HEX2DEC(C3), 4), 4, 1)</f>
        <v>0</v>
      </c>
      <c r="J5" s="71"/>
      <c r="K5" s="71" t="str">
        <f>MID(DEC2BIN(HEX2DEC(K3), 4), 1, 1)</f>
        <v>0</v>
      </c>
      <c r="L5" s="71"/>
      <c r="M5" s="71" t="str">
        <f>MID(DEC2BIN(HEX2DEC(K3), 4), 2, 1)</f>
        <v>0</v>
      </c>
      <c r="N5" s="71"/>
      <c r="O5" s="71" t="str">
        <f>MID(DEC2BIN(HEX2DEC(K3), 4), 3, 1)</f>
        <v>0</v>
      </c>
      <c r="P5" s="71"/>
      <c r="Q5" s="71" t="str">
        <f>MID(DEC2BIN(HEX2DEC(K3), 4), 4, 1)</f>
        <v>0</v>
      </c>
      <c r="R5" s="72"/>
      <c r="S5" s="73" t="str">
        <f>MID(DEC2BIN(HEX2DEC(S3), 4), 1, 1)</f>
        <v>0</v>
      </c>
      <c r="T5" s="71"/>
      <c r="U5" s="71" t="str">
        <f>MID(DEC2BIN(HEX2DEC(S3), 4), 2, 1)</f>
        <v>0</v>
      </c>
      <c r="V5" s="71"/>
      <c r="W5" s="71" t="str">
        <f>MID(DEC2BIN(HEX2DEC(S3), 4), 3, 1)</f>
        <v>0</v>
      </c>
      <c r="X5" s="71"/>
      <c r="Y5" s="71" t="str">
        <f>MID(DEC2BIN(HEX2DEC(S3), 4), 4, 1)</f>
        <v>0</v>
      </c>
      <c r="Z5" s="71"/>
      <c r="AA5" s="71" t="str">
        <f>MID(DEC2BIN(HEX2DEC(AA3), 4), 1, 1)</f>
        <v>0</v>
      </c>
      <c r="AB5" s="71"/>
      <c r="AC5" s="71" t="str">
        <f>MID(DEC2BIN(HEX2DEC(AA3), 4), 2, 1)</f>
        <v>0</v>
      </c>
      <c r="AD5" s="71"/>
      <c r="AE5" s="71" t="str">
        <f>MID(DEC2BIN(HEX2DEC(AA3), 4), 3, 1)</f>
        <v>0</v>
      </c>
      <c r="AF5" s="71"/>
      <c r="AG5" s="71" t="str">
        <f>MID(DEC2BIN(HEX2DEC(AA3), 4), 4, 1)</f>
        <v>0</v>
      </c>
      <c r="AH5" s="72"/>
      <c r="AI5" s="73" t="str">
        <f>MID(DEC2BIN(HEX2DEC(AI3), 4), 1, 1)</f>
        <v>1</v>
      </c>
      <c r="AJ5" s="71"/>
      <c r="AK5" s="71" t="str">
        <f>MID(DEC2BIN(HEX2DEC(AI3), 4), 2, 1)</f>
        <v>0</v>
      </c>
      <c r="AL5" s="71"/>
      <c r="AM5" s="71" t="str">
        <f>MID(DEC2BIN(HEX2DEC(AI3), 4), 3, 1)</f>
        <v>1</v>
      </c>
      <c r="AN5" s="71"/>
      <c r="AO5" s="71" t="str">
        <f>MID(DEC2BIN(HEX2DEC(AI3), 4), 4, 1)</f>
        <v>0</v>
      </c>
      <c r="AP5" s="71"/>
      <c r="AQ5" s="73" t="str">
        <f>MID(DEC2BIN(HEX2DEC(AQ3), 4), 1, 1)</f>
        <v>0</v>
      </c>
      <c r="AR5" s="71"/>
      <c r="AS5" s="71" t="str">
        <f>MID(DEC2BIN(HEX2DEC(AQ3), 4), 2, 1)</f>
        <v>0</v>
      </c>
      <c r="AT5" s="71"/>
      <c r="AU5" s="71" t="str">
        <f>MID(DEC2BIN(HEX2DEC(AQ3), 4), 3, 1)</f>
        <v>0</v>
      </c>
      <c r="AV5" s="71"/>
      <c r="AW5" s="71" t="str">
        <f>MID(DEC2BIN(HEX2DEC(AQ3), 4), 4, 1)</f>
        <v>0</v>
      </c>
      <c r="AX5" s="72"/>
      <c r="AY5" s="70" t="str">
        <f>MID(DEC2BIN(HEX2DEC(AY3), 4), 1, 1)</f>
        <v>1</v>
      </c>
      <c r="AZ5" s="71"/>
      <c r="BA5" s="71" t="str">
        <f>MID(DEC2BIN(HEX2DEC(AY3), 4), 2, 1)</f>
        <v>0</v>
      </c>
      <c r="BB5" s="71"/>
      <c r="BC5" s="71" t="str">
        <f>MID(DEC2BIN(HEX2DEC(AY3), 4), 3, 1)</f>
        <v>1</v>
      </c>
      <c r="BD5" s="71"/>
      <c r="BE5" s="71" t="str">
        <f>MID(DEC2BIN(HEX2DEC(AY3), 4), 4, 1)</f>
        <v>0</v>
      </c>
      <c r="BF5" s="71"/>
      <c r="BG5" s="73" t="str">
        <f>MID(DEC2BIN(HEX2DEC(BG3), 4), 1, 1)</f>
        <v>1</v>
      </c>
      <c r="BH5" s="71"/>
      <c r="BI5" s="71" t="str">
        <f>MID(DEC2BIN(HEX2DEC(BG3), 4), 2, 1)</f>
        <v>0</v>
      </c>
      <c r="BJ5" s="71"/>
      <c r="BK5" s="71" t="str">
        <f>MID(DEC2BIN(HEX2DEC(BG3), 4), 3, 1)</f>
        <v>1</v>
      </c>
      <c r="BL5" s="71"/>
      <c r="BM5" s="71" t="str">
        <f>MID(DEC2BIN(HEX2DEC(BG3), 4), 4, 1)</f>
        <v>0</v>
      </c>
      <c r="BN5" s="72"/>
      <c r="BO5" s="70" t="str">
        <f>MID(DEC2BIN(HEX2DEC(BO3), 4), 1, 1)</f>
        <v>1</v>
      </c>
      <c r="BP5" s="71"/>
      <c r="BQ5" s="71" t="str">
        <f>MID(DEC2BIN(HEX2DEC(BO3), 4), 2, 1)</f>
        <v>0</v>
      </c>
      <c r="BR5" s="71"/>
      <c r="BS5" s="71" t="str">
        <f>MID(DEC2BIN(HEX2DEC(BO3), 4), 3, 1)</f>
        <v>1</v>
      </c>
      <c r="BT5" s="71"/>
      <c r="BU5" s="71" t="str">
        <f>MID(DEC2BIN(HEX2DEC(BO3), 4), 4, 1)</f>
        <v>1</v>
      </c>
      <c r="BV5" s="71"/>
      <c r="BW5" s="73" t="str">
        <f>MID(DEC2BIN(HEX2DEC(BW3), 4), 1, 1)</f>
        <v>1</v>
      </c>
      <c r="BX5" s="71"/>
      <c r="BY5" s="71" t="str">
        <f>MID(DEC2BIN(HEX2DEC(BW3), 4), 2, 1)</f>
        <v>0</v>
      </c>
      <c r="BZ5" s="71"/>
      <c r="CA5" s="71" t="str">
        <f>MID(DEC2BIN(HEX2DEC(BW3), 4), 3, 1)</f>
        <v>1</v>
      </c>
      <c r="CB5" s="71"/>
      <c r="CC5" s="71" t="str">
        <f>MID(DEC2BIN(HEX2DEC(BW3), 4), 4, 1)</f>
        <v>1</v>
      </c>
      <c r="CD5" s="72"/>
      <c r="CE5" s="73" t="str">
        <f>MID(DEC2BIN(HEX2DEC(CE3), 4), 1, 1)</f>
        <v>1</v>
      </c>
      <c r="CF5" s="71"/>
      <c r="CG5" s="71" t="str">
        <f>MID(DEC2BIN(HEX2DEC(CE3), 4), 2, 1)</f>
        <v>1</v>
      </c>
      <c r="CH5" s="71"/>
      <c r="CI5" s="71" t="str">
        <f>MID(DEC2BIN(HEX2DEC(CE3), 4), 3, 1)</f>
        <v>0</v>
      </c>
      <c r="CJ5" s="71"/>
      <c r="CK5" s="71" t="str">
        <f>MID(DEC2BIN(HEX2DEC(CE3), 4), 4, 1)</f>
        <v>0</v>
      </c>
      <c r="CL5" s="71"/>
      <c r="CM5" s="73" t="str">
        <f>MID(DEC2BIN(HEX2DEC(CM3), 4), 1, 1)</f>
        <v>1</v>
      </c>
      <c r="CN5" s="71"/>
      <c r="CO5" s="71" t="str">
        <f>MID(DEC2BIN(HEX2DEC(CM3), 4), 2, 1)</f>
        <v>1</v>
      </c>
      <c r="CP5" s="71"/>
      <c r="CQ5" s="71" t="str">
        <f>MID(DEC2BIN(HEX2DEC(CM3), 4), 3, 1)</f>
        <v>0</v>
      </c>
      <c r="CR5" s="71"/>
      <c r="CS5" s="71" t="str">
        <f>MID(DEC2BIN(HEX2DEC(CM3), 4), 4, 1)</f>
        <v>0</v>
      </c>
      <c r="CT5" s="74"/>
      <c r="CU5" s="70" t="str">
        <f>MID(DEC2BIN(HEX2DEC(CU3), 4), 1, 1)</f>
        <v>1</v>
      </c>
      <c r="CV5" s="71"/>
      <c r="CW5" s="71" t="str">
        <f>MID(DEC2BIN(HEX2DEC(CU3), 4), 2, 1)</f>
        <v>0</v>
      </c>
      <c r="CX5" s="71"/>
      <c r="CY5" s="71" t="str">
        <f>MID(DEC2BIN(HEX2DEC(CU3), 4), 3, 1)</f>
        <v>0</v>
      </c>
      <c r="CZ5" s="71"/>
      <c r="DA5" s="71" t="str">
        <f>MID(DEC2BIN(HEX2DEC(CU3), 4), 4, 1)</f>
        <v>0</v>
      </c>
      <c r="DB5" s="71"/>
      <c r="DC5" s="73" t="str">
        <f>MID(DEC2BIN(HEX2DEC(DC3), 4), 1, 1)</f>
        <v>1</v>
      </c>
      <c r="DD5" s="71"/>
      <c r="DE5" s="71" t="str">
        <f>MID(DEC2BIN(HEX2DEC(DC3), 4), 2, 1)</f>
        <v>0</v>
      </c>
      <c r="DF5" s="71"/>
      <c r="DG5" s="71" t="str">
        <f>MID(DEC2BIN(HEX2DEC(DC3), 4), 3, 1)</f>
        <v>0</v>
      </c>
      <c r="DH5" s="71"/>
      <c r="DI5" s="71" t="str">
        <f>MID(DEC2BIN(HEX2DEC(DC3), 4), 4, 1)</f>
        <v>0</v>
      </c>
      <c r="DJ5" s="72"/>
    </row>
    <row r="6" spans="2:123" x14ac:dyDescent="0.45">
      <c r="B6" s="112"/>
      <c r="C6" s="114" t="str">
        <f>_xlfn.CONCAT(C5, E5, G5, I5, K5, M5, O5, Q5)</f>
        <v>10100000</v>
      </c>
      <c r="D6" s="115"/>
      <c r="E6" s="115"/>
      <c r="F6" s="115"/>
      <c r="G6" s="115"/>
      <c r="H6" s="115"/>
      <c r="I6" s="115"/>
      <c r="J6" s="115"/>
      <c r="K6" s="115"/>
      <c r="L6" s="115"/>
      <c r="M6" s="115"/>
      <c r="N6" s="115"/>
      <c r="O6" s="115"/>
      <c r="P6" s="115"/>
      <c r="Q6" s="115"/>
      <c r="R6" s="116"/>
      <c r="S6" s="117" t="str">
        <f>_xlfn.CONCAT(S5, U5, W5, Y5, AA5, AC5, AE5, AG5)</f>
        <v>00000000</v>
      </c>
      <c r="T6" s="115"/>
      <c r="U6" s="115"/>
      <c r="V6" s="115"/>
      <c r="W6" s="115"/>
      <c r="X6" s="115"/>
      <c r="Y6" s="115"/>
      <c r="Z6" s="115"/>
      <c r="AA6" s="115"/>
      <c r="AB6" s="115"/>
      <c r="AC6" s="115"/>
      <c r="AD6" s="115"/>
      <c r="AE6" s="115"/>
      <c r="AF6" s="115"/>
      <c r="AG6" s="115"/>
      <c r="AH6" s="116"/>
      <c r="AI6" s="118" t="str">
        <f>_xlfn.CONCAT(AI5, AK5, AM5, AO5, AQ5, AS5, AU5, AW5)</f>
        <v>10100000</v>
      </c>
      <c r="AJ6" s="118"/>
      <c r="AK6" s="118"/>
      <c r="AL6" s="118"/>
      <c r="AM6" s="118"/>
      <c r="AN6" s="118"/>
      <c r="AO6" s="118"/>
      <c r="AP6" s="118"/>
      <c r="AQ6" s="118"/>
      <c r="AR6" s="118"/>
      <c r="AS6" s="118"/>
      <c r="AT6" s="118"/>
      <c r="AU6" s="118"/>
      <c r="AV6" s="118"/>
      <c r="AW6" s="118"/>
      <c r="AX6" s="119"/>
      <c r="AY6" s="112" t="str">
        <f>_xlfn.CONCAT(AY5, BA5, BC5, BE5, BG5, BI5, BK5, BM5)</f>
        <v>10101010</v>
      </c>
      <c r="AZ6" s="118"/>
      <c r="BA6" s="118"/>
      <c r="BB6" s="118"/>
      <c r="BC6" s="118"/>
      <c r="BD6" s="118"/>
      <c r="BE6" s="118"/>
      <c r="BF6" s="118"/>
      <c r="BG6" s="118"/>
      <c r="BH6" s="118"/>
      <c r="BI6" s="118"/>
      <c r="BJ6" s="118"/>
      <c r="BK6" s="118"/>
      <c r="BL6" s="118"/>
      <c r="BM6" s="118"/>
      <c r="BN6" s="119"/>
      <c r="BO6" s="112" t="str">
        <f>_xlfn.CONCAT(BO5, BQ5, BS5, BU5, BW5, BY5, CA5, CC5)</f>
        <v>10111011</v>
      </c>
      <c r="BP6" s="118"/>
      <c r="BQ6" s="118"/>
      <c r="BR6" s="118"/>
      <c r="BS6" s="118"/>
      <c r="BT6" s="118"/>
      <c r="BU6" s="118"/>
      <c r="BV6" s="118"/>
      <c r="BW6" s="118"/>
      <c r="BX6" s="118"/>
      <c r="BY6" s="118"/>
      <c r="BZ6" s="118"/>
      <c r="CA6" s="118"/>
      <c r="CB6" s="118"/>
      <c r="CC6" s="118"/>
      <c r="CD6" s="119"/>
      <c r="CE6" s="118" t="str">
        <f>_xlfn.CONCAT(CE5, CG5, CI5, CK5, CM5, CO5, CQ5, CS5)</f>
        <v>11001100</v>
      </c>
      <c r="CF6" s="118"/>
      <c r="CG6" s="118"/>
      <c r="CH6" s="118"/>
      <c r="CI6" s="118"/>
      <c r="CJ6" s="118"/>
      <c r="CK6" s="118"/>
      <c r="CL6" s="118"/>
      <c r="CM6" s="118"/>
      <c r="CN6" s="118"/>
      <c r="CO6" s="118"/>
      <c r="CP6" s="118"/>
      <c r="CQ6" s="118"/>
      <c r="CR6" s="118"/>
      <c r="CS6" s="118"/>
      <c r="CT6" s="118"/>
      <c r="CU6" s="112" t="str">
        <f>_xlfn.CONCAT(CU5, CW5, CY5, DA5, DC5, DE5, DG5, DI5)</f>
        <v>10001000</v>
      </c>
      <c r="CV6" s="118"/>
      <c r="CW6" s="118"/>
      <c r="CX6" s="118"/>
      <c r="CY6" s="118"/>
      <c r="CZ6" s="118"/>
      <c r="DA6" s="118"/>
      <c r="DB6" s="118"/>
      <c r="DC6" s="118"/>
      <c r="DD6" s="118"/>
      <c r="DE6" s="118"/>
      <c r="DF6" s="118"/>
      <c r="DG6" s="118"/>
      <c r="DH6" s="118"/>
      <c r="DI6" s="118"/>
      <c r="DJ6" s="119"/>
    </row>
    <row r="7" spans="2:123" ht="15" thickBot="1" x14ac:dyDescent="0.5">
      <c r="B7" s="113"/>
      <c r="C7" s="124" t="str">
        <f>_xlfn.CONCAT("0x", BIN2HEX(C6, 2))</f>
        <v>0xA0</v>
      </c>
      <c r="D7" s="125"/>
      <c r="E7" s="125"/>
      <c r="F7" s="125"/>
      <c r="G7" s="125"/>
      <c r="H7" s="125"/>
      <c r="I7" s="125"/>
      <c r="J7" s="125"/>
      <c r="K7" s="125"/>
      <c r="L7" s="125"/>
      <c r="M7" s="125"/>
      <c r="N7" s="125"/>
      <c r="O7" s="125"/>
      <c r="P7" s="125"/>
      <c r="Q7" s="125"/>
      <c r="R7" s="126"/>
      <c r="S7" s="128" t="str">
        <f>_xlfn.CONCAT("0x", BIN2HEX(S6, 2))</f>
        <v>0x00</v>
      </c>
      <c r="T7" s="125"/>
      <c r="U7" s="125"/>
      <c r="V7" s="125"/>
      <c r="W7" s="125"/>
      <c r="X7" s="125"/>
      <c r="Y7" s="125"/>
      <c r="Z7" s="125"/>
      <c r="AA7" s="125"/>
      <c r="AB7" s="125"/>
      <c r="AC7" s="125"/>
      <c r="AD7" s="125"/>
      <c r="AE7" s="125"/>
      <c r="AF7" s="125"/>
      <c r="AG7" s="125"/>
      <c r="AH7" s="126"/>
      <c r="AI7" s="129" t="str">
        <f>_xlfn.CONCAT("0x", BIN2HEX(AI6, 2))</f>
        <v>0xA0</v>
      </c>
      <c r="AJ7" s="129"/>
      <c r="AK7" s="129"/>
      <c r="AL7" s="129"/>
      <c r="AM7" s="129"/>
      <c r="AN7" s="129"/>
      <c r="AO7" s="129"/>
      <c r="AP7" s="129"/>
      <c r="AQ7" s="129"/>
      <c r="AR7" s="129"/>
      <c r="AS7" s="129"/>
      <c r="AT7" s="129"/>
      <c r="AU7" s="129"/>
      <c r="AV7" s="129"/>
      <c r="AW7" s="129"/>
      <c r="AX7" s="130"/>
      <c r="AY7" s="123" t="str">
        <f>_xlfn.CONCAT("0x", BIN2HEX(AY6, 2))</f>
        <v>0xAA</v>
      </c>
      <c r="AZ7" s="129"/>
      <c r="BA7" s="129"/>
      <c r="BB7" s="129"/>
      <c r="BC7" s="129"/>
      <c r="BD7" s="129"/>
      <c r="BE7" s="129"/>
      <c r="BF7" s="129"/>
      <c r="BG7" s="129"/>
      <c r="BH7" s="129"/>
      <c r="BI7" s="129"/>
      <c r="BJ7" s="129"/>
      <c r="BK7" s="129"/>
      <c r="BL7" s="129"/>
      <c r="BM7" s="129"/>
      <c r="BN7" s="130"/>
      <c r="BO7" s="123" t="str">
        <f>_xlfn.CONCAT("0x", BIN2HEX(BO6, 2))</f>
        <v>0xBB</v>
      </c>
      <c r="BP7" s="129"/>
      <c r="BQ7" s="129"/>
      <c r="BR7" s="129"/>
      <c r="BS7" s="129"/>
      <c r="BT7" s="129"/>
      <c r="BU7" s="129"/>
      <c r="BV7" s="129"/>
      <c r="BW7" s="129"/>
      <c r="BX7" s="129"/>
      <c r="BY7" s="129"/>
      <c r="BZ7" s="129"/>
      <c r="CA7" s="129"/>
      <c r="CB7" s="129"/>
      <c r="CC7" s="129"/>
      <c r="CD7" s="130"/>
      <c r="CE7" s="131" t="str">
        <f>_xlfn.CONCAT("0x", BIN2HEX(CE6, 2))</f>
        <v>0xCC</v>
      </c>
      <c r="CF7" s="131"/>
      <c r="CG7" s="131"/>
      <c r="CH7" s="131"/>
      <c r="CI7" s="131"/>
      <c r="CJ7" s="131"/>
      <c r="CK7" s="131"/>
      <c r="CL7" s="131"/>
      <c r="CM7" s="131"/>
      <c r="CN7" s="131"/>
      <c r="CO7" s="131"/>
      <c r="CP7" s="131"/>
      <c r="CQ7" s="131"/>
      <c r="CR7" s="131"/>
      <c r="CS7" s="131"/>
      <c r="CT7" s="131"/>
      <c r="CU7" s="113" t="str">
        <f>_xlfn.CONCAT("0x", BIN2HEX(CU6, 2))</f>
        <v>0x88</v>
      </c>
      <c r="CV7" s="131"/>
      <c r="CW7" s="131"/>
      <c r="CX7" s="131"/>
      <c r="CY7" s="131"/>
      <c r="CZ7" s="131"/>
      <c r="DA7" s="131"/>
      <c r="DB7" s="131"/>
      <c r="DC7" s="131"/>
      <c r="DD7" s="131"/>
      <c r="DE7" s="131"/>
      <c r="DF7" s="131"/>
      <c r="DG7" s="131"/>
      <c r="DH7" s="131"/>
      <c r="DI7" s="131"/>
      <c r="DJ7" s="132"/>
    </row>
    <row r="8" spans="2:123" x14ac:dyDescent="0.45">
      <c r="B8" s="122" t="s">
        <v>646</v>
      </c>
      <c r="C8" s="75">
        <f>IF(C5="1", 0, 1)</f>
        <v>0</v>
      </c>
      <c r="D8" s="76">
        <f>IF(C5="1", 1, 0)</f>
        <v>1</v>
      </c>
      <c r="E8" s="76">
        <f>IF(E5="1", 0, 1)</f>
        <v>1</v>
      </c>
      <c r="F8" s="76">
        <f>IF(E5="1", 1, 0)</f>
        <v>0</v>
      </c>
      <c r="G8" s="76">
        <f>IF(G5="1", 0, 1)</f>
        <v>0</v>
      </c>
      <c r="H8" s="76">
        <f>IF(G5="1", 1, 0)</f>
        <v>1</v>
      </c>
      <c r="I8" s="76">
        <f>IF(I5="1", 0, 1)</f>
        <v>1</v>
      </c>
      <c r="J8" s="77">
        <f>IF(I5="1", 1, 0)</f>
        <v>0</v>
      </c>
      <c r="K8" s="75">
        <f>IF(K5="1", 0, 1)</f>
        <v>1</v>
      </c>
      <c r="L8" s="76">
        <f>IF(K5="1", 1, 0)</f>
        <v>0</v>
      </c>
      <c r="M8" s="76">
        <f>IF(M5="1", 0, 1)</f>
        <v>1</v>
      </c>
      <c r="N8" s="76">
        <f>IF(M5="1", 1, 0)</f>
        <v>0</v>
      </c>
      <c r="O8" s="76">
        <f>IF(O5="1", 0, 1)</f>
        <v>1</v>
      </c>
      <c r="P8" s="76">
        <f>IF(O5="1", 1, 0)</f>
        <v>0</v>
      </c>
      <c r="Q8" s="76">
        <f>IF(Q5="1", 0, 1)</f>
        <v>1</v>
      </c>
      <c r="R8" s="78">
        <f>IF(Q5="1", 1, 0)</f>
        <v>0</v>
      </c>
      <c r="S8" s="75">
        <f>IF(S5="1", 0, 1)</f>
        <v>1</v>
      </c>
      <c r="T8" s="76">
        <f>IF(S5="1", 1, 0)</f>
        <v>0</v>
      </c>
      <c r="U8" s="76">
        <f>IF(U5="1", 0, 1)</f>
        <v>1</v>
      </c>
      <c r="V8" s="76">
        <f>IF(U5="1", 1, 0)</f>
        <v>0</v>
      </c>
      <c r="W8" s="76">
        <f>IF(W5="1", 0, 1)</f>
        <v>1</v>
      </c>
      <c r="X8" s="76">
        <f>IF(W5="1", 1, 0)</f>
        <v>0</v>
      </c>
      <c r="Y8" s="76">
        <f>IF(Y5="1", 0, 1)</f>
        <v>1</v>
      </c>
      <c r="Z8" s="77">
        <f>IF(Y5="1", 1, 0)</f>
        <v>0</v>
      </c>
      <c r="AA8" s="75">
        <f>IF(AA5="1", 0, 1)</f>
        <v>1</v>
      </c>
      <c r="AB8" s="76">
        <f>IF(AA5="1", 1, 0)</f>
        <v>0</v>
      </c>
      <c r="AC8" s="76">
        <f>IF(AC5="1", 0, 1)</f>
        <v>1</v>
      </c>
      <c r="AD8" s="76">
        <f>IF(AC5="1", 1, 0)</f>
        <v>0</v>
      </c>
      <c r="AE8" s="76">
        <f>IF(AE5="1", 0, 1)</f>
        <v>1</v>
      </c>
      <c r="AF8" s="76">
        <f>IF(AE5="1", 1, 0)</f>
        <v>0</v>
      </c>
      <c r="AG8" s="76">
        <f>IF(AG5="1", 0, 1)</f>
        <v>1</v>
      </c>
      <c r="AH8" s="77">
        <f>IF(AG5="1", 1, 0)</f>
        <v>0</v>
      </c>
      <c r="AI8" s="79">
        <f>IF(AI5="1", 0, 1)</f>
        <v>0</v>
      </c>
      <c r="AJ8" s="80">
        <f>IF(AI5="1", 1, 0)</f>
        <v>1</v>
      </c>
      <c r="AK8" s="80">
        <f>IF(AK5="1", 0, 1)</f>
        <v>1</v>
      </c>
      <c r="AL8" s="80">
        <f>IF(AK5="1", 1, 0)</f>
        <v>0</v>
      </c>
      <c r="AM8" s="80">
        <f>IF(AM5="1", 0, 1)</f>
        <v>0</v>
      </c>
      <c r="AN8" s="80">
        <f>IF(AM5="1", 1, 0)</f>
        <v>1</v>
      </c>
      <c r="AO8" s="80">
        <f>IF(AO5="1", 0, 1)</f>
        <v>1</v>
      </c>
      <c r="AP8" s="81">
        <f>IF(AO5="1", 1, 0)</f>
        <v>0</v>
      </c>
      <c r="AQ8" s="79">
        <f>IF(AQ5="1", 0, 1)</f>
        <v>1</v>
      </c>
      <c r="AR8" s="80">
        <f>IF(AQ5="1", 1, 0)</f>
        <v>0</v>
      </c>
      <c r="AS8" s="80">
        <f>IF(AS5="1", 0, 1)</f>
        <v>1</v>
      </c>
      <c r="AT8" s="80">
        <f>IF(AS5="1", 1, 0)</f>
        <v>0</v>
      </c>
      <c r="AU8" s="80">
        <f>IF(AU5="1", 0, 1)</f>
        <v>1</v>
      </c>
      <c r="AV8" s="80">
        <f>IF(AU5="1", 1, 0)</f>
        <v>0</v>
      </c>
      <c r="AW8" s="80">
        <f>IF(AW5="1", 0, 1)</f>
        <v>1</v>
      </c>
      <c r="AX8" s="81">
        <f>IF(AW5="1", 1, 0)</f>
        <v>0</v>
      </c>
      <c r="AY8" s="79">
        <f>IF(AY5="1", 0, 1)</f>
        <v>0</v>
      </c>
      <c r="AZ8" s="80">
        <f>IF(AY5="1", 1, 0)</f>
        <v>1</v>
      </c>
      <c r="BA8" s="80">
        <f>IF(BA5="1", 0, 1)</f>
        <v>1</v>
      </c>
      <c r="BB8" s="80">
        <f>IF(BA5="1", 1, 0)</f>
        <v>0</v>
      </c>
      <c r="BC8" s="80">
        <f>IF(BC5="1", 0, 1)</f>
        <v>0</v>
      </c>
      <c r="BD8" s="80">
        <f>IF(BC5="1", 1, 0)</f>
        <v>1</v>
      </c>
      <c r="BE8" s="80">
        <f>IF(BE5="1", 0, 1)</f>
        <v>1</v>
      </c>
      <c r="BF8" s="81">
        <f>IF(BE5="1", 1, 0)</f>
        <v>0</v>
      </c>
      <c r="BG8" s="79">
        <f>IF(BG5="1", 0, 1)</f>
        <v>0</v>
      </c>
      <c r="BH8" s="80">
        <f>IF(BG5="1", 1, 0)</f>
        <v>1</v>
      </c>
      <c r="BI8" s="80">
        <f>IF(BI5="1", 0, 1)</f>
        <v>1</v>
      </c>
      <c r="BJ8" s="80">
        <f>IF(BI5="1", 1, 0)</f>
        <v>0</v>
      </c>
      <c r="BK8" s="80">
        <f>IF(BK5="1", 0, 1)</f>
        <v>0</v>
      </c>
      <c r="BL8" s="80">
        <f>IF(BK5="1", 1, 0)</f>
        <v>1</v>
      </c>
      <c r="BM8" s="80">
        <f>IF(BM5="1", 0, 1)</f>
        <v>1</v>
      </c>
      <c r="BN8" s="81">
        <f>IF(BM5="1", 1, 0)</f>
        <v>0</v>
      </c>
      <c r="BO8" s="79">
        <f>IF(BO5="1", 0, 1)</f>
        <v>0</v>
      </c>
      <c r="BP8" s="80">
        <f>IF(BO5="1", 1, 0)</f>
        <v>1</v>
      </c>
      <c r="BQ8" s="80">
        <f>IF(BQ5="1", 0, 1)</f>
        <v>1</v>
      </c>
      <c r="BR8" s="80">
        <f>IF(BQ5="1", 1, 0)</f>
        <v>0</v>
      </c>
      <c r="BS8" s="80">
        <f>IF(BS5="1", 0, 1)</f>
        <v>0</v>
      </c>
      <c r="BT8" s="80">
        <f>IF(BS5="1", 1, 0)</f>
        <v>1</v>
      </c>
      <c r="BU8" s="80">
        <f>IF(BU5="1", 0, 1)</f>
        <v>0</v>
      </c>
      <c r="BV8" s="81">
        <f>IF(BU5="1", 1, 0)</f>
        <v>1</v>
      </c>
      <c r="BW8" s="79">
        <f>IF(BW5="1", 0, 1)</f>
        <v>0</v>
      </c>
      <c r="BX8" s="80">
        <f>IF(BW5="1", 1, 0)</f>
        <v>1</v>
      </c>
      <c r="BY8" s="80">
        <f>IF(BY5="1", 0, 1)</f>
        <v>1</v>
      </c>
      <c r="BZ8" s="80">
        <f>IF(BY5="1", 1, 0)</f>
        <v>0</v>
      </c>
      <c r="CA8" s="80">
        <f>IF(CA5="1", 0, 1)</f>
        <v>0</v>
      </c>
      <c r="CB8" s="80">
        <f>IF(CA5="1", 1, 0)</f>
        <v>1</v>
      </c>
      <c r="CC8" s="80">
        <f>IF(CC5="1", 0, 1)</f>
        <v>0</v>
      </c>
      <c r="CD8" s="81">
        <f>IF(CC5="1", 1, 0)</f>
        <v>1</v>
      </c>
      <c r="CE8" s="79">
        <f>IF(CE5="1", 0, 1)</f>
        <v>0</v>
      </c>
      <c r="CF8" s="80">
        <f>IF(CE5="1", 1, 0)</f>
        <v>1</v>
      </c>
      <c r="CG8" s="80">
        <f>IF(CG5="1", 0, 1)</f>
        <v>0</v>
      </c>
      <c r="CH8" s="80">
        <f>IF(CG5="1", 1, 0)</f>
        <v>1</v>
      </c>
      <c r="CI8" s="80">
        <f>IF(CI5="1", 0, 1)</f>
        <v>1</v>
      </c>
      <c r="CJ8" s="80">
        <f>IF(CI5="1", 1, 0)</f>
        <v>0</v>
      </c>
      <c r="CK8" s="80">
        <f>IF(CK5="1", 0, 1)</f>
        <v>1</v>
      </c>
      <c r="CL8" s="81">
        <f>IF(CK5="1", 1, 0)</f>
        <v>0</v>
      </c>
      <c r="CM8" s="79">
        <f>IF(CM5="1", 0, 1)</f>
        <v>0</v>
      </c>
      <c r="CN8" s="80">
        <f>IF(CM5="1", 1, 0)</f>
        <v>1</v>
      </c>
      <c r="CO8" s="80">
        <f>IF(CO5="1", 0, 1)</f>
        <v>0</v>
      </c>
      <c r="CP8" s="80">
        <f>IF(CO5="1", 1, 0)</f>
        <v>1</v>
      </c>
      <c r="CQ8" s="80">
        <f>IF(CQ5="1", 0, 1)</f>
        <v>1</v>
      </c>
      <c r="CR8" s="80">
        <f>IF(CQ5="1", 1, 0)</f>
        <v>0</v>
      </c>
      <c r="CS8" s="80">
        <f>IF(CS5="1", 0, 1)</f>
        <v>1</v>
      </c>
      <c r="CT8" s="82">
        <f>IF(CS5="1", 1, 0)</f>
        <v>0</v>
      </c>
      <c r="CU8" s="79">
        <f>IF(CU5="1", 0, 1)</f>
        <v>0</v>
      </c>
      <c r="CV8" s="80">
        <f>IF(CU5="1", 1, 0)</f>
        <v>1</v>
      </c>
      <c r="CW8" s="80">
        <f>IF(CW5="1", 0, 1)</f>
        <v>1</v>
      </c>
      <c r="CX8" s="80">
        <f>IF(CW5="1", 1, 0)</f>
        <v>0</v>
      </c>
      <c r="CY8" s="80">
        <f>IF(CY5="1", 0, 1)</f>
        <v>1</v>
      </c>
      <c r="CZ8" s="80">
        <f>IF(CY5="1", 1, 0)</f>
        <v>0</v>
      </c>
      <c r="DA8" s="80">
        <f>IF(DA5="1", 0, 1)</f>
        <v>1</v>
      </c>
      <c r="DB8" s="81">
        <f>IF(DA5="1", 1, 0)</f>
        <v>0</v>
      </c>
      <c r="DC8" s="79">
        <f>IF(DC5="1", 0, 1)</f>
        <v>0</v>
      </c>
      <c r="DD8" s="80">
        <f>IF(DC5="1", 1, 0)</f>
        <v>1</v>
      </c>
      <c r="DE8" s="80">
        <f>IF(DE5="1", 0, 1)</f>
        <v>1</v>
      </c>
      <c r="DF8" s="80">
        <f>IF(DE5="1", 1, 0)</f>
        <v>0</v>
      </c>
      <c r="DG8" s="80">
        <f>IF(DG5="1", 0, 1)</f>
        <v>1</v>
      </c>
      <c r="DH8" s="80">
        <f>IF(DG5="1", 1, 0)</f>
        <v>0</v>
      </c>
      <c r="DI8" s="80">
        <f>IF(DI5="1", 0, 1)</f>
        <v>1</v>
      </c>
      <c r="DJ8" s="81">
        <f>IF(DI5="1", 1, 0)</f>
        <v>0</v>
      </c>
    </row>
    <row r="9" spans="2:123" ht="15" thickBot="1" x14ac:dyDescent="0.5">
      <c r="B9" s="123"/>
      <c r="C9" s="124" t="str">
        <f>_xlfn.CONCAT("0x", BIN2HEX(_xlfn.CONCAT(C8:J8), 2))</f>
        <v>0x66</v>
      </c>
      <c r="D9" s="125"/>
      <c r="E9" s="125"/>
      <c r="F9" s="125"/>
      <c r="G9" s="125"/>
      <c r="H9" s="125"/>
      <c r="I9" s="125"/>
      <c r="J9" s="126"/>
      <c r="K9" s="124" t="str">
        <f>_xlfn.CONCAT("0x", BIN2HEX(_xlfn.CONCAT(K8:R8), 2))</f>
        <v>0xAA</v>
      </c>
      <c r="L9" s="125"/>
      <c r="M9" s="125"/>
      <c r="N9" s="125"/>
      <c r="O9" s="125"/>
      <c r="P9" s="125"/>
      <c r="Q9" s="125"/>
      <c r="R9" s="127"/>
      <c r="S9" s="124" t="str">
        <f>_xlfn.CONCAT("0x", BIN2HEX(_xlfn.CONCAT(S8:Z8), 2))</f>
        <v>0xAA</v>
      </c>
      <c r="T9" s="125"/>
      <c r="U9" s="125"/>
      <c r="V9" s="125"/>
      <c r="W9" s="125"/>
      <c r="X9" s="125"/>
      <c r="Y9" s="125"/>
      <c r="Z9" s="126"/>
      <c r="AA9" s="124" t="str">
        <f>_xlfn.CONCAT("0x", BIN2HEX(_xlfn.CONCAT(AA8:AH8), 2))</f>
        <v>0xAA</v>
      </c>
      <c r="AB9" s="125"/>
      <c r="AC9" s="125"/>
      <c r="AD9" s="125"/>
      <c r="AE9" s="125"/>
      <c r="AF9" s="125"/>
      <c r="AG9" s="125"/>
      <c r="AH9" s="126"/>
      <c r="AI9" s="124" t="str">
        <f>_xlfn.CONCAT("0x", BIN2HEX(_xlfn.CONCAT(AI8:AP8), 2))</f>
        <v>0x66</v>
      </c>
      <c r="AJ9" s="125"/>
      <c r="AK9" s="125"/>
      <c r="AL9" s="125"/>
      <c r="AM9" s="125"/>
      <c r="AN9" s="125"/>
      <c r="AO9" s="125"/>
      <c r="AP9" s="126"/>
      <c r="AQ9" s="124" t="str">
        <f>_xlfn.CONCAT("0x", BIN2HEX(_xlfn.CONCAT(AQ8:AX8), 2))</f>
        <v>0xAA</v>
      </c>
      <c r="AR9" s="125"/>
      <c r="AS9" s="125"/>
      <c r="AT9" s="125"/>
      <c r="AU9" s="125"/>
      <c r="AV9" s="125"/>
      <c r="AW9" s="125"/>
      <c r="AX9" s="126"/>
      <c r="AY9" s="124" t="str">
        <f>_xlfn.CONCAT("0x", BIN2HEX(_xlfn.CONCAT(AY8:BF8), 2))</f>
        <v>0x66</v>
      </c>
      <c r="AZ9" s="125"/>
      <c r="BA9" s="125"/>
      <c r="BB9" s="125"/>
      <c r="BC9" s="125"/>
      <c r="BD9" s="125"/>
      <c r="BE9" s="125"/>
      <c r="BF9" s="126"/>
      <c r="BG9" s="124" t="str">
        <f>_xlfn.CONCAT("0x", BIN2HEX(_xlfn.CONCAT(BG8:BN8), 2))</f>
        <v>0x66</v>
      </c>
      <c r="BH9" s="125"/>
      <c r="BI9" s="125"/>
      <c r="BJ9" s="125"/>
      <c r="BK9" s="125"/>
      <c r="BL9" s="125"/>
      <c r="BM9" s="125"/>
      <c r="BN9" s="126"/>
      <c r="BO9" s="124" t="str">
        <f>_xlfn.CONCAT("0x", BIN2HEX(_xlfn.CONCAT(BO8:BV8), 2))</f>
        <v>0x65</v>
      </c>
      <c r="BP9" s="125"/>
      <c r="BQ9" s="125"/>
      <c r="BR9" s="125"/>
      <c r="BS9" s="125"/>
      <c r="BT9" s="125"/>
      <c r="BU9" s="125"/>
      <c r="BV9" s="126"/>
      <c r="BW9" s="124" t="str">
        <f>_xlfn.CONCAT("0x", BIN2HEX(_xlfn.CONCAT(BW8:CD8), 2))</f>
        <v>0x65</v>
      </c>
      <c r="BX9" s="125"/>
      <c r="BY9" s="125"/>
      <c r="BZ9" s="125"/>
      <c r="CA9" s="125"/>
      <c r="CB9" s="125"/>
      <c r="CC9" s="125"/>
      <c r="CD9" s="126"/>
      <c r="CE9" s="124" t="str">
        <f>_xlfn.CONCAT("0x", BIN2HEX(_xlfn.CONCAT(CE8:CL8), 2))</f>
        <v>0x5A</v>
      </c>
      <c r="CF9" s="125"/>
      <c r="CG9" s="125"/>
      <c r="CH9" s="125"/>
      <c r="CI9" s="125"/>
      <c r="CJ9" s="125"/>
      <c r="CK9" s="125"/>
      <c r="CL9" s="126"/>
      <c r="CM9" s="124" t="str">
        <f>_xlfn.CONCAT("0x", BIN2HEX(_xlfn.CONCAT(CM8:CT8), 2))</f>
        <v>0x5A</v>
      </c>
      <c r="CN9" s="125"/>
      <c r="CO9" s="125"/>
      <c r="CP9" s="125"/>
      <c r="CQ9" s="125"/>
      <c r="CR9" s="125"/>
      <c r="CS9" s="125"/>
      <c r="CT9" s="127"/>
      <c r="CU9" s="124" t="str">
        <f>_xlfn.CONCAT("0x", BIN2HEX(_xlfn.CONCAT(CU8:DB8), 2))</f>
        <v>0x6A</v>
      </c>
      <c r="CV9" s="125"/>
      <c r="CW9" s="125"/>
      <c r="CX9" s="125"/>
      <c r="CY9" s="125"/>
      <c r="CZ9" s="125"/>
      <c r="DA9" s="125"/>
      <c r="DB9" s="126"/>
      <c r="DC9" s="124" t="str">
        <f>_xlfn.CONCAT("0x", BIN2HEX(_xlfn.CONCAT(DC8:DJ8), 2))</f>
        <v>0x6A</v>
      </c>
      <c r="DD9" s="125"/>
      <c r="DE9" s="125"/>
      <c r="DF9" s="125"/>
      <c r="DG9" s="125"/>
      <c r="DH9" s="125"/>
      <c r="DI9" s="125"/>
      <c r="DJ9" s="126"/>
    </row>
    <row r="11" spans="2:123" ht="15" thickBot="1" x14ac:dyDescent="0.5"/>
    <row r="12" spans="2:123" ht="17.5" customHeight="1" thickBot="1" x14ac:dyDescent="0.5">
      <c r="C12" s="83" t="s">
        <v>582</v>
      </c>
      <c r="D12" s="84"/>
      <c r="E12" s="84"/>
      <c r="F12" s="84"/>
      <c r="G12" s="84"/>
      <c r="H12" s="84"/>
      <c r="I12" s="84"/>
      <c r="J12" s="84"/>
      <c r="K12" s="85" t="s">
        <v>583</v>
      </c>
      <c r="L12" s="86"/>
      <c r="M12" s="86"/>
      <c r="N12" s="86"/>
      <c r="O12" s="86"/>
      <c r="P12" s="86"/>
      <c r="Q12" s="86"/>
      <c r="R12" s="86"/>
      <c r="S12" s="86"/>
      <c r="T12" s="86"/>
      <c r="U12" s="86"/>
      <c r="V12" s="86"/>
      <c r="W12" s="86"/>
      <c r="X12" s="86"/>
      <c r="Y12" s="86"/>
      <c r="Z12" s="86"/>
      <c r="AA12" s="86"/>
      <c r="AB12" s="86"/>
      <c r="AC12" s="86"/>
      <c r="AD12" s="86"/>
      <c r="AE12" s="86"/>
      <c r="AF12" s="86"/>
      <c r="AG12" s="86"/>
      <c r="AH12" s="87"/>
      <c r="AI12" s="88" t="s">
        <v>584</v>
      </c>
      <c r="AJ12" s="89"/>
      <c r="AK12" s="89"/>
      <c r="AL12" s="89"/>
      <c r="AM12" s="89"/>
      <c r="AN12" s="89"/>
      <c r="AO12" s="89"/>
      <c r="AP12" s="89"/>
      <c r="AQ12" s="89"/>
      <c r="AR12" s="89"/>
      <c r="AS12" s="89"/>
      <c r="AT12" s="89"/>
      <c r="AU12" s="89"/>
      <c r="AV12" s="89"/>
      <c r="AW12" s="89"/>
      <c r="AX12" s="90"/>
      <c r="AY12" s="91" t="s">
        <v>585</v>
      </c>
      <c r="AZ12" s="92"/>
      <c r="BA12" s="92"/>
      <c r="BB12" s="92"/>
      <c r="BC12" s="92"/>
      <c r="BD12" s="92"/>
      <c r="BE12" s="92"/>
      <c r="BF12" s="92"/>
      <c r="BG12" s="92"/>
      <c r="BH12" s="92"/>
      <c r="BI12" s="92"/>
      <c r="BJ12" s="92"/>
      <c r="BK12" s="92"/>
      <c r="BL12" s="92"/>
      <c r="BM12" s="92"/>
      <c r="BN12" s="92"/>
      <c r="BO12" s="92"/>
      <c r="BP12" s="92"/>
      <c r="BQ12" s="92"/>
      <c r="BR12" s="92"/>
      <c r="BS12" s="92"/>
      <c r="BT12" s="92"/>
      <c r="BU12" s="92"/>
      <c r="BV12" s="92"/>
      <c r="BW12" s="133" t="s">
        <v>647</v>
      </c>
      <c r="BX12" s="134"/>
      <c r="BY12" s="134"/>
      <c r="BZ12" s="134"/>
      <c r="CA12" s="134"/>
      <c r="CB12" s="134"/>
      <c r="CC12" s="134"/>
      <c r="CD12" s="135"/>
      <c r="CE12" s="93" t="s">
        <v>586</v>
      </c>
      <c r="CF12" s="94"/>
      <c r="CG12" s="94"/>
      <c r="CH12" s="94"/>
      <c r="CI12" s="94"/>
      <c r="CJ12" s="94"/>
      <c r="CK12" s="94"/>
      <c r="CL12" s="94"/>
      <c r="CM12" s="94"/>
      <c r="CN12" s="94"/>
      <c r="CO12" s="94"/>
      <c r="CP12" s="94"/>
      <c r="CQ12" s="94"/>
      <c r="CR12" s="94"/>
      <c r="CS12" s="94"/>
      <c r="CT12" s="95"/>
    </row>
    <row r="13" spans="2:123" ht="15" thickBot="1" x14ac:dyDescent="0.5">
      <c r="C13" s="96" t="s">
        <v>587</v>
      </c>
      <c r="D13" s="97"/>
      <c r="E13" s="97"/>
      <c r="F13" s="97"/>
      <c r="G13" s="97"/>
      <c r="H13" s="97"/>
      <c r="I13" s="97"/>
      <c r="J13" s="98"/>
      <c r="K13" s="99">
        <v>0</v>
      </c>
      <c r="L13" s="100"/>
      <c r="M13" s="100"/>
      <c r="N13" s="100"/>
      <c r="O13" s="100"/>
      <c r="P13" s="100"/>
      <c r="Q13" s="100"/>
      <c r="R13" s="101"/>
      <c r="S13" s="102">
        <v>0</v>
      </c>
      <c r="T13" s="100"/>
      <c r="U13" s="100"/>
      <c r="V13" s="100"/>
      <c r="W13" s="100"/>
      <c r="X13" s="100"/>
      <c r="Y13" s="100"/>
      <c r="Z13" s="100"/>
      <c r="AA13" s="100">
        <v>0</v>
      </c>
      <c r="AB13" s="100"/>
      <c r="AC13" s="100"/>
      <c r="AD13" s="100"/>
      <c r="AE13" s="100"/>
      <c r="AF13" s="100"/>
      <c r="AG13" s="100"/>
      <c r="AH13" s="101"/>
      <c r="AI13" s="103">
        <v>8</v>
      </c>
      <c r="AJ13" s="104"/>
      <c r="AK13" s="104"/>
      <c r="AL13" s="104"/>
      <c r="AM13" s="104"/>
      <c r="AN13" s="104"/>
      <c r="AO13" s="104"/>
      <c r="AP13" s="104"/>
      <c r="AQ13" s="104">
        <v>6</v>
      </c>
      <c r="AR13" s="104"/>
      <c r="AS13" s="104"/>
      <c r="AT13" s="104"/>
      <c r="AU13" s="104"/>
      <c r="AV13" s="104"/>
      <c r="AW13" s="104"/>
      <c r="AX13" s="120"/>
      <c r="AY13" s="105" t="s">
        <v>587</v>
      </c>
      <c r="AZ13" s="106"/>
      <c r="BA13" s="106"/>
      <c r="BB13" s="106"/>
      <c r="BC13" s="106"/>
      <c r="BD13" s="106"/>
      <c r="BE13" s="106"/>
      <c r="BF13" s="107"/>
      <c r="BG13" s="105">
        <v>5</v>
      </c>
      <c r="BH13" s="106"/>
      <c r="BI13" s="106"/>
      <c r="BJ13" s="106"/>
      <c r="BK13" s="106"/>
      <c r="BL13" s="106"/>
      <c r="BM13" s="106"/>
      <c r="BN13" s="106"/>
      <c r="BO13" s="106" t="s">
        <v>587</v>
      </c>
      <c r="BP13" s="106"/>
      <c r="BQ13" s="106"/>
      <c r="BR13" s="106"/>
      <c r="BS13" s="106"/>
      <c r="BT13" s="106"/>
      <c r="BU13" s="106"/>
      <c r="BV13" s="107"/>
      <c r="BW13" s="136" t="s">
        <v>588</v>
      </c>
      <c r="BX13" s="137"/>
      <c r="BY13" s="137"/>
      <c r="BZ13" s="137"/>
      <c r="CA13" s="137"/>
      <c r="CB13" s="137"/>
      <c r="CC13" s="137"/>
      <c r="CD13" s="138"/>
      <c r="CE13" s="108" t="str">
        <f>MID(DR13, 3, 1)</f>
        <v>2</v>
      </c>
      <c r="CF13" s="109"/>
      <c r="CG13" s="109"/>
      <c r="CH13" s="109"/>
      <c r="CI13" s="109"/>
      <c r="CJ13" s="109"/>
      <c r="CK13" s="109"/>
      <c r="CL13" s="109"/>
      <c r="CM13" s="109" t="str">
        <f>RIGHT(DR13, 1)</f>
        <v>5</v>
      </c>
      <c r="CN13" s="109"/>
      <c r="CO13" s="109"/>
      <c r="CP13" s="109"/>
      <c r="CQ13" s="109"/>
      <c r="CR13" s="109"/>
      <c r="CS13" s="109"/>
      <c r="CT13" s="110"/>
      <c r="DL13" s="60" t="str">
        <f>_xlfn.CONCAT(C13:R13)</f>
        <v>A0</v>
      </c>
      <c r="DM13" s="60" t="str">
        <f>_xlfn.CONCAT(S13:AH13)</f>
        <v>00</v>
      </c>
      <c r="DN13" s="60" t="str">
        <f>_xlfn.CONCAT(AI13:AX13)</f>
        <v>86</v>
      </c>
      <c r="DO13" s="60" t="str">
        <f>_xlfn.CONCAT(AY13:BN13)</f>
        <v>A5</v>
      </c>
      <c r="DP13" s="60" t="str">
        <f>_xlfn.CONCAT(BO13:CD13)</f>
        <v>AF</v>
      </c>
      <c r="DQ13" s="60"/>
      <c r="DR13" s="60" t="str" cm="1">
        <f t="array" ref="DR13">CRC8_0x2F(DL13:DP13)</f>
        <v>0x25</v>
      </c>
    </row>
    <row r="14" spans="2:123" x14ac:dyDescent="0.45">
      <c r="B14" s="111" t="s">
        <v>648</v>
      </c>
      <c r="C14" s="61" t="s">
        <v>590</v>
      </c>
      <c r="D14" s="62"/>
      <c r="E14" s="62" t="s">
        <v>591</v>
      </c>
      <c r="F14" s="62"/>
      <c r="G14" s="62" t="s">
        <v>592</v>
      </c>
      <c r="H14" s="62"/>
      <c r="I14" s="62" t="s">
        <v>593</v>
      </c>
      <c r="J14" s="62"/>
      <c r="K14" s="62" t="s">
        <v>594</v>
      </c>
      <c r="L14" s="62"/>
      <c r="M14" s="62" t="s">
        <v>595</v>
      </c>
      <c r="N14" s="62"/>
      <c r="O14" s="62" t="s">
        <v>596</v>
      </c>
      <c r="P14" s="62"/>
      <c r="Q14" s="62" t="s">
        <v>597</v>
      </c>
      <c r="R14" s="63"/>
      <c r="S14" s="64" t="s">
        <v>598</v>
      </c>
      <c r="T14" s="62"/>
      <c r="U14" s="62" t="s">
        <v>599</v>
      </c>
      <c r="V14" s="62"/>
      <c r="W14" s="62" t="s">
        <v>600</v>
      </c>
      <c r="X14" s="62"/>
      <c r="Y14" s="62" t="s">
        <v>601</v>
      </c>
      <c r="Z14" s="62"/>
      <c r="AA14" s="62" t="s">
        <v>602</v>
      </c>
      <c r="AB14" s="62"/>
      <c r="AC14" s="62" t="s">
        <v>603</v>
      </c>
      <c r="AD14" s="62"/>
      <c r="AE14" s="62" t="s">
        <v>604</v>
      </c>
      <c r="AF14" s="62"/>
      <c r="AG14" s="62" t="s">
        <v>605</v>
      </c>
      <c r="AH14" s="63"/>
      <c r="AI14" s="65" t="s">
        <v>606</v>
      </c>
      <c r="AJ14" s="66"/>
      <c r="AK14" s="66" t="s">
        <v>607</v>
      </c>
      <c r="AL14" s="66"/>
      <c r="AM14" s="66" t="s">
        <v>608</v>
      </c>
      <c r="AN14" s="66"/>
      <c r="AO14" s="66" t="s">
        <v>609</v>
      </c>
      <c r="AP14" s="66"/>
      <c r="AQ14" s="66" t="s">
        <v>610</v>
      </c>
      <c r="AR14" s="66"/>
      <c r="AS14" s="66" t="s">
        <v>611</v>
      </c>
      <c r="AT14" s="66"/>
      <c r="AU14" s="66" t="s">
        <v>612</v>
      </c>
      <c r="AV14" s="66"/>
      <c r="AW14" s="66" t="s">
        <v>613</v>
      </c>
      <c r="AX14" s="67"/>
      <c r="AY14" s="68" t="s">
        <v>614</v>
      </c>
      <c r="AZ14" s="66"/>
      <c r="BA14" s="66" t="s">
        <v>615</v>
      </c>
      <c r="BB14" s="66"/>
      <c r="BC14" s="66" t="s">
        <v>616</v>
      </c>
      <c r="BD14" s="66"/>
      <c r="BE14" s="66" t="s">
        <v>617</v>
      </c>
      <c r="BF14" s="66"/>
      <c r="BG14" s="66" t="s">
        <v>618</v>
      </c>
      <c r="BH14" s="66"/>
      <c r="BI14" s="66" t="s">
        <v>619</v>
      </c>
      <c r="BJ14" s="66"/>
      <c r="BK14" s="66" t="s">
        <v>620</v>
      </c>
      <c r="BL14" s="66"/>
      <c r="BM14" s="66" t="s">
        <v>621</v>
      </c>
      <c r="BN14" s="67"/>
      <c r="BO14" s="68" t="s">
        <v>622</v>
      </c>
      <c r="BP14" s="66"/>
      <c r="BQ14" s="66" t="s">
        <v>623</v>
      </c>
      <c r="BR14" s="66"/>
      <c r="BS14" s="66" t="s">
        <v>624</v>
      </c>
      <c r="BT14" s="66"/>
      <c r="BU14" s="66" t="s">
        <v>625</v>
      </c>
      <c r="BV14" s="66"/>
      <c r="BW14" s="66" t="s">
        <v>626</v>
      </c>
      <c r="BX14" s="66"/>
      <c r="BY14" s="66" t="s">
        <v>627</v>
      </c>
      <c r="BZ14" s="66"/>
      <c r="CA14" s="66" t="s">
        <v>628</v>
      </c>
      <c r="CB14" s="66"/>
      <c r="CC14" s="66" t="s">
        <v>629</v>
      </c>
      <c r="CD14" s="67"/>
      <c r="CE14" s="68" t="s">
        <v>638</v>
      </c>
      <c r="CF14" s="66"/>
      <c r="CG14" s="66" t="s">
        <v>639</v>
      </c>
      <c r="CH14" s="66"/>
      <c r="CI14" s="66" t="s">
        <v>640</v>
      </c>
      <c r="CJ14" s="66"/>
      <c r="CK14" s="66" t="s">
        <v>641</v>
      </c>
      <c r="CL14" s="66"/>
      <c r="CM14" s="66" t="s">
        <v>642</v>
      </c>
      <c r="CN14" s="66"/>
      <c r="CO14" s="66" t="s">
        <v>643</v>
      </c>
      <c r="CP14" s="66"/>
      <c r="CQ14" s="66" t="s">
        <v>644</v>
      </c>
      <c r="CR14" s="66"/>
      <c r="CS14" s="66" t="s">
        <v>645</v>
      </c>
      <c r="CT14" s="67"/>
    </row>
    <row r="15" spans="2:123" x14ac:dyDescent="0.45">
      <c r="B15" s="112"/>
      <c r="C15" s="70" t="str">
        <f>MID(DEC2BIN(HEX2DEC(C13), 4), 1, 1)</f>
        <v>1</v>
      </c>
      <c r="D15" s="71"/>
      <c r="E15" s="71" t="str">
        <f>MID(DEC2BIN(HEX2DEC(C13), 4), 2, 1)</f>
        <v>0</v>
      </c>
      <c r="F15" s="71"/>
      <c r="G15" s="71" t="str">
        <f>MID(DEC2BIN(HEX2DEC(C13), 4), 3, 1)</f>
        <v>1</v>
      </c>
      <c r="H15" s="71"/>
      <c r="I15" s="71" t="str">
        <f>MID(DEC2BIN(HEX2DEC(C13), 4), 4, 1)</f>
        <v>0</v>
      </c>
      <c r="J15" s="71"/>
      <c r="K15" s="71" t="str">
        <f>MID(DEC2BIN(HEX2DEC(K13), 4), 1, 1)</f>
        <v>0</v>
      </c>
      <c r="L15" s="71"/>
      <c r="M15" s="71" t="str">
        <f>MID(DEC2BIN(HEX2DEC(K13), 4), 2, 1)</f>
        <v>0</v>
      </c>
      <c r="N15" s="71"/>
      <c r="O15" s="71" t="str">
        <f>MID(DEC2BIN(HEX2DEC(K13), 4), 3, 1)</f>
        <v>0</v>
      </c>
      <c r="P15" s="71"/>
      <c r="Q15" s="71" t="str">
        <f>MID(DEC2BIN(HEX2DEC(K13), 4), 4, 1)</f>
        <v>0</v>
      </c>
      <c r="R15" s="72"/>
      <c r="S15" s="73" t="str">
        <f>MID(DEC2BIN(HEX2DEC(S13), 4), 1, 1)</f>
        <v>0</v>
      </c>
      <c r="T15" s="71"/>
      <c r="U15" s="71" t="str">
        <f>MID(DEC2BIN(HEX2DEC(S13), 4), 2, 1)</f>
        <v>0</v>
      </c>
      <c r="V15" s="71"/>
      <c r="W15" s="71" t="str">
        <f>MID(DEC2BIN(HEX2DEC(S13), 4), 3, 1)</f>
        <v>0</v>
      </c>
      <c r="X15" s="71"/>
      <c r="Y15" s="71" t="str">
        <f>MID(DEC2BIN(HEX2DEC(S13), 4), 4, 1)</f>
        <v>0</v>
      </c>
      <c r="Z15" s="71"/>
      <c r="AA15" s="71" t="str">
        <f>MID(DEC2BIN(HEX2DEC(AA13), 4), 1, 1)</f>
        <v>0</v>
      </c>
      <c r="AB15" s="71"/>
      <c r="AC15" s="71" t="str">
        <f>MID(DEC2BIN(HEX2DEC(AA13), 4), 2, 1)</f>
        <v>0</v>
      </c>
      <c r="AD15" s="71"/>
      <c r="AE15" s="71" t="str">
        <f>MID(DEC2BIN(HEX2DEC(AA13), 4), 3, 1)</f>
        <v>0</v>
      </c>
      <c r="AF15" s="71"/>
      <c r="AG15" s="71" t="str">
        <f>MID(DEC2BIN(HEX2DEC(AA13), 4), 4, 1)</f>
        <v>0</v>
      </c>
      <c r="AH15" s="72"/>
      <c r="AI15" s="73" t="str">
        <f>MID(DEC2BIN(HEX2DEC(AI13), 4), 1, 1)</f>
        <v>1</v>
      </c>
      <c r="AJ15" s="71"/>
      <c r="AK15" s="71" t="str">
        <f>MID(DEC2BIN(HEX2DEC(AI13), 4), 2, 1)</f>
        <v>0</v>
      </c>
      <c r="AL15" s="71"/>
      <c r="AM15" s="71" t="str">
        <f>MID(DEC2BIN(HEX2DEC(AI13), 4), 3, 1)</f>
        <v>0</v>
      </c>
      <c r="AN15" s="71"/>
      <c r="AO15" s="71" t="str">
        <f>MID(DEC2BIN(HEX2DEC(AI13), 4), 4, 1)</f>
        <v>0</v>
      </c>
      <c r="AP15" s="71"/>
      <c r="AQ15" s="73" t="str">
        <f>MID(DEC2BIN(HEX2DEC(AQ13), 4), 1, 1)</f>
        <v>0</v>
      </c>
      <c r="AR15" s="71"/>
      <c r="AS15" s="71" t="str">
        <f>MID(DEC2BIN(HEX2DEC(AQ13), 4), 2, 1)</f>
        <v>1</v>
      </c>
      <c r="AT15" s="71"/>
      <c r="AU15" s="71" t="str">
        <f>MID(DEC2BIN(HEX2DEC(AQ13), 4), 3, 1)</f>
        <v>1</v>
      </c>
      <c r="AV15" s="71"/>
      <c r="AW15" s="71" t="str">
        <f>MID(DEC2BIN(HEX2DEC(AQ13), 4), 4, 1)</f>
        <v>0</v>
      </c>
      <c r="AX15" s="72"/>
      <c r="AY15" s="70" t="str">
        <f>MID(DEC2BIN(HEX2DEC(AY13), 4), 1, 1)</f>
        <v>1</v>
      </c>
      <c r="AZ15" s="71"/>
      <c r="BA15" s="71" t="str">
        <f>MID(DEC2BIN(HEX2DEC(AY13), 4), 2, 1)</f>
        <v>0</v>
      </c>
      <c r="BB15" s="71"/>
      <c r="BC15" s="71" t="str">
        <f>MID(DEC2BIN(HEX2DEC(AY13), 4), 3, 1)</f>
        <v>1</v>
      </c>
      <c r="BD15" s="71"/>
      <c r="BE15" s="71" t="str">
        <f>MID(DEC2BIN(HEX2DEC(AY13), 4), 4, 1)</f>
        <v>0</v>
      </c>
      <c r="BF15" s="71"/>
      <c r="BG15" s="73" t="str">
        <f>MID(DEC2BIN(HEX2DEC(BG13), 4), 1, 1)</f>
        <v>0</v>
      </c>
      <c r="BH15" s="71"/>
      <c r="BI15" s="71" t="str">
        <f>MID(DEC2BIN(HEX2DEC(BG13), 4), 2, 1)</f>
        <v>1</v>
      </c>
      <c r="BJ15" s="71"/>
      <c r="BK15" s="71" t="str">
        <f>MID(DEC2BIN(HEX2DEC(BG13), 4), 3, 1)</f>
        <v>0</v>
      </c>
      <c r="BL15" s="71"/>
      <c r="BM15" s="71" t="str">
        <f>MID(DEC2BIN(HEX2DEC(BG13), 4), 4, 1)</f>
        <v>1</v>
      </c>
      <c r="BN15" s="72"/>
      <c r="BO15" s="70" t="str">
        <f>MID(DEC2BIN(HEX2DEC(BO13), 4), 1, 1)</f>
        <v>1</v>
      </c>
      <c r="BP15" s="71"/>
      <c r="BQ15" s="71" t="str">
        <f>MID(DEC2BIN(HEX2DEC(BO13), 4), 2, 1)</f>
        <v>0</v>
      </c>
      <c r="BR15" s="71"/>
      <c r="BS15" s="71" t="str">
        <f>MID(DEC2BIN(HEX2DEC(BO13), 4), 3, 1)</f>
        <v>1</v>
      </c>
      <c r="BT15" s="71"/>
      <c r="BU15" s="71" t="str">
        <f>MID(DEC2BIN(HEX2DEC(BO13), 4), 4, 1)</f>
        <v>0</v>
      </c>
      <c r="BV15" s="71"/>
      <c r="BW15" s="73" t="str">
        <f>MID(DEC2BIN(HEX2DEC(BW13), 4), 1, 1)</f>
        <v>1</v>
      </c>
      <c r="BX15" s="71"/>
      <c r="BY15" s="71" t="str">
        <f>MID(DEC2BIN(HEX2DEC(BW13), 4), 2, 1)</f>
        <v>1</v>
      </c>
      <c r="BZ15" s="71"/>
      <c r="CA15" s="71" t="str">
        <f>MID(DEC2BIN(HEX2DEC(BW13), 4), 3, 1)</f>
        <v>1</v>
      </c>
      <c r="CB15" s="71"/>
      <c r="CC15" s="71" t="str">
        <f>MID(DEC2BIN(HEX2DEC(BW13), 4), 4, 1)</f>
        <v>1</v>
      </c>
      <c r="CD15" s="72"/>
      <c r="CE15" s="70" t="str">
        <f>MID(DEC2BIN(HEX2DEC(CE13), 4), 1, 1)</f>
        <v>0</v>
      </c>
      <c r="CF15" s="71"/>
      <c r="CG15" s="71" t="str">
        <f>MID(DEC2BIN(HEX2DEC(CE13), 4), 2, 1)</f>
        <v>0</v>
      </c>
      <c r="CH15" s="71"/>
      <c r="CI15" s="71" t="str">
        <f>MID(DEC2BIN(HEX2DEC(CE13), 4), 3, 1)</f>
        <v>1</v>
      </c>
      <c r="CJ15" s="71"/>
      <c r="CK15" s="71" t="str">
        <f>MID(DEC2BIN(HEX2DEC(CE13), 4), 4, 1)</f>
        <v>0</v>
      </c>
      <c r="CL15" s="71"/>
      <c r="CM15" s="73" t="str">
        <f>MID(DEC2BIN(HEX2DEC(CM13), 4), 1, 1)</f>
        <v>0</v>
      </c>
      <c r="CN15" s="71"/>
      <c r="CO15" s="71" t="str">
        <f>MID(DEC2BIN(HEX2DEC(CM13), 4), 2, 1)</f>
        <v>1</v>
      </c>
      <c r="CP15" s="71"/>
      <c r="CQ15" s="71" t="str">
        <f>MID(DEC2BIN(HEX2DEC(CM13), 4), 3, 1)</f>
        <v>0</v>
      </c>
      <c r="CR15" s="71"/>
      <c r="CS15" s="71" t="str">
        <f>MID(DEC2BIN(HEX2DEC(CM13), 4), 4, 1)</f>
        <v>1</v>
      </c>
      <c r="CT15" s="72"/>
    </row>
    <row r="16" spans="2:123" x14ac:dyDescent="0.45">
      <c r="B16" s="112"/>
      <c r="C16" s="114" t="str">
        <f>_xlfn.CONCAT(C15, E15, G15, I15, K15, M15, O15, Q15)</f>
        <v>10100000</v>
      </c>
      <c r="D16" s="115"/>
      <c r="E16" s="115"/>
      <c r="F16" s="115"/>
      <c r="G16" s="115"/>
      <c r="H16" s="115"/>
      <c r="I16" s="115"/>
      <c r="J16" s="115"/>
      <c r="K16" s="115"/>
      <c r="L16" s="115"/>
      <c r="M16" s="115"/>
      <c r="N16" s="115"/>
      <c r="O16" s="115"/>
      <c r="P16" s="115"/>
      <c r="Q16" s="115"/>
      <c r="R16" s="116"/>
      <c r="S16" s="117" t="str">
        <f>_xlfn.CONCAT(S15, U15, W15, Y15, AA15, AC15, AE15, AG15)</f>
        <v>00000000</v>
      </c>
      <c r="T16" s="115"/>
      <c r="U16" s="115"/>
      <c r="V16" s="115"/>
      <c r="W16" s="115"/>
      <c r="X16" s="115"/>
      <c r="Y16" s="115"/>
      <c r="Z16" s="115"/>
      <c r="AA16" s="115"/>
      <c r="AB16" s="115"/>
      <c r="AC16" s="115"/>
      <c r="AD16" s="115"/>
      <c r="AE16" s="115"/>
      <c r="AF16" s="115"/>
      <c r="AG16" s="115"/>
      <c r="AH16" s="116"/>
      <c r="AI16" s="118" t="str">
        <f>_xlfn.CONCAT(AI15, AK15, AM15, AO15, AQ15, AS15, AU15, AW15)</f>
        <v>10000110</v>
      </c>
      <c r="AJ16" s="118"/>
      <c r="AK16" s="118"/>
      <c r="AL16" s="118"/>
      <c r="AM16" s="118"/>
      <c r="AN16" s="118"/>
      <c r="AO16" s="118"/>
      <c r="AP16" s="118"/>
      <c r="AQ16" s="118"/>
      <c r="AR16" s="118"/>
      <c r="AS16" s="118"/>
      <c r="AT16" s="118"/>
      <c r="AU16" s="118"/>
      <c r="AV16" s="118"/>
      <c r="AW16" s="118"/>
      <c r="AX16" s="119"/>
      <c r="AY16" s="112" t="str">
        <f>_xlfn.CONCAT(AY15, BA15, BC15, BE15, BG15, BI15, BK15, BM15)</f>
        <v>10100101</v>
      </c>
      <c r="AZ16" s="118"/>
      <c r="BA16" s="118"/>
      <c r="BB16" s="118"/>
      <c r="BC16" s="118"/>
      <c r="BD16" s="118"/>
      <c r="BE16" s="118"/>
      <c r="BF16" s="118"/>
      <c r="BG16" s="118"/>
      <c r="BH16" s="118"/>
      <c r="BI16" s="118"/>
      <c r="BJ16" s="118"/>
      <c r="BK16" s="118"/>
      <c r="BL16" s="118"/>
      <c r="BM16" s="118"/>
      <c r="BN16" s="119"/>
      <c r="BO16" s="112" t="str">
        <f>_xlfn.CONCAT(BO15, BQ15, BS15, BU15, BW15, BY15, CA15, CC15)</f>
        <v>10101111</v>
      </c>
      <c r="BP16" s="118"/>
      <c r="BQ16" s="118"/>
      <c r="BR16" s="118"/>
      <c r="BS16" s="118"/>
      <c r="BT16" s="118"/>
      <c r="BU16" s="118"/>
      <c r="BV16" s="118"/>
      <c r="BW16" s="118"/>
      <c r="BX16" s="118"/>
      <c r="BY16" s="118"/>
      <c r="BZ16" s="118"/>
      <c r="CA16" s="118"/>
      <c r="CB16" s="118"/>
      <c r="CC16" s="118"/>
      <c r="CD16" s="119"/>
      <c r="CE16" s="112" t="str">
        <f>_xlfn.CONCAT(CE15, CG15, CI15, CK15, CM15, CO15, CQ15, CS15)</f>
        <v>00100101</v>
      </c>
      <c r="CF16" s="118"/>
      <c r="CG16" s="118"/>
      <c r="CH16" s="118"/>
      <c r="CI16" s="118"/>
      <c r="CJ16" s="118"/>
      <c r="CK16" s="118"/>
      <c r="CL16" s="118"/>
      <c r="CM16" s="118"/>
      <c r="CN16" s="118"/>
      <c r="CO16" s="118"/>
      <c r="CP16" s="118"/>
      <c r="CQ16" s="118"/>
      <c r="CR16" s="118"/>
      <c r="CS16" s="118"/>
      <c r="CT16" s="119"/>
    </row>
    <row r="17" spans="2:122" ht="15" thickBot="1" x14ac:dyDescent="0.5">
      <c r="B17" s="113"/>
      <c r="C17" s="124" t="str">
        <f>_xlfn.CONCAT("0x", BIN2HEX(C16, 2))</f>
        <v>0xA0</v>
      </c>
      <c r="D17" s="125"/>
      <c r="E17" s="125"/>
      <c r="F17" s="125"/>
      <c r="G17" s="125"/>
      <c r="H17" s="125"/>
      <c r="I17" s="125"/>
      <c r="J17" s="125"/>
      <c r="K17" s="125"/>
      <c r="L17" s="125"/>
      <c r="M17" s="125"/>
      <c r="N17" s="125"/>
      <c r="O17" s="125"/>
      <c r="P17" s="125"/>
      <c r="Q17" s="125"/>
      <c r="R17" s="126"/>
      <c r="S17" s="128" t="str">
        <f>_xlfn.CONCAT("0x", BIN2HEX(S16, 2))</f>
        <v>0x00</v>
      </c>
      <c r="T17" s="125"/>
      <c r="U17" s="125"/>
      <c r="V17" s="125"/>
      <c r="W17" s="125"/>
      <c r="X17" s="125"/>
      <c r="Y17" s="125"/>
      <c r="Z17" s="125"/>
      <c r="AA17" s="125"/>
      <c r="AB17" s="125"/>
      <c r="AC17" s="125"/>
      <c r="AD17" s="125"/>
      <c r="AE17" s="125"/>
      <c r="AF17" s="125"/>
      <c r="AG17" s="125"/>
      <c r="AH17" s="126"/>
      <c r="AI17" s="129" t="str">
        <f>_xlfn.CONCAT("0x", BIN2HEX(AI16, 2))</f>
        <v>0x86</v>
      </c>
      <c r="AJ17" s="129"/>
      <c r="AK17" s="129"/>
      <c r="AL17" s="129"/>
      <c r="AM17" s="129"/>
      <c r="AN17" s="129"/>
      <c r="AO17" s="129"/>
      <c r="AP17" s="129"/>
      <c r="AQ17" s="129"/>
      <c r="AR17" s="129"/>
      <c r="AS17" s="129"/>
      <c r="AT17" s="129"/>
      <c r="AU17" s="129"/>
      <c r="AV17" s="129"/>
      <c r="AW17" s="129"/>
      <c r="AX17" s="130"/>
      <c r="AY17" s="123" t="str">
        <f>_xlfn.CONCAT("0x", BIN2HEX(AY16, 2))</f>
        <v>0xA5</v>
      </c>
      <c r="AZ17" s="129"/>
      <c r="BA17" s="129"/>
      <c r="BB17" s="129"/>
      <c r="BC17" s="129"/>
      <c r="BD17" s="129"/>
      <c r="BE17" s="129"/>
      <c r="BF17" s="129"/>
      <c r="BG17" s="129"/>
      <c r="BH17" s="129"/>
      <c r="BI17" s="129"/>
      <c r="BJ17" s="129"/>
      <c r="BK17" s="129"/>
      <c r="BL17" s="129"/>
      <c r="BM17" s="129"/>
      <c r="BN17" s="130"/>
      <c r="BO17" s="123" t="str">
        <f>_xlfn.CONCAT("0x", BIN2HEX(BO16, 2))</f>
        <v>0xAF</v>
      </c>
      <c r="BP17" s="129"/>
      <c r="BQ17" s="129"/>
      <c r="BR17" s="129"/>
      <c r="BS17" s="129"/>
      <c r="BT17" s="129"/>
      <c r="BU17" s="129"/>
      <c r="BV17" s="129"/>
      <c r="BW17" s="129"/>
      <c r="BX17" s="129"/>
      <c r="BY17" s="129"/>
      <c r="BZ17" s="129"/>
      <c r="CA17" s="129"/>
      <c r="CB17" s="129"/>
      <c r="CC17" s="129"/>
      <c r="CD17" s="130"/>
      <c r="CE17" s="113" t="str">
        <f>_xlfn.CONCAT("0x", BIN2HEX(CE16, 2))</f>
        <v>0x25</v>
      </c>
      <c r="CF17" s="131"/>
      <c r="CG17" s="131"/>
      <c r="CH17" s="131"/>
      <c r="CI17" s="131"/>
      <c r="CJ17" s="131"/>
      <c r="CK17" s="131"/>
      <c r="CL17" s="131"/>
      <c r="CM17" s="131"/>
      <c r="CN17" s="131"/>
      <c r="CO17" s="131"/>
      <c r="CP17" s="131"/>
      <c r="CQ17" s="131"/>
      <c r="CR17" s="131"/>
      <c r="CS17" s="131"/>
      <c r="CT17" s="132"/>
    </row>
    <row r="18" spans="2:122" x14ac:dyDescent="0.45">
      <c r="B18" s="122" t="s">
        <v>646</v>
      </c>
      <c r="C18" s="75">
        <f>IF(C15="1", 0, 1)</f>
        <v>0</v>
      </c>
      <c r="D18" s="76">
        <f>IF(C15="1", 1, 0)</f>
        <v>1</v>
      </c>
      <c r="E18" s="76">
        <f>IF(E15="1", 0, 1)</f>
        <v>1</v>
      </c>
      <c r="F18" s="76">
        <f>IF(E15="1", 1, 0)</f>
        <v>0</v>
      </c>
      <c r="G18" s="76">
        <f>IF(G15="1", 0, 1)</f>
        <v>0</v>
      </c>
      <c r="H18" s="76">
        <f>IF(G15="1", 1, 0)</f>
        <v>1</v>
      </c>
      <c r="I18" s="76">
        <f>IF(I15="1", 0, 1)</f>
        <v>1</v>
      </c>
      <c r="J18" s="77">
        <f>IF(I15="1", 1, 0)</f>
        <v>0</v>
      </c>
      <c r="K18" s="75">
        <f>IF(K15="1", 0, 1)</f>
        <v>1</v>
      </c>
      <c r="L18" s="76">
        <f>IF(K15="1", 1, 0)</f>
        <v>0</v>
      </c>
      <c r="M18" s="76">
        <f>IF(M15="1", 0, 1)</f>
        <v>1</v>
      </c>
      <c r="N18" s="76">
        <f>IF(M15="1", 1, 0)</f>
        <v>0</v>
      </c>
      <c r="O18" s="76">
        <f>IF(O15="1", 0, 1)</f>
        <v>1</v>
      </c>
      <c r="P18" s="76">
        <f>IF(O15="1", 1, 0)</f>
        <v>0</v>
      </c>
      <c r="Q18" s="76">
        <f>IF(Q15="1", 0, 1)</f>
        <v>1</v>
      </c>
      <c r="R18" s="78">
        <f>IF(Q15="1", 1, 0)</f>
        <v>0</v>
      </c>
      <c r="S18" s="75">
        <f>IF(S15="1", 0, 1)</f>
        <v>1</v>
      </c>
      <c r="T18" s="76">
        <f>IF(S15="1", 1, 0)</f>
        <v>0</v>
      </c>
      <c r="U18" s="76">
        <f>IF(U15="1", 0, 1)</f>
        <v>1</v>
      </c>
      <c r="V18" s="76">
        <f>IF(U15="1", 1, 0)</f>
        <v>0</v>
      </c>
      <c r="W18" s="76">
        <f>IF(W15="1", 0, 1)</f>
        <v>1</v>
      </c>
      <c r="X18" s="76">
        <f>IF(W15="1", 1, 0)</f>
        <v>0</v>
      </c>
      <c r="Y18" s="76">
        <f>IF(Y15="1", 0, 1)</f>
        <v>1</v>
      </c>
      <c r="Z18" s="77">
        <f>IF(Y15="1", 1, 0)</f>
        <v>0</v>
      </c>
      <c r="AA18" s="75">
        <f>IF(AA15="1", 0, 1)</f>
        <v>1</v>
      </c>
      <c r="AB18" s="76">
        <f>IF(AA15="1", 1, 0)</f>
        <v>0</v>
      </c>
      <c r="AC18" s="76">
        <f>IF(AC15="1", 0, 1)</f>
        <v>1</v>
      </c>
      <c r="AD18" s="76">
        <f>IF(AC15="1", 1, 0)</f>
        <v>0</v>
      </c>
      <c r="AE18" s="76">
        <f>IF(AE15="1", 0, 1)</f>
        <v>1</v>
      </c>
      <c r="AF18" s="76">
        <f>IF(AE15="1", 1, 0)</f>
        <v>0</v>
      </c>
      <c r="AG18" s="76">
        <f>IF(AG15="1", 0, 1)</f>
        <v>1</v>
      </c>
      <c r="AH18" s="77">
        <f>IF(AG15="1", 1, 0)</f>
        <v>0</v>
      </c>
      <c r="AI18" s="79">
        <f>IF(AI15="1", 0, 1)</f>
        <v>0</v>
      </c>
      <c r="AJ18" s="80">
        <f>IF(AI15="1", 1, 0)</f>
        <v>1</v>
      </c>
      <c r="AK18" s="80">
        <f>IF(AK15="1", 0, 1)</f>
        <v>1</v>
      </c>
      <c r="AL18" s="80">
        <f>IF(AK15="1", 1, 0)</f>
        <v>0</v>
      </c>
      <c r="AM18" s="80">
        <f>IF(AM15="1", 0, 1)</f>
        <v>1</v>
      </c>
      <c r="AN18" s="80">
        <f>IF(AM15="1", 1, 0)</f>
        <v>0</v>
      </c>
      <c r="AO18" s="80">
        <f>IF(AO15="1", 0, 1)</f>
        <v>1</v>
      </c>
      <c r="AP18" s="81">
        <f>IF(AO15="1", 1, 0)</f>
        <v>0</v>
      </c>
      <c r="AQ18" s="79">
        <f>IF(AQ15="1", 0, 1)</f>
        <v>1</v>
      </c>
      <c r="AR18" s="80">
        <f>IF(AQ15="1", 1, 0)</f>
        <v>0</v>
      </c>
      <c r="AS18" s="80">
        <f>IF(AS15="1", 0, 1)</f>
        <v>0</v>
      </c>
      <c r="AT18" s="80">
        <f>IF(AS15="1", 1, 0)</f>
        <v>1</v>
      </c>
      <c r="AU18" s="80">
        <f>IF(AU15="1", 0, 1)</f>
        <v>0</v>
      </c>
      <c r="AV18" s="80">
        <f>IF(AU15="1", 1, 0)</f>
        <v>1</v>
      </c>
      <c r="AW18" s="80">
        <f>IF(AW15="1", 0, 1)</f>
        <v>1</v>
      </c>
      <c r="AX18" s="81">
        <f>IF(AW15="1", 1, 0)</f>
        <v>0</v>
      </c>
      <c r="AY18" s="79">
        <f>IF(AY15="1", 0, 1)</f>
        <v>0</v>
      </c>
      <c r="AZ18" s="80">
        <f>IF(AY15="1", 1, 0)</f>
        <v>1</v>
      </c>
      <c r="BA18" s="80">
        <f>IF(BA15="1", 0, 1)</f>
        <v>1</v>
      </c>
      <c r="BB18" s="80">
        <f>IF(BA15="1", 1, 0)</f>
        <v>0</v>
      </c>
      <c r="BC18" s="80">
        <f>IF(BC15="1", 0, 1)</f>
        <v>0</v>
      </c>
      <c r="BD18" s="80">
        <f>IF(BC15="1", 1, 0)</f>
        <v>1</v>
      </c>
      <c r="BE18" s="80">
        <f>IF(BE15="1", 0, 1)</f>
        <v>1</v>
      </c>
      <c r="BF18" s="81">
        <f>IF(BE15="1", 1, 0)</f>
        <v>0</v>
      </c>
      <c r="BG18" s="79">
        <f>IF(BG15="1", 0, 1)</f>
        <v>1</v>
      </c>
      <c r="BH18" s="80">
        <f>IF(BG15="1", 1, 0)</f>
        <v>0</v>
      </c>
      <c r="BI18" s="80">
        <f>IF(BI15="1", 0, 1)</f>
        <v>0</v>
      </c>
      <c r="BJ18" s="80">
        <f>IF(BI15="1", 1, 0)</f>
        <v>1</v>
      </c>
      <c r="BK18" s="80">
        <f>IF(BK15="1", 0, 1)</f>
        <v>1</v>
      </c>
      <c r="BL18" s="80">
        <f>IF(BK15="1", 1, 0)</f>
        <v>0</v>
      </c>
      <c r="BM18" s="80">
        <f>IF(BM15="1", 0, 1)</f>
        <v>0</v>
      </c>
      <c r="BN18" s="81">
        <f>IF(BM15="1", 1, 0)</f>
        <v>1</v>
      </c>
      <c r="BO18" s="79">
        <f>IF(BO15="1", 0, 1)</f>
        <v>0</v>
      </c>
      <c r="BP18" s="80">
        <f>IF(BO15="1", 1, 0)</f>
        <v>1</v>
      </c>
      <c r="BQ18" s="80">
        <f>IF(BQ15="1", 0, 1)</f>
        <v>1</v>
      </c>
      <c r="BR18" s="80">
        <f>IF(BQ15="1", 1, 0)</f>
        <v>0</v>
      </c>
      <c r="BS18" s="80">
        <f>IF(BS15="1", 0, 1)</f>
        <v>0</v>
      </c>
      <c r="BT18" s="80">
        <f>IF(BS15="1", 1, 0)</f>
        <v>1</v>
      </c>
      <c r="BU18" s="80">
        <f>IF(BU15="1", 0, 1)</f>
        <v>1</v>
      </c>
      <c r="BV18" s="81">
        <f>IF(BU15="1", 1, 0)</f>
        <v>0</v>
      </c>
      <c r="BW18" s="79">
        <f>IF(BW15="1", 0, 1)</f>
        <v>0</v>
      </c>
      <c r="BX18" s="80">
        <f>IF(BW15="1", 1, 0)</f>
        <v>1</v>
      </c>
      <c r="BY18" s="80">
        <f>IF(BY15="1", 0, 1)</f>
        <v>0</v>
      </c>
      <c r="BZ18" s="80">
        <f>IF(BY15="1", 1, 0)</f>
        <v>1</v>
      </c>
      <c r="CA18" s="80">
        <f>IF(CA15="1", 0, 1)</f>
        <v>0</v>
      </c>
      <c r="CB18" s="80">
        <f>IF(CA15="1", 1, 0)</f>
        <v>1</v>
      </c>
      <c r="CC18" s="80">
        <f>IF(CC15="1", 0, 1)</f>
        <v>0</v>
      </c>
      <c r="CD18" s="81">
        <f>IF(CC15="1", 1, 0)</f>
        <v>1</v>
      </c>
      <c r="CE18" s="79">
        <f>IF(CE15="1", 0, 1)</f>
        <v>1</v>
      </c>
      <c r="CF18" s="80">
        <f>IF(CE15="1", 1, 0)</f>
        <v>0</v>
      </c>
      <c r="CG18" s="80">
        <f>IF(CG15="1", 0, 1)</f>
        <v>1</v>
      </c>
      <c r="CH18" s="80">
        <f>IF(CG15="1", 1, 0)</f>
        <v>0</v>
      </c>
      <c r="CI18" s="80">
        <f>IF(CI15="1", 0, 1)</f>
        <v>0</v>
      </c>
      <c r="CJ18" s="80">
        <f>IF(CI15="1", 1, 0)</f>
        <v>1</v>
      </c>
      <c r="CK18" s="80">
        <f>IF(CK15="1", 0, 1)</f>
        <v>1</v>
      </c>
      <c r="CL18" s="81">
        <f>IF(CK15="1", 1, 0)</f>
        <v>0</v>
      </c>
      <c r="CM18" s="79">
        <f>IF(CM15="1", 0, 1)</f>
        <v>1</v>
      </c>
      <c r="CN18" s="80">
        <f>IF(CM15="1", 1, 0)</f>
        <v>0</v>
      </c>
      <c r="CO18" s="80">
        <f>IF(CO15="1", 0, 1)</f>
        <v>0</v>
      </c>
      <c r="CP18" s="80">
        <f>IF(CO15="1", 1, 0)</f>
        <v>1</v>
      </c>
      <c r="CQ18" s="80">
        <f>IF(CQ15="1", 0, 1)</f>
        <v>1</v>
      </c>
      <c r="CR18" s="80">
        <f>IF(CQ15="1", 1, 0)</f>
        <v>0</v>
      </c>
      <c r="CS18" s="80">
        <f>IF(CS15="1", 0, 1)</f>
        <v>0</v>
      </c>
      <c r="CT18" s="81">
        <f>IF(CS15="1", 1, 0)</f>
        <v>1</v>
      </c>
    </row>
    <row r="19" spans="2:122" ht="15" thickBot="1" x14ac:dyDescent="0.5">
      <c r="B19" s="123"/>
      <c r="C19" s="124" t="str">
        <f>_xlfn.CONCAT("0x", BIN2HEX(_xlfn.CONCAT(C18:J18), 2))</f>
        <v>0x66</v>
      </c>
      <c r="D19" s="125"/>
      <c r="E19" s="125"/>
      <c r="F19" s="125"/>
      <c r="G19" s="125"/>
      <c r="H19" s="125"/>
      <c r="I19" s="125"/>
      <c r="J19" s="126"/>
      <c r="K19" s="124" t="str">
        <f>_xlfn.CONCAT("0x", BIN2HEX(_xlfn.CONCAT(K18:R18), 2))</f>
        <v>0xAA</v>
      </c>
      <c r="L19" s="125"/>
      <c r="M19" s="125"/>
      <c r="N19" s="125"/>
      <c r="O19" s="125"/>
      <c r="P19" s="125"/>
      <c r="Q19" s="125"/>
      <c r="R19" s="127"/>
      <c r="S19" s="124" t="str">
        <f>_xlfn.CONCAT("0x", BIN2HEX(_xlfn.CONCAT(S18:Z18), 2))</f>
        <v>0xAA</v>
      </c>
      <c r="T19" s="125"/>
      <c r="U19" s="125"/>
      <c r="V19" s="125"/>
      <c r="W19" s="125"/>
      <c r="X19" s="125"/>
      <c r="Y19" s="125"/>
      <c r="Z19" s="126"/>
      <c r="AA19" s="124" t="str">
        <f>_xlfn.CONCAT("0x", BIN2HEX(_xlfn.CONCAT(AA18:AH18), 2))</f>
        <v>0xAA</v>
      </c>
      <c r="AB19" s="125"/>
      <c r="AC19" s="125"/>
      <c r="AD19" s="125"/>
      <c r="AE19" s="125"/>
      <c r="AF19" s="125"/>
      <c r="AG19" s="125"/>
      <c r="AH19" s="126"/>
      <c r="AI19" s="124" t="str">
        <f>_xlfn.CONCAT("0x", BIN2HEX(_xlfn.CONCAT(AI18:AP18), 2))</f>
        <v>0x6A</v>
      </c>
      <c r="AJ19" s="125"/>
      <c r="AK19" s="125"/>
      <c r="AL19" s="125"/>
      <c r="AM19" s="125"/>
      <c r="AN19" s="125"/>
      <c r="AO19" s="125"/>
      <c r="AP19" s="126"/>
      <c r="AQ19" s="124" t="str">
        <f>_xlfn.CONCAT("0x", BIN2HEX(_xlfn.CONCAT(AQ18:AX18), 2))</f>
        <v>0x96</v>
      </c>
      <c r="AR19" s="125"/>
      <c r="AS19" s="125"/>
      <c r="AT19" s="125"/>
      <c r="AU19" s="125"/>
      <c r="AV19" s="125"/>
      <c r="AW19" s="125"/>
      <c r="AX19" s="126"/>
      <c r="AY19" s="124" t="str">
        <f>_xlfn.CONCAT("0x", BIN2HEX(_xlfn.CONCAT(AY18:BF18), 2))</f>
        <v>0x66</v>
      </c>
      <c r="AZ19" s="125"/>
      <c r="BA19" s="125"/>
      <c r="BB19" s="125"/>
      <c r="BC19" s="125"/>
      <c r="BD19" s="125"/>
      <c r="BE19" s="125"/>
      <c r="BF19" s="126"/>
      <c r="BG19" s="124" t="str">
        <f>_xlfn.CONCAT("0x", BIN2HEX(_xlfn.CONCAT(BG18:BN18), 2))</f>
        <v>0x99</v>
      </c>
      <c r="BH19" s="125"/>
      <c r="BI19" s="125"/>
      <c r="BJ19" s="125"/>
      <c r="BK19" s="125"/>
      <c r="BL19" s="125"/>
      <c r="BM19" s="125"/>
      <c r="BN19" s="126"/>
      <c r="BO19" s="124" t="str">
        <f>_xlfn.CONCAT("0x", BIN2HEX(_xlfn.CONCAT(BO18:BV18), 2))</f>
        <v>0x66</v>
      </c>
      <c r="BP19" s="125"/>
      <c r="BQ19" s="125"/>
      <c r="BR19" s="125"/>
      <c r="BS19" s="125"/>
      <c r="BT19" s="125"/>
      <c r="BU19" s="125"/>
      <c r="BV19" s="126"/>
      <c r="BW19" s="124" t="str">
        <f>_xlfn.CONCAT("0x", BIN2HEX(_xlfn.CONCAT(BW18:CD18), 2))</f>
        <v>0x55</v>
      </c>
      <c r="BX19" s="125"/>
      <c r="BY19" s="125"/>
      <c r="BZ19" s="125"/>
      <c r="CA19" s="125"/>
      <c r="CB19" s="125"/>
      <c r="CC19" s="125"/>
      <c r="CD19" s="126"/>
      <c r="CE19" s="124" t="str">
        <f>_xlfn.CONCAT("0x", BIN2HEX(_xlfn.CONCAT(CE18:CL18), 2))</f>
        <v>0xA6</v>
      </c>
      <c r="CF19" s="125"/>
      <c r="CG19" s="125"/>
      <c r="CH19" s="125"/>
      <c r="CI19" s="125"/>
      <c r="CJ19" s="125"/>
      <c r="CK19" s="125"/>
      <c r="CL19" s="126"/>
      <c r="CM19" s="124" t="str">
        <f>_xlfn.CONCAT("0x", BIN2HEX(_xlfn.CONCAT(CM18:CT18), 2))</f>
        <v>0x99</v>
      </c>
      <c r="CN19" s="125"/>
      <c r="CO19" s="125"/>
      <c r="CP19" s="125"/>
      <c r="CQ19" s="125"/>
      <c r="CR19" s="125"/>
      <c r="CS19" s="125"/>
      <c r="CT19" s="126"/>
    </row>
    <row r="21" spans="2:122" ht="15" thickBot="1" x14ac:dyDescent="0.5"/>
    <row r="22" spans="2:122" ht="15" thickBot="1" x14ac:dyDescent="0.5">
      <c r="C22" s="83" t="s">
        <v>582</v>
      </c>
      <c r="D22" s="84"/>
      <c r="E22" s="84"/>
      <c r="F22" s="84"/>
      <c r="G22" s="84"/>
      <c r="H22" s="84"/>
      <c r="I22" s="84"/>
      <c r="J22" s="139"/>
      <c r="K22" s="86" t="s">
        <v>583</v>
      </c>
      <c r="L22" s="86"/>
      <c r="M22" s="86"/>
      <c r="N22" s="86"/>
      <c r="O22" s="86"/>
      <c r="P22" s="86"/>
      <c r="Q22" s="86"/>
      <c r="R22" s="86"/>
      <c r="S22" s="86"/>
      <c r="T22" s="86"/>
      <c r="U22" s="86"/>
      <c r="V22" s="86"/>
      <c r="W22" s="86"/>
      <c r="X22" s="86"/>
      <c r="Y22" s="86"/>
      <c r="Z22" s="86"/>
      <c r="AA22" s="86"/>
      <c r="AB22" s="86"/>
      <c r="AC22" s="86"/>
      <c r="AD22" s="86"/>
      <c r="AE22" s="86"/>
      <c r="AF22" s="86"/>
      <c r="AG22" s="86"/>
      <c r="AH22" s="87"/>
      <c r="AI22" s="88" t="s">
        <v>584</v>
      </c>
      <c r="AJ22" s="89"/>
      <c r="AK22" s="89"/>
      <c r="AL22" s="89"/>
      <c r="AM22" s="89"/>
      <c r="AN22" s="89"/>
      <c r="AO22" s="89"/>
      <c r="AP22" s="89"/>
      <c r="AQ22" s="89"/>
      <c r="AR22" s="89"/>
      <c r="AS22" s="89"/>
      <c r="AT22" s="89"/>
      <c r="AU22" s="89"/>
      <c r="AV22" s="89"/>
      <c r="AW22" s="89"/>
      <c r="AX22" s="90"/>
      <c r="AY22" s="93" t="s">
        <v>586</v>
      </c>
      <c r="AZ22" s="94"/>
      <c r="BA22" s="94"/>
      <c r="BB22" s="94"/>
      <c r="BC22" s="94"/>
      <c r="BD22" s="94"/>
      <c r="BE22" s="94"/>
      <c r="BF22" s="94"/>
      <c r="BG22" s="94"/>
      <c r="BH22" s="94"/>
      <c r="BI22" s="94"/>
      <c r="BJ22" s="94"/>
      <c r="BK22" s="94"/>
      <c r="BL22" s="94"/>
      <c r="BM22" s="94"/>
      <c r="BN22" s="95"/>
    </row>
    <row r="23" spans="2:122" ht="15" thickBot="1" x14ac:dyDescent="0.5">
      <c r="C23" s="96" t="s">
        <v>587</v>
      </c>
      <c r="D23" s="97"/>
      <c r="E23" s="97"/>
      <c r="F23" s="97"/>
      <c r="G23" s="97"/>
      <c r="H23" s="97"/>
      <c r="I23" s="97"/>
      <c r="J23" s="140"/>
      <c r="K23" s="102">
        <v>0</v>
      </c>
      <c r="L23" s="100"/>
      <c r="M23" s="100"/>
      <c r="N23" s="100"/>
      <c r="O23" s="100"/>
      <c r="P23" s="100"/>
      <c r="Q23" s="100"/>
      <c r="R23" s="101"/>
      <c r="S23" s="102">
        <v>0</v>
      </c>
      <c r="T23" s="100"/>
      <c r="U23" s="100"/>
      <c r="V23" s="100"/>
      <c r="W23" s="100"/>
      <c r="X23" s="100"/>
      <c r="Y23" s="100"/>
      <c r="Z23" s="100"/>
      <c r="AA23" s="100">
        <v>0</v>
      </c>
      <c r="AB23" s="100"/>
      <c r="AC23" s="100"/>
      <c r="AD23" s="100"/>
      <c r="AE23" s="100"/>
      <c r="AF23" s="100"/>
      <c r="AG23" s="100"/>
      <c r="AH23" s="101"/>
      <c r="AI23" s="103" t="s">
        <v>649</v>
      </c>
      <c r="AJ23" s="104"/>
      <c r="AK23" s="104"/>
      <c r="AL23" s="104"/>
      <c r="AM23" s="104"/>
      <c r="AN23" s="104"/>
      <c r="AO23" s="104"/>
      <c r="AP23" s="104"/>
      <c r="AQ23" s="104">
        <v>3</v>
      </c>
      <c r="AR23" s="104"/>
      <c r="AS23" s="104"/>
      <c r="AT23" s="104"/>
      <c r="AU23" s="104"/>
      <c r="AV23" s="104"/>
      <c r="AW23" s="104"/>
      <c r="AX23" s="120"/>
      <c r="AY23" s="108" t="str">
        <f>MID(DR23, 3, 1)</f>
        <v>6</v>
      </c>
      <c r="AZ23" s="109"/>
      <c r="BA23" s="109"/>
      <c r="BB23" s="109"/>
      <c r="BC23" s="109"/>
      <c r="BD23" s="109"/>
      <c r="BE23" s="109"/>
      <c r="BF23" s="109"/>
      <c r="BG23" s="109" t="str">
        <f>RIGHT(DR23, 1)</f>
        <v>D</v>
      </c>
      <c r="BH23" s="109"/>
      <c r="BI23" s="109"/>
      <c r="BJ23" s="109"/>
      <c r="BK23" s="109"/>
      <c r="BL23" s="109"/>
      <c r="BM23" s="109"/>
      <c r="BN23" s="110"/>
      <c r="DL23" s="60" t="str">
        <f>_xlfn.CONCAT(C23:R23)</f>
        <v>A0</v>
      </c>
      <c r="DM23" s="60" t="str">
        <f>_xlfn.CONCAT(S23:AH23)</f>
        <v>00</v>
      </c>
      <c r="DN23" s="60" t="str">
        <f>_xlfn.CONCAT(AI23:AX23)</f>
        <v>B3</v>
      </c>
      <c r="DO23" s="60"/>
      <c r="DP23" s="60" t="str">
        <f>_xlfn.CONCAT(BO23:CD23)</f>
        <v/>
      </c>
      <c r="DQ23" s="60"/>
      <c r="DR23" s="60" t="str" cm="1">
        <f t="array" ref="DR23">CRC8_0x2F(DL23:DN23)</f>
        <v>0x6D</v>
      </c>
    </row>
    <row r="24" spans="2:122" x14ac:dyDescent="0.45">
      <c r="B24" s="111" t="s">
        <v>650</v>
      </c>
      <c r="C24" s="61" t="s">
        <v>590</v>
      </c>
      <c r="D24" s="62"/>
      <c r="E24" s="62" t="s">
        <v>591</v>
      </c>
      <c r="F24" s="62"/>
      <c r="G24" s="62" t="s">
        <v>592</v>
      </c>
      <c r="H24" s="62"/>
      <c r="I24" s="62" t="s">
        <v>593</v>
      </c>
      <c r="J24" s="62"/>
      <c r="K24" s="62" t="s">
        <v>594</v>
      </c>
      <c r="L24" s="62"/>
      <c r="M24" s="62" t="s">
        <v>595</v>
      </c>
      <c r="N24" s="62"/>
      <c r="O24" s="62" t="s">
        <v>596</v>
      </c>
      <c r="P24" s="62"/>
      <c r="Q24" s="62" t="s">
        <v>597</v>
      </c>
      <c r="R24" s="63"/>
      <c r="S24" s="64" t="s">
        <v>598</v>
      </c>
      <c r="T24" s="62"/>
      <c r="U24" s="62" t="s">
        <v>599</v>
      </c>
      <c r="V24" s="62"/>
      <c r="W24" s="62" t="s">
        <v>600</v>
      </c>
      <c r="X24" s="62"/>
      <c r="Y24" s="62" t="s">
        <v>601</v>
      </c>
      <c r="Z24" s="62"/>
      <c r="AA24" s="62" t="s">
        <v>602</v>
      </c>
      <c r="AB24" s="62"/>
      <c r="AC24" s="62" t="s">
        <v>603</v>
      </c>
      <c r="AD24" s="62"/>
      <c r="AE24" s="62" t="s">
        <v>604</v>
      </c>
      <c r="AF24" s="62"/>
      <c r="AG24" s="62" t="s">
        <v>605</v>
      </c>
      <c r="AH24" s="63"/>
      <c r="AI24" s="68" t="s">
        <v>606</v>
      </c>
      <c r="AJ24" s="66"/>
      <c r="AK24" s="66" t="s">
        <v>607</v>
      </c>
      <c r="AL24" s="66"/>
      <c r="AM24" s="66" t="s">
        <v>608</v>
      </c>
      <c r="AN24" s="66"/>
      <c r="AO24" s="66" t="s">
        <v>609</v>
      </c>
      <c r="AP24" s="66"/>
      <c r="AQ24" s="66" t="s">
        <v>610</v>
      </c>
      <c r="AR24" s="66"/>
      <c r="AS24" s="66" t="s">
        <v>611</v>
      </c>
      <c r="AT24" s="66"/>
      <c r="AU24" s="66" t="s">
        <v>612</v>
      </c>
      <c r="AV24" s="66"/>
      <c r="AW24" s="66" t="s">
        <v>613</v>
      </c>
      <c r="AX24" s="67"/>
      <c r="AY24" s="68" t="s">
        <v>638</v>
      </c>
      <c r="AZ24" s="66"/>
      <c r="BA24" s="66" t="s">
        <v>639</v>
      </c>
      <c r="BB24" s="66"/>
      <c r="BC24" s="66" t="s">
        <v>640</v>
      </c>
      <c r="BD24" s="66"/>
      <c r="BE24" s="66" t="s">
        <v>641</v>
      </c>
      <c r="BF24" s="66"/>
      <c r="BG24" s="66" t="s">
        <v>642</v>
      </c>
      <c r="BH24" s="66"/>
      <c r="BI24" s="66" t="s">
        <v>643</v>
      </c>
      <c r="BJ24" s="66"/>
      <c r="BK24" s="66" t="s">
        <v>644</v>
      </c>
      <c r="BL24" s="66"/>
      <c r="BM24" s="66" t="s">
        <v>645</v>
      </c>
      <c r="BN24" s="67"/>
    </row>
    <row r="25" spans="2:122" x14ac:dyDescent="0.45">
      <c r="B25" s="112"/>
      <c r="C25" s="70" t="str">
        <f>MID(DEC2BIN(HEX2DEC(C23), 4), 1, 1)</f>
        <v>1</v>
      </c>
      <c r="D25" s="71"/>
      <c r="E25" s="71" t="str">
        <f>MID(DEC2BIN(HEX2DEC(C23), 4), 2, 1)</f>
        <v>0</v>
      </c>
      <c r="F25" s="71"/>
      <c r="G25" s="71" t="str">
        <f>MID(DEC2BIN(HEX2DEC(C23), 4), 3, 1)</f>
        <v>1</v>
      </c>
      <c r="H25" s="71"/>
      <c r="I25" s="71" t="str">
        <f>MID(DEC2BIN(HEX2DEC(C23), 4), 4, 1)</f>
        <v>0</v>
      </c>
      <c r="J25" s="71"/>
      <c r="K25" s="71" t="str">
        <f>MID(DEC2BIN(HEX2DEC(K23), 4), 1, 1)</f>
        <v>0</v>
      </c>
      <c r="L25" s="71"/>
      <c r="M25" s="71" t="str">
        <f>MID(DEC2BIN(HEX2DEC(K23), 4), 2, 1)</f>
        <v>0</v>
      </c>
      <c r="N25" s="71"/>
      <c r="O25" s="71" t="str">
        <f>MID(DEC2BIN(HEX2DEC(K23), 4), 3, 1)</f>
        <v>0</v>
      </c>
      <c r="P25" s="71"/>
      <c r="Q25" s="71" t="str">
        <f>MID(DEC2BIN(HEX2DEC(K23), 4), 4, 1)</f>
        <v>0</v>
      </c>
      <c r="R25" s="72"/>
      <c r="S25" s="73" t="str">
        <f>MID(DEC2BIN(HEX2DEC(S23), 4), 1, 1)</f>
        <v>0</v>
      </c>
      <c r="T25" s="71"/>
      <c r="U25" s="71" t="str">
        <f>MID(DEC2BIN(HEX2DEC(S23), 4), 2, 1)</f>
        <v>0</v>
      </c>
      <c r="V25" s="71"/>
      <c r="W25" s="71" t="str">
        <f>MID(DEC2BIN(HEX2DEC(S23), 4), 3, 1)</f>
        <v>0</v>
      </c>
      <c r="X25" s="71"/>
      <c r="Y25" s="71" t="str">
        <f>MID(DEC2BIN(HEX2DEC(S23), 4), 4, 1)</f>
        <v>0</v>
      </c>
      <c r="Z25" s="71"/>
      <c r="AA25" s="73" t="str">
        <f>MID(DEC2BIN(HEX2DEC(AA23), 4), 1, 1)</f>
        <v>0</v>
      </c>
      <c r="AB25" s="71"/>
      <c r="AC25" s="71" t="str">
        <f>MID(DEC2BIN(HEX2DEC(AA23), 4), 2, 1)</f>
        <v>0</v>
      </c>
      <c r="AD25" s="71"/>
      <c r="AE25" s="71" t="str">
        <f>MID(DEC2BIN(HEX2DEC(AA23), 4), 3, 1)</f>
        <v>0</v>
      </c>
      <c r="AF25" s="71"/>
      <c r="AG25" s="71" t="str">
        <f>MID(DEC2BIN(HEX2DEC(AA23), 4), 4, 1)</f>
        <v>0</v>
      </c>
      <c r="AH25" s="72"/>
      <c r="AI25" s="70" t="str">
        <f>MID(DEC2BIN(HEX2DEC(AI23), 4), 1, 1)</f>
        <v>1</v>
      </c>
      <c r="AJ25" s="71"/>
      <c r="AK25" s="71" t="str">
        <f>MID(DEC2BIN(HEX2DEC(AI23), 4), 2, 1)</f>
        <v>0</v>
      </c>
      <c r="AL25" s="71"/>
      <c r="AM25" s="71" t="str">
        <f>MID(DEC2BIN(HEX2DEC(AI23), 4), 3, 1)</f>
        <v>1</v>
      </c>
      <c r="AN25" s="71"/>
      <c r="AO25" s="71" t="str">
        <f>MID(DEC2BIN(HEX2DEC(AI23), 4), 4, 1)</f>
        <v>1</v>
      </c>
      <c r="AP25" s="71"/>
      <c r="AQ25" s="73" t="str">
        <f>MID(DEC2BIN(HEX2DEC(AQ23), 4), 1, 1)</f>
        <v>0</v>
      </c>
      <c r="AR25" s="71"/>
      <c r="AS25" s="71" t="str">
        <f>MID(DEC2BIN(HEX2DEC(AQ23), 4), 2, 1)</f>
        <v>0</v>
      </c>
      <c r="AT25" s="71"/>
      <c r="AU25" s="71" t="str">
        <f>MID(DEC2BIN(HEX2DEC(AQ23), 4), 3, 1)</f>
        <v>1</v>
      </c>
      <c r="AV25" s="71"/>
      <c r="AW25" s="71" t="str">
        <f>MID(DEC2BIN(HEX2DEC(AQ23), 4), 4, 1)</f>
        <v>1</v>
      </c>
      <c r="AX25" s="72"/>
      <c r="AY25" s="70" t="str">
        <f>MID(DEC2BIN(HEX2DEC(AY23), 4), 1, 1)</f>
        <v>0</v>
      </c>
      <c r="AZ25" s="71"/>
      <c r="BA25" s="71" t="str">
        <f>MID(DEC2BIN(HEX2DEC(AY23), 4), 2, 1)</f>
        <v>1</v>
      </c>
      <c r="BB25" s="71"/>
      <c r="BC25" s="71" t="str">
        <f>MID(DEC2BIN(HEX2DEC(AY23), 4), 3, 1)</f>
        <v>1</v>
      </c>
      <c r="BD25" s="71"/>
      <c r="BE25" s="71" t="str">
        <f>MID(DEC2BIN(HEX2DEC(AY23), 4), 4, 1)</f>
        <v>0</v>
      </c>
      <c r="BF25" s="71"/>
      <c r="BG25" s="73" t="str">
        <f>MID(DEC2BIN(HEX2DEC(BG23), 4), 1, 1)</f>
        <v>1</v>
      </c>
      <c r="BH25" s="71"/>
      <c r="BI25" s="71" t="str">
        <f>MID(DEC2BIN(HEX2DEC(BG23), 4), 2, 1)</f>
        <v>1</v>
      </c>
      <c r="BJ25" s="71"/>
      <c r="BK25" s="71" t="str">
        <f>MID(DEC2BIN(HEX2DEC(BG23), 4), 3, 1)</f>
        <v>0</v>
      </c>
      <c r="BL25" s="71"/>
      <c r="BM25" s="71" t="str">
        <f>MID(DEC2BIN(HEX2DEC(BG23), 4), 4, 1)</f>
        <v>1</v>
      </c>
      <c r="BN25" s="72"/>
    </row>
    <row r="26" spans="2:122" x14ac:dyDescent="0.45">
      <c r="B26" s="112"/>
      <c r="C26" s="114" t="str">
        <f>_xlfn.CONCAT(C25, E25, G25, I25, K25, M25, O25, Q25)</f>
        <v>10100000</v>
      </c>
      <c r="D26" s="115"/>
      <c r="E26" s="115"/>
      <c r="F26" s="115"/>
      <c r="G26" s="115"/>
      <c r="H26" s="115"/>
      <c r="I26" s="115"/>
      <c r="J26" s="115"/>
      <c r="K26" s="115"/>
      <c r="L26" s="115"/>
      <c r="M26" s="115"/>
      <c r="N26" s="115"/>
      <c r="O26" s="115"/>
      <c r="P26" s="115"/>
      <c r="Q26" s="115"/>
      <c r="R26" s="116"/>
      <c r="S26" s="118" t="str">
        <f>_xlfn.CONCAT(S25, U25, W25, Y25, AA25, AC25, AE25, AG25)</f>
        <v>00000000</v>
      </c>
      <c r="T26" s="118"/>
      <c r="U26" s="118"/>
      <c r="V26" s="118"/>
      <c r="W26" s="118"/>
      <c r="X26" s="118"/>
      <c r="Y26" s="118"/>
      <c r="Z26" s="118"/>
      <c r="AA26" s="118"/>
      <c r="AB26" s="118"/>
      <c r="AC26" s="118"/>
      <c r="AD26" s="118"/>
      <c r="AE26" s="118"/>
      <c r="AF26" s="118"/>
      <c r="AG26" s="118"/>
      <c r="AH26" s="119"/>
      <c r="AI26" s="112" t="str">
        <f>_xlfn.CONCAT(AI25, AK25, AM25, AO25, AQ25, AS25, AU25, AW25)</f>
        <v>10110011</v>
      </c>
      <c r="AJ26" s="118"/>
      <c r="AK26" s="118"/>
      <c r="AL26" s="118"/>
      <c r="AM26" s="118"/>
      <c r="AN26" s="118"/>
      <c r="AO26" s="118"/>
      <c r="AP26" s="118"/>
      <c r="AQ26" s="118"/>
      <c r="AR26" s="118"/>
      <c r="AS26" s="118"/>
      <c r="AT26" s="118"/>
      <c r="AU26" s="118"/>
      <c r="AV26" s="118"/>
      <c r="AW26" s="118"/>
      <c r="AX26" s="119"/>
      <c r="AY26" s="112" t="str">
        <f>_xlfn.CONCAT(AY25, BA25, BC25, BE25, BG25, BI25, BK25, BM25)</f>
        <v>01101101</v>
      </c>
      <c r="AZ26" s="118"/>
      <c r="BA26" s="118"/>
      <c r="BB26" s="118"/>
      <c r="BC26" s="118"/>
      <c r="BD26" s="118"/>
      <c r="BE26" s="118"/>
      <c r="BF26" s="118"/>
      <c r="BG26" s="118"/>
      <c r="BH26" s="118"/>
      <c r="BI26" s="118"/>
      <c r="BJ26" s="118"/>
      <c r="BK26" s="118"/>
      <c r="BL26" s="118"/>
      <c r="BM26" s="118"/>
      <c r="BN26" s="119"/>
    </row>
    <row r="27" spans="2:122" ht="15" thickBot="1" x14ac:dyDescent="0.5">
      <c r="B27" s="113"/>
      <c r="C27" s="124" t="str">
        <f>_xlfn.CONCAT("0x", BIN2HEX(C26, 2))</f>
        <v>0xA0</v>
      </c>
      <c r="D27" s="125"/>
      <c r="E27" s="125"/>
      <c r="F27" s="125"/>
      <c r="G27" s="125"/>
      <c r="H27" s="125"/>
      <c r="I27" s="125"/>
      <c r="J27" s="125"/>
      <c r="K27" s="125"/>
      <c r="L27" s="125"/>
      <c r="M27" s="125"/>
      <c r="N27" s="125"/>
      <c r="O27" s="125"/>
      <c r="P27" s="125"/>
      <c r="Q27" s="125"/>
      <c r="R27" s="126"/>
      <c r="S27" s="129" t="str">
        <f>_xlfn.CONCAT("0x", BIN2HEX(S26, 2))</f>
        <v>0x00</v>
      </c>
      <c r="T27" s="129"/>
      <c r="U27" s="129"/>
      <c r="V27" s="129"/>
      <c r="W27" s="129"/>
      <c r="X27" s="129"/>
      <c r="Y27" s="129"/>
      <c r="Z27" s="129"/>
      <c r="AA27" s="129"/>
      <c r="AB27" s="129"/>
      <c r="AC27" s="129"/>
      <c r="AD27" s="129"/>
      <c r="AE27" s="129"/>
      <c r="AF27" s="129"/>
      <c r="AG27" s="129"/>
      <c r="AH27" s="130"/>
      <c r="AI27" s="123" t="str">
        <f>_xlfn.CONCAT("0x", BIN2HEX(AI26, 2))</f>
        <v>0xB3</v>
      </c>
      <c r="AJ27" s="129"/>
      <c r="AK27" s="129"/>
      <c r="AL27" s="129"/>
      <c r="AM27" s="129"/>
      <c r="AN27" s="129"/>
      <c r="AO27" s="129"/>
      <c r="AP27" s="129"/>
      <c r="AQ27" s="129"/>
      <c r="AR27" s="129"/>
      <c r="AS27" s="129"/>
      <c r="AT27" s="129"/>
      <c r="AU27" s="129"/>
      <c r="AV27" s="129"/>
      <c r="AW27" s="129"/>
      <c r="AX27" s="130"/>
      <c r="AY27" s="113" t="str">
        <f>_xlfn.CONCAT("0x", BIN2HEX(AY26, 2))</f>
        <v>0x6D</v>
      </c>
      <c r="AZ27" s="131"/>
      <c r="BA27" s="131"/>
      <c r="BB27" s="131"/>
      <c r="BC27" s="131"/>
      <c r="BD27" s="131"/>
      <c r="BE27" s="131"/>
      <c r="BF27" s="131"/>
      <c r="BG27" s="131"/>
      <c r="BH27" s="131"/>
      <c r="BI27" s="131"/>
      <c r="BJ27" s="131"/>
      <c r="BK27" s="131"/>
      <c r="BL27" s="131"/>
      <c r="BM27" s="131"/>
      <c r="BN27" s="132"/>
    </row>
    <row r="28" spans="2:122" x14ac:dyDescent="0.45">
      <c r="B28" s="122" t="s">
        <v>646</v>
      </c>
      <c r="C28" s="75">
        <f>IF(C25="1", 0, 1)</f>
        <v>0</v>
      </c>
      <c r="D28" s="76">
        <f>IF(C25="1", 1, 0)</f>
        <v>1</v>
      </c>
      <c r="E28" s="76">
        <f>IF(E25="1", 0, 1)</f>
        <v>1</v>
      </c>
      <c r="F28" s="76">
        <f>IF(E25="1", 1, 0)</f>
        <v>0</v>
      </c>
      <c r="G28" s="76">
        <f>IF(G25="1", 0, 1)</f>
        <v>0</v>
      </c>
      <c r="H28" s="76">
        <f>IF(G25="1", 1, 0)</f>
        <v>1</v>
      </c>
      <c r="I28" s="76">
        <f>IF(I25="1", 0, 1)</f>
        <v>1</v>
      </c>
      <c r="J28" s="77">
        <f>IF(I25="1", 1, 0)</f>
        <v>0</v>
      </c>
      <c r="K28" s="75">
        <f>IF(K25="1", 0, 1)</f>
        <v>1</v>
      </c>
      <c r="L28" s="76">
        <f>IF(K25="1", 1, 0)</f>
        <v>0</v>
      </c>
      <c r="M28" s="76">
        <f>IF(M25="1", 0, 1)</f>
        <v>1</v>
      </c>
      <c r="N28" s="76">
        <f>IF(M25="1", 1, 0)</f>
        <v>0</v>
      </c>
      <c r="O28" s="76">
        <f>IF(O25="1", 0, 1)</f>
        <v>1</v>
      </c>
      <c r="P28" s="76">
        <f>IF(O25="1", 1, 0)</f>
        <v>0</v>
      </c>
      <c r="Q28" s="76">
        <f>IF(Q25="1", 0, 1)</f>
        <v>1</v>
      </c>
      <c r="R28" s="78">
        <f>IF(Q25="1", 1, 0)</f>
        <v>0</v>
      </c>
      <c r="S28" s="79">
        <f>IF(S25="1", 0, 1)</f>
        <v>1</v>
      </c>
      <c r="T28" s="80">
        <f>IF(S25="1", 1, 0)</f>
        <v>0</v>
      </c>
      <c r="U28" s="80">
        <f>IF(U25="1", 0, 1)</f>
        <v>1</v>
      </c>
      <c r="V28" s="80">
        <f>IF(U25="1", 1, 0)</f>
        <v>0</v>
      </c>
      <c r="W28" s="80">
        <f>IF(W25="1", 0, 1)</f>
        <v>1</v>
      </c>
      <c r="X28" s="80">
        <f>IF(W25="1", 1, 0)</f>
        <v>0</v>
      </c>
      <c r="Y28" s="80">
        <f>IF(Y25="1", 0, 1)</f>
        <v>1</v>
      </c>
      <c r="Z28" s="81">
        <f>IF(Y25="1", 1, 0)</f>
        <v>0</v>
      </c>
      <c r="AA28" s="79">
        <f>IF(AA25="1", 0, 1)</f>
        <v>1</v>
      </c>
      <c r="AB28" s="80">
        <f>IF(AA25="1", 1, 0)</f>
        <v>0</v>
      </c>
      <c r="AC28" s="80">
        <f>IF(AC25="1", 0, 1)</f>
        <v>1</v>
      </c>
      <c r="AD28" s="80">
        <f>IF(AC25="1", 1, 0)</f>
        <v>0</v>
      </c>
      <c r="AE28" s="80">
        <f>IF(AE25="1", 0, 1)</f>
        <v>1</v>
      </c>
      <c r="AF28" s="80">
        <f>IF(AE25="1", 1, 0)</f>
        <v>0</v>
      </c>
      <c r="AG28" s="80">
        <f>IF(AG25="1", 0, 1)</f>
        <v>1</v>
      </c>
      <c r="AH28" s="81">
        <f>IF(AG25="1", 1, 0)</f>
        <v>0</v>
      </c>
      <c r="AI28" s="79">
        <f>IF(AI25="1", 0, 1)</f>
        <v>0</v>
      </c>
      <c r="AJ28" s="80">
        <f>IF(AI25="1", 1, 0)</f>
        <v>1</v>
      </c>
      <c r="AK28" s="80">
        <f>IF(AK25="1", 0, 1)</f>
        <v>1</v>
      </c>
      <c r="AL28" s="80">
        <f>IF(AK25="1", 1, 0)</f>
        <v>0</v>
      </c>
      <c r="AM28" s="80">
        <f>IF(AM25="1", 0, 1)</f>
        <v>0</v>
      </c>
      <c r="AN28" s="80">
        <f>IF(AM25="1", 1, 0)</f>
        <v>1</v>
      </c>
      <c r="AO28" s="80">
        <f>IF(AO25="1", 0, 1)</f>
        <v>0</v>
      </c>
      <c r="AP28" s="81">
        <f>IF(AO25="1", 1, 0)</f>
        <v>1</v>
      </c>
      <c r="AQ28" s="79">
        <f>IF(AQ25="1", 0, 1)</f>
        <v>1</v>
      </c>
      <c r="AR28" s="80">
        <f>IF(AQ25="1", 1, 0)</f>
        <v>0</v>
      </c>
      <c r="AS28" s="80">
        <f>IF(AS25="1", 0, 1)</f>
        <v>1</v>
      </c>
      <c r="AT28" s="80">
        <f>IF(AS25="1", 1, 0)</f>
        <v>0</v>
      </c>
      <c r="AU28" s="80">
        <f>IF(AU25="1", 0, 1)</f>
        <v>0</v>
      </c>
      <c r="AV28" s="80">
        <f>IF(AU25="1", 1, 0)</f>
        <v>1</v>
      </c>
      <c r="AW28" s="80">
        <f>IF(AW25="1", 0, 1)</f>
        <v>0</v>
      </c>
      <c r="AX28" s="81">
        <f>IF(AW25="1", 1, 0)</f>
        <v>1</v>
      </c>
      <c r="AY28" s="79">
        <f>IF(AY25="1", 0, 1)</f>
        <v>1</v>
      </c>
      <c r="AZ28" s="80">
        <f>IF(AY25="1", 1, 0)</f>
        <v>0</v>
      </c>
      <c r="BA28" s="80">
        <f>IF(BA25="1", 0, 1)</f>
        <v>0</v>
      </c>
      <c r="BB28" s="80">
        <f>IF(BA25="1", 1, 0)</f>
        <v>1</v>
      </c>
      <c r="BC28" s="80">
        <f>IF(BC25="1", 0, 1)</f>
        <v>0</v>
      </c>
      <c r="BD28" s="80">
        <f>IF(BC25="1", 1, 0)</f>
        <v>1</v>
      </c>
      <c r="BE28" s="80">
        <f>IF(BE25="1", 0, 1)</f>
        <v>1</v>
      </c>
      <c r="BF28" s="81">
        <f>IF(BE25="1", 1, 0)</f>
        <v>0</v>
      </c>
      <c r="BG28" s="79">
        <f>IF(BG25="1", 0, 1)</f>
        <v>0</v>
      </c>
      <c r="BH28" s="80">
        <f>IF(BG25="1", 1, 0)</f>
        <v>1</v>
      </c>
      <c r="BI28" s="80">
        <f>IF(BI25="1", 0, 1)</f>
        <v>0</v>
      </c>
      <c r="BJ28" s="80">
        <f>IF(BI25="1", 1, 0)</f>
        <v>1</v>
      </c>
      <c r="BK28" s="80">
        <f>IF(BK25="1", 0, 1)</f>
        <v>1</v>
      </c>
      <c r="BL28" s="80">
        <f>IF(BK25="1", 1, 0)</f>
        <v>0</v>
      </c>
      <c r="BM28" s="80">
        <f>IF(BM25="1", 0, 1)</f>
        <v>0</v>
      </c>
      <c r="BN28" s="81">
        <f>IF(BM25="1", 1, 0)</f>
        <v>1</v>
      </c>
    </row>
    <row r="29" spans="2:122" ht="15" thickBot="1" x14ac:dyDescent="0.5">
      <c r="B29" s="123"/>
      <c r="C29" s="124" t="str">
        <f>_xlfn.CONCAT("0x", BIN2HEX(_xlfn.CONCAT(C28:J28), 2))</f>
        <v>0x66</v>
      </c>
      <c r="D29" s="125"/>
      <c r="E29" s="125"/>
      <c r="F29" s="125"/>
      <c r="G29" s="125"/>
      <c r="H29" s="125"/>
      <c r="I29" s="125"/>
      <c r="J29" s="126"/>
      <c r="K29" s="124" t="str">
        <f>_xlfn.CONCAT("0x", BIN2HEX(_xlfn.CONCAT(K28:R28), 2))</f>
        <v>0xAA</v>
      </c>
      <c r="L29" s="125"/>
      <c r="M29" s="125"/>
      <c r="N29" s="125"/>
      <c r="O29" s="125"/>
      <c r="P29" s="125"/>
      <c r="Q29" s="125"/>
      <c r="R29" s="127"/>
      <c r="S29" s="124" t="str">
        <f>_xlfn.CONCAT("0x", BIN2HEX(_xlfn.CONCAT(S28:Z28), 2))</f>
        <v>0xAA</v>
      </c>
      <c r="T29" s="125"/>
      <c r="U29" s="125"/>
      <c r="V29" s="125"/>
      <c r="W29" s="125"/>
      <c r="X29" s="125"/>
      <c r="Y29" s="125"/>
      <c r="Z29" s="126"/>
      <c r="AA29" s="124" t="str">
        <f>_xlfn.CONCAT("0x", BIN2HEX(_xlfn.CONCAT(AA28:AH28), 2))</f>
        <v>0xAA</v>
      </c>
      <c r="AB29" s="125"/>
      <c r="AC29" s="125"/>
      <c r="AD29" s="125"/>
      <c r="AE29" s="125"/>
      <c r="AF29" s="125"/>
      <c r="AG29" s="125"/>
      <c r="AH29" s="126"/>
      <c r="AI29" s="124" t="str">
        <f>_xlfn.CONCAT("0x", BIN2HEX(_xlfn.CONCAT(AI28:AP28), 2))</f>
        <v>0x65</v>
      </c>
      <c r="AJ29" s="125"/>
      <c r="AK29" s="125"/>
      <c r="AL29" s="125"/>
      <c r="AM29" s="125"/>
      <c r="AN29" s="125"/>
      <c r="AO29" s="125"/>
      <c r="AP29" s="126"/>
      <c r="AQ29" s="124" t="str">
        <f>_xlfn.CONCAT("0x", BIN2HEX(_xlfn.CONCAT(AQ28:AX28), 2))</f>
        <v>0xA5</v>
      </c>
      <c r="AR29" s="125"/>
      <c r="AS29" s="125"/>
      <c r="AT29" s="125"/>
      <c r="AU29" s="125"/>
      <c r="AV29" s="125"/>
      <c r="AW29" s="125"/>
      <c r="AX29" s="126"/>
      <c r="AY29" s="124" t="str">
        <f>_xlfn.CONCAT("0x", BIN2HEX(_xlfn.CONCAT(AY28:BF28), 2))</f>
        <v>0x96</v>
      </c>
      <c r="AZ29" s="125"/>
      <c r="BA29" s="125"/>
      <c r="BB29" s="125"/>
      <c r="BC29" s="125"/>
      <c r="BD29" s="125"/>
      <c r="BE29" s="125"/>
      <c r="BF29" s="126"/>
      <c r="BG29" s="124" t="str">
        <f>_xlfn.CONCAT("0x", BIN2HEX(_xlfn.CONCAT(BG28:BN28), 2))</f>
        <v>0x59</v>
      </c>
      <c r="BH29" s="125"/>
      <c r="BI29" s="125"/>
      <c r="BJ29" s="125"/>
      <c r="BK29" s="125"/>
      <c r="BL29" s="125"/>
      <c r="BM29" s="125"/>
      <c r="BN29" s="126"/>
    </row>
  </sheetData>
  <mergeCells count="123">
    <mergeCell ref="BG29:BN29"/>
    <mergeCell ref="AI27:AX27"/>
    <mergeCell ref="AY27:BN27"/>
    <mergeCell ref="B28:B29"/>
    <mergeCell ref="C29:J29"/>
    <mergeCell ref="K29:R29"/>
    <mergeCell ref="S29:Z29"/>
    <mergeCell ref="AA29:AH29"/>
    <mergeCell ref="AI29:AP29"/>
    <mergeCell ref="AQ29:AX29"/>
    <mergeCell ref="AY29:BF29"/>
    <mergeCell ref="BW19:CD19"/>
    <mergeCell ref="CE19:CL19"/>
    <mergeCell ref="AQ23:AX23"/>
    <mergeCell ref="AY23:BF23"/>
    <mergeCell ref="BG23:BN23"/>
    <mergeCell ref="B24:B27"/>
    <mergeCell ref="C26:R26"/>
    <mergeCell ref="S26:AH26"/>
    <mergeCell ref="AI26:AX26"/>
    <mergeCell ref="AY26:BN26"/>
    <mergeCell ref="C27:R27"/>
    <mergeCell ref="S27:AH27"/>
    <mergeCell ref="C22:J22"/>
    <mergeCell ref="K22:AH22"/>
    <mergeCell ref="AI22:AX22"/>
    <mergeCell ref="AY22:BN22"/>
    <mergeCell ref="C23:J23"/>
    <mergeCell ref="K23:R23"/>
    <mergeCell ref="S23:Z23"/>
    <mergeCell ref="AA23:AH23"/>
    <mergeCell ref="AI23:AP23"/>
    <mergeCell ref="B18:B19"/>
    <mergeCell ref="C19:J19"/>
    <mergeCell ref="K19:R19"/>
    <mergeCell ref="S19:Z19"/>
    <mergeCell ref="AA19:AH19"/>
    <mergeCell ref="AI19:AP19"/>
    <mergeCell ref="CE16:CT16"/>
    <mergeCell ref="C17:R17"/>
    <mergeCell ref="S17:AH17"/>
    <mergeCell ref="AI17:AX17"/>
    <mergeCell ref="AY17:BN17"/>
    <mergeCell ref="BO17:CD17"/>
    <mergeCell ref="CE17:CT17"/>
    <mergeCell ref="B14:B17"/>
    <mergeCell ref="C16:R16"/>
    <mergeCell ref="S16:AH16"/>
    <mergeCell ref="AI16:AX16"/>
    <mergeCell ref="AY16:BN16"/>
    <mergeCell ref="BO16:CD16"/>
    <mergeCell ref="CM19:CT19"/>
    <mergeCell ref="AQ19:AX19"/>
    <mergeCell ref="AY19:BF19"/>
    <mergeCell ref="BG19:BN19"/>
    <mergeCell ref="BO19:BV19"/>
    <mergeCell ref="AY13:BF13"/>
    <mergeCell ref="BG13:BN13"/>
    <mergeCell ref="BO13:BV13"/>
    <mergeCell ref="BW13:CD13"/>
    <mergeCell ref="CE13:CL13"/>
    <mergeCell ref="CM13:CT13"/>
    <mergeCell ref="C13:J13"/>
    <mergeCell ref="K13:R13"/>
    <mergeCell ref="S13:Z13"/>
    <mergeCell ref="AA13:AH13"/>
    <mergeCell ref="AI13:AP13"/>
    <mergeCell ref="AQ13:AX13"/>
    <mergeCell ref="C12:J12"/>
    <mergeCell ref="K12:AH12"/>
    <mergeCell ref="AI12:AX12"/>
    <mergeCell ref="AY12:BV12"/>
    <mergeCell ref="BW12:CD12"/>
    <mergeCell ref="CE12:CT12"/>
    <mergeCell ref="AQ9:AX9"/>
    <mergeCell ref="AY9:BF9"/>
    <mergeCell ref="BG9:BN9"/>
    <mergeCell ref="BO9:BV9"/>
    <mergeCell ref="BW9:CD9"/>
    <mergeCell ref="CE9:CL9"/>
    <mergeCell ref="B8:B9"/>
    <mergeCell ref="C9:J9"/>
    <mergeCell ref="K9:R9"/>
    <mergeCell ref="S9:Z9"/>
    <mergeCell ref="AA9:AH9"/>
    <mergeCell ref="AI9:AP9"/>
    <mergeCell ref="CU6:DJ6"/>
    <mergeCell ref="C7:R7"/>
    <mergeCell ref="S7:AH7"/>
    <mergeCell ref="AI7:AX7"/>
    <mergeCell ref="AY7:BN7"/>
    <mergeCell ref="BO7:CD7"/>
    <mergeCell ref="CE7:CT7"/>
    <mergeCell ref="CU7:DJ7"/>
    <mergeCell ref="CM9:CT9"/>
    <mergeCell ref="CU9:DB9"/>
    <mergeCell ref="DC9:DJ9"/>
    <mergeCell ref="B4:B7"/>
    <mergeCell ref="C6:R6"/>
    <mergeCell ref="S6:AH6"/>
    <mergeCell ref="AI6:AX6"/>
    <mergeCell ref="AY6:BN6"/>
    <mergeCell ref="BO6:CD6"/>
    <mergeCell ref="CE6:CT6"/>
    <mergeCell ref="AQ3:AX3"/>
    <mergeCell ref="AY3:BF3"/>
    <mergeCell ref="BG3:BN3"/>
    <mergeCell ref="BO3:BV3"/>
    <mergeCell ref="BW3:CD3"/>
    <mergeCell ref="CE3:CL3"/>
    <mergeCell ref="C2:J2"/>
    <mergeCell ref="K2:AH2"/>
    <mergeCell ref="AI2:AX2"/>
    <mergeCell ref="AY2:CT2"/>
    <mergeCell ref="CU2:DJ2"/>
    <mergeCell ref="C3:J3"/>
    <mergeCell ref="K3:R3"/>
    <mergeCell ref="S3:Z3"/>
    <mergeCell ref="AA3:AH3"/>
    <mergeCell ref="AI3:AP3"/>
    <mergeCell ref="CM3:CT3"/>
    <mergeCell ref="CU3:DB3"/>
    <mergeCell ref="DC3:DJ3"/>
  </mergeCells>
  <phoneticPr fontId="1" type="noConversion"/>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1</vt:i4>
      </vt:variant>
    </vt:vector>
  </HeadingPairs>
  <TitlesOfParts>
    <vt:vector size="7" baseType="lpstr">
      <vt:lpstr>Command</vt:lpstr>
      <vt:lpstr>Register Table</vt:lpstr>
      <vt:lpstr>Register Description</vt:lpstr>
      <vt:lpstr>Testmode Reg. Table</vt:lpstr>
      <vt:lpstr>Testmode Reg. Description</vt:lpstr>
      <vt:lpstr>ME encode</vt:lpstr>
      <vt:lpstr>Command!OLE_LINK288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 준영</dc:creator>
  <cp:lastModifiedBy>이 준영</cp:lastModifiedBy>
  <dcterms:created xsi:type="dcterms:W3CDTF">2026-09-11T00:11:16Z</dcterms:created>
  <dcterms:modified xsi:type="dcterms:W3CDTF">2026-09-11T08:54:33Z</dcterms:modified>
</cp:coreProperties>
</file>