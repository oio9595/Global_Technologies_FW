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SAL_JIG\SAL_JIG_ES0\Docs\"/>
    </mc:Choice>
  </mc:AlternateContent>
  <xr:revisionPtr revIDLastSave="0" documentId="13_ncr:1_{627D3169-4DBE-4CCD-A0BE-2AB5D320215E}" xr6:coauthVersionLast="47" xr6:coauthVersionMax="47" xr10:uidLastSave="{00000000-0000-0000-0000-000000000000}"/>
  <bookViews>
    <workbookView xWindow="-98" yWindow="-98" windowWidth="21795" windowHeight="12975" xr2:uid="{895E7302-19AE-4C8C-932A-8A0936FF02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U4" i="1"/>
  <c r="U5" i="1"/>
  <c r="U6" i="1"/>
  <c r="U7" i="1"/>
  <c r="U8" i="1"/>
  <c r="U9" i="1"/>
  <c r="U10" i="1"/>
  <c r="U11" i="1"/>
  <c r="U12" i="1"/>
  <c r="U3" i="1"/>
  <c r="I4" i="1"/>
  <c r="I5" i="1"/>
  <c r="N4" i="1"/>
  <c r="N3" i="1"/>
  <c r="R3" i="1" s="1"/>
  <c r="C9" i="1" s="1"/>
  <c r="E10" i="1" l="1"/>
  <c r="E18" i="1"/>
  <c r="E15" i="1"/>
  <c r="E13" i="1"/>
  <c r="E12" i="1"/>
  <c r="E16" i="1"/>
  <c r="E11" i="1"/>
  <c r="E9" i="1"/>
  <c r="E17" i="1"/>
  <c r="E14" i="1"/>
  <c r="R4" i="1"/>
  <c r="S3" i="1" s="1"/>
  <c r="D9" i="1" s="1"/>
  <c r="R5" i="1" l="1"/>
  <c r="C11" i="1" s="1"/>
  <c r="C10" i="1"/>
  <c r="S4" i="1" l="1"/>
  <c r="D10" i="1" s="1"/>
  <c r="R6" i="1"/>
  <c r="C12" i="1" s="1"/>
  <c r="R7" i="1" l="1"/>
  <c r="C13" i="1" s="1"/>
  <c r="S5" i="1"/>
  <c r="D11" i="1" s="1"/>
  <c r="R8" i="1"/>
  <c r="C14" i="1" s="1"/>
  <c r="S6" i="1"/>
  <c r="D12" i="1" s="1"/>
  <c r="R9" i="1" l="1"/>
  <c r="C15" i="1" s="1"/>
  <c r="S7" i="1"/>
  <c r="D13" i="1" s="1"/>
  <c r="R10" i="1" l="1"/>
  <c r="C16" i="1" s="1"/>
  <c r="S8" i="1"/>
  <c r="D14" i="1" s="1"/>
  <c r="R11" i="1" l="1"/>
  <c r="C17" i="1" s="1"/>
  <c r="S9" i="1"/>
  <c r="D15" i="1" s="1"/>
  <c r="R12" i="1" l="1"/>
  <c r="C18" i="1" s="1"/>
  <c r="S10" i="1"/>
  <c r="D16" i="1" s="1"/>
  <c r="S12" i="1" l="1"/>
  <c r="D18" i="1" s="1"/>
  <c r="S11" i="1"/>
  <c r="D17" i="1" s="1"/>
</calcChain>
</file>

<file path=xl/sharedStrings.xml><?xml version="1.0" encoding="utf-8"?>
<sst xmlns="http://schemas.openxmlformats.org/spreadsheetml/2006/main" count="71" uniqueCount="59">
  <si>
    <t>PWM_MAX_R</t>
    <phoneticPr fontId="2" type="noConversion"/>
  </si>
  <si>
    <t>PWM_MAX_G</t>
    <phoneticPr fontId="2" type="noConversion"/>
  </si>
  <si>
    <t>PWM_MAX_B</t>
    <phoneticPr fontId="2" type="noConversion"/>
  </si>
  <si>
    <t>PWM_FINAL_R</t>
    <phoneticPr fontId="2" type="noConversion"/>
  </si>
  <si>
    <t>PWM_FINAL_G</t>
    <phoneticPr fontId="2" type="noConversion"/>
  </si>
  <si>
    <t>PWM_FINAL_B</t>
    <phoneticPr fontId="2" type="noConversion"/>
  </si>
  <si>
    <t>TC disable</t>
    <phoneticPr fontId="2" type="noConversion"/>
  </si>
  <si>
    <t>TC enable</t>
    <phoneticPr fontId="2" type="noConversion"/>
  </si>
  <si>
    <t>R-8bit</t>
    <phoneticPr fontId="2" type="noConversion"/>
  </si>
  <si>
    <t>G-8bit</t>
    <phoneticPr fontId="2" type="noConversion"/>
  </si>
  <si>
    <t>B-8bit</t>
    <phoneticPr fontId="2" type="noConversion"/>
  </si>
  <si>
    <t>온도</t>
    <phoneticPr fontId="2" type="noConversion"/>
  </si>
  <si>
    <t>0x03</t>
    <phoneticPr fontId="2" type="noConversion"/>
  </si>
  <si>
    <t>0x0C</t>
    <phoneticPr fontId="2" type="noConversion"/>
  </si>
  <si>
    <t>0x0D</t>
    <phoneticPr fontId="2" type="noConversion"/>
  </si>
  <si>
    <t>0x0E</t>
    <phoneticPr fontId="2" type="noConversion"/>
  </si>
  <si>
    <t>PWM_R</t>
    <phoneticPr fontId="2" type="noConversion"/>
  </si>
  <si>
    <t>PWM_G</t>
    <phoneticPr fontId="2" type="noConversion"/>
  </si>
  <si>
    <t>PWM_B</t>
    <phoneticPr fontId="2" type="noConversion"/>
  </si>
  <si>
    <t>TC1</t>
    <phoneticPr fontId="2" type="noConversion"/>
  </si>
  <si>
    <t>TC2</t>
  </si>
  <si>
    <t>TC3</t>
  </si>
  <si>
    <t>TC4</t>
  </si>
  <si>
    <t>TC5</t>
  </si>
  <si>
    <t>TC6</t>
  </si>
  <si>
    <t>TC7</t>
  </si>
  <si>
    <t>TC8</t>
  </si>
  <si>
    <t>TC9</t>
  </si>
  <si>
    <t>TC10</t>
  </si>
  <si>
    <t>TC_BASE</t>
    <phoneticPr fontId="2" type="noConversion"/>
  </si>
  <si>
    <t>0xEF</t>
    <phoneticPr fontId="2" type="noConversion"/>
  </si>
  <si>
    <t>TC_OFFSET</t>
    <phoneticPr fontId="2" type="noConversion"/>
  </si>
  <si>
    <t>0xF0</t>
    <phoneticPr fontId="2" type="noConversion"/>
  </si>
  <si>
    <t>TC</t>
    <phoneticPr fontId="2" type="noConversion"/>
  </si>
  <si>
    <t>Addr</t>
    <phoneticPr fontId="2" type="noConversion"/>
  </si>
  <si>
    <t>hex</t>
    <phoneticPr fontId="2" type="noConversion"/>
  </si>
  <si>
    <t>dec</t>
    <phoneticPr fontId="2" type="noConversion"/>
  </si>
  <si>
    <t>Range</t>
    <phoneticPr fontId="2" type="noConversion"/>
  </si>
  <si>
    <t>PWM_FINAL</t>
    <phoneticPr fontId="2" type="noConversion"/>
  </si>
  <si>
    <t>HEX</t>
    <phoneticPr fontId="2" type="noConversion"/>
  </si>
  <si>
    <t>DEC</t>
    <phoneticPr fontId="2" type="noConversion"/>
  </si>
  <si>
    <t>0x10</t>
  </si>
  <si>
    <t>0x11</t>
  </si>
  <si>
    <t>0x12</t>
  </si>
  <si>
    <t>0x13</t>
  </si>
  <si>
    <t>0x14</t>
  </si>
  <si>
    <t>0x15</t>
  </si>
  <si>
    <t>0x16</t>
  </si>
  <si>
    <t>0x17</t>
  </si>
  <si>
    <t>0x18</t>
  </si>
  <si>
    <t>0x19</t>
  </si>
  <si>
    <t>Addr</t>
    <phoneticPr fontId="2" type="noConversion"/>
  </si>
  <si>
    <t>21A</t>
    <phoneticPr fontId="2" type="noConversion"/>
  </si>
  <si>
    <t>25F</t>
    <phoneticPr fontId="2" type="noConversion"/>
  </si>
  <si>
    <t>28D</t>
    <phoneticPr fontId="2" type="noConversion"/>
  </si>
  <si>
    <t>2A4</t>
    <phoneticPr fontId="2" type="noConversion"/>
  </si>
  <si>
    <t>2BB</t>
    <phoneticPr fontId="2" type="noConversion"/>
  </si>
  <si>
    <t>C8</t>
    <phoneticPr fontId="2" type="noConversion"/>
  </si>
  <si>
    <t>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</si>
</sst>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quotePrefix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4" fillId="2" borderId="0" xfId="0" quotePrefix="1" applyFont="1" applyFill="1" applyAlignment="1">
      <alignment horizontal="center" vertical="center"/>
    </xf>
    <xf numFmtId="0" fontId="0" fillId="3" borderId="0" xfId="0" applyFill="1">
      <alignment vertical="center"/>
    </xf>
    <xf numFmtId="0" fontId="0" fillId="0" borderId="0" xfId="0" applyAlignment="1">
      <alignment horizontal="right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2">
    <cellStyle name="표준" xfId="0" builtinId="0"/>
    <cellStyle name="표준 2" xfId="1" xr:uid="{813DC331-84DE-4DA6-91C3-9D20AF455B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21103-7870-4F6C-80E3-01649D915800}">
  <dimension ref="B2:X18"/>
  <sheetViews>
    <sheetView tabSelected="1" workbookViewId="0"/>
  </sheetViews>
  <sheetFormatPr defaultRowHeight="16.899999999999999"/>
  <cols>
    <col min="1" max="1" width="2.5625" customWidth="1"/>
    <col min="2" max="2" width="13.4375" bestFit="1" customWidth="1"/>
    <col min="3" max="3" width="6.8125" bestFit="1" customWidth="1"/>
    <col min="4" max="4" width="6.6875" bestFit="1" customWidth="1"/>
    <col min="5" max="5" width="11.8125" bestFit="1" customWidth="1"/>
    <col min="6" max="6" width="4.4375" bestFit="1" customWidth="1"/>
    <col min="7" max="7" width="2.5625" customWidth="1"/>
    <col min="8" max="8" width="14.1875" bestFit="1" customWidth="1"/>
    <col min="9" max="9" width="5.4375" bestFit="1" customWidth="1"/>
    <col min="10" max="10" width="2.5625" customWidth="1"/>
    <col min="11" max="11" width="10.8125" bestFit="1" customWidth="1"/>
    <col min="12" max="12" width="5.5625" bestFit="1" customWidth="1"/>
    <col min="13" max="14" width="4.4375" bestFit="1" customWidth="1"/>
    <col min="15" max="15" width="4.9375" bestFit="1" customWidth="1"/>
    <col min="16" max="16" width="5.6875" bestFit="1" customWidth="1"/>
    <col min="17" max="17" width="5.5625" bestFit="1" customWidth="1"/>
    <col min="18" max="18" width="6.8125" bestFit="1" customWidth="1"/>
    <col min="19" max="19" width="4.4375" bestFit="1" customWidth="1"/>
    <col min="20" max="20" width="4.9375" bestFit="1" customWidth="1"/>
    <col min="21" max="21" width="5.0625" bestFit="1" customWidth="1"/>
    <col min="22" max="22" width="4" bestFit="1" customWidth="1"/>
    <col min="23" max="23" width="8.1875" bestFit="1" customWidth="1"/>
    <col min="24" max="24" width="5.6875" bestFit="1" customWidth="1"/>
  </cols>
  <sheetData>
    <row r="2" spans="2:24">
      <c r="B2" s="1" t="s">
        <v>6</v>
      </c>
      <c r="C2" s="1"/>
      <c r="D2" s="1"/>
      <c r="E2" s="1"/>
      <c r="F2" s="1"/>
      <c r="G2" s="1"/>
      <c r="H2" s="1"/>
      <c r="I2" s="2"/>
      <c r="K2" s="1"/>
      <c r="L2" s="1" t="s">
        <v>34</v>
      </c>
      <c r="M2" s="10" t="s">
        <v>35</v>
      </c>
      <c r="N2" s="1" t="s">
        <v>36</v>
      </c>
      <c r="P2" s="1" t="s">
        <v>33</v>
      </c>
      <c r="Q2" s="1" t="s">
        <v>51</v>
      </c>
      <c r="R2" s="1" t="s">
        <v>37</v>
      </c>
      <c r="S2" s="1"/>
      <c r="T2" s="1" t="s">
        <v>39</v>
      </c>
      <c r="U2" s="1" t="s">
        <v>40</v>
      </c>
      <c r="W2" s="1"/>
      <c r="X2" s="1" t="s">
        <v>34</v>
      </c>
    </row>
    <row r="3" spans="2:24">
      <c r="B3" t="s">
        <v>0</v>
      </c>
      <c r="C3">
        <v>4095</v>
      </c>
      <c r="E3" t="s">
        <v>8</v>
      </c>
      <c r="F3" s="6">
        <v>255</v>
      </c>
      <c r="H3" t="s">
        <v>3</v>
      </c>
      <c r="I3">
        <f>_xlfn.BITRSHIFT(C3*F3+128, 8)</f>
        <v>4079</v>
      </c>
      <c r="K3" s="1" t="s">
        <v>29</v>
      </c>
      <c r="L3" t="s">
        <v>30</v>
      </c>
      <c r="M3" s="9" t="s">
        <v>57</v>
      </c>
      <c r="N3">
        <f>HEX2DEC(M3)</f>
        <v>200</v>
      </c>
      <c r="P3" s="1" t="s">
        <v>19</v>
      </c>
      <c r="Q3" s="1" t="s">
        <v>41</v>
      </c>
      <c r="R3" s="3">
        <f>N3</f>
        <v>200</v>
      </c>
      <c r="S3" s="3">
        <f t="shared" ref="S3:S11" si="0">R4-1</f>
        <v>209</v>
      </c>
      <c r="T3" s="8">
        <v>200</v>
      </c>
      <c r="U3" s="3">
        <f>HEX2DEC(T3)</f>
        <v>512</v>
      </c>
      <c r="W3" s="1" t="s">
        <v>11</v>
      </c>
      <c r="X3" t="s">
        <v>12</v>
      </c>
    </row>
    <row r="4" spans="2:24">
      <c r="B4" t="s">
        <v>1</v>
      </c>
      <c r="C4">
        <v>4095</v>
      </c>
      <c r="E4" t="s">
        <v>9</v>
      </c>
      <c r="F4" s="6">
        <v>255</v>
      </c>
      <c r="H4" t="s">
        <v>4</v>
      </c>
      <c r="I4">
        <f t="shared" ref="I4:I5" si="1">_xlfn.BITRSHIFT(C4*F4+128, 8)</f>
        <v>4079</v>
      </c>
      <c r="K4" s="1" t="s">
        <v>31</v>
      </c>
      <c r="L4" t="s">
        <v>32</v>
      </c>
      <c r="M4" s="9" t="s">
        <v>58</v>
      </c>
      <c r="N4">
        <f>HEX2DEC(M4)</f>
        <v>10</v>
      </c>
      <c r="P4" s="1" t="s">
        <v>20</v>
      </c>
      <c r="Q4" s="1" t="s">
        <v>42</v>
      </c>
      <c r="R4" s="3">
        <f t="shared" ref="R4:R12" si="2">R3+$N$4</f>
        <v>210</v>
      </c>
      <c r="S4" s="3">
        <f t="shared" si="0"/>
        <v>219</v>
      </c>
      <c r="T4" s="8">
        <v>200</v>
      </c>
      <c r="U4" s="3">
        <f t="shared" ref="U4:U12" si="3">HEX2DEC(T4)</f>
        <v>512</v>
      </c>
      <c r="W4" s="1" t="s">
        <v>16</v>
      </c>
      <c r="X4" t="s">
        <v>13</v>
      </c>
    </row>
    <row r="5" spans="2:24">
      <c r="B5" t="s">
        <v>2</v>
      </c>
      <c r="C5">
        <v>4095</v>
      </c>
      <c r="E5" t="s">
        <v>10</v>
      </c>
      <c r="F5" s="6">
        <v>255</v>
      </c>
      <c r="H5" t="s">
        <v>5</v>
      </c>
      <c r="I5">
        <f t="shared" si="1"/>
        <v>4079</v>
      </c>
      <c r="P5" s="1" t="s">
        <v>21</v>
      </c>
      <c r="Q5" s="1" t="s">
        <v>43</v>
      </c>
      <c r="R5" s="3">
        <f t="shared" si="2"/>
        <v>220</v>
      </c>
      <c r="S5" s="3">
        <f t="shared" si="0"/>
        <v>229</v>
      </c>
      <c r="T5" s="8" t="s">
        <v>52</v>
      </c>
      <c r="U5" s="3">
        <f t="shared" si="3"/>
        <v>538</v>
      </c>
      <c r="W5" s="1" t="s">
        <v>17</v>
      </c>
      <c r="X5" t="s">
        <v>14</v>
      </c>
    </row>
    <row r="6" spans="2:24">
      <c r="P6" s="1" t="s">
        <v>22</v>
      </c>
      <c r="Q6" s="1" t="s">
        <v>44</v>
      </c>
      <c r="R6" s="3">
        <f t="shared" si="2"/>
        <v>230</v>
      </c>
      <c r="S6" s="3">
        <f t="shared" si="0"/>
        <v>239</v>
      </c>
      <c r="T6" s="8">
        <v>231</v>
      </c>
      <c r="U6" s="3">
        <f t="shared" si="3"/>
        <v>561</v>
      </c>
      <c r="W6" s="1" t="s">
        <v>18</v>
      </c>
      <c r="X6" t="s">
        <v>15</v>
      </c>
    </row>
    <row r="7" spans="2:24">
      <c r="P7" s="1" t="s">
        <v>23</v>
      </c>
      <c r="Q7" s="1" t="s">
        <v>45</v>
      </c>
      <c r="R7" s="3">
        <f t="shared" si="2"/>
        <v>240</v>
      </c>
      <c r="S7" s="3">
        <f t="shared" si="0"/>
        <v>249</v>
      </c>
      <c r="T7" s="8">
        <v>248</v>
      </c>
      <c r="U7" s="3">
        <f t="shared" si="3"/>
        <v>584</v>
      </c>
    </row>
    <row r="8" spans="2:24">
      <c r="B8" s="1" t="s">
        <v>7</v>
      </c>
      <c r="C8" s="1" t="s">
        <v>37</v>
      </c>
      <c r="D8" s="1"/>
      <c r="E8" s="5" t="s">
        <v>38</v>
      </c>
      <c r="P8" s="1" t="s">
        <v>24</v>
      </c>
      <c r="Q8" s="1" t="s">
        <v>46</v>
      </c>
      <c r="R8" s="3">
        <f t="shared" si="2"/>
        <v>250</v>
      </c>
      <c r="S8" s="3">
        <f t="shared" si="0"/>
        <v>259</v>
      </c>
      <c r="T8" s="8" t="s">
        <v>53</v>
      </c>
      <c r="U8" s="3">
        <f t="shared" si="3"/>
        <v>607</v>
      </c>
    </row>
    <row r="9" spans="2:24">
      <c r="B9" t="s">
        <v>19</v>
      </c>
      <c r="C9" t="str">
        <f t="shared" ref="C9:C18" si="4">_xlfn.CONCAT("0x", DEC2HEX(R3, ))</f>
        <v>0xC8</v>
      </c>
      <c r="D9" t="str">
        <f t="shared" ref="D9:D18" si="5">_xlfn.CONCAT("0x", DEC2HEX(S3, ))</f>
        <v>0xD1</v>
      </c>
      <c r="E9" s="4">
        <f t="shared" ref="E9:E18" si="6">_xlfn.BITRSHIFT($I$3*U3+256, 9)</f>
        <v>4079</v>
      </c>
      <c r="P9" s="1" t="s">
        <v>25</v>
      </c>
      <c r="Q9" s="1" t="s">
        <v>47</v>
      </c>
      <c r="R9" s="3">
        <f t="shared" si="2"/>
        <v>260</v>
      </c>
      <c r="S9" s="3">
        <f t="shared" si="0"/>
        <v>269</v>
      </c>
      <c r="T9" s="8">
        <v>276</v>
      </c>
      <c r="U9" s="3">
        <f t="shared" si="3"/>
        <v>630</v>
      </c>
    </row>
    <row r="10" spans="2:24">
      <c r="B10" t="s">
        <v>20</v>
      </c>
      <c r="C10" t="str">
        <f t="shared" si="4"/>
        <v>0xD2</v>
      </c>
      <c r="D10" t="str">
        <f t="shared" si="5"/>
        <v>0xDB</v>
      </c>
      <c r="E10" s="4">
        <f t="shared" si="6"/>
        <v>4079</v>
      </c>
      <c r="P10" s="1" t="s">
        <v>26</v>
      </c>
      <c r="Q10" s="1" t="s">
        <v>48</v>
      </c>
      <c r="R10" s="3">
        <f t="shared" si="2"/>
        <v>270</v>
      </c>
      <c r="S10" s="3">
        <f t="shared" si="0"/>
        <v>279</v>
      </c>
      <c r="T10" s="8" t="s">
        <v>54</v>
      </c>
      <c r="U10" s="3">
        <f t="shared" si="3"/>
        <v>653</v>
      </c>
    </row>
    <row r="11" spans="2:24">
      <c r="B11" t="s">
        <v>21</v>
      </c>
      <c r="C11" t="str">
        <f t="shared" si="4"/>
        <v>0xDC</v>
      </c>
      <c r="D11" t="str">
        <f t="shared" si="5"/>
        <v>0xE5</v>
      </c>
      <c r="E11" s="4">
        <f t="shared" si="6"/>
        <v>4286</v>
      </c>
      <c r="P11" s="1" t="s">
        <v>27</v>
      </c>
      <c r="Q11" s="1" t="s">
        <v>49</v>
      </c>
      <c r="R11" s="3">
        <f t="shared" si="2"/>
        <v>280</v>
      </c>
      <c r="S11" s="3">
        <f t="shared" si="0"/>
        <v>289</v>
      </c>
      <c r="T11" s="8" t="s">
        <v>55</v>
      </c>
      <c r="U11" s="3">
        <f t="shared" si="3"/>
        <v>676</v>
      </c>
    </row>
    <row r="12" spans="2:24">
      <c r="B12" t="s">
        <v>22</v>
      </c>
      <c r="C12" t="str">
        <f t="shared" si="4"/>
        <v>0xE6</v>
      </c>
      <c r="D12" t="str">
        <f t="shared" si="5"/>
        <v>0xEF</v>
      </c>
      <c r="E12" s="4">
        <f t="shared" si="6"/>
        <v>4469</v>
      </c>
      <c r="H12" s="7"/>
      <c r="I12" s="7"/>
      <c r="P12" s="1" t="s">
        <v>28</v>
      </c>
      <c r="Q12" s="1" t="s">
        <v>50</v>
      </c>
      <c r="R12" s="3">
        <f t="shared" si="2"/>
        <v>290</v>
      </c>
      <c r="S12" s="3">
        <f>R12+N4-1</f>
        <v>299</v>
      </c>
      <c r="T12" s="8" t="s">
        <v>56</v>
      </c>
      <c r="U12" s="3">
        <f t="shared" si="3"/>
        <v>699</v>
      </c>
    </row>
    <row r="13" spans="2:24">
      <c r="B13" t="s">
        <v>23</v>
      </c>
      <c r="C13" t="str">
        <f t="shared" si="4"/>
        <v>0xF0</v>
      </c>
      <c r="D13" t="str">
        <f t="shared" si="5"/>
        <v>0xF9</v>
      </c>
      <c r="E13" s="4">
        <f t="shared" si="6"/>
        <v>4653</v>
      </c>
      <c r="H13" s="7"/>
      <c r="I13" s="7"/>
    </row>
    <row r="14" spans="2:24">
      <c r="B14" t="s">
        <v>24</v>
      </c>
      <c r="C14" t="str">
        <f t="shared" si="4"/>
        <v>0xFA</v>
      </c>
      <c r="D14" t="str">
        <f t="shared" si="5"/>
        <v>0x103</v>
      </c>
      <c r="E14" s="4">
        <f t="shared" si="6"/>
        <v>4836</v>
      </c>
      <c r="H14" s="7"/>
      <c r="I14" s="7"/>
    </row>
    <row r="15" spans="2:24">
      <c r="B15" t="s">
        <v>25</v>
      </c>
      <c r="C15" t="str">
        <f t="shared" si="4"/>
        <v>0x104</v>
      </c>
      <c r="D15" t="str">
        <f t="shared" si="5"/>
        <v>0x10D</v>
      </c>
      <c r="E15" s="4">
        <f t="shared" si="6"/>
        <v>5019</v>
      </c>
    </row>
    <row r="16" spans="2:24">
      <c r="B16" t="s">
        <v>26</v>
      </c>
      <c r="C16" t="str">
        <f t="shared" si="4"/>
        <v>0x10E</v>
      </c>
      <c r="D16" t="str">
        <f t="shared" si="5"/>
        <v>0x117</v>
      </c>
      <c r="E16" s="4">
        <f t="shared" si="6"/>
        <v>5202</v>
      </c>
    </row>
    <row r="17" spans="2:5">
      <c r="B17" t="s">
        <v>27</v>
      </c>
      <c r="C17" t="str">
        <f t="shared" si="4"/>
        <v>0x118</v>
      </c>
      <c r="D17" t="str">
        <f t="shared" si="5"/>
        <v>0x121</v>
      </c>
      <c r="E17" s="4">
        <f t="shared" si="6"/>
        <v>5386</v>
      </c>
    </row>
    <row r="18" spans="2:5">
      <c r="B18" t="s">
        <v>28</v>
      </c>
      <c r="C18" t="str">
        <f t="shared" si="4"/>
        <v>0x122</v>
      </c>
      <c r="D18" t="str">
        <f t="shared" si="5"/>
        <v>0x12B</v>
      </c>
      <c r="E18" s="4">
        <f t="shared" si="6"/>
        <v>5569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2024-10-30T01:05:14Z</dcterms:created>
  <dcterms:modified xsi:type="dcterms:W3CDTF">2025-01-15T04:32:37Z</dcterms:modified>
</cp:coreProperties>
</file>