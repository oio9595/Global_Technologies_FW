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현재_통합_문서"/>
  <mc:AlternateContent xmlns:mc="http://schemas.openxmlformats.org/markup-compatibility/2006">
    <mc:Choice Requires="x15">
      <x15ac:absPath xmlns:x15ac="http://schemas.microsoft.com/office/spreadsheetml/2010/11/ac" url="C:\working\01_Project\Jig\SAL_JIG\SAL_JIG_ES0\Docs\"/>
    </mc:Choice>
  </mc:AlternateContent>
  <xr:revisionPtr revIDLastSave="0" documentId="13_ncr:1_{F7A68B92-1DAC-46F4-B380-2F3D701598F4}" xr6:coauthVersionLast="47" xr6:coauthVersionMax="47" xr10:uidLastSave="{00000000-0000-0000-0000-000000000000}"/>
  <bookViews>
    <workbookView xWindow="43080" yWindow="4095" windowWidth="29040" windowHeight="15720" activeTab="3" xr2:uid="{00000000-000D-0000-FFFF-FFFF00000000}"/>
  </bookViews>
  <sheets>
    <sheet name="전장LED_IC개발사양" sheetId="2" r:id="rId1"/>
    <sheet name="Basic" sheetId="3" r:id="rId2"/>
    <sheet name="Sheet1" sheetId="5" r:id="rId3"/>
    <sheet name="test"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6" l="1"/>
  <c r="R5" i="6" s="1"/>
  <c r="Q6" i="6"/>
  <c r="R6" i="6" s="1"/>
  <c r="Q7" i="6"/>
  <c r="R7" i="6" s="1"/>
  <c r="Q8" i="6"/>
  <c r="R8" i="6"/>
  <c r="Q9" i="6"/>
  <c r="R9" i="6" s="1"/>
  <c r="Q10" i="6"/>
  <c r="R10" i="6" s="1"/>
  <c r="Q11" i="6"/>
  <c r="R11" i="6"/>
  <c r="Q12" i="6"/>
  <c r="R12" i="6"/>
  <c r="Q13" i="6"/>
  <c r="R13" i="6"/>
  <c r="Q14" i="6"/>
  <c r="R14" i="6"/>
  <c r="Q15" i="6"/>
  <c r="R15" i="6"/>
  <c r="Q16" i="6"/>
  <c r="R16" i="6" s="1"/>
  <c r="Q17" i="6"/>
  <c r="R17" i="6" s="1"/>
  <c r="Q18" i="6"/>
  <c r="R18" i="6" s="1"/>
  <c r="Q19" i="6"/>
  <c r="R19" i="6" s="1"/>
  <c r="Q20" i="6"/>
  <c r="R20" i="6" s="1"/>
  <c r="Q21" i="6"/>
  <c r="R21" i="6" s="1"/>
  <c r="Q22" i="6"/>
  <c r="R22" i="6" s="1"/>
  <c r="Q23" i="6"/>
  <c r="R23" i="6" s="1"/>
  <c r="Q24" i="6"/>
  <c r="R24" i="6"/>
  <c r="Q25" i="6"/>
  <c r="R25" i="6"/>
  <c r="Q26" i="6"/>
  <c r="R26" i="6"/>
  <c r="Q27" i="6"/>
  <c r="R27" i="6" s="1"/>
  <c r="Q28" i="6"/>
  <c r="R28" i="6" s="1"/>
  <c r="Q29" i="6"/>
  <c r="R29" i="6" s="1"/>
  <c r="Q30" i="6"/>
  <c r="R30" i="6"/>
  <c r="Q31" i="6"/>
  <c r="R31" i="6" s="1"/>
  <c r="Q32" i="6"/>
  <c r="R32" i="6"/>
  <c r="Q33" i="6"/>
  <c r="R33" i="6" s="1"/>
  <c r="Q34" i="6"/>
  <c r="R34" i="6"/>
  <c r="Q35" i="6"/>
  <c r="R35" i="6" s="1"/>
  <c r="Q36" i="6"/>
  <c r="R36" i="6" s="1"/>
  <c r="Q37" i="6"/>
  <c r="R37" i="6"/>
  <c r="Q38" i="6"/>
  <c r="R38" i="6" s="1"/>
  <c r="Q39" i="6"/>
  <c r="R39" i="6" s="1"/>
  <c r="Q40" i="6"/>
  <c r="R40" i="6" s="1"/>
  <c r="Q41" i="6"/>
  <c r="R41" i="6" s="1"/>
  <c r="Q42" i="6"/>
  <c r="R42" i="6" s="1"/>
  <c r="Q43" i="6"/>
  <c r="R43" i="6"/>
  <c r="Q44" i="6"/>
  <c r="R44" i="6"/>
  <c r="Q45" i="6"/>
  <c r="R45" i="6"/>
  <c r="Q46" i="6"/>
  <c r="R46" i="6" s="1"/>
  <c r="Q47" i="6"/>
  <c r="R47" i="6"/>
  <c r="Q48" i="6"/>
  <c r="R48" i="6" s="1"/>
  <c r="Q49" i="6"/>
  <c r="R49" i="6" s="1"/>
  <c r="Q50" i="6"/>
  <c r="R50" i="6" s="1"/>
  <c r="Q51" i="6"/>
  <c r="R51" i="6" s="1"/>
  <c r="Q52" i="6"/>
  <c r="R52" i="6"/>
  <c r="Q53" i="6"/>
  <c r="R53" i="6" s="1"/>
  <c r="Q54" i="6"/>
  <c r="R54" i="6"/>
  <c r="Q55" i="6"/>
  <c r="R55" i="6"/>
  <c r="Q56" i="6"/>
  <c r="R56" i="6"/>
  <c r="Q57" i="6"/>
  <c r="R57" i="6"/>
  <c r="Q58" i="6"/>
  <c r="R58" i="6"/>
  <c r="Q59" i="6"/>
  <c r="R59" i="6" s="1"/>
  <c r="Q60" i="6"/>
  <c r="R60" i="6" s="1"/>
  <c r="Q61" i="6"/>
  <c r="R61" i="6" s="1"/>
  <c r="Q62" i="6"/>
  <c r="R62" i="6" s="1"/>
  <c r="Q63" i="6"/>
  <c r="R63" i="6"/>
  <c r="Q64" i="6"/>
  <c r="R64" i="6" s="1"/>
  <c r="Q65" i="6"/>
  <c r="R65" i="6"/>
  <c r="Q66" i="6"/>
  <c r="R66" i="6"/>
  <c r="Q67" i="6"/>
  <c r="R67" i="6"/>
  <c r="Q4" i="6"/>
  <c r="R4" i="6" s="1"/>
  <c r="C80" i="6"/>
  <c r="B80" i="6"/>
  <c r="C79" i="6"/>
  <c r="B79" i="6"/>
  <c r="C78" i="6"/>
  <c r="B78" i="6"/>
  <c r="C77" i="6"/>
  <c r="B77" i="6"/>
  <c r="C76" i="6"/>
  <c r="B76" i="6"/>
  <c r="C75" i="6"/>
  <c r="B75" i="6"/>
  <c r="C74" i="6"/>
  <c r="B74" i="6"/>
  <c r="C73" i="6"/>
  <c r="B73" i="6"/>
  <c r="C72" i="6"/>
  <c r="B72" i="6"/>
  <c r="C71" i="6"/>
  <c r="B71" i="6"/>
  <c r="C70" i="6"/>
  <c r="B70" i="6"/>
  <c r="C69" i="6"/>
  <c r="B69"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AD4" i="3"/>
  <c r="AE4" i="3" s="1"/>
  <c r="K5" i="3"/>
  <c r="L5" i="3"/>
  <c r="M5" i="3"/>
  <c r="K6" i="3"/>
  <c r="L6" i="3"/>
  <c r="M6" i="3"/>
  <c r="K7" i="3"/>
  <c r="L7" i="3"/>
  <c r="M7" i="3"/>
  <c r="K8" i="3"/>
  <c r="L8" i="3"/>
  <c r="M8" i="3"/>
  <c r="K9" i="3"/>
  <c r="L9" i="3"/>
  <c r="M9" i="3"/>
  <c r="AF9" i="3" s="1"/>
  <c r="AG9" i="3" s="1"/>
  <c r="K10" i="3"/>
  <c r="L10" i="3"/>
  <c r="M10" i="3"/>
  <c r="K11" i="3"/>
  <c r="L11" i="3"/>
  <c r="M11" i="3"/>
  <c r="K12" i="3"/>
  <c r="L12" i="3"/>
  <c r="M12" i="3"/>
  <c r="K13" i="3"/>
  <c r="L13" i="3"/>
  <c r="M13" i="3"/>
  <c r="K14" i="3"/>
  <c r="L14" i="3"/>
  <c r="M14" i="3"/>
  <c r="K15" i="3"/>
  <c r="L15" i="3"/>
  <c r="M15" i="3"/>
  <c r="K16" i="3"/>
  <c r="L16" i="3"/>
  <c r="M16" i="3"/>
  <c r="K17" i="3"/>
  <c r="L17" i="3"/>
  <c r="M17" i="3"/>
  <c r="K18" i="3"/>
  <c r="L18" i="3"/>
  <c r="M18" i="3"/>
  <c r="K19" i="3"/>
  <c r="L19" i="3"/>
  <c r="M19" i="3"/>
  <c r="K20" i="3"/>
  <c r="L20" i="3"/>
  <c r="M20" i="3"/>
  <c r="K21" i="3"/>
  <c r="L21" i="3"/>
  <c r="M21" i="3"/>
  <c r="K22" i="3"/>
  <c r="L22" i="3"/>
  <c r="M22" i="3"/>
  <c r="K23" i="3"/>
  <c r="L23" i="3"/>
  <c r="M23" i="3"/>
  <c r="K24" i="3"/>
  <c r="L24" i="3"/>
  <c r="M24" i="3"/>
  <c r="K25" i="3"/>
  <c r="L25" i="3"/>
  <c r="M25" i="3"/>
  <c r="K26" i="3"/>
  <c r="L26" i="3"/>
  <c r="M26" i="3"/>
  <c r="K27" i="3"/>
  <c r="L27" i="3"/>
  <c r="M27" i="3"/>
  <c r="K28" i="3"/>
  <c r="L28" i="3"/>
  <c r="M28" i="3"/>
  <c r="K29" i="3"/>
  <c r="L29" i="3"/>
  <c r="M29" i="3"/>
  <c r="K30" i="3"/>
  <c r="L30" i="3"/>
  <c r="M30" i="3"/>
  <c r="K31" i="3"/>
  <c r="L31" i="3"/>
  <c r="M31" i="3"/>
  <c r="K32" i="3"/>
  <c r="L32" i="3"/>
  <c r="M32" i="3"/>
  <c r="K33" i="3"/>
  <c r="L33" i="3"/>
  <c r="M33" i="3"/>
  <c r="K34" i="3"/>
  <c r="L34" i="3"/>
  <c r="M34" i="3"/>
  <c r="K35" i="3"/>
  <c r="L35" i="3"/>
  <c r="M35" i="3"/>
  <c r="K36" i="3"/>
  <c r="L36" i="3"/>
  <c r="M36" i="3"/>
  <c r="K37" i="3"/>
  <c r="L37" i="3"/>
  <c r="M37" i="3"/>
  <c r="K38" i="3"/>
  <c r="L38" i="3"/>
  <c r="M38" i="3"/>
  <c r="K39" i="3"/>
  <c r="L39" i="3"/>
  <c r="M39" i="3"/>
  <c r="K40" i="3"/>
  <c r="L40" i="3"/>
  <c r="M40" i="3"/>
  <c r="K41" i="3"/>
  <c r="L41" i="3"/>
  <c r="M41" i="3"/>
  <c r="K42" i="3"/>
  <c r="L42" i="3"/>
  <c r="M42" i="3"/>
  <c r="K43" i="3"/>
  <c r="L43" i="3"/>
  <c r="M43" i="3"/>
  <c r="K44" i="3"/>
  <c r="L44" i="3"/>
  <c r="M44" i="3"/>
  <c r="K45" i="3"/>
  <c r="L45" i="3"/>
  <c r="M45" i="3"/>
  <c r="K46" i="3"/>
  <c r="L46" i="3"/>
  <c r="M46" i="3"/>
  <c r="AF46" i="3" s="1"/>
  <c r="AG46" i="3" s="1"/>
  <c r="K47" i="3"/>
  <c r="L47" i="3"/>
  <c r="M47" i="3"/>
  <c r="K48" i="3"/>
  <c r="L48" i="3"/>
  <c r="M48" i="3"/>
  <c r="K49" i="3"/>
  <c r="L49" i="3"/>
  <c r="M49" i="3"/>
  <c r="K50" i="3"/>
  <c r="L50" i="3"/>
  <c r="M50" i="3"/>
  <c r="K51" i="3"/>
  <c r="L51" i="3"/>
  <c r="M51" i="3"/>
  <c r="K52" i="3"/>
  <c r="L52" i="3"/>
  <c r="M52" i="3"/>
  <c r="K53" i="3"/>
  <c r="L53" i="3"/>
  <c r="M53" i="3"/>
  <c r="K54" i="3"/>
  <c r="L54" i="3"/>
  <c r="M54" i="3"/>
  <c r="K55" i="3"/>
  <c r="L55" i="3"/>
  <c r="M55" i="3"/>
  <c r="K56" i="3"/>
  <c r="L56" i="3"/>
  <c r="M56" i="3"/>
  <c r="K57" i="3"/>
  <c r="L57" i="3"/>
  <c r="M57" i="3"/>
  <c r="K58" i="3"/>
  <c r="L58" i="3"/>
  <c r="M58" i="3"/>
  <c r="K59" i="3"/>
  <c r="L59" i="3"/>
  <c r="M59" i="3"/>
  <c r="K60" i="3"/>
  <c r="L60" i="3"/>
  <c r="M60" i="3"/>
  <c r="K61" i="3"/>
  <c r="L61" i="3"/>
  <c r="M61" i="3"/>
  <c r="K62" i="3"/>
  <c r="L62" i="3"/>
  <c r="M62" i="3"/>
  <c r="K63" i="3"/>
  <c r="L63" i="3"/>
  <c r="M63" i="3"/>
  <c r="K64" i="3"/>
  <c r="L64" i="3"/>
  <c r="M64" i="3"/>
  <c r="K65" i="3"/>
  <c r="L65" i="3"/>
  <c r="M65" i="3"/>
  <c r="K66" i="3"/>
  <c r="L66" i="3"/>
  <c r="M66" i="3"/>
  <c r="K67" i="3"/>
  <c r="L67" i="3"/>
  <c r="M67" i="3"/>
  <c r="K68" i="3"/>
  <c r="L68" i="3"/>
  <c r="M68" i="3"/>
  <c r="K69" i="3"/>
  <c r="L69" i="3"/>
  <c r="M69" i="3"/>
  <c r="K70" i="3"/>
  <c r="L70" i="3"/>
  <c r="M70" i="3"/>
  <c r="K71" i="3"/>
  <c r="L71" i="3"/>
  <c r="M71" i="3"/>
  <c r="K72" i="3"/>
  <c r="L72" i="3"/>
  <c r="M72" i="3"/>
  <c r="K73" i="3"/>
  <c r="L73" i="3"/>
  <c r="M73" i="3"/>
  <c r="K74" i="3"/>
  <c r="L74" i="3"/>
  <c r="M74" i="3"/>
  <c r="K75" i="3"/>
  <c r="L75" i="3"/>
  <c r="M75" i="3"/>
  <c r="K76" i="3"/>
  <c r="L76" i="3"/>
  <c r="M76" i="3"/>
  <c r="K77" i="3"/>
  <c r="L77" i="3"/>
  <c r="M77" i="3"/>
  <c r="K78" i="3"/>
  <c r="L78" i="3"/>
  <c r="M78" i="3"/>
  <c r="K79" i="3"/>
  <c r="L79" i="3"/>
  <c r="M79" i="3"/>
  <c r="K80" i="3"/>
  <c r="L80" i="3"/>
  <c r="M80" i="3"/>
  <c r="L4" i="3"/>
  <c r="M4" i="3"/>
  <c r="K4" i="3"/>
  <c r="AF4" i="3" s="1"/>
  <c r="AG4" i="3" s="1"/>
  <c r="AD5" i="3"/>
  <c r="AE5" i="3" s="1"/>
  <c r="AD6" i="3"/>
  <c r="AE6" i="3" s="1"/>
  <c r="AD7" i="3"/>
  <c r="AE7" i="3" s="1"/>
  <c r="AD8" i="3"/>
  <c r="AE8" i="3" s="1"/>
  <c r="AD9" i="3"/>
  <c r="AE9" i="3" s="1"/>
  <c r="AD10" i="3"/>
  <c r="AE10" i="3" s="1"/>
  <c r="AD11" i="3"/>
  <c r="AE11" i="3" s="1"/>
  <c r="AD12" i="3"/>
  <c r="AE12" i="3" s="1"/>
  <c r="AD13" i="3"/>
  <c r="AE13" i="3" s="1"/>
  <c r="AD14" i="3"/>
  <c r="AE14" i="3" s="1"/>
  <c r="AD15" i="3"/>
  <c r="AE15" i="3" s="1"/>
  <c r="AD16" i="3"/>
  <c r="AE16" i="3" s="1"/>
  <c r="AD17" i="3"/>
  <c r="AE17" i="3" s="1"/>
  <c r="AD18" i="3"/>
  <c r="AE18" i="3" s="1"/>
  <c r="AD19" i="3"/>
  <c r="AE19" i="3" s="1"/>
  <c r="AD20" i="3"/>
  <c r="AE20" i="3" s="1"/>
  <c r="AD21" i="3"/>
  <c r="AE21" i="3" s="1"/>
  <c r="AD22" i="3"/>
  <c r="AE22" i="3" s="1"/>
  <c r="AD23" i="3"/>
  <c r="AE23" i="3" s="1"/>
  <c r="AD24" i="3"/>
  <c r="AE24" i="3" s="1"/>
  <c r="AD25" i="3"/>
  <c r="AE25" i="3" s="1"/>
  <c r="AD26" i="3"/>
  <c r="AE26" i="3" s="1"/>
  <c r="AD27" i="3"/>
  <c r="AE27" i="3" s="1"/>
  <c r="AD28" i="3"/>
  <c r="AE28" i="3" s="1"/>
  <c r="AD29" i="3"/>
  <c r="AE29" i="3" s="1"/>
  <c r="AD30" i="3"/>
  <c r="AE30" i="3" s="1"/>
  <c r="AD31" i="3"/>
  <c r="AE31" i="3" s="1"/>
  <c r="AD32" i="3"/>
  <c r="AE32" i="3" s="1"/>
  <c r="AD33" i="3"/>
  <c r="AE33" i="3" s="1"/>
  <c r="AD34" i="3"/>
  <c r="AE34" i="3" s="1"/>
  <c r="AD35" i="3"/>
  <c r="AE35" i="3" s="1"/>
  <c r="AD36" i="3"/>
  <c r="AE36" i="3" s="1"/>
  <c r="AD37" i="3"/>
  <c r="AE37" i="3" s="1"/>
  <c r="AD38" i="3"/>
  <c r="AE38" i="3" s="1"/>
  <c r="AD39" i="3"/>
  <c r="AE39" i="3" s="1"/>
  <c r="AD40" i="3"/>
  <c r="AE40" i="3" s="1"/>
  <c r="AD41" i="3"/>
  <c r="AE41" i="3" s="1"/>
  <c r="AD42" i="3"/>
  <c r="AE42" i="3" s="1"/>
  <c r="AD43" i="3"/>
  <c r="AE43" i="3" s="1"/>
  <c r="AD44" i="3"/>
  <c r="AE44" i="3" s="1"/>
  <c r="AD45" i="3"/>
  <c r="AE45" i="3" s="1"/>
  <c r="AD46" i="3"/>
  <c r="AE46" i="3" s="1"/>
  <c r="AD47" i="3"/>
  <c r="AE47" i="3" s="1"/>
  <c r="AD48" i="3"/>
  <c r="AE48" i="3" s="1"/>
  <c r="AD49" i="3"/>
  <c r="AE49" i="3" s="1"/>
  <c r="AD50" i="3"/>
  <c r="AE50" i="3" s="1"/>
  <c r="AD51" i="3"/>
  <c r="AE51" i="3" s="1"/>
  <c r="AD52" i="3"/>
  <c r="AE52" i="3" s="1"/>
  <c r="AD53" i="3"/>
  <c r="AE53" i="3" s="1"/>
  <c r="AD54" i="3"/>
  <c r="AE54" i="3" s="1"/>
  <c r="AD55" i="3"/>
  <c r="AE55" i="3" s="1"/>
  <c r="AD56" i="3"/>
  <c r="AE56" i="3" s="1"/>
  <c r="AD57" i="3"/>
  <c r="AE57" i="3" s="1"/>
  <c r="AD58" i="3"/>
  <c r="AE58" i="3" s="1"/>
  <c r="AD59" i="3"/>
  <c r="AE59" i="3" s="1"/>
  <c r="AD60" i="3"/>
  <c r="AE60" i="3" s="1"/>
  <c r="AD61" i="3"/>
  <c r="AE61" i="3" s="1"/>
  <c r="AD62" i="3"/>
  <c r="AE62" i="3" s="1"/>
  <c r="AD63" i="3"/>
  <c r="AE63" i="3" s="1"/>
  <c r="AD64" i="3"/>
  <c r="AE64" i="3" s="1"/>
  <c r="AD65" i="3"/>
  <c r="AE65" i="3" s="1"/>
  <c r="AD66" i="3"/>
  <c r="AE66" i="3" s="1"/>
  <c r="AD67" i="3"/>
  <c r="AE67" i="3" s="1"/>
  <c r="Y79" i="3"/>
  <c r="X79" i="3"/>
  <c r="U79" i="3"/>
  <c r="T79" i="3"/>
  <c r="Q79" i="3"/>
  <c r="P79" i="3"/>
  <c r="C79" i="3"/>
  <c r="B79" i="3"/>
  <c r="Y78" i="3"/>
  <c r="X78" i="3"/>
  <c r="U78" i="3"/>
  <c r="T78" i="3"/>
  <c r="Q78" i="3"/>
  <c r="P78" i="3"/>
  <c r="C78" i="3"/>
  <c r="B78" i="3"/>
  <c r="Y77" i="3"/>
  <c r="X77" i="3"/>
  <c r="U77" i="3"/>
  <c r="T77" i="3"/>
  <c r="Q77" i="3"/>
  <c r="P77" i="3"/>
  <c r="C77" i="3"/>
  <c r="B77" i="3"/>
  <c r="Y76" i="3"/>
  <c r="X76" i="3"/>
  <c r="U76" i="3"/>
  <c r="T76" i="3"/>
  <c r="Q76" i="3"/>
  <c r="P76" i="3"/>
  <c r="C76" i="3"/>
  <c r="B76" i="3"/>
  <c r="Y75" i="3"/>
  <c r="X75" i="3"/>
  <c r="U75" i="3"/>
  <c r="T75" i="3"/>
  <c r="Q75" i="3"/>
  <c r="P75" i="3"/>
  <c r="C75" i="3"/>
  <c r="B75" i="3"/>
  <c r="Y74" i="3"/>
  <c r="X74" i="3"/>
  <c r="U74" i="3"/>
  <c r="T74" i="3"/>
  <c r="Q74" i="3"/>
  <c r="P74" i="3"/>
  <c r="C74" i="3"/>
  <c r="B74" i="3"/>
  <c r="Y73" i="3"/>
  <c r="X73" i="3"/>
  <c r="U73" i="3"/>
  <c r="T73" i="3"/>
  <c r="Q73" i="3"/>
  <c r="P73" i="3"/>
  <c r="C73" i="3"/>
  <c r="B73" i="3"/>
  <c r="Y72" i="3"/>
  <c r="X72" i="3"/>
  <c r="U72" i="3"/>
  <c r="T72" i="3"/>
  <c r="Q72" i="3"/>
  <c r="P72" i="3"/>
  <c r="C72" i="3"/>
  <c r="B72" i="3"/>
  <c r="Y71" i="3"/>
  <c r="X71" i="3"/>
  <c r="U71" i="3"/>
  <c r="T71" i="3"/>
  <c r="Q71" i="3"/>
  <c r="P71" i="3"/>
  <c r="C71" i="3"/>
  <c r="B71" i="3"/>
  <c r="Y70" i="3"/>
  <c r="X70" i="3"/>
  <c r="U70" i="3"/>
  <c r="T70" i="3"/>
  <c r="Q70" i="3"/>
  <c r="P70" i="3"/>
  <c r="C70" i="3"/>
  <c r="B70" i="3"/>
  <c r="Y69" i="3"/>
  <c r="X69" i="3"/>
  <c r="U69" i="3"/>
  <c r="T69" i="3"/>
  <c r="Q69" i="3"/>
  <c r="P69" i="3"/>
  <c r="C69" i="3"/>
  <c r="B69" i="3"/>
  <c r="Y68" i="3"/>
  <c r="X68" i="3"/>
  <c r="U68" i="3"/>
  <c r="T68" i="3"/>
  <c r="Q68" i="3"/>
  <c r="P68" i="3"/>
  <c r="C68" i="3"/>
  <c r="B68" i="3"/>
  <c r="Y67" i="3"/>
  <c r="X67" i="3"/>
  <c r="U67" i="3"/>
  <c r="T67" i="3"/>
  <c r="Q67" i="3"/>
  <c r="P67" i="3"/>
  <c r="C67" i="3"/>
  <c r="B67" i="3"/>
  <c r="Y66" i="3"/>
  <c r="X66" i="3"/>
  <c r="U66" i="3"/>
  <c r="T66" i="3"/>
  <c r="Q66" i="3"/>
  <c r="P66" i="3"/>
  <c r="C66" i="3"/>
  <c r="B66" i="3"/>
  <c r="Y65" i="3"/>
  <c r="X65" i="3"/>
  <c r="U65" i="3"/>
  <c r="T65" i="3"/>
  <c r="Q65" i="3"/>
  <c r="P65" i="3"/>
  <c r="C65" i="3"/>
  <c r="B65" i="3"/>
  <c r="Y64" i="3"/>
  <c r="X64" i="3"/>
  <c r="U64" i="3"/>
  <c r="T64" i="3"/>
  <c r="Q64" i="3"/>
  <c r="P64" i="3"/>
  <c r="C64" i="3"/>
  <c r="B64" i="3"/>
  <c r="Y63" i="3"/>
  <c r="X63" i="3"/>
  <c r="U63" i="3"/>
  <c r="T63" i="3"/>
  <c r="Q63" i="3"/>
  <c r="P63" i="3"/>
  <c r="C63" i="3"/>
  <c r="B63" i="3"/>
  <c r="Y62" i="3"/>
  <c r="X62" i="3"/>
  <c r="U62" i="3"/>
  <c r="T62" i="3"/>
  <c r="Q62" i="3"/>
  <c r="P62" i="3"/>
  <c r="C62" i="3"/>
  <c r="B62" i="3"/>
  <c r="Y61" i="3"/>
  <c r="X61" i="3"/>
  <c r="U61" i="3"/>
  <c r="T61" i="3"/>
  <c r="Q61" i="3"/>
  <c r="P61" i="3"/>
  <c r="C61" i="3"/>
  <c r="B61" i="3"/>
  <c r="Y60" i="3"/>
  <c r="X60" i="3"/>
  <c r="U60" i="3"/>
  <c r="T60" i="3"/>
  <c r="Q60" i="3"/>
  <c r="P60" i="3"/>
  <c r="C60" i="3"/>
  <c r="B60" i="3"/>
  <c r="Y59" i="3"/>
  <c r="X59" i="3"/>
  <c r="U59" i="3"/>
  <c r="T59" i="3"/>
  <c r="Q59" i="3"/>
  <c r="P59" i="3"/>
  <c r="C59" i="3"/>
  <c r="B59" i="3"/>
  <c r="Y58" i="3"/>
  <c r="X58" i="3"/>
  <c r="U58" i="3"/>
  <c r="T58" i="3"/>
  <c r="Q58" i="3"/>
  <c r="P58" i="3"/>
  <c r="C58" i="3"/>
  <c r="B58" i="3"/>
  <c r="Y57" i="3"/>
  <c r="X57" i="3"/>
  <c r="U57" i="3"/>
  <c r="T57" i="3"/>
  <c r="Q57" i="3"/>
  <c r="P57" i="3"/>
  <c r="C57" i="3"/>
  <c r="B57" i="3"/>
  <c r="Y56" i="3"/>
  <c r="X56" i="3"/>
  <c r="U56" i="3"/>
  <c r="T56" i="3"/>
  <c r="Q56" i="3"/>
  <c r="P56" i="3"/>
  <c r="C56" i="3"/>
  <c r="B56" i="3"/>
  <c r="Y55" i="3"/>
  <c r="X55" i="3"/>
  <c r="U55" i="3"/>
  <c r="T55" i="3"/>
  <c r="Q55" i="3"/>
  <c r="P55" i="3"/>
  <c r="C55" i="3"/>
  <c r="B55" i="3"/>
  <c r="Y54" i="3"/>
  <c r="X54" i="3"/>
  <c r="U54" i="3"/>
  <c r="T54" i="3"/>
  <c r="Q54" i="3"/>
  <c r="P54" i="3"/>
  <c r="C54" i="3"/>
  <c r="B54" i="3"/>
  <c r="Y53" i="3"/>
  <c r="X53" i="3"/>
  <c r="U53" i="3"/>
  <c r="T53" i="3"/>
  <c r="Q53" i="3"/>
  <c r="P53" i="3"/>
  <c r="C53" i="3"/>
  <c r="B53" i="3"/>
  <c r="Y52" i="3"/>
  <c r="X52" i="3"/>
  <c r="U52" i="3"/>
  <c r="T52" i="3"/>
  <c r="Q52" i="3"/>
  <c r="P52" i="3"/>
  <c r="C52" i="3"/>
  <c r="B52" i="3"/>
  <c r="Y51" i="3"/>
  <c r="X51" i="3"/>
  <c r="U51" i="3"/>
  <c r="T51" i="3"/>
  <c r="Q51" i="3"/>
  <c r="P51" i="3"/>
  <c r="C51" i="3"/>
  <c r="B51" i="3"/>
  <c r="Y50" i="3"/>
  <c r="X50" i="3"/>
  <c r="U50" i="3"/>
  <c r="T50" i="3"/>
  <c r="Q50" i="3"/>
  <c r="P50" i="3"/>
  <c r="C50" i="3"/>
  <c r="B50" i="3"/>
  <c r="Y49" i="3"/>
  <c r="X49" i="3"/>
  <c r="U49" i="3"/>
  <c r="T49" i="3"/>
  <c r="Q49" i="3"/>
  <c r="P49" i="3"/>
  <c r="C49" i="3"/>
  <c r="B49" i="3"/>
  <c r="Y48" i="3"/>
  <c r="X48" i="3"/>
  <c r="U48" i="3"/>
  <c r="T48" i="3"/>
  <c r="Q48" i="3"/>
  <c r="P48" i="3"/>
  <c r="C48" i="3"/>
  <c r="B48" i="3"/>
  <c r="Y47" i="3"/>
  <c r="X47" i="3"/>
  <c r="U47" i="3"/>
  <c r="T47" i="3"/>
  <c r="Q47" i="3"/>
  <c r="P47" i="3"/>
  <c r="C47" i="3"/>
  <c r="B47" i="3"/>
  <c r="Y46" i="3"/>
  <c r="X46" i="3"/>
  <c r="U46" i="3"/>
  <c r="T46" i="3"/>
  <c r="Q46" i="3"/>
  <c r="P46" i="3"/>
  <c r="C46" i="3"/>
  <c r="B46" i="3"/>
  <c r="Y45" i="3"/>
  <c r="X45" i="3"/>
  <c r="U45" i="3"/>
  <c r="T45" i="3"/>
  <c r="Q45" i="3"/>
  <c r="P45" i="3"/>
  <c r="C45" i="3"/>
  <c r="B45" i="3"/>
  <c r="Y44" i="3"/>
  <c r="X44" i="3"/>
  <c r="U44" i="3"/>
  <c r="T44" i="3"/>
  <c r="Q44" i="3"/>
  <c r="P44" i="3"/>
  <c r="C44" i="3"/>
  <c r="B44" i="3"/>
  <c r="Y43" i="3"/>
  <c r="X43" i="3"/>
  <c r="U43" i="3"/>
  <c r="T43" i="3"/>
  <c r="Q43" i="3"/>
  <c r="P43" i="3"/>
  <c r="C43" i="3"/>
  <c r="B43" i="3"/>
  <c r="Y42" i="3"/>
  <c r="X42" i="3"/>
  <c r="U42" i="3"/>
  <c r="T42" i="3"/>
  <c r="Q42" i="3"/>
  <c r="P42" i="3"/>
  <c r="C42" i="3"/>
  <c r="B42" i="3"/>
  <c r="Y41" i="3"/>
  <c r="X41" i="3"/>
  <c r="U41" i="3"/>
  <c r="T41" i="3"/>
  <c r="Q41" i="3"/>
  <c r="P41" i="3"/>
  <c r="C41" i="3"/>
  <c r="B41" i="3"/>
  <c r="Y40" i="3"/>
  <c r="X40" i="3"/>
  <c r="U40" i="3"/>
  <c r="T40" i="3"/>
  <c r="Q40" i="3"/>
  <c r="P40" i="3"/>
  <c r="C40" i="3"/>
  <c r="B40" i="3"/>
  <c r="Y39" i="3"/>
  <c r="X39" i="3"/>
  <c r="U39" i="3"/>
  <c r="T39" i="3"/>
  <c r="Q39" i="3"/>
  <c r="P39" i="3"/>
  <c r="C39" i="3"/>
  <c r="B39" i="3"/>
  <c r="Y38" i="3"/>
  <c r="X38" i="3"/>
  <c r="U38" i="3"/>
  <c r="T38" i="3"/>
  <c r="Q38" i="3"/>
  <c r="P38" i="3"/>
  <c r="C38" i="3"/>
  <c r="B38" i="3"/>
  <c r="Y37" i="3"/>
  <c r="X37" i="3"/>
  <c r="U37" i="3"/>
  <c r="T37" i="3"/>
  <c r="Q37" i="3"/>
  <c r="P37" i="3"/>
  <c r="C37" i="3"/>
  <c r="B37" i="3"/>
  <c r="Y36" i="3"/>
  <c r="X36" i="3"/>
  <c r="U36" i="3"/>
  <c r="T36" i="3"/>
  <c r="Q36" i="3"/>
  <c r="P36" i="3"/>
  <c r="C36" i="3"/>
  <c r="B36" i="3"/>
  <c r="Y35" i="3"/>
  <c r="X35" i="3"/>
  <c r="U35" i="3"/>
  <c r="T35" i="3"/>
  <c r="Q35" i="3"/>
  <c r="P35" i="3"/>
  <c r="C35" i="3"/>
  <c r="B35" i="3"/>
  <c r="Y34" i="3"/>
  <c r="X34" i="3"/>
  <c r="U34" i="3"/>
  <c r="T34" i="3"/>
  <c r="Q34" i="3"/>
  <c r="P34" i="3"/>
  <c r="C34" i="3"/>
  <c r="B34" i="3"/>
  <c r="Y33" i="3"/>
  <c r="X33" i="3"/>
  <c r="U33" i="3"/>
  <c r="T33" i="3"/>
  <c r="Q33" i="3"/>
  <c r="P33" i="3"/>
  <c r="C33" i="3"/>
  <c r="B33" i="3"/>
  <c r="Y32" i="3"/>
  <c r="X32" i="3"/>
  <c r="U32" i="3"/>
  <c r="T32" i="3"/>
  <c r="Q32" i="3"/>
  <c r="P32" i="3"/>
  <c r="C32" i="3"/>
  <c r="B32" i="3"/>
  <c r="Y31" i="3"/>
  <c r="X31" i="3"/>
  <c r="U31" i="3"/>
  <c r="T31" i="3"/>
  <c r="Q31" i="3"/>
  <c r="P31" i="3"/>
  <c r="C31" i="3"/>
  <c r="B31" i="3"/>
  <c r="Y30" i="3"/>
  <c r="X30" i="3"/>
  <c r="U30" i="3"/>
  <c r="T30" i="3"/>
  <c r="Q30" i="3"/>
  <c r="P30" i="3"/>
  <c r="C30" i="3"/>
  <c r="B30" i="3"/>
  <c r="Y29" i="3"/>
  <c r="X29" i="3"/>
  <c r="U29" i="3"/>
  <c r="T29" i="3"/>
  <c r="Q29" i="3"/>
  <c r="P29" i="3"/>
  <c r="C29" i="3"/>
  <c r="B29" i="3"/>
  <c r="Y28" i="3"/>
  <c r="X28" i="3"/>
  <c r="U28" i="3"/>
  <c r="T28" i="3"/>
  <c r="Q28" i="3"/>
  <c r="P28" i="3"/>
  <c r="C28" i="3"/>
  <c r="B28" i="3"/>
  <c r="Y27" i="3"/>
  <c r="X27" i="3"/>
  <c r="U27" i="3"/>
  <c r="T27" i="3"/>
  <c r="Q27" i="3"/>
  <c r="P27" i="3"/>
  <c r="C27" i="3"/>
  <c r="B27" i="3"/>
  <c r="Y26" i="3"/>
  <c r="X26" i="3"/>
  <c r="U26" i="3"/>
  <c r="T26" i="3"/>
  <c r="Q26" i="3"/>
  <c r="P26" i="3"/>
  <c r="C26" i="3"/>
  <c r="B26" i="3"/>
  <c r="Y25" i="3"/>
  <c r="X25" i="3"/>
  <c r="U25" i="3"/>
  <c r="T25" i="3"/>
  <c r="Q25" i="3"/>
  <c r="P25" i="3"/>
  <c r="C25" i="3"/>
  <c r="B25" i="3"/>
  <c r="Y24" i="3"/>
  <c r="X24" i="3"/>
  <c r="U24" i="3"/>
  <c r="T24" i="3"/>
  <c r="Q24" i="3"/>
  <c r="P24" i="3"/>
  <c r="C24" i="3"/>
  <c r="B24" i="3"/>
  <c r="Y23" i="3"/>
  <c r="X23" i="3"/>
  <c r="U23" i="3"/>
  <c r="T23" i="3"/>
  <c r="Q23" i="3"/>
  <c r="P23" i="3"/>
  <c r="C23" i="3"/>
  <c r="B23" i="3"/>
  <c r="Y22" i="3"/>
  <c r="X22" i="3"/>
  <c r="U22" i="3"/>
  <c r="T22" i="3"/>
  <c r="Q22" i="3"/>
  <c r="P22" i="3"/>
  <c r="C22" i="3"/>
  <c r="B22" i="3"/>
  <c r="Y21" i="3"/>
  <c r="X21" i="3"/>
  <c r="U21" i="3"/>
  <c r="T21" i="3"/>
  <c r="Q21" i="3"/>
  <c r="P21" i="3"/>
  <c r="C21" i="3"/>
  <c r="B21" i="3"/>
  <c r="Y20" i="3"/>
  <c r="X20" i="3"/>
  <c r="U20" i="3"/>
  <c r="T20" i="3"/>
  <c r="Q20" i="3"/>
  <c r="P20" i="3"/>
  <c r="C20" i="3"/>
  <c r="B20" i="3"/>
  <c r="Y19" i="3"/>
  <c r="X19" i="3"/>
  <c r="U19" i="3"/>
  <c r="T19" i="3"/>
  <c r="Q19" i="3"/>
  <c r="P19" i="3"/>
  <c r="C19" i="3"/>
  <c r="B19" i="3"/>
  <c r="Y18" i="3"/>
  <c r="X18" i="3"/>
  <c r="U18" i="3"/>
  <c r="T18" i="3"/>
  <c r="Q18" i="3"/>
  <c r="P18" i="3"/>
  <c r="C18" i="3"/>
  <c r="B18" i="3"/>
  <c r="Y17" i="3"/>
  <c r="X17" i="3"/>
  <c r="U17" i="3"/>
  <c r="T17" i="3"/>
  <c r="Q17" i="3"/>
  <c r="P17" i="3"/>
  <c r="C17" i="3"/>
  <c r="B17" i="3"/>
  <c r="Y16" i="3"/>
  <c r="X16" i="3"/>
  <c r="U16" i="3"/>
  <c r="T16" i="3"/>
  <c r="Q16" i="3"/>
  <c r="P16" i="3"/>
  <c r="C16" i="3"/>
  <c r="B16" i="3"/>
  <c r="Y15" i="3"/>
  <c r="X15" i="3"/>
  <c r="U15" i="3"/>
  <c r="T15" i="3"/>
  <c r="Q15" i="3"/>
  <c r="P15" i="3"/>
  <c r="C15" i="3"/>
  <c r="B15" i="3"/>
  <c r="Y14" i="3"/>
  <c r="X14" i="3"/>
  <c r="U14" i="3"/>
  <c r="T14" i="3"/>
  <c r="Q14" i="3"/>
  <c r="P14" i="3"/>
  <c r="C14" i="3"/>
  <c r="B14" i="3"/>
  <c r="Y13" i="3"/>
  <c r="X13" i="3"/>
  <c r="U13" i="3"/>
  <c r="T13" i="3"/>
  <c r="Q13" i="3"/>
  <c r="P13" i="3"/>
  <c r="C13" i="3"/>
  <c r="B13" i="3"/>
  <c r="Y12" i="3"/>
  <c r="X12" i="3"/>
  <c r="U12" i="3"/>
  <c r="T12" i="3"/>
  <c r="Q12" i="3"/>
  <c r="P12" i="3"/>
  <c r="C12" i="3"/>
  <c r="B12" i="3"/>
  <c r="Y11" i="3"/>
  <c r="X11" i="3"/>
  <c r="U11" i="3"/>
  <c r="T11" i="3"/>
  <c r="Q11" i="3"/>
  <c r="P11" i="3"/>
  <c r="C11" i="3"/>
  <c r="B11" i="3"/>
  <c r="Y10" i="3"/>
  <c r="X10" i="3"/>
  <c r="U10" i="3"/>
  <c r="T10" i="3"/>
  <c r="Q10" i="3"/>
  <c r="P10" i="3"/>
  <c r="C10" i="3"/>
  <c r="B10" i="3"/>
  <c r="Y9" i="3"/>
  <c r="X9" i="3"/>
  <c r="U9" i="3"/>
  <c r="T9" i="3"/>
  <c r="Q9" i="3"/>
  <c r="P9" i="3"/>
  <c r="C9" i="3"/>
  <c r="B9" i="3"/>
  <c r="Y8" i="3"/>
  <c r="X8" i="3"/>
  <c r="U8" i="3"/>
  <c r="T8" i="3"/>
  <c r="Q8" i="3"/>
  <c r="P8" i="3"/>
  <c r="C8" i="3"/>
  <c r="B8" i="3"/>
  <c r="Y7" i="3"/>
  <c r="X7" i="3"/>
  <c r="U7" i="3"/>
  <c r="T7" i="3"/>
  <c r="Q7" i="3"/>
  <c r="P7" i="3"/>
  <c r="C7" i="3"/>
  <c r="B7" i="3"/>
  <c r="Y6" i="3"/>
  <c r="X6" i="3"/>
  <c r="U6" i="3"/>
  <c r="T6" i="3"/>
  <c r="Q6" i="3"/>
  <c r="P6" i="3"/>
  <c r="C6" i="3"/>
  <c r="B6" i="3"/>
  <c r="Y5" i="3"/>
  <c r="X5" i="3"/>
  <c r="U5" i="3"/>
  <c r="T5" i="3"/>
  <c r="Q5" i="3"/>
  <c r="P5" i="3"/>
  <c r="C5" i="3"/>
  <c r="B5" i="3"/>
  <c r="Y4" i="3"/>
  <c r="X4" i="3"/>
  <c r="U4" i="3"/>
  <c r="T4" i="3"/>
  <c r="Q4" i="3"/>
  <c r="P4" i="3"/>
  <c r="C4" i="3"/>
  <c r="B4" i="3"/>
  <c r="AF24" i="3" l="1"/>
  <c r="AG24" i="3" s="1"/>
  <c r="AF45" i="3"/>
  <c r="AG45" i="3" s="1"/>
  <c r="AF23" i="3"/>
  <c r="AG23" i="3" s="1"/>
  <c r="AF22" i="3"/>
  <c r="AG22" i="3" s="1"/>
  <c r="AF58" i="3"/>
  <c r="AG58" i="3" s="1"/>
  <c r="AF60" i="3"/>
  <c r="AG60" i="3" s="1"/>
  <c r="AF21" i="3"/>
  <c r="AG21" i="3" s="1"/>
  <c r="AF62" i="3"/>
  <c r="AG62" i="3" s="1"/>
  <c r="AF51" i="3"/>
  <c r="AG51" i="3" s="1"/>
  <c r="AF44" i="3"/>
  <c r="AG44" i="3" s="1"/>
  <c r="AF59" i="3"/>
  <c r="AG59" i="3" s="1"/>
  <c r="AF57" i="3"/>
  <c r="AG57" i="3" s="1"/>
  <c r="AF35" i="3"/>
  <c r="AG35" i="3" s="1"/>
  <c r="AF61" i="3"/>
  <c r="AG61" i="3" s="1"/>
  <c r="AF13" i="3"/>
  <c r="AG13" i="3" s="1"/>
  <c r="AF42" i="3"/>
  <c r="AG42" i="3" s="1"/>
  <c r="AF38" i="3"/>
  <c r="AG38" i="3" s="1"/>
  <c r="AF8" i="3"/>
  <c r="AG8" i="3" s="1"/>
  <c r="AF7" i="3"/>
  <c r="AG7" i="3" s="1"/>
  <c r="AF36" i="3"/>
  <c r="AG36" i="3" s="1"/>
  <c r="AF20" i="3"/>
  <c r="AG20" i="3" s="1"/>
  <c r="AF67" i="3"/>
  <c r="AG67" i="3" s="1"/>
  <c r="AF37" i="3"/>
  <c r="AG37" i="3" s="1"/>
  <c r="AF65" i="3"/>
  <c r="AG65" i="3" s="1"/>
  <c r="AF43" i="3"/>
  <c r="AG43" i="3" s="1"/>
  <c r="AF50" i="3"/>
  <c r="AG50" i="3" s="1"/>
  <c r="AF6" i="3"/>
  <c r="AG6" i="3" s="1"/>
  <c r="AF26" i="3"/>
  <c r="AG26" i="3" s="1"/>
  <c r="AF53" i="3"/>
  <c r="AG53" i="3" s="1"/>
  <c r="AF31" i="3"/>
  <c r="AG31" i="3" s="1"/>
  <c r="AF16" i="3"/>
  <c r="AG16" i="3" s="1"/>
  <c r="AF56" i="3"/>
  <c r="AG56" i="3" s="1"/>
  <c r="AF19" i="3"/>
  <c r="AG19" i="3" s="1"/>
  <c r="AF48" i="3"/>
  <c r="AG48" i="3" s="1"/>
  <c r="AF55" i="3"/>
  <c r="AG55" i="3" s="1"/>
  <c r="AF33" i="3"/>
  <c r="AG33" i="3" s="1"/>
  <c r="AF10" i="3"/>
  <c r="AG10" i="3" s="1"/>
  <c r="AF39" i="3"/>
  <c r="AG39" i="3" s="1"/>
  <c r="AF15" i="3"/>
  <c r="AG15" i="3" s="1"/>
  <c r="AF64" i="3"/>
  <c r="AG64" i="3" s="1"/>
  <c r="AF5" i="3"/>
  <c r="AG5" i="3" s="1"/>
  <c r="AF41" i="3"/>
  <c r="AG41" i="3" s="1"/>
  <c r="AF40" i="3"/>
  <c r="AG40" i="3" s="1"/>
  <c r="AF66" i="3"/>
  <c r="AG66" i="3" s="1"/>
  <c r="AF34" i="3"/>
  <c r="AG34" i="3" s="1"/>
  <c r="AF11" i="3"/>
  <c r="AG11" i="3" s="1"/>
  <c r="AF30" i="3"/>
  <c r="AG30" i="3" s="1"/>
  <c r="AF29" i="3"/>
  <c r="AG29" i="3" s="1"/>
  <c r="AF27" i="3"/>
  <c r="AG27" i="3" s="1"/>
  <c r="AF18" i="3"/>
  <c r="AG18" i="3" s="1"/>
  <c r="AF25" i="3"/>
  <c r="AG25" i="3" s="1"/>
  <c r="AF32" i="3"/>
  <c r="AG32" i="3" s="1"/>
  <c r="AF17" i="3"/>
  <c r="AG17" i="3" s="1"/>
  <c r="AF52" i="3"/>
  <c r="AG52" i="3" s="1"/>
  <c r="AF14" i="3"/>
  <c r="AG14" i="3" s="1"/>
  <c r="AF49" i="3"/>
  <c r="AG49" i="3" s="1"/>
  <c r="AF63" i="3"/>
  <c r="AG63" i="3" s="1"/>
  <c r="AF12" i="3"/>
  <c r="AG12" i="3" s="1"/>
  <c r="AF47" i="3"/>
  <c r="AG47" i="3" s="1"/>
  <c r="AF54" i="3"/>
  <c r="AG54" i="3" s="1"/>
  <c r="AF28" i="3"/>
  <c r="AG28" i="3" s="1"/>
</calcChain>
</file>

<file path=xl/sharedStrings.xml><?xml version="1.0" encoding="utf-8"?>
<sst xmlns="http://schemas.openxmlformats.org/spreadsheetml/2006/main" count="544" uniqueCount="200">
  <si>
    <t>Data Communication</t>
    <phoneticPr fontId="1" type="noConversion"/>
  </si>
  <si>
    <t>Pre-calibration</t>
    <phoneticPr fontId="1" type="noConversion"/>
  </si>
  <si>
    <t>Temperature compensation</t>
    <phoneticPr fontId="1" type="noConversion"/>
  </si>
  <si>
    <t>12-bit</t>
    <phoneticPr fontId="1" type="noConversion"/>
  </si>
  <si>
    <t>Protection</t>
    <phoneticPr fontId="1" type="noConversion"/>
  </si>
  <si>
    <t>Temperature protection</t>
    <phoneticPr fontId="1" type="noConversion"/>
  </si>
  <si>
    <t>WHITE@D65</t>
    <phoneticPr fontId="1" type="noConversion"/>
  </si>
  <si>
    <t xml:space="preserve">Tj </t>
    <phoneticPr fontId="1" type="noConversion"/>
  </si>
  <si>
    <t>125℃</t>
    <phoneticPr fontId="1" type="noConversion"/>
  </si>
  <si>
    <t>MSL</t>
    <phoneticPr fontId="1" type="noConversion"/>
  </si>
  <si>
    <t>Yes</t>
    <phoneticPr fontId="1" type="noConversion"/>
  </si>
  <si>
    <t>-</t>
    <phoneticPr fontId="1" type="noConversion"/>
  </si>
  <si>
    <t>View angle</t>
    <phoneticPr fontId="1" type="noConversion"/>
  </si>
  <si>
    <t>Model</t>
    <phoneticPr fontId="1" type="noConversion"/>
  </si>
  <si>
    <t>Maker</t>
    <phoneticPr fontId="1" type="noConversion"/>
  </si>
  <si>
    <t>Size</t>
    <phoneticPr fontId="1" type="noConversion"/>
  </si>
  <si>
    <t>TBD</t>
    <phoneticPr fontId="1" type="noConversion"/>
  </si>
  <si>
    <t>LED Current</t>
    <phoneticPr fontId="1" type="noConversion"/>
  </si>
  <si>
    <t>Current Gains control</t>
    <phoneticPr fontId="1" type="noConversion"/>
  </si>
  <si>
    <t>LED error detection</t>
    <phoneticPr fontId="1" type="noConversion"/>
  </si>
  <si>
    <t>AEC-Qualified</t>
    <phoneticPr fontId="1" type="noConversion"/>
  </si>
  <si>
    <t>OUT</t>
    <phoneticPr fontId="1" type="noConversion"/>
  </si>
  <si>
    <t>Power saving</t>
    <phoneticPr fontId="1" type="noConversion"/>
  </si>
  <si>
    <t>Data rate</t>
    <phoneticPr fontId="1" type="noConversion"/>
  </si>
  <si>
    <t>2Mbit/s</t>
    <phoneticPr fontId="1" type="noConversion"/>
  </si>
  <si>
    <t>Oscillator Variance</t>
    <phoneticPr fontId="1" type="noConversion"/>
  </si>
  <si>
    <t>OTP (e-fuse)</t>
    <phoneticPr fontId="1" type="noConversion"/>
  </si>
  <si>
    <t>OSIRE® E3731i</t>
    <phoneticPr fontId="1" type="noConversion"/>
  </si>
  <si>
    <t>fpwm</t>
    <phoneticPr fontId="1" type="noConversion"/>
  </si>
  <si>
    <t>1 kHz</t>
    <phoneticPr fontId="1" type="noConversion"/>
  </si>
  <si>
    <t>Auto-addressing</t>
    <phoneticPr fontId="1" type="noConversion"/>
  </si>
  <si>
    <t>LED Strings</t>
    <phoneticPr fontId="1" type="noConversion"/>
  </si>
  <si>
    <t>1,000 LEDs</t>
    <phoneticPr fontId="1" type="noConversion"/>
  </si>
  <si>
    <t>4.8Mbit/s</t>
    <phoneticPr fontId="1" type="noConversion"/>
  </si>
  <si>
    <t>a built-in temperature sensor with a resolution of 8 bit that offers accurate and stable reading over the full temperature range.</t>
    <phoneticPr fontId="1" type="noConversion"/>
  </si>
  <si>
    <t>CRC</t>
    <phoneticPr fontId="1" type="noConversion"/>
  </si>
  <si>
    <t>CRC8 check word</t>
    <phoneticPr fontId="1" type="noConversion"/>
  </si>
  <si>
    <t>INLC10AQ</t>
    <phoneticPr fontId="1" type="noConversion"/>
  </si>
  <si>
    <t>Bidirectional, half-duplex, 2Mbps, CRC</t>
    <phoneticPr fontId="1" type="noConversion"/>
  </si>
  <si>
    <t>16 multicast address groups</t>
    <phoneticPr fontId="1" type="noConversion"/>
  </si>
  <si>
    <t>3mm x 3mm x 0.9mm 0.5 pitch</t>
    <phoneticPr fontId="1" type="noConversion"/>
  </si>
  <si>
    <t>ATR</t>
    <phoneticPr fontId="1" type="noConversion"/>
  </si>
  <si>
    <t>As each device is individually calibrated to compensate for production variations, the corresponding parameters can be stored in an on-die non-volatile memory.</t>
    <phoneticPr fontId="1" type="noConversion"/>
  </si>
  <si>
    <t>5V</t>
    <phoneticPr fontId="1" type="noConversion"/>
  </si>
  <si>
    <t>ESD protection HBM
AEC-Q100-002-E</t>
    <phoneticPr fontId="1" type="noConversion"/>
  </si>
  <si>
    <t>ESD protection CDM
AEC-Q100-011-C1</t>
    <phoneticPr fontId="1" type="noConversion"/>
  </si>
  <si>
    <t>±2500 V</t>
    <phoneticPr fontId="1" type="noConversion"/>
  </si>
  <si>
    <t>±500V</t>
    <phoneticPr fontId="1" type="noConversion"/>
  </si>
  <si>
    <t>RED (mcd), Vhdmin</t>
    <phoneticPr fontId="1" type="noConversion"/>
  </si>
  <si>
    <t>GREEN (mcd), Vhdmin</t>
    <phoneticPr fontId="1" type="noConversion"/>
  </si>
  <si>
    <t>BLUE (mcd), Vhdmin</t>
    <phoneticPr fontId="1" type="noConversion"/>
  </si>
  <si>
    <t>1.05V</t>
    <phoneticPr fontId="1" type="noConversion"/>
  </si>
  <si>
    <t>0.76V</t>
    <phoneticPr fontId="1" type="noConversion"/>
  </si>
  <si>
    <t>24 mA</t>
    <phoneticPr fontId="1" type="noConversion"/>
  </si>
  <si>
    <t>1.2 mA typ</t>
    <phoneticPr fontId="1" type="noConversion"/>
  </si>
  <si>
    <t>3.3 V</t>
    <phoneticPr fontId="1" type="noConversion"/>
  </si>
  <si>
    <t>ADC</t>
    <phoneticPr fontId="1" type="noConversion"/>
  </si>
  <si>
    <t>PROG5, LDO, RED, GREEN, BLUE, BG</t>
    <phoneticPr fontId="1" type="noConversion"/>
  </si>
  <si>
    <t>16 Mhz±30% (11.2-20.8Mhz)</t>
    <phoneticPr fontId="1" type="noConversion"/>
  </si>
  <si>
    <t>488Hz (16Mhz/15bit)</t>
    <phoneticPr fontId="1" type="noConversion"/>
  </si>
  <si>
    <t>Phase shift</t>
    <phoneticPr fontId="1" type="noConversion"/>
  </si>
  <si>
    <t>Green: 0º, 
Red: 25% / PWM Frequency, 
Blue: 75% / PWM Frequency</t>
    <phoneticPr fontId="1" type="noConversion"/>
  </si>
  <si>
    <t>8-bit DAC x 3ch
&gt; Blue and Green Brightness Control Scaler</t>
    <phoneticPr fontId="1" type="noConversion"/>
  </si>
  <si>
    <t>fpwm reduction
(accurate low light colors)</t>
    <phoneticPr fontId="1" type="noConversion"/>
  </si>
  <si>
    <t>9bit, For RED LED</t>
    <phoneticPr fontId="1" type="noConversion"/>
  </si>
  <si>
    <t>RGB Driver IC</t>
    <phoneticPr fontId="1" type="noConversion"/>
  </si>
  <si>
    <t>Calibration data is stored as encoded (u’, v’, Iv) triplets for every LED and every current setting in the built-in nonvolatile memory.</t>
    <phoneticPr fontId="1" type="noConversion"/>
  </si>
  <si>
    <t>AMS (OSRAM)</t>
    <phoneticPr fontId="1" type="noConversion"/>
  </si>
  <si>
    <t xml:space="preserve">&gt; 4 Differential Modes by Resistor-selection
&gt; LVDS, MCU, EOL, CAN modes </t>
    <phoneticPr fontId="1" type="noConversion"/>
  </si>
  <si>
    <t>&gt; 4 Differential Modes by Resistor-selection
&gt; LVDS, MCU, EOL, CAN modes</t>
    <phoneticPr fontId="1" type="noConversion"/>
  </si>
  <si>
    <t>INOVA (ISLED)</t>
    <phoneticPr fontId="1" type="noConversion"/>
  </si>
  <si>
    <t>0.5mA typ</t>
    <phoneticPr fontId="1" type="noConversion"/>
  </si>
  <si>
    <t>No Need</t>
    <phoneticPr fontId="1" type="noConversion"/>
  </si>
  <si>
    <t>Built in temperature Sensor</t>
    <phoneticPr fontId="1" type="noConversion"/>
  </si>
  <si>
    <t>Use OTP</t>
    <phoneticPr fontId="1" type="noConversion"/>
  </si>
  <si>
    <t>2 kHz</t>
    <phoneticPr fontId="1" type="noConversion"/>
  </si>
  <si>
    <t>MSL 2</t>
    <phoneticPr fontId="1" type="noConversion"/>
  </si>
  <si>
    <t>±700V</t>
    <phoneticPr fontId="1" type="noConversion"/>
  </si>
  <si>
    <t>±4,000 V</t>
    <phoneticPr fontId="1" type="noConversion"/>
  </si>
  <si>
    <t>Max 1.2Mbit/s</t>
    <phoneticPr fontId="1" type="noConversion"/>
  </si>
  <si>
    <t xml:space="preserve">40V </t>
    <phoneticPr fontId="1" type="noConversion"/>
  </si>
  <si>
    <t>Dim mode 4개 (fpwm: x1, x1/2, x1/4)</t>
    <phoneticPr fontId="1" type="noConversion"/>
  </si>
  <si>
    <t>128 bit (32bit 암호화서명, 96bit사용)</t>
    <phoneticPr fontId="1" type="noConversion"/>
  </si>
  <si>
    <t>128 bit (32bit암호화서명, 96bit사용)</t>
    <phoneticPr fontId="1" type="noConversion"/>
  </si>
  <si>
    <t>AEC-Q100 (Temp. grade 2 : -40~105℃)</t>
    <phoneticPr fontId="1" type="noConversion"/>
  </si>
  <si>
    <t>OK</t>
    <phoneticPr fontId="1" type="noConversion"/>
  </si>
  <si>
    <t>Max 32mA (fix after system spec is defined)</t>
    <phoneticPr fontId="1" type="noConversion"/>
  </si>
  <si>
    <t>Target 16 Mhz±10% (14.4-17.6Mhz)</t>
    <phoneticPr fontId="1" type="noConversion"/>
  </si>
  <si>
    <t>무드조명용 RGB Driver IC</t>
    <phoneticPr fontId="1" type="noConversion"/>
  </si>
  <si>
    <t>3.3V</t>
    <phoneticPr fontId="1" type="noConversion"/>
  </si>
  <si>
    <t xml:space="preserve">8-bit, 1-ch multiplexing </t>
    <phoneticPr fontId="1" type="noConversion"/>
  </si>
  <si>
    <t xml:space="preserve">±2,500V </t>
    <phoneticPr fontId="1" type="noConversion"/>
  </si>
  <si>
    <t xml:space="preserve">±500V </t>
    <phoneticPr fontId="1" type="noConversion"/>
  </si>
  <si>
    <t>CRC8 Check word</t>
    <phoneticPr fontId="1" type="noConversion"/>
  </si>
  <si>
    <t>Max TBD mA (fix after system spec is defined)</t>
    <phoneticPr fontId="1" type="noConversion"/>
  </si>
  <si>
    <t>Board to Board : CAN 
In module : 1-wire duty (RGB) communication</t>
    <phoneticPr fontId="1" type="noConversion"/>
  </si>
  <si>
    <t xml:space="preserve">Use OTP (IC trimming, 정밀도 ±5%) </t>
    <phoneticPr fontId="1" type="noConversion"/>
  </si>
  <si>
    <t>a built-in temperature sensor with a resolution of 8 bit that offers accurate and stable reading over the full temperature range.
(Require system level requirement from the customer)</t>
    <phoneticPr fontId="1" type="noConversion"/>
  </si>
  <si>
    <t xml:space="preserve"> IC : 1,000 X 1,000um 
 Package : TBD</t>
    <phoneticPr fontId="1" type="noConversion"/>
  </si>
  <si>
    <t xml:space="preserve">GT 제안 ('23.7.6) </t>
    <phoneticPr fontId="1" type="noConversion"/>
  </si>
  <si>
    <t>GT 제안 업데이트 ('23.8.2)</t>
    <phoneticPr fontId="1" type="noConversion"/>
  </si>
  <si>
    <t>4,079 ISELEDs</t>
    <phoneticPr fontId="1" type="noConversion"/>
  </si>
  <si>
    <t xml:space="preserve">전장용 RGB LED Driver IC 개발 목표 사양 </t>
    <phoneticPr fontId="1" type="noConversion"/>
  </si>
  <si>
    <t>기본 Color 64, 고유 Color 12 (HMC 기준) 구현 필요 / Cx, Cy 값은 CIE 1931 기준의 좌표임</t>
    <phoneticPr fontId="1" type="noConversion"/>
  </si>
  <si>
    <t>Default</t>
    <phoneticPr fontId="1" type="noConversion"/>
  </si>
  <si>
    <t>Center</t>
    <phoneticPr fontId="1" type="noConversion"/>
  </si>
  <si>
    <t>Driver</t>
    <phoneticPr fontId="1" type="noConversion"/>
  </si>
  <si>
    <t>Passsenger</t>
    <phoneticPr fontId="1" type="noConversion"/>
  </si>
  <si>
    <t xml:space="preserve">*) Defualt 값에서 위치별 tunning </t>
    <phoneticPr fontId="1" type="noConversion"/>
  </si>
  <si>
    <t>Cx</t>
    <phoneticPr fontId="1" type="noConversion"/>
  </si>
  <si>
    <t>Cy</t>
    <phoneticPr fontId="1" type="noConversion"/>
  </si>
  <si>
    <t>Hex x</t>
    <phoneticPr fontId="1" type="noConversion"/>
  </si>
  <si>
    <t>Hex y</t>
    <phoneticPr fontId="1" type="noConversion"/>
  </si>
  <si>
    <t>2F</t>
  </si>
  <si>
    <t>2A</t>
  </si>
  <si>
    <t>1A</t>
  </si>
  <si>
    <t>1E</t>
  </si>
  <si>
    <t>5C</t>
  </si>
  <si>
    <t>2D</t>
  </si>
  <si>
    <t>3D</t>
  </si>
  <si>
    <t>4C</t>
  </si>
  <si>
    <t>9A</t>
  </si>
  <si>
    <t>4F</t>
  </si>
  <si>
    <t>9E</t>
  </si>
  <si>
    <t>A0</t>
  </si>
  <si>
    <t>9F</t>
  </si>
  <si>
    <t>9D</t>
  </si>
  <si>
    <t>8D</t>
  </si>
  <si>
    <t>9C</t>
  </si>
  <si>
    <t>5B</t>
  </si>
  <si>
    <t>5D</t>
  </si>
  <si>
    <t>7A</t>
  </si>
  <si>
    <t>6E</t>
  </si>
  <si>
    <t>7D</t>
  </si>
  <si>
    <t>7E</t>
  </si>
  <si>
    <t>6D</t>
  </si>
  <si>
    <t>6B</t>
  </si>
  <si>
    <t>7F</t>
  </si>
  <si>
    <t>6A</t>
  </si>
  <si>
    <t>6F</t>
  </si>
  <si>
    <t>8B</t>
  </si>
  <si>
    <t>8A</t>
  </si>
  <si>
    <t>5A</t>
  </si>
  <si>
    <t>3A</t>
  </si>
  <si>
    <t>7B</t>
  </si>
  <si>
    <t>2E</t>
  </si>
  <si>
    <t>2C</t>
  </si>
  <si>
    <t>2B</t>
  </si>
  <si>
    <t>4A</t>
  </si>
  <si>
    <t>3B</t>
  </si>
  <si>
    <t>1F</t>
  </si>
  <si>
    <t>F</t>
  </si>
  <si>
    <t>1C</t>
  </si>
  <si>
    <t>9B</t>
  </si>
  <si>
    <t>4B</t>
  </si>
  <si>
    <t>wndml</t>
    <phoneticPr fontId="1" type="noConversion"/>
  </si>
  <si>
    <t>고유 색으로
제조사별 다름
(고유색 tap 참고)</t>
    <phoneticPr fontId="1" type="noConversion"/>
  </si>
  <si>
    <t>8C</t>
  </si>
  <si>
    <t>AF</t>
  </si>
  <si>
    <t>3F</t>
  </si>
  <si>
    <t>1D</t>
  </si>
  <si>
    <t>END</t>
    <phoneticPr fontId="1" type="noConversion"/>
  </si>
  <si>
    <t>8/7 협의 결과</t>
    <phoneticPr fontId="1" type="noConversion"/>
  </si>
  <si>
    <t>Operating Vcc range</t>
    <phoneticPr fontId="1" type="noConversion"/>
  </si>
  <si>
    <t>MOBIS 요구사양</t>
    <phoneticPr fontId="1" type="noConversion"/>
  </si>
  <si>
    <t>Smart Ambient Light LED Driver IC</t>
    <phoneticPr fontId="1" type="noConversion"/>
  </si>
  <si>
    <t>Absolute Maximum Rating
Vhd</t>
    <phoneticPr fontId="1" type="noConversion"/>
  </si>
  <si>
    <t>Driver standby current
(Ivcc)</t>
    <phoneticPr fontId="1" type="noConversion"/>
  </si>
  <si>
    <r>
      <t>&lt; Max 1.5mA (Tj=25</t>
    </r>
    <r>
      <rPr>
        <sz val="11"/>
        <color theme="1"/>
        <rFont val="맑은 고딕"/>
        <family val="3"/>
        <charset val="129"/>
      </rPr>
      <t>℃)</t>
    </r>
    <phoneticPr fontId="1" type="noConversion"/>
  </si>
  <si>
    <t>LED Red = 26.7mA (TBD)
LED Green = 13.6mA (TBD)
LED Blue = 13.5mA (TBD)</t>
    <phoneticPr fontId="1" type="noConversion"/>
  </si>
  <si>
    <t>Green: 0º, 
Red: 25% / PWM Frequency, 
Blue: 75% / PWM Frequency
"Same as ISELED"</t>
    <phoneticPr fontId="1" type="noConversion"/>
  </si>
  <si>
    <t>Dim mode 4개 (fpwm: x1, x1/2, x1/4)
Minimum on-time of 1us for the LEDs.</t>
    <phoneticPr fontId="1" type="noConversion"/>
  </si>
  <si>
    <t>Board to Board : CAN-FD tran, single ended Manchester coded
MCU to IC : Single ended Manchester coded
IC to IC(in module) : LVDS differential Manchester coded</t>
    <phoneticPr fontId="1" type="noConversion"/>
  </si>
  <si>
    <t>Typ 2.0Mbit/s data transfer rate,
(For the transceiver the data transfer rate depends on the data signal due to the Manchester encoded data. It means up to the double transfer rate is needed (Typ 4.0Mbit/s)</t>
    <phoneticPr fontId="1" type="noConversion"/>
  </si>
  <si>
    <r>
      <rPr>
        <strike/>
        <sz val="11"/>
        <color theme="1"/>
        <rFont val="맑은 고딕"/>
        <family val="3"/>
        <charset val="129"/>
        <scheme val="minor"/>
      </rPr>
      <t>Max 1.2Mbit/s</t>
    </r>
    <r>
      <rPr>
        <sz val="11"/>
        <color theme="1"/>
        <rFont val="맑은 고딕"/>
        <family val="3"/>
        <charset val="129"/>
        <scheme val="minor"/>
      </rPr>
      <t xml:space="preserve">
(Signals in the AM frequency band(500K~1.6MHz) are not used in vehicles.)</t>
    </r>
    <phoneticPr fontId="1" type="noConversion"/>
  </si>
  <si>
    <t>Auto addressing needed</t>
    <phoneticPr fontId="1" type="noConversion"/>
  </si>
  <si>
    <t>PWM Dimming Resolution</t>
    <phoneticPr fontId="1" type="noConversion"/>
  </si>
  <si>
    <t>12-bit (4095)</t>
    <phoneticPr fontId="1" type="noConversion"/>
  </si>
  <si>
    <t>1 kHz 이상
"Flicker free"</t>
    <phoneticPr fontId="1" type="noConversion"/>
  </si>
  <si>
    <t>4.3~5.5V</t>
    <phoneticPr fontId="1" type="noConversion"/>
  </si>
  <si>
    <t>-0.3~5.5V</t>
    <phoneticPr fontId="1" type="noConversion"/>
  </si>
  <si>
    <t>(TBD)
The variance of the oscillator is related to the asynchronous communication frequency tolerance. need to discuss</t>
    <phoneticPr fontId="1" type="noConversion"/>
  </si>
  <si>
    <t>UVLO
"LED Driver disable"</t>
    <phoneticPr fontId="1" type="noConversion"/>
  </si>
  <si>
    <t>Power of RESET
"Logic Reset"</t>
    <phoneticPr fontId="1" type="noConversion"/>
  </si>
  <si>
    <t>Max 3.4V</t>
    <phoneticPr fontId="1" type="noConversion"/>
  </si>
  <si>
    <t>Max 4.2V</t>
    <phoneticPr fontId="1" type="noConversion"/>
  </si>
  <si>
    <t>8-bit</t>
    <phoneticPr fontId="1" type="noConversion"/>
  </si>
  <si>
    <t xml:space="preserve">±2,000V 이상 </t>
    <phoneticPr fontId="1" type="noConversion"/>
  </si>
  <si>
    <t>±500V 이상</t>
    <phoneticPr fontId="1" type="noConversion"/>
  </si>
  <si>
    <t>Implemented at the similar characteristic as ISELED</t>
    <phoneticPr fontId="1" type="noConversion"/>
  </si>
  <si>
    <t>R</t>
    <phoneticPr fontId="1" type="noConversion"/>
  </si>
  <si>
    <t>G</t>
    <phoneticPr fontId="1" type="noConversion"/>
  </si>
  <si>
    <t>B</t>
    <phoneticPr fontId="1" type="noConversion"/>
  </si>
  <si>
    <t>``</t>
    <phoneticPr fontId="1" type="noConversion"/>
  </si>
  <si>
    <t>----</t>
  </si>
  <si>
    <t>0.5R</t>
    <phoneticPr fontId="1" type="noConversion"/>
  </si>
  <si>
    <t>0.5G</t>
    <phoneticPr fontId="1" type="noConversion"/>
  </si>
  <si>
    <t>0.5B</t>
    <phoneticPr fontId="1" type="noConversion"/>
  </si>
  <si>
    <t>Cx</t>
    <phoneticPr fontId="1" type="noConversion"/>
  </si>
  <si>
    <t>Cy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</si>
</sst>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sz val="20"/>
      <color theme="1"/>
      <name val="맑은 고딕"/>
      <family val="3"/>
      <charset val="129"/>
      <scheme val="minor"/>
    </font>
    <font>
      <b/>
      <sz val="18"/>
      <color theme="1"/>
      <name val="맑은 고딕"/>
      <family val="3"/>
      <charset val="129"/>
      <scheme val="minor"/>
    </font>
    <font>
      <sz val="10"/>
      <color theme="1"/>
      <name val="맑은 고딕"/>
      <family val="3"/>
      <charset val="129"/>
      <scheme val="minor"/>
    </font>
    <font>
      <sz val="10"/>
      <color theme="0"/>
      <name val="맑은 고딕"/>
      <family val="3"/>
      <charset val="129"/>
      <scheme val="minor"/>
    </font>
    <font>
      <b/>
      <sz val="10"/>
      <color theme="1"/>
      <name val="맑은 고딕"/>
      <family val="3"/>
      <charset val="129"/>
      <scheme val="minor"/>
    </font>
    <font>
      <sz val="1"/>
      <color theme="0"/>
      <name val="맑은 고딕"/>
      <family val="3"/>
      <charset val="129"/>
      <scheme val="minor"/>
    </font>
    <font>
      <sz val="11"/>
      <color theme="1"/>
      <name val="맑은 고딕"/>
      <family val="2"/>
      <charset val="129"/>
      <scheme val="minor"/>
    </font>
    <font>
      <sz val="10"/>
      <color theme="1"/>
      <name val="맑은 고딕"/>
      <family val="3"/>
      <charset val="129"/>
      <scheme val="major"/>
    </font>
    <font>
      <sz val="10"/>
      <color rgb="FF0000FF"/>
      <name val="맑은 고딕"/>
      <family val="3"/>
      <charset val="129"/>
      <scheme val="major"/>
    </font>
    <font>
      <sz val="11"/>
      <color rgb="FFD29600"/>
      <name val="맑은 고딕"/>
      <family val="2"/>
      <charset val="129"/>
      <scheme val="minor"/>
    </font>
    <font>
      <sz val="10"/>
      <color theme="1"/>
      <name val="맑은 고딕"/>
      <family val="2"/>
      <charset val="129"/>
      <scheme val="minor"/>
    </font>
    <font>
      <sz val="10"/>
      <color rgb="FF000000"/>
      <name val="맑은 고딕"/>
      <family val="3"/>
      <charset val="129"/>
    </font>
    <font>
      <sz val="10"/>
      <color rgb="FF0000FF"/>
      <name val="맑은 고딕"/>
      <family val="3"/>
      <charset val="129"/>
    </font>
    <font>
      <sz val="11"/>
      <color theme="1"/>
      <name val="맑은 고딕"/>
      <family val="3"/>
      <charset val="129"/>
    </font>
    <font>
      <strike/>
      <sz val="11"/>
      <color theme="1"/>
      <name val="맑은 고딕"/>
      <family val="3"/>
      <charset val="129"/>
      <scheme val="minor"/>
    </font>
    <font>
      <sz val="9"/>
      <color theme="1"/>
      <name val="맑은 고딕"/>
      <family val="3"/>
      <charset val="129"/>
      <scheme val="minor"/>
    </font>
    <font>
      <sz val="10"/>
      <name val="맑은 고딕"/>
      <family val="3"/>
      <charset val="129"/>
      <scheme val="minor"/>
    </font>
    <font>
      <b/>
      <sz val="11"/>
      <name val="맑은 고딕"/>
      <family val="3"/>
      <charset val="129"/>
      <scheme val="minor"/>
    </font>
    <font>
      <b/>
      <sz val="10"/>
      <name val="맑은 고딕"/>
      <family val="3"/>
      <charset val="129"/>
      <scheme val="minor"/>
    </font>
    <font>
      <sz val="9"/>
      <name val="맑은 고딕"/>
      <family val="3"/>
      <charset val="129"/>
      <scheme val="minor"/>
    </font>
    <font>
      <sz val="1"/>
      <name val="맑은 고딕"/>
      <family val="3"/>
      <charset val="129"/>
      <scheme val="minor"/>
    </font>
    <font>
      <sz val="10"/>
      <name val="맑은 고딕"/>
      <family val="3"/>
      <charset val="129"/>
      <scheme val="major"/>
    </font>
    <font>
      <sz val="10"/>
      <name val="맑은 고딕"/>
      <family val="3"/>
      <charset val="129"/>
    </font>
  </fonts>
  <fills count="8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4601B9"/>
        <bgColor indexed="64"/>
      </patternFill>
    </fill>
    <fill>
      <patternFill patternType="solid">
        <fgColor rgb="FF5000AF"/>
        <bgColor indexed="64"/>
      </patternFill>
    </fill>
    <fill>
      <patternFill patternType="solid">
        <fgColor rgb="FF5A00A5"/>
        <bgColor indexed="64"/>
      </patternFill>
    </fill>
    <fill>
      <patternFill patternType="solid">
        <fgColor rgb="FF65009B"/>
        <bgColor indexed="64"/>
      </patternFill>
    </fill>
    <fill>
      <patternFill patternType="solid">
        <fgColor rgb="FF6F0091"/>
        <bgColor indexed="64"/>
      </patternFill>
    </fill>
    <fill>
      <patternFill patternType="solid">
        <fgColor rgb="FF790087"/>
        <bgColor indexed="64"/>
      </patternFill>
    </fill>
    <fill>
      <patternFill patternType="solid">
        <fgColor rgb="FF83007D"/>
        <bgColor indexed="64"/>
      </patternFill>
    </fill>
    <fill>
      <patternFill patternType="solid">
        <fgColor rgb="FF910073"/>
        <bgColor indexed="64"/>
      </patternFill>
    </fill>
    <fill>
      <patternFill patternType="solid">
        <fgColor rgb="FFA50064"/>
        <bgColor indexed="64"/>
      </patternFill>
    </fill>
    <fill>
      <patternFill patternType="solid">
        <fgColor rgb="FFC3005A"/>
        <bgColor indexed="64"/>
      </patternFill>
    </fill>
    <fill>
      <patternFill patternType="solid">
        <fgColor rgb="FFDC0046"/>
        <bgColor indexed="64"/>
      </patternFill>
    </fill>
    <fill>
      <patternFill patternType="solid">
        <fgColor rgb="FFE60032"/>
        <bgColor indexed="64"/>
      </patternFill>
    </fill>
    <fill>
      <patternFill patternType="solid">
        <fgColor rgb="FFF0001E"/>
        <bgColor indexed="64"/>
      </patternFill>
    </fill>
    <fill>
      <patternFill patternType="solid">
        <fgColor rgb="FFF5000F"/>
        <bgColor indexed="64"/>
      </patternFill>
    </fill>
    <fill>
      <patternFill patternType="solid">
        <fgColor rgb="FFFF0005"/>
        <bgColor indexed="64"/>
      </patternFill>
    </fill>
    <fill>
      <patternFill patternType="solid">
        <fgColor rgb="FFFF0A00"/>
        <bgColor indexed="64"/>
      </patternFill>
    </fill>
    <fill>
      <patternFill patternType="solid">
        <fgColor rgb="FFFF1400"/>
        <bgColor indexed="64"/>
      </patternFill>
    </fill>
    <fill>
      <patternFill patternType="solid">
        <fgColor rgb="FFFF1E00"/>
        <bgColor indexed="64"/>
      </patternFill>
    </fill>
    <fill>
      <patternFill patternType="solid">
        <fgColor rgb="FFFF2800"/>
        <bgColor indexed="64"/>
      </patternFill>
    </fill>
    <fill>
      <patternFill patternType="solid">
        <fgColor rgb="FFFF3200"/>
        <bgColor indexed="64"/>
      </patternFill>
    </fill>
    <fill>
      <patternFill patternType="solid">
        <fgColor rgb="FFFF3C00"/>
        <bgColor indexed="64"/>
      </patternFill>
    </fill>
    <fill>
      <patternFill patternType="solid">
        <fgColor rgb="FFFF4600"/>
        <bgColor indexed="64"/>
      </patternFill>
    </fill>
    <fill>
      <patternFill patternType="solid">
        <fgColor rgb="FFFF5000"/>
        <bgColor indexed="64"/>
      </patternFill>
    </fill>
    <fill>
      <patternFill patternType="solid">
        <fgColor rgb="FFFF5A00"/>
        <bgColor indexed="64"/>
      </patternFill>
    </fill>
    <fill>
      <patternFill patternType="solid">
        <fgColor rgb="FFFF6400"/>
        <bgColor indexed="64"/>
      </patternFill>
    </fill>
    <fill>
      <patternFill patternType="solid">
        <fgColor rgb="FFFA6E00"/>
        <bgColor indexed="64"/>
      </patternFill>
    </fill>
    <fill>
      <patternFill patternType="solid">
        <fgColor rgb="FFF07800"/>
        <bgColor indexed="64"/>
      </patternFill>
    </fill>
    <fill>
      <patternFill patternType="solid">
        <fgColor rgb="FFE68200"/>
        <bgColor indexed="64"/>
      </patternFill>
    </fill>
    <fill>
      <patternFill patternType="solid">
        <fgColor rgb="FFD78C00"/>
        <bgColor indexed="64"/>
      </patternFill>
    </fill>
    <fill>
      <patternFill patternType="solid">
        <fgColor rgb="FFD29600"/>
        <bgColor indexed="64"/>
      </patternFill>
    </fill>
    <fill>
      <patternFill patternType="solid">
        <fgColor rgb="FFCDA000"/>
        <bgColor indexed="64"/>
      </patternFill>
    </fill>
    <fill>
      <patternFill patternType="solid">
        <fgColor rgb="FFC8B900"/>
        <bgColor indexed="64"/>
      </patternFill>
    </fill>
    <fill>
      <patternFill patternType="solid">
        <fgColor rgb="FFC3C800"/>
        <bgColor indexed="64"/>
      </patternFill>
    </fill>
    <fill>
      <patternFill patternType="solid">
        <fgColor rgb="FFB9DC00"/>
        <bgColor indexed="64"/>
      </patternFill>
    </fill>
    <fill>
      <patternFill patternType="solid">
        <fgColor rgb="FFAFEB00"/>
        <bgColor indexed="64"/>
      </patternFill>
    </fill>
    <fill>
      <patternFill patternType="solid">
        <fgColor rgb="FFA5F50A"/>
        <bgColor indexed="64"/>
      </patternFill>
    </fill>
    <fill>
      <patternFill patternType="solid">
        <fgColor rgb="FF9BFA14"/>
        <bgColor indexed="64"/>
      </patternFill>
    </fill>
    <fill>
      <patternFill patternType="solid">
        <fgColor rgb="FF91FF28"/>
        <bgColor indexed="64"/>
      </patternFill>
    </fill>
    <fill>
      <patternFill patternType="solid">
        <fgColor rgb="FF87FF3C"/>
        <bgColor indexed="64"/>
      </patternFill>
    </fill>
    <fill>
      <patternFill patternType="solid">
        <fgColor rgb="FF7DFA50"/>
        <bgColor indexed="64"/>
      </patternFill>
    </fill>
    <fill>
      <patternFill patternType="solid">
        <fgColor rgb="FF73F564"/>
        <bgColor indexed="64"/>
      </patternFill>
    </fill>
    <fill>
      <patternFill patternType="solid">
        <fgColor rgb="FF69F078"/>
        <bgColor indexed="64"/>
      </patternFill>
    </fill>
    <fill>
      <patternFill patternType="solid">
        <fgColor rgb="FF5FEB8C"/>
        <bgColor indexed="64"/>
      </patternFill>
    </fill>
    <fill>
      <patternFill patternType="solid">
        <fgColor rgb="FF55E6A0"/>
        <bgColor indexed="64"/>
      </patternFill>
    </fill>
    <fill>
      <patternFill patternType="solid">
        <fgColor rgb="FF41E1B4"/>
        <bgColor indexed="64"/>
      </patternFill>
    </fill>
    <fill>
      <patternFill patternType="solid">
        <fgColor rgb="FF2DDCC8"/>
        <bgColor indexed="64"/>
      </patternFill>
    </fill>
    <fill>
      <patternFill patternType="solid">
        <fgColor rgb="FF1FD2D2"/>
        <bgColor indexed="64"/>
      </patternFill>
    </fill>
    <fill>
      <patternFill patternType="solid">
        <fgColor rgb="FF0FC8DC"/>
        <bgColor indexed="64"/>
      </patternFill>
    </fill>
    <fill>
      <patternFill patternType="solid">
        <fgColor rgb="FF05BEE6"/>
        <bgColor indexed="64"/>
      </patternFill>
    </fill>
    <fill>
      <patternFill patternType="solid">
        <fgColor rgb="FF00B4F0"/>
        <bgColor indexed="64"/>
      </patternFill>
    </fill>
    <fill>
      <patternFill patternType="solid">
        <fgColor rgb="FF00A5FA"/>
        <bgColor indexed="64"/>
      </patternFill>
    </fill>
    <fill>
      <patternFill patternType="solid">
        <fgColor rgb="FF0096FF"/>
        <bgColor indexed="64"/>
      </patternFill>
    </fill>
    <fill>
      <patternFill patternType="solid">
        <fgColor rgb="FF0082FF"/>
        <bgColor indexed="64"/>
      </patternFill>
    </fill>
    <fill>
      <patternFill patternType="solid">
        <fgColor rgb="FF006EFF"/>
        <bgColor indexed="64"/>
      </patternFill>
    </fill>
    <fill>
      <patternFill patternType="solid">
        <fgColor rgb="FF005AFF"/>
        <bgColor indexed="64"/>
      </patternFill>
    </fill>
    <fill>
      <patternFill patternType="solid">
        <fgColor rgb="FF0046FF"/>
        <bgColor indexed="64"/>
      </patternFill>
    </fill>
    <fill>
      <patternFill patternType="solid">
        <fgColor rgb="FF0B32FA"/>
        <bgColor indexed="64"/>
      </patternFill>
    </fill>
    <fill>
      <patternFill patternType="solid">
        <fgColor rgb="FF1928F0"/>
        <bgColor indexed="64"/>
      </patternFill>
    </fill>
    <fill>
      <patternFill patternType="solid">
        <fgColor rgb="FF231EEB"/>
        <bgColor indexed="64"/>
      </patternFill>
    </fill>
    <fill>
      <patternFill patternType="solid">
        <fgColor rgb="FF2D14E1"/>
        <bgColor indexed="64"/>
      </patternFill>
    </fill>
    <fill>
      <patternFill patternType="solid">
        <fgColor rgb="FF330AD7"/>
        <bgColor indexed="64"/>
      </patternFill>
    </fill>
    <fill>
      <patternFill patternType="solid">
        <fgColor rgb="FF3705CD"/>
        <bgColor indexed="64"/>
      </patternFill>
    </fill>
    <fill>
      <patternFill patternType="solid">
        <fgColor rgb="FF3C03C3"/>
        <bgColor indexed="64"/>
      </patternFill>
    </fill>
    <fill>
      <patternFill patternType="solid">
        <fgColor rgb="FF4102BE"/>
        <bgColor indexed="64"/>
      </patternFill>
    </fill>
    <fill>
      <patternFill patternType="solid">
        <fgColor rgb="FFFE001E"/>
        <bgColor indexed="64"/>
      </patternFill>
    </fill>
    <fill>
      <patternFill patternType="solid">
        <fgColor rgb="FFFFD893"/>
        <bgColor indexed="64"/>
      </patternFill>
    </fill>
    <fill>
      <patternFill patternType="solid">
        <fgColor rgb="FFF2F2F2"/>
        <bgColor rgb="FF000000"/>
      </patternFill>
    </fill>
    <fill>
      <patternFill patternType="solid">
        <fgColor rgb="FFFFFFFF"/>
        <bgColor rgb="FF000000"/>
      </patternFill>
    </fill>
    <fill>
      <patternFill patternType="solid">
        <fgColor rgb="FFE5F2FA"/>
        <bgColor rgb="FF000000"/>
      </patternFill>
    </fill>
    <fill>
      <patternFill patternType="solid">
        <fgColor rgb="FFF4E9DF"/>
        <bgColor rgb="FF000000"/>
      </patternFill>
    </fill>
    <fill>
      <patternFill patternType="solid">
        <fgColor rgb="FFFEA811"/>
        <bgColor rgb="FF000000"/>
      </patternFill>
    </fill>
    <fill>
      <patternFill patternType="solid">
        <fgColor rgb="FFE93E3E"/>
        <bgColor rgb="FF000000"/>
      </patternFill>
    </fill>
    <fill>
      <patternFill patternType="solid">
        <fgColor rgb="FFBB0FEC"/>
        <bgColor rgb="FF000000"/>
      </patternFill>
    </fill>
    <fill>
      <patternFill patternType="solid">
        <fgColor rgb="FF8A25FC"/>
        <bgColor rgb="FF000000"/>
      </patternFill>
    </fill>
    <fill>
      <patternFill patternType="solid">
        <fgColor rgb="FF188EFD"/>
        <bgColor rgb="FF000000"/>
      </patternFill>
    </fill>
    <fill>
      <patternFill patternType="solid">
        <fgColor rgb="FF03C7C0"/>
        <bgColor rgb="FF000000"/>
      </patternFill>
    </fill>
    <fill>
      <patternFill patternType="solid">
        <fgColor rgb="FF80D715"/>
        <bgColor rgb="FF000000"/>
      </patternFill>
    </fill>
    <fill>
      <patternFill patternType="solid">
        <fgColor rgb="FFB7E4FC"/>
        <bgColor rgb="FF000000"/>
      </patternFill>
    </fill>
    <fill>
      <patternFill patternType="solid">
        <fgColor theme="1"/>
        <bgColor indexed="64"/>
      </patternFill>
    </fill>
  </fills>
  <borders count="24">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top style="thin">
        <color auto="1"/>
      </top>
      <bottom/>
      <diagonal/>
    </border>
  </borders>
  <cellStyleXfs count="2">
    <xf numFmtId="0" fontId="0" fillId="0" borderId="0"/>
    <xf numFmtId="0" fontId="11" fillId="0" borderId="0">
      <alignment vertical="center"/>
    </xf>
  </cellStyleXfs>
  <cellXfs count="300">
    <xf numFmtId="0" fontId="0" fillId="0" borderId="0" xfId="0"/>
    <xf numFmtId="0" fontId="2" fillId="0" borderId="0" xfId="0" applyFont="1"/>
    <xf numFmtId="0" fontId="2" fillId="0" borderId="0" xfId="0" applyFont="1" applyAlignment="1">
      <alignment horizontal="center"/>
    </xf>
    <xf numFmtId="0" fontId="3" fillId="0" borderId="0" xfId="0" applyFont="1"/>
    <xf numFmtId="0" fontId="4" fillId="0" borderId="0" xfId="0" applyFont="1"/>
    <xf numFmtId="0" fontId="2" fillId="2" borderId="1" xfId="0" applyFont="1" applyFill="1" applyBorder="1" applyAlignment="1">
      <alignment horizontal="center"/>
    </xf>
    <xf numFmtId="0" fontId="2" fillId="2" borderId="2" xfId="0" applyFont="1" applyFill="1" applyBorder="1" applyAlignment="1">
      <alignment horizontal="center" vertical="center"/>
    </xf>
    <xf numFmtId="0" fontId="2" fillId="2" borderId="2" xfId="0" quotePrefix="1"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left" vertical="center" wrapText="1"/>
    </xf>
    <xf numFmtId="0" fontId="3" fillId="3" borderId="2" xfId="0" applyFont="1" applyFill="1" applyBorder="1" applyAlignment="1">
      <alignment vertical="center"/>
    </xf>
    <xf numFmtId="0" fontId="3" fillId="3" borderId="2" xfId="0" applyFont="1" applyFill="1" applyBorder="1" applyAlignment="1">
      <alignment horizontal="left" vertical="center"/>
    </xf>
    <xf numFmtId="0" fontId="3" fillId="3" borderId="2" xfId="0" applyFont="1" applyFill="1" applyBorder="1" applyAlignment="1">
      <alignment vertical="center" wrapText="1"/>
    </xf>
    <xf numFmtId="0" fontId="3" fillId="3" borderId="2" xfId="0" applyFont="1" applyFill="1" applyBorder="1" applyAlignment="1">
      <alignment vertical="top" wrapText="1"/>
    </xf>
    <xf numFmtId="0" fontId="3" fillId="3" borderId="2" xfId="0" quotePrefix="1" applyFont="1" applyFill="1" applyBorder="1" applyAlignment="1">
      <alignment vertical="center"/>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top" wrapText="1"/>
    </xf>
    <xf numFmtId="0" fontId="3" fillId="3" borderId="2" xfId="0" quotePrefix="1" applyFont="1" applyFill="1" applyBorder="1" applyAlignment="1">
      <alignment horizontal="left" vertical="center"/>
    </xf>
    <xf numFmtId="0" fontId="2" fillId="3" borderId="1" xfId="0" applyFont="1" applyFill="1" applyBorder="1" applyAlignment="1">
      <alignment horizontal="center"/>
    </xf>
    <xf numFmtId="0" fontId="2" fillId="3" borderId="0" xfId="0" applyFont="1" applyFill="1" applyAlignment="1">
      <alignment horizontal="center"/>
    </xf>
    <xf numFmtId="0" fontId="2" fillId="3" borderId="0" xfId="0" applyFont="1" applyFill="1"/>
    <xf numFmtId="0" fontId="3" fillId="3" borderId="0" xfId="0" applyFont="1" applyFill="1"/>
    <xf numFmtId="0" fontId="2" fillId="3" borderId="1" xfId="0" applyFont="1" applyFill="1" applyBorder="1" applyAlignment="1">
      <alignment horizontal="center" vertical="center"/>
    </xf>
    <xf numFmtId="0" fontId="3" fillId="3" borderId="0" xfId="0" applyFont="1" applyFill="1" applyAlignment="1">
      <alignment horizontal="center" vertical="center"/>
    </xf>
    <xf numFmtId="0" fontId="2" fillId="3" borderId="1" xfId="0" applyFont="1" applyFill="1" applyBorder="1" applyAlignment="1">
      <alignment horizontal="center" wrapText="1"/>
    </xf>
    <xf numFmtId="0" fontId="3" fillId="3" borderId="3" xfId="0" applyFont="1" applyFill="1" applyBorder="1" applyAlignment="1">
      <alignment horizontal="left" vertical="center"/>
    </xf>
    <xf numFmtId="0" fontId="3" fillId="3" borderId="3" xfId="0" quotePrefix="1" applyFont="1" applyFill="1" applyBorder="1" applyAlignment="1">
      <alignment horizontal="left" vertical="center"/>
    </xf>
    <xf numFmtId="0" fontId="3" fillId="3" borderId="3" xfId="0" quotePrefix="1" applyFont="1" applyFill="1" applyBorder="1" applyAlignment="1">
      <alignment horizontal="left" vertical="center" wrapText="1"/>
    </xf>
    <xf numFmtId="0" fontId="5" fillId="0" borderId="0" xfId="0" applyFont="1"/>
    <xf numFmtId="0" fontId="6" fillId="0" borderId="0" xfId="0" applyFont="1" applyAlignment="1">
      <alignment horizontal="left"/>
    </xf>
    <xf numFmtId="0" fontId="7" fillId="0" borderId="0" xfId="0" applyFont="1" applyAlignment="1">
      <alignment horizontal="center" vertical="center"/>
    </xf>
    <xf numFmtId="0" fontId="7" fillId="0" borderId="0" xfId="0" applyFont="1" applyAlignment="1">
      <alignment horizontal="center" vertical="center" shrinkToFit="1"/>
    </xf>
    <xf numFmtId="0" fontId="7" fillId="0" borderId="0" xfId="0" applyFont="1" applyAlignment="1">
      <alignment vertical="center" shrinkToFit="1"/>
    </xf>
    <xf numFmtId="0" fontId="9" fillId="4" borderId="7"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8" xfId="0" applyFont="1" applyFill="1" applyBorder="1" applyAlignment="1">
      <alignment horizontal="center" vertical="center"/>
    </xf>
    <xf numFmtId="0" fontId="7" fillId="4" borderId="1" xfId="0" applyFont="1" applyFill="1" applyBorder="1" applyAlignment="1">
      <alignment horizontal="center" vertical="center" shrinkToFit="1"/>
    </xf>
    <xf numFmtId="0" fontId="10" fillId="0" borderId="0" xfId="0" applyFont="1" applyAlignment="1">
      <alignment horizontal="center" vertical="center"/>
    </xf>
    <xf numFmtId="0" fontId="7" fillId="0" borderId="3" xfId="0" applyFont="1" applyBorder="1" applyAlignment="1">
      <alignment horizontal="center" vertical="center"/>
    </xf>
    <xf numFmtId="0" fontId="7" fillId="5" borderId="7" xfId="0" applyFont="1" applyFill="1" applyBorder="1" applyAlignment="1">
      <alignment horizontal="center" vertical="center"/>
    </xf>
    <xf numFmtId="0" fontId="7" fillId="5" borderId="2" xfId="0" applyFont="1" applyFill="1" applyBorder="1" applyAlignment="1">
      <alignment horizontal="center" vertical="center"/>
    </xf>
    <xf numFmtId="0" fontId="12" fillId="5" borderId="2" xfId="1" applyFont="1" applyFill="1" applyBorder="1" applyAlignment="1">
      <alignment horizontal="center" vertical="center"/>
    </xf>
    <xf numFmtId="0" fontId="7" fillId="3" borderId="7" xfId="0" applyFont="1" applyFill="1" applyBorder="1" applyAlignment="1">
      <alignment horizontal="center" vertical="center"/>
    </xf>
    <xf numFmtId="0" fontId="7" fillId="3" borderId="2" xfId="0" applyFont="1" applyFill="1" applyBorder="1" applyAlignment="1">
      <alignment horizontal="center" vertical="center"/>
    </xf>
    <xf numFmtId="0" fontId="13" fillId="3" borderId="2" xfId="1" applyFont="1" applyFill="1" applyBorder="1" applyAlignment="1">
      <alignment horizontal="center" vertical="center"/>
    </xf>
    <xf numFmtId="0" fontId="13" fillId="3" borderId="8" xfId="1" applyFont="1" applyFill="1" applyBorder="1" applyAlignment="1">
      <alignment horizontal="center" vertical="center"/>
    </xf>
    <xf numFmtId="0" fontId="13" fillId="5" borderId="2" xfId="1" applyFont="1" applyFill="1" applyBorder="1" applyAlignment="1">
      <alignment horizontal="center" vertical="center"/>
    </xf>
    <xf numFmtId="0" fontId="13" fillId="5" borderId="8" xfId="1" applyFont="1" applyFill="1" applyBorder="1" applyAlignment="1">
      <alignment horizontal="center" vertical="center"/>
    </xf>
    <xf numFmtId="0" fontId="0" fillId="6" borderId="0" xfId="0" applyFill="1" applyAlignment="1">
      <alignment vertical="center"/>
    </xf>
    <xf numFmtId="0" fontId="0" fillId="7" borderId="0" xfId="0" applyFill="1" applyAlignment="1">
      <alignment vertical="center"/>
    </xf>
    <xf numFmtId="0" fontId="0" fillId="8"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0" fillId="15" borderId="0" xfId="0" applyFill="1" applyAlignment="1">
      <alignment vertical="center"/>
    </xf>
    <xf numFmtId="0" fontId="0" fillId="16" borderId="0" xfId="0" applyFill="1" applyAlignment="1">
      <alignment vertical="center"/>
    </xf>
    <xf numFmtId="0" fontId="0" fillId="17"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0" fontId="0" fillId="24" borderId="0" xfId="0" applyFill="1" applyAlignment="1">
      <alignment vertical="center"/>
    </xf>
    <xf numFmtId="0" fontId="0" fillId="25" borderId="0" xfId="0" applyFill="1" applyAlignment="1">
      <alignment vertical="center"/>
    </xf>
    <xf numFmtId="0" fontId="0" fillId="26" borderId="0" xfId="0" applyFill="1" applyAlignment="1">
      <alignment vertical="center"/>
    </xf>
    <xf numFmtId="0" fontId="0" fillId="27" borderId="0" xfId="0" applyFill="1" applyAlignment="1">
      <alignment vertical="center"/>
    </xf>
    <xf numFmtId="0" fontId="0" fillId="28" borderId="0" xfId="0" applyFill="1" applyAlignment="1">
      <alignment vertical="center"/>
    </xf>
    <xf numFmtId="0" fontId="0" fillId="29" borderId="0" xfId="0" applyFill="1" applyAlignment="1">
      <alignment vertical="center"/>
    </xf>
    <xf numFmtId="0" fontId="0" fillId="30" borderId="0" xfId="0" applyFill="1" applyAlignment="1">
      <alignment vertical="center"/>
    </xf>
    <xf numFmtId="0" fontId="0" fillId="31" borderId="0" xfId="0" applyFill="1" applyAlignment="1">
      <alignment vertical="center"/>
    </xf>
    <xf numFmtId="0" fontId="0" fillId="32" borderId="0" xfId="0" applyFill="1" applyAlignment="1">
      <alignment vertical="center"/>
    </xf>
    <xf numFmtId="0" fontId="0" fillId="33" borderId="0" xfId="0" applyFill="1" applyAlignment="1">
      <alignment vertical="center"/>
    </xf>
    <xf numFmtId="0" fontId="0" fillId="34" borderId="0" xfId="0" applyFill="1" applyAlignment="1">
      <alignment vertical="center"/>
    </xf>
    <xf numFmtId="0" fontId="14" fillId="35" borderId="0" xfId="0" applyFont="1" applyFill="1" applyAlignment="1">
      <alignment vertical="center"/>
    </xf>
    <xf numFmtId="0" fontId="0" fillId="36" borderId="0" xfId="0" applyFill="1" applyAlignment="1">
      <alignment vertical="center"/>
    </xf>
    <xf numFmtId="0" fontId="0" fillId="37" borderId="0" xfId="0" applyFill="1" applyAlignment="1">
      <alignment vertical="center"/>
    </xf>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42" borderId="0" xfId="0" applyFill="1" applyAlignment="1">
      <alignment vertical="center"/>
    </xf>
    <xf numFmtId="0" fontId="0" fillId="43" borderId="0" xfId="0" applyFill="1" applyAlignment="1">
      <alignment vertical="center"/>
    </xf>
    <xf numFmtId="0" fontId="0" fillId="44" borderId="0" xfId="0" applyFill="1" applyAlignment="1">
      <alignment vertical="center"/>
    </xf>
    <xf numFmtId="0" fontId="0" fillId="45" borderId="0" xfId="0" applyFill="1" applyAlignment="1">
      <alignment vertical="center"/>
    </xf>
    <xf numFmtId="0" fontId="0" fillId="46" borderId="0" xfId="0" applyFill="1" applyAlignment="1">
      <alignment vertical="center"/>
    </xf>
    <xf numFmtId="0" fontId="0" fillId="47" borderId="0" xfId="0" applyFill="1" applyAlignment="1">
      <alignment vertical="center"/>
    </xf>
    <xf numFmtId="0" fontId="0" fillId="48" borderId="0" xfId="0" applyFill="1" applyAlignment="1">
      <alignment vertical="center"/>
    </xf>
    <xf numFmtId="0" fontId="0" fillId="49" borderId="0" xfId="0" applyFill="1" applyAlignment="1">
      <alignment vertical="center"/>
    </xf>
    <xf numFmtId="0" fontId="0" fillId="50" borderId="0" xfId="0" applyFill="1" applyAlignment="1">
      <alignment vertical="center"/>
    </xf>
    <xf numFmtId="0" fontId="0" fillId="51" borderId="0" xfId="0" applyFill="1" applyAlignment="1">
      <alignment vertical="center"/>
    </xf>
    <xf numFmtId="0" fontId="0" fillId="52" borderId="0" xfId="0" applyFill="1" applyAlignment="1">
      <alignment vertical="center"/>
    </xf>
    <xf numFmtId="0" fontId="0" fillId="53" borderId="0" xfId="0" applyFill="1" applyAlignment="1">
      <alignment vertical="center"/>
    </xf>
    <xf numFmtId="0" fontId="0" fillId="54" borderId="0" xfId="0" applyFill="1" applyAlignment="1">
      <alignment vertical="center"/>
    </xf>
    <xf numFmtId="0" fontId="0" fillId="55" borderId="0" xfId="0" applyFill="1" applyAlignment="1">
      <alignment vertical="center"/>
    </xf>
    <xf numFmtId="0" fontId="0" fillId="56" borderId="0" xfId="0" applyFill="1" applyAlignment="1">
      <alignment vertical="center"/>
    </xf>
    <xf numFmtId="0" fontId="0" fillId="57" borderId="0" xfId="0" applyFill="1" applyAlignment="1">
      <alignment vertical="center"/>
    </xf>
    <xf numFmtId="0" fontId="0" fillId="58" borderId="0" xfId="0" applyFill="1" applyAlignment="1">
      <alignment vertical="center"/>
    </xf>
    <xf numFmtId="0" fontId="0" fillId="59" borderId="0" xfId="0" applyFill="1" applyAlignment="1">
      <alignment vertical="center"/>
    </xf>
    <xf numFmtId="0" fontId="0" fillId="60" borderId="0" xfId="0" applyFill="1" applyAlignment="1">
      <alignment vertical="center"/>
    </xf>
    <xf numFmtId="0" fontId="0" fillId="61" borderId="0" xfId="0" applyFill="1" applyAlignment="1">
      <alignment vertical="center"/>
    </xf>
    <xf numFmtId="0" fontId="0" fillId="62" borderId="0" xfId="0" applyFill="1" applyAlignment="1">
      <alignment vertical="center"/>
    </xf>
    <xf numFmtId="0" fontId="0" fillId="63" borderId="0" xfId="0" applyFill="1" applyAlignment="1">
      <alignment vertical="center"/>
    </xf>
    <xf numFmtId="0" fontId="0" fillId="64" borderId="0" xfId="0" applyFill="1" applyAlignment="1">
      <alignment vertical="center"/>
    </xf>
    <xf numFmtId="0" fontId="0" fillId="65" borderId="0" xfId="0" applyFill="1" applyAlignment="1">
      <alignment vertical="center"/>
    </xf>
    <xf numFmtId="0" fontId="0" fillId="66" borderId="0" xfId="0" applyFill="1" applyAlignment="1">
      <alignment vertical="center"/>
    </xf>
    <xf numFmtId="0" fontId="0" fillId="67" borderId="0" xfId="0" applyFill="1" applyAlignment="1">
      <alignment vertical="center"/>
    </xf>
    <xf numFmtId="0" fontId="0" fillId="68" borderId="0" xfId="0" applyFill="1" applyAlignment="1">
      <alignment vertical="center"/>
    </xf>
    <xf numFmtId="0" fontId="0" fillId="69" borderId="0" xfId="0" applyFill="1" applyAlignment="1">
      <alignment vertical="center"/>
    </xf>
    <xf numFmtId="0" fontId="13" fillId="3" borderId="9" xfId="1" applyFont="1" applyFill="1" applyBorder="1" applyAlignment="1">
      <alignment horizontal="center" vertical="center"/>
    </xf>
    <xf numFmtId="0" fontId="13" fillId="3" borderId="10" xfId="1" applyFont="1" applyFill="1" applyBorder="1" applyAlignment="1">
      <alignment horizontal="center" vertical="center"/>
    </xf>
    <xf numFmtId="0" fontId="13" fillId="5" borderId="9" xfId="1" applyFont="1" applyFill="1" applyBorder="1" applyAlignment="1">
      <alignment horizontal="center" vertical="center"/>
    </xf>
    <xf numFmtId="0" fontId="13" fillId="5" borderId="10" xfId="1" applyFont="1" applyFill="1" applyBorder="1" applyAlignment="1">
      <alignment horizontal="center" vertical="center"/>
    </xf>
    <xf numFmtId="0" fontId="15" fillId="70" borderId="0" xfId="1" applyFont="1" applyFill="1">
      <alignment vertical="center"/>
    </xf>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13" fillId="3" borderId="12" xfId="1" applyFont="1" applyFill="1" applyBorder="1" applyAlignment="1">
      <alignment horizontal="center" vertical="center"/>
    </xf>
    <xf numFmtId="0" fontId="13" fillId="3" borderId="13" xfId="1" applyFont="1" applyFill="1" applyBorder="1" applyAlignment="1">
      <alignment horizontal="center" vertical="center"/>
    </xf>
    <xf numFmtId="0" fontId="13" fillId="5" borderId="12" xfId="1" applyFont="1" applyFill="1" applyBorder="1" applyAlignment="1">
      <alignment horizontal="center" vertical="center"/>
    </xf>
    <xf numFmtId="0" fontId="13" fillId="5" borderId="13" xfId="1" applyFont="1" applyFill="1" applyBorder="1" applyAlignment="1">
      <alignment horizontal="center" vertical="center"/>
    </xf>
    <xf numFmtId="0" fontId="15" fillId="71" borderId="14" xfId="1" applyFont="1" applyFill="1" applyBorder="1">
      <alignment vertical="center"/>
    </xf>
    <xf numFmtId="0" fontId="16" fillId="72" borderId="7" xfId="0" applyFont="1" applyFill="1" applyBorder="1" applyAlignment="1">
      <alignment horizontal="center" vertical="center"/>
    </xf>
    <xf numFmtId="0" fontId="16" fillId="72" borderId="2" xfId="0" applyFont="1" applyFill="1" applyBorder="1" applyAlignment="1">
      <alignment horizontal="center" vertical="center"/>
    </xf>
    <xf numFmtId="0" fontId="16" fillId="73" borderId="7" xfId="0" applyFont="1" applyFill="1" applyBorder="1" applyAlignment="1">
      <alignment horizontal="center" vertical="center"/>
    </xf>
    <xf numFmtId="0" fontId="16" fillId="73" borderId="2" xfId="0" applyFont="1" applyFill="1" applyBorder="1" applyAlignment="1">
      <alignment horizontal="center" vertical="center"/>
    </xf>
    <xf numFmtId="0" fontId="17" fillId="73" borderId="15" xfId="1" applyFont="1" applyFill="1" applyBorder="1" applyAlignment="1">
      <alignment horizontal="center" vertical="center"/>
    </xf>
    <xf numFmtId="0" fontId="17" fillId="73" borderId="16" xfId="1" applyFont="1" applyFill="1" applyBorder="1" applyAlignment="1">
      <alignment horizontal="center" vertical="center"/>
    </xf>
    <xf numFmtId="0" fontId="17" fillId="72" borderId="15" xfId="1" applyFont="1" applyFill="1" applyBorder="1" applyAlignment="1">
      <alignment horizontal="center" vertical="center"/>
    </xf>
    <xf numFmtId="0" fontId="17" fillId="72" borderId="16" xfId="1" applyFont="1" applyFill="1" applyBorder="1" applyAlignment="1">
      <alignment horizontal="center" vertical="center"/>
    </xf>
    <xf numFmtId="0" fontId="16" fillId="74" borderId="17" xfId="1" applyFont="1" applyFill="1" applyBorder="1" applyAlignment="1">
      <alignment horizontal="center" vertical="center"/>
    </xf>
    <xf numFmtId="0" fontId="16" fillId="72" borderId="2" xfId="1" applyFont="1" applyFill="1" applyBorder="1" applyAlignment="1">
      <alignment horizontal="center" vertical="center"/>
    </xf>
    <xf numFmtId="0" fontId="17" fillId="73" borderId="2" xfId="1" applyFont="1" applyFill="1" applyBorder="1" applyAlignment="1">
      <alignment horizontal="center" vertical="center"/>
    </xf>
    <xf numFmtId="0" fontId="17" fillId="73" borderId="8" xfId="1" applyFont="1" applyFill="1" applyBorder="1" applyAlignment="1">
      <alignment horizontal="center" vertical="center"/>
    </xf>
    <xf numFmtId="0" fontId="17" fillId="72" borderId="2" xfId="1" applyFont="1" applyFill="1" applyBorder="1" applyAlignment="1">
      <alignment horizontal="center" vertical="center"/>
    </xf>
    <xf numFmtId="0" fontId="17" fillId="72" borderId="8" xfId="1" applyFont="1" applyFill="1" applyBorder="1" applyAlignment="1">
      <alignment horizontal="center" vertical="center"/>
    </xf>
    <xf numFmtId="0" fontId="16" fillId="75" borderId="1" xfId="1" applyFont="1" applyFill="1" applyBorder="1" applyAlignment="1">
      <alignment horizontal="center" vertical="center"/>
    </xf>
    <xf numFmtId="0" fontId="16" fillId="76" borderId="1" xfId="1" applyFont="1" applyFill="1" applyBorder="1" applyAlignment="1">
      <alignment horizontal="center" vertical="center"/>
    </xf>
    <xf numFmtId="0" fontId="16" fillId="77" borderId="1" xfId="1" applyFont="1" applyFill="1" applyBorder="1" applyAlignment="1">
      <alignment horizontal="center" vertical="center"/>
    </xf>
    <xf numFmtId="0" fontId="16" fillId="78" borderId="1" xfId="1" applyFont="1" applyFill="1" applyBorder="1" applyAlignment="1">
      <alignment horizontal="center" vertical="center"/>
    </xf>
    <xf numFmtId="0" fontId="16" fillId="79" borderId="1" xfId="1" applyFont="1" applyFill="1" applyBorder="1" applyAlignment="1">
      <alignment horizontal="center" vertical="center"/>
    </xf>
    <xf numFmtId="0" fontId="16" fillId="80" borderId="1" xfId="1" applyFont="1" applyFill="1" applyBorder="1" applyAlignment="1">
      <alignment horizontal="center" vertical="center"/>
    </xf>
    <xf numFmtId="0" fontId="17" fillId="73" borderId="9" xfId="1" applyFont="1" applyFill="1" applyBorder="1" applyAlignment="1">
      <alignment horizontal="center" vertical="center"/>
    </xf>
    <xf numFmtId="0" fontId="17" fillId="73" borderId="10" xfId="1" applyFont="1" applyFill="1" applyBorder="1" applyAlignment="1">
      <alignment horizontal="center" vertical="center"/>
    </xf>
    <xf numFmtId="0" fontId="17" fillId="72" borderId="9" xfId="1" applyFont="1" applyFill="1" applyBorder="1" applyAlignment="1">
      <alignment horizontal="center" vertical="center"/>
    </xf>
    <xf numFmtId="0" fontId="17" fillId="72" borderId="10" xfId="1" applyFont="1" applyFill="1" applyBorder="1" applyAlignment="1">
      <alignment horizontal="center" vertical="center"/>
    </xf>
    <xf numFmtId="0" fontId="16" fillId="81" borderId="19" xfId="1" applyFont="1" applyFill="1" applyBorder="1" applyAlignment="1">
      <alignment horizontal="center" vertical="center"/>
    </xf>
    <xf numFmtId="0" fontId="16" fillId="82" borderId="1" xfId="1" applyFont="1" applyFill="1" applyBorder="1" applyAlignment="1">
      <alignment horizontal="center" vertical="center"/>
    </xf>
    <xf numFmtId="0" fontId="16" fillId="72" borderId="11" xfId="0" applyFont="1" applyFill="1" applyBorder="1" applyAlignment="1">
      <alignment horizontal="center" vertical="center"/>
    </xf>
    <xf numFmtId="0" fontId="16" fillId="72" borderId="12" xfId="0" applyFont="1" applyFill="1" applyBorder="1" applyAlignment="1">
      <alignment horizontal="center" vertical="center"/>
    </xf>
    <xf numFmtId="0" fontId="16" fillId="73" borderId="11" xfId="0" applyFont="1" applyFill="1" applyBorder="1" applyAlignment="1">
      <alignment horizontal="center" vertical="center"/>
    </xf>
    <xf numFmtId="0" fontId="16" fillId="73" borderId="12" xfId="0" applyFont="1" applyFill="1" applyBorder="1" applyAlignment="1">
      <alignment horizontal="center" vertical="center"/>
    </xf>
    <xf numFmtId="0" fontId="17" fillId="73" borderId="12" xfId="1" applyFont="1" applyFill="1" applyBorder="1" applyAlignment="1">
      <alignment horizontal="center" vertical="center"/>
    </xf>
    <xf numFmtId="0" fontId="17" fillId="73" borderId="13" xfId="1" applyFont="1" applyFill="1" applyBorder="1" applyAlignment="1">
      <alignment horizontal="center" vertical="center"/>
    </xf>
    <xf numFmtId="0" fontId="17" fillId="72" borderId="12" xfId="1" applyFont="1" applyFill="1" applyBorder="1" applyAlignment="1">
      <alignment horizontal="center" vertical="center"/>
    </xf>
    <xf numFmtId="0" fontId="17" fillId="72" borderId="13" xfId="1" applyFont="1" applyFill="1" applyBorder="1" applyAlignment="1">
      <alignment horizontal="center" vertical="center"/>
    </xf>
    <xf numFmtId="0" fontId="16" fillId="83" borderId="20" xfId="1" applyFont="1" applyFill="1" applyBorder="1" applyAlignment="1">
      <alignment horizontal="center" vertical="center"/>
    </xf>
    <xf numFmtId="0" fontId="8" fillId="84" borderId="2" xfId="0" applyFont="1" applyFill="1" applyBorder="1" applyAlignment="1">
      <alignment horizontal="center" vertical="center"/>
    </xf>
    <xf numFmtId="0" fontId="8" fillId="84" borderId="15" xfId="0" applyFont="1" applyFill="1" applyBorder="1" applyAlignment="1">
      <alignment horizontal="center" vertical="center"/>
    </xf>
    <xf numFmtId="0" fontId="3" fillId="0" borderId="0" xfId="0" applyFont="1" applyAlignment="1">
      <alignment horizontal="center"/>
    </xf>
    <xf numFmtId="0" fontId="3" fillId="3" borderId="2" xfId="0" quotePrefix="1" applyFont="1" applyFill="1" applyBorder="1" applyAlignment="1">
      <alignment horizontal="center" vertical="center" wrapText="1"/>
    </xf>
    <xf numFmtId="0" fontId="3" fillId="3" borderId="2" xfId="0" applyFont="1" applyFill="1" applyBorder="1" applyAlignment="1">
      <alignment horizontal="center" vertical="top" wrapText="1"/>
    </xf>
    <xf numFmtId="0" fontId="3" fillId="3" borderId="2" xfId="0" quotePrefix="1" applyFont="1" applyFill="1" applyBorder="1" applyAlignment="1">
      <alignment horizontal="center" vertical="center"/>
    </xf>
    <xf numFmtId="0" fontId="4" fillId="0" borderId="0" xfId="0" applyFont="1" applyAlignment="1">
      <alignment horizontal="center"/>
    </xf>
    <xf numFmtId="0" fontId="2" fillId="3" borderId="1" xfId="0" applyFont="1" applyFill="1" applyBorder="1" applyAlignment="1">
      <alignment horizontal="center" vertical="center" wrapText="1"/>
    </xf>
    <xf numFmtId="0" fontId="20" fillId="0" borderId="0" xfId="0" applyFont="1" applyAlignment="1">
      <alignment horizontal="left" vertical="center"/>
    </xf>
    <xf numFmtId="0" fontId="2" fillId="0" borderId="4" xfId="0" applyFont="1" applyBorder="1" applyAlignment="1">
      <alignment vertical="center"/>
    </xf>
    <xf numFmtId="0" fontId="9"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0" xfId="0" applyFont="1" applyFill="1" applyBorder="1" applyAlignment="1">
      <alignment horizontal="center" vertical="center"/>
    </xf>
    <xf numFmtId="0" fontId="16" fillId="73" borderId="1" xfId="0" applyFont="1" applyFill="1" applyBorder="1" applyAlignment="1">
      <alignment horizontal="center" vertical="center"/>
    </xf>
    <xf numFmtId="0" fontId="16" fillId="73" borderId="20"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22" xfId="0" applyFont="1" applyFill="1" applyBorder="1" applyAlignment="1">
      <alignment horizontal="center" vertical="center"/>
    </xf>
    <xf numFmtId="0" fontId="7" fillId="5" borderId="21" xfId="0" applyFont="1" applyFill="1" applyBorder="1" applyAlignment="1">
      <alignment horizontal="center" vertical="center"/>
    </xf>
    <xf numFmtId="0" fontId="12" fillId="5" borderId="22" xfId="1" applyFont="1" applyFill="1" applyBorder="1" applyAlignment="1">
      <alignment horizontal="center" vertical="center"/>
    </xf>
    <xf numFmtId="0" fontId="16" fillId="72" borderId="21" xfId="0" applyFont="1" applyFill="1" applyBorder="1" applyAlignment="1">
      <alignment horizontal="center" vertical="center"/>
    </xf>
    <xf numFmtId="0" fontId="16" fillId="72" borderId="22" xfId="1" applyFont="1" applyFill="1" applyBorder="1" applyAlignment="1">
      <alignment horizontal="center" vertical="center"/>
    </xf>
    <xf numFmtId="0" fontId="8" fillId="0" borderId="0" xfId="0" applyFont="1" applyAlignment="1">
      <alignment horizontal="center" vertical="center"/>
    </xf>
    <xf numFmtId="0" fontId="9" fillId="3" borderId="6" xfId="0" applyFont="1" applyFill="1" applyBorder="1" applyAlignment="1">
      <alignment horizontal="center" vertical="center"/>
    </xf>
    <xf numFmtId="0" fontId="9" fillId="4" borderId="6" xfId="0" applyFont="1" applyFill="1" applyBorder="1" applyAlignment="1">
      <alignment horizontal="center" vertical="center"/>
    </xf>
    <xf numFmtId="0" fontId="12" fillId="5" borderId="6" xfId="1" applyFont="1" applyFill="1" applyBorder="1" applyAlignment="1">
      <alignment horizontal="center" vertical="center"/>
    </xf>
    <xf numFmtId="0" fontId="12" fillId="5" borderId="23" xfId="1" applyFont="1" applyFill="1" applyBorder="1" applyAlignment="1">
      <alignment horizontal="center" vertical="center"/>
    </xf>
    <xf numFmtId="0" fontId="16" fillId="72" borderId="6" xfId="1" applyFont="1" applyFill="1" applyBorder="1" applyAlignment="1">
      <alignment horizontal="center" vertical="center"/>
    </xf>
    <xf numFmtId="0" fontId="8" fillId="84" borderId="4" xfId="0" applyFont="1" applyFill="1" applyBorder="1" applyAlignment="1">
      <alignment horizontal="center" vertical="center"/>
    </xf>
    <xf numFmtId="0" fontId="12" fillId="5" borderId="4" xfId="1" applyFont="1" applyFill="1" applyBorder="1" applyAlignment="1">
      <alignment horizontal="center" vertical="center"/>
    </xf>
    <xf numFmtId="0" fontId="7" fillId="0" borderId="18" xfId="0" applyFont="1" applyBorder="1" applyAlignment="1">
      <alignment horizontal="center" vertical="center" wrapText="1"/>
    </xf>
    <xf numFmtId="0" fontId="8" fillId="0" borderId="0" xfId="0" applyFont="1" applyAlignment="1">
      <alignment horizontal="center" vertical="center"/>
    </xf>
    <xf numFmtId="0" fontId="8" fillId="0" borderId="4"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9" fillId="3" borderId="2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22" xfId="0" applyFont="1" applyFill="1" applyBorder="1" applyAlignment="1">
      <alignment horizontal="center" vertical="center"/>
    </xf>
    <xf numFmtId="0" fontId="21" fillId="0" borderId="0" xfId="0" applyFont="1" applyAlignment="1">
      <alignment horizontal="center" vertical="center"/>
    </xf>
    <xf numFmtId="0" fontId="22" fillId="0" borderId="4" xfId="0" applyFont="1" applyBorder="1" applyAlignment="1">
      <alignment vertical="center"/>
    </xf>
    <xf numFmtId="0" fontId="21" fillId="0" borderId="0" xfId="0" applyFont="1" applyAlignment="1">
      <alignment horizontal="center" vertical="center" shrinkToFit="1"/>
    </xf>
    <xf numFmtId="0" fontId="21" fillId="0" borderId="0" xfId="0" applyFont="1" applyAlignment="1">
      <alignment horizontal="center" vertical="center"/>
    </xf>
    <xf numFmtId="0" fontId="23" fillId="3" borderId="21" xfId="0" applyFont="1" applyFill="1" applyBorder="1" applyAlignment="1">
      <alignment horizontal="center" vertical="center"/>
    </xf>
    <xf numFmtId="0" fontId="23" fillId="3" borderId="2" xfId="0" applyFont="1" applyFill="1" applyBorder="1" applyAlignment="1">
      <alignment horizontal="center" vertical="center"/>
    </xf>
    <xf numFmtId="0" fontId="24" fillId="0" borderId="0" xfId="0" applyFont="1" applyAlignment="1">
      <alignment horizontal="left" vertical="center"/>
    </xf>
    <xf numFmtId="0" fontId="21" fillId="0" borderId="0" xfId="0" applyFont="1" applyAlignment="1">
      <alignment vertical="center" shrinkToFit="1"/>
    </xf>
    <xf numFmtId="0" fontId="21" fillId="0" borderId="4" xfId="0" applyFont="1" applyBorder="1" applyAlignment="1">
      <alignment horizontal="center" vertical="center"/>
    </xf>
    <xf numFmtId="0" fontId="23" fillId="4" borderId="21" xfId="0" applyFont="1" applyFill="1" applyBorder="1" applyAlignment="1">
      <alignment horizontal="center" vertical="center"/>
    </xf>
    <xf numFmtId="0" fontId="23" fillId="4" borderId="2" xfId="0" applyFont="1" applyFill="1" applyBorder="1" applyAlignment="1">
      <alignment horizontal="center" vertical="center"/>
    </xf>
    <xf numFmtId="0" fontId="21" fillId="4" borderId="1" xfId="0" applyFont="1" applyFill="1" applyBorder="1" applyAlignment="1">
      <alignment horizontal="center" vertical="center" shrinkToFit="1"/>
    </xf>
    <xf numFmtId="0" fontId="25" fillId="0" borderId="0" xfId="0" applyFont="1" applyAlignment="1">
      <alignment horizontal="center" vertical="center"/>
    </xf>
    <xf numFmtId="0" fontId="21" fillId="0" borderId="3" xfId="0" applyFont="1" applyBorder="1" applyAlignment="1">
      <alignment horizontal="center" vertical="center"/>
    </xf>
    <xf numFmtId="0" fontId="21" fillId="5" borderId="21" xfId="0" applyFont="1" applyFill="1" applyBorder="1" applyAlignment="1">
      <alignment horizontal="center" vertical="center"/>
    </xf>
    <xf numFmtId="0" fontId="21" fillId="5" borderId="2" xfId="0" applyFont="1" applyFill="1" applyBorder="1" applyAlignment="1">
      <alignment horizontal="center" vertical="center"/>
    </xf>
    <xf numFmtId="0" fontId="26" fillId="5" borderId="2" xfId="1" applyFont="1" applyFill="1" applyBorder="1" applyAlignment="1">
      <alignment horizontal="center" vertical="center"/>
    </xf>
    <xf numFmtId="0" fontId="4" fillId="6" borderId="0" xfId="0" applyFont="1" applyFill="1" applyAlignment="1">
      <alignment vertical="center"/>
    </xf>
    <xf numFmtId="0" fontId="4" fillId="7" borderId="0" xfId="0" applyFont="1" applyFill="1" applyAlignment="1">
      <alignment vertical="center"/>
    </xf>
    <xf numFmtId="0" fontId="4" fillId="8" borderId="0" xfId="0" applyFont="1" applyFill="1" applyAlignment="1">
      <alignment vertical="center"/>
    </xf>
    <xf numFmtId="0" fontId="4" fillId="9" borderId="0" xfId="0" applyFont="1" applyFill="1" applyAlignment="1">
      <alignment vertical="center"/>
    </xf>
    <xf numFmtId="0" fontId="4" fillId="10" borderId="0" xfId="0" applyFont="1" applyFill="1" applyAlignment="1">
      <alignment vertical="center"/>
    </xf>
    <xf numFmtId="0" fontId="4" fillId="11" borderId="0" xfId="0" applyFont="1" applyFill="1" applyAlignment="1">
      <alignment vertical="center"/>
    </xf>
    <xf numFmtId="0" fontId="4" fillId="12" borderId="0" xfId="0" applyFont="1" applyFill="1" applyAlignment="1">
      <alignment vertical="center"/>
    </xf>
    <xf numFmtId="0" fontId="4" fillId="13" borderId="0" xfId="0" applyFont="1" applyFill="1" applyAlignment="1">
      <alignment vertical="center"/>
    </xf>
    <xf numFmtId="0" fontId="4" fillId="14" borderId="0" xfId="0" applyFont="1" applyFill="1" applyAlignment="1">
      <alignment vertical="center"/>
    </xf>
    <xf numFmtId="0" fontId="4" fillId="15" borderId="0" xfId="0" applyFont="1" applyFill="1" applyAlignment="1">
      <alignment vertical="center"/>
    </xf>
    <xf numFmtId="0" fontId="4" fillId="16" borderId="0" xfId="0" applyFont="1" applyFill="1" applyAlignment="1">
      <alignment vertical="center"/>
    </xf>
    <xf numFmtId="0" fontId="4" fillId="17" borderId="0" xfId="0" applyFont="1" applyFill="1" applyAlignment="1">
      <alignment vertical="center"/>
    </xf>
    <xf numFmtId="0" fontId="4" fillId="18" borderId="0" xfId="0" applyFont="1" applyFill="1" applyAlignment="1">
      <alignment vertical="center"/>
    </xf>
    <xf numFmtId="0" fontId="4" fillId="19" borderId="0" xfId="0" applyFont="1" applyFill="1" applyAlignment="1">
      <alignment vertical="center"/>
    </xf>
    <xf numFmtId="0" fontId="4" fillId="20" borderId="0" xfId="0" applyFont="1" applyFill="1" applyAlignment="1">
      <alignment vertical="center"/>
    </xf>
    <xf numFmtId="0" fontId="4" fillId="21" borderId="0" xfId="0" applyFont="1" applyFill="1" applyAlignment="1">
      <alignment vertical="center"/>
    </xf>
    <xf numFmtId="0" fontId="4" fillId="22" borderId="0" xfId="0" applyFont="1" applyFill="1" applyAlignment="1">
      <alignment vertical="center"/>
    </xf>
    <xf numFmtId="0" fontId="4" fillId="23" borderId="0" xfId="0" applyFont="1" applyFill="1" applyAlignment="1">
      <alignment vertical="center"/>
    </xf>
    <xf numFmtId="0" fontId="4" fillId="24" borderId="0" xfId="0" applyFont="1" applyFill="1" applyAlignment="1">
      <alignment vertical="center"/>
    </xf>
    <xf numFmtId="0" fontId="4" fillId="25" borderId="0" xfId="0" applyFont="1" applyFill="1" applyAlignment="1">
      <alignment vertical="center"/>
    </xf>
    <xf numFmtId="0" fontId="4" fillId="26" borderId="0" xfId="0" applyFont="1" applyFill="1" applyAlignment="1">
      <alignment vertical="center"/>
    </xf>
    <xf numFmtId="0" fontId="4" fillId="27" borderId="0" xfId="0" applyFont="1" applyFill="1" applyAlignment="1">
      <alignment vertical="center"/>
    </xf>
    <xf numFmtId="0" fontId="4" fillId="28" borderId="0" xfId="0" applyFont="1" applyFill="1" applyAlignment="1">
      <alignment vertical="center"/>
    </xf>
    <xf numFmtId="0" fontId="4" fillId="29" borderId="0" xfId="0" applyFont="1" applyFill="1" applyAlignment="1">
      <alignment vertical="center"/>
    </xf>
    <xf numFmtId="0" fontId="4" fillId="30" borderId="0" xfId="0" applyFont="1" applyFill="1" applyAlignment="1">
      <alignment vertical="center"/>
    </xf>
    <xf numFmtId="0" fontId="4" fillId="31" borderId="0" xfId="0" applyFont="1" applyFill="1" applyAlignment="1">
      <alignment vertical="center"/>
    </xf>
    <xf numFmtId="0" fontId="4" fillId="32" borderId="0" xfId="0" applyFont="1" applyFill="1" applyAlignment="1">
      <alignment vertical="center"/>
    </xf>
    <xf numFmtId="0" fontId="4" fillId="33" borderId="0" xfId="0" applyFont="1" applyFill="1" applyAlignment="1">
      <alignment vertical="center"/>
    </xf>
    <xf numFmtId="0" fontId="4" fillId="34" borderId="0" xfId="0" applyFont="1" applyFill="1" applyAlignment="1">
      <alignment vertical="center"/>
    </xf>
    <xf numFmtId="0" fontId="4" fillId="35" borderId="0" xfId="0" applyFont="1" applyFill="1" applyAlignment="1">
      <alignment vertical="center"/>
    </xf>
    <xf numFmtId="0" fontId="4" fillId="36" borderId="0" xfId="0" applyFont="1" applyFill="1" applyAlignment="1">
      <alignment vertical="center"/>
    </xf>
    <xf numFmtId="0" fontId="4" fillId="37" borderId="0" xfId="0" applyFont="1" applyFill="1" applyAlignment="1">
      <alignment vertical="center"/>
    </xf>
    <xf numFmtId="0" fontId="4" fillId="38" borderId="0" xfId="0" applyFont="1" applyFill="1" applyAlignment="1">
      <alignment vertical="center"/>
    </xf>
    <xf numFmtId="0" fontId="4" fillId="39" borderId="0" xfId="0" applyFont="1" applyFill="1" applyAlignment="1">
      <alignment vertical="center"/>
    </xf>
    <xf numFmtId="0" fontId="4" fillId="40" borderId="0" xfId="0" applyFont="1" applyFill="1" applyAlignment="1">
      <alignment vertical="center"/>
    </xf>
    <xf numFmtId="0" fontId="4" fillId="41" borderId="0" xfId="0" applyFont="1" applyFill="1" applyAlignment="1">
      <alignment vertical="center"/>
    </xf>
    <xf numFmtId="0" fontId="4" fillId="42" borderId="0" xfId="0" applyFont="1" applyFill="1" applyAlignment="1">
      <alignment vertical="center"/>
    </xf>
    <xf numFmtId="0" fontId="4" fillId="43" borderId="0" xfId="0" applyFont="1" applyFill="1" applyAlignment="1">
      <alignment vertical="center"/>
    </xf>
    <xf numFmtId="0" fontId="4" fillId="44" borderId="0" xfId="0" applyFont="1" applyFill="1" applyAlignment="1">
      <alignment vertical="center"/>
    </xf>
    <xf numFmtId="0" fontId="4" fillId="45" borderId="0" xfId="0" applyFont="1" applyFill="1" applyAlignment="1">
      <alignment vertical="center"/>
    </xf>
    <xf numFmtId="0" fontId="4" fillId="46" borderId="0" xfId="0" applyFont="1" applyFill="1" applyAlignment="1">
      <alignment vertical="center"/>
    </xf>
    <xf numFmtId="0" fontId="4" fillId="47" borderId="0" xfId="0" applyFont="1" applyFill="1" applyAlignment="1">
      <alignment vertical="center"/>
    </xf>
    <xf numFmtId="0" fontId="4" fillId="48" borderId="0" xfId="0" applyFont="1" applyFill="1" applyAlignment="1">
      <alignment vertical="center"/>
    </xf>
    <xf numFmtId="0" fontId="4" fillId="49" borderId="0" xfId="0" applyFont="1" applyFill="1" applyAlignment="1">
      <alignment vertical="center"/>
    </xf>
    <xf numFmtId="0" fontId="4" fillId="50" borderId="0" xfId="0" applyFont="1" applyFill="1" applyAlignment="1">
      <alignment vertical="center"/>
    </xf>
    <xf numFmtId="0" fontId="4" fillId="51" borderId="0" xfId="0" applyFont="1" applyFill="1" applyAlignment="1">
      <alignment vertical="center"/>
    </xf>
    <xf numFmtId="0" fontId="4" fillId="52" borderId="0" xfId="0" applyFont="1" applyFill="1" applyAlignment="1">
      <alignment vertical="center"/>
    </xf>
    <xf numFmtId="0" fontId="4" fillId="53" borderId="0" xfId="0" applyFont="1" applyFill="1" applyAlignment="1">
      <alignment vertical="center"/>
    </xf>
    <xf numFmtId="0" fontId="4" fillId="54" borderId="0" xfId="0" applyFont="1" applyFill="1" applyAlignment="1">
      <alignment vertical="center"/>
    </xf>
    <xf numFmtId="0" fontId="4" fillId="55" borderId="0" xfId="0" applyFont="1" applyFill="1" applyAlignment="1">
      <alignment vertical="center"/>
    </xf>
    <xf numFmtId="0" fontId="4" fillId="56" borderId="0" xfId="0" applyFont="1" applyFill="1" applyAlignment="1">
      <alignment vertical="center"/>
    </xf>
    <xf numFmtId="0" fontId="4" fillId="57" borderId="0" xfId="0" applyFont="1" applyFill="1" applyAlignment="1">
      <alignment vertical="center"/>
    </xf>
    <xf numFmtId="0" fontId="4" fillId="58" borderId="0" xfId="0" applyFont="1" applyFill="1" applyAlignment="1">
      <alignment vertical="center"/>
    </xf>
    <xf numFmtId="0" fontId="4" fillId="59" borderId="0" xfId="0" applyFont="1" applyFill="1" applyAlignment="1">
      <alignment vertical="center"/>
    </xf>
    <xf numFmtId="0" fontId="4" fillId="60" borderId="0" xfId="0" applyFont="1" applyFill="1" applyAlignment="1">
      <alignment vertical="center"/>
    </xf>
    <xf numFmtId="0" fontId="4" fillId="61" borderId="0" xfId="0" applyFont="1" applyFill="1" applyAlignment="1">
      <alignment vertical="center"/>
    </xf>
    <xf numFmtId="0" fontId="4" fillId="62" borderId="0" xfId="0" applyFont="1" applyFill="1" applyAlignment="1">
      <alignment vertical="center"/>
    </xf>
    <xf numFmtId="0" fontId="4" fillId="63" borderId="0" xfId="0" applyFont="1" applyFill="1" applyAlignment="1">
      <alignment vertical="center"/>
    </xf>
    <xf numFmtId="0" fontId="4" fillId="64" borderId="0" xfId="0" applyFont="1" applyFill="1" applyAlignment="1">
      <alignment vertical="center"/>
    </xf>
    <xf numFmtId="0" fontId="4" fillId="65" borderId="0" xfId="0" applyFont="1" applyFill="1" applyAlignment="1">
      <alignment vertical="center"/>
    </xf>
    <xf numFmtId="0" fontId="4" fillId="66" borderId="0" xfId="0" applyFont="1" applyFill="1" applyAlignment="1">
      <alignment vertical="center"/>
    </xf>
    <xf numFmtId="0" fontId="4" fillId="67" borderId="0" xfId="0" applyFont="1" applyFill="1" applyAlignment="1">
      <alignment vertical="center"/>
    </xf>
    <xf numFmtId="0" fontId="4" fillId="68" borderId="0" xfId="0" applyFont="1" applyFill="1" applyAlignment="1">
      <alignment vertical="center"/>
    </xf>
    <xf numFmtId="0" fontId="4" fillId="69" borderId="0" xfId="0" applyFont="1" applyFill="1" applyAlignment="1">
      <alignment vertical="center"/>
    </xf>
    <xf numFmtId="0" fontId="21" fillId="70" borderId="0" xfId="1" applyFont="1" applyFill="1">
      <alignment vertical="center"/>
    </xf>
    <xf numFmtId="0" fontId="21" fillId="71" borderId="14" xfId="1" applyFont="1" applyFill="1" applyBorder="1">
      <alignment vertical="center"/>
    </xf>
    <xf numFmtId="0" fontId="21" fillId="0" borderId="18" xfId="0" applyFont="1" applyBorder="1" applyAlignment="1">
      <alignment horizontal="center" vertical="center" wrapText="1"/>
    </xf>
    <xf numFmtId="0" fontId="27" fillId="72" borderId="21" xfId="0" applyFont="1" applyFill="1" applyBorder="1" applyAlignment="1">
      <alignment horizontal="center" vertical="center"/>
    </xf>
    <xf numFmtId="0" fontId="27" fillId="72" borderId="2" xfId="0" applyFont="1" applyFill="1" applyBorder="1" applyAlignment="1">
      <alignment horizontal="center" vertical="center"/>
    </xf>
    <xf numFmtId="0" fontId="27" fillId="72" borderId="2" xfId="1" applyFont="1" applyFill="1" applyBorder="1" applyAlignment="1">
      <alignment horizontal="center" vertical="center"/>
    </xf>
    <xf numFmtId="0" fontId="27" fillId="74" borderId="17" xfId="1" applyFont="1" applyFill="1" applyBorder="1" applyAlignment="1">
      <alignment horizontal="center" vertical="center"/>
    </xf>
    <xf numFmtId="0" fontId="27" fillId="75" borderId="1" xfId="1" applyFont="1" applyFill="1" applyBorder="1" applyAlignment="1">
      <alignment horizontal="center" vertical="center"/>
    </xf>
    <xf numFmtId="0" fontId="27" fillId="76" borderId="1" xfId="1" applyFont="1" applyFill="1" applyBorder="1" applyAlignment="1">
      <alignment horizontal="center" vertical="center"/>
    </xf>
    <xf numFmtId="0" fontId="27" fillId="77" borderId="1" xfId="1" applyFont="1" applyFill="1" applyBorder="1" applyAlignment="1">
      <alignment horizontal="center" vertical="center"/>
    </xf>
    <xf numFmtId="0" fontId="27" fillId="78" borderId="1" xfId="1" applyFont="1" applyFill="1" applyBorder="1" applyAlignment="1">
      <alignment horizontal="center" vertical="center"/>
    </xf>
    <xf numFmtId="0" fontId="27" fillId="79" borderId="1" xfId="1" applyFont="1" applyFill="1" applyBorder="1" applyAlignment="1">
      <alignment horizontal="center" vertical="center"/>
    </xf>
    <xf numFmtId="0" fontId="27" fillId="80" borderId="1" xfId="1" applyFont="1" applyFill="1" applyBorder="1" applyAlignment="1">
      <alignment horizontal="center" vertical="center"/>
    </xf>
    <xf numFmtId="0" fontId="27" fillId="81" borderId="19" xfId="1" applyFont="1" applyFill="1" applyBorder="1" applyAlignment="1">
      <alignment horizontal="center" vertical="center"/>
    </xf>
    <xf numFmtId="0" fontId="27" fillId="82" borderId="1" xfId="1" applyFont="1" applyFill="1" applyBorder="1" applyAlignment="1">
      <alignment horizontal="center" vertical="center"/>
    </xf>
    <xf numFmtId="0" fontId="27" fillId="83" borderId="20" xfId="1" applyFont="1" applyFill="1" applyBorder="1" applyAlignment="1">
      <alignment horizontal="center" vertical="center"/>
    </xf>
    <xf numFmtId="0" fontId="21" fillId="84" borderId="2" xfId="0" applyFont="1" applyFill="1" applyBorder="1" applyAlignment="1">
      <alignment horizontal="center" vertical="center"/>
    </xf>
    <xf numFmtId="0" fontId="21" fillId="84" borderId="15" xfId="0" applyFont="1" applyFill="1" applyBorder="1" applyAlignment="1">
      <alignment horizontal="center" vertical="center"/>
    </xf>
  </cellXfs>
  <cellStyles count="2">
    <cellStyle name="표준" xfId="0" builtinId="0"/>
    <cellStyle name="표준 2 2 2" xfId="1" xr:uid="{777D7801-0D5E-476E-847D-901732AFAC69}"/>
  </cellStyles>
  <dxfs count="0"/>
  <tableStyles count="0" defaultTableStyle="TableStyleMedium2" defaultPivotStyle="PivotStyleLight16"/>
  <colors>
    <mruColors>
      <color rgb="FFFF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278947</xdr:colOff>
      <xdr:row>0</xdr:row>
      <xdr:rowOff>149679</xdr:rowOff>
    </xdr:from>
    <xdr:to>
      <xdr:col>9</xdr:col>
      <xdr:colOff>156481</xdr:colOff>
      <xdr:row>2</xdr:row>
      <xdr:rowOff>6801</xdr:rowOff>
    </xdr:to>
    <xdr:sp macro="" textlink="">
      <xdr:nvSpPr>
        <xdr:cNvPr id="2" name="화살표: 오른쪽으로 구부러짐 1">
          <a:extLst>
            <a:ext uri="{FF2B5EF4-FFF2-40B4-BE49-F238E27FC236}">
              <a16:creationId xmlns:a16="http://schemas.microsoft.com/office/drawing/2014/main" id="{67D99618-7671-243B-5558-708CE2F7EEA2}"/>
            </a:ext>
          </a:extLst>
        </xdr:cNvPr>
        <xdr:cNvSpPr/>
      </xdr:nvSpPr>
      <xdr:spPr>
        <a:xfrm rot="5400000" flipV="1">
          <a:off x="4925787" y="-578304"/>
          <a:ext cx="380998" cy="1836963"/>
        </a:xfrm>
        <a:prstGeom prst="curv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11</xdr:col>
      <xdr:colOff>268063</xdr:colOff>
      <xdr:row>0</xdr:row>
      <xdr:rowOff>138793</xdr:rowOff>
    </xdr:from>
    <xdr:to>
      <xdr:col>14</xdr:col>
      <xdr:colOff>145597</xdr:colOff>
      <xdr:row>1</xdr:row>
      <xdr:rowOff>193220</xdr:rowOff>
    </xdr:to>
    <xdr:sp macro="" textlink="">
      <xdr:nvSpPr>
        <xdr:cNvPr id="3" name="화살표: 오른쪽으로 구부러짐 2">
          <a:extLst>
            <a:ext uri="{FF2B5EF4-FFF2-40B4-BE49-F238E27FC236}">
              <a16:creationId xmlns:a16="http://schemas.microsoft.com/office/drawing/2014/main" id="{0D8AAF7E-B79F-4EA3-8DAB-313F653427D5}"/>
            </a:ext>
          </a:extLst>
        </xdr:cNvPr>
        <xdr:cNvSpPr/>
      </xdr:nvSpPr>
      <xdr:spPr>
        <a:xfrm rot="5400000" flipV="1">
          <a:off x="8180617" y="-589190"/>
          <a:ext cx="380998" cy="1836963"/>
        </a:xfrm>
        <a:prstGeom prst="curv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0A8F-8660-4A4E-B805-A383DAF9BD8A}">
  <sheetPr codeName="Sheet1"/>
  <dimension ref="A3:L42"/>
  <sheetViews>
    <sheetView topLeftCell="A3" zoomScaleNormal="100" workbookViewId="0">
      <pane xSplit="2" ySplit="3" topLeftCell="C39" activePane="bottomRight" state="frozen"/>
      <selection activeCell="A3" sqref="A3"/>
      <selection pane="topRight" activeCell="C3" sqref="C3"/>
      <selection pane="bottomLeft" activeCell="A8" sqref="A8"/>
      <selection pane="bottomRight" activeCell="E8" sqref="E8"/>
    </sheetView>
  </sheetViews>
  <sheetFormatPr defaultColWidth="8.75" defaultRowHeight="16.899999999999999" x14ac:dyDescent="0.6"/>
  <cols>
    <col min="1" max="1" width="3.25" style="3" customWidth="1"/>
    <col min="2" max="2" width="28.0625" style="2" customWidth="1"/>
    <col min="3" max="3" width="36.75" style="3" customWidth="1"/>
    <col min="4" max="4" width="40" style="3" customWidth="1"/>
    <col min="5" max="5" width="64.5625" style="166" customWidth="1"/>
    <col min="6" max="6" width="40" style="3" customWidth="1"/>
    <col min="7" max="7" width="35.75" style="23" hidden="1" customWidth="1"/>
    <col min="8" max="8" width="35.75" style="24" hidden="1" customWidth="1"/>
    <col min="9" max="16384" width="8.75" style="3"/>
  </cols>
  <sheetData>
    <row r="3" spans="1:12" ht="28.5" x14ac:dyDescent="0.95">
      <c r="A3" s="31"/>
      <c r="B3" s="32" t="s">
        <v>102</v>
      </c>
    </row>
    <row r="4" spans="1:12" ht="22.5" customHeight="1" x14ac:dyDescent="0.6">
      <c r="B4" s="5" t="s">
        <v>14</v>
      </c>
      <c r="C4" s="6" t="s">
        <v>99</v>
      </c>
      <c r="D4" s="7" t="s">
        <v>100</v>
      </c>
      <c r="E4" s="7" t="s">
        <v>164</v>
      </c>
      <c r="F4" s="7" t="s">
        <v>162</v>
      </c>
      <c r="G4" s="8" t="s">
        <v>67</v>
      </c>
      <c r="H4" s="9" t="s">
        <v>70</v>
      </c>
      <c r="I4" s="1"/>
      <c r="J4" s="1"/>
      <c r="K4" s="1"/>
      <c r="L4" s="1"/>
    </row>
    <row r="5" spans="1:12" s="24" customFormat="1" ht="22.5" customHeight="1" x14ac:dyDescent="0.6">
      <c r="B5" s="21" t="s">
        <v>13</v>
      </c>
      <c r="C5" s="8" t="s">
        <v>65</v>
      </c>
      <c r="D5" s="8" t="s">
        <v>88</v>
      </c>
      <c r="E5" s="8" t="s">
        <v>165</v>
      </c>
      <c r="F5" s="8"/>
      <c r="G5" s="8" t="s">
        <v>27</v>
      </c>
      <c r="H5" s="9" t="s">
        <v>37</v>
      </c>
      <c r="I5" s="22"/>
      <c r="J5" s="23"/>
      <c r="K5" s="23"/>
      <c r="L5" s="23"/>
    </row>
    <row r="6" spans="1:12" s="26" customFormat="1" ht="35.65" customHeight="1" x14ac:dyDescent="0.6">
      <c r="B6" s="25" t="s">
        <v>15</v>
      </c>
      <c r="C6" s="10" t="s">
        <v>16</v>
      </c>
      <c r="D6" s="18" t="s">
        <v>98</v>
      </c>
      <c r="E6" s="167" t="s">
        <v>11</v>
      </c>
      <c r="F6" s="18"/>
      <c r="G6" s="10"/>
      <c r="H6" s="11" t="s">
        <v>40</v>
      </c>
    </row>
    <row r="7" spans="1:12" s="26" customFormat="1" ht="66" customHeight="1" x14ac:dyDescent="0.6">
      <c r="B7" s="25" t="s">
        <v>163</v>
      </c>
      <c r="C7" s="10" t="s">
        <v>43</v>
      </c>
      <c r="D7" s="13" t="s">
        <v>43</v>
      </c>
      <c r="E7" s="17" t="s">
        <v>179</v>
      </c>
      <c r="F7" s="13"/>
      <c r="G7" s="10"/>
      <c r="H7" s="11" t="s">
        <v>43</v>
      </c>
    </row>
    <row r="8" spans="1:12" s="26" customFormat="1" ht="71.25" customHeight="1" x14ac:dyDescent="0.6">
      <c r="B8" s="171" t="s">
        <v>166</v>
      </c>
      <c r="C8" s="17" t="s">
        <v>80</v>
      </c>
      <c r="D8" s="18" t="s">
        <v>43</v>
      </c>
      <c r="E8" s="167" t="s">
        <v>180</v>
      </c>
      <c r="F8" s="18"/>
      <c r="G8" s="10"/>
      <c r="H8" s="11" t="s">
        <v>43</v>
      </c>
    </row>
    <row r="9" spans="1:12" s="24" customFormat="1" ht="37.049999999999997" customHeight="1" x14ac:dyDescent="0.6">
      <c r="B9" s="21" t="s">
        <v>31</v>
      </c>
      <c r="C9" s="12" t="s">
        <v>32</v>
      </c>
      <c r="D9" s="18" t="s">
        <v>32</v>
      </c>
      <c r="E9" s="18" t="s">
        <v>32</v>
      </c>
      <c r="F9" s="18"/>
      <c r="G9" s="12" t="s">
        <v>32</v>
      </c>
      <c r="H9" s="28" t="s">
        <v>101</v>
      </c>
    </row>
    <row r="10" spans="1:12" s="24" customFormat="1" ht="59.25" customHeight="1" x14ac:dyDescent="0.6">
      <c r="B10" s="21" t="s">
        <v>17</v>
      </c>
      <c r="C10" s="12" t="s">
        <v>86</v>
      </c>
      <c r="D10" s="12" t="s">
        <v>94</v>
      </c>
      <c r="E10" s="17" t="s">
        <v>169</v>
      </c>
      <c r="F10" s="12"/>
      <c r="G10" s="12"/>
      <c r="H10" s="28" t="s">
        <v>53</v>
      </c>
    </row>
    <row r="11" spans="1:12" s="24" customFormat="1" ht="54.75" customHeight="1" x14ac:dyDescent="0.6">
      <c r="B11" s="27" t="s">
        <v>167</v>
      </c>
      <c r="C11" s="13" t="s">
        <v>71</v>
      </c>
      <c r="D11" s="13" t="s">
        <v>71</v>
      </c>
      <c r="E11" s="10" t="s">
        <v>168</v>
      </c>
      <c r="F11" s="13"/>
      <c r="G11" s="12"/>
      <c r="H11" s="28" t="s">
        <v>54</v>
      </c>
    </row>
    <row r="12" spans="1:12" s="24" customFormat="1" ht="95.25" customHeight="1" x14ac:dyDescent="0.6">
      <c r="B12" s="25" t="s">
        <v>0</v>
      </c>
      <c r="C12" s="14" t="s">
        <v>68</v>
      </c>
      <c r="D12" s="18" t="s">
        <v>95</v>
      </c>
      <c r="E12" s="18" t="s">
        <v>172</v>
      </c>
      <c r="F12" s="18"/>
      <c r="G12" s="14" t="s">
        <v>69</v>
      </c>
      <c r="H12" s="11" t="s">
        <v>38</v>
      </c>
    </row>
    <row r="13" spans="1:12" s="24" customFormat="1" ht="22.5" customHeight="1" x14ac:dyDescent="0.6">
      <c r="B13" s="25" t="s">
        <v>35</v>
      </c>
      <c r="C13" s="14" t="s">
        <v>36</v>
      </c>
      <c r="D13" s="13" t="s">
        <v>93</v>
      </c>
      <c r="E13" s="10" t="s">
        <v>93</v>
      </c>
      <c r="F13" s="13"/>
      <c r="G13" s="14" t="s">
        <v>36</v>
      </c>
      <c r="H13" s="28"/>
    </row>
    <row r="14" spans="1:12" s="24" customFormat="1" ht="67.5" x14ac:dyDescent="0.6">
      <c r="B14" s="25" t="s">
        <v>23</v>
      </c>
      <c r="C14" s="12" t="s">
        <v>79</v>
      </c>
      <c r="D14" s="18" t="s">
        <v>174</v>
      </c>
      <c r="E14" s="18" t="s">
        <v>173</v>
      </c>
      <c r="F14" s="13"/>
      <c r="G14" s="12" t="s">
        <v>33</v>
      </c>
      <c r="H14" s="11" t="s">
        <v>24</v>
      </c>
    </row>
    <row r="15" spans="1:12" s="24" customFormat="1" ht="39.4" customHeight="1" x14ac:dyDescent="0.6">
      <c r="B15" s="25" t="s">
        <v>30</v>
      </c>
      <c r="C15" s="12" t="s">
        <v>72</v>
      </c>
      <c r="D15" s="18" t="s">
        <v>85</v>
      </c>
      <c r="E15" s="17" t="s">
        <v>175</v>
      </c>
      <c r="F15" s="18"/>
      <c r="G15" s="12" t="s">
        <v>10</v>
      </c>
      <c r="H15" s="28" t="s">
        <v>39</v>
      </c>
    </row>
    <row r="16" spans="1:12" s="24" customFormat="1" ht="56.25" customHeight="1" x14ac:dyDescent="0.6">
      <c r="B16" s="21" t="s">
        <v>25</v>
      </c>
      <c r="C16" s="12" t="s">
        <v>87</v>
      </c>
      <c r="D16" s="12" t="s">
        <v>87</v>
      </c>
      <c r="E16" s="17" t="s">
        <v>181</v>
      </c>
      <c r="F16" s="12"/>
      <c r="G16" s="12"/>
      <c r="H16" s="28" t="s">
        <v>58</v>
      </c>
    </row>
    <row r="17" spans="2:8" s="24" customFormat="1" ht="66.400000000000006" customHeight="1" x14ac:dyDescent="0.6">
      <c r="B17" s="25" t="s">
        <v>1</v>
      </c>
      <c r="C17" s="15" t="s">
        <v>74</v>
      </c>
      <c r="D17" s="19" t="s">
        <v>96</v>
      </c>
      <c r="E17" s="168" t="s">
        <v>74</v>
      </c>
      <c r="F17" s="19"/>
      <c r="G17" s="15" t="s">
        <v>66</v>
      </c>
      <c r="H17" s="11" t="s">
        <v>42</v>
      </c>
    </row>
    <row r="18" spans="2:8" s="24" customFormat="1" ht="98.25" customHeight="1" x14ac:dyDescent="0.6">
      <c r="B18" s="25" t="s">
        <v>2</v>
      </c>
      <c r="C18" s="15" t="s">
        <v>73</v>
      </c>
      <c r="D18" s="15" t="s">
        <v>97</v>
      </c>
      <c r="E18" s="19" t="s">
        <v>189</v>
      </c>
      <c r="F18" s="15"/>
      <c r="G18" s="15" t="s">
        <v>34</v>
      </c>
      <c r="H18" s="28" t="s">
        <v>64</v>
      </c>
    </row>
    <row r="19" spans="2:8" s="24" customFormat="1" ht="52.05" customHeight="1" x14ac:dyDescent="0.6">
      <c r="B19" s="25" t="s">
        <v>18</v>
      </c>
      <c r="C19" s="14" t="s">
        <v>62</v>
      </c>
      <c r="D19" s="14" t="s">
        <v>62</v>
      </c>
      <c r="E19" s="14" t="s">
        <v>62</v>
      </c>
      <c r="F19" s="14"/>
      <c r="G19" s="12"/>
      <c r="H19" s="11" t="s">
        <v>62</v>
      </c>
    </row>
    <row r="20" spans="2:8" s="24" customFormat="1" ht="22.5" customHeight="1" x14ac:dyDescent="0.6">
      <c r="B20" s="21" t="s">
        <v>176</v>
      </c>
      <c r="C20" s="12" t="s">
        <v>3</v>
      </c>
      <c r="D20" s="13" t="s">
        <v>3</v>
      </c>
      <c r="E20" s="13" t="s">
        <v>177</v>
      </c>
      <c r="F20" s="13"/>
      <c r="G20" s="12"/>
      <c r="H20" s="28" t="s">
        <v>3</v>
      </c>
    </row>
    <row r="21" spans="2:8" s="24" customFormat="1" ht="37.5" customHeight="1" x14ac:dyDescent="0.6">
      <c r="B21" s="25" t="s">
        <v>28</v>
      </c>
      <c r="C21" s="12" t="s">
        <v>75</v>
      </c>
      <c r="D21" s="12" t="s">
        <v>75</v>
      </c>
      <c r="E21" s="17" t="s">
        <v>178</v>
      </c>
      <c r="F21" s="12"/>
      <c r="G21" s="12" t="s">
        <v>29</v>
      </c>
      <c r="H21" s="28" t="s">
        <v>59</v>
      </c>
    </row>
    <row r="22" spans="2:8" s="24" customFormat="1" ht="35.25" customHeight="1" x14ac:dyDescent="0.6">
      <c r="B22" s="27" t="s">
        <v>63</v>
      </c>
      <c r="C22" s="14" t="s">
        <v>81</v>
      </c>
      <c r="D22" s="14" t="s">
        <v>81</v>
      </c>
      <c r="E22" s="14" t="s">
        <v>171</v>
      </c>
      <c r="F22" s="14"/>
      <c r="G22" s="12"/>
      <c r="H22" s="11" t="s">
        <v>81</v>
      </c>
    </row>
    <row r="23" spans="2:8" s="24" customFormat="1" ht="78.75" customHeight="1" x14ac:dyDescent="0.6">
      <c r="B23" s="25" t="s">
        <v>60</v>
      </c>
      <c r="C23" s="14" t="s">
        <v>61</v>
      </c>
      <c r="D23" s="14" t="s">
        <v>61</v>
      </c>
      <c r="E23" s="14" t="s">
        <v>170</v>
      </c>
      <c r="F23" s="14"/>
      <c r="G23" s="12"/>
      <c r="H23" s="11" t="s">
        <v>61</v>
      </c>
    </row>
    <row r="24" spans="2:8" s="24" customFormat="1" ht="22.5" customHeight="1" x14ac:dyDescent="0.6">
      <c r="B24" s="25" t="s">
        <v>26</v>
      </c>
      <c r="C24" s="14" t="s">
        <v>82</v>
      </c>
      <c r="D24" s="14" t="s">
        <v>82</v>
      </c>
      <c r="E24" s="167" t="s">
        <v>11</v>
      </c>
      <c r="F24" s="14"/>
      <c r="G24" s="14"/>
      <c r="H24" s="11" t="s">
        <v>83</v>
      </c>
    </row>
    <row r="25" spans="2:8" s="24" customFormat="1" ht="22.5" customHeight="1" x14ac:dyDescent="0.6">
      <c r="B25" s="21" t="s">
        <v>22</v>
      </c>
      <c r="C25" s="12" t="s">
        <v>10</v>
      </c>
      <c r="D25" s="12" t="s">
        <v>10</v>
      </c>
      <c r="E25" s="12" t="s">
        <v>10</v>
      </c>
      <c r="F25" s="12"/>
      <c r="G25" s="12"/>
      <c r="H25" s="28" t="s">
        <v>10</v>
      </c>
    </row>
    <row r="26" spans="2:8" s="24" customFormat="1" ht="22.5" customHeight="1" x14ac:dyDescent="0.6">
      <c r="B26" s="21" t="s">
        <v>4</v>
      </c>
      <c r="C26" s="12" t="s">
        <v>19</v>
      </c>
      <c r="D26" s="12" t="s">
        <v>19</v>
      </c>
      <c r="E26" s="12" t="s">
        <v>19</v>
      </c>
      <c r="F26" s="12"/>
      <c r="G26" s="12" t="s">
        <v>19</v>
      </c>
      <c r="H26" s="29" t="s">
        <v>11</v>
      </c>
    </row>
    <row r="27" spans="2:8" s="24" customFormat="1" ht="22.5" customHeight="1" x14ac:dyDescent="0.6">
      <c r="B27" s="21" t="s">
        <v>5</v>
      </c>
      <c r="C27" s="12" t="s">
        <v>41</v>
      </c>
      <c r="D27" s="13" t="s">
        <v>41</v>
      </c>
      <c r="E27" s="10"/>
      <c r="F27" s="13"/>
      <c r="G27" s="12"/>
      <c r="H27" s="28" t="s">
        <v>41</v>
      </c>
    </row>
    <row r="28" spans="2:8" s="24" customFormat="1" ht="45.75" customHeight="1" x14ac:dyDescent="0.6">
      <c r="B28" s="27" t="s">
        <v>182</v>
      </c>
      <c r="C28" s="12" t="s">
        <v>55</v>
      </c>
      <c r="D28" s="13" t="s">
        <v>89</v>
      </c>
      <c r="E28" s="10" t="s">
        <v>185</v>
      </c>
      <c r="F28" s="13"/>
      <c r="G28" s="12"/>
      <c r="H28" s="28" t="s">
        <v>55</v>
      </c>
    </row>
    <row r="29" spans="2:8" s="24" customFormat="1" ht="48" customHeight="1" x14ac:dyDescent="0.6">
      <c r="B29" s="27" t="s">
        <v>183</v>
      </c>
      <c r="C29" s="12"/>
      <c r="D29" s="13"/>
      <c r="E29" s="10" t="s">
        <v>184</v>
      </c>
      <c r="F29" s="13"/>
      <c r="G29" s="12"/>
      <c r="H29" s="28"/>
    </row>
    <row r="30" spans="2:8" s="24" customFormat="1" ht="22.5" customHeight="1" x14ac:dyDescent="0.6">
      <c r="B30" s="21" t="s">
        <v>48</v>
      </c>
      <c r="C30" s="12" t="s">
        <v>21</v>
      </c>
      <c r="D30" s="12" t="s">
        <v>21</v>
      </c>
      <c r="E30" s="10"/>
      <c r="F30" s="12"/>
      <c r="G30" s="12" t="s">
        <v>21</v>
      </c>
      <c r="H30" s="28" t="s">
        <v>51</v>
      </c>
    </row>
    <row r="31" spans="2:8" s="24" customFormat="1" ht="22.5" customHeight="1" x14ac:dyDescent="0.6">
      <c r="B31" s="21" t="s">
        <v>49</v>
      </c>
      <c r="C31" s="12" t="s">
        <v>21</v>
      </c>
      <c r="D31" s="12" t="s">
        <v>21</v>
      </c>
      <c r="E31" s="10"/>
      <c r="F31" s="12"/>
      <c r="G31" s="12" t="s">
        <v>21</v>
      </c>
      <c r="H31" s="28" t="s">
        <v>52</v>
      </c>
    </row>
    <row r="32" spans="2:8" s="24" customFormat="1" ht="22.5" customHeight="1" x14ac:dyDescent="0.6">
      <c r="B32" s="21" t="s">
        <v>50</v>
      </c>
      <c r="C32" s="12" t="s">
        <v>21</v>
      </c>
      <c r="D32" s="12" t="s">
        <v>21</v>
      </c>
      <c r="E32" s="10"/>
      <c r="F32" s="12"/>
      <c r="G32" s="12" t="s">
        <v>21</v>
      </c>
      <c r="H32" s="28" t="s">
        <v>52</v>
      </c>
    </row>
    <row r="33" spans="2:8" s="24" customFormat="1" ht="22.5" hidden="1" customHeight="1" x14ac:dyDescent="0.6">
      <c r="B33" s="21" t="s">
        <v>6</v>
      </c>
      <c r="C33" s="16" t="s">
        <v>11</v>
      </c>
      <c r="D33" s="20"/>
      <c r="E33" s="169"/>
      <c r="F33" s="20"/>
      <c r="G33" s="12"/>
      <c r="H33" s="29" t="s">
        <v>11</v>
      </c>
    </row>
    <row r="34" spans="2:8" s="24" customFormat="1" ht="22.5" customHeight="1" x14ac:dyDescent="0.6">
      <c r="B34" s="25" t="s">
        <v>56</v>
      </c>
      <c r="C34" s="13" t="s">
        <v>90</v>
      </c>
      <c r="D34" s="13" t="s">
        <v>90</v>
      </c>
      <c r="E34" s="13" t="s">
        <v>186</v>
      </c>
      <c r="F34" s="13"/>
      <c r="G34" s="12"/>
      <c r="H34" s="30" t="s">
        <v>57</v>
      </c>
    </row>
    <row r="35" spans="2:8" s="24" customFormat="1" ht="22.5" customHeight="1" x14ac:dyDescent="0.6">
      <c r="B35" s="21" t="s">
        <v>7</v>
      </c>
      <c r="C35" s="12" t="s">
        <v>8</v>
      </c>
      <c r="D35" s="12" t="s">
        <v>8</v>
      </c>
      <c r="E35" s="12" t="s">
        <v>8</v>
      </c>
      <c r="F35" s="12"/>
      <c r="G35" s="12"/>
      <c r="H35" s="28"/>
    </row>
    <row r="36" spans="2:8" s="24" customFormat="1" ht="22.5" hidden="1" customHeight="1" x14ac:dyDescent="0.6">
      <c r="B36" s="21" t="s">
        <v>12</v>
      </c>
      <c r="C36" s="12" t="s">
        <v>16</v>
      </c>
      <c r="D36" s="12" t="s">
        <v>16</v>
      </c>
      <c r="E36" s="12" t="s">
        <v>16</v>
      </c>
      <c r="F36" s="12"/>
      <c r="G36" s="12"/>
      <c r="H36" s="28"/>
    </row>
    <row r="37" spans="2:8" s="24" customFormat="1" ht="22.5" customHeight="1" x14ac:dyDescent="0.6">
      <c r="B37" s="21" t="s">
        <v>9</v>
      </c>
      <c r="C37" s="12" t="s">
        <v>76</v>
      </c>
      <c r="D37" s="12" t="s">
        <v>76</v>
      </c>
      <c r="E37" s="12" t="s">
        <v>76</v>
      </c>
      <c r="F37" s="12"/>
      <c r="G37" s="12"/>
      <c r="H37" s="28"/>
    </row>
    <row r="38" spans="2:8" s="24" customFormat="1" x14ac:dyDescent="0.6">
      <c r="B38" s="25" t="s">
        <v>20</v>
      </c>
      <c r="C38" s="12" t="s">
        <v>84</v>
      </c>
      <c r="D38" s="12" t="s">
        <v>84</v>
      </c>
      <c r="E38" s="12" t="s">
        <v>84</v>
      </c>
      <c r="F38" s="12"/>
      <c r="G38" s="12"/>
      <c r="H38" s="13" t="s">
        <v>84</v>
      </c>
    </row>
    <row r="39" spans="2:8" s="24" customFormat="1" ht="33.75" x14ac:dyDescent="0.6">
      <c r="B39" s="27" t="s">
        <v>44</v>
      </c>
      <c r="C39" s="12" t="s">
        <v>78</v>
      </c>
      <c r="D39" s="13" t="s">
        <v>91</v>
      </c>
      <c r="E39" s="13" t="s">
        <v>187</v>
      </c>
      <c r="F39" s="13"/>
      <c r="G39" s="12"/>
      <c r="H39" s="28" t="s">
        <v>46</v>
      </c>
    </row>
    <row r="40" spans="2:8" s="24" customFormat="1" ht="33.75" x14ac:dyDescent="0.6">
      <c r="B40" s="27" t="s">
        <v>45</v>
      </c>
      <c r="C40" s="12" t="s">
        <v>77</v>
      </c>
      <c r="D40" s="13" t="s">
        <v>92</v>
      </c>
      <c r="E40" s="13" t="s">
        <v>188</v>
      </c>
      <c r="F40" s="13"/>
      <c r="G40" s="12"/>
      <c r="H40" s="28" t="s">
        <v>47</v>
      </c>
    </row>
    <row r="41" spans="2:8" x14ac:dyDescent="0.6">
      <c r="C41" s="4"/>
      <c r="D41" s="4"/>
      <c r="E41" s="170"/>
      <c r="F41" s="4"/>
      <c r="G41" s="24"/>
    </row>
    <row r="42" spans="2:8" x14ac:dyDescent="0.6">
      <c r="G42" s="24"/>
    </row>
  </sheetData>
  <phoneticPr fontId="1" type="noConversion"/>
  <pageMargins left="0.7" right="0.7" top="0.75" bottom="0.75" header="0.3" footer="0.3"/>
  <pageSetup paperSize="9" orientation="portrait" verticalDpi="0"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0E99-964E-4858-87B6-4B97C94A270F}">
  <sheetPr codeName="Sheet2"/>
  <dimension ref="A1:AI80"/>
  <sheetViews>
    <sheetView showGridLines="0" zoomScale="70" zoomScaleNormal="70" workbookViewId="0"/>
  </sheetViews>
  <sheetFormatPr defaultColWidth="8.5625" defaultRowHeight="15.75" x14ac:dyDescent="0.6"/>
  <cols>
    <col min="1" max="3" width="8.5625" style="33"/>
    <col min="4" max="15" width="8.5625" style="33" customWidth="1"/>
    <col min="16" max="27" width="8.5625" style="33" hidden="1" customWidth="1"/>
    <col min="28" max="28" width="8.5625" style="34" customWidth="1"/>
    <col min="29" max="29" width="4.875" style="33" customWidth="1"/>
    <col min="30" max="30" width="10.25" style="33" bestFit="1" customWidth="1"/>
    <col min="31" max="31" width="11.6875" style="33" bestFit="1" customWidth="1"/>
    <col min="32" max="33" width="8.5625" style="33" customWidth="1"/>
    <col min="34" max="16384" width="8.5625" style="33"/>
  </cols>
  <sheetData>
    <row r="1" spans="1:33" ht="25.5" customHeight="1" x14ac:dyDescent="0.6">
      <c r="B1" s="173" t="s">
        <v>103</v>
      </c>
      <c r="C1" s="173"/>
      <c r="D1" s="173" t="s">
        <v>193</v>
      </c>
      <c r="E1" s="173"/>
      <c r="F1" s="173"/>
      <c r="G1" s="173"/>
      <c r="H1" s="173"/>
      <c r="I1" s="173"/>
      <c r="J1" s="173"/>
      <c r="K1" s="173"/>
      <c r="L1" s="173"/>
      <c r="M1" s="173"/>
      <c r="N1" s="173"/>
      <c r="O1" s="173"/>
      <c r="P1" s="173"/>
      <c r="Q1" s="173"/>
      <c r="R1" s="173"/>
      <c r="S1" s="173"/>
      <c r="T1" s="173"/>
      <c r="U1" s="173"/>
      <c r="V1" s="173" t="s">
        <v>108</v>
      </c>
      <c r="W1" s="173"/>
      <c r="X1" s="173"/>
      <c r="Y1" s="173"/>
      <c r="Z1" s="173"/>
      <c r="AA1" s="173"/>
    </row>
    <row r="2" spans="1:33" ht="16.05" customHeight="1" x14ac:dyDescent="0.6">
      <c r="A2" s="194"/>
      <c r="B2" s="198" t="s">
        <v>104</v>
      </c>
      <c r="C2" s="199"/>
      <c r="D2" s="199"/>
      <c r="E2" s="199"/>
      <c r="F2" s="199"/>
      <c r="G2" s="199"/>
      <c r="H2" s="200"/>
      <c r="I2" s="186"/>
      <c r="J2" s="186"/>
      <c r="K2" s="186"/>
      <c r="L2" s="186"/>
      <c r="M2" s="186"/>
      <c r="N2" s="186"/>
      <c r="O2" s="186"/>
      <c r="P2" s="196" t="s">
        <v>105</v>
      </c>
      <c r="Q2" s="196"/>
      <c r="R2" s="196"/>
      <c r="S2" s="196"/>
      <c r="T2" s="197" t="s">
        <v>106</v>
      </c>
      <c r="U2" s="196"/>
      <c r="V2" s="196"/>
      <c r="W2" s="196"/>
      <c r="X2" s="197" t="s">
        <v>107</v>
      </c>
      <c r="Y2" s="196"/>
      <c r="Z2" s="196"/>
      <c r="AA2" s="196"/>
      <c r="AB2" s="172"/>
      <c r="AC2" s="35"/>
      <c r="AD2" s="35"/>
      <c r="AE2" s="35"/>
      <c r="AF2" s="35"/>
    </row>
    <row r="3" spans="1:33" x14ac:dyDescent="0.6">
      <c r="A3" s="195"/>
      <c r="B3" s="179" t="s">
        <v>109</v>
      </c>
      <c r="C3" s="37" t="s">
        <v>110</v>
      </c>
      <c r="D3" s="37" t="s">
        <v>111</v>
      </c>
      <c r="E3" s="37" t="s">
        <v>112</v>
      </c>
      <c r="F3" s="37" t="s">
        <v>190</v>
      </c>
      <c r="G3" s="37" t="s">
        <v>191</v>
      </c>
      <c r="H3" s="180" t="s">
        <v>192</v>
      </c>
      <c r="I3" s="187" t="s">
        <v>198</v>
      </c>
      <c r="J3" s="187" t="s">
        <v>199</v>
      </c>
      <c r="K3" s="187" t="s">
        <v>195</v>
      </c>
      <c r="L3" s="187" t="s">
        <v>196</v>
      </c>
      <c r="M3" s="187" t="s">
        <v>197</v>
      </c>
      <c r="N3" s="187" t="s">
        <v>198</v>
      </c>
      <c r="O3" s="187" t="s">
        <v>199</v>
      </c>
      <c r="P3" s="174" t="s">
        <v>109</v>
      </c>
      <c r="Q3" s="37" t="s">
        <v>110</v>
      </c>
      <c r="R3" s="37" t="s">
        <v>111</v>
      </c>
      <c r="S3" s="38" t="s">
        <v>112</v>
      </c>
      <c r="T3" s="36" t="s">
        <v>109</v>
      </c>
      <c r="U3" s="37" t="s">
        <v>110</v>
      </c>
      <c r="V3" s="37" t="s">
        <v>111</v>
      </c>
      <c r="W3" s="38" t="s">
        <v>112</v>
      </c>
      <c r="X3" s="36" t="s">
        <v>109</v>
      </c>
      <c r="Y3" s="37" t="s">
        <v>110</v>
      </c>
      <c r="Z3" s="37" t="s">
        <v>111</v>
      </c>
      <c r="AA3" s="38" t="s">
        <v>112</v>
      </c>
      <c r="AB3" s="39"/>
      <c r="AC3" s="185"/>
      <c r="AG3" s="40"/>
    </row>
    <row r="4" spans="1:33" ht="16.899999999999999" x14ac:dyDescent="0.6">
      <c r="A4" s="41">
        <v>1</v>
      </c>
      <c r="B4" s="181">
        <f>HEX2DEC(D4) * 0.004</f>
        <v>0.188</v>
      </c>
      <c r="C4" s="43">
        <f>HEX2DEC(E4) * 0.004</f>
        <v>7.2000000000000008E-2</v>
      </c>
      <c r="D4" s="44" t="s">
        <v>113</v>
      </c>
      <c r="E4" s="44">
        <v>12</v>
      </c>
      <c r="F4" s="44">
        <v>12</v>
      </c>
      <c r="G4" s="44">
        <v>0</v>
      </c>
      <c r="H4" s="182">
        <v>124</v>
      </c>
      <c r="I4" s="188">
        <v>0.17731033141818101</v>
      </c>
      <c r="J4" s="188">
        <v>6.8438534123848802E-2</v>
      </c>
      <c r="K4" s="188">
        <f>ROUND(F4*0.5, 0)</f>
        <v>6</v>
      </c>
      <c r="L4" s="188">
        <f t="shared" ref="L4:M4" si="0">ROUND(G4*0.5, 0)</f>
        <v>0</v>
      </c>
      <c r="M4" s="188">
        <f t="shared" si="0"/>
        <v>62</v>
      </c>
      <c r="N4" s="188">
        <v>0.175939537687959</v>
      </c>
      <c r="O4" s="188">
        <v>6.7807106103030299E-2</v>
      </c>
      <c r="P4" s="175">
        <f>HEX2DEC(R4) * 0.004</f>
        <v>0.16400000000000001</v>
      </c>
      <c r="Q4" s="46">
        <f>HEX2DEC(S4) * 0.004</f>
        <v>7.2000000000000008E-2</v>
      </c>
      <c r="R4" s="47">
        <v>29</v>
      </c>
      <c r="S4" s="48">
        <v>12</v>
      </c>
      <c r="T4" s="42">
        <f>HEX2DEC(V4) * 0.004</f>
        <v>0.16800000000000001</v>
      </c>
      <c r="U4" s="43">
        <f>HEX2DEC(W4) * 0.004</f>
        <v>7.2000000000000008E-2</v>
      </c>
      <c r="V4" s="49" t="s">
        <v>114</v>
      </c>
      <c r="W4" s="50">
        <v>12</v>
      </c>
      <c r="X4" s="45">
        <f>HEX2DEC(Z4) * 0.004</f>
        <v>0.16800000000000001</v>
      </c>
      <c r="Y4" s="46">
        <f>HEX2DEC(AA4) * 0.004</f>
        <v>6.8000000000000005E-2</v>
      </c>
      <c r="Z4" s="47" t="s">
        <v>114</v>
      </c>
      <c r="AA4" s="48">
        <v>11</v>
      </c>
      <c r="AB4" s="51"/>
      <c r="AC4" s="185">
        <v>1</v>
      </c>
      <c r="AD4" s="33" t="str">
        <f t="shared" ref="AD4:AD35" si="1">CONCATENATE(F4, ",", G4, ",", H4)</f>
        <v>12,0,124</v>
      </c>
      <c r="AE4" s="33" t="str">
        <f>CONCATENATE("{", AD4, "}", ",")</f>
        <v>{12,0,124},</v>
      </c>
      <c r="AF4" s="33" t="str">
        <f>CONCATENATE(K4, ",", L4, ",", M4)</f>
        <v>6,0,62</v>
      </c>
      <c r="AG4" s="33" t="str">
        <f>CONCATENATE("{", AF4, "}", ",")</f>
        <v>{6,0,62},</v>
      </c>
    </row>
    <row r="5" spans="1:33" ht="17.2" customHeight="1" x14ac:dyDescent="0.6">
      <c r="A5" s="41">
        <v>2</v>
      </c>
      <c r="B5" s="181">
        <f t="shared" ref="B5:C68" si="2">HEX2DEC(D5) * 0.004</f>
        <v>0.20400000000000001</v>
      </c>
      <c r="C5" s="43">
        <f t="shared" si="2"/>
        <v>9.1999999999999998E-2</v>
      </c>
      <c r="D5" s="44">
        <v>33</v>
      </c>
      <c r="E5" s="44">
        <v>17</v>
      </c>
      <c r="F5" s="44">
        <v>15</v>
      </c>
      <c r="G5" s="44">
        <v>0</v>
      </c>
      <c r="H5" s="182">
        <v>109</v>
      </c>
      <c r="I5" s="188">
        <v>0.177303500209258</v>
      </c>
      <c r="J5" s="188">
        <v>6.8434691546364307E-2</v>
      </c>
      <c r="K5" s="188">
        <f t="shared" ref="K5:K68" si="3">ROUND(F5*0.5, 0)</f>
        <v>8</v>
      </c>
      <c r="L5" s="188">
        <f t="shared" ref="L5:L68" si="4">ROUND(G5*0.5, 0)</f>
        <v>0</v>
      </c>
      <c r="M5" s="188">
        <f t="shared" ref="M5:M68" si="5">ROUND(H5*0.5, 0)</f>
        <v>55</v>
      </c>
      <c r="N5" s="188">
        <v>0.17586342974823599</v>
      </c>
      <c r="O5" s="188">
        <v>6.7771708053381993E-2</v>
      </c>
      <c r="P5" s="175">
        <f t="shared" ref="P5:Q68" si="6">HEX2DEC(R5) * 0.004</f>
        <v>0.20400000000000001</v>
      </c>
      <c r="Q5" s="46">
        <f t="shared" si="6"/>
        <v>9.1999999999999998E-2</v>
      </c>
      <c r="R5" s="47">
        <v>33</v>
      </c>
      <c r="S5" s="48">
        <v>17</v>
      </c>
      <c r="T5" s="42">
        <f t="shared" ref="T5:U68" si="7">HEX2DEC(V5) * 0.004</f>
        <v>0.20400000000000001</v>
      </c>
      <c r="U5" s="43">
        <f t="shared" si="7"/>
        <v>9.1999999999999998E-2</v>
      </c>
      <c r="V5" s="49">
        <v>33</v>
      </c>
      <c r="W5" s="50">
        <v>17</v>
      </c>
      <c r="X5" s="45">
        <f t="shared" ref="X5:Y68" si="8">HEX2DEC(Z5) * 0.004</f>
        <v>0.20400000000000001</v>
      </c>
      <c r="Y5" s="46">
        <f t="shared" si="8"/>
        <v>9.1999999999999998E-2</v>
      </c>
      <c r="Z5" s="47">
        <v>33</v>
      </c>
      <c r="AA5" s="48">
        <v>17</v>
      </c>
      <c r="AB5" s="52"/>
      <c r="AC5" s="185">
        <v>2</v>
      </c>
      <c r="AD5" s="33" t="str">
        <f t="shared" si="1"/>
        <v>15,0,109</v>
      </c>
      <c r="AE5" s="33" t="str">
        <f t="shared" ref="AE5:AE67" si="9">CONCATENATE("{", AD5, "}", ",")</f>
        <v>{15,0,109},</v>
      </c>
      <c r="AF5" s="33" t="str">
        <f t="shared" ref="AF5:AF25" si="10">CONCATENATE(K5, ",", L5, ",", M5)</f>
        <v>8,0,55</v>
      </c>
      <c r="AG5" s="33" t="str">
        <f t="shared" ref="AG5:AG67" si="11">CONCATENATE("{", AF5, "}", ",")</f>
        <v>{8,0,55},</v>
      </c>
    </row>
    <row r="6" spans="1:33" ht="16.899999999999999" x14ac:dyDescent="0.6">
      <c r="A6" s="41">
        <v>3</v>
      </c>
      <c r="B6" s="181">
        <f t="shared" si="2"/>
        <v>0.22800000000000001</v>
      </c>
      <c r="C6" s="43">
        <f t="shared" si="2"/>
        <v>0.10400000000000001</v>
      </c>
      <c r="D6" s="44">
        <v>39</v>
      </c>
      <c r="E6" s="44" t="s">
        <v>115</v>
      </c>
      <c r="F6" s="44">
        <v>20</v>
      </c>
      <c r="G6" s="44">
        <v>0</v>
      </c>
      <c r="H6" s="182">
        <v>96</v>
      </c>
      <c r="I6" s="188">
        <v>0.193690144195511</v>
      </c>
      <c r="J6" s="188">
        <v>7.6499772425966797E-2</v>
      </c>
      <c r="K6" s="188">
        <f t="shared" si="3"/>
        <v>10</v>
      </c>
      <c r="L6" s="188">
        <f t="shared" si="4"/>
        <v>0</v>
      </c>
      <c r="M6" s="188">
        <f t="shared" si="5"/>
        <v>48</v>
      </c>
      <c r="N6" s="188">
        <v>0.19499415238617501</v>
      </c>
      <c r="O6" s="188">
        <v>7.7206392978720798E-2</v>
      </c>
      <c r="P6" s="175">
        <f t="shared" si="6"/>
        <v>0.22800000000000001</v>
      </c>
      <c r="Q6" s="46">
        <f t="shared" si="6"/>
        <v>0.10400000000000001</v>
      </c>
      <c r="R6" s="47">
        <v>39</v>
      </c>
      <c r="S6" s="48" t="s">
        <v>115</v>
      </c>
      <c r="T6" s="42">
        <f t="shared" si="7"/>
        <v>0.22800000000000001</v>
      </c>
      <c r="U6" s="43">
        <f t="shared" si="7"/>
        <v>0.10400000000000001</v>
      </c>
      <c r="V6" s="49">
        <v>39</v>
      </c>
      <c r="W6" s="50" t="s">
        <v>115</v>
      </c>
      <c r="X6" s="45">
        <f t="shared" si="8"/>
        <v>0.22800000000000001</v>
      </c>
      <c r="Y6" s="46">
        <f t="shared" si="8"/>
        <v>0.10400000000000001</v>
      </c>
      <c r="Z6" s="47">
        <v>39</v>
      </c>
      <c r="AA6" s="48" t="s">
        <v>115</v>
      </c>
      <c r="AB6" s="53"/>
      <c r="AC6" s="185">
        <v>3</v>
      </c>
      <c r="AD6" s="33" t="str">
        <f t="shared" si="1"/>
        <v>20,0,96</v>
      </c>
      <c r="AE6" s="33" t="str">
        <f t="shared" si="9"/>
        <v>{20,0,96},</v>
      </c>
      <c r="AF6" s="33" t="str">
        <f t="shared" si="10"/>
        <v>10,0,48</v>
      </c>
      <c r="AG6" s="33" t="str">
        <f t="shared" si="11"/>
        <v>{10,0,48},</v>
      </c>
    </row>
    <row r="7" spans="1:33" ht="16.899999999999999" x14ac:dyDescent="0.6">
      <c r="A7" s="41">
        <v>4</v>
      </c>
      <c r="B7" s="181">
        <f t="shared" si="2"/>
        <v>0.25600000000000001</v>
      </c>
      <c r="C7" s="43">
        <f t="shared" si="2"/>
        <v>0.12</v>
      </c>
      <c r="D7" s="44">
        <v>40</v>
      </c>
      <c r="E7" s="44" t="s">
        <v>116</v>
      </c>
      <c r="F7" s="44">
        <v>25</v>
      </c>
      <c r="G7" s="44">
        <v>0</v>
      </c>
      <c r="H7" s="182">
        <v>84</v>
      </c>
      <c r="I7" s="188">
        <v>0.21951383315940501</v>
      </c>
      <c r="J7" s="188">
        <v>8.9233965766592704E-2</v>
      </c>
      <c r="K7" s="188">
        <f t="shared" si="3"/>
        <v>13</v>
      </c>
      <c r="L7" s="188">
        <f t="shared" si="4"/>
        <v>0</v>
      </c>
      <c r="M7" s="188">
        <f t="shared" si="5"/>
        <v>42</v>
      </c>
      <c r="N7" s="188">
        <v>0.217717772899338</v>
      </c>
      <c r="O7" s="188">
        <v>8.8407575513119702E-2</v>
      </c>
      <c r="P7" s="175">
        <f t="shared" si="6"/>
        <v>0.25600000000000001</v>
      </c>
      <c r="Q7" s="46">
        <f t="shared" si="6"/>
        <v>0.12</v>
      </c>
      <c r="R7" s="47">
        <v>40</v>
      </c>
      <c r="S7" s="48" t="s">
        <v>116</v>
      </c>
      <c r="T7" s="42">
        <f t="shared" si="7"/>
        <v>0.25600000000000001</v>
      </c>
      <c r="U7" s="43">
        <f t="shared" si="7"/>
        <v>0.12</v>
      </c>
      <c r="V7" s="49">
        <v>40</v>
      </c>
      <c r="W7" s="50" t="s">
        <v>116</v>
      </c>
      <c r="X7" s="45">
        <f t="shared" si="8"/>
        <v>0.25600000000000001</v>
      </c>
      <c r="Y7" s="46">
        <f t="shared" si="8"/>
        <v>0.12</v>
      </c>
      <c r="Z7" s="47">
        <v>40</v>
      </c>
      <c r="AA7" s="48" t="s">
        <v>116</v>
      </c>
      <c r="AB7" s="54"/>
      <c r="AC7" s="185">
        <v>4</v>
      </c>
      <c r="AD7" s="33" t="str">
        <f t="shared" si="1"/>
        <v>25,0,84</v>
      </c>
      <c r="AE7" s="33" t="str">
        <f t="shared" si="9"/>
        <v>{25,0,84},</v>
      </c>
      <c r="AF7" s="33" t="str">
        <f t="shared" si="10"/>
        <v>13,0,42</v>
      </c>
      <c r="AG7" s="33" t="str">
        <f t="shared" si="11"/>
        <v>{13,0,42},</v>
      </c>
    </row>
    <row r="8" spans="1:33" ht="16.899999999999999" x14ac:dyDescent="0.6">
      <c r="A8" s="41">
        <v>5</v>
      </c>
      <c r="B8" s="181">
        <f t="shared" si="2"/>
        <v>0.28800000000000003</v>
      </c>
      <c r="C8" s="43">
        <f t="shared" si="2"/>
        <v>0.13600000000000001</v>
      </c>
      <c r="D8" s="44">
        <v>48</v>
      </c>
      <c r="E8" s="44">
        <v>22</v>
      </c>
      <c r="F8" s="44">
        <v>31</v>
      </c>
      <c r="G8" s="44">
        <v>0</v>
      </c>
      <c r="H8" s="182">
        <v>73</v>
      </c>
      <c r="I8" s="188">
        <v>0.24852126808824701</v>
      </c>
      <c r="J8" s="188">
        <v>0.103528866547071</v>
      </c>
      <c r="K8" s="188">
        <f t="shared" si="3"/>
        <v>16</v>
      </c>
      <c r="L8" s="188">
        <f t="shared" si="4"/>
        <v>0</v>
      </c>
      <c r="M8" s="188">
        <f t="shared" si="5"/>
        <v>37</v>
      </c>
      <c r="N8" s="188">
        <v>0.25080527609119502</v>
      </c>
      <c r="O8" s="188">
        <v>0.104719468731771</v>
      </c>
      <c r="P8" s="175">
        <f t="shared" si="6"/>
        <v>0.28800000000000003</v>
      </c>
      <c r="Q8" s="46">
        <f t="shared" si="6"/>
        <v>0.13600000000000001</v>
      </c>
      <c r="R8" s="47">
        <v>48</v>
      </c>
      <c r="S8" s="48">
        <v>22</v>
      </c>
      <c r="T8" s="42">
        <f t="shared" si="7"/>
        <v>0.27600000000000002</v>
      </c>
      <c r="U8" s="43">
        <f t="shared" si="7"/>
        <v>0.13600000000000001</v>
      </c>
      <c r="V8" s="49">
        <v>45</v>
      </c>
      <c r="W8" s="50">
        <v>22</v>
      </c>
      <c r="X8" s="45">
        <f t="shared" si="8"/>
        <v>0.26800000000000002</v>
      </c>
      <c r="Y8" s="46">
        <f t="shared" si="8"/>
        <v>0.14400000000000002</v>
      </c>
      <c r="Z8" s="47">
        <v>43</v>
      </c>
      <c r="AA8" s="48">
        <v>24</v>
      </c>
      <c r="AB8" s="55"/>
      <c r="AC8" s="185">
        <v>5</v>
      </c>
      <c r="AD8" s="33" t="str">
        <f t="shared" si="1"/>
        <v>31,0,73</v>
      </c>
      <c r="AE8" s="33" t="str">
        <f t="shared" si="9"/>
        <v>{31,0,73},</v>
      </c>
      <c r="AF8" s="33" t="str">
        <f t="shared" si="10"/>
        <v>16,0,37</v>
      </c>
      <c r="AG8" s="33" t="str">
        <f t="shared" si="11"/>
        <v>{16,0,37},</v>
      </c>
    </row>
    <row r="9" spans="1:33" ht="16.899999999999999" x14ac:dyDescent="0.6">
      <c r="A9" s="41">
        <v>6</v>
      </c>
      <c r="B9" s="181">
        <f t="shared" si="2"/>
        <v>0.32800000000000001</v>
      </c>
      <c r="C9" s="43">
        <f t="shared" si="2"/>
        <v>0.156</v>
      </c>
      <c r="D9" s="44">
        <v>52</v>
      </c>
      <c r="E9" s="44">
        <v>27</v>
      </c>
      <c r="F9" s="44">
        <v>37</v>
      </c>
      <c r="G9" s="44">
        <v>0</v>
      </c>
      <c r="H9" s="182">
        <v>62</v>
      </c>
      <c r="I9" s="188">
        <v>0.28412364092652997</v>
      </c>
      <c r="J9" s="188">
        <v>0.121083015010821</v>
      </c>
      <c r="K9" s="188">
        <f t="shared" si="3"/>
        <v>19</v>
      </c>
      <c r="L9" s="188">
        <f t="shared" si="4"/>
        <v>0</v>
      </c>
      <c r="M9" s="188">
        <f t="shared" si="5"/>
        <v>31</v>
      </c>
      <c r="N9" s="188">
        <v>0.285468823345501</v>
      </c>
      <c r="O9" s="188">
        <v>0.12179945853205899</v>
      </c>
      <c r="P9" s="175">
        <f t="shared" si="6"/>
        <v>0.32800000000000001</v>
      </c>
      <c r="Q9" s="46">
        <f t="shared" si="6"/>
        <v>0.156</v>
      </c>
      <c r="R9" s="47">
        <v>52</v>
      </c>
      <c r="S9" s="48">
        <v>27</v>
      </c>
      <c r="T9" s="42">
        <f t="shared" si="7"/>
        <v>0.32800000000000001</v>
      </c>
      <c r="U9" s="43">
        <f t="shared" si="7"/>
        <v>0.156</v>
      </c>
      <c r="V9" s="49">
        <v>52</v>
      </c>
      <c r="W9" s="50">
        <v>27</v>
      </c>
      <c r="X9" s="45">
        <f t="shared" si="8"/>
        <v>0.32800000000000001</v>
      </c>
      <c r="Y9" s="46">
        <f t="shared" si="8"/>
        <v>0.156</v>
      </c>
      <c r="Z9" s="47">
        <v>52</v>
      </c>
      <c r="AA9" s="48">
        <v>27</v>
      </c>
      <c r="AB9" s="56"/>
      <c r="AC9" s="185">
        <v>6</v>
      </c>
      <c r="AD9" s="33" t="str">
        <f t="shared" si="1"/>
        <v>37,0,62</v>
      </c>
      <c r="AE9" s="33" t="str">
        <f t="shared" si="9"/>
        <v>{37,0,62},</v>
      </c>
      <c r="AF9" s="33" t="str">
        <f t="shared" si="10"/>
        <v>19,0,31</v>
      </c>
      <c r="AG9" s="33" t="str">
        <f t="shared" si="11"/>
        <v>{19,0,31},</v>
      </c>
    </row>
    <row r="10" spans="1:33" ht="16.899999999999999" x14ac:dyDescent="0.6">
      <c r="A10" s="41">
        <v>7</v>
      </c>
      <c r="B10" s="181">
        <f t="shared" si="2"/>
        <v>0.36799999999999999</v>
      </c>
      <c r="C10" s="43">
        <f t="shared" si="2"/>
        <v>0.18</v>
      </c>
      <c r="D10" s="44" t="s">
        <v>117</v>
      </c>
      <c r="E10" s="44" t="s">
        <v>118</v>
      </c>
      <c r="F10" s="44">
        <v>37</v>
      </c>
      <c r="G10" s="44">
        <v>0</v>
      </c>
      <c r="H10" s="182">
        <v>53</v>
      </c>
      <c r="I10" s="188">
        <v>0.32427923821368598</v>
      </c>
      <c r="J10" s="188">
        <v>0.14088322344878501</v>
      </c>
      <c r="K10" s="188">
        <f t="shared" si="3"/>
        <v>19</v>
      </c>
      <c r="L10" s="188">
        <f t="shared" si="4"/>
        <v>0</v>
      </c>
      <c r="M10" s="188">
        <f t="shared" si="5"/>
        <v>27</v>
      </c>
      <c r="N10" s="188">
        <v>0.327826973937491</v>
      </c>
      <c r="O10" s="188">
        <v>0.14268555809144401</v>
      </c>
      <c r="P10" s="175">
        <f t="shared" si="6"/>
        <v>0.36799999999999999</v>
      </c>
      <c r="Q10" s="46">
        <f t="shared" si="6"/>
        <v>0.18</v>
      </c>
      <c r="R10" s="47" t="s">
        <v>117</v>
      </c>
      <c r="S10" s="48" t="s">
        <v>118</v>
      </c>
      <c r="T10" s="42">
        <f t="shared" si="7"/>
        <v>0.36799999999999999</v>
      </c>
      <c r="U10" s="43">
        <f t="shared" si="7"/>
        <v>0.18</v>
      </c>
      <c r="V10" s="49" t="s">
        <v>117</v>
      </c>
      <c r="W10" s="50" t="s">
        <v>118</v>
      </c>
      <c r="X10" s="45">
        <f t="shared" si="8"/>
        <v>0.36799999999999999</v>
      </c>
      <c r="Y10" s="46">
        <f t="shared" si="8"/>
        <v>0.18</v>
      </c>
      <c r="Z10" s="47" t="s">
        <v>117</v>
      </c>
      <c r="AA10" s="48" t="s">
        <v>118</v>
      </c>
      <c r="AB10" s="57"/>
      <c r="AC10" s="185">
        <v>7</v>
      </c>
      <c r="AD10" s="33" t="str">
        <f t="shared" si="1"/>
        <v>37,0,53</v>
      </c>
      <c r="AE10" s="33" t="str">
        <f t="shared" si="9"/>
        <v>{37,0,53},</v>
      </c>
      <c r="AF10" s="33" t="str">
        <f t="shared" si="10"/>
        <v>19,0,27</v>
      </c>
      <c r="AG10" s="33" t="str">
        <f t="shared" si="11"/>
        <v>{19,0,27},</v>
      </c>
    </row>
    <row r="11" spans="1:33" ht="16.899999999999999" x14ac:dyDescent="0.6">
      <c r="A11" s="41">
        <v>8</v>
      </c>
      <c r="B11" s="181">
        <f t="shared" si="2"/>
        <v>0.41600000000000004</v>
      </c>
      <c r="C11" s="43">
        <f t="shared" si="2"/>
        <v>0.20800000000000002</v>
      </c>
      <c r="D11" s="44">
        <v>68</v>
      </c>
      <c r="E11" s="44">
        <v>34</v>
      </c>
      <c r="F11" s="44">
        <v>73</v>
      </c>
      <c r="G11" s="44">
        <v>0</v>
      </c>
      <c r="H11" s="182">
        <v>59</v>
      </c>
      <c r="I11" s="188">
        <v>0.34494741002472001</v>
      </c>
      <c r="J11" s="188">
        <v>0.151079021747969</v>
      </c>
      <c r="K11" s="188">
        <f t="shared" si="3"/>
        <v>37</v>
      </c>
      <c r="L11" s="188">
        <f t="shared" si="4"/>
        <v>0</v>
      </c>
      <c r="M11" s="188">
        <f t="shared" si="5"/>
        <v>30</v>
      </c>
      <c r="N11" s="188">
        <v>0.346390313980666</v>
      </c>
      <c r="O11" s="188">
        <v>0.15183657344662099</v>
      </c>
      <c r="P11" s="175">
        <f t="shared" si="6"/>
        <v>0.41600000000000004</v>
      </c>
      <c r="Q11" s="46">
        <f t="shared" si="6"/>
        <v>0.20800000000000002</v>
      </c>
      <c r="R11" s="47">
        <v>68</v>
      </c>
      <c r="S11" s="48">
        <v>34</v>
      </c>
      <c r="T11" s="42">
        <f t="shared" si="7"/>
        <v>0.41600000000000004</v>
      </c>
      <c r="U11" s="43">
        <f t="shared" si="7"/>
        <v>0.20800000000000002</v>
      </c>
      <c r="V11" s="49">
        <v>68</v>
      </c>
      <c r="W11" s="50">
        <v>34</v>
      </c>
      <c r="X11" s="45">
        <f t="shared" si="8"/>
        <v>0.41600000000000004</v>
      </c>
      <c r="Y11" s="46">
        <f t="shared" si="8"/>
        <v>0.20800000000000002</v>
      </c>
      <c r="Z11" s="47">
        <v>68</v>
      </c>
      <c r="AA11" s="48">
        <v>34</v>
      </c>
      <c r="AB11" s="58"/>
      <c r="AC11" s="185">
        <v>8</v>
      </c>
      <c r="AD11" s="33" t="str">
        <f t="shared" si="1"/>
        <v>73,0,59</v>
      </c>
      <c r="AE11" s="33" t="str">
        <f t="shared" si="9"/>
        <v>{73,0,59},</v>
      </c>
      <c r="AF11" s="33" t="str">
        <f t="shared" si="10"/>
        <v>37,0,30</v>
      </c>
      <c r="AG11" s="33" t="str">
        <f t="shared" si="11"/>
        <v>{37,0,30},</v>
      </c>
    </row>
    <row r="12" spans="1:33" ht="16.899999999999999" x14ac:dyDescent="0.6">
      <c r="A12" s="41">
        <v>9</v>
      </c>
      <c r="B12" s="181">
        <f t="shared" si="2"/>
        <v>0.48399999999999999</v>
      </c>
      <c r="C12" s="43">
        <f t="shared" si="2"/>
        <v>0.24399999999999999</v>
      </c>
      <c r="D12" s="44">
        <v>79</v>
      </c>
      <c r="E12" s="44" t="s">
        <v>119</v>
      </c>
      <c r="F12" s="44">
        <v>96</v>
      </c>
      <c r="G12" s="44">
        <v>0</v>
      </c>
      <c r="H12" s="182">
        <v>44</v>
      </c>
      <c r="I12" s="188">
        <v>0.421630459314353</v>
      </c>
      <c r="J12" s="188">
        <v>0.18880039904399101</v>
      </c>
      <c r="K12" s="188">
        <f t="shared" si="3"/>
        <v>48</v>
      </c>
      <c r="L12" s="188">
        <f t="shared" si="4"/>
        <v>0</v>
      </c>
      <c r="M12" s="188">
        <f t="shared" si="5"/>
        <v>22</v>
      </c>
      <c r="N12" s="188">
        <v>0.42259515466241698</v>
      </c>
      <c r="O12" s="188">
        <v>0.18933453628177299</v>
      </c>
      <c r="P12" s="175">
        <f t="shared" si="6"/>
        <v>0.48399999999999999</v>
      </c>
      <c r="Q12" s="46">
        <f t="shared" si="6"/>
        <v>0.24399999999999999</v>
      </c>
      <c r="R12" s="47">
        <v>79</v>
      </c>
      <c r="S12" s="48" t="s">
        <v>119</v>
      </c>
      <c r="T12" s="42">
        <f t="shared" si="7"/>
        <v>0.48399999999999999</v>
      </c>
      <c r="U12" s="43">
        <f t="shared" si="7"/>
        <v>0.24399999999999999</v>
      </c>
      <c r="V12" s="49">
        <v>79</v>
      </c>
      <c r="W12" s="50" t="s">
        <v>119</v>
      </c>
      <c r="X12" s="45">
        <f t="shared" si="8"/>
        <v>0.48399999999999999</v>
      </c>
      <c r="Y12" s="46">
        <f t="shared" si="8"/>
        <v>0.24399999999999999</v>
      </c>
      <c r="Z12" s="47">
        <v>79</v>
      </c>
      <c r="AA12" s="48" t="s">
        <v>119</v>
      </c>
      <c r="AB12" s="59"/>
      <c r="AC12" s="185">
        <v>9</v>
      </c>
      <c r="AD12" s="33" t="str">
        <f t="shared" si="1"/>
        <v>96,0,44</v>
      </c>
      <c r="AE12" s="33" t="str">
        <f t="shared" si="9"/>
        <v>{96,0,44},</v>
      </c>
      <c r="AF12" s="33" t="str">
        <f t="shared" si="10"/>
        <v>48,0,22</v>
      </c>
      <c r="AG12" s="33" t="str">
        <f t="shared" si="11"/>
        <v>{48,0,22},</v>
      </c>
    </row>
    <row r="13" spans="1:33" ht="16.899999999999999" x14ac:dyDescent="0.6">
      <c r="A13" s="41">
        <v>10</v>
      </c>
      <c r="B13" s="181">
        <f t="shared" si="2"/>
        <v>0.54</v>
      </c>
      <c r="C13" s="43">
        <f t="shared" si="2"/>
        <v>0.27600000000000002</v>
      </c>
      <c r="D13" s="44">
        <v>87</v>
      </c>
      <c r="E13" s="44">
        <v>45</v>
      </c>
      <c r="F13" s="44">
        <v>139</v>
      </c>
      <c r="G13" s="44">
        <v>0</v>
      </c>
      <c r="H13" s="182">
        <v>35</v>
      </c>
      <c r="I13" s="188">
        <v>0.49662266323542398</v>
      </c>
      <c r="J13" s="188">
        <v>0.22564688236176</v>
      </c>
      <c r="K13" s="188">
        <f t="shared" si="3"/>
        <v>70</v>
      </c>
      <c r="L13" s="188">
        <f t="shared" si="4"/>
        <v>0</v>
      </c>
      <c r="M13" s="188">
        <f t="shared" si="5"/>
        <v>18</v>
      </c>
      <c r="N13" s="188">
        <v>0.49879954174575702</v>
      </c>
      <c r="O13" s="188">
        <v>0.22681966430017</v>
      </c>
      <c r="P13" s="175">
        <f t="shared" si="6"/>
        <v>0.53200000000000003</v>
      </c>
      <c r="Q13" s="46">
        <f t="shared" si="6"/>
        <v>0.27200000000000002</v>
      </c>
      <c r="R13" s="47">
        <v>85</v>
      </c>
      <c r="S13" s="48">
        <v>44</v>
      </c>
      <c r="T13" s="42">
        <f t="shared" si="7"/>
        <v>0.54</v>
      </c>
      <c r="U13" s="43">
        <f t="shared" si="7"/>
        <v>0.27600000000000002</v>
      </c>
      <c r="V13" s="49">
        <v>87</v>
      </c>
      <c r="W13" s="50">
        <v>45</v>
      </c>
      <c r="X13" s="45">
        <f t="shared" si="8"/>
        <v>0.52400000000000002</v>
      </c>
      <c r="Y13" s="46">
        <f t="shared" si="8"/>
        <v>0.26800000000000002</v>
      </c>
      <c r="Z13" s="47">
        <v>83</v>
      </c>
      <c r="AA13" s="48">
        <v>43</v>
      </c>
      <c r="AB13" s="60"/>
      <c r="AC13" s="185">
        <v>10</v>
      </c>
      <c r="AD13" s="33" t="str">
        <f t="shared" si="1"/>
        <v>139,0,35</v>
      </c>
      <c r="AE13" s="33" t="str">
        <f t="shared" si="9"/>
        <v>{139,0,35},</v>
      </c>
      <c r="AF13" s="33" t="str">
        <f t="shared" si="10"/>
        <v>70,0,18</v>
      </c>
      <c r="AG13" s="33" t="str">
        <f t="shared" si="11"/>
        <v>{70,0,18},</v>
      </c>
    </row>
    <row r="14" spans="1:33" ht="16.899999999999999" x14ac:dyDescent="0.6">
      <c r="A14" s="41">
        <v>11</v>
      </c>
      <c r="B14" s="181">
        <f t="shared" si="2"/>
        <v>0.59199999999999997</v>
      </c>
      <c r="C14" s="43">
        <f t="shared" si="2"/>
        <v>0.30399999999999999</v>
      </c>
      <c r="D14" s="44">
        <v>94</v>
      </c>
      <c r="E14" s="44" t="s">
        <v>120</v>
      </c>
      <c r="F14" s="44">
        <v>182</v>
      </c>
      <c r="G14" s="44">
        <v>0</v>
      </c>
      <c r="H14" s="182">
        <v>21</v>
      </c>
      <c r="I14" s="188">
        <v>0.56227470860492701</v>
      </c>
      <c r="J14" s="188">
        <v>0.25775129238325001</v>
      </c>
      <c r="K14" s="188">
        <f t="shared" si="3"/>
        <v>91</v>
      </c>
      <c r="L14" s="188">
        <f t="shared" si="4"/>
        <v>0</v>
      </c>
      <c r="M14" s="188">
        <f t="shared" si="5"/>
        <v>11</v>
      </c>
      <c r="N14" s="188">
        <v>0.56318235252788895</v>
      </c>
      <c r="O14" s="188">
        <v>0.25839946376776601</v>
      </c>
      <c r="P14" s="175">
        <f t="shared" si="6"/>
        <v>0.59199999999999997</v>
      </c>
      <c r="Q14" s="46">
        <f t="shared" si="6"/>
        <v>0.30399999999999999</v>
      </c>
      <c r="R14" s="47">
        <v>94</v>
      </c>
      <c r="S14" s="48" t="s">
        <v>120</v>
      </c>
      <c r="T14" s="42">
        <f t="shared" si="7"/>
        <v>0.59199999999999997</v>
      </c>
      <c r="U14" s="43">
        <f t="shared" si="7"/>
        <v>0.30399999999999999</v>
      </c>
      <c r="V14" s="49">
        <v>94</v>
      </c>
      <c r="W14" s="50" t="s">
        <v>120</v>
      </c>
      <c r="X14" s="45">
        <f t="shared" si="8"/>
        <v>0.59199999999999997</v>
      </c>
      <c r="Y14" s="46">
        <f t="shared" si="8"/>
        <v>0.30399999999999999</v>
      </c>
      <c r="Z14" s="47">
        <v>94</v>
      </c>
      <c r="AA14" s="48" t="s">
        <v>120</v>
      </c>
      <c r="AB14" s="61"/>
      <c r="AC14" s="185">
        <v>11</v>
      </c>
      <c r="AD14" s="33" t="str">
        <f t="shared" si="1"/>
        <v>182,0,21</v>
      </c>
      <c r="AE14" s="33" t="str">
        <f t="shared" si="9"/>
        <v>{182,0,21},</v>
      </c>
      <c r="AF14" s="33" t="str">
        <f t="shared" si="10"/>
        <v>91,0,11</v>
      </c>
      <c r="AG14" s="33" t="str">
        <f t="shared" si="11"/>
        <v>{91,0,11},</v>
      </c>
    </row>
    <row r="15" spans="1:33" ht="16.899999999999999" x14ac:dyDescent="0.6">
      <c r="A15" s="41">
        <v>12</v>
      </c>
      <c r="B15" s="181">
        <f t="shared" si="2"/>
        <v>0.61599999999999999</v>
      </c>
      <c r="C15" s="43">
        <f t="shared" si="2"/>
        <v>0.316</v>
      </c>
      <c r="D15" s="44" t="s">
        <v>121</v>
      </c>
      <c r="E15" s="44" t="s">
        <v>122</v>
      </c>
      <c r="F15" s="44">
        <v>201</v>
      </c>
      <c r="G15" s="44">
        <v>0</v>
      </c>
      <c r="H15" s="182">
        <v>11</v>
      </c>
      <c r="I15" s="188">
        <v>0.62157023368194597</v>
      </c>
      <c r="J15" s="188">
        <v>0.28663224308301999</v>
      </c>
      <c r="K15" s="188">
        <f t="shared" si="3"/>
        <v>101</v>
      </c>
      <c r="L15" s="188">
        <f t="shared" si="4"/>
        <v>0</v>
      </c>
      <c r="M15" s="188">
        <f t="shared" si="5"/>
        <v>6</v>
      </c>
      <c r="N15" s="188">
        <v>0.621449037336816</v>
      </c>
      <c r="O15" s="188">
        <v>0.28693701694812002</v>
      </c>
      <c r="P15" s="175">
        <f t="shared" si="6"/>
        <v>0.61599999999999999</v>
      </c>
      <c r="Q15" s="46">
        <f t="shared" si="6"/>
        <v>0.316</v>
      </c>
      <c r="R15" s="47" t="s">
        <v>121</v>
      </c>
      <c r="S15" s="48" t="s">
        <v>122</v>
      </c>
      <c r="T15" s="42">
        <f t="shared" si="7"/>
        <v>0.61599999999999999</v>
      </c>
      <c r="U15" s="43">
        <f t="shared" si="7"/>
        <v>0.316</v>
      </c>
      <c r="V15" s="49" t="s">
        <v>121</v>
      </c>
      <c r="W15" s="50" t="s">
        <v>122</v>
      </c>
      <c r="X15" s="45">
        <f t="shared" si="8"/>
        <v>0.61599999999999999</v>
      </c>
      <c r="Y15" s="46">
        <f t="shared" si="8"/>
        <v>0.316</v>
      </c>
      <c r="Z15" s="47" t="s">
        <v>121</v>
      </c>
      <c r="AA15" s="48" t="s">
        <v>122</v>
      </c>
      <c r="AB15" s="62"/>
      <c r="AC15" s="185">
        <v>12</v>
      </c>
      <c r="AD15" s="33" t="str">
        <f t="shared" si="1"/>
        <v>201,0,11</v>
      </c>
      <c r="AE15" s="33" t="str">
        <f t="shared" si="9"/>
        <v>{201,0,11},</v>
      </c>
      <c r="AF15" s="33" t="str">
        <f t="shared" si="10"/>
        <v>101,0,6</v>
      </c>
      <c r="AG15" s="33" t="str">
        <f t="shared" si="11"/>
        <v>{101,0,6},</v>
      </c>
    </row>
    <row r="16" spans="1:33" ht="16.899999999999999" x14ac:dyDescent="0.6">
      <c r="A16" s="41">
        <v>13</v>
      </c>
      <c r="B16" s="181">
        <f t="shared" si="2"/>
        <v>0.63200000000000001</v>
      </c>
      <c r="C16" s="43">
        <f t="shared" si="2"/>
        <v>0.32800000000000001</v>
      </c>
      <c r="D16" s="44" t="s">
        <v>123</v>
      </c>
      <c r="E16" s="44">
        <v>52</v>
      </c>
      <c r="F16" s="44">
        <v>221</v>
      </c>
      <c r="G16" s="44">
        <v>0</v>
      </c>
      <c r="H16" s="182">
        <v>5</v>
      </c>
      <c r="I16" s="188">
        <v>0.65340641438259195</v>
      </c>
      <c r="J16" s="188">
        <v>0.302095069069162</v>
      </c>
      <c r="K16" s="188">
        <f t="shared" si="3"/>
        <v>111</v>
      </c>
      <c r="L16" s="188">
        <f t="shared" si="4"/>
        <v>0</v>
      </c>
      <c r="M16" s="188">
        <f t="shared" si="5"/>
        <v>3</v>
      </c>
      <c r="N16" s="188">
        <v>0.65394295256194102</v>
      </c>
      <c r="O16" s="188">
        <v>0.30282183719399802</v>
      </c>
      <c r="P16" s="175">
        <f t="shared" si="6"/>
        <v>0.63200000000000001</v>
      </c>
      <c r="Q16" s="46">
        <f t="shared" si="6"/>
        <v>0.32800000000000001</v>
      </c>
      <c r="R16" s="47" t="s">
        <v>123</v>
      </c>
      <c r="S16" s="48">
        <v>52</v>
      </c>
      <c r="T16" s="42">
        <f t="shared" si="7"/>
        <v>0.63200000000000001</v>
      </c>
      <c r="U16" s="43">
        <f t="shared" si="7"/>
        <v>0.32800000000000001</v>
      </c>
      <c r="V16" s="49" t="s">
        <v>123</v>
      </c>
      <c r="W16" s="50">
        <v>52</v>
      </c>
      <c r="X16" s="45">
        <f t="shared" si="8"/>
        <v>0.63200000000000001</v>
      </c>
      <c r="Y16" s="46">
        <f t="shared" si="8"/>
        <v>0.32800000000000001</v>
      </c>
      <c r="Z16" s="47" t="s">
        <v>123</v>
      </c>
      <c r="AA16" s="48">
        <v>52</v>
      </c>
      <c r="AB16" s="63"/>
      <c r="AC16" s="185">
        <v>13</v>
      </c>
      <c r="AD16" s="33" t="str">
        <f t="shared" si="1"/>
        <v>221,0,5</v>
      </c>
      <c r="AE16" s="33" t="str">
        <f t="shared" si="9"/>
        <v>{221,0,5},</v>
      </c>
      <c r="AF16" s="33" t="str">
        <f t="shared" si="10"/>
        <v>111,0,3</v>
      </c>
      <c r="AG16" s="33" t="str">
        <f t="shared" si="11"/>
        <v>{111,0,3},</v>
      </c>
    </row>
    <row r="17" spans="1:33" ht="16.899999999999999" x14ac:dyDescent="0.6">
      <c r="A17" s="41">
        <v>14</v>
      </c>
      <c r="B17" s="181">
        <f t="shared" si="2"/>
        <v>0.64</v>
      </c>
      <c r="C17" s="43">
        <f t="shared" si="2"/>
        <v>0.32400000000000001</v>
      </c>
      <c r="D17" s="44" t="s">
        <v>124</v>
      </c>
      <c r="E17" s="44">
        <v>51</v>
      </c>
      <c r="F17" s="44">
        <v>232</v>
      </c>
      <c r="G17" s="44">
        <v>0</v>
      </c>
      <c r="H17" s="182">
        <v>2</v>
      </c>
      <c r="I17" s="188">
        <v>0.67238377086172496</v>
      </c>
      <c r="J17" s="188">
        <v>0.311231586574168</v>
      </c>
      <c r="K17" s="188">
        <f t="shared" si="3"/>
        <v>116</v>
      </c>
      <c r="L17" s="188">
        <f t="shared" si="4"/>
        <v>0</v>
      </c>
      <c r="M17" s="188">
        <f t="shared" si="5"/>
        <v>1</v>
      </c>
      <c r="N17" s="188">
        <v>0.67326071388223896</v>
      </c>
      <c r="O17" s="188">
        <v>0.31223569865821299</v>
      </c>
      <c r="P17" s="175">
        <f t="shared" si="6"/>
        <v>0.64</v>
      </c>
      <c r="Q17" s="46">
        <f t="shared" si="6"/>
        <v>0.32400000000000001</v>
      </c>
      <c r="R17" s="47" t="s">
        <v>124</v>
      </c>
      <c r="S17" s="48">
        <v>51</v>
      </c>
      <c r="T17" s="42">
        <f t="shared" si="7"/>
        <v>0.64</v>
      </c>
      <c r="U17" s="43">
        <f t="shared" si="7"/>
        <v>0.32400000000000001</v>
      </c>
      <c r="V17" s="49" t="s">
        <v>124</v>
      </c>
      <c r="W17" s="50">
        <v>51</v>
      </c>
      <c r="X17" s="45">
        <f t="shared" si="8"/>
        <v>0.64</v>
      </c>
      <c r="Y17" s="46">
        <f t="shared" si="8"/>
        <v>0.32400000000000001</v>
      </c>
      <c r="Z17" s="47" t="s">
        <v>124</v>
      </c>
      <c r="AA17" s="48">
        <v>51</v>
      </c>
      <c r="AB17" s="64"/>
      <c r="AC17" s="185">
        <v>14</v>
      </c>
      <c r="AD17" s="33" t="str">
        <f t="shared" si="1"/>
        <v>232,0,2</v>
      </c>
      <c r="AE17" s="33" t="str">
        <f t="shared" si="9"/>
        <v>{232,0,2},</v>
      </c>
      <c r="AF17" s="33" t="str">
        <f t="shared" si="10"/>
        <v>116,0,1</v>
      </c>
      <c r="AG17" s="33" t="str">
        <f t="shared" si="11"/>
        <v>{116,0,1},</v>
      </c>
    </row>
    <row r="18" spans="1:33" ht="16.899999999999999" x14ac:dyDescent="0.6">
      <c r="A18" s="41">
        <v>15</v>
      </c>
      <c r="B18" s="181">
        <f t="shared" si="2"/>
        <v>0.64</v>
      </c>
      <c r="C18" s="43">
        <f t="shared" si="2"/>
        <v>0.32800000000000001</v>
      </c>
      <c r="D18" s="44" t="s">
        <v>124</v>
      </c>
      <c r="E18" s="44">
        <v>52</v>
      </c>
      <c r="F18" s="44">
        <v>249</v>
      </c>
      <c r="G18" s="44">
        <v>0</v>
      </c>
      <c r="H18" s="182">
        <v>1</v>
      </c>
      <c r="I18" s="188">
        <v>0.68140671744739501</v>
      </c>
      <c r="J18" s="188">
        <v>0.31553218088531598</v>
      </c>
      <c r="K18" s="188">
        <f t="shared" si="3"/>
        <v>125</v>
      </c>
      <c r="L18" s="188">
        <f t="shared" si="4"/>
        <v>0</v>
      </c>
      <c r="M18" s="188">
        <f t="shared" si="5"/>
        <v>1</v>
      </c>
      <c r="N18" s="188">
        <v>0.68239857451610297</v>
      </c>
      <c r="O18" s="188">
        <v>0.31664281298373798</v>
      </c>
      <c r="P18" s="175">
        <f t="shared" si="6"/>
        <v>0.64</v>
      </c>
      <c r="Q18" s="46">
        <f t="shared" si="6"/>
        <v>0.32800000000000001</v>
      </c>
      <c r="R18" s="47" t="s">
        <v>124</v>
      </c>
      <c r="S18" s="48">
        <v>52</v>
      </c>
      <c r="T18" s="42">
        <f t="shared" si="7"/>
        <v>0.64</v>
      </c>
      <c r="U18" s="43">
        <f t="shared" si="7"/>
        <v>0.32800000000000001</v>
      </c>
      <c r="V18" s="49" t="s">
        <v>124</v>
      </c>
      <c r="W18" s="50">
        <v>52</v>
      </c>
      <c r="X18" s="45">
        <f t="shared" si="8"/>
        <v>0.64</v>
      </c>
      <c r="Y18" s="46">
        <f t="shared" si="8"/>
        <v>0.32800000000000001</v>
      </c>
      <c r="Z18" s="47" t="s">
        <v>124</v>
      </c>
      <c r="AA18" s="48">
        <v>52</v>
      </c>
      <c r="AB18" s="65"/>
      <c r="AC18" s="185">
        <v>15</v>
      </c>
      <c r="AD18" s="33" t="str">
        <f t="shared" si="1"/>
        <v>249,0,1</v>
      </c>
      <c r="AE18" s="33" t="str">
        <f t="shared" si="9"/>
        <v>{249,0,1},</v>
      </c>
      <c r="AF18" s="33" t="str">
        <f t="shared" si="10"/>
        <v>125,0,1</v>
      </c>
      <c r="AG18" s="33" t="str">
        <f t="shared" si="11"/>
        <v>{125,0,1},</v>
      </c>
    </row>
    <row r="19" spans="1:33" ht="16.899999999999999" x14ac:dyDescent="0.6">
      <c r="A19" s="41">
        <v>16</v>
      </c>
      <c r="B19" s="181">
        <f t="shared" si="2"/>
        <v>0.64</v>
      </c>
      <c r="C19" s="43">
        <f t="shared" si="2"/>
        <v>0.33200000000000002</v>
      </c>
      <c r="D19" s="44" t="s">
        <v>124</v>
      </c>
      <c r="E19" s="44">
        <v>53</v>
      </c>
      <c r="F19" s="44">
        <v>254</v>
      </c>
      <c r="G19" s="44">
        <v>1</v>
      </c>
      <c r="H19" s="182">
        <v>0</v>
      </c>
      <c r="I19" s="188">
        <v>0.68339031018494401</v>
      </c>
      <c r="J19" s="188">
        <v>0.31633407687264098</v>
      </c>
      <c r="K19" s="188">
        <f t="shared" si="3"/>
        <v>127</v>
      </c>
      <c r="L19" s="188">
        <f t="shared" si="4"/>
        <v>1</v>
      </c>
      <c r="M19" s="188">
        <f t="shared" si="5"/>
        <v>0</v>
      </c>
      <c r="N19" s="188">
        <v>0.68251997341061299</v>
      </c>
      <c r="O19" s="188">
        <v>0.31662276994087202</v>
      </c>
      <c r="P19" s="175">
        <f t="shared" si="6"/>
        <v>0.64</v>
      </c>
      <c r="Q19" s="46">
        <f t="shared" si="6"/>
        <v>0.33200000000000002</v>
      </c>
      <c r="R19" s="47" t="s">
        <v>124</v>
      </c>
      <c r="S19" s="48">
        <v>53</v>
      </c>
      <c r="T19" s="42">
        <f t="shared" si="7"/>
        <v>0.64</v>
      </c>
      <c r="U19" s="43">
        <f t="shared" si="7"/>
        <v>0.33200000000000002</v>
      </c>
      <c r="V19" s="49" t="s">
        <v>124</v>
      </c>
      <c r="W19" s="50">
        <v>53</v>
      </c>
      <c r="X19" s="45">
        <f t="shared" si="8"/>
        <v>0.64</v>
      </c>
      <c r="Y19" s="46">
        <f t="shared" si="8"/>
        <v>0.33200000000000002</v>
      </c>
      <c r="Z19" s="47" t="s">
        <v>124</v>
      </c>
      <c r="AA19" s="48">
        <v>53</v>
      </c>
      <c r="AB19" s="66"/>
      <c r="AC19" s="185">
        <v>16</v>
      </c>
      <c r="AD19" s="33" t="str">
        <f t="shared" si="1"/>
        <v>254,1,0</v>
      </c>
      <c r="AE19" s="33" t="str">
        <f t="shared" si="9"/>
        <v>{254,1,0},</v>
      </c>
      <c r="AF19" s="33" t="str">
        <f t="shared" si="10"/>
        <v>127,1,0</v>
      </c>
      <c r="AG19" s="33" t="str">
        <f t="shared" si="11"/>
        <v>{127,1,0},</v>
      </c>
    </row>
    <row r="20" spans="1:33" ht="16.899999999999999" x14ac:dyDescent="0.6">
      <c r="A20" s="41">
        <v>17</v>
      </c>
      <c r="B20" s="181">
        <f t="shared" si="2"/>
        <v>0.64</v>
      </c>
      <c r="C20" s="43">
        <f t="shared" si="2"/>
        <v>0.33600000000000002</v>
      </c>
      <c r="D20" s="44" t="s">
        <v>124</v>
      </c>
      <c r="E20" s="44">
        <v>54</v>
      </c>
      <c r="F20" s="44">
        <v>254</v>
      </c>
      <c r="G20" s="44">
        <v>3</v>
      </c>
      <c r="H20" s="182">
        <v>0</v>
      </c>
      <c r="I20" s="188">
        <v>0.68315363886611202</v>
      </c>
      <c r="J20" s="188">
        <v>0.31700123769234001</v>
      </c>
      <c r="K20" s="188">
        <f t="shared" si="3"/>
        <v>127</v>
      </c>
      <c r="L20" s="188">
        <f t="shared" si="4"/>
        <v>2</v>
      </c>
      <c r="M20" s="188">
        <f t="shared" si="5"/>
        <v>0</v>
      </c>
      <c r="N20" s="188">
        <v>0.68197745857672898</v>
      </c>
      <c r="O20" s="188">
        <v>0.31801539044879801</v>
      </c>
      <c r="P20" s="175">
        <f t="shared" si="6"/>
        <v>0.64</v>
      </c>
      <c r="Q20" s="46">
        <f t="shared" si="6"/>
        <v>0.33600000000000002</v>
      </c>
      <c r="R20" s="47" t="s">
        <v>124</v>
      </c>
      <c r="S20" s="48">
        <v>54</v>
      </c>
      <c r="T20" s="42">
        <f t="shared" si="7"/>
        <v>0.64</v>
      </c>
      <c r="U20" s="43">
        <f t="shared" si="7"/>
        <v>0.33600000000000002</v>
      </c>
      <c r="V20" s="49" t="s">
        <v>124</v>
      </c>
      <c r="W20" s="50">
        <v>54</v>
      </c>
      <c r="X20" s="45">
        <f t="shared" si="8"/>
        <v>0.64</v>
      </c>
      <c r="Y20" s="46">
        <f t="shared" si="8"/>
        <v>0.33600000000000002</v>
      </c>
      <c r="Z20" s="47" t="s">
        <v>124</v>
      </c>
      <c r="AA20" s="48">
        <v>54</v>
      </c>
      <c r="AB20" s="67"/>
      <c r="AC20" s="185">
        <v>17</v>
      </c>
      <c r="AD20" s="33" t="str">
        <f t="shared" si="1"/>
        <v>254,3,0</v>
      </c>
      <c r="AE20" s="33" t="str">
        <f t="shared" si="9"/>
        <v>{254,3,0},</v>
      </c>
      <c r="AF20" s="33" t="str">
        <f t="shared" si="10"/>
        <v>127,2,0</v>
      </c>
      <c r="AG20" s="33" t="str">
        <f t="shared" si="11"/>
        <v>{127,2,0},</v>
      </c>
    </row>
    <row r="21" spans="1:33" ht="16.899999999999999" x14ac:dyDescent="0.6">
      <c r="A21" s="41">
        <v>18</v>
      </c>
      <c r="B21" s="181">
        <f t="shared" si="2"/>
        <v>0.63600000000000001</v>
      </c>
      <c r="C21" s="43">
        <f t="shared" si="2"/>
        <v>0.33200000000000002</v>
      </c>
      <c r="D21" s="44" t="s">
        <v>125</v>
      </c>
      <c r="E21" s="44">
        <v>53</v>
      </c>
      <c r="F21" s="44">
        <v>254</v>
      </c>
      <c r="G21" s="44">
        <v>5</v>
      </c>
      <c r="H21" s="182">
        <v>0</v>
      </c>
      <c r="I21" s="188">
        <v>0.67969646276731699</v>
      </c>
      <c r="J21" s="188">
        <v>0.319532100011863</v>
      </c>
      <c r="K21" s="188">
        <f t="shared" si="3"/>
        <v>127</v>
      </c>
      <c r="L21" s="188">
        <f t="shared" si="4"/>
        <v>3</v>
      </c>
      <c r="M21" s="188">
        <f t="shared" si="5"/>
        <v>0</v>
      </c>
      <c r="N21" s="188">
        <v>0.67878380665551197</v>
      </c>
      <c r="O21" s="188">
        <v>0.32035570056730001</v>
      </c>
      <c r="P21" s="175">
        <f t="shared" si="6"/>
        <v>0.63600000000000001</v>
      </c>
      <c r="Q21" s="46">
        <f t="shared" si="6"/>
        <v>0.33200000000000002</v>
      </c>
      <c r="R21" s="47" t="s">
        <v>125</v>
      </c>
      <c r="S21" s="48">
        <v>53</v>
      </c>
      <c r="T21" s="42">
        <f t="shared" si="7"/>
        <v>0.63600000000000001</v>
      </c>
      <c r="U21" s="43">
        <f t="shared" si="7"/>
        <v>0.33200000000000002</v>
      </c>
      <c r="V21" s="49" t="s">
        <v>125</v>
      </c>
      <c r="W21" s="50">
        <v>53</v>
      </c>
      <c r="X21" s="45">
        <f t="shared" si="8"/>
        <v>0.63600000000000001</v>
      </c>
      <c r="Y21" s="46">
        <f t="shared" si="8"/>
        <v>0.33200000000000002</v>
      </c>
      <c r="Z21" s="47" t="s">
        <v>125</v>
      </c>
      <c r="AA21" s="48">
        <v>53</v>
      </c>
      <c r="AB21" s="68"/>
      <c r="AC21" s="185">
        <v>18</v>
      </c>
      <c r="AD21" s="33" t="str">
        <f t="shared" si="1"/>
        <v>254,5,0</v>
      </c>
      <c r="AE21" s="33" t="str">
        <f t="shared" si="9"/>
        <v>{254,5,0},</v>
      </c>
      <c r="AF21" s="33" t="str">
        <f t="shared" si="10"/>
        <v>127,3,0</v>
      </c>
      <c r="AG21" s="33" t="str">
        <f t="shared" si="11"/>
        <v>{127,3,0},</v>
      </c>
    </row>
    <row r="22" spans="1:33" ht="16.899999999999999" x14ac:dyDescent="0.6">
      <c r="A22" s="41">
        <v>19</v>
      </c>
      <c r="B22" s="181">
        <f t="shared" si="2"/>
        <v>0.63200000000000001</v>
      </c>
      <c r="C22" s="43">
        <f t="shared" si="2"/>
        <v>0.33600000000000002</v>
      </c>
      <c r="D22" s="44" t="s">
        <v>123</v>
      </c>
      <c r="E22" s="44">
        <v>54</v>
      </c>
      <c r="F22" s="44">
        <v>254</v>
      </c>
      <c r="G22" s="44">
        <v>8</v>
      </c>
      <c r="H22" s="182">
        <v>0</v>
      </c>
      <c r="I22" s="188">
        <v>0.67643403008572101</v>
      </c>
      <c r="J22" s="188">
        <v>0.32191707065009401</v>
      </c>
      <c r="K22" s="188">
        <f t="shared" si="3"/>
        <v>127</v>
      </c>
      <c r="L22" s="188">
        <f t="shared" si="4"/>
        <v>4</v>
      </c>
      <c r="M22" s="188">
        <f t="shared" si="5"/>
        <v>0</v>
      </c>
      <c r="N22" s="188">
        <v>0.67519923328238796</v>
      </c>
      <c r="O22" s="188">
        <v>0.32298655054667302</v>
      </c>
      <c r="P22" s="175">
        <f t="shared" si="6"/>
        <v>0.63200000000000001</v>
      </c>
      <c r="Q22" s="46">
        <f t="shared" si="6"/>
        <v>0.33600000000000002</v>
      </c>
      <c r="R22" s="47" t="s">
        <v>123</v>
      </c>
      <c r="S22" s="48">
        <v>54</v>
      </c>
      <c r="T22" s="42">
        <f t="shared" si="7"/>
        <v>0.63200000000000001</v>
      </c>
      <c r="U22" s="43">
        <f t="shared" si="7"/>
        <v>0.33600000000000002</v>
      </c>
      <c r="V22" s="49" t="s">
        <v>123</v>
      </c>
      <c r="W22" s="50">
        <v>54</v>
      </c>
      <c r="X22" s="45">
        <f t="shared" si="8"/>
        <v>0.63200000000000001</v>
      </c>
      <c r="Y22" s="46">
        <f t="shared" si="8"/>
        <v>0.33600000000000002</v>
      </c>
      <c r="Z22" s="47" t="s">
        <v>123</v>
      </c>
      <c r="AA22" s="48">
        <v>54</v>
      </c>
      <c r="AB22" s="69"/>
      <c r="AC22" s="185">
        <v>19</v>
      </c>
      <c r="AD22" s="33" t="str">
        <f t="shared" si="1"/>
        <v>254,8,0</v>
      </c>
      <c r="AE22" s="33" t="str">
        <f t="shared" si="9"/>
        <v>{254,8,0},</v>
      </c>
      <c r="AF22" s="33" t="str">
        <f t="shared" si="10"/>
        <v>127,4,0</v>
      </c>
      <c r="AG22" s="33" t="str">
        <f t="shared" si="11"/>
        <v>{127,4,0},</v>
      </c>
    </row>
    <row r="23" spans="1:33" ht="16.899999999999999" x14ac:dyDescent="0.6">
      <c r="A23" s="41">
        <v>20</v>
      </c>
      <c r="B23" s="181">
        <f t="shared" si="2"/>
        <v>0.628</v>
      </c>
      <c r="C23" s="43">
        <f t="shared" si="2"/>
        <v>0.34</v>
      </c>
      <c r="D23" s="44" t="s">
        <v>126</v>
      </c>
      <c r="E23" s="44">
        <v>55</v>
      </c>
      <c r="F23" s="44">
        <v>254</v>
      </c>
      <c r="G23" s="44">
        <v>11</v>
      </c>
      <c r="H23" s="182">
        <v>0</v>
      </c>
      <c r="I23" s="188">
        <v>0.67141144196426805</v>
      </c>
      <c r="J23" s="188">
        <v>0.32559249187497702</v>
      </c>
      <c r="K23" s="188">
        <f t="shared" si="3"/>
        <v>127</v>
      </c>
      <c r="L23" s="188">
        <f t="shared" si="4"/>
        <v>6</v>
      </c>
      <c r="M23" s="188">
        <f t="shared" si="5"/>
        <v>0</v>
      </c>
      <c r="N23" s="188">
        <v>0.67201464032307201</v>
      </c>
      <c r="O23" s="188">
        <v>0.32531336896284402</v>
      </c>
      <c r="P23" s="175">
        <f t="shared" si="6"/>
        <v>0.56400000000000006</v>
      </c>
      <c r="Q23" s="46">
        <f t="shared" si="6"/>
        <v>0.34400000000000003</v>
      </c>
      <c r="R23" s="47" t="s">
        <v>127</v>
      </c>
      <c r="S23" s="48">
        <v>56</v>
      </c>
      <c r="T23" s="42">
        <f t="shared" si="7"/>
        <v>0.628</v>
      </c>
      <c r="U23" s="43">
        <f t="shared" si="7"/>
        <v>0.34</v>
      </c>
      <c r="V23" s="49" t="s">
        <v>126</v>
      </c>
      <c r="W23" s="50">
        <v>55</v>
      </c>
      <c r="X23" s="45">
        <f t="shared" si="8"/>
        <v>0.628</v>
      </c>
      <c r="Y23" s="46">
        <f t="shared" si="8"/>
        <v>0.34</v>
      </c>
      <c r="Z23" s="47" t="s">
        <v>126</v>
      </c>
      <c r="AA23" s="48">
        <v>55</v>
      </c>
      <c r="AB23" s="70"/>
      <c r="AC23" s="185">
        <v>20</v>
      </c>
      <c r="AD23" s="33" t="str">
        <f t="shared" si="1"/>
        <v>254,11,0</v>
      </c>
      <c r="AE23" s="33" t="str">
        <f t="shared" si="9"/>
        <v>{254,11,0},</v>
      </c>
      <c r="AF23" s="33" t="str">
        <f t="shared" si="10"/>
        <v>127,6,0</v>
      </c>
      <c r="AG23" s="33" t="str">
        <f t="shared" si="11"/>
        <v>{127,6,0},</v>
      </c>
    </row>
    <row r="24" spans="1:33" ht="16.899999999999999" x14ac:dyDescent="0.6">
      <c r="A24" s="41">
        <v>21</v>
      </c>
      <c r="B24" s="181">
        <f t="shared" si="2"/>
        <v>0.624</v>
      </c>
      <c r="C24" s="43">
        <f t="shared" si="2"/>
        <v>0.34400000000000003</v>
      </c>
      <c r="D24" s="44" t="s">
        <v>128</v>
      </c>
      <c r="E24" s="44">
        <v>56</v>
      </c>
      <c r="F24" s="44">
        <v>254</v>
      </c>
      <c r="G24" s="44">
        <v>16</v>
      </c>
      <c r="H24" s="182">
        <v>1</v>
      </c>
      <c r="I24" s="188">
        <v>0.66657432447076204</v>
      </c>
      <c r="J24" s="188">
        <v>0.32913586259869898</v>
      </c>
      <c r="K24" s="188">
        <f t="shared" si="3"/>
        <v>127</v>
      </c>
      <c r="L24" s="188">
        <f t="shared" si="4"/>
        <v>8</v>
      </c>
      <c r="M24" s="188">
        <f t="shared" si="5"/>
        <v>1</v>
      </c>
      <c r="N24" s="188">
        <v>0.665747323045489</v>
      </c>
      <c r="O24" s="188">
        <v>0.32990465528303098</v>
      </c>
      <c r="P24" s="175">
        <f t="shared" si="6"/>
        <v>0.624</v>
      </c>
      <c r="Q24" s="46">
        <f t="shared" si="6"/>
        <v>0.34400000000000003</v>
      </c>
      <c r="R24" s="47" t="s">
        <v>128</v>
      </c>
      <c r="S24" s="48">
        <v>56</v>
      </c>
      <c r="T24" s="42">
        <f t="shared" si="7"/>
        <v>0.624</v>
      </c>
      <c r="U24" s="43">
        <f t="shared" si="7"/>
        <v>0.34400000000000003</v>
      </c>
      <c r="V24" s="49" t="s">
        <v>128</v>
      </c>
      <c r="W24" s="50">
        <v>56</v>
      </c>
      <c r="X24" s="45">
        <f t="shared" si="8"/>
        <v>0.624</v>
      </c>
      <c r="Y24" s="46">
        <f t="shared" si="8"/>
        <v>0.34400000000000003</v>
      </c>
      <c r="Z24" s="47" t="s">
        <v>128</v>
      </c>
      <c r="AA24" s="48">
        <v>56</v>
      </c>
      <c r="AB24" s="71"/>
      <c r="AC24" s="185">
        <v>21</v>
      </c>
      <c r="AD24" s="33" t="str">
        <f t="shared" si="1"/>
        <v>254,16,1</v>
      </c>
      <c r="AE24" s="33" t="str">
        <f t="shared" si="9"/>
        <v>{254,16,1},</v>
      </c>
      <c r="AF24" s="33" t="str">
        <f t="shared" si="10"/>
        <v>127,8,1</v>
      </c>
      <c r="AG24" s="33" t="str">
        <f t="shared" si="11"/>
        <v>{127,8,1},</v>
      </c>
    </row>
    <row r="25" spans="1:33" ht="16.899999999999999" x14ac:dyDescent="0.6">
      <c r="A25" s="41">
        <v>22</v>
      </c>
      <c r="B25" s="181">
        <f t="shared" si="2"/>
        <v>0.61599999999999999</v>
      </c>
      <c r="C25" s="43">
        <f t="shared" si="2"/>
        <v>0.35199999999999998</v>
      </c>
      <c r="D25" s="44" t="s">
        <v>121</v>
      </c>
      <c r="E25" s="44">
        <v>58</v>
      </c>
      <c r="F25" s="44">
        <v>254</v>
      </c>
      <c r="G25" s="44">
        <v>22</v>
      </c>
      <c r="H25" s="182">
        <v>1</v>
      </c>
      <c r="I25" s="188">
        <v>0.65823078704082705</v>
      </c>
      <c r="J25" s="188">
        <v>0.334799872912316</v>
      </c>
      <c r="K25" s="188">
        <f t="shared" si="3"/>
        <v>127</v>
      </c>
      <c r="L25" s="188">
        <f t="shared" si="4"/>
        <v>11</v>
      </c>
      <c r="M25" s="188">
        <f t="shared" si="5"/>
        <v>1</v>
      </c>
      <c r="N25" s="188">
        <v>0.65856287752674203</v>
      </c>
      <c r="O25" s="188">
        <v>0.33427295392635298</v>
      </c>
      <c r="P25" s="175">
        <f t="shared" si="6"/>
        <v>0.61599999999999999</v>
      </c>
      <c r="Q25" s="46">
        <f t="shared" si="6"/>
        <v>0.35199999999999998</v>
      </c>
      <c r="R25" s="47" t="s">
        <v>121</v>
      </c>
      <c r="S25" s="48">
        <v>58</v>
      </c>
      <c r="T25" s="42">
        <f t="shared" si="7"/>
        <v>0.61599999999999999</v>
      </c>
      <c r="U25" s="43">
        <f t="shared" si="7"/>
        <v>0.35199999999999998</v>
      </c>
      <c r="V25" s="49" t="s">
        <v>121</v>
      </c>
      <c r="W25" s="50">
        <v>58</v>
      </c>
      <c r="X25" s="45">
        <f t="shared" si="8"/>
        <v>0.61599999999999999</v>
      </c>
      <c r="Y25" s="46">
        <f t="shared" si="8"/>
        <v>0.35199999999999998</v>
      </c>
      <c r="Z25" s="47" t="s">
        <v>121</v>
      </c>
      <c r="AA25" s="48">
        <v>58</v>
      </c>
      <c r="AB25" s="72"/>
      <c r="AC25" s="185">
        <v>22</v>
      </c>
      <c r="AD25" s="33" t="str">
        <f t="shared" si="1"/>
        <v>254,22,1</v>
      </c>
      <c r="AE25" s="33" t="str">
        <f t="shared" si="9"/>
        <v>{254,22,1},</v>
      </c>
      <c r="AF25" s="33" t="str">
        <f t="shared" si="10"/>
        <v>127,11,1</v>
      </c>
      <c r="AG25" s="33" t="str">
        <f t="shared" si="11"/>
        <v>{127,11,1},</v>
      </c>
    </row>
    <row r="26" spans="1:33" ht="16.899999999999999" x14ac:dyDescent="0.6">
      <c r="A26" s="41">
        <v>23</v>
      </c>
      <c r="B26" s="181">
        <f t="shared" si="2"/>
        <v>0.60799999999999998</v>
      </c>
      <c r="C26" s="43">
        <f t="shared" si="2"/>
        <v>0.35599999999999998</v>
      </c>
      <c r="D26" s="44">
        <v>98</v>
      </c>
      <c r="E26" s="44">
        <v>59</v>
      </c>
      <c r="F26" s="44">
        <v>254</v>
      </c>
      <c r="G26" s="44">
        <v>28</v>
      </c>
      <c r="H26" s="182">
        <v>1</v>
      </c>
      <c r="I26" s="188">
        <v>0.64895509773297799</v>
      </c>
      <c r="J26" s="188">
        <v>0.341606289904893</v>
      </c>
      <c r="K26" s="188">
        <f t="shared" si="3"/>
        <v>127</v>
      </c>
      <c r="L26" s="188">
        <f t="shared" si="4"/>
        <v>14</v>
      </c>
      <c r="M26" s="188">
        <f t="shared" si="5"/>
        <v>1</v>
      </c>
      <c r="N26" s="188">
        <v>0.64960734185402702</v>
      </c>
      <c r="O26" s="188">
        <v>0.34084811939790099</v>
      </c>
      <c r="P26" s="175">
        <f t="shared" si="6"/>
        <v>0.60799999999999998</v>
      </c>
      <c r="Q26" s="46">
        <f t="shared" si="6"/>
        <v>0.35599999999999998</v>
      </c>
      <c r="R26" s="47">
        <v>98</v>
      </c>
      <c r="S26" s="48">
        <v>59</v>
      </c>
      <c r="T26" s="42">
        <f t="shared" si="7"/>
        <v>0.60799999999999998</v>
      </c>
      <c r="U26" s="43">
        <f t="shared" si="7"/>
        <v>0.35599999999999998</v>
      </c>
      <c r="V26" s="49">
        <v>98</v>
      </c>
      <c r="W26" s="50">
        <v>59</v>
      </c>
      <c r="X26" s="45">
        <f t="shared" si="8"/>
        <v>0.60799999999999998</v>
      </c>
      <c r="Y26" s="46">
        <f t="shared" si="8"/>
        <v>0.35599999999999998</v>
      </c>
      <c r="Z26" s="47">
        <v>98</v>
      </c>
      <c r="AA26" s="48">
        <v>59</v>
      </c>
      <c r="AB26" s="73"/>
      <c r="AC26" s="185">
        <v>23</v>
      </c>
      <c r="AD26" s="33" t="str">
        <f t="shared" si="1"/>
        <v>254,28,1</v>
      </c>
      <c r="AE26" s="33" t="str">
        <f t="shared" si="9"/>
        <v>{254,28,1},</v>
      </c>
      <c r="AF26" s="33" t="str">
        <f t="shared" ref="AF26:AF67" si="12">CONCATENATE(K26, ",", L26, ",", M26)</f>
        <v>127,14,1</v>
      </c>
      <c r="AG26" s="33" t="str">
        <f t="shared" si="11"/>
        <v>{127,14,1},</v>
      </c>
    </row>
    <row r="27" spans="1:33" ht="16.899999999999999" x14ac:dyDescent="0.6">
      <c r="A27" s="41">
        <v>24</v>
      </c>
      <c r="B27" s="181">
        <f t="shared" si="2"/>
        <v>0.6</v>
      </c>
      <c r="C27" s="43">
        <f t="shared" si="2"/>
        <v>0.36399999999999999</v>
      </c>
      <c r="D27" s="44">
        <v>96</v>
      </c>
      <c r="E27" s="44" t="s">
        <v>129</v>
      </c>
      <c r="F27" s="44">
        <v>254</v>
      </c>
      <c r="G27" s="44">
        <v>35</v>
      </c>
      <c r="H27" s="182">
        <v>1</v>
      </c>
      <c r="I27" s="188">
        <v>0.63987791032180497</v>
      </c>
      <c r="J27" s="188">
        <v>0.34827148898987398</v>
      </c>
      <c r="K27" s="188">
        <f t="shared" si="3"/>
        <v>127</v>
      </c>
      <c r="L27" s="188">
        <f t="shared" si="4"/>
        <v>18</v>
      </c>
      <c r="M27" s="188">
        <f t="shared" si="5"/>
        <v>1</v>
      </c>
      <c r="N27" s="188">
        <v>0.64073645332771301</v>
      </c>
      <c r="O27" s="188">
        <v>0.34736507270956402</v>
      </c>
      <c r="P27" s="175">
        <f t="shared" si="6"/>
        <v>0.6</v>
      </c>
      <c r="Q27" s="46">
        <f t="shared" si="6"/>
        <v>0.36399999999999999</v>
      </c>
      <c r="R27" s="47">
        <v>96</v>
      </c>
      <c r="S27" s="48" t="s">
        <v>129</v>
      </c>
      <c r="T27" s="42">
        <f t="shared" si="7"/>
        <v>0.6</v>
      </c>
      <c r="U27" s="43">
        <f t="shared" si="7"/>
        <v>0.36399999999999999</v>
      </c>
      <c r="V27" s="49">
        <v>96</v>
      </c>
      <c r="W27" s="50" t="s">
        <v>129</v>
      </c>
      <c r="X27" s="45">
        <f t="shared" si="8"/>
        <v>0.6</v>
      </c>
      <c r="Y27" s="46">
        <f t="shared" si="8"/>
        <v>0.36399999999999999</v>
      </c>
      <c r="Z27" s="47">
        <v>96</v>
      </c>
      <c r="AA27" s="48" t="s">
        <v>129</v>
      </c>
      <c r="AB27" s="74"/>
      <c r="AC27" s="185">
        <v>24</v>
      </c>
      <c r="AD27" s="33" t="str">
        <f t="shared" si="1"/>
        <v>254,35,1</v>
      </c>
      <c r="AE27" s="33" t="str">
        <f t="shared" si="9"/>
        <v>{254,35,1},</v>
      </c>
      <c r="AF27" s="33" t="str">
        <f t="shared" si="12"/>
        <v>127,18,1</v>
      </c>
      <c r="AG27" s="33" t="str">
        <f t="shared" si="11"/>
        <v>{127,18,1},</v>
      </c>
    </row>
    <row r="28" spans="1:33" ht="16.899999999999999" x14ac:dyDescent="0.6">
      <c r="A28" s="41">
        <v>25</v>
      </c>
      <c r="B28" s="181">
        <f t="shared" si="2"/>
        <v>0.59199999999999997</v>
      </c>
      <c r="C28" s="43">
        <f t="shared" si="2"/>
        <v>0.372</v>
      </c>
      <c r="D28" s="44">
        <v>94</v>
      </c>
      <c r="E28" s="44" t="s">
        <v>130</v>
      </c>
      <c r="F28" s="44">
        <v>254</v>
      </c>
      <c r="G28" s="44">
        <v>44</v>
      </c>
      <c r="H28" s="182">
        <v>2</v>
      </c>
      <c r="I28" s="188">
        <v>0.62970889972618005</v>
      </c>
      <c r="J28" s="188">
        <v>0.35573716964442598</v>
      </c>
      <c r="K28" s="188">
        <f t="shared" si="3"/>
        <v>127</v>
      </c>
      <c r="L28" s="188">
        <f t="shared" si="4"/>
        <v>22</v>
      </c>
      <c r="M28" s="188">
        <f t="shared" si="5"/>
        <v>1</v>
      </c>
      <c r="N28" s="188">
        <v>0.62921492851819305</v>
      </c>
      <c r="O28" s="188">
        <v>0.35582308263332102</v>
      </c>
      <c r="P28" s="175">
        <f t="shared" si="6"/>
        <v>0.53200000000000003</v>
      </c>
      <c r="Q28" s="46">
        <f t="shared" si="6"/>
        <v>0.41600000000000004</v>
      </c>
      <c r="R28" s="47">
        <v>85</v>
      </c>
      <c r="S28" s="48">
        <v>68</v>
      </c>
      <c r="T28" s="42">
        <f t="shared" si="7"/>
        <v>0.59199999999999997</v>
      </c>
      <c r="U28" s="43">
        <f t="shared" si="7"/>
        <v>0.372</v>
      </c>
      <c r="V28" s="49">
        <v>94</v>
      </c>
      <c r="W28" s="50" t="s">
        <v>130</v>
      </c>
      <c r="X28" s="45">
        <f t="shared" si="8"/>
        <v>0.58399999999999996</v>
      </c>
      <c r="Y28" s="46">
        <f t="shared" si="8"/>
        <v>0.372</v>
      </c>
      <c r="Z28" s="47">
        <v>92</v>
      </c>
      <c r="AA28" s="48" t="s">
        <v>130</v>
      </c>
      <c r="AB28" s="75"/>
      <c r="AC28" s="185">
        <v>25</v>
      </c>
      <c r="AD28" s="33" t="str">
        <f t="shared" si="1"/>
        <v>254,44,2</v>
      </c>
      <c r="AE28" s="33" t="str">
        <f t="shared" si="9"/>
        <v>{254,44,2},</v>
      </c>
      <c r="AF28" s="33" t="str">
        <f t="shared" si="12"/>
        <v>127,22,1</v>
      </c>
      <c r="AG28" s="33" t="str">
        <f t="shared" si="11"/>
        <v>{127,22,1},</v>
      </c>
    </row>
    <row r="29" spans="1:33" ht="16.899999999999999" x14ac:dyDescent="0.6">
      <c r="A29" s="41">
        <v>26</v>
      </c>
      <c r="B29" s="181">
        <f t="shared" si="2"/>
        <v>0.57999999999999996</v>
      </c>
      <c r="C29" s="43">
        <f t="shared" si="2"/>
        <v>0.38400000000000001</v>
      </c>
      <c r="D29" s="44">
        <v>91</v>
      </c>
      <c r="E29" s="44">
        <v>60</v>
      </c>
      <c r="F29" s="44">
        <v>254</v>
      </c>
      <c r="G29" s="44">
        <v>53</v>
      </c>
      <c r="H29" s="182">
        <v>2</v>
      </c>
      <c r="I29" s="188">
        <v>0.615832281474052</v>
      </c>
      <c r="J29" s="188">
        <v>0.36409776738837002</v>
      </c>
      <c r="K29" s="188">
        <f t="shared" si="3"/>
        <v>127</v>
      </c>
      <c r="L29" s="188">
        <f t="shared" si="4"/>
        <v>27</v>
      </c>
      <c r="M29" s="188">
        <f t="shared" si="5"/>
        <v>1</v>
      </c>
      <c r="N29" s="188">
        <v>0.61857200737317997</v>
      </c>
      <c r="O29" s="188">
        <v>0.36364207198972998</v>
      </c>
      <c r="P29" s="175">
        <f t="shared" si="6"/>
        <v>0.57999999999999996</v>
      </c>
      <c r="Q29" s="46">
        <f t="shared" si="6"/>
        <v>0.38400000000000001</v>
      </c>
      <c r="R29" s="47">
        <v>91</v>
      </c>
      <c r="S29" s="48">
        <v>60</v>
      </c>
      <c r="T29" s="42">
        <f t="shared" si="7"/>
        <v>0.57999999999999996</v>
      </c>
      <c r="U29" s="43">
        <f t="shared" si="7"/>
        <v>0.38400000000000001</v>
      </c>
      <c r="V29" s="49">
        <v>91</v>
      </c>
      <c r="W29" s="50">
        <v>60</v>
      </c>
      <c r="X29" s="45">
        <f t="shared" si="8"/>
        <v>0.57999999999999996</v>
      </c>
      <c r="Y29" s="46">
        <f t="shared" si="8"/>
        <v>0.38400000000000001</v>
      </c>
      <c r="Z29" s="47">
        <v>91</v>
      </c>
      <c r="AA29" s="48">
        <v>60</v>
      </c>
      <c r="AB29" s="76"/>
      <c r="AC29" s="185">
        <v>26</v>
      </c>
      <c r="AD29" s="33" t="str">
        <f t="shared" si="1"/>
        <v>254,53,2</v>
      </c>
      <c r="AE29" s="33" t="str">
        <f t="shared" si="9"/>
        <v>{254,53,2},</v>
      </c>
      <c r="AF29" s="33" t="str">
        <f t="shared" si="12"/>
        <v>127,27,1</v>
      </c>
      <c r="AG29" s="33" t="str">
        <f t="shared" si="11"/>
        <v>{127,27,1},</v>
      </c>
    </row>
    <row r="30" spans="1:33" ht="16.899999999999999" x14ac:dyDescent="0.6">
      <c r="A30" s="41">
        <v>27</v>
      </c>
      <c r="B30" s="181">
        <f t="shared" si="2"/>
        <v>0.56400000000000006</v>
      </c>
      <c r="C30" s="43">
        <f t="shared" si="2"/>
        <v>0.39600000000000002</v>
      </c>
      <c r="D30" s="44" t="s">
        <v>127</v>
      </c>
      <c r="E30" s="44">
        <v>63</v>
      </c>
      <c r="F30" s="44">
        <v>254</v>
      </c>
      <c r="G30" s="44">
        <v>63</v>
      </c>
      <c r="H30" s="182">
        <v>3</v>
      </c>
      <c r="I30" s="188">
        <v>0.60401991843169001</v>
      </c>
      <c r="J30" s="188">
        <v>0.37280414130968598</v>
      </c>
      <c r="K30" s="188">
        <f t="shared" si="3"/>
        <v>127</v>
      </c>
      <c r="L30" s="188">
        <f t="shared" si="4"/>
        <v>32</v>
      </c>
      <c r="M30" s="188">
        <f t="shared" si="5"/>
        <v>2</v>
      </c>
      <c r="N30" s="188">
        <v>0.60560370616430903</v>
      </c>
      <c r="O30" s="188">
        <v>0.37317409264706097</v>
      </c>
      <c r="P30" s="175">
        <f t="shared" si="6"/>
        <v>0.48799999999999999</v>
      </c>
      <c r="Q30" s="46">
        <f t="shared" si="6"/>
        <v>0.45600000000000002</v>
      </c>
      <c r="R30" s="47" t="s">
        <v>131</v>
      </c>
      <c r="S30" s="48">
        <v>72</v>
      </c>
      <c r="T30" s="42">
        <f t="shared" si="7"/>
        <v>0.53600000000000003</v>
      </c>
      <c r="U30" s="43">
        <f t="shared" si="7"/>
        <v>0.40800000000000003</v>
      </c>
      <c r="V30" s="49">
        <v>86</v>
      </c>
      <c r="W30" s="50">
        <v>66</v>
      </c>
      <c r="X30" s="45">
        <f t="shared" si="8"/>
        <v>0.51200000000000001</v>
      </c>
      <c r="Y30" s="46">
        <f t="shared" si="8"/>
        <v>0.41600000000000004</v>
      </c>
      <c r="Z30" s="47">
        <v>80</v>
      </c>
      <c r="AA30" s="48">
        <v>68</v>
      </c>
      <c r="AB30" s="77"/>
      <c r="AC30" s="185">
        <v>27</v>
      </c>
      <c r="AD30" s="33" t="str">
        <f t="shared" si="1"/>
        <v>254,63,3</v>
      </c>
      <c r="AE30" s="33" t="str">
        <f t="shared" si="9"/>
        <v>{254,63,3},</v>
      </c>
      <c r="AF30" s="33" t="str">
        <f t="shared" si="12"/>
        <v>127,32,2</v>
      </c>
      <c r="AG30" s="33" t="str">
        <f t="shared" si="11"/>
        <v>{127,32,2},</v>
      </c>
    </row>
    <row r="31" spans="1:33" ht="16.899999999999999" x14ac:dyDescent="0.6">
      <c r="A31" s="41">
        <v>28</v>
      </c>
      <c r="B31" s="181">
        <f t="shared" si="2"/>
        <v>0.54800000000000004</v>
      </c>
      <c r="C31" s="43">
        <f t="shared" si="2"/>
        <v>0.41200000000000003</v>
      </c>
      <c r="D31" s="44">
        <v>89</v>
      </c>
      <c r="E31" s="44">
        <v>67</v>
      </c>
      <c r="F31" s="44">
        <v>254</v>
      </c>
      <c r="G31" s="44">
        <v>74</v>
      </c>
      <c r="H31" s="182">
        <v>3</v>
      </c>
      <c r="I31" s="188">
        <v>0.58974566970925502</v>
      </c>
      <c r="J31" s="188">
        <v>0.380869378994313</v>
      </c>
      <c r="K31" s="188">
        <f t="shared" si="3"/>
        <v>127</v>
      </c>
      <c r="L31" s="188">
        <f t="shared" si="4"/>
        <v>37</v>
      </c>
      <c r="M31" s="188">
        <f t="shared" si="5"/>
        <v>2</v>
      </c>
      <c r="N31" s="188">
        <v>0.59078482951128897</v>
      </c>
      <c r="O31" s="188">
        <v>0.38060994926755198</v>
      </c>
      <c r="P31" s="175">
        <f t="shared" si="6"/>
        <v>0.44</v>
      </c>
      <c r="Q31" s="46">
        <f t="shared" si="6"/>
        <v>0.5</v>
      </c>
      <c r="R31" s="47" t="s">
        <v>132</v>
      </c>
      <c r="S31" s="48" t="s">
        <v>133</v>
      </c>
      <c r="T31" s="42">
        <f t="shared" si="7"/>
        <v>0.504</v>
      </c>
      <c r="U31" s="43">
        <f t="shared" si="7"/>
        <v>0.436</v>
      </c>
      <c r="V31" s="49" t="s">
        <v>134</v>
      </c>
      <c r="W31" s="50" t="s">
        <v>135</v>
      </c>
      <c r="X31" s="45">
        <f t="shared" si="8"/>
        <v>0.51200000000000001</v>
      </c>
      <c r="Y31" s="46">
        <f t="shared" si="8"/>
        <v>0.436</v>
      </c>
      <c r="Z31" s="47">
        <v>80</v>
      </c>
      <c r="AA31" s="48" t="s">
        <v>135</v>
      </c>
      <c r="AB31" s="78"/>
      <c r="AC31" s="185">
        <v>28</v>
      </c>
      <c r="AD31" s="33" t="str">
        <f t="shared" si="1"/>
        <v>254,74,3</v>
      </c>
      <c r="AE31" s="33" t="str">
        <f t="shared" si="9"/>
        <v>{254,74,3},</v>
      </c>
      <c r="AF31" s="33" t="str">
        <f t="shared" si="12"/>
        <v>127,37,2</v>
      </c>
      <c r="AG31" s="33" t="str">
        <f t="shared" si="11"/>
        <v>{127,37,2},</v>
      </c>
    </row>
    <row r="32" spans="1:33" ht="16.899999999999999" x14ac:dyDescent="0.6">
      <c r="A32" s="41">
        <v>29</v>
      </c>
      <c r="B32" s="181">
        <f t="shared" si="2"/>
        <v>0.52</v>
      </c>
      <c r="C32" s="43">
        <f t="shared" si="2"/>
        <v>0.436</v>
      </c>
      <c r="D32" s="44">
        <v>82</v>
      </c>
      <c r="E32" s="44" t="s">
        <v>135</v>
      </c>
      <c r="F32" s="44">
        <v>173</v>
      </c>
      <c r="G32" s="44">
        <v>82</v>
      </c>
      <c r="H32" s="182">
        <v>3</v>
      </c>
      <c r="I32" s="188">
        <v>0.57641942745658503</v>
      </c>
      <c r="J32" s="188">
        <v>0.39076650571980198</v>
      </c>
      <c r="K32" s="188">
        <f t="shared" si="3"/>
        <v>87</v>
      </c>
      <c r="L32" s="188">
        <f t="shared" si="4"/>
        <v>41</v>
      </c>
      <c r="M32" s="188">
        <f t="shared" si="5"/>
        <v>2</v>
      </c>
      <c r="N32" s="188">
        <v>0.57915017478252295</v>
      </c>
      <c r="O32" s="188">
        <v>0.38924020912991097</v>
      </c>
      <c r="P32" s="175">
        <f t="shared" si="6"/>
        <v>0.42799999999999999</v>
      </c>
      <c r="Q32" s="46">
        <f t="shared" si="6"/>
        <v>0.50800000000000001</v>
      </c>
      <c r="R32" s="47" t="s">
        <v>136</v>
      </c>
      <c r="S32" s="48" t="s">
        <v>137</v>
      </c>
      <c r="T32" s="42">
        <f t="shared" si="7"/>
        <v>0.48</v>
      </c>
      <c r="U32" s="43">
        <f t="shared" si="7"/>
        <v>0.46400000000000002</v>
      </c>
      <c r="V32" s="49">
        <v>78</v>
      </c>
      <c r="W32" s="50">
        <v>74</v>
      </c>
      <c r="X32" s="45">
        <f t="shared" si="8"/>
        <v>0.46800000000000003</v>
      </c>
      <c r="Y32" s="46">
        <f t="shared" si="8"/>
        <v>0.47600000000000003</v>
      </c>
      <c r="Z32" s="47">
        <v>75</v>
      </c>
      <c r="AA32" s="48">
        <v>77</v>
      </c>
      <c r="AB32" s="79"/>
      <c r="AC32" s="185">
        <v>29</v>
      </c>
      <c r="AD32" s="33" t="str">
        <f t="shared" si="1"/>
        <v>173,82,3</v>
      </c>
      <c r="AE32" s="33" t="str">
        <f t="shared" si="9"/>
        <v>{173,82,3},</v>
      </c>
      <c r="AF32" s="33" t="str">
        <f t="shared" si="12"/>
        <v>87,41,2</v>
      </c>
      <c r="AG32" s="33" t="str">
        <f t="shared" si="11"/>
        <v>{87,41,2},</v>
      </c>
    </row>
    <row r="33" spans="1:33" ht="16.899999999999999" x14ac:dyDescent="0.6">
      <c r="A33" s="41">
        <v>30</v>
      </c>
      <c r="B33" s="181">
        <f t="shared" si="2"/>
        <v>0.504</v>
      </c>
      <c r="C33" s="43">
        <f t="shared" si="2"/>
        <v>0.45200000000000001</v>
      </c>
      <c r="D33" s="44" t="s">
        <v>134</v>
      </c>
      <c r="E33" s="44">
        <v>71</v>
      </c>
      <c r="F33" s="44">
        <v>165</v>
      </c>
      <c r="G33" s="44">
        <v>92</v>
      </c>
      <c r="H33" s="182">
        <v>4</v>
      </c>
      <c r="I33" s="188">
        <v>0.52878577453647102</v>
      </c>
      <c r="J33" s="188">
        <v>0.42440353747182902</v>
      </c>
      <c r="K33" s="188">
        <f t="shared" si="3"/>
        <v>83</v>
      </c>
      <c r="L33" s="188">
        <f t="shared" si="4"/>
        <v>46</v>
      </c>
      <c r="M33" s="188">
        <f t="shared" si="5"/>
        <v>2</v>
      </c>
      <c r="N33" s="188">
        <v>0.53200362191532502</v>
      </c>
      <c r="O33" s="188">
        <v>0.42254641801849802</v>
      </c>
      <c r="P33" s="175">
        <f t="shared" si="6"/>
        <v>0.41200000000000003</v>
      </c>
      <c r="Q33" s="46">
        <f t="shared" si="6"/>
        <v>0.53200000000000003</v>
      </c>
      <c r="R33" s="47">
        <v>67</v>
      </c>
      <c r="S33" s="48">
        <v>85</v>
      </c>
      <c r="T33" s="42">
        <f t="shared" si="7"/>
        <v>0.42799999999999999</v>
      </c>
      <c r="U33" s="43">
        <f t="shared" si="7"/>
        <v>0.51200000000000001</v>
      </c>
      <c r="V33" s="49" t="s">
        <v>136</v>
      </c>
      <c r="W33" s="50">
        <v>80</v>
      </c>
      <c r="X33" s="45">
        <f t="shared" si="8"/>
        <v>0.42799999999999999</v>
      </c>
      <c r="Y33" s="46">
        <f t="shared" si="8"/>
        <v>0.51200000000000001</v>
      </c>
      <c r="Z33" s="47" t="s">
        <v>136</v>
      </c>
      <c r="AA33" s="48">
        <v>80</v>
      </c>
      <c r="AB33" s="80"/>
      <c r="AC33" s="185">
        <v>30</v>
      </c>
      <c r="AD33" s="33" t="str">
        <f t="shared" si="1"/>
        <v>165,92,4</v>
      </c>
      <c r="AE33" s="33" t="str">
        <f t="shared" si="9"/>
        <v>{165,92,4},</v>
      </c>
      <c r="AF33" s="33" t="str">
        <f t="shared" si="12"/>
        <v>83,46,2</v>
      </c>
      <c r="AG33" s="33" t="str">
        <f t="shared" si="11"/>
        <v>{83,46,2},</v>
      </c>
    </row>
    <row r="34" spans="1:33" ht="16.899999999999999" x14ac:dyDescent="0.6">
      <c r="A34" s="41">
        <v>31</v>
      </c>
      <c r="B34" s="181">
        <f t="shared" si="2"/>
        <v>0.48399999999999999</v>
      </c>
      <c r="C34" s="43">
        <f t="shared" si="2"/>
        <v>0.46800000000000003</v>
      </c>
      <c r="D34" s="44">
        <v>79</v>
      </c>
      <c r="E34" s="44">
        <v>75</v>
      </c>
      <c r="F34" s="44">
        <v>156</v>
      </c>
      <c r="G34" s="44">
        <v>103</v>
      </c>
      <c r="H34" s="182">
        <v>4</v>
      </c>
      <c r="I34" s="188">
        <v>0.50824605274144996</v>
      </c>
      <c r="J34" s="188">
        <v>0.43552949605836699</v>
      </c>
      <c r="K34" s="188">
        <f t="shared" si="3"/>
        <v>78</v>
      </c>
      <c r="L34" s="188">
        <f t="shared" si="4"/>
        <v>52</v>
      </c>
      <c r="M34" s="188">
        <f t="shared" si="5"/>
        <v>2</v>
      </c>
      <c r="N34" s="188">
        <v>0.51364815503531902</v>
      </c>
      <c r="O34" s="188">
        <v>0.43599860237434201</v>
      </c>
      <c r="P34" s="175">
        <f t="shared" si="6"/>
        <v>0.40400000000000003</v>
      </c>
      <c r="Q34" s="46">
        <f t="shared" si="6"/>
        <v>0.54</v>
      </c>
      <c r="R34" s="47">
        <v>65</v>
      </c>
      <c r="S34" s="48">
        <v>87</v>
      </c>
      <c r="T34" s="42">
        <f t="shared" si="7"/>
        <v>0.42399999999999999</v>
      </c>
      <c r="U34" s="43">
        <f t="shared" si="7"/>
        <v>0.51600000000000001</v>
      </c>
      <c r="V34" s="49" t="s">
        <v>138</v>
      </c>
      <c r="W34" s="50">
        <v>81</v>
      </c>
      <c r="X34" s="45">
        <f t="shared" si="8"/>
        <v>0.41600000000000004</v>
      </c>
      <c r="Y34" s="46">
        <f t="shared" si="8"/>
        <v>0.52400000000000002</v>
      </c>
      <c r="Z34" s="47">
        <v>68</v>
      </c>
      <c r="AA34" s="48">
        <v>83</v>
      </c>
      <c r="AB34" s="81"/>
      <c r="AC34" s="185">
        <v>31</v>
      </c>
      <c r="AD34" s="33" t="str">
        <f t="shared" si="1"/>
        <v>156,103,4</v>
      </c>
      <c r="AE34" s="33" t="str">
        <f t="shared" si="9"/>
        <v>{156,103,4},</v>
      </c>
      <c r="AF34" s="33" t="str">
        <f t="shared" si="12"/>
        <v>78,52,2</v>
      </c>
      <c r="AG34" s="33" t="str">
        <f t="shared" si="11"/>
        <v>{78,52,2},</v>
      </c>
    </row>
    <row r="35" spans="1:33" ht="16.899999999999999" x14ac:dyDescent="0.6">
      <c r="A35" s="41">
        <v>32</v>
      </c>
      <c r="B35" s="181">
        <f t="shared" si="2"/>
        <v>0.44400000000000001</v>
      </c>
      <c r="C35" s="43">
        <f t="shared" si="2"/>
        <v>0.5</v>
      </c>
      <c r="D35" s="44" t="s">
        <v>139</v>
      </c>
      <c r="E35" s="44" t="s">
        <v>133</v>
      </c>
      <c r="F35" s="44">
        <v>148</v>
      </c>
      <c r="G35" s="44">
        <v>130</v>
      </c>
      <c r="H35" s="182">
        <v>5</v>
      </c>
      <c r="I35" s="188">
        <v>0.48755265250669799</v>
      </c>
      <c r="J35" s="188">
        <v>0.45070137713408498</v>
      </c>
      <c r="K35" s="188">
        <f t="shared" si="3"/>
        <v>74</v>
      </c>
      <c r="L35" s="188">
        <f t="shared" si="4"/>
        <v>65</v>
      </c>
      <c r="M35" s="188">
        <f t="shared" si="5"/>
        <v>3</v>
      </c>
      <c r="N35" s="188">
        <v>0.49114276969766502</v>
      </c>
      <c r="O35" s="188">
        <v>0.45249046007166199</v>
      </c>
      <c r="P35" s="175">
        <f t="shared" si="6"/>
        <v>0.4</v>
      </c>
      <c r="Q35" s="46">
        <f t="shared" si="6"/>
        <v>0.54</v>
      </c>
      <c r="R35" s="47">
        <v>64</v>
      </c>
      <c r="S35" s="48">
        <v>87</v>
      </c>
      <c r="T35" s="42">
        <f t="shared" si="7"/>
        <v>0.41200000000000003</v>
      </c>
      <c r="U35" s="43">
        <f t="shared" si="7"/>
        <v>0.53200000000000003</v>
      </c>
      <c r="V35" s="49">
        <v>67</v>
      </c>
      <c r="W35" s="50">
        <v>85</v>
      </c>
      <c r="X35" s="45">
        <f t="shared" si="8"/>
        <v>0.41200000000000003</v>
      </c>
      <c r="Y35" s="46">
        <f t="shared" si="8"/>
        <v>0.53200000000000003</v>
      </c>
      <c r="Z35" s="47">
        <v>67</v>
      </c>
      <c r="AA35" s="48">
        <v>85</v>
      </c>
      <c r="AB35" s="82"/>
      <c r="AC35" s="185">
        <v>32</v>
      </c>
      <c r="AD35" s="33" t="str">
        <f t="shared" si="1"/>
        <v>148,130,5</v>
      </c>
      <c r="AE35" s="33" t="str">
        <f t="shared" si="9"/>
        <v>{148,130,5},</v>
      </c>
      <c r="AF35" s="33" t="str">
        <f t="shared" si="12"/>
        <v>74,65,3</v>
      </c>
      <c r="AG35" s="33" t="str">
        <f t="shared" si="11"/>
        <v>{74,65,3},</v>
      </c>
    </row>
    <row r="36" spans="1:33" ht="16.899999999999999" x14ac:dyDescent="0.6">
      <c r="A36" s="41">
        <v>33</v>
      </c>
      <c r="B36" s="181">
        <f t="shared" si="2"/>
        <v>0.42</v>
      </c>
      <c r="C36" s="43">
        <f t="shared" si="2"/>
        <v>0.52400000000000002</v>
      </c>
      <c r="D36" s="44">
        <v>69</v>
      </c>
      <c r="E36" s="44">
        <v>83</v>
      </c>
      <c r="F36" s="44">
        <v>142</v>
      </c>
      <c r="G36" s="44">
        <v>148</v>
      </c>
      <c r="H36" s="182">
        <v>6</v>
      </c>
      <c r="I36" s="188">
        <v>0.44883301293295003</v>
      </c>
      <c r="J36" s="188">
        <v>0.47664816546308603</v>
      </c>
      <c r="K36" s="188">
        <f t="shared" si="3"/>
        <v>71</v>
      </c>
      <c r="L36" s="188">
        <f t="shared" si="4"/>
        <v>74</v>
      </c>
      <c r="M36" s="188">
        <f t="shared" si="5"/>
        <v>3</v>
      </c>
      <c r="N36" s="188">
        <v>0.451926378101978</v>
      </c>
      <c r="O36" s="188">
        <v>0.47563409184077099</v>
      </c>
      <c r="P36" s="175">
        <f t="shared" si="6"/>
        <v>0.39200000000000002</v>
      </c>
      <c r="Q36" s="46">
        <f t="shared" si="6"/>
        <v>0.55600000000000005</v>
      </c>
      <c r="R36" s="47">
        <v>62</v>
      </c>
      <c r="S36" s="48" t="s">
        <v>140</v>
      </c>
      <c r="T36" s="42">
        <f t="shared" si="7"/>
        <v>0.40800000000000003</v>
      </c>
      <c r="U36" s="43">
        <f t="shared" si="7"/>
        <v>0.53200000000000003</v>
      </c>
      <c r="V36" s="49">
        <v>66</v>
      </c>
      <c r="W36" s="50">
        <v>85</v>
      </c>
      <c r="X36" s="45">
        <f t="shared" si="8"/>
        <v>0.39600000000000002</v>
      </c>
      <c r="Y36" s="46">
        <f t="shared" si="8"/>
        <v>0.54400000000000004</v>
      </c>
      <c r="Z36" s="47">
        <v>63</v>
      </c>
      <c r="AA36" s="48">
        <v>88</v>
      </c>
      <c r="AB36" s="83"/>
      <c r="AC36" s="185">
        <v>33</v>
      </c>
      <c r="AD36" s="33" t="str">
        <f t="shared" ref="AD36:AD67" si="13">CONCATENATE(F36, ",", G36, ",", H36)</f>
        <v>142,148,6</v>
      </c>
      <c r="AE36" s="33" t="str">
        <f t="shared" si="9"/>
        <v>{142,148,6},</v>
      </c>
      <c r="AF36" s="33" t="str">
        <f t="shared" si="12"/>
        <v>71,74,3</v>
      </c>
      <c r="AG36" s="33" t="str">
        <f t="shared" si="11"/>
        <v>{71,74,3},</v>
      </c>
    </row>
    <row r="37" spans="1:33" ht="16.899999999999999" x14ac:dyDescent="0.6">
      <c r="A37" s="41">
        <v>34</v>
      </c>
      <c r="B37" s="181">
        <f t="shared" si="2"/>
        <v>0.38800000000000001</v>
      </c>
      <c r="C37" s="43">
        <f t="shared" si="2"/>
        <v>0.55200000000000005</v>
      </c>
      <c r="D37" s="44">
        <v>61</v>
      </c>
      <c r="E37" s="44" t="s">
        <v>141</v>
      </c>
      <c r="F37" s="44">
        <v>141</v>
      </c>
      <c r="G37" s="44">
        <v>183</v>
      </c>
      <c r="H37" s="182">
        <v>8</v>
      </c>
      <c r="I37" s="188">
        <v>0.42424260078998899</v>
      </c>
      <c r="J37" s="188">
        <v>0.49220494075084098</v>
      </c>
      <c r="K37" s="188">
        <f t="shared" si="3"/>
        <v>71</v>
      </c>
      <c r="L37" s="188">
        <f t="shared" si="4"/>
        <v>92</v>
      </c>
      <c r="M37" s="188">
        <f t="shared" si="5"/>
        <v>4</v>
      </c>
      <c r="N37" s="188">
        <v>0.42835614212776202</v>
      </c>
      <c r="O37" s="188">
        <v>0.49324189711421301</v>
      </c>
      <c r="P37" s="175">
        <f t="shared" si="6"/>
        <v>0.36</v>
      </c>
      <c r="Q37" s="46">
        <f t="shared" si="6"/>
        <v>0.57600000000000007</v>
      </c>
      <c r="R37" s="47" t="s">
        <v>142</v>
      </c>
      <c r="S37" s="48">
        <v>90</v>
      </c>
      <c r="T37" s="42">
        <f t="shared" si="7"/>
        <v>0.40400000000000003</v>
      </c>
      <c r="U37" s="43">
        <f t="shared" si="7"/>
        <v>0.54</v>
      </c>
      <c r="V37" s="49">
        <v>65</v>
      </c>
      <c r="W37" s="50">
        <v>87</v>
      </c>
      <c r="X37" s="45">
        <f t="shared" si="8"/>
        <v>0.38400000000000001</v>
      </c>
      <c r="Y37" s="46">
        <f t="shared" si="8"/>
        <v>0.55600000000000005</v>
      </c>
      <c r="Z37" s="47">
        <v>60</v>
      </c>
      <c r="AA37" s="48" t="s">
        <v>140</v>
      </c>
      <c r="AB37" s="84"/>
      <c r="AC37" s="185">
        <v>34</v>
      </c>
      <c r="AD37" s="33" t="str">
        <f t="shared" si="13"/>
        <v>141,183,8</v>
      </c>
      <c r="AE37" s="33" t="str">
        <f t="shared" si="9"/>
        <v>{141,183,8},</v>
      </c>
      <c r="AF37" s="33" t="str">
        <f t="shared" si="12"/>
        <v>71,92,4</v>
      </c>
      <c r="AG37" s="33" t="str">
        <f t="shared" si="11"/>
        <v>{71,92,4},</v>
      </c>
    </row>
    <row r="38" spans="1:33" ht="16.899999999999999" x14ac:dyDescent="0.6">
      <c r="A38" s="41">
        <v>35</v>
      </c>
      <c r="B38" s="181">
        <f t="shared" si="2"/>
        <v>0.36</v>
      </c>
      <c r="C38" s="43">
        <f t="shared" si="2"/>
        <v>0.57600000000000007</v>
      </c>
      <c r="D38" s="44" t="s">
        <v>142</v>
      </c>
      <c r="E38" s="44">
        <v>90</v>
      </c>
      <c r="F38" s="44">
        <v>139</v>
      </c>
      <c r="G38" s="44">
        <v>212</v>
      </c>
      <c r="H38" s="182">
        <v>9</v>
      </c>
      <c r="I38" s="188">
        <v>0.39202023771765998</v>
      </c>
      <c r="J38" s="188">
        <v>0.51206468622733203</v>
      </c>
      <c r="K38" s="188">
        <f t="shared" si="3"/>
        <v>70</v>
      </c>
      <c r="L38" s="188">
        <f t="shared" si="4"/>
        <v>106</v>
      </c>
      <c r="M38" s="188">
        <f t="shared" si="5"/>
        <v>5</v>
      </c>
      <c r="N38" s="188">
        <v>0.39546380560762001</v>
      </c>
      <c r="O38" s="188">
        <v>0.51190663191410002</v>
      </c>
      <c r="P38" s="175">
        <f t="shared" si="6"/>
        <v>0.34</v>
      </c>
      <c r="Q38" s="46">
        <f t="shared" si="6"/>
        <v>0.59599999999999997</v>
      </c>
      <c r="R38" s="47">
        <v>55</v>
      </c>
      <c r="S38" s="48">
        <v>95</v>
      </c>
      <c r="T38" s="42">
        <f t="shared" si="7"/>
        <v>0.36</v>
      </c>
      <c r="U38" s="43">
        <f t="shared" si="7"/>
        <v>0.57600000000000007</v>
      </c>
      <c r="V38" s="49" t="s">
        <v>142</v>
      </c>
      <c r="W38" s="50">
        <v>90</v>
      </c>
      <c r="X38" s="45">
        <f t="shared" si="8"/>
        <v>0.36</v>
      </c>
      <c r="Y38" s="46">
        <f t="shared" si="8"/>
        <v>0.57600000000000007</v>
      </c>
      <c r="Z38" s="47" t="s">
        <v>142</v>
      </c>
      <c r="AA38" s="48">
        <v>90</v>
      </c>
      <c r="AB38" s="85"/>
      <c r="AC38" s="185">
        <v>35</v>
      </c>
      <c r="AD38" s="33" t="str">
        <f t="shared" si="13"/>
        <v>139,212,9</v>
      </c>
      <c r="AE38" s="33" t="str">
        <f t="shared" si="9"/>
        <v>{139,212,9},</v>
      </c>
      <c r="AF38" s="33" t="str">
        <f t="shared" si="12"/>
        <v>70,106,5</v>
      </c>
      <c r="AG38" s="33" t="str">
        <f t="shared" si="11"/>
        <v>{70,106,5},</v>
      </c>
    </row>
    <row r="39" spans="1:33" ht="16.899999999999999" x14ac:dyDescent="0.6">
      <c r="A39" s="41">
        <v>36</v>
      </c>
      <c r="B39" s="181">
        <f t="shared" si="2"/>
        <v>0.34</v>
      </c>
      <c r="C39" s="43">
        <f t="shared" si="2"/>
        <v>0.59599999999999997</v>
      </c>
      <c r="D39" s="44">
        <v>55</v>
      </c>
      <c r="E39" s="44">
        <v>95</v>
      </c>
      <c r="F39" s="44">
        <v>135</v>
      </c>
      <c r="G39" s="44">
        <v>233</v>
      </c>
      <c r="H39" s="182">
        <v>10</v>
      </c>
      <c r="I39" s="188" t="s">
        <v>194</v>
      </c>
      <c r="J39" s="188" t="s">
        <v>194</v>
      </c>
      <c r="K39" s="188">
        <f t="shared" si="3"/>
        <v>68</v>
      </c>
      <c r="L39" s="188">
        <f t="shared" si="4"/>
        <v>117</v>
      </c>
      <c r="M39" s="188">
        <f t="shared" si="5"/>
        <v>5</v>
      </c>
      <c r="N39" s="188">
        <v>0.37225832532617698</v>
      </c>
      <c r="O39" s="188">
        <v>0.52514262868956896</v>
      </c>
      <c r="P39" s="175">
        <f t="shared" si="6"/>
        <v>0.34</v>
      </c>
      <c r="Q39" s="46">
        <f t="shared" si="6"/>
        <v>0.59599999999999997</v>
      </c>
      <c r="R39" s="47">
        <v>55</v>
      </c>
      <c r="S39" s="48">
        <v>95</v>
      </c>
      <c r="T39" s="42">
        <f t="shared" si="7"/>
        <v>0.34</v>
      </c>
      <c r="U39" s="43">
        <f t="shared" si="7"/>
        <v>0.59599999999999997</v>
      </c>
      <c r="V39" s="49">
        <v>55</v>
      </c>
      <c r="W39" s="50">
        <v>95</v>
      </c>
      <c r="X39" s="45">
        <f t="shared" si="8"/>
        <v>0.34</v>
      </c>
      <c r="Y39" s="46">
        <f t="shared" si="8"/>
        <v>0.59599999999999997</v>
      </c>
      <c r="Z39" s="47">
        <v>55</v>
      </c>
      <c r="AA39" s="48">
        <v>95</v>
      </c>
      <c r="AB39" s="86"/>
      <c r="AC39" s="185">
        <v>36</v>
      </c>
      <c r="AD39" s="33" t="str">
        <f t="shared" si="13"/>
        <v>135,233,10</v>
      </c>
      <c r="AE39" s="33" t="str">
        <f t="shared" si="9"/>
        <v>{135,233,10},</v>
      </c>
      <c r="AF39" s="33" t="str">
        <f t="shared" si="12"/>
        <v>68,117,5</v>
      </c>
      <c r="AG39" s="33" t="str">
        <f t="shared" si="11"/>
        <v>{68,117,5},</v>
      </c>
    </row>
    <row r="40" spans="1:33" ht="16.899999999999999" x14ac:dyDescent="0.6">
      <c r="A40" s="41">
        <v>37</v>
      </c>
      <c r="B40" s="181">
        <f t="shared" si="2"/>
        <v>0.32400000000000001</v>
      </c>
      <c r="C40" s="43">
        <f t="shared" si="2"/>
        <v>0.60799999999999998</v>
      </c>
      <c r="D40" s="44">
        <v>51</v>
      </c>
      <c r="E40" s="44">
        <v>98</v>
      </c>
      <c r="F40" s="44">
        <v>130</v>
      </c>
      <c r="G40" s="44">
        <v>244</v>
      </c>
      <c r="H40" s="182">
        <v>12</v>
      </c>
      <c r="I40" s="188" t="s">
        <v>194</v>
      </c>
      <c r="J40" s="188" t="s">
        <v>194</v>
      </c>
      <c r="K40" s="188">
        <f t="shared" si="3"/>
        <v>65</v>
      </c>
      <c r="L40" s="188">
        <f t="shared" si="4"/>
        <v>122</v>
      </c>
      <c r="M40" s="188">
        <f t="shared" si="5"/>
        <v>6</v>
      </c>
      <c r="N40" s="188">
        <v>0.35445933601275198</v>
      </c>
      <c r="O40" s="188">
        <v>0.53899142750476503</v>
      </c>
      <c r="P40" s="175">
        <f t="shared" si="6"/>
        <v>0.32400000000000001</v>
      </c>
      <c r="Q40" s="46">
        <f t="shared" si="6"/>
        <v>0.60799999999999998</v>
      </c>
      <c r="R40" s="47">
        <v>51</v>
      </c>
      <c r="S40" s="48">
        <v>98</v>
      </c>
      <c r="T40" s="42">
        <f t="shared" si="7"/>
        <v>0.32400000000000001</v>
      </c>
      <c r="U40" s="43">
        <f t="shared" si="7"/>
        <v>0.60799999999999998</v>
      </c>
      <c r="V40" s="49">
        <v>51</v>
      </c>
      <c r="W40" s="50">
        <v>98</v>
      </c>
      <c r="X40" s="45">
        <f t="shared" si="8"/>
        <v>0.32400000000000001</v>
      </c>
      <c r="Y40" s="46">
        <f t="shared" si="8"/>
        <v>0.60799999999999998</v>
      </c>
      <c r="Z40" s="47">
        <v>51</v>
      </c>
      <c r="AA40" s="48">
        <v>98</v>
      </c>
      <c r="AB40" s="87"/>
      <c r="AC40" s="185">
        <v>37</v>
      </c>
      <c r="AD40" s="33" t="str">
        <f t="shared" si="13"/>
        <v>130,244,12</v>
      </c>
      <c r="AE40" s="33" t="str">
        <f t="shared" si="9"/>
        <v>{130,244,12},</v>
      </c>
      <c r="AF40" s="33" t="str">
        <f t="shared" si="12"/>
        <v>65,122,6</v>
      </c>
      <c r="AG40" s="33" t="str">
        <f t="shared" si="11"/>
        <v>{65,122,6},</v>
      </c>
    </row>
    <row r="41" spans="1:33" ht="16.899999999999999" x14ac:dyDescent="0.6">
      <c r="A41" s="41">
        <v>38</v>
      </c>
      <c r="B41" s="181">
        <f t="shared" si="2"/>
        <v>0.30399999999999999</v>
      </c>
      <c r="C41" s="43">
        <f t="shared" si="2"/>
        <v>0.61199999999999999</v>
      </c>
      <c r="D41" s="44" t="s">
        <v>120</v>
      </c>
      <c r="E41" s="44">
        <v>99</v>
      </c>
      <c r="F41" s="44">
        <v>125</v>
      </c>
      <c r="G41" s="44">
        <v>255</v>
      </c>
      <c r="H41" s="182">
        <v>16</v>
      </c>
      <c r="I41" s="188" t="s">
        <v>194</v>
      </c>
      <c r="J41" s="188" t="s">
        <v>194</v>
      </c>
      <c r="K41" s="188">
        <f t="shared" si="3"/>
        <v>63</v>
      </c>
      <c r="L41" s="188">
        <f t="shared" si="4"/>
        <v>128</v>
      </c>
      <c r="M41" s="188">
        <f t="shared" si="5"/>
        <v>8</v>
      </c>
      <c r="N41" s="188">
        <v>0.34098102165944999</v>
      </c>
      <c r="O41" s="188">
        <v>0.54441906586381195</v>
      </c>
      <c r="P41" s="175">
        <f t="shared" si="6"/>
        <v>0.30399999999999999</v>
      </c>
      <c r="Q41" s="46">
        <f t="shared" si="6"/>
        <v>0.61199999999999999</v>
      </c>
      <c r="R41" s="47" t="s">
        <v>120</v>
      </c>
      <c r="S41" s="48">
        <v>99</v>
      </c>
      <c r="T41" s="42">
        <f t="shared" si="7"/>
        <v>0.30399999999999999</v>
      </c>
      <c r="U41" s="43">
        <f t="shared" si="7"/>
        <v>0.61199999999999999</v>
      </c>
      <c r="V41" s="49" t="s">
        <v>120</v>
      </c>
      <c r="W41" s="50">
        <v>99</v>
      </c>
      <c r="X41" s="45">
        <f t="shared" si="8"/>
        <v>0.30399999999999999</v>
      </c>
      <c r="Y41" s="46">
        <f t="shared" si="8"/>
        <v>0.61199999999999999</v>
      </c>
      <c r="Z41" s="47" t="s">
        <v>120</v>
      </c>
      <c r="AA41" s="48">
        <v>99</v>
      </c>
      <c r="AB41" s="88"/>
      <c r="AC41" s="185">
        <v>38</v>
      </c>
      <c r="AD41" s="33" t="str">
        <f t="shared" si="13"/>
        <v>125,255,16</v>
      </c>
      <c r="AE41" s="33" t="str">
        <f t="shared" si="9"/>
        <v>{125,255,16},</v>
      </c>
      <c r="AF41" s="33" t="str">
        <f t="shared" si="12"/>
        <v>63,128,8</v>
      </c>
      <c r="AG41" s="33" t="str">
        <f t="shared" si="11"/>
        <v>{63,128,8},</v>
      </c>
    </row>
    <row r="42" spans="1:33" ht="16.899999999999999" x14ac:dyDescent="0.6">
      <c r="A42" s="41">
        <v>39</v>
      </c>
      <c r="B42" s="181">
        <f t="shared" si="2"/>
        <v>0.28800000000000003</v>
      </c>
      <c r="C42" s="43">
        <f t="shared" si="2"/>
        <v>0.60799999999999998</v>
      </c>
      <c r="D42" s="44">
        <v>48</v>
      </c>
      <c r="E42" s="44">
        <v>98</v>
      </c>
      <c r="F42" s="44">
        <v>117</v>
      </c>
      <c r="G42" s="44">
        <v>255</v>
      </c>
      <c r="H42" s="182">
        <v>22</v>
      </c>
      <c r="I42" s="188" t="s">
        <v>194</v>
      </c>
      <c r="J42" s="188" t="s">
        <v>194</v>
      </c>
      <c r="K42" s="188">
        <f t="shared" si="3"/>
        <v>59</v>
      </c>
      <c r="L42" s="188">
        <f t="shared" si="4"/>
        <v>128</v>
      </c>
      <c r="M42" s="188">
        <f t="shared" si="5"/>
        <v>11</v>
      </c>
      <c r="N42" s="188">
        <v>0.32777318115743298</v>
      </c>
      <c r="O42" s="188">
        <v>0.545704774080643</v>
      </c>
      <c r="P42" s="175">
        <f t="shared" si="6"/>
        <v>0.28800000000000003</v>
      </c>
      <c r="Q42" s="46">
        <f t="shared" si="6"/>
        <v>0.60799999999999998</v>
      </c>
      <c r="R42" s="47">
        <v>48</v>
      </c>
      <c r="S42" s="48">
        <v>98</v>
      </c>
      <c r="T42" s="42">
        <f t="shared" si="7"/>
        <v>0.28800000000000003</v>
      </c>
      <c r="U42" s="43">
        <f t="shared" si="7"/>
        <v>0.60799999999999998</v>
      </c>
      <c r="V42" s="49">
        <v>48</v>
      </c>
      <c r="W42" s="50">
        <v>98</v>
      </c>
      <c r="X42" s="45">
        <f t="shared" si="8"/>
        <v>0.28800000000000003</v>
      </c>
      <c r="Y42" s="46">
        <f t="shared" si="8"/>
        <v>0.60799999999999998</v>
      </c>
      <c r="Z42" s="47">
        <v>48</v>
      </c>
      <c r="AA42" s="48">
        <v>98</v>
      </c>
      <c r="AB42" s="89"/>
      <c r="AC42" s="185">
        <v>39</v>
      </c>
      <c r="AD42" s="33" t="str">
        <f t="shared" si="13"/>
        <v>117,255,22</v>
      </c>
      <c r="AE42" s="33" t="str">
        <f t="shared" si="9"/>
        <v>{117,255,22},</v>
      </c>
      <c r="AF42" s="33" t="str">
        <f t="shared" si="12"/>
        <v>59,128,11</v>
      </c>
      <c r="AG42" s="33" t="str">
        <f t="shared" si="11"/>
        <v>{59,128,11},</v>
      </c>
    </row>
    <row r="43" spans="1:33" ht="16.899999999999999" x14ac:dyDescent="0.6">
      <c r="A43" s="41">
        <v>40</v>
      </c>
      <c r="B43" s="181">
        <f t="shared" si="2"/>
        <v>0.27600000000000002</v>
      </c>
      <c r="C43" s="43">
        <f t="shared" si="2"/>
        <v>0.59199999999999997</v>
      </c>
      <c r="D43" s="44">
        <v>45</v>
      </c>
      <c r="E43" s="44">
        <v>94</v>
      </c>
      <c r="F43" s="44">
        <v>107</v>
      </c>
      <c r="G43" s="44">
        <v>244</v>
      </c>
      <c r="H43" s="182">
        <v>30</v>
      </c>
      <c r="I43" s="188" t="s">
        <v>194</v>
      </c>
      <c r="J43" s="188" t="s">
        <v>194</v>
      </c>
      <c r="K43" s="188">
        <f t="shared" si="3"/>
        <v>54</v>
      </c>
      <c r="L43" s="188">
        <f t="shared" si="4"/>
        <v>122</v>
      </c>
      <c r="M43" s="188">
        <f t="shared" si="5"/>
        <v>15</v>
      </c>
      <c r="N43" s="188">
        <v>0.31510830919787902</v>
      </c>
      <c r="O43" s="188">
        <v>0.54013739419626805</v>
      </c>
      <c r="P43" s="175">
        <f t="shared" si="6"/>
        <v>0.27600000000000002</v>
      </c>
      <c r="Q43" s="46">
        <f t="shared" si="6"/>
        <v>0.59199999999999997</v>
      </c>
      <c r="R43" s="47">
        <v>45</v>
      </c>
      <c r="S43" s="48">
        <v>94</v>
      </c>
      <c r="T43" s="42">
        <f t="shared" si="7"/>
        <v>0.27600000000000002</v>
      </c>
      <c r="U43" s="43">
        <f t="shared" si="7"/>
        <v>0.59199999999999997</v>
      </c>
      <c r="V43" s="49">
        <v>45</v>
      </c>
      <c r="W43" s="50">
        <v>94</v>
      </c>
      <c r="X43" s="45">
        <f t="shared" si="8"/>
        <v>0.27600000000000002</v>
      </c>
      <c r="Y43" s="46">
        <f t="shared" si="8"/>
        <v>0.59199999999999997</v>
      </c>
      <c r="Z43" s="47">
        <v>45</v>
      </c>
      <c r="AA43" s="48">
        <v>94</v>
      </c>
      <c r="AB43" s="90"/>
      <c r="AC43" s="185">
        <v>40</v>
      </c>
      <c r="AD43" s="33" t="str">
        <f t="shared" si="13"/>
        <v>107,244,30</v>
      </c>
      <c r="AE43" s="33" t="str">
        <f t="shared" si="9"/>
        <v>{107,244,30},</v>
      </c>
      <c r="AF43" s="33" t="str">
        <f t="shared" si="12"/>
        <v>54,122,15</v>
      </c>
      <c r="AG43" s="33" t="str">
        <f t="shared" si="11"/>
        <v>{54,122,15},</v>
      </c>
    </row>
    <row r="44" spans="1:33" ht="16.899999999999999" x14ac:dyDescent="0.6">
      <c r="A44" s="41">
        <v>41</v>
      </c>
      <c r="B44" s="181">
        <f t="shared" si="2"/>
        <v>0.26</v>
      </c>
      <c r="C44" s="43">
        <f t="shared" si="2"/>
        <v>0.56400000000000006</v>
      </c>
      <c r="D44" s="44">
        <v>41</v>
      </c>
      <c r="E44" s="44" t="s">
        <v>127</v>
      </c>
      <c r="F44" s="44">
        <v>98</v>
      </c>
      <c r="G44" s="44">
        <v>233</v>
      </c>
      <c r="H44" s="182">
        <v>41</v>
      </c>
      <c r="I44" s="188" t="s">
        <v>194</v>
      </c>
      <c r="J44" s="188" t="s">
        <v>194</v>
      </c>
      <c r="K44" s="188">
        <f t="shared" si="3"/>
        <v>49</v>
      </c>
      <c r="L44" s="188">
        <f t="shared" si="4"/>
        <v>117</v>
      </c>
      <c r="M44" s="188">
        <f t="shared" si="5"/>
        <v>21</v>
      </c>
      <c r="N44" s="188">
        <v>0.30404165364480501</v>
      </c>
      <c r="O44" s="188">
        <v>0.52800865362197302</v>
      </c>
      <c r="P44" s="175">
        <f t="shared" si="6"/>
        <v>0.26</v>
      </c>
      <c r="Q44" s="46">
        <f t="shared" si="6"/>
        <v>0.56400000000000006</v>
      </c>
      <c r="R44" s="47">
        <v>41</v>
      </c>
      <c r="S44" s="48" t="s">
        <v>127</v>
      </c>
      <c r="T44" s="42">
        <f t="shared" si="7"/>
        <v>0.26</v>
      </c>
      <c r="U44" s="43">
        <f t="shared" si="7"/>
        <v>0.56400000000000006</v>
      </c>
      <c r="V44" s="49">
        <v>41</v>
      </c>
      <c r="W44" s="50" t="s">
        <v>127</v>
      </c>
      <c r="X44" s="45">
        <f t="shared" si="8"/>
        <v>0.26</v>
      </c>
      <c r="Y44" s="46">
        <f t="shared" si="8"/>
        <v>0.56400000000000006</v>
      </c>
      <c r="Z44" s="47">
        <v>41</v>
      </c>
      <c r="AA44" s="48" t="s">
        <v>127</v>
      </c>
      <c r="AB44" s="91"/>
      <c r="AC44" s="185">
        <v>41</v>
      </c>
      <c r="AD44" s="33" t="str">
        <f t="shared" si="13"/>
        <v>98,233,41</v>
      </c>
      <c r="AE44" s="33" t="str">
        <f t="shared" si="9"/>
        <v>{98,233,41},</v>
      </c>
      <c r="AF44" s="33" t="str">
        <f t="shared" si="12"/>
        <v>49,117,21</v>
      </c>
      <c r="AG44" s="33" t="str">
        <f t="shared" si="11"/>
        <v>{49,117,21},</v>
      </c>
    </row>
    <row r="45" spans="1:33" ht="16.899999999999999" x14ac:dyDescent="0.6">
      <c r="A45" s="41">
        <v>42</v>
      </c>
      <c r="B45" s="181">
        <f t="shared" si="2"/>
        <v>0.24399999999999999</v>
      </c>
      <c r="C45" s="43">
        <f t="shared" si="2"/>
        <v>0.53200000000000003</v>
      </c>
      <c r="D45" s="44" t="s">
        <v>119</v>
      </c>
      <c r="E45" s="44">
        <v>85</v>
      </c>
      <c r="F45" s="44">
        <v>89</v>
      </c>
      <c r="G45" s="44">
        <v>222</v>
      </c>
      <c r="H45" s="182">
        <v>56</v>
      </c>
      <c r="I45" s="188" t="s">
        <v>194</v>
      </c>
      <c r="J45" s="188" t="s">
        <v>194</v>
      </c>
      <c r="K45" s="188">
        <f t="shared" si="3"/>
        <v>45</v>
      </c>
      <c r="L45" s="188">
        <f t="shared" si="4"/>
        <v>111</v>
      </c>
      <c r="M45" s="188">
        <f t="shared" si="5"/>
        <v>28</v>
      </c>
      <c r="N45" s="188">
        <v>0.28930907268959799</v>
      </c>
      <c r="O45" s="188">
        <v>0.50834455613149399</v>
      </c>
      <c r="P45" s="175">
        <f t="shared" si="6"/>
        <v>0.24399999999999999</v>
      </c>
      <c r="Q45" s="46">
        <f t="shared" si="6"/>
        <v>0.53200000000000003</v>
      </c>
      <c r="R45" s="47" t="s">
        <v>119</v>
      </c>
      <c r="S45" s="48">
        <v>85</v>
      </c>
      <c r="T45" s="42">
        <f t="shared" si="7"/>
        <v>0.24399999999999999</v>
      </c>
      <c r="U45" s="43">
        <f t="shared" si="7"/>
        <v>0.53200000000000003</v>
      </c>
      <c r="V45" s="49" t="s">
        <v>119</v>
      </c>
      <c r="W45" s="50">
        <v>85</v>
      </c>
      <c r="X45" s="45">
        <f t="shared" si="8"/>
        <v>0.24399999999999999</v>
      </c>
      <c r="Y45" s="46">
        <f t="shared" si="8"/>
        <v>0.53200000000000003</v>
      </c>
      <c r="Z45" s="47" t="s">
        <v>119</v>
      </c>
      <c r="AA45" s="48">
        <v>85</v>
      </c>
      <c r="AB45" s="92"/>
      <c r="AC45" s="185">
        <v>42</v>
      </c>
      <c r="AD45" s="33" t="str">
        <f t="shared" si="13"/>
        <v>89,222,56</v>
      </c>
      <c r="AE45" s="33" t="str">
        <f t="shared" si="9"/>
        <v>{89,222,56},</v>
      </c>
      <c r="AF45" s="33" t="str">
        <f t="shared" si="12"/>
        <v>45,111,28</v>
      </c>
      <c r="AG45" s="33" t="str">
        <f t="shared" si="11"/>
        <v>{45,111,28},</v>
      </c>
    </row>
    <row r="46" spans="1:33" ht="16.899999999999999" x14ac:dyDescent="0.6">
      <c r="A46" s="41">
        <v>43</v>
      </c>
      <c r="B46" s="181">
        <f t="shared" si="2"/>
        <v>0.23200000000000001</v>
      </c>
      <c r="C46" s="43">
        <f t="shared" si="2"/>
        <v>0.49199999999999999</v>
      </c>
      <c r="D46" s="44" t="s">
        <v>143</v>
      </c>
      <c r="E46" s="44" t="s">
        <v>144</v>
      </c>
      <c r="F46" s="44">
        <v>82</v>
      </c>
      <c r="G46" s="44">
        <v>212</v>
      </c>
      <c r="H46" s="182">
        <v>73</v>
      </c>
      <c r="I46" s="188">
        <v>0.27339249115447101</v>
      </c>
      <c r="J46" s="188">
        <v>0.48277886705674</v>
      </c>
      <c r="K46" s="188">
        <f t="shared" si="3"/>
        <v>41</v>
      </c>
      <c r="L46" s="188">
        <f t="shared" si="4"/>
        <v>106</v>
      </c>
      <c r="M46" s="188">
        <f t="shared" si="5"/>
        <v>37</v>
      </c>
      <c r="N46" s="188">
        <v>0.27678112340106698</v>
      </c>
      <c r="O46" s="188">
        <v>0.48304951417112901</v>
      </c>
      <c r="P46" s="175">
        <f t="shared" si="6"/>
        <v>0.23200000000000001</v>
      </c>
      <c r="Q46" s="46">
        <f t="shared" si="6"/>
        <v>0.49199999999999999</v>
      </c>
      <c r="R46" s="47" t="s">
        <v>143</v>
      </c>
      <c r="S46" s="48" t="s">
        <v>144</v>
      </c>
      <c r="T46" s="42">
        <f t="shared" si="7"/>
        <v>0.23200000000000001</v>
      </c>
      <c r="U46" s="43">
        <f t="shared" si="7"/>
        <v>0.49199999999999999</v>
      </c>
      <c r="V46" s="49" t="s">
        <v>143</v>
      </c>
      <c r="W46" s="50" t="s">
        <v>144</v>
      </c>
      <c r="X46" s="45">
        <f t="shared" si="8"/>
        <v>0.23200000000000001</v>
      </c>
      <c r="Y46" s="46">
        <f t="shared" si="8"/>
        <v>0.49199999999999999</v>
      </c>
      <c r="Z46" s="47" t="s">
        <v>143</v>
      </c>
      <c r="AA46" s="48" t="s">
        <v>144</v>
      </c>
      <c r="AB46" s="93"/>
      <c r="AC46" s="185">
        <v>43</v>
      </c>
      <c r="AD46" s="33" t="str">
        <f t="shared" si="13"/>
        <v>82,212,73</v>
      </c>
      <c r="AE46" s="33" t="str">
        <f t="shared" si="9"/>
        <v>{82,212,73},</v>
      </c>
      <c r="AF46" s="33" t="str">
        <f t="shared" si="12"/>
        <v>41,106,37</v>
      </c>
      <c r="AG46" s="33" t="str">
        <f t="shared" si="11"/>
        <v>{41,106,37},</v>
      </c>
    </row>
    <row r="47" spans="1:33" ht="16.899999999999999" x14ac:dyDescent="0.6">
      <c r="A47" s="41">
        <v>44</v>
      </c>
      <c r="B47" s="181">
        <f t="shared" si="2"/>
        <v>0.216</v>
      </c>
      <c r="C47" s="43">
        <f t="shared" si="2"/>
        <v>0.44800000000000001</v>
      </c>
      <c r="D47" s="44">
        <v>36</v>
      </c>
      <c r="E47" s="44">
        <v>70</v>
      </c>
      <c r="F47" s="44">
        <v>74</v>
      </c>
      <c r="G47" s="44">
        <v>202</v>
      </c>
      <c r="H47" s="182">
        <v>95</v>
      </c>
      <c r="I47" s="188">
        <v>0.26000416170253998</v>
      </c>
      <c r="J47" s="188">
        <v>0.45358810838735197</v>
      </c>
      <c r="K47" s="188">
        <f t="shared" si="3"/>
        <v>37</v>
      </c>
      <c r="L47" s="188">
        <f t="shared" si="4"/>
        <v>101</v>
      </c>
      <c r="M47" s="188">
        <f t="shared" si="5"/>
        <v>48</v>
      </c>
      <c r="N47" s="188">
        <v>0.26113506854388902</v>
      </c>
      <c r="O47" s="188">
        <v>0.45228944268076599</v>
      </c>
      <c r="P47" s="175">
        <f t="shared" si="6"/>
        <v>0.216</v>
      </c>
      <c r="Q47" s="46">
        <f t="shared" si="6"/>
        <v>0.44800000000000001</v>
      </c>
      <c r="R47" s="47">
        <v>36</v>
      </c>
      <c r="S47" s="48">
        <v>70</v>
      </c>
      <c r="T47" s="42">
        <f t="shared" si="7"/>
        <v>0.216</v>
      </c>
      <c r="U47" s="43">
        <f t="shared" si="7"/>
        <v>0.44800000000000001</v>
      </c>
      <c r="V47" s="49">
        <v>36</v>
      </c>
      <c r="W47" s="50">
        <v>70</v>
      </c>
      <c r="X47" s="45">
        <f t="shared" si="8"/>
        <v>0.216</v>
      </c>
      <c r="Y47" s="46">
        <f t="shared" si="8"/>
        <v>0.44800000000000001</v>
      </c>
      <c r="Z47" s="47">
        <v>36</v>
      </c>
      <c r="AA47" s="48">
        <v>70</v>
      </c>
      <c r="AB47" s="94"/>
      <c r="AC47" s="185">
        <v>44</v>
      </c>
      <c r="AD47" s="33" t="str">
        <f t="shared" si="13"/>
        <v>74,202,95</v>
      </c>
      <c r="AE47" s="33" t="str">
        <f t="shared" si="9"/>
        <v>{74,202,95},</v>
      </c>
      <c r="AF47" s="33" t="str">
        <f t="shared" si="12"/>
        <v>37,101,48</v>
      </c>
      <c r="AG47" s="33" t="str">
        <f t="shared" si="11"/>
        <v>{37,101,48},</v>
      </c>
    </row>
    <row r="48" spans="1:33" ht="16.899999999999999" x14ac:dyDescent="0.6">
      <c r="A48" s="41">
        <v>45</v>
      </c>
      <c r="B48" s="181">
        <f t="shared" si="2"/>
        <v>0.19600000000000001</v>
      </c>
      <c r="C48" s="43">
        <f t="shared" si="2"/>
        <v>0.40400000000000003</v>
      </c>
      <c r="D48" s="44">
        <v>31</v>
      </c>
      <c r="E48" s="44">
        <v>65</v>
      </c>
      <c r="F48" s="44">
        <v>65</v>
      </c>
      <c r="G48" s="44">
        <v>192</v>
      </c>
      <c r="H48" s="182">
        <v>120</v>
      </c>
      <c r="I48" s="188">
        <v>0.24394009835019501</v>
      </c>
      <c r="J48" s="188">
        <v>0.419084538964762</v>
      </c>
      <c r="K48" s="188">
        <f t="shared" si="3"/>
        <v>33</v>
      </c>
      <c r="L48" s="188">
        <f t="shared" si="4"/>
        <v>96</v>
      </c>
      <c r="M48" s="188">
        <f t="shared" si="5"/>
        <v>60</v>
      </c>
      <c r="N48" s="188">
        <v>0.24477795870698299</v>
      </c>
      <c r="O48" s="188">
        <v>0.41771662152003203</v>
      </c>
      <c r="P48" s="175">
        <f t="shared" si="6"/>
        <v>0.19600000000000001</v>
      </c>
      <c r="Q48" s="46">
        <f t="shared" si="6"/>
        <v>0.40400000000000003</v>
      </c>
      <c r="R48" s="47">
        <v>31</v>
      </c>
      <c r="S48" s="48">
        <v>65</v>
      </c>
      <c r="T48" s="42">
        <f t="shared" si="7"/>
        <v>0.19600000000000001</v>
      </c>
      <c r="U48" s="43">
        <f t="shared" si="7"/>
        <v>0.40400000000000003</v>
      </c>
      <c r="V48" s="49">
        <v>31</v>
      </c>
      <c r="W48" s="50">
        <v>65</v>
      </c>
      <c r="X48" s="45">
        <f t="shared" si="8"/>
        <v>0.19600000000000001</v>
      </c>
      <c r="Y48" s="46">
        <f t="shared" si="8"/>
        <v>0.40400000000000003</v>
      </c>
      <c r="Z48" s="47">
        <v>31</v>
      </c>
      <c r="AA48" s="48">
        <v>65</v>
      </c>
      <c r="AB48" s="95"/>
      <c r="AC48" s="185">
        <v>45</v>
      </c>
      <c r="AD48" s="33" t="str">
        <f t="shared" si="13"/>
        <v>65,192,120</v>
      </c>
      <c r="AE48" s="33" t="str">
        <f t="shared" si="9"/>
        <v>{65,192,120},</v>
      </c>
      <c r="AF48" s="33" t="str">
        <f t="shared" si="12"/>
        <v>33,96,60</v>
      </c>
      <c r="AG48" s="33" t="str">
        <f t="shared" si="11"/>
        <v>{33,96,60},</v>
      </c>
    </row>
    <row r="49" spans="1:33" ht="16.899999999999999" x14ac:dyDescent="0.6">
      <c r="A49" s="41">
        <v>46</v>
      </c>
      <c r="B49" s="181">
        <f t="shared" si="2"/>
        <v>0.184</v>
      </c>
      <c r="C49" s="43">
        <f t="shared" si="2"/>
        <v>0.36</v>
      </c>
      <c r="D49" s="44" t="s">
        <v>145</v>
      </c>
      <c r="E49" s="44" t="s">
        <v>142</v>
      </c>
      <c r="F49" s="44">
        <v>58</v>
      </c>
      <c r="G49" s="44">
        <v>183</v>
      </c>
      <c r="H49" s="182">
        <v>150</v>
      </c>
      <c r="I49" s="188">
        <v>0.226377771987681</v>
      </c>
      <c r="J49" s="188">
        <v>0.38379852535763997</v>
      </c>
      <c r="K49" s="188">
        <f t="shared" si="3"/>
        <v>29</v>
      </c>
      <c r="L49" s="188">
        <f t="shared" si="4"/>
        <v>92</v>
      </c>
      <c r="M49" s="188">
        <f t="shared" si="5"/>
        <v>75</v>
      </c>
      <c r="N49" s="188">
        <v>0.2285163754689</v>
      </c>
      <c r="O49" s="188">
        <v>0.38312872086959099</v>
      </c>
      <c r="P49" s="175">
        <f t="shared" si="6"/>
        <v>0.184</v>
      </c>
      <c r="Q49" s="46">
        <f t="shared" si="6"/>
        <v>0.36</v>
      </c>
      <c r="R49" s="47" t="s">
        <v>145</v>
      </c>
      <c r="S49" s="48" t="s">
        <v>142</v>
      </c>
      <c r="T49" s="42">
        <f t="shared" si="7"/>
        <v>0.184</v>
      </c>
      <c r="U49" s="43">
        <f t="shared" si="7"/>
        <v>0.36</v>
      </c>
      <c r="V49" s="49" t="s">
        <v>145</v>
      </c>
      <c r="W49" s="50" t="s">
        <v>142</v>
      </c>
      <c r="X49" s="45">
        <f t="shared" si="8"/>
        <v>0.184</v>
      </c>
      <c r="Y49" s="46">
        <f t="shared" si="8"/>
        <v>0.36</v>
      </c>
      <c r="Z49" s="47" t="s">
        <v>145</v>
      </c>
      <c r="AA49" s="48" t="s">
        <v>142</v>
      </c>
      <c r="AB49" s="96"/>
      <c r="AC49" s="185">
        <v>46</v>
      </c>
      <c r="AD49" s="33" t="str">
        <f t="shared" si="13"/>
        <v>58,183,150</v>
      </c>
      <c r="AE49" s="33" t="str">
        <f t="shared" si="9"/>
        <v>{58,183,150},</v>
      </c>
      <c r="AF49" s="33" t="str">
        <f t="shared" si="12"/>
        <v>29,92,75</v>
      </c>
      <c r="AG49" s="33" t="str">
        <f t="shared" si="11"/>
        <v>{29,92,75},</v>
      </c>
    </row>
    <row r="50" spans="1:33" ht="16.899999999999999" x14ac:dyDescent="0.6">
      <c r="A50" s="41">
        <v>47</v>
      </c>
      <c r="B50" s="181">
        <f t="shared" si="2"/>
        <v>0.17599999999999999</v>
      </c>
      <c r="C50" s="43">
        <f t="shared" si="2"/>
        <v>0.32800000000000001</v>
      </c>
      <c r="D50" s="44" t="s">
        <v>146</v>
      </c>
      <c r="E50" s="44">
        <v>52</v>
      </c>
      <c r="F50" s="44">
        <v>49</v>
      </c>
      <c r="G50" s="44">
        <v>165</v>
      </c>
      <c r="H50" s="182">
        <v>164</v>
      </c>
      <c r="I50" s="188">
        <v>0.21128398991806999</v>
      </c>
      <c r="J50" s="188">
        <v>0.34661860513548698</v>
      </c>
      <c r="K50" s="188">
        <f t="shared" si="3"/>
        <v>25</v>
      </c>
      <c r="L50" s="188">
        <f t="shared" si="4"/>
        <v>83</v>
      </c>
      <c r="M50" s="188">
        <f t="shared" si="5"/>
        <v>82</v>
      </c>
      <c r="N50" s="188">
        <v>0.21161650116467201</v>
      </c>
      <c r="O50" s="188">
        <v>0.34669913054745</v>
      </c>
      <c r="P50" s="175">
        <f t="shared" si="6"/>
        <v>0.17599999999999999</v>
      </c>
      <c r="Q50" s="46">
        <f t="shared" si="6"/>
        <v>0.32800000000000001</v>
      </c>
      <c r="R50" s="47" t="s">
        <v>146</v>
      </c>
      <c r="S50" s="48">
        <v>52</v>
      </c>
      <c r="T50" s="42">
        <f t="shared" si="7"/>
        <v>0.17599999999999999</v>
      </c>
      <c r="U50" s="43">
        <f t="shared" si="7"/>
        <v>0.32800000000000001</v>
      </c>
      <c r="V50" s="49" t="s">
        <v>146</v>
      </c>
      <c r="W50" s="50">
        <v>52</v>
      </c>
      <c r="X50" s="45">
        <f t="shared" si="8"/>
        <v>0.17599999999999999</v>
      </c>
      <c r="Y50" s="46">
        <f t="shared" si="8"/>
        <v>0.32800000000000001</v>
      </c>
      <c r="Z50" s="47" t="s">
        <v>146</v>
      </c>
      <c r="AA50" s="48">
        <v>52</v>
      </c>
      <c r="AB50" s="97"/>
      <c r="AC50" s="185">
        <v>47</v>
      </c>
      <c r="AD50" s="33" t="str">
        <f t="shared" si="13"/>
        <v>49,165,164</v>
      </c>
      <c r="AE50" s="33" t="str">
        <f t="shared" si="9"/>
        <v>{49,165,164},</v>
      </c>
      <c r="AF50" s="33" t="str">
        <f t="shared" si="12"/>
        <v>25,83,82</v>
      </c>
      <c r="AG50" s="33" t="str">
        <f t="shared" si="11"/>
        <v>{25,83,82},</v>
      </c>
    </row>
    <row r="51" spans="1:33" ht="16.899999999999999" x14ac:dyDescent="0.6">
      <c r="A51" s="41">
        <v>48</v>
      </c>
      <c r="B51" s="181">
        <f t="shared" si="2"/>
        <v>0.17200000000000001</v>
      </c>
      <c r="C51" s="43">
        <f t="shared" si="2"/>
        <v>0.29599999999999999</v>
      </c>
      <c r="D51" s="44" t="s">
        <v>147</v>
      </c>
      <c r="E51" s="44" t="s">
        <v>148</v>
      </c>
      <c r="F51" s="44">
        <v>43</v>
      </c>
      <c r="G51" s="44">
        <v>149</v>
      </c>
      <c r="H51" s="182">
        <v>183</v>
      </c>
      <c r="I51" s="188">
        <v>0.199956038648537</v>
      </c>
      <c r="J51" s="188">
        <v>0.31935840166773199</v>
      </c>
      <c r="K51" s="188">
        <f t="shared" si="3"/>
        <v>22</v>
      </c>
      <c r="L51" s="188">
        <f t="shared" si="4"/>
        <v>75</v>
      </c>
      <c r="M51" s="188">
        <f t="shared" si="5"/>
        <v>92</v>
      </c>
      <c r="N51" s="188">
        <v>0.201544178076839</v>
      </c>
      <c r="O51" s="188">
        <v>0.31968954066474498</v>
      </c>
      <c r="P51" s="175">
        <f t="shared" si="6"/>
        <v>0.17200000000000001</v>
      </c>
      <c r="Q51" s="46">
        <f t="shared" si="6"/>
        <v>0.29599999999999999</v>
      </c>
      <c r="R51" s="47" t="s">
        <v>147</v>
      </c>
      <c r="S51" s="48" t="s">
        <v>148</v>
      </c>
      <c r="T51" s="42">
        <f t="shared" si="7"/>
        <v>0.17200000000000001</v>
      </c>
      <c r="U51" s="43">
        <f t="shared" si="7"/>
        <v>0.29599999999999999</v>
      </c>
      <c r="V51" s="49" t="s">
        <v>147</v>
      </c>
      <c r="W51" s="50" t="s">
        <v>148</v>
      </c>
      <c r="X51" s="45">
        <f t="shared" si="8"/>
        <v>0.17200000000000001</v>
      </c>
      <c r="Y51" s="46">
        <f t="shared" si="8"/>
        <v>0.29599999999999999</v>
      </c>
      <c r="Z51" s="47" t="s">
        <v>147</v>
      </c>
      <c r="AA51" s="48" t="s">
        <v>148</v>
      </c>
      <c r="AB51" s="98"/>
      <c r="AC51" s="185">
        <v>48</v>
      </c>
      <c r="AD51" s="33" t="str">
        <f t="shared" si="13"/>
        <v>43,149,183</v>
      </c>
      <c r="AE51" s="33" t="str">
        <f t="shared" si="9"/>
        <v>{43,149,183},</v>
      </c>
      <c r="AF51" s="33" t="str">
        <f t="shared" si="12"/>
        <v>22,75,92</v>
      </c>
      <c r="AG51" s="33" t="str">
        <f t="shared" si="11"/>
        <v>{22,75,92},</v>
      </c>
    </row>
    <row r="52" spans="1:33" ht="16.899999999999999" x14ac:dyDescent="0.6">
      <c r="A52" s="41">
        <v>49</v>
      </c>
      <c r="B52" s="181">
        <f t="shared" si="2"/>
        <v>0.16800000000000001</v>
      </c>
      <c r="C52" s="43">
        <f t="shared" si="2"/>
        <v>0.26400000000000001</v>
      </c>
      <c r="D52" s="44" t="s">
        <v>114</v>
      </c>
      <c r="E52" s="44">
        <v>42</v>
      </c>
      <c r="F52" s="44">
        <v>38</v>
      </c>
      <c r="G52" s="44">
        <v>134</v>
      </c>
      <c r="H52" s="182">
        <v>202</v>
      </c>
      <c r="I52" s="188">
        <v>0.19113255418994299</v>
      </c>
      <c r="J52" s="188">
        <v>0.28923242150646999</v>
      </c>
      <c r="K52" s="188">
        <f t="shared" si="3"/>
        <v>19</v>
      </c>
      <c r="L52" s="188">
        <f t="shared" si="4"/>
        <v>67</v>
      </c>
      <c r="M52" s="188">
        <f t="shared" si="5"/>
        <v>101</v>
      </c>
      <c r="N52" s="188">
        <v>0.192359123765041</v>
      </c>
      <c r="O52" s="188">
        <v>0.28869523014586801</v>
      </c>
      <c r="P52" s="175">
        <f t="shared" si="6"/>
        <v>0.16800000000000001</v>
      </c>
      <c r="Q52" s="46">
        <f t="shared" si="6"/>
        <v>0.26400000000000001</v>
      </c>
      <c r="R52" s="47" t="s">
        <v>114</v>
      </c>
      <c r="S52" s="48">
        <v>42</v>
      </c>
      <c r="T52" s="42">
        <f t="shared" si="7"/>
        <v>0.16800000000000001</v>
      </c>
      <c r="U52" s="43">
        <f t="shared" si="7"/>
        <v>0.26400000000000001</v>
      </c>
      <c r="V52" s="49" t="s">
        <v>114</v>
      </c>
      <c r="W52" s="50">
        <v>42</v>
      </c>
      <c r="X52" s="45">
        <f t="shared" si="8"/>
        <v>0.16800000000000001</v>
      </c>
      <c r="Y52" s="46">
        <f t="shared" si="8"/>
        <v>0.26400000000000001</v>
      </c>
      <c r="Z52" s="47" t="s">
        <v>114</v>
      </c>
      <c r="AA52" s="48">
        <v>42</v>
      </c>
      <c r="AB52" s="99"/>
      <c r="AC52" s="185">
        <v>49</v>
      </c>
      <c r="AD52" s="33" t="str">
        <f t="shared" si="13"/>
        <v>38,134,202</v>
      </c>
      <c r="AE52" s="33" t="str">
        <f t="shared" si="9"/>
        <v>{38,134,202},</v>
      </c>
      <c r="AF52" s="33" t="str">
        <f t="shared" si="12"/>
        <v>19,67,101</v>
      </c>
      <c r="AG52" s="33" t="str">
        <f t="shared" si="11"/>
        <v>{19,67,101},</v>
      </c>
    </row>
    <row r="53" spans="1:33" ht="16.899999999999999" x14ac:dyDescent="0.6">
      <c r="A53" s="41">
        <v>50</v>
      </c>
      <c r="B53" s="181">
        <f t="shared" si="2"/>
        <v>0.16800000000000001</v>
      </c>
      <c r="C53" s="43">
        <f t="shared" si="2"/>
        <v>0.23600000000000002</v>
      </c>
      <c r="D53" s="44" t="s">
        <v>114</v>
      </c>
      <c r="E53" s="44" t="s">
        <v>149</v>
      </c>
      <c r="F53" s="44">
        <v>33</v>
      </c>
      <c r="G53" s="44">
        <v>120</v>
      </c>
      <c r="H53" s="182">
        <v>222</v>
      </c>
      <c r="I53" s="188">
        <v>0.183693697061555</v>
      </c>
      <c r="J53" s="188">
        <v>0.260940349235461</v>
      </c>
      <c r="K53" s="188">
        <f t="shared" si="3"/>
        <v>17</v>
      </c>
      <c r="L53" s="188">
        <f t="shared" si="4"/>
        <v>60</v>
      </c>
      <c r="M53" s="188">
        <f t="shared" si="5"/>
        <v>111</v>
      </c>
      <c r="N53" s="188">
        <v>0.18379489831666401</v>
      </c>
      <c r="O53" s="188">
        <v>0.25993907572743802</v>
      </c>
      <c r="P53" s="175">
        <f t="shared" si="6"/>
        <v>0.18</v>
      </c>
      <c r="Q53" s="46">
        <f t="shared" si="6"/>
        <v>0.23600000000000002</v>
      </c>
      <c r="R53" s="47" t="s">
        <v>118</v>
      </c>
      <c r="S53" s="48" t="s">
        <v>149</v>
      </c>
      <c r="T53" s="42">
        <f t="shared" si="7"/>
        <v>0.16800000000000001</v>
      </c>
      <c r="U53" s="43">
        <f t="shared" si="7"/>
        <v>0.23600000000000002</v>
      </c>
      <c r="V53" s="49" t="s">
        <v>114</v>
      </c>
      <c r="W53" s="50" t="s">
        <v>149</v>
      </c>
      <c r="X53" s="45">
        <f t="shared" si="8"/>
        <v>0.16800000000000001</v>
      </c>
      <c r="Y53" s="46">
        <f t="shared" si="8"/>
        <v>0.23600000000000002</v>
      </c>
      <c r="Z53" s="47" t="s">
        <v>114</v>
      </c>
      <c r="AA53" s="48" t="s">
        <v>149</v>
      </c>
      <c r="AB53" s="100"/>
      <c r="AC53" s="185">
        <v>50</v>
      </c>
      <c r="AD53" s="33" t="str">
        <f t="shared" si="13"/>
        <v>33,120,222</v>
      </c>
      <c r="AE53" s="33" t="str">
        <f t="shared" si="9"/>
        <v>{33,120,222},</v>
      </c>
      <c r="AF53" s="33" t="str">
        <f t="shared" si="12"/>
        <v>17,60,111</v>
      </c>
      <c r="AG53" s="33" t="str">
        <f t="shared" si="11"/>
        <v>{17,60,111},</v>
      </c>
    </row>
    <row r="54" spans="1:33" ht="16.899999999999999" x14ac:dyDescent="0.6">
      <c r="A54" s="41">
        <v>51</v>
      </c>
      <c r="B54" s="181">
        <f t="shared" si="2"/>
        <v>0.16400000000000001</v>
      </c>
      <c r="C54" s="43">
        <f t="shared" si="2"/>
        <v>0.20400000000000001</v>
      </c>
      <c r="D54" s="44">
        <v>29</v>
      </c>
      <c r="E54" s="44">
        <v>33</v>
      </c>
      <c r="F54" s="44">
        <v>29</v>
      </c>
      <c r="G54" s="44">
        <v>99</v>
      </c>
      <c r="H54" s="182">
        <v>243</v>
      </c>
      <c r="I54" s="188">
        <v>0.176231430651027</v>
      </c>
      <c r="J54" s="188">
        <v>0.23395357218222701</v>
      </c>
      <c r="K54" s="188">
        <f t="shared" si="3"/>
        <v>15</v>
      </c>
      <c r="L54" s="188">
        <f t="shared" si="4"/>
        <v>50</v>
      </c>
      <c r="M54" s="188">
        <f t="shared" si="5"/>
        <v>122</v>
      </c>
      <c r="N54" s="188">
        <v>0.177605170351432</v>
      </c>
      <c r="O54" s="188">
        <v>0.233119348733518</v>
      </c>
      <c r="P54" s="175">
        <f t="shared" si="6"/>
        <v>0.16400000000000001</v>
      </c>
      <c r="Q54" s="46">
        <f t="shared" si="6"/>
        <v>0.20400000000000001</v>
      </c>
      <c r="R54" s="47">
        <v>29</v>
      </c>
      <c r="S54" s="48">
        <v>33</v>
      </c>
      <c r="T54" s="42">
        <f t="shared" si="7"/>
        <v>0.16400000000000001</v>
      </c>
      <c r="U54" s="43">
        <f t="shared" si="7"/>
        <v>0.20400000000000001</v>
      </c>
      <c r="V54" s="49">
        <v>29</v>
      </c>
      <c r="W54" s="50">
        <v>33</v>
      </c>
      <c r="X54" s="45">
        <f t="shared" si="8"/>
        <v>0.16400000000000001</v>
      </c>
      <c r="Y54" s="46">
        <f t="shared" si="8"/>
        <v>0.20400000000000001</v>
      </c>
      <c r="Z54" s="47">
        <v>29</v>
      </c>
      <c r="AA54" s="48">
        <v>33</v>
      </c>
      <c r="AB54" s="101"/>
      <c r="AC54" s="185">
        <v>51</v>
      </c>
      <c r="AD54" s="33" t="str">
        <f t="shared" si="13"/>
        <v>29,99,243</v>
      </c>
      <c r="AE54" s="33" t="str">
        <f t="shared" si="9"/>
        <v>{29,99,243},</v>
      </c>
      <c r="AF54" s="33" t="str">
        <f t="shared" si="12"/>
        <v>15,50,122</v>
      </c>
      <c r="AG54" s="33" t="str">
        <f t="shared" si="11"/>
        <v>{15,50,122},</v>
      </c>
    </row>
    <row r="55" spans="1:33" ht="16.899999999999999" x14ac:dyDescent="0.6">
      <c r="A55" s="41">
        <v>52</v>
      </c>
      <c r="B55" s="181">
        <f t="shared" si="2"/>
        <v>0.16</v>
      </c>
      <c r="C55" s="43">
        <f t="shared" si="2"/>
        <v>0.17599999999999999</v>
      </c>
      <c r="D55" s="44">
        <v>28</v>
      </c>
      <c r="E55" s="44" t="s">
        <v>146</v>
      </c>
      <c r="F55" s="44">
        <v>24</v>
      </c>
      <c r="G55" s="44">
        <v>81</v>
      </c>
      <c r="H55" s="182">
        <v>254</v>
      </c>
      <c r="I55" s="188">
        <v>0.17105720699403601</v>
      </c>
      <c r="J55" s="188">
        <v>0.20064274293388701</v>
      </c>
      <c r="K55" s="188">
        <f t="shared" si="3"/>
        <v>12</v>
      </c>
      <c r="L55" s="188">
        <f t="shared" si="4"/>
        <v>41</v>
      </c>
      <c r="M55" s="188">
        <f t="shared" si="5"/>
        <v>127</v>
      </c>
      <c r="N55" s="188">
        <v>0.17221838389763</v>
      </c>
      <c r="O55" s="188">
        <v>0.200363847402662</v>
      </c>
      <c r="P55" s="175">
        <f t="shared" si="6"/>
        <v>0.16</v>
      </c>
      <c r="Q55" s="46">
        <f t="shared" si="6"/>
        <v>0.17599999999999999</v>
      </c>
      <c r="R55" s="47">
        <v>28</v>
      </c>
      <c r="S55" s="48" t="s">
        <v>146</v>
      </c>
      <c r="T55" s="42">
        <f t="shared" si="7"/>
        <v>0.16</v>
      </c>
      <c r="U55" s="43">
        <f t="shared" si="7"/>
        <v>0.17599999999999999</v>
      </c>
      <c r="V55" s="49">
        <v>28</v>
      </c>
      <c r="W55" s="50" t="s">
        <v>146</v>
      </c>
      <c r="X55" s="45">
        <f t="shared" si="8"/>
        <v>0.16</v>
      </c>
      <c r="Y55" s="46">
        <f t="shared" si="8"/>
        <v>0.17599999999999999</v>
      </c>
      <c r="Z55" s="47">
        <v>28</v>
      </c>
      <c r="AA55" s="48" t="s">
        <v>146</v>
      </c>
      <c r="AB55" s="102"/>
      <c r="AC55" s="185">
        <v>52</v>
      </c>
      <c r="AD55" s="33" t="str">
        <f t="shared" si="13"/>
        <v>24,81,254</v>
      </c>
      <c r="AE55" s="33" t="str">
        <f t="shared" si="9"/>
        <v>{24,81,254},</v>
      </c>
      <c r="AF55" s="33" t="str">
        <f t="shared" si="12"/>
        <v>12,41,127</v>
      </c>
      <c r="AG55" s="33" t="str">
        <f t="shared" si="11"/>
        <v>{12,41,127},</v>
      </c>
    </row>
    <row r="56" spans="1:33" ht="16.899999999999999" x14ac:dyDescent="0.6">
      <c r="A56" s="41">
        <v>53</v>
      </c>
      <c r="B56" s="181">
        <f t="shared" si="2"/>
        <v>0.16</v>
      </c>
      <c r="C56" s="43">
        <f t="shared" si="2"/>
        <v>0.14799999999999999</v>
      </c>
      <c r="D56" s="44">
        <v>28</v>
      </c>
      <c r="E56" s="44">
        <v>25</v>
      </c>
      <c r="F56" s="44">
        <v>17</v>
      </c>
      <c r="G56" s="44">
        <v>60</v>
      </c>
      <c r="H56" s="182">
        <v>254</v>
      </c>
      <c r="I56" s="188">
        <v>0.165295206009861</v>
      </c>
      <c r="J56" s="188">
        <v>0.174704835286799</v>
      </c>
      <c r="K56" s="188">
        <f t="shared" si="3"/>
        <v>9</v>
      </c>
      <c r="L56" s="188">
        <f t="shared" si="4"/>
        <v>30</v>
      </c>
      <c r="M56" s="188">
        <f t="shared" si="5"/>
        <v>127</v>
      </c>
      <c r="N56" s="188">
        <v>0.165164302850836</v>
      </c>
      <c r="O56" s="188">
        <v>0.17480866575251999</v>
      </c>
      <c r="P56" s="175">
        <f t="shared" si="6"/>
        <v>0.16</v>
      </c>
      <c r="Q56" s="46">
        <f t="shared" si="6"/>
        <v>0.14799999999999999</v>
      </c>
      <c r="R56" s="47">
        <v>28</v>
      </c>
      <c r="S56" s="48">
        <v>25</v>
      </c>
      <c r="T56" s="42">
        <f t="shared" si="7"/>
        <v>0.16</v>
      </c>
      <c r="U56" s="43">
        <f t="shared" si="7"/>
        <v>0.14799999999999999</v>
      </c>
      <c r="V56" s="49">
        <v>28</v>
      </c>
      <c r="W56" s="50">
        <v>25</v>
      </c>
      <c r="X56" s="45">
        <f t="shared" si="8"/>
        <v>0.16</v>
      </c>
      <c r="Y56" s="46">
        <f t="shared" si="8"/>
        <v>0.14799999999999999</v>
      </c>
      <c r="Z56" s="47">
        <v>28</v>
      </c>
      <c r="AA56" s="48">
        <v>25</v>
      </c>
      <c r="AB56" s="103"/>
      <c r="AC56" s="185">
        <v>53</v>
      </c>
      <c r="AD56" s="33" t="str">
        <f t="shared" si="13"/>
        <v>17,60,254</v>
      </c>
      <c r="AE56" s="33" t="str">
        <f t="shared" si="9"/>
        <v>{17,60,254},</v>
      </c>
      <c r="AF56" s="33" t="str">
        <f t="shared" si="12"/>
        <v>9,30,127</v>
      </c>
      <c r="AG56" s="33" t="str">
        <f t="shared" si="11"/>
        <v>{9,30,127},</v>
      </c>
    </row>
    <row r="57" spans="1:33" ht="16.899999999999999" x14ac:dyDescent="0.6">
      <c r="A57" s="41">
        <v>54</v>
      </c>
      <c r="B57" s="181">
        <f t="shared" si="2"/>
        <v>0.156</v>
      </c>
      <c r="C57" s="43">
        <f t="shared" si="2"/>
        <v>0.124</v>
      </c>
      <c r="D57" s="44">
        <v>27</v>
      </c>
      <c r="E57" s="44" t="s">
        <v>150</v>
      </c>
      <c r="F57" s="44">
        <v>12</v>
      </c>
      <c r="G57" s="44">
        <v>42</v>
      </c>
      <c r="H57" s="182">
        <v>254</v>
      </c>
      <c r="I57" s="188">
        <v>0.157662959061007</v>
      </c>
      <c r="J57" s="188">
        <v>0.14701707586611101</v>
      </c>
      <c r="K57" s="188">
        <f t="shared" si="3"/>
        <v>6</v>
      </c>
      <c r="L57" s="188">
        <f t="shared" si="4"/>
        <v>21</v>
      </c>
      <c r="M57" s="188">
        <f t="shared" si="5"/>
        <v>127</v>
      </c>
      <c r="N57" s="188">
        <v>0.15891100096480801</v>
      </c>
      <c r="O57" s="188">
        <v>0.14643833571880899</v>
      </c>
      <c r="P57" s="175">
        <f t="shared" si="6"/>
        <v>0.156</v>
      </c>
      <c r="Q57" s="46">
        <f t="shared" si="6"/>
        <v>0.124</v>
      </c>
      <c r="R57" s="47">
        <v>27</v>
      </c>
      <c r="S57" s="48" t="s">
        <v>150</v>
      </c>
      <c r="T57" s="42">
        <f t="shared" si="7"/>
        <v>0.156</v>
      </c>
      <c r="U57" s="43">
        <f t="shared" si="7"/>
        <v>0.124</v>
      </c>
      <c r="V57" s="49">
        <v>27</v>
      </c>
      <c r="W57" s="50" t="s">
        <v>150</v>
      </c>
      <c r="X57" s="45">
        <f t="shared" si="8"/>
        <v>0.156</v>
      </c>
      <c r="Y57" s="46">
        <f t="shared" si="8"/>
        <v>0.124</v>
      </c>
      <c r="Z57" s="47">
        <v>27</v>
      </c>
      <c r="AA57" s="48" t="s">
        <v>150</v>
      </c>
      <c r="AB57" s="104"/>
      <c r="AC57" s="185">
        <v>54</v>
      </c>
      <c r="AD57" s="33" t="str">
        <f t="shared" si="13"/>
        <v>12,42,254</v>
      </c>
      <c r="AE57" s="33" t="str">
        <f t="shared" si="9"/>
        <v>{12,42,254},</v>
      </c>
      <c r="AF57" s="33" t="str">
        <f t="shared" si="12"/>
        <v>6,21,127</v>
      </c>
      <c r="AG57" s="33" t="str">
        <f t="shared" si="11"/>
        <v>{6,21,127},</v>
      </c>
    </row>
    <row r="58" spans="1:33" ht="16.899999999999999" x14ac:dyDescent="0.6">
      <c r="A58" s="41">
        <v>55</v>
      </c>
      <c r="B58" s="181">
        <f t="shared" si="2"/>
        <v>0.152</v>
      </c>
      <c r="C58" s="43">
        <f t="shared" si="2"/>
        <v>0.10400000000000001</v>
      </c>
      <c r="D58" s="44">
        <v>26</v>
      </c>
      <c r="E58" s="44" t="s">
        <v>115</v>
      </c>
      <c r="F58" s="44">
        <v>8</v>
      </c>
      <c r="G58" s="44">
        <v>27</v>
      </c>
      <c r="H58" s="182">
        <v>254</v>
      </c>
      <c r="I58" s="188">
        <v>0.151845925404159</v>
      </c>
      <c r="J58" s="188">
        <v>0.120847827041126</v>
      </c>
      <c r="K58" s="188">
        <f t="shared" si="3"/>
        <v>4</v>
      </c>
      <c r="L58" s="188">
        <f t="shared" si="4"/>
        <v>14</v>
      </c>
      <c r="M58" s="188">
        <f t="shared" si="5"/>
        <v>127</v>
      </c>
      <c r="N58" s="188">
        <v>0.15137299444018701</v>
      </c>
      <c r="O58" s="188">
        <v>0.11953192387696</v>
      </c>
      <c r="P58" s="175">
        <f t="shared" si="6"/>
        <v>0.152</v>
      </c>
      <c r="Q58" s="46">
        <f t="shared" si="6"/>
        <v>0.10400000000000001</v>
      </c>
      <c r="R58" s="47">
        <v>26</v>
      </c>
      <c r="S58" s="48" t="s">
        <v>115</v>
      </c>
      <c r="T58" s="42">
        <f t="shared" si="7"/>
        <v>0.152</v>
      </c>
      <c r="U58" s="43">
        <f t="shared" si="7"/>
        <v>0.10400000000000001</v>
      </c>
      <c r="V58" s="49">
        <v>26</v>
      </c>
      <c r="W58" s="50" t="s">
        <v>115</v>
      </c>
      <c r="X58" s="45">
        <f t="shared" si="8"/>
        <v>0.152</v>
      </c>
      <c r="Y58" s="46">
        <f t="shared" si="8"/>
        <v>0.10400000000000001</v>
      </c>
      <c r="Z58" s="47">
        <v>26</v>
      </c>
      <c r="AA58" s="48" t="s">
        <v>115</v>
      </c>
      <c r="AB58" s="105"/>
      <c r="AC58" s="185">
        <v>55</v>
      </c>
      <c r="AD58" s="33" t="str">
        <f t="shared" si="13"/>
        <v>8,27,254</v>
      </c>
      <c r="AE58" s="33" t="str">
        <f t="shared" si="9"/>
        <v>{8,27,254},</v>
      </c>
      <c r="AF58" s="33" t="str">
        <f t="shared" si="12"/>
        <v>4,14,127</v>
      </c>
      <c r="AG58" s="33" t="str">
        <f t="shared" si="11"/>
        <v>{4,14,127},</v>
      </c>
    </row>
    <row r="59" spans="1:33" ht="16.899999999999999" x14ac:dyDescent="0.6">
      <c r="A59" s="41">
        <v>56</v>
      </c>
      <c r="B59" s="181">
        <f t="shared" si="2"/>
        <v>0.152</v>
      </c>
      <c r="C59" s="43">
        <f t="shared" si="2"/>
        <v>8.4000000000000005E-2</v>
      </c>
      <c r="D59" s="44">
        <v>26</v>
      </c>
      <c r="E59" s="44">
        <v>15</v>
      </c>
      <c r="F59" s="44">
        <v>5</v>
      </c>
      <c r="G59" s="44">
        <v>16</v>
      </c>
      <c r="H59" s="182">
        <v>253</v>
      </c>
      <c r="I59" s="188">
        <v>0.14663411056978901</v>
      </c>
      <c r="J59" s="188">
        <v>9.67903910662226E-2</v>
      </c>
      <c r="K59" s="188">
        <f t="shared" si="3"/>
        <v>3</v>
      </c>
      <c r="L59" s="188">
        <f t="shared" si="4"/>
        <v>8</v>
      </c>
      <c r="M59" s="188">
        <f t="shared" si="5"/>
        <v>127</v>
      </c>
      <c r="N59" s="188">
        <v>0.14612765967274</v>
      </c>
      <c r="O59" s="188">
        <v>9.7094225543749801E-2</v>
      </c>
      <c r="P59" s="175">
        <f t="shared" si="6"/>
        <v>0.152</v>
      </c>
      <c r="Q59" s="46">
        <f t="shared" si="6"/>
        <v>8.4000000000000005E-2</v>
      </c>
      <c r="R59" s="47">
        <v>26</v>
      </c>
      <c r="S59" s="48">
        <v>15</v>
      </c>
      <c r="T59" s="42">
        <f t="shared" si="7"/>
        <v>0.152</v>
      </c>
      <c r="U59" s="43">
        <f t="shared" si="7"/>
        <v>8.4000000000000005E-2</v>
      </c>
      <c r="V59" s="49">
        <v>26</v>
      </c>
      <c r="W59" s="50">
        <v>15</v>
      </c>
      <c r="X59" s="45">
        <f t="shared" si="8"/>
        <v>0.152</v>
      </c>
      <c r="Y59" s="46">
        <f t="shared" si="8"/>
        <v>8.4000000000000005E-2</v>
      </c>
      <c r="Z59" s="47">
        <v>26</v>
      </c>
      <c r="AA59" s="48">
        <v>15</v>
      </c>
      <c r="AB59" s="106"/>
      <c r="AC59" s="185">
        <v>56</v>
      </c>
      <c r="AD59" s="33" t="str">
        <f t="shared" si="13"/>
        <v>5,16,253</v>
      </c>
      <c r="AE59" s="33" t="str">
        <f t="shared" si="9"/>
        <v>{5,16,253},</v>
      </c>
      <c r="AF59" s="33" t="str">
        <f t="shared" si="12"/>
        <v>3,8,127</v>
      </c>
      <c r="AG59" s="33" t="str">
        <f t="shared" si="11"/>
        <v>{3,8,127},</v>
      </c>
    </row>
    <row r="60" spans="1:33" ht="16.899999999999999" x14ac:dyDescent="0.6">
      <c r="A60" s="41">
        <v>57</v>
      </c>
      <c r="B60" s="181">
        <f t="shared" si="2"/>
        <v>0.152</v>
      </c>
      <c r="C60" s="43">
        <f t="shared" si="2"/>
        <v>7.2000000000000008E-2</v>
      </c>
      <c r="D60" s="44">
        <v>26</v>
      </c>
      <c r="E60" s="44">
        <v>12</v>
      </c>
      <c r="F60" s="44">
        <v>3</v>
      </c>
      <c r="G60" s="44">
        <v>9</v>
      </c>
      <c r="H60" s="182">
        <v>242</v>
      </c>
      <c r="I60" s="188">
        <v>0.14245014168695999</v>
      </c>
      <c r="J60" s="188">
        <v>7.7853127082424395E-2</v>
      </c>
      <c r="K60" s="188">
        <f t="shared" si="3"/>
        <v>2</v>
      </c>
      <c r="L60" s="188">
        <f t="shared" si="4"/>
        <v>5</v>
      </c>
      <c r="M60" s="188">
        <f t="shared" si="5"/>
        <v>121</v>
      </c>
      <c r="N60" s="188">
        <v>0.14357883625055701</v>
      </c>
      <c r="O60" s="188">
        <v>7.7216707392644093E-2</v>
      </c>
      <c r="P60" s="175">
        <f t="shared" si="6"/>
        <v>0.14400000000000002</v>
      </c>
      <c r="Q60" s="46">
        <f t="shared" si="6"/>
        <v>0.08</v>
      </c>
      <c r="R60" s="47">
        <v>24</v>
      </c>
      <c r="S60" s="48">
        <v>14</v>
      </c>
      <c r="T60" s="42">
        <f t="shared" si="7"/>
        <v>0.14799999999999999</v>
      </c>
      <c r="U60" s="43">
        <f t="shared" si="7"/>
        <v>0.08</v>
      </c>
      <c r="V60" s="49">
        <v>25</v>
      </c>
      <c r="W60" s="50">
        <v>14</v>
      </c>
      <c r="X60" s="45">
        <f t="shared" si="8"/>
        <v>0.14799999999999999</v>
      </c>
      <c r="Y60" s="46">
        <f t="shared" si="8"/>
        <v>0.08</v>
      </c>
      <c r="Z60" s="47">
        <v>25</v>
      </c>
      <c r="AA60" s="48">
        <v>14</v>
      </c>
      <c r="AB60" s="107"/>
      <c r="AC60" s="185">
        <v>57</v>
      </c>
      <c r="AD60" s="33" t="str">
        <f t="shared" si="13"/>
        <v>3,9,242</v>
      </c>
      <c r="AE60" s="33" t="str">
        <f t="shared" si="9"/>
        <v>{3,9,242},</v>
      </c>
      <c r="AF60" s="33" t="str">
        <f t="shared" si="12"/>
        <v>2,5,121</v>
      </c>
      <c r="AG60" s="33" t="str">
        <f t="shared" si="11"/>
        <v>{2,5,121},</v>
      </c>
    </row>
    <row r="61" spans="1:33" ht="16.899999999999999" x14ac:dyDescent="0.6">
      <c r="A61" s="41">
        <v>58</v>
      </c>
      <c r="B61" s="181">
        <f t="shared" si="2"/>
        <v>0.152</v>
      </c>
      <c r="C61" s="43">
        <f t="shared" si="2"/>
        <v>6.8000000000000005E-2</v>
      </c>
      <c r="D61" s="44">
        <v>26</v>
      </c>
      <c r="E61" s="44">
        <v>11</v>
      </c>
      <c r="F61" s="44">
        <v>3</v>
      </c>
      <c r="G61" s="44">
        <v>6</v>
      </c>
      <c r="H61" s="182">
        <v>221</v>
      </c>
      <c r="I61" s="188">
        <v>0.13964232226128301</v>
      </c>
      <c r="J61" s="188">
        <v>6.5590704650067194E-2</v>
      </c>
      <c r="K61" s="188">
        <f t="shared" si="3"/>
        <v>2</v>
      </c>
      <c r="L61" s="188">
        <f t="shared" si="4"/>
        <v>3</v>
      </c>
      <c r="M61" s="188">
        <f t="shared" si="5"/>
        <v>111</v>
      </c>
      <c r="N61" s="188">
        <v>0.140604619804028</v>
      </c>
      <c r="O61" s="188">
        <v>6.6541685400995101E-2</v>
      </c>
      <c r="P61" s="175">
        <f t="shared" si="6"/>
        <v>0.14799999999999999</v>
      </c>
      <c r="Q61" s="46">
        <f t="shared" si="6"/>
        <v>7.2000000000000008E-2</v>
      </c>
      <c r="R61" s="47">
        <v>25</v>
      </c>
      <c r="S61" s="48">
        <v>12</v>
      </c>
      <c r="T61" s="42">
        <f t="shared" si="7"/>
        <v>0.14799999999999999</v>
      </c>
      <c r="U61" s="43">
        <f t="shared" si="7"/>
        <v>7.2000000000000008E-2</v>
      </c>
      <c r="V61" s="49">
        <v>25</v>
      </c>
      <c r="W61" s="50">
        <v>12</v>
      </c>
      <c r="X61" s="45">
        <f t="shared" si="8"/>
        <v>0.14799999999999999</v>
      </c>
      <c r="Y61" s="46">
        <f t="shared" si="8"/>
        <v>7.2000000000000008E-2</v>
      </c>
      <c r="Z61" s="47">
        <v>25</v>
      </c>
      <c r="AA61" s="48">
        <v>12</v>
      </c>
      <c r="AB61" s="108"/>
      <c r="AC61" s="185">
        <v>58</v>
      </c>
      <c r="AD61" s="33" t="str">
        <f t="shared" si="13"/>
        <v>3,6,221</v>
      </c>
      <c r="AE61" s="33" t="str">
        <f t="shared" si="9"/>
        <v>{3,6,221},</v>
      </c>
      <c r="AF61" s="33" t="str">
        <f t="shared" si="12"/>
        <v>2,3,111</v>
      </c>
      <c r="AG61" s="33" t="str">
        <f t="shared" si="11"/>
        <v>{2,3,111},</v>
      </c>
    </row>
    <row r="62" spans="1:33" ht="16.899999999999999" x14ac:dyDescent="0.6">
      <c r="A62" s="41">
        <v>59</v>
      </c>
      <c r="B62" s="181">
        <f t="shared" si="2"/>
        <v>0.156</v>
      </c>
      <c r="C62" s="43">
        <f t="shared" si="2"/>
        <v>6.8000000000000005E-2</v>
      </c>
      <c r="D62" s="44">
        <v>27</v>
      </c>
      <c r="E62" s="44">
        <v>11</v>
      </c>
      <c r="F62" s="44">
        <v>4</v>
      </c>
      <c r="G62" s="44">
        <v>4</v>
      </c>
      <c r="H62" s="182">
        <v>211</v>
      </c>
      <c r="I62" s="188">
        <v>0.140333426745614</v>
      </c>
      <c r="J62" s="188">
        <v>6.1364578685650602E-2</v>
      </c>
      <c r="K62" s="188">
        <f t="shared" si="3"/>
        <v>2</v>
      </c>
      <c r="L62" s="188">
        <f t="shared" si="4"/>
        <v>2</v>
      </c>
      <c r="M62" s="188">
        <f t="shared" si="5"/>
        <v>106</v>
      </c>
      <c r="N62" s="188">
        <v>0.14141815067992</v>
      </c>
      <c r="O62" s="188">
        <v>6.0739711093526202E-2</v>
      </c>
      <c r="P62" s="175">
        <f t="shared" si="6"/>
        <v>0.14799999999999999</v>
      </c>
      <c r="Q62" s="46">
        <f t="shared" si="6"/>
        <v>7.2000000000000008E-2</v>
      </c>
      <c r="R62" s="47">
        <v>25</v>
      </c>
      <c r="S62" s="48">
        <v>12</v>
      </c>
      <c r="T62" s="42">
        <f t="shared" si="7"/>
        <v>0.14799999999999999</v>
      </c>
      <c r="U62" s="43">
        <f t="shared" si="7"/>
        <v>7.2000000000000008E-2</v>
      </c>
      <c r="V62" s="49">
        <v>25</v>
      </c>
      <c r="W62" s="50">
        <v>12</v>
      </c>
      <c r="X62" s="45">
        <f t="shared" si="8"/>
        <v>0.14799999999999999</v>
      </c>
      <c r="Y62" s="46">
        <f t="shared" si="8"/>
        <v>7.2000000000000008E-2</v>
      </c>
      <c r="Z62" s="47">
        <v>25</v>
      </c>
      <c r="AA62" s="48">
        <v>12</v>
      </c>
      <c r="AB62" s="109"/>
      <c r="AC62" s="185">
        <v>59</v>
      </c>
      <c r="AD62" s="33" t="str">
        <f t="shared" si="13"/>
        <v>4,4,211</v>
      </c>
      <c r="AE62" s="33" t="str">
        <f t="shared" si="9"/>
        <v>{4,4,211},</v>
      </c>
      <c r="AF62" s="33" t="str">
        <f t="shared" si="12"/>
        <v>2,2,106</v>
      </c>
      <c r="AG62" s="33" t="str">
        <f t="shared" si="11"/>
        <v>{2,2,106},</v>
      </c>
    </row>
    <row r="63" spans="1:33" ht="16.899999999999999" x14ac:dyDescent="0.6">
      <c r="A63" s="41">
        <v>60</v>
      </c>
      <c r="B63" s="181">
        <f t="shared" si="2"/>
        <v>0.16</v>
      </c>
      <c r="C63" s="43">
        <f t="shared" si="2"/>
        <v>6.8000000000000005E-2</v>
      </c>
      <c r="D63" s="44">
        <v>28</v>
      </c>
      <c r="E63" s="44">
        <v>11</v>
      </c>
      <c r="F63" s="44">
        <v>6</v>
      </c>
      <c r="G63" s="44">
        <v>2</v>
      </c>
      <c r="H63" s="182">
        <v>191</v>
      </c>
      <c r="I63" s="188">
        <v>0.14303109099181199</v>
      </c>
      <c r="J63" s="188">
        <v>5.9084675154858698E-2</v>
      </c>
      <c r="K63" s="188">
        <f t="shared" si="3"/>
        <v>3</v>
      </c>
      <c r="L63" s="188">
        <f t="shared" si="4"/>
        <v>1</v>
      </c>
      <c r="M63" s="188">
        <f t="shared" si="5"/>
        <v>96</v>
      </c>
      <c r="N63" s="188">
        <v>0.14191826114390199</v>
      </c>
      <c r="O63" s="188">
        <v>5.6982118472388703E-2</v>
      </c>
      <c r="P63" s="175">
        <f t="shared" si="6"/>
        <v>0.152</v>
      </c>
      <c r="Q63" s="46">
        <f t="shared" si="6"/>
        <v>0.06</v>
      </c>
      <c r="R63" s="47">
        <v>26</v>
      </c>
      <c r="S63" s="48" t="s">
        <v>151</v>
      </c>
      <c r="T63" s="42">
        <f t="shared" si="7"/>
        <v>0.152</v>
      </c>
      <c r="U63" s="43">
        <f t="shared" si="7"/>
        <v>8.4000000000000005E-2</v>
      </c>
      <c r="V63" s="49">
        <v>26</v>
      </c>
      <c r="W63" s="50">
        <v>15</v>
      </c>
      <c r="X63" s="45">
        <f t="shared" si="8"/>
        <v>0.152</v>
      </c>
      <c r="Y63" s="46">
        <f t="shared" si="8"/>
        <v>7.5999999999999998E-2</v>
      </c>
      <c r="Z63" s="47">
        <v>26</v>
      </c>
      <c r="AA63" s="48">
        <v>13</v>
      </c>
      <c r="AB63" s="110"/>
      <c r="AC63" s="185">
        <v>60</v>
      </c>
      <c r="AD63" s="33" t="str">
        <f t="shared" si="13"/>
        <v>6,2,191</v>
      </c>
      <c r="AE63" s="33" t="str">
        <f t="shared" si="9"/>
        <v>{6,2,191},</v>
      </c>
      <c r="AF63" s="33" t="str">
        <f t="shared" si="12"/>
        <v>3,1,96</v>
      </c>
      <c r="AG63" s="33" t="str">
        <f t="shared" si="11"/>
        <v>{3,1,96},</v>
      </c>
    </row>
    <row r="64" spans="1:33" ht="16.899999999999999" x14ac:dyDescent="0.6">
      <c r="A64" s="41">
        <v>61</v>
      </c>
      <c r="B64" s="181">
        <f t="shared" si="2"/>
        <v>0.16400000000000001</v>
      </c>
      <c r="C64" s="43">
        <f t="shared" si="2"/>
        <v>6.8000000000000005E-2</v>
      </c>
      <c r="D64" s="44">
        <v>29</v>
      </c>
      <c r="E64" s="44">
        <v>11</v>
      </c>
      <c r="F64" s="44">
        <v>7</v>
      </c>
      <c r="G64" s="44">
        <v>1</v>
      </c>
      <c r="H64" s="182">
        <v>173</v>
      </c>
      <c r="I64" s="188">
        <v>0.14879281373609701</v>
      </c>
      <c r="J64" s="188">
        <v>5.7875954784183101E-2</v>
      </c>
      <c r="K64" s="188">
        <f t="shared" si="3"/>
        <v>4</v>
      </c>
      <c r="L64" s="188">
        <f t="shared" si="4"/>
        <v>1</v>
      </c>
      <c r="M64" s="188">
        <f t="shared" si="5"/>
        <v>87</v>
      </c>
      <c r="N64" s="188">
        <v>0.14781757203650001</v>
      </c>
      <c r="O64" s="188">
        <v>5.6034740087973198E-2</v>
      </c>
      <c r="P64" s="175">
        <f t="shared" si="6"/>
        <v>0.152</v>
      </c>
      <c r="Q64" s="46">
        <f t="shared" si="6"/>
        <v>7.5999999999999998E-2</v>
      </c>
      <c r="R64" s="47">
        <v>26</v>
      </c>
      <c r="S64" s="48">
        <v>13</v>
      </c>
      <c r="T64" s="42">
        <f t="shared" si="7"/>
        <v>0.152</v>
      </c>
      <c r="U64" s="43">
        <f t="shared" si="7"/>
        <v>7.2000000000000008E-2</v>
      </c>
      <c r="V64" s="49">
        <v>26</v>
      </c>
      <c r="W64" s="50">
        <v>12</v>
      </c>
      <c r="X64" s="45">
        <f t="shared" si="8"/>
        <v>0.152</v>
      </c>
      <c r="Y64" s="46">
        <f t="shared" si="8"/>
        <v>7.2000000000000008E-2</v>
      </c>
      <c r="Z64" s="47">
        <v>26</v>
      </c>
      <c r="AA64" s="48">
        <v>12</v>
      </c>
      <c r="AB64" s="111"/>
      <c r="AC64" s="185">
        <v>61</v>
      </c>
      <c r="AD64" s="33" t="str">
        <f t="shared" si="13"/>
        <v>7,1,173</v>
      </c>
      <c r="AE64" s="33" t="str">
        <f t="shared" si="9"/>
        <v>{7,1,173},</v>
      </c>
      <c r="AF64" s="33" t="str">
        <f t="shared" si="12"/>
        <v>4,1,87</v>
      </c>
      <c r="AG64" s="33" t="str">
        <f t="shared" si="11"/>
        <v>{4,1,87},</v>
      </c>
    </row>
    <row r="65" spans="1:35" ht="16.899999999999999" x14ac:dyDescent="0.6">
      <c r="A65" s="41">
        <v>62</v>
      </c>
      <c r="B65" s="181">
        <f t="shared" si="2"/>
        <v>0.16800000000000001</v>
      </c>
      <c r="C65" s="43">
        <f t="shared" si="2"/>
        <v>7.2000000000000008E-2</v>
      </c>
      <c r="D65" s="44" t="s">
        <v>114</v>
      </c>
      <c r="E65" s="44">
        <v>12</v>
      </c>
      <c r="F65" s="44">
        <v>8</v>
      </c>
      <c r="G65" s="44">
        <v>0</v>
      </c>
      <c r="H65" s="182">
        <v>155</v>
      </c>
      <c r="I65" s="188">
        <v>0.152797934142129</v>
      </c>
      <c r="J65" s="188">
        <v>5.7711222157254202E-2</v>
      </c>
      <c r="K65" s="188">
        <f t="shared" si="3"/>
        <v>4</v>
      </c>
      <c r="L65" s="188">
        <f t="shared" si="4"/>
        <v>0</v>
      </c>
      <c r="M65" s="188">
        <f t="shared" si="5"/>
        <v>78</v>
      </c>
      <c r="N65" s="188">
        <v>0.15443083259465101</v>
      </c>
      <c r="O65" s="188">
        <v>5.9439921524809002E-2</v>
      </c>
      <c r="P65" s="175">
        <f t="shared" si="6"/>
        <v>0.16</v>
      </c>
      <c r="Q65" s="46">
        <f t="shared" si="6"/>
        <v>8.7999999999999995E-2</v>
      </c>
      <c r="R65" s="47">
        <v>28</v>
      </c>
      <c r="S65" s="48">
        <v>16</v>
      </c>
      <c r="T65" s="42">
        <f t="shared" si="7"/>
        <v>0.16800000000000001</v>
      </c>
      <c r="U65" s="43">
        <f t="shared" si="7"/>
        <v>9.1999999999999998E-2</v>
      </c>
      <c r="V65" s="49" t="s">
        <v>114</v>
      </c>
      <c r="W65" s="50">
        <v>17</v>
      </c>
      <c r="X65" s="45">
        <f t="shared" si="8"/>
        <v>0.16400000000000001</v>
      </c>
      <c r="Y65" s="46">
        <f t="shared" si="8"/>
        <v>9.1999999999999998E-2</v>
      </c>
      <c r="Z65" s="47">
        <v>29</v>
      </c>
      <c r="AA65" s="48">
        <v>17</v>
      </c>
      <c r="AB65" s="112"/>
      <c r="AC65" s="185">
        <v>62</v>
      </c>
      <c r="AD65" s="33" t="str">
        <f t="shared" si="13"/>
        <v>8,0,155</v>
      </c>
      <c r="AE65" s="33" t="str">
        <f t="shared" si="9"/>
        <v>{8,0,155},</v>
      </c>
      <c r="AF65" s="33" t="str">
        <f t="shared" si="12"/>
        <v>4,0,78</v>
      </c>
      <c r="AG65" s="33" t="str">
        <f t="shared" si="11"/>
        <v>{4,0,78},</v>
      </c>
    </row>
    <row r="66" spans="1:35" ht="16.899999999999999" x14ac:dyDescent="0.6">
      <c r="A66" s="41">
        <v>63</v>
      </c>
      <c r="B66" s="181">
        <f t="shared" si="2"/>
        <v>0.17599999999999999</v>
      </c>
      <c r="C66" s="43">
        <f t="shared" si="2"/>
        <v>7.2000000000000008E-2</v>
      </c>
      <c r="D66" s="44" t="s">
        <v>146</v>
      </c>
      <c r="E66" s="44">
        <v>12</v>
      </c>
      <c r="F66" s="44">
        <v>9</v>
      </c>
      <c r="G66" s="44">
        <v>0</v>
      </c>
      <c r="H66" s="182">
        <v>139</v>
      </c>
      <c r="I66" s="188">
        <v>0.15776942283072401</v>
      </c>
      <c r="J66" s="188">
        <v>5.9044098614932303E-2</v>
      </c>
      <c r="K66" s="188">
        <f t="shared" si="3"/>
        <v>5</v>
      </c>
      <c r="L66" s="188">
        <f t="shared" si="4"/>
        <v>0</v>
      </c>
      <c r="M66" s="188">
        <f t="shared" si="5"/>
        <v>70</v>
      </c>
      <c r="N66" s="188">
        <v>0.156756937581609</v>
      </c>
      <c r="O66" s="188">
        <v>5.8445837280705799E-2</v>
      </c>
      <c r="P66" s="175">
        <f t="shared" si="6"/>
        <v>0.16800000000000001</v>
      </c>
      <c r="Q66" s="46">
        <f t="shared" si="6"/>
        <v>0.112</v>
      </c>
      <c r="R66" s="47" t="s">
        <v>114</v>
      </c>
      <c r="S66" s="48" t="s">
        <v>152</v>
      </c>
      <c r="T66" s="42">
        <f t="shared" si="7"/>
        <v>0.16800000000000001</v>
      </c>
      <c r="U66" s="43">
        <f t="shared" si="7"/>
        <v>0.1</v>
      </c>
      <c r="V66" s="49" t="s">
        <v>114</v>
      </c>
      <c r="W66" s="50">
        <v>19</v>
      </c>
      <c r="X66" s="45">
        <f t="shared" si="8"/>
        <v>0.16800000000000001</v>
      </c>
      <c r="Y66" s="46">
        <f t="shared" si="8"/>
        <v>9.1999999999999998E-2</v>
      </c>
      <c r="Z66" s="47" t="s">
        <v>114</v>
      </c>
      <c r="AA66" s="48">
        <v>17</v>
      </c>
      <c r="AB66" s="113"/>
      <c r="AC66" s="185">
        <v>63</v>
      </c>
      <c r="AD66" s="33" t="str">
        <f t="shared" si="13"/>
        <v>9,0,139</v>
      </c>
      <c r="AE66" s="33" t="str">
        <f t="shared" si="9"/>
        <v>{9,0,139},</v>
      </c>
      <c r="AF66" s="33" t="str">
        <f t="shared" si="12"/>
        <v>5,0,70</v>
      </c>
      <c r="AG66" s="33" t="str">
        <f t="shared" si="11"/>
        <v>{5,0,70},</v>
      </c>
    </row>
    <row r="67" spans="1:35" ht="16.899999999999999" x14ac:dyDescent="0.6">
      <c r="A67" s="41">
        <v>64</v>
      </c>
      <c r="B67" s="181">
        <f t="shared" si="2"/>
        <v>0.18</v>
      </c>
      <c r="C67" s="43">
        <f t="shared" si="2"/>
        <v>7.5999999999999998E-2</v>
      </c>
      <c r="D67" s="44" t="s">
        <v>118</v>
      </c>
      <c r="E67" s="44">
        <v>13</v>
      </c>
      <c r="F67" s="44">
        <v>10</v>
      </c>
      <c r="G67" s="44">
        <v>0</v>
      </c>
      <c r="H67" s="182">
        <v>131</v>
      </c>
      <c r="I67" s="188">
        <v>0.16349917375318199</v>
      </c>
      <c r="J67" s="188">
        <v>6.18364497127524E-2</v>
      </c>
      <c r="K67" s="188">
        <f t="shared" si="3"/>
        <v>5</v>
      </c>
      <c r="L67" s="188">
        <f t="shared" si="4"/>
        <v>0</v>
      </c>
      <c r="M67" s="188">
        <f t="shared" si="5"/>
        <v>66</v>
      </c>
      <c r="N67" s="188">
        <v>0.16499803992968101</v>
      </c>
      <c r="O67" s="188">
        <v>6.2492855423101797E-2</v>
      </c>
      <c r="P67" s="175">
        <f t="shared" si="6"/>
        <v>0.156</v>
      </c>
      <c r="Q67" s="46">
        <f t="shared" si="6"/>
        <v>7.2000000000000008E-2</v>
      </c>
      <c r="R67" s="47">
        <v>27</v>
      </c>
      <c r="S67" s="48">
        <v>12</v>
      </c>
      <c r="T67" s="42">
        <f t="shared" si="7"/>
        <v>0.16</v>
      </c>
      <c r="U67" s="43">
        <f t="shared" si="7"/>
        <v>7.5999999999999998E-2</v>
      </c>
      <c r="V67" s="49">
        <v>28</v>
      </c>
      <c r="W67" s="50">
        <v>13</v>
      </c>
      <c r="X67" s="45">
        <f t="shared" si="8"/>
        <v>0.16</v>
      </c>
      <c r="Y67" s="46">
        <f t="shared" si="8"/>
        <v>6.8000000000000005E-2</v>
      </c>
      <c r="Z67" s="47">
        <v>28</v>
      </c>
      <c r="AA67" s="48">
        <v>11</v>
      </c>
      <c r="AB67" s="114"/>
      <c r="AC67" s="185"/>
      <c r="AD67" s="33" t="str">
        <f t="shared" si="13"/>
        <v>10,0,131</v>
      </c>
      <c r="AE67" s="33" t="str">
        <f t="shared" si="9"/>
        <v>{10,0,131},</v>
      </c>
      <c r="AF67" s="33" t="str">
        <f t="shared" si="12"/>
        <v>5,0,66</v>
      </c>
      <c r="AG67" s="33" t="str">
        <f t="shared" si="11"/>
        <v>{5,0,66},</v>
      </c>
    </row>
    <row r="68" spans="1:35" x14ac:dyDescent="0.6">
      <c r="A68" s="41">
        <v>65</v>
      </c>
      <c r="B68" s="181">
        <f t="shared" si="2"/>
        <v>0.62</v>
      </c>
      <c r="C68" s="43">
        <f t="shared" si="2"/>
        <v>0.3</v>
      </c>
      <c r="D68" s="44" t="s">
        <v>153</v>
      </c>
      <c r="E68" s="44" t="s">
        <v>154</v>
      </c>
      <c r="F68" s="44"/>
      <c r="G68" s="44"/>
      <c r="H68" s="182"/>
      <c r="I68" s="188"/>
      <c r="J68" s="188"/>
      <c r="K68" s="188">
        <f t="shared" si="3"/>
        <v>0</v>
      </c>
      <c r="L68" s="188">
        <f t="shared" si="4"/>
        <v>0</v>
      </c>
      <c r="M68" s="188">
        <f t="shared" si="5"/>
        <v>0</v>
      </c>
      <c r="N68" s="188"/>
      <c r="O68" s="188"/>
      <c r="P68" s="175">
        <f t="shared" si="6"/>
        <v>0.62</v>
      </c>
      <c r="Q68" s="46">
        <f t="shared" si="6"/>
        <v>0.3</v>
      </c>
      <c r="R68" s="115" t="s">
        <v>153</v>
      </c>
      <c r="S68" s="116" t="s">
        <v>154</v>
      </c>
      <c r="T68" s="42">
        <f t="shared" si="7"/>
        <v>0.62</v>
      </c>
      <c r="U68" s="43">
        <f t="shared" si="7"/>
        <v>0.3</v>
      </c>
      <c r="V68" s="117" t="s">
        <v>153</v>
      </c>
      <c r="W68" s="118" t="s">
        <v>154</v>
      </c>
      <c r="X68" s="45">
        <f t="shared" si="8"/>
        <v>0.62</v>
      </c>
      <c r="Y68" s="46">
        <f t="shared" si="8"/>
        <v>0.3</v>
      </c>
      <c r="Z68" s="115" t="s">
        <v>153</v>
      </c>
      <c r="AA68" s="116" t="s">
        <v>154</v>
      </c>
      <c r="AB68" s="119"/>
      <c r="AC68" s="185" t="s">
        <v>155</v>
      </c>
    </row>
    <row r="69" spans="1:35" ht="16.149999999999999" thickBot="1" x14ac:dyDescent="0.65">
      <c r="A69" s="41">
        <v>66</v>
      </c>
      <c r="B69" s="181">
        <f t="shared" ref="B69:C79" si="14">HEX2DEC(D69) * 0.004</f>
        <v>0.39200000000000002</v>
      </c>
      <c r="C69" s="43">
        <f t="shared" si="14"/>
        <v>0.4</v>
      </c>
      <c r="D69" s="44">
        <v>62</v>
      </c>
      <c r="E69" s="44">
        <v>64</v>
      </c>
      <c r="F69" s="44"/>
      <c r="G69" s="44"/>
      <c r="H69" s="182"/>
      <c r="I69" s="188"/>
      <c r="J69" s="188"/>
      <c r="K69" s="188">
        <f t="shared" ref="K69:K80" si="15">ROUND(F69*0.5, 0)</f>
        <v>0</v>
      </c>
      <c r="L69" s="188">
        <f t="shared" ref="L69:L80" si="16">ROUND(G69*0.5, 0)</f>
        <v>0</v>
      </c>
      <c r="M69" s="188">
        <f t="shared" ref="M69:M80" si="17">ROUND(H69*0.5, 0)</f>
        <v>0</v>
      </c>
      <c r="N69" s="189"/>
      <c r="O69" s="189"/>
      <c r="P69" s="176">
        <f t="shared" ref="P69:Q79" si="18">HEX2DEC(R69) * 0.004</f>
        <v>0.39200000000000002</v>
      </c>
      <c r="Q69" s="123">
        <f t="shared" si="18"/>
        <v>0.4</v>
      </c>
      <c r="R69" s="124">
        <v>62</v>
      </c>
      <c r="S69" s="125">
        <v>64</v>
      </c>
      <c r="T69" s="120">
        <f t="shared" ref="T69:U79" si="19">HEX2DEC(V69) * 0.004</f>
        <v>0.39200000000000002</v>
      </c>
      <c r="U69" s="121">
        <f t="shared" si="19"/>
        <v>0.4</v>
      </c>
      <c r="V69" s="126">
        <v>62</v>
      </c>
      <c r="W69" s="127">
        <v>64</v>
      </c>
      <c r="X69" s="122">
        <f t="shared" ref="X69:Y79" si="20">HEX2DEC(Z69) * 0.004</f>
        <v>0.39200000000000002</v>
      </c>
      <c r="Y69" s="123">
        <f t="shared" si="20"/>
        <v>0.4</v>
      </c>
      <c r="Z69" s="124">
        <v>62</v>
      </c>
      <c r="AA69" s="125">
        <v>64</v>
      </c>
      <c r="AB69" s="128"/>
      <c r="AC69" s="185">
        <v>64</v>
      </c>
      <c r="AI69" s="193" t="s">
        <v>156</v>
      </c>
    </row>
    <row r="70" spans="1:35" ht="16.149999999999999" thickTop="1" x14ac:dyDescent="0.6">
      <c r="A70" s="41">
        <v>67</v>
      </c>
      <c r="B70" s="183">
        <f t="shared" si="14"/>
        <v>0.26</v>
      </c>
      <c r="C70" s="130">
        <f t="shared" si="14"/>
        <v>0.21199999999999999</v>
      </c>
      <c r="D70" s="138">
        <v>41</v>
      </c>
      <c r="E70" s="138">
        <v>35</v>
      </c>
      <c r="F70" s="138"/>
      <c r="G70" s="138"/>
      <c r="H70" s="184"/>
      <c r="I70" s="190"/>
      <c r="J70" s="190"/>
      <c r="K70" s="188">
        <f t="shared" si="15"/>
        <v>0</v>
      </c>
      <c r="L70" s="188">
        <f t="shared" si="16"/>
        <v>0</v>
      </c>
      <c r="M70" s="188">
        <f t="shared" si="17"/>
        <v>0</v>
      </c>
      <c r="N70" s="188"/>
      <c r="O70" s="188"/>
      <c r="P70" s="177">
        <f t="shared" si="18"/>
        <v>0.25600000000000001</v>
      </c>
      <c r="Q70" s="132">
        <f t="shared" si="18"/>
        <v>0.33600000000000002</v>
      </c>
      <c r="R70" s="133">
        <v>40</v>
      </c>
      <c r="S70" s="134">
        <v>54</v>
      </c>
      <c r="T70" s="129">
        <f t="shared" si="19"/>
        <v>0.25600000000000001</v>
      </c>
      <c r="U70" s="130">
        <f t="shared" si="19"/>
        <v>0.32</v>
      </c>
      <c r="V70" s="135">
        <v>40</v>
      </c>
      <c r="W70" s="136">
        <v>50</v>
      </c>
      <c r="X70" s="131">
        <f t="shared" si="20"/>
        <v>0.25600000000000001</v>
      </c>
      <c r="Y70" s="132">
        <f t="shared" si="20"/>
        <v>0.32800000000000001</v>
      </c>
      <c r="Z70" s="133">
        <v>40</v>
      </c>
      <c r="AA70" s="134">
        <v>52</v>
      </c>
      <c r="AB70" s="137"/>
      <c r="AI70" s="193"/>
    </row>
    <row r="71" spans="1:35" x14ac:dyDescent="0.6">
      <c r="A71" s="41">
        <v>68</v>
      </c>
      <c r="B71" s="183">
        <f t="shared" si="14"/>
        <v>0.29199999999999998</v>
      </c>
      <c r="C71" s="130">
        <f t="shared" si="14"/>
        <v>0.23200000000000001</v>
      </c>
      <c r="D71" s="138">
        <v>49</v>
      </c>
      <c r="E71" s="138" t="s">
        <v>143</v>
      </c>
      <c r="F71" s="138"/>
      <c r="G71" s="138"/>
      <c r="H71" s="184"/>
      <c r="I71" s="190"/>
      <c r="J71" s="190"/>
      <c r="K71" s="188">
        <f t="shared" si="15"/>
        <v>0</v>
      </c>
      <c r="L71" s="188">
        <f t="shared" si="16"/>
        <v>0</v>
      </c>
      <c r="M71" s="188">
        <f t="shared" si="17"/>
        <v>0</v>
      </c>
      <c r="N71" s="188"/>
      <c r="O71" s="188"/>
      <c r="P71" s="177">
        <f t="shared" si="18"/>
        <v>0.34400000000000003</v>
      </c>
      <c r="Q71" s="132">
        <f t="shared" si="18"/>
        <v>0.4</v>
      </c>
      <c r="R71" s="139">
        <v>56</v>
      </c>
      <c r="S71" s="140">
        <v>64</v>
      </c>
      <c r="T71" s="129">
        <f t="shared" si="19"/>
        <v>0.34400000000000003</v>
      </c>
      <c r="U71" s="130">
        <f t="shared" si="19"/>
        <v>0.36799999999999999</v>
      </c>
      <c r="V71" s="141">
        <v>56</v>
      </c>
      <c r="W71" s="142" t="s">
        <v>117</v>
      </c>
      <c r="X71" s="131">
        <f t="shared" si="20"/>
        <v>0.33600000000000002</v>
      </c>
      <c r="Y71" s="132">
        <f t="shared" si="20"/>
        <v>0.372</v>
      </c>
      <c r="Z71" s="139">
        <v>54</v>
      </c>
      <c r="AA71" s="140" t="s">
        <v>130</v>
      </c>
      <c r="AB71" s="143"/>
      <c r="AI71" s="193"/>
    </row>
    <row r="72" spans="1:35" x14ac:dyDescent="0.6">
      <c r="A72" s="41">
        <v>69</v>
      </c>
      <c r="B72" s="183">
        <f t="shared" si="14"/>
        <v>0.56000000000000005</v>
      </c>
      <c r="C72" s="130">
        <f t="shared" si="14"/>
        <v>0.4</v>
      </c>
      <c r="D72" s="138" t="s">
        <v>157</v>
      </c>
      <c r="E72" s="138">
        <v>64</v>
      </c>
      <c r="F72" s="138"/>
      <c r="G72" s="138"/>
      <c r="H72" s="184"/>
      <c r="I72" s="190"/>
      <c r="J72" s="190"/>
      <c r="K72" s="188">
        <f t="shared" si="15"/>
        <v>0</v>
      </c>
      <c r="L72" s="188">
        <f t="shared" si="16"/>
        <v>0</v>
      </c>
      <c r="M72" s="188">
        <f t="shared" si="17"/>
        <v>0</v>
      </c>
      <c r="N72" s="188"/>
      <c r="O72" s="188"/>
      <c r="P72" s="177">
        <f t="shared" si="18"/>
        <v>0.46400000000000002</v>
      </c>
      <c r="Q72" s="132">
        <f t="shared" si="18"/>
        <v>0.47600000000000003</v>
      </c>
      <c r="R72" s="139">
        <v>74</v>
      </c>
      <c r="S72" s="140">
        <v>77</v>
      </c>
      <c r="T72" s="129">
        <f t="shared" si="19"/>
        <v>0.46800000000000003</v>
      </c>
      <c r="U72" s="130">
        <f t="shared" si="19"/>
        <v>0.45600000000000002</v>
      </c>
      <c r="V72" s="141">
        <v>75</v>
      </c>
      <c r="W72" s="142">
        <v>72</v>
      </c>
      <c r="X72" s="131">
        <f t="shared" si="20"/>
        <v>0.44</v>
      </c>
      <c r="Y72" s="132">
        <f t="shared" si="20"/>
        <v>0.45600000000000002</v>
      </c>
      <c r="Z72" s="139" t="s">
        <v>132</v>
      </c>
      <c r="AA72" s="140">
        <v>72</v>
      </c>
      <c r="AB72" s="144"/>
      <c r="AI72" s="193"/>
    </row>
    <row r="73" spans="1:35" x14ac:dyDescent="0.6">
      <c r="A73" s="41">
        <v>70</v>
      </c>
      <c r="B73" s="183">
        <f t="shared" si="14"/>
        <v>0.70000000000000007</v>
      </c>
      <c r="C73" s="130">
        <f t="shared" si="14"/>
        <v>0.252</v>
      </c>
      <c r="D73" s="138" t="s">
        <v>158</v>
      </c>
      <c r="E73" s="138" t="s">
        <v>159</v>
      </c>
      <c r="F73" s="138"/>
      <c r="G73" s="138"/>
      <c r="H73" s="184"/>
      <c r="I73" s="190"/>
      <c r="J73" s="190"/>
      <c r="K73" s="188">
        <f t="shared" si="15"/>
        <v>0</v>
      </c>
      <c r="L73" s="188">
        <f t="shared" si="16"/>
        <v>0</v>
      </c>
      <c r="M73" s="188">
        <f t="shared" si="17"/>
        <v>0</v>
      </c>
      <c r="N73" s="188"/>
      <c r="O73" s="188"/>
      <c r="P73" s="177">
        <f t="shared" si="18"/>
        <v>0.70000000000000007</v>
      </c>
      <c r="Q73" s="132">
        <f t="shared" si="18"/>
        <v>0.252</v>
      </c>
      <c r="R73" s="139" t="s">
        <v>158</v>
      </c>
      <c r="S73" s="140" t="s">
        <v>159</v>
      </c>
      <c r="T73" s="129">
        <f t="shared" si="19"/>
        <v>0.70000000000000007</v>
      </c>
      <c r="U73" s="130">
        <f t="shared" si="19"/>
        <v>0.252</v>
      </c>
      <c r="V73" s="141" t="s">
        <v>158</v>
      </c>
      <c r="W73" s="142" t="s">
        <v>159</v>
      </c>
      <c r="X73" s="131">
        <f t="shared" si="20"/>
        <v>0.70000000000000007</v>
      </c>
      <c r="Y73" s="132">
        <f t="shared" si="20"/>
        <v>0.252</v>
      </c>
      <c r="Z73" s="139" t="s">
        <v>158</v>
      </c>
      <c r="AA73" s="140" t="s">
        <v>159</v>
      </c>
      <c r="AB73" s="145"/>
      <c r="AI73" s="193"/>
    </row>
    <row r="74" spans="1:35" x14ac:dyDescent="0.6">
      <c r="A74" s="41">
        <v>71</v>
      </c>
      <c r="B74" s="183">
        <f t="shared" si="14"/>
        <v>0.252</v>
      </c>
      <c r="C74" s="130">
        <f t="shared" si="14"/>
        <v>0.06</v>
      </c>
      <c r="D74" s="138" t="s">
        <v>159</v>
      </c>
      <c r="E74" s="138" t="s">
        <v>151</v>
      </c>
      <c r="F74" s="138"/>
      <c r="G74" s="138"/>
      <c r="H74" s="184"/>
      <c r="I74" s="190"/>
      <c r="J74" s="190"/>
      <c r="K74" s="188">
        <f t="shared" si="15"/>
        <v>0</v>
      </c>
      <c r="L74" s="188">
        <f t="shared" si="16"/>
        <v>0</v>
      </c>
      <c r="M74" s="188">
        <f t="shared" si="17"/>
        <v>0</v>
      </c>
      <c r="N74" s="188"/>
      <c r="O74" s="188"/>
      <c r="P74" s="177">
        <f t="shared" si="18"/>
        <v>0.252</v>
      </c>
      <c r="Q74" s="132">
        <f t="shared" si="18"/>
        <v>0.11600000000000001</v>
      </c>
      <c r="R74" s="139" t="s">
        <v>159</v>
      </c>
      <c r="S74" s="140" t="s">
        <v>160</v>
      </c>
      <c r="T74" s="129">
        <f t="shared" si="19"/>
        <v>0.252</v>
      </c>
      <c r="U74" s="130">
        <f t="shared" si="19"/>
        <v>0.06</v>
      </c>
      <c r="V74" s="141" t="s">
        <v>159</v>
      </c>
      <c r="W74" s="142" t="s">
        <v>151</v>
      </c>
      <c r="X74" s="131">
        <f t="shared" si="20"/>
        <v>0.252</v>
      </c>
      <c r="Y74" s="132">
        <f t="shared" si="20"/>
        <v>0.06</v>
      </c>
      <c r="Z74" s="139" t="s">
        <v>159</v>
      </c>
      <c r="AA74" s="140" t="s">
        <v>151</v>
      </c>
      <c r="AB74" s="146"/>
      <c r="AI74" s="193"/>
    </row>
    <row r="75" spans="1:35" x14ac:dyDescent="0.6">
      <c r="A75" s="41">
        <v>72</v>
      </c>
      <c r="B75" s="183">
        <f t="shared" si="14"/>
        <v>0.2</v>
      </c>
      <c r="C75" s="130">
        <f t="shared" si="14"/>
        <v>0.06</v>
      </c>
      <c r="D75" s="138">
        <v>32</v>
      </c>
      <c r="E75" s="138" t="s">
        <v>151</v>
      </c>
      <c r="F75" s="138"/>
      <c r="G75" s="138"/>
      <c r="H75" s="184"/>
      <c r="I75" s="190"/>
      <c r="J75" s="190"/>
      <c r="K75" s="188">
        <f t="shared" si="15"/>
        <v>0</v>
      </c>
      <c r="L75" s="188">
        <f t="shared" si="16"/>
        <v>0</v>
      </c>
      <c r="M75" s="188">
        <f t="shared" si="17"/>
        <v>0</v>
      </c>
      <c r="N75" s="188"/>
      <c r="O75" s="188"/>
      <c r="P75" s="177">
        <f t="shared" si="18"/>
        <v>0.16800000000000001</v>
      </c>
      <c r="Q75" s="132">
        <f t="shared" si="18"/>
        <v>8.4000000000000005E-2</v>
      </c>
      <c r="R75" s="139" t="s">
        <v>114</v>
      </c>
      <c r="S75" s="140">
        <v>15</v>
      </c>
      <c r="T75" s="129">
        <f t="shared" si="19"/>
        <v>0.16800000000000001</v>
      </c>
      <c r="U75" s="130">
        <f t="shared" si="19"/>
        <v>9.6000000000000002E-2</v>
      </c>
      <c r="V75" s="141" t="s">
        <v>114</v>
      </c>
      <c r="W75" s="142">
        <v>18</v>
      </c>
      <c r="X75" s="131">
        <f t="shared" si="20"/>
        <v>0.16800000000000001</v>
      </c>
      <c r="Y75" s="132">
        <f t="shared" si="20"/>
        <v>9.1999999999999998E-2</v>
      </c>
      <c r="Z75" s="139" t="s">
        <v>114</v>
      </c>
      <c r="AA75" s="140">
        <v>17</v>
      </c>
      <c r="AB75" s="147"/>
      <c r="AI75" s="193"/>
    </row>
    <row r="76" spans="1:35" x14ac:dyDescent="0.6">
      <c r="A76" s="41">
        <v>73</v>
      </c>
      <c r="B76" s="183">
        <f t="shared" si="14"/>
        <v>0.16</v>
      </c>
      <c r="C76" s="130">
        <f t="shared" si="14"/>
        <v>7.2000000000000008E-2</v>
      </c>
      <c r="D76" s="138">
        <v>28</v>
      </c>
      <c r="E76" s="138">
        <v>12</v>
      </c>
      <c r="F76" s="138"/>
      <c r="G76" s="138"/>
      <c r="H76" s="184"/>
      <c r="I76" s="190"/>
      <c r="J76" s="190"/>
      <c r="K76" s="188">
        <f t="shared" si="15"/>
        <v>0</v>
      </c>
      <c r="L76" s="188">
        <f t="shared" si="16"/>
        <v>0</v>
      </c>
      <c r="M76" s="188">
        <f t="shared" si="17"/>
        <v>0</v>
      </c>
      <c r="N76" s="188"/>
      <c r="O76" s="188"/>
      <c r="P76" s="177">
        <f t="shared" si="18"/>
        <v>0.16</v>
      </c>
      <c r="Q76" s="132">
        <f t="shared" si="18"/>
        <v>0.17200000000000001</v>
      </c>
      <c r="R76" s="139">
        <v>28</v>
      </c>
      <c r="S76" s="140" t="s">
        <v>147</v>
      </c>
      <c r="T76" s="129">
        <f t="shared" si="19"/>
        <v>0.16400000000000001</v>
      </c>
      <c r="U76" s="130">
        <f t="shared" si="19"/>
        <v>0.188</v>
      </c>
      <c r="V76" s="141">
        <v>29</v>
      </c>
      <c r="W76" s="142" t="s">
        <v>113</v>
      </c>
      <c r="X76" s="131">
        <f t="shared" si="20"/>
        <v>0.16400000000000001</v>
      </c>
      <c r="Y76" s="132">
        <f t="shared" si="20"/>
        <v>0.18</v>
      </c>
      <c r="Z76" s="139">
        <v>29</v>
      </c>
      <c r="AA76" s="140" t="s">
        <v>118</v>
      </c>
      <c r="AB76" s="148"/>
      <c r="AI76" s="193"/>
    </row>
    <row r="77" spans="1:35" x14ac:dyDescent="0.6">
      <c r="A77" s="41">
        <v>74</v>
      </c>
      <c r="B77" s="183">
        <f t="shared" si="14"/>
        <v>0.1</v>
      </c>
      <c r="C77" s="130">
        <f t="shared" si="14"/>
        <v>0.14000000000000001</v>
      </c>
      <c r="D77" s="138">
        <v>19</v>
      </c>
      <c r="E77" s="138">
        <v>23</v>
      </c>
      <c r="F77" s="138"/>
      <c r="G77" s="138"/>
      <c r="H77" s="184"/>
      <c r="I77" s="190"/>
      <c r="J77" s="190"/>
      <c r="K77" s="188">
        <f t="shared" si="15"/>
        <v>0</v>
      </c>
      <c r="L77" s="188">
        <f t="shared" si="16"/>
        <v>0</v>
      </c>
      <c r="M77" s="188">
        <f t="shared" si="17"/>
        <v>0</v>
      </c>
      <c r="N77" s="188"/>
      <c r="O77" s="188"/>
      <c r="P77" s="177">
        <f t="shared" si="18"/>
        <v>0.18</v>
      </c>
      <c r="Q77" s="132">
        <f t="shared" si="18"/>
        <v>0.33600000000000002</v>
      </c>
      <c r="R77" s="149" t="s">
        <v>118</v>
      </c>
      <c r="S77" s="150">
        <v>54</v>
      </c>
      <c r="T77" s="129">
        <f t="shared" si="19"/>
        <v>0.18</v>
      </c>
      <c r="U77" s="130">
        <f t="shared" si="19"/>
        <v>0.33600000000000002</v>
      </c>
      <c r="V77" s="151" t="s">
        <v>118</v>
      </c>
      <c r="W77" s="152">
        <v>54</v>
      </c>
      <c r="X77" s="131">
        <f t="shared" si="20"/>
        <v>0.188</v>
      </c>
      <c r="Y77" s="132">
        <f t="shared" si="20"/>
        <v>0.34400000000000003</v>
      </c>
      <c r="Z77" s="149" t="s">
        <v>113</v>
      </c>
      <c r="AA77" s="150">
        <v>56</v>
      </c>
      <c r="AB77" s="153"/>
      <c r="AI77" s="193"/>
    </row>
    <row r="78" spans="1:35" x14ac:dyDescent="0.6">
      <c r="A78" s="41">
        <v>75</v>
      </c>
      <c r="B78" s="183">
        <f t="shared" si="14"/>
        <v>0.13200000000000001</v>
      </c>
      <c r="C78" s="130">
        <f t="shared" si="14"/>
        <v>0.6</v>
      </c>
      <c r="D78" s="138">
        <v>21</v>
      </c>
      <c r="E78" s="138">
        <v>96</v>
      </c>
      <c r="F78" s="138"/>
      <c r="G78" s="138"/>
      <c r="H78" s="184"/>
      <c r="I78" s="190"/>
      <c r="J78" s="190"/>
      <c r="K78" s="188">
        <f t="shared" si="15"/>
        <v>0</v>
      </c>
      <c r="L78" s="188">
        <f t="shared" si="16"/>
        <v>0</v>
      </c>
      <c r="M78" s="188">
        <f t="shared" si="17"/>
        <v>0</v>
      </c>
      <c r="N78" s="188"/>
      <c r="O78" s="188"/>
      <c r="P78" s="177">
        <f t="shared" si="18"/>
        <v>0.27600000000000002</v>
      </c>
      <c r="Q78" s="132">
        <f t="shared" si="18"/>
        <v>0.55200000000000005</v>
      </c>
      <c r="R78" s="139">
        <v>45</v>
      </c>
      <c r="S78" s="140" t="s">
        <v>141</v>
      </c>
      <c r="T78" s="129">
        <f t="shared" si="19"/>
        <v>0.29199999999999998</v>
      </c>
      <c r="U78" s="130">
        <f t="shared" si="19"/>
        <v>0.58399999999999996</v>
      </c>
      <c r="V78" s="141">
        <v>49</v>
      </c>
      <c r="W78" s="142">
        <v>92</v>
      </c>
      <c r="X78" s="131">
        <f t="shared" si="20"/>
        <v>0.28800000000000003</v>
      </c>
      <c r="Y78" s="132">
        <f t="shared" si="20"/>
        <v>0.61599999999999999</v>
      </c>
      <c r="Z78" s="139">
        <v>48</v>
      </c>
      <c r="AA78" s="140" t="s">
        <v>121</v>
      </c>
      <c r="AB78" s="154"/>
      <c r="AI78" s="193"/>
    </row>
    <row r="79" spans="1:35" ht="16.149999999999999" thickBot="1" x14ac:dyDescent="0.65">
      <c r="A79" s="41">
        <v>76</v>
      </c>
      <c r="B79" s="183">
        <f t="shared" si="14"/>
        <v>0.192</v>
      </c>
      <c r="C79" s="130">
        <f t="shared" si="14"/>
        <v>0.16</v>
      </c>
      <c r="D79" s="138">
        <v>30</v>
      </c>
      <c r="E79" s="138">
        <v>28</v>
      </c>
      <c r="F79" s="138"/>
      <c r="G79" s="138"/>
      <c r="H79" s="184"/>
      <c r="I79" s="190"/>
      <c r="J79" s="190"/>
      <c r="K79" s="188">
        <f t="shared" si="15"/>
        <v>0</v>
      </c>
      <c r="L79" s="188">
        <f t="shared" si="16"/>
        <v>0</v>
      </c>
      <c r="M79" s="188">
        <f t="shared" si="17"/>
        <v>0</v>
      </c>
      <c r="N79" s="189"/>
      <c r="O79" s="189"/>
      <c r="P79" s="178">
        <f t="shared" si="18"/>
        <v>0.19600000000000001</v>
      </c>
      <c r="Q79" s="158">
        <f t="shared" si="18"/>
        <v>0.24399999999999999</v>
      </c>
      <c r="R79" s="159">
        <v>31</v>
      </c>
      <c r="S79" s="160" t="s">
        <v>119</v>
      </c>
      <c r="T79" s="155">
        <f t="shared" si="19"/>
        <v>0.22</v>
      </c>
      <c r="U79" s="156">
        <f t="shared" si="19"/>
        <v>0.28400000000000003</v>
      </c>
      <c r="V79" s="161">
        <v>37</v>
      </c>
      <c r="W79" s="162">
        <v>47</v>
      </c>
      <c r="X79" s="157">
        <f t="shared" si="20"/>
        <v>0.224</v>
      </c>
      <c r="Y79" s="158">
        <f t="shared" si="20"/>
        <v>0.28800000000000003</v>
      </c>
      <c r="Z79" s="159">
        <v>38</v>
      </c>
      <c r="AA79" s="160">
        <v>48</v>
      </c>
      <c r="AB79" s="163"/>
    </row>
    <row r="80" spans="1:35" ht="16.149999999999999" thickTop="1" x14ac:dyDescent="0.6">
      <c r="A80" s="164" t="s">
        <v>161</v>
      </c>
      <c r="B80" s="165" t="s">
        <v>161</v>
      </c>
      <c r="C80" s="165" t="s">
        <v>161</v>
      </c>
      <c r="D80" s="165" t="s">
        <v>161</v>
      </c>
      <c r="E80" s="165" t="s">
        <v>161</v>
      </c>
      <c r="F80" s="165"/>
      <c r="G80" s="165"/>
      <c r="H80" s="165"/>
      <c r="I80" s="191"/>
      <c r="J80" s="191"/>
      <c r="K80" s="188">
        <f t="shared" si="15"/>
        <v>0</v>
      </c>
      <c r="L80" s="188">
        <f t="shared" si="16"/>
        <v>0</v>
      </c>
      <c r="M80" s="188">
        <f t="shared" si="17"/>
        <v>0</v>
      </c>
      <c r="N80" s="192"/>
      <c r="O80" s="192"/>
      <c r="P80" s="165" t="s">
        <v>161</v>
      </c>
      <c r="Q80" s="165" t="s">
        <v>161</v>
      </c>
      <c r="R80" s="165" t="s">
        <v>161</v>
      </c>
      <c r="S80" s="165" t="s">
        <v>161</v>
      </c>
      <c r="T80" s="165" t="s">
        <v>161</v>
      </c>
      <c r="U80" s="165" t="s">
        <v>161</v>
      </c>
      <c r="V80" s="165" t="s">
        <v>161</v>
      </c>
      <c r="W80" s="165" t="s">
        <v>161</v>
      </c>
      <c r="X80" s="165" t="s">
        <v>161</v>
      </c>
      <c r="Y80" s="165" t="s">
        <v>161</v>
      </c>
      <c r="Z80" s="165" t="s">
        <v>161</v>
      </c>
      <c r="AA80" s="165" t="s">
        <v>161</v>
      </c>
      <c r="AB80" s="164" t="s">
        <v>161</v>
      </c>
    </row>
  </sheetData>
  <mergeCells count="6">
    <mergeCell ref="AI69:AI78"/>
    <mergeCell ref="A2:A3"/>
    <mergeCell ref="P2:S2"/>
    <mergeCell ref="T2:W2"/>
    <mergeCell ref="X2:AA2"/>
    <mergeCell ref="B2:H2"/>
  </mergeCells>
  <phoneticPr fontId="1" type="noConversion"/>
  <pageMargins left="0.7" right="0.7" top="0.75" bottom="0.75" header="0.3" footer="0.3"/>
  <pageSetup paperSize="9" orientation="portrait"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5CE1-681B-4E13-924E-69E30DBFC155}">
  <sheetPr codeName="Sheet3"/>
  <dimension ref="A1"/>
  <sheetViews>
    <sheetView workbookViewId="0"/>
  </sheetViews>
  <sheetFormatPr defaultRowHeight="16.899999999999999" x14ac:dyDescent="0.6"/>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E540F-336F-4B78-BDD6-21181517A1CD}">
  <sheetPr codeName="Sheet4"/>
  <dimension ref="A1:AJ81"/>
  <sheetViews>
    <sheetView showGridLines="0" tabSelected="1" zoomScale="70" zoomScaleNormal="70" workbookViewId="0"/>
  </sheetViews>
  <sheetFormatPr defaultColWidth="8.5625" defaultRowHeight="15.75" x14ac:dyDescent="0.6"/>
  <cols>
    <col min="1" max="3" width="8.5625" style="201"/>
    <col min="4" max="5" width="8.5625" style="201" customWidth="1"/>
    <col min="6" max="6" width="8.5625" style="203" customWidth="1"/>
    <col min="7" max="16" width="4.875" style="201" customWidth="1"/>
    <col min="17" max="17" width="10.25" style="201" bestFit="1" customWidth="1"/>
    <col min="18" max="18" width="11.6875" style="201" bestFit="1" customWidth="1"/>
    <col min="19" max="20" width="8.5625" style="201" customWidth="1"/>
    <col min="21" max="16384" width="8.5625" style="201"/>
  </cols>
  <sheetData>
    <row r="1" spans="1:20" ht="25.5" customHeight="1" x14ac:dyDescent="0.6">
      <c r="B1" s="202" t="s">
        <v>103</v>
      </c>
      <c r="C1" s="202"/>
      <c r="D1" s="202" t="s">
        <v>193</v>
      </c>
      <c r="E1" s="202"/>
    </row>
    <row r="2" spans="1:20" ht="16.05" customHeight="1" x14ac:dyDescent="0.6">
      <c r="A2" s="204"/>
      <c r="B2" s="205" t="s">
        <v>104</v>
      </c>
      <c r="C2" s="206"/>
      <c r="D2" s="206"/>
      <c r="E2" s="206"/>
      <c r="F2" s="207"/>
      <c r="G2" s="203"/>
      <c r="H2" s="203"/>
      <c r="I2" s="203"/>
      <c r="J2" s="208"/>
      <c r="K2" s="208"/>
      <c r="L2" s="208"/>
      <c r="M2" s="208"/>
      <c r="N2" s="208"/>
      <c r="O2" s="208"/>
      <c r="P2" s="208"/>
      <c r="Q2" s="208"/>
      <c r="R2" s="208"/>
      <c r="S2" s="208"/>
    </row>
    <row r="3" spans="1:20" x14ac:dyDescent="0.6">
      <c r="A3" s="209"/>
      <c r="B3" s="210" t="s">
        <v>109</v>
      </c>
      <c r="C3" s="211" t="s">
        <v>110</v>
      </c>
      <c r="D3" s="211" t="s">
        <v>111</v>
      </c>
      <c r="E3" s="211" t="s">
        <v>112</v>
      </c>
      <c r="F3" s="212"/>
      <c r="T3" s="213"/>
    </row>
    <row r="4" spans="1:20" ht="16.899999999999999" x14ac:dyDescent="0.6">
      <c r="A4" s="214">
        <v>1</v>
      </c>
      <c r="B4" s="215">
        <f>HEX2DEC(D4) * 0.004</f>
        <v>0.188</v>
      </c>
      <c r="C4" s="216">
        <f>HEX2DEC(E4) * 0.004</f>
        <v>7.2000000000000008E-2</v>
      </c>
      <c r="D4" s="217" t="s">
        <v>113</v>
      </c>
      <c r="E4" s="217">
        <v>12</v>
      </c>
      <c r="F4" s="218"/>
      <c r="G4" s="201">
        <v>70</v>
      </c>
      <c r="H4" s="201">
        <v>1</v>
      </c>
      <c r="I4" s="201">
        <v>185</v>
      </c>
      <c r="Q4" s="201" t="str">
        <f xml:space="preserve"> CONCATENATE(G4, ",",H4, ",",I4)</f>
        <v>70,1,185</v>
      </c>
      <c r="R4" s="201" t="str">
        <f>CONCATENATE("{", Q4, "}", ",")</f>
        <v>{70,1,185},</v>
      </c>
    </row>
    <row r="5" spans="1:20" ht="17.2" customHeight="1" x14ac:dyDescent="0.6">
      <c r="A5" s="214">
        <v>2</v>
      </c>
      <c r="B5" s="215">
        <f t="shared" ref="B5:C69" si="0">HEX2DEC(D5) * 0.004</f>
        <v>0.20400000000000001</v>
      </c>
      <c r="C5" s="216">
        <f t="shared" si="0"/>
        <v>9.1999999999999998E-2</v>
      </c>
      <c r="D5" s="217">
        <v>33</v>
      </c>
      <c r="E5" s="217">
        <v>17</v>
      </c>
      <c r="F5" s="219"/>
      <c r="G5" s="201">
        <v>80</v>
      </c>
      <c r="H5" s="201">
        <v>0</v>
      </c>
      <c r="I5" s="201">
        <v>175</v>
      </c>
      <c r="Q5" s="201" t="str">
        <f t="shared" ref="Q5:Q67" si="1" xml:space="preserve"> CONCATENATE(G5, ",",H5, ",",I5)</f>
        <v>80,0,175</v>
      </c>
      <c r="R5" s="201" t="str">
        <f t="shared" ref="R5:R67" si="2">CONCATENATE("{", Q5, "}", ",")</f>
        <v>{80,0,175},</v>
      </c>
    </row>
    <row r="6" spans="1:20" ht="16.899999999999999" x14ac:dyDescent="0.6">
      <c r="A6" s="214">
        <v>3</v>
      </c>
      <c r="B6" s="215">
        <f t="shared" si="0"/>
        <v>0.22800000000000001</v>
      </c>
      <c r="C6" s="216">
        <f t="shared" si="0"/>
        <v>0.10400000000000001</v>
      </c>
      <c r="D6" s="217">
        <v>39</v>
      </c>
      <c r="E6" s="217" t="s">
        <v>115</v>
      </c>
      <c r="F6" s="220"/>
      <c r="G6" s="201">
        <v>90</v>
      </c>
      <c r="H6" s="201">
        <v>0</v>
      </c>
      <c r="I6" s="201">
        <v>165</v>
      </c>
      <c r="Q6" s="201" t="str">
        <f t="shared" si="1"/>
        <v>90,0,165</v>
      </c>
      <c r="R6" s="201" t="str">
        <f t="shared" si="2"/>
        <v>{90,0,165},</v>
      </c>
    </row>
    <row r="7" spans="1:20" ht="16.899999999999999" x14ac:dyDescent="0.6">
      <c r="A7" s="214">
        <v>4</v>
      </c>
      <c r="B7" s="215">
        <f t="shared" si="0"/>
        <v>0.25600000000000001</v>
      </c>
      <c r="C7" s="216">
        <f t="shared" si="0"/>
        <v>0.12</v>
      </c>
      <c r="D7" s="217">
        <v>40</v>
      </c>
      <c r="E7" s="217" t="s">
        <v>116</v>
      </c>
      <c r="F7" s="221"/>
      <c r="G7" s="201">
        <v>101</v>
      </c>
      <c r="H7" s="201">
        <v>0</v>
      </c>
      <c r="I7" s="201">
        <v>155</v>
      </c>
      <c r="Q7" s="201" t="str">
        <f t="shared" si="1"/>
        <v>101,0,155</v>
      </c>
      <c r="R7" s="201" t="str">
        <f t="shared" si="2"/>
        <v>{101,0,155},</v>
      </c>
    </row>
    <row r="8" spans="1:20" ht="16.899999999999999" x14ac:dyDescent="0.6">
      <c r="A8" s="214">
        <v>5</v>
      </c>
      <c r="B8" s="215">
        <f t="shared" si="0"/>
        <v>0.28800000000000003</v>
      </c>
      <c r="C8" s="216">
        <f t="shared" si="0"/>
        <v>0.13600000000000001</v>
      </c>
      <c r="D8" s="217">
        <v>48</v>
      </c>
      <c r="E8" s="217">
        <v>22</v>
      </c>
      <c r="F8" s="222"/>
      <c r="G8" s="201">
        <v>111</v>
      </c>
      <c r="H8" s="201">
        <v>0</v>
      </c>
      <c r="I8" s="201">
        <v>145</v>
      </c>
      <c r="Q8" s="201" t="str">
        <f t="shared" si="1"/>
        <v>111,0,145</v>
      </c>
      <c r="R8" s="201" t="str">
        <f t="shared" si="2"/>
        <v>{111,0,145},</v>
      </c>
    </row>
    <row r="9" spans="1:20" ht="16.899999999999999" x14ac:dyDescent="0.6">
      <c r="A9" s="214">
        <v>6</v>
      </c>
      <c r="B9" s="215">
        <f t="shared" si="0"/>
        <v>0.32800000000000001</v>
      </c>
      <c r="C9" s="216">
        <f t="shared" si="0"/>
        <v>0.156</v>
      </c>
      <c r="D9" s="217">
        <v>52</v>
      </c>
      <c r="E9" s="217">
        <v>27</v>
      </c>
      <c r="F9" s="223"/>
      <c r="G9" s="201">
        <v>121</v>
      </c>
      <c r="H9" s="201">
        <v>0</v>
      </c>
      <c r="I9" s="201">
        <v>135</v>
      </c>
      <c r="Q9" s="201" t="str">
        <f t="shared" si="1"/>
        <v>121,0,135</v>
      </c>
      <c r="R9" s="201" t="str">
        <f t="shared" si="2"/>
        <v>{121,0,135},</v>
      </c>
    </row>
    <row r="10" spans="1:20" ht="16.899999999999999" x14ac:dyDescent="0.6">
      <c r="A10" s="214">
        <v>7</v>
      </c>
      <c r="B10" s="215">
        <f t="shared" si="0"/>
        <v>0.36799999999999999</v>
      </c>
      <c r="C10" s="216">
        <f t="shared" si="0"/>
        <v>0.18</v>
      </c>
      <c r="D10" s="217" t="s">
        <v>117</v>
      </c>
      <c r="E10" s="217" t="s">
        <v>118</v>
      </c>
      <c r="F10" s="224"/>
      <c r="G10" s="201">
        <v>131</v>
      </c>
      <c r="H10" s="201">
        <v>0</v>
      </c>
      <c r="I10" s="201">
        <v>125</v>
      </c>
      <c r="Q10" s="201" t="str">
        <f t="shared" si="1"/>
        <v>131,0,125</v>
      </c>
      <c r="R10" s="201" t="str">
        <f t="shared" si="2"/>
        <v>{131,0,125},</v>
      </c>
    </row>
    <row r="11" spans="1:20" ht="16.899999999999999" x14ac:dyDescent="0.6">
      <c r="A11" s="214">
        <v>8</v>
      </c>
      <c r="B11" s="215">
        <f t="shared" si="0"/>
        <v>0.41600000000000004</v>
      </c>
      <c r="C11" s="216">
        <f t="shared" si="0"/>
        <v>0.20800000000000002</v>
      </c>
      <c r="D11" s="217">
        <v>68</v>
      </c>
      <c r="E11" s="217">
        <v>34</v>
      </c>
      <c r="F11" s="225"/>
      <c r="G11" s="201">
        <v>145</v>
      </c>
      <c r="H11" s="201">
        <v>0</v>
      </c>
      <c r="I11" s="201">
        <v>115</v>
      </c>
      <c r="Q11" s="201" t="str">
        <f t="shared" si="1"/>
        <v>145,0,115</v>
      </c>
      <c r="R11" s="201" t="str">
        <f t="shared" si="2"/>
        <v>{145,0,115},</v>
      </c>
    </row>
    <row r="12" spans="1:20" ht="16.899999999999999" x14ac:dyDescent="0.6">
      <c r="A12" s="214">
        <v>9</v>
      </c>
      <c r="B12" s="215">
        <f t="shared" si="0"/>
        <v>0.48399999999999999</v>
      </c>
      <c r="C12" s="216">
        <f t="shared" si="0"/>
        <v>0.24399999999999999</v>
      </c>
      <c r="D12" s="217">
        <v>79</v>
      </c>
      <c r="E12" s="217" t="s">
        <v>119</v>
      </c>
      <c r="F12" s="226"/>
      <c r="G12" s="201">
        <v>165</v>
      </c>
      <c r="H12" s="201">
        <v>0</v>
      </c>
      <c r="I12" s="201">
        <v>100</v>
      </c>
      <c r="Q12" s="201" t="str">
        <f t="shared" si="1"/>
        <v>165,0,100</v>
      </c>
      <c r="R12" s="201" t="str">
        <f t="shared" si="2"/>
        <v>{165,0,100},</v>
      </c>
    </row>
    <row r="13" spans="1:20" ht="16.899999999999999" x14ac:dyDescent="0.6">
      <c r="A13" s="214">
        <v>10</v>
      </c>
      <c r="B13" s="215">
        <f t="shared" si="0"/>
        <v>0.54</v>
      </c>
      <c r="C13" s="216">
        <f t="shared" si="0"/>
        <v>0.27600000000000002</v>
      </c>
      <c r="D13" s="217">
        <v>87</v>
      </c>
      <c r="E13" s="217">
        <v>45</v>
      </c>
      <c r="F13" s="227"/>
      <c r="G13" s="201">
        <v>195</v>
      </c>
      <c r="H13" s="201">
        <v>0</v>
      </c>
      <c r="I13" s="201">
        <v>90</v>
      </c>
      <c r="Q13" s="201" t="str">
        <f t="shared" si="1"/>
        <v>195,0,90</v>
      </c>
      <c r="R13" s="201" t="str">
        <f t="shared" si="2"/>
        <v>{195,0,90},</v>
      </c>
    </row>
    <row r="14" spans="1:20" ht="16.899999999999999" x14ac:dyDescent="0.6">
      <c r="A14" s="214">
        <v>11</v>
      </c>
      <c r="B14" s="215">
        <f t="shared" si="0"/>
        <v>0.59199999999999997</v>
      </c>
      <c r="C14" s="216">
        <f t="shared" si="0"/>
        <v>0.30399999999999999</v>
      </c>
      <c r="D14" s="217">
        <v>94</v>
      </c>
      <c r="E14" s="217" t="s">
        <v>120</v>
      </c>
      <c r="F14" s="228"/>
      <c r="G14" s="201">
        <v>220</v>
      </c>
      <c r="H14" s="201">
        <v>0</v>
      </c>
      <c r="I14" s="201">
        <v>70</v>
      </c>
      <c r="Q14" s="201" t="str">
        <f t="shared" si="1"/>
        <v>220,0,70</v>
      </c>
      <c r="R14" s="201" t="str">
        <f t="shared" si="2"/>
        <v>{220,0,70},</v>
      </c>
    </row>
    <row r="15" spans="1:20" ht="16.899999999999999" x14ac:dyDescent="0.6">
      <c r="A15" s="214">
        <v>12</v>
      </c>
      <c r="B15" s="215">
        <f t="shared" si="0"/>
        <v>0.61599999999999999</v>
      </c>
      <c r="C15" s="216">
        <f t="shared" si="0"/>
        <v>0.316</v>
      </c>
      <c r="D15" s="217" t="s">
        <v>121</v>
      </c>
      <c r="E15" s="217" t="s">
        <v>122</v>
      </c>
      <c r="F15" s="229"/>
      <c r="G15" s="201">
        <v>230</v>
      </c>
      <c r="H15" s="201">
        <v>0</v>
      </c>
      <c r="I15" s="201">
        <v>50</v>
      </c>
      <c r="Q15" s="201" t="str">
        <f t="shared" si="1"/>
        <v>230,0,50</v>
      </c>
      <c r="R15" s="201" t="str">
        <f t="shared" si="2"/>
        <v>{230,0,50},</v>
      </c>
    </row>
    <row r="16" spans="1:20" ht="16.899999999999999" x14ac:dyDescent="0.6">
      <c r="A16" s="214">
        <v>13</v>
      </c>
      <c r="B16" s="215">
        <f t="shared" si="0"/>
        <v>0.63200000000000001</v>
      </c>
      <c r="C16" s="216">
        <f t="shared" si="0"/>
        <v>0.32800000000000001</v>
      </c>
      <c r="D16" s="217" t="s">
        <v>123</v>
      </c>
      <c r="E16" s="217">
        <v>52</v>
      </c>
      <c r="F16" s="230"/>
      <c r="G16" s="201">
        <v>240</v>
      </c>
      <c r="H16" s="201">
        <v>0</v>
      </c>
      <c r="I16" s="201">
        <v>30</v>
      </c>
      <c r="Q16" s="201" t="str">
        <f t="shared" si="1"/>
        <v>240,0,30</v>
      </c>
      <c r="R16" s="201" t="str">
        <f t="shared" si="2"/>
        <v>{240,0,30},</v>
      </c>
    </row>
    <row r="17" spans="1:18" ht="16.899999999999999" x14ac:dyDescent="0.6">
      <c r="A17" s="214">
        <v>14</v>
      </c>
      <c r="B17" s="215">
        <f t="shared" si="0"/>
        <v>0.64</v>
      </c>
      <c r="C17" s="216">
        <f t="shared" si="0"/>
        <v>0.32400000000000001</v>
      </c>
      <c r="D17" s="217" t="s">
        <v>124</v>
      </c>
      <c r="E17" s="217">
        <v>51</v>
      </c>
      <c r="F17" s="231"/>
      <c r="G17" s="201">
        <v>245</v>
      </c>
      <c r="H17" s="201">
        <v>0</v>
      </c>
      <c r="I17" s="201">
        <v>15</v>
      </c>
      <c r="Q17" s="201" t="str">
        <f t="shared" si="1"/>
        <v>245,0,15</v>
      </c>
      <c r="R17" s="201" t="str">
        <f t="shared" si="2"/>
        <v>{245,0,15},</v>
      </c>
    </row>
    <row r="18" spans="1:18" ht="16.899999999999999" x14ac:dyDescent="0.6">
      <c r="A18" s="214">
        <v>15</v>
      </c>
      <c r="B18" s="215">
        <f t="shared" si="0"/>
        <v>0.64</v>
      </c>
      <c r="C18" s="216">
        <f t="shared" si="0"/>
        <v>0.32800000000000001</v>
      </c>
      <c r="D18" s="217" t="s">
        <v>124</v>
      </c>
      <c r="E18" s="217">
        <v>52</v>
      </c>
      <c r="F18" s="232"/>
      <c r="G18" s="201">
        <v>255</v>
      </c>
      <c r="H18" s="201">
        <v>0</v>
      </c>
      <c r="I18" s="201">
        <v>5</v>
      </c>
      <c r="Q18" s="201" t="str">
        <f t="shared" si="1"/>
        <v>255,0,5</v>
      </c>
      <c r="R18" s="201" t="str">
        <f t="shared" si="2"/>
        <v>{255,0,5},</v>
      </c>
    </row>
    <row r="19" spans="1:18" ht="16.899999999999999" x14ac:dyDescent="0.6">
      <c r="A19" s="214">
        <v>16</v>
      </c>
      <c r="B19" s="215">
        <f t="shared" si="0"/>
        <v>0.64</v>
      </c>
      <c r="C19" s="216">
        <f t="shared" si="0"/>
        <v>0.33200000000000002</v>
      </c>
      <c r="D19" s="217" t="s">
        <v>124</v>
      </c>
      <c r="E19" s="217">
        <v>53</v>
      </c>
      <c r="F19" s="233"/>
      <c r="G19" s="201">
        <v>255</v>
      </c>
      <c r="H19" s="201">
        <v>10</v>
      </c>
      <c r="I19" s="201">
        <v>0</v>
      </c>
      <c r="Q19" s="201" t="str">
        <f t="shared" si="1"/>
        <v>255,10,0</v>
      </c>
      <c r="R19" s="201" t="str">
        <f t="shared" si="2"/>
        <v>{255,10,0},</v>
      </c>
    </row>
    <row r="20" spans="1:18" ht="16.899999999999999" x14ac:dyDescent="0.6">
      <c r="A20" s="214">
        <v>17</v>
      </c>
      <c r="B20" s="215">
        <f t="shared" si="0"/>
        <v>0.64</v>
      </c>
      <c r="C20" s="216">
        <f t="shared" si="0"/>
        <v>0.33600000000000002</v>
      </c>
      <c r="D20" s="217" t="s">
        <v>124</v>
      </c>
      <c r="E20" s="217">
        <v>54</v>
      </c>
      <c r="F20" s="234"/>
      <c r="G20" s="201">
        <v>255</v>
      </c>
      <c r="H20" s="201">
        <v>20</v>
      </c>
      <c r="I20" s="201">
        <v>0</v>
      </c>
      <c r="Q20" s="201" t="str">
        <f t="shared" si="1"/>
        <v>255,20,0</v>
      </c>
      <c r="R20" s="201" t="str">
        <f t="shared" si="2"/>
        <v>{255,20,0},</v>
      </c>
    </row>
    <row r="21" spans="1:18" ht="16.899999999999999" x14ac:dyDescent="0.6">
      <c r="A21" s="214">
        <v>18</v>
      </c>
      <c r="B21" s="215">
        <f t="shared" si="0"/>
        <v>0.63600000000000001</v>
      </c>
      <c r="C21" s="216">
        <f t="shared" si="0"/>
        <v>0.33200000000000002</v>
      </c>
      <c r="D21" s="217" t="s">
        <v>125</v>
      </c>
      <c r="E21" s="217">
        <v>53</v>
      </c>
      <c r="F21" s="235"/>
      <c r="G21" s="201">
        <v>255</v>
      </c>
      <c r="H21" s="201">
        <v>30</v>
      </c>
      <c r="I21" s="201">
        <v>0</v>
      </c>
      <c r="Q21" s="201" t="str">
        <f t="shared" si="1"/>
        <v>255,30,0</v>
      </c>
      <c r="R21" s="201" t="str">
        <f t="shared" si="2"/>
        <v>{255,30,0},</v>
      </c>
    </row>
    <row r="22" spans="1:18" ht="16.899999999999999" x14ac:dyDescent="0.6">
      <c r="A22" s="214">
        <v>19</v>
      </c>
      <c r="B22" s="215">
        <f t="shared" si="0"/>
        <v>0.63200000000000001</v>
      </c>
      <c r="C22" s="216">
        <f t="shared" si="0"/>
        <v>0.33600000000000002</v>
      </c>
      <c r="D22" s="217" t="s">
        <v>123</v>
      </c>
      <c r="E22" s="217">
        <v>54</v>
      </c>
      <c r="F22" s="236"/>
      <c r="G22" s="201">
        <v>255</v>
      </c>
      <c r="H22" s="201">
        <v>40</v>
      </c>
      <c r="I22" s="201">
        <v>0</v>
      </c>
      <c r="Q22" s="201" t="str">
        <f t="shared" si="1"/>
        <v>255,40,0</v>
      </c>
      <c r="R22" s="201" t="str">
        <f t="shared" si="2"/>
        <v>{255,40,0},</v>
      </c>
    </row>
    <row r="23" spans="1:18" ht="16.899999999999999" x14ac:dyDescent="0.6">
      <c r="A23" s="214">
        <v>20</v>
      </c>
      <c r="B23" s="215">
        <f t="shared" si="0"/>
        <v>0.628</v>
      </c>
      <c r="C23" s="216">
        <f t="shared" si="0"/>
        <v>0.34</v>
      </c>
      <c r="D23" s="217" t="s">
        <v>126</v>
      </c>
      <c r="E23" s="217">
        <v>55</v>
      </c>
      <c r="F23" s="237"/>
      <c r="G23" s="201">
        <v>255</v>
      </c>
      <c r="H23" s="201">
        <v>50</v>
      </c>
      <c r="I23" s="201">
        <v>0</v>
      </c>
      <c r="Q23" s="201" t="str">
        <f t="shared" si="1"/>
        <v>255,50,0</v>
      </c>
      <c r="R23" s="201" t="str">
        <f t="shared" si="2"/>
        <v>{255,50,0},</v>
      </c>
    </row>
    <row r="24" spans="1:18" ht="16.899999999999999" x14ac:dyDescent="0.6">
      <c r="A24" s="214">
        <v>21</v>
      </c>
      <c r="B24" s="215">
        <f t="shared" si="0"/>
        <v>0.624</v>
      </c>
      <c r="C24" s="216">
        <f t="shared" si="0"/>
        <v>0.34400000000000003</v>
      </c>
      <c r="D24" s="217" t="s">
        <v>128</v>
      </c>
      <c r="E24" s="217">
        <v>56</v>
      </c>
      <c r="F24" s="238"/>
      <c r="G24" s="201">
        <v>255</v>
      </c>
      <c r="H24" s="201">
        <v>60</v>
      </c>
      <c r="I24" s="201">
        <v>0</v>
      </c>
      <c r="Q24" s="201" t="str">
        <f t="shared" si="1"/>
        <v>255,60,0</v>
      </c>
      <c r="R24" s="201" t="str">
        <f t="shared" si="2"/>
        <v>{255,60,0},</v>
      </c>
    </row>
    <row r="25" spans="1:18" ht="16.899999999999999" x14ac:dyDescent="0.6">
      <c r="A25" s="214">
        <v>22</v>
      </c>
      <c r="B25" s="215">
        <f t="shared" si="0"/>
        <v>0.61599999999999999</v>
      </c>
      <c r="C25" s="216">
        <f t="shared" si="0"/>
        <v>0.35199999999999998</v>
      </c>
      <c r="D25" s="217" t="s">
        <v>121</v>
      </c>
      <c r="E25" s="217">
        <v>58</v>
      </c>
      <c r="F25" s="239"/>
      <c r="G25" s="201">
        <v>255</v>
      </c>
      <c r="H25" s="201">
        <v>70</v>
      </c>
      <c r="I25" s="201">
        <v>0</v>
      </c>
      <c r="Q25" s="201" t="str">
        <f t="shared" si="1"/>
        <v>255,70,0</v>
      </c>
      <c r="R25" s="201" t="str">
        <f t="shared" si="2"/>
        <v>{255,70,0},</v>
      </c>
    </row>
    <row r="26" spans="1:18" ht="16.899999999999999" x14ac:dyDescent="0.6">
      <c r="A26" s="214">
        <v>23</v>
      </c>
      <c r="B26" s="215">
        <f t="shared" si="0"/>
        <v>0.60799999999999998</v>
      </c>
      <c r="C26" s="216">
        <f t="shared" si="0"/>
        <v>0.35599999999999998</v>
      </c>
      <c r="D26" s="217">
        <v>98</v>
      </c>
      <c r="E26" s="217">
        <v>59</v>
      </c>
      <c r="F26" s="240"/>
      <c r="G26" s="201">
        <v>255</v>
      </c>
      <c r="H26" s="201">
        <v>80</v>
      </c>
      <c r="I26" s="201">
        <v>0</v>
      </c>
      <c r="Q26" s="201" t="str">
        <f t="shared" si="1"/>
        <v>255,80,0</v>
      </c>
      <c r="R26" s="201" t="str">
        <f t="shared" si="2"/>
        <v>{255,80,0},</v>
      </c>
    </row>
    <row r="27" spans="1:18" ht="16.899999999999999" x14ac:dyDescent="0.6">
      <c r="A27" s="214">
        <v>24</v>
      </c>
      <c r="B27" s="215">
        <f t="shared" si="0"/>
        <v>0.6</v>
      </c>
      <c r="C27" s="216">
        <f t="shared" si="0"/>
        <v>0.36399999999999999</v>
      </c>
      <c r="D27" s="217">
        <v>96</v>
      </c>
      <c r="E27" s="217" t="s">
        <v>129</v>
      </c>
      <c r="F27" s="241"/>
      <c r="G27" s="201">
        <v>255</v>
      </c>
      <c r="H27" s="201">
        <v>90</v>
      </c>
      <c r="I27" s="201">
        <v>0</v>
      </c>
      <c r="Q27" s="201" t="str">
        <f t="shared" si="1"/>
        <v>255,90,0</v>
      </c>
      <c r="R27" s="201" t="str">
        <f t="shared" si="2"/>
        <v>{255,90,0},</v>
      </c>
    </row>
    <row r="28" spans="1:18" ht="16.899999999999999" x14ac:dyDescent="0.6">
      <c r="A28" s="214">
        <v>25</v>
      </c>
      <c r="B28" s="215">
        <f t="shared" si="0"/>
        <v>0.59199999999999997</v>
      </c>
      <c r="C28" s="216">
        <f t="shared" si="0"/>
        <v>0.372</v>
      </c>
      <c r="D28" s="217">
        <v>94</v>
      </c>
      <c r="E28" s="217" t="s">
        <v>130</v>
      </c>
      <c r="F28" s="242"/>
      <c r="G28" s="201">
        <v>255</v>
      </c>
      <c r="H28" s="201">
        <v>100</v>
      </c>
      <c r="I28" s="201">
        <v>0</v>
      </c>
      <c r="Q28" s="201" t="str">
        <f t="shared" si="1"/>
        <v>255,100,0</v>
      </c>
      <c r="R28" s="201" t="str">
        <f t="shared" si="2"/>
        <v>{255,100,0},</v>
      </c>
    </row>
    <row r="29" spans="1:18" ht="16.899999999999999" x14ac:dyDescent="0.6">
      <c r="A29" s="214">
        <v>26</v>
      </c>
      <c r="B29" s="215">
        <f t="shared" si="0"/>
        <v>0.57999999999999996</v>
      </c>
      <c r="C29" s="216">
        <f t="shared" si="0"/>
        <v>0.38400000000000001</v>
      </c>
      <c r="D29" s="217">
        <v>91</v>
      </c>
      <c r="E29" s="217">
        <v>60</v>
      </c>
      <c r="F29" s="243"/>
      <c r="G29" s="201">
        <v>250</v>
      </c>
      <c r="H29" s="201">
        <v>110</v>
      </c>
      <c r="I29" s="201">
        <v>0</v>
      </c>
      <c r="Q29" s="201" t="str">
        <f t="shared" si="1"/>
        <v>250,110,0</v>
      </c>
      <c r="R29" s="201" t="str">
        <f t="shared" si="2"/>
        <v>{250,110,0},</v>
      </c>
    </row>
    <row r="30" spans="1:18" ht="16.899999999999999" x14ac:dyDescent="0.6">
      <c r="A30" s="214">
        <v>27</v>
      </c>
      <c r="B30" s="215">
        <f t="shared" si="0"/>
        <v>0.56400000000000006</v>
      </c>
      <c r="C30" s="216">
        <f t="shared" si="0"/>
        <v>0.39600000000000002</v>
      </c>
      <c r="D30" s="217" t="s">
        <v>127</v>
      </c>
      <c r="E30" s="217">
        <v>63</v>
      </c>
      <c r="F30" s="244"/>
      <c r="G30" s="201">
        <v>240</v>
      </c>
      <c r="H30" s="201">
        <v>120</v>
      </c>
      <c r="I30" s="201">
        <v>0</v>
      </c>
      <c r="Q30" s="201" t="str">
        <f t="shared" si="1"/>
        <v>240,120,0</v>
      </c>
      <c r="R30" s="201" t="str">
        <f t="shared" si="2"/>
        <v>{240,120,0},</v>
      </c>
    </row>
    <row r="31" spans="1:18" ht="16.899999999999999" x14ac:dyDescent="0.6">
      <c r="A31" s="214">
        <v>28</v>
      </c>
      <c r="B31" s="215">
        <f t="shared" si="0"/>
        <v>0.54800000000000004</v>
      </c>
      <c r="C31" s="216">
        <f t="shared" si="0"/>
        <v>0.41200000000000003</v>
      </c>
      <c r="D31" s="217">
        <v>89</v>
      </c>
      <c r="E31" s="217">
        <v>67</v>
      </c>
      <c r="F31" s="245"/>
      <c r="G31" s="201">
        <v>230</v>
      </c>
      <c r="H31" s="201">
        <v>130</v>
      </c>
      <c r="I31" s="201">
        <v>0</v>
      </c>
      <c r="Q31" s="201" t="str">
        <f t="shared" si="1"/>
        <v>230,130,0</v>
      </c>
      <c r="R31" s="201" t="str">
        <f t="shared" si="2"/>
        <v>{230,130,0},</v>
      </c>
    </row>
    <row r="32" spans="1:18" ht="16.899999999999999" x14ac:dyDescent="0.6">
      <c r="A32" s="214">
        <v>29</v>
      </c>
      <c r="B32" s="215">
        <f t="shared" si="0"/>
        <v>0.52</v>
      </c>
      <c r="C32" s="216">
        <f t="shared" si="0"/>
        <v>0.436</v>
      </c>
      <c r="D32" s="217">
        <v>82</v>
      </c>
      <c r="E32" s="217" t="s">
        <v>135</v>
      </c>
      <c r="F32" s="246"/>
      <c r="G32" s="201">
        <v>215</v>
      </c>
      <c r="H32" s="201">
        <v>140</v>
      </c>
      <c r="I32" s="201">
        <v>0</v>
      </c>
      <c r="Q32" s="201" t="str">
        <f t="shared" si="1"/>
        <v>215,140,0</v>
      </c>
      <c r="R32" s="201" t="str">
        <f t="shared" si="2"/>
        <v>{215,140,0},</v>
      </c>
    </row>
    <row r="33" spans="1:18" ht="16.899999999999999" x14ac:dyDescent="0.6">
      <c r="A33" s="214">
        <v>30</v>
      </c>
      <c r="B33" s="215">
        <f t="shared" si="0"/>
        <v>0.504</v>
      </c>
      <c r="C33" s="216">
        <f t="shared" si="0"/>
        <v>0.45200000000000001</v>
      </c>
      <c r="D33" s="217" t="s">
        <v>134</v>
      </c>
      <c r="E33" s="217">
        <v>71</v>
      </c>
      <c r="F33" s="247"/>
      <c r="G33" s="201">
        <v>210</v>
      </c>
      <c r="H33" s="201">
        <v>150</v>
      </c>
      <c r="I33" s="201">
        <v>0</v>
      </c>
      <c r="Q33" s="201" t="str">
        <f t="shared" si="1"/>
        <v>210,150,0</v>
      </c>
      <c r="R33" s="201" t="str">
        <f t="shared" si="2"/>
        <v>{210,150,0},</v>
      </c>
    </row>
    <row r="34" spans="1:18" ht="16.899999999999999" x14ac:dyDescent="0.6">
      <c r="A34" s="214">
        <v>31</v>
      </c>
      <c r="B34" s="215">
        <f t="shared" si="0"/>
        <v>0.48399999999999999</v>
      </c>
      <c r="C34" s="216">
        <f t="shared" si="0"/>
        <v>0.46800000000000003</v>
      </c>
      <c r="D34" s="217">
        <v>79</v>
      </c>
      <c r="E34" s="217">
        <v>75</v>
      </c>
      <c r="F34" s="248"/>
      <c r="G34" s="201">
        <v>205</v>
      </c>
      <c r="H34" s="201">
        <v>160</v>
      </c>
      <c r="I34" s="201">
        <v>0</v>
      </c>
      <c r="Q34" s="201" t="str">
        <f t="shared" si="1"/>
        <v>205,160,0</v>
      </c>
      <c r="R34" s="201" t="str">
        <f t="shared" si="2"/>
        <v>{205,160,0},</v>
      </c>
    </row>
    <row r="35" spans="1:18" ht="16.899999999999999" x14ac:dyDescent="0.6">
      <c r="A35" s="214">
        <v>32</v>
      </c>
      <c r="B35" s="215">
        <f t="shared" si="0"/>
        <v>0.44400000000000001</v>
      </c>
      <c r="C35" s="216">
        <f t="shared" si="0"/>
        <v>0.5</v>
      </c>
      <c r="D35" s="217" t="s">
        <v>139</v>
      </c>
      <c r="E35" s="217" t="s">
        <v>133</v>
      </c>
      <c r="F35" s="249"/>
      <c r="G35" s="201">
        <v>200</v>
      </c>
      <c r="H35" s="201">
        <v>185</v>
      </c>
      <c r="I35" s="201">
        <v>0</v>
      </c>
      <c r="Q35" s="201" t="str">
        <f t="shared" si="1"/>
        <v>200,185,0</v>
      </c>
      <c r="R35" s="201" t="str">
        <f t="shared" si="2"/>
        <v>{200,185,0},</v>
      </c>
    </row>
    <row r="36" spans="1:18" ht="16.899999999999999" x14ac:dyDescent="0.6">
      <c r="A36" s="214">
        <v>33</v>
      </c>
      <c r="B36" s="215">
        <f t="shared" si="0"/>
        <v>0.42</v>
      </c>
      <c r="C36" s="216">
        <f t="shared" si="0"/>
        <v>0.52400000000000002</v>
      </c>
      <c r="D36" s="217">
        <v>69</v>
      </c>
      <c r="E36" s="217">
        <v>83</v>
      </c>
      <c r="F36" s="250"/>
      <c r="G36" s="201">
        <v>195</v>
      </c>
      <c r="H36" s="201">
        <v>200</v>
      </c>
      <c r="I36" s="201">
        <v>0</v>
      </c>
      <c r="Q36" s="201" t="str">
        <f t="shared" si="1"/>
        <v>195,200,0</v>
      </c>
      <c r="R36" s="201" t="str">
        <f t="shared" si="2"/>
        <v>{195,200,0},</v>
      </c>
    </row>
    <row r="37" spans="1:18" ht="16.899999999999999" x14ac:dyDescent="0.6">
      <c r="A37" s="214">
        <v>34</v>
      </c>
      <c r="B37" s="215">
        <f t="shared" si="0"/>
        <v>0.38800000000000001</v>
      </c>
      <c r="C37" s="216">
        <f t="shared" si="0"/>
        <v>0.55200000000000005</v>
      </c>
      <c r="D37" s="217">
        <v>61</v>
      </c>
      <c r="E37" s="217" t="s">
        <v>141</v>
      </c>
      <c r="F37" s="251"/>
      <c r="G37" s="201">
        <v>185</v>
      </c>
      <c r="H37" s="201">
        <v>220</v>
      </c>
      <c r="I37" s="201">
        <v>0</v>
      </c>
      <c r="Q37" s="201" t="str">
        <f t="shared" si="1"/>
        <v>185,220,0</v>
      </c>
      <c r="R37" s="201" t="str">
        <f t="shared" si="2"/>
        <v>{185,220,0},</v>
      </c>
    </row>
    <row r="38" spans="1:18" ht="16.899999999999999" x14ac:dyDescent="0.6">
      <c r="A38" s="214">
        <v>35</v>
      </c>
      <c r="B38" s="215">
        <f t="shared" si="0"/>
        <v>0.36</v>
      </c>
      <c r="C38" s="216">
        <f t="shared" si="0"/>
        <v>0.57600000000000007</v>
      </c>
      <c r="D38" s="217" t="s">
        <v>142</v>
      </c>
      <c r="E38" s="217">
        <v>90</v>
      </c>
      <c r="F38" s="252"/>
      <c r="G38" s="201">
        <v>175</v>
      </c>
      <c r="H38" s="201">
        <v>235</v>
      </c>
      <c r="I38" s="201">
        <v>0</v>
      </c>
      <c r="Q38" s="201" t="str">
        <f t="shared" si="1"/>
        <v>175,235,0</v>
      </c>
      <c r="R38" s="201" t="str">
        <f t="shared" si="2"/>
        <v>{175,235,0},</v>
      </c>
    </row>
    <row r="39" spans="1:18" ht="16.899999999999999" x14ac:dyDescent="0.6">
      <c r="A39" s="214">
        <v>36</v>
      </c>
      <c r="B39" s="215">
        <f t="shared" si="0"/>
        <v>0.34</v>
      </c>
      <c r="C39" s="216">
        <f t="shared" si="0"/>
        <v>0.59599999999999997</v>
      </c>
      <c r="D39" s="217">
        <v>55</v>
      </c>
      <c r="E39" s="217">
        <v>95</v>
      </c>
      <c r="F39" s="253"/>
      <c r="G39" s="201">
        <v>165</v>
      </c>
      <c r="H39" s="201">
        <v>245</v>
      </c>
      <c r="I39" s="201">
        <v>10</v>
      </c>
      <c r="Q39" s="201" t="str">
        <f t="shared" si="1"/>
        <v>165,245,10</v>
      </c>
      <c r="R39" s="201" t="str">
        <f t="shared" si="2"/>
        <v>{165,245,10},</v>
      </c>
    </row>
    <row r="40" spans="1:18" ht="16.899999999999999" x14ac:dyDescent="0.6">
      <c r="A40" s="214">
        <v>37</v>
      </c>
      <c r="B40" s="215">
        <f t="shared" si="0"/>
        <v>0.32400000000000001</v>
      </c>
      <c r="C40" s="216">
        <f t="shared" si="0"/>
        <v>0.60799999999999998</v>
      </c>
      <c r="D40" s="217">
        <v>51</v>
      </c>
      <c r="E40" s="217">
        <v>98</v>
      </c>
      <c r="F40" s="254"/>
      <c r="G40" s="201">
        <v>155</v>
      </c>
      <c r="H40" s="201">
        <v>250</v>
      </c>
      <c r="I40" s="201">
        <v>20</v>
      </c>
      <c r="Q40" s="201" t="str">
        <f t="shared" si="1"/>
        <v>155,250,20</v>
      </c>
      <c r="R40" s="201" t="str">
        <f t="shared" si="2"/>
        <v>{155,250,20},</v>
      </c>
    </row>
    <row r="41" spans="1:18" ht="16.899999999999999" x14ac:dyDescent="0.6">
      <c r="A41" s="214">
        <v>38</v>
      </c>
      <c r="B41" s="215">
        <f t="shared" si="0"/>
        <v>0.30399999999999999</v>
      </c>
      <c r="C41" s="216">
        <f t="shared" si="0"/>
        <v>0.61199999999999999</v>
      </c>
      <c r="D41" s="217" t="s">
        <v>120</v>
      </c>
      <c r="E41" s="217">
        <v>99</v>
      </c>
      <c r="F41" s="255"/>
      <c r="G41" s="201">
        <v>145</v>
      </c>
      <c r="H41" s="201">
        <v>255</v>
      </c>
      <c r="I41" s="201">
        <v>40</v>
      </c>
      <c r="Q41" s="201" t="str">
        <f t="shared" si="1"/>
        <v>145,255,40</v>
      </c>
      <c r="R41" s="201" t="str">
        <f t="shared" si="2"/>
        <v>{145,255,40},</v>
      </c>
    </row>
    <row r="42" spans="1:18" ht="16.899999999999999" x14ac:dyDescent="0.6">
      <c r="A42" s="214">
        <v>39</v>
      </c>
      <c r="B42" s="215">
        <f t="shared" si="0"/>
        <v>0.28800000000000003</v>
      </c>
      <c r="C42" s="216">
        <f t="shared" si="0"/>
        <v>0.60799999999999998</v>
      </c>
      <c r="D42" s="217">
        <v>48</v>
      </c>
      <c r="E42" s="217">
        <v>98</v>
      </c>
      <c r="F42" s="256"/>
      <c r="G42" s="201">
        <v>135</v>
      </c>
      <c r="H42" s="201">
        <v>255</v>
      </c>
      <c r="I42" s="201">
        <v>60</v>
      </c>
      <c r="Q42" s="201" t="str">
        <f t="shared" si="1"/>
        <v>135,255,60</v>
      </c>
      <c r="R42" s="201" t="str">
        <f t="shared" si="2"/>
        <v>{135,255,60},</v>
      </c>
    </row>
    <row r="43" spans="1:18" ht="16.899999999999999" x14ac:dyDescent="0.6">
      <c r="A43" s="214">
        <v>40</v>
      </c>
      <c r="B43" s="215">
        <f t="shared" si="0"/>
        <v>0.27600000000000002</v>
      </c>
      <c r="C43" s="216">
        <f t="shared" si="0"/>
        <v>0.59199999999999997</v>
      </c>
      <c r="D43" s="217">
        <v>45</v>
      </c>
      <c r="E43" s="217">
        <v>94</v>
      </c>
      <c r="F43" s="257"/>
      <c r="G43" s="201">
        <v>125</v>
      </c>
      <c r="H43" s="201">
        <v>250</v>
      </c>
      <c r="I43" s="201">
        <v>80</v>
      </c>
      <c r="Q43" s="201" t="str">
        <f t="shared" si="1"/>
        <v>125,250,80</v>
      </c>
      <c r="R43" s="201" t="str">
        <f t="shared" si="2"/>
        <v>{125,250,80},</v>
      </c>
    </row>
    <row r="44" spans="1:18" ht="16.899999999999999" x14ac:dyDescent="0.6">
      <c r="A44" s="214">
        <v>41</v>
      </c>
      <c r="B44" s="215">
        <f t="shared" si="0"/>
        <v>0.26</v>
      </c>
      <c r="C44" s="216">
        <f t="shared" si="0"/>
        <v>0.56400000000000006</v>
      </c>
      <c r="D44" s="217">
        <v>41</v>
      </c>
      <c r="E44" s="217" t="s">
        <v>127</v>
      </c>
      <c r="F44" s="258"/>
      <c r="G44" s="201">
        <v>115</v>
      </c>
      <c r="H44" s="201">
        <v>245</v>
      </c>
      <c r="I44" s="201">
        <v>100</v>
      </c>
      <c r="Q44" s="201" t="str">
        <f t="shared" si="1"/>
        <v>115,245,100</v>
      </c>
      <c r="R44" s="201" t="str">
        <f t="shared" si="2"/>
        <v>{115,245,100},</v>
      </c>
    </row>
    <row r="45" spans="1:18" ht="16.899999999999999" x14ac:dyDescent="0.6">
      <c r="A45" s="214">
        <v>42</v>
      </c>
      <c r="B45" s="215">
        <f t="shared" si="0"/>
        <v>0.24399999999999999</v>
      </c>
      <c r="C45" s="216">
        <f t="shared" si="0"/>
        <v>0.53200000000000003</v>
      </c>
      <c r="D45" s="217" t="s">
        <v>119</v>
      </c>
      <c r="E45" s="217">
        <v>85</v>
      </c>
      <c r="F45" s="259"/>
      <c r="G45" s="201">
        <v>105</v>
      </c>
      <c r="H45" s="201">
        <v>240</v>
      </c>
      <c r="I45" s="201">
        <v>120</v>
      </c>
      <c r="Q45" s="201" t="str">
        <f t="shared" si="1"/>
        <v>105,240,120</v>
      </c>
      <c r="R45" s="201" t="str">
        <f t="shared" si="2"/>
        <v>{105,240,120},</v>
      </c>
    </row>
    <row r="46" spans="1:18" ht="16.899999999999999" x14ac:dyDescent="0.6">
      <c r="A46" s="214">
        <v>43</v>
      </c>
      <c r="B46" s="215">
        <f t="shared" si="0"/>
        <v>0.23200000000000001</v>
      </c>
      <c r="C46" s="216">
        <f t="shared" si="0"/>
        <v>0.49199999999999999</v>
      </c>
      <c r="D46" s="217" t="s">
        <v>143</v>
      </c>
      <c r="E46" s="217" t="s">
        <v>144</v>
      </c>
      <c r="F46" s="260"/>
      <c r="G46" s="201">
        <v>95</v>
      </c>
      <c r="H46" s="201">
        <v>235</v>
      </c>
      <c r="I46" s="201">
        <v>140</v>
      </c>
      <c r="Q46" s="201" t="str">
        <f t="shared" si="1"/>
        <v>95,235,140</v>
      </c>
      <c r="R46" s="201" t="str">
        <f t="shared" si="2"/>
        <v>{95,235,140},</v>
      </c>
    </row>
    <row r="47" spans="1:18" ht="16.899999999999999" x14ac:dyDescent="0.6">
      <c r="A47" s="214">
        <v>44</v>
      </c>
      <c r="B47" s="215">
        <f t="shared" si="0"/>
        <v>0.216</v>
      </c>
      <c r="C47" s="216">
        <f t="shared" si="0"/>
        <v>0.44800000000000001</v>
      </c>
      <c r="D47" s="217">
        <v>36</v>
      </c>
      <c r="E47" s="217">
        <v>70</v>
      </c>
      <c r="F47" s="261"/>
      <c r="G47" s="201">
        <v>85</v>
      </c>
      <c r="H47" s="201">
        <v>230</v>
      </c>
      <c r="I47" s="201">
        <v>160</v>
      </c>
      <c r="Q47" s="201" t="str">
        <f t="shared" si="1"/>
        <v>85,230,160</v>
      </c>
      <c r="R47" s="201" t="str">
        <f t="shared" si="2"/>
        <v>{85,230,160},</v>
      </c>
    </row>
    <row r="48" spans="1:18" ht="16.899999999999999" x14ac:dyDescent="0.6">
      <c r="A48" s="214">
        <v>45</v>
      </c>
      <c r="B48" s="215">
        <f t="shared" si="0"/>
        <v>0.19600000000000001</v>
      </c>
      <c r="C48" s="216">
        <f t="shared" si="0"/>
        <v>0.40400000000000003</v>
      </c>
      <c r="D48" s="217">
        <v>31</v>
      </c>
      <c r="E48" s="217">
        <v>65</v>
      </c>
      <c r="F48" s="262"/>
      <c r="G48" s="201">
        <v>65</v>
      </c>
      <c r="H48" s="201">
        <v>225</v>
      </c>
      <c r="I48" s="201">
        <v>180</v>
      </c>
      <c r="Q48" s="201" t="str">
        <f t="shared" si="1"/>
        <v>65,225,180</v>
      </c>
      <c r="R48" s="201" t="str">
        <f t="shared" si="2"/>
        <v>{65,225,180},</v>
      </c>
    </row>
    <row r="49" spans="1:18" ht="16.899999999999999" x14ac:dyDescent="0.6">
      <c r="A49" s="214">
        <v>46</v>
      </c>
      <c r="B49" s="215">
        <f t="shared" si="0"/>
        <v>0.184</v>
      </c>
      <c r="C49" s="216">
        <f t="shared" si="0"/>
        <v>0.36</v>
      </c>
      <c r="D49" s="217" t="s">
        <v>145</v>
      </c>
      <c r="E49" s="217" t="s">
        <v>142</v>
      </c>
      <c r="F49" s="263"/>
      <c r="G49" s="201">
        <v>45</v>
      </c>
      <c r="H49" s="201">
        <v>220</v>
      </c>
      <c r="I49" s="201">
        <v>200</v>
      </c>
      <c r="Q49" s="201" t="str">
        <f t="shared" si="1"/>
        <v>45,220,200</v>
      </c>
      <c r="R49" s="201" t="str">
        <f t="shared" si="2"/>
        <v>{45,220,200},</v>
      </c>
    </row>
    <row r="50" spans="1:18" ht="16.899999999999999" x14ac:dyDescent="0.6">
      <c r="A50" s="214">
        <v>47</v>
      </c>
      <c r="B50" s="215">
        <f t="shared" si="0"/>
        <v>0.17599999999999999</v>
      </c>
      <c r="C50" s="216">
        <f t="shared" si="0"/>
        <v>0.32800000000000001</v>
      </c>
      <c r="D50" s="217" t="s">
        <v>146</v>
      </c>
      <c r="E50" s="217">
        <v>52</v>
      </c>
      <c r="F50" s="264"/>
      <c r="G50" s="201">
        <v>31</v>
      </c>
      <c r="H50" s="201">
        <v>210</v>
      </c>
      <c r="I50" s="201">
        <v>210</v>
      </c>
      <c r="Q50" s="201" t="str">
        <f t="shared" si="1"/>
        <v>31,210,210</v>
      </c>
      <c r="R50" s="201" t="str">
        <f t="shared" si="2"/>
        <v>{31,210,210},</v>
      </c>
    </row>
    <row r="51" spans="1:18" ht="16.899999999999999" x14ac:dyDescent="0.6">
      <c r="A51" s="214">
        <v>48</v>
      </c>
      <c r="B51" s="215">
        <f t="shared" si="0"/>
        <v>0.17200000000000001</v>
      </c>
      <c r="C51" s="216">
        <f t="shared" si="0"/>
        <v>0.29599999999999999</v>
      </c>
      <c r="D51" s="217" t="s">
        <v>147</v>
      </c>
      <c r="E51" s="217" t="s">
        <v>148</v>
      </c>
      <c r="F51" s="265"/>
      <c r="G51" s="201">
        <v>15</v>
      </c>
      <c r="H51" s="201">
        <v>200</v>
      </c>
      <c r="I51" s="201">
        <v>220</v>
      </c>
      <c r="Q51" s="201" t="str">
        <f t="shared" si="1"/>
        <v>15,200,220</v>
      </c>
      <c r="R51" s="201" t="str">
        <f t="shared" si="2"/>
        <v>{15,200,220},</v>
      </c>
    </row>
    <row r="52" spans="1:18" ht="16.899999999999999" x14ac:dyDescent="0.6">
      <c r="A52" s="214">
        <v>49</v>
      </c>
      <c r="B52" s="215">
        <f t="shared" si="0"/>
        <v>0.16800000000000001</v>
      </c>
      <c r="C52" s="216">
        <f t="shared" si="0"/>
        <v>0.26400000000000001</v>
      </c>
      <c r="D52" s="217" t="s">
        <v>114</v>
      </c>
      <c r="E52" s="217">
        <v>42</v>
      </c>
      <c r="F52" s="266"/>
      <c r="G52" s="201">
        <v>5</v>
      </c>
      <c r="H52" s="201">
        <v>190</v>
      </c>
      <c r="I52" s="201">
        <v>230</v>
      </c>
      <c r="Q52" s="201" t="str">
        <f t="shared" si="1"/>
        <v>5,190,230</v>
      </c>
      <c r="R52" s="201" t="str">
        <f t="shared" si="2"/>
        <v>{5,190,230},</v>
      </c>
    </row>
    <row r="53" spans="1:18" ht="16.899999999999999" x14ac:dyDescent="0.6">
      <c r="A53" s="214">
        <v>50</v>
      </c>
      <c r="B53" s="215">
        <f t="shared" si="0"/>
        <v>0.16800000000000001</v>
      </c>
      <c r="C53" s="216">
        <f t="shared" si="0"/>
        <v>0.23600000000000002</v>
      </c>
      <c r="D53" s="217" t="s">
        <v>114</v>
      </c>
      <c r="E53" s="217" t="s">
        <v>149</v>
      </c>
      <c r="F53" s="267"/>
      <c r="G53" s="201">
        <v>0</v>
      </c>
      <c r="H53" s="201">
        <v>180</v>
      </c>
      <c r="I53" s="201">
        <v>240</v>
      </c>
      <c r="Q53" s="201" t="str">
        <f t="shared" si="1"/>
        <v>0,180,240</v>
      </c>
      <c r="R53" s="201" t="str">
        <f t="shared" si="2"/>
        <v>{0,180,240},</v>
      </c>
    </row>
    <row r="54" spans="1:18" ht="16.899999999999999" x14ac:dyDescent="0.6">
      <c r="A54" s="214">
        <v>51</v>
      </c>
      <c r="B54" s="215">
        <f t="shared" si="0"/>
        <v>0.16400000000000001</v>
      </c>
      <c r="C54" s="216">
        <f t="shared" si="0"/>
        <v>0.20400000000000001</v>
      </c>
      <c r="D54" s="217">
        <v>29</v>
      </c>
      <c r="E54" s="217">
        <v>33</v>
      </c>
      <c r="F54" s="268"/>
      <c r="G54" s="201">
        <v>0</v>
      </c>
      <c r="H54" s="201">
        <v>165</v>
      </c>
      <c r="I54" s="201">
        <v>250</v>
      </c>
      <c r="Q54" s="201" t="str">
        <f t="shared" si="1"/>
        <v>0,165,250</v>
      </c>
      <c r="R54" s="201" t="str">
        <f t="shared" si="2"/>
        <v>{0,165,250},</v>
      </c>
    </row>
    <row r="55" spans="1:18" ht="16.899999999999999" x14ac:dyDescent="0.6">
      <c r="A55" s="214">
        <v>52</v>
      </c>
      <c r="B55" s="215">
        <f t="shared" si="0"/>
        <v>0.16</v>
      </c>
      <c r="C55" s="216">
        <f t="shared" si="0"/>
        <v>0.17599999999999999</v>
      </c>
      <c r="D55" s="217">
        <v>28</v>
      </c>
      <c r="E55" s="217" t="s">
        <v>146</v>
      </c>
      <c r="F55" s="269"/>
      <c r="G55" s="201">
        <v>0</v>
      </c>
      <c r="H55" s="201">
        <v>150</v>
      </c>
      <c r="I55" s="201">
        <v>255</v>
      </c>
      <c r="Q55" s="201" t="str">
        <f t="shared" si="1"/>
        <v>0,150,255</v>
      </c>
      <c r="R55" s="201" t="str">
        <f t="shared" si="2"/>
        <v>{0,150,255},</v>
      </c>
    </row>
    <row r="56" spans="1:18" ht="16.899999999999999" x14ac:dyDescent="0.6">
      <c r="A56" s="214">
        <v>53</v>
      </c>
      <c r="B56" s="215">
        <f t="shared" si="0"/>
        <v>0.16</v>
      </c>
      <c r="C56" s="216">
        <f t="shared" si="0"/>
        <v>0.14799999999999999</v>
      </c>
      <c r="D56" s="217">
        <v>28</v>
      </c>
      <c r="E56" s="217">
        <v>25</v>
      </c>
      <c r="F56" s="270"/>
      <c r="G56" s="201">
        <v>0</v>
      </c>
      <c r="H56" s="201">
        <v>130</v>
      </c>
      <c r="I56" s="201">
        <v>255</v>
      </c>
      <c r="Q56" s="201" t="str">
        <f t="shared" si="1"/>
        <v>0,130,255</v>
      </c>
      <c r="R56" s="201" t="str">
        <f t="shared" si="2"/>
        <v>{0,130,255},</v>
      </c>
    </row>
    <row r="57" spans="1:18" ht="16.899999999999999" x14ac:dyDescent="0.6">
      <c r="A57" s="214">
        <v>54</v>
      </c>
      <c r="B57" s="215">
        <f t="shared" si="0"/>
        <v>0.156</v>
      </c>
      <c r="C57" s="216">
        <f t="shared" si="0"/>
        <v>0.124</v>
      </c>
      <c r="D57" s="217">
        <v>27</v>
      </c>
      <c r="E57" s="217" t="s">
        <v>150</v>
      </c>
      <c r="F57" s="271"/>
      <c r="G57" s="201">
        <v>0</v>
      </c>
      <c r="H57" s="201">
        <v>110</v>
      </c>
      <c r="I57" s="201">
        <v>255</v>
      </c>
      <c r="Q57" s="201" t="str">
        <f t="shared" si="1"/>
        <v>0,110,255</v>
      </c>
      <c r="R57" s="201" t="str">
        <f t="shared" si="2"/>
        <v>{0,110,255},</v>
      </c>
    </row>
    <row r="58" spans="1:18" ht="16.899999999999999" x14ac:dyDescent="0.6">
      <c r="A58" s="214">
        <v>55</v>
      </c>
      <c r="B58" s="215">
        <f t="shared" si="0"/>
        <v>0.152</v>
      </c>
      <c r="C58" s="216">
        <f t="shared" si="0"/>
        <v>0.10400000000000001</v>
      </c>
      <c r="D58" s="217">
        <v>26</v>
      </c>
      <c r="E58" s="217" t="s">
        <v>115</v>
      </c>
      <c r="F58" s="272"/>
      <c r="G58" s="201">
        <v>0</v>
      </c>
      <c r="H58" s="201">
        <v>90</v>
      </c>
      <c r="I58" s="201">
        <v>255</v>
      </c>
      <c r="Q58" s="201" t="str">
        <f t="shared" si="1"/>
        <v>0,90,255</v>
      </c>
      <c r="R58" s="201" t="str">
        <f t="shared" si="2"/>
        <v>{0,90,255},</v>
      </c>
    </row>
    <row r="59" spans="1:18" ht="16.899999999999999" x14ac:dyDescent="0.6">
      <c r="A59" s="214">
        <v>56</v>
      </c>
      <c r="B59" s="215">
        <f t="shared" si="0"/>
        <v>0.152</v>
      </c>
      <c r="C59" s="216">
        <f t="shared" si="0"/>
        <v>8.4000000000000005E-2</v>
      </c>
      <c r="D59" s="217">
        <v>26</v>
      </c>
      <c r="E59" s="217">
        <v>15</v>
      </c>
      <c r="F59" s="273"/>
      <c r="G59" s="201">
        <v>0</v>
      </c>
      <c r="H59" s="201">
        <v>70</v>
      </c>
      <c r="I59" s="201">
        <v>255</v>
      </c>
      <c r="Q59" s="201" t="str">
        <f t="shared" si="1"/>
        <v>0,70,255</v>
      </c>
      <c r="R59" s="201" t="str">
        <f t="shared" si="2"/>
        <v>{0,70,255},</v>
      </c>
    </row>
    <row r="60" spans="1:18" ht="16.899999999999999" x14ac:dyDescent="0.6">
      <c r="A60" s="214">
        <v>57</v>
      </c>
      <c r="B60" s="215">
        <f t="shared" si="0"/>
        <v>0.152</v>
      </c>
      <c r="C60" s="216">
        <f t="shared" si="0"/>
        <v>7.2000000000000008E-2</v>
      </c>
      <c r="D60" s="217">
        <v>26</v>
      </c>
      <c r="E60" s="217">
        <v>12</v>
      </c>
      <c r="F60" s="274"/>
      <c r="G60" s="201">
        <v>11</v>
      </c>
      <c r="H60" s="201">
        <v>50</v>
      </c>
      <c r="I60" s="201">
        <v>250</v>
      </c>
      <c r="Q60" s="201" t="str">
        <f t="shared" si="1"/>
        <v>11,50,250</v>
      </c>
      <c r="R60" s="201" t="str">
        <f t="shared" si="2"/>
        <v>{11,50,250},</v>
      </c>
    </row>
    <row r="61" spans="1:18" ht="16.899999999999999" x14ac:dyDescent="0.6">
      <c r="A61" s="214">
        <v>58</v>
      </c>
      <c r="B61" s="215">
        <f t="shared" si="0"/>
        <v>0.152</v>
      </c>
      <c r="C61" s="216">
        <f t="shared" si="0"/>
        <v>6.8000000000000005E-2</v>
      </c>
      <c r="D61" s="217">
        <v>26</v>
      </c>
      <c r="E61" s="217">
        <v>11</v>
      </c>
      <c r="F61" s="275"/>
      <c r="G61" s="201">
        <v>25</v>
      </c>
      <c r="H61" s="201">
        <v>40</v>
      </c>
      <c r="I61" s="201">
        <v>240</v>
      </c>
      <c r="Q61" s="201" t="str">
        <f t="shared" si="1"/>
        <v>25,40,240</v>
      </c>
      <c r="R61" s="201" t="str">
        <f t="shared" si="2"/>
        <v>{25,40,240},</v>
      </c>
    </row>
    <row r="62" spans="1:18" ht="16.899999999999999" x14ac:dyDescent="0.6">
      <c r="A62" s="214">
        <v>59</v>
      </c>
      <c r="B62" s="215">
        <f t="shared" si="0"/>
        <v>0.156</v>
      </c>
      <c r="C62" s="216">
        <f t="shared" si="0"/>
        <v>6.8000000000000005E-2</v>
      </c>
      <c r="D62" s="217">
        <v>27</v>
      </c>
      <c r="E62" s="217">
        <v>11</v>
      </c>
      <c r="F62" s="276"/>
      <c r="G62" s="201">
        <v>35</v>
      </c>
      <c r="H62" s="201">
        <v>30</v>
      </c>
      <c r="I62" s="201">
        <v>235</v>
      </c>
      <c r="Q62" s="201" t="str">
        <f t="shared" si="1"/>
        <v>35,30,235</v>
      </c>
      <c r="R62" s="201" t="str">
        <f t="shared" si="2"/>
        <v>{35,30,235},</v>
      </c>
    </row>
    <row r="63" spans="1:18" ht="16.899999999999999" x14ac:dyDescent="0.6">
      <c r="A63" s="214">
        <v>60</v>
      </c>
      <c r="B63" s="215">
        <f t="shared" si="0"/>
        <v>0.16</v>
      </c>
      <c r="C63" s="216">
        <f t="shared" si="0"/>
        <v>6.8000000000000005E-2</v>
      </c>
      <c r="D63" s="217">
        <v>28</v>
      </c>
      <c r="E63" s="217">
        <v>11</v>
      </c>
      <c r="F63" s="277"/>
      <c r="G63" s="201">
        <v>45</v>
      </c>
      <c r="H63" s="201">
        <v>20</v>
      </c>
      <c r="I63" s="201">
        <v>225</v>
      </c>
      <c r="Q63" s="201" t="str">
        <f t="shared" si="1"/>
        <v>45,20,225</v>
      </c>
      <c r="R63" s="201" t="str">
        <f t="shared" si="2"/>
        <v>{45,20,225},</v>
      </c>
    </row>
    <row r="64" spans="1:18" ht="16.899999999999999" x14ac:dyDescent="0.6">
      <c r="A64" s="214">
        <v>61</v>
      </c>
      <c r="B64" s="215">
        <f t="shared" si="0"/>
        <v>0.16400000000000001</v>
      </c>
      <c r="C64" s="216">
        <f t="shared" si="0"/>
        <v>6.8000000000000005E-2</v>
      </c>
      <c r="D64" s="217">
        <v>29</v>
      </c>
      <c r="E64" s="217">
        <v>11</v>
      </c>
      <c r="F64" s="278"/>
      <c r="G64" s="201">
        <v>51</v>
      </c>
      <c r="H64" s="201">
        <v>10</v>
      </c>
      <c r="I64" s="201">
        <v>215</v>
      </c>
      <c r="Q64" s="201" t="str">
        <f t="shared" si="1"/>
        <v>51,10,215</v>
      </c>
      <c r="R64" s="201" t="str">
        <f t="shared" si="2"/>
        <v>{51,10,215},</v>
      </c>
    </row>
    <row r="65" spans="1:22" ht="16.899999999999999" x14ac:dyDescent="0.6">
      <c r="A65" s="214">
        <v>62</v>
      </c>
      <c r="B65" s="215">
        <f t="shared" si="0"/>
        <v>0.16800000000000001</v>
      </c>
      <c r="C65" s="216">
        <f t="shared" si="0"/>
        <v>7.2000000000000008E-2</v>
      </c>
      <c r="D65" s="217" t="s">
        <v>114</v>
      </c>
      <c r="E65" s="217">
        <v>12</v>
      </c>
      <c r="F65" s="279"/>
      <c r="G65" s="201">
        <v>55</v>
      </c>
      <c r="H65" s="201">
        <v>5</v>
      </c>
      <c r="I65" s="201">
        <v>205</v>
      </c>
      <c r="Q65" s="201" t="str">
        <f t="shared" si="1"/>
        <v>55,5,205</v>
      </c>
      <c r="R65" s="201" t="str">
        <f t="shared" si="2"/>
        <v>{55,5,205},</v>
      </c>
    </row>
    <row r="66" spans="1:22" ht="16.899999999999999" x14ac:dyDescent="0.6">
      <c r="A66" s="214">
        <v>63</v>
      </c>
      <c r="B66" s="215">
        <f t="shared" si="0"/>
        <v>0.17599999999999999</v>
      </c>
      <c r="C66" s="216">
        <f t="shared" si="0"/>
        <v>7.2000000000000008E-2</v>
      </c>
      <c r="D66" s="217" t="s">
        <v>146</v>
      </c>
      <c r="E66" s="217">
        <v>12</v>
      </c>
      <c r="F66" s="280"/>
      <c r="G66" s="201">
        <v>60</v>
      </c>
      <c r="H66" s="201">
        <v>3</v>
      </c>
      <c r="I66" s="201">
        <v>195</v>
      </c>
      <c r="Q66" s="201" t="str">
        <f t="shared" si="1"/>
        <v>60,3,195</v>
      </c>
      <c r="R66" s="201" t="str">
        <f t="shared" si="2"/>
        <v>{60,3,195},</v>
      </c>
    </row>
    <row r="67" spans="1:22" ht="16.899999999999999" x14ac:dyDescent="0.6">
      <c r="A67" s="214">
        <v>64</v>
      </c>
      <c r="B67" s="215">
        <f t="shared" si="0"/>
        <v>0.18</v>
      </c>
      <c r="C67" s="216">
        <f t="shared" si="0"/>
        <v>7.5999999999999998E-2</v>
      </c>
      <c r="D67" s="217" t="s">
        <v>118</v>
      </c>
      <c r="E67" s="217">
        <v>13</v>
      </c>
      <c r="F67" s="281"/>
      <c r="G67" s="201">
        <v>65</v>
      </c>
      <c r="H67" s="201">
        <v>2</v>
      </c>
      <c r="I67" s="201">
        <v>190</v>
      </c>
      <c r="Q67" s="201" t="str">
        <f t="shared" si="1"/>
        <v>65,2,190</v>
      </c>
      <c r="R67" s="201" t="str">
        <f t="shared" si="2"/>
        <v>{65,2,190},</v>
      </c>
    </row>
    <row r="68" spans="1:22" x14ac:dyDescent="0.6">
      <c r="F68" s="201"/>
    </row>
    <row r="69" spans="1:22" x14ac:dyDescent="0.6">
      <c r="A69" s="214">
        <v>65</v>
      </c>
      <c r="B69" s="215">
        <f t="shared" si="0"/>
        <v>0.62</v>
      </c>
      <c r="C69" s="216">
        <f t="shared" si="0"/>
        <v>0.3</v>
      </c>
      <c r="D69" s="217" t="s">
        <v>153</v>
      </c>
      <c r="E69" s="217" t="s">
        <v>154</v>
      </c>
      <c r="F69" s="282"/>
      <c r="G69" s="201">
        <v>254</v>
      </c>
      <c r="H69" s="201">
        <v>0</v>
      </c>
      <c r="I69" s="201">
        <v>30</v>
      </c>
    </row>
    <row r="70" spans="1:22" ht="16.149999999999999" thickBot="1" x14ac:dyDescent="0.65">
      <c r="A70" s="214">
        <v>66</v>
      </c>
      <c r="B70" s="215">
        <f t="shared" ref="B70:C80" si="3">HEX2DEC(D70) * 0.004</f>
        <v>0.39200000000000002</v>
      </c>
      <c r="C70" s="216">
        <f t="shared" si="3"/>
        <v>0.4</v>
      </c>
      <c r="D70" s="217">
        <v>62</v>
      </c>
      <c r="E70" s="217">
        <v>64</v>
      </c>
      <c r="F70" s="283"/>
      <c r="G70" s="201">
        <v>255</v>
      </c>
      <c r="H70" s="201">
        <v>216</v>
      </c>
      <c r="I70" s="201">
        <v>147</v>
      </c>
      <c r="V70" s="284"/>
    </row>
    <row r="71" spans="1:22" ht="16.149999999999999" thickTop="1" x14ac:dyDescent="0.6">
      <c r="A71" s="214">
        <v>67</v>
      </c>
      <c r="B71" s="285">
        <f t="shared" si="3"/>
        <v>0.26</v>
      </c>
      <c r="C71" s="286">
        <f t="shared" si="3"/>
        <v>0.21199999999999999</v>
      </c>
      <c r="D71" s="287">
        <v>41</v>
      </c>
      <c r="E71" s="287">
        <v>35</v>
      </c>
      <c r="F71" s="288"/>
      <c r="G71" s="201">
        <v>229</v>
      </c>
      <c r="H71" s="201">
        <v>242</v>
      </c>
      <c r="I71" s="201">
        <v>250</v>
      </c>
      <c r="V71" s="284"/>
    </row>
    <row r="72" spans="1:22" x14ac:dyDescent="0.6">
      <c r="A72" s="214">
        <v>68</v>
      </c>
      <c r="B72" s="285">
        <f t="shared" si="3"/>
        <v>0.29199999999999998</v>
      </c>
      <c r="C72" s="286">
        <f t="shared" si="3"/>
        <v>0.23200000000000001</v>
      </c>
      <c r="D72" s="287">
        <v>49</v>
      </c>
      <c r="E72" s="287" t="s">
        <v>143</v>
      </c>
      <c r="F72" s="289"/>
      <c r="G72" s="201">
        <v>244</v>
      </c>
      <c r="H72" s="201">
        <v>233</v>
      </c>
      <c r="I72" s="201">
        <v>223</v>
      </c>
      <c r="V72" s="284"/>
    </row>
    <row r="73" spans="1:22" x14ac:dyDescent="0.6">
      <c r="A73" s="214">
        <v>69</v>
      </c>
      <c r="B73" s="285">
        <f t="shared" si="3"/>
        <v>0.56000000000000005</v>
      </c>
      <c r="C73" s="286">
        <f t="shared" si="3"/>
        <v>0.4</v>
      </c>
      <c r="D73" s="287" t="s">
        <v>157</v>
      </c>
      <c r="E73" s="287">
        <v>64</v>
      </c>
      <c r="F73" s="290"/>
      <c r="G73" s="201">
        <v>254</v>
      </c>
      <c r="H73" s="201">
        <v>168</v>
      </c>
      <c r="I73" s="201">
        <v>17</v>
      </c>
      <c r="V73" s="284"/>
    </row>
    <row r="74" spans="1:22" x14ac:dyDescent="0.6">
      <c r="A74" s="214">
        <v>70</v>
      </c>
      <c r="B74" s="285">
        <f t="shared" si="3"/>
        <v>0.70000000000000007</v>
      </c>
      <c r="C74" s="286">
        <f t="shared" si="3"/>
        <v>0.252</v>
      </c>
      <c r="D74" s="287" t="s">
        <v>158</v>
      </c>
      <c r="E74" s="287" t="s">
        <v>159</v>
      </c>
      <c r="F74" s="291"/>
      <c r="G74" s="201">
        <v>233</v>
      </c>
      <c r="H74" s="201">
        <v>62</v>
      </c>
      <c r="I74" s="201">
        <v>62</v>
      </c>
      <c r="V74" s="284"/>
    </row>
    <row r="75" spans="1:22" x14ac:dyDescent="0.6">
      <c r="A75" s="214">
        <v>71</v>
      </c>
      <c r="B75" s="285">
        <f t="shared" si="3"/>
        <v>0.252</v>
      </c>
      <c r="C75" s="286">
        <f t="shared" si="3"/>
        <v>0.06</v>
      </c>
      <c r="D75" s="287" t="s">
        <v>159</v>
      </c>
      <c r="E75" s="287" t="s">
        <v>151</v>
      </c>
      <c r="F75" s="292"/>
      <c r="G75" s="201">
        <v>187</v>
      </c>
      <c r="H75" s="201">
        <v>15</v>
      </c>
      <c r="I75" s="201">
        <v>236</v>
      </c>
      <c r="V75" s="284"/>
    </row>
    <row r="76" spans="1:22" x14ac:dyDescent="0.6">
      <c r="A76" s="214">
        <v>72</v>
      </c>
      <c r="B76" s="285">
        <f t="shared" si="3"/>
        <v>0.2</v>
      </c>
      <c r="C76" s="286">
        <f t="shared" si="3"/>
        <v>0.06</v>
      </c>
      <c r="D76" s="287">
        <v>32</v>
      </c>
      <c r="E76" s="287" t="s">
        <v>151</v>
      </c>
      <c r="F76" s="293"/>
      <c r="G76" s="201">
        <v>138</v>
      </c>
      <c r="H76" s="201">
        <v>37</v>
      </c>
      <c r="I76" s="201">
        <v>252</v>
      </c>
      <c r="V76" s="284"/>
    </row>
    <row r="77" spans="1:22" x14ac:dyDescent="0.6">
      <c r="A77" s="214">
        <v>73</v>
      </c>
      <c r="B77" s="285">
        <f t="shared" si="3"/>
        <v>0.16</v>
      </c>
      <c r="C77" s="286">
        <f t="shared" si="3"/>
        <v>7.2000000000000008E-2</v>
      </c>
      <c r="D77" s="287">
        <v>28</v>
      </c>
      <c r="E77" s="287">
        <v>12</v>
      </c>
      <c r="F77" s="294"/>
      <c r="G77" s="201">
        <v>24</v>
      </c>
      <c r="H77" s="201">
        <v>142</v>
      </c>
      <c r="I77" s="201">
        <v>253</v>
      </c>
      <c r="V77" s="284"/>
    </row>
    <row r="78" spans="1:22" x14ac:dyDescent="0.6">
      <c r="A78" s="214">
        <v>74</v>
      </c>
      <c r="B78" s="285">
        <f t="shared" si="3"/>
        <v>0.1</v>
      </c>
      <c r="C78" s="286">
        <f t="shared" si="3"/>
        <v>0.14000000000000001</v>
      </c>
      <c r="D78" s="287">
        <v>19</v>
      </c>
      <c r="E78" s="287">
        <v>23</v>
      </c>
      <c r="F78" s="295"/>
      <c r="G78" s="201">
        <v>3</v>
      </c>
      <c r="H78" s="201">
        <v>199</v>
      </c>
      <c r="I78" s="201">
        <v>192</v>
      </c>
      <c r="V78" s="284"/>
    </row>
    <row r="79" spans="1:22" x14ac:dyDescent="0.6">
      <c r="A79" s="214">
        <v>75</v>
      </c>
      <c r="B79" s="285">
        <f t="shared" si="3"/>
        <v>0.13200000000000001</v>
      </c>
      <c r="C79" s="286">
        <f t="shared" si="3"/>
        <v>0.6</v>
      </c>
      <c r="D79" s="287">
        <v>21</v>
      </c>
      <c r="E79" s="287">
        <v>96</v>
      </c>
      <c r="F79" s="296"/>
      <c r="G79" s="201">
        <v>128</v>
      </c>
      <c r="H79" s="201">
        <v>215</v>
      </c>
      <c r="I79" s="201">
        <v>21</v>
      </c>
      <c r="V79" s="284"/>
    </row>
    <row r="80" spans="1:22" ht="16.149999999999999" thickBot="1" x14ac:dyDescent="0.65">
      <c r="A80" s="214">
        <v>76</v>
      </c>
      <c r="B80" s="285">
        <f t="shared" si="3"/>
        <v>0.192</v>
      </c>
      <c r="C80" s="286">
        <f t="shared" si="3"/>
        <v>0.16</v>
      </c>
      <c r="D80" s="287">
        <v>30</v>
      </c>
      <c r="E80" s="287">
        <v>28</v>
      </c>
      <c r="F80" s="297"/>
      <c r="G80" s="201">
        <v>183</v>
      </c>
      <c r="H80" s="201">
        <v>228</v>
      </c>
      <c r="I80" s="201">
        <v>252</v>
      </c>
    </row>
    <row r="81" spans="1:6" ht="16.149999999999999" thickTop="1" x14ac:dyDescent="0.6">
      <c r="A81" s="298" t="s">
        <v>161</v>
      </c>
      <c r="B81" s="299" t="s">
        <v>161</v>
      </c>
      <c r="C81" s="299" t="s">
        <v>161</v>
      </c>
      <c r="D81" s="299" t="s">
        <v>161</v>
      </c>
      <c r="E81" s="299" t="s">
        <v>161</v>
      </c>
      <c r="F81" s="298" t="s">
        <v>161</v>
      </c>
    </row>
  </sheetData>
  <mergeCells count="3">
    <mergeCell ref="A2:A3"/>
    <mergeCell ref="B2:E2"/>
    <mergeCell ref="V70:V79"/>
  </mergeCells>
  <phoneticPr fontId="1" type="noConversion"/>
  <pageMargins left="0.7" right="0.7" top="0.75" bottom="0.75" header="0.3" footer="0.3"/>
  <pageSetup paperSize="9" orientation="portrait"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8523A80FA0C1994D9CEFCE24AE43CB3D" ma:contentTypeVersion="3" ma:contentTypeDescription="새 문서를 만듭니다." ma:contentTypeScope="" ma:versionID="d8b979856a48dcd8ae3ec5fe57b2b9e2">
  <xsd:schema xmlns:xsd="http://www.w3.org/2001/XMLSchema" xmlns:xs="http://www.w3.org/2001/XMLSchema" xmlns:p="http://schemas.microsoft.com/office/2006/metadata/properties" xmlns:ns3="03b2d604-3c5a-4a44-a7a7-d00f855beb8b" targetNamespace="http://schemas.microsoft.com/office/2006/metadata/properties" ma:root="true" ma:fieldsID="9255c1d1e0cf4ca5b43efb5279f90d99" ns3:_="">
    <xsd:import namespace="03b2d604-3c5a-4a44-a7a7-d00f855beb8b"/>
    <xsd:element name="properties">
      <xsd:complexType>
        <xsd:sequence>
          <xsd:element name="documentManagement">
            <xsd:complexType>
              <xsd:all>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2d604-3c5a-4a44-a7a7-d00f855be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DC36CA-924B-45F2-AA96-0CC27AA490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b2d604-3c5a-4a44-a7a7-d00f855be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D7D60E-6A44-482C-A032-7F69414C6794}">
  <ds:schemaRefs>
    <ds:schemaRef ds:uri="http://schemas.microsoft.com/sharepoint/v3/contenttype/forms"/>
  </ds:schemaRefs>
</ds:datastoreItem>
</file>

<file path=customXml/itemProps3.xml><?xml version="1.0" encoding="utf-8"?>
<ds:datastoreItem xmlns:ds="http://schemas.openxmlformats.org/officeDocument/2006/customXml" ds:itemID="{91F678A6-8DEA-4305-B4BF-3C529F9D6E37}">
  <ds:schemaRefs>
    <ds:schemaRef ds:uri="http://schemas.openxmlformats.org/package/2006/metadata/core-properties"/>
    <ds:schemaRef ds:uri="http://purl.org/dc/elements/1.1/"/>
    <ds:schemaRef ds:uri="http://schemas.microsoft.com/office/2006/documentManagement/types"/>
    <ds:schemaRef ds:uri="http://www.w3.org/XML/1998/namespace"/>
    <ds:schemaRef ds:uri="03b2d604-3c5a-4a44-a7a7-d00f855beb8b"/>
    <ds:schemaRef ds:uri="http://purl.org/dc/terms/"/>
    <ds:schemaRef ds:uri="http://schemas.microsoft.com/office/2006/metadata/properties"/>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전장LED_IC개발사양</vt:lpstr>
      <vt:lpstr>Basic</vt:lpstr>
      <vt:lpstr>Sheet1</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 Kim</dc:creator>
  <cp:lastModifiedBy>이 준영</cp:lastModifiedBy>
  <dcterms:created xsi:type="dcterms:W3CDTF">2015-06-05T18:17:20Z</dcterms:created>
  <dcterms:modified xsi:type="dcterms:W3CDTF">2024-11-06T00:55:35Z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0x0101008523A80FA0C1994D9CEFCE24AE43CB3D</vt:lpwstr>
  </property>
  <property fmtid="{D5CDD505-2E9C-101B-9397-08002B2CF9AE}" pid="3" name="MSIP_Label_c6d9a7a2-a2c9-479c-a560-d79de4b6971b_Enabled">
    <vt:lpwstr>true</vt:lpwstr>
  </property>
  <property fmtid="{D5CDD505-2E9C-101B-9397-08002B2CF9AE}" pid="4" name="MSIP_Label_c6d9a7a2-a2c9-479c-a560-d79de4b6971b_SetDate">
    <vt:lpwstr>2023-08-16T01:29:27Z</vt:lpwstr>
  </property>
  <property fmtid="{D5CDD505-2E9C-101B-9397-08002B2CF9AE}" pid="5" name="MSIP_Label_c6d9a7a2-a2c9-479c-a560-d79de4b6971b_Method">
    <vt:lpwstr>Privileged</vt:lpwstr>
  </property>
  <property fmtid="{D5CDD505-2E9C-101B-9397-08002B2CF9AE}" pid="6" name="MSIP_Label_c6d9a7a2-a2c9-479c-a560-d79de4b6971b_Name">
    <vt:lpwstr>사외 정책</vt:lpwstr>
  </property>
  <property fmtid="{D5CDD505-2E9C-101B-9397-08002B2CF9AE}" pid="7" name="MSIP_Label_c6d9a7a2-a2c9-479c-a560-d79de4b6971b_SiteId">
    <vt:lpwstr>7cf932c0-bced-4490-b11f-48d23b1fe0d9</vt:lpwstr>
  </property>
  <property fmtid="{D5CDD505-2E9C-101B-9397-08002B2CF9AE}" pid="8" name="MSIP_Label_c6d9a7a2-a2c9-479c-a560-d79de4b6971b_ActionId">
    <vt:lpwstr>02145de5-ba15-4052-84eb-a1efb1b08fbe</vt:lpwstr>
  </property>
  <property fmtid="{D5CDD505-2E9C-101B-9397-08002B2CF9AE}" pid="9" name="MSIP_Label_c6d9a7a2-a2c9-479c-a560-d79de4b6971b_ContentBits">
    <vt:lpwstr>6</vt:lpwstr>
  </property>
</Properties>
</file>