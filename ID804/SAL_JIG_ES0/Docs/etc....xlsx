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Docs\"/>
    </mc:Choice>
  </mc:AlternateContent>
  <xr:revisionPtr revIDLastSave="0" documentId="13_ncr:1_{BDC993A7-2436-48F0-9D0D-E91A8B8E6757}" xr6:coauthVersionLast="47" xr6:coauthVersionMax="47" xr10:uidLastSave="{00000000-0000-0000-0000-000000000000}"/>
  <bookViews>
    <workbookView xWindow="-98" yWindow="-98" windowWidth="21795" windowHeight="12975" activeTab="4" xr2:uid="{1063A186-73D4-4748-B4DA-EC653FBFF666}"/>
  </bookViews>
  <sheets>
    <sheet name="crc" sheetId="1" r:id="rId1"/>
    <sheet name="manc" sheetId="2" r:id="rId2"/>
    <sheet name="Sheet3" sheetId="3" r:id="rId3"/>
    <sheet name="cmd_read" sheetId="4" r:id="rId4"/>
    <sheet name="cmd_wrti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J3" i="3"/>
  <c r="H3" i="3"/>
  <c r="F3" i="3"/>
  <c r="D3" i="3"/>
  <c r="B3" i="3"/>
  <c r="M5" i="3"/>
  <c r="L5" i="3"/>
  <c r="K5" i="3"/>
  <c r="J5" i="3"/>
  <c r="I5" i="3"/>
  <c r="H5" i="3"/>
  <c r="G5" i="3"/>
  <c r="F5" i="3"/>
  <c r="E5" i="3"/>
  <c r="D5" i="3"/>
  <c r="C5" i="3"/>
  <c r="B5" i="3"/>
  <c r="C4" i="1"/>
  <c r="C5" i="1"/>
  <c r="C6" i="1"/>
  <c r="C7" i="1"/>
</calcChain>
</file>

<file path=xl/sharedStrings.xml><?xml version="1.0" encoding="utf-8"?>
<sst xmlns="http://schemas.openxmlformats.org/spreadsheetml/2006/main" count="248" uniqueCount="133">
  <si>
    <t>0xA0</t>
    <phoneticPr fontId="1" type="noConversion"/>
  </si>
  <si>
    <t xml:space="preserve"> 0x00</t>
    <phoneticPr fontId="1" type="noConversion"/>
  </si>
  <si>
    <t xml:space="preserve"> 0x99</t>
    <phoneticPr fontId="1" type="noConversion"/>
  </si>
  <si>
    <t>p_buff</t>
    <phoneticPr fontId="1" type="noConversion"/>
  </si>
  <si>
    <t>count</t>
    <phoneticPr fontId="1" type="noConversion"/>
  </si>
  <si>
    <t>crc</t>
    <phoneticPr fontId="1" type="noConversion"/>
  </si>
  <si>
    <t>crc_next</t>
    <phoneticPr fontId="1" type="noConversion"/>
  </si>
  <si>
    <t>0x90</t>
    <phoneticPr fontId="1" type="noConversion"/>
  </si>
  <si>
    <t>crc_now</t>
    <phoneticPr fontId="1" type="noConversion"/>
  </si>
  <si>
    <t>0x00</t>
    <phoneticPr fontId="1" type="noConversion"/>
  </si>
  <si>
    <t>0x4D</t>
    <phoneticPr fontId="1" type="noConversion"/>
  </si>
  <si>
    <t>0xD4</t>
    <phoneticPr fontId="1" type="noConversion"/>
  </si>
  <si>
    <t>0x17</t>
    <phoneticPr fontId="1" type="noConversion"/>
  </si>
  <si>
    <t>0x2B</t>
    <phoneticPr fontId="1" type="noConversion"/>
  </si>
  <si>
    <t>0xB0</t>
    <phoneticPr fontId="1" type="noConversion"/>
  </si>
  <si>
    <t>0x3C</t>
    <phoneticPr fontId="1" type="noConversion"/>
  </si>
  <si>
    <t>0x36</t>
    <phoneticPr fontId="1" type="noConversion"/>
  </si>
  <si>
    <t>0x86</t>
    <phoneticPr fontId="1" type="noConversion"/>
  </si>
  <si>
    <t>0x01</t>
    <phoneticPr fontId="1" type="noConversion"/>
  </si>
  <si>
    <t>byte size</t>
    <phoneticPr fontId="1" type="noConversion"/>
  </si>
  <si>
    <t>H</t>
    <phoneticPr fontId="1" type="noConversion"/>
  </si>
  <si>
    <t>0x66</t>
  </si>
  <si>
    <t>0xAA</t>
  </si>
  <si>
    <t>0x69</t>
  </si>
  <si>
    <t>0xA6</t>
  </si>
  <si>
    <t>A0</t>
  </si>
  <si>
    <t>F0</t>
  </si>
  <si>
    <t>0x99</t>
  </si>
  <si>
    <t>0x55</t>
  </si>
  <si>
    <t>SAL_ADDR_STATUS1</t>
  </si>
  <si>
    <t>0x01,</t>
  </si>
  <si>
    <t>SAL_ADDR_STATUS2</t>
  </si>
  <si>
    <t>0x02,</t>
  </si>
  <si>
    <t>SAL_ADDR_TEMP</t>
  </si>
  <si>
    <t>0x03,</t>
  </si>
  <si>
    <t>SAL_ADDR_VEXT_TM</t>
  </si>
  <si>
    <t>0x05,</t>
  </si>
  <si>
    <t>SAL_ADDR_SETUP1</t>
  </si>
  <si>
    <t>0x06,</t>
  </si>
  <si>
    <t>SAL_ADDR_SETUP2</t>
  </si>
  <si>
    <t>0x07,</t>
  </si>
  <si>
    <t>SAL_ADDR_TEMPTH</t>
  </si>
  <si>
    <t>0x0A,</t>
  </si>
  <si>
    <t>SAL_ADDR_TEMPHYS</t>
  </si>
  <si>
    <t>0x0B,</t>
  </si>
  <si>
    <t>SAL_ADDR_CAL_PWM_RED</t>
  </si>
  <si>
    <t>0x0C,</t>
  </si>
  <si>
    <t>SAL_ADDR_CAL_PWM_GREEN</t>
  </si>
  <si>
    <t>0x0D,</t>
  </si>
  <si>
    <t>SAL_ADDR_CAL_PWM_BLUE</t>
  </si>
  <si>
    <t>0x0E,</t>
  </si>
  <si>
    <t>SAL_ADDR_CURR_MAX_LVL</t>
  </si>
  <si>
    <t>0x0F,</t>
  </si>
  <si>
    <t>SAL_ADDR_TEMP_LUT_TC1</t>
  </si>
  <si>
    <t>0x10,</t>
  </si>
  <si>
    <t>SAL_ADDR_TEMP_LUT_TC2</t>
  </si>
  <si>
    <t>0x11,</t>
  </si>
  <si>
    <t>SAL_ADDR_TEMP_LUT_TC3</t>
  </si>
  <si>
    <t>0x12,</t>
  </si>
  <si>
    <t>SAL_ADDR_TEMP_LUT_TC4</t>
  </si>
  <si>
    <t>0x13,</t>
  </si>
  <si>
    <t>SAL_ADDR_TEMP_LUT_TC5</t>
  </si>
  <si>
    <t>0x14,</t>
  </si>
  <si>
    <t>SAL_ADDR_TEMP_LUT_TC6</t>
  </si>
  <si>
    <t>0x15,</t>
  </si>
  <si>
    <t>SAL_ADDR_TEMP_LUT_TC7</t>
  </si>
  <si>
    <t>0x16,</t>
  </si>
  <si>
    <t>SAL_ADDR_TEMP_LUT_TC8</t>
  </si>
  <si>
    <t>0x17,</t>
  </si>
  <si>
    <t>SAL_ADDR_TEMP_LUT_TC9</t>
  </si>
  <si>
    <t>0x18,</t>
  </si>
  <si>
    <t>SAL_ADDR_TEMP_LUT_TC10</t>
  </si>
  <si>
    <t>0x19,</t>
  </si>
  <si>
    <t>SAL_ADDR_TIMEOUT</t>
  </si>
  <si>
    <t>0x1A,</t>
  </si>
  <si>
    <t>SAL_ADDR_RGB1</t>
  </si>
  <si>
    <t>0x20,</t>
  </si>
  <si>
    <t>SAL_ADDR_RGB2</t>
  </si>
  <si>
    <t>0x21,</t>
  </si>
  <si>
    <t>NULL</t>
    <phoneticPr fontId="1" type="noConversion"/>
  </si>
  <si>
    <t>CMD_READ_STATUS1</t>
  </si>
  <si>
    <t>CMD_READ_STATUS2</t>
  </si>
  <si>
    <t>CMD_READ_TEMP</t>
  </si>
  <si>
    <t>CMD_READ_TEMPST</t>
  </si>
  <si>
    <t>CMD_READ_VEXT_TM</t>
  </si>
  <si>
    <t>CMD_READ_SETUP1</t>
  </si>
  <si>
    <t>CMD_READ_SETUP2</t>
  </si>
  <si>
    <t>CMD_READ_MCAST</t>
  </si>
  <si>
    <t>CMD_READ_RGB</t>
  </si>
  <si>
    <t>CMD_READ_TEMPTH</t>
  </si>
  <si>
    <t>CMD_READ_TEMPHYS</t>
  </si>
  <si>
    <t>CMD_READ_PWM_RED_VAL</t>
  </si>
  <si>
    <t>CMD_READ_PWM_GREEN_VAL</t>
  </si>
  <si>
    <t>CMD_READ_PWM_BLUE_VAL</t>
  </si>
  <si>
    <t>CMD_READ_CURR_MAX_LVL</t>
  </si>
  <si>
    <t>CMD_READ_TEMP_LUT_TC1</t>
  </si>
  <si>
    <t>CMD_READ_TEMP_LUT_TC2</t>
  </si>
  <si>
    <t>CMD_READ_TEMP_LUT_TC3</t>
  </si>
  <si>
    <t>CMD_READ_TEMP_LUT_TC4</t>
  </si>
  <si>
    <t>CMD_READ_TEMP_LUT_TC5</t>
  </si>
  <si>
    <t>CMD_READ_TEMP_LUT_TC6</t>
  </si>
  <si>
    <t>CMD_READ_TEMP_LUT_TC7</t>
  </si>
  <si>
    <t>CMD_READ_TEMP_LUT_TC8</t>
  </si>
  <si>
    <t>CMD_READ_TEMP_LUT_TC9</t>
  </si>
  <si>
    <t>CMD_READ_TEMP_LUT_TC10</t>
  </si>
  <si>
    <t>SAL_ADDR_MCAST1</t>
    <phoneticPr fontId="1" type="noConversion"/>
  </si>
  <si>
    <t>SAL_ADDR_MCAST2</t>
    <phoneticPr fontId="1" type="noConversion"/>
  </si>
  <si>
    <t>0x08,</t>
    <phoneticPr fontId="1" type="noConversion"/>
  </si>
  <si>
    <t>0x09,</t>
    <phoneticPr fontId="1" type="noConversion"/>
  </si>
  <si>
    <t>0x00,</t>
    <phoneticPr fontId="1" type="noConversion"/>
  </si>
  <si>
    <t>0x04,</t>
    <phoneticPr fontId="1" type="noConversion"/>
  </si>
  <si>
    <t>CMD_SET_SETUP1</t>
  </si>
  <si>
    <t>CMD_SET_SETUP2</t>
  </si>
  <si>
    <t>CMD_SET_RGB</t>
  </si>
  <si>
    <t>CMD_SET_TEMPTH</t>
  </si>
  <si>
    <t>CMD_SET_TEMPHYS</t>
  </si>
  <si>
    <t>CMD_SET_CURR_MAX_LVL</t>
  </si>
  <si>
    <t>CMD_SET_TEMP_LUT_TC1</t>
  </si>
  <si>
    <t>CMD_SET_TEMP_LUT_TC2</t>
  </si>
  <si>
    <t>CMD_SET_TEMP_LUT_TC3</t>
  </si>
  <si>
    <t>CMD_SET_TEMP_LUT_TC4</t>
  </si>
  <si>
    <t>CMD_SET_TEMP_LUT_TC5</t>
  </si>
  <si>
    <t>CMD_SET_TEMP_LUT_TC6</t>
  </si>
  <si>
    <t>CMD_SET_TEMP_LUT_TC7</t>
  </si>
  <si>
    <t>CMD_SET_TEMP_LUT_TC8</t>
  </si>
  <si>
    <t>CMD_SET_TEMP_LUT_TC9</t>
  </si>
  <si>
    <t>CMD_SET_TEMP_LUT_TC10</t>
  </si>
  <si>
    <t>CMD_SET_MCAST</t>
    <phoneticPr fontId="1" type="noConversion"/>
  </si>
  <si>
    <t>0x1B,</t>
    <phoneticPr fontId="1" type="noConversion"/>
  </si>
  <si>
    <t>0x1C,</t>
    <phoneticPr fontId="1" type="noConversion"/>
  </si>
  <si>
    <t>0x1D,</t>
    <phoneticPr fontId="1" type="noConversion"/>
  </si>
  <si>
    <t>0x1E,</t>
    <phoneticPr fontId="1" type="noConversion"/>
  </si>
  <si>
    <t>0x1F,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</si>
</sst>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BF7F-EBFD-4AE7-9361-49387290C6F9}">
  <dimension ref="B2:F7"/>
  <sheetViews>
    <sheetView workbookViewId="0"/>
  </sheetViews>
  <sheetFormatPr defaultRowHeight="16.899999999999999" x14ac:dyDescent="0.6"/>
  <sheetData>
    <row r="2" spans="2:6" x14ac:dyDescent="0.6">
      <c r="B2" t="s">
        <v>4</v>
      </c>
      <c r="C2" t="s">
        <v>8</v>
      </c>
      <c r="D2" t="s">
        <v>3</v>
      </c>
      <c r="E2" t="s">
        <v>5</v>
      </c>
      <c r="F2" t="s">
        <v>6</v>
      </c>
    </row>
    <row r="3" spans="2:6" x14ac:dyDescent="0.6">
      <c r="B3">
        <v>0</v>
      </c>
      <c r="C3" t="s">
        <v>9</v>
      </c>
      <c r="D3" t="s">
        <v>0</v>
      </c>
      <c r="E3" t="s">
        <v>0</v>
      </c>
      <c r="F3" t="s">
        <v>7</v>
      </c>
    </row>
    <row r="4" spans="2:6" x14ac:dyDescent="0.6">
      <c r="B4">
        <v>1</v>
      </c>
      <c r="C4" t="str">
        <f>F3</f>
        <v>0x90</v>
      </c>
      <c r="D4" t="s">
        <v>1</v>
      </c>
      <c r="E4" t="s">
        <v>7</v>
      </c>
      <c r="F4" t="s">
        <v>10</v>
      </c>
    </row>
    <row r="5" spans="2:6" x14ac:dyDescent="0.6">
      <c r="B5">
        <v>2</v>
      </c>
      <c r="C5" t="str">
        <f>F4</f>
        <v>0x4D</v>
      </c>
      <c r="D5" t="s">
        <v>2</v>
      </c>
      <c r="E5" t="s">
        <v>11</v>
      </c>
      <c r="F5" t="s">
        <v>12</v>
      </c>
    </row>
    <row r="6" spans="2:6" x14ac:dyDescent="0.6">
      <c r="B6">
        <v>3</v>
      </c>
      <c r="C6" t="str">
        <f>F5</f>
        <v>0x17</v>
      </c>
      <c r="D6" t="s">
        <v>13</v>
      </c>
      <c r="E6" t="s">
        <v>15</v>
      </c>
      <c r="F6" t="s">
        <v>16</v>
      </c>
    </row>
    <row r="7" spans="2:6" x14ac:dyDescent="0.6">
      <c r="B7">
        <v>4</v>
      </c>
      <c r="C7" t="str">
        <f>F6</f>
        <v>0x36</v>
      </c>
      <c r="D7" t="s">
        <v>14</v>
      </c>
      <c r="E7" t="s">
        <v>17</v>
      </c>
      <c r="F7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0124-FBD4-4783-8229-75B309C61F17}">
  <dimension ref="B2:O28"/>
  <sheetViews>
    <sheetView workbookViewId="0">
      <selection activeCell="A12" sqref="A12:I16"/>
    </sheetView>
  </sheetViews>
  <sheetFormatPr defaultRowHeight="16.899999999999999" x14ac:dyDescent="0.6"/>
  <cols>
    <col min="2" max="2" width="6.3125" bestFit="1" customWidth="1"/>
    <col min="3" max="16" width="3.5625" customWidth="1"/>
  </cols>
  <sheetData>
    <row r="2" spans="2:15" x14ac:dyDescent="0.6">
      <c r="D2" t="s">
        <v>19</v>
      </c>
      <c r="G2">
        <v>6</v>
      </c>
    </row>
    <row r="4" spans="2:15" x14ac:dyDescent="0.6">
      <c r="B4" t="s">
        <v>4</v>
      </c>
      <c r="D4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</row>
    <row r="5" spans="2:15" x14ac:dyDescent="0.6">
      <c r="B5" s="2">
        <v>0</v>
      </c>
      <c r="C5" s="2"/>
      <c r="D5" s="3"/>
      <c r="E5" s="4"/>
      <c r="F5" s="5"/>
      <c r="G5" s="6"/>
      <c r="H5" s="1" t="s">
        <v>20</v>
      </c>
      <c r="I5" s="7"/>
      <c r="J5" s="8"/>
      <c r="K5" s="8"/>
      <c r="L5" s="8"/>
      <c r="M5" s="8"/>
      <c r="N5" s="7"/>
      <c r="O5" s="7"/>
    </row>
    <row r="6" spans="2:15" x14ac:dyDescent="0.6">
      <c r="B6" s="2">
        <v>1</v>
      </c>
      <c r="C6" s="2"/>
      <c r="D6" s="3"/>
      <c r="E6" s="4"/>
      <c r="F6" s="5"/>
      <c r="G6" s="6" t="s">
        <v>20</v>
      </c>
      <c r="H6" s="1"/>
      <c r="I6" s="7"/>
      <c r="J6" s="8"/>
      <c r="K6" s="8"/>
      <c r="L6" s="1"/>
      <c r="M6" s="1"/>
      <c r="N6" s="7"/>
      <c r="O6" s="7"/>
    </row>
    <row r="7" spans="2:15" x14ac:dyDescent="0.6">
      <c r="B7" s="2">
        <v>2</v>
      </c>
      <c r="C7" s="2"/>
      <c r="D7" s="3"/>
      <c r="E7" s="4"/>
      <c r="F7" s="5" t="s">
        <v>20</v>
      </c>
      <c r="G7" s="6"/>
      <c r="H7" s="1"/>
      <c r="I7" s="7"/>
      <c r="J7" s="6"/>
      <c r="K7" s="6"/>
      <c r="L7" s="1"/>
      <c r="M7" s="1"/>
      <c r="N7" s="7"/>
      <c r="O7" s="7"/>
    </row>
    <row r="8" spans="2:15" x14ac:dyDescent="0.6">
      <c r="B8" s="2">
        <v>3</v>
      </c>
      <c r="C8" s="2"/>
      <c r="D8" s="3"/>
      <c r="E8" s="4" t="s">
        <v>20</v>
      </c>
      <c r="F8" s="5"/>
      <c r="G8" s="6"/>
      <c r="H8" s="5"/>
      <c r="I8" s="5"/>
      <c r="J8" s="6"/>
      <c r="K8" s="6"/>
      <c r="L8" s="1"/>
      <c r="M8" s="1"/>
      <c r="N8" s="7"/>
      <c r="O8" s="7"/>
    </row>
    <row r="9" spans="2:15" x14ac:dyDescent="0.6">
      <c r="B9" s="2">
        <v>4</v>
      </c>
      <c r="C9" s="2"/>
      <c r="D9" s="3" t="s">
        <v>20</v>
      </c>
      <c r="E9" s="4"/>
      <c r="F9" s="4"/>
      <c r="G9" s="4"/>
      <c r="H9" s="5"/>
      <c r="I9" s="5"/>
      <c r="J9" s="6"/>
      <c r="K9" s="6"/>
      <c r="L9" s="1"/>
      <c r="M9" s="1"/>
      <c r="N9" s="7"/>
      <c r="O9" s="7"/>
    </row>
    <row r="10" spans="2:15" x14ac:dyDescent="0.6">
      <c r="B10" s="2">
        <v>5</v>
      </c>
      <c r="C10" s="8" t="s">
        <v>20</v>
      </c>
      <c r="D10" s="3"/>
      <c r="E10" s="3"/>
      <c r="F10" s="4"/>
      <c r="G10" s="4"/>
      <c r="H10" s="5"/>
      <c r="I10" s="5"/>
      <c r="J10" s="6"/>
      <c r="K10" s="6"/>
      <c r="L10" s="1"/>
      <c r="M10" s="1"/>
      <c r="N10" s="7"/>
      <c r="O10" s="7"/>
    </row>
    <row r="11" spans="2:15" x14ac:dyDescent="0.6">
      <c r="B11" s="2"/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2:15" x14ac:dyDescent="0.6">
      <c r="B12" s="2"/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2:15" x14ac:dyDescent="0.6">
      <c r="B13" s="2"/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2:15" x14ac:dyDescent="0.6">
      <c r="B14" s="2"/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2:15" x14ac:dyDescent="0.6">
      <c r="B15" s="2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2:15" x14ac:dyDescent="0.6">
      <c r="B16" s="2"/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2:15" x14ac:dyDescent="0.6">
      <c r="B17" s="2"/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2:15" x14ac:dyDescent="0.6">
      <c r="B18" s="2"/>
      <c r="C18" s="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2:15" x14ac:dyDescent="0.6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x14ac:dyDescent="0.6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6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x14ac:dyDescent="0.6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6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6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x14ac:dyDescent="0.6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x14ac:dyDescent="0.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x14ac:dyDescent="0.6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 x14ac:dyDescent="0.6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D2BC-CC08-4CF1-84E7-AE291B380959}">
  <dimension ref="B2:M6"/>
  <sheetViews>
    <sheetView zoomScale="115" zoomScaleNormal="115" workbookViewId="0">
      <selection activeCell="B6" sqref="B6:M6"/>
    </sheetView>
  </sheetViews>
  <sheetFormatPr defaultRowHeight="13.15" x14ac:dyDescent="0.6"/>
  <cols>
    <col min="1" max="1" width="2.5625" style="9" customWidth="1"/>
    <col min="2" max="13" width="8.1875" style="9" customWidth="1"/>
    <col min="14" max="16384" width="9" style="9"/>
  </cols>
  <sheetData>
    <row r="2" spans="2:13" x14ac:dyDescent="0.6">
      <c r="B2" s="10" t="s">
        <v>25</v>
      </c>
      <c r="C2" s="10"/>
      <c r="D2" s="10">
        <v>0</v>
      </c>
      <c r="E2" s="10"/>
      <c r="F2" s="10">
        <v>95</v>
      </c>
      <c r="G2" s="10"/>
      <c r="H2" s="10">
        <v>25</v>
      </c>
      <c r="I2" s="10"/>
      <c r="J2" s="10" t="s">
        <v>26</v>
      </c>
      <c r="K2" s="10"/>
      <c r="L2" s="10">
        <v>2</v>
      </c>
      <c r="M2" s="10"/>
    </row>
    <row r="3" spans="2:13" x14ac:dyDescent="0.6">
      <c r="B3" s="10" t="str">
        <f>HEX2BIN(B2, 8)</f>
        <v>10100000</v>
      </c>
      <c r="C3" s="10"/>
      <c r="D3" s="10" t="str">
        <f>HEX2BIN(D2, 8)</f>
        <v>00000000</v>
      </c>
      <c r="E3" s="10"/>
      <c r="F3" s="10" t="str">
        <f>HEX2BIN(F2, 8)</f>
        <v>10010101</v>
      </c>
      <c r="G3" s="10"/>
      <c r="H3" s="10" t="str">
        <f>HEX2BIN(H2, 8)</f>
        <v>00100101</v>
      </c>
      <c r="I3" s="10"/>
      <c r="J3" s="10" t="str">
        <f>HEX2BIN(J2, 8)</f>
        <v>11110000</v>
      </c>
      <c r="K3" s="10"/>
      <c r="L3" s="10" t="str">
        <f>HEX2BIN(L2, 8)</f>
        <v>00000010</v>
      </c>
      <c r="M3" s="10"/>
    </row>
    <row r="4" spans="2:13" x14ac:dyDescent="0.6">
      <c r="B4" s="11">
        <v>1100110</v>
      </c>
      <c r="C4" s="11">
        <v>10101010</v>
      </c>
      <c r="D4" s="11">
        <v>10101010</v>
      </c>
      <c r="E4" s="11">
        <v>10101010</v>
      </c>
      <c r="F4" s="11">
        <v>1101001</v>
      </c>
      <c r="G4" s="11">
        <v>10011001</v>
      </c>
      <c r="H4" s="11">
        <v>10100110</v>
      </c>
      <c r="I4" s="11">
        <v>10011001</v>
      </c>
      <c r="J4" s="11">
        <v>1010101</v>
      </c>
      <c r="K4" s="11">
        <v>10101010</v>
      </c>
      <c r="L4" s="11">
        <v>10101010</v>
      </c>
      <c r="M4" s="11">
        <v>10100110</v>
      </c>
    </row>
    <row r="5" spans="2:13" x14ac:dyDescent="0.6">
      <c r="B5" s="12" t="str">
        <f>BIN2HEX(B4)</f>
        <v>66</v>
      </c>
      <c r="C5" s="12" t="str">
        <f>BIN2HEX(C4)</f>
        <v>AA</v>
      </c>
      <c r="D5" s="12" t="str">
        <f t="shared" ref="D5:M5" si="0">BIN2HEX(D4)</f>
        <v>AA</v>
      </c>
      <c r="E5" s="12" t="str">
        <f t="shared" si="0"/>
        <v>AA</v>
      </c>
      <c r="F5" s="12" t="str">
        <f t="shared" si="0"/>
        <v>69</v>
      </c>
      <c r="G5" s="12" t="str">
        <f t="shared" si="0"/>
        <v>99</v>
      </c>
      <c r="H5" s="12" t="str">
        <f t="shared" si="0"/>
        <v>A6</v>
      </c>
      <c r="I5" s="12" t="str">
        <f t="shared" si="0"/>
        <v>99</v>
      </c>
      <c r="J5" s="12" t="str">
        <f t="shared" si="0"/>
        <v>55</v>
      </c>
      <c r="K5" s="12" t="str">
        <f t="shared" si="0"/>
        <v>AA</v>
      </c>
      <c r="L5" s="12" t="str">
        <f t="shared" si="0"/>
        <v>AA</v>
      </c>
      <c r="M5" s="12" t="str">
        <f t="shared" si="0"/>
        <v>A6</v>
      </c>
    </row>
    <row r="6" spans="2:13" x14ac:dyDescent="0.6">
      <c r="B6" s="13" t="s">
        <v>21</v>
      </c>
      <c r="C6" s="9" t="s">
        <v>22</v>
      </c>
      <c r="D6" s="9" t="s">
        <v>22</v>
      </c>
      <c r="E6" s="9" t="s">
        <v>22</v>
      </c>
      <c r="F6" s="9" t="s">
        <v>23</v>
      </c>
      <c r="G6" s="9" t="s">
        <v>27</v>
      </c>
      <c r="H6" s="9" t="s">
        <v>24</v>
      </c>
      <c r="I6" s="9" t="s">
        <v>27</v>
      </c>
      <c r="J6" s="9" t="s">
        <v>28</v>
      </c>
      <c r="K6" s="9" t="s">
        <v>22</v>
      </c>
      <c r="L6" s="9" t="s">
        <v>22</v>
      </c>
      <c r="M6" s="9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EC8B-3A95-4855-9DE9-9C3D9C585D74}">
  <dimension ref="B2:H35"/>
  <sheetViews>
    <sheetView zoomScale="85" zoomScaleNormal="85" workbookViewId="0">
      <selection activeCell="C8" sqref="C8"/>
    </sheetView>
  </sheetViews>
  <sheetFormatPr defaultRowHeight="16.899999999999999" x14ac:dyDescent="0.6"/>
  <cols>
    <col min="2" max="2" width="28.3125" bestFit="1" customWidth="1"/>
    <col min="5" max="5" width="29.3125" bestFit="1" customWidth="1"/>
    <col min="8" max="8" width="29.3125" bestFit="1" customWidth="1"/>
    <col min="9" max="9" width="2.8125" bestFit="1" customWidth="1"/>
    <col min="10" max="10" width="6.0625" bestFit="1" customWidth="1"/>
    <col min="11" max="11" width="7.9375" bestFit="1" customWidth="1"/>
  </cols>
  <sheetData>
    <row r="2" spans="2:8" x14ac:dyDescent="0.6">
      <c r="B2" s="14" t="s">
        <v>79</v>
      </c>
      <c r="C2" s="14" t="s">
        <v>109</v>
      </c>
      <c r="D2" s="14"/>
      <c r="E2" s="14" t="s">
        <v>79</v>
      </c>
      <c r="F2" s="14"/>
      <c r="G2" s="14"/>
      <c r="H2" s="14"/>
    </row>
    <row r="3" spans="2:8" x14ac:dyDescent="0.6">
      <c r="B3" s="14" t="s">
        <v>29</v>
      </c>
      <c r="C3" s="14" t="s">
        <v>30</v>
      </c>
      <c r="D3" s="14"/>
      <c r="E3" s="14" t="s">
        <v>80</v>
      </c>
      <c r="F3" s="14"/>
      <c r="G3" s="14"/>
      <c r="H3" s="14"/>
    </row>
    <row r="4" spans="2:8" x14ac:dyDescent="0.6">
      <c r="B4" s="14" t="s">
        <v>31</v>
      </c>
      <c r="C4" s="14" t="s">
        <v>32</v>
      </c>
      <c r="D4" s="14"/>
      <c r="E4" s="14" t="s">
        <v>81</v>
      </c>
      <c r="F4" s="14"/>
      <c r="G4" s="14"/>
      <c r="H4" s="14"/>
    </row>
    <row r="5" spans="2:8" x14ac:dyDescent="0.6">
      <c r="B5" s="14" t="s">
        <v>33</v>
      </c>
      <c r="C5" s="14" t="s">
        <v>34</v>
      </c>
      <c r="D5" s="14"/>
      <c r="E5" s="14" t="s">
        <v>82</v>
      </c>
      <c r="F5" s="14"/>
      <c r="G5" s="14"/>
      <c r="H5" s="14"/>
    </row>
    <row r="6" spans="2:8" x14ac:dyDescent="0.6">
      <c r="B6" s="14" t="s">
        <v>79</v>
      </c>
      <c r="C6" s="14" t="s">
        <v>110</v>
      </c>
      <c r="D6" s="14"/>
      <c r="E6" s="14" t="s">
        <v>79</v>
      </c>
      <c r="F6" s="14"/>
      <c r="G6" s="14"/>
      <c r="H6" s="14" t="s">
        <v>83</v>
      </c>
    </row>
    <row r="7" spans="2:8" x14ac:dyDescent="0.6">
      <c r="B7" s="14" t="s">
        <v>35</v>
      </c>
      <c r="C7" s="14" t="s">
        <v>36</v>
      </c>
      <c r="D7" s="14"/>
      <c r="E7" s="14" t="s">
        <v>84</v>
      </c>
      <c r="F7" s="14"/>
      <c r="G7" s="14"/>
      <c r="H7" s="14"/>
    </row>
    <row r="8" spans="2:8" x14ac:dyDescent="0.6">
      <c r="B8" s="14" t="s">
        <v>37</v>
      </c>
      <c r="C8" s="14" t="s">
        <v>38</v>
      </c>
      <c r="D8" s="14"/>
      <c r="E8" s="14" t="s">
        <v>85</v>
      </c>
      <c r="F8" s="14"/>
      <c r="G8" s="14"/>
      <c r="H8" s="14"/>
    </row>
    <row r="9" spans="2:8" x14ac:dyDescent="0.6">
      <c r="B9" s="14" t="s">
        <v>39</v>
      </c>
      <c r="C9" s="14" t="s">
        <v>40</v>
      </c>
      <c r="D9" s="14"/>
      <c r="E9" s="14" t="s">
        <v>86</v>
      </c>
      <c r="F9" s="14"/>
      <c r="G9" s="14"/>
      <c r="H9" s="14"/>
    </row>
    <row r="10" spans="2:8" x14ac:dyDescent="0.6">
      <c r="B10" s="14" t="s">
        <v>105</v>
      </c>
      <c r="C10" s="14" t="s">
        <v>107</v>
      </c>
      <c r="D10" s="14"/>
      <c r="E10" s="14" t="s">
        <v>87</v>
      </c>
      <c r="F10" s="14"/>
      <c r="G10" s="14"/>
      <c r="H10" s="14"/>
    </row>
    <row r="11" spans="2:8" x14ac:dyDescent="0.6">
      <c r="B11" s="14" t="s">
        <v>106</v>
      </c>
      <c r="C11" s="14" t="s">
        <v>108</v>
      </c>
      <c r="D11" s="14"/>
      <c r="E11" s="14" t="s">
        <v>87</v>
      </c>
      <c r="F11" s="14"/>
      <c r="G11" s="14"/>
      <c r="H11" s="14"/>
    </row>
    <row r="12" spans="2:8" x14ac:dyDescent="0.6">
      <c r="B12" s="14" t="s">
        <v>41</v>
      </c>
      <c r="C12" s="14" t="s">
        <v>42</v>
      </c>
      <c r="D12" s="14"/>
      <c r="E12" s="14" t="s">
        <v>89</v>
      </c>
      <c r="F12" s="14"/>
      <c r="G12" s="14"/>
      <c r="H12" s="14"/>
    </row>
    <row r="13" spans="2:8" x14ac:dyDescent="0.6">
      <c r="B13" s="14" t="s">
        <v>43</v>
      </c>
      <c r="C13" s="14" t="s">
        <v>44</v>
      </c>
      <c r="D13" s="14"/>
      <c r="E13" s="14" t="s">
        <v>90</v>
      </c>
      <c r="F13" s="14"/>
      <c r="G13" s="14"/>
      <c r="H13" s="14"/>
    </row>
    <row r="14" spans="2:8" x14ac:dyDescent="0.6">
      <c r="B14" s="14" t="s">
        <v>45</v>
      </c>
      <c r="C14" s="14" t="s">
        <v>46</v>
      </c>
      <c r="D14" s="14"/>
      <c r="E14" s="14" t="s">
        <v>91</v>
      </c>
      <c r="F14" s="14"/>
      <c r="G14" s="14"/>
      <c r="H14" s="14"/>
    </row>
    <row r="15" spans="2:8" x14ac:dyDescent="0.6">
      <c r="B15" s="14" t="s">
        <v>47</v>
      </c>
      <c r="C15" s="14" t="s">
        <v>48</v>
      </c>
      <c r="D15" s="14"/>
      <c r="E15" s="14" t="s">
        <v>92</v>
      </c>
      <c r="F15" s="14"/>
      <c r="G15" s="14"/>
      <c r="H15" s="14"/>
    </row>
    <row r="16" spans="2:8" x14ac:dyDescent="0.6">
      <c r="B16" s="14" t="s">
        <v>49</v>
      </c>
      <c r="C16" s="14" t="s">
        <v>50</v>
      </c>
      <c r="D16" s="14"/>
      <c r="E16" s="14" t="s">
        <v>93</v>
      </c>
      <c r="F16" s="14"/>
      <c r="G16" s="14"/>
      <c r="H16" s="14"/>
    </row>
    <row r="17" spans="2:8" x14ac:dyDescent="0.6">
      <c r="B17" s="14" t="s">
        <v>51</v>
      </c>
      <c r="C17" s="14" t="s">
        <v>52</v>
      </c>
      <c r="D17" s="14"/>
      <c r="E17" s="14" t="s">
        <v>94</v>
      </c>
      <c r="F17" s="14"/>
      <c r="G17" s="14"/>
      <c r="H17" s="14"/>
    </row>
    <row r="18" spans="2:8" x14ac:dyDescent="0.6">
      <c r="B18" s="15" t="s">
        <v>53</v>
      </c>
      <c r="C18" s="15" t="s">
        <v>54</v>
      </c>
      <c r="D18" s="15"/>
      <c r="E18" s="15" t="s">
        <v>95</v>
      </c>
      <c r="F18" s="15"/>
      <c r="G18" s="15"/>
      <c r="H18" s="15"/>
    </row>
    <row r="19" spans="2:8" x14ac:dyDescent="0.6">
      <c r="B19" s="15" t="s">
        <v>55</v>
      </c>
      <c r="C19" s="15" t="s">
        <v>56</v>
      </c>
      <c r="D19" s="15"/>
      <c r="E19" s="15" t="s">
        <v>96</v>
      </c>
      <c r="F19" s="15"/>
      <c r="G19" s="15"/>
      <c r="H19" s="15"/>
    </row>
    <row r="20" spans="2:8" x14ac:dyDescent="0.6">
      <c r="B20" s="15" t="s">
        <v>57</v>
      </c>
      <c r="C20" s="15" t="s">
        <v>58</v>
      </c>
      <c r="D20" s="15"/>
      <c r="E20" s="15" t="s">
        <v>97</v>
      </c>
      <c r="F20" s="15"/>
      <c r="G20" s="15"/>
      <c r="H20" s="15"/>
    </row>
    <row r="21" spans="2:8" x14ac:dyDescent="0.6">
      <c r="B21" s="15" t="s">
        <v>59</v>
      </c>
      <c r="C21" s="15" t="s">
        <v>60</v>
      </c>
      <c r="D21" s="15"/>
      <c r="E21" s="15" t="s">
        <v>98</v>
      </c>
      <c r="F21" s="15"/>
      <c r="G21" s="15"/>
      <c r="H21" s="15"/>
    </row>
    <row r="22" spans="2:8" x14ac:dyDescent="0.6">
      <c r="B22" s="15" t="s">
        <v>61</v>
      </c>
      <c r="C22" s="15" t="s">
        <v>62</v>
      </c>
      <c r="D22" s="15"/>
      <c r="E22" s="15" t="s">
        <v>99</v>
      </c>
      <c r="F22" s="15"/>
      <c r="G22" s="15"/>
      <c r="H22" s="15"/>
    </row>
    <row r="23" spans="2:8" x14ac:dyDescent="0.6">
      <c r="B23" s="15" t="s">
        <v>63</v>
      </c>
      <c r="C23" s="15" t="s">
        <v>64</v>
      </c>
      <c r="D23" s="15"/>
      <c r="E23" s="15" t="s">
        <v>100</v>
      </c>
      <c r="F23" s="15"/>
      <c r="G23" s="15"/>
      <c r="H23" s="15"/>
    </row>
    <row r="24" spans="2:8" x14ac:dyDescent="0.6">
      <c r="B24" s="15" t="s">
        <v>65</v>
      </c>
      <c r="C24" s="15" t="s">
        <v>66</v>
      </c>
      <c r="D24" s="15"/>
      <c r="E24" s="15" t="s">
        <v>101</v>
      </c>
      <c r="F24" s="15"/>
      <c r="G24" s="15"/>
      <c r="H24" s="15"/>
    </row>
    <row r="25" spans="2:8" x14ac:dyDescent="0.6">
      <c r="B25" s="15" t="s">
        <v>67</v>
      </c>
      <c r="C25" s="15" t="s">
        <v>68</v>
      </c>
      <c r="D25" s="15"/>
      <c r="E25" s="15" t="s">
        <v>102</v>
      </c>
      <c r="F25" s="15"/>
      <c r="G25" s="15"/>
      <c r="H25" s="15"/>
    </row>
    <row r="26" spans="2:8" x14ac:dyDescent="0.6">
      <c r="B26" s="15" t="s">
        <v>69</v>
      </c>
      <c r="C26" s="15" t="s">
        <v>70</v>
      </c>
      <c r="D26" s="15"/>
      <c r="E26" s="15" t="s">
        <v>103</v>
      </c>
      <c r="F26" s="15"/>
      <c r="G26" s="15"/>
      <c r="H26" s="15"/>
    </row>
    <row r="27" spans="2:8" x14ac:dyDescent="0.6">
      <c r="B27" s="15" t="s">
        <v>71</v>
      </c>
      <c r="C27" s="15" t="s">
        <v>72</v>
      </c>
      <c r="D27" s="15"/>
      <c r="E27" s="15" t="s">
        <v>104</v>
      </c>
      <c r="F27" s="15"/>
      <c r="G27" s="15"/>
      <c r="H27" s="15"/>
    </row>
    <row r="28" spans="2:8" x14ac:dyDescent="0.6">
      <c r="B28" s="15" t="s">
        <v>73</v>
      </c>
      <c r="C28" s="15" t="s">
        <v>74</v>
      </c>
      <c r="D28" s="15"/>
      <c r="E28" s="15" t="s">
        <v>79</v>
      </c>
      <c r="F28" s="15"/>
      <c r="G28" s="15"/>
      <c r="H28" s="15"/>
    </row>
    <row r="29" spans="2:8" x14ac:dyDescent="0.6">
      <c r="B29" s="15" t="s">
        <v>79</v>
      </c>
      <c r="C29" s="15" t="s">
        <v>128</v>
      </c>
      <c r="D29" s="15"/>
      <c r="E29" s="15" t="s">
        <v>79</v>
      </c>
      <c r="F29" s="15"/>
      <c r="G29" s="15"/>
      <c r="H29" s="15"/>
    </row>
    <row r="30" spans="2:8" x14ac:dyDescent="0.6">
      <c r="B30" s="15" t="s">
        <v>79</v>
      </c>
      <c r="C30" s="15" t="s">
        <v>129</v>
      </c>
      <c r="D30" s="15"/>
      <c r="E30" s="15" t="s">
        <v>79</v>
      </c>
      <c r="F30" s="15"/>
      <c r="G30" s="15"/>
      <c r="H30" s="15"/>
    </row>
    <row r="31" spans="2:8" x14ac:dyDescent="0.6">
      <c r="B31" s="15" t="s">
        <v>79</v>
      </c>
      <c r="C31" s="15" t="s">
        <v>130</v>
      </c>
      <c r="D31" s="15"/>
      <c r="E31" s="15" t="s">
        <v>79</v>
      </c>
      <c r="F31" s="15"/>
      <c r="G31" s="15"/>
      <c r="H31" s="15"/>
    </row>
    <row r="32" spans="2:8" x14ac:dyDescent="0.6">
      <c r="B32" s="15" t="s">
        <v>79</v>
      </c>
      <c r="C32" s="15" t="s">
        <v>131</v>
      </c>
      <c r="D32" s="15"/>
      <c r="E32" s="15" t="s">
        <v>79</v>
      </c>
      <c r="F32" s="15"/>
      <c r="G32" s="15"/>
      <c r="H32" s="15"/>
    </row>
    <row r="33" spans="2:8" x14ac:dyDescent="0.6">
      <c r="B33" s="15" t="s">
        <v>79</v>
      </c>
      <c r="C33" s="15" t="s">
        <v>132</v>
      </c>
      <c r="D33" s="15"/>
      <c r="E33" s="15" t="s">
        <v>79</v>
      </c>
      <c r="F33" s="15"/>
      <c r="G33" s="15"/>
      <c r="H33" s="15"/>
    </row>
    <row r="34" spans="2:8" x14ac:dyDescent="0.6">
      <c r="B34" t="s">
        <v>75</v>
      </c>
      <c r="C34" t="s">
        <v>76</v>
      </c>
      <c r="E34" t="s">
        <v>88</v>
      </c>
    </row>
    <row r="35" spans="2:8" x14ac:dyDescent="0.6">
      <c r="B35" t="s">
        <v>77</v>
      </c>
      <c r="C35" t="s">
        <v>78</v>
      </c>
      <c r="E35" t="s">
        <v>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32B-8226-479D-A9AE-014FD6F8136A}">
  <dimension ref="B2:E35"/>
  <sheetViews>
    <sheetView tabSelected="1" zoomScale="85" zoomScaleNormal="85" workbookViewId="0">
      <selection activeCell="J5" sqref="J5"/>
    </sheetView>
  </sheetViews>
  <sheetFormatPr defaultRowHeight="16.899999999999999" x14ac:dyDescent="0.6"/>
  <cols>
    <col min="2" max="2" width="28.3125" bestFit="1" customWidth="1"/>
    <col min="5" max="5" width="29.3125" bestFit="1" customWidth="1"/>
  </cols>
  <sheetData>
    <row r="2" spans="2:5" x14ac:dyDescent="0.6">
      <c r="B2" s="14" t="s">
        <v>79</v>
      </c>
      <c r="C2" s="14" t="s">
        <v>109</v>
      </c>
      <c r="D2" s="14"/>
      <c r="E2" s="14" t="s">
        <v>79</v>
      </c>
    </row>
    <row r="3" spans="2:5" x14ac:dyDescent="0.6">
      <c r="B3" s="14" t="s">
        <v>29</v>
      </c>
      <c r="C3" s="14" t="s">
        <v>30</v>
      </c>
      <c r="D3" s="14"/>
      <c r="E3" s="14" t="s">
        <v>79</v>
      </c>
    </row>
    <row r="4" spans="2:5" x14ac:dyDescent="0.6">
      <c r="B4" s="14" t="s">
        <v>31</v>
      </c>
      <c r="C4" s="14" t="s">
        <v>32</v>
      </c>
      <c r="D4" s="14"/>
      <c r="E4" s="14" t="s">
        <v>79</v>
      </c>
    </row>
    <row r="5" spans="2:5" x14ac:dyDescent="0.6">
      <c r="B5" s="14" t="s">
        <v>33</v>
      </c>
      <c r="C5" s="14" t="s">
        <v>34</v>
      </c>
      <c r="D5" s="14"/>
      <c r="E5" s="14" t="s">
        <v>79</v>
      </c>
    </row>
    <row r="6" spans="2:5" x14ac:dyDescent="0.6">
      <c r="B6" s="14" t="s">
        <v>79</v>
      </c>
      <c r="C6" s="14" t="s">
        <v>110</v>
      </c>
      <c r="D6" s="14"/>
      <c r="E6" s="14" t="s">
        <v>79</v>
      </c>
    </row>
    <row r="7" spans="2:5" x14ac:dyDescent="0.6">
      <c r="B7" s="14" t="s">
        <v>35</v>
      </c>
      <c r="C7" s="14" t="s">
        <v>36</v>
      </c>
      <c r="D7" s="14"/>
      <c r="E7" s="14" t="s">
        <v>79</v>
      </c>
    </row>
    <row r="8" spans="2:5" x14ac:dyDescent="0.6">
      <c r="B8" s="14" t="s">
        <v>37</v>
      </c>
      <c r="C8" s="14" t="s">
        <v>38</v>
      </c>
      <c r="D8" s="14"/>
      <c r="E8" s="14" t="s">
        <v>111</v>
      </c>
    </row>
    <row r="9" spans="2:5" x14ac:dyDescent="0.6">
      <c r="B9" s="14" t="s">
        <v>39</v>
      </c>
      <c r="C9" s="14" t="s">
        <v>40</v>
      </c>
      <c r="D9" s="14"/>
      <c r="E9" s="14" t="s">
        <v>112</v>
      </c>
    </row>
    <row r="10" spans="2:5" x14ac:dyDescent="0.6">
      <c r="B10" s="14" t="s">
        <v>105</v>
      </c>
      <c r="C10" s="14" t="s">
        <v>107</v>
      </c>
      <c r="D10" s="14"/>
      <c r="E10" s="14" t="s">
        <v>127</v>
      </c>
    </row>
    <row r="11" spans="2:5" x14ac:dyDescent="0.6">
      <c r="B11" s="14" t="s">
        <v>106</v>
      </c>
      <c r="C11" s="14" t="s">
        <v>108</v>
      </c>
      <c r="D11" s="14"/>
      <c r="E11" s="14" t="s">
        <v>127</v>
      </c>
    </row>
    <row r="12" spans="2:5" x14ac:dyDescent="0.6">
      <c r="B12" s="14" t="s">
        <v>41</v>
      </c>
      <c r="C12" s="14" t="s">
        <v>42</v>
      </c>
      <c r="D12" s="14"/>
      <c r="E12" s="14" t="s">
        <v>114</v>
      </c>
    </row>
    <row r="13" spans="2:5" x14ac:dyDescent="0.6">
      <c r="B13" s="14" t="s">
        <v>43</v>
      </c>
      <c r="C13" s="14" t="s">
        <v>44</v>
      </c>
      <c r="D13" s="14"/>
      <c r="E13" s="14" t="s">
        <v>115</v>
      </c>
    </row>
    <row r="14" spans="2:5" x14ac:dyDescent="0.6">
      <c r="B14" s="14" t="s">
        <v>45</v>
      </c>
      <c r="C14" s="14" t="s">
        <v>46</v>
      </c>
      <c r="D14" s="14"/>
      <c r="E14" s="14" t="s">
        <v>79</v>
      </c>
    </row>
    <row r="15" spans="2:5" x14ac:dyDescent="0.6">
      <c r="B15" s="14" t="s">
        <v>47</v>
      </c>
      <c r="C15" s="14" t="s">
        <v>48</v>
      </c>
      <c r="D15" s="14"/>
      <c r="E15" s="14" t="s">
        <v>79</v>
      </c>
    </row>
    <row r="16" spans="2:5" x14ac:dyDescent="0.6">
      <c r="B16" s="14" t="s">
        <v>49</v>
      </c>
      <c r="C16" s="14" t="s">
        <v>50</v>
      </c>
      <c r="D16" s="14"/>
      <c r="E16" s="14" t="s">
        <v>79</v>
      </c>
    </row>
    <row r="17" spans="2:5" x14ac:dyDescent="0.6">
      <c r="B17" s="14" t="s">
        <v>51</v>
      </c>
      <c r="C17" s="14" t="s">
        <v>52</v>
      </c>
      <c r="D17" s="14"/>
      <c r="E17" s="14" t="s">
        <v>116</v>
      </c>
    </row>
    <row r="18" spans="2:5" x14ac:dyDescent="0.6">
      <c r="B18" s="15" t="s">
        <v>53</v>
      </c>
      <c r="C18" s="15" t="s">
        <v>54</v>
      </c>
      <c r="D18" s="15"/>
      <c r="E18" s="15" t="s">
        <v>117</v>
      </c>
    </row>
    <row r="19" spans="2:5" x14ac:dyDescent="0.6">
      <c r="B19" s="15" t="s">
        <v>55</v>
      </c>
      <c r="C19" s="15" t="s">
        <v>56</v>
      </c>
      <c r="D19" s="15"/>
      <c r="E19" s="15" t="s">
        <v>118</v>
      </c>
    </row>
    <row r="20" spans="2:5" x14ac:dyDescent="0.6">
      <c r="B20" s="15" t="s">
        <v>57</v>
      </c>
      <c r="C20" s="15" t="s">
        <v>58</v>
      </c>
      <c r="D20" s="15"/>
      <c r="E20" s="15" t="s">
        <v>119</v>
      </c>
    </row>
    <row r="21" spans="2:5" x14ac:dyDescent="0.6">
      <c r="B21" s="15" t="s">
        <v>59</v>
      </c>
      <c r="C21" s="15" t="s">
        <v>60</v>
      </c>
      <c r="D21" s="15"/>
      <c r="E21" s="15" t="s">
        <v>120</v>
      </c>
    </row>
    <row r="22" spans="2:5" x14ac:dyDescent="0.6">
      <c r="B22" s="15" t="s">
        <v>61</v>
      </c>
      <c r="C22" s="15" t="s">
        <v>62</v>
      </c>
      <c r="D22" s="15"/>
      <c r="E22" s="15" t="s">
        <v>121</v>
      </c>
    </row>
    <row r="23" spans="2:5" x14ac:dyDescent="0.6">
      <c r="B23" s="15" t="s">
        <v>63</v>
      </c>
      <c r="C23" s="15" t="s">
        <v>64</v>
      </c>
      <c r="D23" s="15"/>
      <c r="E23" s="15" t="s">
        <v>122</v>
      </c>
    </row>
    <row r="24" spans="2:5" x14ac:dyDescent="0.6">
      <c r="B24" s="15" t="s">
        <v>65</v>
      </c>
      <c r="C24" s="15" t="s">
        <v>66</v>
      </c>
      <c r="D24" s="15"/>
      <c r="E24" s="15" t="s">
        <v>123</v>
      </c>
    </row>
    <row r="25" spans="2:5" x14ac:dyDescent="0.6">
      <c r="B25" s="15" t="s">
        <v>67</v>
      </c>
      <c r="C25" s="15" t="s">
        <v>68</v>
      </c>
      <c r="D25" s="15"/>
      <c r="E25" s="15" t="s">
        <v>124</v>
      </c>
    </row>
    <row r="26" spans="2:5" x14ac:dyDescent="0.6">
      <c r="B26" s="15" t="s">
        <v>69</v>
      </c>
      <c r="C26" s="15" t="s">
        <v>70</v>
      </c>
      <c r="D26" s="15"/>
      <c r="E26" s="15" t="s">
        <v>125</v>
      </c>
    </row>
    <row r="27" spans="2:5" x14ac:dyDescent="0.6">
      <c r="B27" s="15" t="s">
        <v>71</v>
      </c>
      <c r="C27" s="15" t="s">
        <v>72</v>
      </c>
      <c r="D27" s="15"/>
      <c r="E27" s="15" t="s">
        <v>126</v>
      </c>
    </row>
    <row r="28" spans="2:5" x14ac:dyDescent="0.6">
      <c r="B28" s="15" t="s">
        <v>73</v>
      </c>
      <c r="C28" s="15" t="s">
        <v>74</v>
      </c>
      <c r="D28" s="15"/>
      <c r="E28" s="15" t="s">
        <v>79</v>
      </c>
    </row>
    <row r="29" spans="2:5" x14ac:dyDescent="0.6">
      <c r="B29" s="15" t="s">
        <v>79</v>
      </c>
      <c r="C29" s="15" t="s">
        <v>128</v>
      </c>
      <c r="D29" s="15"/>
      <c r="E29" s="15" t="s">
        <v>79</v>
      </c>
    </row>
    <row r="30" spans="2:5" x14ac:dyDescent="0.6">
      <c r="B30" s="15" t="s">
        <v>79</v>
      </c>
      <c r="C30" s="15" t="s">
        <v>129</v>
      </c>
      <c r="D30" s="15"/>
      <c r="E30" s="15" t="s">
        <v>79</v>
      </c>
    </row>
    <row r="31" spans="2:5" x14ac:dyDescent="0.6">
      <c r="B31" s="15" t="s">
        <v>79</v>
      </c>
      <c r="C31" s="15" t="s">
        <v>130</v>
      </c>
      <c r="D31" s="15"/>
      <c r="E31" s="15" t="s">
        <v>79</v>
      </c>
    </row>
    <row r="32" spans="2:5" x14ac:dyDescent="0.6">
      <c r="B32" s="15" t="s">
        <v>79</v>
      </c>
      <c r="C32" s="15" t="s">
        <v>131</v>
      </c>
      <c r="D32" s="15"/>
      <c r="E32" s="15" t="s">
        <v>79</v>
      </c>
    </row>
    <row r="33" spans="2:5" x14ac:dyDescent="0.6">
      <c r="B33" s="15" t="s">
        <v>79</v>
      </c>
      <c r="C33" s="15" t="s">
        <v>132</v>
      </c>
      <c r="D33" s="15"/>
      <c r="E33" s="15" t="s">
        <v>79</v>
      </c>
    </row>
    <row r="34" spans="2:5" x14ac:dyDescent="0.6">
      <c r="B34" t="s">
        <v>75</v>
      </c>
      <c r="C34" t="s">
        <v>76</v>
      </c>
      <c r="E34" t="s">
        <v>113</v>
      </c>
    </row>
    <row r="35" spans="2:5" x14ac:dyDescent="0.6">
      <c r="B35" t="s">
        <v>77</v>
      </c>
      <c r="C35" t="s">
        <v>78</v>
      </c>
      <c r="E35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crc</vt:lpstr>
      <vt:lpstr>manc</vt:lpstr>
      <vt:lpstr>Sheet3</vt:lpstr>
      <vt:lpstr>cmd_read</vt:lpstr>
      <vt:lpstr>cmd_wrtie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2024-07-17T00:12:10Z</dcterms:created>
  <dcterms:modified xsi:type="dcterms:W3CDTF">2024-07-17T08:55:34Z</dcterms:modified>
</cp:coreProperties>
</file>